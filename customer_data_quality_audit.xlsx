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dd57f5b42290a60/Desktop/"/>
    </mc:Choice>
  </mc:AlternateContent>
  <xr:revisionPtr revIDLastSave="1" documentId="8_{1DA6AF65-02EA-462B-8B4A-A21F4E89E551}" xr6:coauthVersionLast="47" xr6:coauthVersionMax="47" xr10:uidLastSave="{F1A7C5C4-51F9-4FB9-8745-F11A5BB7D314}"/>
  <bookViews>
    <workbookView xWindow="-96" yWindow="0" windowWidth="11712" windowHeight="13776" xr2:uid="{00000000-000D-0000-FFFF-FFFF00000000}"/>
  </bookViews>
  <sheets>
    <sheet name="Dashboard" sheetId="6" r:id="rId1"/>
    <sheet name="Summary" sheetId="4" r:id="rId2"/>
    <sheet name="Data_Audit" sheetId="3" r:id="rId3"/>
    <sheet name="Data_Quality_Rules" sheetId="2" r:id="rId4"/>
    <sheet name="Raw_data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" i="6" l="1"/>
  <c r="F22" i="6"/>
  <c r="F19" i="6"/>
  <c r="B9" i="4"/>
  <c r="AK8" i="3"/>
  <c r="AK3" i="3"/>
  <c r="AK4" i="3"/>
  <c r="AK5" i="3"/>
  <c r="AK6" i="3"/>
  <c r="AK7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K473" i="3"/>
  <c r="AK474" i="3"/>
  <c r="AK475" i="3"/>
  <c r="AK476" i="3"/>
  <c r="AK477" i="3"/>
  <c r="AK478" i="3"/>
  <c r="AK479" i="3"/>
  <c r="AK480" i="3"/>
  <c r="AK481" i="3"/>
  <c r="AK482" i="3"/>
  <c r="AK483" i="3"/>
  <c r="AK484" i="3"/>
  <c r="AK485" i="3"/>
  <c r="AK486" i="3"/>
  <c r="AK487" i="3"/>
  <c r="AK488" i="3"/>
  <c r="AK489" i="3"/>
  <c r="AK490" i="3"/>
  <c r="AK491" i="3"/>
  <c r="AK492" i="3"/>
  <c r="AK493" i="3"/>
  <c r="AK494" i="3"/>
  <c r="AK495" i="3"/>
  <c r="AK496" i="3"/>
  <c r="AK497" i="3"/>
  <c r="AK498" i="3"/>
  <c r="AK499" i="3"/>
  <c r="AK500" i="3"/>
  <c r="AK501" i="3"/>
  <c r="AK502" i="3"/>
  <c r="AK503" i="3"/>
  <c r="AK504" i="3"/>
  <c r="AK505" i="3"/>
  <c r="AK506" i="3"/>
  <c r="AK507" i="3"/>
  <c r="AK508" i="3"/>
  <c r="AK509" i="3"/>
  <c r="AK510" i="3"/>
  <c r="AK511" i="3"/>
  <c r="AK512" i="3"/>
  <c r="AK513" i="3"/>
  <c r="AK514" i="3"/>
  <c r="AK515" i="3"/>
  <c r="AK516" i="3"/>
  <c r="AK517" i="3"/>
  <c r="AK518" i="3"/>
  <c r="AK519" i="3"/>
  <c r="AK520" i="3"/>
  <c r="AK521" i="3"/>
  <c r="AK522" i="3"/>
  <c r="AK523" i="3"/>
  <c r="AK524" i="3"/>
  <c r="AK525" i="3"/>
  <c r="AK526" i="3"/>
  <c r="AK527" i="3"/>
  <c r="AK528" i="3"/>
  <c r="AK529" i="3"/>
  <c r="AK530" i="3"/>
  <c r="AK531" i="3"/>
  <c r="AK532" i="3"/>
  <c r="AK533" i="3"/>
  <c r="AK534" i="3"/>
  <c r="AK535" i="3"/>
  <c r="AK536" i="3"/>
  <c r="AK537" i="3"/>
  <c r="AK538" i="3"/>
  <c r="AK539" i="3"/>
  <c r="AK540" i="3"/>
  <c r="AK541" i="3"/>
  <c r="AK542" i="3"/>
  <c r="AK543" i="3"/>
  <c r="AK544" i="3"/>
  <c r="AK545" i="3"/>
  <c r="AK546" i="3"/>
  <c r="AK547" i="3"/>
  <c r="AK548" i="3"/>
  <c r="AK549" i="3"/>
  <c r="AK550" i="3"/>
  <c r="AK551" i="3"/>
  <c r="AK552" i="3"/>
  <c r="AK553" i="3"/>
  <c r="AK554" i="3"/>
  <c r="AK555" i="3"/>
  <c r="AK556" i="3"/>
  <c r="AK557" i="3"/>
  <c r="AK558" i="3"/>
  <c r="AK559" i="3"/>
  <c r="AK560" i="3"/>
  <c r="AK561" i="3"/>
  <c r="AK562" i="3"/>
  <c r="AK563" i="3"/>
  <c r="AK564" i="3"/>
  <c r="AK565" i="3"/>
  <c r="AK566" i="3"/>
  <c r="AK567" i="3"/>
  <c r="AK568" i="3"/>
  <c r="AK569" i="3"/>
  <c r="AK570" i="3"/>
  <c r="AK571" i="3"/>
  <c r="AK572" i="3"/>
  <c r="AK573" i="3"/>
  <c r="AK574" i="3"/>
  <c r="AK575" i="3"/>
  <c r="AK576" i="3"/>
  <c r="AK577" i="3"/>
  <c r="AK578" i="3"/>
  <c r="AK579" i="3"/>
  <c r="AK580" i="3"/>
  <c r="AK581" i="3"/>
  <c r="AK582" i="3"/>
  <c r="AK583" i="3"/>
  <c r="AK584" i="3"/>
  <c r="AK585" i="3"/>
  <c r="AK586" i="3"/>
  <c r="AK587" i="3"/>
  <c r="AK588" i="3"/>
  <c r="AK589" i="3"/>
  <c r="AK590" i="3"/>
  <c r="AK591" i="3"/>
  <c r="AK592" i="3"/>
  <c r="AK593" i="3"/>
  <c r="AK594" i="3"/>
  <c r="AK595" i="3"/>
  <c r="AK596" i="3"/>
  <c r="AK597" i="3"/>
  <c r="AK598" i="3"/>
  <c r="AK599" i="3"/>
  <c r="AK600" i="3"/>
  <c r="AK601" i="3"/>
  <c r="AK602" i="3"/>
  <c r="AK603" i="3"/>
  <c r="AK604" i="3"/>
  <c r="AK605" i="3"/>
  <c r="AK606" i="3"/>
  <c r="AK607" i="3"/>
  <c r="AK608" i="3"/>
  <c r="AK609" i="3"/>
  <c r="AK610" i="3"/>
  <c r="AK611" i="3"/>
  <c r="AK612" i="3"/>
  <c r="AK613" i="3"/>
  <c r="AK614" i="3"/>
  <c r="AK615" i="3"/>
  <c r="AK616" i="3"/>
  <c r="AK617" i="3"/>
  <c r="AK618" i="3"/>
  <c r="AK619" i="3"/>
  <c r="AK620" i="3"/>
  <c r="AK621" i="3"/>
  <c r="AK622" i="3"/>
  <c r="AK623" i="3"/>
  <c r="AK624" i="3"/>
  <c r="AK625" i="3"/>
  <c r="AK626" i="3"/>
  <c r="AK627" i="3"/>
  <c r="AK628" i="3"/>
  <c r="AK629" i="3"/>
  <c r="AK630" i="3"/>
  <c r="AK631" i="3"/>
  <c r="AK632" i="3"/>
  <c r="AK633" i="3"/>
  <c r="AK634" i="3"/>
  <c r="AK635" i="3"/>
  <c r="AK636" i="3"/>
  <c r="AK637" i="3"/>
  <c r="AK638" i="3"/>
  <c r="AK639" i="3"/>
  <c r="AK640" i="3"/>
  <c r="AK641" i="3"/>
  <c r="AK642" i="3"/>
  <c r="AK643" i="3"/>
  <c r="AK644" i="3"/>
  <c r="AK645" i="3"/>
  <c r="AK646" i="3"/>
  <c r="AK647" i="3"/>
  <c r="AK648" i="3"/>
  <c r="AK649" i="3"/>
  <c r="AK650" i="3"/>
  <c r="AK651" i="3"/>
  <c r="AK652" i="3"/>
  <c r="AK653" i="3"/>
  <c r="AK654" i="3"/>
  <c r="AK655" i="3"/>
  <c r="AK656" i="3"/>
  <c r="AK657" i="3"/>
  <c r="AK658" i="3"/>
  <c r="AK659" i="3"/>
  <c r="AK660" i="3"/>
  <c r="AK661" i="3"/>
  <c r="AK662" i="3"/>
  <c r="AK663" i="3"/>
  <c r="AK664" i="3"/>
  <c r="AK665" i="3"/>
  <c r="AK666" i="3"/>
  <c r="AK667" i="3"/>
  <c r="AK668" i="3"/>
  <c r="AK669" i="3"/>
  <c r="AK670" i="3"/>
  <c r="AK671" i="3"/>
  <c r="AK672" i="3"/>
  <c r="AK673" i="3"/>
  <c r="AK674" i="3"/>
  <c r="AK675" i="3"/>
  <c r="AK676" i="3"/>
  <c r="AK677" i="3"/>
  <c r="AK678" i="3"/>
  <c r="AK679" i="3"/>
  <c r="AK680" i="3"/>
  <c r="AK681" i="3"/>
  <c r="AK682" i="3"/>
  <c r="AK683" i="3"/>
  <c r="AK684" i="3"/>
  <c r="AK685" i="3"/>
  <c r="AK686" i="3"/>
  <c r="AK687" i="3"/>
  <c r="AK688" i="3"/>
  <c r="AK689" i="3"/>
  <c r="AK690" i="3"/>
  <c r="AK691" i="3"/>
  <c r="AK692" i="3"/>
  <c r="AK693" i="3"/>
  <c r="AK694" i="3"/>
  <c r="AK695" i="3"/>
  <c r="AK696" i="3"/>
  <c r="AK697" i="3"/>
  <c r="AK698" i="3"/>
  <c r="AK699" i="3"/>
  <c r="AK700" i="3"/>
  <c r="AK701" i="3"/>
  <c r="AK702" i="3"/>
  <c r="AK703" i="3"/>
  <c r="AK704" i="3"/>
  <c r="AK705" i="3"/>
  <c r="AK706" i="3"/>
  <c r="AK707" i="3"/>
  <c r="AK708" i="3"/>
  <c r="AK709" i="3"/>
  <c r="AK710" i="3"/>
  <c r="AK711" i="3"/>
  <c r="AK712" i="3"/>
  <c r="AK713" i="3"/>
  <c r="AK714" i="3"/>
  <c r="AK715" i="3"/>
  <c r="AK716" i="3"/>
  <c r="AK717" i="3"/>
  <c r="AK718" i="3"/>
  <c r="AK719" i="3"/>
  <c r="AK720" i="3"/>
  <c r="AK721" i="3"/>
  <c r="AK722" i="3"/>
  <c r="AK723" i="3"/>
  <c r="AK724" i="3"/>
  <c r="AK725" i="3"/>
  <c r="AK726" i="3"/>
  <c r="AK727" i="3"/>
  <c r="AK728" i="3"/>
  <c r="AK729" i="3"/>
  <c r="AK730" i="3"/>
  <c r="AK731" i="3"/>
  <c r="AK732" i="3"/>
  <c r="AK733" i="3"/>
  <c r="AK734" i="3"/>
  <c r="AK735" i="3"/>
  <c r="AK736" i="3"/>
  <c r="AK737" i="3"/>
  <c r="AK738" i="3"/>
  <c r="AK739" i="3"/>
  <c r="AK740" i="3"/>
  <c r="AK741" i="3"/>
  <c r="AK742" i="3"/>
  <c r="AK743" i="3"/>
  <c r="AK744" i="3"/>
  <c r="AK745" i="3"/>
  <c r="AK746" i="3"/>
  <c r="AK747" i="3"/>
  <c r="AK748" i="3"/>
  <c r="AK749" i="3"/>
  <c r="AK750" i="3"/>
  <c r="AK751" i="3"/>
  <c r="AK752" i="3"/>
  <c r="AK753" i="3"/>
  <c r="AK754" i="3"/>
  <c r="AK755" i="3"/>
  <c r="AK756" i="3"/>
  <c r="AK757" i="3"/>
  <c r="AK758" i="3"/>
  <c r="AK759" i="3"/>
  <c r="AK760" i="3"/>
  <c r="AK761" i="3"/>
  <c r="AK762" i="3"/>
  <c r="AK763" i="3"/>
  <c r="AK764" i="3"/>
  <c r="AK765" i="3"/>
  <c r="AK766" i="3"/>
  <c r="AK767" i="3"/>
  <c r="AK768" i="3"/>
  <c r="AK769" i="3"/>
  <c r="AK770" i="3"/>
  <c r="AK771" i="3"/>
  <c r="AK772" i="3"/>
  <c r="AK773" i="3"/>
  <c r="AK774" i="3"/>
  <c r="AK775" i="3"/>
  <c r="AK776" i="3"/>
  <c r="AK777" i="3"/>
  <c r="AK778" i="3"/>
  <c r="AK779" i="3"/>
  <c r="AK780" i="3"/>
  <c r="AK781" i="3"/>
  <c r="AK782" i="3"/>
  <c r="AK783" i="3"/>
  <c r="AK784" i="3"/>
  <c r="AK785" i="3"/>
  <c r="AK786" i="3"/>
  <c r="AK787" i="3"/>
  <c r="AK788" i="3"/>
  <c r="AK789" i="3"/>
  <c r="AK790" i="3"/>
  <c r="AK791" i="3"/>
  <c r="AK792" i="3"/>
  <c r="AK793" i="3"/>
  <c r="AK794" i="3"/>
  <c r="AK795" i="3"/>
  <c r="AK796" i="3"/>
  <c r="AK797" i="3"/>
  <c r="AK798" i="3"/>
  <c r="AK799" i="3"/>
  <c r="AK800" i="3"/>
  <c r="AK801" i="3"/>
  <c r="AK802" i="3"/>
  <c r="AK803" i="3"/>
  <c r="AK804" i="3"/>
  <c r="AK805" i="3"/>
  <c r="AK806" i="3"/>
  <c r="AK807" i="3"/>
  <c r="AK808" i="3"/>
  <c r="AK809" i="3"/>
  <c r="AK810" i="3"/>
  <c r="AK811" i="3"/>
  <c r="AK812" i="3"/>
  <c r="AK813" i="3"/>
  <c r="AK814" i="3"/>
  <c r="AK815" i="3"/>
  <c r="AK816" i="3"/>
  <c r="AK817" i="3"/>
  <c r="AK818" i="3"/>
  <c r="AK819" i="3"/>
  <c r="AK820" i="3"/>
  <c r="AK821" i="3"/>
  <c r="AK822" i="3"/>
  <c r="AK823" i="3"/>
  <c r="AK824" i="3"/>
  <c r="AK825" i="3"/>
  <c r="AK826" i="3"/>
  <c r="AK827" i="3"/>
  <c r="AK828" i="3"/>
  <c r="AK829" i="3"/>
  <c r="AK830" i="3"/>
  <c r="AK831" i="3"/>
  <c r="AK832" i="3"/>
  <c r="AK833" i="3"/>
  <c r="AK834" i="3"/>
  <c r="AK835" i="3"/>
  <c r="AK836" i="3"/>
  <c r="AK837" i="3"/>
  <c r="AK838" i="3"/>
  <c r="AK839" i="3"/>
  <c r="AK840" i="3"/>
  <c r="AK841" i="3"/>
  <c r="AK842" i="3"/>
  <c r="AK843" i="3"/>
  <c r="AK844" i="3"/>
  <c r="AK845" i="3"/>
  <c r="AK846" i="3"/>
  <c r="AK847" i="3"/>
  <c r="AK848" i="3"/>
  <c r="AK849" i="3"/>
  <c r="AK850" i="3"/>
  <c r="AK851" i="3"/>
  <c r="AK852" i="3"/>
  <c r="AK853" i="3"/>
  <c r="AK854" i="3"/>
  <c r="AK855" i="3"/>
  <c r="AK856" i="3"/>
  <c r="AK857" i="3"/>
  <c r="AK858" i="3"/>
  <c r="AK859" i="3"/>
  <c r="AK860" i="3"/>
  <c r="AK861" i="3"/>
  <c r="AK862" i="3"/>
  <c r="AK863" i="3"/>
  <c r="AK864" i="3"/>
  <c r="AK865" i="3"/>
  <c r="AK866" i="3"/>
  <c r="AK867" i="3"/>
  <c r="AK868" i="3"/>
  <c r="AK869" i="3"/>
  <c r="AK870" i="3"/>
  <c r="AK871" i="3"/>
  <c r="AK872" i="3"/>
  <c r="AK873" i="3"/>
  <c r="AK874" i="3"/>
  <c r="AK875" i="3"/>
  <c r="AK876" i="3"/>
  <c r="AK877" i="3"/>
  <c r="AK878" i="3"/>
  <c r="AK879" i="3"/>
  <c r="AK880" i="3"/>
  <c r="AK881" i="3"/>
  <c r="AK882" i="3"/>
  <c r="AK883" i="3"/>
  <c r="AK884" i="3"/>
  <c r="AK885" i="3"/>
  <c r="AK886" i="3"/>
  <c r="AK887" i="3"/>
  <c r="AK888" i="3"/>
  <c r="AK889" i="3"/>
  <c r="AK890" i="3"/>
  <c r="AK891" i="3"/>
  <c r="AK892" i="3"/>
  <c r="AK893" i="3"/>
  <c r="AK894" i="3"/>
  <c r="AK895" i="3"/>
  <c r="AK896" i="3"/>
  <c r="AK897" i="3"/>
  <c r="AK898" i="3"/>
  <c r="AK899" i="3"/>
  <c r="AK900" i="3"/>
  <c r="AK901" i="3"/>
  <c r="AK902" i="3"/>
  <c r="AK903" i="3"/>
  <c r="AK904" i="3"/>
  <c r="AK905" i="3"/>
  <c r="AK906" i="3"/>
  <c r="AK907" i="3"/>
  <c r="AK908" i="3"/>
  <c r="AK909" i="3"/>
  <c r="AK910" i="3"/>
  <c r="AK911" i="3"/>
  <c r="AK912" i="3"/>
  <c r="AK913" i="3"/>
  <c r="AK914" i="3"/>
  <c r="AK915" i="3"/>
  <c r="AK916" i="3"/>
  <c r="AK917" i="3"/>
  <c r="AK918" i="3"/>
  <c r="AK919" i="3"/>
  <c r="AK920" i="3"/>
  <c r="AK921" i="3"/>
  <c r="AK922" i="3"/>
  <c r="AK923" i="3"/>
  <c r="AK924" i="3"/>
  <c r="AK925" i="3"/>
  <c r="AK926" i="3"/>
  <c r="AK927" i="3"/>
  <c r="AK928" i="3"/>
  <c r="AK929" i="3"/>
  <c r="AK930" i="3"/>
  <c r="AK931" i="3"/>
  <c r="AK932" i="3"/>
  <c r="AK933" i="3"/>
  <c r="AK934" i="3"/>
  <c r="AK935" i="3"/>
  <c r="AK936" i="3"/>
  <c r="AK937" i="3"/>
  <c r="AK938" i="3"/>
  <c r="AK939" i="3"/>
  <c r="AK940" i="3"/>
  <c r="AK941" i="3"/>
  <c r="AK942" i="3"/>
  <c r="AK943" i="3"/>
  <c r="AK944" i="3"/>
  <c r="AK945" i="3"/>
  <c r="AK946" i="3"/>
  <c r="AK947" i="3"/>
  <c r="AK948" i="3"/>
  <c r="AK949" i="3"/>
  <c r="AK950" i="3"/>
  <c r="AK951" i="3"/>
  <c r="AK952" i="3"/>
  <c r="AK953" i="3"/>
  <c r="AK954" i="3"/>
  <c r="AK955" i="3"/>
  <c r="AK956" i="3"/>
  <c r="AK957" i="3"/>
  <c r="AK958" i="3"/>
  <c r="AK959" i="3"/>
  <c r="AK960" i="3"/>
  <c r="AK961" i="3"/>
  <c r="AK962" i="3"/>
  <c r="AK963" i="3"/>
  <c r="AK964" i="3"/>
  <c r="AK965" i="3"/>
  <c r="AK966" i="3"/>
  <c r="AK967" i="3"/>
  <c r="AK968" i="3"/>
  <c r="AK969" i="3"/>
  <c r="AK970" i="3"/>
  <c r="AK971" i="3"/>
  <c r="AK972" i="3"/>
  <c r="AK973" i="3"/>
  <c r="AK974" i="3"/>
  <c r="AK975" i="3"/>
  <c r="AK976" i="3"/>
  <c r="AK977" i="3"/>
  <c r="AK978" i="3"/>
  <c r="AK979" i="3"/>
  <c r="AK980" i="3"/>
  <c r="AK981" i="3"/>
  <c r="AK982" i="3"/>
  <c r="AK983" i="3"/>
  <c r="AK984" i="3"/>
  <c r="AK985" i="3"/>
  <c r="AK986" i="3"/>
  <c r="AK987" i="3"/>
  <c r="AK988" i="3"/>
  <c r="AK989" i="3"/>
  <c r="AK990" i="3"/>
  <c r="AK991" i="3"/>
  <c r="AK992" i="3"/>
  <c r="AK993" i="3"/>
  <c r="AK994" i="3"/>
  <c r="AK995" i="3"/>
  <c r="AK996" i="3"/>
  <c r="AK997" i="3"/>
  <c r="AK998" i="3"/>
  <c r="AK999" i="3"/>
  <c r="AK1000" i="3"/>
  <c r="AK1001" i="3"/>
  <c r="AK1002" i="3"/>
  <c r="AK1003" i="3"/>
  <c r="AK1004" i="3"/>
  <c r="AK1005" i="3"/>
  <c r="AK1006" i="3"/>
  <c r="AK1007" i="3"/>
  <c r="AK1008" i="3"/>
  <c r="AK1009" i="3"/>
  <c r="AK1010" i="3"/>
  <c r="AK1011" i="3"/>
  <c r="AK1012" i="3"/>
  <c r="AK1013" i="3"/>
  <c r="AK1014" i="3"/>
  <c r="AK1015" i="3"/>
  <c r="AK1016" i="3"/>
  <c r="AK1017" i="3"/>
  <c r="AK1018" i="3"/>
  <c r="AK1019" i="3"/>
  <c r="AK1020" i="3"/>
  <c r="AK1021" i="3"/>
  <c r="AK1022" i="3"/>
  <c r="AK1023" i="3"/>
  <c r="AK1024" i="3"/>
  <c r="AK1025" i="3"/>
  <c r="AK1026" i="3"/>
  <c r="AK1027" i="3"/>
  <c r="AK1028" i="3"/>
  <c r="AK1029" i="3"/>
  <c r="AK1030" i="3"/>
  <c r="AK1031" i="3"/>
  <c r="AK1032" i="3"/>
  <c r="AK1033" i="3"/>
  <c r="AK1034" i="3"/>
  <c r="AK1035" i="3"/>
  <c r="AK1036" i="3"/>
  <c r="AK1037" i="3"/>
  <c r="AK1038" i="3"/>
  <c r="AK1039" i="3"/>
  <c r="AK1040" i="3"/>
  <c r="AK1041" i="3"/>
  <c r="AK1042" i="3"/>
  <c r="AK1043" i="3"/>
  <c r="AK1044" i="3"/>
  <c r="AK1045" i="3"/>
  <c r="AK1046" i="3"/>
  <c r="AK1047" i="3"/>
  <c r="AK1048" i="3"/>
  <c r="AK1049" i="3"/>
  <c r="AK1050" i="3"/>
  <c r="AK1051" i="3"/>
  <c r="AK1052" i="3"/>
  <c r="AK1053" i="3"/>
  <c r="AK1054" i="3"/>
  <c r="AK1055" i="3"/>
  <c r="AK1056" i="3"/>
  <c r="AK1057" i="3"/>
  <c r="AK1058" i="3"/>
  <c r="AK1059" i="3"/>
  <c r="AK1060" i="3"/>
  <c r="AK1061" i="3"/>
  <c r="AK1062" i="3"/>
  <c r="AK1063" i="3"/>
  <c r="AK1064" i="3"/>
  <c r="AK1065" i="3"/>
  <c r="AK1066" i="3"/>
  <c r="AK1067" i="3"/>
  <c r="AK1068" i="3"/>
  <c r="AK1069" i="3"/>
  <c r="AK1070" i="3"/>
  <c r="AK1071" i="3"/>
  <c r="AK1072" i="3"/>
  <c r="AK1073" i="3"/>
  <c r="AK1074" i="3"/>
  <c r="AK1075" i="3"/>
  <c r="AK1076" i="3"/>
  <c r="AK1077" i="3"/>
  <c r="AK1078" i="3"/>
  <c r="AK1079" i="3"/>
  <c r="AK1080" i="3"/>
  <c r="AK1081" i="3"/>
  <c r="AK1082" i="3"/>
  <c r="AK1083" i="3"/>
  <c r="AK1084" i="3"/>
  <c r="AK1085" i="3"/>
  <c r="AK1086" i="3"/>
  <c r="AK1087" i="3"/>
  <c r="AK1088" i="3"/>
  <c r="AK1089" i="3"/>
  <c r="AK1090" i="3"/>
  <c r="AK1091" i="3"/>
  <c r="AK1092" i="3"/>
  <c r="AK1093" i="3"/>
  <c r="AK1094" i="3"/>
  <c r="AK1095" i="3"/>
  <c r="AK1096" i="3"/>
  <c r="AK1097" i="3"/>
  <c r="AK1098" i="3"/>
  <c r="AK1099" i="3"/>
  <c r="AK1100" i="3"/>
  <c r="AK1101" i="3"/>
  <c r="AK1102" i="3"/>
  <c r="AK1103" i="3"/>
  <c r="AK1104" i="3"/>
  <c r="AK1105" i="3"/>
  <c r="AK1106" i="3"/>
  <c r="AK1107" i="3"/>
  <c r="AK1108" i="3"/>
  <c r="AK1109" i="3"/>
  <c r="AK1110" i="3"/>
  <c r="AK1111" i="3"/>
  <c r="AK1112" i="3"/>
  <c r="AK1113" i="3"/>
  <c r="AK1114" i="3"/>
  <c r="AK1115" i="3"/>
  <c r="AK1116" i="3"/>
  <c r="AK1117" i="3"/>
  <c r="AK1118" i="3"/>
  <c r="AK1119" i="3"/>
  <c r="AK1120" i="3"/>
  <c r="AK1121" i="3"/>
  <c r="AK1122" i="3"/>
  <c r="AK1123" i="3"/>
  <c r="AK1124" i="3"/>
  <c r="AK1125" i="3"/>
  <c r="AK1126" i="3"/>
  <c r="AK1127" i="3"/>
  <c r="AK1128" i="3"/>
  <c r="AK1129" i="3"/>
  <c r="AK1130" i="3"/>
  <c r="AK1131" i="3"/>
  <c r="AK1132" i="3"/>
  <c r="AK1133" i="3"/>
  <c r="AK1134" i="3"/>
  <c r="AK1135" i="3"/>
  <c r="AK1136" i="3"/>
  <c r="AK1137" i="3"/>
  <c r="AK1138" i="3"/>
  <c r="AK1139" i="3"/>
  <c r="AK1140" i="3"/>
  <c r="AK1141" i="3"/>
  <c r="AK1142" i="3"/>
  <c r="AK1143" i="3"/>
  <c r="AK1144" i="3"/>
  <c r="AK1145" i="3"/>
  <c r="AK1146" i="3"/>
  <c r="AK1147" i="3"/>
  <c r="AK1148" i="3"/>
  <c r="AK1149" i="3"/>
  <c r="AK1150" i="3"/>
  <c r="AK1151" i="3"/>
  <c r="AK1152" i="3"/>
  <c r="AK1153" i="3"/>
  <c r="AK1154" i="3"/>
  <c r="AK1155" i="3"/>
  <c r="AK1156" i="3"/>
  <c r="AK1157" i="3"/>
  <c r="AK1158" i="3"/>
  <c r="AK1159" i="3"/>
  <c r="AK1160" i="3"/>
  <c r="AK1161" i="3"/>
  <c r="AK1162" i="3"/>
  <c r="AK1163" i="3"/>
  <c r="AK1164" i="3"/>
  <c r="AK1165" i="3"/>
  <c r="AK1166" i="3"/>
  <c r="AK1167" i="3"/>
  <c r="AK1168" i="3"/>
  <c r="AK1169" i="3"/>
  <c r="AK1170" i="3"/>
  <c r="AK1171" i="3"/>
  <c r="AK1172" i="3"/>
  <c r="AK1173" i="3"/>
  <c r="AK1174" i="3"/>
  <c r="AK1175" i="3"/>
  <c r="AK1176" i="3"/>
  <c r="AK1177" i="3"/>
  <c r="AK1178" i="3"/>
  <c r="AK1179" i="3"/>
  <c r="AK1180" i="3"/>
  <c r="AK1181" i="3"/>
  <c r="AK1182" i="3"/>
  <c r="AK1183" i="3"/>
  <c r="AK1184" i="3"/>
  <c r="AK1185" i="3"/>
  <c r="AK1186" i="3"/>
  <c r="AK1187" i="3"/>
  <c r="AK1188" i="3"/>
  <c r="AK1189" i="3"/>
  <c r="AK1190" i="3"/>
  <c r="AK1191" i="3"/>
  <c r="AK1192" i="3"/>
  <c r="AK1193" i="3"/>
  <c r="AK1194" i="3"/>
  <c r="AK1195" i="3"/>
  <c r="AK1196" i="3"/>
  <c r="AK1197" i="3"/>
  <c r="AK1198" i="3"/>
  <c r="AK1199" i="3"/>
  <c r="AK1200" i="3"/>
  <c r="AK1201" i="3"/>
  <c r="AK1202" i="3"/>
  <c r="AK1203" i="3"/>
  <c r="AK1204" i="3"/>
  <c r="AK1205" i="3"/>
  <c r="AK1206" i="3"/>
  <c r="AK1207" i="3"/>
  <c r="AK1208" i="3"/>
  <c r="AK1209" i="3"/>
  <c r="AK1210" i="3"/>
  <c r="AK1211" i="3"/>
  <c r="AK1212" i="3"/>
  <c r="AK1213" i="3"/>
  <c r="AK1214" i="3"/>
  <c r="AK1215" i="3"/>
  <c r="AK1216" i="3"/>
  <c r="AK1217" i="3"/>
  <c r="AK1218" i="3"/>
  <c r="AK1219" i="3"/>
  <c r="AK1220" i="3"/>
  <c r="AK1221" i="3"/>
  <c r="AK1222" i="3"/>
  <c r="AK1223" i="3"/>
  <c r="AK1224" i="3"/>
  <c r="AK1225" i="3"/>
  <c r="AK1226" i="3"/>
  <c r="AK1227" i="3"/>
  <c r="AK1228" i="3"/>
  <c r="AK1229" i="3"/>
  <c r="AK1230" i="3"/>
  <c r="AK1231" i="3"/>
  <c r="AK1232" i="3"/>
  <c r="AK1233" i="3"/>
  <c r="AK1234" i="3"/>
  <c r="AK1235" i="3"/>
  <c r="AK1236" i="3"/>
  <c r="AK1237" i="3"/>
  <c r="AK1238" i="3"/>
  <c r="AK1239" i="3"/>
  <c r="AK1240" i="3"/>
  <c r="AK1241" i="3"/>
  <c r="AK1242" i="3"/>
  <c r="AK1243" i="3"/>
  <c r="AK1244" i="3"/>
  <c r="AK1245" i="3"/>
  <c r="AK1246" i="3"/>
  <c r="AK1247" i="3"/>
  <c r="AK1248" i="3"/>
  <c r="AK1249" i="3"/>
  <c r="AK1250" i="3"/>
  <c r="AK1251" i="3"/>
  <c r="AK1252" i="3"/>
  <c r="AK1253" i="3"/>
  <c r="AK1254" i="3"/>
  <c r="AK1255" i="3"/>
  <c r="AK1256" i="3"/>
  <c r="AK1257" i="3"/>
  <c r="AK1258" i="3"/>
  <c r="AK1259" i="3"/>
  <c r="AK1260" i="3"/>
  <c r="AK1261" i="3"/>
  <c r="AK1262" i="3"/>
  <c r="AK1263" i="3"/>
  <c r="AK1264" i="3"/>
  <c r="AK1265" i="3"/>
  <c r="AK1266" i="3"/>
  <c r="AK1267" i="3"/>
  <c r="AK1268" i="3"/>
  <c r="AK1269" i="3"/>
  <c r="AK1270" i="3"/>
  <c r="AK1271" i="3"/>
  <c r="AK1272" i="3"/>
  <c r="AK1273" i="3"/>
  <c r="AK1274" i="3"/>
  <c r="AK1275" i="3"/>
  <c r="AK1276" i="3"/>
  <c r="AK1277" i="3"/>
  <c r="AK1278" i="3"/>
  <c r="AK1279" i="3"/>
  <c r="AK1280" i="3"/>
  <c r="AK1281" i="3"/>
  <c r="AK1282" i="3"/>
  <c r="AK1283" i="3"/>
  <c r="AK1284" i="3"/>
  <c r="AK1285" i="3"/>
  <c r="AK1286" i="3"/>
  <c r="AK1287" i="3"/>
  <c r="AK1288" i="3"/>
  <c r="AK1289" i="3"/>
  <c r="AK1290" i="3"/>
  <c r="AK1291" i="3"/>
  <c r="AK1292" i="3"/>
  <c r="AK1293" i="3"/>
  <c r="AK1294" i="3"/>
  <c r="AK1295" i="3"/>
  <c r="AK1296" i="3"/>
  <c r="AK1297" i="3"/>
  <c r="AK1298" i="3"/>
  <c r="AK1299" i="3"/>
  <c r="AK1300" i="3"/>
  <c r="AK1301" i="3"/>
  <c r="AK1302" i="3"/>
  <c r="AK1303" i="3"/>
  <c r="AK1304" i="3"/>
  <c r="AK1305" i="3"/>
  <c r="AK1306" i="3"/>
  <c r="AK1307" i="3"/>
  <c r="AK1308" i="3"/>
  <c r="AK1309" i="3"/>
  <c r="AK1310" i="3"/>
  <c r="AK1311" i="3"/>
  <c r="AK1312" i="3"/>
  <c r="AK1313" i="3"/>
  <c r="AK1314" i="3"/>
  <c r="AK1315" i="3"/>
  <c r="AK1316" i="3"/>
  <c r="AK1317" i="3"/>
  <c r="AK1318" i="3"/>
  <c r="AK1319" i="3"/>
  <c r="AK1320" i="3"/>
  <c r="AK1321" i="3"/>
  <c r="AK1322" i="3"/>
  <c r="AK1323" i="3"/>
  <c r="AK1324" i="3"/>
  <c r="AK1325" i="3"/>
  <c r="AK1326" i="3"/>
  <c r="AK1327" i="3"/>
  <c r="AK1328" i="3"/>
  <c r="AK1329" i="3"/>
  <c r="AK1330" i="3"/>
  <c r="AK1331" i="3"/>
  <c r="AK1332" i="3"/>
  <c r="AK1333" i="3"/>
  <c r="AK1334" i="3"/>
  <c r="AK1335" i="3"/>
  <c r="AK1336" i="3"/>
  <c r="AK1337" i="3"/>
  <c r="AK1338" i="3"/>
  <c r="AK1339" i="3"/>
  <c r="AK1340" i="3"/>
  <c r="AK1341" i="3"/>
  <c r="AK1342" i="3"/>
  <c r="AK1343" i="3"/>
  <c r="AK1344" i="3"/>
  <c r="AK1345" i="3"/>
  <c r="AK1346" i="3"/>
  <c r="AK1347" i="3"/>
  <c r="AK1348" i="3"/>
  <c r="AK1349" i="3"/>
  <c r="AK1350" i="3"/>
  <c r="AK1351" i="3"/>
  <c r="AK1352" i="3"/>
  <c r="AK1353" i="3"/>
  <c r="AK1354" i="3"/>
  <c r="AK1355" i="3"/>
  <c r="AK1356" i="3"/>
  <c r="AK1357" i="3"/>
  <c r="AK1358" i="3"/>
  <c r="AK1359" i="3"/>
  <c r="AK1360" i="3"/>
  <c r="AK1361" i="3"/>
  <c r="AK1362" i="3"/>
  <c r="AK1363" i="3"/>
  <c r="AK1364" i="3"/>
  <c r="AK1365" i="3"/>
  <c r="AK1366" i="3"/>
  <c r="AK1367" i="3"/>
  <c r="AK1368" i="3"/>
  <c r="AK1369" i="3"/>
  <c r="AK1370" i="3"/>
  <c r="AK1371" i="3"/>
  <c r="AK1372" i="3"/>
  <c r="AK1373" i="3"/>
  <c r="AK1374" i="3"/>
  <c r="AK1375" i="3"/>
  <c r="AK1376" i="3"/>
  <c r="AK1377" i="3"/>
  <c r="AK1378" i="3"/>
  <c r="AK1379" i="3"/>
  <c r="AK1380" i="3"/>
  <c r="AK1381" i="3"/>
  <c r="AK1382" i="3"/>
  <c r="AK1383" i="3"/>
  <c r="AK1384" i="3"/>
  <c r="AK1385" i="3"/>
  <c r="AK1386" i="3"/>
  <c r="AK1387" i="3"/>
  <c r="AK1388" i="3"/>
  <c r="AK1389" i="3"/>
  <c r="AK1390" i="3"/>
  <c r="AK1391" i="3"/>
  <c r="AK1392" i="3"/>
  <c r="AK1393" i="3"/>
  <c r="AK1394" i="3"/>
  <c r="AK1395" i="3"/>
  <c r="AK1396" i="3"/>
  <c r="AK1397" i="3"/>
  <c r="AK1398" i="3"/>
  <c r="AK1399" i="3"/>
  <c r="AK1400" i="3"/>
  <c r="AK1401" i="3"/>
  <c r="AK1402" i="3"/>
  <c r="AK1403" i="3"/>
  <c r="AK1404" i="3"/>
  <c r="AK1405" i="3"/>
  <c r="AK1406" i="3"/>
  <c r="AK1407" i="3"/>
  <c r="AK1408" i="3"/>
  <c r="AK1409" i="3"/>
  <c r="AK1410" i="3"/>
  <c r="AK1411" i="3"/>
  <c r="AK1412" i="3"/>
  <c r="AK1413" i="3"/>
  <c r="AK1414" i="3"/>
  <c r="AK1415" i="3"/>
  <c r="AK1416" i="3"/>
  <c r="AK1417" i="3"/>
  <c r="AK1418" i="3"/>
  <c r="AK1419" i="3"/>
  <c r="AK1420" i="3"/>
  <c r="AK1421" i="3"/>
  <c r="AK1422" i="3"/>
  <c r="AK1423" i="3"/>
  <c r="AK1424" i="3"/>
  <c r="AK1425" i="3"/>
  <c r="AK1426" i="3"/>
  <c r="AK1427" i="3"/>
  <c r="AK1428" i="3"/>
  <c r="AK1429" i="3"/>
  <c r="AK1430" i="3"/>
  <c r="AK1431" i="3"/>
  <c r="AK1432" i="3"/>
  <c r="AK1433" i="3"/>
  <c r="AK1434" i="3"/>
  <c r="AK1435" i="3"/>
  <c r="AK1436" i="3"/>
  <c r="AK1437" i="3"/>
  <c r="AK1438" i="3"/>
  <c r="AK1439" i="3"/>
  <c r="AK1440" i="3"/>
  <c r="AK1441" i="3"/>
  <c r="AK1442" i="3"/>
  <c r="AK1443" i="3"/>
  <c r="AK1444" i="3"/>
  <c r="AK1445" i="3"/>
  <c r="AK1446" i="3"/>
  <c r="AK1447" i="3"/>
  <c r="AK1448" i="3"/>
  <c r="AK1449" i="3"/>
  <c r="AK1450" i="3"/>
  <c r="AK1451" i="3"/>
  <c r="AK1452" i="3"/>
  <c r="AK1453" i="3"/>
  <c r="AK1454" i="3"/>
  <c r="AK1455" i="3"/>
  <c r="AK1456" i="3"/>
  <c r="AK1457" i="3"/>
  <c r="AK1458" i="3"/>
  <c r="AK1459" i="3"/>
  <c r="AK1460" i="3"/>
  <c r="AK1461" i="3"/>
  <c r="AK1462" i="3"/>
  <c r="AK1463" i="3"/>
  <c r="AK1464" i="3"/>
  <c r="AK1465" i="3"/>
  <c r="AK1466" i="3"/>
  <c r="AK1467" i="3"/>
  <c r="AK1468" i="3"/>
  <c r="AK1469" i="3"/>
  <c r="AK1470" i="3"/>
  <c r="AK1471" i="3"/>
  <c r="AK1472" i="3"/>
  <c r="AK1473" i="3"/>
  <c r="AK1474" i="3"/>
  <c r="AK1475" i="3"/>
  <c r="AK1476" i="3"/>
  <c r="AK1477" i="3"/>
  <c r="AK1478" i="3"/>
  <c r="AK1479" i="3"/>
  <c r="AK1480" i="3"/>
  <c r="AK1481" i="3"/>
  <c r="AK1482" i="3"/>
  <c r="AK1483" i="3"/>
  <c r="AK1484" i="3"/>
  <c r="AK1485" i="3"/>
  <c r="AK1486" i="3"/>
  <c r="AK1487" i="3"/>
  <c r="AK1488" i="3"/>
  <c r="AK1489" i="3"/>
  <c r="AK1490" i="3"/>
  <c r="AK1491" i="3"/>
  <c r="AK1492" i="3"/>
  <c r="AK1493" i="3"/>
  <c r="AK1494" i="3"/>
  <c r="AK1495" i="3"/>
  <c r="AK1496" i="3"/>
  <c r="AK1497" i="3"/>
  <c r="AK1498" i="3"/>
  <c r="AK1499" i="3"/>
  <c r="AK1500" i="3"/>
  <c r="AK1501" i="3"/>
  <c r="AK1502" i="3"/>
  <c r="AK1503" i="3"/>
  <c r="AK1504" i="3"/>
  <c r="AK1505" i="3"/>
  <c r="AK1506" i="3"/>
  <c r="AK1507" i="3"/>
  <c r="AK1508" i="3"/>
  <c r="AK1509" i="3"/>
  <c r="AK1510" i="3"/>
  <c r="AK1511" i="3"/>
  <c r="AK1512" i="3"/>
  <c r="AK1513" i="3"/>
  <c r="AK1514" i="3"/>
  <c r="AK1515" i="3"/>
  <c r="AK1516" i="3"/>
  <c r="AK1517" i="3"/>
  <c r="AK1518" i="3"/>
  <c r="AK1519" i="3"/>
  <c r="AK1520" i="3"/>
  <c r="AK1521" i="3"/>
  <c r="AK1522" i="3"/>
  <c r="AK1523" i="3"/>
  <c r="AK1524" i="3"/>
  <c r="AK1525" i="3"/>
  <c r="AK1526" i="3"/>
  <c r="AK1527" i="3"/>
  <c r="AK1528" i="3"/>
  <c r="AK1529" i="3"/>
  <c r="AK1530" i="3"/>
  <c r="AK1531" i="3"/>
  <c r="AK1532" i="3"/>
  <c r="AK1533" i="3"/>
  <c r="AK1534" i="3"/>
  <c r="AK1535" i="3"/>
  <c r="AK1536" i="3"/>
  <c r="AK1537" i="3"/>
  <c r="AK1538" i="3"/>
  <c r="AK1539" i="3"/>
  <c r="AK1540" i="3"/>
  <c r="AK1541" i="3"/>
  <c r="AK1542" i="3"/>
  <c r="AK1543" i="3"/>
  <c r="AK1544" i="3"/>
  <c r="AK1545" i="3"/>
  <c r="AK1546" i="3"/>
  <c r="AK1547" i="3"/>
  <c r="AK1548" i="3"/>
  <c r="AK1549" i="3"/>
  <c r="AK1550" i="3"/>
  <c r="AK1551" i="3"/>
  <c r="AK1552" i="3"/>
  <c r="AK1553" i="3"/>
  <c r="AK1554" i="3"/>
  <c r="AK1555" i="3"/>
  <c r="AK1556" i="3"/>
  <c r="AK1557" i="3"/>
  <c r="AK1558" i="3"/>
  <c r="AK1559" i="3"/>
  <c r="AK1560" i="3"/>
  <c r="AK1561" i="3"/>
  <c r="AK1562" i="3"/>
  <c r="AK1563" i="3"/>
  <c r="AK1564" i="3"/>
  <c r="AK1565" i="3"/>
  <c r="AK1566" i="3"/>
  <c r="AK1567" i="3"/>
  <c r="AK1568" i="3"/>
  <c r="AK1569" i="3"/>
  <c r="AK1570" i="3"/>
  <c r="AK1571" i="3"/>
  <c r="AK1572" i="3"/>
  <c r="AK1573" i="3"/>
  <c r="AK1574" i="3"/>
  <c r="AK1575" i="3"/>
  <c r="AK1576" i="3"/>
  <c r="AK1577" i="3"/>
  <c r="AK1578" i="3"/>
  <c r="AK1579" i="3"/>
  <c r="AK1580" i="3"/>
  <c r="AK1581" i="3"/>
  <c r="AK1582" i="3"/>
  <c r="AK1583" i="3"/>
  <c r="AK1584" i="3"/>
  <c r="AK1585" i="3"/>
  <c r="AK1586" i="3"/>
  <c r="AK1587" i="3"/>
  <c r="AK1588" i="3"/>
  <c r="AK1589" i="3"/>
  <c r="AK1590" i="3"/>
  <c r="AK1591" i="3"/>
  <c r="AK1592" i="3"/>
  <c r="AK1593" i="3"/>
  <c r="AK1594" i="3"/>
  <c r="AK1595" i="3"/>
  <c r="AK1596" i="3"/>
  <c r="AK1597" i="3"/>
  <c r="AK1598" i="3"/>
  <c r="AK1599" i="3"/>
  <c r="AK1600" i="3"/>
  <c r="AK1601" i="3"/>
  <c r="AK1602" i="3"/>
  <c r="AK1603" i="3"/>
  <c r="AK1604" i="3"/>
  <c r="AK1605" i="3"/>
  <c r="AK1606" i="3"/>
  <c r="AK1607" i="3"/>
  <c r="AK1608" i="3"/>
  <c r="AK1609" i="3"/>
  <c r="AK1610" i="3"/>
  <c r="AK1611" i="3"/>
  <c r="AK1612" i="3"/>
  <c r="AK1613" i="3"/>
  <c r="AK1614" i="3"/>
  <c r="AK1615" i="3"/>
  <c r="AK1616" i="3"/>
  <c r="AK1617" i="3"/>
  <c r="AK1618" i="3"/>
  <c r="AK1619" i="3"/>
  <c r="AK1620" i="3"/>
  <c r="AK1621" i="3"/>
  <c r="AK1622" i="3"/>
  <c r="AK1623" i="3"/>
  <c r="AK1624" i="3"/>
  <c r="AK1625" i="3"/>
  <c r="AK1626" i="3"/>
  <c r="AK1627" i="3"/>
  <c r="AK1628" i="3"/>
  <c r="AK1629" i="3"/>
  <c r="AK1630" i="3"/>
  <c r="AK1631" i="3"/>
  <c r="AK1632" i="3"/>
  <c r="AK1633" i="3"/>
  <c r="AK1634" i="3"/>
  <c r="AK1635" i="3"/>
  <c r="AK1636" i="3"/>
  <c r="AK1637" i="3"/>
  <c r="AK1638" i="3"/>
  <c r="AK1639" i="3"/>
  <c r="AK1640" i="3"/>
  <c r="AK1641" i="3"/>
  <c r="AK1642" i="3"/>
  <c r="AK1643" i="3"/>
  <c r="AK1644" i="3"/>
  <c r="AK1645" i="3"/>
  <c r="AK1646" i="3"/>
  <c r="AK1647" i="3"/>
  <c r="AK1648" i="3"/>
  <c r="AK1649" i="3"/>
  <c r="AK1650" i="3"/>
  <c r="AK1651" i="3"/>
  <c r="AK1652" i="3"/>
  <c r="AK1653" i="3"/>
  <c r="AK1654" i="3"/>
  <c r="AK1655" i="3"/>
  <c r="AK1656" i="3"/>
  <c r="AK1657" i="3"/>
  <c r="AK1658" i="3"/>
  <c r="AK1659" i="3"/>
  <c r="AK1660" i="3"/>
  <c r="AK1661" i="3"/>
  <c r="AK1662" i="3"/>
  <c r="AK1663" i="3"/>
  <c r="AK1664" i="3"/>
  <c r="AK1665" i="3"/>
  <c r="AK1666" i="3"/>
  <c r="AK1667" i="3"/>
  <c r="AK1668" i="3"/>
  <c r="AK1669" i="3"/>
  <c r="AK1670" i="3"/>
  <c r="AK1671" i="3"/>
  <c r="AK1672" i="3"/>
  <c r="AK1673" i="3"/>
  <c r="AK1674" i="3"/>
  <c r="AK1675" i="3"/>
  <c r="AK1676" i="3"/>
  <c r="AK1677" i="3"/>
  <c r="AK1678" i="3"/>
  <c r="AK1679" i="3"/>
  <c r="AK1680" i="3"/>
  <c r="AK1681" i="3"/>
  <c r="AK1682" i="3"/>
  <c r="AK1683" i="3"/>
  <c r="AK1684" i="3"/>
  <c r="AK1685" i="3"/>
  <c r="AK1686" i="3"/>
  <c r="AK1687" i="3"/>
  <c r="AK1688" i="3"/>
  <c r="AK1689" i="3"/>
  <c r="AK1690" i="3"/>
  <c r="AK1691" i="3"/>
  <c r="AK1692" i="3"/>
  <c r="AK1693" i="3"/>
  <c r="AK1694" i="3"/>
  <c r="AK1695" i="3"/>
  <c r="AK1696" i="3"/>
  <c r="AK1697" i="3"/>
  <c r="AK1698" i="3"/>
  <c r="AK1699" i="3"/>
  <c r="AK1700" i="3"/>
  <c r="AK1701" i="3"/>
  <c r="AK1702" i="3"/>
  <c r="AK1703" i="3"/>
  <c r="AK1704" i="3"/>
  <c r="AK1705" i="3"/>
  <c r="AK1706" i="3"/>
  <c r="AK1707" i="3"/>
  <c r="AK1708" i="3"/>
  <c r="AK1709" i="3"/>
  <c r="AK1710" i="3"/>
  <c r="AK1711" i="3"/>
  <c r="AK1712" i="3"/>
  <c r="AK1713" i="3"/>
  <c r="AK1714" i="3"/>
  <c r="AK1715" i="3"/>
  <c r="AK1716" i="3"/>
  <c r="AK1717" i="3"/>
  <c r="AK1718" i="3"/>
  <c r="AK1719" i="3"/>
  <c r="AK1720" i="3"/>
  <c r="AK1721" i="3"/>
  <c r="AK1722" i="3"/>
  <c r="AK1723" i="3"/>
  <c r="AK1724" i="3"/>
  <c r="AK1725" i="3"/>
  <c r="AK1726" i="3"/>
  <c r="AK1727" i="3"/>
  <c r="AK1728" i="3"/>
  <c r="AK1729" i="3"/>
  <c r="AK1730" i="3"/>
  <c r="AK1731" i="3"/>
  <c r="AK1732" i="3"/>
  <c r="AK1733" i="3"/>
  <c r="AK1734" i="3"/>
  <c r="AK1735" i="3"/>
  <c r="AK1736" i="3"/>
  <c r="AK1737" i="3"/>
  <c r="AK1738" i="3"/>
  <c r="AK1739" i="3"/>
  <c r="AK1740" i="3"/>
  <c r="AK1741" i="3"/>
  <c r="AK1742" i="3"/>
  <c r="AK1743" i="3"/>
  <c r="AK1744" i="3"/>
  <c r="AK1745" i="3"/>
  <c r="AK1746" i="3"/>
  <c r="AK1747" i="3"/>
  <c r="AK1748" i="3"/>
  <c r="AK1749" i="3"/>
  <c r="AK1750" i="3"/>
  <c r="AK1751" i="3"/>
  <c r="AK1752" i="3"/>
  <c r="AK1753" i="3"/>
  <c r="AK1754" i="3"/>
  <c r="AK1755" i="3"/>
  <c r="AK1756" i="3"/>
  <c r="AK1757" i="3"/>
  <c r="AK1758" i="3"/>
  <c r="AK1759" i="3"/>
  <c r="AK1760" i="3"/>
  <c r="AK1761" i="3"/>
  <c r="AK1762" i="3"/>
  <c r="AK1763" i="3"/>
  <c r="AK1764" i="3"/>
  <c r="AK1765" i="3"/>
  <c r="AK1766" i="3"/>
  <c r="AK1767" i="3"/>
  <c r="AK1768" i="3"/>
  <c r="AK1769" i="3"/>
  <c r="AK1770" i="3"/>
  <c r="AK1771" i="3"/>
  <c r="AK1772" i="3"/>
  <c r="AK1773" i="3"/>
  <c r="AK1774" i="3"/>
  <c r="AK1775" i="3"/>
  <c r="AK1776" i="3"/>
  <c r="AK1777" i="3"/>
  <c r="AK1778" i="3"/>
  <c r="AK1779" i="3"/>
  <c r="AK1780" i="3"/>
  <c r="AK1781" i="3"/>
  <c r="AK1782" i="3"/>
  <c r="AK1783" i="3"/>
  <c r="AK1784" i="3"/>
  <c r="AK1785" i="3"/>
  <c r="AK1786" i="3"/>
  <c r="AK1787" i="3"/>
  <c r="AK1788" i="3"/>
  <c r="AK1789" i="3"/>
  <c r="AK1790" i="3"/>
  <c r="AK1791" i="3"/>
  <c r="AK1792" i="3"/>
  <c r="AK1793" i="3"/>
  <c r="AK1794" i="3"/>
  <c r="AK1795" i="3"/>
  <c r="AK1796" i="3"/>
  <c r="AK1797" i="3"/>
  <c r="AK1798" i="3"/>
  <c r="AK1799" i="3"/>
  <c r="AK1800" i="3"/>
  <c r="AK1801" i="3"/>
  <c r="AK1802" i="3"/>
  <c r="AK1803" i="3"/>
  <c r="AK1804" i="3"/>
  <c r="AK1805" i="3"/>
  <c r="AK1806" i="3"/>
  <c r="AK1807" i="3"/>
  <c r="AK1808" i="3"/>
  <c r="AK1809" i="3"/>
  <c r="AK1810" i="3"/>
  <c r="AK1811" i="3"/>
  <c r="AK1812" i="3"/>
  <c r="AK1813" i="3"/>
  <c r="AK1814" i="3"/>
  <c r="AK1815" i="3"/>
  <c r="AK1816" i="3"/>
  <c r="AK1817" i="3"/>
  <c r="AK1818" i="3"/>
  <c r="AK1819" i="3"/>
  <c r="AK1820" i="3"/>
  <c r="AK1821" i="3"/>
  <c r="AK1822" i="3"/>
  <c r="AK1823" i="3"/>
  <c r="AK1824" i="3"/>
  <c r="AK1825" i="3"/>
  <c r="AK1826" i="3"/>
  <c r="AK1827" i="3"/>
  <c r="AK1828" i="3"/>
  <c r="AK1829" i="3"/>
  <c r="AK1830" i="3"/>
  <c r="AK1831" i="3"/>
  <c r="AK1832" i="3"/>
  <c r="AK1833" i="3"/>
  <c r="AK1834" i="3"/>
  <c r="AK1835" i="3"/>
  <c r="AK1836" i="3"/>
  <c r="AK1837" i="3"/>
  <c r="AK1838" i="3"/>
  <c r="AK1839" i="3"/>
  <c r="AK1840" i="3"/>
  <c r="AK1841" i="3"/>
  <c r="AK1842" i="3"/>
  <c r="AK1843" i="3"/>
  <c r="AK1844" i="3"/>
  <c r="AK1845" i="3"/>
  <c r="AK1846" i="3"/>
  <c r="AK1847" i="3"/>
  <c r="AK1848" i="3"/>
  <c r="AK1849" i="3"/>
  <c r="AK1850" i="3"/>
  <c r="AK1851" i="3"/>
  <c r="AK1852" i="3"/>
  <c r="AK1853" i="3"/>
  <c r="AK1854" i="3"/>
  <c r="AK1855" i="3"/>
  <c r="AK1856" i="3"/>
  <c r="AK1857" i="3"/>
  <c r="AK1858" i="3"/>
  <c r="AK1859" i="3"/>
  <c r="AK1860" i="3"/>
  <c r="AK1861" i="3"/>
  <c r="AK1862" i="3"/>
  <c r="AK1863" i="3"/>
  <c r="AK1864" i="3"/>
  <c r="AK1865" i="3"/>
  <c r="AK1866" i="3"/>
  <c r="AK1867" i="3"/>
  <c r="AK1868" i="3"/>
  <c r="AK1869" i="3"/>
  <c r="AK1870" i="3"/>
  <c r="AK1871" i="3"/>
  <c r="AK1872" i="3"/>
  <c r="AK1873" i="3"/>
  <c r="AK1874" i="3"/>
  <c r="AK1875" i="3"/>
  <c r="AK1876" i="3"/>
  <c r="AK1877" i="3"/>
  <c r="AK1878" i="3"/>
  <c r="AK1879" i="3"/>
  <c r="AK1880" i="3"/>
  <c r="AK1881" i="3"/>
  <c r="AK1882" i="3"/>
  <c r="AK1883" i="3"/>
  <c r="AK1884" i="3"/>
  <c r="AK1885" i="3"/>
  <c r="AK1886" i="3"/>
  <c r="AK1887" i="3"/>
  <c r="AK1888" i="3"/>
  <c r="AK1889" i="3"/>
  <c r="AK1890" i="3"/>
  <c r="AK1891" i="3"/>
  <c r="AK1892" i="3"/>
  <c r="AK1893" i="3"/>
  <c r="AK1894" i="3"/>
  <c r="AK1895" i="3"/>
  <c r="AK1896" i="3"/>
  <c r="AK1897" i="3"/>
  <c r="AK1898" i="3"/>
  <c r="AK1899" i="3"/>
  <c r="AK1900" i="3"/>
  <c r="AK1901" i="3"/>
  <c r="AK1902" i="3"/>
  <c r="AK1903" i="3"/>
  <c r="AK1904" i="3"/>
  <c r="AK1905" i="3"/>
  <c r="AK1906" i="3"/>
  <c r="AK1907" i="3"/>
  <c r="AK1908" i="3"/>
  <c r="AK1909" i="3"/>
  <c r="AK1910" i="3"/>
  <c r="AK1911" i="3"/>
  <c r="AK1912" i="3"/>
  <c r="AK1913" i="3"/>
  <c r="AK1914" i="3"/>
  <c r="AK1915" i="3"/>
  <c r="AK1916" i="3"/>
  <c r="AK1917" i="3"/>
  <c r="AK1918" i="3"/>
  <c r="AK1919" i="3"/>
  <c r="AK1920" i="3"/>
  <c r="AK1921" i="3"/>
  <c r="AK1922" i="3"/>
  <c r="AK1923" i="3"/>
  <c r="AK1924" i="3"/>
  <c r="AK1925" i="3"/>
  <c r="AK1926" i="3"/>
  <c r="AK1927" i="3"/>
  <c r="AK1928" i="3"/>
  <c r="AK1929" i="3"/>
  <c r="AK1930" i="3"/>
  <c r="AK1931" i="3"/>
  <c r="AK1932" i="3"/>
  <c r="AK1933" i="3"/>
  <c r="AK1934" i="3"/>
  <c r="AK1935" i="3"/>
  <c r="AK1936" i="3"/>
  <c r="AK1937" i="3"/>
  <c r="AK1938" i="3"/>
  <c r="AK1939" i="3"/>
  <c r="AK1940" i="3"/>
  <c r="AK1941" i="3"/>
  <c r="AK1942" i="3"/>
  <c r="AK1943" i="3"/>
  <c r="AK1944" i="3"/>
  <c r="AK1945" i="3"/>
  <c r="AK1946" i="3"/>
  <c r="AK1947" i="3"/>
  <c r="AK1948" i="3"/>
  <c r="AK1949" i="3"/>
  <c r="AK1950" i="3"/>
  <c r="AK1951" i="3"/>
  <c r="AK1952" i="3"/>
  <c r="AK1953" i="3"/>
  <c r="AK1954" i="3"/>
  <c r="AK1955" i="3"/>
  <c r="AK1956" i="3"/>
  <c r="AK1957" i="3"/>
  <c r="AK1958" i="3"/>
  <c r="AK1959" i="3"/>
  <c r="AK1960" i="3"/>
  <c r="AK1961" i="3"/>
  <c r="AK1962" i="3"/>
  <c r="AK1963" i="3"/>
  <c r="AK1964" i="3"/>
  <c r="AK1965" i="3"/>
  <c r="AK1966" i="3"/>
  <c r="AK1967" i="3"/>
  <c r="AK1968" i="3"/>
  <c r="AK1969" i="3"/>
  <c r="AK1970" i="3"/>
  <c r="AK1971" i="3"/>
  <c r="AK1972" i="3"/>
  <c r="AK1973" i="3"/>
  <c r="AK1974" i="3"/>
  <c r="AK1975" i="3"/>
  <c r="AK1976" i="3"/>
  <c r="AK1977" i="3"/>
  <c r="AK1978" i="3"/>
  <c r="AK1979" i="3"/>
  <c r="AK1980" i="3"/>
  <c r="AK1981" i="3"/>
  <c r="AK1982" i="3"/>
  <c r="AK1983" i="3"/>
  <c r="AK1984" i="3"/>
  <c r="AK1985" i="3"/>
  <c r="AK1986" i="3"/>
  <c r="AK1987" i="3"/>
  <c r="AK1988" i="3"/>
  <c r="AK1989" i="3"/>
  <c r="AK1990" i="3"/>
  <c r="AK1991" i="3"/>
  <c r="AK1992" i="3"/>
  <c r="AK1993" i="3"/>
  <c r="AK1994" i="3"/>
  <c r="AK1995" i="3"/>
  <c r="AK1996" i="3"/>
  <c r="AK1997" i="3"/>
  <c r="AK1998" i="3"/>
  <c r="AK1999" i="3"/>
  <c r="AK2000" i="3"/>
  <c r="AK2001" i="3"/>
  <c r="AK2002" i="3"/>
  <c r="AK2003" i="3"/>
  <c r="AK2004" i="3"/>
  <c r="AK2005" i="3"/>
  <c r="AK2006" i="3"/>
  <c r="AK2007" i="3"/>
  <c r="AK2008" i="3"/>
  <c r="AK2009" i="3"/>
  <c r="AK2010" i="3"/>
  <c r="AK2011" i="3"/>
  <c r="AK2012" i="3"/>
  <c r="AK2013" i="3"/>
  <c r="AK2014" i="3"/>
  <c r="AK2015" i="3"/>
  <c r="AK2016" i="3"/>
  <c r="AK2017" i="3"/>
  <c r="AK2018" i="3"/>
  <c r="AK2019" i="3"/>
  <c r="AK2020" i="3"/>
  <c r="AK2021" i="3"/>
  <c r="AK2022" i="3"/>
  <c r="AK2023" i="3"/>
  <c r="AK2024" i="3"/>
  <c r="AK2025" i="3"/>
  <c r="AK2026" i="3"/>
  <c r="AK2027" i="3"/>
  <c r="AK2028" i="3"/>
  <c r="AK2029" i="3"/>
  <c r="AK2030" i="3"/>
  <c r="AK2031" i="3"/>
  <c r="AK2032" i="3"/>
  <c r="AK2033" i="3"/>
  <c r="AK2034" i="3"/>
  <c r="AK2035" i="3"/>
  <c r="AK2036" i="3"/>
  <c r="AK2037" i="3"/>
  <c r="AK2038" i="3"/>
  <c r="AK2039" i="3"/>
  <c r="AK2040" i="3"/>
  <c r="AK2041" i="3"/>
  <c r="AK2042" i="3"/>
  <c r="AK2043" i="3"/>
  <c r="AK2044" i="3"/>
  <c r="AK2045" i="3"/>
  <c r="AK2046" i="3"/>
  <c r="AK2047" i="3"/>
  <c r="AK2048" i="3"/>
  <c r="AK2049" i="3"/>
  <c r="AK2050" i="3"/>
  <c r="AK2051" i="3"/>
  <c r="AK2052" i="3"/>
  <c r="AK2053" i="3"/>
  <c r="AK2054" i="3"/>
  <c r="AK2055" i="3"/>
  <c r="AK2056" i="3"/>
  <c r="AK2057" i="3"/>
  <c r="AK2058" i="3"/>
  <c r="AK2059" i="3"/>
  <c r="AK2060" i="3"/>
  <c r="AK2061" i="3"/>
  <c r="AK2062" i="3"/>
  <c r="AK2063" i="3"/>
  <c r="AK2064" i="3"/>
  <c r="AK2065" i="3"/>
  <c r="AK2066" i="3"/>
  <c r="AK2067" i="3"/>
  <c r="AK2068" i="3"/>
  <c r="AK2069" i="3"/>
  <c r="AK2070" i="3"/>
  <c r="AK2071" i="3"/>
  <c r="AK2072" i="3"/>
  <c r="AK2073" i="3"/>
  <c r="AK2074" i="3"/>
  <c r="AK2075" i="3"/>
  <c r="AK2076" i="3"/>
  <c r="AK2077" i="3"/>
  <c r="AK2078" i="3"/>
  <c r="AK2079" i="3"/>
  <c r="AK2080" i="3"/>
  <c r="AK2081" i="3"/>
  <c r="AK2082" i="3"/>
  <c r="AK2083" i="3"/>
  <c r="AK2084" i="3"/>
  <c r="AK2085" i="3"/>
  <c r="AK2086" i="3"/>
  <c r="AK2087" i="3"/>
  <c r="AK2088" i="3"/>
  <c r="AK2089" i="3"/>
  <c r="AK2090" i="3"/>
  <c r="AK2091" i="3"/>
  <c r="AK2092" i="3"/>
  <c r="AK2093" i="3"/>
  <c r="AK2094" i="3"/>
  <c r="AK2095" i="3"/>
  <c r="AK2096" i="3"/>
  <c r="AK2097" i="3"/>
  <c r="AK2098" i="3"/>
  <c r="AK2099" i="3"/>
  <c r="AK2100" i="3"/>
  <c r="AK2101" i="3"/>
  <c r="AK2102" i="3"/>
  <c r="AK2103" i="3"/>
  <c r="AK2104" i="3"/>
  <c r="AK2105" i="3"/>
  <c r="AK2106" i="3"/>
  <c r="AK2107" i="3"/>
  <c r="AK2108" i="3"/>
  <c r="AK2109" i="3"/>
  <c r="AK2110" i="3"/>
  <c r="AK2111" i="3"/>
  <c r="AK2112" i="3"/>
  <c r="AK2113" i="3"/>
  <c r="AK2114" i="3"/>
  <c r="AK2115" i="3"/>
  <c r="AK2116" i="3"/>
  <c r="AK2117" i="3"/>
  <c r="AK2118" i="3"/>
  <c r="AK2119" i="3"/>
  <c r="AK2120" i="3"/>
  <c r="AK2121" i="3"/>
  <c r="AK2122" i="3"/>
  <c r="AK2123" i="3"/>
  <c r="AK2124" i="3"/>
  <c r="AK2125" i="3"/>
  <c r="AK2126" i="3"/>
  <c r="AK2127" i="3"/>
  <c r="AK2128" i="3"/>
  <c r="AK2129" i="3"/>
  <c r="AK2130" i="3"/>
  <c r="AK2131" i="3"/>
  <c r="AK2132" i="3"/>
  <c r="AK2133" i="3"/>
  <c r="AK2134" i="3"/>
  <c r="AK2135" i="3"/>
  <c r="AK2136" i="3"/>
  <c r="AK2137" i="3"/>
  <c r="AK2138" i="3"/>
  <c r="AK2139" i="3"/>
  <c r="AK2140" i="3"/>
  <c r="AK2141" i="3"/>
  <c r="AK2142" i="3"/>
  <c r="AK2143" i="3"/>
  <c r="AK2144" i="3"/>
  <c r="AK2145" i="3"/>
  <c r="AK2146" i="3"/>
  <c r="AK2147" i="3"/>
  <c r="AK2148" i="3"/>
  <c r="AK2149" i="3"/>
  <c r="AK2150" i="3"/>
  <c r="AK2151" i="3"/>
  <c r="AK2152" i="3"/>
  <c r="AK2153" i="3"/>
  <c r="AK2154" i="3"/>
  <c r="AK2155" i="3"/>
  <c r="AK2156" i="3"/>
  <c r="AK2157" i="3"/>
  <c r="AK2158" i="3"/>
  <c r="AK2159" i="3"/>
  <c r="AK2160" i="3"/>
  <c r="AK2161" i="3"/>
  <c r="AK2162" i="3"/>
  <c r="AK2163" i="3"/>
  <c r="AK2164" i="3"/>
  <c r="AK2165" i="3"/>
  <c r="AK2166" i="3"/>
  <c r="AK2167" i="3"/>
  <c r="AK2168" i="3"/>
  <c r="AK2169" i="3"/>
  <c r="AK2170" i="3"/>
  <c r="AK2171" i="3"/>
  <c r="AK2172" i="3"/>
  <c r="AK2173" i="3"/>
  <c r="AK2174" i="3"/>
  <c r="AK2175" i="3"/>
  <c r="AK2176" i="3"/>
  <c r="AK2177" i="3"/>
  <c r="AK2178" i="3"/>
  <c r="AK2179" i="3"/>
  <c r="AK2180" i="3"/>
  <c r="AK2181" i="3"/>
  <c r="AK2182" i="3"/>
  <c r="AK2183" i="3"/>
  <c r="AK2184" i="3"/>
  <c r="AK2185" i="3"/>
  <c r="AK2186" i="3"/>
  <c r="AK2187" i="3"/>
  <c r="AK2188" i="3"/>
  <c r="AK2189" i="3"/>
  <c r="AK2190" i="3"/>
  <c r="AK2191" i="3"/>
  <c r="AK2192" i="3"/>
  <c r="AK2193" i="3"/>
  <c r="AK2194" i="3"/>
  <c r="AK2195" i="3"/>
  <c r="AK2196" i="3"/>
  <c r="AK2197" i="3"/>
  <c r="AK2198" i="3"/>
  <c r="AK2199" i="3"/>
  <c r="AK2200" i="3"/>
  <c r="AK2201" i="3"/>
  <c r="AK2202" i="3"/>
  <c r="AK2203" i="3"/>
  <c r="AK2204" i="3"/>
  <c r="AK2205" i="3"/>
  <c r="AK2206" i="3"/>
  <c r="AK2207" i="3"/>
  <c r="AK2208" i="3"/>
  <c r="AK2209" i="3"/>
  <c r="AK2210" i="3"/>
  <c r="AK2211" i="3"/>
  <c r="AK2212" i="3"/>
  <c r="AK2213" i="3"/>
  <c r="AK2214" i="3"/>
  <c r="AK2215" i="3"/>
  <c r="AK2216" i="3"/>
  <c r="AK2217" i="3"/>
  <c r="AK2218" i="3"/>
  <c r="AK2219" i="3"/>
  <c r="AK2220" i="3"/>
  <c r="AK2221" i="3"/>
  <c r="AK2222" i="3"/>
  <c r="AK2223" i="3"/>
  <c r="AK2224" i="3"/>
  <c r="AK2225" i="3"/>
  <c r="AK2226" i="3"/>
  <c r="AK2227" i="3"/>
  <c r="AK2228" i="3"/>
  <c r="AK2229" i="3"/>
  <c r="AK2230" i="3"/>
  <c r="AK2231" i="3"/>
  <c r="AK2232" i="3"/>
  <c r="AK2233" i="3"/>
  <c r="AK2234" i="3"/>
  <c r="AK2235" i="3"/>
  <c r="AK2236" i="3"/>
  <c r="AK2237" i="3"/>
  <c r="AK2238" i="3"/>
  <c r="AK2239" i="3"/>
  <c r="AK2240" i="3"/>
  <c r="AK2241" i="3"/>
  <c r="AK2" i="3"/>
  <c r="C10" i="4"/>
  <c r="C19" i="4"/>
  <c r="C20" i="4"/>
  <c r="C21" i="4"/>
  <c r="C22" i="4"/>
  <c r="C23" i="4"/>
  <c r="B4" i="4"/>
  <c r="C13" i="4" s="1"/>
  <c r="B16" i="4"/>
  <c r="B23" i="4"/>
  <c r="B22" i="4"/>
  <c r="B21" i="4"/>
  <c r="B20" i="4"/>
  <c r="B19" i="4"/>
  <c r="B18" i="4"/>
  <c r="B17" i="4"/>
  <c r="B15" i="4"/>
  <c r="B14" i="4"/>
  <c r="B13" i="4"/>
  <c r="B12" i="4"/>
  <c r="B11" i="4"/>
  <c r="B10" i="4"/>
  <c r="AS2" i="3"/>
  <c r="AS3" i="3"/>
  <c r="AS4" i="3"/>
  <c r="AS5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S19" i="3"/>
  <c r="AS20" i="3"/>
  <c r="AS21" i="3"/>
  <c r="AS22" i="3"/>
  <c r="AS23" i="3"/>
  <c r="AS24" i="3"/>
  <c r="AS25" i="3"/>
  <c r="AS26" i="3"/>
  <c r="AS27" i="3"/>
  <c r="AS28" i="3"/>
  <c r="AS29" i="3"/>
  <c r="AS30" i="3"/>
  <c r="AS31" i="3"/>
  <c r="AS32" i="3"/>
  <c r="AS33" i="3"/>
  <c r="AS34" i="3"/>
  <c r="AS35" i="3"/>
  <c r="AS36" i="3"/>
  <c r="AS37" i="3"/>
  <c r="AS38" i="3"/>
  <c r="AS39" i="3"/>
  <c r="AS40" i="3"/>
  <c r="AS41" i="3"/>
  <c r="AS42" i="3"/>
  <c r="AS43" i="3"/>
  <c r="AS44" i="3"/>
  <c r="AS45" i="3"/>
  <c r="AS46" i="3"/>
  <c r="AS47" i="3"/>
  <c r="AS48" i="3"/>
  <c r="AS49" i="3"/>
  <c r="AS50" i="3"/>
  <c r="AS51" i="3"/>
  <c r="AS52" i="3"/>
  <c r="AS53" i="3"/>
  <c r="AS54" i="3"/>
  <c r="AS55" i="3"/>
  <c r="AS56" i="3"/>
  <c r="AS57" i="3"/>
  <c r="AS58" i="3"/>
  <c r="AS59" i="3"/>
  <c r="AS60" i="3"/>
  <c r="AS61" i="3"/>
  <c r="AS62" i="3"/>
  <c r="AS63" i="3"/>
  <c r="AS64" i="3"/>
  <c r="AS65" i="3"/>
  <c r="AS66" i="3"/>
  <c r="AS67" i="3"/>
  <c r="AS68" i="3"/>
  <c r="AS69" i="3"/>
  <c r="AS70" i="3"/>
  <c r="AS71" i="3"/>
  <c r="AS72" i="3"/>
  <c r="AS73" i="3"/>
  <c r="AS74" i="3"/>
  <c r="AS75" i="3"/>
  <c r="AS76" i="3"/>
  <c r="AS77" i="3"/>
  <c r="AS78" i="3"/>
  <c r="AS79" i="3"/>
  <c r="AS80" i="3"/>
  <c r="AS81" i="3"/>
  <c r="AS82" i="3"/>
  <c r="AS83" i="3"/>
  <c r="AS84" i="3"/>
  <c r="AS85" i="3"/>
  <c r="AS86" i="3"/>
  <c r="AS87" i="3"/>
  <c r="AS88" i="3"/>
  <c r="AS89" i="3"/>
  <c r="AS90" i="3"/>
  <c r="AS91" i="3"/>
  <c r="AS92" i="3"/>
  <c r="AS93" i="3"/>
  <c r="AS94" i="3"/>
  <c r="AS95" i="3"/>
  <c r="AS96" i="3"/>
  <c r="AS97" i="3"/>
  <c r="AS98" i="3"/>
  <c r="AS99" i="3"/>
  <c r="AS100" i="3"/>
  <c r="AS101" i="3"/>
  <c r="AS102" i="3"/>
  <c r="AS103" i="3"/>
  <c r="AS104" i="3"/>
  <c r="AS105" i="3"/>
  <c r="AS106" i="3"/>
  <c r="AS107" i="3"/>
  <c r="AS108" i="3"/>
  <c r="AS109" i="3"/>
  <c r="AS110" i="3"/>
  <c r="AS111" i="3"/>
  <c r="AS112" i="3"/>
  <c r="AS113" i="3"/>
  <c r="AS114" i="3"/>
  <c r="AS115" i="3"/>
  <c r="AS116" i="3"/>
  <c r="AS117" i="3"/>
  <c r="AS118" i="3"/>
  <c r="AS119" i="3"/>
  <c r="AS120" i="3"/>
  <c r="AS121" i="3"/>
  <c r="AS122" i="3"/>
  <c r="AS123" i="3"/>
  <c r="AS124" i="3"/>
  <c r="AS125" i="3"/>
  <c r="AS126" i="3"/>
  <c r="AS127" i="3"/>
  <c r="AS128" i="3"/>
  <c r="AS129" i="3"/>
  <c r="AS130" i="3"/>
  <c r="AS131" i="3"/>
  <c r="AS132" i="3"/>
  <c r="AS133" i="3"/>
  <c r="AS134" i="3"/>
  <c r="AS135" i="3"/>
  <c r="AS136" i="3"/>
  <c r="AS137" i="3"/>
  <c r="AS138" i="3"/>
  <c r="AS139" i="3"/>
  <c r="AS140" i="3"/>
  <c r="AS141" i="3"/>
  <c r="AS142" i="3"/>
  <c r="AS143" i="3"/>
  <c r="AS144" i="3"/>
  <c r="AS145" i="3"/>
  <c r="AS146" i="3"/>
  <c r="AS147" i="3"/>
  <c r="AS148" i="3"/>
  <c r="AS149" i="3"/>
  <c r="AS150" i="3"/>
  <c r="AS151" i="3"/>
  <c r="AS152" i="3"/>
  <c r="AS153" i="3"/>
  <c r="AS154" i="3"/>
  <c r="AS155" i="3"/>
  <c r="AS156" i="3"/>
  <c r="AS157" i="3"/>
  <c r="AS158" i="3"/>
  <c r="AS159" i="3"/>
  <c r="AS160" i="3"/>
  <c r="AS161" i="3"/>
  <c r="AS162" i="3"/>
  <c r="AS163" i="3"/>
  <c r="AS164" i="3"/>
  <c r="AS165" i="3"/>
  <c r="AS166" i="3"/>
  <c r="AS167" i="3"/>
  <c r="AS168" i="3"/>
  <c r="AS169" i="3"/>
  <c r="AS170" i="3"/>
  <c r="AS171" i="3"/>
  <c r="AS172" i="3"/>
  <c r="AS173" i="3"/>
  <c r="AS174" i="3"/>
  <c r="AS175" i="3"/>
  <c r="AS176" i="3"/>
  <c r="AS177" i="3"/>
  <c r="AS178" i="3"/>
  <c r="AS179" i="3"/>
  <c r="AS180" i="3"/>
  <c r="AS181" i="3"/>
  <c r="AS182" i="3"/>
  <c r="AS183" i="3"/>
  <c r="AS184" i="3"/>
  <c r="AS185" i="3"/>
  <c r="AS186" i="3"/>
  <c r="AS187" i="3"/>
  <c r="AS188" i="3"/>
  <c r="AS189" i="3"/>
  <c r="AS190" i="3"/>
  <c r="AS191" i="3"/>
  <c r="AS192" i="3"/>
  <c r="AS193" i="3"/>
  <c r="AS194" i="3"/>
  <c r="AS195" i="3"/>
  <c r="AS196" i="3"/>
  <c r="AS197" i="3"/>
  <c r="AS198" i="3"/>
  <c r="AS199" i="3"/>
  <c r="AS200" i="3"/>
  <c r="AS201" i="3"/>
  <c r="AS202" i="3"/>
  <c r="AS203" i="3"/>
  <c r="AS204" i="3"/>
  <c r="AS205" i="3"/>
  <c r="AS206" i="3"/>
  <c r="AS207" i="3"/>
  <c r="AS208" i="3"/>
  <c r="AS209" i="3"/>
  <c r="AS210" i="3"/>
  <c r="AS211" i="3"/>
  <c r="AS212" i="3"/>
  <c r="AS213" i="3"/>
  <c r="AS214" i="3"/>
  <c r="AS215" i="3"/>
  <c r="AS216" i="3"/>
  <c r="AS217" i="3"/>
  <c r="AS218" i="3"/>
  <c r="AS219" i="3"/>
  <c r="AS220" i="3"/>
  <c r="AS221" i="3"/>
  <c r="AS222" i="3"/>
  <c r="AS223" i="3"/>
  <c r="AS224" i="3"/>
  <c r="AS225" i="3"/>
  <c r="AS226" i="3"/>
  <c r="AS227" i="3"/>
  <c r="AS228" i="3"/>
  <c r="AS229" i="3"/>
  <c r="AS230" i="3"/>
  <c r="AS231" i="3"/>
  <c r="AS232" i="3"/>
  <c r="AS233" i="3"/>
  <c r="AS234" i="3"/>
  <c r="AS235" i="3"/>
  <c r="AS236" i="3"/>
  <c r="AS237" i="3"/>
  <c r="AS238" i="3"/>
  <c r="AS239" i="3"/>
  <c r="AS240" i="3"/>
  <c r="AS241" i="3"/>
  <c r="AS242" i="3"/>
  <c r="AS243" i="3"/>
  <c r="AS244" i="3"/>
  <c r="AS245" i="3"/>
  <c r="AS246" i="3"/>
  <c r="AS247" i="3"/>
  <c r="AS248" i="3"/>
  <c r="AS249" i="3"/>
  <c r="AS250" i="3"/>
  <c r="AS251" i="3"/>
  <c r="AS252" i="3"/>
  <c r="AS253" i="3"/>
  <c r="AS254" i="3"/>
  <c r="AS255" i="3"/>
  <c r="AS256" i="3"/>
  <c r="AS257" i="3"/>
  <c r="AS258" i="3"/>
  <c r="AS259" i="3"/>
  <c r="AS260" i="3"/>
  <c r="AS261" i="3"/>
  <c r="AS262" i="3"/>
  <c r="AS263" i="3"/>
  <c r="AS264" i="3"/>
  <c r="AS265" i="3"/>
  <c r="AS266" i="3"/>
  <c r="AS267" i="3"/>
  <c r="AS268" i="3"/>
  <c r="AS269" i="3"/>
  <c r="AS270" i="3"/>
  <c r="AS271" i="3"/>
  <c r="AS272" i="3"/>
  <c r="AS273" i="3"/>
  <c r="AS274" i="3"/>
  <c r="AS275" i="3"/>
  <c r="AS276" i="3"/>
  <c r="AS277" i="3"/>
  <c r="AS278" i="3"/>
  <c r="AS279" i="3"/>
  <c r="AS280" i="3"/>
  <c r="AS281" i="3"/>
  <c r="AS282" i="3"/>
  <c r="AS283" i="3"/>
  <c r="AS284" i="3"/>
  <c r="AS285" i="3"/>
  <c r="AS286" i="3"/>
  <c r="AS287" i="3"/>
  <c r="AS288" i="3"/>
  <c r="AS289" i="3"/>
  <c r="AS290" i="3"/>
  <c r="AS291" i="3"/>
  <c r="AS292" i="3"/>
  <c r="AS293" i="3"/>
  <c r="AS294" i="3"/>
  <c r="AS295" i="3"/>
  <c r="AS296" i="3"/>
  <c r="AS297" i="3"/>
  <c r="AS298" i="3"/>
  <c r="AS299" i="3"/>
  <c r="AS300" i="3"/>
  <c r="AS301" i="3"/>
  <c r="AS302" i="3"/>
  <c r="AS303" i="3"/>
  <c r="AS304" i="3"/>
  <c r="AS305" i="3"/>
  <c r="AS306" i="3"/>
  <c r="AS307" i="3"/>
  <c r="AS308" i="3"/>
  <c r="AS309" i="3"/>
  <c r="AS310" i="3"/>
  <c r="AS311" i="3"/>
  <c r="AS312" i="3"/>
  <c r="AS313" i="3"/>
  <c r="AS314" i="3"/>
  <c r="AS315" i="3"/>
  <c r="AS316" i="3"/>
  <c r="AS317" i="3"/>
  <c r="AS318" i="3"/>
  <c r="AS319" i="3"/>
  <c r="AS320" i="3"/>
  <c r="AS321" i="3"/>
  <c r="AS322" i="3"/>
  <c r="AS323" i="3"/>
  <c r="AS324" i="3"/>
  <c r="AS325" i="3"/>
  <c r="AS326" i="3"/>
  <c r="AS327" i="3"/>
  <c r="AS328" i="3"/>
  <c r="AS329" i="3"/>
  <c r="AS330" i="3"/>
  <c r="AS331" i="3"/>
  <c r="AS332" i="3"/>
  <c r="AS333" i="3"/>
  <c r="AS334" i="3"/>
  <c r="AS335" i="3"/>
  <c r="AS336" i="3"/>
  <c r="AS337" i="3"/>
  <c r="AS338" i="3"/>
  <c r="AS339" i="3"/>
  <c r="AS340" i="3"/>
  <c r="AS341" i="3"/>
  <c r="AS342" i="3"/>
  <c r="AS343" i="3"/>
  <c r="AS344" i="3"/>
  <c r="AS345" i="3"/>
  <c r="AS346" i="3"/>
  <c r="AS347" i="3"/>
  <c r="AS348" i="3"/>
  <c r="AS349" i="3"/>
  <c r="AS350" i="3"/>
  <c r="AS351" i="3"/>
  <c r="AS352" i="3"/>
  <c r="AS353" i="3"/>
  <c r="AS354" i="3"/>
  <c r="AS355" i="3"/>
  <c r="AS356" i="3"/>
  <c r="AS357" i="3"/>
  <c r="AS358" i="3"/>
  <c r="AS359" i="3"/>
  <c r="AS360" i="3"/>
  <c r="AS361" i="3"/>
  <c r="AS362" i="3"/>
  <c r="AS363" i="3"/>
  <c r="AS364" i="3"/>
  <c r="AS365" i="3"/>
  <c r="AS366" i="3"/>
  <c r="AS367" i="3"/>
  <c r="AS368" i="3"/>
  <c r="AS369" i="3"/>
  <c r="AS370" i="3"/>
  <c r="AS371" i="3"/>
  <c r="AS372" i="3"/>
  <c r="AS373" i="3"/>
  <c r="AS374" i="3"/>
  <c r="AS375" i="3"/>
  <c r="AS376" i="3"/>
  <c r="AS377" i="3"/>
  <c r="AS378" i="3"/>
  <c r="AS379" i="3"/>
  <c r="AS380" i="3"/>
  <c r="AS381" i="3"/>
  <c r="AS382" i="3"/>
  <c r="AS383" i="3"/>
  <c r="AS384" i="3"/>
  <c r="AS385" i="3"/>
  <c r="AS386" i="3"/>
  <c r="AS387" i="3"/>
  <c r="AS388" i="3"/>
  <c r="AS389" i="3"/>
  <c r="AS390" i="3"/>
  <c r="AS391" i="3"/>
  <c r="AS392" i="3"/>
  <c r="AS393" i="3"/>
  <c r="AS394" i="3"/>
  <c r="AS395" i="3"/>
  <c r="AS396" i="3"/>
  <c r="AS397" i="3"/>
  <c r="AS398" i="3"/>
  <c r="AS399" i="3"/>
  <c r="AS400" i="3"/>
  <c r="AS401" i="3"/>
  <c r="AS402" i="3"/>
  <c r="AS403" i="3"/>
  <c r="AS404" i="3"/>
  <c r="AS405" i="3"/>
  <c r="AS406" i="3"/>
  <c r="AS407" i="3"/>
  <c r="AS408" i="3"/>
  <c r="AS409" i="3"/>
  <c r="AS410" i="3"/>
  <c r="AS411" i="3"/>
  <c r="AS412" i="3"/>
  <c r="AS413" i="3"/>
  <c r="AS414" i="3"/>
  <c r="AS415" i="3"/>
  <c r="AS416" i="3"/>
  <c r="AS417" i="3"/>
  <c r="AS418" i="3"/>
  <c r="AS419" i="3"/>
  <c r="AS420" i="3"/>
  <c r="AS421" i="3"/>
  <c r="AS422" i="3"/>
  <c r="AS423" i="3"/>
  <c r="AS424" i="3"/>
  <c r="AS425" i="3"/>
  <c r="AS426" i="3"/>
  <c r="AS427" i="3"/>
  <c r="AS428" i="3"/>
  <c r="AS429" i="3"/>
  <c r="AS430" i="3"/>
  <c r="AS431" i="3"/>
  <c r="AS432" i="3"/>
  <c r="AS433" i="3"/>
  <c r="AS434" i="3"/>
  <c r="AS435" i="3"/>
  <c r="AS436" i="3"/>
  <c r="AS437" i="3"/>
  <c r="AS438" i="3"/>
  <c r="AS439" i="3"/>
  <c r="AS440" i="3"/>
  <c r="AS441" i="3"/>
  <c r="AS442" i="3"/>
  <c r="AS443" i="3"/>
  <c r="AS444" i="3"/>
  <c r="AS445" i="3"/>
  <c r="AS446" i="3"/>
  <c r="AS447" i="3"/>
  <c r="AS448" i="3"/>
  <c r="AS449" i="3"/>
  <c r="AS450" i="3"/>
  <c r="AS451" i="3"/>
  <c r="AS452" i="3"/>
  <c r="AS453" i="3"/>
  <c r="AS454" i="3"/>
  <c r="AS455" i="3"/>
  <c r="AS456" i="3"/>
  <c r="AS457" i="3"/>
  <c r="AS458" i="3"/>
  <c r="AS459" i="3"/>
  <c r="AS460" i="3"/>
  <c r="AS461" i="3"/>
  <c r="AS462" i="3"/>
  <c r="AS463" i="3"/>
  <c r="AS464" i="3"/>
  <c r="AS465" i="3"/>
  <c r="AS466" i="3"/>
  <c r="AS467" i="3"/>
  <c r="AS468" i="3"/>
  <c r="AS469" i="3"/>
  <c r="AS470" i="3"/>
  <c r="AS471" i="3"/>
  <c r="AS472" i="3"/>
  <c r="AS473" i="3"/>
  <c r="AS474" i="3"/>
  <c r="AS475" i="3"/>
  <c r="AS476" i="3"/>
  <c r="AS477" i="3"/>
  <c r="AS478" i="3"/>
  <c r="AS479" i="3"/>
  <c r="AS480" i="3"/>
  <c r="AS481" i="3"/>
  <c r="AS482" i="3"/>
  <c r="AS483" i="3"/>
  <c r="AS484" i="3"/>
  <c r="AS485" i="3"/>
  <c r="AS486" i="3"/>
  <c r="AS487" i="3"/>
  <c r="AS488" i="3"/>
  <c r="AS489" i="3"/>
  <c r="AS490" i="3"/>
  <c r="AS491" i="3"/>
  <c r="AS492" i="3"/>
  <c r="AS493" i="3"/>
  <c r="AS494" i="3"/>
  <c r="AS495" i="3"/>
  <c r="AS496" i="3"/>
  <c r="AS497" i="3"/>
  <c r="AS498" i="3"/>
  <c r="AS499" i="3"/>
  <c r="AS500" i="3"/>
  <c r="AS501" i="3"/>
  <c r="AS502" i="3"/>
  <c r="AS503" i="3"/>
  <c r="AS504" i="3"/>
  <c r="AS505" i="3"/>
  <c r="AS506" i="3"/>
  <c r="AS507" i="3"/>
  <c r="AS508" i="3"/>
  <c r="AS509" i="3"/>
  <c r="AS510" i="3"/>
  <c r="AS511" i="3"/>
  <c r="AS512" i="3"/>
  <c r="AS513" i="3"/>
  <c r="AS514" i="3"/>
  <c r="AS515" i="3"/>
  <c r="AS516" i="3"/>
  <c r="AS517" i="3"/>
  <c r="AS518" i="3"/>
  <c r="AS519" i="3"/>
  <c r="AS520" i="3"/>
  <c r="AS521" i="3"/>
  <c r="AS522" i="3"/>
  <c r="AS523" i="3"/>
  <c r="AS524" i="3"/>
  <c r="AS525" i="3"/>
  <c r="AS526" i="3"/>
  <c r="AS527" i="3"/>
  <c r="AS528" i="3"/>
  <c r="AS529" i="3"/>
  <c r="AS530" i="3"/>
  <c r="AS531" i="3"/>
  <c r="AS532" i="3"/>
  <c r="AS533" i="3"/>
  <c r="AS534" i="3"/>
  <c r="AS535" i="3"/>
  <c r="AS536" i="3"/>
  <c r="AS537" i="3"/>
  <c r="AS538" i="3"/>
  <c r="AS539" i="3"/>
  <c r="AS540" i="3"/>
  <c r="AS541" i="3"/>
  <c r="AS542" i="3"/>
  <c r="AS543" i="3"/>
  <c r="AS544" i="3"/>
  <c r="AS545" i="3"/>
  <c r="AS546" i="3"/>
  <c r="AS547" i="3"/>
  <c r="AS548" i="3"/>
  <c r="AS549" i="3"/>
  <c r="AS550" i="3"/>
  <c r="AS551" i="3"/>
  <c r="AS552" i="3"/>
  <c r="AS553" i="3"/>
  <c r="AS554" i="3"/>
  <c r="AS555" i="3"/>
  <c r="AS556" i="3"/>
  <c r="AS557" i="3"/>
  <c r="AS558" i="3"/>
  <c r="AS559" i="3"/>
  <c r="AS560" i="3"/>
  <c r="AS561" i="3"/>
  <c r="AS562" i="3"/>
  <c r="AS563" i="3"/>
  <c r="AS564" i="3"/>
  <c r="AS565" i="3"/>
  <c r="AS566" i="3"/>
  <c r="AS567" i="3"/>
  <c r="AS568" i="3"/>
  <c r="AS569" i="3"/>
  <c r="AS570" i="3"/>
  <c r="AS571" i="3"/>
  <c r="AS572" i="3"/>
  <c r="AS573" i="3"/>
  <c r="AS574" i="3"/>
  <c r="AS575" i="3"/>
  <c r="AS576" i="3"/>
  <c r="AS577" i="3"/>
  <c r="AS578" i="3"/>
  <c r="AS579" i="3"/>
  <c r="AS580" i="3"/>
  <c r="AS581" i="3"/>
  <c r="AS582" i="3"/>
  <c r="AS583" i="3"/>
  <c r="AS584" i="3"/>
  <c r="AS585" i="3"/>
  <c r="AS586" i="3"/>
  <c r="AS587" i="3"/>
  <c r="AS588" i="3"/>
  <c r="AS589" i="3"/>
  <c r="AS590" i="3"/>
  <c r="AS591" i="3"/>
  <c r="AS592" i="3"/>
  <c r="AS593" i="3"/>
  <c r="AS594" i="3"/>
  <c r="AS595" i="3"/>
  <c r="AS596" i="3"/>
  <c r="AS597" i="3"/>
  <c r="AS598" i="3"/>
  <c r="AS599" i="3"/>
  <c r="AS600" i="3"/>
  <c r="AS601" i="3"/>
  <c r="AS602" i="3"/>
  <c r="AS603" i="3"/>
  <c r="AS604" i="3"/>
  <c r="AS605" i="3"/>
  <c r="AS606" i="3"/>
  <c r="AS607" i="3"/>
  <c r="AS608" i="3"/>
  <c r="AS609" i="3"/>
  <c r="AS610" i="3"/>
  <c r="AS611" i="3"/>
  <c r="AS612" i="3"/>
  <c r="AS613" i="3"/>
  <c r="AS614" i="3"/>
  <c r="AS615" i="3"/>
  <c r="AS616" i="3"/>
  <c r="AS617" i="3"/>
  <c r="AS618" i="3"/>
  <c r="AS619" i="3"/>
  <c r="AS620" i="3"/>
  <c r="AS621" i="3"/>
  <c r="AS622" i="3"/>
  <c r="AS623" i="3"/>
  <c r="AS624" i="3"/>
  <c r="AS625" i="3"/>
  <c r="AS626" i="3"/>
  <c r="AS627" i="3"/>
  <c r="AS628" i="3"/>
  <c r="AS629" i="3"/>
  <c r="AS630" i="3"/>
  <c r="AS631" i="3"/>
  <c r="AS632" i="3"/>
  <c r="AS633" i="3"/>
  <c r="AS634" i="3"/>
  <c r="AS635" i="3"/>
  <c r="AS636" i="3"/>
  <c r="AS637" i="3"/>
  <c r="AS638" i="3"/>
  <c r="AS639" i="3"/>
  <c r="AS640" i="3"/>
  <c r="AS641" i="3"/>
  <c r="AS642" i="3"/>
  <c r="AS643" i="3"/>
  <c r="AS644" i="3"/>
  <c r="AS645" i="3"/>
  <c r="AS646" i="3"/>
  <c r="AS647" i="3"/>
  <c r="AS648" i="3"/>
  <c r="AS649" i="3"/>
  <c r="AS650" i="3"/>
  <c r="AS651" i="3"/>
  <c r="AS652" i="3"/>
  <c r="AS653" i="3"/>
  <c r="AS654" i="3"/>
  <c r="AS655" i="3"/>
  <c r="AS656" i="3"/>
  <c r="AS657" i="3"/>
  <c r="AS658" i="3"/>
  <c r="AS659" i="3"/>
  <c r="AS660" i="3"/>
  <c r="AS661" i="3"/>
  <c r="AS662" i="3"/>
  <c r="AS663" i="3"/>
  <c r="AS664" i="3"/>
  <c r="AS665" i="3"/>
  <c r="AS666" i="3"/>
  <c r="AS667" i="3"/>
  <c r="AS668" i="3"/>
  <c r="AS669" i="3"/>
  <c r="AS670" i="3"/>
  <c r="AS671" i="3"/>
  <c r="AS672" i="3"/>
  <c r="AS673" i="3"/>
  <c r="AS674" i="3"/>
  <c r="AS675" i="3"/>
  <c r="AS676" i="3"/>
  <c r="AS677" i="3"/>
  <c r="AS678" i="3"/>
  <c r="AS679" i="3"/>
  <c r="AS680" i="3"/>
  <c r="AS681" i="3"/>
  <c r="AS682" i="3"/>
  <c r="AS683" i="3"/>
  <c r="AS684" i="3"/>
  <c r="AS685" i="3"/>
  <c r="AS686" i="3"/>
  <c r="AS687" i="3"/>
  <c r="AS688" i="3"/>
  <c r="AS689" i="3"/>
  <c r="AS690" i="3"/>
  <c r="AS691" i="3"/>
  <c r="AS692" i="3"/>
  <c r="AS693" i="3"/>
  <c r="AS694" i="3"/>
  <c r="AS695" i="3"/>
  <c r="AS696" i="3"/>
  <c r="AS697" i="3"/>
  <c r="AS698" i="3"/>
  <c r="AS699" i="3"/>
  <c r="AS700" i="3"/>
  <c r="AS701" i="3"/>
  <c r="AS702" i="3"/>
  <c r="AS703" i="3"/>
  <c r="AS704" i="3"/>
  <c r="AS705" i="3"/>
  <c r="AS706" i="3"/>
  <c r="AS707" i="3"/>
  <c r="AS708" i="3"/>
  <c r="AS709" i="3"/>
  <c r="AS710" i="3"/>
  <c r="AS711" i="3"/>
  <c r="AS712" i="3"/>
  <c r="AS713" i="3"/>
  <c r="AS714" i="3"/>
  <c r="AS715" i="3"/>
  <c r="AS716" i="3"/>
  <c r="AS717" i="3"/>
  <c r="AS718" i="3"/>
  <c r="AS719" i="3"/>
  <c r="AS720" i="3"/>
  <c r="AS721" i="3"/>
  <c r="AS722" i="3"/>
  <c r="AS723" i="3"/>
  <c r="AS724" i="3"/>
  <c r="AS725" i="3"/>
  <c r="AS726" i="3"/>
  <c r="AS727" i="3"/>
  <c r="AS728" i="3"/>
  <c r="AS729" i="3"/>
  <c r="AS730" i="3"/>
  <c r="AS731" i="3"/>
  <c r="AS732" i="3"/>
  <c r="AS733" i="3"/>
  <c r="AS734" i="3"/>
  <c r="AS735" i="3"/>
  <c r="AS736" i="3"/>
  <c r="AS737" i="3"/>
  <c r="AS738" i="3"/>
  <c r="AS739" i="3"/>
  <c r="AS740" i="3"/>
  <c r="AS741" i="3"/>
  <c r="AS742" i="3"/>
  <c r="AS743" i="3"/>
  <c r="AS744" i="3"/>
  <c r="AS745" i="3"/>
  <c r="AS746" i="3"/>
  <c r="AS747" i="3"/>
  <c r="AS748" i="3"/>
  <c r="AS749" i="3"/>
  <c r="AS750" i="3"/>
  <c r="AS751" i="3"/>
  <c r="AS752" i="3"/>
  <c r="AS753" i="3"/>
  <c r="AS754" i="3"/>
  <c r="AS755" i="3"/>
  <c r="AS756" i="3"/>
  <c r="AS757" i="3"/>
  <c r="AS758" i="3"/>
  <c r="AS759" i="3"/>
  <c r="AS760" i="3"/>
  <c r="AS761" i="3"/>
  <c r="AS762" i="3"/>
  <c r="AS763" i="3"/>
  <c r="AS764" i="3"/>
  <c r="AS765" i="3"/>
  <c r="AS766" i="3"/>
  <c r="AS767" i="3"/>
  <c r="AS768" i="3"/>
  <c r="AS769" i="3"/>
  <c r="AS770" i="3"/>
  <c r="AS771" i="3"/>
  <c r="AS772" i="3"/>
  <c r="AS773" i="3"/>
  <c r="AS774" i="3"/>
  <c r="AS775" i="3"/>
  <c r="AS776" i="3"/>
  <c r="AS777" i="3"/>
  <c r="AS778" i="3"/>
  <c r="AS779" i="3"/>
  <c r="AS780" i="3"/>
  <c r="AS781" i="3"/>
  <c r="AS782" i="3"/>
  <c r="AS783" i="3"/>
  <c r="AS784" i="3"/>
  <c r="AS785" i="3"/>
  <c r="AS786" i="3"/>
  <c r="AS787" i="3"/>
  <c r="AS788" i="3"/>
  <c r="AS789" i="3"/>
  <c r="AS790" i="3"/>
  <c r="AS791" i="3"/>
  <c r="AS792" i="3"/>
  <c r="AS793" i="3"/>
  <c r="AS794" i="3"/>
  <c r="AS795" i="3"/>
  <c r="AS796" i="3"/>
  <c r="AS797" i="3"/>
  <c r="AS798" i="3"/>
  <c r="AS799" i="3"/>
  <c r="AS800" i="3"/>
  <c r="AS801" i="3"/>
  <c r="AS802" i="3"/>
  <c r="AS803" i="3"/>
  <c r="AS804" i="3"/>
  <c r="AS805" i="3"/>
  <c r="AS806" i="3"/>
  <c r="AS807" i="3"/>
  <c r="AS808" i="3"/>
  <c r="AS809" i="3"/>
  <c r="AS810" i="3"/>
  <c r="AS811" i="3"/>
  <c r="AS812" i="3"/>
  <c r="AS813" i="3"/>
  <c r="AS814" i="3"/>
  <c r="AS815" i="3"/>
  <c r="AS816" i="3"/>
  <c r="AS817" i="3"/>
  <c r="AS818" i="3"/>
  <c r="AS819" i="3"/>
  <c r="AS820" i="3"/>
  <c r="AS821" i="3"/>
  <c r="AS822" i="3"/>
  <c r="AS823" i="3"/>
  <c r="AS824" i="3"/>
  <c r="AS825" i="3"/>
  <c r="AS826" i="3"/>
  <c r="AS827" i="3"/>
  <c r="AS828" i="3"/>
  <c r="AS829" i="3"/>
  <c r="AS830" i="3"/>
  <c r="AS831" i="3"/>
  <c r="AS832" i="3"/>
  <c r="AS833" i="3"/>
  <c r="AS834" i="3"/>
  <c r="AS835" i="3"/>
  <c r="AS836" i="3"/>
  <c r="AS837" i="3"/>
  <c r="AS838" i="3"/>
  <c r="AS839" i="3"/>
  <c r="AS840" i="3"/>
  <c r="AS841" i="3"/>
  <c r="AS842" i="3"/>
  <c r="AS843" i="3"/>
  <c r="AS844" i="3"/>
  <c r="AS845" i="3"/>
  <c r="AS846" i="3"/>
  <c r="AS847" i="3"/>
  <c r="AS848" i="3"/>
  <c r="AS849" i="3"/>
  <c r="AS850" i="3"/>
  <c r="AS851" i="3"/>
  <c r="AS852" i="3"/>
  <c r="AS853" i="3"/>
  <c r="AS854" i="3"/>
  <c r="AS855" i="3"/>
  <c r="AS856" i="3"/>
  <c r="AS857" i="3"/>
  <c r="AS858" i="3"/>
  <c r="AS859" i="3"/>
  <c r="AS860" i="3"/>
  <c r="AS861" i="3"/>
  <c r="AS862" i="3"/>
  <c r="AS863" i="3"/>
  <c r="AS864" i="3"/>
  <c r="AS865" i="3"/>
  <c r="AS866" i="3"/>
  <c r="AS867" i="3"/>
  <c r="AS868" i="3"/>
  <c r="AS869" i="3"/>
  <c r="AS870" i="3"/>
  <c r="AS871" i="3"/>
  <c r="AS872" i="3"/>
  <c r="AS873" i="3"/>
  <c r="AS874" i="3"/>
  <c r="AS875" i="3"/>
  <c r="AS876" i="3"/>
  <c r="AS877" i="3"/>
  <c r="AS878" i="3"/>
  <c r="AS879" i="3"/>
  <c r="AS880" i="3"/>
  <c r="AS881" i="3"/>
  <c r="AS882" i="3"/>
  <c r="AS883" i="3"/>
  <c r="AS884" i="3"/>
  <c r="AS885" i="3"/>
  <c r="AS886" i="3"/>
  <c r="AS887" i="3"/>
  <c r="AS888" i="3"/>
  <c r="AS889" i="3"/>
  <c r="AS890" i="3"/>
  <c r="AS891" i="3"/>
  <c r="AS892" i="3"/>
  <c r="AS893" i="3"/>
  <c r="AS894" i="3"/>
  <c r="AS895" i="3"/>
  <c r="AS896" i="3"/>
  <c r="AS897" i="3"/>
  <c r="AS898" i="3"/>
  <c r="AS899" i="3"/>
  <c r="AS900" i="3"/>
  <c r="AS901" i="3"/>
  <c r="AS902" i="3"/>
  <c r="AS903" i="3"/>
  <c r="AS904" i="3"/>
  <c r="AS905" i="3"/>
  <c r="AS906" i="3"/>
  <c r="AS907" i="3"/>
  <c r="AS908" i="3"/>
  <c r="AS909" i="3"/>
  <c r="AS910" i="3"/>
  <c r="AS911" i="3"/>
  <c r="AS912" i="3"/>
  <c r="AS913" i="3"/>
  <c r="AS914" i="3"/>
  <c r="AS915" i="3"/>
  <c r="AS916" i="3"/>
  <c r="AS917" i="3"/>
  <c r="AS918" i="3"/>
  <c r="AS919" i="3"/>
  <c r="AS920" i="3"/>
  <c r="AS921" i="3"/>
  <c r="AS922" i="3"/>
  <c r="AS923" i="3"/>
  <c r="AS924" i="3"/>
  <c r="AS925" i="3"/>
  <c r="AS926" i="3"/>
  <c r="AS927" i="3"/>
  <c r="AS928" i="3"/>
  <c r="AS929" i="3"/>
  <c r="AS930" i="3"/>
  <c r="AS931" i="3"/>
  <c r="AS932" i="3"/>
  <c r="AS933" i="3"/>
  <c r="AS934" i="3"/>
  <c r="AS935" i="3"/>
  <c r="AS936" i="3"/>
  <c r="AS937" i="3"/>
  <c r="AS938" i="3"/>
  <c r="AS939" i="3"/>
  <c r="AS940" i="3"/>
  <c r="AS941" i="3"/>
  <c r="AS942" i="3"/>
  <c r="AS943" i="3"/>
  <c r="AS944" i="3"/>
  <c r="AS945" i="3"/>
  <c r="AS946" i="3"/>
  <c r="AS947" i="3"/>
  <c r="AS948" i="3"/>
  <c r="AS949" i="3"/>
  <c r="AS950" i="3"/>
  <c r="AS951" i="3"/>
  <c r="AS952" i="3"/>
  <c r="AS953" i="3"/>
  <c r="AS954" i="3"/>
  <c r="AS955" i="3"/>
  <c r="AS956" i="3"/>
  <c r="AS957" i="3"/>
  <c r="AS958" i="3"/>
  <c r="AS959" i="3"/>
  <c r="AS960" i="3"/>
  <c r="AS961" i="3"/>
  <c r="AS962" i="3"/>
  <c r="AS963" i="3"/>
  <c r="AS964" i="3"/>
  <c r="AS965" i="3"/>
  <c r="AS966" i="3"/>
  <c r="AS967" i="3"/>
  <c r="AS968" i="3"/>
  <c r="AS969" i="3"/>
  <c r="AS970" i="3"/>
  <c r="AS971" i="3"/>
  <c r="AS972" i="3"/>
  <c r="AS973" i="3"/>
  <c r="AS974" i="3"/>
  <c r="AS975" i="3"/>
  <c r="AS976" i="3"/>
  <c r="AS977" i="3"/>
  <c r="AS978" i="3"/>
  <c r="AS979" i="3"/>
  <c r="AS980" i="3"/>
  <c r="AS981" i="3"/>
  <c r="AS982" i="3"/>
  <c r="AS983" i="3"/>
  <c r="AS984" i="3"/>
  <c r="AS985" i="3"/>
  <c r="AS986" i="3"/>
  <c r="AS987" i="3"/>
  <c r="AS988" i="3"/>
  <c r="AS989" i="3"/>
  <c r="AS990" i="3"/>
  <c r="AS991" i="3"/>
  <c r="AS992" i="3"/>
  <c r="AS993" i="3"/>
  <c r="AS994" i="3"/>
  <c r="AS995" i="3"/>
  <c r="AS996" i="3"/>
  <c r="AS997" i="3"/>
  <c r="AS998" i="3"/>
  <c r="AS999" i="3"/>
  <c r="AS1000" i="3"/>
  <c r="AS1001" i="3"/>
  <c r="AS1002" i="3"/>
  <c r="AS1003" i="3"/>
  <c r="AS1004" i="3"/>
  <c r="AS1005" i="3"/>
  <c r="AS1006" i="3"/>
  <c r="AS1007" i="3"/>
  <c r="AS1008" i="3"/>
  <c r="AS1009" i="3"/>
  <c r="AS1010" i="3"/>
  <c r="AS1011" i="3"/>
  <c r="AS1012" i="3"/>
  <c r="AS1013" i="3"/>
  <c r="AS1014" i="3"/>
  <c r="AS1015" i="3"/>
  <c r="AS1016" i="3"/>
  <c r="AS1017" i="3"/>
  <c r="AS1018" i="3"/>
  <c r="AS1019" i="3"/>
  <c r="AS1020" i="3"/>
  <c r="AS1021" i="3"/>
  <c r="AS1022" i="3"/>
  <c r="AS1023" i="3"/>
  <c r="AS1024" i="3"/>
  <c r="AS1025" i="3"/>
  <c r="AS1026" i="3"/>
  <c r="AS1027" i="3"/>
  <c r="AS1028" i="3"/>
  <c r="AS1029" i="3"/>
  <c r="AS1030" i="3"/>
  <c r="AS1031" i="3"/>
  <c r="AS1032" i="3"/>
  <c r="AS1033" i="3"/>
  <c r="AS1034" i="3"/>
  <c r="AS1035" i="3"/>
  <c r="AS1036" i="3"/>
  <c r="AS1037" i="3"/>
  <c r="AS1038" i="3"/>
  <c r="AS1039" i="3"/>
  <c r="AS1040" i="3"/>
  <c r="AS1041" i="3"/>
  <c r="AS1042" i="3"/>
  <c r="AS1043" i="3"/>
  <c r="AS1044" i="3"/>
  <c r="AS1045" i="3"/>
  <c r="AS1046" i="3"/>
  <c r="AS1047" i="3"/>
  <c r="AS1048" i="3"/>
  <c r="AS1049" i="3"/>
  <c r="AS1050" i="3"/>
  <c r="AS1051" i="3"/>
  <c r="AS1052" i="3"/>
  <c r="AS1053" i="3"/>
  <c r="AS1054" i="3"/>
  <c r="AS1055" i="3"/>
  <c r="AS1056" i="3"/>
  <c r="AS1057" i="3"/>
  <c r="AS1058" i="3"/>
  <c r="AS1059" i="3"/>
  <c r="AS1060" i="3"/>
  <c r="AS1061" i="3"/>
  <c r="AS1062" i="3"/>
  <c r="AS1063" i="3"/>
  <c r="AS1064" i="3"/>
  <c r="AS1065" i="3"/>
  <c r="AS1066" i="3"/>
  <c r="AS1067" i="3"/>
  <c r="AS1068" i="3"/>
  <c r="AS1069" i="3"/>
  <c r="AS1070" i="3"/>
  <c r="AS1071" i="3"/>
  <c r="AS1072" i="3"/>
  <c r="AS1073" i="3"/>
  <c r="AS1074" i="3"/>
  <c r="AS1075" i="3"/>
  <c r="AS1076" i="3"/>
  <c r="AS1077" i="3"/>
  <c r="AS1078" i="3"/>
  <c r="AS1079" i="3"/>
  <c r="AS1080" i="3"/>
  <c r="AS1081" i="3"/>
  <c r="AS1082" i="3"/>
  <c r="AS1083" i="3"/>
  <c r="AS1084" i="3"/>
  <c r="AS1085" i="3"/>
  <c r="AS1086" i="3"/>
  <c r="AS1087" i="3"/>
  <c r="AS1088" i="3"/>
  <c r="AS1089" i="3"/>
  <c r="AS1090" i="3"/>
  <c r="AS1091" i="3"/>
  <c r="AS1092" i="3"/>
  <c r="AS1093" i="3"/>
  <c r="AS1094" i="3"/>
  <c r="AS1095" i="3"/>
  <c r="AS1096" i="3"/>
  <c r="AS1097" i="3"/>
  <c r="AS1098" i="3"/>
  <c r="AS1099" i="3"/>
  <c r="AS1100" i="3"/>
  <c r="AS1101" i="3"/>
  <c r="AS1102" i="3"/>
  <c r="AS1103" i="3"/>
  <c r="AS1104" i="3"/>
  <c r="AS1105" i="3"/>
  <c r="AS1106" i="3"/>
  <c r="AS1107" i="3"/>
  <c r="AS1108" i="3"/>
  <c r="AS1109" i="3"/>
  <c r="AS1110" i="3"/>
  <c r="AS1111" i="3"/>
  <c r="AS1112" i="3"/>
  <c r="AS1113" i="3"/>
  <c r="AS1114" i="3"/>
  <c r="AS1115" i="3"/>
  <c r="AS1116" i="3"/>
  <c r="AS1117" i="3"/>
  <c r="AS1118" i="3"/>
  <c r="AS1119" i="3"/>
  <c r="AS1120" i="3"/>
  <c r="AS1121" i="3"/>
  <c r="AS1122" i="3"/>
  <c r="AS1123" i="3"/>
  <c r="AS1124" i="3"/>
  <c r="AS1125" i="3"/>
  <c r="AS1126" i="3"/>
  <c r="AS1127" i="3"/>
  <c r="AS1128" i="3"/>
  <c r="AS1129" i="3"/>
  <c r="AS1130" i="3"/>
  <c r="AS1131" i="3"/>
  <c r="AS1132" i="3"/>
  <c r="AS1133" i="3"/>
  <c r="AS1134" i="3"/>
  <c r="AS1135" i="3"/>
  <c r="AS1136" i="3"/>
  <c r="AS1137" i="3"/>
  <c r="AS1138" i="3"/>
  <c r="AS1139" i="3"/>
  <c r="AS1140" i="3"/>
  <c r="AS1141" i="3"/>
  <c r="AS1142" i="3"/>
  <c r="AS1143" i="3"/>
  <c r="AS1144" i="3"/>
  <c r="AS1145" i="3"/>
  <c r="AS1146" i="3"/>
  <c r="AS1147" i="3"/>
  <c r="AS1148" i="3"/>
  <c r="AS1149" i="3"/>
  <c r="AS1150" i="3"/>
  <c r="AS1151" i="3"/>
  <c r="AS1152" i="3"/>
  <c r="AS1153" i="3"/>
  <c r="AS1154" i="3"/>
  <c r="AS1155" i="3"/>
  <c r="AS1156" i="3"/>
  <c r="AS1157" i="3"/>
  <c r="AS1158" i="3"/>
  <c r="AS1159" i="3"/>
  <c r="AS1160" i="3"/>
  <c r="AS1161" i="3"/>
  <c r="AS1162" i="3"/>
  <c r="AS1163" i="3"/>
  <c r="AS1164" i="3"/>
  <c r="AS1165" i="3"/>
  <c r="AS1166" i="3"/>
  <c r="AS1167" i="3"/>
  <c r="AS1168" i="3"/>
  <c r="AS1169" i="3"/>
  <c r="AS1170" i="3"/>
  <c r="AS1171" i="3"/>
  <c r="AS1172" i="3"/>
  <c r="AS1173" i="3"/>
  <c r="AS1174" i="3"/>
  <c r="AS1175" i="3"/>
  <c r="AS1176" i="3"/>
  <c r="AS1177" i="3"/>
  <c r="AS1178" i="3"/>
  <c r="AS1179" i="3"/>
  <c r="AS1180" i="3"/>
  <c r="AS1181" i="3"/>
  <c r="AS1182" i="3"/>
  <c r="AS1183" i="3"/>
  <c r="AS1184" i="3"/>
  <c r="AS1185" i="3"/>
  <c r="AS1186" i="3"/>
  <c r="AS1187" i="3"/>
  <c r="AS1188" i="3"/>
  <c r="AS1189" i="3"/>
  <c r="AS1190" i="3"/>
  <c r="AS1191" i="3"/>
  <c r="AS1192" i="3"/>
  <c r="AS1193" i="3"/>
  <c r="AS1194" i="3"/>
  <c r="AS1195" i="3"/>
  <c r="AS1196" i="3"/>
  <c r="AS1197" i="3"/>
  <c r="AS1198" i="3"/>
  <c r="AS1199" i="3"/>
  <c r="AS1200" i="3"/>
  <c r="AS1201" i="3"/>
  <c r="AS1202" i="3"/>
  <c r="AS1203" i="3"/>
  <c r="AS1204" i="3"/>
  <c r="AS1205" i="3"/>
  <c r="AS1206" i="3"/>
  <c r="AS1207" i="3"/>
  <c r="AS1208" i="3"/>
  <c r="AS1209" i="3"/>
  <c r="AS1210" i="3"/>
  <c r="AS1211" i="3"/>
  <c r="AS1212" i="3"/>
  <c r="AS1213" i="3"/>
  <c r="AS1214" i="3"/>
  <c r="AS1215" i="3"/>
  <c r="AS1216" i="3"/>
  <c r="AS1217" i="3"/>
  <c r="AS1218" i="3"/>
  <c r="AS1219" i="3"/>
  <c r="AS1220" i="3"/>
  <c r="AS1221" i="3"/>
  <c r="AS1222" i="3"/>
  <c r="AS1223" i="3"/>
  <c r="AS1224" i="3"/>
  <c r="AS1225" i="3"/>
  <c r="AS1226" i="3"/>
  <c r="AS1227" i="3"/>
  <c r="AS1228" i="3"/>
  <c r="AS1229" i="3"/>
  <c r="AS1230" i="3"/>
  <c r="AS1231" i="3"/>
  <c r="AS1232" i="3"/>
  <c r="AS1233" i="3"/>
  <c r="AS1234" i="3"/>
  <c r="AS1235" i="3"/>
  <c r="AS1236" i="3"/>
  <c r="AS1237" i="3"/>
  <c r="AS1238" i="3"/>
  <c r="AS1239" i="3"/>
  <c r="AS1240" i="3"/>
  <c r="AS1241" i="3"/>
  <c r="AS1242" i="3"/>
  <c r="AS1243" i="3"/>
  <c r="AS1244" i="3"/>
  <c r="AS1245" i="3"/>
  <c r="AS1246" i="3"/>
  <c r="AS1247" i="3"/>
  <c r="AS1248" i="3"/>
  <c r="AS1249" i="3"/>
  <c r="AS1250" i="3"/>
  <c r="AS1251" i="3"/>
  <c r="AS1252" i="3"/>
  <c r="AS1253" i="3"/>
  <c r="AS1254" i="3"/>
  <c r="AS1255" i="3"/>
  <c r="AS1256" i="3"/>
  <c r="AS1257" i="3"/>
  <c r="AS1258" i="3"/>
  <c r="AS1259" i="3"/>
  <c r="AS1260" i="3"/>
  <c r="AS1261" i="3"/>
  <c r="AS1262" i="3"/>
  <c r="AS1263" i="3"/>
  <c r="AS1264" i="3"/>
  <c r="AS1265" i="3"/>
  <c r="AS1266" i="3"/>
  <c r="AS1267" i="3"/>
  <c r="AS1268" i="3"/>
  <c r="AS1269" i="3"/>
  <c r="AS1270" i="3"/>
  <c r="AS1271" i="3"/>
  <c r="AS1272" i="3"/>
  <c r="AS1273" i="3"/>
  <c r="AS1274" i="3"/>
  <c r="AS1275" i="3"/>
  <c r="AS1276" i="3"/>
  <c r="AS1277" i="3"/>
  <c r="AS1278" i="3"/>
  <c r="AS1279" i="3"/>
  <c r="AS1280" i="3"/>
  <c r="AS1281" i="3"/>
  <c r="AS1282" i="3"/>
  <c r="AS1283" i="3"/>
  <c r="AS1284" i="3"/>
  <c r="AS1285" i="3"/>
  <c r="AS1286" i="3"/>
  <c r="AS1287" i="3"/>
  <c r="AS1288" i="3"/>
  <c r="AS1289" i="3"/>
  <c r="AS1290" i="3"/>
  <c r="AS1291" i="3"/>
  <c r="AS1292" i="3"/>
  <c r="AS1293" i="3"/>
  <c r="AS1294" i="3"/>
  <c r="AS1295" i="3"/>
  <c r="AS1296" i="3"/>
  <c r="AS1297" i="3"/>
  <c r="AS1298" i="3"/>
  <c r="AS1299" i="3"/>
  <c r="AS1300" i="3"/>
  <c r="AS1301" i="3"/>
  <c r="AS1302" i="3"/>
  <c r="AS1303" i="3"/>
  <c r="AS1304" i="3"/>
  <c r="AS1305" i="3"/>
  <c r="AS1306" i="3"/>
  <c r="AS1307" i="3"/>
  <c r="AS1308" i="3"/>
  <c r="AS1309" i="3"/>
  <c r="AS1310" i="3"/>
  <c r="AS1311" i="3"/>
  <c r="AS1312" i="3"/>
  <c r="AS1313" i="3"/>
  <c r="AS1314" i="3"/>
  <c r="AS1315" i="3"/>
  <c r="AS1316" i="3"/>
  <c r="AS1317" i="3"/>
  <c r="AS1318" i="3"/>
  <c r="AS1319" i="3"/>
  <c r="AS1320" i="3"/>
  <c r="AS1321" i="3"/>
  <c r="AS1322" i="3"/>
  <c r="AS1323" i="3"/>
  <c r="AS1324" i="3"/>
  <c r="AS1325" i="3"/>
  <c r="AS1326" i="3"/>
  <c r="AS1327" i="3"/>
  <c r="AS1328" i="3"/>
  <c r="AS1329" i="3"/>
  <c r="AS1330" i="3"/>
  <c r="AS1331" i="3"/>
  <c r="AS1332" i="3"/>
  <c r="AS1333" i="3"/>
  <c r="AS1334" i="3"/>
  <c r="AS1335" i="3"/>
  <c r="AS1336" i="3"/>
  <c r="AS1337" i="3"/>
  <c r="AS1338" i="3"/>
  <c r="AS1339" i="3"/>
  <c r="AS1340" i="3"/>
  <c r="AS1341" i="3"/>
  <c r="AS1342" i="3"/>
  <c r="AS1343" i="3"/>
  <c r="AS1344" i="3"/>
  <c r="AS1345" i="3"/>
  <c r="AS1346" i="3"/>
  <c r="AS1347" i="3"/>
  <c r="AS1348" i="3"/>
  <c r="AS1349" i="3"/>
  <c r="AS1350" i="3"/>
  <c r="AS1351" i="3"/>
  <c r="AS1352" i="3"/>
  <c r="AS1353" i="3"/>
  <c r="AS1354" i="3"/>
  <c r="AS1355" i="3"/>
  <c r="AS1356" i="3"/>
  <c r="AS1357" i="3"/>
  <c r="AS1358" i="3"/>
  <c r="AS1359" i="3"/>
  <c r="AS1360" i="3"/>
  <c r="AS1361" i="3"/>
  <c r="AS1362" i="3"/>
  <c r="AS1363" i="3"/>
  <c r="AS1364" i="3"/>
  <c r="AS1365" i="3"/>
  <c r="AS1366" i="3"/>
  <c r="AS1367" i="3"/>
  <c r="AS1368" i="3"/>
  <c r="AS1369" i="3"/>
  <c r="AS1370" i="3"/>
  <c r="AS1371" i="3"/>
  <c r="AS1372" i="3"/>
  <c r="AS1373" i="3"/>
  <c r="AS1374" i="3"/>
  <c r="AS1375" i="3"/>
  <c r="AS1376" i="3"/>
  <c r="AS1377" i="3"/>
  <c r="AS1378" i="3"/>
  <c r="AS1379" i="3"/>
  <c r="AS1380" i="3"/>
  <c r="AS1381" i="3"/>
  <c r="AS1382" i="3"/>
  <c r="AS1383" i="3"/>
  <c r="AS1384" i="3"/>
  <c r="AS1385" i="3"/>
  <c r="AS1386" i="3"/>
  <c r="AS1387" i="3"/>
  <c r="AS1388" i="3"/>
  <c r="AS1389" i="3"/>
  <c r="AS1390" i="3"/>
  <c r="AS1391" i="3"/>
  <c r="AS1392" i="3"/>
  <c r="AS1393" i="3"/>
  <c r="AS1394" i="3"/>
  <c r="AS1395" i="3"/>
  <c r="AS1396" i="3"/>
  <c r="AS1397" i="3"/>
  <c r="AS1398" i="3"/>
  <c r="AS1399" i="3"/>
  <c r="AS1400" i="3"/>
  <c r="AS1401" i="3"/>
  <c r="AS1402" i="3"/>
  <c r="AS1403" i="3"/>
  <c r="AS1404" i="3"/>
  <c r="AS1405" i="3"/>
  <c r="AS1406" i="3"/>
  <c r="AS1407" i="3"/>
  <c r="AS1408" i="3"/>
  <c r="AS1409" i="3"/>
  <c r="AS1410" i="3"/>
  <c r="AS1411" i="3"/>
  <c r="AS1412" i="3"/>
  <c r="AS1413" i="3"/>
  <c r="AS1414" i="3"/>
  <c r="AS1415" i="3"/>
  <c r="AS1416" i="3"/>
  <c r="AS1417" i="3"/>
  <c r="AS1418" i="3"/>
  <c r="AS1419" i="3"/>
  <c r="AS1420" i="3"/>
  <c r="AS1421" i="3"/>
  <c r="AS1422" i="3"/>
  <c r="AS1423" i="3"/>
  <c r="AS1424" i="3"/>
  <c r="AS1425" i="3"/>
  <c r="AS1426" i="3"/>
  <c r="AS1427" i="3"/>
  <c r="AS1428" i="3"/>
  <c r="AS1429" i="3"/>
  <c r="AS1430" i="3"/>
  <c r="AS1431" i="3"/>
  <c r="AS1432" i="3"/>
  <c r="AS1433" i="3"/>
  <c r="AS1434" i="3"/>
  <c r="AS1435" i="3"/>
  <c r="AS1436" i="3"/>
  <c r="AS1437" i="3"/>
  <c r="AS1438" i="3"/>
  <c r="AS1439" i="3"/>
  <c r="AS1440" i="3"/>
  <c r="AS1441" i="3"/>
  <c r="AS1442" i="3"/>
  <c r="AS1443" i="3"/>
  <c r="AS1444" i="3"/>
  <c r="AS1445" i="3"/>
  <c r="AS1446" i="3"/>
  <c r="AS1447" i="3"/>
  <c r="AS1448" i="3"/>
  <c r="AS1449" i="3"/>
  <c r="AS1450" i="3"/>
  <c r="AS1451" i="3"/>
  <c r="AS1452" i="3"/>
  <c r="AS1453" i="3"/>
  <c r="AS1454" i="3"/>
  <c r="AS1455" i="3"/>
  <c r="AS1456" i="3"/>
  <c r="AS1457" i="3"/>
  <c r="AS1458" i="3"/>
  <c r="AS1459" i="3"/>
  <c r="AS1460" i="3"/>
  <c r="AS1461" i="3"/>
  <c r="AS1462" i="3"/>
  <c r="AS1463" i="3"/>
  <c r="AS1464" i="3"/>
  <c r="AS1465" i="3"/>
  <c r="AS1466" i="3"/>
  <c r="AS1467" i="3"/>
  <c r="AS1468" i="3"/>
  <c r="AS1469" i="3"/>
  <c r="AS1470" i="3"/>
  <c r="AS1471" i="3"/>
  <c r="AS1472" i="3"/>
  <c r="AS1473" i="3"/>
  <c r="AS1474" i="3"/>
  <c r="AS1475" i="3"/>
  <c r="AS1476" i="3"/>
  <c r="AS1477" i="3"/>
  <c r="AS1478" i="3"/>
  <c r="AS1479" i="3"/>
  <c r="AS1480" i="3"/>
  <c r="AS1481" i="3"/>
  <c r="AS1482" i="3"/>
  <c r="AS1483" i="3"/>
  <c r="AS1484" i="3"/>
  <c r="AS1485" i="3"/>
  <c r="AS1486" i="3"/>
  <c r="AS1487" i="3"/>
  <c r="AS1488" i="3"/>
  <c r="AS1489" i="3"/>
  <c r="AS1490" i="3"/>
  <c r="AS1491" i="3"/>
  <c r="AS1492" i="3"/>
  <c r="AS1493" i="3"/>
  <c r="AS1494" i="3"/>
  <c r="AS1495" i="3"/>
  <c r="AS1496" i="3"/>
  <c r="AS1497" i="3"/>
  <c r="AS1498" i="3"/>
  <c r="AS1499" i="3"/>
  <c r="AS1500" i="3"/>
  <c r="AS1501" i="3"/>
  <c r="AS1502" i="3"/>
  <c r="AS1503" i="3"/>
  <c r="AS1504" i="3"/>
  <c r="AS1505" i="3"/>
  <c r="AS1506" i="3"/>
  <c r="AS1507" i="3"/>
  <c r="AS1508" i="3"/>
  <c r="AS1509" i="3"/>
  <c r="AS1510" i="3"/>
  <c r="AS1511" i="3"/>
  <c r="AS1512" i="3"/>
  <c r="AS1513" i="3"/>
  <c r="AS1514" i="3"/>
  <c r="AS1515" i="3"/>
  <c r="AS1516" i="3"/>
  <c r="AS1517" i="3"/>
  <c r="AS1518" i="3"/>
  <c r="AS1519" i="3"/>
  <c r="AS1520" i="3"/>
  <c r="AS1521" i="3"/>
  <c r="AS1522" i="3"/>
  <c r="AS1523" i="3"/>
  <c r="AS1524" i="3"/>
  <c r="AS1525" i="3"/>
  <c r="AS1526" i="3"/>
  <c r="AS1527" i="3"/>
  <c r="AS1528" i="3"/>
  <c r="AS1529" i="3"/>
  <c r="AS1530" i="3"/>
  <c r="AS1531" i="3"/>
  <c r="AS1532" i="3"/>
  <c r="AS1533" i="3"/>
  <c r="AS1534" i="3"/>
  <c r="AS1535" i="3"/>
  <c r="AS1536" i="3"/>
  <c r="AS1537" i="3"/>
  <c r="AS1538" i="3"/>
  <c r="AS1539" i="3"/>
  <c r="AS1540" i="3"/>
  <c r="AS1541" i="3"/>
  <c r="AS1542" i="3"/>
  <c r="AS1543" i="3"/>
  <c r="AS1544" i="3"/>
  <c r="AS1545" i="3"/>
  <c r="AS1546" i="3"/>
  <c r="AS1547" i="3"/>
  <c r="AS1548" i="3"/>
  <c r="AS1549" i="3"/>
  <c r="AS1550" i="3"/>
  <c r="AS1551" i="3"/>
  <c r="AS1552" i="3"/>
  <c r="AS1553" i="3"/>
  <c r="AS1554" i="3"/>
  <c r="AS1555" i="3"/>
  <c r="AS1556" i="3"/>
  <c r="AS1557" i="3"/>
  <c r="AS1558" i="3"/>
  <c r="AS1559" i="3"/>
  <c r="AS1560" i="3"/>
  <c r="AS1561" i="3"/>
  <c r="AS1562" i="3"/>
  <c r="AS1563" i="3"/>
  <c r="AS1564" i="3"/>
  <c r="AS1565" i="3"/>
  <c r="AS1566" i="3"/>
  <c r="AS1567" i="3"/>
  <c r="AS1568" i="3"/>
  <c r="AS1569" i="3"/>
  <c r="AS1570" i="3"/>
  <c r="AS1571" i="3"/>
  <c r="AS1572" i="3"/>
  <c r="AS1573" i="3"/>
  <c r="AS1574" i="3"/>
  <c r="AS1575" i="3"/>
  <c r="AS1576" i="3"/>
  <c r="AS1577" i="3"/>
  <c r="AS1578" i="3"/>
  <c r="AS1579" i="3"/>
  <c r="AS1580" i="3"/>
  <c r="AS1581" i="3"/>
  <c r="AS1582" i="3"/>
  <c r="AS1583" i="3"/>
  <c r="AS1584" i="3"/>
  <c r="AS1585" i="3"/>
  <c r="AS1586" i="3"/>
  <c r="AS1587" i="3"/>
  <c r="AS1588" i="3"/>
  <c r="AS1589" i="3"/>
  <c r="AS1590" i="3"/>
  <c r="AS1591" i="3"/>
  <c r="AS1592" i="3"/>
  <c r="AS1593" i="3"/>
  <c r="AS1594" i="3"/>
  <c r="AS1595" i="3"/>
  <c r="AS1596" i="3"/>
  <c r="AS1597" i="3"/>
  <c r="AS1598" i="3"/>
  <c r="AS1599" i="3"/>
  <c r="AS1600" i="3"/>
  <c r="AS1601" i="3"/>
  <c r="AS1602" i="3"/>
  <c r="AS1603" i="3"/>
  <c r="AS1604" i="3"/>
  <c r="AS1605" i="3"/>
  <c r="AS1606" i="3"/>
  <c r="AS1607" i="3"/>
  <c r="AS1608" i="3"/>
  <c r="AS1609" i="3"/>
  <c r="AS1610" i="3"/>
  <c r="AS1611" i="3"/>
  <c r="AS1612" i="3"/>
  <c r="AS1613" i="3"/>
  <c r="AS1614" i="3"/>
  <c r="AS1615" i="3"/>
  <c r="AS1616" i="3"/>
  <c r="AS1617" i="3"/>
  <c r="AS1618" i="3"/>
  <c r="AS1619" i="3"/>
  <c r="AS1620" i="3"/>
  <c r="AS1621" i="3"/>
  <c r="AS1622" i="3"/>
  <c r="AS1623" i="3"/>
  <c r="AS1624" i="3"/>
  <c r="AS1625" i="3"/>
  <c r="AS1626" i="3"/>
  <c r="AS1627" i="3"/>
  <c r="AS1628" i="3"/>
  <c r="AS1629" i="3"/>
  <c r="AS1630" i="3"/>
  <c r="AS1631" i="3"/>
  <c r="AS1632" i="3"/>
  <c r="AS1633" i="3"/>
  <c r="AS1634" i="3"/>
  <c r="AS1635" i="3"/>
  <c r="AS1636" i="3"/>
  <c r="AS1637" i="3"/>
  <c r="AS1638" i="3"/>
  <c r="AS1639" i="3"/>
  <c r="AS1640" i="3"/>
  <c r="AS1641" i="3"/>
  <c r="AS1642" i="3"/>
  <c r="AS1643" i="3"/>
  <c r="AS1644" i="3"/>
  <c r="AS1645" i="3"/>
  <c r="AS1646" i="3"/>
  <c r="AS1647" i="3"/>
  <c r="AS1648" i="3"/>
  <c r="AS1649" i="3"/>
  <c r="AS1650" i="3"/>
  <c r="AS1651" i="3"/>
  <c r="AS1652" i="3"/>
  <c r="AS1653" i="3"/>
  <c r="AS1654" i="3"/>
  <c r="AS1655" i="3"/>
  <c r="AS1656" i="3"/>
  <c r="AS1657" i="3"/>
  <c r="AS1658" i="3"/>
  <c r="AS1659" i="3"/>
  <c r="AS1660" i="3"/>
  <c r="AS1661" i="3"/>
  <c r="AS1662" i="3"/>
  <c r="AS1663" i="3"/>
  <c r="AS1664" i="3"/>
  <c r="AS1665" i="3"/>
  <c r="AS1666" i="3"/>
  <c r="AS1667" i="3"/>
  <c r="AS1668" i="3"/>
  <c r="AS1669" i="3"/>
  <c r="AS1670" i="3"/>
  <c r="AS1671" i="3"/>
  <c r="AS1672" i="3"/>
  <c r="AS1673" i="3"/>
  <c r="AS1674" i="3"/>
  <c r="AS1675" i="3"/>
  <c r="AS1676" i="3"/>
  <c r="AS1677" i="3"/>
  <c r="AS1678" i="3"/>
  <c r="AS1679" i="3"/>
  <c r="AS1680" i="3"/>
  <c r="AS1681" i="3"/>
  <c r="AS1682" i="3"/>
  <c r="AS1683" i="3"/>
  <c r="AS1684" i="3"/>
  <c r="AS1685" i="3"/>
  <c r="AS1686" i="3"/>
  <c r="AS1687" i="3"/>
  <c r="AS1688" i="3"/>
  <c r="AS1689" i="3"/>
  <c r="AS1690" i="3"/>
  <c r="AS1691" i="3"/>
  <c r="AS1692" i="3"/>
  <c r="AS1693" i="3"/>
  <c r="AS1694" i="3"/>
  <c r="AS1695" i="3"/>
  <c r="AS1696" i="3"/>
  <c r="AS1697" i="3"/>
  <c r="AS1698" i="3"/>
  <c r="AS1699" i="3"/>
  <c r="AS1700" i="3"/>
  <c r="AS1701" i="3"/>
  <c r="AS1702" i="3"/>
  <c r="AS1703" i="3"/>
  <c r="AS1704" i="3"/>
  <c r="AS1705" i="3"/>
  <c r="AS1706" i="3"/>
  <c r="AS1707" i="3"/>
  <c r="AS1708" i="3"/>
  <c r="AS1709" i="3"/>
  <c r="AS1710" i="3"/>
  <c r="AS1711" i="3"/>
  <c r="AS1712" i="3"/>
  <c r="AS1713" i="3"/>
  <c r="AS1714" i="3"/>
  <c r="AS1715" i="3"/>
  <c r="AS1716" i="3"/>
  <c r="AS1717" i="3"/>
  <c r="AS1718" i="3"/>
  <c r="AS1719" i="3"/>
  <c r="AS1720" i="3"/>
  <c r="AS1721" i="3"/>
  <c r="AS1722" i="3"/>
  <c r="AS1723" i="3"/>
  <c r="AS1724" i="3"/>
  <c r="AS1725" i="3"/>
  <c r="AS1726" i="3"/>
  <c r="AS1727" i="3"/>
  <c r="AS1728" i="3"/>
  <c r="AS1729" i="3"/>
  <c r="AS1730" i="3"/>
  <c r="AS1731" i="3"/>
  <c r="AS1732" i="3"/>
  <c r="AS1733" i="3"/>
  <c r="AS1734" i="3"/>
  <c r="AS1735" i="3"/>
  <c r="AS1736" i="3"/>
  <c r="AS1737" i="3"/>
  <c r="AS1738" i="3"/>
  <c r="AS1739" i="3"/>
  <c r="AS1740" i="3"/>
  <c r="AS1741" i="3"/>
  <c r="AS1742" i="3"/>
  <c r="AS1743" i="3"/>
  <c r="AS1744" i="3"/>
  <c r="AS1745" i="3"/>
  <c r="AS1746" i="3"/>
  <c r="AS1747" i="3"/>
  <c r="AS1748" i="3"/>
  <c r="AS1749" i="3"/>
  <c r="AS1750" i="3"/>
  <c r="AS1751" i="3"/>
  <c r="AS1752" i="3"/>
  <c r="AS1753" i="3"/>
  <c r="AS1754" i="3"/>
  <c r="AS1755" i="3"/>
  <c r="AS1756" i="3"/>
  <c r="AS1757" i="3"/>
  <c r="AS1758" i="3"/>
  <c r="AS1759" i="3"/>
  <c r="AS1760" i="3"/>
  <c r="AS1761" i="3"/>
  <c r="AS1762" i="3"/>
  <c r="AS1763" i="3"/>
  <c r="AS1764" i="3"/>
  <c r="AS1765" i="3"/>
  <c r="AS1766" i="3"/>
  <c r="AS1767" i="3"/>
  <c r="AS1768" i="3"/>
  <c r="AS1769" i="3"/>
  <c r="AS1770" i="3"/>
  <c r="AS1771" i="3"/>
  <c r="AS1772" i="3"/>
  <c r="AS1773" i="3"/>
  <c r="AS1774" i="3"/>
  <c r="AS1775" i="3"/>
  <c r="AS1776" i="3"/>
  <c r="AS1777" i="3"/>
  <c r="AS1778" i="3"/>
  <c r="AS1779" i="3"/>
  <c r="AS1780" i="3"/>
  <c r="AS1781" i="3"/>
  <c r="AS1782" i="3"/>
  <c r="AS1783" i="3"/>
  <c r="AS1784" i="3"/>
  <c r="AS1785" i="3"/>
  <c r="AS1786" i="3"/>
  <c r="AS1787" i="3"/>
  <c r="AS1788" i="3"/>
  <c r="AS1789" i="3"/>
  <c r="AS1790" i="3"/>
  <c r="AS1791" i="3"/>
  <c r="AS1792" i="3"/>
  <c r="AS1793" i="3"/>
  <c r="AS1794" i="3"/>
  <c r="AS1795" i="3"/>
  <c r="AS1796" i="3"/>
  <c r="AS1797" i="3"/>
  <c r="AS1798" i="3"/>
  <c r="AS1799" i="3"/>
  <c r="AS1800" i="3"/>
  <c r="AS1801" i="3"/>
  <c r="AS1802" i="3"/>
  <c r="AS1803" i="3"/>
  <c r="AS1804" i="3"/>
  <c r="AS1805" i="3"/>
  <c r="AS1806" i="3"/>
  <c r="AS1807" i="3"/>
  <c r="AS1808" i="3"/>
  <c r="AS1809" i="3"/>
  <c r="AS1810" i="3"/>
  <c r="AS1811" i="3"/>
  <c r="AS1812" i="3"/>
  <c r="AS1813" i="3"/>
  <c r="AS1814" i="3"/>
  <c r="AS1815" i="3"/>
  <c r="AS1816" i="3"/>
  <c r="AS1817" i="3"/>
  <c r="AS1818" i="3"/>
  <c r="AS1819" i="3"/>
  <c r="AS1820" i="3"/>
  <c r="AS1821" i="3"/>
  <c r="AS1822" i="3"/>
  <c r="AS1823" i="3"/>
  <c r="AS1824" i="3"/>
  <c r="AS1825" i="3"/>
  <c r="AS1826" i="3"/>
  <c r="AS1827" i="3"/>
  <c r="AS1828" i="3"/>
  <c r="AS1829" i="3"/>
  <c r="AS1830" i="3"/>
  <c r="AS1831" i="3"/>
  <c r="AS1832" i="3"/>
  <c r="AS1833" i="3"/>
  <c r="AS1834" i="3"/>
  <c r="AS1835" i="3"/>
  <c r="AS1836" i="3"/>
  <c r="AS1837" i="3"/>
  <c r="AS1838" i="3"/>
  <c r="AS1839" i="3"/>
  <c r="AS1840" i="3"/>
  <c r="AS1841" i="3"/>
  <c r="AS1842" i="3"/>
  <c r="AS1843" i="3"/>
  <c r="AS1844" i="3"/>
  <c r="AS1845" i="3"/>
  <c r="AS1846" i="3"/>
  <c r="AS1847" i="3"/>
  <c r="AS1848" i="3"/>
  <c r="AS1849" i="3"/>
  <c r="AS1850" i="3"/>
  <c r="AS1851" i="3"/>
  <c r="AS1852" i="3"/>
  <c r="AS1853" i="3"/>
  <c r="AS1854" i="3"/>
  <c r="AS1855" i="3"/>
  <c r="AS1856" i="3"/>
  <c r="AS1857" i="3"/>
  <c r="AS1858" i="3"/>
  <c r="AS1859" i="3"/>
  <c r="AS1860" i="3"/>
  <c r="AS1861" i="3"/>
  <c r="AS1862" i="3"/>
  <c r="AS1863" i="3"/>
  <c r="AS1864" i="3"/>
  <c r="AS1865" i="3"/>
  <c r="AS1866" i="3"/>
  <c r="AS1867" i="3"/>
  <c r="AS1868" i="3"/>
  <c r="AS1869" i="3"/>
  <c r="AS1870" i="3"/>
  <c r="AS1871" i="3"/>
  <c r="AS1872" i="3"/>
  <c r="AS1873" i="3"/>
  <c r="AS1874" i="3"/>
  <c r="AS1875" i="3"/>
  <c r="AS1876" i="3"/>
  <c r="AS1877" i="3"/>
  <c r="AS1878" i="3"/>
  <c r="AS1879" i="3"/>
  <c r="AS1880" i="3"/>
  <c r="AS1881" i="3"/>
  <c r="AS1882" i="3"/>
  <c r="AS1883" i="3"/>
  <c r="AS1884" i="3"/>
  <c r="AS1885" i="3"/>
  <c r="AS1886" i="3"/>
  <c r="AS1887" i="3"/>
  <c r="AS1888" i="3"/>
  <c r="AS1889" i="3"/>
  <c r="AS1890" i="3"/>
  <c r="AS1891" i="3"/>
  <c r="AS1892" i="3"/>
  <c r="AS1893" i="3"/>
  <c r="AS1894" i="3"/>
  <c r="AS1895" i="3"/>
  <c r="AS1896" i="3"/>
  <c r="AS1897" i="3"/>
  <c r="AS1898" i="3"/>
  <c r="AS1899" i="3"/>
  <c r="AS1900" i="3"/>
  <c r="AS1901" i="3"/>
  <c r="AS1902" i="3"/>
  <c r="AS1903" i="3"/>
  <c r="AS1904" i="3"/>
  <c r="AS1905" i="3"/>
  <c r="AS1906" i="3"/>
  <c r="AS1907" i="3"/>
  <c r="AS1908" i="3"/>
  <c r="AS1909" i="3"/>
  <c r="AS1910" i="3"/>
  <c r="AS1911" i="3"/>
  <c r="AS1912" i="3"/>
  <c r="AS1913" i="3"/>
  <c r="AS1914" i="3"/>
  <c r="AS1915" i="3"/>
  <c r="AS1916" i="3"/>
  <c r="AS1917" i="3"/>
  <c r="AS1918" i="3"/>
  <c r="AS1919" i="3"/>
  <c r="AS1920" i="3"/>
  <c r="AS1921" i="3"/>
  <c r="AS1922" i="3"/>
  <c r="AS1923" i="3"/>
  <c r="AS1924" i="3"/>
  <c r="AS1925" i="3"/>
  <c r="AS1926" i="3"/>
  <c r="AS1927" i="3"/>
  <c r="AS1928" i="3"/>
  <c r="AS1929" i="3"/>
  <c r="AS1930" i="3"/>
  <c r="AS1931" i="3"/>
  <c r="AS1932" i="3"/>
  <c r="AS1933" i="3"/>
  <c r="AS1934" i="3"/>
  <c r="AS1935" i="3"/>
  <c r="AS1936" i="3"/>
  <c r="AS1937" i="3"/>
  <c r="AS1938" i="3"/>
  <c r="AS1939" i="3"/>
  <c r="AS1940" i="3"/>
  <c r="AS1941" i="3"/>
  <c r="AS1942" i="3"/>
  <c r="AS1943" i="3"/>
  <c r="AS1944" i="3"/>
  <c r="AS1945" i="3"/>
  <c r="AS1946" i="3"/>
  <c r="AS1947" i="3"/>
  <c r="AS1948" i="3"/>
  <c r="AS1949" i="3"/>
  <c r="AS1950" i="3"/>
  <c r="AS1951" i="3"/>
  <c r="AS1952" i="3"/>
  <c r="AS1953" i="3"/>
  <c r="AS1954" i="3"/>
  <c r="AS1955" i="3"/>
  <c r="AS1956" i="3"/>
  <c r="AS1957" i="3"/>
  <c r="AS1958" i="3"/>
  <c r="AS1959" i="3"/>
  <c r="AS1960" i="3"/>
  <c r="AS1961" i="3"/>
  <c r="AS1962" i="3"/>
  <c r="AS1963" i="3"/>
  <c r="AS1964" i="3"/>
  <c r="AS1965" i="3"/>
  <c r="AS1966" i="3"/>
  <c r="AS1967" i="3"/>
  <c r="AS1968" i="3"/>
  <c r="AS1969" i="3"/>
  <c r="AS1970" i="3"/>
  <c r="AS1971" i="3"/>
  <c r="AS1972" i="3"/>
  <c r="AS1973" i="3"/>
  <c r="AS1974" i="3"/>
  <c r="AS1975" i="3"/>
  <c r="AS1976" i="3"/>
  <c r="AS1977" i="3"/>
  <c r="AS1978" i="3"/>
  <c r="AS1979" i="3"/>
  <c r="AS1980" i="3"/>
  <c r="AS1981" i="3"/>
  <c r="AS1982" i="3"/>
  <c r="AS1983" i="3"/>
  <c r="AS1984" i="3"/>
  <c r="AS1985" i="3"/>
  <c r="AS1986" i="3"/>
  <c r="AS1987" i="3"/>
  <c r="AS1988" i="3"/>
  <c r="AS1989" i="3"/>
  <c r="AS1990" i="3"/>
  <c r="AS1991" i="3"/>
  <c r="AS1992" i="3"/>
  <c r="AS1993" i="3"/>
  <c r="AS1994" i="3"/>
  <c r="AS1995" i="3"/>
  <c r="AS1996" i="3"/>
  <c r="AS1997" i="3"/>
  <c r="AS1998" i="3"/>
  <c r="AS1999" i="3"/>
  <c r="AS2000" i="3"/>
  <c r="AS2001" i="3"/>
  <c r="AS2002" i="3"/>
  <c r="AS2003" i="3"/>
  <c r="AS2004" i="3"/>
  <c r="AS2005" i="3"/>
  <c r="AS2006" i="3"/>
  <c r="AS2007" i="3"/>
  <c r="AS2008" i="3"/>
  <c r="AS2009" i="3"/>
  <c r="AS2010" i="3"/>
  <c r="AS2011" i="3"/>
  <c r="AS2012" i="3"/>
  <c r="AS2013" i="3"/>
  <c r="AS2014" i="3"/>
  <c r="AS2015" i="3"/>
  <c r="AS2016" i="3"/>
  <c r="AS2017" i="3"/>
  <c r="AS2018" i="3"/>
  <c r="AS2019" i="3"/>
  <c r="AS2020" i="3"/>
  <c r="AS2021" i="3"/>
  <c r="AS2022" i="3"/>
  <c r="AS2023" i="3"/>
  <c r="AS2024" i="3"/>
  <c r="AS2025" i="3"/>
  <c r="AS2026" i="3"/>
  <c r="AS2027" i="3"/>
  <c r="AS2028" i="3"/>
  <c r="AS2029" i="3"/>
  <c r="AS2030" i="3"/>
  <c r="AS2031" i="3"/>
  <c r="AS2032" i="3"/>
  <c r="AS2033" i="3"/>
  <c r="AS2034" i="3"/>
  <c r="AS2035" i="3"/>
  <c r="AS2036" i="3"/>
  <c r="AS2037" i="3"/>
  <c r="AS2038" i="3"/>
  <c r="AS2039" i="3"/>
  <c r="AS2040" i="3"/>
  <c r="AS2041" i="3"/>
  <c r="AS2042" i="3"/>
  <c r="AS2043" i="3"/>
  <c r="AS2044" i="3"/>
  <c r="AS2045" i="3"/>
  <c r="AS2046" i="3"/>
  <c r="AS2047" i="3"/>
  <c r="AS2048" i="3"/>
  <c r="AS2049" i="3"/>
  <c r="AS2050" i="3"/>
  <c r="AS2051" i="3"/>
  <c r="AS2052" i="3"/>
  <c r="AS2053" i="3"/>
  <c r="AS2054" i="3"/>
  <c r="AS2055" i="3"/>
  <c r="AS2056" i="3"/>
  <c r="AS2057" i="3"/>
  <c r="AS2058" i="3"/>
  <c r="AS2059" i="3"/>
  <c r="AS2060" i="3"/>
  <c r="AS2061" i="3"/>
  <c r="AS2062" i="3"/>
  <c r="AS2063" i="3"/>
  <c r="AS2064" i="3"/>
  <c r="AS2065" i="3"/>
  <c r="AS2066" i="3"/>
  <c r="AS2067" i="3"/>
  <c r="AS2068" i="3"/>
  <c r="AS2069" i="3"/>
  <c r="AS2070" i="3"/>
  <c r="AS2071" i="3"/>
  <c r="AS2072" i="3"/>
  <c r="AS2073" i="3"/>
  <c r="AS2074" i="3"/>
  <c r="AS2075" i="3"/>
  <c r="AS2076" i="3"/>
  <c r="AS2077" i="3"/>
  <c r="AS2078" i="3"/>
  <c r="AS2079" i="3"/>
  <c r="AS2080" i="3"/>
  <c r="AS2081" i="3"/>
  <c r="AS2082" i="3"/>
  <c r="AS2083" i="3"/>
  <c r="AS2084" i="3"/>
  <c r="AS2085" i="3"/>
  <c r="AS2086" i="3"/>
  <c r="AS2087" i="3"/>
  <c r="AS2088" i="3"/>
  <c r="AS2089" i="3"/>
  <c r="AS2090" i="3"/>
  <c r="AS2091" i="3"/>
  <c r="AS2092" i="3"/>
  <c r="AS2093" i="3"/>
  <c r="AS2094" i="3"/>
  <c r="AS2095" i="3"/>
  <c r="AS2096" i="3"/>
  <c r="AS2097" i="3"/>
  <c r="AS2098" i="3"/>
  <c r="AS2099" i="3"/>
  <c r="AS2100" i="3"/>
  <c r="AS2101" i="3"/>
  <c r="AS2102" i="3"/>
  <c r="AS2103" i="3"/>
  <c r="AS2104" i="3"/>
  <c r="AS2105" i="3"/>
  <c r="AS2106" i="3"/>
  <c r="AS2107" i="3"/>
  <c r="AS2108" i="3"/>
  <c r="AS2109" i="3"/>
  <c r="AS2110" i="3"/>
  <c r="AS2111" i="3"/>
  <c r="AS2112" i="3"/>
  <c r="AS2113" i="3"/>
  <c r="AS2114" i="3"/>
  <c r="AS2115" i="3"/>
  <c r="AS2116" i="3"/>
  <c r="AS2117" i="3"/>
  <c r="AS2118" i="3"/>
  <c r="AS2119" i="3"/>
  <c r="AS2120" i="3"/>
  <c r="AS2121" i="3"/>
  <c r="AS2122" i="3"/>
  <c r="AS2123" i="3"/>
  <c r="AS2124" i="3"/>
  <c r="AS2125" i="3"/>
  <c r="AS2126" i="3"/>
  <c r="AS2127" i="3"/>
  <c r="AS2128" i="3"/>
  <c r="AS2129" i="3"/>
  <c r="AS2130" i="3"/>
  <c r="AS2131" i="3"/>
  <c r="AS2132" i="3"/>
  <c r="AS2133" i="3"/>
  <c r="AS2134" i="3"/>
  <c r="AS2135" i="3"/>
  <c r="AS2136" i="3"/>
  <c r="AS2137" i="3"/>
  <c r="AS2138" i="3"/>
  <c r="AS2139" i="3"/>
  <c r="AS2140" i="3"/>
  <c r="AS2141" i="3"/>
  <c r="AS2142" i="3"/>
  <c r="AS2143" i="3"/>
  <c r="AS2144" i="3"/>
  <c r="AS2145" i="3"/>
  <c r="AS2146" i="3"/>
  <c r="AS2147" i="3"/>
  <c r="AS2148" i="3"/>
  <c r="AS2149" i="3"/>
  <c r="AS2150" i="3"/>
  <c r="AS2151" i="3"/>
  <c r="AS2152" i="3"/>
  <c r="AS2153" i="3"/>
  <c r="AS2154" i="3"/>
  <c r="AS2155" i="3"/>
  <c r="AS2156" i="3"/>
  <c r="AS2157" i="3"/>
  <c r="AS2158" i="3"/>
  <c r="AS2159" i="3"/>
  <c r="AS2160" i="3"/>
  <c r="AS2161" i="3"/>
  <c r="AS2162" i="3"/>
  <c r="AS2163" i="3"/>
  <c r="AS2164" i="3"/>
  <c r="AS2165" i="3"/>
  <c r="AS2166" i="3"/>
  <c r="AS2167" i="3"/>
  <c r="AS2168" i="3"/>
  <c r="AS2169" i="3"/>
  <c r="AS2170" i="3"/>
  <c r="AS2171" i="3"/>
  <c r="AS2172" i="3"/>
  <c r="AS2173" i="3"/>
  <c r="AS2174" i="3"/>
  <c r="AS2175" i="3"/>
  <c r="AS2176" i="3"/>
  <c r="AS2177" i="3"/>
  <c r="AS2178" i="3"/>
  <c r="AS2179" i="3"/>
  <c r="AS2180" i="3"/>
  <c r="AS2181" i="3"/>
  <c r="AS2182" i="3"/>
  <c r="AS2183" i="3"/>
  <c r="AS2184" i="3"/>
  <c r="AS2185" i="3"/>
  <c r="AS2186" i="3"/>
  <c r="AS2187" i="3"/>
  <c r="AS2188" i="3"/>
  <c r="AS2189" i="3"/>
  <c r="AS2190" i="3"/>
  <c r="AS2191" i="3"/>
  <c r="AS2192" i="3"/>
  <c r="AS2193" i="3"/>
  <c r="AS2194" i="3"/>
  <c r="AS2195" i="3"/>
  <c r="AS2196" i="3"/>
  <c r="AS2197" i="3"/>
  <c r="AS2198" i="3"/>
  <c r="AS2199" i="3"/>
  <c r="AS2200" i="3"/>
  <c r="AS2201" i="3"/>
  <c r="AS2202" i="3"/>
  <c r="AS2203" i="3"/>
  <c r="AS2204" i="3"/>
  <c r="AS2205" i="3"/>
  <c r="AS2206" i="3"/>
  <c r="AS2207" i="3"/>
  <c r="AS2208" i="3"/>
  <c r="AS2209" i="3"/>
  <c r="AS2210" i="3"/>
  <c r="AS2211" i="3"/>
  <c r="AS2212" i="3"/>
  <c r="AS2213" i="3"/>
  <c r="AS2214" i="3"/>
  <c r="AS2215" i="3"/>
  <c r="AS2216" i="3"/>
  <c r="AS2217" i="3"/>
  <c r="AS2218" i="3"/>
  <c r="AS2219" i="3"/>
  <c r="AS2220" i="3"/>
  <c r="AS2221" i="3"/>
  <c r="AS2222" i="3"/>
  <c r="AS2223" i="3"/>
  <c r="AS2224" i="3"/>
  <c r="AS2225" i="3"/>
  <c r="AS2226" i="3"/>
  <c r="AS2227" i="3"/>
  <c r="AS2228" i="3"/>
  <c r="AS2229" i="3"/>
  <c r="AS2230" i="3"/>
  <c r="AS2231" i="3"/>
  <c r="AS2232" i="3"/>
  <c r="AS2233" i="3"/>
  <c r="AS2234" i="3"/>
  <c r="AS2235" i="3"/>
  <c r="AS2236" i="3"/>
  <c r="AS2237" i="3"/>
  <c r="AS2238" i="3"/>
  <c r="AS2239" i="3"/>
  <c r="AS2240" i="3"/>
  <c r="AS2241" i="3"/>
  <c r="AR2" i="3"/>
  <c r="AR3" i="3"/>
  <c r="AR4" i="3"/>
  <c r="AR5" i="3"/>
  <c r="AR6" i="3"/>
  <c r="AR7" i="3"/>
  <c r="AR8" i="3"/>
  <c r="AR9" i="3"/>
  <c r="AR10" i="3"/>
  <c r="AR11" i="3"/>
  <c r="AR12" i="3"/>
  <c r="AR13" i="3"/>
  <c r="AR14" i="3"/>
  <c r="AR15" i="3"/>
  <c r="AR16" i="3"/>
  <c r="AR17" i="3"/>
  <c r="AR18" i="3"/>
  <c r="AR19" i="3"/>
  <c r="AR20" i="3"/>
  <c r="AR21" i="3"/>
  <c r="AR22" i="3"/>
  <c r="AR23" i="3"/>
  <c r="AR24" i="3"/>
  <c r="AR25" i="3"/>
  <c r="AR26" i="3"/>
  <c r="AR27" i="3"/>
  <c r="AR28" i="3"/>
  <c r="AR29" i="3"/>
  <c r="AR30" i="3"/>
  <c r="AR31" i="3"/>
  <c r="AR32" i="3"/>
  <c r="AR33" i="3"/>
  <c r="AR34" i="3"/>
  <c r="AR35" i="3"/>
  <c r="AR36" i="3"/>
  <c r="AR37" i="3"/>
  <c r="AR38" i="3"/>
  <c r="AR39" i="3"/>
  <c r="AR40" i="3"/>
  <c r="AR41" i="3"/>
  <c r="AR42" i="3"/>
  <c r="AR43" i="3"/>
  <c r="AR44" i="3"/>
  <c r="AR45" i="3"/>
  <c r="AR46" i="3"/>
  <c r="AR47" i="3"/>
  <c r="AR48" i="3"/>
  <c r="AR49" i="3"/>
  <c r="AR50" i="3"/>
  <c r="AR51" i="3"/>
  <c r="AR52" i="3"/>
  <c r="AR53" i="3"/>
  <c r="AR54" i="3"/>
  <c r="AR55" i="3"/>
  <c r="AR56" i="3"/>
  <c r="AR57" i="3"/>
  <c r="AR58" i="3"/>
  <c r="AR59" i="3"/>
  <c r="AR60" i="3"/>
  <c r="AR61" i="3"/>
  <c r="AR62" i="3"/>
  <c r="AR63" i="3"/>
  <c r="AR64" i="3"/>
  <c r="AR65" i="3"/>
  <c r="AR66" i="3"/>
  <c r="AR67" i="3"/>
  <c r="AR68" i="3"/>
  <c r="AR69" i="3"/>
  <c r="AR70" i="3"/>
  <c r="AR71" i="3"/>
  <c r="AR72" i="3"/>
  <c r="AR73" i="3"/>
  <c r="AR74" i="3"/>
  <c r="AR75" i="3"/>
  <c r="AR76" i="3"/>
  <c r="AR77" i="3"/>
  <c r="AR78" i="3"/>
  <c r="AR79" i="3"/>
  <c r="AR80" i="3"/>
  <c r="AR81" i="3"/>
  <c r="AR82" i="3"/>
  <c r="AR83" i="3"/>
  <c r="AR84" i="3"/>
  <c r="AR85" i="3"/>
  <c r="AR86" i="3"/>
  <c r="AR87" i="3"/>
  <c r="AR88" i="3"/>
  <c r="AR89" i="3"/>
  <c r="AR90" i="3"/>
  <c r="AR91" i="3"/>
  <c r="AR92" i="3"/>
  <c r="AR93" i="3"/>
  <c r="AR94" i="3"/>
  <c r="AR95" i="3"/>
  <c r="AR96" i="3"/>
  <c r="AR97" i="3"/>
  <c r="AR98" i="3"/>
  <c r="AR99" i="3"/>
  <c r="AR100" i="3"/>
  <c r="AR101" i="3"/>
  <c r="AR102" i="3"/>
  <c r="AR103" i="3"/>
  <c r="AR104" i="3"/>
  <c r="AR105" i="3"/>
  <c r="AR106" i="3"/>
  <c r="AR107" i="3"/>
  <c r="AR108" i="3"/>
  <c r="AR109" i="3"/>
  <c r="AR110" i="3"/>
  <c r="AR111" i="3"/>
  <c r="AR112" i="3"/>
  <c r="AR113" i="3"/>
  <c r="AR114" i="3"/>
  <c r="AR115" i="3"/>
  <c r="AR116" i="3"/>
  <c r="AR117" i="3"/>
  <c r="AR118" i="3"/>
  <c r="AR119" i="3"/>
  <c r="AR120" i="3"/>
  <c r="AR121" i="3"/>
  <c r="AR122" i="3"/>
  <c r="AR123" i="3"/>
  <c r="AR124" i="3"/>
  <c r="AR125" i="3"/>
  <c r="AR126" i="3"/>
  <c r="AR127" i="3"/>
  <c r="AR128" i="3"/>
  <c r="AR129" i="3"/>
  <c r="AR130" i="3"/>
  <c r="AR131" i="3"/>
  <c r="AR132" i="3"/>
  <c r="AR133" i="3"/>
  <c r="AR134" i="3"/>
  <c r="AR135" i="3"/>
  <c r="AR136" i="3"/>
  <c r="AR137" i="3"/>
  <c r="AR138" i="3"/>
  <c r="AR139" i="3"/>
  <c r="AR140" i="3"/>
  <c r="AR141" i="3"/>
  <c r="AR142" i="3"/>
  <c r="AR143" i="3"/>
  <c r="AR144" i="3"/>
  <c r="AR145" i="3"/>
  <c r="AR146" i="3"/>
  <c r="AR147" i="3"/>
  <c r="AR148" i="3"/>
  <c r="AR149" i="3"/>
  <c r="AR150" i="3"/>
  <c r="AR151" i="3"/>
  <c r="AR152" i="3"/>
  <c r="AR153" i="3"/>
  <c r="AR154" i="3"/>
  <c r="AR155" i="3"/>
  <c r="AR156" i="3"/>
  <c r="AR157" i="3"/>
  <c r="AR158" i="3"/>
  <c r="AR159" i="3"/>
  <c r="AR160" i="3"/>
  <c r="AR161" i="3"/>
  <c r="AR162" i="3"/>
  <c r="AR163" i="3"/>
  <c r="AR164" i="3"/>
  <c r="AR165" i="3"/>
  <c r="AR166" i="3"/>
  <c r="AR167" i="3"/>
  <c r="AR168" i="3"/>
  <c r="AR169" i="3"/>
  <c r="AR170" i="3"/>
  <c r="AR171" i="3"/>
  <c r="AR172" i="3"/>
  <c r="AR173" i="3"/>
  <c r="AR174" i="3"/>
  <c r="AR175" i="3"/>
  <c r="AR176" i="3"/>
  <c r="AR177" i="3"/>
  <c r="AR178" i="3"/>
  <c r="AR179" i="3"/>
  <c r="AR180" i="3"/>
  <c r="AR181" i="3"/>
  <c r="AR182" i="3"/>
  <c r="AR183" i="3"/>
  <c r="AR184" i="3"/>
  <c r="AR185" i="3"/>
  <c r="AR186" i="3"/>
  <c r="AR187" i="3"/>
  <c r="AR188" i="3"/>
  <c r="AR189" i="3"/>
  <c r="AR190" i="3"/>
  <c r="AR191" i="3"/>
  <c r="AR192" i="3"/>
  <c r="AR193" i="3"/>
  <c r="AR194" i="3"/>
  <c r="AR195" i="3"/>
  <c r="AR196" i="3"/>
  <c r="AR197" i="3"/>
  <c r="AR198" i="3"/>
  <c r="AR199" i="3"/>
  <c r="AR200" i="3"/>
  <c r="AR201" i="3"/>
  <c r="AR202" i="3"/>
  <c r="AR203" i="3"/>
  <c r="AR204" i="3"/>
  <c r="AR205" i="3"/>
  <c r="AR206" i="3"/>
  <c r="AR207" i="3"/>
  <c r="AR208" i="3"/>
  <c r="AR209" i="3"/>
  <c r="AR210" i="3"/>
  <c r="AR211" i="3"/>
  <c r="AR212" i="3"/>
  <c r="AR213" i="3"/>
  <c r="AR214" i="3"/>
  <c r="AR215" i="3"/>
  <c r="AR216" i="3"/>
  <c r="AR217" i="3"/>
  <c r="AR218" i="3"/>
  <c r="AR219" i="3"/>
  <c r="AR220" i="3"/>
  <c r="AR221" i="3"/>
  <c r="AR222" i="3"/>
  <c r="AR223" i="3"/>
  <c r="AR224" i="3"/>
  <c r="AR225" i="3"/>
  <c r="AR226" i="3"/>
  <c r="AR227" i="3"/>
  <c r="AR228" i="3"/>
  <c r="AR229" i="3"/>
  <c r="AR230" i="3"/>
  <c r="AR231" i="3"/>
  <c r="AR232" i="3"/>
  <c r="AR233" i="3"/>
  <c r="AR234" i="3"/>
  <c r="AR235" i="3"/>
  <c r="AR236" i="3"/>
  <c r="AR237" i="3"/>
  <c r="AR238" i="3"/>
  <c r="AR239" i="3"/>
  <c r="AR240" i="3"/>
  <c r="AR241" i="3"/>
  <c r="AR242" i="3"/>
  <c r="AR243" i="3"/>
  <c r="AR244" i="3"/>
  <c r="AR245" i="3"/>
  <c r="AR246" i="3"/>
  <c r="AR247" i="3"/>
  <c r="AR248" i="3"/>
  <c r="AR249" i="3"/>
  <c r="AR250" i="3"/>
  <c r="AR251" i="3"/>
  <c r="AR252" i="3"/>
  <c r="AR253" i="3"/>
  <c r="AR254" i="3"/>
  <c r="AR255" i="3"/>
  <c r="AR256" i="3"/>
  <c r="AR257" i="3"/>
  <c r="AR258" i="3"/>
  <c r="AR259" i="3"/>
  <c r="AR260" i="3"/>
  <c r="AR261" i="3"/>
  <c r="AR262" i="3"/>
  <c r="AR263" i="3"/>
  <c r="AR264" i="3"/>
  <c r="AR265" i="3"/>
  <c r="AR266" i="3"/>
  <c r="AR267" i="3"/>
  <c r="AR268" i="3"/>
  <c r="AR269" i="3"/>
  <c r="AR270" i="3"/>
  <c r="AR271" i="3"/>
  <c r="AR272" i="3"/>
  <c r="AR273" i="3"/>
  <c r="AR274" i="3"/>
  <c r="AR275" i="3"/>
  <c r="AR276" i="3"/>
  <c r="AR277" i="3"/>
  <c r="AR278" i="3"/>
  <c r="AR279" i="3"/>
  <c r="AR280" i="3"/>
  <c r="AR281" i="3"/>
  <c r="AR282" i="3"/>
  <c r="AR283" i="3"/>
  <c r="AR284" i="3"/>
  <c r="AR285" i="3"/>
  <c r="AR286" i="3"/>
  <c r="AR287" i="3"/>
  <c r="AR288" i="3"/>
  <c r="AR289" i="3"/>
  <c r="AR290" i="3"/>
  <c r="AR291" i="3"/>
  <c r="AR292" i="3"/>
  <c r="AR293" i="3"/>
  <c r="AR294" i="3"/>
  <c r="AR295" i="3"/>
  <c r="AR296" i="3"/>
  <c r="AR297" i="3"/>
  <c r="AR298" i="3"/>
  <c r="AR299" i="3"/>
  <c r="AR300" i="3"/>
  <c r="AR301" i="3"/>
  <c r="AR302" i="3"/>
  <c r="AR303" i="3"/>
  <c r="AR304" i="3"/>
  <c r="AR305" i="3"/>
  <c r="AR306" i="3"/>
  <c r="AR307" i="3"/>
  <c r="AR308" i="3"/>
  <c r="AR309" i="3"/>
  <c r="AR310" i="3"/>
  <c r="AR311" i="3"/>
  <c r="AR312" i="3"/>
  <c r="AR313" i="3"/>
  <c r="AR314" i="3"/>
  <c r="AR315" i="3"/>
  <c r="AR316" i="3"/>
  <c r="AR317" i="3"/>
  <c r="AR318" i="3"/>
  <c r="AR319" i="3"/>
  <c r="AR320" i="3"/>
  <c r="AR321" i="3"/>
  <c r="AR322" i="3"/>
  <c r="AR323" i="3"/>
  <c r="AR324" i="3"/>
  <c r="AR325" i="3"/>
  <c r="AR326" i="3"/>
  <c r="AR327" i="3"/>
  <c r="AR328" i="3"/>
  <c r="AR329" i="3"/>
  <c r="AR330" i="3"/>
  <c r="AR331" i="3"/>
  <c r="AR332" i="3"/>
  <c r="AR333" i="3"/>
  <c r="AR334" i="3"/>
  <c r="AR335" i="3"/>
  <c r="AR336" i="3"/>
  <c r="AR337" i="3"/>
  <c r="AR338" i="3"/>
  <c r="AR339" i="3"/>
  <c r="AR340" i="3"/>
  <c r="AR341" i="3"/>
  <c r="AR342" i="3"/>
  <c r="AR343" i="3"/>
  <c r="AR344" i="3"/>
  <c r="AR345" i="3"/>
  <c r="AR346" i="3"/>
  <c r="AR347" i="3"/>
  <c r="AR348" i="3"/>
  <c r="AR349" i="3"/>
  <c r="AR350" i="3"/>
  <c r="AR351" i="3"/>
  <c r="AR352" i="3"/>
  <c r="AR353" i="3"/>
  <c r="AR354" i="3"/>
  <c r="AR355" i="3"/>
  <c r="AR356" i="3"/>
  <c r="AR357" i="3"/>
  <c r="AR358" i="3"/>
  <c r="AR359" i="3"/>
  <c r="AR360" i="3"/>
  <c r="AR361" i="3"/>
  <c r="AR362" i="3"/>
  <c r="AR363" i="3"/>
  <c r="AR364" i="3"/>
  <c r="AR365" i="3"/>
  <c r="AR366" i="3"/>
  <c r="AR367" i="3"/>
  <c r="AR368" i="3"/>
  <c r="AR369" i="3"/>
  <c r="AR370" i="3"/>
  <c r="AR371" i="3"/>
  <c r="AR372" i="3"/>
  <c r="AR373" i="3"/>
  <c r="AR374" i="3"/>
  <c r="AR375" i="3"/>
  <c r="AR376" i="3"/>
  <c r="AR377" i="3"/>
  <c r="AR378" i="3"/>
  <c r="AR379" i="3"/>
  <c r="AR380" i="3"/>
  <c r="AR381" i="3"/>
  <c r="AR382" i="3"/>
  <c r="AR383" i="3"/>
  <c r="AR384" i="3"/>
  <c r="AR385" i="3"/>
  <c r="AR386" i="3"/>
  <c r="AR387" i="3"/>
  <c r="AR388" i="3"/>
  <c r="AR389" i="3"/>
  <c r="AR390" i="3"/>
  <c r="AR391" i="3"/>
  <c r="AR392" i="3"/>
  <c r="AR393" i="3"/>
  <c r="AR394" i="3"/>
  <c r="AR395" i="3"/>
  <c r="AR396" i="3"/>
  <c r="AR397" i="3"/>
  <c r="AR398" i="3"/>
  <c r="AR399" i="3"/>
  <c r="AR400" i="3"/>
  <c r="AR401" i="3"/>
  <c r="AR402" i="3"/>
  <c r="AR403" i="3"/>
  <c r="AR404" i="3"/>
  <c r="AR405" i="3"/>
  <c r="AR406" i="3"/>
  <c r="AR407" i="3"/>
  <c r="AR408" i="3"/>
  <c r="AR409" i="3"/>
  <c r="AR410" i="3"/>
  <c r="AR411" i="3"/>
  <c r="AR412" i="3"/>
  <c r="AR413" i="3"/>
  <c r="AR414" i="3"/>
  <c r="AR415" i="3"/>
  <c r="AR416" i="3"/>
  <c r="AR417" i="3"/>
  <c r="AR418" i="3"/>
  <c r="AR419" i="3"/>
  <c r="AR420" i="3"/>
  <c r="AR421" i="3"/>
  <c r="AR422" i="3"/>
  <c r="AR423" i="3"/>
  <c r="AR424" i="3"/>
  <c r="AR425" i="3"/>
  <c r="AR426" i="3"/>
  <c r="AR427" i="3"/>
  <c r="AR428" i="3"/>
  <c r="AR429" i="3"/>
  <c r="AR430" i="3"/>
  <c r="AR431" i="3"/>
  <c r="AR432" i="3"/>
  <c r="AR433" i="3"/>
  <c r="AR434" i="3"/>
  <c r="AR435" i="3"/>
  <c r="AR436" i="3"/>
  <c r="AR437" i="3"/>
  <c r="AR438" i="3"/>
  <c r="AR439" i="3"/>
  <c r="AR440" i="3"/>
  <c r="AR441" i="3"/>
  <c r="AR442" i="3"/>
  <c r="AR443" i="3"/>
  <c r="AR444" i="3"/>
  <c r="AR445" i="3"/>
  <c r="AR446" i="3"/>
  <c r="AR447" i="3"/>
  <c r="AR448" i="3"/>
  <c r="AR449" i="3"/>
  <c r="AR450" i="3"/>
  <c r="AR451" i="3"/>
  <c r="AR452" i="3"/>
  <c r="AR453" i="3"/>
  <c r="AR454" i="3"/>
  <c r="AR455" i="3"/>
  <c r="AR456" i="3"/>
  <c r="AR457" i="3"/>
  <c r="AR458" i="3"/>
  <c r="AR459" i="3"/>
  <c r="AR460" i="3"/>
  <c r="AR461" i="3"/>
  <c r="AR462" i="3"/>
  <c r="AR463" i="3"/>
  <c r="AR464" i="3"/>
  <c r="AR465" i="3"/>
  <c r="AR466" i="3"/>
  <c r="AR467" i="3"/>
  <c r="AR468" i="3"/>
  <c r="AR469" i="3"/>
  <c r="AR470" i="3"/>
  <c r="AR471" i="3"/>
  <c r="AR472" i="3"/>
  <c r="AR473" i="3"/>
  <c r="AR474" i="3"/>
  <c r="AR475" i="3"/>
  <c r="AR476" i="3"/>
  <c r="AR477" i="3"/>
  <c r="AR478" i="3"/>
  <c r="AR479" i="3"/>
  <c r="AR480" i="3"/>
  <c r="AR481" i="3"/>
  <c r="AR482" i="3"/>
  <c r="AR483" i="3"/>
  <c r="AR484" i="3"/>
  <c r="AR485" i="3"/>
  <c r="AR486" i="3"/>
  <c r="AR487" i="3"/>
  <c r="AR488" i="3"/>
  <c r="AR489" i="3"/>
  <c r="AR490" i="3"/>
  <c r="AR491" i="3"/>
  <c r="AR492" i="3"/>
  <c r="AR493" i="3"/>
  <c r="AR494" i="3"/>
  <c r="AR495" i="3"/>
  <c r="AR496" i="3"/>
  <c r="AR497" i="3"/>
  <c r="AR498" i="3"/>
  <c r="AR499" i="3"/>
  <c r="AR500" i="3"/>
  <c r="AR501" i="3"/>
  <c r="AR502" i="3"/>
  <c r="AR503" i="3"/>
  <c r="AR504" i="3"/>
  <c r="AR505" i="3"/>
  <c r="AR506" i="3"/>
  <c r="AR507" i="3"/>
  <c r="AR508" i="3"/>
  <c r="AR509" i="3"/>
  <c r="AR510" i="3"/>
  <c r="AR511" i="3"/>
  <c r="AR512" i="3"/>
  <c r="AR513" i="3"/>
  <c r="AR514" i="3"/>
  <c r="AR515" i="3"/>
  <c r="AR516" i="3"/>
  <c r="AR517" i="3"/>
  <c r="AR518" i="3"/>
  <c r="AR519" i="3"/>
  <c r="AR520" i="3"/>
  <c r="AR521" i="3"/>
  <c r="AR522" i="3"/>
  <c r="AR523" i="3"/>
  <c r="AR524" i="3"/>
  <c r="AR525" i="3"/>
  <c r="AR526" i="3"/>
  <c r="AR527" i="3"/>
  <c r="AR528" i="3"/>
  <c r="AR529" i="3"/>
  <c r="AR530" i="3"/>
  <c r="AR531" i="3"/>
  <c r="AR532" i="3"/>
  <c r="AR533" i="3"/>
  <c r="AR534" i="3"/>
  <c r="AR535" i="3"/>
  <c r="AR536" i="3"/>
  <c r="AR537" i="3"/>
  <c r="AR538" i="3"/>
  <c r="AR539" i="3"/>
  <c r="AR540" i="3"/>
  <c r="AR541" i="3"/>
  <c r="AR542" i="3"/>
  <c r="AR543" i="3"/>
  <c r="AR544" i="3"/>
  <c r="AR545" i="3"/>
  <c r="AR546" i="3"/>
  <c r="AR547" i="3"/>
  <c r="AR548" i="3"/>
  <c r="AR549" i="3"/>
  <c r="AR550" i="3"/>
  <c r="AR551" i="3"/>
  <c r="AR552" i="3"/>
  <c r="AR553" i="3"/>
  <c r="AR554" i="3"/>
  <c r="AR555" i="3"/>
  <c r="AR556" i="3"/>
  <c r="AR557" i="3"/>
  <c r="AR558" i="3"/>
  <c r="AR559" i="3"/>
  <c r="AR560" i="3"/>
  <c r="AR561" i="3"/>
  <c r="AR562" i="3"/>
  <c r="AR563" i="3"/>
  <c r="AR564" i="3"/>
  <c r="AR565" i="3"/>
  <c r="AR566" i="3"/>
  <c r="AR567" i="3"/>
  <c r="AR568" i="3"/>
  <c r="AR569" i="3"/>
  <c r="AR570" i="3"/>
  <c r="AR571" i="3"/>
  <c r="AR572" i="3"/>
  <c r="AR573" i="3"/>
  <c r="AR574" i="3"/>
  <c r="AR575" i="3"/>
  <c r="AR576" i="3"/>
  <c r="AR577" i="3"/>
  <c r="AR578" i="3"/>
  <c r="AR579" i="3"/>
  <c r="AR580" i="3"/>
  <c r="AR581" i="3"/>
  <c r="AR582" i="3"/>
  <c r="AR583" i="3"/>
  <c r="AR584" i="3"/>
  <c r="AR585" i="3"/>
  <c r="AR586" i="3"/>
  <c r="AR587" i="3"/>
  <c r="AR588" i="3"/>
  <c r="AR589" i="3"/>
  <c r="AR590" i="3"/>
  <c r="AR591" i="3"/>
  <c r="AR592" i="3"/>
  <c r="AR593" i="3"/>
  <c r="AR594" i="3"/>
  <c r="AR595" i="3"/>
  <c r="AR596" i="3"/>
  <c r="AR597" i="3"/>
  <c r="AR598" i="3"/>
  <c r="AR599" i="3"/>
  <c r="AR600" i="3"/>
  <c r="AR601" i="3"/>
  <c r="AR602" i="3"/>
  <c r="AR603" i="3"/>
  <c r="AR604" i="3"/>
  <c r="AR605" i="3"/>
  <c r="AR606" i="3"/>
  <c r="AR607" i="3"/>
  <c r="AR608" i="3"/>
  <c r="AR609" i="3"/>
  <c r="AR610" i="3"/>
  <c r="AR611" i="3"/>
  <c r="AR612" i="3"/>
  <c r="AR613" i="3"/>
  <c r="AR614" i="3"/>
  <c r="AR615" i="3"/>
  <c r="AR616" i="3"/>
  <c r="AR617" i="3"/>
  <c r="AR618" i="3"/>
  <c r="AR619" i="3"/>
  <c r="AR620" i="3"/>
  <c r="AR621" i="3"/>
  <c r="AR622" i="3"/>
  <c r="AR623" i="3"/>
  <c r="AR624" i="3"/>
  <c r="AR625" i="3"/>
  <c r="AR626" i="3"/>
  <c r="AR627" i="3"/>
  <c r="AR628" i="3"/>
  <c r="AR629" i="3"/>
  <c r="AR630" i="3"/>
  <c r="AR631" i="3"/>
  <c r="AR632" i="3"/>
  <c r="AR633" i="3"/>
  <c r="AR634" i="3"/>
  <c r="AR635" i="3"/>
  <c r="AR636" i="3"/>
  <c r="AR637" i="3"/>
  <c r="AR638" i="3"/>
  <c r="AR639" i="3"/>
  <c r="AR640" i="3"/>
  <c r="AR641" i="3"/>
  <c r="AR642" i="3"/>
  <c r="AR643" i="3"/>
  <c r="AR644" i="3"/>
  <c r="AR645" i="3"/>
  <c r="AR646" i="3"/>
  <c r="AR647" i="3"/>
  <c r="AR648" i="3"/>
  <c r="AR649" i="3"/>
  <c r="AR650" i="3"/>
  <c r="AR651" i="3"/>
  <c r="AR652" i="3"/>
  <c r="AR653" i="3"/>
  <c r="AR654" i="3"/>
  <c r="AR655" i="3"/>
  <c r="AR656" i="3"/>
  <c r="AR657" i="3"/>
  <c r="AR658" i="3"/>
  <c r="AR659" i="3"/>
  <c r="AR660" i="3"/>
  <c r="AR661" i="3"/>
  <c r="AR662" i="3"/>
  <c r="AR663" i="3"/>
  <c r="AR664" i="3"/>
  <c r="AR665" i="3"/>
  <c r="AR666" i="3"/>
  <c r="AR667" i="3"/>
  <c r="AR668" i="3"/>
  <c r="AR669" i="3"/>
  <c r="AR670" i="3"/>
  <c r="AR671" i="3"/>
  <c r="AR672" i="3"/>
  <c r="AR673" i="3"/>
  <c r="AR674" i="3"/>
  <c r="AR675" i="3"/>
  <c r="AR676" i="3"/>
  <c r="AR677" i="3"/>
  <c r="AR678" i="3"/>
  <c r="AR679" i="3"/>
  <c r="AR680" i="3"/>
  <c r="AR681" i="3"/>
  <c r="AR682" i="3"/>
  <c r="AR683" i="3"/>
  <c r="AR684" i="3"/>
  <c r="AR685" i="3"/>
  <c r="AR686" i="3"/>
  <c r="AR687" i="3"/>
  <c r="AR688" i="3"/>
  <c r="AR689" i="3"/>
  <c r="AR690" i="3"/>
  <c r="AR691" i="3"/>
  <c r="AR692" i="3"/>
  <c r="AR693" i="3"/>
  <c r="AR694" i="3"/>
  <c r="AR695" i="3"/>
  <c r="AR696" i="3"/>
  <c r="AR697" i="3"/>
  <c r="AR698" i="3"/>
  <c r="AR699" i="3"/>
  <c r="AR700" i="3"/>
  <c r="AR701" i="3"/>
  <c r="AR702" i="3"/>
  <c r="AR703" i="3"/>
  <c r="AR704" i="3"/>
  <c r="AR705" i="3"/>
  <c r="AR706" i="3"/>
  <c r="AR707" i="3"/>
  <c r="AR708" i="3"/>
  <c r="AR709" i="3"/>
  <c r="AR710" i="3"/>
  <c r="AR711" i="3"/>
  <c r="AR712" i="3"/>
  <c r="AR713" i="3"/>
  <c r="AR714" i="3"/>
  <c r="AR715" i="3"/>
  <c r="AR716" i="3"/>
  <c r="AR717" i="3"/>
  <c r="AR718" i="3"/>
  <c r="AR719" i="3"/>
  <c r="AR720" i="3"/>
  <c r="AR721" i="3"/>
  <c r="AR722" i="3"/>
  <c r="AR723" i="3"/>
  <c r="AR724" i="3"/>
  <c r="AR725" i="3"/>
  <c r="AR726" i="3"/>
  <c r="AR727" i="3"/>
  <c r="AR728" i="3"/>
  <c r="AR729" i="3"/>
  <c r="AR730" i="3"/>
  <c r="AR731" i="3"/>
  <c r="AR732" i="3"/>
  <c r="AR733" i="3"/>
  <c r="AR734" i="3"/>
  <c r="AR735" i="3"/>
  <c r="AR736" i="3"/>
  <c r="AR737" i="3"/>
  <c r="AR738" i="3"/>
  <c r="AR739" i="3"/>
  <c r="AR740" i="3"/>
  <c r="AR741" i="3"/>
  <c r="AR742" i="3"/>
  <c r="AR743" i="3"/>
  <c r="AR744" i="3"/>
  <c r="AR745" i="3"/>
  <c r="AR746" i="3"/>
  <c r="AR747" i="3"/>
  <c r="AR748" i="3"/>
  <c r="AR749" i="3"/>
  <c r="AR750" i="3"/>
  <c r="AR751" i="3"/>
  <c r="AR752" i="3"/>
  <c r="AR753" i="3"/>
  <c r="AR754" i="3"/>
  <c r="AR755" i="3"/>
  <c r="AR756" i="3"/>
  <c r="AR757" i="3"/>
  <c r="AR758" i="3"/>
  <c r="AR759" i="3"/>
  <c r="AR760" i="3"/>
  <c r="AR761" i="3"/>
  <c r="AR762" i="3"/>
  <c r="AR763" i="3"/>
  <c r="AR764" i="3"/>
  <c r="AR765" i="3"/>
  <c r="AR766" i="3"/>
  <c r="AR767" i="3"/>
  <c r="AR768" i="3"/>
  <c r="AR769" i="3"/>
  <c r="AR770" i="3"/>
  <c r="AR771" i="3"/>
  <c r="AR772" i="3"/>
  <c r="AR773" i="3"/>
  <c r="AR774" i="3"/>
  <c r="AR775" i="3"/>
  <c r="AR776" i="3"/>
  <c r="AR777" i="3"/>
  <c r="AR778" i="3"/>
  <c r="AR779" i="3"/>
  <c r="AR780" i="3"/>
  <c r="AR781" i="3"/>
  <c r="AR782" i="3"/>
  <c r="AR783" i="3"/>
  <c r="AR784" i="3"/>
  <c r="AR785" i="3"/>
  <c r="AR786" i="3"/>
  <c r="AR787" i="3"/>
  <c r="AR788" i="3"/>
  <c r="AR789" i="3"/>
  <c r="AR790" i="3"/>
  <c r="AR791" i="3"/>
  <c r="AR792" i="3"/>
  <c r="AR793" i="3"/>
  <c r="AR794" i="3"/>
  <c r="AR795" i="3"/>
  <c r="AR796" i="3"/>
  <c r="AR797" i="3"/>
  <c r="AR798" i="3"/>
  <c r="AR799" i="3"/>
  <c r="AR800" i="3"/>
  <c r="AR801" i="3"/>
  <c r="AR802" i="3"/>
  <c r="AR803" i="3"/>
  <c r="AR804" i="3"/>
  <c r="AR805" i="3"/>
  <c r="AR806" i="3"/>
  <c r="AR807" i="3"/>
  <c r="AR808" i="3"/>
  <c r="AR809" i="3"/>
  <c r="AR810" i="3"/>
  <c r="AR811" i="3"/>
  <c r="AR812" i="3"/>
  <c r="AR813" i="3"/>
  <c r="AR814" i="3"/>
  <c r="AR815" i="3"/>
  <c r="AR816" i="3"/>
  <c r="AR817" i="3"/>
  <c r="AR818" i="3"/>
  <c r="AR819" i="3"/>
  <c r="AR820" i="3"/>
  <c r="AR821" i="3"/>
  <c r="AR822" i="3"/>
  <c r="AR823" i="3"/>
  <c r="AR824" i="3"/>
  <c r="AR825" i="3"/>
  <c r="AR826" i="3"/>
  <c r="AR827" i="3"/>
  <c r="AR828" i="3"/>
  <c r="AR829" i="3"/>
  <c r="AR830" i="3"/>
  <c r="AR831" i="3"/>
  <c r="AR832" i="3"/>
  <c r="AR833" i="3"/>
  <c r="AR834" i="3"/>
  <c r="AR835" i="3"/>
  <c r="AR836" i="3"/>
  <c r="AR837" i="3"/>
  <c r="AR838" i="3"/>
  <c r="AR839" i="3"/>
  <c r="AR840" i="3"/>
  <c r="AR841" i="3"/>
  <c r="AR842" i="3"/>
  <c r="AR843" i="3"/>
  <c r="AR844" i="3"/>
  <c r="AR845" i="3"/>
  <c r="AR846" i="3"/>
  <c r="AR847" i="3"/>
  <c r="AR848" i="3"/>
  <c r="AR849" i="3"/>
  <c r="AR850" i="3"/>
  <c r="AR851" i="3"/>
  <c r="AR852" i="3"/>
  <c r="AR853" i="3"/>
  <c r="AR854" i="3"/>
  <c r="AR855" i="3"/>
  <c r="AR856" i="3"/>
  <c r="AR857" i="3"/>
  <c r="AR858" i="3"/>
  <c r="AR859" i="3"/>
  <c r="AR860" i="3"/>
  <c r="AR861" i="3"/>
  <c r="AR862" i="3"/>
  <c r="AR863" i="3"/>
  <c r="AR864" i="3"/>
  <c r="AR865" i="3"/>
  <c r="AR866" i="3"/>
  <c r="AR867" i="3"/>
  <c r="AR868" i="3"/>
  <c r="AR869" i="3"/>
  <c r="AR870" i="3"/>
  <c r="AR871" i="3"/>
  <c r="AR872" i="3"/>
  <c r="AR873" i="3"/>
  <c r="AR874" i="3"/>
  <c r="AR875" i="3"/>
  <c r="AR876" i="3"/>
  <c r="AR877" i="3"/>
  <c r="AR878" i="3"/>
  <c r="AR879" i="3"/>
  <c r="AR880" i="3"/>
  <c r="AR881" i="3"/>
  <c r="AR882" i="3"/>
  <c r="AR883" i="3"/>
  <c r="AR884" i="3"/>
  <c r="AR885" i="3"/>
  <c r="AR886" i="3"/>
  <c r="AR887" i="3"/>
  <c r="AR888" i="3"/>
  <c r="AR889" i="3"/>
  <c r="AR890" i="3"/>
  <c r="AR891" i="3"/>
  <c r="AR892" i="3"/>
  <c r="AR893" i="3"/>
  <c r="AR894" i="3"/>
  <c r="AR895" i="3"/>
  <c r="AR896" i="3"/>
  <c r="AR897" i="3"/>
  <c r="AR898" i="3"/>
  <c r="AR899" i="3"/>
  <c r="AR900" i="3"/>
  <c r="AR901" i="3"/>
  <c r="AR902" i="3"/>
  <c r="AR903" i="3"/>
  <c r="AR904" i="3"/>
  <c r="AR905" i="3"/>
  <c r="AR906" i="3"/>
  <c r="AR907" i="3"/>
  <c r="AR908" i="3"/>
  <c r="AR909" i="3"/>
  <c r="AR910" i="3"/>
  <c r="AR911" i="3"/>
  <c r="AR912" i="3"/>
  <c r="AR913" i="3"/>
  <c r="AR914" i="3"/>
  <c r="AR915" i="3"/>
  <c r="AR916" i="3"/>
  <c r="AR917" i="3"/>
  <c r="AR918" i="3"/>
  <c r="AR919" i="3"/>
  <c r="AR920" i="3"/>
  <c r="AR921" i="3"/>
  <c r="AR922" i="3"/>
  <c r="AR923" i="3"/>
  <c r="AR924" i="3"/>
  <c r="AR925" i="3"/>
  <c r="AR926" i="3"/>
  <c r="AR927" i="3"/>
  <c r="AR928" i="3"/>
  <c r="AR929" i="3"/>
  <c r="AR930" i="3"/>
  <c r="AR931" i="3"/>
  <c r="AR932" i="3"/>
  <c r="AR933" i="3"/>
  <c r="AR934" i="3"/>
  <c r="AR935" i="3"/>
  <c r="AR936" i="3"/>
  <c r="AR937" i="3"/>
  <c r="AR938" i="3"/>
  <c r="AR939" i="3"/>
  <c r="AR940" i="3"/>
  <c r="AR941" i="3"/>
  <c r="AR942" i="3"/>
  <c r="AR943" i="3"/>
  <c r="AR944" i="3"/>
  <c r="AR945" i="3"/>
  <c r="AR946" i="3"/>
  <c r="AR947" i="3"/>
  <c r="AR948" i="3"/>
  <c r="AR949" i="3"/>
  <c r="AR950" i="3"/>
  <c r="AR951" i="3"/>
  <c r="AR952" i="3"/>
  <c r="AR953" i="3"/>
  <c r="AR954" i="3"/>
  <c r="AR955" i="3"/>
  <c r="AR956" i="3"/>
  <c r="AR957" i="3"/>
  <c r="AR958" i="3"/>
  <c r="AR959" i="3"/>
  <c r="AR960" i="3"/>
  <c r="AR961" i="3"/>
  <c r="AR962" i="3"/>
  <c r="AR963" i="3"/>
  <c r="AR964" i="3"/>
  <c r="AR965" i="3"/>
  <c r="AR966" i="3"/>
  <c r="AR967" i="3"/>
  <c r="AR968" i="3"/>
  <c r="AR969" i="3"/>
  <c r="AR970" i="3"/>
  <c r="AR971" i="3"/>
  <c r="AR972" i="3"/>
  <c r="AR973" i="3"/>
  <c r="AR974" i="3"/>
  <c r="AR975" i="3"/>
  <c r="AR976" i="3"/>
  <c r="AR977" i="3"/>
  <c r="AR978" i="3"/>
  <c r="AR979" i="3"/>
  <c r="AR980" i="3"/>
  <c r="AR981" i="3"/>
  <c r="AR982" i="3"/>
  <c r="AR983" i="3"/>
  <c r="AR984" i="3"/>
  <c r="AR985" i="3"/>
  <c r="AR986" i="3"/>
  <c r="AR987" i="3"/>
  <c r="AR988" i="3"/>
  <c r="AR989" i="3"/>
  <c r="AR990" i="3"/>
  <c r="AR991" i="3"/>
  <c r="AR992" i="3"/>
  <c r="AR993" i="3"/>
  <c r="AR994" i="3"/>
  <c r="AR995" i="3"/>
  <c r="AR996" i="3"/>
  <c r="AR997" i="3"/>
  <c r="AR998" i="3"/>
  <c r="AR999" i="3"/>
  <c r="AR1000" i="3"/>
  <c r="AR1001" i="3"/>
  <c r="AR1002" i="3"/>
  <c r="AR1003" i="3"/>
  <c r="AR1004" i="3"/>
  <c r="AR1005" i="3"/>
  <c r="AR1006" i="3"/>
  <c r="AR1007" i="3"/>
  <c r="AR1008" i="3"/>
  <c r="AR1009" i="3"/>
  <c r="AR1010" i="3"/>
  <c r="AR1011" i="3"/>
  <c r="AR1012" i="3"/>
  <c r="AR1013" i="3"/>
  <c r="AR1014" i="3"/>
  <c r="AR1015" i="3"/>
  <c r="AR1016" i="3"/>
  <c r="AR1017" i="3"/>
  <c r="AR1018" i="3"/>
  <c r="AR1019" i="3"/>
  <c r="AR1020" i="3"/>
  <c r="AR1021" i="3"/>
  <c r="AR1022" i="3"/>
  <c r="AR1023" i="3"/>
  <c r="AR1024" i="3"/>
  <c r="AR1025" i="3"/>
  <c r="AR1026" i="3"/>
  <c r="AR1027" i="3"/>
  <c r="AR1028" i="3"/>
  <c r="AR1029" i="3"/>
  <c r="AR1030" i="3"/>
  <c r="AR1031" i="3"/>
  <c r="AR1032" i="3"/>
  <c r="AR1033" i="3"/>
  <c r="AR1034" i="3"/>
  <c r="AR1035" i="3"/>
  <c r="AR1036" i="3"/>
  <c r="AR1037" i="3"/>
  <c r="AR1038" i="3"/>
  <c r="AR1039" i="3"/>
  <c r="AR1040" i="3"/>
  <c r="AR1041" i="3"/>
  <c r="AR1042" i="3"/>
  <c r="AR1043" i="3"/>
  <c r="AR1044" i="3"/>
  <c r="AR1045" i="3"/>
  <c r="AR1046" i="3"/>
  <c r="AR1047" i="3"/>
  <c r="AR1048" i="3"/>
  <c r="AR1049" i="3"/>
  <c r="AR1050" i="3"/>
  <c r="AR1051" i="3"/>
  <c r="AR1052" i="3"/>
  <c r="AR1053" i="3"/>
  <c r="AR1054" i="3"/>
  <c r="AR1055" i="3"/>
  <c r="AR1056" i="3"/>
  <c r="AR1057" i="3"/>
  <c r="AR1058" i="3"/>
  <c r="AR1059" i="3"/>
  <c r="AR1060" i="3"/>
  <c r="AR1061" i="3"/>
  <c r="AR1062" i="3"/>
  <c r="AR1063" i="3"/>
  <c r="AR1064" i="3"/>
  <c r="AR1065" i="3"/>
  <c r="AR1066" i="3"/>
  <c r="AR1067" i="3"/>
  <c r="AR1068" i="3"/>
  <c r="AR1069" i="3"/>
  <c r="AR1070" i="3"/>
  <c r="AR1071" i="3"/>
  <c r="AR1072" i="3"/>
  <c r="AR1073" i="3"/>
  <c r="AR1074" i="3"/>
  <c r="AR1075" i="3"/>
  <c r="AR1076" i="3"/>
  <c r="AR1077" i="3"/>
  <c r="AR1078" i="3"/>
  <c r="AR1079" i="3"/>
  <c r="AR1080" i="3"/>
  <c r="AR1081" i="3"/>
  <c r="AR1082" i="3"/>
  <c r="AR1083" i="3"/>
  <c r="AR1084" i="3"/>
  <c r="AR1085" i="3"/>
  <c r="AR1086" i="3"/>
  <c r="AR1087" i="3"/>
  <c r="AR1088" i="3"/>
  <c r="AR1089" i="3"/>
  <c r="AR1090" i="3"/>
  <c r="AR1091" i="3"/>
  <c r="AR1092" i="3"/>
  <c r="AR1093" i="3"/>
  <c r="AR1094" i="3"/>
  <c r="AR1095" i="3"/>
  <c r="AR1096" i="3"/>
  <c r="AR1097" i="3"/>
  <c r="AR1098" i="3"/>
  <c r="AR1099" i="3"/>
  <c r="AR1100" i="3"/>
  <c r="AR1101" i="3"/>
  <c r="AR1102" i="3"/>
  <c r="AR1103" i="3"/>
  <c r="AR1104" i="3"/>
  <c r="AR1105" i="3"/>
  <c r="AR1106" i="3"/>
  <c r="AR1107" i="3"/>
  <c r="AR1108" i="3"/>
  <c r="AR1109" i="3"/>
  <c r="AR1110" i="3"/>
  <c r="AR1111" i="3"/>
  <c r="AR1112" i="3"/>
  <c r="AR1113" i="3"/>
  <c r="AR1114" i="3"/>
  <c r="AR1115" i="3"/>
  <c r="AR1116" i="3"/>
  <c r="AR1117" i="3"/>
  <c r="AR1118" i="3"/>
  <c r="AR1119" i="3"/>
  <c r="AR1120" i="3"/>
  <c r="AR1121" i="3"/>
  <c r="AR1122" i="3"/>
  <c r="AR1123" i="3"/>
  <c r="AR1124" i="3"/>
  <c r="AR1125" i="3"/>
  <c r="AR1126" i="3"/>
  <c r="AR1127" i="3"/>
  <c r="AR1128" i="3"/>
  <c r="AR1129" i="3"/>
  <c r="AR1130" i="3"/>
  <c r="AR1131" i="3"/>
  <c r="AR1132" i="3"/>
  <c r="AR1133" i="3"/>
  <c r="AR1134" i="3"/>
  <c r="AR1135" i="3"/>
  <c r="AR1136" i="3"/>
  <c r="AR1137" i="3"/>
  <c r="AR1138" i="3"/>
  <c r="AR1139" i="3"/>
  <c r="AR1140" i="3"/>
  <c r="AR1141" i="3"/>
  <c r="AR1142" i="3"/>
  <c r="AR1143" i="3"/>
  <c r="AR1144" i="3"/>
  <c r="AR1145" i="3"/>
  <c r="AR1146" i="3"/>
  <c r="AR1147" i="3"/>
  <c r="AR1148" i="3"/>
  <c r="AR1149" i="3"/>
  <c r="AR1150" i="3"/>
  <c r="AR1151" i="3"/>
  <c r="AR1152" i="3"/>
  <c r="AR1153" i="3"/>
  <c r="AR1154" i="3"/>
  <c r="AR1155" i="3"/>
  <c r="AR1156" i="3"/>
  <c r="AR1157" i="3"/>
  <c r="AR1158" i="3"/>
  <c r="AR1159" i="3"/>
  <c r="AR1160" i="3"/>
  <c r="AR1161" i="3"/>
  <c r="AR1162" i="3"/>
  <c r="AR1163" i="3"/>
  <c r="AR1164" i="3"/>
  <c r="AR1165" i="3"/>
  <c r="AR1166" i="3"/>
  <c r="AR1167" i="3"/>
  <c r="AR1168" i="3"/>
  <c r="AR1169" i="3"/>
  <c r="AR1170" i="3"/>
  <c r="AR1171" i="3"/>
  <c r="AR1172" i="3"/>
  <c r="AR1173" i="3"/>
  <c r="AR1174" i="3"/>
  <c r="AR1175" i="3"/>
  <c r="AR1176" i="3"/>
  <c r="AR1177" i="3"/>
  <c r="AR1178" i="3"/>
  <c r="AR1179" i="3"/>
  <c r="AR1180" i="3"/>
  <c r="AR1181" i="3"/>
  <c r="AR1182" i="3"/>
  <c r="AR1183" i="3"/>
  <c r="AR1184" i="3"/>
  <c r="AR1185" i="3"/>
  <c r="AR1186" i="3"/>
  <c r="AR1187" i="3"/>
  <c r="AR1188" i="3"/>
  <c r="AR1189" i="3"/>
  <c r="AR1190" i="3"/>
  <c r="AR1191" i="3"/>
  <c r="AR1192" i="3"/>
  <c r="AR1193" i="3"/>
  <c r="AR1194" i="3"/>
  <c r="AR1195" i="3"/>
  <c r="AR1196" i="3"/>
  <c r="AR1197" i="3"/>
  <c r="AR1198" i="3"/>
  <c r="AR1199" i="3"/>
  <c r="AR1200" i="3"/>
  <c r="AR1201" i="3"/>
  <c r="AR1202" i="3"/>
  <c r="AR1203" i="3"/>
  <c r="AR1204" i="3"/>
  <c r="AR1205" i="3"/>
  <c r="AR1206" i="3"/>
  <c r="AR1207" i="3"/>
  <c r="AR1208" i="3"/>
  <c r="AR1209" i="3"/>
  <c r="AR1210" i="3"/>
  <c r="AR1211" i="3"/>
  <c r="AR1212" i="3"/>
  <c r="AR1213" i="3"/>
  <c r="AR1214" i="3"/>
  <c r="AR1215" i="3"/>
  <c r="AR1216" i="3"/>
  <c r="AR1217" i="3"/>
  <c r="AR1218" i="3"/>
  <c r="AR1219" i="3"/>
  <c r="AR1220" i="3"/>
  <c r="AR1221" i="3"/>
  <c r="AR1222" i="3"/>
  <c r="AR1223" i="3"/>
  <c r="AR1224" i="3"/>
  <c r="AR1225" i="3"/>
  <c r="AR1226" i="3"/>
  <c r="AR1227" i="3"/>
  <c r="AR1228" i="3"/>
  <c r="AR1229" i="3"/>
  <c r="AR1230" i="3"/>
  <c r="AR1231" i="3"/>
  <c r="AR1232" i="3"/>
  <c r="AR1233" i="3"/>
  <c r="AR1234" i="3"/>
  <c r="AR1235" i="3"/>
  <c r="AR1236" i="3"/>
  <c r="AR1237" i="3"/>
  <c r="AR1238" i="3"/>
  <c r="AR1239" i="3"/>
  <c r="AR1240" i="3"/>
  <c r="AR1241" i="3"/>
  <c r="AR1242" i="3"/>
  <c r="AR1243" i="3"/>
  <c r="AR1244" i="3"/>
  <c r="AR1245" i="3"/>
  <c r="AR1246" i="3"/>
  <c r="AR1247" i="3"/>
  <c r="AR1248" i="3"/>
  <c r="AR1249" i="3"/>
  <c r="AR1250" i="3"/>
  <c r="AR1251" i="3"/>
  <c r="AR1252" i="3"/>
  <c r="AR1253" i="3"/>
  <c r="AR1254" i="3"/>
  <c r="AR1255" i="3"/>
  <c r="AR1256" i="3"/>
  <c r="AR1257" i="3"/>
  <c r="AR1258" i="3"/>
  <c r="AR1259" i="3"/>
  <c r="AR1260" i="3"/>
  <c r="AR1261" i="3"/>
  <c r="AR1262" i="3"/>
  <c r="AR1263" i="3"/>
  <c r="AR1264" i="3"/>
  <c r="AR1265" i="3"/>
  <c r="AR1266" i="3"/>
  <c r="AR1267" i="3"/>
  <c r="AR1268" i="3"/>
  <c r="AR1269" i="3"/>
  <c r="AR1270" i="3"/>
  <c r="AR1271" i="3"/>
  <c r="AR1272" i="3"/>
  <c r="AR1273" i="3"/>
  <c r="AR1274" i="3"/>
  <c r="AR1275" i="3"/>
  <c r="AR1276" i="3"/>
  <c r="AR1277" i="3"/>
  <c r="AR1278" i="3"/>
  <c r="AR1279" i="3"/>
  <c r="AR1280" i="3"/>
  <c r="AR1281" i="3"/>
  <c r="AR1282" i="3"/>
  <c r="AR1283" i="3"/>
  <c r="AR1284" i="3"/>
  <c r="AR1285" i="3"/>
  <c r="AR1286" i="3"/>
  <c r="AR1287" i="3"/>
  <c r="AR1288" i="3"/>
  <c r="AR1289" i="3"/>
  <c r="AR1290" i="3"/>
  <c r="AR1291" i="3"/>
  <c r="AR1292" i="3"/>
  <c r="AR1293" i="3"/>
  <c r="AR1294" i="3"/>
  <c r="AR1295" i="3"/>
  <c r="AR1296" i="3"/>
  <c r="AR1297" i="3"/>
  <c r="AR1298" i="3"/>
  <c r="AR1299" i="3"/>
  <c r="AR1300" i="3"/>
  <c r="AR1301" i="3"/>
  <c r="AR1302" i="3"/>
  <c r="AR1303" i="3"/>
  <c r="AR1304" i="3"/>
  <c r="AR1305" i="3"/>
  <c r="AR1306" i="3"/>
  <c r="AR1307" i="3"/>
  <c r="AR1308" i="3"/>
  <c r="AR1309" i="3"/>
  <c r="AR1310" i="3"/>
  <c r="AR1311" i="3"/>
  <c r="AR1312" i="3"/>
  <c r="AR1313" i="3"/>
  <c r="AR1314" i="3"/>
  <c r="AR1315" i="3"/>
  <c r="AR1316" i="3"/>
  <c r="AR1317" i="3"/>
  <c r="AR1318" i="3"/>
  <c r="AR1319" i="3"/>
  <c r="AR1320" i="3"/>
  <c r="AR1321" i="3"/>
  <c r="AR1322" i="3"/>
  <c r="AR1323" i="3"/>
  <c r="AR1324" i="3"/>
  <c r="AR1325" i="3"/>
  <c r="AR1326" i="3"/>
  <c r="AR1327" i="3"/>
  <c r="AR1328" i="3"/>
  <c r="AR1329" i="3"/>
  <c r="AR1330" i="3"/>
  <c r="AR1331" i="3"/>
  <c r="AR1332" i="3"/>
  <c r="AR1333" i="3"/>
  <c r="AR1334" i="3"/>
  <c r="AR1335" i="3"/>
  <c r="AR1336" i="3"/>
  <c r="AR1337" i="3"/>
  <c r="AR1338" i="3"/>
  <c r="AR1339" i="3"/>
  <c r="AR1340" i="3"/>
  <c r="AR1341" i="3"/>
  <c r="AR1342" i="3"/>
  <c r="AR1343" i="3"/>
  <c r="AR1344" i="3"/>
  <c r="AR1345" i="3"/>
  <c r="AR1346" i="3"/>
  <c r="AR1347" i="3"/>
  <c r="AR1348" i="3"/>
  <c r="AR1349" i="3"/>
  <c r="AR1350" i="3"/>
  <c r="AR1351" i="3"/>
  <c r="AR1352" i="3"/>
  <c r="AR1353" i="3"/>
  <c r="AR1354" i="3"/>
  <c r="AR1355" i="3"/>
  <c r="AR1356" i="3"/>
  <c r="AR1357" i="3"/>
  <c r="AR1358" i="3"/>
  <c r="AR1359" i="3"/>
  <c r="AR1360" i="3"/>
  <c r="AR1361" i="3"/>
  <c r="AR1362" i="3"/>
  <c r="AR1363" i="3"/>
  <c r="AR1364" i="3"/>
  <c r="AR1365" i="3"/>
  <c r="AR1366" i="3"/>
  <c r="AR1367" i="3"/>
  <c r="AR1368" i="3"/>
  <c r="AR1369" i="3"/>
  <c r="AR1370" i="3"/>
  <c r="AR1371" i="3"/>
  <c r="AR1372" i="3"/>
  <c r="AR1373" i="3"/>
  <c r="AR1374" i="3"/>
  <c r="AR1375" i="3"/>
  <c r="AR1376" i="3"/>
  <c r="AR1377" i="3"/>
  <c r="AR1378" i="3"/>
  <c r="AR1379" i="3"/>
  <c r="AR1380" i="3"/>
  <c r="AR1381" i="3"/>
  <c r="AR1382" i="3"/>
  <c r="AR1383" i="3"/>
  <c r="AR1384" i="3"/>
  <c r="AR1385" i="3"/>
  <c r="AR1386" i="3"/>
  <c r="AR1387" i="3"/>
  <c r="AR1388" i="3"/>
  <c r="AR1389" i="3"/>
  <c r="AR1390" i="3"/>
  <c r="AR1391" i="3"/>
  <c r="AR1392" i="3"/>
  <c r="AR1393" i="3"/>
  <c r="AR1394" i="3"/>
  <c r="AR1395" i="3"/>
  <c r="AR1396" i="3"/>
  <c r="AR1397" i="3"/>
  <c r="AR1398" i="3"/>
  <c r="AR1399" i="3"/>
  <c r="AR1400" i="3"/>
  <c r="AR1401" i="3"/>
  <c r="AR1402" i="3"/>
  <c r="AR1403" i="3"/>
  <c r="AR1404" i="3"/>
  <c r="AR1405" i="3"/>
  <c r="AR1406" i="3"/>
  <c r="AR1407" i="3"/>
  <c r="AR1408" i="3"/>
  <c r="AR1409" i="3"/>
  <c r="AR1410" i="3"/>
  <c r="AR1411" i="3"/>
  <c r="AR1412" i="3"/>
  <c r="AR1413" i="3"/>
  <c r="AR1414" i="3"/>
  <c r="AR1415" i="3"/>
  <c r="AR1416" i="3"/>
  <c r="AR1417" i="3"/>
  <c r="AR1418" i="3"/>
  <c r="AR1419" i="3"/>
  <c r="AR1420" i="3"/>
  <c r="AR1421" i="3"/>
  <c r="AR1422" i="3"/>
  <c r="AR1423" i="3"/>
  <c r="AR1424" i="3"/>
  <c r="AR1425" i="3"/>
  <c r="AR1426" i="3"/>
  <c r="AR1427" i="3"/>
  <c r="AR1428" i="3"/>
  <c r="AR1429" i="3"/>
  <c r="AR1430" i="3"/>
  <c r="AR1431" i="3"/>
  <c r="AR1432" i="3"/>
  <c r="AR1433" i="3"/>
  <c r="AR1434" i="3"/>
  <c r="AR1435" i="3"/>
  <c r="AR1436" i="3"/>
  <c r="AR1437" i="3"/>
  <c r="AR1438" i="3"/>
  <c r="AR1439" i="3"/>
  <c r="AR1440" i="3"/>
  <c r="AR1441" i="3"/>
  <c r="AR1442" i="3"/>
  <c r="AR1443" i="3"/>
  <c r="AR1444" i="3"/>
  <c r="AR1445" i="3"/>
  <c r="AR1446" i="3"/>
  <c r="AR1447" i="3"/>
  <c r="AR1448" i="3"/>
  <c r="AR1449" i="3"/>
  <c r="AR1450" i="3"/>
  <c r="AR1451" i="3"/>
  <c r="AR1452" i="3"/>
  <c r="AR1453" i="3"/>
  <c r="AR1454" i="3"/>
  <c r="AR1455" i="3"/>
  <c r="AR1456" i="3"/>
  <c r="AR1457" i="3"/>
  <c r="AR1458" i="3"/>
  <c r="AR1459" i="3"/>
  <c r="AR1460" i="3"/>
  <c r="AR1461" i="3"/>
  <c r="AR1462" i="3"/>
  <c r="AR1463" i="3"/>
  <c r="AR1464" i="3"/>
  <c r="AR1465" i="3"/>
  <c r="AR1466" i="3"/>
  <c r="AR1467" i="3"/>
  <c r="AR1468" i="3"/>
  <c r="AR1469" i="3"/>
  <c r="AR1470" i="3"/>
  <c r="AR1471" i="3"/>
  <c r="AR1472" i="3"/>
  <c r="AR1473" i="3"/>
  <c r="AR1474" i="3"/>
  <c r="AR1475" i="3"/>
  <c r="AR1476" i="3"/>
  <c r="AR1477" i="3"/>
  <c r="AR1478" i="3"/>
  <c r="AR1479" i="3"/>
  <c r="AR1480" i="3"/>
  <c r="AR1481" i="3"/>
  <c r="AR1482" i="3"/>
  <c r="AR1483" i="3"/>
  <c r="AR1484" i="3"/>
  <c r="AR1485" i="3"/>
  <c r="AR1486" i="3"/>
  <c r="AR1487" i="3"/>
  <c r="AR1488" i="3"/>
  <c r="AR1489" i="3"/>
  <c r="AR1490" i="3"/>
  <c r="AR1491" i="3"/>
  <c r="AR1492" i="3"/>
  <c r="AR1493" i="3"/>
  <c r="AR1494" i="3"/>
  <c r="AR1495" i="3"/>
  <c r="AR1496" i="3"/>
  <c r="AR1497" i="3"/>
  <c r="AR1498" i="3"/>
  <c r="AR1499" i="3"/>
  <c r="AR1500" i="3"/>
  <c r="AR1501" i="3"/>
  <c r="AR1502" i="3"/>
  <c r="AR1503" i="3"/>
  <c r="AR1504" i="3"/>
  <c r="AR1505" i="3"/>
  <c r="AR1506" i="3"/>
  <c r="AR1507" i="3"/>
  <c r="AR1508" i="3"/>
  <c r="AR1509" i="3"/>
  <c r="AR1510" i="3"/>
  <c r="AR1511" i="3"/>
  <c r="AR1512" i="3"/>
  <c r="AR1513" i="3"/>
  <c r="AR1514" i="3"/>
  <c r="AR1515" i="3"/>
  <c r="AR1516" i="3"/>
  <c r="AR1517" i="3"/>
  <c r="AR1518" i="3"/>
  <c r="AR1519" i="3"/>
  <c r="AR1520" i="3"/>
  <c r="AR1521" i="3"/>
  <c r="AR1522" i="3"/>
  <c r="AR1523" i="3"/>
  <c r="AR1524" i="3"/>
  <c r="AR1525" i="3"/>
  <c r="AR1526" i="3"/>
  <c r="AR1527" i="3"/>
  <c r="AR1528" i="3"/>
  <c r="AR1529" i="3"/>
  <c r="AR1530" i="3"/>
  <c r="AR1531" i="3"/>
  <c r="AR1532" i="3"/>
  <c r="AR1533" i="3"/>
  <c r="AR1534" i="3"/>
  <c r="AR1535" i="3"/>
  <c r="AR1536" i="3"/>
  <c r="AR1537" i="3"/>
  <c r="AR1538" i="3"/>
  <c r="AR1539" i="3"/>
  <c r="AR1540" i="3"/>
  <c r="AR1541" i="3"/>
  <c r="AR1542" i="3"/>
  <c r="AR1543" i="3"/>
  <c r="AR1544" i="3"/>
  <c r="AR1545" i="3"/>
  <c r="AR1546" i="3"/>
  <c r="AR1547" i="3"/>
  <c r="AR1548" i="3"/>
  <c r="AR1549" i="3"/>
  <c r="AR1550" i="3"/>
  <c r="AR1551" i="3"/>
  <c r="AR1552" i="3"/>
  <c r="AR1553" i="3"/>
  <c r="AR1554" i="3"/>
  <c r="AR1555" i="3"/>
  <c r="AR1556" i="3"/>
  <c r="AR1557" i="3"/>
  <c r="AR1558" i="3"/>
  <c r="AR1559" i="3"/>
  <c r="AR1560" i="3"/>
  <c r="AR1561" i="3"/>
  <c r="AR1562" i="3"/>
  <c r="AR1563" i="3"/>
  <c r="AR1564" i="3"/>
  <c r="AR1565" i="3"/>
  <c r="AR1566" i="3"/>
  <c r="AR1567" i="3"/>
  <c r="AR1568" i="3"/>
  <c r="AR1569" i="3"/>
  <c r="AR1570" i="3"/>
  <c r="AR1571" i="3"/>
  <c r="AR1572" i="3"/>
  <c r="AR1573" i="3"/>
  <c r="AR1574" i="3"/>
  <c r="AR1575" i="3"/>
  <c r="AR1576" i="3"/>
  <c r="AR1577" i="3"/>
  <c r="AR1578" i="3"/>
  <c r="AR1579" i="3"/>
  <c r="AR1580" i="3"/>
  <c r="AR1581" i="3"/>
  <c r="AR1582" i="3"/>
  <c r="AR1583" i="3"/>
  <c r="AR1584" i="3"/>
  <c r="AR1585" i="3"/>
  <c r="AR1586" i="3"/>
  <c r="AR1587" i="3"/>
  <c r="AR1588" i="3"/>
  <c r="AR1589" i="3"/>
  <c r="AR1590" i="3"/>
  <c r="AR1591" i="3"/>
  <c r="AR1592" i="3"/>
  <c r="AR1593" i="3"/>
  <c r="AR1594" i="3"/>
  <c r="AR1595" i="3"/>
  <c r="AR1596" i="3"/>
  <c r="AR1597" i="3"/>
  <c r="AR1598" i="3"/>
  <c r="AR1599" i="3"/>
  <c r="AR1600" i="3"/>
  <c r="AR1601" i="3"/>
  <c r="AR1602" i="3"/>
  <c r="AR1603" i="3"/>
  <c r="AR1604" i="3"/>
  <c r="AR1605" i="3"/>
  <c r="AR1606" i="3"/>
  <c r="AR1607" i="3"/>
  <c r="AR1608" i="3"/>
  <c r="AR1609" i="3"/>
  <c r="AR1610" i="3"/>
  <c r="AR1611" i="3"/>
  <c r="AR1612" i="3"/>
  <c r="AR1613" i="3"/>
  <c r="AR1614" i="3"/>
  <c r="AR1615" i="3"/>
  <c r="AR1616" i="3"/>
  <c r="AR1617" i="3"/>
  <c r="AR1618" i="3"/>
  <c r="AR1619" i="3"/>
  <c r="AR1620" i="3"/>
  <c r="AR1621" i="3"/>
  <c r="AR1622" i="3"/>
  <c r="AR1623" i="3"/>
  <c r="AR1624" i="3"/>
  <c r="AR1625" i="3"/>
  <c r="AR1626" i="3"/>
  <c r="AR1627" i="3"/>
  <c r="AR1628" i="3"/>
  <c r="AR1629" i="3"/>
  <c r="AR1630" i="3"/>
  <c r="AR1631" i="3"/>
  <c r="AR1632" i="3"/>
  <c r="AR1633" i="3"/>
  <c r="AR1634" i="3"/>
  <c r="AR1635" i="3"/>
  <c r="AR1636" i="3"/>
  <c r="AR1637" i="3"/>
  <c r="AR1638" i="3"/>
  <c r="AR1639" i="3"/>
  <c r="AR1640" i="3"/>
  <c r="AR1641" i="3"/>
  <c r="AR1642" i="3"/>
  <c r="AR1643" i="3"/>
  <c r="AR1644" i="3"/>
  <c r="AR1645" i="3"/>
  <c r="AR1646" i="3"/>
  <c r="AR1647" i="3"/>
  <c r="AR1648" i="3"/>
  <c r="AR1649" i="3"/>
  <c r="AR1650" i="3"/>
  <c r="AR1651" i="3"/>
  <c r="AR1652" i="3"/>
  <c r="AR1653" i="3"/>
  <c r="AR1654" i="3"/>
  <c r="AR1655" i="3"/>
  <c r="AR1656" i="3"/>
  <c r="AR1657" i="3"/>
  <c r="AR1658" i="3"/>
  <c r="AR1659" i="3"/>
  <c r="AR1660" i="3"/>
  <c r="AR1661" i="3"/>
  <c r="AR1662" i="3"/>
  <c r="AR1663" i="3"/>
  <c r="AR1664" i="3"/>
  <c r="AR1665" i="3"/>
  <c r="AR1666" i="3"/>
  <c r="AR1667" i="3"/>
  <c r="AR1668" i="3"/>
  <c r="AR1669" i="3"/>
  <c r="AR1670" i="3"/>
  <c r="AR1671" i="3"/>
  <c r="AR1672" i="3"/>
  <c r="AR1673" i="3"/>
  <c r="AR1674" i="3"/>
  <c r="AR1675" i="3"/>
  <c r="AR1676" i="3"/>
  <c r="AR1677" i="3"/>
  <c r="AR1678" i="3"/>
  <c r="AR1679" i="3"/>
  <c r="AR1680" i="3"/>
  <c r="AR1681" i="3"/>
  <c r="AR1682" i="3"/>
  <c r="AR1683" i="3"/>
  <c r="AR1684" i="3"/>
  <c r="AR1685" i="3"/>
  <c r="AR1686" i="3"/>
  <c r="AR1687" i="3"/>
  <c r="AR1688" i="3"/>
  <c r="AR1689" i="3"/>
  <c r="AR1690" i="3"/>
  <c r="AR1691" i="3"/>
  <c r="AR1692" i="3"/>
  <c r="AR1693" i="3"/>
  <c r="AR1694" i="3"/>
  <c r="AR1695" i="3"/>
  <c r="AR1696" i="3"/>
  <c r="AR1697" i="3"/>
  <c r="AR1698" i="3"/>
  <c r="AR1699" i="3"/>
  <c r="AR1700" i="3"/>
  <c r="AR1701" i="3"/>
  <c r="AR1702" i="3"/>
  <c r="AR1703" i="3"/>
  <c r="AR1704" i="3"/>
  <c r="AR1705" i="3"/>
  <c r="AR1706" i="3"/>
  <c r="AR1707" i="3"/>
  <c r="AR1708" i="3"/>
  <c r="AR1709" i="3"/>
  <c r="AR1710" i="3"/>
  <c r="AR1711" i="3"/>
  <c r="AR1712" i="3"/>
  <c r="AR1713" i="3"/>
  <c r="AR1714" i="3"/>
  <c r="AR1715" i="3"/>
  <c r="AR1716" i="3"/>
  <c r="AR1717" i="3"/>
  <c r="AR1718" i="3"/>
  <c r="AR1719" i="3"/>
  <c r="AR1720" i="3"/>
  <c r="AR1721" i="3"/>
  <c r="AR1722" i="3"/>
  <c r="AR1723" i="3"/>
  <c r="AR1724" i="3"/>
  <c r="AR1725" i="3"/>
  <c r="AR1726" i="3"/>
  <c r="AR1727" i="3"/>
  <c r="AR1728" i="3"/>
  <c r="AR1729" i="3"/>
  <c r="AR1730" i="3"/>
  <c r="AR1731" i="3"/>
  <c r="AR1732" i="3"/>
  <c r="AR1733" i="3"/>
  <c r="AR1734" i="3"/>
  <c r="AR1735" i="3"/>
  <c r="AR1736" i="3"/>
  <c r="AR1737" i="3"/>
  <c r="AR1738" i="3"/>
  <c r="AR1739" i="3"/>
  <c r="AR1740" i="3"/>
  <c r="AR1741" i="3"/>
  <c r="AR1742" i="3"/>
  <c r="AR1743" i="3"/>
  <c r="AR1744" i="3"/>
  <c r="AR1745" i="3"/>
  <c r="AR1746" i="3"/>
  <c r="AR1747" i="3"/>
  <c r="AR1748" i="3"/>
  <c r="AR1749" i="3"/>
  <c r="AR1750" i="3"/>
  <c r="AR1751" i="3"/>
  <c r="AR1752" i="3"/>
  <c r="AR1753" i="3"/>
  <c r="AR1754" i="3"/>
  <c r="AR1755" i="3"/>
  <c r="AR1756" i="3"/>
  <c r="AR1757" i="3"/>
  <c r="AR1758" i="3"/>
  <c r="AR1759" i="3"/>
  <c r="AR1760" i="3"/>
  <c r="AR1761" i="3"/>
  <c r="AR1762" i="3"/>
  <c r="AR1763" i="3"/>
  <c r="AR1764" i="3"/>
  <c r="AR1765" i="3"/>
  <c r="AR1766" i="3"/>
  <c r="AR1767" i="3"/>
  <c r="AR1768" i="3"/>
  <c r="AR1769" i="3"/>
  <c r="AR1770" i="3"/>
  <c r="AR1771" i="3"/>
  <c r="AR1772" i="3"/>
  <c r="AR1773" i="3"/>
  <c r="AR1774" i="3"/>
  <c r="AR1775" i="3"/>
  <c r="AR1776" i="3"/>
  <c r="AR1777" i="3"/>
  <c r="AR1778" i="3"/>
  <c r="AR1779" i="3"/>
  <c r="AR1780" i="3"/>
  <c r="AR1781" i="3"/>
  <c r="AR1782" i="3"/>
  <c r="AR1783" i="3"/>
  <c r="AR1784" i="3"/>
  <c r="AR1785" i="3"/>
  <c r="AR1786" i="3"/>
  <c r="AR1787" i="3"/>
  <c r="AR1788" i="3"/>
  <c r="AR1789" i="3"/>
  <c r="AR1790" i="3"/>
  <c r="AR1791" i="3"/>
  <c r="AR1792" i="3"/>
  <c r="AR1793" i="3"/>
  <c r="AR1794" i="3"/>
  <c r="AR1795" i="3"/>
  <c r="AR1796" i="3"/>
  <c r="AR1797" i="3"/>
  <c r="AR1798" i="3"/>
  <c r="AR1799" i="3"/>
  <c r="AR1800" i="3"/>
  <c r="AR1801" i="3"/>
  <c r="AR1802" i="3"/>
  <c r="AR1803" i="3"/>
  <c r="AR1804" i="3"/>
  <c r="AR1805" i="3"/>
  <c r="AR1806" i="3"/>
  <c r="AR1807" i="3"/>
  <c r="AR1808" i="3"/>
  <c r="AR1809" i="3"/>
  <c r="AR1810" i="3"/>
  <c r="AR1811" i="3"/>
  <c r="AR1812" i="3"/>
  <c r="AR1813" i="3"/>
  <c r="AR1814" i="3"/>
  <c r="AR1815" i="3"/>
  <c r="AR1816" i="3"/>
  <c r="AR1817" i="3"/>
  <c r="AR1818" i="3"/>
  <c r="AR1819" i="3"/>
  <c r="AR1820" i="3"/>
  <c r="AR1821" i="3"/>
  <c r="AR1822" i="3"/>
  <c r="AR1823" i="3"/>
  <c r="AR1824" i="3"/>
  <c r="AR1825" i="3"/>
  <c r="AR1826" i="3"/>
  <c r="AR1827" i="3"/>
  <c r="AR1828" i="3"/>
  <c r="AR1829" i="3"/>
  <c r="AR1830" i="3"/>
  <c r="AR1831" i="3"/>
  <c r="AR1832" i="3"/>
  <c r="AR1833" i="3"/>
  <c r="AR1834" i="3"/>
  <c r="AR1835" i="3"/>
  <c r="AR1836" i="3"/>
  <c r="AR1837" i="3"/>
  <c r="AR1838" i="3"/>
  <c r="AR1839" i="3"/>
  <c r="AR1840" i="3"/>
  <c r="AR1841" i="3"/>
  <c r="AR1842" i="3"/>
  <c r="AR1843" i="3"/>
  <c r="AR1844" i="3"/>
  <c r="AR1845" i="3"/>
  <c r="AR1846" i="3"/>
  <c r="AR1847" i="3"/>
  <c r="AR1848" i="3"/>
  <c r="AR1849" i="3"/>
  <c r="AR1850" i="3"/>
  <c r="AR1851" i="3"/>
  <c r="AR1852" i="3"/>
  <c r="AR1853" i="3"/>
  <c r="AR1854" i="3"/>
  <c r="AR1855" i="3"/>
  <c r="AR1856" i="3"/>
  <c r="AR1857" i="3"/>
  <c r="AR1858" i="3"/>
  <c r="AR1859" i="3"/>
  <c r="AR1860" i="3"/>
  <c r="AR1861" i="3"/>
  <c r="AR1862" i="3"/>
  <c r="AR1863" i="3"/>
  <c r="AR1864" i="3"/>
  <c r="AR1865" i="3"/>
  <c r="AR1866" i="3"/>
  <c r="AR1867" i="3"/>
  <c r="AR1868" i="3"/>
  <c r="AR1869" i="3"/>
  <c r="AR1870" i="3"/>
  <c r="AR1871" i="3"/>
  <c r="AR1872" i="3"/>
  <c r="AR1873" i="3"/>
  <c r="AR1874" i="3"/>
  <c r="AR1875" i="3"/>
  <c r="AR1876" i="3"/>
  <c r="AR1877" i="3"/>
  <c r="AR1878" i="3"/>
  <c r="AR1879" i="3"/>
  <c r="AR1880" i="3"/>
  <c r="AR1881" i="3"/>
  <c r="AR1882" i="3"/>
  <c r="AR1883" i="3"/>
  <c r="AR1884" i="3"/>
  <c r="AR1885" i="3"/>
  <c r="AR1886" i="3"/>
  <c r="AR1887" i="3"/>
  <c r="AR1888" i="3"/>
  <c r="AR1889" i="3"/>
  <c r="AR1890" i="3"/>
  <c r="AR1891" i="3"/>
  <c r="AR1892" i="3"/>
  <c r="AR1893" i="3"/>
  <c r="AR1894" i="3"/>
  <c r="AR1895" i="3"/>
  <c r="AR1896" i="3"/>
  <c r="AR1897" i="3"/>
  <c r="AR1898" i="3"/>
  <c r="AR1899" i="3"/>
  <c r="AR1900" i="3"/>
  <c r="AR1901" i="3"/>
  <c r="AR1902" i="3"/>
  <c r="AR1903" i="3"/>
  <c r="AR1904" i="3"/>
  <c r="AR1905" i="3"/>
  <c r="AR1906" i="3"/>
  <c r="AR1907" i="3"/>
  <c r="AR1908" i="3"/>
  <c r="AR1909" i="3"/>
  <c r="AR1910" i="3"/>
  <c r="AR1911" i="3"/>
  <c r="AR1912" i="3"/>
  <c r="AR1913" i="3"/>
  <c r="AR1914" i="3"/>
  <c r="AR1915" i="3"/>
  <c r="AR1916" i="3"/>
  <c r="AR1917" i="3"/>
  <c r="AR1918" i="3"/>
  <c r="AR1919" i="3"/>
  <c r="AR1920" i="3"/>
  <c r="AR1921" i="3"/>
  <c r="AR1922" i="3"/>
  <c r="AR1923" i="3"/>
  <c r="AR1924" i="3"/>
  <c r="AR1925" i="3"/>
  <c r="AR1926" i="3"/>
  <c r="AR1927" i="3"/>
  <c r="AR1928" i="3"/>
  <c r="AR1929" i="3"/>
  <c r="AR1930" i="3"/>
  <c r="AR1931" i="3"/>
  <c r="AR1932" i="3"/>
  <c r="AR1933" i="3"/>
  <c r="AR1934" i="3"/>
  <c r="AR1935" i="3"/>
  <c r="AR1936" i="3"/>
  <c r="AR1937" i="3"/>
  <c r="AR1938" i="3"/>
  <c r="AR1939" i="3"/>
  <c r="AR1940" i="3"/>
  <c r="AR1941" i="3"/>
  <c r="AR1942" i="3"/>
  <c r="AR1943" i="3"/>
  <c r="AR1944" i="3"/>
  <c r="AR1945" i="3"/>
  <c r="AR1946" i="3"/>
  <c r="AR1947" i="3"/>
  <c r="AR1948" i="3"/>
  <c r="AR1949" i="3"/>
  <c r="AR1950" i="3"/>
  <c r="AR1951" i="3"/>
  <c r="AR1952" i="3"/>
  <c r="AR1953" i="3"/>
  <c r="AR1954" i="3"/>
  <c r="AR1955" i="3"/>
  <c r="AR1956" i="3"/>
  <c r="AR1957" i="3"/>
  <c r="AR1958" i="3"/>
  <c r="AR1959" i="3"/>
  <c r="AR1960" i="3"/>
  <c r="AR1961" i="3"/>
  <c r="AR1962" i="3"/>
  <c r="AR1963" i="3"/>
  <c r="AR1964" i="3"/>
  <c r="AR1965" i="3"/>
  <c r="AR1966" i="3"/>
  <c r="AR1967" i="3"/>
  <c r="AR1968" i="3"/>
  <c r="AR1969" i="3"/>
  <c r="AR1970" i="3"/>
  <c r="AR1971" i="3"/>
  <c r="AR1972" i="3"/>
  <c r="AR1973" i="3"/>
  <c r="AR1974" i="3"/>
  <c r="AR1975" i="3"/>
  <c r="AR1976" i="3"/>
  <c r="AR1977" i="3"/>
  <c r="AR1978" i="3"/>
  <c r="AR1979" i="3"/>
  <c r="AR1980" i="3"/>
  <c r="AR1981" i="3"/>
  <c r="AR1982" i="3"/>
  <c r="AR1983" i="3"/>
  <c r="AR1984" i="3"/>
  <c r="AR1985" i="3"/>
  <c r="AR1986" i="3"/>
  <c r="AR1987" i="3"/>
  <c r="AR1988" i="3"/>
  <c r="AR1989" i="3"/>
  <c r="AR1990" i="3"/>
  <c r="AR1991" i="3"/>
  <c r="AR1992" i="3"/>
  <c r="AR1993" i="3"/>
  <c r="AR1994" i="3"/>
  <c r="AR1995" i="3"/>
  <c r="AR1996" i="3"/>
  <c r="AR1997" i="3"/>
  <c r="AR1998" i="3"/>
  <c r="AR1999" i="3"/>
  <c r="AR2000" i="3"/>
  <c r="AR2001" i="3"/>
  <c r="AR2002" i="3"/>
  <c r="AR2003" i="3"/>
  <c r="AR2004" i="3"/>
  <c r="AR2005" i="3"/>
  <c r="AR2006" i="3"/>
  <c r="AR2007" i="3"/>
  <c r="AR2008" i="3"/>
  <c r="AR2009" i="3"/>
  <c r="AR2010" i="3"/>
  <c r="AR2011" i="3"/>
  <c r="AR2012" i="3"/>
  <c r="AR2013" i="3"/>
  <c r="AR2014" i="3"/>
  <c r="AR2015" i="3"/>
  <c r="AR2016" i="3"/>
  <c r="AR2017" i="3"/>
  <c r="AR2018" i="3"/>
  <c r="AR2019" i="3"/>
  <c r="AR2020" i="3"/>
  <c r="AR2021" i="3"/>
  <c r="AR2022" i="3"/>
  <c r="AR2023" i="3"/>
  <c r="AR2024" i="3"/>
  <c r="AR2025" i="3"/>
  <c r="AR2026" i="3"/>
  <c r="AR2027" i="3"/>
  <c r="AR2028" i="3"/>
  <c r="AR2029" i="3"/>
  <c r="AR2030" i="3"/>
  <c r="AR2031" i="3"/>
  <c r="AR2032" i="3"/>
  <c r="AR2033" i="3"/>
  <c r="AR2034" i="3"/>
  <c r="AR2035" i="3"/>
  <c r="AR2036" i="3"/>
  <c r="AR2037" i="3"/>
  <c r="AR2038" i="3"/>
  <c r="AR2039" i="3"/>
  <c r="AR2040" i="3"/>
  <c r="AR2041" i="3"/>
  <c r="AR2042" i="3"/>
  <c r="AR2043" i="3"/>
  <c r="AR2044" i="3"/>
  <c r="AR2045" i="3"/>
  <c r="AR2046" i="3"/>
  <c r="AR2047" i="3"/>
  <c r="AR2048" i="3"/>
  <c r="AR2049" i="3"/>
  <c r="AR2050" i="3"/>
  <c r="AR2051" i="3"/>
  <c r="AR2052" i="3"/>
  <c r="AR2053" i="3"/>
  <c r="AR2054" i="3"/>
  <c r="AR2055" i="3"/>
  <c r="AR2056" i="3"/>
  <c r="AR2057" i="3"/>
  <c r="AR2058" i="3"/>
  <c r="AR2059" i="3"/>
  <c r="AR2060" i="3"/>
  <c r="AR2061" i="3"/>
  <c r="AR2062" i="3"/>
  <c r="AR2063" i="3"/>
  <c r="AR2064" i="3"/>
  <c r="AR2065" i="3"/>
  <c r="AR2066" i="3"/>
  <c r="AR2067" i="3"/>
  <c r="AR2068" i="3"/>
  <c r="AR2069" i="3"/>
  <c r="AR2070" i="3"/>
  <c r="AR2071" i="3"/>
  <c r="AR2072" i="3"/>
  <c r="AR2073" i="3"/>
  <c r="AR2074" i="3"/>
  <c r="AR2075" i="3"/>
  <c r="AR2076" i="3"/>
  <c r="AR2077" i="3"/>
  <c r="AR2078" i="3"/>
  <c r="AR2079" i="3"/>
  <c r="AR2080" i="3"/>
  <c r="AR2081" i="3"/>
  <c r="AR2082" i="3"/>
  <c r="AR2083" i="3"/>
  <c r="AR2084" i="3"/>
  <c r="AR2085" i="3"/>
  <c r="AR2086" i="3"/>
  <c r="AR2087" i="3"/>
  <c r="AR2088" i="3"/>
  <c r="AR2089" i="3"/>
  <c r="AR2090" i="3"/>
  <c r="AR2091" i="3"/>
  <c r="AR2092" i="3"/>
  <c r="AR2093" i="3"/>
  <c r="AR2094" i="3"/>
  <c r="AR2095" i="3"/>
  <c r="AR2096" i="3"/>
  <c r="AR2097" i="3"/>
  <c r="AR2098" i="3"/>
  <c r="AR2099" i="3"/>
  <c r="AR2100" i="3"/>
  <c r="AR2101" i="3"/>
  <c r="AR2102" i="3"/>
  <c r="AR2103" i="3"/>
  <c r="AR2104" i="3"/>
  <c r="AR2105" i="3"/>
  <c r="AR2106" i="3"/>
  <c r="AR2107" i="3"/>
  <c r="AR2108" i="3"/>
  <c r="AR2109" i="3"/>
  <c r="AR2110" i="3"/>
  <c r="AR2111" i="3"/>
  <c r="AR2112" i="3"/>
  <c r="AR2113" i="3"/>
  <c r="AR2114" i="3"/>
  <c r="AR2115" i="3"/>
  <c r="AR2116" i="3"/>
  <c r="AR2117" i="3"/>
  <c r="AR2118" i="3"/>
  <c r="AR2119" i="3"/>
  <c r="AR2120" i="3"/>
  <c r="AR2121" i="3"/>
  <c r="AR2122" i="3"/>
  <c r="AR2123" i="3"/>
  <c r="AR2124" i="3"/>
  <c r="AR2125" i="3"/>
  <c r="AR2126" i="3"/>
  <c r="AR2127" i="3"/>
  <c r="AR2128" i="3"/>
  <c r="AR2129" i="3"/>
  <c r="AR2130" i="3"/>
  <c r="AR2131" i="3"/>
  <c r="AR2132" i="3"/>
  <c r="AR2133" i="3"/>
  <c r="AR2134" i="3"/>
  <c r="AR2135" i="3"/>
  <c r="AR2136" i="3"/>
  <c r="AR2137" i="3"/>
  <c r="AR2138" i="3"/>
  <c r="AR2139" i="3"/>
  <c r="AR2140" i="3"/>
  <c r="AR2141" i="3"/>
  <c r="AR2142" i="3"/>
  <c r="AR2143" i="3"/>
  <c r="AR2144" i="3"/>
  <c r="AR2145" i="3"/>
  <c r="AR2146" i="3"/>
  <c r="AR2147" i="3"/>
  <c r="AR2148" i="3"/>
  <c r="AR2149" i="3"/>
  <c r="AR2150" i="3"/>
  <c r="AR2151" i="3"/>
  <c r="AR2152" i="3"/>
  <c r="AR2153" i="3"/>
  <c r="AR2154" i="3"/>
  <c r="AR2155" i="3"/>
  <c r="AR2156" i="3"/>
  <c r="AR2157" i="3"/>
  <c r="AR2158" i="3"/>
  <c r="AR2159" i="3"/>
  <c r="AR2160" i="3"/>
  <c r="AR2161" i="3"/>
  <c r="AR2162" i="3"/>
  <c r="AR2163" i="3"/>
  <c r="AR2164" i="3"/>
  <c r="AR2165" i="3"/>
  <c r="AR2166" i="3"/>
  <c r="AR2167" i="3"/>
  <c r="AR2168" i="3"/>
  <c r="AR2169" i="3"/>
  <c r="AR2170" i="3"/>
  <c r="AR2171" i="3"/>
  <c r="AR2172" i="3"/>
  <c r="AR2173" i="3"/>
  <c r="AR2174" i="3"/>
  <c r="AR2175" i="3"/>
  <c r="AR2176" i="3"/>
  <c r="AR2177" i="3"/>
  <c r="AR2178" i="3"/>
  <c r="AR2179" i="3"/>
  <c r="AR2180" i="3"/>
  <c r="AR2181" i="3"/>
  <c r="AR2182" i="3"/>
  <c r="AR2183" i="3"/>
  <c r="AR2184" i="3"/>
  <c r="AR2185" i="3"/>
  <c r="AR2186" i="3"/>
  <c r="AR2187" i="3"/>
  <c r="AR2188" i="3"/>
  <c r="AR2189" i="3"/>
  <c r="AR2190" i="3"/>
  <c r="AR2191" i="3"/>
  <c r="AR2192" i="3"/>
  <c r="AR2193" i="3"/>
  <c r="AR2194" i="3"/>
  <c r="AR2195" i="3"/>
  <c r="AR2196" i="3"/>
  <c r="AR2197" i="3"/>
  <c r="AR2198" i="3"/>
  <c r="AR2199" i="3"/>
  <c r="AR2200" i="3"/>
  <c r="AR2201" i="3"/>
  <c r="AR2202" i="3"/>
  <c r="AR2203" i="3"/>
  <c r="AR2204" i="3"/>
  <c r="AR2205" i="3"/>
  <c r="AR2206" i="3"/>
  <c r="AR2207" i="3"/>
  <c r="AR2208" i="3"/>
  <c r="AR2209" i="3"/>
  <c r="AR2210" i="3"/>
  <c r="AR2211" i="3"/>
  <c r="AR2212" i="3"/>
  <c r="AR2213" i="3"/>
  <c r="AR2214" i="3"/>
  <c r="AR2215" i="3"/>
  <c r="AR2216" i="3"/>
  <c r="AR2217" i="3"/>
  <c r="AR2218" i="3"/>
  <c r="AR2219" i="3"/>
  <c r="AR2220" i="3"/>
  <c r="AR2221" i="3"/>
  <c r="AR2222" i="3"/>
  <c r="AR2223" i="3"/>
  <c r="AR2224" i="3"/>
  <c r="AR2225" i="3"/>
  <c r="AR2226" i="3"/>
  <c r="AR2227" i="3"/>
  <c r="AR2228" i="3"/>
  <c r="AR2229" i="3"/>
  <c r="AR2230" i="3"/>
  <c r="AR2231" i="3"/>
  <c r="AR2232" i="3"/>
  <c r="AR2233" i="3"/>
  <c r="AR2234" i="3"/>
  <c r="AR2235" i="3"/>
  <c r="AR2236" i="3"/>
  <c r="AR2237" i="3"/>
  <c r="AR2238" i="3"/>
  <c r="AR2239" i="3"/>
  <c r="AR2240" i="3"/>
  <c r="AR2241" i="3"/>
  <c r="AQ2" i="3"/>
  <c r="AQ3" i="3"/>
  <c r="AQ4" i="3"/>
  <c r="AQ5" i="3"/>
  <c r="AQ6" i="3"/>
  <c r="AQ7" i="3"/>
  <c r="AQ8" i="3"/>
  <c r="AQ9" i="3"/>
  <c r="AQ10" i="3"/>
  <c r="AQ11" i="3"/>
  <c r="AQ12" i="3"/>
  <c r="AQ13" i="3"/>
  <c r="AQ14" i="3"/>
  <c r="AQ15" i="3"/>
  <c r="AQ16" i="3"/>
  <c r="AQ17" i="3"/>
  <c r="AQ18" i="3"/>
  <c r="AQ19" i="3"/>
  <c r="AQ20" i="3"/>
  <c r="AQ21" i="3"/>
  <c r="AQ22" i="3"/>
  <c r="AQ23" i="3"/>
  <c r="AQ24" i="3"/>
  <c r="AQ25" i="3"/>
  <c r="AQ26" i="3"/>
  <c r="AQ27" i="3"/>
  <c r="AQ28" i="3"/>
  <c r="AQ29" i="3"/>
  <c r="AQ30" i="3"/>
  <c r="AQ31" i="3"/>
  <c r="AQ32" i="3"/>
  <c r="AQ33" i="3"/>
  <c r="AQ34" i="3"/>
  <c r="AQ35" i="3"/>
  <c r="AQ36" i="3"/>
  <c r="AQ37" i="3"/>
  <c r="AQ38" i="3"/>
  <c r="AQ39" i="3"/>
  <c r="AQ40" i="3"/>
  <c r="AQ41" i="3"/>
  <c r="AQ42" i="3"/>
  <c r="AQ43" i="3"/>
  <c r="AQ44" i="3"/>
  <c r="AQ45" i="3"/>
  <c r="AQ46" i="3"/>
  <c r="AQ47" i="3"/>
  <c r="AQ48" i="3"/>
  <c r="AQ49" i="3"/>
  <c r="AQ50" i="3"/>
  <c r="AQ51" i="3"/>
  <c r="AQ52" i="3"/>
  <c r="AQ53" i="3"/>
  <c r="AQ54" i="3"/>
  <c r="AQ55" i="3"/>
  <c r="AQ56" i="3"/>
  <c r="AQ57" i="3"/>
  <c r="AQ58" i="3"/>
  <c r="AQ59" i="3"/>
  <c r="AQ60" i="3"/>
  <c r="AQ61" i="3"/>
  <c r="AQ62" i="3"/>
  <c r="AQ63" i="3"/>
  <c r="AQ64" i="3"/>
  <c r="AQ65" i="3"/>
  <c r="AQ66" i="3"/>
  <c r="AQ67" i="3"/>
  <c r="AQ68" i="3"/>
  <c r="AQ69" i="3"/>
  <c r="AQ70" i="3"/>
  <c r="AQ71" i="3"/>
  <c r="AQ72" i="3"/>
  <c r="AQ73" i="3"/>
  <c r="AQ74" i="3"/>
  <c r="AQ75" i="3"/>
  <c r="AQ76" i="3"/>
  <c r="AQ77" i="3"/>
  <c r="AQ78" i="3"/>
  <c r="AQ79" i="3"/>
  <c r="AQ80" i="3"/>
  <c r="AQ81" i="3"/>
  <c r="AQ82" i="3"/>
  <c r="AQ83" i="3"/>
  <c r="AQ84" i="3"/>
  <c r="AQ85" i="3"/>
  <c r="AQ86" i="3"/>
  <c r="AQ87" i="3"/>
  <c r="AQ88" i="3"/>
  <c r="AQ89" i="3"/>
  <c r="AQ90" i="3"/>
  <c r="AQ91" i="3"/>
  <c r="AQ92" i="3"/>
  <c r="AQ93" i="3"/>
  <c r="AQ94" i="3"/>
  <c r="AQ95" i="3"/>
  <c r="AQ96" i="3"/>
  <c r="AQ97" i="3"/>
  <c r="AQ98" i="3"/>
  <c r="AQ99" i="3"/>
  <c r="AQ100" i="3"/>
  <c r="AQ101" i="3"/>
  <c r="AQ102" i="3"/>
  <c r="AQ103" i="3"/>
  <c r="AQ104" i="3"/>
  <c r="AQ105" i="3"/>
  <c r="AQ106" i="3"/>
  <c r="AQ107" i="3"/>
  <c r="AQ108" i="3"/>
  <c r="AQ109" i="3"/>
  <c r="AQ110" i="3"/>
  <c r="AQ111" i="3"/>
  <c r="AQ112" i="3"/>
  <c r="AQ113" i="3"/>
  <c r="AQ114" i="3"/>
  <c r="AQ115" i="3"/>
  <c r="AQ116" i="3"/>
  <c r="AQ117" i="3"/>
  <c r="AQ118" i="3"/>
  <c r="AQ119" i="3"/>
  <c r="AQ120" i="3"/>
  <c r="AQ121" i="3"/>
  <c r="AQ122" i="3"/>
  <c r="AQ123" i="3"/>
  <c r="AQ124" i="3"/>
  <c r="AQ125" i="3"/>
  <c r="AQ126" i="3"/>
  <c r="AQ127" i="3"/>
  <c r="AQ128" i="3"/>
  <c r="AQ129" i="3"/>
  <c r="AQ130" i="3"/>
  <c r="AQ131" i="3"/>
  <c r="AQ132" i="3"/>
  <c r="AQ133" i="3"/>
  <c r="AQ134" i="3"/>
  <c r="AQ135" i="3"/>
  <c r="AQ136" i="3"/>
  <c r="AQ137" i="3"/>
  <c r="AQ138" i="3"/>
  <c r="AQ139" i="3"/>
  <c r="AQ140" i="3"/>
  <c r="AQ141" i="3"/>
  <c r="AQ142" i="3"/>
  <c r="AQ143" i="3"/>
  <c r="AQ144" i="3"/>
  <c r="AQ145" i="3"/>
  <c r="AQ146" i="3"/>
  <c r="AQ147" i="3"/>
  <c r="AQ148" i="3"/>
  <c r="AQ149" i="3"/>
  <c r="AQ150" i="3"/>
  <c r="AQ151" i="3"/>
  <c r="AQ152" i="3"/>
  <c r="AQ153" i="3"/>
  <c r="AQ154" i="3"/>
  <c r="AQ155" i="3"/>
  <c r="AQ156" i="3"/>
  <c r="AQ157" i="3"/>
  <c r="AQ158" i="3"/>
  <c r="AQ159" i="3"/>
  <c r="AQ160" i="3"/>
  <c r="AQ161" i="3"/>
  <c r="AQ162" i="3"/>
  <c r="AQ163" i="3"/>
  <c r="AQ164" i="3"/>
  <c r="AQ165" i="3"/>
  <c r="AQ166" i="3"/>
  <c r="AQ167" i="3"/>
  <c r="AQ168" i="3"/>
  <c r="AQ169" i="3"/>
  <c r="AQ170" i="3"/>
  <c r="AQ171" i="3"/>
  <c r="AQ172" i="3"/>
  <c r="AQ173" i="3"/>
  <c r="AQ174" i="3"/>
  <c r="AQ175" i="3"/>
  <c r="AQ176" i="3"/>
  <c r="AQ177" i="3"/>
  <c r="AQ178" i="3"/>
  <c r="AQ179" i="3"/>
  <c r="AQ180" i="3"/>
  <c r="AQ181" i="3"/>
  <c r="AQ182" i="3"/>
  <c r="AQ183" i="3"/>
  <c r="AQ184" i="3"/>
  <c r="AQ185" i="3"/>
  <c r="AQ186" i="3"/>
  <c r="AQ187" i="3"/>
  <c r="AQ188" i="3"/>
  <c r="AQ189" i="3"/>
  <c r="AQ190" i="3"/>
  <c r="AQ191" i="3"/>
  <c r="AQ192" i="3"/>
  <c r="AQ193" i="3"/>
  <c r="AQ194" i="3"/>
  <c r="AQ195" i="3"/>
  <c r="AQ196" i="3"/>
  <c r="AQ197" i="3"/>
  <c r="AQ198" i="3"/>
  <c r="AQ199" i="3"/>
  <c r="AQ200" i="3"/>
  <c r="AQ201" i="3"/>
  <c r="AQ202" i="3"/>
  <c r="AQ203" i="3"/>
  <c r="AQ204" i="3"/>
  <c r="AQ205" i="3"/>
  <c r="AQ206" i="3"/>
  <c r="AQ207" i="3"/>
  <c r="AQ208" i="3"/>
  <c r="AQ209" i="3"/>
  <c r="AQ210" i="3"/>
  <c r="AQ211" i="3"/>
  <c r="AQ212" i="3"/>
  <c r="AQ213" i="3"/>
  <c r="AQ214" i="3"/>
  <c r="AQ215" i="3"/>
  <c r="AQ216" i="3"/>
  <c r="AQ217" i="3"/>
  <c r="AQ218" i="3"/>
  <c r="AQ219" i="3"/>
  <c r="AQ220" i="3"/>
  <c r="AQ221" i="3"/>
  <c r="AQ222" i="3"/>
  <c r="AQ223" i="3"/>
  <c r="AQ224" i="3"/>
  <c r="AQ225" i="3"/>
  <c r="AQ226" i="3"/>
  <c r="AQ227" i="3"/>
  <c r="AQ228" i="3"/>
  <c r="AQ229" i="3"/>
  <c r="AQ230" i="3"/>
  <c r="AQ231" i="3"/>
  <c r="AQ232" i="3"/>
  <c r="AQ233" i="3"/>
  <c r="AQ234" i="3"/>
  <c r="AQ235" i="3"/>
  <c r="AQ236" i="3"/>
  <c r="AQ237" i="3"/>
  <c r="AQ238" i="3"/>
  <c r="AQ239" i="3"/>
  <c r="AQ240" i="3"/>
  <c r="AQ241" i="3"/>
  <c r="AQ242" i="3"/>
  <c r="AQ243" i="3"/>
  <c r="AQ244" i="3"/>
  <c r="AQ245" i="3"/>
  <c r="AQ246" i="3"/>
  <c r="AQ247" i="3"/>
  <c r="AQ248" i="3"/>
  <c r="AQ249" i="3"/>
  <c r="AQ250" i="3"/>
  <c r="AQ251" i="3"/>
  <c r="AQ252" i="3"/>
  <c r="AQ253" i="3"/>
  <c r="AQ254" i="3"/>
  <c r="AQ255" i="3"/>
  <c r="AQ256" i="3"/>
  <c r="AQ257" i="3"/>
  <c r="AQ258" i="3"/>
  <c r="AQ259" i="3"/>
  <c r="AQ260" i="3"/>
  <c r="AQ261" i="3"/>
  <c r="AQ262" i="3"/>
  <c r="AQ263" i="3"/>
  <c r="AQ264" i="3"/>
  <c r="AQ265" i="3"/>
  <c r="AQ266" i="3"/>
  <c r="AQ267" i="3"/>
  <c r="AQ268" i="3"/>
  <c r="AQ269" i="3"/>
  <c r="AQ270" i="3"/>
  <c r="AQ271" i="3"/>
  <c r="AQ272" i="3"/>
  <c r="AQ273" i="3"/>
  <c r="AQ274" i="3"/>
  <c r="AQ275" i="3"/>
  <c r="AQ276" i="3"/>
  <c r="AQ277" i="3"/>
  <c r="AQ278" i="3"/>
  <c r="AQ279" i="3"/>
  <c r="AQ280" i="3"/>
  <c r="AQ281" i="3"/>
  <c r="AQ282" i="3"/>
  <c r="AQ283" i="3"/>
  <c r="AQ284" i="3"/>
  <c r="AQ285" i="3"/>
  <c r="AQ286" i="3"/>
  <c r="AQ287" i="3"/>
  <c r="AQ288" i="3"/>
  <c r="AQ289" i="3"/>
  <c r="AQ290" i="3"/>
  <c r="AQ291" i="3"/>
  <c r="AQ292" i="3"/>
  <c r="AQ293" i="3"/>
  <c r="AQ294" i="3"/>
  <c r="AQ295" i="3"/>
  <c r="AQ296" i="3"/>
  <c r="AQ297" i="3"/>
  <c r="AQ298" i="3"/>
  <c r="AQ299" i="3"/>
  <c r="AQ300" i="3"/>
  <c r="AQ301" i="3"/>
  <c r="AQ302" i="3"/>
  <c r="AQ303" i="3"/>
  <c r="AQ304" i="3"/>
  <c r="AQ305" i="3"/>
  <c r="AQ306" i="3"/>
  <c r="AQ307" i="3"/>
  <c r="AQ308" i="3"/>
  <c r="AQ309" i="3"/>
  <c r="AQ310" i="3"/>
  <c r="AQ311" i="3"/>
  <c r="AQ312" i="3"/>
  <c r="AQ313" i="3"/>
  <c r="AQ314" i="3"/>
  <c r="AQ315" i="3"/>
  <c r="AQ316" i="3"/>
  <c r="AQ317" i="3"/>
  <c r="AQ318" i="3"/>
  <c r="AQ319" i="3"/>
  <c r="AQ320" i="3"/>
  <c r="AQ321" i="3"/>
  <c r="AQ322" i="3"/>
  <c r="AQ323" i="3"/>
  <c r="AQ324" i="3"/>
  <c r="AQ325" i="3"/>
  <c r="AQ326" i="3"/>
  <c r="AQ327" i="3"/>
  <c r="AQ328" i="3"/>
  <c r="AQ329" i="3"/>
  <c r="AQ330" i="3"/>
  <c r="AQ331" i="3"/>
  <c r="AQ332" i="3"/>
  <c r="AQ333" i="3"/>
  <c r="AQ334" i="3"/>
  <c r="AQ335" i="3"/>
  <c r="AQ336" i="3"/>
  <c r="AQ337" i="3"/>
  <c r="AQ338" i="3"/>
  <c r="AQ339" i="3"/>
  <c r="AQ340" i="3"/>
  <c r="AQ341" i="3"/>
  <c r="AQ342" i="3"/>
  <c r="AQ343" i="3"/>
  <c r="AQ344" i="3"/>
  <c r="AQ345" i="3"/>
  <c r="AQ346" i="3"/>
  <c r="AQ347" i="3"/>
  <c r="AQ348" i="3"/>
  <c r="AQ349" i="3"/>
  <c r="AQ350" i="3"/>
  <c r="AQ351" i="3"/>
  <c r="AQ352" i="3"/>
  <c r="AQ353" i="3"/>
  <c r="AQ354" i="3"/>
  <c r="AQ355" i="3"/>
  <c r="AQ356" i="3"/>
  <c r="AQ357" i="3"/>
  <c r="AQ358" i="3"/>
  <c r="AQ359" i="3"/>
  <c r="AQ360" i="3"/>
  <c r="AQ361" i="3"/>
  <c r="AQ362" i="3"/>
  <c r="AQ363" i="3"/>
  <c r="AQ364" i="3"/>
  <c r="AQ365" i="3"/>
  <c r="AQ366" i="3"/>
  <c r="AQ367" i="3"/>
  <c r="AQ368" i="3"/>
  <c r="AQ369" i="3"/>
  <c r="AQ370" i="3"/>
  <c r="AQ371" i="3"/>
  <c r="AQ372" i="3"/>
  <c r="AQ373" i="3"/>
  <c r="AQ374" i="3"/>
  <c r="AQ375" i="3"/>
  <c r="AQ376" i="3"/>
  <c r="AQ377" i="3"/>
  <c r="AQ378" i="3"/>
  <c r="AQ379" i="3"/>
  <c r="AQ380" i="3"/>
  <c r="AQ381" i="3"/>
  <c r="AQ382" i="3"/>
  <c r="AQ383" i="3"/>
  <c r="AQ384" i="3"/>
  <c r="AQ385" i="3"/>
  <c r="AQ386" i="3"/>
  <c r="AQ387" i="3"/>
  <c r="AQ388" i="3"/>
  <c r="AQ389" i="3"/>
  <c r="AQ390" i="3"/>
  <c r="AQ391" i="3"/>
  <c r="AQ392" i="3"/>
  <c r="AQ393" i="3"/>
  <c r="AQ394" i="3"/>
  <c r="AQ395" i="3"/>
  <c r="AQ396" i="3"/>
  <c r="AQ397" i="3"/>
  <c r="AQ398" i="3"/>
  <c r="AQ399" i="3"/>
  <c r="AQ400" i="3"/>
  <c r="AQ401" i="3"/>
  <c r="AQ402" i="3"/>
  <c r="AQ403" i="3"/>
  <c r="AQ404" i="3"/>
  <c r="AQ405" i="3"/>
  <c r="AQ406" i="3"/>
  <c r="AQ407" i="3"/>
  <c r="AQ408" i="3"/>
  <c r="AQ409" i="3"/>
  <c r="AQ410" i="3"/>
  <c r="AQ411" i="3"/>
  <c r="AQ412" i="3"/>
  <c r="AQ413" i="3"/>
  <c r="AQ414" i="3"/>
  <c r="AQ415" i="3"/>
  <c r="AQ416" i="3"/>
  <c r="AQ417" i="3"/>
  <c r="AQ418" i="3"/>
  <c r="AQ419" i="3"/>
  <c r="AQ420" i="3"/>
  <c r="AQ421" i="3"/>
  <c r="AQ422" i="3"/>
  <c r="AQ423" i="3"/>
  <c r="AQ424" i="3"/>
  <c r="AQ425" i="3"/>
  <c r="AQ426" i="3"/>
  <c r="AQ427" i="3"/>
  <c r="AQ428" i="3"/>
  <c r="AQ429" i="3"/>
  <c r="AQ430" i="3"/>
  <c r="AQ431" i="3"/>
  <c r="AQ432" i="3"/>
  <c r="AQ433" i="3"/>
  <c r="AQ434" i="3"/>
  <c r="AQ435" i="3"/>
  <c r="AQ436" i="3"/>
  <c r="AQ437" i="3"/>
  <c r="AQ438" i="3"/>
  <c r="AQ439" i="3"/>
  <c r="AQ440" i="3"/>
  <c r="AQ441" i="3"/>
  <c r="AQ442" i="3"/>
  <c r="AQ443" i="3"/>
  <c r="AQ444" i="3"/>
  <c r="AQ445" i="3"/>
  <c r="AQ446" i="3"/>
  <c r="AQ447" i="3"/>
  <c r="AQ448" i="3"/>
  <c r="AQ449" i="3"/>
  <c r="AQ450" i="3"/>
  <c r="AQ451" i="3"/>
  <c r="AQ452" i="3"/>
  <c r="AQ453" i="3"/>
  <c r="AQ454" i="3"/>
  <c r="AQ455" i="3"/>
  <c r="AQ456" i="3"/>
  <c r="AQ457" i="3"/>
  <c r="AQ458" i="3"/>
  <c r="AQ459" i="3"/>
  <c r="AQ460" i="3"/>
  <c r="AQ461" i="3"/>
  <c r="AQ462" i="3"/>
  <c r="AQ463" i="3"/>
  <c r="AQ464" i="3"/>
  <c r="AQ465" i="3"/>
  <c r="AQ466" i="3"/>
  <c r="AQ467" i="3"/>
  <c r="AQ468" i="3"/>
  <c r="AQ469" i="3"/>
  <c r="AQ470" i="3"/>
  <c r="AQ471" i="3"/>
  <c r="AQ472" i="3"/>
  <c r="AQ473" i="3"/>
  <c r="AQ474" i="3"/>
  <c r="AQ475" i="3"/>
  <c r="AQ476" i="3"/>
  <c r="AQ477" i="3"/>
  <c r="AQ478" i="3"/>
  <c r="AQ479" i="3"/>
  <c r="AQ480" i="3"/>
  <c r="AQ481" i="3"/>
  <c r="AQ482" i="3"/>
  <c r="AQ483" i="3"/>
  <c r="AQ484" i="3"/>
  <c r="AQ485" i="3"/>
  <c r="AQ486" i="3"/>
  <c r="AQ487" i="3"/>
  <c r="AQ488" i="3"/>
  <c r="AQ489" i="3"/>
  <c r="AQ490" i="3"/>
  <c r="AQ491" i="3"/>
  <c r="AQ492" i="3"/>
  <c r="AQ493" i="3"/>
  <c r="AQ494" i="3"/>
  <c r="AQ495" i="3"/>
  <c r="AQ496" i="3"/>
  <c r="AQ497" i="3"/>
  <c r="AQ498" i="3"/>
  <c r="AQ499" i="3"/>
  <c r="AQ500" i="3"/>
  <c r="AQ501" i="3"/>
  <c r="AQ502" i="3"/>
  <c r="AQ503" i="3"/>
  <c r="AQ504" i="3"/>
  <c r="AQ505" i="3"/>
  <c r="AQ506" i="3"/>
  <c r="AQ507" i="3"/>
  <c r="AQ508" i="3"/>
  <c r="AQ509" i="3"/>
  <c r="AQ510" i="3"/>
  <c r="AQ511" i="3"/>
  <c r="AQ512" i="3"/>
  <c r="AQ513" i="3"/>
  <c r="AQ514" i="3"/>
  <c r="AQ515" i="3"/>
  <c r="AQ516" i="3"/>
  <c r="AQ517" i="3"/>
  <c r="AQ518" i="3"/>
  <c r="AQ519" i="3"/>
  <c r="AQ520" i="3"/>
  <c r="AQ521" i="3"/>
  <c r="AQ522" i="3"/>
  <c r="AQ523" i="3"/>
  <c r="AQ524" i="3"/>
  <c r="AQ525" i="3"/>
  <c r="AQ526" i="3"/>
  <c r="AQ527" i="3"/>
  <c r="AQ528" i="3"/>
  <c r="AQ529" i="3"/>
  <c r="AQ530" i="3"/>
  <c r="AQ531" i="3"/>
  <c r="AQ532" i="3"/>
  <c r="AQ533" i="3"/>
  <c r="AQ534" i="3"/>
  <c r="AQ535" i="3"/>
  <c r="AQ536" i="3"/>
  <c r="AQ537" i="3"/>
  <c r="AQ538" i="3"/>
  <c r="AQ539" i="3"/>
  <c r="AQ540" i="3"/>
  <c r="AQ541" i="3"/>
  <c r="AQ542" i="3"/>
  <c r="AQ543" i="3"/>
  <c r="AQ544" i="3"/>
  <c r="AQ545" i="3"/>
  <c r="AQ546" i="3"/>
  <c r="AQ547" i="3"/>
  <c r="AQ548" i="3"/>
  <c r="AQ549" i="3"/>
  <c r="AQ550" i="3"/>
  <c r="AQ551" i="3"/>
  <c r="AQ552" i="3"/>
  <c r="AQ553" i="3"/>
  <c r="AQ554" i="3"/>
  <c r="AQ555" i="3"/>
  <c r="AQ556" i="3"/>
  <c r="AQ557" i="3"/>
  <c r="AQ558" i="3"/>
  <c r="AQ559" i="3"/>
  <c r="AQ560" i="3"/>
  <c r="AQ561" i="3"/>
  <c r="AQ562" i="3"/>
  <c r="AQ563" i="3"/>
  <c r="AQ564" i="3"/>
  <c r="AQ565" i="3"/>
  <c r="AQ566" i="3"/>
  <c r="AQ567" i="3"/>
  <c r="AQ568" i="3"/>
  <c r="AQ569" i="3"/>
  <c r="AQ570" i="3"/>
  <c r="AQ571" i="3"/>
  <c r="AQ572" i="3"/>
  <c r="AQ573" i="3"/>
  <c r="AQ574" i="3"/>
  <c r="AQ575" i="3"/>
  <c r="AQ576" i="3"/>
  <c r="AQ577" i="3"/>
  <c r="AQ578" i="3"/>
  <c r="AQ579" i="3"/>
  <c r="AQ580" i="3"/>
  <c r="AQ581" i="3"/>
  <c r="AQ582" i="3"/>
  <c r="AQ583" i="3"/>
  <c r="AQ584" i="3"/>
  <c r="AQ585" i="3"/>
  <c r="AQ586" i="3"/>
  <c r="AQ587" i="3"/>
  <c r="AQ588" i="3"/>
  <c r="AQ589" i="3"/>
  <c r="AQ590" i="3"/>
  <c r="AQ591" i="3"/>
  <c r="AQ592" i="3"/>
  <c r="AQ593" i="3"/>
  <c r="AQ594" i="3"/>
  <c r="AQ595" i="3"/>
  <c r="AQ596" i="3"/>
  <c r="AQ597" i="3"/>
  <c r="AQ598" i="3"/>
  <c r="AQ599" i="3"/>
  <c r="AQ600" i="3"/>
  <c r="AQ601" i="3"/>
  <c r="AQ602" i="3"/>
  <c r="AQ603" i="3"/>
  <c r="AQ604" i="3"/>
  <c r="AQ605" i="3"/>
  <c r="AQ606" i="3"/>
  <c r="AQ607" i="3"/>
  <c r="AQ608" i="3"/>
  <c r="AQ609" i="3"/>
  <c r="AQ610" i="3"/>
  <c r="AQ611" i="3"/>
  <c r="AQ612" i="3"/>
  <c r="AQ613" i="3"/>
  <c r="AQ614" i="3"/>
  <c r="AQ615" i="3"/>
  <c r="AQ616" i="3"/>
  <c r="AQ617" i="3"/>
  <c r="AQ618" i="3"/>
  <c r="AQ619" i="3"/>
  <c r="AQ620" i="3"/>
  <c r="AQ621" i="3"/>
  <c r="AQ622" i="3"/>
  <c r="AQ623" i="3"/>
  <c r="AQ624" i="3"/>
  <c r="AQ625" i="3"/>
  <c r="AQ626" i="3"/>
  <c r="AQ627" i="3"/>
  <c r="AQ628" i="3"/>
  <c r="AQ629" i="3"/>
  <c r="AQ630" i="3"/>
  <c r="AQ631" i="3"/>
  <c r="AQ632" i="3"/>
  <c r="AQ633" i="3"/>
  <c r="AQ634" i="3"/>
  <c r="AQ635" i="3"/>
  <c r="AQ636" i="3"/>
  <c r="AQ637" i="3"/>
  <c r="AQ638" i="3"/>
  <c r="AQ639" i="3"/>
  <c r="AQ640" i="3"/>
  <c r="AQ641" i="3"/>
  <c r="AQ642" i="3"/>
  <c r="AQ643" i="3"/>
  <c r="AQ644" i="3"/>
  <c r="AQ645" i="3"/>
  <c r="AQ646" i="3"/>
  <c r="AQ647" i="3"/>
  <c r="AQ648" i="3"/>
  <c r="AQ649" i="3"/>
  <c r="AQ650" i="3"/>
  <c r="AQ651" i="3"/>
  <c r="AQ652" i="3"/>
  <c r="AQ653" i="3"/>
  <c r="AQ654" i="3"/>
  <c r="AQ655" i="3"/>
  <c r="AQ656" i="3"/>
  <c r="AQ657" i="3"/>
  <c r="AQ658" i="3"/>
  <c r="AQ659" i="3"/>
  <c r="AQ660" i="3"/>
  <c r="AQ661" i="3"/>
  <c r="AQ662" i="3"/>
  <c r="AQ663" i="3"/>
  <c r="AQ664" i="3"/>
  <c r="AQ665" i="3"/>
  <c r="AQ666" i="3"/>
  <c r="AQ667" i="3"/>
  <c r="AQ668" i="3"/>
  <c r="AQ669" i="3"/>
  <c r="AQ670" i="3"/>
  <c r="AQ671" i="3"/>
  <c r="AQ672" i="3"/>
  <c r="AQ673" i="3"/>
  <c r="AQ674" i="3"/>
  <c r="AQ675" i="3"/>
  <c r="AQ676" i="3"/>
  <c r="AQ677" i="3"/>
  <c r="AQ678" i="3"/>
  <c r="AQ679" i="3"/>
  <c r="AQ680" i="3"/>
  <c r="AQ681" i="3"/>
  <c r="AQ682" i="3"/>
  <c r="AQ683" i="3"/>
  <c r="AQ684" i="3"/>
  <c r="AQ685" i="3"/>
  <c r="AQ686" i="3"/>
  <c r="AQ687" i="3"/>
  <c r="AQ688" i="3"/>
  <c r="AQ689" i="3"/>
  <c r="AQ690" i="3"/>
  <c r="AQ691" i="3"/>
  <c r="AQ692" i="3"/>
  <c r="AQ693" i="3"/>
  <c r="AQ694" i="3"/>
  <c r="AQ695" i="3"/>
  <c r="AQ696" i="3"/>
  <c r="AQ697" i="3"/>
  <c r="AQ698" i="3"/>
  <c r="AQ699" i="3"/>
  <c r="AQ700" i="3"/>
  <c r="AQ701" i="3"/>
  <c r="AQ702" i="3"/>
  <c r="AQ703" i="3"/>
  <c r="AQ704" i="3"/>
  <c r="AQ705" i="3"/>
  <c r="AQ706" i="3"/>
  <c r="AQ707" i="3"/>
  <c r="AQ708" i="3"/>
  <c r="AQ709" i="3"/>
  <c r="AQ710" i="3"/>
  <c r="AQ711" i="3"/>
  <c r="AQ712" i="3"/>
  <c r="AQ713" i="3"/>
  <c r="AQ714" i="3"/>
  <c r="AQ715" i="3"/>
  <c r="AQ716" i="3"/>
  <c r="AQ717" i="3"/>
  <c r="AQ718" i="3"/>
  <c r="AQ719" i="3"/>
  <c r="AQ720" i="3"/>
  <c r="AQ721" i="3"/>
  <c r="AQ722" i="3"/>
  <c r="AQ723" i="3"/>
  <c r="AQ724" i="3"/>
  <c r="AQ725" i="3"/>
  <c r="AQ726" i="3"/>
  <c r="AQ727" i="3"/>
  <c r="AQ728" i="3"/>
  <c r="AQ729" i="3"/>
  <c r="AQ730" i="3"/>
  <c r="AQ731" i="3"/>
  <c r="AQ732" i="3"/>
  <c r="AQ733" i="3"/>
  <c r="AQ734" i="3"/>
  <c r="AQ735" i="3"/>
  <c r="AQ736" i="3"/>
  <c r="AQ737" i="3"/>
  <c r="AQ738" i="3"/>
  <c r="AQ739" i="3"/>
  <c r="AQ740" i="3"/>
  <c r="AQ741" i="3"/>
  <c r="AQ742" i="3"/>
  <c r="AQ743" i="3"/>
  <c r="AQ744" i="3"/>
  <c r="AQ745" i="3"/>
  <c r="AQ746" i="3"/>
  <c r="AQ747" i="3"/>
  <c r="AQ748" i="3"/>
  <c r="AQ749" i="3"/>
  <c r="AQ750" i="3"/>
  <c r="AQ751" i="3"/>
  <c r="AQ752" i="3"/>
  <c r="AQ753" i="3"/>
  <c r="AQ754" i="3"/>
  <c r="AQ755" i="3"/>
  <c r="AQ756" i="3"/>
  <c r="AQ757" i="3"/>
  <c r="AQ758" i="3"/>
  <c r="AQ759" i="3"/>
  <c r="AQ760" i="3"/>
  <c r="AQ761" i="3"/>
  <c r="AQ762" i="3"/>
  <c r="AQ763" i="3"/>
  <c r="AQ764" i="3"/>
  <c r="AQ765" i="3"/>
  <c r="AQ766" i="3"/>
  <c r="AQ767" i="3"/>
  <c r="AQ768" i="3"/>
  <c r="AQ769" i="3"/>
  <c r="AQ770" i="3"/>
  <c r="AQ771" i="3"/>
  <c r="AQ772" i="3"/>
  <c r="AQ773" i="3"/>
  <c r="AQ774" i="3"/>
  <c r="AQ775" i="3"/>
  <c r="AQ776" i="3"/>
  <c r="AQ777" i="3"/>
  <c r="AQ778" i="3"/>
  <c r="AQ779" i="3"/>
  <c r="AQ780" i="3"/>
  <c r="AQ781" i="3"/>
  <c r="AQ782" i="3"/>
  <c r="AQ783" i="3"/>
  <c r="AQ784" i="3"/>
  <c r="AQ785" i="3"/>
  <c r="AQ786" i="3"/>
  <c r="AQ787" i="3"/>
  <c r="AQ788" i="3"/>
  <c r="AQ789" i="3"/>
  <c r="AQ790" i="3"/>
  <c r="AQ791" i="3"/>
  <c r="AQ792" i="3"/>
  <c r="AQ793" i="3"/>
  <c r="AQ794" i="3"/>
  <c r="AQ795" i="3"/>
  <c r="AQ796" i="3"/>
  <c r="AQ797" i="3"/>
  <c r="AQ798" i="3"/>
  <c r="AQ799" i="3"/>
  <c r="AQ800" i="3"/>
  <c r="AQ801" i="3"/>
  <c r="AQ802" i="3"/>
  <c r="AQ803" i="3"/>
  <c r="AQ804" i="3"/>
  <c r="AQ805" i="3"/>
  <c r="AQ806" i="3"/>
  <c r="AQ807" i="3"/>
  <c r="AQ808" i="3"/>
  <c r="AQ809" i="3"/>
  <c r="AQ810" i="3"/>
  <c r="AQ811" i="3"/>
  <c r="AQ812" i="3"/>
  <c r="AQ813" i="3"/>
  <c r="AQ814" i="3"/>
  <c r="AQ815" i="3"/>
  <c r="AQ816" i="3"/>
  <c r="AQ817" i="3"/>
  <c r="AQ818" i="3"/>
  <c r="AQ819" i="3"/>
  <c r="AQ820" i="3"/>
  <c r="AQ821" i="3"/>
  <c r="AQ822" i="3"/>
  <c r="AQ823" i="3"/>
  <c r="AQ824" i="3"/>
  <c r="AQ825" i="3"/>
  <c r="AQ826" i="3"/>
  <c r="AQ827" i="3"/>
  <c r="AQ828" i="3"/>
  <c r="AQ829" i="3"/>
  <c r="AQ830" i="3"/>
  <c r="AQ831" i="3"/>
  <c r="AQ832" i="3"/>
  <c r="AQ833" i="3"/>
  <c r="AQ834" i="3"/>
  <c r="AQ835" i="3"/>
  <c r="AQ836" i="3"/>
  <c r="AQ837" i="3"/>
  <c r="AQ838" i="3"/>
  <c r="AQ839" i="3"/>
  <c r="AQ840" i="3"/>
  <c r="AQ841" i="3"/>
  <c r="AQ842" i="3"/>
  <c r="AQ843" i="3"/>
  <c r="AQ844" i="3"/>
  <c r="AQ845" i="3"/>
  <c r="AQ846" i="3"/>
  <c r="AQ847" i="3"/>
  <c r="AQ848" i="3"/>
  <c r="AQ849" i="3"/>
  <c r="AQ850" i="3"/>
  <c r="AQ851" i="3"/>
  <c r="AQ852" i="3"/>
  <c r="AQ853" i="3"/>
  <c r="AQ854" i="3"/>
  <c r="AQ855" i="3"/>
  <c r="AQ856" i="3"/>
  <c r="AQ857" i="3"/>
  <c r="AQ858" i="3"/>
  <c r="AQ859" i="3"/>
  <c r="AQ860" i="3"/>
  <c r="AQ861" i="3"/>
  <c r="AQ862" i="3"/>
  <c r="AQ863" i="3"/>
  <c r="AQ864" i="3"/>
  <c r="AQ865" i="3"/>
  <c r="AQ866" i="3"/>
  <c r="AQ867" i="3"/>
  <c r="AQ868" i="3"/>
  <c r="AQ869" i="3"/>
  <c r="AQ870" i="3"/>
  <c r="AQ871" i="3"/>
  <c r="AQ872" i="3"/>
  <c r="AQ873" i="3"/>
  <c r="AQ874" i="3"/>
  <c r="AQ875" i="3"/>
  <c r="AQ876" i="3"/>
  <c r="AQ877" i="3"/>
  <c r="AQ878" i="3"/>
  <c r="AQ879" i="3"/>
  <c r="AQ880" i="3"/>
  <c r="AQ881" i="3"/>
  <c r="AQ882" i="3"/>
  <c r="AQ883" i="3"/>
  <c r="AQ884" i="3"/>
  <c r="AQ885" i="3"/>
  <c r="AQ886" i="3"/>
  <c r="AQ887" i="3"/>
  <c r="AQ888" i="3"/>
  <c r="AQ889" i="3"/>
  <c r="AQ890" i="3"/>
  <c r="AQ891" i="3"/>
  <c r="AQ892" i="3"/>
  <c r="AQ893" i="3"/>
  <c r="AQ894" i="3"/>
  <c r="AQ895" i="3"/>
  <c r="AQ896" i="3"/>
  <c r="AQ897" i="3"/>
  <c r="AQ898" i="3"/>
  <c r="AQ899" i="3"/>
  <c r="AQ900" i="3"/>
  <c r="AQ901" i="3"/>
  <c r="AQ902" i="3"/>
  <c r="AQ903" i="3"/>
  <c r="AQ904" i="3"/>
  <c r="AQ905" i="3"/>
  <c r="AQ906" i="3"/>
  <c r="AQ907" i="3"/>
  <c r="AQ908" i="3"/>
  <c r="AQ909" i="3"/>
  <c r="AQ910" i="3"/>
  <c r="AQ911" i="3"/>
  <c r="AQ912" i="3"/>
  <c r="AQ913" i="3"/>
  <c r="AQ914" i="3"/>
  <c r="AQ915" i="3"/>
  <c r="AQ916" i="3"/>
  <c r="AQ917" i="3"/>
  <c r="AQ918" i="3"/>
  <c r="AQ919" i="3"/>
  <c r="AQ920" i="3"/>
  <c r="AQ921" i="3"/>
  <c r="AQ922" i="3"/>
  <c r="AQ923" i="3"/>
  <c r="AQ924" i="3"/>
  <c r="AQ925" i="3"/>
  <c r="AQ926" i="3"/>
  <c r="AQ927" i="3"/>
  <c r="AQ928" i="3"/>
  <c r="AQ929" i="3"/>
  <c r="AQ930" i="3"/>
  <c r="AQ931" i="3"/>
  <c r="AQ932" i="3"/>
  <c r="AQ933" i="3"/>
  <c r="AQ934" i="3"/>
  <c r="AQ935" i="3"/>
  <c r="AQ936" i="3"/>
  <c r="AQ937" i="3"/>
  <c r="AQ938" i="3"/>
  <c r="AQ939" i="3"/>
  <c r="AQ940" i="3"/>
  <c r="AQ941" i="3"/>
  <c r="AQ942" i="3"/>
  <c r="AQ943" i="3"/>
  <c r="AQ944" i="3"/>
  <c r="AQ945" i="3"/>
  <c r="AQ946" i="3"/>
  <c r="AQ947" i="3"/>
  <c r="AQ948" i="3"/>
  <c r="AQ949" i="3"/>
  <c r="AQ950" i="3"/>
  <c r="AQ951" i="3"/>
  <c r="AQ952" i="3"/>
  <c r="AQ953" i="3"/>
  <c r="AQ954" i="3"/>
  <c r="AQ955" i="3"/>
  <c r="AQ956" i="3"/>
  <c r="AQ957" i="3"/>
  <c r="AQ958" i="3"/>
  <c r="AQ959" i="3"/>
  <c r="AQ960" i="3"/>
  <c r="AQ961" i="3"/>
  <c r="AQ962" i="3"/>
  <c r="AQ963" i="3"/>
  <c r="AQ964" i="3"/>
  <c r="AQ965" i="3"/>
  <c r="AQ966" i="3"/>
  <c r="AQ967" i="3"/>
  <c r="AQ968" i="3"/>
  <c r="AQ969" i="3"/>
  <c r="AQ970" i="3"/>
  <c r="AQ971" i="3"/>
  <c r="AQ972" i="3"/>
  <c r="AQ973" i="3"/>
  <c r="AQ974" i="3"/>
  <c r="AQ975" i="3"/>
  <c r="AQ976" i="3"/>
  <c r="AQ977" i="3"/>
  <c r="AQ978" i="3"/>
  <c r="AQ979" i="3"/>
  <c r="AQ980" i="3"/>
  <c r="AQ981" i="3"/>
  <c r="AQ982" i="3"/>
  <c r="AQ983" i="3"/>
  <c r="AQ984" i="3"/>
  <c r="AQ985" i="3"/>
  <c r="AQ986" i="3"/>
  <c r="AQ987" i="3"/>
  <c r="AQ988" i="3"/>
  <c r="AQ989" i="3"/>
  <c r="AQ990" i="3"/>
  <c r="AQ991" i="3"/>
  <c r="AQ992" i="3"/>
  <c r="AQ993" i="3"/>
  <c r="AQ994" i="3"/>
  <c r="AQ995" i="3"/>
  <c r="AQ996" i="3"/>
  <c r="AQ997" i="3"/>
  <c r="AQ998" i="3"/>
  <c r="AQ999" i="3"/>
  <c r="AQ1000" i="3"/>
  <c r="AQ1001" i="3"/>
  <c r="AQ1002" i="3"/>
  <c r="AQ1003" i="3"/>
  <c r="AQ1004" i="3"/>
  <c r="AQ1005" i="3"/>
  <c r="AQ1006" i="3"/>
  <c r="AQ1007" i="3"/>
  <c r="AQ1008" i="3"/>
  <c r="AQ1009" i="3"/>
  <c r="AQ1010" i="3"/>
  <c r="AQ1011" i="3"/>
  <c r="AQ1012" i="3"/>
  <c r="AQ1013" i="3"/>
  <c r="AQ1014" i="3"/>
  <c r="AQ1015" i="3"/>
  <c r="AQ1016" i="3"/>
  <c r="AQ1017" i="3"/>
  <c r="AQ1018" i="3"/>
  <c r="AQ1019" i="3"/>
  <c r="AQ1020" i="3"/>
  <c r="AQ1021" i="3"/>
  <c r="AQ1022" i="3"/>
  <c r="AQ1023" i="3"/>
  <c r="AQ1024" i="3"/>
  <c r="AQ1025" i="3"/>
  <c r="AQ1026" i="3"/>
  <c r="AQ1027" i="3"/>
  <c r="AQ1028" i="3"/>
  <c r="AQ1029" i="3"/>
  <c r="AQ1030" i="3"/>
  <c r="AQ1031" i="3"/>
  <c r="AQ1032" i="3"/>
  <c r="AQ1033" i="3"/>
  <c r="AQ1034" i="3"/>
  <c r="AQ1035" i="3"/>
  <c r="AQ1036" i="3"/>
  <c r="AQ1037" i="3"/>
  <c r="AQ1038" i="3"/>
  <c r="AQ1039" i="3"/>
  <c r="AQ1040" i="3"/>
  <c r="AQ1041" i="3"/>
  <c r="AQ1042" i="3"/>
  <c r="AQ1043" i="3"/>
  <c r="AQ1044" i="3"/>
  <c r="AQ1045" i="3"/>
  <c r="AQ1046" i="3"/>
  <c r="AQ1047" i="3"/>
  <c r="AQ1048" i="3"/>
  <c r="AQ1049" i="3"/>
  <c r="AQ1050" i="3"/>
  <c r="AQ1051" i="3"/>
  <c r="AQ1052" i="3"/>
  <c r="AQ1053" i="3"/>
  <c r="AQ1054" i="3"/>
  <c r="AQ1055" i="3"/>
  <c r="AQ1056" i="3"/>
  <c r="AQ1057" i="3"/>
  <c r="AQ1058" i="3"/>
  <c r="AQ1059" i="3"/>
  <c r="AQ1060" i="3"/>
  <c r="AQ1061" i="3"/>
  <c r="AQ1062" i="3"/>
  <c r="AQ1063" i="3"/>
  <c r="AQ1064" i="3"/>
  <c r="AQ1065" i="3"/>
  <c r="AQ1066" i="3"/>
  <c r="AQ1067" i="3"/>
  <c r="AQ1068" i="3"/>
  <c r="AQ1069" i="3"/>
  <c r="AQ1070" i="3"/>
  <c r="AQ1071" i="3"/>
  <c r="AQ1072" i="3"/>
  <c r="AQ1073" i="3"/>
  <c r="AQ1074" i="3"/>
  <c r="AQ1075" i="3"/>
  <c r="AQ1076" i="3"/>
  <c r="AQ1077" i="3"/>
  <c r="AQ1078" i="3"/>
  <c r="AQ1079" i="3"/>
  <c r="AQ1080" i="3"/>
  <c r="AQ1081" i="3"/>
  <c r="AQ1082" i="3"/>
  <c r="AQ1083" i="3"/>
  <c r="AQ1084" i="3"/>
  <c r="AQ1085" i="3"/>
  <c r="AQ1086" i="3"/>
  <c r="AQ1087" i="3"/>
  <c r="AQ1088" i="3"/>
  <c r="AQ1089" i="3"/>
  <c r="AQ1090" i="3"/>
  <c r="AQ1091" i="3"/>
  <c r="AQ1092" i="3"/>
  <c r="AQ1093" i="3"/>
  <c r="AQ1094" i="3"/>
  <c r="AQ1095" i="3"/>
  <c r="AQ1096" i="3"/>
  <c r="AQ1097" i="3"/>
  <c r="AQ1098" i="3"/>
  <c r="AQ1099" i="3"/>
  <c r="AQ1100" i="3"/>
  <c r="AQ1101" i="3"/>
  <c r="AQ1102" i="3"/>
  <c r="AQ1103" i="3"/>
  <c r="AQ1104" i="3"/>
  <c r="AQ1105" i="3"/>
  <c r="AQ1106" i="3"/>
  <c r="AQ1107" i="3"/>
  <c r="AQ1108" i="3"/>
  <c r="AQ1109" i="3"/>
  <c r="AQ1110" i="3"/>
  <c r="AQ1111" i="3"/>
  <c r="AQ1112" i="3"/>
  <c r="AQ1113" i="3"/>
  <c r="AQ1114" i="3"/>
  <c r="AQ1115" i="3"/>
  <c r="AQ1116" i="3"/>
  <c r="AQ1117" i="3"/>
  <c r="AQ1118" i="3"/>
  <c r="AQ1119" i="3"/>
  <c r="AQ1120" i="3"/>
  <c r="AQ1121" i="3"/>
  <c r="AQ1122" i="3"/>
  <c r="AQ1123" i="3"/>
  <c r="AQ1124" i="3"/>
  <c r="AQ1125" i="3"/>
  <c r="AQ1126" i="3"/>
  <c r="AQ1127" i="3"/>
  <c r="AQ1128" i="3"/>
  <c r="AQ1129" i="3"/>
  <c r="AQ1130" i="3"/>
  <c r="AQ1131" i="3"/>
  <c r="AQ1132" i="3"/>
  <c r="AQ1133" i="3"/>
  <c r="AQ1134" i="3"/>
  <c r="AQ1135" i="3"/>
  <c r="AQ1136" i="3"/>
  <c r="AQ1137" i="3"/>
  <c r="AQ1138" i="3"/>
  <c r="AQ1139" i="3"/>
  <c r="AQ1140" i="3"/>
  <c r="AQ1141" i="3"/>
  <c r="AQ1142" i="3"/>
  <c r="AQ1143" i="3"/>
  <c r="AQ1144" i="3"/>
  <c r="AQ1145" i="3"/>
  <c r="AQ1146" i="3"/>
  <c r="AQ1147" i="3"/>
  <c r="AQ1148" i="3"/>
  <c r="AQ1149" i="3"/>
  <c r="AQ1150" i="3"/>
  <c r="AQ1151" i="3"/>
  <c r="AQ1152" i="3"/>
  <c r="AQ1153" i="3"/>
  <c r="AQ1154" i="3"/>
  <c r="AQ1155" i="3"/>
  <c r="AQ1156" i="3"/>
  <c r="AQ1157" i="3"/>
  <c r="AQ1158" i="3"/>
  <c r="AQ1159" i="3"/>
  <c r="AQ1160" i="3"/>
  <c r="AQ1161" i="3"/>
  <c r="AQ1162" i="3"/>
  <c r="AQ1163" i="3"/>
  <c r="AQ1164" i="3"/>
  <c r="AQ1165" i="3"/>
  <c r="AQ1166" i="3"/>
  <c r="AQ1167" i="3"/>
  <c r="AQ1168" i="3"/>
  <c r="AQ1169" i="3"/>
  <c r="AQ1170" i="3"/>
  <c r="AQ1171" i="3"/>
  <c r="AQ1172" i="3"/>
  <c r="AQ1173" i="3"/>
  <c r="AQ1174" i="3"/>
  <c r="AQ1175" i="3"/>
  <c r="AQ1176" i="3"/>
  <c r="AQ1177" i="3"/>
  <c r="AQ1178" i="3"/>
  <c r="AQ1179" i="3"/>
  <c r="AQ1180" i="3"/>
  <c r="AQ1181" i="3"/>
  <c r="AQ1182" i="3"/>
  <c r="AQ1183" i="3"/>
  <c r="AQ1184" i="3"/>
  <c r="AQ1185" i="3"/>
  <c r="AQ1186" i="3"/>
  <c r="AQ1187" i="3"/>
  <c r="AQ1188" i="3"/>
  <c r="AQ1189" i="3"/>
  <c r="AQ1190" i="3"/>
  <c r="AQ1191" i="3"/>
  <c r="AQ1192" i="3"/>
  <c r="AQ1193" i="3"/>
  <c r="AQ1194" i="3"/>
  <c r="AQ1195" i="3"/>
  <c r="AQ1196" i="3"/>
  <c r="AQ1197" i="3"/>
  <c r="AQ1198" i="3"/>
  <c r="AQ1199" i="3"/>
  <c r="AQ1200" i="3"/>
  <c r="AQ1201" i="3"/>
  <c r="AQ1202" i="3"/>
  <c r="AQ1203" i="3"/>
  <c r="AQ1204" i="3"/>
  <c r="AQ1205" i="3"/>
  <c r="AQ1206" i="3"/>
  <c r="AQ1207" i="3"/>
  <c r="AQ1208" i="3"/>
  <c r="AQ1209" i="3"/>
  <c r="AQ1210" i="3"/>
  <c r="AQ1211" i="3"/>
  <c r="AQ1212" i="3"/>
  <c r="AQ1213" i="3"/>
  <c r="AQ1214" i="3"/>
  <c r="AQ1215" i="3"/>
  <c r="AQ1216" i="3"/>
  <c r="AQ1217" i="3"/>
  <c r="AQ1218" i="3"/>
  <c r="AQ1219" i="3"/>
  <c r="AQ1220" i="3"/>
  <c r="AQ1221" i="3"/>
  <c r="AQ1222" i="3"/>
  <c r="AQ1223" i="3"/>
  <c r="AQ1224" i="3"/>
  <c r="AQ1225" i="3"/>
  <c r="AQ1226" i="3"/>
  <c r="AQ1227" i="3"/>
  <c r="AQ1228" i="3"/>
  <c r="AQ1229" i="3"/>
  <c r="AQ1230" i="3"/>
  <c r="AQ1231" i="3"/>
  <c r="AQ1232" i="3"/>
  <c r="AQ1233" i="3"/>
  <c r="AQ1234" i="3"/>
  <c r="AQ1235" i="3"/>
  <c r="AQ1236" i="3"/>
  <c r="AQ1237" i="3"/>
  <c r="AQ1238" i="3"/>
  <c r="AQ1239" i="3"/>
  <c r="AQ1240" i="3"/>
  <c r="AQ1241" i="3"/>
  <c r="AQ1242" i="3"/>
  <c r="AQ1243" i="3"/>
  <c r="AQ1244" i="3"/>
  <c r="AQ1245" i="3"/>
  <c r="AQ1246" i="3"/>
  <c r="AQ1247" i="3"/>
  <c r="AQ1248" i="3"/>
  <c r="AQ1249" i="3"/>
  <c r="AQ1250" i="3"/>
  <c r="AQ1251" i="3"/>
  <c r="AQ1252" i="3"/>
  <c r="AQ1253" i="3"/>
  <c r="AQ1254" i="3"/>
  <c r="AQ1255" i="3"/>
  <c r="AQ1256" i="3"/>
  <c r="AQ1257" i="3"/>
  <c r="AQ1258" i="3"/>
  <c r="AQ1259" i="3"/>
  <c r="AQ1260" i="3"/>
  <c r="AQ1261" i="3"/>
  <c r="AQ1262" i="3"/>
  <c r="AQ1263" i="3"/>
  <c r="AQ1264" i="3"/>
  <c r="AQ1265" i="3"/>
  <c r="AQ1266" i="3"/>
  <c r="AQ1267" i="3"/>
  <c r="AQ1268" i="3"/>
  <c r="AQ1269" i="3"/>
  <c r="AQ1270" i="3"/>
  <c r="AQ1271" i="3"/>
  <c r="AQ1272" i="3"/>
  <c r="AQ1273" i="3"/>
  <c r="AQ1274" i="3"/>
  <c r="AQ1275" i="3"/>
  <c r="AQ1276" i="3"/>
  <c r="AQ1277" i="3"/>
  <c r="AQ1278" i="3"/>
  <c r="AQ1279" i="3"/>
  <c r="AQ1280" i="3"/>
  <c r="AQ1281" i="3"/>
  <c r="AQ1282" i="3"/>
  <c r="AQ1283" i="3"/>
  <c r="AQ1284" i="3"/>
  <c r="AQ1285" i="3"/>
  <c r="AQ1286" i="3"/>
  <c r="AQ1287" i="3"/>
  <c r="AQ1288" i="3"/>
  <c r="AQ1289" i="3"/>
  <c r="AQ1290" i="3"/>
  <c r="AQ1291" i="3"/>
  <c r="AQ1292" i="3"/>
  <c r="AQ1293" i="3"/>
  <c r="AQ1294" i="3"/>
  <c r="AQ1295" i="3"/>
  <c r="AQ1296" i="3"/>
  <c r="AQ1297" i="3"/>
  <c r="AQ1298" i="3"/>
  <c r="AQ1299" i="3"/>
  <c r="AQ1300" i="3"/>
  <c r="AQ1301" i="3"/>
  <c r="AQ1302" i="3"/>
  <c r="AQ1303" i="3"/>
  <c r="AQ1304" i="3"/>
  <c r="AQ1305" i="3"/>
  <c r="AQ1306" i="3"/>
  <c r="AQ1307" i="3"/>
  <c r="AQ1308" i="3"/>
  <c r="AQ1309" i="3"/>
  <c r="AQ1310" i="3"/>
  <c r="AQ1311" i="3"/>
  <c r="AQ1312" i="3"/>
  <c r="AQ1313" i="3"/>
  <c r="AQ1314" i="3"/>
  <c r="AQ1315" i="3"/>
  <c r="AQ1316" i="3"/>
  <c r="AQ1317" i="3"/>
  <c r="AQ1318" i="3"/>
  <c r="AQ1319" i="3"/>
  <c r="AQ1320" i="3"/>
  <c r="AQ1321" i="3"/>
  <c r="AQ1322" i="3"/>
  <c r="AQ1323" i="3"/>
  <c r="AQ1324" i="3"/>
  <c r="AQ1325" i="3"/>
  <c r="AQ1326" i="3"/>
  <c r="AQ1327" i="3"/>
  <c r="AQ1328" i="3"/>
  <c r="AQ1329" i="3"/>
  <c r="AQ1330" i="3"/>
  <c r="AQ1331" i="3"/>
  <c r="AQ1332" i="3"/>
  <c r="AQ1333" i="3"/>
  <c r="AQ1334" i="3"/>
  <c r="AQ1335" i="3"/>
  <c r="AQ1336" i="3"/>
  <c r="AQ1337" i="3"/>
  <c r="AQ1338" i="3"/>
  <c r="AQ1339" i="3"/>
  <c r="AQ1340" i="3"/>
  <c r="AQ1341" i="3"/>
  <c r="AQ1342" i="3"/>
  <c r="AQ1343" i="3"/>
  <c r="AQ1344" i="3"/>
  <c r="AQ1345" i="3"/>
  <c r="AQ1346" i="3"/>
  <c r="AQ1347" i="3"/>
  <c r="AQ1348" i="3"/>
  <c r="AQ1349" i="3"/>
  <c r="AQ1350" i="3"/>
  <c r="AQ1351" i="3"/>
  <c r="AQ1352" i="3"/>
  <c r="AQ1353" i="3"/>
  <c r="AQ1354" i="3"/>
  <c r="AQ1355" i="3"/>
  <c r="AQ1356" i="3"/>
  <c r="AQ1357" i="3"/>
  <c r="AQ1358" i="3"/>
  <c r="AQ1359" i="3"/>
  <c r="AQ1360" i="3"/>
  <c r="AQ1361" i="3"/>
  <c r="AQ1362" i="3"/>
  <c r="AQ1363" i="3"/>
  <c r="AQ1364" i="3"/>
  <c r="AQ1365" i="3"/>
  <c r="AQ1366" i="3"/>
  <c r="AQ1367" i="3"/>
  <c r="AQ1368" i="3"/>
  <c r="AQ1369" i="3"/>
  <c r="AQ1370" i="3"/>
  <c r="AQ1371" i="3"/>
  <c r="AQ1372" i="3"/>
  <c r="AQ1373" i="3"/>
  <c r="AQ1374" i="3"/>
  <c r="AQ1375" i="3"/>
  <c r="AQ1376" i="3"/>
  <c r="AQ1377" i="3"/>
  <c r="AQ1378" i="3"/>
  <c r="AQ1379" i="3"/>
  <c r="AQ1380" i="3"/>
  <c r="AQ1381" i="3"/>
  <c r="AQ1382" i="3"/>
  <c r="AQ1383" i="3"/>
  <c r="AQ1384" i="3"/>
  <c r="AQ1385" i="3"/>
  <c r="AQ1386" i="3"/>
  <c r="AQ1387" i="3"/>
  <c r="AQ1388" i="3"/>
  <c r="AQ1389" i="3"/>
  <c r="AQ1390" i="3"/>
  <c r="AQ1391" i="3"/>
  <c r="AQ1392" i="3"/>
  <c r="AQ1393" i="3"/>
  <c r="AQ1394" i="3"/>
  <c r="AQ1395" i="3"/>
  <c r="AQ1396" i="3"/>
  <c r="AQ1397" i="3"/>
  <c r="AQ1398" i="3"/>
  <c r="AQ1399" i="3"/>
  <c r="AQ1400" i="3"/>
  <c r="AQ1401" i="3"/>
  <c r="AQ1402" i="3"/>
  <c r="AQ1403" i="3"/>
  <c r="AQ1404" i="3"/>
  <c r="AQ1405" i="3"/>
  <c r="AQ1406" i="3"/>
  <c r="AQ1407" i="3"/>
  <c r="AQ1408" i="3"/>
  <c r="AQ1409" i="3"/>
  <c r="AQ1410" i="3"/>
  <c r="AQ1411" i="3"/>
  <c r="AQ1412" i="3"/>
  <c r="AQ1413" i="3"/>
  <c r="AQ1414" i="3"/>
  <c r="AQ1415" i="3"/>
  <c r="AQ1416" i="3"/>
  <c r="AQ1417" i="3"/>
  <c r="AQ1418" i="3"/>
  <c r="AQ1419" i="3"/>
  <c r="AQ1420" i="3"/>
  <c r="AQ1421" i="3"/>
  <c r="AQ1422" i="3"/>
  <c r="AQ1423" i="3"/>
  <c r="AQ1424" i="3"/>
  <c r="AQ1425" i="3"/>
  <c r="AQ1426" i="3"/>
  <c r="AQ1427" i="3"/>
  <c r="AQ1428" i="3"/>
  <c r="AQ1429" i="3"/>
  <c r="AQ1430" i="3"/>
  <c r="AQ1431" i="3"/>
  <c r="AQ1432" i="3"/>
  <c r="AQ1433" i="3"/>
  <c r="AQ1434" i="3"/>
  <c r="AQ1435" i="3"/>
  <c r="AQ1436" i="3"/>
  <c r="AQ1437" i="3"/>
  <c r="AQ1438" i="3"/>
  <c r="AQ1439" i="3"/>
  <c r="AQ1440" i="3"/>
  <c r="AQ1441" i="3"/>
  <c r="AQ1442" i="3"/>
  <c r="AQ1443" i="3"/>
  <c r="AQ1444" i="3"/>
  <c r="AQ1445" i="3"/>
  <c r="AQ1446" i="3"/>
  <c r="AQ1447" i="3"/>
  <c r="AQ1448" i="3"/>
  <c r="AQ1449" i="3"/>
  <c r="AQ1450" i="3"/>
  <c r="AQ1451" i="3"/>
  <c r="AQ1452" i="3"/>
  <c r="AQ1453" i="3"/>
  <c r="AQ1454" i="3"/>
  <c r="AQ1455" i="3"/>
  <c r="AQ1456" i="3"/>
  <c r="AQ1457" i="3"/>
  <c r="AQ1458" i="3"/>
  <c r="AQ1459" i="3"/>
  <c r="AQ1460" i="3"/>
  <c r="AQ1461" i="3"/>
  <c r="AQ1462" i="3"/>
  <c r="AQ1463" i="3"/>
  <c r="AQ1464" i="3"/>
  <c r="AQ1465" i="3"/>
  <c r="AQ1466" i="3"/>
  <c r="AQ1467" i="3"/>
  <c r="AQ1468" i="3"/>
  <c r="AQ1469" i="3"/>
  <c r="AQ1470" i="3"/>
  <c r="AQ1471" i="3"/>
  <c r="AQ1472" i="3"/>
  <c r="AQ1473" i="3"/>
  <c r="AQ1474" i="3"/>
  <c r="AQ1475" i="3"/>
  <c r="AQ1476" i="3"/>
  <c r="AQ1477" i="3"/>
  <c r="AQ1478" i="3"/>
  <c r="AQ1479" i="3"/>
  <c r="AQ1480" i="3"/>
  <c r="AQ1481" i="3"/>
  <c r="AQ1482" i="3"/>
  <c r="AQ1483" i="3"/>
  <c r="AQ1484" i="3"/>
  <c r="AQ1485" i="3"/>
  <c r="AQ1486" i="3"/>
  <c r="AQ1487" i="3"/>
  <c r="AQ1488" i="3"/>
  <c r="AQ1489" i="3"/>
  <c r="AQ1490" i="3"/>
  <c r="AQ1491" i="3"/>
  <c r="AQ1492" i="3"/>
  <c r="AQ1493" i="3"/>
  <c r="AQ1494" i="3"/>
  <c r="AQ1495" i="3"/>
  <c r="AQ1496" i="3"/>
  <c r="AQ1497" i="3"/>
  <c r="AQ1498" i="3"/>
  <c r="AQ1499" i="3"/>
  <c r="AQ1500" i="3"/>
  <c r="AQ1501" i="3"/>
  <c r="AQ1502" i="3"/>
  <c r="AQ1503" i="3"/>
  <c r="AQ1504" i="3"/>
  <c r="AQ1505" i="3"/>
  <c r="AQ1506" i="3"/>
  <c r="AQ1507" i="3"/>
  <c r="AQ1508" i="3"/>
  <c r="AQ1509" i="3"/>
  <c r="AQ1510" i="3"/>
  <c r="AQ1511" i="3"/>
  <c r="AQ1512" i="3"/>
  <c r="AQ1513" i="3"/>
  <c r="AQ1514" i="3"/>
  <c r="AQ1515" i="3"/>
  <c r="AQ1516" i="3"/>
  <c r="AQ1517" i="3"/>
  <c r="AQ1518" i="3"/>
  <c r="AQ1519" i="3"/>
  <c r="AQ1520" i="3"/>
  <c r="AQ1521" i="3"/>
  <c r="AQ1522" i="3"/>
  <c r="AQ1523" i="3"/>
  <c r="AQ1524" i="3"/>
  <c r="AQ1525" i="3"/>
  <c r="AQ1526" i="3"/>
  <c r="AQ1527" i="3"/>
  <c r="AQ1528" i="3"/>
  <c r="AQ1529" i="3"/>
  <c r="AQ1530" i="3"/>
  <c r="AQ1531" i="3"/>
  <c r="AQ1532" i="3"/>
  <c r="AQ1533" i="3"/>
  <c r="AQ1534" i="3"/>
  <c r="AQ1535" i="3"/>
  <c r="AQ1536" i="3"/>
  <c r="AQ1537" i="3"/>
  <c r="AQ1538" i="3"/>
  <c r="AQ1539" i="3"/>
  <c r="AQ1540" i="3"/>
  <c r="AQ1541" i="3"/>
  <c r="AQ1542" i="3"/>
  <c r="AQ1543" i="3"/>
  <c r="AQ1544" i="3"/>
  <c r="AQ1545" i="3"/>
  <c r="AQ1546" i="3"/>
  <c r="AQ1547" i="3"/>
  <c r="AQ1548" i="3"/>
  <c r="AQ1549" i="3"/>
  <c r="AQ1550" i="3"/>
  <c r="AQ1551" i="3"/>
  <c r="AQ1552" i="3"/>
  <c r="AQ1553" i="3"/>
  <c r="AQ1554" i="3"/>
  <c r="AQ1555" i="3"/>
  <c r="AQ1556" i="3"/>
  <c r="AQ1557" i="3"/>
  <c r="AQ1558" i="3"/>
  <c r="AQ1559" i="3"/>
  <c r="AQ1560" i="3"/>
  <c r="AQ1561" i="3"/>
  <c r="AQ1562" i="3"/>
  <c r="AQ1563" i="3"/>
  <c r="AQ1564" i="3"/>
  <c r="AQ1565" i="3"/>
  <c r="AQ1566" i="3"/>
  <c r="AQ1567" i="3"/>
  <c r="AQ1568" i="3"/>
  <c r="AQ1569" i="3"/>
  <c r="AQ1570" i="3"/>
  <c r="AQ1571" i="3"/>
  <c r="AQ1572" i="3"/>
  <c r="AQ1573" i="3"/>
  <c r="AQ1574" i="3"/>
  <c r="AQ1575" i="3"/>
  <c r="AQ1576" i="3"/>
  <c r="AQ1577" i="3"/>
  <c r="AQ1578" i="3"/>
  <c r="AQ1579" i="3"/>
  <c r="AQ1580" i="3"/>
  <c r="AQ1581" i="3"/>
  <c r="AQ1582" i="3"/>
  <c r="AQ1583" i="3"/>
  <c r="AQ1584" i="3"/>
  <c r="AQ1585" i="3"/>
  <c r="AQ1586" i="3"/>
  <c r="AQ1587" i="3"/>
  <c r="AQ1588" i="3"/>
  <c r="AQ1589" i="3"/>
  <c r="AQ1590" i="3"/>
  <c r="AQ1591" i="3"/>
  <c r="AQ1592" i="3"/>
  <c r="AQ1593" i="3"/>
  <c r="AQ1594" i="3"/>
  <c r="AQ1595" i="3"/>
  <c r="AQ1596" i="3"/>
  <c r="AQ1597" i="3"/>
  <c r="AQ1598" i="3"/>
  <c r="AQ1599" i="3"/>
  <c r="AQ1600" i="3"/>
  <c r="AQ1601" i="3"/>
  <c r="AQ1602" i="3"/>
  <c r="AQ1603" i="3"/>
  <c r="AQ1604" i="3"/>
  <c r="AQ1605" i="3"/>
  <c r="AQ1606" i="3"/>
  <c r="AQ1607" i="3"/>
  <c r="AQ1608" i="3"/>
  <c r="AQ1609" i="3"/>
  <c r="AQ1610" i="3"/>
  <c r="AQ1611" i="3"/>
  <c r="AQ1612" i="3"/>
  <c r="AQ1613" i="3"/>
  <c r="AQ1614" i="3"/>
  <c r="AQ1615" i="3"/>
  <c r="AQ1616" i="3"/>
  <c r="AQ1617" i="3"/>
  <c r="AQ1618" i="3"/>
  <c r="AQ1619" i="3"/>
  <c r="AQ1620" i="3"/>
  <c r="AQ1621" i="3"/>
  <c r="AQ1622" i="3"/>
  <c r="AQ1623" i="3"/>
  <c r="AQ1624" i="3"/>
  <c r="AQ1625" i="3"/>
  <c r="AQ1626" i="3"/>
  <c r="AQ1627" i="3"/>
  <c r="AQ1628" i="3"/>
  <c r="AQ1629" i="3"/>
  <c r="AQ1630" i="3"/>
  <c r="AQ1631" i="3"/>
  <c r="AQ1632" i="3"/>
  <c r="AQ1633" i="3"/>
  <c r="AQ1634" i="3"/>
  <c r="AQ1635" i="3"/>
  <c r="AQ1636" i="3"/>
  <c r="AQ1637" i="3"/>
  <c r="AQ1638" i="3"/>
  <c r="AQ1639" i="3"/>
  <c r="AQ1640" i="3"/>
  <c r="AQ1641" i="3"/>
  <c r="AQ1642" i="3"/>
  <c r="AQ1643" i="3"/>
  <c r="AQ1644" i="3"/>
  <c r="AQ1645" i="3"/>
  <c r="AQ1646" i="3"/>
  <c r="AQ1647" i="3"/>
  <c r="AQ1648" i="3"/>
  <c r="AQ1649" i="3"/>
  <c r="AQ1650" i="3"/>
  <c r="AQ1651" i="3"/>
  <c r="AQ1652" i="3"/>
  <c r="AQ1653" i="3"/>
  <c r="AQ1654" i="3"/>
  <c r="AQ1655" i="3"/>
  <c r="AQ1656" i="3"/>
  <c r="AQ1657" i="3"/>
  <c r="AQ1658" i="3"/>
  <c r="AQ1659" i="3"/>
  <c r="AQ1660" i="3"/>
  <c r="AQ1661" i="3"/>
  <c r="AQ1662" i="3"/>
  <c r="AQ1663" i="3"/>
  <c r="AQ1664" i="3"/>
  <c r="AQ1665" i="3"/>
  <c r="AQ1666" i="3"/>
  <c r="AQ1667" i="3"/>
  <c r="AQ1668" i="3"/>
  <c r="AQ1669" i="3"/>
  <c r="AQ1670" i="3"/>
  <c r="AQ1671" i="3"/>
  <c r="AQ1672" i="3"/>
  <c r="AQ1673" i="3"/>
  <c r="AQ1674" i="3"/>
  <c r="AQ1675" i="3"/>
  <c r="AQ1676" i="3"/>
  <c r="AQ1677" i="3"/>
  <c r="AQ1678" i="3"/>
  <c r="AQ1679" i="3"/>
  <c r="AQ1680" i="3"/>
  <c r="AQ1681" i="3"/>
  <c r="AQ1682" i="3"/>
  <c r="AQ1683" i="3"/>
  <c r="AQ1684" i="3"/>
  <c r="AQ1685" i="3"/>
  <c r="AQ1686" i="3"/>
  <c r="AQ1687" i="3"/>
  <c r="AQ1688" i="3"/>
  <c r="AQ1689" i="3"/>
  <c r="AQ1690" i="3"/>
  <c r="AQ1691" i="3"/>
  <c r="AQ1692" i="3"/>
  <c r="AQ1693" i="3"/>
  <c r="AQ1694" i="3"/>
  <c r="AQ1695" i="3"/>
  <c r="AQ1696" i="3"/>
  <c r="AQ1697" i="3"/>
  <c r="AQ1698" i="3"/>
  <c r="AQ1699" i="3"/>
  <c r="AQ1700" i="3"/>
  <c r="AQ1701" i="3"/>
  <c r="AQ1702" i="3"/>
  <c r="AQ1703" i="3"/>
  <c r="AQ1704" i="3"/>
  <c r="AQ1705" i="3"/>
  <c r="AQ1706" i="3"/>
  <c r="AQ1707" i="3"/>
  <c r="AQ1708" i="3"/>
  <c r="AQ1709" i="3"/>
  <c r="AQ1710" i="3"/>
  <c r="AQ1711" i="3"/>
  <c r="AQ1712" i="3"/>
  <c r="AQ1713" i="3"/>
  <c r="AQ1714" i="3"/>
  <c r="AQ1715" i="3"/>
  <c r="AQ1716" i="3"/>
  <c r="AQ1717" i="3"/>
  <c r="AQ1718" i="3"/>
  <c r="AQ1719" i="3"/>
  <c r="AQ1720" i="3"/>
  <c r="AQ1721" i="3"/>
  <c r="AQ1722" i="3"/>
  <c r="AQ1723" i="3"/>
  <c r="AQ1724" i="3"/>
  <c r="AQ1725" i="3"/>
  <c r="AQ1726" i="3"/>
  <c r="AQ1727" i="3"/>
  <c r="AQ1728" i="3"/>
  <c r="AQ1729" i="3"/>
  <c r="AQ1730" i="3"/>
  <c r="AQ1731" i="3"/>
  <c r="AQ1732" i="3"/>
  <c r="AQ1733" i="3"/>
  <c r="AQ1734" i="3"/>
  <c r="AQ1735" i="3"/>
  <c r="AQ1736" i="3"/>
  <c r="AQ1737" i="3"/>
  <c r="AQ1738" i="3"/>
  <c r="AQ1739" i="3"/>
  <c r="AQ1740" i="3"/>
  <c r="AQ1741" i="3"/>
  <c r="AQ1742" i="3"/>
  <c r="AQ1743" i="3"/>
  <c r="AQ1744" i="3"/>
  <c r="AQ1745" i="3"/>
  <c r="AQ1746" i="3"/>
  <c r="AQ1747" i="3"/>
  <c r="AQ1748" i="3"/>
  <c r="AQ1749" i="3"/>
  <c r="AQ1750" i="3"/>
  <c r="AQ1751" i="3"/>
  <c r="AQ1752" i="3"/>
  <c r="AQ1753" i="3"/>
  <c r="AQ1754" i="3"/>
  <c r="AQ1755" i="3"/>
  <c r="AQ1756" i="3"/>
  <c r="AQ1757" i="3"/>
  <c r="AQ1758" i="3"/>
  <c r="AQ1759" i="3"/>
  <c r="AQ1760" i="3"/>
  <c r="AQ1761" i="3"/>
  <c r="AQ1762" i="3"/>
  <c r="AQ1763" i="3"/>
  <c r="AQ1764" i="3"/>
  <c r="AQ1765" i="3"/>
  <c r="AQ1766" i="3"/>
  <c r="AQ1767" i="3"/>
  <c r="AQ1768" i="3"/>
  <c r="AQ1769" i="3"/>
  <c r="AQ1770" i="3"/>
  <c r="AQ1771" i="3"/>
  <c r="AQ1772" i="3"/>
  <c r="AQ1773" i="3"/>
  <c r="AQ1774" i="3"/>
  <c r="AQ1775" i="3"/>
  <c r="AQ1776" i="3"/>
  <c r="AQ1777" i="3"/>
  <c r="AQ1778" i="3"/>
  <c r="AQ1779" i="3"/>
  <c r="AQ1780" i="3"/>
  <c r="AQ1781" i="3"/>
  <c r="AQ1782" i="3"/>
  <c r="AQ1783" i="3"/>
  <c r="AQ1784" i="3"/>
  <c r="AQ1785" i="3"/>
  <c r="AQ1786" i="3"/>
  <c r="AQ1787" i="3"/>
  <c r="AQ1788" i="3"/>
  <c r="AQ1789" i="3"/>
  <c r="AQ1790" i="3"/>
  <c r="AQ1791" i="3"/>
  <c r="AQ1792" i="3"/>
  <c r="AQ1793" i="3"/>
  <c r="AQ1794" i="3"/>
  <c r="AQ1795" i="3"/>
  <c r="AQ1796" i="3"/>
  <c r="AQ1797" i="3"/>
  <c r="AQ1798" i="3"/>
  <c r="AQ1799" i="3"/>
  <c r="AQ1800" i="3"/>
  <c r="AQ1801" i="3"/>
  <c r="AQ1802" i="3"/>
  <c r="AQ1803" i="3"/>
  <c r="AQ1804" i="3"/>
  <c r="AQ1805" i="3"/>
  <c r="AQ1806" i="3"/>
  <c r="AQ1807" i="3"/>
  <c r="AQ1808" i="3"/>
  <c r="AQ1809" i="3"/>
  <c r="AQ1810" i="3"/>
  <c r="AQ1811" i="3"/>
  <c r="AQ1812" i="3"/>
  <c r="AQ1813" i="3"/>
  <c r="AQ1814" i="3"/>
  <c r="AQ1815" i="3"/>
  <c r="AQ1816" i="3"/>
  <c r="AQ1817" i="3"/>
  <c r="AQ1818" i="3"/>
  <c r="AQ1819" i="3"/>
  <c r="AQ1820" i="3"/>
  <c r="AQ1821" i="3"/>
  <c r="AQ1822" i="3"/>
  <c r="AQ1823" i="3"/>
  <c r="AQ1824" i="3"/>
  <c r="AQ1825" i="3"/>
  <c r="AQ1826" i="3"/>
  <c r="AQ1827" i="3"/>
  <c r="AQ1828" i="3"/>
  <c r="AQ1829" i="3"/>
  <c r="AQ1830" i="3"/>
  <c r="AQ1831" i="3"/>
  <c r="AQ1832" i="3"/>
  <c r="AQ1833" i="3"/>
  <c r="AQ1834" i="3"/>
  <c r="AQ1835" i="3"/>
  <c r="AQ1836" i="3"/>
  <c r="AQ1837" i="3"/>
  <c r="AQ1838" i="3"/>
  <c r="AQ1839" i="3"/>
  <c r="AQ1840" i="3"/>
  <c r="AQ1841" i="3"/>
  <c r="AQ1842" i="3"/>
  <c r="AQ1843" i="3"/>
  <c r="AQ1844" i="3"/>
  <c r="AQ1845" i="3"/>
  <c r="AQ1846" i="3"/>
  <c r="AQ1847" i="3"/>
  <c r="AQ1848" i="3"/>
  <c r="AQ1849" i="3"/>
  <c r="AQ1850" i="3"/>
  <c r="AQ1851" i="3"/>
  <c r="AQ1852" i="3"/>
  <c r="AQ1853" i="3"/>
  <c r="AQ1854" i="3"/>
  <c r="AQ1855" i="3"/>
  <c r="AQ1856" i="3"/>
  <c r="AQ1857" i="3"/>
  <c r="AQ1858" i="3"/>
  <c r="AQ1859" i="3"/>
  <c r="AQ1860" i="3"/>
  <c r="AQ1861" i="3"/>
  <c r="AQ1862" i="3"/>
  <c r="AQ1863" i="3"/>
  <c r="AQ1864" i="3"/>
  <c r="AQ1865" i="3"/>
  <c r="AQ1866" i="3"/>
  <c r="AQ1867" i="3"/>
  <c r="AQ1868" i="3"/>
  <c r="AQ1869" i="3"/>
  <c r="AQ1870" i="3"/>
  <c r="AQ1871" i="3"/>
  <c r="AQ1872" i="3"/>
  <c r="AQ1873" i="3"/>
  <c r="AQ1874" i="3"/>
  <c r="AQ1875" i="3"/>
  <c r="AQ1876" i="3"/>
  <c r="AQ1877" i="3"/>
  <c r="AQ1878" i="3"/>
  <c r="AQ1879" i="3"/>
  <c r="AQ1880" i="3"/>
  <c r="AQ1881" i="3"/>
  <c r="AQ1882" i="3"/>
  <c r="AQ1883" i="3"/>
  <c r="AQ1884" i="3"/>
  <c r="AQ1885" i="3"/>
  <c r="AQ1886" i="3"/>
  <c r="AQ1887" i="3"/>
  <c r="AQ1888" i="3"/>
  <c r="AQ1889" i="3"/>
  <c r="AQ1890" i="3"/>
  <c r="AQ1891" i="3"/>
  <c r="AQ1892" i="3"/>
  <c r="AQ1893" i="3"/>
  <c r="AQ1894" i="3"/>
  <c r="AQ1895" i="3"/>
  <c r="AQ1896" i="3"/>
  <c r="AQ1897" i="3"/>
  <c r="AQ1898" i="3"/>
  <c r="AQ1899" i="3"/>
  <c r="AQ1900" i="3"/>
  <c r="AQ1901" i="3"/>
  <c r="AQ1902" i="3"/>
  <c r="AQ1903" i="3"/>
  <c r="AQ1904" i="3"/>
  <c r="AQ1905" i="3"/>
  <c r="AQ1906" i="3"/>
  <c r="AQ1907" i="3"/>
  <c r="AQ1908" i="3"/>
  <c r="AQ1909" i="3"/>
  <c r="AQ1910" i="3"/>
  <c r="AQ1911" i="3"/>
  <c r="AQ1912" i="3"/>
  <c r="AQ1913" i="3"/>
  <c r="AQ1914" i="3"/>
  <c r="AQ1915" i="3"/>
  <c r="AQ1916" i="3"/>
  <c r="AQ1917" i="3"/>
  <c r="AQ1918" i="3"/>
  <c r="AQ1919" i="3"/>
  <c r="AQ1920" i="3"/>
  <c r="AQ1921" i="3"/>
  <c r="AQ1922" i="3"/>
  <c r="AQ1923" i="3"/>
  <c r="AQ1924" i="3"/>
  <c r="AQ1925" i="3"/>
  <c r="AQ1926" i="3"/>
  <c r="AQ1927" i="3"/>
  <c r="AQ1928" i="3"/>
  <c r="AQ1929" i="3"/>
  <c r="AQ1930" i="3"/>
  <c r="AQ1931" i="3"/>
  <c r="AQ1932" i="3"/>
  <c r="AQ1933" i="3"/>
  <c r="AQ1934" i="3"/>
  <c r="AQ1935" i="3"/>
  <c r="AQ1936" i="3"/>
  <c r="AQ1937" i="3"/>
  <c r="AQ1938" i="3"/>
  <c r="AQ1939" i="3"/>
  <c r="AQ1940" i="3"/>
  <c r="AQ1941" i="3"/>
  <c r="AQ1942" i="3"/>
  <c r="AQ1943" i="3"/>
  <c r="AQ1944" i="3"/>
  <c r="AQ1945" i="3"/>
  <c r="AQ1946" i="3"/>
  <c r="AQ1947" i="3"/>
  <c r="AQ1948" i="3"/>
  <c r="AQ1949" i="3"/>
  <c r="AQ1950" i="3"/>
  <c r="AQ1951" i="3"/>
  <c r="AQ1952" i="3"/>
  <c r="AQ1953" i="3"/>
  <c r="AQ1954" i="3"/>
  <c r="AQ1955" i="3"/>
  <c r="AQ1956" i="3"/>
  <c r="AQ1957" i="3"/>
  <c r="AQ1958" i="3"/>
  <c r="AQ1959" i="3"/>
  <c r="AQ1960" i="3"/>
  <c r="AQ1961" i="3"/>
  <c r="AQ1962" i="3"/>
  <c r="AQ1963" i="3"/>
  <c r="AQ1964" i="3"/>
  <c r="AQ1965" i="3"/>
  <c r="AQ1966" i="3"/>
  <c r="AQ1967" i="3"/>
  <c r="AQ1968" i="3"/>
  <c r="AQ1969" i="3"/>
  <c r="AQ1970" i="3"/>
  <c r="AQ1971" i="3"/>
  <c r="AQ1972" i="3"/>
  <c r="AQ1973" i="3"/>
  <c r="AQ1974" i="3"/>
  <c r="AQ1975" i="3"/>
  <c r="AQ1976" i="3"/>
  <c r="AQ1977" i="3"/>
  <c r="AQ1978" i="3"/>
  <c r="AQ1979" i="3"/>
  <c r="AQ1980" i="3"/>
  <c r="AQ1981" i="3"/>
  <c r="AQ1982" i="3"/>
  <c r="AQ1983" i="3"/>
  <c r="AQ1984" i="3"/>
  <c r="AQ1985" i="3"/>
  <c r="AQ1986" i="3"/>
  <c r="AQ1987" i="3"/>
  <c r="AQ1988" i="3"/>
  <c r="AQ1989" i="3"/>
  <c r="AQ1990" i="3"/>
  <c r="AQ1991" i="3"/>
  <c r="AQ1992" i="3"/>
  <c r="AQ1993" i="3"/>
  <c r="AQ1994" i="3"/>
  <c r="AQ1995" i="3"/>
  <c r="AQ1996" i="3"/>
  <c r="AQ1997" i="3"/>
  <c r="AQ1998" i="3"/>
  <c r="AQ1999" i="3"/>
  <c r="AQ2000" i="3"/>
  <c r="AQ2001" i="3"/>
  <c r="AQ2002" i="3"/>
  <c r="AQ2003" i="3"/>
  <c r="AQ2004" i="3"/>
  <c r="AQ2005" i="3"/>
  <c r="AQ2006" i="3"/>
  <c r="AQ2007" i="3"/>
  <c r="AQ2008" i="3"/>
  <c r="AQ2009" i="3"/>
  <c r="AQ2010" i="3"/>
  <c r="AQ2011" i="3"/>
  <c r="AQ2012" i="3"/>
  <c r="AQ2013" i="3"/>
  <c r="AQ2014" i="3"/>
  <c r="AQ2015" i="3"/>
  <c r="AQ2016" i="3"/>
  <c r="AQ2017" i="3"/>
  <c r="AQ2018" i="3"/>
  <c r="AQ2019" i="3"/>
  <c r="AQ2020" i="3"/>
  <c r="AQ2021" i="3"/>
  <c r="AQ2022" i="3"/>
  <c r="AQ2023" i="3"/>
  <c r="AQ2024" i="3"/>
  <c r="AQ2025" i="3"/>
  <c r="AQ2026" i="3"/>
  <c r="AQ2027" i="3"/>
  <c r="AQ2028" i="3"/>
  <c r="AQ2029" i="3"/>
  <c r="AQ2030" i="3"/>
  <c r="AQ2031" i="3"/>
  <c r="AQ2032" i="3"/>
  <c r="AQ2033" i="3"/>
  <c r="AQ2034" i="3"/>
  <c r="AQ2035" i="3"/>
  <c r="AQ2036" i="3"/>
  <c r="AQ2037" i="3"/>
  <c r="AQ2038" i="3"/>
  <c r="AQ2039" i="3"/>
  <c r="AQ2040" i="3"/>
  <c r="AQ2041" i="3"/>
  <c r="AQ2042" i="3"/>
  <c r="AQ2043" i="3"/>
  <c r="AQ2044" i="3"/>
  <c r="AQ2045" i="3"/>
  <c r="AQ2046" i="3"/>
  <c r="AQ2047" i="3"/>
  <c r="AQ2048" i="3"/>
  <c r="AQ2049" i="3"/>
  <c r="AQ2050" i="3"/>
  <c r="AQ2051" i="3"/>
  <c r="AQ2052" i="3"/>
  <c r="AQ2053" i="3"/>
  <c r="AQ2054" i="3"/>
  <c r="AQ2055" i="3"/>
  <c r="AQ2056" i="3"/>
  <c r="AQ2057" i="3"/>
  <c r="AQ2058" i="3"/>
  <c r="AQ2059" i="3"/>
  <c r="AQ2060" i="3"/>
  <c r="AQ2061" i="3"/>
  <c r="AQ2062" i="3"/>
  <c r="AQ2063" i="3"/>
  <c r="AQ2064" i="3"/>
  <c r="AQ2065" i="3"/>
  <c r="AQ2066" i="3"/>
  <c r="AQ2067" i="3"/>
  <c r="AQ2068" i="3"/>
  <c r="AQ2069" i="3"/>
  <c r="AQ2070" i="3"/>
  <c r="AQ2071" i="3"/>
  <c r="AQ2072" i="3"/>
  <c r="AQ2073" i="3"/>
  <c r="AQ2074" i="3"/>
  <c r="AQ2075" i="3"/>
  <c r="AQ2076" i="3"/>
  <c r="AQ2077" i="3"/>
  <c r="AQ2078" i="3"/>
  <c r="AQ2079" i="3"/>
  <c r="AQ2080" i="3"/>
  <c r="AQ2081" i="3"/>
  <c r="AQ2082" i="3"/>
  <c r="AQ2083" i="3"/>
  <c r="AQ2084" i="3"/>
  <c r="AQ2085" i="3"/>
  <c r="AQ2086" i="3"/>
  <c r="AQ2087" i="3"/>
  <c r="AQ2088" i="3"/>
  <c r="AQ2089" i="3"/>
  <c r="AQ2090" i="3"/>
  <c r="AQ2091" i="3"/>
  <c r="AQ2092" i="3"/>
  <c r="AQ2093" i="3"/>
  <c r="AQ2094" i="3"/>
  <c r="AQ2095" i="3"/>
  <c r="AQ2096" i="3"/>
  <c r="AQ2097" i="3"/>
  <c r="AQ2098" i="3"/>
  <c r="AQ2099" i="3"/>
  <c r="AQ2100" i="3"/>
  <c r="AQ2101" i="3"/>
  <c r="AQ2102" i="3"/>
  <c r="AQ2103" i="3"/>
  <c r="AQ2104" i="3"/>
  <c r="AQ2105" i="3"/>
  <c r="AQ2106" i="3"/>
  <c r="AQ2107" i="3"/>
  <c r="AQ2108" i="3"/>
  <c r="AQ2109" i="3"/>
  <c r="AQ2110" i="3"/>
  <c r="AQ2111" i="3"/>
  <c r="AQ2112" i="3"/>
  <c r="AQ2113" i="3"/>
  <c r="AQ2114" i="3"/>
  <c r="AQ2115" i="3"/>
  <c r="AQ2116" i="3"/>
  <c r="AQ2117" i="3"/>
  <c r="AQ2118" i="3"/>
  <c r="AQ2119" i="3"/>
  <c r="AQ2120" i="3"/>
  <c r="AQ2121" i="3"/>
  <c r="AQ2122" i="3"/>
  <c r="AQ2123" i="3"/>
  <c r="AQ2124" i="3"/>
  <c r="AQ2125" i="3"/>
  <c r="AQ2126" i="3"/>
  <c r="AQ2127" i="3"/>
  <c r="AQ2128" i="3"/>
  <c r="AQ2129" i="3"/>
  <c r="AQ2130" i="3"/>
  <c r="AQ2131" i="3"/>
  <c r="AQ2132" i="3"/>
  <c r="AQ2133" i="3"/>
  <c r="AQ2134" i="3"/>
  <c r="AQ2135" i="3"/>
  <c r="AQ2136" i="3"/>
  <c r="AQ2137" i="3"/>
  <c r="AQ2138" i="3"/>
  <c r="AQ2139" i="3"/>
  <c r="AQ2140" i="3"/>
  <c r="AQ2141" i="3"/>
  <c r="AQ2142" i="3"/>
  <c r="AQ2143" i="3"/>
  <c r="AQ2144" i="3"/>
  <c r="AQ2145" i="3"/>
  <c r="AQ2146" i="3"/>
  <c r="AQ2147" i="3"/>
  <c r="AQ2148" i="3"/>
  <c r="AQ2149" i="3"/>
  <c r="AQ2150" i="3"/>
  <c r="AQ2151" i="3"/>
  <c r="AQ2152" i="3"/>
  <c r="AQ2153" i="3"/>
  <c r="AQ2154" i="3"/>
  <c r="AQ2155" i="3"/>
  <c r="AQ2156" i="3"/>
  <c r="AQ2157" i="3"/>
  <c r="AQ2158" i="3"/>
  <c r="AQ2159" i="3"/>
  <c r="AQ2160" i="3"/>
  <c r="AQ2161" i="3"/>
  <c r="AQ2162" i="3"/>
  <c r="AQ2163" i="3"/>
  <c r="AQ2164" i="3"/>
  <c r="AQ2165" i="3"/>
  <c r="AQ2166" i="3"/>
  <c r="AQ2167" i="3"/>
  <c r="AQ2168" i="3"/>
  <c r="AQ2169" i="3"/>
  <c r="AQ2170" i="3"/>
  <c r="AQ2171" i="3"/>
  <c r="AQ2172" i="3"/>
  <c r="AQ2173" i="3"/>
  <c r="AQ2174" i="3"/>
  <c r="AQ2175" i="3"/>
  <c r="AQ2176" i="3"/>
  <c r="AQ2177" i="3"/>
  <c r="AQ2178" i="3"/>
  <c r="AQ2179" i="3"/>
  <c r="AQ2180" i="3"/>
  <c r="AQ2181" i="3"/>
  <c r="AQ2182" i="3"/>
  <c r="AQ2183" i="3"/>
  <c r="AQ2184" i="3"/>
  <c r="AQ2185" i="3"/>
  <c r="AQ2186" i="3"/>
  <c r="AQ2187" i="3"/>
  <c r="AQ2188" i="3"/>
  <c r="AQ2189" i="3"/>
  <c r="AQ2190" i="3"/>
  <c r="AQ2191" i="3"/>
  <c r="AQ2192" i="3"/>
  <c r="AQ2193" i="3"/>
  <c r="AQ2194" i="3"/>
  <c r="AQ2195" i="3"/>
  <c r="AQ2196" i="3"/>
  <c r="AQ2197" i="3"/>
  <c r="AQ2198" i="3"/>
  <c r="AQ2199" i="3"/>
  <c r="AQ2200" i="3"/>
  <c r="AQ2201" i="3"/>
  <c r="AQ2202" i="3"/>
  <c r="AQ2203" i="3"/>
  <c r="AQ2204" i="3"/>
  <c r="AQ2205" i="3"/>
  <c r="AQ2206" i="3"/>
  <c r="AQ2207" i="3"/>
  <c r="AQ2208" i="3"/>
  <c r="AQ2209" i="3"/>
  <c r="AQ2210" i="3"/>
  <c r="AQ2211" i="3"/>
  <c r="AQ2212" i="3"/>
  <c r="AQ2213" i="3"/>
  <c r="AQ2214" i="3"/>
  <c r="AQ2215" i="3"/>
  <c r="AQ2216" i="3"/>
  <c r="AQ2217" i="3"/>
  <c r="AQ2218" i="3"/>
  <c r="AQ2219" i="3"/>
  <c r="AQ2220" i="3"/>
  <c r="AQ2221" i="3"/>
  <c r="AQ2222" i="3"/>
  <c r="AQ2223" i="3"/>
  <c r="AQ2224" i="3"/>
  <c r="AQ2225" i="3"/>
  <c r="AQ2226" i="3"/>
  <c r="AQ2227" i="3"/>
  <c r="AQ2228" i="3"/>
  <c r="AQ2229" i="3"/>
  <c r="AQ2230" i="3"/>
  <c r="AQ2231" i="3"/>
  <c r="AQ2232" i="3"/>
  <c r="AQ2233" i="3"/>
  <c r="AQ2234" i="3"/>
  <c r="AQ2235" i="3"/>
  <c r="AQ2236" i="3"/>
  <c r="AQ2237" i="3"/>
  <c r="AQ2238" i="3"/>
  <c r="AQ2239" i="3"/>
  <c r="AQ2240" i="3"/>
  <c r="AQ2241" i="3"/>
  <c r="AP2" i="3"/>
  <c r="AP3" i="3"/>
  <c r="AP4" i="3"/>
  <c r="AP5" i="3"/>
  <c r="AP6" i="3"/>
  <c r="AP7" i="3"/>
  <c r="AP8" i="3"/>
  <c r="AP9" i="3"/>
  <c r="AP10" i="3"/>
  <c r="AP11" i="3"/>
  <c r="AP12" i="3"/>
  <c r="AP13" i="3"/>
  <c r="AP14" i="3"/>
  <c r="AP15" i="3"/>
  <c r="AP16" i="3"/>
  <c r="AP17" i="3"/>
  <c r="AP18" i="3"/>
  <c r="AP19" i="3"/>
  <c r="AP20" i="3"/>
  <c r="AP21" i="3"/>
  <c r="AP22" i="3"/>
  <c r="AP23" i="3"/>
  <c r="AP24" i="3"/>
  <c r="AP25" i="3"/>
  <c r="AP26" i="3"/>
  <c r="AP27" i="3"/>
  <c r="AP28" i="3"/>
  <c r="AP29" i="3"/>
  <c r="AP30" i="3"/>
  <c r="AP31" i="3"/>
  <c r="AP32" i="3"/>
  <c r="AP33" i="3"/>
  <c r="AP34" i="3"/>
  <c r="AP35" i="3"/>
  <c r="AP36" i="3"/>
  <c r="AP37" i="3"/>
  <c r="AP38" i="3"/>
  <c r="AP39" i="3"/>
  <c r="AP40" i="3"/>
  <c r="AP41" i="3"/>
  <c r="AP42" i="3"/>
  <c r="AP43" i="3"/>
  <c r="AP44" i="3"/>
  <c r="AP45" i="3"/>
  <c r="AP46" i="3"/>
  <c r="AP47" i="3"/>
  <c r="AP48" i="3"/>
  <c r="AP49" i="3"/>
  <c r="AP50" i="3"/>
  <c r="AP51" i="3"/>
  <c r="AP52" i="3"/>
  <c r="AP53" i="3"/>
  <c r="AP54" i="3"/>
  <c r="AP55" i="3"/>
  <c r="AP56" i="3"/>
  <c r="AP57" i="3"/>
  <c r="AP58" i="3"/>
  <c r="AP59" i="3"/>
  <c r="AP60" i="3"/>
  <c r="AP61" i="3"/>
  <c r="AP62" i="3"/>
  <c r="AP63" i="3"/>
  <c r="AP64" i="3"/>
  <c r="AP65" i="3"/>
  <c r="AP66" i="3"/>
  <c r="AP67" i="3"/>
  <c r="AP68" i="3"/>
  <c r="AP69" i="3"/>
  <c r="AP70" i="3"/>
  <c r="AP71" i="3"/>
  <c r="AP72" i="3"/>
  <c r="AP73" i="3"/>
  <c r="AP74" i="3"/>
  <c r="AP75" i="3"/>
  <c r="AP76" i="3"/>
  <c r="AP77" i="3"/>
  <c r="AP78" i="3"/>
  <c r="AP79" i="3"/>
  <c r="AP80" i="3"/>
  <c r="AP81" i="3"/>
  <c r="AP82" i="3"/>
  <c r="AP83" i="3"/>
  <c r="AP84" i="3"/>
  <c r="AP85" i="3"/>
  <c r="AP86" i="3"/>
  <c r="AP87" i="3"/>
  <c r="AP88" i="3"/>
  <c r="AP89" i="3"/>
  <c r="AP90" i="3"/>
  <c r="AP91" i="3"/>
  <c r="AP92" i="3"/>
  <c r="AP93" i="3"/>
  <c r="AP94" i="3"/>
  <c r="AP95" i="3"/>
  <c r="AP96" i="3"/>
  <c r="AP97" i="3"/>
  <c r="AP98" i="3"/>
  <c r="AP99" i="3"/>
  <c r="AP100" i="3"/>
  <c r="AP101" i="3"/>
  <c r="AP102" i="3"/>
  <c r="AP103" i="3"/>
  <c r="AP104" i="3"/>
  <c r="AP105" i="3"/>
  <c r="AP106" i="3"/>
  <c r="AP107" i="3"/>
  <c r="AP108" i="3"/>
  <c r="AP109" i="3"/>
  <c r="AP110" i="3"/>
  <c r="AP111" i="3"/>
  <c r="AP112" i="3"/>
  <c r="AP113" i="3"/>
  <c r="AP114" i="3"/>
  <c r="AP115" i="3"/>
  <c r="AP116" i="3"/>
  <c r="AP117" i="3"/>
  <c r="AP118" i="3"/>
  <c r="AP119" i="3"/>
  <c r="AP120" i="3"/>
  <c r="AP121" i="3"/>
  <c r="AP122" i="3"/>
  <c r="AP123" i="3"/>
  <c r="AP124" i="3"/>
  <c r="AP125" i="3"/>
  <c r="AP126" i="3"/>
  <c r="AP127" i="3"/>
  <c r="AP128" i="3"/>
  <c r="AP129" i="3"/>
  <c r="AP130" i="3"/>
  <c r="AP131" i="3"/>
  <c r="AP132" i="3"/>
  <c r="AP133" i="3"/>
  <c r="AP134" i="3"/>
  <c r="AP135" i="3"/>
  <c r="AP136" i="3"/>
  <c r="AP137" i="3"/>
  <c r="AP138" i="3"/>
  <c r="AP139" i="3"/>
  <c r="AP140" i="3"/>
  <c r="AP141" i="3"/>
  <c r="AP142" i="3"/>
  <c r="AP143" i="3"/>
  <c r="AP144" i="3"/>
  <c r="AP145" i="3"/>
  <c r="AP146" i="3"/>
  <c r="AP147" i="3"/>
  <c r="AP148" i="3"/>
  <c r="AP149" i="3"/>
  <c r="AP150" i="3"/>
  <c r="AP151" i="3"/>
  <c r="AP152" i="3"/>
  <c r="AP153" i="3"/>
  <c r="AP154" i="3"/>
  <c r="AP155" i="3"/>
  <c r="AP156" i="3"/>
  <c r="AP157" i="3"/>
  <c r="AP158" i="3"/>
  <c r="AP159" i="3"/>
  <c r="AP160" i="3"/>
  <c r="AP161" i="3"/>
  <c r="AP162" i="3"/>
  <c r="AP163" i="3"/>
  <c r="AP164" i="3"/>
  <c r="AP165" i="3"/>
  <c r="AP166" i="3"/>
  <c r="AP167" i="3"/>
  <c r="AP168" i="3"/>
  <c r="AP169" i="3"/>
  <c r="AP170" i="3"/>
  <c r="AP171" i="3"/>
  <c r="AP172" i="3"/>
  <c r="AP173" i="3"/>
  <c r="AP174" i="3"/>
  <c r="AP175" i="3"/>
  <c r="AP176" i="3"/>
  <c r="AP177" i="3"/>
  <c r="AP178" i="3"/>
  <c r="AP179" i="3"/>
  <c r="AP180" i="3"/>
  <c r="AP181" i="3"/>
  <c r="AP182" i="3"/>
  <c r="AP183" i="3"/>
  <c r="AP184" i="3"/>
  <c r="AP185" i="3"/>
  <c r="AP186" i="3"/>
  <c r="AP187" i="3"/>
  <c r="AP188" i="3"/>
  <c r="AP189" i="3"/>
  <c r="AP190" i="3"/>
  <c r="AP191" i="3"/>
  <c r="AP192" i="3"/>
  <c r="AP193" i="3"/>
  <c r="AP194" i="3"/>
  <c r="AP195" i="3"/>
  <c r="AP196" i="3"/>
  <c r="AP197" i="3"/>
  <c r="AP198" i="3"/>
  <c r="AP199" i="3"/>
  <c r="AP200" i="3"/>
  <c r="AP201" i="3"/>
  <c r="AP202" i="3"/>
  <c r="AP203" i="3"/>
  <c r="AP204" i="3"/>
  <c r="AP205" i="3"/>
  <c r="AP206" i="3"/>
  <c r="AP207" i="3"/>
  <c r="AP208" i="3"/>
  <c r="AP209" i="3"/>
  <c r="AP210" i="3"/>
  <c r="AP211" i="3"/>
  <c r="AP212" i="3"/>
  <c r="AP213" i="3"/>
  <c r="AP214" i="3"/>
  <c r="AP215" i="3"/>
  <c r="AP216" i="3"/>
  <c r="AP217" i="3"/>
  <c r="AP218" i="3"/>
  <c r="AP219" i="3"/>
  <c r="AP220" i="3"/>
  <c r="AP221" i="3"/>
  <c r="AP222" i="3"/>
  <c r="AP223" i="3"/>
  <c r="AP224" i="3"/>
  <c r="AP225" i="3"/>
  <c r="AP226" i="3"/>
  <c r="AP227" i="3"/>
  <c r="AP228" i="3"/>
  <c r="AP229" i="3"/>
  <c r="AP230" i="3"/>
  <c r="AP231" i="3"/>
  <c r="AP232" i="3"/>
  <c r="AP233" i="3"/>
  <c r="AP234" i="3"/>
  <c r="AP235" i="3"/>
  <c r="AP236" i="3"/>
  <c r="AP237" i="3"/>
  <c r="AP238" i="3"/>
  <c r="AP239" i="3"/>
  <c r="AP240" i="3"/>
  <c r="AP241" i="3"/>
  <c r="AP242" i="3"/>
  <c r="AP243" i="3"/>
  <c r="AP244" i="3"/>
  <c r="AP245" i="3"/>
  <c r="AP246" i="3"/>
  <c r="AP247" i="3"/>
  <c r="AP248" i="3"/>
  <c r="AP249" i="3"/>
  <c r="AP250" i="3"/>
  <c r="AP251" i="3"/>
  <c r="AP252" i="3"/>
  <c r="AP253" i="3"/>
  <c r="AP254" i="3"/>
  <c r="AP255" i="3"/>
  <c r="AP256" i="3"/>
  <c r="AP257" i="3"/>
  <c r="AP258" i="3"/>
  <c r="AP259" i="3"/>
  <c r="AP260" i="3"/>
  <c r="AP261" i="3"/>
  <c r="AP262" i="3"/>
  <c r="AP263" i="3"/>
  <c r="AP264" i="3"/>
  <c r="AP265" i="3"/>
  <c r="AP266" i="3"/>
  <c r="AP267" i="3"/>
  <c r="AP268" i="3"/>
  <c r="AP269" i="3"/>
  <c r="AP270" i="3"/>
  <c r="AP271" i="3"/>
  <c r="AP272" i="3"/>
  <c r="AP273" i="3"/>
  <c r="AP274" i="3"/>
  <c r="AP275" i="3"/>
  <c r="AP276" i="3"/>
  <c r="AP277" i="3"/>
  <c r="AP278" i="3"/>
  <c r="AP279" i="3"/>
  <c r="AP280" i="3"/>
  <c r="AP281" i="3"/>
  <c r="AP282" i="3"/>
  <c r="AP283" i="3"/>
  <c r="AP284" i="3"/>
  <c r="AP285" i="3"/>
  <c r="AP286" i="3"/>
  <c r="AP287" i="3"/>
  <c r="AP288" i="3"/>
  <c r="AP289" i="3"/>
  <c r="AP290" i="3"/>
  <c r="AP291" i="3"/>
  <c r="AP292" i="3"/>
  <c r="AP293" i="3"/>
  <c r="AP294" i="3"/>
  <c r="AP295" i="3"/>
  <c r="AP296" i="3"/>
  <c r="AP297" i="3"/>
  <c r="AP298" i="3"/>
  <c r="AP299" i="3"/>
  <c r="AP300" i="3"/>
  <c r="AP301" i="3"/>
  <c r="AP302" i="3"/>
  <c r="AP303" i="3"/>
  <c r="AP304" i="3"/>
  <c r="AP305" i="3"/>
  <c r="AP306" i="3"/>
  <c r="AP307" i="3"/>
  <c r="AP308" i="3"/>
  <c r="AP309" i="3"/>
  <c r="AP310" i="3"/>
  <c r="AP311" i="3"/>
  <c r="AP312" i="3"/>
  <c r="AP313" i="3"/>
  <c r="AP314" i="3"/>
  <c r="AP315" i="3"/>
  <c r="AP316" i="3"/>
  <c r="AP317" i="3"/>
  <c r="AP318" i="3"/>
  <c r="AP319" i="3"/>
  <c r="AP320" i="3"/>
  <c r="AP321" i="3"/>
  <c r="AP322" i="3"/>
  <c r="AP323" i="3"/>
  <c r="AP324" i="3"/>
  <c r="AP325" i="3"/>
  <c r="AP326" i="3"/>
  <c r="AP327" i="3"/>
  <c r="AP328" i="3"/>
  <c r="AP329" i="3"/>
  <c r="AP330" i="3"/>
  <c r="AP331" i="3"/>
  <c r="AP332" i="3"/>
  <c r="AP333" i="3"/>
  <c r="AP334" i="3"/>
  <c r="AP335" i="3"/>
  <c r="AP336" i="3"/>
  <c r="AP337" i="3"/>
  <c r="AP338" i="3"/>
  <c r="AP339" i="3"/>
  <c r="AP340" i="3"/>
  <c r="AP341" i="3"/>
  <c r="AP342" i="3"/>
  <c r="AP343" i="3"/>
  <c r="AP344" i="3"/>
  <c r="AP345" i="3"/>
  <c r="AP346" i="3"/>
  <c r="AP347" i="3"/>
  <c r="AP348" i="3"/>
  <c r="AP349" i="3"/>
  <c r="AP350" i="3"/>
  <c r="AP351" i="3"/>
  <c r="AP352" i="3"/>
  <c r="AP353" i="3"/>
  <c r="AP354" i="3"/>
  <c r="AP355" i="3"/>
  <c r="AP356" i="3"/>
  <c r="AP357" i="3"/>
  <c r="AP358" i="3"/>
  <c r="AP359" i="3"/>
  <c r="AP360" i="3"/>
  <c r="AP361" i="3"/>
  <c r="AP362" i="3"/>
  <c r="AP363" i="3"/>
  <c r="AP364" i="3"/>
  <c r="AP365" i="3"/>
  <c r="AP366" i="3"/>
  <c r="AP367" i="3"/>
  <c r="AP368" i="3"/>
  <c r="AP369" i="3"/>
  <c r="AP370" i="3"/>
  <c r="AP371" i="3"/>
  <c r="AP372" i="3"/>
  <c r="AP373" i="3"/>
  <c r="AP374" i="3"/>
  <c r="AP375" i="3"/>
  <c r="AP376" i="3"/>
  <c r="AP377" i="3"/>
  <c r="AP378" i="3"/>
  <c r="AP379" i="3"/>
  <c r="AP380" i="3"/>
  <c r="AP381" i="3"/>
  <c r="AP382" i="3"/>
  <c r="AP383" i="3"/>
  <c r="AP384" i="3"/>
  <c r="AP385" i="3"/>
  <c r="AP386" i="3"/>
  <c r="AP387" i="3"/>
  <c r="AP388" i="3"/>
  <c r="AP389" i="3"/>
  <c r="AP390" i="3"/>
  <c r="AP391" i="3"/>
  <c r="AP392" i="3"/>
  <c r="AP393" i="3"/>
  <c r="AP394" i="3"/>
  <c r="AP395" i="3"/>
  <c r="AP396" i="3"/>
  <c r="AP397" i="3"/>
  <c r="AP398" i="3"/>
  <c r="AP399" i="3"/>
  <c r="AP400" i="3"/>
  <c r="AP401" i="3"/>
  <c r="AP402" i="3"/>
  <c r="AP403" i="3"/>
  <c r="AP404" i="3"/>
  <c r="AP405" i="3"/>
  <c r="AP406" i="3"/>
  <c r="AP407" i="3"/>
  <c r="AP408" i="3"/>
  <c r="AP409" i="3"/>
  <c r="AP410" i="3"/>
  <c r="AP411" i="3"/>
  <c r="AP412" i="3"/>
  <c r="AP413" i="3"/>
  <c r="AP414" i="3"/>
  <c r="AP415" i="3"/>
  <c r="AP416" i="3"/>
  <c r="AP417" i="3"/>
  <c r="AP418" i="3"/>
  <c r="AP419" i="3"/>
  <c r="AP420" i="3"/>
  <c r="AP421" i="3"/>
  <c r="AP422" i="3"/>
  <c r="AP423" i="3"/>
  <c r="AP424" i="3"/>
  <c r="AP425" i="3"/>
  <c r="AP426" i="3"/>
  <c r="AP427" i="3"/>
  <c r="AP428" i="3"/>
  <c r="AP429" i="3"/>
  <c r="AP430" i="3"/>
  <c r="AP431" i="3"/>
  <c r="AP432" i="3"/>
  <c r="AP433" i="3"/>
  <c r="AP434" i="3"/>
  <c r="AP435" i="3"/>
  <c r="AP436" i="3"/>
  <c r="AP437" i="3"/>
  <c r="AP438" i="3"/>
  <c r="AP439" i="3"/>
  <c r="AP440" i="3"/>
  <c r="AP441" i="3"/>
  <c r="AP442" i="3"/>
  <c r="AP443" i="3"/>
  <c r="AP444" i="3"/>
  <c r="AP445" i="3"/>
  <c r="AP446" i="3"/>
  <c r="AP447" i="3"/>
  <c r="AP448" i="3"/>
  <c r="AP449" i="3"/>
  <c r="AP450" i="3"/>
  <c r="AP451" i="3"/>
  <c r="AP452" i="3"/>
  <c r="AP453" i="3"/>
  <c r="AP454" i="3"/>
  <c r="AP455" i="3"/>
  <c r="AP456" i="3"/>
  <c r="AP457" i="3"/>
  <c r="AP458" i="3"/>
  <c r="AP459" i="3"/>
  <c r="AP460" i="3"/>
  <c r="AP461" i="3"/>
  <c r="AP462" i="3"/>
  <c r="AP463" i="3"/>
  <c r="AP464" i="3"/>
  <c r="AP465" i="3"/>
  <c r="AP466" i="3"/>
  <c r="AP467" i="3"/>
  <c r="AP468" i="3"/>
  <c r="AP469" i="3"/>
  <c r="AP470" i="3"/>
  <c r="AP471" i="3"/>
  <c r="AP472" i="3"/>
  <c r="AP473" i="3"/>
  <c r="AP474" i="3"/>
  <c r="AP475" i="3"/>
  <c r="AP476" i="3"/>
  <c r="AP477" i="3"/>
  <c r="AP478" i="3"/>
  <c r="AP479" i="3"/>
  <c r="AP480" i="3"/>
  <c r="AP481" i="3"/>
  <c r="AP482" i="3"/>
  <c r="AP483" i="3"/>
  <c r="AP484" i="3"/>
  <c r="AP485" i="3"/>
  <c r="AP486" i="3"/>
  <c r="AP487" i="3"/>
  <c r="AP488" i="3"/>
  <c r="AP489" i="3"/>
  <c r="AP490" i="3"/>
  <c r="AP491" i="3"/>
  <c r="AP492" i="3"/>
  <c r="AP493" i="3"/>
  <c r="AP494" i="3"/>
  <c r="AP495" i="3"/>
  <c r="AP496" i="3"/>
  <c r="AP497" i="3"/>
  <c r="AP498" i="3"/>
  <c r="AP499" i="3"/>
  <c r="AP500" i="3"/>
  <c r="AP501" i="3"/>
  <c r="AP502" i="3"/>
  <c r="AP503" i="3"/>
  <c r="AP504" i="3"/>
  <c r="AP505" i="3"/>
  <c r="AP506" i="3"/>
  <c r="AP507" i="3"/>
  <c r="AP508" i="3"/>
  <c r="AP509" i="3"/>
  <c r="AP510" i="3"/>
  <c r="AP511" i="3"/>
  <c r="AP512" i="3"/>
  <c r="AP513" i="3"/>
  <c r="AP514" i="3"/>
  <c r="AP515" i="3"/>
  <c r="AP516" i="3"/>
  <c r="AP517" i="3"/>
  <c r="AP518" i="3"/>
  <c r="AP519" i="3"/>
  <c r="AP520" i="3"/>
  <c r="AP521" i="3"/>
  <c r="AP522" i="3"/>
  <c r="AP523" i="3"/>
  <c r="AP524" i="3"/>
  <c r="AP525" i="3"/>
  <c r="AP526" i="3"/>
  <c r="AP527" i="3"/>
  <c r="AP528" i="3"/>
  <c r="AP529" i="3"/>
  <c r="AP530" i="3"/>
  <c r="AP531" i="3"/>
  <c r="AP532" i="3"/>
  <c r="AP533" i="3"/>
  <c r="AP534" i="3"/>
  <c r="AP535" i="3"/>
  <c r="AP536" i="3"/>
  <c r="AP537" i="3"/>
  <c r="AP538" i="3"/>
  <c r="AP539" i="3"/>
  <c r="AP540" i="3"/>
  <c r="AP541" i="3"/>
  <c r="AP542" i="3"/>
  <c r="AP543" i="3"/>
  <c r="AP544" i="3"/>
  <c r="AP545" i="3"/>
  <c r="AP546" i="3"/>
  <c r="AP547" i="3"/>
  <c r="AP548" i="3"/>
  <c r="AP549" i="3"/>
  <c r="AP550" i="3"/>
  <c r="AP551" i="3"/>
  <c r="AP552" i="3"/>
  <c r="AP553" i="3"/>
  <c r="AP554" i="3"/>
  <c r="AP555" i="3"/>
  <c r="AP556" i="3"/>
  <c r="AP557" i="3"/>
  <c r="AP558" i="3"/>
  <c r="AP559" i="3"/>
  <c r="AP560" i="3"/>
  <c r="AP561" i="3"/>
  <c r="AP562" i="3"/>
  <c r="AP563" i="3"/>
  <c r="AP564" i="3"/>
  <c r="AP565" i="3"/>
  <c r="AP566" i="3"/>
  <c r="AP567" i="3"/>
  <c r="AP568" i="3"/>
  <c r="AP569" i="3"/>
  <c r="AP570" i="3"/>
  <c r="AP571" i="3"/>
  <c r="AP572" i="3"/>
  <c r="AP573" i="3"/>
  <c r="AP574" i="3"/>
  <c r="AP575" i="3"/>
  <c r="AP576" i="3"/>
  <c r="AP577" i="3"/>
  <c r="AP578" i="3"/>
  <c r="AP579" i="3"/>
  <c r="AP580" i="3"/>
  <c r="AP581" i="3"/>
  <c r="AP582" i="3"/>
  <c r="AP583" i="3"/>
  <c r="AP584" i="3"/>
  <c r="AP585" i="3"/>
  <c r="AP586" i="3"/>
  <c r="AP587" i="3"/>
  <c r="AP588" i="3"/>
  <c r="AP589" i="3"/>
  <c r="AP590" i="3"/>
  <c r="AP591" i="3"/>
  <c r="AP592" i="3"/>
  <c r="AP593" i="3"/>
  <c r="AP594" i="3"/>
  <c r="AP595" i="3"/>
  <c r="AP596" i="3"/>
  <c r="AP597" i="3"/>
  <c r="AP598" i="3"/>
  <c r="AP599" i="3"/>
  <c r="AP600" i="3"/>
  <c r="AP601" i="3"/>
  <c r="AP602" i="3"/>
  <c r="AP603" i="3"/>
  <c r="AP604" i="3"/>
  <c r="AP605" i="3"/>
  <c r="AP606" i="3"/>
  <c r="AP607" i="3"/>
  <c r="AP608" i="3"/>
  <c r="AP609" i="3"/>
  <c r="AP610" i="3"/>
  <c r="AP611" i="3"/>
  <c r="AP612" i="3"/>
  <c r="AP613" i="3"/>
  <c r="AP614" i="3"/>
  <c r="AP615" i="3"/>
  <c r="AP616" i="3"/>
  <c r="AP617" i="3"/>
  <c r="AP618" i="3"/>
  <c r="AP619" i="3"/>
  <c r="AP620" i="3"/>
  <c r="AP621" i="3"/>
  <c r="AP622" i="3"/>
  <c r="AP623" i="3"/>
  <c r="AP624" i="3"/>
  <c r="AP625" i="3"/>
  <c r="AP626" i="3"/>
  <c r="AP627" i="3"/>
  <c r="AP628" i="3"/>
  <c r="AP629" i="3"/>
  <c r="AP630" i="3"/>
  <c r="AP631" i="3"/>
  <c r="AP632" i="3"/>
  <c r="AP633" i="3"/>
  <c r="AP634" i="3"/>
  <c r="AP635" i="3"/>
  <c r="AP636" i="3"/>
  <c r="AP637" i="3"/>
  <c r="AP638" i="3"/>
  <c r="AP639" i="3"/>
  <c r="AP640" i="3"/>
  <c r="AP641" i="3"/>
  <c r="AP642" i="3"/>
  <c r="AP643" i="3"/>
  <c r="AP644" i="3"/>
  <c r="AP645" i="3"/>
  <c r="AP646" i="3"/>
  <c r="AP647" i="3"/>
  <c r="AP648" i="3"/>
  <c r="AP649" i="3"/>
  <c r="AP650" i="3"/>
  <c r="AP651" i="3"/>
  <c r="AP652" i="3"/>
  <c r="AP653" i="3"/>
  <c r="AP654" i="3"/>
  <c r="AP655" i="3"/>
  <c r="AP656" i="3"/>
  <c r="AP657" i="3"/>
  <c r="AP658" i="3"/>
  <c r="AP659" i="3"/>
  <c r="AP660" i="3"/>
  <c r="AP661" i="3"/>
  <c r="AP662" i="3"/>
  <c r="AP663" i="3"/>
  <c r="AP664" i="3"/>
  <c r="AP665" i="3"/>
  <c r="AP666" i="3"/>
  <c r="AP667" i="3"/>
  <c r="AP668" i="3"/>
  <c r="AP669" i="3"/>
  <c r="AP670" i="3"/>
  <c r="AP671" i="3"/>
  <c r="AP672" i="3"/>
  <c r="AP673" i="3"/>
  <c r="AP674" i="3"/>
  <c r="AP675" i="3"/>
  <c r="AP676" i="3"/>
  <c r="AP677" i="3"/>
  <c r="AP678" i="3"/>
  <c r="AP679" i="3"/>
  <c r="AP680" i="3"/>
  <c r="AP681" i="3"/>
  <c r="AP682" i="3"/>
  <c r="AP683" i="3"/>
  <c r="AP684" i="3"/>
  <c r="AP685" i="3"/>
  <c r="AP686" i="3"/>
  <c r="AP687" i="3"/>
  <c r="AP688" i="3"/>
  <c r="AP689" i="3"/>
  <c r="AP690" i="3"/>
  <c r="AP691" i="3"/>
  <c r="AP692" i="3"/>
  <c r="AP693" i="3"/>
  <c r="AP694" i="3"/>
  <c r="AP695" i="3"/>
  <c r="AP696" i="3"/>
  <c r="AP697" i="3"/>
  <c r="AP698" i="3"/>
  <c r="AP699" i="3"/>
  <c r="AP700" i="3"/>
  <c r="AP701" i="3"/>
  <c r="AP702" i="3"/>
  <c r="AP703" i="3"/>
  <c r="AP704" i="3"/>
  <c r="AP705" i="3"/>
  <c r="AP706" i="3"/>
  <c r="AP707" i="3"/>
  <c r="AP708" i="3"/>
  <c r="AP709" i="3"/>
  <c r="AP710" i="3"/>
  <c r="AP711" i="3"/>
  <c r="AP712" i="3"/>
  <c r="AP713" i="3"/>
  <c r="AP714" i="3"/>
  <c r="AP715" i="3"/>
  <c r="AP716" i="3"/>
  <c r="AP717" i="3"/>
  <c r="AP718" i="3"/>
  <c r="AP719" i="3"/>
  <c r="AP720" i="3"/>
  <c r="AP721" i="3"/>
  <c r="AP722" i="3"/>
  <c r="AP723" i="3"/>
  <c r="AP724" i="3"/>
  <c r="AP725" i="3"/>
  <c r="AP726" i="3"/>
  <c r="AP727" i="3"/>
  <c r="AP728" i="3"/>
  <c r="AP729" i="3"/>
  <c r="AP730" i="3"/>
  <c r="AP731" i="3"/>
  <c r="AP732" i="3"/>
  <c r="AP733" i="3"/>
  <c r="AP734" i="3"/>
  <c r="AP735" i="3"/>
  <c r="AP736" i="3"/>
  <c r="AP737" i="3"/>
  <c r="AP738" i="3"/>
  <c r="AP739" i="3"/>
  <c r="AP740" i="3"/>
  <c r="AP741" i="3"/>
  <c r="AP742" i="3"/>
  <c r="AP743" i="3"/>
  <c r="AP744" i="3"/>
  <c r="AP745" i="3"/>
  <c r="AP746" i="3"/>
  <c r="AP747" i="3"/>
  <c r="AP748" i="3"/>
  <c r="AP749" i="3"/>
  <c r="AP750" i="3"/>
  <c r="AP751" i="3"/>
  <c r="AP752" i="3"/>
  <c r="AP753" i="3"/>
  <c r="AP754" i="3"/>
  <c r="AP755" i="3"/>
  <c r="AP756" i="3"/>
  <c r="AP757" i="3"/>
  <c r="AP758" i="3"/>
  <c r="AP759" i="3"/>
  <c r="AP760" i="3"/>
  <c r="AP761" i="3"/>
  <c r="AP762" i="3"/>
  <c r="AP763" i="3"/>
  <c r="AP764" i="3"/>
  <c r="AP765" i="3"/>
  <c r="AP766" i="3"/>
  <c r="AP767" i="3"/>
  <c r="AP768" i="3"/>
  <c r="AP769" i="3"/>
  <c r="AP770" i="3"/>
  <c r="AP771" i="3"/>
  <c r="AP772" i="3"/>
  <c r="AP773" i="3"/>
  <c r="AP774" i="3"/>
  <c r="AP775" i="3"/>
  <c r="AP776" i="3"/>
  <c r="AP777" i="3"/>
  <c r="AP778" i="3"/>
  <c r="AP779" i="3"/>
  <c r="AP780" i="3"/>
  <c r="AP781" i="3"/>
  <c r="AP782" i="3"/>
  <c r="AP783" i="3"/>
  <c r="AP784" i="3"/>
  <c r="AP785" i="3"/>
  <c r="AP786" i="3"/>
  <c r="AP787" i="3"/>
  <c r="AP788" i="3"/>
  <c r="AP789" i="3"/>
  <c r="AP790" i="3"/>
  <c r="AP791" i="3"/>
  <c r="AP792" i="3"/>
  <c r="AP793" i="3"/>
  <c r="AP794" i="3"/>
  <c r="AP795" i="3"/>
  <c r="AP796" i="3"/>
  <c r="AP797" i="3"/>
  <c r="AP798" i="3"/>
  <c r="AP799" i="3"/>
  <c r="AP800" i="3"/>
  <c r="AP801" i="3"/>
  <c r="AP802" i="3"/>
  <c r="AP803" i="3"/>
  <c r="AP804" i="3"/>
  <c r="AP805" i="3"/>
  <c r="AP806" i="3"/>
  <c r="AP807" i="3"/>
  <c r="AP808" i="3"/>
  <c r="AP809" i="3"/>
  <c r="AP810" i="3"/>
  <c r="AP811" i="3"/>
  <c r="AP812" i="3"/>
  <c r="AP813" i="3"/>
  <c r="AP814" i="3"/>
  <c r="AP815" i="3"/>
  <c r="AP816" i="3"/>
  <c r="AP817" i="3"/>
  <c r="AP818" i="3"/>
  <c r="AP819" i="3"/>
  <c r="AP820" i="3"/>
  <c r="AP821" i="3"/>
  <c r="AP822" i="3"/>
  <c r="AP823" i="3"/>
  <c r="AP824" i="3"/>
  <c r="AP825" i="3"/>
  <c r="AP826" i="3"/>
  <c r="AP827" i="3"/>
  <c r="AP828" i="3"/>
  <c r="AP829" i="3"/>
  <c r="AP830" i="3"/>
  <c r="AP831" i="3"/>
  <c r="AP832" i="3"/>
  <c r="AP833" i="3"/>
  <c r="AP834" i="3"/>
  <c r="AP835" i="3"/>
  <c r="AP836" i="3"/>
  <c r="AP837" i="3"/>
  <c r="AP838" i="3"/>
  <c r="AP839" i="3"/>
  <c r="AP840" i="3"/>
  <c r="AP841" i="3"/>
  <c r="AP842" i="3"/>
  <c r="AP843" i="3"/>
  <c r="AP844" i="3"/>
  <c r="AP845" i="3"/>
  <c r="AP846" i="3"/>
  <c r="AP847" i="3"/>
  <c r="AP848" i="3"/>
  <c r="AP849" i="3"/>
  <c r="AP850" i="3"/>
  <c r="AP851" i="3"/>
  <c r="AP852" i="3"/>
  <c r="AP853" i="3"/>
  <c r="AP854" i="3"/>
  <c r="AP855" i="3"/>
  <c r="AP856" i="3"/>
  <c r="AP857" i="3"/>
  <c r="AP858" i="3"/>
  <c r="AP859" i="3"/>
  <c r="AP860" i="3"/>
  <c r="AP861" i="3"/>
  <c r="AP862" i="3"/>
  <c r="AP863" i="3"/>
  <c r="AP864" i="3"/>
  <c r="AP865" i="3"/>
  <c r="AP866" i="3"/>
  <c r="AP867" i="3"/>
  <c r="AP868" i="3"/>
  <c r="AP869" i="3"/>
  <c r="AP870" i="3"/>
  <c r="AP871" i="3"/>
  <c r="AP872" i="3"/>
  <c r="AP873" i="3"/>
  <c r="AP874" i="3"/>
  <c r="AP875" i="3"/>
  <c r="AP876" i="3"/>
  <c r="AP877" i="3"/>
  <c r="AP878" i="3"/>
  <c r="AP879" i="3"/>
  <c r="AP880" i="3"/>
  <c r="AP881" i="3"/>
  <c r="AP882" i="3"/>
  <c r="AP883" i="3"/>
  <c r="AP884" i="3"/>
  <c r="AP885" i="3"/>
  <c r="AP886" i="3"/>
  <c r="AP887" i="3"/>
  <c r="AP888" i="3"/>
  <c r="AP889" i="3"/>
  <c r="AP890" i="3"/>
  <c r="AP891" i="3"/>
  <c r="AP892" i="3"/>
  <c r="AP893" i="3"/>
  <c r="AP894" i="3"/>
  <c r="AP895" i="3"/>
  <c r="AP896" i="3"/>
  <c r="AP897" i="3"/>
  <c r="AP898" i="3"/>
  <c r="AP899" i="3"/>
  <c r="AP900" i="3"/>
  <c r="AP901" i="3"/>
  <c r="AP902" i="3"/>
  <c r="AP903" i="3"/>
  <c r="AP904" i="3"/>
  <c r="AP905" i="3"/>
  <c r="AP906" i="3"/>
  <c r="AP907" i="3"/>
  <c r="AP908" i="3"/>
  <c r="AP909" i="3"/>
  <c r="AP910" i="3"/>
  <c r="AP911" i="3"/>
  <c r="AP912" i="3"/>
  <c r="AP913" i="3"/>
  <c r="AP914" i="3"/>
  <c r="AP915" i="3"/>
  <c r="AP916" i="3"/>
  <c r="AP917" i="3"/>
  <c r="AP918" i="3"/>
  <c r="AP919" i="3"/>
  <c r="AP920" i="3"/>
  <c r="AP921" i="3"/>
  <c r="AP922" i="3"/>
  <c r="AP923" i="3"/>
  <c r="AP924" i="3"/>
  <c r="AP925" i="3"/>
  <c r="AP926" i="3"/>
  <c r="AP927" i="3"/>
  <c r="AP928" i="3"/>
  <c r="AP929" i="3"/>
  <c r="AP930" i="3"/>
  <c r="AP931" i="3"/>
  <c r="AP932" i="3"/>
  <c r="AP933" i="3"/>
  <c r="AP934" i="3"/>
  <c r="AP935" i="3"/>
  <c r="AP936" i="3"/>
  <c r="AP937" i="3"/>
  <c r="AP938" i="3"/>
  <c r="AP939" i="3"/>
  <c r="AP940" i="3"/>
  <c r="AP941" i="3"/>
  <c r="AP942" i="3"/>
  <c r="AP943" i="3"/>
  <c r="AP944" i="3"/>
  <c r="AP945" i="3"/>
  <c r="AP946" i="3"/>
  <c r="AP947" i="3"/>
  <c r="AP948" i="3"/>
  <c r="AP949" i="3"/>
  <c r="AP950" i="3"/>
  <c r="AP951" i="3"/>
  <c r="AP952" i="3"/>
  <c r="AP953" i="3"/>
  <c r="AP954" i="3"/>
  <c r="AP955" i="3"/>
  <c r="AP956" i="3"/>
  <c r="AP957" i="3"/>
  <c r="AP958" i="3"/>
  <c r="AP959" i="3"/>
  <c r="AP960" i="3"/>
  <c r="AP961" i="3"/>
  <c r="AP962" i="3"/>
  <c r="AP963" i="3"/>
  <c r="AP964" i="3"/>
  <c r="AP965" i="3"/>
  <c r="AP966" i="3"/>
  <c r="AP967" i="3"/>
  <c r="AP968" i="3"/>
  <c r="AP969" i="3"/>
  <c r="AP970" i="3"/>
  <c r="AP971" i="3"/>
  <c r="AP972" i="3"/>
  <c r="AP973" i="3"/>
  <c r="AP974" i="3"/>
  <c r="AP975" i="3"/>
  <c r="AP976" i="3"/>
  <c r="AP977" i="3"/>
  <c r="AP978" i="3"/>
  <c r="AP979" i="3"/>
  <c r="AP980" i="3"/>
  <c r="AP981" i="3"/>
  <c r="AP982" i="3"/>
  <c r="AP983" i="3"/>
  <c r="AP984" i="3"/>
  <c r="AP985" i="3"/>
  <c r="AP986" i="3"/>
  <c r="AP987" i="3"/>
  <c r="AP988" i="3"/>
  <c r="AP989" i="3"/>
  <c r="AP990" i="3"/>
  <c r="AP991" i="3"/>
  <c r="AP992" i="3"/>
  <c r="AP993" i="3"/>
  <c r="AP994" i="3"/>
  <c r="AP995" i="3"/>
  <c r="AP996" i="3"/>
  <c r="AP997" i="3"/>
  <c r="AP998" i="3"/>
  <c r="AP999" i="3"/>
  <c r="AP1000" i="3"/>
  <c r="AP1001" i="3"/>
  <c r="AP1002" i="3"/>
  <c r="AP1003" i="3"/>
  <c r="AP1004" i="3"/>
  <c r="AP1005" i="3"/>
  <c r="AP1006" i="3"/>
  <c r="AP1007" i="3"/>
  <c r="AP1008" i="3"/>
  <c r="AP1009" i="3"/>
  <c r="AP1010" i="3"/>
  <c r="AP1011" i="3"/>
  <c r="AP1012" i="3"/>
  <c r="AP1013" i="3"/>
  <c r="AP1014" i="3"/>
  <c r="AP1015" i="3"/>
  <c r="AP1016" i="3"/>
  <c r="AP1017" i="3"/>
  <c r="AP1018" i="3"/>
  <c r="AP1019" i="3"/>
  <c r="AP1020" i="3"/>
  <c r="AP1021" i="3"/>
  <c r="AP1022" i="3"/>
  <c r="AP1023" i="3"/>
  <c r="AP1024" i="3"/>
  <c r="AP1025" i="3"/>
  <c r="AP1026" i="3"/>
  <c r="AP1027" i="3"/>
  <c r="AP1028" i="3"/>
  <c r="AP1029" i="3"/>
  <c r="AP1030" i="3"/>
  <c r="AP1031" i="3"/>
  <c r="AP1032" i="3"/>
  <c r="AP1033" i="3"/>
  <c r="AP1034" i="3"/>
  <c r="AP1035" i="3"/>
  <c r="AP1036" i="3"/>
  <c r="AP1037" i="3"/>
  <c r="AP1038" i="3"/>
  <c r="AP1039" i="3"/>
  <c r="AP1040" i="3"/>
  <c r="AP1041" i="3"/>
  <c r="AP1042" i="3"/>
  <c r="AP1043" i="3"/>
  <c r="AP1044" i="3"/>
  <c r="AP1045" i="3"/>
  <c r="AP1046" i="3"/>
  <c r="AP1047" i="3"/>
  <c r="AP1048" i="3"/>
  <c r="AP1049" i="3"/>
  <c r="AP1050" i="3"/>
  <c r="AP1051" i="3"/>
  <c r="AP1052" i="3"/>
  <c r="AP1053" i="3"/>
  <c r="AP1054" i="3"/>
  <c r="AP1055" i="3"/>
  <c r="AP1056" i="3"/>
  <c r="AP1057" i="3"/>
  <c r="AP1058" i="3"/>
  <c r="AP1059" i="3"/>
  <c r="AP1060" i="3"/>
  <c r="AP1061" i="3"/>
  <c r="AP1062" i="3"/>
  <c r="AP1063" i="3"/>
  <c r="AP1064" i="3"/>
  <c r="AP1065" i="3"/>
  <c r="AP1066" i="3"/>
  <c r="AP1067" i="3"/>
  <c r="AP1068" i="3"/>
  <c r="AP1069" i="3"/>
  <c r="AP1070" i="3"/>
  <c r="AP1071" i="3"/>
  <c r="AP1072" i="3"/>
  <c r="AP1073" i="3"/>
  <c r="AP1074" i="3"/>
  <c r="AP1075" i="3"/>
  <c r="AP1076" i="3"/>
  <c r="AP1077" i="3"/>
  <c r="AP1078" i="3"/>
  <c r="AP1079" i="3"/>
  <c r="AP1080" i="3"/>
  <c r="AP1081" i="3"/>
  <c r="AP1082" i="3"/>
  <c r="AP1083" i="3"/>
  <c r="AP1084" i="3"/>
  <c r="AP1085" i="3"/>
  <c r="AP1086" i="3"/>
  <c r="AP1087" i="3"/>
  <c r="AP1088" i="3"/>
  <c r="AP1089" i="3"/>
  <c r="AP1090" i="3"/>
  <c r="AP1091" i="3"/>
  <c r="AP1092" i="3"/>
  <c r="AP1093" i="3"/>
  <c r="AP1094" i="3"/>
  <c r="AP1095" i="3"/>
  <c r="AP1096" i="3"/>
  <c r="AP1097" i="3"/>
  <c r="AP1098" i="3"/>
  <c r="AP1099" i="3"/>
  <c r="AP1100" i="3"/>
  <c r="AP1101" i="3"/>
  <c r="AP1102" i="3"/>
  <c r="AP1103" i="3"/>
  <c r="AP1104" i="3"/>
  <c r="AP1105" i="3"/>
  <c r="AP1106" i="3"/>
  <c r="AP1107" i="3"/>
  <c r="AP1108" i="3"/>
  <c r="AP1109" i="3"/>
  <c r="AP1110" i="3"/>
  <c r="AP1111" i="3"/>
  <c r="AP1112" i="3"/>
  <c r="AP1113" i="3"/>
  <c r="AP1114" i="3"/>
  <c r="AP1115" i="3"/>
  <c r="AP1116" i="3"/>
  <c r="AP1117" i="3"/>
  <c r="AP1118" i="3"/>
  <c r="AP1119" i="3"/>
  <c r="AP1120" i="3"/>
  <c r="AP1121" i="3"/>
  <c r="AP1122" i="3"/>
  <c r="AP1123" i="3"/>
  <c r="AP1124" i="3"/>
  <c r="AP1125" i="3"/>
  <c r="AP1126" i="3"/>
  <c r="AP1127" i="3"/>
  <c r="AP1128" i="3"/>
  <c r="AP1129" i="3"/>
  <c r="AP1130" i="3"/>
  <c r="AP1131" i="3"/>
  <c r="AP1132" i="3"/>
  <c r="AP1133" i="3"/>
  <c r="AP1134" i="3"/>
  <c r="AP1135" i="3"/>
  <c r="AP1136" i="3"/>
  <c r="AP1137" i="3"/>
  <c r="AP1138" i="3"/>
  <c r="AP1139" i="3"/>
  <c r="AP1140" i="3"/>
  <c r="AP1141" i="3"/>
  <c r="AP1142" i="3"/>
  <c r="AP1143" i="3"/>
  <c r="AP1144" i="3"/>
  <c r="AP1145" i="3"/>
  <c r="AP1146" i="3"/>
  <c r="AP1147" i="3"/>
  <c r="AP1148" i="3"/>
  <c r="AP1149" i="3"/>
  <c r="AP1150" i="3"/>
  <c r="AP1151" i="3"/>
  <c r="AP1152" i="3"/>
  <c r="AP1153" i="3"/>
  <c r="AP1154" i="3"/>
  <c r="AP1155" i="3"/>
  <c r="AP1156" i="3"/>
  <c r="AP1157" i="3"/>
  <c r="AP1158" i="3"/>
  <c r="AP1159" i="3"/>
  <c r="AP1160" i="3"/>
  <c r="AP1161" i="3"/>
  <c r="AP1162" i="3"/>
  <c r="AP1163" i="3"/>
  <c r="AP1164" i="3"/>
  <c r="AP1165" i="3"/>
  <c r="AP1166" i="3"/>
  <c r="AP1167" i="3"/>
  <c r="AP1168" i="3"/>
  <c r="AP1169" i="3"/>
  <c r="AP1170" i="3"/>
  <c r="AP1171" i="3"/>
  <c r="AP1172" i="3"/>
  <c r="AP1173" i="3"/>
  <c r="AP1174" i="3"/>
  <c r="AP1175" i="3"/>
  <c r="AP1176" i="3"/>
  <c r="AP1177" i="3"/>
  <c r="AP1178" i="3"/>
  <c r="AP1179" i="3"/>
  <c r="AP1180" i="3"/>
  <c r="AP1181" i="3"/>
  <c r="AP1182" i="3"/>
  <c r="AP1183" i="3"/>
  <c r="AP1184" i="3"/>
  <c r="AP1185" i="3"/>
  <c r="AP1186" i="3"/>
  <c r="AP1187" i="3"/>
  <c r="AP1188" i="3"/>
  <c r="AP1189" i="3"/>
  <c r="AP1190" i="3"/>
  <c r="AP1191" i="3"/>
  <c r="AP1192" i="3"/>
  <c r="AP1193" i="3"/>
  <c r="AP1194" i="3"/>
  <c r="AP1195" i="3"/>
  <c r="AP1196" i="3"/>
  <c r="AP1197" i="3"/>
  <c r="AP1198" i="3"/>
  <c r="AP1199" i="3"/>
  <c r="AP1200" i="3"/>
  <c r="AP1201" i="3"/>
  <c r="AP1202" i="3"/>
  <c r="AP1203" i="3"/>
  <c r="AP1204" i="3"/>
  <c r="AP1205" i="3"/>
  <c r="AP1206" i="3"/>
  <c r="AP1207" i="3"/>
  <c r="AP1208" i="3"/>
  <c r="AP1209" i="3"/>
  <c r="AP1210" i="3"/>
  <c r="AP1211" i="3"/>
  <c r="AP1212" i="3"/>
  <c r="AP1213" i="3"/>
  <c r="AP1214" i="3"/>
  <c r="AP1215" i="3"/>
  <c r="AP1216" i="3"/>
  <c r="AP1217" i="3"/>
  <c r="AP1218" i="3"/>
  <c r="AP1219" i="3"/>
  <c r="AP1220" i="3"/>
  <c r="AP1221" i="3"/>
  <c r="AP1222" i="3"/>
  <c r="AP1223" i="3"/>
  <c r="AP1224" i="3"/>
  <c r="AP1225" i="3"/>
  <c r="AP1226" i="3"/>
  <c r="AP1227" i="3"/>
  <c r="AP1228" i="3"/>
  <c r="AP1229" i="3"/>
  <c r="AP1230" i="3"/>
  <c r="AP1231" i="3"/>
  <c r="AP1232" i="3"/>
  <c r="AP1233" i="3"/>
  <c r="AP1234" i="3"/>
  <c r="AP1235" i="3"/>
  <c r="AP1236" i="3"/>
  <c r="AP1237" i="3"/>
  <c r="AP1238" i="3"/>
  <c r="AP1239" i="3"/>
  <c r="AP1240" i="3"/>
  <c r="AP1241" i="3"/>
  <c r="AP1242" i="3"/>
  <c r="AP1243" i="3"/>
  <c r="AP1244" i="3"/>
  <c r="AP1245" i="3"/>
  <c r="AP1246" i="3"/>
  <c r="AP1247" i="3"/>
  <c r="AP1248" i="3"/>
  <c r="AP1249" i="3"/>
  <c r="AP1250" i="3"/>
  <c r="AP1251" i="3"/>
  <c r="AP1252" i="3"/>
  <c r="AP1253" i="3"/>
  <c r="AP1254" i="3"/>
  <c r="AP1255" i="3"/>
  <c r="AP1256" i="3"/>
  <c r="AP1257" i="3"/>
  <c r="AP1258" i="3"/>
  <c r="AP1259" i="3"/>
  <c r="AP1260" i="3"/>
  <c r="AP1261" i="3"/>
  <c r="AP1262" i="3"/>
  <c r="AP1263" i="3"/>
  <c r="AP1264" i="3"/>
  <c r="AP1265" i="3"/>
  <c r="AP1266" i="3"/>
  <c r="AP1267" i="3"/>
  <c r="AP1268" i="3"/>
  <c r="AP1269" i="3"/>
  <c r="AP1270" i="3"/>
  <c r="AP1271" i="3"/>
  <c r="AP1272" i="3"/>
  <c r="AP1273" i="3"/>
  <c r="AP1274" i="3"/>
  <c r="AP1275" i="3"/>
  <c r="AP1276" i="3"/>
  <c r="AP1277" i="3"/>
  <c r="AP1278" i="3"/>
  <c r="AP1279" i="3"/>
  <c r="AP1280" i="3"/>
  <c r="AP1281" i="3"/>
  <c r="AP1282" i="3"/>
  <c r="AP1283" i="3"/>
  <c r="AP1284" i="3"/>
  <c r="AP1285" i="3"/>
  <c r="AP1286" i="3"/>
  <c r="AP1287" i="3"/>
  <c r="AP1288" i="3"/>
  <c r="AP1289" i="3"/>
  <c r="AP1290" i="3"/>
  <c r="AP1291" i="3"/>
  <c r="AP1292" i="3"/>
  <c r="AP1293" i="3"/>
  <c r="AP1294" i="3"/>
  <c r="AP1295" i="3"/>
  <c r="AP1296" i="3"/>
  <c r="AP1297" i="3"/>
  <c r="AP1298" i="3"/>
  <c r="AP1299" i="3"/>
  <c r="AP1300" i="3"/>
  <c r="AP1301" i="3"/>
  <c r="AP1302" i="3"/>
  <c r="AP1303" i="3"/>
  <c r="AP1304" i="3"/>
  <c r="AP1305" i="3"/>
  <c r="AP1306" i="3"/>
  <c r="AP1307" i="3"/>
  <c r="AP1308" i="3"/>
  <c r="AP1309" i="3"/>
  <c r="AP1310" i="3"/>
  <c r="AP1311" i="3"/>
  <c r="AP1312" i="3"/>
  <c r="AP1313" i="3"/>
  <c r="AP1314" i="3"/>
  <c r="AP1315" i="3"/>
  <c r="AP1316" i="3"/>
  <c r="AP1317" i="3"/>
  <c r="AP1318" i="3"/>
  <c r="AP1319" i="3"/>
  <c r="AP1320" i="3"/>
  <c r="AP1321" i="3"/>
  <c r="AP1322" i="3"/>
  <c r="AP1323" i="3"/>
  <c r="AP1324" i="3"/>
  <c r="AP1325" i="3"/>
  <c r="AP1326" i="3"/>
  <c r="AP1327" i="3"/>
  <c r="AP1328" i="3"/>
  <c r="AP1329" i="3"/>
  <c r="AP1330" i="3"/>
  <c r="AP1331" i="3"/>
  <c r="AP1332" i="3"/>
  <c r="AP1333" i="3"/>
  <c r="AP1334" i="3"/>
  <c r="AP1335" i="3"/>
  <c r="AP1336" i="3"/>
  <c r="AP1337" i="3"/>
  <c r="AP1338" i="3"/>
  <c r="AP1339" i="3"/>
  <c r="AP1340" i="3"/>
  <c r="AP1341" i="3"/>
  <c r="AP1342" i="3"/>
  <c r="AP1343" i="3"/>
  <c r="AP1344" i="3"/>
  <c r="AP1345" i="3"/>
  <c r="AP1346" i="3"/>
  <c r="AP1347" i="3"/>
  <c r="AP1348" i="3"/>
  <c r="AP1349" i="3"/>
  <c r="AP1350" i="3"/>
  <c r="AP1351" i="3"/>
  <c r="AP1352" i="3"/>
  <c r="AP1353" i="3"/>
  <c r="AP1354" i="3"/>
  <c r="AP1355" i="3"/>
  <c r="AP1356" i="3"/>
  <c r="AP1357" i="3"/>
  <c r="AP1358" i="3"/>
  <c r="AP1359" i="3"/>
  <c r="AP1360" i="3"/>
  <c r="AP1361" i="3"/>
  <c r="AP1362" i="3"/>
  <c r="AP1363" i="3"/>
  <c r="AP1364" i="3"/>
  <c r="AP1365" i="3"/>
  <c r="AP1366" i="3"/>
  <c r="AP1367" i="3"/>
  <c r="AP1368" i="3"/>
  <c r="AP1369" i="3"/>
  <c r="AP1370" i="3"/>
  <c r="AP1371" i="3"/>
  <c r="AP1372" i="3"/>
  <c r="AP1373" i="3"/>
  <c r="AP1374" i="3"/>
  <c r="AP1375" i="3"/>
  <c r="AP1376" i="3"/>
  <c r="AP1377" i="3"/>
  <c r="AP1378" i="3"/>
  <c r="AP1379" i="3"/>
  <c r="AP1380" i="3"/>
  <c r="AP1381" i="3"/>
  <c r="AP1382" i="3"/>
  <c r="AP1383" i="3"/>
  <c r="AP1384" i="3"/>
  <c r="AP1385" i="3"/>
  <c r="AP1386" i="3"/>
  <c r="AP1387" i="3"/>
  <c r="AP1388" i="3"/>
  <c r="AP1389" i="3"/>
  <c r="AP1390" i="3"/>
  <c r="AP1391" i="3"/>
  <c r="AP1392" i="3"/>
  <c r="AP1393" i="3"/>
  <c r="AP1394" i="3"/>
  <c r="AP1395" i="3"/>
  <c r="AP1396" i="3"/>
  <c r="AP1397" i="3"/>
  <c r="AP1398" i="3"/>
  <c r="AP1399" i="3"/>
  <c r="AP1400" i="3"/>
  <c r="AP1401" i="3"/>
  <c r="AP1402" i="3"/>
  <c r="AP1403" i="3"/>
  <c r="AP1404" i="3"/>
  <c r="AP1405" i="3"/>
  <c r="AP1406" i="3"/>
  <c r="AP1407" i="3"/>
  <c r="AP1408" i="3"/>
  <c r="AP1409" i="3"/>
  <c r="AP1410" i="3"/>
  <c r="AP1411" i="3"/>
  <c r="AP1412" i="3"/>
  <c r="AP1413" i="3"/>
  <c r="AP1414" i="3"/>
  <c r="AP1415" i="3"/>
  <c r="AP1416" i="3"/>
  <c r="AP1417" i="3"/>
  <c r="AP1418" i="3"/>
  <c r="AP1419" i="3"/>
  <c r="AP1420" i="3"/>
  <c r="AP1421" i="3"/>
  <c r="AP1422" i="3"/>
  <c r="AP1423" i="3"/>
  <c r="AP1424" i="3"/>
  <c r="AP1425" i="3"/>
  <c r="AP1426" i="3"/>
  <c r="AP1427" i="3"/>
  <c r="AP1428" i="3"/>
  <c r="AP1429" i="3"/>
  <c r="AP1430" i="3"/>
  <c r="AP1431" i="3"/>
  <c r="AP1432" i="3"/>
  <c r="AP1433" i="3"/>
  <c r="AP1434" i="3"/>
  <c r="AP1435" i="3"/>
  <c r="AP1436" i="3"/>
  <c r="AP1437" i="3"/>
  <c r="AP1438" i="3"/>
  <c r="AP1439" i="3"/>
  <c r="AP1440" i="3"/>
  <c r="AP1441" i="3"/>
  <c r="AP1442" i="3"/>
  <c r="AP1443" i="3"/>
  <c r="AP1444" i="3"/>
  <c r="AP1445" i="3"/>
  <c r="AP1446" i="3"/>
  <c r="AP1447" i="3"/>
  <c r="AP1448" i="3"/>
  <c r="AP1449" i="3"/>
  <c r="AP1450" i="3"/>
  <c r="AP1451" i="3"/>
  <c r="AP1452" i="3"/>
  <c r="AP1453" i="3"/>
  <c r="AP1454" i="3"/>
  <c r="AP1455" i="3"/>
  <c r="AP1456" i="3"/>
  <c r="AP1457" i="3"/>
  <c r="AP1458" i="3"/>
  <c r="AP1459" i="3"/>
  <c r="AP1460" i="3"/>
  <c r="AP1461" i="3"/>
  <c r="AP1462" i="3"/>
  <c r="AP1463" i="3"/>
  <c r="AP1464" i="3"/>
  <c r="AP1465" i="3"/>
  <c r="AP1466" i="3"/>
  <c r="AP1467" i="3"/>
  <c r="AP1468" i="3"/>
  <c r="AP1469" i="3"/>
  <c r="AP1470" i="3"/>
  <c r="AP1471" i="3"/>
  <c r="AP1472" i="3"/>
  <c r="AP1473" i="3"/>
  <c r="AP1474" i="3"/>
  <c r="AP1475" i="3"/>
  <c r="AP1476" i="3"/>
  <c r="AP1477" i="3"/>
  <c r="AP1478" i="3"/>
  <c r="AP1479" i="3"/>
  <c r="AP1480" i="3"/>
  <c r="AP1481" i="3"/>
  <c r="AP1482" i="3"/>
  <c r="AP1483" i="3"/>
  <c r="AP1484" i="3"/>
  <c r="AP1485" i="3"/>
  <c r="AP1486" i="3"/>
  <c r="AP1487" i="3"/>
  <c r="AP1488" i="3"/>
  <c r="AP1489" i="3"/>
  <c r="AP1490" i="3"/>
  <c r="AP1491" i="3"/>
  <c r="AP1492" i="3"/>
  <c r="AP1493" i="3"/>
  <c r="AP1494" i="3"/>
  <c r="AP1495" i="3"/>
  <c r="AP1496" i="3"/>
  <c r="AP1497" i="3"/>
  <c r="AP1498" i="3"/>
  <c r="AP1499" i="3"/>
  <c r="AP1500" i="3"/>
  <c r="AP1501" i="3"/>
  <c r="AP1502" i="3"/>
  <c r="AP1503" i="3"/>
  <c r="AP1504" i="3"/>
  <c r="AP1505" i="3"/>
  <c r="AP1506" i="3"/>
  <c r="AP1507" i="3"/>
  <c r="AP1508" i="3"/>
  <c r="AP1509" i="3"/>
  <c r="AP1510" i="3"/>
  <c r="AP1511" i="3"/>
  <c r="AP1512" i="3"/>
  <c r="AP1513" i="3"/>
  <c r="AP1514" i="3"/>
  <c r="AP1515" i="3"/>
  <c r="AP1516" i="3"/>
  <c r="AP1517" i="3"/>
  <c r="AP1518" i="3"/>
  <c r="AP1519" i="3"/>
  <c r="AP1520" i="3"/>
  <c r="AP1521" i="3"/>
  <c r="AP1522" i="3"/>
  <c r="AP1523" i="3"/>
  <c r="AP1524" i="3"/>
  <c r="AP1525" i="3"/>
  <c r="AP1526" i="3"/>
  <c r="AP1527" i="3"/>
  <c r="AP1528" i="3"/>
  <c r="AP1529" i="3"/>
  <c r="AP1530" i="3"/>
  <c r="AP1531" i="3"/>
  <c r="AP1532" i="3"/>
  <c r="AP1533" i="3"/>
  <c r="AP1534" i="3"/>
  <c r="AP1535" i="3"/>
  <c r="AP1536" i="3"/>
  <c r="AP1537" i="3"/>
  <c r="AP1538" i="3"/>
  <c r="AP1539" i="3"/>
  <c r="AP1540" i="3"/>
  <c r="AP1541" i="3"/>
  <c r="AP1542" i="3"/>
  <c r="AP1543" i="3"/>
  <c r="AP1544" i="3"/>
  <c r="AP1545" i="3"/>
  <c r="AP1546" i="3"/>
  <c r="AP1547" i="3"/>
  <c r="AP1548" i="3"/>
  <c r="AP1549" i="3"/>
  <c r="AP1550" i="3"/>
  <c r="AP1551" i="3"/>
  <c r="AP1552" i="3"/>
  <c r="AP1553" i="3"/>
  <c r="AP1554" i="3"/>
  <c r="AP1555" i="3"/>
  <c r="AP1556" i="3"/>
  <c r="AP1557" i="3"/>
  <c r="AP1558" i="3"/>
  <c r="AP1559" i="3"/>
  <c r="AP1560" i="3"/>
  <c r="AP1561" i="3"/>
  <c r="AP1562" i="3"/>
  <c r="AP1563" i="3"/>
  <c r="AP1564" i="3"/>
  <c r="AP1565" i="3"/>
  <c r="AP1566" i="3"/>
  <c r="AP1567" i="3"/>
  <c r="AP1568" i="3"/>
  <c r="AP1569" i="3"/>
  <c r="AP1570" i="3"/>
  <c r="AP1571" i="3"/>
  <c r="AP1572" i="3"/>
  <c r="AP1573" i="3"/>
  <c r="AP1574" i="3"/>
  <c r="AP1575" i="3"/>
  <c r="AP1576" i="3"/>
  <c r="AP1577" i="3"/>
  <c r="AP1578" i="3"/>
  <c r="AP1579" i="3"/>
  <c r="AP1580" i="3"/>
  <c r="AP1581" i="3"/>
  <c r="AP1582" i="3"/>
  <c r="AP1583" i="3"/>
  <c r="AP1584" i="3"/>
  <c r="AP1585" i="3"/>
  <c r="AP1586" i="3"/>
  <c r="AP1587" i="3"/>
  <c r="AP1588" i="3"/>
  <c r="AP1589" i="3"/>
  <c r="AP1590" i="3"/>
  <c r="AP1591" i="3"/>
  <c r="AP1592" i="3"/>
  <c r="AP1593" i="3"/>
  <c r="AP1594" i="3"/>
  <c r="AP1595" i="3"/>
  <c r="AP1596" i="3"/>
  <c r="AP1597" i="3"/>
  <c r="AP1598" i="3"/>
  <c r="AP1599" i="3"/>
  <c r="AP1600" i="3"/>
  <c r="AP1601" i="3"/>
  <c r="AP1602" i="3"/>
  <c r="AP1603" i="3"/>
  <c r="AP1604" i="3"/>
  <c r="AP1605" i="3"/>
  <c r="AP1606" i="3"/>
  <c r="AP1607" i="3"/>
  <c r="AP1608" i="3"/>
  <c r="AP1609" i="3"/>
  <c r="AP1610" i="3"/>
  <c r="AP1611" i="3"/>
  <c r="AP1612" i="3"/>
  <c r="AP1613" i="3"/>
  <c r="AP1614" i="3"/>
  <c r="AP1615" i="3"/>
  <c r="AP1616" i="3"/>
  <c r="AP1617" i="3"/>
  <c r="AP1618" i="3"/>
  <c r="AP1619" i="3"/>
  <c r="AP1620" i="3"/>
  <c r="AP1621" i="3"/>
  <c r="AP1622" i="3"/>
  <c r="AP1623" i="3"/>
  <c r="AP1624" i="3"/>
  <c r="AP1625" i="3"/>
  <c r="AP1626" i="3"/>
  <c r="AP1627" i="3"/>
  <c r="AP1628" i="3"/>
  <c r="AP1629" i="3"/>
  <c r="AP1630" i="3"/>
  <c r="AP1631" i="3"/>
  <c r="AP1632" i="3"/>
  <c r="AP1633" i="3"/>
  <c r="AP1634" i="3"/>
  <c r="AP1635" i="3"/>
  <c r="AP1636" i="3"/>
  <c r="AP1637" i="3"/>
  <c r="AP1638" i="3"/>
  <c r="AP1639" i="3"/>
  <c r="AP1640" i="3"/>
  <c r="AP1641" i="3"/>
  <c r="AP1642" i="3"/>
  <c r="AP1643" i="3"/>
  <c r="AP1644" i="3"/>
  <c r="AP1645" i="3"/>
  <c r="AP1646" i="3"/>
  <c r="AP1647" i="3"/>
  <c r="AP1648" i="3"/>
  <c r="AP1649" i="3"/>
  <c r="AP1650" i="3"/>
  <c r="AP1651" i="3"/>
  <c r="AP1652" i="3"/>
  <c r="AP1653" i="3"/>
  <c r="AP1654" i="3"/>
  <c r="AP1655" i="3"/>
  <c r="AP1656" i="3"/>
  <c r="AP1657" i="3"/>
  <c r="AP1658" i="3"/>
  <c r="AP1659" i="3"/>
  <c r="AP1660" i="3"/>
  <c r="AP1661" i="3"/>
  <c r="AP1662" i="3"/>
  <c r="AP1663" i="3"/>
  <c r="AP1664" i="3"/>
  <c r="AP1665" i="3"/>
  <c r="AP1666" i="3"/>
  <c r="AP1667" i="3"/>
  <c r="AP1668" i="3"/>
  <c r="AP1669" i="3"/>
  <c r="AP1670" i="3"/>
  <c r="AP1671" i="3"/>
  <c r="AP1672" i="3"/>
  <c r="AP1673" i="3"/>
  <c r="AP1674" i="3"/>
  <c r="AP1675" i="3"/>
  <c r="AP1676" i="3"/>
  <c r="AP1677" i="3"/>
  <c r="AP1678" i="3"/>
  <c r="AP1679" i="3"/>
  <c r="AP1680" i="3"/>
  <c r="AP1681" i="3"/>
  <c r="AP1682" i="3"/>
  <c r="AP1683" i="3"/>
  <c r="AP1684" i="3"/>
  <c r="AP1685" i="3"/>
  <c r="AP1686" i="3"/>
  <c r="AP1687" i="3"/>
  <c r="AP1688" i="3"/>
  <c r="AP1689" i="3"/>
  <c r="AP1690" i="3"/>
  <c r="AP1691" i="3"/>
  <c r="AP1692" i="3"/>
  <c r="AP1693" i="3"/>
  <c r="AP1694" i="3"/>
  <c r="AP1695" i="3"/>
  <c r="AP1696" i="3"/>
  <c r="AP1697" i="3"/>
  <c r="AP1698" i="3"/>
  <c r="AP1699" i="3"/>
  <c r="AP1700" i="3"/>
  <c r="AP1701" i="3"/>
  <c r="AP1702" i="3"/>
  <c r="AP1703" i="3"/>
  <c r="AP1704" i="3"/>
  <c r="AP1705" i="3"/>
  <c r="AP1706" i="3"/>
  <c r="AP1707" i="3"/>
  <c r="AP1708" i="3"/>
  <c r="AP1709" i="3"/>
  <c r="AP1710" i="3"/>
  <c r="AP1711" i="3"/>
  <c r="AP1712" i="3"/>
  <c r="AP1713" i="3"/>
  <c r="AP1714" i="3"/>
  <c r="AP1715" i="3"/>
  <c r="AP1716" i="3"/>
  <c r="AP1717" i="3"/>
  <c r="AP1718" i="3"/>
  <c r="AP1719" i="3"/>
  <c r="AP1720" i="3"/>
  <c r="AP1721" i="3"/>
  <c r="AP1722" i="3"/>
  <c r="AP1723" i="3"/>
  <c r="AP1724" i="3"/>
  <c r="AP1725" i="3"/>
  <c r="AP1726" i="3"/>
  <c r="AP1727" i="3"/>
  <c r="AP1728" i="3"/>
  <c r="AP1729" i="3"/>
  <c r="AP1730" i="3"/>
  <c r="AP1731" i="3"/>
  <c r="AP1732" i="3"/>
  <c r="AP1733" i="3"/>
  <c r="AP1734" i="3"/>
  <c r="AP1735" i="3"/>
  <c r="AP1736" i="3"/>
  <c r="AP1737" i="3"/>
  <c r="AP1738" i="3"/>
  <c r="AP1739" i="3"/>
  <c r="AP1740" i="3"/>
  <c r="AP1741" i="3"/>
  <c r="AP1742" i="3"/>
  <c r="AP1743" i="3"/>
  <c r="AP1744" i="3"/>
  <c r="AP1745" i="3"/>
  <c r="AP1746" i="3"/>
  <c r="AP1747" i="3"/>
  <c r="AP1748" i="3"/>
  <c r="AP1749" i="3"/>
  <c r="AP1750" i="3"/>
  <c r="AP1751" i="3"/>
  <c r="AP1752" i="3"/>
  <c r="AP1753" i="3"/>
  <c r="AP1754" i="3"/>
  <c r="AP1755" i="3"/>
  <c r="AP1756" i="3"/>
  <c r="AP1757" i="3"/>
  <c r="AP1758" i="3"/>
  <c r="AP1759" i="3"/>
  <c r="AP1760" i="3"/>
  <c r="AP1761" i="3"/>
  <c r="AP1762" i="3"/>
  <c r="AP1763" i="3"/>
  <c r="AP1764" i="3"/>
  <c r="AP1765" i="3"/>
  <c r="AP1766" i="3"/>
  <c r="AP1767" i="3"/>
  <c r="AP1768" i="3"/>
  <c r="AP1769" i="3"/>
  <c r="AP1770" i="3"/>
  <c r="AP1771" i="3"/>
  <c r="AP1772" i="3"/>
  <c r="AP1773" i="3"/>
  <c r="AP1774" i="3"/>
  <c r="AP1775" i="3"/>
  <c r="AP1776" i="3"/>
  <c r="AP1777" i="3"/>
  <c r="AP1778" i="3"/>
  <c r="AP1779" i="3"/>
  <c r="AP1780" i="3"/>
  <c r="AP1781" i="3"/>
  <c r="AP1782" i="3"/>
  <c r="AP1783" i="3"/>
  <c r="AP1784" i="3"/>
  <c r="AP1785" i="3"/>
  <c r="AP1786" i="3"/>
  <c r="AP1787" i="3"/>
  <c r="AP1788" i="3"/>
  <c r="AP1789" i="3"/>
  <c r="AP1790" i="3"/>
  <c r="AP1791" i="3"/>
  <c r="AP1792" i="3"/>
  <c r="AP1793" i="3"/>
  <c r="AP1794" i="3"/>
  <c r="AP1795" i="3"/>
  <c r="AP1796" i="3"/>
  <c r="AP1797" i="3"/>
  <c r="AP1798" i="3"/>
  <c r="AP1799" i="3"/>
  <c r="AP1800" i="3"/>
  <c r="AP1801" i="3"/>
  <c r="AP1802" i="3"/>
  <c r="AP1803" i="3"/>
  <c r="AP1804" i="3"/>
  <c r="AP1805" i="3"/>
  <c r="AP1806" i="3"/>
  <c r="AP1807" i="3"/>
  <c r="AP1808" i="3"/>
  <c r="AP1809" i="3"/>
  <c r="AP1810" i="3"/>
  <c r="AP1811" i="3"/>
  <c r="AP1812" i="3"/>
  <c r="AP1813" i="3"/>
  <c r="AP1814" i="3"/>
  <c r="AP1815" i="3"/>
  <c r="AP1816" i="3"/>
  <c r="AP1817" i="3"/>
  <c r="AP1818" i="3"/>
  <c r="AP1819" i="3"/>
  <c r="AP1820" i="3"/>
  <c r="AP1821" i="3"/>
  <c r="AP1822" i="3"/>
  <c r="AP1823" i="3"/>
  <c r="AP1824" i="3"/>
  <c r="AP1825" i="3"/>
  <c r="AP1826" i="3"/>
  <c r="AP1827" i="3"/>
  <c r="AP1828" i="3"/>
  <c r="AP1829" i="3"/>
  <c r="AP1830" i="3"/>
  <c r="AP1831" i="3"/>
  <c r="AP1832" i="3"/>
  <c r="AP1833" i="3"/>
  <c r="AP1834" i="3"/>
  <c r="AP1835" i="3"/>
  <c r="AP1836" i="3"/>
  <c r="AP1837" i="3"/>
  <c r="AP1838" i="3"/>
  <c r="AP1839" i="3"/>
  <c r="AP1840" i="3"/>
  <c r="AP1841" i="3"/>
  <c r="AP1842" i="3"/>
  <c r="AP1843" i="3"/>
  <c r="AP1844" i="3"/>
  <c r="AP1845" i="3"/>
  <c r="AP1846" i="3"/>
  <c r="AP1847" i="3"/>
  <c r="AP1848" i="3"/>
  <c r="AP1849" i="3"/>
  <c r="AP1850" i="3"/>
  <c r="AP1851" i="3"/>
  <c r="AP1852" i="3"/>
  <c r="AP1853" i="3"/>
  <c r="AP1854" i="3"/>
  <c r="AP1855" i="3"/>
  <c r="AP1856" i="3"/>
  <c r="AP1857" i="3"/>
  <c r="AP1858" i="3"/>
  <c r="AP1859" i="3"/>
  <c r="AP1860" i="3"/>
  <c r="AP1861" i="3"/>
  <c r="AP1862" i="3"/>
  <c r="AP1863" i="3"/>
  <c r="AP1864" i="3"/>
  <c r="AP1865" i="3"/>
  <c r="AP1866" i="3"/>
  <c r="AP1867" i="3"/>
  <c r="AP1868" i="3"/>
  <c r="AP1869" i="3"/>
  <c r="AP1870" i="3"/>
  <c r="AP1871" i="3"/>
  <c r="AP1872" i="3"/>
  <c r="AP1873" i="3"/>
  <c r="AP1874" i="3"/>
  <c r="AP1875" i="3"/>
  <c r="AP1876" i="3"/>
  <c r="AP1877" i="3"/>
  <c r="AP1878" i="3"/>
  <c r="AP1879" i="3"/>
  <c r="AP1880" i="3"/>
  <c r="AP1881" i="3"/>
  <c r="AP1882" i="3"/>
  <c r="AP1883" i="3"/>
  <c r="AP1884" i="3"/>
  <c r="AP1885" i="3"/>
  <c r="AP1886" i="3"/>
  <c r="AP1887" i="3"/>
  <c r="AP1888" i="3"/>
  <c r="AP1889" i="3"/>
  <c r="AP1890" i="3"/>
  <c r="AP1891" i="3"/>
  <c r="AP1892" i="3"/>
  <c r="AP1893" i="3"/>
  <c r="AP1894" i="3"/>
  <c r="AP1895" i="3"/>
  <c r="AP1896" i="3"/>
  <c r="AP1897" i="3"/>
  <c r="AP1898" i="3"/>
  <c r="AP1899" i="3"/>
  <c r="AP1900" i="3"/>
  <c r="AP1901" i="3"/>
  <c r="AP1902" i="3"/>
  <c r="AP1903" i="3"/>
  <c r="AP1904" i="3"/>
  <c r="AP1905" i="3"/>
  <c r="AP1906" i="3"/>
  <c r="AP1907" i="3"/>
  <c r="AP1908" i="3"/>
  <c r="AP1909" i="3"/>
  <c r="AP1910" i="3"/>
  <c r="AP1911" i="3"/>
  <c r="AP1912" i="3"/>
  <c r="AP1913" i="3"/>
  <c r="AP1914" i="3"/>
  <c r="AP1915" i="3"/>
  <c r="AP1916" i="3"/>
  <c r="AP1917" i="3"/>
  <c r="AP1918" i="3"/>
  <c r="AP1919" i="3"/>
  <c r="AP1920" i="3"/>
  <c r="AP1921" i="3"/>
  <c r="AP1922" i="3"/>
  <c r="AP1923" i="3"/>
  <c r="AP1924" i="3"/>
  <c r="AP1925" i="3"/>
  <c r="AP1926" i="3"/>
  <c r="AP1927" i="3"/>
  <c r="AP1928" i="3"/>
  <c r="AP1929" i="3"/>
  <c r="AP1930" i="3"/>
  <c r="AP1931" i="3"/>
  <c r="AP1932" i="3"/>
  <c r="AP1933" i="3"/>
  <c r="AP1934" i="3"/>
  <c r="AP1935" i="3"/>
  <c r="AP1936" i="3"/>
  <c r="AP1937" i="3"/>
  <c r="AP1938" i="3"/>
  <c r="AP1939" i="3"/>
  <c r="AP1940" i="3"/>
  <c r="AP1941" i="3"/>
  <c r="AP1942" i="3"/>
  <c r="AP1943" i="3"/>
  <c r="AP1944" i="3"/>
  <c r="AP1945" i="3"/>
  <c r="AP1946" i="3"/>
  <c r="AP1947" i="3"/>
  <c r="AP1948" i="3"/>
  <c r="AP1949" i="3"/>
  <c r="AP1950" i="3"/>
  <c r="AP1951" i="3"/>
  <c r="AP1952" i="3"/>
  <c r="AP1953" i="3"/>
  <c r="AP1954" i="3"/>
  <c r="AP1955" i="3"/>
  <c r="AP1956" i="3"/>
  <c r="AP1957" i="3"/>
  <c r="AP1958" i="3"/>
  <c r="AP1959" i="3"/>
  <c r="AP1960" i="3"/>
  <c r="AP1961" i="3"/>
  <c r="AP1962" i="3"/>
  <c r="AP1963" i="3"/>
  <c r="AP1964" i="3"/>
  <c r="AP1965" i="3"/>
  <c r="AP1966" i="3"/>
  <c r="AP1967" i="3"/>
  <c r="AP1968" i="3"/>
  <c r="AP1969" i="3"/>
  <c r="AP1970" i="3"/>
  <c r="AP1971" i="3"/>
  <c r="AP1972" i="3"/>
  <c r="AP1973" i="3"/>
  <c r="AP1974" i="3"/>
  <c r="AP1975" i="3"/>
  <c r="AP1976" i="3"/>
  <c r="AP1977" i="3"/>
  <c r="AP1978" i="3"/>
  <c r="AP1979" i="3"/>
  <c r="AP1980" i="3"/>
  <c r="AP1981" i="3"/>
  <c r="AP1982" i="3"/>
  <c r="AP1983" i="3"/>
  <c r="AP1984" i="3"/>
  <c r="AP1985" i="3"/>
  <c r="AP1986" i="3"/>
  <c r="AP1987" i="3"/>
  <c r="AP1988" i="3"/>
  <c r="AP1989" i="3"/>
  <c r="AP1990" i="3"/>
  <c r="AP1991" i="3"/>
  <c r="AP1992" i="3"/>
  <c r="AP1993" i="3"/>
  <c r="AP1994" i="3"/>
  <c r="AP1995" i="3"/>
  <c r="AP1996" i="3"/>
  <c r="AP1997" i="3"/>
  <c r="AP1998" i="3"/>
  <c r="AP1999" i="3"/>
  <c r="AP2000" i="3"/>
  <c r="AP2001" i="3"/>
  <c r="AP2002" i="3"/>
  <c r="AP2003" i="3"/>
  <c r="AP2004" i="3"/>
  <c r="AP2005" i="3"/>
  <c r="AP2006" i="3"/>
  <c r="AP2007" i="3"/>
  <c r="AP2008" i="3"/>
  <c r="AP2009" i="3"/>
  <c r="AP2010" i="3"/>
  <c r="AP2011" i="3"/>
  <c r="AP2012" i="3"/>
  <c r="AP2013" i="3"/>
  <c r="AP2014" i="3"/>
  <c r="AP2015" i="3"/>
  <c r="AP2016" i="3"/>
  <c r="AP2017" i="3"/>
  <c r="AP2018" i="3"/>
  <c r="AP2019" i="3"/>
  <c r="AP2020" i="3"/>
  <c r="AP2021" i="3"/>
  <c r="AP2022" i="3"/>
  <c r="AP2023" i="3"/>
  <c r="AP2024" i="3"/>
  <c r="AP2025" i="3"/>
  <c r="AP2026" i="3"/>
  <c r="AP2027" i="3"/>
  <c r="AP2028" i="3"/>
  <c r="AP2029" i="3"/>
  <c r="AP2030" i="3"/>
  <c r="AP2031" i="3"/>
  <c r="AP2032" i="3"/>
  <c r="AP2033" i="3"/>
  <c r="AP2034" i="3"/>
  <c r="AP2035" i="3"/>
  <c r="AP2036" i="3"/>
  <c r="AP2037" i="3"/>
  <c r="AP2038" i="3"/>
  <c r="AP2039" i="3"/>
  <c r="AP2040" i="3"/>
  <c r="AP2041" i="3"/>
  <c r="AP2042" i="3"/>
  <c r="AP2043" i="3"/>
  <c r="AP2044" i="3"/>
  <c r="AP2045" i="3"/>
  <c r="AP2046" i="3"/>
  <c r="AP2047" i="3"/>
  <c r="AP2048" i="3"/>
  <c r="AP2049" i="3"/>
  <c r="AP2050" i="3"/>
  <c r="AP2051" i="3"/>
  <c r="AP2052" i="3"/>
  <c r="AP2053" i="3"/>
  <c r="AP2054" i="3"/>
  <c r="AP2055" i="3"/>
  <c r="AP2056" i="3"/>
  <c r="AP2057" i="3"/>
  <c r="AP2058" i="3"/>
  <c r="AP2059" i="3"/>
  <c r="AP2060" i="3"/>
  <c r="AP2061" i="3"/>
  <c r="AP2062" i="3"/>
  <c r="AP2063" i="3"/>
  <c r="AP2064" i="3"/>
  <c r="AP2065" i="3"/>
  <c r="AP2066" i="3"/>
  <c r="AP2067" i="3"/>
  <c r="AP2068" i="3"/>
  <c r="AP2069" i="3"/>
  <c r="AP2070" i="3"/>
  <c r="AP2071" i="3"/>
  <c r="AP2072" i="3"/>
  <c r="AP2073" i="3"/>
  <c r="AP2074" i="3"/>
  <c r="AP2075" i="3"/>
  <c r="AP2076" i="3"/>
  <c r="AP2077" i="3"/>
  <c r="AP2078" i="3"/>
  <c r="AP2079" i="3"/>
  <c r="AP2080" i="3"/>
  <c r="AP2081" i="3"/>
  <c r="AP2082" i="3"/>
  <c r="AP2083" i="3"/>
  <c r="AP2084" i="3"/>
  <c r="AP2085" i="3"/>
  <c r="AP2086" i="3"/>
  <c r="AP2087" i="3"/>
  <c r="AP2088" i="3"/>
  <c r="AP2089" i="3"/>
  <c r="AP2090" i="3"/>
  <c r="AP2091" i="3"/>
  <c r="AP2092" i="3"/>
  <c r="AP2093" i="3"/>
  <c r="AP2094" i="3"/>
  <c r="AP2095" i="3"/>
  <c r="AP2096" i="3"/>
  <c r="AP2097" i="3"/>
  <c r="AP2098" i="3"/>
  <c r="AP2099" i="3"/>
  <c r="AP2100" i="3"/>
  <c r="AP2101" i="3"/>
  <c r="AP2102" i="3"/>
  <c r="AP2103" i="3"/>
  <c r="AP2104" i="3"/>
  <c r="AP2105" i="3"/>
  <c r="AP2106" i="3"/>
  <c r="AP2107" i="3"/>
  <c r="AP2108" i="3"/>
  <c r="AP2109" i="3"/>
  <c r="AP2110" i="3"/>
  <c r="AP2111" i="3"/>
  <c r="AP2112" i="3"/>
  <c r="AP2113" i="3"/>
  <c r="AP2114" i="3"/>
  <c r="AP2115" i="3"/>
  <c r="AP2116" i="3"/>
  <c r="AP2117" i="3"/>
  <c r="AP2118" i="3"/>
  <c r="AP2119" i="3"/>
  <c r="AP2120" i="3"/>
  <c r="AP2121" i="3"/>
  <c r="AP2122" i="3"/>
  <c r="AP2123" i="3"/>
  <c r="AP2124" i="3"/>
  <c r="AP2125" i="3"/>
  <c r="AP2126" i="3"/>
  <c r="AP2127" i="3"/>
  <c r="AP2128" i="3"/>
  <c r="AP2129" i="3"/>
  <c r="AP2130" i="3"/>
  <c r="AP2131" i="3"/>
  <c r="AP2132" i="3"/>
  <c r="AP2133" i="3"/>
  <c r="AP2134" i="3"/>
  <c r="AP2135" i="3"/>
  <c r="AP2136" i="3"/>
  <c r="AP2137" i="3"/>
  <c r="AP2138" i="3"/>
  <c r="AP2139" i="3"/>
  <c r="AP2140" i="3"/>
  <c r="AP2141" i="3"/>
  <c r="AP2142" i="3"/>
  <c r="AP2143" i="3"/>
  <c r="AP2144" i="3"/>
  <c r="AP2145" i="3"/>
  <c r="AP2146" i="3"/>
  <c r="AP2147" i="3"/>
  <c r="AP2148" i="3"/>
  <c r="AP2149" i="3"/>
  <c r="AP2150" i="3"/>
  <c r="AP2151" i="3"/>
  <c r="AP2152" i="3"/>
  <c r="AP2153" i="3"/>
  <c r="AP2154" i="3"/>
  <c r="AP2155" i="3"/>
  <c r="AP2156" i="3"/>
  <c r="AP2157" i="3"/>
  <c r="AP2158" i="3"/>
  <c r="AP2159" i="3"/>
  <c r="AP2160" i="3"/>
  <c r="AP2161" i="3"/>
  <c r="AP2162" i="3"/>
  <c r="AP2163" i="3"/>
  <c r="AP2164" i="3"/>
  <c r="AP2165" i="3"/>
  <c r="AP2166" i="3"/>
  <c r="AP2167" i="3"/>
  <c r="AP2168" i="3"/>
  <c r="AP2169" i="3"/>
  <c r="AP2170" i="3"/>
  <c r="AP2171" i="3"/>
  <c r="AP2172" i="3"/>
  <c r="AP2173" i="3"/>
  <c r="AP2174" i="3"/>
  <c r="AP2175" i="3"/>
  <c r="AP2176" i="3"/>
  <c r="AP2177" i="3"/>
  <c r="AP2178" i="3"/>
  <c r="AP2179" i="3"/>
  <c r="AP2180" i="3"/>
  <c r="AP2181" i="3"/>
  <c r="AP2182" i="3"/>
  <c r="AP2183" i="3"/>
  <c r="AP2184" i="3"/>
  <c r="AP2185" i="3"/>
  <c r="AP2186" i="3"/>
  <c r="AP2187" i="3"/>
  <c r="AP2188" i="3"/>
  <c r="AP2189" i="3"/>
  <c r="AP2190" i="3"/>
  <c r="AP2191" i="3"/>
  <c r="AP2192" i="3"/>
  <c r="AP2193" i="3"/>
  <c r="AP2194" i="3"/>
  <c r="AP2195" i="3"/>
  <c r="AP2196" i="3"/>
  <c r="AP2197" i="3"/>
  <c r="AP2198" i="3"/>
  <c r="AP2199" i="3"/>
  <c r="AP2200" i="3"/>
  <c r="AP2201" i="3"/>
  <c r="AP2202" i="3"/>
  <c r="AP2203" i="3"/>
  <c r="AP2204" i="3"/>
  <c r="AP2205" i="3"/>
  <c r="AP2206" i="3"/>
  <c r="AP2207" i="3"/>
  <c r="AP2208" i="3"/>
  <c r="AP2209" i="3"/>
  <c r="AP2210" i="3"/>
  <c r="AP2211" i="3"/>
  <c r="AP2212" i="3"/>
  <c r="AP2213" i="3"/>
  <c r="AP2214" i="3"/>
  <c r="AP2215" i="3"/>
  <c r="AP2216" i="3"/>
  <c r="AP2217" i="3"/>
  <c r="AP2218" i="3"/>
  <c r="AP2219" i="3"/>
  <c r="AP2220" i="3"/>
  <c r="AP2221" i="3"/>
  <c r="AP2222" i="3"/>
  <c r="AP2223" i="3"/>
  <c r="AP2224" i="3"/>
  <c r="AP2225" i="3"/>
  <c r="AP2226" i="3"/>
  <c r="AP2227" i="3"/>
  <c r="AP2228" i="3"/>
  <c r="AP2229" i="3"/>
  <c r="AP2230" i="3"/>
  <c r="AP2231" i="3"/>
  <c r="AP2232" i="3"/>
  <c r="AP2233" i="3"/>
  <c r="AP2234" i="3"/>
  <c r="AP2235" i="3"/>
  <c r="AP2236" i="3"/>
  <c r="AP2237" i="3"/>
  <c r="AP2238" i="3"/>
  <c r="AP2239" i="3"/>
  <c r="AP2240" i="3"/>
  <c r="AP2241" i="3"/>
  <c r="AO2" i="3"/>
  <c r="AO3" i="3"/>
  <c r="AO4" i="3"/>
  <c r="AO5" i="3"/>
  <c r="AO6" i="3"/>
  <c r="AO7" i="3"/>
  <c r="AO8" i="3"/>
  <c r="AO9" i="3"/>
  <c r="AO10" i="3"/>
  <c r="AO11" i="3"/>
  <c r="AO12" i="3"/>
  <c r="AO13" i="3"/>
  <c r="AO14" i="3"/>
  <c r="AO15" i="3"/>
  <c r="AO16" i="3"/>
  <c r="AO17" i="3"/>
  <c r="AO18" i="3"/>
  <c r="AO19" i="3"/>
  <c r="AO20" i="3"/>
  <c r="AO21" i="3"/>
  <c r="AO22" i="3"/>
  <c r="AO23" i="3"/>
  <c r="AO24" i="3"/>
  <c r="AO25" i="3"/>
  <c r="AO26" i="3"/>
  <c r="AO27" i="3"/>
  <c r="AO28" i="3"/>
  <c r="AO29" i="3"/>
  <c r="AO30" i="3"/>
  <c r="AO31" i="3"/>
  <c r="AO32" i="3"/>
  <c r="AO33" i="3"/>
  <c r="AO34" i="3"/>
  <c r="AO35" i="3"/>
  <c r="AO36" i="3"/>
  <c r="AO37" i="3"/>
  <c r="AO38" i="3"/>
  <c r="AO39" i="3"/>
  <c r="AO40" i="3"/>
  <c r="AO41" i="3"/>
  <c r="AO42" i="3"/>
  <c r="AO43" i="3"/>
  <c r="AO44" i="3"/>
  <c r="AO45" i="3"/>
  <c r="AO46" i="3"/>
  <c r="AO47" i="3"/>
  <c r="AO48" i="3"/>
  <c r="AO49" i="3"/>
  <c r="AO50" i="3"/>
  <c r="AO51" i="3"/>
  <c r="AO52" i="3"/>
  <c r="AO53" i="3"/>
  <c r="AO54" i="3"/>
  <c r="AO55" i="3"/>
  <c r="AO56" i="3"/>
  <c r="AO57" i="3"/>
  <c r="AO58" i="3"/>
  <c r="AO59" i="3"/>
  <c r="AO60" i="3"/>
  <c r="AO61" i="3"/>
  <c r="AO62" i="3"/>
  <c r="AO63" i="3"/>
  <c r="AO64" i="3"/>
  <c r="AO65" i="3"/>
  <c r="AO66" i="3"/>
  <c r="AO67" i="3"/>
  <c r="AO68" i="3"/>
  <c r="AO69" i="3"/>
  <c r="AO70" i="3"/>
  <c r="AO71" i="3"/>
  <c r="AO72" i="3"/>
  <c r="AO73" i="3"/>
  <c r="AO74" i="3"/>
  <c r="AO75" i="3"/>
  <c r="AO76" i="3"/>
  <c r="AO77" i="3"/>
  <c r="AO78" i="3"/>
  <c r="AO79" i="3"/>
  <c r="AO80" i="3"/>
  <c r="AO81" i="3"/>
  <c r="AO82" i="3"/>
  <c r="AO83" i="3"/>
  <c r="AO84" i="3"/>
  <c r="AO85" i="3"/>
  <c r="AO86" i="3"/>
  <c r="AO87" i="3"/>
  <c r="AO88" i="3"/>
  <c r="AO89" i="3"/>
  <c r="AO90" i="3"/>
  <c r="AO91" i="3"/>
  <c r="AO92" i="3"/>
  <c r="AO93" i="3"/>
  <c r="AO94" i="3"/>
  <c r="AO95" i="3"/>
  <c r="AO96" i="3"/>
  <c r="AO97" i="3"/>
  <c r="AO98" i="3"/>
  <c r="AO99" i="3"/>
  <c r="AO100" i="3"/>
  <c r="AO101" i="3"/>
  <c r="AO102" i="3"/>
  <c r="AO103" i="3"/>
  <c r="AO104" i="3"/>
  <c r="AO105" i="3"/>
  <c r="AO106" i="3"/>
  <c r="AO107" i="3"/>
  <c r="AO108" i="3"/>
  <c r="AO109" i="3"/>
  <c r="AO110" i="3"/>
  <c r="AO111" i="3"/>
  <c r="AO112" i="3"/>
  <c r="AO113" i="3"/>
  <c r="AO114" i="3"/>
  <c r="AO115" i="3"/>
  <c r="AO116" i="3"/>
  <c r="AO117" i="3"/>
  <c r="AO118" i="3"/>
  <c r="AO119" i="3"/>
  <c r="AO120" i="3"/>
  <c r="AO121" i="3"/>
  <c r="AO122" i="3"/>
  <c r="AO123" i="3"/>
  <c r="AO124" i="3"/>
  <c r="AO125" i="3"/>
  <c r="AO126" i="3"/>
  <c r="AO127" i="3"/>
  <c r="AO128" i="3"/>
  <c r="AO129" i="3"/>
  <c r="AO130" i="3"/>
  <c r="AO131" i="3"/>
  <c r="AO132" i="3"/>
  <c r="AO133" i="3"/>
  <c r="AO134" i="3"/>
  <c r="AO135" i="3"/>
  <c r="AO136" i="3"/>
  <c r="AO137" i="3"/>
  <c r="AO138" i="3"/>
  <c r="AO139" i="3"/>
  <c r="AO140" i="3"/>
  <c r="AO141" i="3"/>
  <c r="AO142" i="3"/>
  <c r="AO143" i="3"/>
  <c r="AO144" i="3"/>
  <c r="AO145" i="3"/>
  <c r="AO146" i="3"/>
  <c r="AO147" i="3"/>
  <c r="AO148" i="3"/>
  <c r="AO149" i="3"/>
  <c r="AO150" i="3"/>
  <c r="AO151" i="3"/>
  <c r="AO152" i="3"/>
  <c r="AO153" i="3"/>
  <c r="AO154" i="3"/>
  <c r="AO155" i="3"/>
  <c r="AO156" i="3"/>
  <c r="AO157" i="3"/>
  <c r="AO158" i="3"/>
  <c r="AO159" i="3"/>
  <c r="AO160" i="3"/>
  <c r="AO161" i="3"/>
  <c r="AO162" i="3"/>
  <c r="AO163" i="3"/>
  <c r="AO164" i="3"/>
  <c r="AO165" i="3"/>
  <c r="AO166" i="3"/>
  <c r="AO167" i="3"/>
  <c r="AO168" i="3"/>
  <c r="AO169" i="3"/>
  <c r="AO170" i="3"/>
  <c r="AO171" i="3"/>
  <c r="AO172" i="3"/>
  <c r="AO173" i="3"/>
  <c r="AO174" i="3"/>
  <c r="AO175" i="3"/>
  <c r="AO176" i="3"/>
  <c r="AO177" i="3"/>
  <c r="AO178" i="3"/>
  <c r="AO179" i="3"/>
  <c r="AO180" i="3"/>
  <c r="AO181" i="3"/>
  <c r="AO182" i="3"/>
  <c r="AO183" i="3"/>
  <c r="AO184" i="3"/>
  <c r="AO185" i="3"/>
  <c r="AO186" i="3"/>
  <c r="AO187" i="3"/>
  <c r="AO188" i="3"/>
  <c r="AO189" i="3"/>
  <c r="AO190" i="3"/>
  <c r="AO191" i="3"/>
  <c r="AO192" i="3"/>
  <c r="AO193" i="3"/>
  <c r="AO194" i="3"/>
  <c r="AO195" i="3"/>
  <c r="AO196" i="3"/>
  <c r="AO197" i="3"/>
  <c r="AO198" i="3"/>
  <c r="AO199" i="3"/>
  <c r="AO200" i="3"/>
  <c r="AO201" i="3"/>
  <c r="AO202" i="3"/>
  <c r="AO203" i="3"/>
  <c r="AO204" i="3"/>
  <c r="AO205" i="3"/>
  <c r="AO206" i="3"/>
  <c r="AO207" i="3"/>
  <c r="AO208" i="3"/>
  <c r="AO209" i="3"/>
  <c r="AO210" i="3"/>
  <c r="AO211" i="3"/>
  <c r="AO212" i="3"/>
  <c r="AO213" i="3"/>
  <c r="AO214" i="3"/>
  <c r="AO215" i="3"/>
  <c r="AO216" i="3"/>
  <c r="AO217" i="3"/>
  <c r="AO218" i="3"/>
  <c r="AO219" i="3"/>
  <c r="AO220" i="3"/>
  <c r="AO221" i="3"/>
  <c r="AO222" i="3"/>
  <c r="AO223" i="3"/>
  <c r="AO224" i="3"/>
  <c r="AO225" i="3"/>
  <c r="AO226" i="3"/>
  <c r="AO227" i="3"/>
  <c r="AO228" i="3"/>
  <c r="AO229" i="3"/>
  <c r="AO230" i="3"/>
  <c r="AO231" i="3"/>
  <c r="AO232" i="3"/>
  <c r="AO233" i="3"/>
  <c r="AO234" i="3"/>
  <c r="AO235" i="3"/>
  <c r="AO236" i="3"/>
  <c r="AO237" i="3"/>
  <c r="AO238" i="3"/>
  <c r="AO239" i="3"/>
  <c r="AO240" i="3"/>
  <c r="AO241" i="3"/>
  <c r="AO242" i="3"/>
  <c r="AO243" i="3"/>
  <c r="AO244" i="3"/>
  <c r="AO245" i="3"/>
  <c r="AO246" i="3"/>
  <c r="AO247" i="3"/>
  <c r="AO248" i="3"/>
  <c r="AO249" i="3"/>
  <c r="AO250" i="3"/>
  <c r="AO251" i="3"/>
  <c r="AO252" i="3"/>
  <c r="AO253" i="3"/>
  <c r="AO254" i="3"/>
  <c r="AO255" i="3"/>
  <c r="AO256" i="3"/>
  <c r="AO257" i="3"/>
  <c r="AO258" i="3"/>
  <c r="AO259" i="3"/>
  <c r="AO260" i="3"/>
  <c r="AO261" i="3"/>
  <c r="AO262" i="3"/>
  <c r="AO263" i="3"/>
  <c r="AO264" i="3"/>
  <c r="AO265" i="3"/>
  <c r="AO266" i="3"/>
  <c r="AO267" i="3"/>
  <c r="AO268" i="3"/>
  <c r="AO269" i="3"/>
  <c r="AO270" i="3"/>
  <c r="AO271" i="3"/>
  <c r="AO272" i="3"/>
  <c r="AO273" i="3"/>
  <c r="AO274" i="3"/>
  <c r="AO275" i="3"/>
  <c r="AO276" i="3"/>
  <c r="AO277" i="3"/>
  <c r="AO278" i="3"/>
  <c r="AO279" i="3"/>
  <c r="AO280" i="3"/>
  <c r="AO281" i="3"/>
  <c r="AO282" i="3"/>
  <c r="AO283" i="3"/>
  <c r="AO284" i="3"/>
  <c r="AO285" i="3"/>
  <c r="AO286" i="3"/>
  <c r="AO287" i="3"/>
  <c r="AO288" i="3"/>
  <c r="AO289" i="3"/>
  <c r="AO290" i="3"/>
  <c r="AO291" i="3"/>
  <c r="AO292" i="3"/>
  <c r="AO293" i="3"/>
  <c r="AO294" i="3"/>
  <c r="AO295" i="3"/>
  <c r="AO296" i="3"/>
  <c r="AO297" i="3"/>
  <c r="AO298" i="3"/>
  <c r="AO299" i="3"/>
  <c r="AO300" i="3"/>
  <c r="AO301" i="3"/>
  <c r="AO302" i="3"/>
  <c r="AO303" i="3"/>
  <c r="AO304" i="3"/>
  <c r="AO305" i="3"/>
  <c r="AO306" i="3"/>
  <c r="AO307" i="3"/>
  <c r="AO308" i="3"/>
  <c r="AO309" i="3"/>
  <c r="AO310" i="3"/>
  <c r="AO311" i="3"/>
  <c r="AO312" i="3"/>
  <c r="AO313" i="3"/>
  <c r="AO314" i="3"/>
  <c r="AO315" i="3"/>
  <c r="AO316" i="3"/>
  <c r="AO317" i="3"/>
  <c r="AO318" i="3"/>
  <c r="AO319" i="3"/>
  <c r="AO320" i="3"/>
  <c r="AO321" i="3"/>
  <c r="AO322" i="3"/>
  <c r="AO323" i="3"/>
  <c r="AO324" i="3"/>
  <c r="AO325" i="3"/>
  <c r="AO326" i="3"/>
  <c r="AO327" i="3"/>
  <c r="AO328" i="3"/>
  <c r="AO329" i="3"/>
  <c r="AO330" i="3"/>
  <c r="AO331" i="3"/>
  <c r="AO332" i="3"/>
  <c r="AO333" i="3"/>
  <c r="AO334" i="3"/>
  <c r="AO335" i="3"/>
  <c r="AO336" i="3"/>
  <c r="AO337" i="3"/>
  <c r="AO338" i="3"/>
  <c r="AO339" i="3"/>
  <c r="AO340" i="3"/>
  <c r="AO341" i="3"/>
  <c r="AO342" i="3"/>
  <c r="AO343" i="3"/>
  <c r="AO344" i="3"/>
  <c r="AO345" i="3"/>
  <c r="AO346" i="3"/>
  <c r="AO347" i="3"/>
  <c r="AO348" i="3"/>
  <c r="AO349" i="3"/>
  <c r="AO350" i="3"/>
  <c r="AO351" i="3"/>
  <c r="AO352" i="3"/>
  <c r="AO353" i="3"/>
  <c r="AO354" i="3"/>
  <c r="AO355" i="3"/>
  <c r="AO356" i="3"/>
  <c r="AO357" i="3"/>
  <c r="AO358" i="3"/>
  <c r="AO359" i="3"/>
  <c r="AO360" i="3"/>
  <c r="AO361" i="3"/>
  <c r="AO362" i="3"/>
  <c r="AO363" i="3"/>
  <c r="AO364" i="3"/>
  <c r="AO365" i="3"/>
  <c r="AO366" i="3"/>
  <c r="AO367" i="3"/>
  <c r="AO368" i="3"/>
  <c r="AO369" i="3"/>
  <c r="AO370" i="3"/>
  <c r="AO371" i="3"/>
  <c r="AO372" i="3"/>
  <c r="AO373" i="3"/>
  <c r="AO374" i="3"/>
  <c r="AO375" i="3"/>
  <c r="AO376" i="3"/>
  <c r="AO377" i="3"/>
  <c r="AO378" i="3"/>
  <c r="AO379" i="3"/>
  <c r="AO380" i="3"/>
  <c r="AO381" i="3"/>
  <c r="AO382" i="3"/>
  <c r="AO383" i="3"/>
  <c r="AO384" i="3"/>
  <c r="AO385" i="3"/>
  <c r="AO386" i="3"/>
  <c r="AO387" i="3"/>
  <c r="AO388" i="3"/>
  <c r="AO389" i="3"/>
  <c r="AO390" i="3"/>
  <c r="AO391" i="3"/>
  <c r="AO392" i="3"/>
  <c r="AO393" i="3"/>
  <c r="AO394" i="3"/>
  <c r="AO395" i="3"/>
  <c r="AO396" i="3"/>
  <c r="AO397" i="3"/>
  <c r="AO398" i="3"/>
  <c r="AO399" i="3"/>
  <c r="AO400" i="3"/>
  <c r="AO401" i="3"/>
  <c r="AO402" i="3"/>
  <c r="AO403" i="3"/>
  <c r="AO404" i="3"/>
  <c r="AO405" i="3"/>
  <c r="AO406" i="3"/>
  <c r="AO407" i="3"/>
  <c r="AO408" i="3"/>
  <c r="AO409" i="3"/>
  <c r="AO410" i="3"/>
  <c r="AO411" i="3"/>
  <c r="AO412" i="3"/>
  <c r="AO413" i="3"/>
  <c r="AO414" i="3"/>
  <c r="AO415" i="3"/>
  <c r="AO416" i="3"/>
  <c r="AO417" i="3"/>
  <c r="AO418" i="3"/>
  <c r="AO419" i="3"/>
  <c r="AO420" i="3"/>
  <c r="AO421" i="3"/>
  <c r="AO422" i="3"/>
  <c r="AO423" i="3"/>
  <c r="AO424" i="3"/>
  <c r="AO425" i="3"/>
  <c r="AO426" i="3"/>
  <c r="AO427" i="3"/>
  <c r="AO428" i="3"/>
  <c r="AO429" i="3"/>
  <c r="AO430" i="3"/>
  <c r="AO431" i="3"/>
  <c r="AO432" i="3"/>
  <c r="AO433" i="3"/>
  <c r="AO434" i="3"/>
  <c r="AO435" i="3"/>
  <c r="AO436" i="3"/>
  <c r="AO437" i="3"/>
  <c r="AO438" i="3"/>
  <c r="AO439" i="3"/>
  <c r="AO440" i="3"/>
  <c r="AO441" i="3"/>
  <c r="AO442" i="3"/>
  <c r="AO443" i="3"/>
  <c r="AO444" i="3"/>
  <c r="AO445" i="3"/>
  <c r="AO446" i="3"/>
  <c r="AO447" i="3"/>
  <c r="AO448" i="3"/>
  <c r="AO449" i="3"/>
  <c r="AO450" i="3"/>
  <c r="AO451" i="3"/>
  <c r="AO452" i="3"/>
  <c r="AO453" i="3"/>
  <c r="AO454" i="3"/>
  <c r="AO455" i="3"/>
  <c r="AO456" i="3"/>
  <c r="AO457" i="3"/>
  <c r="AO458" i="3"/>
  <c r="AO459" i="3"/>
  <c r="AO460" i="3"/>
  <c r="AO461" i="3"/>
  <c r="AO462" i="3"/>
  <c r="AO463" i="3"/>
  <c r="AO464" i="3"/>
  <c r="AO465" i="3"/>
  <c r="AO466" i="3"/>
  <c r="AO467" i="3"/>
  <c r="AO468" i="3"/>
  <c r="AO469" i="3"/>
  <c r="AO470" i="3"/>
  <c r="AO471" i="3"/>
  <c r="AO472" i="3"/>
  <c r="AO473" i="3"/>
  <c r="AO474" i="3"/>
  <c r="AO475" i="3"/>
  <c r="AO476" i="3"/>
  <c r="AO477" i="3"/>
  <c r="AO478" i="3"/>
  <c r="AO479" i="3"/>
  <c r="AO480" i="3"/>
  <c r="AO481" i="3"/>
  <c r="AO482" i="3"/>
  <c r="AO483" i="3"/>
  <c r="AO484" i="3"/>
  <c r="AO485" i="3"/>
  <c r="AO486" i="3"/>
  <c r="AO487" i="3"/>
  <c r="AO488" i="3"/>
  <c r="AO489" i="3"/>
  <c r="AO490" i="3"/>
  <c r="AO491" i="3"/>
  <c r="AO492" i="3"/>
  <c r="AO493" i="3"/>
  <c r="AO494" i="3"/>
  <c r="AO495" i="3"/>
  <c r="AO496" i="3"/>
  <c r="AO497" i="3"/>
  <c r="AO498" i="3"/>
  <c r="AO499" i="3"/>
  <c r="AO500" i="3"/>
  <c r="AO501" i="3"/>
  <c r="AO502" i="3"/>
  <c r="AO503" i="3"/>
  <c r="AO504" i="3"/>
  <c r="AO505" i="3"/>
  <c r="AO506" i="3"/>
  <c r="AO507" i="3"/>
  <c r="AO508" i="3"/>
  <c r="AO509" i="3"/>
  <c r="AO510" i="3"/>
  <c r="AO511" i="3"/>
  <c r="AO512" i="3"/>
  <c r="AO513" i="3"/>
  <c r="AO514" i="3"/>
  <c r="AO515" i="3"/>
  <c r="AO516" i="3"/>
  <c r="AO517" i="3"/>
  <c r="AO518" i="3"/>
  <c r="AO519" i="3"/>
  <c r="AO520" i="3"/>
  <c r="AO521" i="3"/>
  <c r="AO522" i="3"/>
  <c r="AO523" i="3"/>
  <c r="AO524" i="3"/>
  <c r="AO525" i="3"/>
  <c r="AO526" i="3"/>
  <c r="AO527" i="3"/>
  <c r="AO528" i="3"/>
  <c r="AO529" i="3"/>
  <c r="AO530" i="3"/>
  <c r="AO531" i="3"/>
  <c r="AO532" i="3"/>
  <c r="AO533" i="3"/>
  <c r="AO534" i="3"/>
  <c r="AO535" i="3"/>
  <c r="AO536" i="3"/>
  <c r="AO537" i="3"/>
  <c r="AO538" i="3"/>
  <c r="AO539" i="3"/>
  <c r="AO540" i="3"/>
  <c r="AO541" i="3"/>
  <c r="AO542" i="3"/>
  <c r="AO543" i="3"/>
  <c r="AO544" i="3"/>
  <c r="AO545" i="3"/>
  <c r="AO546" i="3"/>
  <c r="AO547" i="3"/>
  <c r="AO548" i="3"/>
  <c r="AO549" i="3"/>
  <c r="AO550" i="3"/>
  <c r="AO551" i="3"/>
  <c r="AO552" i="3"/>
  <c r="AO553" i="3"/>
  <c r="AO554" i="3"/>
  <c r="AO555" i="3"/>
  <c r="AO556" i="3"/>
  <c r="AO557" i="3"/>
  <c r="AO558" i="3"/>
  <c r="AO559" i="3"/>
  <c r="AO560" i="3"/>
  <c r="AO561" i="3"/>
  <c r="AO562" i="3"/>
  <c r="AO563" i="3"/>
  <c r="AO564" i="3"/>
  <c r="AO565" i="3"/>
  <c r="AO566" i="3"/>
  <c r="AO567" i="3"/>
  <c r="AO568" i="3"/>
  <c r="AO569" i="3"/>
  <c r="AO570" i="3"/>
  <c r="AO571" i="3"/>
  <c r="AO572" i="3"/>
  <c r="AO573" i="3"/>
  <c r="AO574" i="3"/>
  <c r="AO575" i="3"/>
  <c r="AO576" i="3"/>
  <c r="AO577" i="3"/>
  <c r="AO578" i="3"/>
  <c r="AO579" i="3"/>
  <c r="AO580" i="3"/>
  <c r="AO581" i="3"/>
  <c r="AO582" i="3"/>
  <c r="AO583" i="3"/>
  <c r="AO584" i="3"/>
  <c r="AO585" i="3"/>
  <c r="AO586" i="3"/>
  <c r="AO587" i="3"/>
  <c r="AO588" i="3"/>
  <c r="AO589" i="3"/>
  <c r="AO590" i="3"/>
  <c r="AO591" i="3"/>
  <c r="AO592" i="3"/>
  <c r="AO593" i="3"/>
  <c r="AO594" i="3"/>
  <c r="AO595" i="3"/>
  <c r="AO596" i="3"/>
  <c r="AO597" i="3"/>
  <c r="AO598" i="3"/>
  <c r="AO599" i="3"/>
  <c r="AO600" i="3"/>
  <c r="AO601" i="3"/>
  <c r="AO602" i="3"/>
  <c r="AO603" i="3"/>
  <c r="AO604" i="3"/>
  <c r="AO605" i="3"/>
  <c r="AO606" i="3"/>
  <c r="AO607" i="3"/>
  <c r="AO608" i="3"/>
  <c r="AO609" i="3"/>
  <c r="AO610" i="3"/>
  <c r="AO611" i="3"/>
  <c r="AO612" i="3"/>
  <c r="AO613" i="3"/>
  <c r="AO614" i="3"/>
  <c r="AO615" i="3"/>
  <c r="AO616" i="3"/>
  <c r="AO617" i="3"/>
  <c r="AO618" i="3"/>
  <c r="AO619" i="3"/>
  <c r="AO620" i="3"/>
  <c r="AO621" i="3"/>
  <c r="AO622" i="3"/>
  <c r="AO623" i="3"/>
  <c r="AO624" i="3"/>
  <c r="AO625" i="3"/>
  <c r="AO626" i="3"/>
  <c r="AO627" i="3"/>
  <c r="AO628" i="3"/>
  <c r="AO629" i="3"/>
  <c r="AO630" i="3"/>
  <c r="AO631" i="3"/>
  <c r="AO632" i="3"/>
  <c r="AO633" i="3"/>
  <c r="AO634" i="3"/>
  <c r="AO635" i="3"/>
  <c r="AO636" i="3"/>
  <c r="AO637" i="3"/>
  <c r="AO638" i="3"/>
  <c r="AO639" i="3"/>
  <c r="AO640" i="3"/>
  <c r="AO641" i="3"/>
  <c r="AO642" i="3"/>
  <c r="AO643" i="3"/>
  <c r="AO644" i="3"/>
  <c r="AO645" i="3"/>
  <c r="AO646" i="3"/>
  <c r="AO647" i="3"/>
  <c r="AO648" i="3"/>
  <c r="AO649" i="3"/>
  <c r="AO650" i="3"/>
  <c r="AO651" i="3"/>
  <c r="AO652" i="3"/>
  <c r="AO653" i="3"/>
  <c r="AO654" i="3"/>
  <c r="AO655" i="3"/>
  <c r="AO656" i="3"/>
  <c r="AO657" i="3"/>
  <c r="AO658" i="3"/>
  <c r="AO659" i="3"/>
  <c r="AO660" i="3"/>
  <c r="AO661" i="3"/>
  <c r="AO662" i="3"/>
  <c r="AO663" i="3"/>
  <c r="AO664" i="3"/>
  <c r="AO665" i="3"/>
  <c r="AO666" i="3"/>
  <c r="AO667" i="3"/>
  <c r="AO668" i="3"/>
  <c r="AO669" i="3"/>
  <c r="AO670" i="3"/>
  <c r="AO671" i="3"/>
  <c r="AO672" i="3"/>
  <c r="AO673" i="3"/>
  <c r="AO674" i="3"/>
  <c r="AO675" i="3"/>
  <c r="AO676" i="3"/>
  <c r="AO677" i="3"/>
  <c r="AO678" i="3"/>
  <c r="AO679" i="3"/>
  <c r="AO680" i="3"/>
  <c r="AO681" i="3"/>
  <c r="AO682" i="3"/>
  <c r="AO683" i="3"/>
  <c r="AO684" i="3"/>
  <c r="AO685" i="3"/>
  <c r="AO686" i="3"/>
  <c r="AO687" i="3"/>
  <c r="AO688" i="3"/>
  <c r="AO689" i="3"/>
  <c r="AO690" i="3"/>
  <c r="AO691" i="3"/>
  <c r="AO692" i="3"/>
  <c r="AO693" i="3"/>
  <c r="AO694" i="3"/>
  <c r="AO695" i="3"/>
  <c r="AO696" i="3"/>
  <c r="AO697" i="3"/>
  <c r="AO698" i="3"/>
  <c r="AO699" i="3"/>
  <c r="AO700" i="3"/>
  <c r="AO701" i="3"/>
  <c r="AO702" i="3"/>
  <c r="AO703" i="3"/>
  <c r="AO704" i="3"/>
  <c r="AO705" i="3"/>
  <c r="AO706" i="3"/>
  <c r="AO707" i="3"/>
  <c r="AO708" i="3"/>
  <c r="AO709" i="3"/>
  <c r="AO710" i="3"/>
  <c r="AO711" i="3"/>
  <c r="AO712" i="3"/>
  <c r="AO713" i="3"/>
  <c r="AO714" i="3"/>
  <c r="AO715" i="3"/>
  <c r="AO716" i="3"/>
  <c r="AO717" i="3"/>
  <c r="AO718" i="3"/>
  <c r="AO719" i="3"/>
  <c r="AO720" i="3"/>
  <c r="AO721" i="3"/>
  <c r="AO722" i="3"/>
  <c r="AO723" i="3"/>
  <c r="AO724" i="3"/>
  <c r="AO725" i="3"/>
  <c r="AO726" i="3"/>
  <c r="AO727" i="3"/>
  <c r="AO728" i="3"/>
  <c r="AO729" i="3"/>
  <c r="AO730" i="3"/>
  <c r="AO731" i="3"/>
  <c r="AO732" i="3"/>
  <c r="AO733" i="3"/>
  <c r="AO734" i="3"/>
  <c r="AO735" i="3"/>
  <c r="AO736" i="3"/>
  <c r="AO737" i="3"/>
  <c r="AO738" i="3"/>
  <c r="AO739" i="3"/>
  <c r="AO740" i="3"/>
  <c r="AO741" i="3"/>
  <c r="AO742" i="3"/>
  <c r="AO743" i="3"/>
  <c r="AO744" i="3"/>
  <c r="AO745" i="3"/>
  <c r="AO746" i="3"/>
  <c r="AO747" i="3"/>
  <c r="AO748" i="3"/>
  <c r="AO749" i="3"/>
  <c r="AO750" i="3"/>
  <c r="AO751" i="3"/>
  <c r="AO752" i="3"/>
  <c r="AO753" i="3"/>
  <c r="AO754" i="3"/>
  <c r="AO755" i="3"/>
  <c r="AO756" i="3"/>
  <c r="AO757" i="3"/>
  <c r="AO758" i="3"/>
  <c r="AO759" i="3"/>
  <c r="AO760" i="3"/>
  <c r="AO761" i="3"/>
  <c r="AO762" i="3"/>
  <c r="AO763" i="3"/>
  <c r="AO764" i="3"/>
  <c r="AO765" i="3"/>
  <c r="AO766" i="3"/>
  <c r="AO767" i="3"/>
  <c r="AO768" i="3"/>
  <c r="AO769" i="3"/>
  <c r="AO770" i="3"/>
  <c r="AO771" i="3"/>
  <c r="AO772" i="3"/>
  <c r="AO773" i="3"/>
  <c r="AO774" i="3"/>
  <c r="AO775" i="3"/>
  <c r="AO776" i="3"/>
  <c r="AO777" i="3"/>
  <c r="AO778" i="3"/>
  <c r="AO779" i="3"/>
  <c r="AO780" i="3"/>
  <c r="AO781" i="3"/>
  <c r="AO782" i="3"/>
  <c r="AO783" i="3"/>
  <c r="AO784" i="3"/>
  <c r="AO785" i="3"/>
  <c r="AO786" i="3"/>
  <c r="AO787" i="3"/>
  <c r="AO788" i="3"/>
  <c r="AO789" i="3"/>
  <c r="AO790" i="3"/>
  <c r="AO791" i="3"/>
  <c r="AO792" i="3"/>
  <c r="AO793" i="3"/>
  <c r="AO794" i="3"/>
  <c r="AO795" i="3"/>
  <c r="AO796" i="3"/>
  <c r="AO797" i="3"/>
  <c r="AO798" i="3"/>
  <c r="AO799" i="3"/>
  <c r="AO800" i="3"/>
  <c r="AO801" i="3"/>
  <c r="AO802" i="3"/>
  <c r="AO803" i="3"/>
  <c r="AO804" i="3"/>
  <c r="AO805" i="3"/>
  <c r="AO806" i="3"/>
  <c r="AO807" i="3"/>
  <c r="AO808" i="3"/>
  <c r="AO809" i="3"/>
  <c r="AO810" i="3"/>
  <c r="AO811" i="3"/>
  <c r="AO812" i="3"/>
  <c r="AO813" i="3"/>
  <c r="AO814" i="3"/>
  <c r="AO815" i="3"/>
  <c r="AO816" i="3"/>
  <c r="AO817" i="3"/>
  <c r="AO818" i="3"/>
  <c r="AO819" i="3"/>
  <c r="AO820" i="3"/>
  <c r="AO821" i="3"/>
  <c r="AO822" i="3"/>
  <c r="AO823" i="3"/>
  <c r="AO824" i="3"/>
  <c r="AO825" i="3"/>
  <c r="AO826" i="3"/>
  <c r="AO827" i="3"/>
  <c r="AO828" i="3"/>
  <c r="AO829" i="3"/>
  <c r="AO830" i="3"/>
  <c r="AO831" i="3"/>
  <c r="AO832" i="3"/>
  <c r="AO833" i="3"/>
  <c r="AO834" i="3"/>
  <c r="AO835" i="3"/>
  <c r="AO836" i="3"/>
  <c r="AO837" i="3"/>
  <c r="AO838" i="3"/>
  <c r="AO839" i="3"/>
  <c r="AO840" i="3"/>
  <c r="AO841" i="3"/>
  <c r="AO842" i="3"/>
  <c r="AO843" i="3"/>
  <c r="AO844" i="3"/>
  <c r="AO845" i="3"/>
  <c r="AO846" i="3"/>
  <c r="AO847" i="3"/>
  <c r="AO848" i="3"/>
  <c r="AO849" i="3"/>
  <c r="AO850" i="3"/>
  <c r="AO851" i="3"/>
  <c r="AO852" i="3"/>
  <c r="AO853" i="3"/>
  <c r="AO854" i="3"/>
  <c r="AO855" i="3"/>
  <c r="AO856" i="3"/>
  <c r="AO857" i="3"/>
  <c r="AO858" i="3"/>
  <c r="AO859" i="3"/>
  <c r="AO860" i="3"/>
  <c r="AO861" i="3"/>
  <c r="AO862" i="3"/>
  <c r="AO863" i="3"/>
  <c r="AO864" i="3"/>
  <c r="AO865" i="3"/>
  <c r="AO866" i="3"/>
  <c r="AO867" i="3"/>
  <c r="AO868" i="3"/>
  <c r="AO869" i="3"/>
  <c r="AO870" i="3"/>
  <c r="AO871" i="3"/>
  <c r="AO872" i="3"/>
  <c r="AO873" i="3"/>
  <c r="AO874" i="3"/>
  <c r="AO875" i="3"/>
  <c r="AO876" i="3"/>
  <c r="AO877" i="3"/>
  <c r="AO878" i="3"/>
  <c r="AO879" i="3"/>
  <c r="AO880" i="3"/>
  <c r="AO881" i="3"/>
  <c r="AO882" i="3"/>
  <c r="AO883" i="3"/>
  <c r="AO884" i="3"/>
  <c r="AO885" i="3"/>
  <c r="AO886" i="3"/>
  <c r="AO887" i="3"/>
  <c r="AO888" i="3"/>
  <c r="AO889" i="3"/>
  <c r="AO890" i="3"/>
  <c r="AO891" i="3"/>
  <c r="AO892" i="3"/>
  <c r="AO893" i="3"/>
  <c r="AO894" i="3"/>
  <c r="AO895" i="3"/>
  <c r="AO896" i="3"/>
  <c r="AO897" i="3"/>
  <c r="AO898" i="3"/>
  <c r="AO899" i="3"/>
  <c r="AO900" i="3"/>
  <c r="AO901" i="3"/>
  <c r="AO902" i="3"/>
  <c r="AO903" i="3"/>
  <c r="AO904" i="3"/>
  <c r="AO905" i="3"/>
  <c r="AO906" i="3"/>
  <c r="AO907" i="3"/>
  <c r="AO908" i="3"/>
  <c r="AO909" i="3"/>
  <c r="AO910" i="3"/>
  <c r="AO911" i="3"/>
  <c r="AO912" i="3"/>
  <c r="AO913" i="3"/>
  <c r="AO914" i="3"/>
  <c r="AO915" i="3"/>
  <c r="AO916" i="3"/>
  <c r="AO917" i="3"/>
  <c r="AO918" i="3"/>
  <c r="AO919" i="3"/>
  <c r="AO920" i="3"/>
  <c r="AO921" i="3"/>
  <c r="AO922" i="3"/>
  <c r="AO923" i="3"/>
  <c r="AO924" i="3"/>
  <c r="AO925" i="3"/>
  <c r="AO926" i="3"/>
  <c r="AO927" i="3"/>
  <c r="AO928" i="3"/>
  <c r="AO929" i="3"/>
  <c r="AO930" i="3"/>
  <c r="AO931" i="3"/>
  <c r="AO932" i="3"/>
  <c r="AO933" i="3"/>
  <c r="AO934" i="3"/>
  <c r="AO935" i="3"/>
  <c r="AO936" i="3"/>
  <c r="AO937" i="3"/>
  <c r="AO938" i="3"/>
  <c r="AO939" i="3"/>
  <c r="AO940" i="3"/>
  <c r="AO941" i="3"/>
  <c r="AO942" i="3"/>
  <c r="AO943" i="3"/>
  <c r="AO944" i="3"/>
  <c r="AO945" i="3"/>
  <c r="AO946" i="3"/>
  <c r="AO947" i="3"/>
  <c r="AO948" i="3"/>
  <c r="AO949" i="3"/>
  <c r="AO950" i="3"/>
  <c r="AO951" i="3"/>
  <c r="AO952" i="3"/>
  <c r="AO953" i="3"/>
  <c r="AO954" i="3"/>
  <c r="AO955" i="3"/>
  <c r="AO956" i="3"/>
  <c r="AO957" i="3"/>
  <c r="AO958" i="3"/>
  <c r="AO959" i="3"/>
  <c r="AO960" i="3"/>
  <c r="AO961" i="3"/>
  <c r="AO962" i="3"/>
  <c r="AO963" i="3"/>
  <c r="AO964" i="3"/>
  <c r="AO965" i="3"/>
  <c r="AO966" i="3"/>
  <c r="AO967" i="3"/>
  <c r="AO968" i="3"/>
  <c r="AO969" i="3"/>
  <c r="AO970" i="3"/>
  <c r="AO971" i="3"/>
  <c r="AO972" i="3"/>
  <c r="AO973" i="3"/>
  <c r="AO974" i="3"/>
  <c r="AO975" i="3"/>
  <c r="AO976" i="3"/>
  <c r="AO977" i="3"/>
  <c r="AO978" i="3"/>
  <c r="AO979" i="3"/>
  <c r="AO980" i="3"/>
  <c r="AO981" i="3"/>
  <c r="AO982" i="3"/>
  <c r="AO983" i="3"/>
  <c r="AO984" i="3"/>
  <c r="AO985" i="3"/>
  <c r="AO986" i="3"/>
  <c r="AO987" i="3"/>
  <c r="AO988" i="3"/>
  <c r="AO989" i="3"/>
  <c r="AO990" i="3"/>
  <c r="AO991" i="3"/>
  <c r="AO992" i="3"/>
  <c r="AO993" i="3"/>
  <c r="AO994" i="3"/>
  <c r="AO995" i="3"/>
  <c r="AO996" i="3"/>
  <c r="AO997" i="3"/>
  <c r="AO998" i="3"/>
  <c r="AO999" i="3"/>
  <c r="AO1000" i="3"/>
  <c r="AO1001" i="3"/>
  <c r="AO1002" i="3"/>
  <c r="AO1003" i="3"/>
  <c r="AO1004" i="3"/>
  <c r="AO1005" i="3"/>
  <c r="AO1006" i="3"/>
  <c r="AO1007" i="3"/>
  <c r="AO1008" i="3"/>
  <c r="AO1009" i="3"/>
  <c r="AO1010" i="3"/>
  <c r="AO1011" i="3"/>
  <c r="AO1012" i="3"/>
  <c r="AO1013" i="3"/>
  <c r="AO1014" i="3"/>
  <c r="AO1015" i="3"/>
  <c r="AO1016" i="3"/>
  <c r="AO1017" i="3"/>
  <c r="AO1018" i="3"/>
  <c r="AO1019" i="3"/>
  <c r="AO1020" i="3"/>
  <c r="AO1021" i="3"/>
  <c r="AO1022" i="3"/>
  <c r="AO1023" i="3"/>
  <c r="AO1024" i="3"/>
  <c r="AO1025" i="3"/>
  <c r="AO1026" i="3"/>
  <c r="AO1027" i="3"/>
  <c r="AO1028" i="3"/>
  <c r="AO1029" i="3"/>
  <c r="AO1030" i="3"/>
  <c r="AO1031" i="3"/>
  <c r="AO1032" i="3"/>
  <c r="AO1033" i="3"/>
  <c r="AO1034" i="3"/>
  <c r="AO1035" i="3"/>
  <c r="AO1036" i="3"/>
  <c r="AO1037" i="3"/>
  <c r="AO1038" i="3"/>
  <c r="AO1039" i="3"/>
  <c r="AO1040" i="3"/>
  <c r="AO1041" i="3"/>
  <c r="AO1042" i="3"/>
  <c r="AO1043" i="3"/>
  <c r="AO1044" i="3"/>
  <c r="AO1045" i="3"/>
  <c r="AO1046" i="3"/>
  <c r="AO1047" i="3"/>
  <c r="AO1048" i="3"/>
  <c r="AO1049" i="3"/>
  <c r="AO1050" i="3"/>
  <c r="AO1051" i="3"/>
  <c r="AO1052" i="3"/>
  <c r="AO1053" i="3"/>
  <c r="AO1054" i="3"/>
  <c r="AO1055" i="3"/>
  <c r="AO1056" i="3"/>
  <c r="AO1057" i="3"/>
  <c r="AO1058" i="3"/>
  <c r="AO1059" i="3"/>
  <c r="AO1060" i="3"/>
  <c r="AO1061" i="3"/>
  <c r="AO1062" i="3"/>
  <c r="AO1063" i="3"/>
  <c r="AO1064" i="3"/>
  <c r="AO1065" i="3"/>
  <c r="AO1066" i="3"/>
  <c r="AO1067" i="3"/>
  <c r="AO1068" i="3"/>
  <c r="AO1069" i="3"/>
  <c r="AO1070" i="3"/>
  <c r="AO1071" i="3"/>
  <c r="AO1072" i="3"/>
  <c r="AO1073" i="3"/>
  <c r="AO1074" i="3"/>
  <c r="AO1075" i="3"/>
  <c r="AO1076" i="3"/>
  <c r="AO1077" i="3"/>
  <c r="AO1078" i="3"/>
  <c r="AO1079" i="3"/>
  <c r="AO1080" i="3"/>
  <c r="AO1081" i="3"/>
  <c r="AO1082" i="3"/>
  <c r="AO1083" i="3"/>
  <c r="AO1084" i="3"/>
  <c r="AO1085" i="3"/>
  <c r="AO1086" i="3"/>
  <c r="AO1087" i="3"/>
  <c r="AO1088" i="3"/>
  <c r="AO1089" i="3"/>
  <c r="AO1090" i="3"/>
  <c r="AO1091" i="3"/>
  <c r="AO1092" i="3"/>
  <c r="AO1093" i="3"/>
  <c r="AO1094" i="3"/>
  <c r="AO1095" i="3"/>
  <c r="AO1096" i="3"/>
  <c r="AO1097" i="3"/>
  <c r="AO1098" i="3"/>
  <c r="AO1099" i="3"/>
  <c r="AO1100" i="3"/>
  <c r="AO1101" i="3"/>
  <c r="AO1102" i="3"/>
  <c r="AO1103" i="3"/>
  <c r="AO1104" i="3"/>
  <c r="AO1105" i="3"/>
  <c r="AO1106" i="3"/>
  <c r="AO1107" i="3"/>
  <c r="AO1108" i="3"/>
  <c r="AO1109" i="3"/>
  <c r="AO1110" i="3"/>
  <c r="AO1111" i="3"/>
  <c r="AO1112" i="3"/>
  <c r="AO1113" i="3"/>
  <c r="AO1114" i="3"/>
  <c r="AO1115" i="3"/>
  <c r="AO1116" i="3"/>
  <c r="AO1117" i="3"/>
  <c r="AO1118" i="3"/>
  <c r="AO1119" i="3"/>
  <c r="AO1120" i="3"/>
  <c r="AO1121" i="3"/>
  <c r="AO1122" i="3"/>
  <c r="AO1123" i="3"/>
  <c r="AO1124" i="3"/>
  <c r="AO1125" i="3"/>
  <c r="AO1126" i="3"/>
  <c r="AO1127" i="3"/>
  <c r="AO1128" i="3"/>
  <c r="AO1129" i="3"/>
  <c r="AO1130" i="3"/>
  <c r="AO1131" i="3"/>
  <c r="AO1132" i="3"/>
  <c r="AO1133" i="3"/>
  <c r="AO1134" i="3"/>
  <c r="AO1135" i="3"/>
  <c r="AO1136" i="3"/>
  <c r="AO1137" i="3"/>
  <c r="AO1138" i="3"/>
  <c r="AO1139" i="3"/>
  <c r="AO1140" i="3"/>
  <c r="AO1141" i="3"/>
  <c r="AO1142" i="3"/>
  <c r="AO1143" i="3"/>
  <c r="AO1144" i="3"/>
  <c r="AO1145" i="3"/>
  <c r="AO1146" i="3"/>
  <c r="AO1147" i="3"/>
  <c r="AO1148" i="3"/>
  <c r="AO1149" i="3"/>
  <c r="AO1150" i="3"/>
  <c r="AO1151" i="3"/>
  <c r="AO1152" i="3"/>
  <c r="AO1153" i="3"/>
  <c r="AO1154" i="3"/>
  <c r="AO1155" i="3"/>
  <c r="AO1156" i="3"/>
  <c r="AO1157" i="3"/>
  <c r="AO1158" i="3"/>
  <c r="AO1159" i="3"/>
  <c r="AO1160" i="3"/>
  <c r="AO1161" i="3"/>
  <c r="AO1162" i="3"/>
  <c r="AO1163" i="3"/>
  <c r="AO1164" i="3"/>
  <c r="AO1165" i="3"/>
  <c r="AO1166" i="3"/>
  <c r="AO1167" i="3"/>
  <c r="AO1168" i="3"/>
  <c r="AO1169" i="3"/>
  <c r="AO1170" i="3"/>
  <c r="AO1171" i="3"/>
  <c r="AO1172" i="3"/>
  <c r="AO1173" i="3"/>
  <c r="AO1174" i="3"/>
  <c r="AO1175" i="3"/>
  <c r="AO1176" i="3"/>
  <c r="AO1177" i="3"/>
  <c r="AO1178" i="3"/>
  <c r="AO1179" i="3"/>
  <c r="AO1180" i="3"/>
  <c r="AO1181" i="3"/>
  <c r="AO1182" i="3"/>
  <c r="AO1183" i="3"/>
  <c r="AO1184" i="3"/>
  <c r="AO1185" i="3"/>
  <c r="AO1186" i="3"/>
  <c r="AO1187" i="3"/>
  <c r="AO1188" i="3"/>
  <c r="AO1189" i="3"/>
  <c r="AO1190" i="3"/>
  <c r="AO1191" i="3"/>
  <c r="AO1192" i="3"/>
  <c r="AO1193" i="3"/>
  <c r="AO1194" i="3"/>
  <c r="AO1195" i="3"/>
  <c r="AO1196" i="3"/>
  <c r="AO1197" i="3"/>
  <c r="AO1198" i="3"/>
  <c r="AO1199" i="3"/>
  <c r="AO1200" i="3"/>
  <c r="AO1201" i="3"/>
  <c r="AO1202" i="3"/>
  <c r="AO1203" i="3"/>
  <c r="AO1204" i="3"/>
  <c r="AO1205" i="3"/>
  <c r="AO1206" i="3"/>
  <c r="AO1207" i="3"/>
  <c r="AO1208" i="3"/>
  <c r="AO1209" i="3"/>
  <c r="AO1210" i="3"/>
  <c r="AO1211" i="3"/>
  <c r="AO1212" i="3"/>
  <c r="AO1213" i="3"/>
  <c r="AO1214" i="3"/>
  <c r="AO1215" i="3"/>
  <c r="AO1216" i="3"/>
  <c r="AO1217" i="3"/>
  <c r="AO1218" i="3"/>
  <c r="AO1219" i="3"/>
  <c r="AO1220" i="3"/>
  <c r="AO1221" i="3"/>
  <c r="AO1222" i="3"/>
  <c r="AO1223" i="3"/>
  <c r="AO1224" i="3"/>
  <c r="AO1225" i="3"/>
  <c r="AO1226" i="3"/>
  <c r="AO1227" i="3"/>
  <c r="AO1228" i="3"/>
  <c r="AO1229" i="3"/>
  <c r="AO1230" i="3"/>
  <c r="AO1231" i="3"/>
  <c r="AO1232" i="3"/>
  <c r="AO1233" i="3"/>
  <c r="AO1234" i="3"/>
  <c r="AO1235" i="3"/>
  <c r="AO1236" i="3"/>
  <c r="AO1237" i="3"/>
  <c r="AO1238" i="3"/>
  <c r="AO1239" i="3"/>
  <c r="AO1240" i="3"/>
  <c r="AO1241" i="3"/>
  <c r="AO1242" i="3"/>
  <c r="AO1243" i="3"/>
  <c r="AO1244" i="3"/>
  <c r="AO1245" i="3"/>
  <c r="AO1246" i="3"/>
  <c r="AO1247" i="3"/>
  <c r="AO1248" i="3"/>
  <c r="AO1249" i="3"/>
  <c r="AO1250" i="3"/>
  <c r="AO1251" i="3"/>
  <c r="AO1252" i="3"/>
  <c r="AO1253" i="3"/>
  <c r="AO1254" i="3"/>
  <c r="AO1255" i="3"/>
  <c r="AO1256" i="3"/>
  <c r="AO1257" i="3"/>
  <c r="AO1258" i="3"/>
  <c r="AO1259" i="3"/>
  <c r="AO1260" i="3"/>
  <c r="AO1261" i="3"/>
  <c r="AO1262" i="3"/>
  <c r="AO1263" i="3"/>
  <c r="AO1264" i="3"/>
  <c r="AO1265" i="3"/>
  <c r="AO1266" i="3"/>
  <c r="AO1267" i="3"/>
  <c r="AO1268" i="3"/>
  <c r="AO1269" i="3"/>
  <c r="AO1270" i="3"/>
  <c r="AO1271" i="3"/>
  <c r="AO1272" i="3"/>
  <c r="AO1273" i="3"/>
  <c r="AO1274" i="3"/>
  <c r="AO1275" i="3"/>
  <c r="AO1276" i="3"/>
  <c r="AO1277" i="3"/>
  <c r="AO1278" i="3"/>
  <c r="AO1279" i="3"/>
  <c r="AO1280" i="3"/>
  <c r="AO1281" i="3"/>
  <c r="AO1282" i="3"/>
  <c r="AO1283" i="3"/>
  <c r="AO1284" i="3"/>
  <c r="AO1285" i="3"/>
  <c r="AO1286" i="3"/>
  <c r="AO1287" i="3"/>
  <c r="AO1288" i="3"/>
  <c r="AO1289" i="3"/>
  <c r="AO1290" i="3"/>
  <c r="AO1291" i="3"/>
  <c r="AO1292" i="3"/>
  <c r="AO1293" i="3"/>
  <c r="AO1294" i="3"/>
  <c r="AO1295" i="3"/>
  <c r="AO1296" i="3"/>
  <c r="AO1297" i="3"/>
  <c r="AO1298" i="3"/>
  <c r="AO1299" i="3"/>
  <c r="AO1300" i="3"/>
  <c r="AO1301" i="3"/>
  <c r="AO1302" i="3"/>
  <c r="AO1303" i="3"/>
  <c r="AO1304" i="3"/>
  <c r="AO1305" i="3"/>
  <c r="AO1306" i="3"/>
  <c r="AO1307" i="3"/>
  <c r="AO1308" i="3"/>
  <c r="AO1309" i="3"/>
  <c r="AO1310" i="3"/>
  <c r="AO1311" i="3"/>
  <c r="AO1312" i="3"/>
  <c r="AO1313" i="3"/>
  <c r="AO1314" i="3"/>
  <c r="AO1315" i="3"/>
  <c r="AO1316" i="3"/>
  <c r="AO1317" i="3"/>
  <c r="AO1318" i="3"/>
  <c r="AO1319" i="3"/>
  <c r="AO1320" i="3"/>
  <c r="AO1321" i="3"/>
  <c r="AO1322" i="3"/>
  <c r="AO1323" i="3"/>
  <c r="AO1324" i="3"/>
  <c r="AO1325" i="3"/>
  <c r="AO1326" i="3"/>
  <c r="AO1327" i="3"/>
  <c r="AO1328" i="3"/>
  <c r="AO1329" i="3"/>
  <c r="AO1330" i="3"/>
  <c r="AO1331" i="3"/>
  <c r="AO1332" i="3"/>
  <c r="AO1333" i="3"/>
  <c r="AO1334" i="3"/>
  <c r="AO1335" i="3"/>
  <c r="AO1336" i="3"/>
  <c r="AO1337" i="3"/>
  <c r="AO1338" i="3"/>
  <c r="AO1339" i="3"/>
  <c r="AO1340" i="3"/>
  <c r="AO1341" i="3"/>
  <c r="AO1342" i="3"/>
  <c r="AO1343" i="3"/>
  <c r="AO1344" i="3"/>
  <c r="AO1345" i="3"/>
  <c r="AO1346" i="3"/>
  <c r="AO1347" i="3"/>
  <c r="AO1348" i="3"/>
  <c r="AO1349" i="3"/>
  <c r="AO1350" i="3"/>
  <c r="AO1351" i="3"/>
  <c r="AO1352" i="3"/>
  <c r="AO1353" i="3"/>
  <c r="AO1354" i="3"/>
  <c r="AO1355" i="3"/>
  <c r="AO1356" i="3"/>
  <c r="AO1357" i="3"/>
  <c r="AO1358" i="3"/>
  <c r="AO1359" i="3"/>
  <c r="AO1360" i="3"/>
  <c r="AO1361" i="3"/>
  <c r="AO1362" i="3"/>
  <c r="AO1363" i="3"/>
  <c r="AO1364" i="3"/>
  <c r="AO1365" i="3"/>
  <c r="AO1366" i="3"/>
  <c r="AO1367" i="3"/>
  <c r="AO1368" i="3"/>
  <c r="AO1369" i="3"/>
  <c r="AO1370" i="3"/>
  <c r="AO1371" i="3"/>
  <c r="AO1372" i="3"/>
  <c r="AO1373" i="3"/>
  <c r="AO1374" i="3"/>
  <c r="AO1375" i="3"/>
  <c r="AO1376" i="3"/>
  <c r="AO1377" i="3"/>
  <c r="AO1378" i="3"/>
  <c r="AO1379" i="3"/>
  <c r="AO1380" i="3"/>
  <c r="AO1381" i="3"/>
  <c r="AO1382" i="3"/>
  <c r="AO1383" i="3"/>
  <c r="AO1384" i="3"/>
  <c r="AO1385" i="3"/>
  <c r="AO1386" i="3"/>
  <c r="AO1387" i="3"/>
  <c r="AO1388" i="3"/>
  <c r="AO1389" i="3"/>
  <c r="AO1390" i="3"/>
  <c r="AO1391" i="3"/>
  <c r="AO1392" i="3"/>
  <c r="AO1393" i="3"/>
  <c r="AO1394" i="3"/>
  <c r="AO1395" i="3"/>
  <c r="AO1396" i="3"/>
  <c r="AO1397" i="3"/>
  <c r="AO1398" i="3"/>
  <c r="AO1399" i="3"/>
  <c r="AO1400" i="3"/>
  <c r="AO1401" i="3"/>
  <c r="AO1402" i="3"/>
  <c r="AO1403" i="3"/>
  <c r="AO1404" i="3"/>
  <c r="AO1405" i="3"/>
  <c r="AO1406" i="3"/>
  <c r="AO1407" i="3"/>
  <c r="AO1408" i="3"/>
  <c r="AO1409" i="3"/>
  <c r="AO1410" i="3"/>
  <c r="AO1411" i="3"/>
  <c r="AO1412" i="3"/>
  <c r="AO1413" i="3"/>
  <c r="AO1414" i="3"/>
  <c r="AO1415" i="3"/>
  <c r="AO1416" i="3"/>
  <c r="AO1417" i="3"/>
  <c r="AO1418" i="3"/>
  <c r="AO1419" i="3"/>
  <c r="AO1420" i="3"/>
  <c r="AO1421" i="3"/>
  <c r="AO1422" i="3"/>
  <c r="AO1423" i="3"/>
  <c r="AO1424" i="3"/>
  <c r="AO1425" i="3"/>
  <c r="AO1426" i="3"/>
  <c r="AO1427" i="3"/>
  <c r="AO1428" i="3"/>
  <c r="AO1429" i="3"/>
  <c r="AO1430" i="3"/>
  <c r="AO1431" i="3"/>
  <c r="AO1432" i="3"/>
  <c r="AO1433" i="3"/>
  <c r="AO1434" i="3"/>
  <c r="AO1435" i="3"/>
  <c r="AO1436" i="3"/>
  <c r="AO1437" i="3"/>
  <c r="AO1438" i="3"/>
  <c r="AO1439" i="3"/>
  <c r="AO1440" i="3"/>
  <c r="AO1441" i="3"/>
  <c r="AO1442" i="3"/>
  <c r="AO1443" i="3"/>
  <c r="AO1444" i="3"/>
  <c r="AO1445" i="3"/>
  <c r="AO1446" i="3"/>
  <c r="AO1447" i="3"/>
  <c r="AO1448" i="3"/>
  <c r="AO1449" i="3"/>
  <c r="AO1450" i="3"/>
  <c r="AO1451" i="3"/>
  <c r="AO1452" i="3"/>
  <c r="AO1453" i="3"/>
  <c r="AO1454" i="3"/>
  <c r="AO1455" i="3"/>
  <c r="AO1456" i="3"/>
  <c r="AO1457" i="3"/>
  <c r="AO1458" i="3"/>
  <c r="AO1459" i="3"/>
  <c r="AO1460" i="3"/>
  <c r="AO1461" i="3"/>
  <c r="AO1462" i="3"/>
  <c r="AO1463" i="3"/>
  <c r="AO1464" i="3"/>
  <c r="AO1465" i="3"/>
  <c r="AO1466" i="3"/>
  <c r="AO1467" i="3"/>
  <c r="AO1468" i="3"/>
  <c r="AO1469" i="3"/>
  <c r="AO1470" i="3"/>
  <c r="AO1471" i="3"/>
  <c r="AO1472" i="3"/>
  <c r="AO1473" i="3"/>
  <c r="AO1474" i="3"/>
  <c r="AO1475" i="3"/>
  <c r="AO1476" i="3"/>
  <c r="AO1477" i="3"/>
  <c r="AO1478" i="3"/>
  <c r="AO1479" i="3"/>
  <c r="AO1480" i="3"/>
  <c r="AO1481" i="3"/>
  <c r="AO1482" i="3"/>
  <c r="AO1483" i="3"/>
  <c r="AO1484" i="3"/>
  <c r="AO1485" i="3"/>
  <c r="AO1486" i="3"/>
  <c r="AO1487" i="3"/>
  <c r="AO1488" i="3"/>
  <c r="AO1489" i="3"/>
  <c r="AO1490" i="3"/>
  <c r="AO1491" i="3"/>
  <c r="AO1492" i="3"/>
  <c r="AO1493" i="3"/>
  <c r="AO1494" i="3"/>
  <c r="AO1495" i="3"/>
  <c r="AO1496" i="3"/>
  <c r="AO1497" i="3"/>
  <c r="AO1498" i="3"/>
  <c r="AO1499" i="3"/>
  <c r="AO1500" i="3"/>
  <c r="AO1501" i="3"/>
  <c r="AO1502" i="3"/>
  <c r="AO1503" i="3"/>
  <c r="AO1504" i="3"/>
  <c r="AO1505" i="3"/>
  <c r="AO1506" i="3"/>
  <c r="AO1507" i="3"/>
  <c r="AO1508" i="3"/>
  <c r="AO1509" i="3"/>
  <c r="AO1510" i="3"/>
  <c r="AO1511" i="3"/>
  <c r="AO1512" i="3"/>
  <c r="AO1513" i="3"/>
  <c r="AO1514" i="3"/>
  <c r="AO1515" i="3"/>
  <c r="AO1516" i="3"/>
  <c r="AO1517" i="3"/>
  <c r="AO1518" i="3"/>
  <c r="AO1519" i="3"/>
  <c r="AO1520" i="3"/>
  <c r="AO1521" i="3"/>
  <c r="AO1522" i="3"/>
  <c r="AO1523" i="3"/>
  <c r="AO1524" i="3"/>
  <c r="AO1525" i="3"/>
  <c r="AO1526" i="3"/>
  <c r="AO1527" i="3"/>
  <c r="AO1528" i="3"/>
  <c r="AO1529" i="3"/>
  <c r="AO1530" i="3"/>
  <c r="AO1531" i="3"/>
  <c r="AO1532" i="3"/>
  <c r="AO1533" i="3"/>
  <c r="AO1534" i="3"/>
  <c r="AO1535" i="3"/>
  <c r="AO1536" i="3"/>
  <c r="AO1537" i="3"/>
  <c r="AO1538" i="3"/>
  <c r="AO1539" i="3"/>
  <c r="AO1540" i="3"/>
  <c r="AO1541" i="3"/>
  <c r="AO1542" i="3"/>
  <c r="AO1543" i="3"/>
  <c r="AO1544" i="3"/>
  <c r="AO1545" i="3"/>
  <c r="AO1546" i="3"/>
  <c r="AO1547" i="3"/>
  <c r="AO1548" i="3"/>
  <c r="AO1549" i="3"/>
  <c r="AO1550" i="3"/>
  <c r="AO1551" i="3"/>
  <c r="AO1552" i="3"/>
  <c r="AO1553" i="3"/>
  <c r="AO1554" i="3"/>
  <c r="AO1555" i="3"/>
  <c r="AO1556" i="3"/>
  <c r="AO1557" i="3"/>
  <c r="AO1558" i="3"/>
  <c r="AO1559" i="3"/>
  <c r="AO1560" i="3"/>
  <c r="AO1561" i="3"/>
  <c r="AO1562" i="3"/>
  <c r="AO1563" i="3"/>
  <c r="AO1564" i="3"/>
  <c r="AO1565" i="3"/>
  <c r="AO1566" i="3"/>
  <c r="AO1567" i="3"/>
  <c r="AO1568" i="3"/>
  <c r="AO1569" i="3"/>
  <c r="AO1570" i="3"/>
  <c r="AO1571" i="3"/>
  <c r="AO1572" i="3"/>
  <c r="AO1573" i="3"/>
  <c r="AO1574" i="3"/>
  <c r="AO1575" i="3"/>
  <c r="AO1576" i="3"/>
  <c r="AO1577" i="3"/>
  <c r="AO1578" i="3"/>
  <c r="AO1579" i="3"/>
  <c r="AO1580" i="3"/>
  <c r="AO1581" i="3"/>
  <c r="AO1582" i="3"/>
  <c r="AO1583" i="3"/>
  <c r="AO1584" i="3"/>
  <c r="AO1585" i="3"/>
  <c r="AO1586" i="3"/>
  <c r="AO1587" i="3"/>
  <c r="AO1588" i="3"/>
  <c r="AO1589" i="3"/>
  <c r="AO1590" i="3"/>
  <c r="AO1591" i="3"/>
  <c r="AO1592" i="3"/>
  <c r="AO1593" i="3"/>
  <c r="AO1594" i="3"/>
  <c r="AO1595" i="3"/>
  <c r="AO1596" i="3"/>
  <c r="AO1597" i="3"/>
  <c r="AO1598" i="3"/>
  <c r="AO1599" i="3"/>
  <c r="AO1600" i="3"/>
  <c r="AO1601" i="3"/>
  <c r="AO1602" i="3"/>
  <c r="AO1603" i="3"/>
  <c r="AO1604" i="3"/>
  <c r="AO1605" i="3"/>
  <c r="AO1606" i="3"/>
  <c r="AO1607" i="3"/>
  <c r="AO1608" i="3"/>
  <c r="AO1609" i="3"/>
  <c r="AO1610" i="3"/>
  <c r="AO1611" i="3"/>
  <c r="AO1612" i="3"/>
  <c r="AO1613" i="3"/>
  <c r="AO1614" i="3"/>
  <c r="AO1615" i="3"/>
  <c r="AO1616" i="3"/>
  <c r="AO1617" i="3"/>
  <c r="AO1618" i="3"/>
  <c r="AO1619" i="3"/>
  <c r="AO1620" i="3"/>
  <c r="AO1621" i="3"/>
  <c r="AO1622" i="3"/>
  <c r="AO1623" i="3"/>
  <c r="AO1624" i="3"/>
  <c r="AO1625" i="3"/>
  <c r="AO1626" i="3"/>
  <c r="AO1627" i="3"/>
  <c r="AO1628" i="3"/>
  <c r="AO1629" i="3"/>
  <c r="AO1630" i="3"/>
  <c r="AO1631" i="3"/>
  <c r="AO1632" i="3"/>
  <c r="AO1633" i="3"/>
  <c r="AO1634" i="3"/>
  <c r="AO1635" i="3"/>
  <c r="AO1636" i="3"/>
  <c r="AO1637" i="3"/>
  <c r="AO1638" i="3"/>
  <c r="AO1639" i="3"/>
  <c r="AO1640" i="3"/>
  <c r="AO1641" i="3"/>
  <c r="AO1642" i="3"/>
  <c r="AO1643" i="3"/>
  <c r="AO1644" i="3"/>
  <c r="AO1645" i="3"/>
  <c r="AO1646" i="3"/>
  <c r="AO1647" i="3"/>
  <c r="AO1648" i="3"/>
  <c r="AO1649" i="3"/>
  <c r="AO1650" i="3"/>
  <c r="AO1651" i="3"/>
  <c r="AO1652" i="3"/>
  <c r="AO1653" i="3"/>
  <c r="AO1654" i="3"/>
  <c r="AO1655" i="3"/>
  <c r="AO1656" i="3"/>
  <c r="AO1657" i="3"/>
  <c r="AO1658" i="3"/>
  <c r="AO1659" i="3"/>
  <c r="AO1660" i="3"/>
  <c r="AO1661" i="3"/>
  <c r="AO1662" i="3"/>
  <c r="AO1663" i="3"/>
  <c r="AO1664" i="3"/>
  <c r="AO1665" i="3"/>
  <c r="AO1666" i="3"/>
  <c r="AO1667" i="3"/>
  <c r="AO1668" i="3"/>
  <c r="AO1669" i="3"/>
  <c r="AO1670" i="3"/>
  <c r="AO1671" i="3"/>
  <c r="AO1672" i="3"/>
  <c r="AO1673" i="3"/>
  <c r="AO1674" i="3"/>
  <c r="AO1675" i="3"/>
  <c r="AO1676" i="3"/>
  <c r="AO1677" i="3"/>
  <c r="AO1678" i="3"/>
  <c r="AO1679" i="3"/>
  <c r="AO1680" i="3"/>
  <c r="AO1681" i="3"/>
  <c r="AO1682" i="3"/>
  <c r="AO1683" i="3"/>
  <c r="AO1684" i="3"/>
  <c r="AO1685" i="3"/>
  <c r="AO1686" i="3"/>
  <c r="AO1687" i="3"/>
  <c r="AO1688" i="3"/>
  <c r="AO1689" i="3"/>
  <c r="AO1690" i="3"/>
  <c r="AO1691" i="3"/>
  <c r="AO1692" i="3"/>
  <c r="AO1693" i="3"/>
  <c r="AO1694" i="3"/>
  <c r="AO1695" i="3"/>
  <c r="AO1696" i="3"/>
  <c r="AO1697" i="3"/>
  <c r="AO1698" i="3"/>
  <c r="AO1699" i="3"/>
  <c r="AO1700" i="3"/>
  <c r="AO1701" i="3"/>
  <c r="AO1702" i="3"/>
  <c r="AO1703" i="3"/>
  <c r="AO1704" i="3"/>
  <c r="AO1705" i="3"/>
  <c r="AO1706" i="3"/>
  <c r="AO1707" i="3"/>
  <c r="AO1708" i="3"/>
  <c r="AO1709" i="3"/>
  <c r="AO1710" i="3"/>
  <c r="AO1711" i="3"/>
  <c r="AO1712" i="3"/>
  <c r="AO1713" i="3"/>
  <c r="AO1714" i="3"/>
  <c r="AO1715" i="3"/>
  <c r="AO1716" i="3"/>
  <c r="AO1717" i="3"/>
  <c r="AO1718" i="3"/>
  <c r="AO1719" i="3"/>
  <c r="AO1720" i="3"/>
  <c r="AO1721" i="3"/>
  <c r="AO1722" i="3"/>
  <c r="AO1723" i="3"/>
  <c r="AO1724" i="3"/>
  <c r="AO1725" i="3"/>
  <c r="AO1726" i="3"/>
  <c r="AO1727" i="3"/>
  <c r="AO1728" i="3"/>
  <c r="AO1729" i="3"/>
  <c r="AO1730" i="3"/>
  <c r="AO1731" i="3"/>
  <c r="AO1732" i="3"/>
  <c r="AO1733" i="3"/>
  <c r="AO1734" i="3"/>
  <c r="AO1735" i="3"/>
  <c r="AO1736" i="3"/>
  <c r="AO1737" i="3"/>
  <c r="AO1738" i="3"/>
  <c r="AO1739" i="3"/>
  <c r="AO1740" i="3"/>
  <c r="AO1741" i="3"/>
  <c r="AO1742" i="3"/>
  <c r="AO1743" i="3"/>
  <c r="AO1744" i="3"/>
  <c r="AO1745" i="3"/>
  <c r="AO1746" i="3"/>
  <c r="AO1747" i="3"/>
  <c r="AO1748" i="3"/>
  <c r="AO1749" i="3"/>
  <c r="AO1750" i="3"/>
  <c r="AO1751" i="3"/>
  <c r="AO1752" i="3"/>
  <c r="AO1753" i="3"/>
  <c r="AO1754" i="3"/>
  <c r="AO1755" i="3"/>
  <c r="AO1756" i="3"/>
  <c r="AO1757" i="3"/>
  <c r="AO1758" i="3"/>
  <c r="AO1759" i="3"/>
  <c r="AO1760" i="3"/>
  <c r="AO1761" i="3"/>
  <c r="AO1762" i="3"/>
  <c r="AO1763" i="3"/>
  <c r="AO1764" i="3"/>
  <c r="AO1765" i="3"/>
  <c r="AO1766" i="3"/>
  <c r="AO1767" i="3"/>
  <c r="AO1768" i="3"/>
  <c r="AO1769" i="3"/>
  <c r="AO1770" i="3"/>
  <c r="AO1771" i="3"/>
  <c r="AO1772" i="3"/>
  <c r="AO1773" i="3"/>
  <c r="AO1774" i="3"/>
  <c r="AO1775" i="3"/>
  <c r="AO1776" i="3"/>
  <c r="AO1777" i="3"/>
  <c r="AO1778" i="3"/>
  <c r="AO1779" i="3"/>
  <c r="AO1780" i="3"/>
  <c r="AO1781" i="3"/>
  <c r="AO1782" i="3"/>
  <c r="AO1783" i="3"/>
  <c r="AO1784" i="3"/>
  <c r="AO1785" i="3"/>
  <c r="AO1786" i="3"/>
  <c r="AO1787" i="3"/>
  <c r="AO1788" i="3"/>
  <c r="AO1789" i="3"/>
  <c r="AO1790" i="3"/>
  <c r="AO1791" i="3"/>
  <c r="AO1792" i="3"/>
  <c r="AO1793" i="3"/>
  <c r="AO1794" i="3"/>
  <c r="AO1795" i="3"/>
  <c r="AO1796" i="3"/>
  <c r="AO1797" i="3"/>
  <c r="AO1798" i="3"/>
  <c r="AO1799" i="3"/>
  <c r="AO1800" i="3"/>
  <c r="AO1801" i="3"/>
  <c r="AO1802" i="3"/>
  <c r="AO1803" i="3"/>
  <c r="AO1804" i="3"/>
  <c r="AO1805" i="3"/>
  <c r="AO1806" i="3"/>
  <c r="AO1807" i="3"/>
  <c r="AO1808" i="3"/>
  <c r="AO1809" i="3"/>
  <c r="AO1810" i="3"/>
  <c r="AO1811" i="3"/>
  <c r="AO1812" i="3"/>
  <c r="AO1813" i="3"/>
  <c r="AO1814" i="3"/>
  <c r="AO1815" i="3"/>
  <c r="AO1816" i="3"/>
  <c r="AO1817" i="3"/>
  <c r="AO1818" i="3"/>
  <c r="AO1819" i="3"/>
  <c r="AO1820" i="3"/>
  <c r="AO1821" i="3"/>
  <c r="AO1822" i="3"/>
  <c r="AO1823" i="3"/>
  <c r="AO1824" i="3"/>
  <c r="AO1825" i="3"/>
  <c r="AO1826" i="3"/>
  <c r="AO1827" i="3"/>
  <c r="AO1828" i="3"/>
  <c r="AO1829" i="3"/>
  <c r="AO1830" i="3"/>
  <c r="AO1831" i="3"/>
  <c r="AO1832" i="3"/>
  <c r="AO1833" i="3"/>
  <c r="AO1834" i="3"/>
  <c r="AO1835" i="3"/>
  <c r="AO1836" i="3"/>
  <c r="AO1837" i="3"/>
  <c r="AO1838" i="3"/>
  <c r="AO1839" i="3"/>
  <c r="AO1840" i="3"/>
  <c r="AO1841" i="3"/>
  <c r="AO1842" i="3"/>
  <c r="AO1843" i="3"/>
  <c r="AO1844" i="3"/>
  <c r="AO1845" i="3"/>
  <c r="AO1846" i="3"/>
  <c r="AO1847" i="3"/>
  <c r="AO1848" i="3"/>
  <c r="AO1849" i="3"/>
  <c r="AO1850" i="3"/>
  <c r="AO1851" i="3"/>
  <c r="AO1852" i="3"/>
  <c r="AO1853" i="3"/>
  <c r="AO1854" i="3"/>
  <c r="AO1855" i="3"/>
  <c r="AO1856" i="3"/>
  <c r="AO1857" i="3"/>
  <c r="AO1858" i="3"/>
  <c r="AO1859" i="3"/>
  <c r="AO1860" i="3"/>
  <c r="AO1861" i="3"/>
  <c r="AO1862" i="3"/>
  <c r="AO1863" i="3"/>
  <c r="AO1864" i="3"/>
  <c r="AO1865" i="3"/>
  <c r="AO1866" i="3"/>
  <c r="AO1867" i="3"/>
  <c r="AO1868" i="3"/>
  <c r="AO1869" i="3"/>
  <c r="AO1870" i="3"/>
  <c r="AO1871" i="3"/>
  <c r="AO1872" i="3"/>
  <c r="AO1873" i="3"/>
  <c r="AO1874" i="3"/>
  <c r="AO1875" i="3"/>
  <c r="AO1876" i="3"/>
  <c r="AO1877" i="3"/>
  <c r="AO1878" i="3"/>
  <c r="AO1879" i="3"/>
  <c r="AO1880" i="3"/>
  <c r="AO1881" i="3"/>
  <c r="AO1882" i="3"/>
  <c r="AO1883" i="3"/>
  <c r="AO1884" i="3"/>
  <c r="AO1885" i="3"/>
  <c r="AO1886" i="3"/>
  <c r="AO1887" i="3"/>
  <c r="AO1888" i="3"/>
  <c r="AO1889" i="3"/>
  <c r="AO1890" i="3"/>
  <c r="AO1891" i="3"/>
  <c r="AO1892" i="3"/>
  <c r="AO1893" i="3"/>
  <c r="AO1894" i="3"/>
  <c r="AO1895" i="3"/>
  <c r="AO1896" i="3"/>
  <c r="AO1897" i="3"/>
  <c r="AO1898" i="3"/>
  <c r="AO1899" i="3"/>
  <c r="AO1900" i="3"/>
  <c r="AO1901" i="3"/>
  <c r="AO1902" i="3"/>
  <c r="AO1903" i="3"/>
  <c r="AO1904" i="3"/>
  <c r="AO1905" i="3"/>
  <c r="AO1906" i="3"/>
  <c r="AO1907" i="3"/>
  <c r="AO1908" i="3"/>
  <c r="AO1909" i="3"/>
  <c r="AO1910" i="3"/>
  <c r="AO1911" i="3"/>
  <c r="AO1912" i="3"/>
  <c r="AO1913" i="3"/>
  <c r="AO1914" i="3"/>
  <c r="AO1915" i="3"/>
  <c r="AO1916" i="3"/>
  <c r="AO1917" i="3"/>
  <c r="AO1918" i="3"/>
  <c r="AO1919" i="3"/>
  <c r="AO1920" i="3"/>
  <c r="AO1921" i="3"/>
  <c r="AO1922" i="3"/>
  <c r="AO1923" i="3"/>
  <c r="AO1924" i="3"/>
  <c r="AO1925" i="3"/>
  <c r="AO1926" i="3"/>
  <c r="AO1927" i="3"/>
  <c r="AO1928" i="3"/>
  <c r="AO1929" i="3"/>
  <c r="AO1930" i="3"/>
  <c r="AO1931" i="3"/>
  <c r="AO1932" i="3"/>
  <c r="AO1933" i="3"/>
  <c r="AO1934" i="3"/>
  <c r="AO1935" i="3"/>
  <c r="AO1936" i="3"/>
  <c r="AO1937" i="3"/>
  <c r="AO1938" i="3"/>
  <c r="AO1939" i="3"/>
  <c r="AO1940" i="3"/>
  <c r="AO1941" i="3"/>
  <c r="AO1942" i="3"/>
  <c r="AO1943" i="3"/>
  <c r="AO1944" i="3"/>
  <c r="AO1945" i="3"/>
  <c r="AO1946" i="3"/>
  <c r="AO1947" i="3"/>
  <c r="AO1948" i="3"/>
  <c r="AO1949" i="3"/>
  <c r="AO1950" i="3"/>
  <c r="AO1951" i="3"/>
  <c r="AO1952" i="3"/>
  <c r="AO1953" i="3"/>
  <c r="AO1954" i="3"/>
  <c r="AO1955" i="3"/>
  <c r="AO1956" i="3"/>
  <c r="AO1957" i="3"/>
  <c r="AO1958" i="3"/>
  <c r="AO1959" i="3"/>
  <c r="AO1960" i="3"/>
  <c r="AO1961" i="3"/>
  <c r="AO1962" i="3"/>
  <c r="AO1963" i="3"/>
  <c r="AO1964" i="3"/>
  <c r="AO1965" i="3"/>
  <c r="AO1966" i="3"/>
  <c r="AO1967" i="3"/>
  <c r="AO1968" i="3"/>
  <c r="AO1969" i="3"/>
  <c r="AO1970" i="3"/>
  <c r="AO1971" i="3"/>
  <c r="AO1972" i="3"/>
  <c r="AO1973" i="3"/>
  <c r="AO1974" i="3"/>
  <c r="AO1975" i="3"/>
  <c r="AO1976" i="3"/>
  <c r="AO1977" i="3"/>
  <c r="AO1978" i="3"/>
  <c r="AO1979" i="3"/>
  <c r="AO1980" i="3"/>
  <c r="AO1981" i="3"/>
  <c r="AO1982" i="3"/>
  <c r="AO1983" i="3"/>
  <c r="AO1984" i="3"/>
  <c r="AO1985" i="3"/>
  <c r="AO1986" i="3"/>
  <c r="AO1987" i="3"/>
  <c r="AO1988" i="3"/>
  <c r="AO1989" i="3"/>
  <c r="AO1990" i="3"/>
  <c r="AO1991" i="3"/>
  <c r="AO1992" i="3"/>
  <c r="AO1993" i="3"/>
  <c r="AO1994" i="3"/>
  <c r="AO1995" i="3"/>
  <c r="AO1996" i="3"/>
  <c r="AO1997" i="3"/>
  <c r="AO1998" i="3"/>
  <c r="AO1999" i="3"/>
  <c r="AO2000" i="3"/>
  <c r="AO2001" i="3"/>
  <c r="AO2002" i="3"/>
  <c r="AO2003" i="3"/>
  <c r="AO2004" i="3"/>
  <c r="AO2005" i="3"/>
  <c r="AO2006" i="3"/>
  <c r="AO2007" i="3"/>
  <c r="AO2008" i="3"/>
  <c r="AO2009" i="3"/>
  <c r="AO2010" i="3"/>
  <c r="AO2011" i="3"/>
  <c r="AO2012" i="3"/>
  <c r="AO2013" i="3"/>
  <c r="AO2014" i="3"/>
  <c r="AO2015" i="3"/>
  <c r="AO2016" i="3"/>
  <c r="AO2017" i="3"/>
  <c r="AO2018" i="3"/>
  <c r="AO2019" i="3"/>
  <c r="AO2020" i="3"/>
  <c r="AO2021" i="3"/>
  <c r="AO2022" i="3"/>
  <c r="AO2023" i="3"/>
  <c r="AO2024" i="3"/>
  <c r="AO2025" i="3"/>
  <c r="AO2026" i="3"/>
  <c r="AO2027" i="3"/>
  <c r="AO2028" i="3"/>
  <c r="AO2029" i="3"/>
  <c r="AO2030" i="3"/>
  <c r="AO2031" i="3"/>
  <c r="AO2032" i="3"/>
  <c r="AO2033" i="3"/>
  <c r="AO2034" i="3"/>
  <c r="AO2035" i="3"/>
  <c r="AO2036" i="3"/>
  <c r="AO2037" i="3"/>
  <c r="AO2038" i="3"/>
  <c r="AO2039" i="3"/>
  <c r="AO2040" i="3"/>
  <c r="AO2041" i="3"/>
  <c r="AO2042" i="3"/>
  <c r="AO2043" i="3"/>
  <c r="AO2044" i="3"/>
  <c r="AO2045" i="3"/>
  <c r="AO2046" i="3"/>
  <c r="AO2047" i="3"/>
  <c r="AO2048" i="3"/>
  <c r="AO2049" i="3"/>
  <c r="AO2050" i="3"/>
  <c r="AO2051" i="3"/>
  <c r="AO2052" i="3"/>
  <c r="AO2053" i="3"/>
  <c r="AO2054" i="3"/>
  <c r="AO2055" i="3"/>
  <c r="AO2056" i="3"/>
  <c r="AO2057" i="3"/>
  <c r="AO2058" i="3"/>
  <c r="AO2059" i="3"/>
  <c r="AO2060" i="3"/>
  <c r="AO2061" i="3"/>
  <c r="AO2062" i="3"/>
  <c r="AO2063" i="3"/>
  <c r="AO2064" i="3"/>
  <c r="AO2065" i="3"/>
  <c r="AO2066" i="3"/>
  <c r="AO2067" i="3"/>
  <c r="AO2068" i="3"/>
  <c r="AO2069" i="3"/>
  <c r="AO2070" i="3"/>
  <c r="AO2071" i="3"/>
  <c r="AO2072" i="3"/>
  <c r="AO2073" i="3"/>
  <c r="AO2074" i="3"/>
  <c r="AO2075" i="3"/>
  <c r="AO2076" i="3"/>
  <c r="AO2077" i="3"/>
  <c r="AO2078" i="3"/>
  <c r="AO2079" i="3"/>
  <c r="AO2080" i="3"/>
  <c r="AO2081" i="3"/>
  <c r="AO2082" i="3"/>
  <c r="AO2083" i="3"/>
  <c r="AO2084" i="3"/>
  <c r="AO2085" i="3"/>
  <c r="AO2086" i="3"/>
  <c r="AO2087" i="3"/>
  <c r="AO2088" i="3"/>
  <c r="AO2089" i="3"/>
  <c r="AO2090" i="3"/>
  <c r="AO2091" i="3"/>
  <c r="AO2092" i="3"/>
  <c r="AO2093" i="3"/>
  <c r="AO2094" i="3"/>
  <c r="AO2095" i="3"/>
  <c r="AO2096" i="3"/>
  <c r="AO2097" i="3"/>
  <c r="AO2098" i="3"/>
  <c r="AO2099" i="3"/>
  <c r="AO2100" i="3"/>
  <c r="AO2101" i="3"/>
  <c r="AO2102" i="3"/>
  <c r="AO2103" i="3"/>
  <c r="AO2104" i="3"/>
  <c r="AO2105" i="3"/>
  <c r="AO2106" i="3"/>
  <c r="AO2107" i="3"/>
  <c r="AO2108" i="3"/>
  <c r="AO2109" i="3"/>
  <c r="AO2110" i="3"/>
  <c r="AO2111" i="3"/>
  <c r="AO2112" i="3"/>
  <c r="AO2113" i="3"/>
  <c r="AO2114" i="3"/>
  <c r="AO2115" i="3"/>
  <c r="AO2116" i="3"/>
  <c r="AO2117" i="3"/>
  <c r="AO2118" i="3"/>
  <c r="AO2119" i="3"/>
  <c r="AO2120" i="3"/>
  <c r="AO2121" i="3"/>
  <c r="AO2122" i="3"/>
  <c r="AO2123" i="3"/>
  <c r="AO2124" i="3"/>
  <c r="AO2125" i="3"/>
  <c r="AO2126" i="3"/>
  <c r="AO2127" i="3"/>
  <c r="AO2128" i="3"/>
  <c r="AO2129" i="3"/>
  <c r="AO2130" i="3"/>
  <c r="AO2131" i="3"/>
  <c r="AO2132" i="3"/>
  <c r="AO2133" i="3"/>
  <c r="AO2134" i="3"/>
  <c r="AO2135" i="3"/>
  <c r="AO2136" i="3"/>
  <c r="AO2137" i="3"/>
  <c r="AO2138" i="3"/>
  <c r="AO2139" i="3"/>
  <c r="AO2140" i="3"/>
  <c r="AO2141" i="3"/>
  <c r="AO2142" i="3"/>
  <c r="AO2143" i="3"/>
  <c r="AO2144" i="3"/>
  <c r="AO2145" i="3"/>
  <c r="AO2146" i="3"/>
  <c r="AO2147" i="3"/>
  <c r="AO2148" i="3"/>
  <c r="AO2149" i="3"/>
  <c r="AO2150" i="3"/>
  <c r="AO2151" i="3"/>
  <c r="AO2152" i="3"/>
  <c r="AO2153" i="3"/>
  <c r="AO2154" i="3"/>
  <c r="AO2155" i="3"/>
  <c r="AO2156" i="3"/>
  <c r="AO2157" i="3"/>
  <c r="AO2158" i="3"/>
  <c r="AO2159" i="3"/>
  <c r="AO2160" i="3"/>
  <c r="AO2161" i="3"/>
  <c r="AO2162" i="3"/>
  <c r="AO2163" i="3"/>
  <c r="AO2164" i="3"/>
  <c r="AO2165" i="3"/>
  <c r="AO2166" i="3"/>
  <c r="AO2167" i="3"/>
  <c r="AO2168" i="3"/>
  <c r="AO2169" i="3"/>
  <c r="AO2170" i="3"/>
  <c r="AO2171" i="3"/>
  <c r="AO2172" i="3"/>
  <c r="AO2173" i="3"/>
  <c r="AO2174" i="3"/>
  <c r="AO2175" i="3"/>
  <c r="AO2176" i="3"/>
  <c r="AO2177" i="3"/>
  <c r="AO2178" i="3"/>
  <c r="AO2179" i="3"/>
  <c r="AO2180" i="3"/>
  <c r="AO2181" i="3"/>
  <c r="AO2182" i="3"/>
  <c r="AO2183" i="3"/>
  <c r="AO2184" i="3"/>
  <c r="AO2185" i="3"/>
  <c r="AO2186" i="3"/>
  <c r="AO2187" i="3"/>
  <c r="AO2188" i="3"/>
  <c r="AO2189" i="3"/>
  <c r="AO2190" i="3"/>
  <c r="AO2191" i="3"/>
  <c r="AO2192" i="3"/>
  <c r="AO2193" i="3"/>
  <c r="AO2194" i="3"/>
  <c r="AO2195" i="3"/>
  <c r="AO2196" i="3"/>
  <c r="AO2197" i="3"/>
  <c r="AO2198" i="3"/>
  <c r="AO2199" i="3"/>
  <c r="AO2200" i="3"/>
  <c r="AO2201" i="3"/>
  <c r="AO2202" i="3"/>
  <c r="AO2203" i="3"/>
  <c r="AO2204" i="3"/>
  <c r="AO2205" i="3"/>
  <c r="AO2206" i="3"/>
  <c r="AO2207" i="3"/>
  <c r="AO2208" i="3"/>
  <c r="AO2209" i="3"/>
  <c r="AO2210" i="3"/>
  <c r="AO2211" i="3"/>
  <c r="AO2212" i="3"/>
  <c r="AO2213" i="3"/>
  <c r="AO2214" i="3"/>
  <c r="AO2215" i="3"/>
  <c r="AO2216" i="3"/>
  <c r="AO2217" i="3"/>
  <c r="AO2218" i="3"/>
  <c r="AO2219" i="3"/>
  <c r="AO2220" i="3"/>
  <c r="AO2221" i="3"/>
  <c r="AO2222" i="3"/>
  <c r="AO2223" i="3"/>
  <c r="AO2224" i="3"/>
  <c r="AO2225" i="3"/>
  <c r="AO2226" i="3"/>
  <c r="AO2227" i="3"/>
  <c r="AO2228" i="3"/>
  <c r="AO2229" i="3"/>
  <c r="AO2230" i="3"/>
  <c r="AO2231" i="3"/>
  <c r="AO2232" i="3"/>
  <c r="AO2233" i="3"/>
  <c r="AO2234" i="3"/>
  <c r="AO2235" i="3"/>
  <c r="AO2236" i="3"/>
  <c r="AO2237" i="3"/>
  <c r="AO2238" i="3"/>
  <c r="AO2239" i="3"/>
  <c r="AO2240" i="3"/>
  <c r="AO2241" i="3"/>
  <c r="AN2" i="3"/>
  <c r="AN3" i="3"/>
  <c r="AN4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N19" i="3"/>
  <c r="AN20" i="3"/>
  <c r="AN21" i="3"/>
  <c r="AN22" i="3"/>
  <c r="AN23" i="3"/>
  <c r="AN24" i="3"/>
  <c r="AN25" i="3"/>
  <c r="AN26" i="3"/>
  <c r="AN27" i="3"/>
  <c r="AN28" i="3"/>
  <c r="AN29" i="3"/>
  <c r="AN30" i="3"/>
  <c r="AN31" i="3"/>
  <c r="AN32" i="3"/>
  <c r="AN33" i="3"/>
  <c r="AN34" i="3"/>
  <c r="AN35" i="3"/>
  <c r="AN36" i="3"/>
  <c r="AN37" i="3"/>
  <c r="AN38" i="3"/>
  <c r="AN39" i="3"/>
  <c r="AN40" i="3"/>
  <c r="AN41" i="3"/>
  <c r="AN42" i="3"/>
  <c r="AN43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59" i="3"/>
  <c r="AN60" i="3"/>
  <c r="AN61" i="3"/>
  <c r="AN62" i="3"/>
  <c r="AN63" i="3"/>
  <c r="AN64" i="3"/>
  <c r="AN65" i="3"/>
  <c r="AN66" i="3"/>
  <c r="AN67" i="3"/>
  <c r="AN68" i="3"/>
  <c r="AN69" i="3"/>
  <c r="AN70" i="3"/>
  <c r="AN71" i="3"/>
  <c r="AN72" i="3"/>
  <c r="AN73" i="3"/>
  <c r="AN74" i="3"/>
  <c r="AN75" i="3"/>
  <c r="AN76" i="3"/>
  <c r="AN77" i="3"/>
  <c r="AN78" i="3"/>
  <c r="AN79" i="3"/>
  <c r="AN80" i="3"/>
  <c r="AN81" i="3"/>
  <c r="AN82" i="3"/>
  <c r="AN83" i="3"/>
  <c r="AN84" i="3"/>
  <c r="AN85" i="3"/>
  <c r="AN86" i="3"/>
  <c r="AN87" i="3"/>
  <c r="AN88" i="3"/>
  <c r="AN89" i="3"/>
  <c r="AN90" i="3"/>
  <c r="AN91" i="3"/>
  <c r="AN92" i="3"/>
  <c r="AN93" i="3"/>
  <c r="AN94" i="3"/>
  <c r="AN95" i="3"/>
  <c r="AN96" i="3"/>
  <c r="AN97" i="3"/>
  <c r="AN98" i="3"/>
  <c r="AN99" i="3"/>
  <c r="AN100" i="3"/>
  <c r="AN101" i="3"/>
  <c r="AN102" i="3"/>
  <c r="AN103" i="3"/>
  <c r="AN104" i="3"/>
  <c r="AN105" i="3"/>
  <c r="AN106" i="3"/>
  <c r="AN107" i="3"/>
  <c r="AN108" i="3"/>
  <c r="AN109" i="3"/>
  <c r="AN110" i="3"/>
  <c r="AN111" i="3"/>
  <c r="AN112" i="3"/>
  <c r="AN113" i="3"/>
  <c r="AN114" i="3"/>
  <c r="AN115" i="3"/>
  <c r="AN116" i="3"/>
  <c r="AN117" i="3"/>
  <c r="AN118" i="3"/>
  <c r="AN119" i="3"/>
  <c r="AN120" i="3"/>
  <c r="AN121" i="3"/>
  <c r="AN122" i="3"/>
  <c r="AN123" i="3"/>
  <c r="AN124" i="3"/>
  <c r="AN125" i="3"/>
  <c r="AN126" i="3"/>
  <c r="AN127" i="3"/>
  <c r="AN128" i="3"/>
  <c r="AN129" i="3"/>
  <c r="AN130" i="3"/>
  <c r="AN131" i="3"/>
  <c r="AN132" i="3"/>
  <c r="AN133" i="3"/>
  <c r="AN134" i="3"/>
  <c r="AN135" i="3"/>
  <c r="AN136" i="3"/>
  <c r="AN137" i="3"/>
  <c r="AN138" i="3"/>
  <c r="AN139" i="3"/>
  <c r="AN140" i="3"/>
  <c r="AN141" i="3"/>
  <c r="AN142" i="3"/>
  <c r="AN143" i="3"/>
  <c r="AN144" i="3"/>
  <c r="AN145" i="3"/>
  <c r="AN146" i="3"/>
  <c r="AN147" i="3"/>
  <c r="AN148" i="3"/>
  <c r="AN149" i="3"/>
  <c r="AN150" i="3"/>
  <c r="AN151" i="3"/>
  <c r="AN152" i="3"/>
  <c r="AN153" i="3"/>
  <c r="AN154" i="3"/>
  <c r="AN155" i="3"/>
  <c r="AN156" i="3"/>
  <c r="AN157" i="3"/>
  <c r="AN158" i="3"/>
  <c r="AN159" i="3"/>
  <c r="AN160" i="3"/>
  <c r="AN161" i="3"/>
  <c r="AN162" i="3"/>
  <c r="AN163" i="3"/>
  <c r="AN164" i="3"/>
  <c r="AN165" i="3"/>
  <c r="AN166" i="3"/>
  <c r="AN167" i="3"/>
  <c r="AN168" i="3"/>
  <c r="AN169" i="3"/>
  <c r="AN170" i="3"/>
  <c r="AN171" i="3"/>
  <c r="AN172" i="3"/>
  <c r="AN173" i="3"/>
  <c r="AN174" i="3"/>
  <c r="AN175" i="3"/>
  <c r="AN176" i="3"/>
  <c r="AN177" i="3"/>
  <c r="AN178" i="3"/>
  <c r="AN179" i="3"/>
  <c r="AN180" i="3"/>
  <c r="AN181" i="3"/>
  <c r="AN182" i="3"/>
  <c r="AN183" i="3"/>
  <c r="AN184" i="3"/>
  <c r="AN185" i="3"/>
  <c r="AN186" i="3"/>
  <c r="AN187" i="3"/>
  <c r="AN188" i="3"/>
  <c r="AN189" i="3"/>
  <c r="AN190" i="3"/>
  <c r="AN191" i="3"/>
  <c r="AN192" i="3"/>
  <c r="AN193" i="3"/>
  <c r="AN194" i="3"/>
  <c r="AN195" i="3"/>
  <c r="AN196" i="3"/>
  <c r="AN197" i="3"/>
  <c r="AN198" i="3"/>
  <c r="AN199" i="3"/>
  <c r="AN200" i="3"/>
  <c r="AN201" i="3"/>
  <c r="AN202" i="3"/>
  <c r="AN203" i="3"/>
  <c r="AN204" i="3"/>
  <c r="AN205" i="3"/>
  <c r="AN206" i="3"/>
  <c r="AN207" i="3"/>
  <c r="AN208" i="3"/>
  <c r="AN209" i="3"/>
  <c r="AN210" i="3"/>
  <c r="AN211" i="3"/>
  <c r="AN212" i="3"/>
  <c r="AN213" i="3"/>
  <c r="AN214" i="3"/>
  <c r="AN215" i="3"/>
  <c r="AN216" i="3"/>
  <c r="AN217" i="3"/>
  <c r="AN218" i="3"/>
  <c r="AN219" i="3"/>
  <c r="AN220" i="3"/>
  <c r="AN221" i="3"/>
  <c r="AN222" i="3"/>
  <c r="AN223" i="3"/>
  <c r="AN224" i="3"/>
  <c r="AN225" i="3"/>
  <c r="AN226" i="3"/>
  <c r="AN227" i="3"/>
  <c r="AN228" i="3"/>
  <c r="AN229" i="3"/>
  <c r="AN230" i="3"/>
  <c r="AN231" i="3"/>
  <c r="AN232" i="3"/>
  <c r="AN233" i="3"/>
  <c r="AN234" i="3"/>
  <c r="AN235" i="3"/>
  <c r="AN236" i="3"/>
  <c r="AN237" i="3"/>
  <c r="AN238" i="3"/>
  <c r="AN239" i="3"/>
  <c r="AN240" i="3"/>
  <c r="AN241" i="3"/>
  <c r="AN242" i="3"/>
  <c r="AN243" i="3"/>
  <c r="AN244" i="3"/>
  <c r="AN245" i="3"/>
  <c r="AN246" i="3"/>
  <c r="AN247" i="3"/>
  <c r="AN248" i="3"/>
  <c r="AN249" i="3"/>
  <c r="AN250" i="3"/>
  <c r="AN251" i="3"/>
  <c r="AN252" i="3"/>
  <c r="AN253" i="3"/>
  <c r="AN254" i="3"/>
  <c r="AN255" i="3"/>
  <c r="AN256" i="3"/>
  <c r="AN257" i="3"/>
  <c r="AN258" i="3"/>
  <c r="AN259" i="3"/>
  <c r="AN260" i="3"/>
  <c r="AN261" i="3"/>
  <c r="AN262" i="3"/>
  <c r="AN263" i="3"/>
  <c r="AN264" i="3"/>
  <c r="AN265" i="3"/>
  <c r="AN266" i="3"/>
  <c r="AN267" i="3"/>
  <c r="AN268" i="3"/>
  <c r="AN269" i="3"/>
  <c r="AN270" i="3"/>
  <c r="AN271" i="3"/>
  <c r="AN272" i="3"/>
  <c r="AN273" i="3"/>
  <c r="AN274" i="3"/>
  <c r="AN275" i="3"/>
  <c r="AN276" i="3"/>
  <c r="AN277" i="3"/>
  <c r="AN278" i="3"/>
  <c r="AN279" i="3"/>
  <c r="AN280" i="3"/>
  <c r="AN281" i="3"/>
  <c r="AN282" i="3"/>
  <c r="AN283" i="3"/>
  <c r="AN284" i="3"/>
  <c r="AN285" i="3"/>
  <c r="AN286" i="3"/>
  <c r="AN287" i="3"/>
  <c r="AN288" i="3"/>
  <c r="AN289" i="3"/>
  <c r="AN290" i="3"/>
  <c r="AN291" i="3"/>
  <c r="AN292" i="3"/>
  <c r="AN293" i="3"/>
  <c r="AN294" i="3"/>
  <c r="AN295" i="3"/>
  <c r="AN296" i="3"/>
  <c r="AN297" i="3"/>
  <c r="AN298" i="3"/>
  <c r="AN299" i="3"/>
  <c r="AN300" i="3"/>
  <c r="AN301" i="3"/>
  <c r="AN302" i="3"/>
  <c r="AN303" i="3"/>
  <c r="AN304" i="3"/>
  <c r="AN305" i="3"/>
  <c r="AN306" i="3"/>
  <c r="AN307" i="3"/>
  <c r="AN308" i="3"/>
  <c r="AN309" i="3"/>
  <c r="AN310" i="3"/>
  <c r="AN311" i="3"/>
  <c r="AN312" i="3"/>
  <c r="AN313" i="3"/>
  <c r="AN314" i="3"/>
  <c r="AN315" i="3"/>
  <c r="AN316" i="3"/>
  <c r="AN317" i="3"/>
  <c r="AN318" i="3"/>
  <c r="AN319" i="3"/>
  <c r="AN320" i="3"/>
  <c r="AN321" i="3"/>
  <c r="AN322" i="3"/>
  <c r="AN323" i="3"/>
  <c r="AN324" i="3"/>
  <c r="AN325" i="3"/>
  <c r="AN326" i="3"/>
  <c r="AN327" i="3"/>
  <c r="AN328" i="3"/>
  <c r="AN329" i="3"/>
  <c r="AN330" i="3"/>
  <c r="AN331" i="3"/>
  <c r="AN332" i="3"/>
  <c r="AN333" i="3"/>
  <c r="AN334" i="3"/>
  <c r="AN335" i="3"/>
  <c r="AN336" i="3"/>
  <c r="AN337" i="3"/>
  <c r="AN338" i="3"/>
  <c r="AN339" i="3"/>
  <c r="AN340" i="3"/>
  <c r="AN341" i="3"/>
  <c r="AN342" i="3"/>
  <c r="AN343" i="3"/>
  <c r="AN344" i="3"/>
  <c r="AN345" i="3"/>
  <c r="AN346" i="3"/>
  <c r="AN347" i="3"/>
  <c r="AN348" i="3"/>
  <c r="AN349" i="3"/>
  <c r="AN350" i="3"/>
  <c r="AN351" i="3"/>
  <c r="AN352" i="3"/>
  <c r="AN353" i="3"/>
  <c r="AN354" i="3"/>
  <c r="AN355" i="3"/>
  <c r="AN356" i="3"/>
  <c r="AN357" i="3"/>
  <c r="AN358" i="3"/>
  <c r="AN359" i="3"/>
  <c r="AN360" i="3"/>
  <c r="AN361" i="3"/>
  <c r="AN362" i="3"/>
  <c r="AN363" i="3"/>
  <c r="AN364" i="3"/>
  <c r="AN365" i="3"/>
  <c r="AN366" i="3"/>
  <c r="AN367" i="3"/>
  <c r="AN368" i="3"/>
  <c r="AN369" i="3"/>
  <c r="AN370" i="3"/>
  <c r="AN371" i="3"/>
  <c r="AN372" i="3"/>
  <c r="AN373" i="3"/>
  <c r="AN374" i="3"/>
  <c r="AN375" i="3"/>
  <c r="AN376" i="3"/>
  <c r="AN377" i="3"/>
  <c r="AN378" i="3"/>
  <c r="AN379" i="3"/>
  <c r="AN380" i="3"/>
  <c r="AN381" i="3"/>
  <c r="AN382" i="3"/>
  <c r="AN383" i="3"/>
  <c r="AN384" i="3"/>
  <c r="AN385" i="3"/>
  <c r="AN386" i="3"/>
  <c r="AN387" i="3"/>
  <c r="AN388" i="3"/>
  <c r="AN389" i="3"/>
  <c r="AN390" i="3"/>
  <c r="AN391" i="3"/>
  <c r="AN392" i="3"/>
  <c r="AN393" i="3"/>
  <c r="AN394" i="3"/>
  <c r="AN395" i="3"/>
  <c r="AN396" i="3"/>
  <c r="AN397" i="3"/>
  <c r="AN398" i="3"/>
  <c r="AN399" i="3"/>
  <c r="AN400" i="3"/>
  <c r="AN401" i="3"/>
  <c r="AN402" i="3"/>
  <c r="AN403" i="3"/>
  <c r="AN404" i="3"/>
  <c r="AN405" i="3"/>
  <c r="AN406" i="3"/>
  <c r="AN407" i="3"/>
  <c r="AN408" i="3"/>
  <c r="AN409" i="3"/>
  <c r="AN410" i="3"/>
  <c r="AN411" i="3"/>
  <c r="AN412" i="3"/>
  <c r="AN413" i="3"/>
  <c r="AN414" i="3"/>
  <c r="AN415" i="3"/>
  <c r="AN416" i="3"/>
  <c r="AN417" i="3"/>
  <c r="AN418" i="3"/>
  <c r="AN419" i="3"/>
  <c r="AN420" i="3"/>
  <c r="AN421" i="3"/>
  <c r="AN422" i="3"/>
  <c r="AN423" i="3"/>
  <c r="AN424" i="3"/>
  <c r="AN425" i="3"/>
  <c r="AN426" i="3"/>
  <c r="AN427" i="3"/>
  <c r="AN428" i="3"/>
  <c r="AN429" i="3"/>
  <c r="AN430" i="3"/>
  <c r="AN431" i="3"/>
  <c r="AN432" i="3"/>
  <c r="AN433" i="3"/>
  <c r="AN434" i="3"/>
  <c r="AN435" i="3"/>
  <c r="AN436" i="3"/>
  <c r="AN437" i="3"/>
  <c r="AN438" i="3"/>
  <c r="AN439" i="3"/>
  <c r="AN440" i="3"/>
  <c r="AN441" i="3"/>
  <c r="AN442" i="3"/>
  <c r="AN443" i="3"/>
  <c r="AN444" i="3"/>
  <c r="AN445" i="3"/>
  <c r="AN446" i="3"/>
  <c r="AN447" i="3"/>
  <c r="AN448" i="3"/>
  <c r="AN449" i="3"/>
  <c r="AN450" i="3"/>
  <c r="AN451" i="3"/>
  <c r="AN452" i="3"/>
  <c r="AN453" i="3"/>
  <c r="AN454" i="3"/>
  <c r="AN455" i="3"/>
  <c r="AN456" i="3"/>
  <c r="AN457" i="3"/>
  <c r="AN458" i="3"/>
  <c r="AN459" i="3"/>
  <c r="AN460" i="3"/>
  <c r="AN461" i="3"/>
  <c r="AN462" i="3"/>
  <c r="AN463" i="3"/>
  <c r="AN464" i="3"/>
  <c r="AN465" i="3"/>
  <c r="AN466" i="3"/>
  <c r="AN467" i="3"/>
  <c r="AN468" i="3"/>
  <c r="AN469" i="3"/>
  <c r="AN470" i="3"/>
  <c r="AN471" i="3"/>
  <c r="AN472" i="3"/>
  <c r="AN473" i="3"/>
  <c r="AN474" i="3"/>
  <c r="AN475" i="3"/>
  <c r="AN476" i="3"/>
  <c r="AN477" i="3"/>
  <c r="AN478" i="3"/>
  <c r="AN479" i="3"/>
  <c r="AN480" i="3"/>
  <c r="AN481" i="3"/>
  <c r="AN482" i="3"/>
  <c r="AN483" i="3"/>
  <c r="AN484" i="3"/>
  <c r="AN485" i="3"/>
  <c r="AN486" i="3"/>
  <c r="AN487" i="3"/>
  <c r="AN488" i="3"/>
  <c r="AN489" i="3"/>
  <c r="AN490" i="3"/>
  <c r="AN491" i="3"/>
  <c r="AN492" i="3"/>
  <c r="AN493" i="3"/>
  <c r="AN494" i="3"/>
  <c r="AN495" i="3"/>
  <c r="AN496" i="3"/>
  <c r="AN497" i="3"/>
  <c r="AN498" i="3"/>
  <c r="AN499" i="3"/>
  <c r="AN500" i="3"/>
  <c r="AN501" i="3"/>
  <c r="AN502" i="3"/>
  <c r="AN503" i="3"/>
  <c r="AN504" i="3"/>
  <c r="AN505" i="3"/>
  <c r="AN506" i="3"/>
  <c r="AN507" i="3"/>
  <c r="AN508" i="3"/>
  <c r="AN509" i="3"/>
  <c r="AN510" i="3"/>
  <c r="AN511" i="3"/>
  <c r="AN512" i="3"/>
  <c r="AN513" i="3"/>
  <c r="AN514" i="3"/>
  <c r="AN515" i="3"/>
  <c r="AN516" i="3"/>
  <c r="AN517" i="3"/>
  <c r="AN518" i="3"/>
  <c r="AN519" i="3"/>
  <c r="AN520" i="3"/>
  <c r="AN521" i="3"/>
  <c r="AN522" i="3"/>
  <c r="AN523" i="3"/>
  <c r="AN524" i="3"/>
  <c r="AN525" i="3"/>
  <c r="AN526" i="3"/>
  <c r="AN527" i="3"/>
  <c r="AN528" i="3"/>
  <c r="AN529" i="3"/>
  <c r="AN530" i="3"/>
  <c r="AN531" i="3"/>
  <c r="AN532" i="3"/>
  <c r="AN533" i="3"/>
  <c r="AN534" i="3"/>
  <c r="AN535" i="3"/>
  <c r="AN536" i="3"/>
  <c r="AN537" i="3"/>
  <c r="AN538" i="3"/>
  <c r="AN539" i="3"/>
  <c r="AN540" i="3"/>
  <c r="AN541" i="3"/>
  <c r="AN542" i="3"/>
  <c r="AN543" i="3"/>
  <c r="AN544" i="3"/>
  <c r="AN545" i="3"/>
  <c r="AN546" i="3"/>
  <c r="AN547" i="3"/>
  <c r="AN548" i="3"/>
  <c r="AN549" i="3"/>
  <c r="AN550" i="3"/>
  <c r="AN551" i="3"/>
  <c r="AN552" i="3"/>
  <c r="AN553" i="3"/>
  <c r="AN554" i="3"/>
  <c r="AN555" i="3"/>
  <c r="AN556" i="3"/>
  <c r="AN557" i="3"/>
  <c r="AN558" i="3"/>
  <c r="AN559" i="3"/>
  <c r="AN560" i="3"/>
  <c r="AN561" i="3"/>
  <c r="AN562" i="3"/>
  <c r="AN563" i="3"/>
  <c r="AN564" i="3"/>
  <c r="AN565" i="3"/>
  <c r="AN566" i="3"/>
  <c r="AN567" i="3"/>
  <c r="AN568" i="3"/>
  <c r="AN569" i="3"/>
  <c r="AN570" i="3"/>
  <c r="AN571" i="3"/>
  <c r="AN572" i="3"/>
  <c r="AN573" i="3"/>
  <c r="AN574" i="3"/>
  <c r="AN575" i="3"/>
  <c r="AN576" i="3"/>
  <c r="AN577" i="3"/>
  <c r="AN578" i="3"/>
  <c r="AN579" i="3"/>
  <c r="AN580" i="3"/>
  <c r="AN581" i="3"/>
  <c r="AN582" i="3"/>
  <c r="AN583" i="3"/>
  <c r="AN584" i="3"/>
  <c r="AN585" i="3"/>
  <c r="AN586" i="3"/>
  <c r="AN587" i="3"/>
  <c r="AN588" i="3"/>
  <c r="AN589" i="3"/>
  <c r="AN590" i="3"/>
  <c r="AN591" i="3"/>
  <c r="AN592" i="3"/>
  <c r="AN593" i="3"/>
  <c r="AN594" i="3"/>
  <c r="AN595" i="3"/>
  <c r="AN596" i="3"/>
  <c r="AN597" i="3"/>
  <c r="AN598" i="3"/>
  <c r="AN599" i="3"/>
  <c r="AN600" i="3"/>
  <c r="AN601" i="3"/>
  <c r="AN602" i="3"/>
  <c r="AN603" i="3"/>
  <c r="AN604" i="3"/>
  <c r="AN605" i="3"/>
  <c r="AN606" i="3"/>
  <c r="AN607" i="3"/>
  <c r="AN608" i="3"/>
  <c r="AN609" i="3"/>
  <c r="AN610" i="3"/>
  <c r="AN611" i="3"/>
  <c r="AN612" i="3"/>
  <c r="AN613" i="3"/>
  <c r="AN614" i="3"/>
  <c r="AN615" i="3"/>
  <c r="AN616" i="3"/>
  <c r="AN617" i="3"/>
  <c r="AN618" i="3"/>
  <c r="AN619" i="3"/>
  <c r="AN620" i="3"/>
  <c r="AN621" i="3"/>
  <c r="AN622" i="3"/>
  <c r="AN623" i="3"/>
  <c r="AN624" i="3"/>
  <c r="AN625" i="3"/>
  <c r="AN626" i="3"/>
  <c r="AN627" i="3"/>
  <c r="AN628" i="3"/>
  <c r="AN629" i="3"/>
  <c r="AN630" i="3"/>
  <c r="AN631" i="3"/>
  <c r="AN632" i="3"/>
  <c r="AN633" i="3"/>
  <c r="AN634" i="3"/>
  <c r="AN635" i="3"/>
  <c r="AN636" i="3"/>
  <c r="AN637" i="3"/>
  <c r="AN638" i="3"/>
  <c r="AN639" i="3"/>
  <c r="AN640" i="3"/>
  <c r="AN641" i="3"/>
  <c r="AN642" i="3"/>
  <c r="AN643" i="3"/>
  <c r="AN644" i="3"/>
  <c r="AN645" i="3"/>
  <c r="AN646" i="3"/>
  <c r="AN647" i="3"/>
  <c r="AN648" i="3"/>
  <c r="AN649" i="3"/>
  <c r="AN650" i="3"/>
  <c r="AN651" i="3"/>
  <c r="AN652" i="3"/>
  <c r="AN653" i="3"/>
  <c r="AN654" i="3"/>
  <c r="AN655" i="3"/>
  <c r="AN656" i="3"/>
  <c r="AN657" i="3"/>
  <c r="AN658" i="3"/>
  <c r="AN659" i="3"/>
  <c r="AN660" i="3"/>
  <c r="AN661" i="3"/>
  <c r="AN662" i="3"/>
  <c r="AN663" i="3"/>
  <c r="AN664" i="3"/>
  <c r="AN665" i="3"/>
  <c r="AN666" i="3"/>
  <c r="AN667" i="3"/>
  <c r="AN668" i="3"/>
  <c r="AN669" i="3"/>
  <c r="AN670" i="3"/>
  <c r="AN671" i="3"/>
  <c r="AN672" i="3"/>
  <c r="AN673" i="3"/>
  <c r="AN674" i="3"/>
  <c r="AN675" i="3"/>
  <c r="AN676" i="3"/>
  <c r="AN677" i="3"/>
  <c r="AN678" i="3"/>
  <c r="AN679" i="3"/>
  <c r="AN680" i="3"/>
  <c r="AN681" i="3"/>
  <c r="AN682" i="3"/>
  <c r="AN683" i="3"/>
  <c r="AN684" i="3"/>
  <c r="AN685" i="3"/>
  <c r="AN686" i="3"/>
  <c r="AN687" i="3"/>
  <c r="AN688" i="3"/>
  <c r="AN689" i="3"/>
  <c r="AN690" i="3"/>
  <c r="AN691" i="3"/>
  <c r="AN692" i="3"/>
  <c r="AN693" i="3"/>
  <c r="AN694" i="3"/>
  <c r="AN695" i="3"/>
  <c r="AN696" i="3"/>
  <c r="AN697" i="3"/>
  <c r="AN698" i="3"/>
  <c r="AN699" i="3"/>
  <c r="AN700" i="3"/>
  <c r="AN701" i="3"/>
  <c r="AN702" i="3"/>
  <c r="AN703" i="3"/>
  <c r="AN704" i="3"/>
  <c r="AN705" i="3"/>
  <c r="AN706" i="3"/>
  <c r="AN707" i="3"/>
  <c r="AN708" i="3"/>
  <c r="AN709" i="3"/>
  <c r="AN710" i="3"/>
  <c r="AN711" i="3"/>
  <c r="AN712" i="3"/>
  <c r="AN713" i="3"/>
  <c r="AN714" i="3"/>
  <c r="AN715" i="3"/>
  <c r="AN716" i="3"/>
  <c r="AN717" i="3"/>
  <c r="AN718" i="3"/>
  <c r="AN719" i="3"/>
  <c r="AN720" i="3"/>
  <c r="AN721" i="3"/>
  <c r="AN722" i="3"/>
  <c r="AN723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AN738" i="3"/>
  <c r="AN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AN761" i="3"/>
  <c r="AN762" i="3"/>
  <c r="AN763" i="3"/>
  <c r="AN764" i="3"/>
  <c r="AN765" i="3"/>
  <c r="AN766" i="3"/>
  <c r="AN767" i="3"/>
  <c r="AN768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N784" i="3"/>
  <c r="AN785" i="3"/>
  <c r="AN786" i="3"/>
  <c r="AN787" i="3"/>
  <c r="AN788" i="3"/>
  <c r="AN789" i="3"/>
  <c r="AN790" i="3"/>
  <c r="AN791" i="3"/>
  <c r="AN792" i="3"/>
  <c r="AN793" i="3"/>
  <c r="AN794" i="3"/>
  <c r="AN795" i="3"/>
  <c r="AN796" i="3"/>
  <c r="AN797" i="3"/>
  <c r="AN798" i="3"/>
  <c r="AN799" i="3"/>
  <c r="AN800" i="3"/>
  <c r="AN801" i="3"/>
  <c r="AN802" i="3"/>
  <c r="AN803" i="3"/>
  <c r="AN804" i="3"/>
  <c r="AN805" i="3"/>
  <c r="AN806" i="3"/>
  <c r="AN807" i="3"/>
  <c r="AN808" i="3"/>
  <c r="AN809" i="3"/>
  <c r="AN810" i="3"/>
  <c r="AN811" i="3"/>
  <c r="AN812" i="3"/>
  <c r="AN813" i="3"/>
  <c r="AN814" i="3"/>
  <c r="AN815" i="3"/>
  <c r="AN816" i="3"/>
  <c r="AN817" i="3"/>
  <c r="AN818" i="3"/>
  <c r="AN819" i="3"/>
  <c r="AN820" i="3"/>
  <c r="AN821" i="3"/>
  <c r="AN822" i="3"/>
  <c r="AN823" i="3"/>
  <c r="AN824" i="3"/>
  <c r="AN825" i="3"/>
  <c r="AN826" i="3"/>
  <c r="AN827" i="3"/>
  <c r="AN828" i="3"/>
  <c r="AN829" i="3"/>
  <c r="AN830" i="3"/>
  <c r="AN831" i="3"/>
  <c r="AN832" i="3"/>
  <c r="AN833" i="3"/>
  <c r="AN834" i="3"/>
  <c r="AN835" i="3"/>
  <c r="AN836" i="3"/>
  <c r="AN837" i="3"/>
  <c r="AN838" i="3"/>
  <c r="AN839" i="3"/>
  <c r="AN840" i="3"/>
  <c r="AN841" i="3"/>
  <c r="AN842" i="3"/>
  <c r="AN843" i="3"/>
  <c r="AN844" i="3"/>
  <c r="AN845" i="3"/>
  <c r="AN846" i="3"/>
  <c r="AN847" i="3"/>
  <c r="AN848" i="3"/>
  <c r="AN849" i="3"/>
  <c r="AN850" i="3"/>
  <c r="AN851" i="3"/>
  <c r="AN852" i="3"/>
  <c r="AN853" i="3"/>
  <c r="AN854" i="3"/>
  <c r="AN855" i="3"/>
  <c r="AN856" i="3"/>
  <c r="AN857" i="3"/>
  <c r="AN858" i="3"/>
  <c r="AN859" i="3"/>
  <c r="AN860" i="3"/>
  <c r="AN861" i="3"/>
  <c r="AN862" i="3"/>
  <c r="AN863" i="3"/>
  <c r="AN864" i="3"/>
  <c r="AN865" i="3"/>
  <c r="AN866" i="3"/>
  <c r="AN867" i="3"/>
  <c r="AN868" i="3"/>
  <c r="AN869" i="3"/>
  <c r="AN870" i="3"/>
  <c r="AN871" i="3"/>
  <c r="AN872" i="3"/>
  <c r="AN873" i="3"/>
  <c r="AN874" i="3"/>
  <c r="AN875" i="3"/>
  <c r="AN876" i="3"/>
  <c r="AN877" i="3"/>
  <c r="AN878" i="3"/>
  <c r="AN879" i="3"/>
  <c r="AN880" i="3"/>
  <c r="AN881" i="3"/>
  <c r="AN882" i="3"/>
  <c r="AN883" i="3"/>
  <c r="AN884" i="3"/>
  <c r="AN885" i="3"/>
  <c r="AN886" i="3"/>
  <c r="AN887" i="3"/>
  <c r="AN888" i="3"/>
  <c r="AN889" i="3"/>
  <c r="AN890" i="3"/>
  <c r="AN891" i="3"/>
  <c r="AN892" i="3"/>
  <c r="AN893" i="3"/>
  <c r="AN894" i="3"/>
  <c r="AN895" i="3"/>
  <c r="AN896" i="3"/>
  <c r="AN897" i="3"/>
  <c r="AN898" i="3"/>
  <c r="AN899" i="3"/>
  <c r="AN900" i="3"/>
  <c r="AN901" i="3"/>
  <c r="AN902" i="3"/>
  <c r="AN903" i="3"/>
  <c r="AN904" i="3"/>
  <c r="AN905" i="3"/>
  <c r="AN906" i="3"/>
  <c r="AN907" i="3"/>
  <c r="AN908" i="3"/>
  <c r="AN909" i="3"/>
  <c r="AN910" i="3"/>
  <c r="AN911" i="3"/>
  <c r="AN912" i="3"/>
  <c r="AN913" i="3"/>
  <c r="AN914" i="3"/>
  <c r="AN915" i="3"/>
  <c r="AN916" i="3"/>
  <c r="AN917" i="3"/>
  <c r="AN918" i="3"/>
  <c r="AN919" i="3"/>
  <c r="AN920" i="3"/>
  <c r="AN921" i="3"/>
  <c r="AN922" i="3"/>
  <c r="AN923" i="3"/>
  <c r="AN924" i="3"/>
  <c r="AN925" i="3"/>
  <c r="AN926" i="3"/>
  <c r="AN927" i="3"/>
  <c r="AN928" i="3"/>
  <c r="AN929" i="3"/>
  <c r="AN930" i="3"/>
  <c r="AN931" i="3"/>
  <c r="AN932" i="3"/>
  <c r="AN933" i="3"/>
  <c r="AN934" i="3"/>
  <c r="AN935" i="3"/>
  <c r="AN936" i="3"/>
  <c r="AN937" i="3"/>
  <c r="AN938" i="3"/>
  <c r="AN939" i="3"/>
  <c r="AN940" i="3"/>
  <c r="AN941" i="3"/>
  <c r="AN942" i="3"/>
  <c r="AN943" i="3"/>
  <c r="AN944" i="3"/>
  <c r="AN945" i="3"/>
  <c r="AN946" i="3"/>
  <c r="AN947" i="3"/>
  <c r="AN948" i="3"/>
  <c r="AN949" i="3"/>
  <c r="AN950" i="3"/>
  <c r="AN951" i="3"/>
  <c r="AN952" i="3"/>
  <c r="AN953" i="3"/>
  <c r="AN954" i="3"/>
  <c r="AN955" i="3"/>
  <c r="AN956" i="3"/>
  <c r="AN957" i="3"/>
  <c r="AN958" i="3"/>
  <c r="AN959" i="3"/>
  <c r="AN960" i="3"/>
  <c r="AN961" i="3"/>
  <c r="AN962" i="3"/>
  <c r="AN963" i="3"/>
  <c r="AN964" i="3"/>
  <c r="AN965" i="3"/>
  <c r="AN966" i="3"/>
  <c r="AN967" i="3"/>
  <c r="AN968" i="3"/>
  <c r="AN969" i="3"/>
  <c r="AN970" i="3"/>
  <c r="AN971" i="3"/>
  <c r="AN972" i="3"/>
  <c r="AN973" i="3"/>
  <c r="AN974" i="3"/>
  <c r="AN975" i="3"/>
  <c r="AN976" i="3"/>
  <c r="AN977" i="3"/>
  <c r="AN978" i="3"/>
  <c r="AN979" i="3"/>
  <c r="AN980" i="3"/>
  <c r="AN981" i="3"/>
  <c r="AN982" i="3"/>
  <c r="AN983" i="3"/>
  <c r="AN984" i="3"/>
  <c r="AN985" i="3"/>
  <c r="AN986" i="3"/>
  <c r="AN987" i="3"/>
  <c r="AN988" i="3"/>
  <c r="AN989" i="3"/>
  <c r="AN990" i="3"/>
  <c r="AN991" i="3"/>
  <c r="AN992" i="3"/>
  <c r="AN993" i="3"/>
  <c r="AN994" i="3"/>
  <c r="AN995" i="3"/>
  <c r="AN996" i="3"/>
  <c r="AN997" i="3"/>
  <c r="AN998" i="3"/>
  <c r="AN999" i="3"/>
  <c r="AN1000" i="3"/>
  <c r="AN1001" i="3"/>
  <c r="AN1002" i="3"/>
  <c r="AN1003" i="3"/>
  <c r="AN1004" i="3"/>
  <c r="AN1005" i="3"/>
  <c r="AN1006" i="3"/>
  <c r="AN1007" i="3"/>
  <c r="AN1008" i="3"/>
  <c r="AN1009" i="3"/>
  <c r="AN1010" i="3"/>
  <c r="AN1011" i="3"/>
  <c r="AN1012" i="3"/>
  <c r="AN1013" i="3"/>
  <c r="AN1014" i="3"/>
  <c r="AN1015" i="3"/>
  <c r="AN1016" i="3"/>
  <c r="AN1017" i="3"/>
  <c r="AN1018" i="3"/>
  <c r="AN1019" i="3"/>
  <c r="AN1020" i="3"/>
  <c r="AN1021" i="3"/>
  <c r="AN1022" i="3"/>
  <c r="AN1023" i="3"/>
  <c r="AN1024" i="3"/>
  <c r="AN1025" i="3"/>
  <c r="AN1026" i="3"/>
  <c r="AN1027" i="3"/>
  <c r="AN1028" i="3"/>
  <c r="AN1029" i="3"/>
  <c r="AN1030" i="3"/>
  <c r="AN1031" i="3"/>
  <c r="AN1032" i="3"/>
  <c r="AN1033" i="3"/>
  <c r="AN1034" i="3"/>
  <c r="AN1035" i="3"/>
  <c r="AN1036" i="3"/>
  <c r="AN1037" i="3"/>
  <c r="AN1038" i="3"/>
  <c r="AN1039" i="3"/>
  <c r="AN1040" i="3"/>
  <c r="AN1041" i="3"/>
  <c r="AN1042" i="3"/>
  <c r="AN1043" i="3"/>
  <c r="AN1044" i="3"/>
  <c r="AN1045" i="3"/>
  <c r="AN1046" i="3"/>
  <c r="AN1047" i="3"/>
  <c r="AN1048" i="3"/>
  <c r="AN1049" i="3"/>
  <c r="AN1050" i="3"/>
  <c r="AN1051" i="3"/>
  <c r="AN1052" i="3"/>
  <c r="AN1053" i="3"/>
  <c r="AN1054" i="3"/>
  <c r="AN1055" i="3"/>
  <c r="AN1056" i="3"/>
  <c r="AN1057" i="3"/>
  <c r="AN1058" i="3"/>
  <c r="AN1059" i="3"/>
  <c r="AN1060" i="3"/>
  <c r="AN1061" i="3"/>
  <c r="AN1062" i="3"/>
  <c r="AN1063" i="3"/>
  <c r="AN1064" i="3"/>
  <c r="AN1065" i="3"/>
  <c r="AN1066" i="3"/>
  <c r="AN1067" i="3"/>
  <c r="AN1068" i="3"/>
  <c r="AN1069" i="3"/>
  <c r="AN1070" i="3"/>
  <c r="AN1071" i="3"/>
  <c r="AN1072" i="3"/>
  <c r="AN1073" i="3"/>
  <c r="AN1074" i="3"/>
  <c r="AN1075" i="3"/>
  <c r="AN1076" i="3"/>
  <c r="AN1077" i="3"/>
  <c r="AN1078" i="3"/>
  <c r="AN1079" i="3"/>
  <c r="AN1080" i="3"/>
  <c r="AN1081" i="3"/>
  <c r="AN1082" i="3"/>
  <c r="AN1083" i="3"/>
  <c r="AN1084" i="3"/>
  <c r="AN1085" i="3"/>
  <c r="AN1086" i="3"/>
  <c r="AN1087" i="3"/>
  <c r="AN1088" i="3"/>
  <c r="AN1089" i="3"/>
  <c r="AN1090" i="3"/>
  <c r="AN1091" i="3"/>
  <c r="AN1092" i="3"/>
  <c r="AN1093" i="3"/>
  <c r="AN1094" i="3"/>
  <c r="AN1095" i="3"/>
  <c r="AN1096" i="3"/>
  <c r="AN1097" i="3"/>
  <c r="AN1098" i="3"/>
  <c r="AN1099" i="3"/>
  <c r="AN1100" i="3"/>
  <c r="AN1101" i="3"/>
  <c r="AN1102" i="3"/>
  <c r="AN1103" i="3"/>
  <c r="AN1104" i="3"/>
  <c r="AN1105" i="3"/>
  <c r="AN1106" i="3"/>
  <c r="AN1107" i="3"/>
  <c r="AN1108" i="3"/>
  <c r="AN1109" i="3"/>
  <c r="AN1110" i="3"/>
  <c r="AN1111" i="3"/>
  <c r="AN1112" i="3"/>
  <c r="AN1113" i="3"/>
  <c r="AN1114" i="3"/>
  <c r="AN1115" i="3"/>
  <c r="AN1116" i="3"/>
  <c r="AN1117" i="3"/>
  <c r="AN1118" i="3"/>
  <c r="AN1119" i="3"/>
  <c r="AN1120" i="3"/>
  <c r="AN1121" i="3"/>
  <c r="AN1122" i="3"/>
  <c r="AN1123" i="3"/>
  <c r="AN1124" i="3"/>
  <c r="AN1125" i="3"/>
  <c r="AN1126" i="3"/>
  <c r="AN1127" i="3"/>
  <c r="AN1128" i="3"/>
  <c r="AN1129" i="3"/>
  <c r="AN1130" i="3"/>
  <c r="AN1131" i="3"/>
  <c r="AN1132" i="3"/>
  <c r="AN1133" i="3"/>
  <c r="AN1134" i="3"/>
  <c r="AN1135" i="3"/>
  <c r="AN1136" i="3"/>
  <c r="AN1137" i="3"/>
  <c r="AN1138" i="3"/>
  <c r="AN1139" i="3"/>
  <c r="AN1140" i="3"/>
  <c r="AN1141" i="3"/>
  <c r="AN1142" i="3"/>
  <c r="AN1143" i="3"/>
  <c r="AN1144" i="3"/>
  <c r="AN1145" i="3"/>
  <c r="AN1146" i="3"/>
  <c r="AN1147" i="3"/>
  <c r="AN1148" i="3"/>
  <c r="AN1149" i="3"/>
  <c r="AN1150" i="3"/>
  <c r="AN1151" i="3"/>
  <c r="AN1152" i="3"/>
  <c r="AN1153" i="3"/>
  <c r="AN1154" i="3"/>
  <c r="AN1155" i="3"/>
  <c r="AN1156" i="3"/>
  <c r="AN1157" i="3"/>
  <c r="AN1158" i="3"/>
  <c r="AN1159" i="3"/>
  <c r="AN1160" i="3"/>
  <c r="AN1161" i="3"/>
  <c r="AN1162" i="3"/>
  <c r="AN1163" i="3"/>
  <c r="AN1164" i="3"/>
  <c r="AN1165" i="3"/>
  <c r="AN1166" i="3"/>
  <c r="AN1167" i="3"/>
  <c r="AN1168" i="3"/>
  <c r="AN1169" i="3"/>
  <c r="AN1170" i="3"/>
  <c r="AN1171" i="3"/>
  <c r="AN1172" i="3"/>
  <c r="AN1173" i="3"/>
  <c r="AN1174" i="3"/>
  <c r="AN1175" i="3"/>
  <c r="AN1176" i="3"/>
  <c r="AN1177" i="3"/>
  <c r="AN1178" i="3"/>
  <c r="AN1179" i="3"/>
  <c r="AN1180" i="3"/>
  <c r="AN1181" i="3"/>
  <c r="AN1182" i="3"/>
  <c r="AN1183" i="3"/>
  <c r="AN1184" i="3"/>
  <c r="AN1185" i="3"/>
  <c r="AN1186" i="3"/>
  <c r="AN1187" i="3"/>
  <c r="AN1188" i="3"/>
  <c r="AN1189" i="3"/>
  <c r="AN1190" i="3"/>
  <c r="AN1191" i="3"/>
  <c r="AN1192" i="3"/>
  <c r="AN1193" i="3"/>
  <c r="AN1194" i="3"/>
  <c r="AN1195" i="3"/>
  <c r="AN1196" i="3"/>
  <c r="AN1197" i="3"/>
  <c r="AN1198" i="3"/>
  <c r="AN1199" i="3"/>
  <c r="AN1200" i="3"/>
  <c r="AN1201" i="3"/>
  <c r="AN1202" i="3"/>
  <c r="AN1203" i="3"/>
  <c r="AN1204" i="3"/>
  <c r="AN1205" i="3"/>
  <c r="AN1206" i="3"/>
  <c r="AN1207" i="3"/>
  <c r="AN1208" i="3"/>
  <c r="AN1209" i="3"/>
  <c r="AN1210" i="3"/>
  <c r="AN1211" i="3"/>
  <c r="AN1212" i="3"/>
  <c r="AN1213" i="3"/>
  <c r="AN1214" i="3"/>
  <c r="AN1215" i="3"/>
  <c r="AN1216" i="3"/>
  <c r="AN1217" i="3"/>
  <c r="AN1218" i="3"/>
  <c r="AN1219" i="3"/>
  <c r="AN1220" i="3"/>
  <c r="AN1221" i="3"/>
  <c r="AN1222" i="3"/>
  <c r="AN1223" i="3"/>
  <c r="AN1224" i="3"/>
  <c r="AN1225" i="3"/>
  <c r="AN1226" i="3"/>
  <c r="AN1227" i="3"/>
  <c r="AN1228" i="3"/>
  <c r="AN1229" i="3"/>
  <c r="AN1230" i="3"/>
  <c r="AN1231" i="3"/>
  <c r="AN1232" i="3"/>
  <c r="AN1233" i="3"/>
  <c r="AN1234" i="3"/>
  <c r="AN1235" i="3"/>
  <c r="AN1236" i="3"/>
  <c r="AN1237" i="3"/>
  <c r="AN1238" i="3"/>
  <c r="AN1239" i="3"/>
  <c r="AN1240" i="3"/>
  <c r="AN1241" i="3"/>
  <c r="AN1242" i="3"/>
  <c r="AN1243" i="3"/>
  <c r="AN1244" i="3"/>
  <c r="AN1245" i="3"/>
  <c r="AN1246" i="3"/>
  <c r="AN1247" i="3"/>
  <c r="AN1248" i="3"/>
  <c r="AN1249" i="3"/>
  <c r="AN1250" i="3"/>
  <c r="AN1251" i="3"/>
  <c r="AN1252" i="3"/>
  <c r="AN1253" i="3"/>
  <c r="AN1254" i="3"/>
  <c r="AN1255" i="3"/>
  <c r="AN1256" i="3"/>
  <c r="AN1257" i="3"/>
  <c r="AN1258" i="3"/>
  <c r="AN1259" i="3"/>
  <c r="AN1260" i="3"/>
  <c r="AN1261" i="3"/>
  <c r="AN1262" i="3"/>
  <c r="AN1263" i="3"/>
  <c r="AN1264" i="3"/>
  <c r="AN1265" i="3"/>
  <c r="AN1266" i="3"/>
  <c r="AN1267" i="3"/>
  <c r="AN1268" i="3"/>
  <c r="AN1269" i="3"/>
  <c r="AN1270" i="3"/>
  <c r="AN1271" i="3"/>
  <c r="AN1272" i="3"/>
  <c r="AN1273" i="3"/>
  <c r="AN1274" i="3"/>
  <c r="AN1275" i="3"/>
  <c r="AN1276" i="3"/>
  <c r="AN1277" i="3"/>
  <c r="AN1278" i="3"/>
  <c r="AN1279" i="3"/>
  <c r="AN1280" i="3"/>
  <c r="AN1281" i="3"/>
  <c r="AN1282" i="3"/>
  <c r="AN1283" i="3"/>
  <c r="AN1284" i="3"/>
  <c r="AN1285" i="3"/>
  <c r="AN1286" i="3"/>
  <c r="AN1287" i="3"/>
  <c r="AN1288" i="3"/>
  <c r="AN1289" i="3"/>
  <c r="AN1290" i="3"/>
  <c r="AN1291" i="3"/>
  <c r="AN1292" i="3"/>
  <c r="AN1293" i="3"/>
  <c r="AN1294" i="3"/>
  <c r="AN1295" i="3"/>
  <c r="AN1296" i="3"/>
  <c r="AN1297" i="3"/>
  <c r="AN1298" i="3"/>
  <c r="AN1299" i="3"/>
  <c r="AN1300" i="3"/>
  <c r="AN1301" i="3"/>
  <c r="AN1302" i="3"/>
  <c r="AN1303" i="3"/>
  <c r="AN1304" i="3"/>
  <c r="AN1305" i="3"/>
  <c r="AN1306" i="3"/>
  <c r="AN1307" i="3"/>
  <c r="AN1308" i="3"/>
  <c r="AN1309" i="3"/>
  <c r="AN1310" i="3"/>
  <c r="AN1311" i="3"/>
  <c r="AN1312" i="3"/>
  <c r="AN1313" i="3"/>
  <c r="AN1314" i="3"/>
  <c r="AN1315" i="3"/>
  <c r="AN1316" i="3"/>
  <c r="AN1317" i="3"/>
  <c r="AN1318" i="3"/>
  <c r="AN1319" i="3"/>
  <c r="AN1320" i="3"/>
  <c r="AN1321" i="3"/>
  <c r="AN1322" i="3"/>
  <c r="AN1323" i="3"/>
  <c r="AN1324" i="3"/>
  <c r="AN1325" i="3"/>
  <c r="AN1326" i="3"/>
  <c r="AN1327" i="3"/>
  <c r="AN1328" i="3"/>
  <c r="AN1329" i="3"/>
  <c r="AN1330" i="3"/>
  <c r="AN1331" i="3"/>
  <c r="AN1332" i="3"/>
  <c r="AN1333" i="3"/>
  <c r="AN1334" i="3"/>
  <c r="AN1335" i="3"/>
  <c r="AN1336" i="3"/>
  <c r="AN1337" i="3"/>
  <c r="AN1338" i="3"/>
  <c r="AN1339" i="3"/>
  <c r="AN1340" i="3"/>
  <c r="AN1341" i="3"/>
  <c r="AN1342" i="3"/>
  <c r="AN1343" i="3"/>
  <c r="AN1344" i="3"/>
  <c r="AN1345" i="3"/>
  <c r="AN1346" i="3"/>
  <c r="AN1347" i="3"/>
  <c r="AN1348" i="3"/>
  <c r="AN1349" i="3"/>
  <c r="AN1350" i="3"/>
  <c r="AN1351" i="3"/>
  <c r="AN1352" i="3"/>
  <c r="AN1353" i="3"/>
  <c r="AN1354" i="3"/>
  <c r="AN1355" i="3"/>
  <c r="AN1356" i="3"/>
  <c r="AN1357" i="3"/>
  <c r="AN1358" i="3"/>
  <c r="AN1359" i="3"/>
  <c r="AN1360" i="3"/>
  <c r="AN1361" i="3"/>
  <c r="AN1362" i="3"/>
  <c r="AN1363" i="3"/>
  <c r="AN1364" i="3"/>
  <c r="AN1365" i="3"/>
  <c r="AN1366" i="3"/>
  <c r="AN1367" i="3"/>
  <c r="AN1368" i="3"/>
  <c r="AN1369" i="3"/>
  <c r="AN1370" i="3"/>
  <c r="AN1371" i="3"/>
  <c r="AN1372" i="3"/>
  <c r="AN1373" i="3"/>
  <c r="AN1374" i="3"/>
  <c r="AN1375" i="3"/>
  <c r="AN1376" i="3"/>
  <c r="AN1377" i="3"/>
  <c r="AN1378" i="3"/>
  <c r="AN1379" i="3"/>
  <c r="AN1380" i="3"/>
  <c r="AN1381" i="3"/>
  <c r="AN1382" i="3"/>
  <c r="AN1383" i="3"/>
  <c r="AN1384" i="3"/>
  <c r="AN1385" i="3"/>
  <c r="AN1386" i="3"/>
  <c r="AN1387" i="3"/>
  <c r="AN1388" i="3"/>
  <c r="AN1389" i="3"/>
  <c r="AN1390" i="3"/>
  <c r="AN1391" i="3"/>
  <c r="AN1392" i="3"/>
  <c r="AN1393" i="3"/>
  <c r="AN1394" i="3"/>
  <c r="AN1395" i="3"/>
  <c r="AN1396" i="3"/>
  <c r="AN1397" i="3"/>
  <c r="AN1398" i="3"/>
  <c r="AN1399" i="3"/>
  <c r="AN1400" i="3"/>
  <c r="AN1401" i="3"/>
  <c r="AN1402" i="3"/>
  <c r="AN1403" i="3"/>
  <c r="AN1404" i="3"/>
  <c r="AN1405" i="3"/>
  <c r="AN1406" i="3"/>
  <c r="AN1407" i="3"/>
  <c r="AN1408" i="3"/>
  <c r="AN1409" i="3"/>
  <c r="AN1410" i="3"/>
  <c r="AN1411" i="3"/>
  <c r="AN1412" i="3"/>
  <c r="AN1413" i="3"/>
  <c r="AN1414" i="3"/>
  <c r="AN1415" i="3"/>
  <c r="AN1416" i="3"/>
  <c r="AN1417" i="3"/>
  <c r="AN1418" i="3"/>
  <c r="AN1419" i="3"/>
  <c r="AN1420" i="3"/>
  <c r="AN1421" i="3"/>
  <c r="AN1422" i="3"/>
  <c r="AN1423" i="3"/>
  <c r="AN1424" i="3"/>
  <c r="AN1425" i="3"/>
  <c r="AN1426" i="3"/>
  <c r="AN1427" i="3"/>
  <c r="AN1428" i="3"/>
  <c r="AN1429" i="3"/>
  <c r="AN1430" i="3"/>
  <c r="AN1431" i="3"/>
  <c r="AN1432" i="3"/>
  <c r="AN1433" i="3"/>
  <c r="AN1434" i="3"/>
  <c r="AN1435" i="3"/>
  <c r="AN1436" i="3"/>
  <c r="AN1437" i="3"/>
  <c r="AN1438" i="3"/>
  <c r="AN1439" i="3"/>
  <c r="AN1440" i="3"/>
  <c r="AN1441" i="3"/>
  <c r="AN1442" i="3"/>
  <c r="AN1443" i="3"/>
  <c r="AN1444" i="3"/>
  <c r="AN1445" i="3"/>
  <c r="AN1446" i="3"/>
  <c r="AN1447" i="3"/>
  <c r="AN1448" i="3"/>
  <c r="AN1449" i="3"/>
  <c r="AN1450" i="3"/>
  <c r="AN1451" i="3"/>
  <c r="AN1452" i="3"/>
  <c r="AN1453" i="3"/>
  <c r="AN1454" i="3"/>
  <c r="AN1455" i="3"/>
  <c r="AN1456" i="3"/>
  <c r="AN1457" i="3"/>
  <c r="AN1458" i="3"/>
  <c r="AN1459" i="3"/>
  <c r="AN1460" i="3"/>
  <c r="AN1461" i="3"/>
  <c r="AN1462" i="3"/>
  <c r="AN1463" i="3"/>
  <c r="AN1464" i="3"/>
  <c r="AN1465" i="3"/>
  <c r="AN1466" i="3"/>
  <c r="AN1467" i="3"/>
  <c r="AN1468" i="3"/>
  <c r="AN1469" i="3"/>
  <c r="AN1470" i="3"/>
  <c r="AN1471" i="3"/>
  <c r="AN1472" i="3"/>
  <c r="AN1473" i="3"/>
  <c r="AN1474" i="3"/>
  <c r="AN1475" i="3"/>
  <c r="AN1476" i="3"/>
  <c r="AN1477" i="3"/>
  <c r="AN1478" i="3"/>
  <c r="AN1479" i="3"/>
  <c r="AN1480" i="3"/>
  <c r="AN1481" i="3"/>
  <c r="AN1482" i="3"/>
  <c r="AN1483" i="3"/>
  <c r="AN1484" i="3"/>
  <c r="AN1485" i="3"/>
  <c r="AN1486" i="3"/>
  <c r="AN1487" i="3"/>
  <c r="AN1488" i="3"/>
  <c r="AN1489" i="3"/>
  <c r="AN1490" i="3"/>
  <c r="AN1491" i="3"/>
  <c r="AN1492" i="3"/>
  <c r="AN1493" i="3"/>
  <c r="AN1494" i="3"/>
  <c r="AN1495" i="3"/>
  <c r="AN1496" i="3"/>
  <c r="AN1497" i="3"/>
  <c r="AN1498" i="3"/>
  <c r="AN1499" i="3"/>
  <c r="AN1500" i="3"/>
  <c r="AN1501" i="3"/>
  <c r="AN1502" i="3"/>
  <c r="AN1503" i="3"/>
  <c r="AN1504" i="3"/>
  <c r="AN1505" i="3"/>
  <c r="AN1506" i="3"/>
  <c r="AN1507" i="3"/>
  <c r="AN1508" i="3"/>
  <c r="AN1509" i="3"/>
  <c r="AN1510" i="3"/>
  <c r="AN1511" i="3"/>
  <c r="AN1512" i="3"/>
  <c r="AN1513" i="3"/>
  <c r="AN1514" i="3"/>
  <c r="AN1515" i="3"/>
  <c r="AN1516" i="3"/>
  <c r="AN1517" i="3"/>
  <c r="AN1518" i="3"/>
  <c r="AN1519" i="3"/>
  <c r="AN1520" i="3"/>
  <c r="AN1521" i="3"/>
  <c r="AN1522" i="3"/>
  <c r="AN1523" i="3"/>
  <c r="AN1524" i="3"/>
  <c r="AN1525" i="3"/>
  <c r="AN1526" i="3"/>
  <c r="AN1527" i="3"/>
  <c r="AN1528" i="3"/>
  <c r="AN1529" i="3"/>
  <c r="AN1530" i="3"/>
  <c r="AN1531" i="3"/>
  <c r="AN1532" i="3"/>
  <c r="AN1533" i="3"/>
  <c r="AN1534" i="3"/>
  <c r="AN1535" i="3"/>
  <c r="AN1536" i="3"/>
  <c r="AN1537" i="3"/>
  <c r="AN1538" i="3"/>
  <c r="AN1539" i="3"/>
  <c r="AN1540" i="3"/>
  <c r="AN1541" i="3"/>
  <c r="AN1542" i="3"/>
  <c r="AN1543" i="3"/>
  <c r="AN1544" i="3"/>
  <c r="AN1545" i="3"/>
  <c r="AN1546" i="3"/>
  <c r="AN1547" i="3"/>
  <c r="AN1548" i="3"/>
  <c r="AN1549" i="3"/>
  <c r="AN1550" i="3"/>
  <c r="AN1551" i="3"/>
  <c r="AN1552" i="3"/>
  <c r="AN1553" i="3"/>
  <c r="AN1554" i="3"/>
  <c r="AN1555" i="3"/>
  <c r="AN1556" i="3"/>
  <c r="AN1557" i="3"/>
  <c r="AN1558" i="3"/>
  <c r="AN1559" i="3"/>
  <c r="AN1560" i="3"/>
  <c r="AN1561" i="3"/>
  <c r="AN1562" i="3"/>
  <c r="AN1563" i="3"/>
  <c r="AN1564" i="3"/>
  <c r="AN1565" i="3"/>
  <c r="AN1566" i="3"/>
  <c r="AN1567" i="3"/>
  <c r="AN1568" i="3"/>
  <c r="AN1569" i="3"/>
  <c r="AN1570" i="3"/>
  <c r="AN1571" i="3"/>
  <c r="AN1572" i="3"/>
  <c r="AN1573" i="3"/>
  <c r="AN1574" i="3"/>
  <c r="AN1575" i="3"/>
  <c r="AN1576" i="3"/>
  <c r="AN1577" i="3"/>
  <c r="AN1578" i="3"/>
  <c r="AN1579" i="3"/>
  <c r="AN1580" i="3"/>
  <c r="AN1581" i="3"/>
  <c r="AN1582" i="3"/>
  <c r="AN1583" i="3"/>
  <c r="AN1584" i="3"/>
  <c r="AN1585" i="3"/>
  <c r="AN1586" i="3"/>
  <c r="AN1587" i="3"/>
  <c r="AN1588" i="3"/>
  <c r="AN1589" i="3"/>
  <c r="AN1590" i="3"/>
  <c r="AN1591" i="3"/>
  <c r="AN1592" i="3"/>
  <c r="AN1593" i="3"/>
  <c r="AN1594" i="3"/>
  <c r="AN1595" i="3"/>
  <c r="AN1596" i="3"/>
  <c r="AN1597" i="3"/>
  <c r="AN1598" i="3"/>
  <c r="AN1599" i="3"/>
  <c r="AN1600" i="3"/>
  <c r="AN1601" i="3"/>
  <c r="AN1602" i="3"/>
  <c r="AN1603" i="3"/>
  <c r="AN1604" i="3"/>
  <c r="AN1605" i="3"/>
  <c r="AN1606" i="3"/>
  <c r="AN1607" i="3"/>
  <c r="AN1608" i="3"/>
  <c r="AN1609" i="3"/>
  <c r="AN1610" i="3"/>
  <c r="AN1611" i="3"/>
  <c r="AN1612" i="3"/>
  <c r="AN1613" i="3"/>
  <c r="AN1614" i="3"/>
  <c r="AN1615" i="3"/>
  <c r="AN1616" i="3"/>
  <c r="AN1617" i="3"/>
  <c r="AN1618" i="3"/>
  <c r="AN1619" i="3"/>
  <c r="AN1620" i="3"/>
  <c r="AN1621" i="3"/>
  <c r="AN1622" i="3"/>
  <c r="AN1623" i="3"/>
  <c r="AN1624" i="3"/>
  <c r="AN1625" i="3"/>
  <c r="AN1626" i="3"/>
  <c r="AN1627" i="3"/>
  <c r="AN1628" i="3"/>
  <c r="AN1629" i="3"/>
  <c r="AN1630" i="3"/>
  <c r="AN1631" i="3"/>
  <c r="AN1632" i="3"/>
  <c r="AN1633" i="3"/>
  <c r="AN1634" i="3"/>
  <c r="AN1635" i="3"/>
  <c r="AN1636" i="3"/>
  <c r="AN1637" i="3"/>
  <c r="AN1638" i="3"/>
  <c r="AN1639" i="3"/>
  <c r="AN1640" i="3"/>
  <c r="AN1641" i="3"/>
  <c r="AN1642" i="3"/>
  <c r="AN1643" i="3"/>
  <c r="AN1644" i="3"/>
  <c r="AN1645" i="3"/>
  <c r="AN1646" i="3"/>
  <c r="AN1647" i="3"/>
  <c r="AN1648" i="3"/>
  <c r="AN1649" i="3"/>
  <c r="AN1650" i="3"/>
  <c r="AN1651" i="3"/>
  <c r="AN1652" i="3"/>
  <c r="AN1653" i="3"/>
  <c r="AN1654" i="3"/>
  <c r="AN1655" i="3"/>
  <c r="AN1656" i="3"/>
  <c r="AN1657" i="3"/>
  <c r="AN1658" i="3"/>
  <c r="AN1659" i="3"/>
  <c r="AN1660" i="3"/>
  <c r="AN1661" i="3"/>
  <c r="AN1662" i="3"/>
  <c r="AN1663" i="3"/>
  <c r="AN1664" i="3"/>
  <c r="AN1665" i="3"/>
  <c r="AN1666" i="3"/>
  <c r="AN1667" i="3"/>
  <c r="AN1668" i="3"/>
  <c r="AN1669" i="3"/>
  <c r="AN1670" i="3"/>
  <c r="AN1671" i="3"/>
  <c r="AN1672" i="3"/>
  <c r="AN1673" i="3"/>
  <c r="AN1674" i="3"/>
  <c r="AN1675" i="3"/>
  <c r="AN1676" i="3"/>
  <c r="AN1677" i="3"/>
  <c r="AN1678" i="3"/>
  <c r="AN1679" i="3"/>
  <c r="AN1680" i="3"/>
  <c r="AN1681" i="3"/>
  <c r="AN1682" i="3"/>
  <c r="AN1683" i="3"/>
  <c r="AN1684" i="3"/>
  <c r="AN1685" i="3"/>
  <c r="AN1686" i="3"/>
  <c r="AN1687" i="3"/>
  <c r="AN1688" i="3"/>
  <c r="AN1689" i="3"/>
  <c r="AN1690" i="3"/>
  <c r="AN1691" i="3"/>
  <c r="AN1692" i="3"/>
  <c r="AN1693" i="3"/>
  <c r="AN1694" i="3"/>
  <c r="AN1695" i="3"/>
  <c r="AN1696" i="3"/>
  <c r="AN1697" i="3"/>
  <c r="AN1698" i="3"/>
  <c r="AN1699" i="3"/>
  <c r="AN1700" i="3"/>
  <c r="AN1701" i="3"/>
  <c r="AN1702" i="3"/>
  <c r="AN1703" i="3"/>
  <c r="AN1704" i="3"/>
  <c r="AN1705" i="3"/>
  <c r="AN1706" i="3"/>
  <c r="AN1707" i="3"/>
  <c r="AN1708" i="3"/>
  <c r="AN1709" i="3"/>
  <c r="AN1710" i="3"/>
  <c r="AN1711" i="3"/>
  <c r="AN1712" i="3"/>
  <c r="AN1713" i="3"/>
  <c r="AN1714" i="3"/>
  <c r="AN1715" i="3"/>
  <c r="AN1716" i="3"/>
  <c r="AN1717" i="3"/>
  <c r="AN1718" i="3"/>
  <c r="AN1719" i="3"/>
  <c r="AN1720" i="3"/>
  <c r="AN1721" i="3"/>
  <c r="AN1722" i="3"/>
  <c r="AN1723" i="3"/>
  <c r="AN1724" i="3"/>
  <c r="AN1725" i="3"/>
  <c r="AN1726" i="3"/>
  <c r="AN1727" i="3"/>
  <c r="AN1728" i="3"/>
  <c r="AN1729" i="3"/>
  <c r="AN1730" i="3"/>
  <c r="AN1731" i="3"/>
  <c r="AN1732" i="3"/>
  <c r="AN1733" i="3"/>
  <c r="AN1734" i="3"/>
  <c r="AN1735" i="3"/>
  <c r="AN1736" i="3"/>
  <c r="AN1737" i="3"/>
  <c r="AN1738" i="3"/>
  <c r="AN1739" i="3"/>
  <c r="AN1740" i="3"/>
  <c r="AN1741" i="3"/>
  <c r="AN1742" i="3"/>
  <c r="AN1743" i="3"/>
  <c r="AN1744" i="3"/>
  <c r="AN1745" i="3"/>
  <c r="AN1746" i="3"/>
  <c r="AN1747" i="3"/>
  <c r="AN1748" i="3"/>
  <c r="AN1749" i="3"/>
  <c r="AN1750" i="3"/>
  <c r="AN1751" i="3"/>
  <c r="AN1752" i="3"/>
  <c r="AN1753" i="3"/>
  <c r="AN1754" i="3"/>
  <c r="AN1755" i="3"/>
  <c r="AN1756" i="3"/>
  <c r="AN1757" i="3"/>
  <c r="AN1758" i="3"/>
  <c r="AN1759" i="3"/>
  <c r="AN1760" i="3"/>
  <c r="AN1761" i="3"/>
  <c r="AN1762" i="3"/>
  <c r="AN1763" i="3"/>
  <c r="AN1764" i="3"/>
  <c r="AN1765" i="3"/>
  <c r="AN1766" i="3"/>
  <c r="AN1767" i="3"/>
  <c r="AN1768" i="3"/>
  <c r="AN1769" i="3"/>
  <c r="AN1770" i="3"/>
  <c r="AN1771" i="3"/>
  <c r="AN1772" i="3"/>
  <c r="AN1773" i="3"/>
  <c r="AN1774" i="3"/>
  <c r="AN1775" i="3"/>
  <c r="AN1776" i="3"/>
  <c r="AN1777" i="3"/>
  <c r="AN1778" i="3"/>
  <c r="AN1779" i="3"/>
  <c r="AN1780" i="3"/>
  <c r="AN1781" i="3"/>
  <c r="AN1782" i="3"/>
  <c r="AN1783" i="3"/>
  <c r="AN1784" i="3"/>
  <c r="AN1785" i="3"/>
  <c r="AN1786" i="3"/>
  <c r="AN1787" i="3"/>
  <c r="AN1788" i="3"/>
  <c r="AN1789" i="3"/>
  <c r="AN1790" i="3"/>
  <c r="AN1791" i="3"/>
  <c r="AN1792" i="3"/>
  <c r="AN1793" i="3"/>
  <c r="AN1794" i="3"/>
  <c r="AN1795" i="3"/>
  <c r="AN1796" i="3"/>
  <c r="AN1797" i="3"/>
  <c r="AN1798" i="3"/>
  <c r="AN1799" i="3"/>
  <c r="AN1800" i="3"/>
  <c r="AN1801" i="3"/>
  <c r="AN1802" i="3"/>
  <c r="AN1803" i="3"/>
  <c r="AN1804" i="3"/>
  <c r="AN1805" i="3"/>
  <c r="AN1806" i="3"/>
  <c r="AN1807" i="3"/>
  <c r="AN1808" i="3"/>
  <c r="AN1809" i="3"/>
  <c r="AN1810" i="3"/>
  <c r="AN1811" i="3"/>
  <c r="AN1812" i="3"/>
  <c r="AN1813" i="3"/>
  <c r="AN1814" i="3"/>
  <c r="AN1815" i="3"/>
  <c r="AN1816" i="3"/>
  <c r="AN1817" i="3"/>
  <c r="AN1818" i="3"/>
  <c r="AN1819" i="3"/>
  <c r="AN1820" i="3"/>
  <c r="AN1821" i="3"/>
  <c r="AN1822" i="3"/>
  <c r="AN1823" i="3"/>
  <c r="AN1824" i="3"/>
  <c r="AN1825" i="3"/>
  <c r="AN1826" i="3"/>
  <c r="AN1827" i="3"/>
  <c r="AN1828" i="3"/>
  <c r="AN1829" i="3"/>
  <c r="AN1830" i="3"/>
  <c r="AN1831" i="3"/>
  <c r="AN1832" i="3"/>
  <c r="AN1833" i="3"/>
  <c r="AN1834" i="3"/>
  <c r="AN1835" i="3"/>
  <c r="AN1836" i="3"/>
  <c r="AN1837" i="3"/>
  <c r="AN1838" i="3"/>
  <c r="AN1839" i="3"/>
  <c r="AN1840" i="3"/>
  <c r="AN1841" i="3"/>
  <c r="AN1842" i="3"/>
  <c r="AN1843" i="3"/>
  <c r="AN1844" i="3"/>
  <c r="AN1845" i="3"/>
  <c r="AN1846" i="3"/>
  <c r="AN1847" i="3"/>
  <c r="AN1848" i="3"/>
  <c r="AN1849" i="3"/>
  <c r="AN1850" i="3"/>
  <c r="AN1851" i="3"/>
  <c r="AN1852" i="3"/>
  <c r="AN1853" i="3"/>
  <c r="AN1854" i="3"/>
  <c r="AN1855" i="3"/>
  <c r="AN1856" i="3"/>
  <c r="AN1857" i="3"/>
  <c r="AN1858" i="3"/>
  <c r="AN1859" i="3"/>
  <c r="AN1860" i="3"/>
  <c r="AN1861" i="3"/>
  <c r="AN1862" i="3"/>
  <c r="AN1863" i="3"/>
  <c r="AN1864" i="3"/>
  <c r="AN1865" i="3"/>
  <c r="AN1866" i="3"/>
  <c r="AN1867" i="3"/>
  <c r="AN1868" i="3"/>
  <c r="AN1869" i="3"/>
  <c r="AN1870" i="3"/>
  <c r="AN1871" i="3"/>
  <c r="AN1872" i="3"/>
  <c r="AN1873" i="3"/>
  <c r="AN1874" i="3"/>
  <c r="AN1875" i="3"/>
  <c r="AN1876" i="3"/>
  <c r="AN1877" i="3"/>
  <c r="AN1878" i="3"/>
  <c r="AN1879" i="3"/>
  <c r="AN1880" i="3"/>
  <c r="AN1881" i="3"/>
  <c r="AN1882" i="3"/>
  <c r="AN1883" i="3"/>
  <c r="AN1884" i="3"/>
  <c r="AN1885" i="3"/>
  <c r="AN1886" i="3"/>
  <c r="AN1887" i="3"/>
  <c r="AN1888" i="3"/>
  <c r="AN1889" i="3"/>
  <c r="AN1890" i="3"/>
  <c r="AN1891" i="3"/>
  <c r="AN1892" i="3"/>
  <c r="AN1893" i="3"/>
  <c r="AN1894" i="3"/>
  <c r="AN1895" i="3"/>
  <c r="AN1896" i="3"/>
  <c r="AN1897" i="3"/>
  <c r="AN1898" i="3"/>
  <c r="AN1899" i="3"/>
  <c r="AN1900" i="3"/>
  <c r="AN1901" i="3"/>
  <c r="AN1902" i="3"/>
  <c r="AN1903" i="3"/>
  <c r="AN1904" i="3"/>
  <c r="AN1905" i="3"/>
  <c r="AN1906" i="3"/>
  <c r="AN1907" i="3"/>
  <c r="AN1908" i="3"/>
  <c r="AN1909" i="3"/>
  <c r="AN1910" i="3"/>
  <c r="AN1911" i="3"/>
  <c r="AN1912" i="3"/>
  <c r="AN1913" i="3"/>
  <c r="AN1914" i="3"/>
  <c r="AN1915" i="3"/>
  <c r="AN1916" i="3"/>
  <c r="AN1917" i="3"/>
  <c r="AN1918" i="3"/>
  <c r="AN1919" i="3"/>
  <c r="AN1920" i="3"/>
  <c r="AN1921" i="3"/>
  <c r="AN1922" i="3"/>
  <c r="AN1923" i="3"/>
  <c r="AN1924" i="3"/>
  <c r="AN1925" i="3"/>
  <c r="AN1926" i="3"/>
  <c r="AN1927" i="3"/>
  <c r="AN1928" i="3"/>
  <c r="AN1929" i="3"/>
  <c r="AN1930" i="3"/>
  <c r="AN1931" i="3"/>
  <c r="AN1932" i="3"/>
  <c r="AN1933" i="3"/>
  <c r="AN1934" i="3"/>
  <c r="AN1935" i="3"/>
  <c r="AN1936" i="3"/>
  <c r="AN1937" i="3"/>
  <c r="AN1938" i="3"/>
  <c r="AN1939" i="3"/>
  <c r="AN1940" i="3"/>
  <c r="AN1941" i="3"/>
  <c r="AN1942" i="3"/>
  <c r="AN1943" i="3"/>
  <c r="AN1944" i="3"/>
  <c r="AN1945" i="3"/>
  <c r="AN1946" i="3"/>
  <c r="AN1947" i="3"/>
  <c r="AN1948" i="3"/>
  <c r="AN1949" i="3"/>
  <c r="AN1950" i="3"/>
  <c r="AN1951" i="3"/>
  <c r="AN1952" i="3"/>
  <c r="AN1953" i="3"/>
  <c r="AN1954" i="3"/>
  <c r="AN1955" i="3"/>
  <c r="AN1956" i="3"/>
  <c r="AN1957" i="3"/>
  <c r="AN1958" i="3"/>
  <c r="AN1959" i="3"/>
  <c r="AN1960" i="3"/>
  <c r="AN1961" i="3"/>
  <c r="AN1962" i="3"/>
  <c r="AN1963" i="3"/>
  <c r="AN1964" i="3"/>
  <c r="AN1965" i="3"/>
  <c r="AN1966" i="3"/>
  <c r="AN1967" i="3"/>
  <c r="AN1968" i="3"/>
  <c r="AN1969" i="3"/>
  <c r="AN1970" i="3"/>
  <c r="AN1971" i="3"/>
  <c r="AN1972" i="3"/>
  <c r="AN1973" i="3"/>
  <c r="AN1974" i="3"/>
  <c r="AN1975" i="3"/>
  <c r="AN1976" i="3"/>
  <c r="AN1977" i="3"/>
  <c r="AN1978" i="3"/>
  <c r="AN1979" i="3"/>
  <c r="AN1980" i="3"/>
  <c r="AN1981" i="3"/>
  <c r="AN1982" i="3"/>
  <c r="AN1983" i="3"/>
  <c r="AN1984" i="3"/>
  <c r="AN1985" i="3"/>
  <c r="AN1986" i="3"/>
  <c r="AN1987" i="3"/>
  <c r="AN1988" i="3"/>
  <c r="AN1989" i="3"/>
  <c r="AN1990" i="3"/>
  <c r="AN1991" i="3"/>
  <c r="AN1992" i="3"/>
  <c r="AN1993" i="3"/>
  <c r="AN1994" i="3"/>
  <c r="AN1995" i="3"/>
  <c r="AN1996" i="3"/>
  <c r="AN1997" i="3"/>
  <c r="AN1998" i="3"/>
  <c r="AN1999" i="3"/>
  <c r="AN2000" i="3"/>
  <c r="AN2001" i="3"/>
  <c r="AN2002" i="3"/>
  <c r="AN2003" i="3"/>
  <c r="AN2004" i="3"/>
  <c r="AN2005" i="3"/>
  <c r="AN2006" i="3"/>
  <c r="AN2007" i="3"/>
  <c r="AN2008" i="3"/>
  <c r="AN2009" i="3"/>
  <c r="AN2010" i="3"/>
  <c r="AN2011" i="3"/>
  <c r="AN2012" i="3"/>
  <c r="AN2013" i="3"/>
  <c r="AN2014" i="3"/>
  <c r="AN2015" i="3"/>
  <c r="AN2016" i="3"/>
  <c r="AN2017" i="3"/>
  <c r="AN2018" i="3"/>
  <c r="AN2019" i="3"/>
  <c r="AN2020" i="3"/>
  <c r="AN2021" i="3"/>
  <c r="AN2022" i="3"/>
  <c r="AN2023" i="3"/>
  <c r="AN2024" i="3"/>
  <c r="AN2025" i="3"/>
  <c r="AN2026" i="3"/>
  <c r="AN2027" i="3"/>
  <c r="AN2028" i="3"/>
  <c r="AN2029" i="3"/>
  <c r="AN2030" i="3"/>
  <c r="AN2031" i="3"/>
  <c r="AN2032" i="3"/>
  <c r="AN2033" i="3"/>
  <c r="AN2034" i="3"/>
  <c r="AN2035" i="3"/>
  <c r="AN2036" i="3"/>
  <c r="AN2037" i="3"/>
  <c r="AN2038" i="3"/>
  <c r="AN2039" i="3"/>
  <c r="AN2040" i="3"/>
  <c r="AN2041" i="3"/>
  <c r="AN2042" i="3"/>
  <c r="AN2043" i="3"/>
  <c r="AN2044" i="3"/>
  <c r="AN2045" i="3"/>
  <c r="AN2046" i="3"/>
  <c r="AN2047" i="3"/>
  <c r="AN2048" i="3"/>
  <c r="AN2049" i="3"/>
  <c r="AN2050" i="3"/>
  <c r="AN2051" i="3"/>
  <c r="AN2052" i="3"/>
  <c r="AN2053" i="3"/>
  <c r="AN2054" i="3"/>
  <c r="AN2055" i="3"/>
  <c r="AN2056" i="3"/>
  <c r="AN2057" i="3"/>
  <c r="AN2058" i="3"/>
  <c r="AN2059" i="3"/>
  <c r="AN2060" i="3"/>
  <c r="AN2061" i="3"/>
  <c r="AN2062" i="3"/>
  <c r="AN2063" i="3"/>
  <c r="AN2064" i="3"/>
  <c r="AN2065" i="3"/>
  <c r="AN2066" i="3"/>
  <c r="AN2067" i="3"/>
  <c r="AN2068" i="3"/>
  <c r="AN2069" i="3"/>
  <c r="AN2070" i="3"/>
  <c r="AN2071" i="3"/>
  <c r="AN2072" i="3"/>
  <c r="AN2073" i="3"/>
  <c r="AN2074" i="3"/>
  <c r="AN2075" i="3"/>
  <c r="AN2076" i="3"/>
  <c r="AN2077" i="3"/>
  <c r="AN2078" i="3"/>
  <c r="AN2079" i="3"/>
  <c r="AN2080" i="3"/>
  <c r="AN2081" i="3"/>
  <c r="AN2082" i="3"/>
  <c r="AN2083" i="3"/>
  <c r="AN2084" i="3"/>
  <c r="AN2085" i="3"/>
  <c r="AN2086" i="3"/>
  <c r="AN2087" i="3"/>
  <c r="AN2088" i="3"/>
  <c r="AN2089" i="3"/>
  <c r="AN2090" i="3"/>
  <c r="AN2091" i="3"/>
  <c r="AN2092" i="3"/>
  <c r="AN2093" i="3"/>
  <c r="AN2094" i="3"/>
  <c r="AN2095" i="3"/>
  <c r="AN2096" i="3"/>
  <c r="AN2097" i="3"/>
  <c r="AN2098" i="3"/>
  <c r="AN2099" i="3"/>
  <c r="AN2100" i="3"/>
  <c r="AN2101" i="3"/>
  <c r="AN2102" i="3"/>
  <c r="AN2103" i="3"/>
  <c r="AN2104" i="3"/>
  <c r="AN2105" i="3"/>
  <c r="AN2106" i="3"/>
  <c r="AN2107" i="3"/>
  <c r="AN2108" i="3"/>
  <c r="AN2109" i="3"/>
  <c r="AN2110" i="3"/>
  <c r="AN2111" i="3"/>
  <c r="AN2112" i="3"/>
  <c r="AN2113" i="3"/>
  <c r="AN2114" i="3"/>
  <c r="AN2115" i="3"/>
  <c r="AN2116" i="3"/>
  <c r="AN2117" i="3"/>
  <c r="AN2118" i="3"/>
  <c r="AN2119" i="3"/>
  <c r="AN2120" i="3"/>
  <c r="AN2121" i="3"/>
  <c r="AN2122" i="3"/>
  <c r="AN2123" i="3"/>
  <c r="AN2124" i="3"/>
  <c r="AN2125" i="3"/>
  <c r="AN2126" i="3"/>
  <c r="AN2127" i="3"/>
  <c r="AN2128" i="3"/>
  <c r="AN2129" i="3"/>
  <c r="AN2130" i="3"/>
  <c r="AN2131" i="3"/>
  <c r="AN2132" i="3"/>
  <c r="AN2133" i="3"/>
  <c r="AN2134" i="3"/>
  <c r="AN2135" i="3"/>
  <c r="AN2136" i="3"/>
  <c r="AN2137" i="3"/>
  <c r="AN2138" i="3"/>
  <c r="AN2139" i="3"/>
  <c r="AN2140" i="3"/>
  <c r="AN2141" i="3"/>
  <c r="AN2142" i="3"/>
  <c r="AN2143" i="3"/>
  <c r="AN2144" i="3"/>
  <c r="AN2145" i="3"/>
  <c r="AN2146" i="3"/>
  <c r="AN2147" i="3"/>
  <c r="AN2148" i="3"/>
  <c r="AN2149" i="3"/>
  <c r="AN2150" i="3"/>
  <c r="AN2151" i="3"/>
  <c r="AN2152" i="3"/>
  <c r="AN2153" i="3"/>
  <c r="AN2154" i="3"/>
  <c r="AN2155" i="3"/>
  <c r="AN2156" i="3"/>
  <c r="AN2157" i="3"/>
  <c r="AN2158" i="3"/>
  <c r="AN2159" i="3"/>
  <c r="AN2160" i="3"/>
  <c r="AN2161" i="3"/>
  <c r="AN2162" i="3"/>
  <c r="AN2163" i="3"/>
  <c r="AN2164" i="3"/>
  <c r="AN2165" i="3"/>
  <c r="AN2166" i="3"/>
  <c r="AN2167" i="3"/>
  <c r="AN2168" i="3"/>
  <c r="AN2169" i="3"/>
  <c r="AN2170" i="3"/>
  <c r="AN2171" i="3"/>
  <c r="AN2172" i="3"/>
  <c r="AN2173" i="3"/>
  <c r="AN2174" i="3"/>
  <c r="AN2175" i="3"/>
  <c r="AN2176" i="3"/>
  <c r="AN2177" i="3"/>
  <c r="AN2178" i="3"/>
  <c r="AN2179" i="3"/>
  <c r="AN2180" i="3"/>
  <c r="AN2181" i="3"/>
  <c r="AN2182" i="3"/>
  <c r="AN2183" i="3"/>
  <c r="AN2184" i="3"/>
  <c r="AN2185" i="3"/>
  <c r="AN2186" i="3"/>
  <c r="AN2187" i="3"/>
  <c r="AN2188" i="3"/>
  <c r="AN2189" i="3"/>
  <c r="AN2190" i="3"/>
  <c r="AN2191" i="3"/>
  <c r="AN2192" i="3"/>
  <c r="AN2193" i="3"/>
  <c r="AN2194" i="3"/>
  <c r="AN2195" i="3"/>
  <c r="AN2196" i="3"/>
  <c r="AN2197" i="3"/>
  <c r="AN2198" i="3"/>
  <c r="AN2199" i="3"/>
  <c r="AN2200" i="3"/>
  <c r="AN2201" i="3"/>
  <c r="AN2202" i="3"/>
  <c r="AN2203" i="3"/>
  <c r="AN2204" i="3"/>
  <c r="AN2205" i="3"/>
  <c r="AN2206" i="3"/>
  <c r="AN2207" i="3"/>
  <c r="AN2208" i="3"/>
  <c r="AN2209" i="3"/>
  <c r="AN2210" i="3"/>
  <c r="AN2211" i="3"/>
  <c r="AN2212" i="3"/>
  <c r="AN2213" i="3"/>
  <c r="AN2214" i="3"/>
  <c r="AN2215" i="3"/>
  <c r="AN2216" i="3"/>
  <c r="AN2217" i="3"/>
  <c r="AN2218" i="3"/>
  <c r="AN2219" i="3"/>
  <c r="AN2220" i="3"/>
  <c r="AN2221" i="3"/>
  <c r="AN2222" i="3"/>
  <c r="AN2223" i="3"/>
  <c r="AN2224" i="3"/>
  <c r="AN2225" i="3"/>
  <c r="AN2226" i="3"/>
  <c r="AN2227" i="3"/>
  <c r="AN2228" i="3"/>
  <c r="AN2229" i="3"/>
  <c r="AN2230" i="3"/>
  <c r="AN2231" i="3"/>
  <c r="AN2232" i="3"/>
  <c r="AN2233" i="3"/>
  <c r="AN2234" i="3"/>
  <c r="AN2235" i="3"/>
  <c r="AN2236" i="3"/>
  <c r="AN2237" i="3"/>
  <c r="AN2238" i="3"/>
  <c r="AN2239" i="3"/>
  <c r="AN2240" i="3"/>
  <c r="AN2241" i="3"/>
  <c r="AM2" i="3"/>
  <c r="AM3" i="3"/>
  <c r="AM4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M19" i="3"/>
  <c r="AM20" i="3"/>
  <c r="AM21" i="3"/>
  <c r="AM22" i="3"/>
  <c r="AM23" i="3"/>
  <c r="AM24" i="3"/>
  <c r="AM25" i="3"/>
  <c r="AM26" i="3"/>
  <c r="AM27" i="3"/>
  <c r="AM28" i="3"/>
  <c r="AM29" i="3"/>
  <c r="AM30" i="3"/>
  <c r="AM31" i="3"/>
  <c r="AM32" i="3"/>
  <c r="AM33" i="3"/>
  <c r="AM34" i="3"/>
  <c r="AM35" i="3"/>
  <c r="AM36" i="3"/>
  <c r="AM37" i="3"/>
  <c r="AM38" i="3"/>
  <c r="AM39" i="3"/>
  <c r="AM40" i="3"/>
  <c r="AM41" i="3"/>
  <c r="AM42" i="3"/>
  <c r="AM43" i="3"/>
  <c r="AM44" i="3"/>
  <c r="AM45" i="3"/>
  <c r="AM46" i="3"/>
  <c r="AM47" i="3"/>
  <c r="AM48" i="3"/>
  <c r="AM49" i="3"/>
  <c r="AM50" i="3"/>
  <c r="AM51" i="3"/>
  <c r="AM52" i="3"/>
  <c r="AM53" i="3"/>
  <c r="AM54" i="3"/>
  <c r="AM55" i="3"/>
  <c r="AM56" i="3"/>
  <c r="AM57" i="3"/>
  <c r="AM58" i="3"/>
  <c r="AM59" i="3"/>
  <c r="AM60" i="3"/>
  <c r="AM61" i="3"/>
  <c r="AM62" i="3"/>
  <c r="AM63" i="3"/>
  <c r="AM64" i="3"/>
  <c r="AM65" i="3"/>
  <c r="AM66" i="3"/>
  <c r="AM67" i="3"/>
  <c r="AM68" i="3"/>
  <c r="AM69" i="3"/>
  <c r="AM70" i="3"/>
  <c r="AM71" i="3"/>
  <c r="AM72" i="3"/>
  <c r="AM73" i="3"/>
  <c r="AM74" i="3"/>
  <c r="AM75" i="3"/>
  <c r="AM76" i="3"/>
  <c r="AM77" i="3"/>
  <c r="AM78" i="3"/>
  <c r="AM79" i="3"/>
  <c r="AM80" i="3"/>
  <c r="AM81" i="3"/>
  <c r="AM82" i="3"/>
  <c r="AM83" i="3"/>
  <c r="AM84" i="3"/>
  <c r="AM85" i="3"/>
  <c r="AM86" i="3"/>
  <c r="AM87" i="3"/>
  <c r="AM88" i="3"/>
  <c r="AM89" i="3"/>
  <c r="AM90" i="3"/>
  <c r="AM91" i="3"/>
  <c r="AM92" i="3"/>
  <c r="AM93" i="3"/>
  <c r="AM94" i="3"/>
  <c r="AM95" i="3"/>
  <c r="AM96" i="3"/>
  <c r="AM97" i="3"/>
  <c r="AM98" i="3"/>
  <c r="AM99" i="3"/>
  <c r="AM100" i="3"/>
  <c r="AM101" i="3"/>
  <c r="AM102" i="3"/>
  <c r="AM103" i="3"/>
  <c r="AM104" i="3"/>
  <c r="AM105" i="3"/>
  <c r="AM106" i="3"/>
  <c r="AM107" i="3"/>
  <c r="AM108" i="3"/>
  <c r="AM109" i="3"/>
  <c r="AM110" i="3"/>
  <c r="AM111" i="3"/>
  <c r="AM112" i="3"/>
  <c r="AM113" i="3"/>
  <c r="AM114" i="3"/>
  <c r="AM115" i="3"/>
  <c r="AM116" i="3"/>
  <c r="AM117" i="3"/>
  <c r="AM118" i="3"/>
  <c r="AM119" i="3"/>
  <c r="AM120" i="3"/>
  <c r="AM121" i="3"/>
  <c r="AM122" i="3"/>
  <c r="AM123" i="3"/>
  <c r="AM124" i="3"/>
  <c r="AM125" i="3"/>
  <c r="AM126" i="3"/>
  <c r="AM127" i="3"/>
  <c r="AM128" i="3"/>
  <c r="AM129" i="3"/>
  <c r="AM130" i="3"/>
  <c r="AM131" i="3"/>
  <c r="AM132" i="3"/>
  <c r="AM133" i="3"/>
  <c r="AM134" i="3"/>
  <c r="AM135" i="3"/>
  <c r="AM136" i="3"/>
  <c r="AM137" i="3"/>
  <c r="AM138" i="3"/>
  <c r="AM139" i="3"/>
  <c r="AM140" i="3"/>
  <c r="AM141" i="3"/>
  <c r="AM142" i="3"/>
  <c r="AM143" i="3"/>
  <c r="AM144" i="3"/>
  <c r="AM145" i="3"/>
  <c r="AM146" i="3"/>
  <c r="AM147" i="3"/>
  <c r="AM148" i="3"/>
  <c r="AM149" i="3"/>
  <c r="AM150" i="3"/>
  <c r="AM151" i="3"/>
  <c r="AM152" i="3"/>
  <c r="AM153" i="3"/>
  <c r="AM154" i="3"/>
  <c r="AM155" i="3"/>
  <c r="AM156" i="3"/>
  <c r="AM157" i="3"/>
  <c r="AM158" i="3"/>
  <c r="AM159" i="3"/>
  <c r="AM160" i="3"/>
  <c r="AM161" i="3"/>
  <c r="AM162" i="3"/>
  <c r="AM163" i="3"/>
  <c r="AM164" i="3"/>
  <c r="AM165" i="3"/>
  <c r="AM166" i="3"/>
  <c r="AM167" i="3"/>
  <c r="AM168" i="3"/>
  <c r="AM169" i="3"/>
  <c r="AM170" i="3"/>
  <c r="AM171" i="3"/>
  <c r="AM172" i="3"/>
  <c r="AM173" i="3"/>
  <c r="AM174" i="3"/>
  <c r="AM175" i="3"/>
  <c r="AM176" i="3"/>
  <c r="AM177" i="3"/>
  <c r="AM178" i="3"/>
  <c r="AM179" i="3"/>
  <c r="AM180" i="3"/>
  <c r="AM181" i="3"/>
  <c r="AM182" i="3"/>
  <c r="AM183" i="3"/>
  <c r="AM184" i="3"/>
  <c r="AM185" i="3"/>
  <c r="AM186" i="3"/>
  <c r="AM187" i="3"/>
  <c r="AM188" i="3"/>
  <c r="AM189" i="3"/>
  <c r="AM190" i="3"/>
  <c r="AM191" i="3"/>
  <c r="AM192" i="3"/>
  <c r="AM193" i="3"/>
  <c r="AM194" i="3"/>
  <c r="AM195" i="3"/>
  <c r="AM196" i="3"/>
  <c r="AM197" i="3"/>
  <c r="AM198" i="3"/>
  <c r="AM199" i="3"/>
  <c r="AM200" i="3"/>
  <c r="AM201" i="3"/>
  <c r="AM202" i="3"/>
  <c r="AM203" i="3"/>
  <c r="AM204" i="3"/>
  <c r="AM205" i="3"/>
  <c r="AM206" i="3"/>
  <c r="AM207" i="3"/>
  <c r="AM208" i="3"/>
  <c r="AM209" i="3"/>
  <c r="AM210" i="3"/>
  <c r="AM211" i="3"/>
  <c r="AM212" i="3"/>
  <c r="AM213" i="3"/>
  <c r="AM214" i="3"/>
  <c r="AM215" i="3"/>
  <c r="AM216" i="3"/>
  <c r="AM217" i="3"/>
  <c r="AM218" i="3"/>
  <c r="AM219" i="3"/>
  <c r="AM220" i="3"/>
  <c r="AM221" i="3"/>
  <c r="AM222" i="3"/>
  <c r="AM223" i="3"/>
  <c r="AM224" i="3"/>
  <c r="AM225" i="3"/>
  <c r="AM226" i="3"/>
  <c r="AM227" i="3"/>
  <c r="AM228" i="3"/>
  <c r="AM229" i="3"/>
  <c r="AM230" i="3"/>
  <c r="AM231" i="3"/>
  <c r="AM232" i="3"/>
  <c r="AM233" i="3"/>
  <c r="AM234" i="3"/>
  <c r="AM235" i="3"/>
  <c r="AM236" i="3"/>
  <c r="AM237" i="3"/>
  <c r="AM238" i="3"/>
  <c r="AM239" i="3"/>
  <c r="AM240" i="3"/>
  <c r="AM241" i="3"/>
  <c r="AM242" i="3"/>
  <c r="AM243" i="3"/>
  <c r="AM244" i="3"/>
  <c r="AM245" i="3"/>
  <c r="AM246" i="3"/>
  <c r="AM247" i="3"/>
  <c r="AM248" i="3"/>
  <c r="AM249" i="3"/>
  <c r="AM250" i="3"/>
  <c r="AM251" i="3"/>
  <c r="AM252" i="3"/>
  <c r="AM253" i="3"/>
  <c r="AM254" i="3"/>
  <c r="AM255" i="3"/>
  <c r="AM256" i="3"/>
  <c r="AM257" i="3"/>
  <c r="AM258" i="3"/>
  <c r="AM259" i="3"/>
  <c r="AM260" i="3"/>
  <c r="AM261" i="3"/>
  <c r="AM262" i="3"/>
  <c r="AM263" i="3"/>
  <c r="AM264" i="3"/>
  <c r="AM265" i="3"/>
  <c r="AM266" i="3"/>
  <c r="AM267" i="3"/>
  <c r="AM268" i="3"/>
  <c r="AM269" i="3"/>
  <c r="AM270" i="3"/>
  <c r="AM271" i="3"/>
  <c r="AM272" i="3"/>
  <c r="AM273" i="3"/>
  <c r="AM274" i="3"/>
  <c r="AM275" i="3"/>
  <c r="AM276" i="3"/>
  <c r="AM277" i="3"/>
  <c r="AM278" i="3"/>
  <c r="AM279" i="3"/>
  <c r="AM280" i="3"/>
  <c r="AM281" i="3"/>
  <c r="AM282" i="3"/>
  <c r="AM283" i="3"/>
  <c r="AM284" i="3"/>
  <c r="AM285" i="3"/>
  <c r="AM286" i="3"/>
  <c r="AM287" i="3"/>
  <c r="AM288" i="3"/>
  <c r="AM289" i="3"/>
  <c r="AM290" i="3"/>
  <c r="AM291" i="3"/>
  <c r="AM292" i="3"/>
  <c r="AM293" i="3"/>
  <c r="AM294" i="3"/>
  <c r="AM295" i="3"/>
  <c r="AM296" i="3"/>
  <c r="AM297" i="3"/>
  <c r="AM298" i="3"/>
  <c r="AM299" i="3"/>
  <c r="AM300" i="3"/>
  <c r="AM301" i="3"/>
  <c r="AM302" i="3"/>
  <c r="AM303" i="3"/>
  <c r="AM304" i="3"/>
  <c r="AM305" i="3"/>
  <c r="AM306" i="3"/>
  <c r="AM307" i="3"/>
  <c r="AM308" i="3"/>
  <c r="AM309" i="3"/>
  <c r="AM310" i="3"/>
  <c r="AM311" i="3"/>
  <c r="AM312" i="3"/>
  <c r="AM313" i="3"/>
  <c r="AM314" i="3"/>
  <c r="AM315" i="3"/>
  <c r="AM316" i="3"/>
  <c r="AM317" i="3"/>
  <c r="AM318" i="3"/>
  <c r="AM319" i="3"/>
  <c r="AM320" i="3"/>
  <c r="AM321" i="3"/>
  <c r="AM322" i="3"/>
  <c r="AM323" i="3"/>
  <c r="AM324" i="3"/>
  <c r="AM325" i="3"/>
  <c r="AM326" i="3"/>
  <c r="AM327" i="3"/>
  <c r="AM328" i="3"/>
  <c r="AM329" i="3"/>
  <c r="AM330" i="3"/>
  <c r="AM331" i="3"/>
  <c r="AM332" i="3"/>
  <c r="AM333" i="3"/>
  <c r="AM334" i="3"/>
  <c r="AM335" i="3"/>
  <c r="AM336" i="3"/>
  <c r="AM337" i="3"/>
  <c r="AM338" i="3"/>
  <c r="AM339" i="3"/>
  <c r="AM340" i="3"/>
  <c r="AM341" i="3"/>
  <c r="AM342" i="3"/>
  <c r="AM343" i="3"/>
  <c r="AM344" i="3"/>
  <c r="AM345" i="3"/>
  <c r="AM346" i="3"/>
  <c r="AM347" i="3"/>
  <c r="AM348" i="3"/>
  <c r="AM349" i="3"/>
  <c r="AM350" i="3"/>
  <c r="AM351" i="3"/>
  <c r="AM352" i="3"/>
  <c r="AM353" i="3"/>
  <c r="AM354" i="3"/>
  <c r="AM355" i="3"/>
  <c r="AM356" i="3"/>
  <c r="AM357" i="3"/>
  <c r="AM358" i="3"/>
  <c r="AM359" i="3"/>
  <c r="AM360" i="3"/>
  <c r="AM361" i="3"/>
  <c r="AM362" i="3"/>
  <c r="AM363" i="3"/>
  <c r="AM364" i="3"/>
  <c r="AM365" i="3"/>
  <c r="AM366" i="3"/>
  <c r="AM367" i="3"/>
  <c r="AM368" i="3"/>
  <c r="AM369" i="3"/>
  <c r="AM370" i="3"/>
  <c r="AM371" i="3"/>
  <c r="AM372" i="3"/>
  <c r="AM373" i="3"/>
  <c r="AM374" i="3"/>
  <c r="AM375" i="3"/>
  <c r="AM376" i="3"/>
  <c r="AM377" i="3"/>
  <c r="AM378" i="3"/>
  <c r="AM379" i="3"/>
  <c r="AM380" i="3"/>
  <c r="AM381" i="3"/>
  <c r="AM382" i="3"/>
  <c r="AM383" i="3"/>
  <c r="AM384" i="3"/>
  <c r="AM385" i="3"/>
  <c r="AM386" i="3"/>
  <c r="AM387" i="3"/>
  <c r="AM388" i="3"/>
  <c r="AM389" i="3"/>
  <c r="AM390" i="3"/>
  <c r="AM391" i="3"/>
  <c r="AM392" i="3"/>
  <c r="AM393" i="3"/>
  <c r="AM394" i="3"/>
  <c r="AM395" i="3"/>
  <c r="AM396" i="3"/>
  <c r="AM397" i="3"/>
  <c r="AM398" i="3"/>
  <c r="AM399" i="3"/>
  <c r="AM400" i="3"/>
  <c r="AM401" i="3"/>
  <c r="AM402" i="3"/>
  <c r="AM403" i="3"/>
  <c r="AM404" i="3"/>
  <c r="AM405" i="3"/>
  <c r="AM406" i="3"/>
  <c r="AM407" i="3"/>
  <c r="AM408" i="3"/>
  <c r="AM409" i="3"/>
  <c r="AM410" i="3"/>
  <c r="AM411" i="3"/>
  <c r="AM412" i="3"/>
  <c r="AM413" i="3"/>
  <c r="AM414" i="3"/>
  <c r="AM415" i="3"/>
  <c r="AM416" i="3"/>
  <c r="AM417" i="3"/>
  <c r="AM418" i="3"/>
  <c r="AM419" i="3"/>
  <c r="AM420" i="3"/>
  <c r="AM421" i="3"/>
  <c r="AM422" i="3"/>
  <c r="AM423" i="3"/>
  <c r="AM424" i="3"/>
  <c r="AM425" i="3"/>
  <c r="AM426" i="3"/>
  <c r="AM427" i="3"/>
  <c r="AM428" i="3"/>
  <c r="AM429" i="3"/>
  <c r="AM430" i="3"/>
  <c r="AM431" i="3"/>
  <c r="AM432" i="3"/>
  <c r="AM433" i="3"/>
  <c r="AM434" i="3"/>
  <c r="AM435" i="3"/>
  <c r="AM436" i="3"/>
  <c r="AM437" i="3"/>
  <c r="AM438" i="3"/>
  <c r="AM439" i="3"/>
  <c r="AM440" i="3"/>
  <c r="AM441" i="3"/>
  <c r="AM442" i="3"/>
  <c r="AM443" i="3"/>
  <c r="AM444" i="3"/>
  <c r="AM445" i="3"/>
  <c r="AM446" i="3"/>
  <c r="AM447" i="3"/>
  <c r="AM448" i="3"/>
  <c r="AM449" i="3"/>
  <c r="AM450" i="3"/>
  <c r="AM451" i="3"/>
  <c r="AM452" i="3"/>
  <c r="AM453" i="3"/>
  <c r="AM454" i="3"/>
  <c r="AM455" i="3"/>
  <c r="AM456" i="3"/>
  <c r="AM457" i="3"/>
  <c r="AM458" i="3"/>
  <c r="AM459" i="3"/>
  <c r="AM460" i="3"/>
  <c r="AM461" i="3"/>
  <c r="AM462" i="3"/>
  <c r="AM463" i="3"/>
  <c r="AM464" i="3"/>
  <c r="AM465" i="3"/>
  <c r="AM466" i="3"/>
  <c r="AM467" i="3"/>
  <c r="AM468" i="3"/>
  <c r="AM469" i="3"/>
  <c r="AM470" i="3"/>
  <c r="AM471" i="3"/>
  <c r="AM472" i="3"/>
  <c r="AM473" i="3"/>
  <c r="AM474" i="3"/>
  <c r="AM475" i="3"/>
  <c r="AM476" i="3"/>
  <c r="AM477" i="3"/>
  <c r="AM478" i="3"/>
  <c r="AM479" i="3"/>
  <c r="AM480" i="3"/>
  <c r="AM481" i="3"/>
  <c r="AM482" i="3"/>
  <c r="AM483" i="3"/>
  <c r="AM484" i="3"/>
  <c r="AM485" i="3"/>
  <c r="AM486" i="3"/>
  <c r="AM487" i="3"/>
  <c r="AM488" i="3"/>
  <c r="AM489" i="3"/>
  <c r="AM490" i="3"/>
  <c r="AM491" i="3"/>
  <c r="AM492" i="3"/>
  <c r="AM493" i="3"/>
  <c r="AM494" i="3"/>
  <c r="AM495" i="3"/>
  <c r="AM496" i="3"/>
  <c r="AM497" i="3"/>
  <c r="AM498" i="3"/>
  <c r="AM499" i="3"/>
  <c r="AM500" i="3"/>
  <c r="AM501" i="3"/>
  <c r="AM502" i="3"/>
  <c r="AM503" i="3"/>
  <c r="AM504" i="3"/>
  <c r="AM505" i="3"/>
  <c r="AM506" i="3"/>
  <c r="AM507" i="3"/>
  <c r="AM508" i="3"/>
  <c r="AM509" i="3"/>
  <c r="AM510" i="3"/>
  <c r="AM511" i="3"/>
  <c r="AM512" i="3"/>
  <c r="AM513" i="3"/>
  <c r="AM514" i="3"/>
  <c r="AM515" i="3"/>
  <c r="AM516" i="3"/>
  <c r="AM517" i="3"/>
  <c r="AM518" i="3"/>
  <c r="AM519" i="3"/>
  <c r="AM520" i="3"/>
  <c r="AM521" i="3"/>
  <c r="AM522" i="3"/>
  <c r="AM523" i="3"/>
  <c r="AM524" i="3"/>
  <c r="AM525" i="3"/>
  <c r="AM526" i="3"/>
  <c r="AM527" i="3"/>
  <c r="AM528" i="3"/>
  <c r="AM529" i="3"/>
  <c r="AM530" i="3"/>
  <c r="AM531" i="3"/>
  <c r="AM532" i="3"/>
  <c r="AM533" i="3"/>
  <c r="AM534" i="3"/>
  <c r="AM535" i="3"/>
  <c r="AM536" i="3"/>
  <c r="AM537" i="3"/>
  <c r="AM538" i="3"/>
  <c r="AM539" i="3"/>
  <c r="AM540" i="3"/>
  <c r="AM541" i="3"/>
  <c r="AM542" i="3"/>
  <c r="AM543" i="3"/>
  <c r="AM544" i="3"/>
  <c r="AM545" i="3"/>
  <c r="AM546" i="3"/>
  <c r="AM547" i="3"/>
  <c r="AM548" i="3"/>
  <c r="AM549" i="3"/>
  <c r="AM550" i="3"/>
  <c r="AM551" i="3"/>
  <c r="AM552" i="3"/>
  <c r="AM553" i="3"/>
  <c r="AM554" i="3"/>
  <c r="AM555" i="3"/>
  <c r="AM556" i="3"/>
  <c r="AM557" i="3"/>
  <c r="AM558" i="3"/>
  <c r="AM559" i="3"/>
  <c r="AM560" i="3"/>
  <c r="AM561" i="3"/>
  <c r="AM562" i="3"/>
  <c r="AM563" i="3"/>
  <c r="AM564" i="3"/>
  <c r="AM565" i="3"/>
  <c r="AM566" i="3"/>
  <c r="AM567" i="3"/>
  <c r="AM568" i="3"/>
  <c r="AM569" i="3"/>
  <c r="AM570" i="3"/>
  <c r="AM571" i="3"/>
  <c r="AM572" i="3"/>
  <c r="AM573" i="3"/>
  <c r="AM574" i="3"/>
  <c r="AM575" i="3"/>
  <c r="AM576" i="3"/>
  <c r="AM577" i="3"/>
  <c r="AM578" i="3"/>
  <c r="AM579" i="3"/>
  <c r="AM580" i="3"/>
  <c r="AM581" i="3"/>
  <c r="AM582" i="3"/>
  <c r="AM583" i="3"/>
  <c r="AM584" i="3"/>
  <c r="AM585" i="3"/>
  <c r="AM586" i="3"/>
  <c r="AM587" i="3"/>
  <c r="AM588" i="3"/>
  <c r="AM589" i="3"/>
  <c r="AM590" i="3"/>
  <c r="AM591" i="3"/>
  <c r="AM592" i="3"/>
  <c r="AM593" i="3"/>
  <c r="AM594" i="3"/>
  <c r="AM595" i="3"/>
  <c r="AM596" i="3"/>
  <c r="AM597" i="3"/>
  <c r="AM598" i="3"/>
  <c r="AM599" i="3"/>
  <c r="AM600" i="3"/>
  <c r="AM601" i="3"/>
  <c r="AM602" i="3"/>
  <c r="AM603" i="3"/>
  <c r="AM604" i="3"/>
  <c r="AM605" i="3"/>
  <c r="AM606" i="3"/>
  <c r="AM607" i="3"/>
  <c r="AM608" i="3"/>
  <c r="AM609" i="3"/>
  <c r="AM610" i="3"/>
  <c r="AM611" i="3"/>
  <c r="AM612" i="3"/>
  <c r="AM613" i="3"/>
  <c r="AM614" i="3"/>
  <c r="AM615" i="3"/>
  <c r="AM616" i="3"/>
  <c r="AM617" i="3"/>
  <c r="AM618" i="3"/>
  <c r="AM619" i="3"/>
  <c r="AM620" i="3"/>
  <c r="AM621" i="3"/>
  <c r="AM622" i="3"/>
  <c r="AM623" i="3"/>
  <c r="AM624" i="3"/>
  <c r="AM625" i="3"/>
  <c r="AM626" i="3"/>
  <c r="AM627" i="3"/>
  <c r="AM628" i="3"/>
  <c r="AM629" i="3"/>
  <c r="AM630" i="3"/>
  <c r="AM631" i="3"/>
  <c r="AM632" i="3"/>
  <c r="AM633" i="3"/>
  <c r="AM634" i="3"/>
  <c r="AM635" i="3"/>
  <c r="AM636" i="3"/>
  <c r="AM637" i="3"/>
  <c r="AM638" i="3"/>
  <c r="AM639" i="3"/>
  <c r="AM640" i="3"/>
  <c r="AM641" i="3"/>
  <c r="AM642" i="3"/>
  <c r="AM643" i="3"/>
  <c r="AM644" i="3"/>
  <c r="AM645" i="3"/>
  <c r="AM646" i="3"/>
  <c r="AM647" i="3"/>
  <c r="AM648" i="3"/>
  <c r="AM649" i="3"/>
  <c r="AM650" i="3"/>
  <c r="AM651" i="3"/>
  <c r="AM652" i="3"/>
  <c r="AM653" i="3"/>
  <c r="AM654" i="3"/>
  <c r="AM655" i="3"/>
  <c r="AM656" i="3"/>
  <c r="AM657" i="3"/>
  <c r="AM658" i="3"/>
  <c r="AM659" i="3"/>
  <c r="AM660" i="3"/>
  <c r="AM661" i="3"/>
  <c r="AM662" i="3"/>
  <c r="AM663" i="3"/>
  <c r="AM664" i="3"/>
  <c r="AM665" i="3"/>
  <c r="AM666" i="3"/>
  <c r="AM667" i="3"/>
  <c r="AM668" i="3"/>
  <c r="AM669" i="3"/>
  <c r="AM670" i="3"/>
  <c r="AM671" i="3"/>
  <c r="AM672" i="3"/>
  <c r="AM673" i="3"/>
  <c r="AM674" i="3"/>
  <c r="AM675" i="3"/>
  <c r="AM676" i="3"/>
  <c r="AM677" i="3"/>
  <c r="AM678" i="3"/>
  <c r="AM679" i="3"/>
  <c r="AM680" i="3"/>
  <c r="AM681" i="3"/>
  <c r="AM682" i="3"/>
  <c r="AM683" i="3"/>
  <c r="AM684" i="3"/>
  <c r="AM685" i="3"/>
  <c r="AM686" i="3"/>
  <c r="AM687" i="3"/>
  <c r="AM688" i="3"/>
  <c r="AM689" i="3"/>
  <c r="AM690" i="3"/>
  <c r="AM691" i="3"/>
  <c r="AM692" i="3"/>
  <c r="AM693" i="3"/>
  <c r="AM694" i="3"/>
  <c r="AM695" i="3"/>
  <c r="AM696" i="3"/>
  <c r="AM697" i="3"/>
  <c r="AM698" i="3"/>
  <c r="AM699" i="3"/>
  <c r="AM700" i="3"/>
  <c r="AM701" i="3"/>
  <c r="AM702" i="3"/>
  <c r="AM703" i="3"/>
  <c r="AM704" i="3"/>
  <c r="AM705" i="3"/>
  <c r="AM706" i="3"/>
  <c r="AM707" i="3"/>
  <c r="AM708" i="3"/>
  <c r="AM709" i="3"/>
  <c r="AM710" i="3"/>
  <c r="AM711" i="3"/>
  <c r="AM712" i="3"/>
  <c r="AM713" i="3"/>
  <c r="AM714" i="3"/>
  <c r="AM715" i="3"/>
  <c r="AM716" i="3"/>
  <c r="AM717" i="3"/>
  <c r="AM718" i="3"/>
  <c r="AM719" i="3"/>
  <c r="AM720" i="3"/>
  <c r="AM721" i="3"/>
  <c r="AM722" i="3"/>
  <c r="AM72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38" i="3"/>
  <c r="AM739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61" i="3"/>
  <c r="AM762" i="3"/>
  <c r="AM763" i="3"/>
  <c r="AM764" i="3"/>
  <c r="AM765" i="3"/>
  <c r="AM766" i="3"/>
  <c r="AM767" i="3"/>
  <c r="AM768" i="3"/>
  <c r="AM769" i="3"/>
  <c r="AM770" i="3"/>
  <c r="AM771" i="3"/>
  <c r="AM772" i="3"/>
  <c r="AM773" i="3"/>
  <c r="AM774" i="3"/>
  <c r="AM775" i="3"/>
  <c r="AM776" i="3"/>
  <c r="AM777" i="3"/>
  <c r="AM778" i="3"/>
  <c r="AM779" i="3"/>
  <c r="AM780" i="3"/>
  <c r="AM781" i="3"/>
  <c r="AM782" i="3"/>
  <c r="AM783" i="3"/>
  <c r="AM784" i="3"/>
  <c r="AM785" i="3"/>
  <c r="AM786" i="3"/>
  <c r="AM787" i="3"/>
  <c r="AM788" i="3"/>
  <c r="AM789" i="3"/>
  <c r="AM790" i="3"/>
  <c r="AM791" i="3"/>
  <c r="AM792" i="3"/>
  <c r="AM793" i="3"/>
  <c r="AM794" i="3"/>
  <c r="AM795" i="3"/>
  <c r="AM796" i="3"/>
  <c r="AM797" i="3"/>
  <c r="AM798" i="3"/>
  <c r="AM799" i="3"/>
  <c r="AM800" i="3"/>
  <c r="AM801" i="3"/>
  <c r="AM802" i="3"/>
  <c r="AM803" i="3"/>
  <c r="AM804" i="3"/>
  <c r="AM805" i="3"/>
  <c r="AM806" i="3"/>
  <c r="AM807" i="3"/>
  <c r="AM808" i="3"/>
  <c r="AM809" i="3"/>
  <c r="AM810" i="3"/>
  <c r="AM811" i="3"/>
  <c r="AM812" i="3"/>
  <c r="AM813" i="3"/>
  <c r="AM814" i="3"/>
  <c r="AM815" i="3"/>
  <c r="AM816" i="3"/>
  <c r="AM817" i="3"/>
  <c r="AM818" i="3"/>
  <c r="AM819" i="3"/>
  <c r="AM820" i="3"/>
  <c r="AM821" i="3"/>
  <c r="AM822" i="3"/>
  <c r="AM823" i="3"/>
  <c r="AM824" i="3"/>
  <c r="AM825" i="3"/>
  <c r="AM826" i="3"/>
  <c r="AM827" i="3"/>
  <c r="AM828" i="3"/>
  <c r="AM829" i="3"/>
  <c r="AM830" i="3"/>
  <c r="AM831" i="3"/>
  <c r="AM832" i="3"/>
  <c r="AM833" i="3"/>
  <c r="AM834" i="3"/>
  <c r="AM835" i="3"/>
  <c r="AM836" i="3"/>
  <c r="AM837" i="3"/>
  <c r="AM838" i="3"/>
  <c r="AM839" i="3"/>
  <c r="AM840" i="3"/>
  <c r="AM841" i="3"/>
  <c r="AM842" i="3"/>
  <c r="AM843" i="3"/>
  <c r="AM844" i="3"/>
  <c r="AM845" i="3"/>
  <c r="AM846" i="3"/>
  <c r="AM847" i="3"/>
  <c r="AM848" i="3"/>
  <c r="AM849" i="3"/>
  <c r="AM850" i="3"/>
  <c r="AM851" i="3"/>
  <c r="AM852" i="3"/>
  <c r="AM853" i="3"/>
  <c r="AM854" i="3"/>
  <c r="AM855" i="3"/>
  <c r="AM856" i="3"/>
  <c r="AM857" i="3"/>
  <c r="AM858" i="3"/>
  <c r="AM859" i="3"/>
  <c r="AM860" i="3"/>
  <c r="AM861" i="3"/>
  <c r="AM862" i="3"/>
  <c r="AM863" i="3"/>
  <c r="AM864" i="3"/>
  <c r="AM865" i="3"/>
  <c r="AM866" i="3"/>
  <c r="AM867" i="3"/>
  <c r="AM868" i="3"/>
  <c r="AM869" i="3"/>
  <c r="AM870" i="3"/>
  <c r="AM871" i="3"/>
  <c r="AM872" i="3"/>
  <c r="AM873" i="3"/>
  <c r="AM874" i="3"/>
  <c r="AM875" i="3"/>
  <c r="AM876" i="3"/>
  <c r="AM877" i="3"/>
  <c r="AM878" i="3"/>
  <c r="AM879" i="3"/>
  <c r="AM880" i="3"/>
  <c r="AM881" i="3"/>
  <c r="AM882" i="3"/>
  <c r="AM883" i="3"/>
  <c r="AM884" i="3"/>
  <c r="AM885" i="3"/>
  <c r="AM886" i="3"/>
  <c r="AM887" i="3"/>
  <c r="AM888" i="3"/>
  <c r="AM889" i="3"/>
  <c r="AM890" i="3"/>
  <c r="AM891" i="3"/>
  <c r="AM892" i="3"/>
  <c r="AM893" i="3"/>
  <c r="AM894" i="3"/>
  <c r="AM895" i="3"/>
  <c r="AM896" i="3"/>
  <c r="AM897" i="3"/>
  <c r="AM898" i="3"/>
  <c r="AM899" i="3"/>
  <c r="AM900" i="3"/>
  <c r="AM901" i="3"/>
  <c r="AM902" i="3"/>
  <c r="AM903" i="3"/>
  <c r="AM904" i="3"/>
  <c r="AM905" i="3"/>
  <c r="AM906" i="3"/>
  <c r="AM907" i="3"/>
  <c r="AM908" i="3"/>
  <c r="AM909" i="3"/>
  <c r="AM910" i="3"/>
  <c r="AM911" i="3"/>
  <c r="AM912" i="3"/>
  <c r="AM913" i="3"/>
  <c r="AM914" i="3"/>
  <c r="AM915" i="3"/>
  <c r="AM916" i="3"/>
  <c r="AM917" i="3"/>
  <c r="AM918" i="3"/>
  <c r="AM919" i="3"/>
  <c r="AM920" i="3"/>
  <c r="AM921" i="3"/>
  <c r="AM922" i="3"/>
  <c r="AM923" i="3"/>
  <c r="AM924" i="3"/>
  <c r="AM925" i="3"/>
  <c r="AM926" i="3"/>
  <c r="AM927" i="3"/>
  <c r="AM928" i="3"/>
  <c r="AM929" i="3"/>
  <c r="AM930" i="3"/>
  <c r="AM931" i="3"/>
  <c r="AM932" i="3"/>
  <c r="AM933" i="3"/>
  <c r="AM934" i="3"/>
  <c r="AM935" i="3"/>
  <c r="AM936" i="3"/>
  <c r="AM937" i="3"/>
  <c r="AM938" i="3"/>
  <c r="AM939" i="3"/>
  <c r="AM940" i="3"/>
  <c r="AM941" i="3"/>
  <c r="AM942" i="3"/>
  <c r="AM943" i="3"/>
  <c r="AM944" i="3"/>
  <c r="AM945" i="3"/>
  <c r="AM946" i="3"/>
  <c r="AM947" i="3"/>
  <c r="AM948" i="3"/>
  <c r="AM949" i="3"/>
  <c r="AM950" i="3"/>
  <c r="AM951" i="3"/>
  <c r="AM952" i="3"/>
  <c r="AM953" i="3"/>
  <c r="AM954" i="3"/>
  <c r="AM955" i="3"/>
  <c r="AM956" i="3"/>
  <c r="AM957" i="3"/>
  <c r="AM958" i="3"/>
  <c r="AM959" i="3"/>
  <c r="AM960" i="3"/>
  <c r="AM961" i="3"/>
  <c r="AM962" i="3"/>
  <c r="AM963" i="3"/>
  <c r="AM964" i="3"/>
  <c r="AM965" i="3"/>
  <c r="AM966" i="3"/>
  <c r="AM967" i="3"/>
  <c r="AM968" i="3"/>
  <c r="AM969" i="3"/>
  <c r="AM970" i="3"/>
  <c r="AM971" i="3"/>
  <c r="AM972" i="3"/>
  <c r="AM973" i="3"/>
  <c r="AM974" i="3"/>
  <c r="AM975" i="3"/>
  <c r="AM976" i="3"/>
  <c r="AM977" i="3"/>
  <c r="AM978" i="3"/>
  <c r="AM979" i="3"/>
  <c r="AM980" i="3"/>
  <c r="AM981" i="3"/>
  <c r="AM982" i="3"/>
  <c r="AM983" i="3"/>
  <c r="AM984" i="3"/>
  <c r="AM985" i="3"/>
  <c r="AM986" i="3"/>
  <c r="AM987" i="3"/>
  <c r="AM988" i="3"/>
  <c r="AM989" i="3"/>
  <c r="AM990" i="3"/>
  <c r="AM991" i="3"/>
  <c r="AM992" i="3"/>
  <c r="AM993" i="3"/>
  <c r="AM994" i="3"/>
  <c r="AM995" i="3"/>
  <c r="AM996" i="3"/>
  <c r="AM997" i="3"/>
  <c r="AM998" i="3"/>
  <c r="AM999" i="3"/>
  <c r="AM1000" i="3"/>
  <c r="AM1001" i="3"/>
  <c r="AM1002" i="3"/>
  <c r="AM1003" i="3"/>
  <c r="AM1004" i="3"/>
  <c r="AM1005" i="3"/>
  <c r="AM1006" i="3"/>
  <c r="AM1007" i="3"/>
  <c r="AM1008" i="3"/>
  <c r="AM1009" i="3"/>
  <c r="AM1010" i="3"/>
  <c r="AM1011" i="3"/>
  <c r="AM1012" i="3"/>
  <c r="AM1013" i="3"/>
  <c r="AM1014" i="3"/>
  <c r="AM1015" i="3"/>
  <c r="AM1016" i="3"/>
  <c r="AM1017" i="3"/>
  <c r="AM1018" i="3"/>
  <c r="AM1019" i="3"/>
  <c r="AM1020" i="3"/>
  <c r="AM1021" i="3"/>
  <c r="AM1022" i="3"/>
  <c r="AM1023" i="3"/>
  <c r="AM1024" i="3"/>
  <c r="AM1025" i="3"/>
  <c r="AM1026" i="3"/>
  <c r="AM1027" i="3"/>
  <c r="AM1028" i="3"/>
  <c r="AM1029" i="3"/>
  <c r="AM1030" i="3"/>
  <c r="AM1031" i="3"/>
  <c r="AM1032" i="3"/>
  <c r="AM1033" i="3"/>
  <c r="AM1034" i="3"/>
  <c r="AM1035" i="3"/>
  <c r="AM1036" i="3"/>
  <c r="AM1037" i="3"/>
  <c r="AM1038" i="3"/>
  <c r="AM1039" i="3"/>
  <c r="AM1040" i="3"/>
  <c r="AM1041" i="3"/>
  <c r="AM1042" i="3"/>
  <c r="AM1043" i="3"/>
  <c r="AM1044" i="3"/>
  <c r="AM1045" i="3"/>
  <c r="AM1046" i="3"/>
  <c r="AM1047" i="3"/>
  <c r="AM1048" i="3"/>
  <c r="AM1049" i="3"/>
  <c r="AM1050" i="3"/>
  <c r="AM1051" i="3"/>
  <c r="AM1052" i="3"/>
  <c r="AM1053" i="3"/>
  <c r="AM1054" i="3"/>
  <c r="AM1055" i="3"/>
  <c r="AM1056" i="3"/>
  <c r="AM1057" i="3"/>
  <c r="AM1058" i="3"/>
  <c r="AM1059" i="3"/>
  <c r="AM1060" i="3"/>
  <c r="AM1061" i="3"/>
  <c r="AM1062" i="3"/>
  <c r="AM1063" i="3"/>
  <c r="AM1064" i="3"/>
  <c r="AM1065" i="3"/>
  <c r="AM1066" i="3"/>
  <c r="AM1067" i="3"/>
  <c r="AM1068" i="3"/>
  <c r="AM1069" i="3"/>
  <c r="AM1070" i="3"/>
  <c r="AM1071" i="3"/>
  <c r="AM1072" i="3"/>
  <c r="AM1073" i="3"/>
  <c r="AM1074" i="3"/>
  <c r="AM1075" i="3"/>
  <c r="AM1076" i="3"/>
  <c r="AM1077" i="3"/>
  <c r="AM1078" i="3"/>
  <c r="AM1079" i="3"/>
  <c r="AM1080" i="3"/>
  <c r="AM1081" i="3"/>
  <c r="AM1082" i="3"/>
  <c r="AM1083" i="3"/>
  <c r="AM1084" i="3"/>
  <c r="AM1085" i="3"/>
  <c r="AM1086" i="3"/>
  <c r="AM1087" i="3"/>
  <c r="AM1088" i="3"/>
  <c r="AM1089" i="3"/>
  <c r="AM1090" i="3"/>
  <c r="AM1091" i="3"/>
  <c r="AM1092" i="3"/>
  <c r="AM1093" i="3"/>
  <c r="AM1094" i="3"/>
  <c r="AM1095" i="3"/>
  <c r="AM1096" i="3"/>
  <c r="AM1097" i="3"/>
  <c r="AM1098" i="3"/>
  <c r="AM1099" i="3"/>
  <c r="AM1100" i="3"/>
  <c r="AM1101" i="3"/>
  <c r="AM1102" i="3"/>
  <c r="AM1103" i="3"/>
  <c r="AM1104" i="3"/>
  <c r="AM1105" i="3"/>
  <c r="AM1106" i="3"/>
  <c r="AM1107" i="3"/>
  <c r="AM1108" i="3"/>
  <c r="AM1109" i="3"/>
  <c r="AM1110" i="3"/>
  <c r="AM1111" i="3"/>
  <c r="AM1112" i="3"/>
  <c r="AM1113" i="3"/>
  <c r="AM1114" i="3"/>
  <c r="AM1115" i="3"/>
  <c r="AM1116" i="3"/>
  <c r="AM1117" i="3"/>
  <c r="AM1118" i="3"/>
  <c r="AM1119" i="3"/>
  <c r="AM1120" i="3"/>
  <c r="AM1121" i="3"/>
  <c r="AM1122" i="3"/>
  <c r="AM1123" i="3"/>
  <c r="AM1124" i="3"/>
  <c r="AM1125" i="3"/>
  <c r="AM1126" i="3"/>
  <c r="AM1127" i="3"/>
  <c r="AM1128" i="3"/>
  <c r="AM1129" i="3"/>
  <c r="AM1130" i="3"/>
  <c r="AM1131" i="3"/>
  <c r="AM1132" i="3"/>
  <c r="AM1133" i="3"/>
  <c r="AM1134" i="3"/>
  <c r="AM1135" i="3"/>
  <c r="AM1136" i="3"/>
  <c r="AM1137" i="3"/>
  <c r="AM1138" i="3"/>
  <c r="AM1139" i="3"/>
  <c r="AM1140" i="3"/>
  <c r="AM1141" i="3"/>
  <c r="AM1142" i="3"/>
  <c r="AM1143" i="3"/>
  <c r="AM1144" i="3"/>
  <c r="AM1145" i="3"/>
  <c r="AM1146" i="3"/>
  <c r="AM1147" i="3"/>
  <c r="AM1148" i="3"/>
  <c r="AM1149" i="3"/>
  <c r="AM1150" i="3"/>
  <c r="AM1151" i="3"/>
  <c r="AM1152" i="3"/>
  <c r="AM1153" i="3"/>
  <c r="AM1154" i="3"/>
  <c r="AM1155" i="3"/>
  <c r="AM1156" i="3"/>
  <c r="AM1157" i="3"/>
  <c r="AM1158" i="3"/>
  <c r="AM1159" i="3"/>
  <c r="AM1160" i="3"/>
  <c r="AM1161" i="3"/>
  <c r="AM1162" i="3"/>
  <c r="AM1163" i="3"/>
  <c r="AM1164" i="3"/>
  <c r="AM1165" i="3"/>
  <c r="AM1166" i="3"/>
  <c r="AM1167" i="3"/>
  <c r="AM1168" i="3"/>
  <c r="AM1169" i="3"/>
  <c r="AM1170" i="3"/>
  <c r="AM1171" i="3"/>
  <c r="AM1172" i="3"/>
  <c r="AM1173" i="3"/>
  <c r="AM1174" i="3"/>
  <c r="AM1175" i="3"/>
  <c r="AM1176" i="3"/>
  <c r="AM1177" i="3"/>
  <c r="AM1178" i="3"/>
  <c r="AM1179" i="3"/>
  <c r="AM1180" i="3"/>
  <c r="AM1181" i="3"/>
  <c r="AM1182" i="3"/>
  <c r="AM1183" i="3"/>
  <c r="AM1184" i="3"/>
  <c r="AM1185" i="3"/>
  <c r="AM1186" i="3"/>
  <c r="AM1187" i="3"/>
  <c r="AM1188" i="3"/>
  <c r="AM1189" i="3"/>
  <c r="AM1190" i="3"/>
  <c r="AM1191" i="3"/>
  <c r="AM1192" i="3"/>
  <c r="AM1193" i="3"/>
  <c r="AM1194" i="3"/>
  <c r="AM1195" i="3"/>
  <c r="AM1196" i="3"/>
  <c r="AM1197" i="3"/>
  <c r="AM1198" i="3"/>
  <c r="AM1199" i="3"/>
  <c r="AM1200" i="3"/>
  <c r="AM1201" i="3"/>
  <c r="AM1202" i="3"/>
  <c r="AM1203" i="3"/>
  <c r="AM1204" i="3"/>
  <c r="AM1205" i="3"/>
  <c r="AM1206" i="3"/>
  <c r="AM1207" i="3"/>
  <c r="AM1208" i="3"/>
  <c r="AM1209" i="3"/>
  <c r="AM1210" i="3"/>
  <c r="AM1211" i="3"/>
  <c r="AM1212" i="3"/>
  <c r="AM1213" i="3"/>
  <c r="AM1214" i="3"/>
  <c r="AM1215" i="3"/>
  <c r="AM1216" i="3"/>
  <c r="AM1217" i="3"/>
  <c r="AM1218" i="3"/>
  <c r="AM1219" i="3"/>
  <c r="AM1220" i="3"/>
  <c r="AM1221" i="3"/>
  <c r="AM1222" i="3"/>
  <c r="AM1223" i="3"/>
  <c r="AM1224" i="3"/>
  <c r="AM1225" i="3"/>
  <c r="AM1226" i="3"/>
  <c r="AM1227" i="3"/>
  <c r="AM1228" i="3"/>
  <c r="AM1229" i="3"/>
  <c r="AM1230" i="3"/>
  <c r="AM1231" i="3"/>
  <c r="AM1232" i="3"/>
  <c r="AM1233" i="3"/>
  <c r="AM1234" i="3"/>
  <c r="AM1235" i="3"/>
  <c r="AM1236" i="3"/>
  <c r="AM1237" i="3"/>
  <c r="AM1238" i="3"/>
  <c r="AM1239" i="3"/>
  <c r="AM1240" i="3"/>
  <c r="AM1241" i="3"/>
  <c r="AM1242" i="3"/>
  <c r="AM1243" i="3"/>
  <c r="AM1244" i="3"/>
  <c r="AM1245" i="3"/>
  <c r="AM1246" i="3"/>
  <c r="AM1247" i="3"/>
  <c r="AM1248" i="3"/>
  <c r="AM1249" i="3"/>
  <c r="AM1250" i="3"/>
  <c r="AM1251" i="3"/>
  <c r="AM1252" i="3"/>
  <c r="AM1253" i="3"/>
  <c r="AM1254" i="3"/>
  <c r="AM1255" i="3"/>
  <c r="AM1256" i="3"/>
  <c r="AM1257" i="3"/>
  <c r="AM1258" i="3"/>
  <c r="AM1259" i="3"/>
  <c r="AM1260" i="3"/>
  <c r="AM1261" i="3"/>
  <c r="AM1262" i="3"/>
  <c r="AM1263" i="3"/>
  <c r="AM1264" i="3"/>
  <c r="AM1265" i="3"/>
  <c r="AM1266" i="3"/>
  <c r="AM1267" i="3"/>
  <c r="AM1268" i="3"/>
  <c r="AM1269" i="3"/>
  <c r="AM1270" i="3"/>
  <c r="AM1271" i="3"/>
  <c r="AM1272" i="3"/>
  <c r="AM1273" i="3"/>
  <c r="AM1274" i="3"/>
  <c r="AM1275" i="3"/>
  <c r="AM1276" i="3"/>
  <c r="AM1277" i="3"/>
  <c r="AM1278" i="3"/>
  <c r="AM1279" i="3"/>
  <c r="AM1280" i="3"/>
  <c r="AM1281" i="3"/>
  <c r="AM1282" i="3"/>
  <c r="AM1283" i="3"/>
  <c r="AM1284" i="3"/>
  <c r="AM1285" i="3"/>
  <c r="AM1286" i="3"/>
  <c r="AM1287" i="3"/>
  <c r="AM1288" i="3"/>
  <c r="AM1289" i="3"/>
  <c r="AM1290" i="3"/>
  <c r="AM1291" i="3"/>
  <c r="AM1292" i="3"/>
  <c r="AM1293" i="3"/>
  <c r="AM1294" i="3"/>
  <c r="AM1295" i="3"/>
  <c r="AM1296" i="3"/>
  <c r="AM1297" i="3"/>
  <c r="AM1298" i="3"/>
  <c r="AM1299" i="3"/>
  <c r="AM1300" i="3"/>
  <c r="AM1301" i="3"/>
  <c r="AM1302" i="3"/>
  <c r="AM1303" i="3"/>
  <c r="AM1304" i="3"/>
  <c r="AM1305" i="3"/>
  <c r="AM1306" i="3"/>
  <c r="AM1307" i="3"/>
  <c r="AM1308" i="3"/>
  <c r="AM1309" i="3"/>
  <c r="AM1310" i="3"/>
  <c r="AM1311" i="3"/>
  <c r="AM1312" i="3"/>
  <c r="AM1313" i="3"/>
  <c r="AM1314" i="3"/>
  <c r="AM1315" i="3"/>
  <c r="AM1316" i="3"/>
  <c r="AM1317" i="3"/>
  <c r="AM1318" i="3"/>
  <c r="AM1319" i="3"/>
  <c r="AM1320" i="3"/>
  <c r="AM1321" i="3"/>
  <c r="AM1322" i="3"/>
  <c r="AM1323" i="3"/>
  <c r="AM1324" i="3"/>
  <c r="AM1325" i="3"/>
  <c r="AM1326" i="3"/>
  <c r="AM1327" i="3"/>
  <c r="AM1328" i="3"/>
  <c r="AM1329" i="3"/>
  <c r="AM1330" i="3"/>
  <c r="AM1331" i="3"/>
  <c r="AM1332" i="3"/>
  <c r="AM1333" i="3"/>
  <c r="AM1334" i="3"/>
  <c r="AM1335" i="3"/>
  <c r="AM1336" i="3"/>
  <c r="AM1337" i="3"/>
  <c r="AM1338" i="3"/>
  <c r="AM1339" i="3"/>
  <c r="AM1340" i="3"/>
  <c r="AM1341" i="3"/>
  <c r="AM1342" i="3"/>
  <c r="AM1343" i="3"/>
  <c r="AM1344" i="3"/>
  <c r="AM1345" i="3"/>
  <c r="AM1346" i="3"/>
  <c r="AM1347" i="3"/>
  <c r="AM1348" i="3"/>
  <c r="AM1349" i="3"/>
  <c r="AM1350" i="3"/>
  <c r="AM1351" i="3"/>
  <c r="AM1352" i="3"/>
  <c r="AM1353" i="3"/>
  <c r="AM1354" i="3"/>
  <c r="AM1355" i="3"/>
  <c r="AM1356" i="3"/>
  <c r="AM1357" i="3"/>
  <c r="AM1358" i="3"/>
  <c r="AM1359" i="3"/>
  <c r="AM1360" i="3"/>
  <c r="AM1361" i="3"/>
  <c r="AM1362" i="3"/>
  <c r="AM1363" i="3"/>
  <c r="AM1364" i="3"/>
  <c r="AM1365" i="3"/>
  <c r="AM1366" i="3"/>
  <c r="AM1367" i="3"/>
  <c r="AM1368" i="3"/>
  <c r="AM1369" i="3"/>
  <c r="AM1370" i="3"/>
  <c r="AM1371" i="3"/>
  <c r="AM1372" i="3"/>
  <c r="AM1373" i="3"/>
  <c r="AM1374" i="3"/>
  <c r="AM1375" i="3"/>
  <c r="AM1376" i="3"/>
  <c r="AM1377" i="3"/>
  <c r="AM1378" i="3"/>
  <c r="AM1379" i="3"/>
  <c r="AM1380" i="3"/>
  <c r="AM1381" i="3"/>
  <c r="AM1382" i="3"/>
  <c r="AM1383" i="3"/>
  <c r="AM1384" i="3"/>
  <c r="AM1385" i="3"/>
  <c r="AM1386" i="3"/>
  <c r="AM1387" i="3"/>
  <c r="AM1388" i="3"/>
  <c r="AM1389" i="3"/>
  <c r="AM1390" i="3"/>
  <c r="AM1391" i="3"/>
  <c r="AM1392" i="3"/>
  <c r="AM1393" i="3"/>
  <c r="AM1394" i="3"/>
  <c r="AM1395" i="3"/>
  <c r="AM1396" i="3"/>
  <c r="AM1397" i="3"/>
  <c r="AM1398" i="3"/>
  <c r="AM1399" i="3"/>
  <c r="AM1400" i="3"/>
  <c r="AM1401" i="3"/>
  <c r="AM1402" i="3"/>
  <c r="AM1403" i="3"/>
  <c r="AM1404" i="3"/>
  <c r="AM1405" i="3"/>
  <c r="AM1406" i="3"/>
  <c r="AM1407" i="3"/>
  <c r="AM1408" i="3"/>
  <c r="AM1409" i="3"/>
  <c r="AM1410" i="3"/>
  <c r="AM1411" i="3"/>
  <c r="AM1412" i="3"/>
  <c r="AM1413" i="3"/>
  <c r="AM1414" i="3"/>
  <c r="AM1415" i="3"/>
  <c r="AM1416" i="3"/>
  <c r="AM1417" i="3"/>
  <c r="AM1418" i="3"/>
  <c r="AM1419" i="3"/>
  <c r="AM1420" i="3"/>
  <c r="AM1421" i="3"/>
  <c r="AM1422" i="3"/>
  <c r="AM1423" i="3"/>
  <c r="AM1424" i="3"/>
  <c r="AM1425" i="3"/>
  <c r="AM1426" i="3"/>
  <c r="AM1427" i="3"/>
  <c r="AM1428" i="3"/>
  <c r="AM1429" i="3"/>
  <c r="AM1430" i="3"/>
  <c r="AM1431" i="3"/>
  <c r="AM1432" i="3"/>
  <c r="AM1433" i="3"/>
  <c r="AM1434" i="3"/>
  <c r="AM1435" i="3"/>
  <c r="AM1436" i="3"/>
  <c r="AM1437" i="3"/>
  <c r="AM1438" i="3"/>
  <c r="AM1439" i="3"/>
  <c r="AM1440" i="3"/>
  <c r="AM1441" i="3"/>
  <c r="AM1442" i="3"/>
  <c r="AM1443" i="3"/>
  <c r="AM1444" i="3"/>
  <c r="AM1445" i="3"/>
  <c r="AM1446" i="3"/>
  <c r="AM1447" i="3"/>
  <c r="AM1448" i="3"/>
  <c r="AM1449" i="3"/>
  <c r="AM1450" i="3"/>
  <c r="AM1451" i="3"/>
  <c r="AM1452" i="3"/>
  <c r="AM1453" i="3"/>
  <c r="AM1454" i="3"/>
  <c r="AM1455" i="3"/>
  <c r="AM1456" i="3"/>
  <c r="AM1457" i="3"/>
  <c r="AM1458" i="3"/>
  <c r="AM1459" i="3"/>
  <c r="AM1460" i="3"/>
  <c r="AM1461" i="3"/>
  <c r="AM1462" i="3"/>
  <c r="AM1463" i="3"/>
  <c r="AM1464" i="3"/>
  <c r="AM1465" i="3"/>
  <c r="AM1466" i="3"/>
  <c r="AM1467" i="3"/>
  <c r="AM1468" i="3"/>
  <c r="AM1469" i="3"/>
  <c r="AM1470" i="3"/>
  <c r="AM1471" i="3"/>
  <c r="AM1472" i="3"/>
  <c r="AM1473" i="3"/>
  <c r="AM1474" i="3"/>
  <c r="AM1475" i="3"/>
  <c r="AM1476" i="3"/>
  <c r="AM1477" i="3"/>
  <c r="AM1478" i="3"/>
  <c r="AM1479" i="3"/>
  <c r="AM1480" i="3"/>
  <c r="AM1481" i="3"/>
  <c r="AM1482" i="3"/>
  <c r="AM1483" i="3"/>
  <c r="AM1484" i="3"/>
  <c r="AM1485" i="3"/>
  <c r="AM1486" i="3"/>
  <c r="AM1487" i="3"/>
  <c r="AM1488" i="3"/>
  <c r="AM1489" i="3"/>
  <c r="AM1490" i="3"/>
  <c r="AM1491" i="3"/>
  <c r="AM1492" i="3"/>
  <c r="AM1493" i="3"/>
  <c r="AM1494" i="3"/>
  <c r="AM1495" i="3"/>
  <c r="AM1496" i="3"/>
  <c r="AM1497" i="3"/>
  <c r="AM1498" i="3"/>
  <c r="AM1499" i="3"/>
  <c r="AM1500" i="3"/>
  <c r="AM1501" i="3"/>
  <c r="AM1502" i="3"/>
  <c r="AM1503" i="3"/>
  <c r="AM1504" i="3"/>
  <c r="AM1505" i="3"/>
  <c r="AM1506" i="3"/>
  <c r="AM1507" i="3"/>
  <c r="AM1508" i="3"/>
  <c r="AM1509" i="3"/>
  <c r="AM1510" i="3"/>
  <c r="AM1511" i="3"/>
  <c r="AM1512" i="3"/>
  <c r="AM1513" i="3"/>
  <c r="AM1514" i="3"/>
  <c r="AM1515" i="3"/>
  <c r="AM1516" i="3"/>
  <c r="AM1517" i="3"/>
  <c r="AM1518" i="3"/>
  <c r="AM1519" i="3"/>
  <c r="AM1520" i="3"/>
  <c r="AM1521" i="3"/>
  <c r="AM1522" i="3"/>
  <c r="AM1523" i="3"/>
  <c r="AM1524" i="3"/>
  <c r="AM1525" i="3"/>
  <c r="AM1526" i="3"/>
  <c r="AM1527" i="3"/>
  <c r="AM1528" i="3"/>
  <c r="AM1529" i="3"/>
  <c r="AM1530" i="3"/>
  <c r="AM1531" i="3"/>
  <c r="AM1532" i="3"/>
  <c r="AM1533" i="3"/>
  <c r="AM1534" i="3"/>
  <c r="AM1535" i="3"/>
  <c r="AM1536" i="3"/>
  <c r="AM1537" i="3"/>
  <c r="AM1538" i="3"/>
  <c r="AM1539" i="3"/>
  <c r="AM1540" i="3"/>
  <c r="AM1541" i="3"/>
  <c r="AM1542" i="3"/>
  <c r="AM1543" i="3"/>
  <c r="AM1544" i="3"/>
  <c r="AM1545" i="3"/>
  <c r="AM1546" i="3"/>
  <c r="AM1547" i="3"/>
  <c r="AM1548" i="3"/>
  <c r="AM1549" i="3"/>
  <c r="AM1550" i="3"/>
  <c r="AM1551" i="3"/>
  <c r="AM1552" i="3"/>
  <c r="AM1553" i="3"/>
  <c r="AM1554" i="3"/>
  <c r="AM1555" i="3"/>
  <c r="AM1556" i="3"/>
  <c r="AM1557" i="3"/>
  <c r="AM1558" i="3"/>
  <c r="AM1559" i="3"/>
  <c r="AM1560" i="3"/>
  <c r="AM1561" i="3"/>
  <c r="AM1562" i="3"/>
  <c r="AM1563" i="3"/>
  <c r="AM1564" i="3"/>
  <c r="AM1565" i="3"/>
  <c r="AM1566" i="3"/>
  <c r="AM1567" i="3"/>
  <c r="AM1568" i="3"/>
  <c r="AM1569" i="3"/>
  <c r="AM1570" i="3"/>
  <c r="AM1571" i="3"/>
  <c r="AM1572" i="3"/>
  <c r="AM1573" i="3"/>
  <c r="AM1574" i="3"/>
  <c r="AM1575" i="3"/>
  <c r="AM1576" i="3"/>
  <c r="AM1577" i="3"/>
  <c r="AM1578" i="3"/>
  <c r="AM1579" i="3"/>
  <c r="AM1580" i="3"/>
  <c r="AM1581" i="3"/>
  <c r="AM1582" i="3"/>
  <c r="AM1583" i="3"/>
  <c r="AM1584" i="3"/>
  <c r="AM1585" i="3"/>
  <c r="AM1586" i="3"/>
  <c r="AM1587" i="3"/>
  <c r="AM1588" i="3"/>
  <c r="AM1589" i="3"/>
  <c r="AM1590" i="3"/>
  <c r="AM1591" i="3"/>
  <c r="AM1592" i="3"/>
  <c r="AM1593" i="3"/>
  <c r="AM1594" i="3"/>
  <c r="AM1595" i="3"/>
  <c r="AM1596" i="3"/>
  <c r="AM1597" i="3"/>
  <c r="AM1598" i="3"/>
  <c r="AM1599" i="3"/>
  <c r="AM1600" i="3"/>
  <c r="AM1601" i="3"/>
  <c r="AM1602" i="3"/>
  <c r="AM1603" i="3"/>
  <c r="AM1604" i="3"/>
  <c r="AM1605" i="3"/>
  <c r="AM1606" i="3"/>
  <c r="AM1607" i="3"/>
  <c r="AM1608" i="3"/>
  <c r="AM1609" i="3"/>
  <c r="AM1610" i="3"/>
  <c r="AM1611" i="3"/>
  <c r="AM1612" i="3"/>
  <c r="AM1613" i="3"/>
  <c r="AM1614" i="3"/>
  <c r="AM1615" i="3"/>
  <c r="AM1616" i="3"/>
  <c r="AM1617" i="3"/>
  <c r="AM1618" i="3"/>
  <c r="AM1619" i="3"/>
  <c r="AM1620" i="3"/>
  <c r="AM1621" i="3"/>
  <c r="AM1622" i="3"/>
  <c r="AM1623" i="3"/>
  <c r="AM1624" i="3"/>
  <c r="AM1625" i="3"/>
  <c r="AM1626" i="3"/>
  <c r="AM1627" i="3"/>
  <c r="AM1628" i="3"/>
  <c r="AM1629" i="3"/>
  <c r="AM1630" i="3"/>
  <c r="AM1631" i="3"/>
  <c r="AM1632" i="3"/>
  <c r="AM1633" i="3"/>
  <c r="AM1634" i="3"/>
  <c r="AM1635" i="3"/>
  <c r="AM1636" i="3"/>
  <c r="AM1637" i="3"/>
  <c r="AM1638" i="3"/>
  <c r="AM1639" i="3"/>
  <c r="AM1640" i="3"/>
  <c r="AM1641" i="3"/>
  <c r="AM1642" i="3"/>
  <c r="AM1643" i="3"/>
  <c r="AM1644" i="3"/>
  <c r="AM1645" i="3"/>
  <c r="AM1646" i="3"/>
  <c r="AM1647" i="3"/>
  <c r="AM1648" i="3"/>
  <c r="AM1649" i="3"/>
  <c r="AM1650" i="3"/>
  <c r="AM1651" i="3"/>
  <c r="AM1652" i="3"/>
  <c r="AM1653" i="3"/>
  <c r="AM1654" i="3"/>
  <c r="AM1655" i="3"/>
  <c r="AM1656" i="3"/>
  <c r="AM1657" i="3"/>
  <c r="AM1658" i="3"/>
  <c r="AM1659" i="3"/>
  <c r="AM1660" i="3"/>
  <c r="AM1661" i="3"/>
  <c r="AM1662" i="3"/>
  <c r="AM1663" i="3"/>
  <c r="AM1664" i="3"/>
  <c r="AM1665" i="3"/>
  <c r="AM1666" i="3"/>
  <c r="AM1667" i="3"/>
  <c r="AM1668" i="3"/>
  <c r="AM1669" i="3"/>
  <c r="AM1670" i="3"/>
  <c r="AM1671" i="3"/>
  <c r="AM1672" i="3"/>
  <c r="AM1673" i="3"/>
  <c r="AM1674" i="3"/>
  <c r="AM1675" i="3"/>
  <c r="AM1676" i="3"/>
  <c r="AM1677" i="3"/>
  <c r="AM1678" i="3"/>
  <c r="AM1679" i="3"/>
  <c r="AM1680" i="3"/>
  <c r="AM1681" i="3"/>
  <c r="AM1682" i="3"/>
  <c r="AM1683" i="3"/>
  <c r="AM1684" i="3"/>
  <c r="AM1685" i="3"/>
  <c r="AM1686" i="3"/>
  <c r="AM1687" i="3"/>
  <c r="AM1688" i="3"/>
  <c r="AM1689" i="3"/>
  <c r="AM1690" i="3"/>
  <c r="AM1691" i="3"/>
  <c r="AM1692" i="3"/>
  <c r="AM1693" i="3"/>
  <c r="AM1694" i="3"/>
  <c r="AM1695" i="3"/>
  <c r="AM1696" i="3"/>
  <c r="AM1697" i="3"/>
  <c r="AM1698" i="3"/>
  <c r="AM1699" i="3"/>
  <c r="AM1700" i="3"/>
  <c r="AM1701" i="3"/>
  <c r="AM1702" i="3"/>
  <c r="AM1703" i="3"/>
  <c r="AM1704" i="3"/>
  <c r="AM1705" i="3"/>
  <c r="AM1706" i="3"/>
  <c r="AM1707" i="3"/>
  <c r="AM1708" i="3"/>
  <c r="AM1709" i="3"/>
  <c r="AM1710" i="3"/>
  <c r="AM1711" i="3"/>
  <c r="AM1712" i="3"/>
  <c r="AM1713" i="3"/>
  <c r="AM1714" i="3"/>
  <c r="AM1715" i="3"/>
  <c r="AM1716" i="3"/>
  <c r="AM1717" i="3"/>
  <c r="AM1718" i="3"/>
  <c r="AM1719" i="3"/>
  <c r="AM1720" i="3"/>
  <c r="AM1721" i="3"/>
  <c r="AM1722" i="3"/>
  <c r="AM1723" i="3"/>
  <c r="AM1724" i="3"/>
  <c r="AM1725" i="3"/>
  <c r="AM1726" i="3"/>
  <c r="AM1727" i="3"/>
  <c r="AM1728" i="3"/>
  <c r="AM1729" i="3"/>
  <c r="AM1730" i="3"/>
  <c r="AM1731" i="3"/>
  <c r="AM1732" i="3"/>
  <c r="AM1733" i="3"/>
  <c r="AM1734" i="3"/>
  <c r="AM1735" i="3"/>
  <c r="AM1736" i="3"/>
  <c r="AM1737" i="3"/>
  <c r="AM1738" i="3"/>
  <c r="AM1739" i="3"/>
  <c r="AM1740" i="3"/>
  <c r="AM1741" i="3"/>
  <c r="AM1742" i="3"/>
  <c r="AM1743" i="3"/>
  <c r="AM1744" i="3"/>
  <c r="AM1745" i="3"/>
  <c r="AM1746" i="3"/>
  <c r="AM1747" i="3"/>
  <c r="AM1748" i="3"/>
  <c r="AM1749" i="3"/>
  <c r="AM1750" i="3"/>
  <c r="AM1751" i="3"/>
  <c r="AM1752" i="3"/>
  <c r="AM1753" i="3"/>
  <c r="AM1754" i="3"/>
  <c r="AM1755" i="3"/>
  <c r="AM1756" i="3"/>
  <c r="AM1757" i="3"/>
  <c r="AM1758" i="3"/>
  <c r="AM1759" i="3"/>
  <c r="AM1760" i="3"/>
  <c r="AM1761" i="3"/>
  <c r="AM1762" i="3"/>
  <c r="AM1763" i="3"/>
  <c r="AM1764" i="3"/>
  <c r="AM1765" i="3"/>
  <c r="AM1766" i="3"/>
  <c r="AM1767" i="3"/>
  <c r="AM1768" i="3"/>
  <c r="AM1769" i="3"/>
  <c r="AM1770" i="3"/>
  <c r="AM1771" i="3"/>
  <c r="AM1772" i="3"/>
  <c r="AM1773" i="3"/>
  <c r="AM1774" i="3"/>
  <c r="AM1775" i="3"/>
  <c r="AM1776" i="3"/>
  <c r="AM1777" i="3"/>
  <c r="AM1778" i="3"/>
  <c r="AM1779" i="3"/>
  <c r="AM1780" i="3"/>
  <c r="AM1781" i="3"/>
  <c r="AM1782" i="3"/>
  <c r="AM1783" i="3"/>
  <c r="AM1784" i="3"/>
  <c r="AM1785" i="3"/>
  <c r="AM1786" i="3"/>
  <c r="AM1787" i="3"/>
  <c r="AM1788" i="3"/>
  <c r="AM1789" i="3"/>
  <c r="AM1790" i="3"/>
  <c r="AM1791" i="3"/>
  <c r="AM1792" i="3"/>
  <c r="AM1793" i="3"/>
  <c r="AM1794" i="3"/>
  <c r="AM1795" i="3"/>
  <c r="AM1796" i="3"/>
  <c r="AM1797" i="3"/>
  <c r="AM1798" i="3"/>
  <c r="AM1799" i="3"/>
  <c r="AM1800" i="3"/>
  <c r="AM1801" i="3"/>
  <c r="AM1802" i="3"/>
  <c r="AM1803" i="3"/>
  <c r="AM1804" i="3"/>
  <c r="AM1805" i="3"/>
  <c r="AM1806" i="3"/>
  <c r="AM1807" i="3"/>
  <c r="AM1808" i="3"/>
  <c r="AM1809" i="3"/>
  <c r="AM1810" i="3"/>
  <c r="AM1811" i="3"/>
  <c r="AM1812" i="3"/>
  <c r="AM1813" i="3"/>
  <c r="AM1814" i="3"/>
  <c r="AM1815" i="3"/>
  <c r="AM1816" i="3"/>
  <c r="AM1817" i="3"/>
  <c r="AM1818" i="3"/>
  <c r="AM1819" i="3"/>
  <c r="AM1820" i="3"/>
  <c r="AM1821" i="3"/>
  <c r="AM1822" i="3"/>
  <c r="AM1823" i="3"/>
  <c r="AM1824" i="3"/>
  <c r="AM1825" i="3"/>
  <c r="AM1826" i="3"/>
  <c r="AM1827" i="3"/>
  <c r="AM1828" i="3"/>
  <c r="AM1829" i="3"/>
  <c r="AM1830" i="3"/>
  <c r="AM1831" i="3"/>
  <c r="AM1832" i="3"/>
  <c r="AM1833" i="3"/>
  <c r="AM1834" i="3"/>
  <c r="AM1835" i="3"/>
  <c r="AM1836" i="3"/>
  <c r="AM1837" i="3"/>
  <c r="AM1838" i="3"/>
  <c r="AM1839" i="3"/>
  <c r="AM1840" i="3"/>
  <c r="AM1841" i="3"/>
  <c r="AM1842" i="3"/>
  <c r="AM1843" i="3"/>
  <c r="AM1844" i="3"/>
  <c r="AM1845" i="3"/>
  <c r="AM1846" i="3"/>
  <c r="AM1847" i="3"/>
  <c r="AM1848" i="3"/>
  <c r="AM1849" i="3"/>
  <c r="AM1850" i="3"/>
  <c r="AM1851" i="3"/>
  <c r="AM1852" i="3"/>
  <c r="AM1853" i="3"/>
  <c r="AM1854" i="3"/>
  <c r="AM1855" i="3"/>
  <c r="AM1856" i="3"/>
  <c r="AM1857" i="3"/>
  <c r="AM1858" i="3"/>
  <c r="AM1859" i="3"/>
  <c r="AM1860" i="3"/>
  <c r="AM1861" i="3"/>
  <c r="AM1862" i="3"/>
  <c r="AM1863" i="3"/>
  <c r="AM1864" i="3"/>
  <c r="AM1865" i="3"/>
  <c r="AM1866" i="3"/>
  <c r="AM1867" i="3"/>
  <c r="AM1868" i="3"/>
  <c r="AM1869" i="3"/>
  <c r="AM1870" i="3"/>
  <c r="AM1871" i="3"/>
  <c r="AM1872" i="3"/>
  <c r="AM1873" i="3"/>
  <c r="AM1874" i="3"/>
  <c r="AM1875" i="3"/>
  <c r="AM1876" i="3"/>
  <c r="AM1877" i="3"/>
  <c r="AM1878" i="3"/>
  <c r="AM1879" i="3"/>
  <c r="AM1880" i="3"/>
  <c r="AM1881" i="3"/>
  <c r="AM1882" i="3"/>
  <c r="AM1883" i="3"/>
  <c r="AM1884" i="3"/>
  <c r="AM1885" i="3"/>
  <c r="AM1886" i="3"/>
  <c r="AM1887" i="3"/>
  <c r="AM1888" i="3"/>
  <c r="AM1889" i="3"/>
  <c r="AM1890" i="3"/>
  <c r="AM1891" i="3"/>
  <c r="AM1892" i="3"/>
  <c r="AM1893" i="3"/>
  <c r="AM1894" i="3"/>
  <c r="AM1895" i="3"/>
  <c r="AM1896" i="3"/>
  <c r="AM1897" i="3"/>
  <c r="AM1898" i="3"/>
  <c r="AM1899" i="3"/>
  <c r="AM1900" i="3"/>
  <c r="AM1901" i="3"/>
  <c r="AM1902" i="3"/>
  <c r="AM1903" i="3"/>
  <c r="AM1904" i="3"/>
  <c r="AM1905" i="3"/>
  <c r="AM1906" i="3"/>
  <c r="AM1907" i="3"/>
  <c r="AM1908" i="3"/>
  <c r="AM1909" i="3"/>
  <c r="AM1910" i="3"/>
  <c r="AM1911" i="3"/>
  <c r="AM1912" i="3"/>
  <c r="AM1913" i="3"/>
  <c r="AM1914" i="3"/>
  <c r="AM1915" i="3"/>
  <c r="AM1916" i="3"/>
  <c r="AM1917" i="3"/>
  <c r="AM1918" i="3"/>
  <c r="AM1919" i="3"/>
  <c r="AM1920" i="3"/>
  <c r="AM1921" i="3"/>
  <c r="AM1922" i="3"/>
  <c r="AM1923" i="3"/>
  <c r="AM1924" i="3"/>
  <c r="AM1925" i="3"/>
  <c r="AM1926" i="3"/>
  <c r="AM1927" i="3"/>
  <c r="AM1928" i="3"/>
  <c r="AM1929" i="3"/>
  <c r="AM1930" i="3"/>
  <c r="AM1931" i="3"/>
  <c r="AM1932" i="3"/>
  <c r="AM1933" i="3"/>
  <c r="AM1934" i="3"/>
  <c r="AM1935" i="3"/>
  <c r="AM1936" i="3"/>
  <c r="AM1937" i="3"/>
  <c r="AM1938" i="3"/>
  <c r="AM1939" i="3"/>
  <c r="AM1940" i="3"/>
  <c r="AM1941" i="3"/>
  <c r="AM1942" i="3"/>
  <c r="AM1943" i="3"/>
  <c r="AM1944" i="3"/>
  <c r="AM1945" i="3"/>
  <c r="AM1946" i="3"/>
  <c r="AM1947" i="3"/>
  <c r="AM1948" i="3"/>
  <c r="AM1949" i="3"/>
  <c r="AM1950" i="3"/>
  <c r="AM1951" i="3"/>
  <c r="AM1952" i="3"/>
  <c r="AM1953" i="3"/>
  <c r="AM1954" i="3"/>
  <c r="AM1955" i="3"/>
  <c r="AM1956" i="3"/>
  <c r="AM1957" i="3"/>
  <c r="AM1958" i="3"/>
  <c r="AM1959" i="3"/>
  <c r="AM1960" i="3"/>
  <c r="AM1961" i="3"/>
  <c r="AM1962" i="3"/>
  <c r="AM1963" i="3"/>
  <c r="AM1964" i="3"/>
  <c r="AM1965" i="3"/>
  <c r="AM1966" i="3"/>
  <c r="AM1967" i="3"/>
  <c r="AM1968" i="3"/>
  <c r="AM1969" i="3"/>
  <c r="AM1970" i="3"/>
  <c r="AM1971" i="3"/>
  <c r="AM1972" i="3"/>
  <c r="AM1973" i="3"/>
  <c r="AM1974" i="3"/>
  <c r="AM1975" i="3"/>
  <c r="AM1976" i="3"/>
  <c r="AM1977" i="3"/>
  <c r="AM1978" i="3"/>
  <c r="AM1979" i="3"/>
  <c r="AM1980" i="3"/>
  <c r="AM1981" i="3"/>
  <c r="AM1982" i="3"/>
  <c r="AM1983" i="3"/>
  <c r="AM1984" i="3"/>
  <c r="AM1985" i="3"/>
  <c r="AM1986" i="3"/>
  <c r="AM1987" i="3"/>
  <c r="AM1988" i="3"/>
  <c r="AM1989" i="3"/>
  <c r="AM1990" i="3"/>
  <c r="AM1991" i="3"/>
  <c r="AM1992" i="3"/>
  <c r="AM1993" i="3"/>
  <c r="AM1994" i="3"/>
  <c r="AM1995" i="3"/>
  <c r="AM1996" i="3"/>
  <c r="AM1997" i="3"/>
  <c r="AM1998" i="3"/>
  <c r="AM1999" i="3"/>
  <c r="AM2000" i="3"/>
  <c r="AM2001" i="3"/>
  <c r="AM2002" i="3"/>
  <c r="AM2003" i="3"/>
  <c r="AM2004" i="3"/>
  <c r="AM2005" i="3"/>
  <c r="AM2006" i="3"/>
  <c r="AM2007" i="3"/>
  <c r="AM2008" i="3"/>
  <c r="AM2009" i="3"/>
  <c r="AM2010" i="3"/>
  <c r="AM2011" i="3"/>
  <c r="AM2012" i="3"/>
  <c r="AM2013" i="3"/>
  <c r="AM2014" i="3"/>
  <c r="AM2015" i="3"/>
  <c r="AM2016" i="3"/>
  <c r="AM2017" i="3"/>
  <c r="AM2018" i="3"/>
  <c r="AM2019" i="3"/>
  <c r="AM2020" i="3"/>
  <c r="AM2021" i="3"/>
  <c r="AM2022" i="3"/>
  <c r="AM2023" i="3"/>
  <c r="AM2024" i="3"/>
  <c r="AM2025" i="3"/>
  <c r="AM2026" i="3"/>
  <c r="AM2027" i="3"/>
  <c r="AM2028" i="3"/>
  <c r="AM2029" i="3"/>
  <c r="AM2030" i="3"/>
  <c r="AM2031" i="3"/>
  <c r="AM2032" i="3"/>
  <c r="AM2033" i="3"/>
  <c r="AM2034" i="3"/>
  <c r="AM2035" i="3"/>
  <c r="AM2036" i="3"/>
  <c r="AM2037" i="3"/>
  <c r="AM2038" i="3"/>
  <c r="AM2039" i="3"/>
  <c r="AM2040" i="3"/>
  <c r="AM2041" i="3"/>
  <c r="AM2042" i="3"/>
  <c r="AM2043" i="3"/>
  <c r="AM2044" i="3"/>
  <c r="AM2045" i="3"/>
  <c r="AM2046" i="3"/>
  <c r="AM2047" i="3"/>
  <c r="AM2048" i="3"/>
  <c r="AM2049" i="3"/>
  <c r="AM2050" i="3"/>
  <c r="AM2051" i="3"/>
  <c r="AM2052" i="3"/>
  <c r="AM2053" i="3"/>
  <c r="AM2054" i="3"/>
  <c r="AM2055" i="3"/>
  <c r="AM2056" i="3"/>
  <c r="AM2057" i="3"/>
  <c r="AM2058" i="3"/>
  <c r="AM2059" i="3"/>
  <c r="AM2060" i="3"/>
  <c r="AM2061" i="3"/>
  <c r="AM2062" i="3"/>
  <c r="AM2063" i="3"/>
  <c r="AM2064" i="3"/>
  <c r="AM2065" i="3"/>
  <c r="AM2066" i="3"/>
  <c r="AM2067" i="3"/>
  <c r="AM2068" i="3"/>
  <c r="AM2069" i="3"/>
  <c r="AM2070" i="3"/>
  <c r="AM2071" i="3"/>
  <c r="AM2072" i="3"/>
  <c r="AM2073" i="3"/>
  <c r="AM2074" i="3"/>
  <c r="AM2075" i="3"/>
  <c r="AM2076" i="3"/>
  <c r="AM2077" i="3"/>
  <c r="AM2078" i="3"/>
  <c r="AM2079" i="3"/>
  <c r="AM2080" i="3"/>
  <c r="AM2081" i="3"/>
  <c r="AM2082" i="3"/>
  <c r="AM2083" i="3"/>
  <c r="AM2084" i="3"/>
  <c r="AM2085" i="3"/>
  <c r="AM2086" i="3"/>
  <c r="AM2087" i="3"/>
  <c r="AM2088" i="3"/>
  <c r="AM2089" i="3"/>
  <c r="AM2090" i="3"/>
  <c r="AM2091" i="3"/>
  <c r="AM2092" i="3"/>
  <c r="AM2093" i="3"/>
  <c r="AM2094" i="3"/>
  <c r="AM2095" i="3"/>
  <c r="AM2096" i="3"/>
  <c r="AM2097" i="3"/>
  <c r="AM2098" i="3"/>
  <c r="AM2099" i="3"/>
  <c r="AM2100" i="3"/>
  <c r="AM2101" i="3"/>
  <c r="AM2102" i="3"/>
  <c r="AM2103" i="3"/>
  <c r="AM2104" i="3"/>
  <c r="AM2105" i="3"/>
  <c r="AM2106" i="3"/>
  <c r="AM2107" i="3"/>
  <c r="AM2108" i="3"/>
  <c r="AM2109" i="3"/>
  <c r="AM2110" i="3"/>
  <c r="AM2111" i="3"/>
  <c r="AM2112" i="3"/>
  <c r="AM2113" i="3"/>
  <c r="AM2114" i="3"/>
  <c r="AM2115" i="3"/>
  <c r="AM2116" i="3"/>
  <c r="AM2117" i="3"/>
  <c r="AM2118" i="3"/>
  <c r="AM2119" i="3"/>
  <c r="AM2120" i="3"/>
  <c r="AM2121" i="3"/>
  <c r="AM2122" i="3"/>
  <c r="AM2123" i="3"/>
  <c r="AM2124" i="3"/>
  <c r="AM2125" i="3"/>
  <c r="AM2126" i="3"/>
  <c r="AM2127" i="3"/>
  <c r="AM2128" i="3"/>
  <c r="AM2129" i="3"/>
  <c r="AM2130" i="3"/>
  <c r="AM2131" i="3"/>
  <c r="AM2132" i="3"/>
  <c r="AM2133" i="3"/>
  <c r="AM2134" i="3"/>
  <c r="AM2135" i="3"/>
  <c r="AM2136" i="3"/>
  <c r="AM2137" i="3"/>
  <c r="AM2138" i="3"/>
  <c r="AM2139" i="3"/>
  <c r="AM2140" i="3"/>
  <c r="AM2141" i="3"/>
  <c r="AM2142" i="3"/>
  <c r="AM2143" i="3"/>
  <c r="AM2144" i="3"/>
  <c r="AM2145" i="3"/>
  <c r="AM2146" i="3"/>
  <c r="AM2147" i="3"/>
  <c r="AM2148" i="3"/>
  <c r="AM2149" i="3"/>
  <c r="AM2150" i="3"/>
  <c r="AM2151" i="3"/>
  <c r="AM2152" i="3"/>
  <c r="AM2153" i="3"/>
  <c r="AM2154" i="3"/>
  <c r="AM2155" i="3"/>
  <c r="AM2156" i="3"/>
  <c r="AM2157" i="3"/>
  <c r="AM2158" i="3"/>
  <c r="AM2159" i="3"/>
  <c r="AM2160" i="3"/>
  <c r="AM2161" i="3"/>
  <c r="AM2162" i="3"/>
  <c r="AM2163" i="3"/>
  <c r="AM2164" i="3"/>
  <c r="AM2165" i="3"/>
  <c r="AM2166" i="3"/>
  <c r="AM2167" i="3"/>
  <c r="AM2168" i="3"/>
  <c r="AM2169" i="3"/>
  <c r="AM2170" i="3"/>
  <c r="AM2171" i="3"/>
  <c r="AM2172" i="3"/>
  <c r="AM2173" i="3"/>
  <c r="AM2174" i="3"/>
  <c r="AM2175" i="3"/>
  <c r="AM2176" i="3"/>
  <c r="AM2177" i="3"/>
  <c r="AM2178" i="3"/>
  <c r="AM2179" i="3"/>
  <c r="AM2180" i="3"/>
  <c r="AM2181" i="3"/>
  <c r="AM2182" i="3"/>
  <c r="AM2183" i="3"/>
  <c r="AM2184" i="3"/>
  <c r="AM2185" i="3"/>
  <c r="AM2186" i="3"/>
  <c r="AM2187" i="3"/>
  <c r="AM2188" i="3"/>
  <c r="AM2189" i="3"/>
  <c r="AM2190" i="3"/>
  <c r="AM2191" i="3"/>
  <c r="AM2192" i="3"/>
  <c r="AM2193" i="3"/>
  <c r="AM2194" i="3"/>
  <c r="AM2195" i="3"/>
  <c r="AM2196" i="3"/>
  <c r="AM2197" i="3"/>
  <c r="AM2198" i="3"/>
  <c r="AM2199" i="3"/>
  <c r="AM2200" i="3"/>
  <c r="AM2201" i="3"/>
  <c r="AM2202" i="3"/>
  <c r="AM2203" i="3"/>
  <c r="AM2204" i="3"/>
  <c r="AM2205" i="3"/>
  <c r="AM2206" i="3"/>
  <c r="AM2207" i="3"/>
  <c r="AM2208" i="3"/>
  <c r="AM2209" i="3"/>
  <c r="AM2210" i="3"/>
  <c r="AM2211" i="3"/>
  <c r="AM2212" i="3"/>
  <c r="AM2213" i="3"/>
  <c r="AM2214" i="3"/>
  <c r="AM2215" i="3"/>
  <c r="AM2216" i="3"/>
  <c r="AM2217" i="3"/>
  <c r="AM2218" i="3"/>
  <c r="AM2219" i="3"/>
  <c r="AM2220" i="3"/>
  <c r="AM2221" i="3"/>
  <c r="AM2222" i="3"/>
  <c r="AM2223" i="3"/>
  <c r="AM2224" i="3"/>
  <c r="AM2225" i="3"/>
  <c r="AM2226" i="3"/>
  <c r="AM2227" i="3"/>
  <c r="AM2228" i="3"/>
  <c r="AM2229" i="3"/>
  <c r="AM2230" i="3"/>
  <c r="AM2231" i="3"/>
  <c r="AM2232" i="3"/>
  <c r="AM2233" i="3"/>
  <c r="AM2234" i="3"/>
  <c r="AM2235" i="3"/>
  <c r="AM2236" i="3"/>
  <c r="AM2237" i="3"/>
  <c r="AM2238" i="3"/>
  <c r="AM2239" i="3"/>
  <c r="AM2240" i="3"/>
  <c r="AM2241" i="3"/>
  <c r="AL2" i="3"/>
  <c r="AL3" i="3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L159" i="3"/>
  <c r="AL160" i="3"/>
  <c r="AL161" i="3"/>
  <c r="AL162" i="3"/>
  <c r="AL163" i="3"/>
  <c r="AL164" i="3"/>
  <c r="AL165" i="3"/>
  <c r="AL166" i="3"/>
  <c r="AL167" i="3"/>
  <c r="AL168" i="3"/>
  <c r="AL169" i="3"/>
  <c r="AL170" i="3"/>
  <c r="AL171" i="3"/>
  <c r="AL172" i="3"/>
  <c r="AL173" i="3"/>
  <c r="AL174" i="3"/>
  <c r="AL175" i="3"/>
  <c r="AL176" i="3"/>
  <c r="AL177" i="3"/>
  <c r="AL178" i="3"/>
  <c r="AL179" i="3"/>
  <c r="AL180" i="3"/>
  <c r="AL181" i="3"/>
  <c r="AL182" i="3"/>
  <c r="AL183" i="3"/>
  <c r="AL184" i="3"/>
  <c r="AL185" i="3"/>
  <c r="AL186" i="3"/>
  <c r="AL187" i="3"/>
  <c r="AL188" i="3"/>
  <c r="AL189" i="3"/>
  <c r="AL190" i="3"/>
  <c r="AL191" i="3"/>
  <c r="AL192" i="3"/>
  <c r="AL193" i="3"/>
  <c r="AL194" i="3"/>
  <c r="AL195" i="3"/>
  <c r="AL196" i="3"/>
  <c r="AL197" i="3"/>
  <c r="AL198" i="3"/>
  <c r="AL199" i="3"/>
  <c r="AL200" i="3"/>
  <c r="AL201" i="3"/>
  <c r="AL202" i="3"/>
  <c r="AL203" i="3"/>
  <c r="AL204" i="3"/>
  <c r="AL205" i="3"/>
  <c r="AL206" i="3"/>
  <c r="AL207" i="3"/>
  <c r="AL208" i="3"/>
  <c r="AL209" i="3"/>
  <c r="AL210" i="3"/>
  <c r="AL211" i="3"/>
  <c r="AL212" i="3"/>
  <c r="AL213" i="3"/>
  <c r="AL214" i="3"/>
  <c r="AL215" i="3"/>
  <c r="AL216" i="3"/>
  <c r="AL217" i="3"/>
  <c r="AL218" i="3"/>
  <c r="AL219" i="3"/>
  <c r="AL220" i="3"/>
  <c r="AL221" i="3"/>
  <c r="AL222" i="3"/>
  <c r="AL223" i="3"/>
  <c r="AL224" i="3"/>
  <c r="AL225" i="3"/>
  <c r="AL226" i="3"/>
  <c r="AL227" i="3"/>
  <c r="AL228" i="3"/>
  <c r="AL229" i="3"/>
  <c r="AL230" i="3"/>
  <c r="AL231" i="3"/>
  <c r="AL232" i="3"/>
  <c r="AL233" i="3"/>
  <c r="AL234" i="3"/>
  <c r="AL235" i="3"/>
  <c r="AL236" i="3"/>
  <c r="AL237" i="3"/>
  <c r="AL238" i="3"/>
  <c r="AL239" i="3"/>
  <c r="AL240" i="3"/>
  <c r="AL241" i="3"/>
  <c r="AL242" i="3"/>
  <c r="AL243" i="3"/>
  <c r="AL244" i="3"/>
  <c r="AL245" i="3"/>
  <c r="AL246" i="3"/>
  <c r="AL247" i="3"/>
  <c r="AL248" i="3"/>
  <c r="AL249" i="3"/>
  <c r="AL250" i="3"/>
  <c r="AL251" i="3"/>
  <c r="AL252" i="3"/>
  <c r="AL253" i="3"/>
  <c r="AL254" i="3"/>
  <c r="AL255" i="3"/>
  <c r="AL256" i="3"/>
  <c r="AL257" i="3"/>
  <c r="AL258" i="3"/>
  <c r="AL259" i="3"/>
  <c r="AL260" i="3"/>
  <c r="AL261" i="3"/>
  <c r="AL262" i="3"/>
  <c r="AL263" i="3"/>
  <c r="AL264" i="3"/>
  <c r="AL265" i="3"/>
  <c r="AL266" i="3"/>
  <c r="AL267" i="3"/>
  <c r="AL268" i="3"/>
  <c r="AL269" i="3"/>
  <c r="AL270" i="3"/>
  <c r="AL271" i="3"/>
  <c r="AL272" i="3"/>
  <c r="AL273" i="3"/>
  <c r="AL274" i="3"/>
  <c r="AL275" i="3"/>
  <c r="AL276" i="3"/>
  <c r="AL277" i="3"/>
  <c r="AL278" i="3"/>
  <c r="AL279" i="3"/>
  <c r="AL280" i="3"/>
  <c r="AL281" i="3"/>
  <c r="AL282" i="3"/>
  <c r="AL283" i="3"/>
  <c r="AL284" i="3"/>
  <c r="AL285" i="3"/>
  <c r="AL286" i="3"/>
  <c r="AL287" i="3"/>
  <c r="AL288" i="3"/>
  <c r="AL289" i="3"/>
  <c r="AL290" i="3"/>
  <c r="AL291" i="3"/>
  <c r="AL292" i="3"/>
  <c r="AL293" i="3"/>
  <c r="AL294" i="3"/>
  <c r="AL295" i="3"/>
  <c r="AL296" i="3"/>
  <c r="AL297" i="3"/>
  <c r="AL298" i="3"/>
  <c r="AL299" i="3"/>
  <c r="AL300" i="3"/>
  <c r="AL301" i="3"/>
  <c r="AL302" i="3"/>
  <c r="AL303" i="3"/>
  <c r="AL304" i="3"/>
  <c r="AL305" i="3"/>
  <c r="AL306" i="3"/>
  <c r="AL307" i="3"/>
  <c r="AL308" i="3"/>
  <c r="AL309" i="3"/>
  <c r="AL310" i="3"/>
  <c r="AL311" i="3"/>
  <c r="AL312" i="3"/>
  <c r="AL313" i="3"/>
  <c r="AL314" i="3"/>
  <c r="AL315" i="3"/>
  <c r="AL316" i="3"/>
  <c r="AL317" i="3"/>
  <c r="AL318" i="3"/>
  <c r="AL319" i="3"/>
  <c r="AL320" i="3"/>
  <c r="AL321" i="3"/>
  <c r="AL322" i="3"/>
  <c r="AL323" i="3"/>
  <c r="AL324" i="3"/>
  <c r="AL325" i="3"/>
  <c r="AL326" i="3"/>
  <c r="AL327" i="3"/>
  <c r="AL328" i="3"/>
  <c r="AL329" i="3"/>
  <c r="AL330" i="3"/>
  <c r="AL331" i="3"/>
  <c r="AL332" i="3"/>
  <c r="AL333" i="3"/>
  <c r="AL334" i="3"/>
  <c r="AL335" i="3"/>
  <c r="AL336" i="3"/>
  <c r="AL337" i="3"/>
  <c r="AL338" i="3"/>
  <c r="AL339" i="3"/>
  <c r="AL340" i="3"/>
  <c r="AL341" i="3"/>
  <c r="AL342" i="3"/>
  <c r="AL343" i="3"/>
  <c r="AL344" i="3"/>
  <c r="AL345" i="3"/>
  <c r="AL346" i="3"/>
  <c r="AL347" i="3"/>
  <c r="AL348" i="3"/>
  <c r="AL349" i="3"/>
  <c r="AL350" i="3"/>
  <c r="AL351" i="3"/>
  <c r="AL352" i="3"/>
  <c r="AL353" i="3"/>
  <c r="AL354" i="3"/>
  <c r="AL355" i="3"/>
  <c r="AL356" i="3"/>
  <c r="AL357" i="3"/>
  <c r="AL358" i="3"/>
  <c r="AL359" i="3"/>
  <c r="AL360" i="3"/>
  <c r="AL361" i="3"/>
  <c r="AL362" i="3"/>
  <c r="AL363" i="3"/>
  <c r="AL364" i="3"/>
  <c r="AL365" i="3"/>
  <c r="AL366" i="3"/>
  <c r="AL367" i="3"/>
  <c r="AL368" i="3"/>
  <c r="AL369" i="3"/>
  <c r="AL370" i="3"/>
  <c r="AL371" i="3"/>
  <c r="AL372" i="3"/>
  <c r="AL373" i="3"/>
  <c r="AL374" i="3"/>
  <c r="AL375" i="3"/>
  <c r="AL376" i="3"/>
  <c r="AL377" i="3"/>
  <c r="AL378" i="3"/>
  <c r="AL379" i="3"/>
  <c r="AL380" i="3"/>
  <c r="AL381" i="3"/>
  <c r="AL382" i="3"/>
  <c r="AL383" i="3"/>
  <c r="AL384" i="3"/>
  <c r="AL385" i="3"/>
  <c r="AL386" i="3"/>
  <c r="AL387" i="3"/>
  <c r="AL388" i="3"/>
  <c r="AL389" i="3"/>
  <c r="AL390" i="3"/>
  <c r="AL391" i="3"/>
  <c r="AL392" i="3"/>
  <c r="AL393" i="3"/>
  <c r="AL394" i="3"/>
  <c r="AL395" i="3"/>
  <c r="AL396" i="3"/>
  <c r="AL397" i="3"/>
  <c r="AL398" i="3"/>
  <c r="AL399" i="3"/>
  <c r="AL400" i="3"/>
  <c r="AL401" i="3"/>
  <c r="AL402" i="3"/>
  <c r="AL403" i="3"/>
  <c r="AL404" i="3"/>
  <c r="AL405" i="3"/>
  <c r="AL406" i="3"/>
  <c r="AL407" i="3"/>
  <c r="AL408" i="3"/>
  <c r="AL409" i="3"/>
  <c r="AL410" i="3"/>
  <c r="AL411" i="3"/>
  <c r="AL412" i="3"/>
  <c r="AL413" i="3"/>
  <c r="AL414" i="3"/>
  <c r="AL415" i="3"/>
  <c r="AL416" i="3"/>
  <c r="AL417" i="3"/>
  <c r="AL418" i="3"/>
  <c r="AL419" i="3"/>
  <c r="AL420" i="3"/>
  <c r="AL421" i="3"/>
  <c r="AL422" i="3"/>
  <c r="AL423" i="3"/>
  <c r="AL424" i="3"/>
  <c r="AL425" i="3"/>
  <c r="AL426" i="3"/>
  <c r="AL427" i="3"/>
  <c r="AL428" i="3"/>
  <c r="AL429" i="3"/>
  <c r="AL430" i="3"/>
  <c r="AL431" i="3"/>
  <c r="AL432" i="3"/>
  <c r="AL433" i="3"/>
  <c r="AL434" i="3"/>
  <c r="AL435" i="3"/>
  <c r="AL436" i="3"/>
  <c r="AL437" i="3"/>
  <c r="AL438" i="3"/>
  <c r="AL439" i="3"/>
  <c r="AL440" i="3"/>
  <c r="AL441" i="3"/>
  <c r="AL442" i="3"/>
  <c r="AL443" i="3"/>
  <c r="AL444" i="3"/>
  <c r="AL445" i="3"/>
  <c r="AL446" i="3"/>
  <c r="AL447" i="3"/>
  <c r="AL448" i="3"/>
  <c r="AL449" i="3"/>
  <c r="AL450" i="3"/>
  <c r="AL451" i="3"/>
  <c r="AL452" i="3"/>
  <c r="AL453" i="3"/>
  <c r="AL454" i="3"/>
  <c r="AL455" i="3"/>
  <c r="AL456" i="3"/>
  <c r="AL457" i="3"/>
  <c r="AL458" i="3"/>
  <c r="AL459" i="3"/>
  <c r="AL460" i="3"/>
  <c r="AL461" i="3"/>
  <c r="AL462" i="3"/>
  <c r="AL463" i="3"/>
  <c r="AL464" i="3"/>
  <c r="AL465" i="3"/>
  <c r="AL466" i="3"/>
  <c r="AL467" i="3"/>
  <c r="AL468" i="3"/>
  <c r="AL469" i="3"/>
  <c r="AL470" i="3"/>
  <c r="AL471" i="3"/>
  <c r="AL472" i="3"/>
  <c r="AL473" i="3"/>
  <c r="AL474" i="3"/>
  <c r="AL475" i="3"/>
  <c r="AL476" i="3"/>
  <c r="AL477" i="3"/>
  <c r="AL478" i="3"/>
  <c r="AL479" i="3"/>
  <c r="AL480" i="3"/>
  <c r="AL481" i="3"/>
  <c r="AL482" i="3"/>
  <c r="AL483" i="3"/>
  <c r="AL484" i="3"/>
  <c r="AL485" i="3"/>
  <c r="AL486" i="3"/>
  <c r="AL487" i="3"/>
  <c r="AL488" i="3"/>
  <c r="AL489" i="3"/>
  <c r="AL490" i="3"/>
  <c r="AL491" i="3"/>
  <c r="AL492" i="3"/>
  <c r="AL493" i="3"/>
  <c r="AL494" i="3"/>
  <c r="AL495" i="3"/>
  <c r="AL496" i="3"/>
  <c r="AL497" i="3"/>
  <c r="AL498" i="3"/>
  <c r="AL499" i="3"/>
  <c r="AL500" i="3"/>
  <c r="AL501" i="3"/>
  <c r="AL502" i="3"/>
  <c r="AL503" i="3"/>
  <c r="AL504" i="3"/>
  <c r="AL505" i="3"/>
  <c r="AL506" i="3"/>
  <c r="AL507" i="3"/>
  <c r="AL508" i="3"/>
  <c r="AL509" i="3"/>
  <c r="AL510" i="3"/>
  <c r="AL511" i="3"/>
  <c r="AL512" i="3"/>
  <c r="AL513" i="3"/>
  <c r="AL514" i="3"/>
  <c r="AL515" i="3"/>
  <c r="AL516" i="3"/>
  <c r="AL517" i="3"/>
  <c r="AL518" i="3"/>
  <c r="AL519" i="3"/>
  <c r="AL520" i="3"/>
  <c r="AL521" i="3"/>
  <c r="AL522" i="3"/>
  <c r="AL523" i="3"/>
  <c r="AL524" i="3"/>
  <c r="AL525" i="3"/>
  <c r="AL526" i="3"/>
  <c r="AL527" i="3"/>
  <c r="AL528" i="3"/>
  <c r="AL529" i="3"/>
  <c r="AL530" i="3"/>
  <c r="AL531" i="3"/>
  <c r="AL532" i="3"/>
  <c r="AL533" i="3"/>
  <c r="AL534" i="3"/>
  <c r="AL535" i="3"/>
  <c r="AL536" i="3"/>
  <c r="AL537" i="3"/>
  <c r="AL538" i="3"/>
  <c r="AL539" i="3"/>
  <c r="AL540" i="3"/>
  <c r="AL541" i="3"/>
  <c r="AL542" i="3"/>
  <c r="AL543" i="3"/>
  <c r="AL544" i="3"/>
  <c r="AL545" i="3"/>
  <c r="AL546" i="3"/>
  <c r="AL547" i="3"/>
  <c r="AL548" i="3"/>
  <c r="AL549" i="3"/>
  <c r="AL550" i="3"/>
  <c r="AL551" i="3"/>
  <c r="AL552" i="3"/>
  <c r="AL553" i="3"/>
  <c r="AL554" i="3"/>
  <c r="AL555" i="3"/>
  <c r="AL556" i="3"/>
  <c r="AL557" i="3"/>
  <c r="AL558" i="3"/>
  <c r="AL559" i="3"/>
  <c r="AL560" i="3"/>
  <c r="AL561" i="3"/>
  <c r="AL562" i="3"/>
  <c r="AL563" i="3"/>
  <c r="AL564" i="3"/>
  <c r="AL565" i="3"/>
  <c r="AL566" i="3"/>
  <c r="AL567" i="3"/>
  <c r="AL568" i="3"/>
  <c r="AL569" i="3"/>
  <c r="AL570" i="3"/>
  <c r="AL571" i="3"/>
  <c r="AL572" i="3"/>
  <c r="AL573" i="3"/>
  <c r="AL574" i="3"/>
  <c r="AL575" i="3"/>
  <c r="AL576" i="3"/>
  <c r="AL577" i="3"/>
  <c r="AL578" i="3"/>
  <c r="AL579" i="3"/>
  <c r="AL580" i="3"/>
  <c r="AL581" i="3"/>
  <c r="AL582" i="3"/>
  <c r="AL583" i="3"/>
  <c r="AL584" i="3"/>
  <c r="AL585" i="3"/>
  <c r="AL586" i="3"/>
  <c r="AL587" i="3"/>
  <c r="AL588" i="3"/>
  <c r="AL589" i="3"/>
  <c r="AL590" i="3"/>
  <c r="AL591" i="3"/>
  <c r="AL592" i="3"/>
  <c r="AL593" i="3"/>
  <c r="AL594" i="3"/>
  <c r="AL595" i="3"/>
  <c r="AL596" i="3"/>
  <c r="AL597" i="3"/>
  <c r="AL598" i="3"/>
  <c r="AL599" i="3"/>
  <c r="AL600" i="3"/>
  <c r="AL601" i="3"/>
  <c r="AL602" i="3"/>
  <c r="AL603" i="3"/>
  <c r="AL604" i="3"/>
  <c r="AL605" i="3"/>
  <c r="AL606" i="3"/>
  <c r="AL607" i="3"/>
  <c r="AL608" i="3"/>
  <c r="AL609" i="3"/>
  <c r="AL610" i="3"/>
  <c r="AL611" i="3"/>
  <c r="AL612" i="3"/>
  <c r="AL613" i="3"/>
  <c r="AL614" i="3"/>
  <c r="AL615" i="3"/>
  <c r="AL616" i="3"/>
  <c r="AL617" i="3"/>
  <c r="AL618" i="3"/>
  <c r="AL619" i="3"/>
  <c r="AL620" i="3"/>
  <c r="AL621" i="3"/>
  <c r="AL622" i="3"/>
  <c r="AL623" i="3"/>
  <c r="AL624" i="3"/>
  <c r="AL625" i="3"/>
  <c r="AL626" i="3"/>
  <c r="AL627" i="3"/>
  <c r="AL628" i="3"/>
  <c r="AL629" i="3"/>
  <c r="AL630" i="3"/>
  <c r="AL631" i="3"/>
  <c r="AL632" i="3"/>
  <c r="AL633" i="3"/>
  <c r="AL634" i="3"/>
  <c r="AL635" i="3"/>
  <c r="AL636" i="3"/>
  <c r="AL637" i="3"/>
  <c r="AL638" i="3"/>
  <c r="AL639" i="3"/>
  <c r="AL640" i="3"/>
  <c r="AL641" i="3"/>
  <c r="AL642" i="3"/>
  <c r="AL643" i="3"/>
  <c r="AL644" i="3"/>
  <c r="AL645" i="3"/>
  <c r="AL646" i="3"/>
  <c r="AL647" i="3"/>
  <c r="AL648" i="3"/>
  <c r="AL649" i="3"/>
  <c r="AL650" i="3"/>
  <c r="AL651" i="3"/>
  <c r="AL652" i="3"/>
  <c r="AL653" i="3"/>
  <c r="AL654" i="3"/>
  <c r="AL655" i="3"/>
  <c r="AL656" i="3"/>
  <c r="AL657" i="3"/>
  <c r="AL658" i="3"/>
  <c r="AL659" i="3"/>
  <c r="AL660" i="3"/>
  <c r="AL661" i="3"/>
  <c r="AL662" i="3"/>
  <c r="AL663" i="3"/>
  <c r="AL664" i="3"/>
  <c r="AL665" i="3"/>
  <c r="AL666" i="3"/>
  <c r="AL667" i="3"/>
  <c r="AL668" i="3"/>
  <c r="AL669" i="3"/>
  <c r="AL670" i="3"/>
  <c r="AL671" i="3"/>
  <c r="AL672" i="3"/>
  <c r="AL673" i="3"/>
  <c r="AL674" i="3"/>
  <c r="AL675" i="3"/>
  <c r="AL676" i="3"/>
  <c r="AL677" i="3"/>
  <c r="AL678" i="3"/>
  <c r="AL679" i="3"/>
  <c r="AL680" i="3"/>
  <c r="AL681" i="3"/>
  <c r="AL682" i="3"/>
  <c r="AL683" i="3"/>
  <c r="AL684" i="3"/>
  <c r="AL685" i="3"/>
  <c r="AL686" i="3"/>
  <c r="AL687" i="3"/>
  <c r="AL688" i="3"/>
  <c r="AL689" i="3"/>
  <c r="AL690" i="3"/>
  <c r="AL691" i="3"/>
  <c r="AL692" i="3"/>
  <c r="AL693" i="3"/>
  <c r="AL694" i="3"/>
  <c r="AL695" i="3"/>
  <c r="AL696" i="3"/>
  <c r="AL697" i="3"/>
  <c r="AL698" i="3"/>
  <c r="AL699" i="3"/>
  <c r="AL700" i="3"/>
  <c r="AL701" i="3"/>
  <c r="AL702" i="3"/>
  <c r="AL703" i="3"/>
  <c r="AL704" i="3"/>
  <c r="AL705" i="3"/>
  <c r="AL706" i="3"/>
  <c r="AL707" i="3"/>
  <c r="AL708" i="3"/>
  <c r="AL709" i="3"/>
  <c r="AL710" i="3"/>
  <c r="AL711" i="3"/>
  <c r="AL712" i="3"/>
  <c r="AL713" i="3"/>
  <c r="AL714" i="3"/>
  <c r="AL715" i="3"/>
  <c r="AL716" i="3"/>
  <c r="AL717" i="3"/>
  <c r="AL718" i="3"/>
  <c r="AL719" i="3"/>
  <c r="AL720" i="3"/>
  <c r="AL721" i="3"/>
  <c r="AL722" i="3"/>
  <c r="AL723" i="3"/>
  <c r="AL724" i="3"/>
  <c r="AL725" i="3"/>
  <c r="AL726" i="3"/>
  <c r="AL727" i="3"/>
  <c r="AL728" i="3"/>
  <c r="AL729" i="3"/>
  <c r="AL730" i="3"/>
  <c r="AL731" i="3"/>
  <c r="AL732" i="3"/>
  <c r="AL733" i="3"/>
  <c r="AL734" i="3"/>
  <c r="AL735" i="3"/>
  <c r="AL736" i="3"/>
  <c r="AL737" i="3"/>
  <c r="AL738" i="3"/>
  <c r="AL739" i="3"/>
  <c r="AL740" i="3"/>
  <c r="AL741" i="3"/>
  <c r="AL742" i="3"/>
  <c r="AL743" i="3"/>
  <c r="AL744" i="3"/>
  <c r="AL745" i="3"/>
  <c r="AL746" i="3"/>
  <c r="AL747" i="3"/>
  <c r="AL748" i="3"/>
  <c r="AL749" i="3"/>
  <c r="AL750" i="3"/>
  <c r="AL751" i="3"/>
  <c r="AL752" i="3"/>
  <c r="AL753" i="3"/>
  <c r="AL754" i="3"/>
  <c r="AL755" i="3"/>
  <c r="AL756" i="3"/>
  <c r="AL757" i="3"/>
  <c r="AL758" i="3"/>
  <c r="AL759" i="3"/>
  <c r="AL760" i="3"/>
  <c r="AL761" i="3"/>
  <c r="AL762" i="3"/>
  <c r="AL763" i="3"/>
  <c r="AL764" i="3"/>
  <c r="AL765" i="3"/>
  <c r="AL766" i="3"/>
  <c r="AL767" i="3"/>
  <c r="AL768" i="3"/>
  <c r="AL769" i="3"/>
  <c r="AL770" i="3"/>
  <c r="AL771" i="3"/>
  <c r="AL772" i="3"/>
  <c r="AL773" i="3"/>
  <c r="AL774" i="3"/>
  <c r="AL775" i="3"/>
  <c r="AL776" i="3"/>
  <c r="AL777" i="3"/>
  <c r="AL778" i="3"/>
  <c r="AL779" i="3"/>
  <c r="AL780" i="3"/>
  <c r="AL781" i="3"/>
  <c r="AL782" i="3"/>
  <c r="AL783" i="3"/>
  <c r="AL784" i="3"/>
  <c r="AL785" i="3"/>
  <c r="AL786" i="3"/>
  <c r="AL787" i="3"/>
  <c r="AL788" i="3"/>
  <c r="AL789" i="3"/>
  <c r="AL790" i="3"/>
  <c r="AL791" i="3"/>
  <c r="AL792" i="3"/>
  <c r="AL793" i="3"/>
  <c r="AL794" i="3"/>
  <c r="AL795" i="3"/>
  <c r="AL796" i="3"/>
  <c r="AL797" i="3"/>
  <c r="AL798" i="3"/>
  <c r="AL799" i="3"/>
  <c r="AL800" i="3"/>
  <c r="AL801" i="3"/>
  <c r="AL802" i="3"/>
  <c r="AL803" i="3"/>
  <c r="AL804" i="3"/>
  <c r="AL805" i="3"/>
  <c r="AL806" i="3"/>
  <c r="AL807" i="3"/>
  <c r="AL808" i="3"/>
  <c r="AL809" i="3"/>
  <c r="AL810" i="3"/>
  <c r="AL811" i="3"/>
  <c r="AL812" i="3"/>
  <c r="AL813" i="3"/>
  <c r="AL814" i="3"/>
  <c r="AL815" i="3"/>
  <c r="AL816" i="3"/>
  <c r="AL817" i="3"/>
  <c r="AL818" i="3"/>
  <c r="AL819" i="3"/>
  <c r="AL820" i="3"/>
  <c r="AL821" i="3"/>
  <c r="AL822" i="3"/>
  <c r="AL823" i="3"/>
  <c r="AL824" i="3"/>
  <c r="AL825" i="3"/>
  <c r="AL826" i="3"/>
  <c r="AL827" i="3"/>
  <c r="AL828" i="3"/>
  <c r="AL829" i="3"/>
  <c r="AL830" i="3"/>
  <c r="AL831" i="3"/>
  <c r="AL832" i="3"/>
  <c r="AL833" i="3"/>
  <c r="AL834" i="3"/>
  <c r="AL835" i="3"/>
  <c r="AL836" i="3"/>
  <c r="AL837" i="3"/>
  <c r="AL838" i="3"/>
  <c r="AL839" i="3"/>
  <c r="AL840" i="3"/>
  <c r="AL841" i="3"/>
  <c r="AL842" i="3"/>
  <c r="AL843" i="3"/>
  <c r="AL844" i="3"/>
  <c r="AL845" i="3"/>
  <c r="AL846" i="3"/>
  <c r="AL847" i="3"/>
  <c r="AL848" i="3"/>
  <c r="AL849" i="3"/>
  <c r="AL850" i="3"/>
  <c r="AL851" i="3"/>
  <c r="AL852" i="3"/>
  <c r="AL853" i="3"/>
  <c r="AL854" i="3"/>
  <c r="AL855" i="3"/>
  <c r="AL856" i="3"/>
  <c r="AL857" i="3"/>
  <c r="AL858" i="3"/>
  <c r="AL859" i="3"/>
  <c r="AL860" i="3"/>
  <c r="AL861" i="3"/>
  <c r="AL862" i="3"/>
  <c r="AL863" i="3"/>
  <c r="AL864" i="3"/>
  <c r="AL865" i="3"/>
  <c r="AL866" i="3"/>
  <c r="AL867" i="3"/>
  <c r="AL868" i="3"/>
  <c r="AL869" i="3"/>
  <c r="AL870" i="3"/>
  <c r="AL871" i="3"/>
  <c r="AL872" i="3"/>
  <c r="AL873" i="3"/>
  <c r="AL874" i="3"/>
  <c r="AL875" i="3"/>
  <c r="AL876" i="3"/>
  <c r="AL877" i="3"/>
  <c r="AL878" i="3"/>
  <c r="AL879" i="3"/>
  <c r="AL880" i="3"/>
  <c r="AL881" i="3"/>
  <c r="AL882" i="3"/>
  <c r="AL883" i="3"/>
  <c r="AL884" i="3"/>
  <c r="AL885" i="3"/>
  <c r="AL886" i="3"/>
  <c r="AL887" i="3"/>
  <c r="AL888" i="3"/>
  <c r="AL889" i="3"/>
  <c r="AL890" i="3"/>
  <c r="AL891" i="3"/>
  <c r="AL892" i="3"/>
  <c r="AL893" i="3"/>
  <c r="AL894" i="3"/>
  <c r="AL895" i="3"/>
  <c r="AL896" i="3"/>
  <c r="AL897" i="3"/>
  <c r="AL898" i="3"/>
  <c r="AL899" i="3"/>
  <c r="AL900" i="3"/>
  <c r="AL901" i="3"/>
  <c r="AL902" i="3"/>
  <c r="AL903" i="3"/>
  <c r="AL904" i="3"/>
  <c r="AL905" i="3"/>
  <c r="AL906" i="3"/>
  <c r="AL907" i="3"/>
  <c r="AL908" i="3"/>
  <c r="AL909" i="3"/>
  <c r="AL910" i="3"/>
  <c r="AL911" i="3"/>
  <c r="AL912" i="3"/>
  <c r="AL913" i="3"/>
  <c r="AL914" i="3"/>
  <c r="AL915" i="3"/>
  <c r="AL916" i="3"/>
  <c r="AL917" i="3"/>
  <c r="AL918" i="3"/>
  <c r="AL919" i="3"/>
  <c r="AL920" i="3"/>
  <c r="AL921" i="3"/>
  <c r="AL922" i="3"/>
  <c r="AL923" i="3"/>
  <c r="AL924" i="3"/>
  <c r="AL925" i="3"/>
  <c r="AL926" i="3"/>
  <c r="AL927" i="3"/>
  <c r="AL928" i="3"/>
  <c r="AL929" i="3"/>
  <c r="AL930" i="3"/>
  <c r="AL931" i="3"/>
  <c r="AL932" i="3"/>
  <c r="AL933" i="3"/>
  <c r="AL934" i="3"/>
  <c r="AL935" i="3"/>
  <c r="AL936" i="3"/>
  <c r="AL937" i="3"/>
  <c r="AL938" i="3"/>
  <c r="AL939" i="3"/>
  <c r="AL940" i="3"/>
  <c r="AL941" i="3"/>
  <c r="AL942" i="3"/>
  <c r="AL943" i="3"/>
  <c r="AL944" i="3"/>
  <c r="AL945" i="3"/>
  <c r="AL946" i="3"/>
  <c r="AL947" i="3"/>
  <c r="AL948" i="3"/>
  <c r="AL949" i="3"/>
  <c r="AL950" i="3"/>
  <c r="AL951" i="3"/>
  <c r="AL952" i="3"/>
  <c r="AL953" i="3"/>
  <c r="AL954" i="3"/>
  <c r="AL955" i="3"/>
  <c r="AL956" i="3"/>
  <c r="AL957" i="3"/>
  <c r="AL958" i="3"/>
  <c r="AL959" i="3"/>
  <c r="AL960" i="3"/>
  <c r="AL961" i="3"/>
  <c r="AL962" i="3"/>
  <c r="AL963" i="3"/>
  <c r="AL964" i="3"/>
  <c r="AL965" i="3"/>
  <c r="AL966" i="3"/>
  <c r="AL967" i="3"/>
  <c r="AL968" i="3"/>
  <c r="AL969" i="3"/>
  <c r="AL970" i="3"/>
  <c r="AL971" i="3"/>
  <c r="AL972" i="3"/>
  <c r="AL973" i="3"/>
  <c r="AL974" i="3"/>
  <c r="AL975" i="3"/>
  <c r="AL976" i="3"/>
  <c r="AL977" i="3"/>
  <c r="AL978" i="3"/>
  <c r="AL979" i="3"/>
  <c r="AL980" i="3"/>
  <c r="AL981" i="3"/>
  <c r="AL982" i="3"/>
  <c r="AL983" i="3"/>
  <c r="AL984" i="3"/>
  <c r="AL985" i="3"/>
  <c r="AL986" i="3"/>
  <c r="AL987" i="3"/>
  <c r="AL988" i="3"/>
  <c r="AL989" i="3"/>
  <c r="AL990" i="3"/>
  <c r="AL991" i="3"/>
  <c r="AL992" i="3"/>
  <c r="AL993" i="3"/>
  <c r="AL994" i="3"/>
  <c r="AL995" i="3"/>
  <c r="AL996" i="3"/>
  <c r="AL997" i="3"/>
  <c r="AL998" i="3"/>
  <c r="AL999" i="3"/>
  <c r="AL1000" i="3"/>
  <c r="AL1001" i="3"/>
  <c r="AL1002" i="3"/>
  <c r="AL1003" i="3"/>
  <c r="AL1004" i="3"/>
  <c r="AL1005" i="3"/>
  <c r="AL1006" i="3"/>
  <c r="AL1007" i="3"/>
  <c r="AL1008" i="3"/>
  <c r="AL1009" i="3"/>
  <c r="AL1010" i="3"/>
  <c r="AL1011" i="3"/>
  <c r="AL1012" i="3"/>
  <c r="AL1013" i="3"/>
  <c r="AL1014" i="3"/>
  <c r="AL1015" i="3"/>
  <c r="AL1016" i="3"/>
  <c r="AL1017" i="3"/>
  <c r="AL1018" i="3"/>
  <c r="AL1019" i="3"/>
  <c r="AL1020" i="3"/>
  <c r="AL1021" i="3"/>
  <c r="AL1022" i="3"/>
  <c r="AL1023" i="3"/>
  <c r="AL1024" i="3"/>
  <c r="AL1025" i="3"/>
  <c r="AL1026" i="3"/>
  <c r="AL1027" i="3"/>
  <c r="AL1028" i="3"/>
  <c r="AL1029" i="3"/>
  <c r="AL1030" i="3"/>
  <c r="AL1031" i="3"/>
  <c r="AL1032" i="3"/>
  <c r="AL1033" i="3"/>
  <c r="AL1034" i="3"/>
  <c r="AL1035" i="3"/>
  <c r="AL1036" i="3"/>
  <c r="AL1037" i="3"/>
  <c r="AL1038" i="3"/>
  <c r="AL1039" i="3"/>
  <c r="AL1040" i="3"/>
  <c r="AL1041" i="3"/>
  <c r="AL1042" i="3"/>
  <c r="AL1043" i="3"/>
  <c r="AL1044" i="3"/>
  <c r="AL1045" i="3"/>
  <c r="AL1046" i="3"/>
  <c r="AL1047" i="3"/>
  <c r="AL1048" i="3"/>
  <c r="AL1049" i="3"/>
  <c r="AL1050" i="3"/>
  <c r="AL1051" i="3"/>
  <c r="AL1052" i="3"/>
  <c r="AL1053" i="3"/>
  <c r="AL1054" i="3"/>
  <c r="AL1055" i="3"/>
  <c r="AL1056" i="3"/>
  <c r="AL1057" i="3"/>
  <c r="AL1058" i="3"/>
  <c r="AL1059" i="3"/>
  <c r="AL1060" i="3"/>
  <c r="AL1061" i="3"/>
  <c r="AL1062" i="3"/>
  <c r="AL1063" i="3"/>
  <c r="AL1064" i="3"/>
  <c r="AL1065" i="3"/>
  <c r="AL1066" i="3"/>
  <c r="AL1067" i="3"/>
  <c r="AL1068" i="3"/>
  <c r="AL1069" i="3"/>
  <c r="AL1070" i="3"/>
  <c r="AL1071" i="3"/>
  <c r="AL1072" i="3"/>
  <c r="AL1073" i="3"/>
  <c r="AL1074" i="3"/>
  <c r="AL1075" i="3"/>
  <c r="AL1076" i="3"/>
  <c r="AL1077" i="3"/>
  <c r="AL1078" i="3"/>
  <c r="AL1079" i="3"/>
  <c r="AL1080" i="3"/>
  <c r="AL1081" i="3"/>
  <c r="AL1082" i="3"/>
  <c r="AL1083" i="3"/>
  <c r="AL1084" i="3"/>
  <c r="AL1085" i="3"/>
  <c r="AL1086" i="3"/>
  <c r="AL1087" i="3"/>
  <c r="AL1088" i="3"/>
  <c r="AL1089" i="3"/>
  <c r="AL1090" i="3"/>
  <c r="AL1091" i="3"/>
  <c r="AL1092" i="3"/>
  <c r="AL1093" i="3"/>
  <c r="AL1094" i="3"/>
  <c r="AL1095" i="3"/>
  <c r="AL1096" i="3"/>
  <c r="AL1097" i="3"/>
  <c r="AL1098" i="3"/>
  <c r="AL1099" i="3"/>
  <c r="AL1100" i="3"/>
  <c r="AL1101" i="3"/>
  <c r="AL1102" i="3"/>
  <c r="AL1103" i="3"/>
  <c r="AL1104" i="3"/>
  <c r="AL1105" i="3"/>
  <c r="AL1106" i="3"/>
  <c r="AL1107" i="3"/>
  <c r="AL1108" i="3"/>
  <c r="AL1109" i="3"/>
  <c r="AL1110" i="3"/>
  <c r="AL1111" i="3"/>
  <c r="AL1112" i="3"/>
  <c r="AL1113" i="3"/>
  <c r="AL1114" i="3"/>
  <c r="AL1115" i="3"/>
  <c r="AL1116" i="3"/>
  <c r="AL1117" i="3"/>
  <c r="AL1118" i="3"/>
  <c r="AL1119" i="3"/>
  <c r="AL1120" i="3"/>
  <c r="AL1121" i="3"/>
  <c r="AL1122" i="3"/>
  <c r="AL1123" i="3"/>
  <c r="AL1124" i="3"/>
  <c r="AL1125" i="3"/>
  <c r="AL1126" i="3"/>
  <c r="AL1127" i="3"/>
  <c r="AL1128" i="3"/>
  <c r="AL1129" i="3"/>
  <c r="AL1130" i="3"/>
  <c r="AL1131" i="3"/>
  <c r="AL1132" i="3"/>
  <c r="AL1133" i="3"/>
  <c r="AL1134" i="3"/>
  <c r="AL1135" i="3"/>
  <c r="AL1136" i="3"/>
  <c r="AL1137" i="3"/>
  <c r="AL1138" i="3"/>
  <c r="AL1139" i="3"/>
  <c r="AL1140" i="3"/>
  <c r="AL1141" i="3"/>
  <c r="AL1142" i="3"/>
  <c r="AL1143" i="3"/>
  <c r="AL1144" i="3"/>
  <c r="AL1145" i="3"/>
  <c r="AL1146" i="3"/>
  <c r="AL1147" i="3"/>
  <c r="AL1148" i="3"/>
  <c r="AL1149" i="3"/>
  <c r="AL1150" i="3"/>
  <c r="AL1151" i="3"/>
  <c r="AL1152" i="3"/>
  <c r="AL1153" i="3"/>
  <c r="AL1154" i="3"/>
  <c r="AL1155" i="3"/>
  <c r="AL1156" i="3"/>
  <c r="AL1157" i="3"/>
  <c r="AL1158" i="3"/>
  <c r="AL1159" i="3"/>
  <c r="AL1160" i="3"/>
  <c r="AL1161" i="3"/>
  <c r="AL1162" i="3"/>
  <c r="AL1163" i="3"/>
  <c r="AL1164" i="3"/>
  <c r="AL1165" i="3"/>
  <c r="AL1166" i="3"/>
  <c r="AL1167" i="3"/>
  <c r="AL1168" i="3"/>
  <c r="AL1169" i="3"/>
  <c r="AL1170" i="3"/>
  <c r="AL1171" i="3"/>
  <c r="AL1172" i="3"/>
  <c r="AL1173" i="3"/>
  <c r="AL1174" i="3"/>
  <c r="AL1175" i="3"/>
  <c r="AL1176" i="3"/>
  <c r="AL1177" i="3"/>
  <c r="AL1178" i="3"/>
  <c r="AL1179" i="3"/>
  <c r="AL1180" i="3"/>
  <c r="AL1181" i="3"/>
  <c r="AL1182" i="3"/>
  <c r="AL1183" i="3"/>
  <c r="AL1184" i="3"/>
  <c r="AL1185" i="3"/>
  <c r="AL1186" i="3"/>
  <c r="AL1187" i="3"/>
  <c r="AL1188" i="3"/>
  <c r="AL1189" i="3"/>
  <c r="AL1190" i="3"/>
  <c r="AL1191" i="3"/>
  <c r="AL1192" i="3"/>
  <c r="AL1193" i="3"/>
  <c r="AL1194" i="3"/>
  <c r="AL1195" i="3"/>
  <c r="AL1196" i="3"/>
  <c r="AL1197" i="3"/>
  <c r="AL1198" i="3"/>
  <c r="AL1199" i="3"/>
  <c r="AL1200" i="3"/>
  <c r="AL1201" i="3"/>
  <c r="AL1202" i="3"/>
  <c r="AL1203" i="3"/>
  <c r="AL1204" i="3"/>
  <c r="AL1205" i="3"/>
  <c r="AL1206" i="3"/>
  <c r="AL1207" i="3"/>
  <c r="AL1208" i="3"/>
  <c r="AL1209" i="3"/>
  <c r="AL1210" i="3"/>
  <c r="AL1211" i="3"/>
  <c r="AL1212" i="3"/>
  <c r="AL1213" i="3"/>
  <c r="AL1214" i="3"/>
  <c r="AL1215" i="3"/>
  <c r="AL1216" i="3"/>
  <c r="AL1217" i="3"/>
  <c r="AL1218" i="3"/>
  <c r="AL1219" i="3"/>
  <c r="AL1220" i="3"/>
  <c r="AL1221" i="3"/>
  <c r="AL1222" i="3"/>
  <c r="AL1223" i="3"/>
  <c r="AL1224" i="3"/>
  <c r="AL1225" i="3"/>
  <c r="AL1226" i="3"/>
  <c r="AL1227" i="3"/>
  <c r="AL1228" i="3"/>
  <c r="AL1229" i="3"/>
  <c r="AL1230" i="3"/>
  <c r="AL1231" i="3"/>
  <c r="AL1232" i="3"/>
  <c r="AL1233" i="3"/>
  <c r="AL1234" i="3"/>
  <c r="AL1235" i="3"/>
  <c r="AL1236" i="3"/>
  <c r="AL1237" i="3"/>
  <c r="AL1238" i="3"/>
  <c r="AL1239" i="3"/>
  <c r="AL1240" i="3"/>
  <c r="AL1241" i="3"/>
  <c r="AL1242" i="3"/>
  <c r="AL1243" i="3"/>
  <c r="AL1244" i="3"/>
  <c r="AL1245" i="3"/>
  <c r="AL1246" i="3"/>
  <c r="AL1247" i="3"/>
  <c r="AL1248" i="3"/>
  <c r="AL1249" i="3"/>
  <c r="AL1250" i="3"/>
  <c r="AL1251" i="3"/>
  <c r="AL1252" i="3"/>
  <c r="AL1253" i="3"/>
  <c r="AL1254" i="3"/>
  <c r="AL1255" i="3"/>
  <c r="AL1256" i="3"/>
  <c r="AL1257" i="3"/>
  <c r="AL1258" i="3"/>
  <c r="AL1259" i="3"/>
  <c r="AL1260" i="3"/>
  <c r="AL1261" i="3"/>
  <c r="AL1262" i="3"/>
  <c r="AL1263" i="3"/>
  <c r="AL1264" i="3"/>
  <c r="AL1265" i="3"/>
  <c r="AL1266" i="3"/>
  <c r="AL1267" i="3"/>
  <c r="AL1268" i="3"/>
  <c r="AL1269" i="3"/>
  <c r="AL1270" i="3"/>
  <c r="AL1271" i="3"/>
  <c r="AL1272" i="3"/>
  <c r="AL1273" i="3"/>
  <c r="AL1274" i="3"/>
  <c r="AL1275" i="3"/>
  <c r="AL1276" i="3"/>
  <c r="AL1277" i="3"/>
  <c r="AL1278" i="3"/>
  <c r="AL1279" i="3"/>
  <c r="AL1280" i="3"/>
  <c r="AL1281" i="3"/>
  <c r="AL1282" i="3"/>
  <c r="AL1283" i="3"/>
  <c r="AL1284" i="3"/>
  <c r="AL1285" i="3"/>
  <c r="AL1286" i="3"/>
  <c r="AL1287" i="3"/>
  <c r="AL1288" i="3"/>
  <c r="AL1289" i="3"/>
  <c r="AL1290" i="3"/>
  <c r="AL1291" i="3"/>
  <c r="AL1292" i="3"/>
  <c r="AL1293" i="3"/>
  <c r="AL1294" i="3"/>
  <c r="AL1295" i="3"/>
  <c r="AL1296" i="3"/>
  <c r="AL1297" i="3"/>
  <c r="AL1298" i="3"/>
  <c r="AL1299" i="3"/>
  <c r="AL1300" i="3"/>
  <c r="AL1301" i="3"/>
  <c r="AL1302" i="3"/>
  <c r="AL1303" i="3"/>
  <c r="AL1304" i="3"/>
  <c r="AL1305" i="3"/>
  <c r="AL1306" i="3"/>
  <c r="AL1307" i="3"/>
  <c r="AL1308" i="3"/>
  <c r="AL1309" i="3"/>
  <c r="AL1310" i="3"/>
  <c r="AL1311" i="3"/>
  <c r="AL1312" i="3"/>
  <c r="AL1313" i="3"/>
  <c r="AL1314" i="3"/>
  <c r="AL1315" i="3"/>
  <c r="AL1316" i="3"/>
  <c r="AL1317" i="3"/>
  <c r="AL1318" i="3"/>
  <c r="AL1319" i="3"/>
  <c r="AL1320" i="3"/>
  <c r="AL1321" i="3"/>
  <c r="AL1322" i="3"/>
  <c r="AL1323" i="3"/>
  <c r="AL1324" i="3"/>
  <c r="AL1325" i="3"/>
  <c r="AL1326" i="3"/>
  <c r="AL1327" i="3"/>
  <c r="AL1328" i="3"/>
  <c r="AL1329" i="3"/>
  <c r="AL1330" i="3"/>
  <c r="AL1331" i="3"/>
  <c r="AL1332" i="3"/>
  <c r="AL1333" i="3"/>
  <c r="AL1334" i="3"/>
  <c r="AL1335" i="3"/>
  <c r="AL1336" i="3"/>
  <c r="AL1337" i="3"/>
  <c r="AL1338" i="3"/>
  <c r="AL1339" i="3"/>
  <c r="AL1340" i="3"/>
  <c r="AL1341" i="3"/>
  <c r="AL1342" i="3"/>
  <c r="AL1343" i="3"/>
  <c r="AL1344" i="3"/>
  <c r="AL1345" i="3"/>
  <c r="AL1346" i="3"/>
  <c r="AL1347" i="3"/>
  <c r="AL1348" i="3"/>
  <c r="AL1349" i="3"/>
  <c r="AL1350" i="3"/>
  <c r="AL1351" i="3"/>
  <c r="AL1352" i="3"/>
  <c r="AL1353" i="3"/>
  <c r="AL1354" i="3"/>
  <c r="AL1355" i="3"/>
  <c r="AL1356" i="3"/>
  <c r="AL1357" i="3"/>
  <c r="AL1358" i="3"/>
  <c r="AL1359" i="3"/>
  <c r="AL1360" i="3"/>
  <c r="AL1361" i="3"/>
  <c r="AL1362" i="3"/>
  <c r="AL1363" i="3"/>
  <c r="AL1364" i="3"/>
  <c r="AL1365" i="3"/>
  <c r="AL1366" i="3"/>
  <c r="AL1367" i="3"/>
  <c r="AL1368" i="3"/>
  <c r="AL1369" i="3"/>
  <c r="AL1370" i="3"/>
  <c r="AL1371" i="3"/>
  <c r="AL1372" i="3"/>
  <c r="AL1373" i="3"/>
  <c r="AL1374" i="3"/>
  <c r="AL1375" i="3"/>
  <c r="AL1376" i="3"/>
  <c r="AL1377" i="3"/>
  <c r="AL1378" i="3"/>
  <c r="AL1379" i="3"/>
  <c r="AL1380" i="3"/>
  <c r="AL1381" i="3"/>
  <c r="AL1382" i="3"/>
  <c r="AL1383" i="3"/>
  <c r="AL1384" i="3"/>
  <c r="AL1385" i="3"/>
  <c r="AL1386" i="3"/>
  <c r="AL1387" i="3"/>
  <c r="AL1388" i="3"/>
  <c r="AL1389" i="3"/>
  <c r="AL1390" i="3"/>
  <c r="AL1391" i="3"/>
  <c r="AL1392" i="3"/>
  <c r="AL1393" i="3"/>
  <c r="AL1394" i="3"/>
  <c r="AL1395" i="3"/>
  <c r="AL1396" i="3"/>
  <c r="AL1397" i="3"/>
  <c r="AL1398" i="3"/>
  <c r="AL1399" i="3"/>
  <c r="AL1400" i="3"/>
  <c r="AL1401" i="3"/>
  <c r="AL1402" i="3"/>
  <c r="AL1403" i="3"/>
  <c r="AL1404" i="3"/>
  <c r="AL1405" i="3"/>
  <c r="AL1406" i="3"/>
  <c r="AL1407" i="3"/>
  <c r="AL1408" i="3"/>
  <c r="AL1409" i="3"/>
  <c r="AL1410" i="3"/>
  <c r="AL1411" i="3"/>
  <c r="AL1412" i="3"/>
  <c r="AL1413" i="3"/>
  <c r="AL1414" i="3"/>
  <c r="AL1415" i="3"/>
  <c r="AL1416" i="3"/>
  <c r="AL1417" i="3"/>
  <c r="AL1418" i="3"/>
  <c r="AL1419" i="3"/>
  <c r="AL1420" i="3"/>
  <c r="AL1421" i="3"/>
  <c r="AL1422" i="3"/>
  <c r="AL1423" i="3"/>
  <c r="AL1424" i="3"/>
  <c r="AL1425" i="3"/>
  <c r="AL1426" i="3"/>
  <c r="AL1427" i="3"/>
  <c r="AL1428" i="3"/>
  <c r="AL1429" i="3"/>
  <c r="AL1430" i="3"/>
  <c r="AL1431" i="3"/>
  <c r="AL1432" i="3"/>
  <c r="AL1433" i="3"/>
  <c r="AL1434" i="3"/>
  <c r="AL1435" i="3"/>
  <c r="AL1436" i="3"/>
  <c r="AL1437" i="3"/>
  <c r="AL1438" i="3"/>
  <c r="AL1439" i="3"/>
  <c r="AL1440" i="3"/>
  <c r="AL1441" i="3"/>
  <c r="AL1442" i="3"/>
  <c r="AL1443" i="3"/>
  <c r="AL1444" i="3"/>
  <c r="AL1445" i="3"/>
  <c r="AL1446" i="3"/>
  <c r="AL1447" i="3"/>
  <c r="AL1448" i="3"/>
  <c r="AL1449" i="3"/>
  <c r="AL1450" i="3"/>
  <c r="AL1451" i="3"/>
  <c r="AL1452" i="3"/>
  <c r="AL1453" i="3"/>
  <c r="AL1454" i="3"/>
  <c r="AL1455" i="3"/>
  <c r="AL1456" i="3"/>
  <c r="AL1457" i="3"/>
  <c r="AL1458" i="3"/>
  <c r="AL1459" i="3"/>
  <c r="AL1460" i="3"/>
  <c r="AL1461" i="3"/>
  <c r="AL1462" i="3"/>
  <c r="AL1463" i="3"/>
  <c r="AL1464" i="3"/>
  <c r="AL1465" i="3"/>
  <c r="AL1466" i="3"/>
  <c r="AL1467" i="3"/>
  <c r="AL1468" i="3"/>
  <c r="AL1469" i="3"/>
  <c r="AL1470" i="3"/>
  <c r="AL1471" i="3"/>
  <c r="AL1472" i="3"/>
  <c r="AL1473" i="3"/>
  <c r="AL1474" i="3"/>
  <c r="AL1475" i="3"/>
  <c r="AL1476" i="3"/>
  <c r="AL1477" i="3"/>
  <c r="AL1478" i="3"/>
  <c r="AL1479" i="3"/>
  <c r="AL1480" i="3"/>
  <c r="AL1481" i="3"/>
  <c r="AL1482" i="3"/>
  <c r="AL1483" i="3"/>
  <c r="AL1484" i="3"/>
  <c r="AL1485" i="3"/>
  <c r="AL1486" i="3"/>
  <c r="AL1487" i="3"/>
  <c r="AL1488" i="3"/>
  <c r="AL1489" i="3"/>
  <c r="AL1490" i="3"/>
  <c r="AL1491" i="3"/>
  <c r="AL1492" i="3"/>
  <c r="AL1493" i="3"/>
  <c r="AL1494" i="3"/>
  <c r="AL1495" i="3"/>
  <c r="AL1496" i="3"/>
  <c r="AL1497" i="3"/>
  <c r="AL1498" i="3"/>
  <c r="AL1499" i="3"/>
  <c r="AL1500" i="3"/>
  <c r="AL1501" i="3"/>
  <c r="AL1502" i="3"/>
  <c r="AL1503" i="3"/>
  <c r="AL1504" i="3"/>
  <c r="AL1505" i="3"/>
  <c r="AL1506" i="3"/>
  <c r="AL1507" i="3"/>
  <c r="AL1508" i="3"/>
  <c r="AL1509" i="3"/>
  <c r="AL1510" i="3"/>
  <c r="AL1511" i="3"/>
  <c r="AL1512" i="3"/>
  <c r="AL1513" i="3"/>
  <c r="AL1514" i="3"/>
  <c r="AL1515" i="3"/>
  <c r="AL1516" i="3"/>
  <c r="AL1517" i="3"/>
  <c r="AL1518" i="3"/>
  <c r="AL1519" i="3"/>
  <c r="AL1520" i="3"/>
  <c r="AL1521" i="3"/>
  <c r="AL1522" i="3"/>
  <c r="AL1523" i="3"/>
  <c r="AL1524" i="3"/>
  <c r="AL1525" i="3"/>
  <c r="AL1526" i="3"/>
  <c r="AL1527" i="3"/>
  <c r="AL1528" i="3"/>
  <c r="AL1529" i="3"/>
  <c r="AL1530" i="3"/>
  <c r="AL1531" i="3"/>
  <c r="AL1532" i="3"/>
  <c r="AL1533" i="3"/>
  <c r="AL1534" i="3"/>
  <c r="AL1535" i="3"/>
  <c r="AL1536" i="3"/>
  <c r="AL1537" i="3"/>
  <c r="AL1538" i="3"/>
  <c r="AL1539" i="3"/>
  <c r="AL1540" i="3"/>
  <c r="AL1541" i="3"/>
  <c r="AL1542" i="3"/>
  <c r="AL1543" i="3"/>
  <c r="AL1544" i="3"/>
  <c r="AL1545" i="3"/>
  <c r="AL1546" i="3"/>
  <c r="AL1547" i="3"/>
  <c r="AL1548" i="3"/>
  <c r="AL1549" i="3"/>
  <c r="AL1550" i="3"/>
  <c r="AL1551" i="3"/>
  <c r="AL1552" i="3"/>
  <c r="AL1553" i="3"/>
  <c r="AL1554" i="3"/>
  <c r="AL1555" i="3"/>
  <c r="AL1556" i="3"/>
  <c r="AL1557" i="3"/>
  <c r="AL1558" i="3"/>
  <c r="AL1559" i="3"/>
  <c r="AL1560" i="3"/>
  <c r="AL1561" i="3"/>
  <c r="AL1562" i="3"/>
  <c r="AL1563" i="3"/>
  <c r="AL1564" i="3"/>
  <c r="AL1565" i="3"/>
  <c r="AL1566" i="3"/>
  <c r="AL1567" i="3"/>
  <c r="AL1568" i="3"/>
  <c r="AL1569" i="3"/>
  <c r="AL1570" i="3"/>
  <c r="AL1571" i="3"/>
  <c r="AL1572" i="3"/>
  <c r="AL1573" i="3"/>
  <c r="AL1574" i="3"/>
  <c r="AL1575" i="3"/>
  <c r="AL1576" i="3"/>
  <c r="AL1577" i="3"/>
  <c r="AL1578" i="3"/>
  <c r="AL1579" i="3"/>
  <c r="AL1580" i="3"/>
  <c r="AL1581" i="3"/>
  <c r="AL1582" i="3"/>
  <c r="AL1583" i="3"/>
  <c r="AL1584" i="3"/>
  <c r="AL1585" i="3"/>
  <c r="AL1586" i="3"/>
  <c r="AL1587" i="3"/>
  <c r="AL1588" i="3"/>
  <c r="AL1589" i="3"/>
  <c r="AL1590" i="3"/>
  <c r="AL1591" i="3"/>
  <c r="AL1592" i="3"/>
  <c r="AL1593" i="3"/>
  <c r="AL1594" i="3"/>
  <c r="AL1595" i="3"/>
  <c r="AL1596" i="3"/>
  <c r="AL1597" i="3"/>
  <c r="AL1598" i="3"/>
  <c r="AL1599" i="3"/>
  <c r="AL1600" i="3"/>
  <c r="AL1601" i="3"/>
  <c r="AL1602" i="3"/>
  <c r="AL1603" i="3"/>
  <c r="AL1604" i="3"/>
  <c r="AL1605" i="3"/>
  <c r="AL1606" i="3"/>
  <c r="AL1607" i="3"/>
  <c r="AL1608" i="3"/>
  <c r="AL1609" i="3"/>
  <c r="AL1610" i="3"/>
  <c r="AL1611" i="3"/>
  <c r="AL1612" i="3"/>
  <c r="AL1613" i="3"/>
  <c r="AL1614" i="3"/>
  <c r="AL1615" i="3"/>
  <c r="AL1616" i="3"/>
  <c r="AL1617" i="3"/>
  <c r="AL1618" i="3"/>
  <c r="AL1619" i="3"/>
  <c r="AL1620" i="3"/>
  <c r="AL1621" i="3"/>
  <c r="AL1622" i="3"/>
  <c r="AL1623" i="3"/>
  <c r="AL1624" i="3"/>
  <c r="AL1625" i="3"/>
  <c r="AL1626" i="3"/>
  <c r="AL1627" i="3"/>
  <c r="AL1628" i="3"/>
  <c r="AL1629" i="3"/>
  <c r="AL1630" i="3"/>
  <c r="AL1631" i="3"/>
  <c r="AL1632" i="3"/>
  <c r="AL1633" i="3"/>
  <c r="AL1634" i="3"/>
  <c r="AL1635" i="3"/>
  <c r="AL1636" i="3"/>
  <c r="AL1637" i="3"/>
  <c r="AL1638" i="3"/>
  <c r="AL1639" i="3"/>
  <c r="AL1640" i="3"/>
  <c r="AL1641" i="3"/>
  <c r="AL1642" i="3"/>
  <c r="AL1643" i="3"/>
  <c r="AL1644" i="3"/>
  <c r="AL1645" i="3"/>
  <c r="AL1646" i="3"/>
  <c r="AL1647" i="3"/>
  <c r="AL1648" i="3"/>
  <c r="AL1649" i="3"/>
  <c r="AL1650" i="3"/>
  <c r="AL1651" i="3"/>
  <c r="AL1652" i="3"/>
  <c r="AL1653" i="3"/>
  <c r="AL1654" i="3"/>
  <c r="AL1655" i="3"/>
  <c r="AL1656" i="3"/>
  <c r="AL1657" i="3"/>
  <c r="AL1658" i="3"/>
  <c r="AL1659" i="3"/>
  <c r="AL1660" i="3"/>
  <c r="AL1661" i="3"/>
  <c r="AL1662" i="3"/>
  <c r="AL1663" i="3"/>
  <c r="AL1664" i="3"/>
  <c r="AL1665" i="3"/>
  <c r="AL1666" i="3"/>
  <c r="AL1667" i="3"/>
  <c r="AL1668" i="3"/>
  <c r="AL1669" i="3"/>
  <c r="AL1670" i="3"/>
  <c r="AL1671" i="3"/>
  <c r="AL1672" i="3"/>
  <c r="AL1673" i="3"/>
  <c r="AL1674" i="3"/>
  <c r="AL1675" i="3"/>
  <c r="AL1676" i="3"/>
  <c r="AL1677" i="3"/>
  <c r="AL1678" i="3"/>
  <c r="AL1679" i="3"/>
  <c r="AL1680" i="3"/>
  <c r="AL1681" i="3"/>
  <c r="AL1682" i="3"/>
  <c r="AL1683" i="3"/>
  <c r="AL1684" i="3"/>
  <c r="AL1685" i="3"/>
  <c r="AL1686" i="3"/>
  <c r="AL1687" i="3"/>
  <c r="AL1688" i="3"/>
  <c r="AL1689" i="3"/>
  <c r="AL1690" i="3"/>
  <c r="AL1691" i="3"/>
  <c r="AL1692" i="3"/>
  <c r="AL1693" i="3"/>
  <c r="AL1694" i="3"/>
  <c r="AL1695" i="3"/>
  <c r="AL1696" i="3"/>
  <c r="AL1697" i="3"/>
  <c r="AL1698" i="3"/>
  <c r="AL1699" i="3"/>
  <c r="AL1700" i="3"/>
  <c r="AL1701" i="3"/>
  <c r="AL1702" i="3"/>
  <c r="AL1703" i="3"/>
  <c r="AL1704" i="3"/>
  <c r="AL1705" i="3"/>
  <c r="AL1706" i="3"/>
  <c r="AL1707" i="3"/>
  <c r="AL1708" i="3"/>
  <c r="AL1709" i="3"/>
  <c r="AL1710" i="3"/>
  <c r="AL1711" i="3"/>
  <c r="AL1712" i="3"/>
  <c r="AL1713" i="3"/>
  <c r="AL1714" i="3"/>
  <c r="AL1715" i="3"/>
  <c r="AL1716" i="3"/>
  <c r="AL1717" i="3"/>
  <c r="AL1718" i="3"/>
  <c r="AL1719" i="3"/>
  <c r="AL1720" i="3"/>
  <c r="AL1721" i="3"/>
  <c r="AL1722" i="3"/>
  <c r="AL1723" i="3"/>
  <c r="AL1724" i="3"/>
  <c r="AL1725" i="3"/>
  <c r="AL1726" i="3"/>
  <c r="AL1727" i="3"/>
  <c r="AL1728" i="3"/>
  <c r="AL1729" i="3"/>
  <c r="AL1730" i="3"/>
  <c r="AL1731" i="3"/>
  <c r="AL1732" i="3"/>
  <c r="AL1733" i="3"/>
  <c r="AL1734" i="3"/>
  <c r="AL1735" i="3"/>
  <c r="AL1736" i="3"/>
  <c r="AL1737" i="3"/>
  <c r="AL1738" i="3"/>
  <c r="AL1739" i="3"/>
  <c r="AL1740" i="3"/>
  <c r="AL1741" i="3"/>
  <c r="AL1742" i="3"/>
  <c r="AL1743" i="3"/>
  <c r="AL1744" i="3"/>
  <c r="AL1745" i="3"/>
  <c r="AL1746" i="3"/>
  <c r="AL1747" i="3"/>
  <c r="AL1748" i="3"/>
  <c r="AL1749" i="3"/>
  <c r="AL1750" i="3"/>
  <c r="AL1751" i="3"/>
  <c r="AL1752" i="3"/>
  <c r="AL1753" i="3"/>
  <c r="AL1754" i="3"/>
  <c r="AL1755" i="3"/>
  <c r="AL1756" i="3"/>
  <c r="AL1757" i="3"/>
  <c r="AL1758" i="3"/>
  <c r="AL1759" i="3"/>
  <c r="AL1760" i="3"/>
  <c r="AL1761" i="3"/>
  <c r="AL1762" i="3"/>
  <c r="AL1763" i="3"/>
  <c r="AL1764" i="3"/>
  <c r="AL1765" i="3"/>
  <c r="AL1766" i="3"/>
  <c r="AL1767" i="3"/>
  <c r="AL1768" i="3"/>
  <c r="AL1769" i="3"/>
  <c r="AL1770" i="3"/>
  <c r="AL1771" i="3"/>
  <c r="AL1772" i="3"/>
  <c r="AL1773" i="3"/>
  <c r="AL1774" i="3"/>
  <c r="AL1775" i="3"/>
  <c r="AL1776" i="3"/>
  <c r="AL1777" i="3"/>
  <c r="AL1778" i="3"/>
  <c r="AL1779" i="3"/>
  <c r="AL1780" i="3"/>
  <c r="AL1781" i="3"/>
  <c r="AL1782" i="3"/>
  <c r="AL1783" i="3"/>
  <c r="AL1784" i="3"/>
  <c r="AL1785" i="3"/>
  <c r="AL1786" i="3"/>
  <c r="AL1787" i="3"/>
  <c r="AL1788" i="3"/>
  <c r="AL1789" i="3"/>
  <c r="AL1790" i="3"/>
  <c r="AL1791" i="3"/>
  <c r="AL1792" i="3"/>
  <c r="AL1793" i="3"/>
  <c r="AL1794" i="3"/>
  <c r="AL1795" i="3"/>
  <c r="AL1796" i="3"/>
  <c r="AL1797" i="3"/>
  <c r="AL1798" i="3"/>
  <c r="AL1799" i="3"/>
  <c r="AL1800" i="3"/>
  <c r="AL1801" i="3"/>
  <c r="AL1802" i="3"/>
  <c r="AL1803" i="3"/>
  <c r="AL1804" i="3"/>
  <c r="AL1805" i="3"/>
  <c r="AL1806" i="3"/>
  <c r="AL1807" i="3"/>
  <c r="AL1808" i="3"/>
  <c r="AL1809" i="3"/>
  <c r="AL1810" i="3"/>
  <c r="AL1811" i="3"/>
  <c r="AL1812" i="3"/>
  <c r="AL1813" i="3"/>
  <c r="AL1814" i="3"/>
  <c r="AL1815" i="3"/>
  <c r="AL1816" i="3"/>
  <c r="AL1817" i="3"/>
  <c r="AL1818" i="3"/>
  <c r="AL1819" i="3"/>
  <c r="AL1820" i="3"/>
  <c r="AL1821" i="3"/>
  <c r="AL1822" i="3"/>
  <c r="AL1823" i="3"/>
  <c r="AL1824" i="3"/>
  <c r="AL1825" i="3"/>
  <c r="AL1826" i="3"/>
  <c r="AL1827" i="3"/>
  <c r="AL1828" i="3"/>
  <c r="AL1829" i="3"/>
  <c r="AL1830" i="3"/>
  <c r="AL1831" i="3"/>
  <c r="AL1832" i="3"/>
  <c r="AL1833" i="3"/>
  <c r="AL1834" i="3"/>
  <c r="AL1835" i="3"/>
  <c r="AL1836" i="3"/>
  <c r="AL1837" i="3"/>
  <c r="AL1838" i="3"/>
  <c r="AL1839" i="3"/>
  <c r="AL1840" i="3"/>
  <c r="AL1841" i="3"/>
  <c r="AL1842" i="3"/>
  <c r="AL1843" i="3"/>
  <c r="AL1844" i="3"/>
  <c r="AL1845" i="3"/>
  <c r="AL1846" i="3"/>
  <c r="AL1847" i="3"/>
  <c r="AL1848" i="3"/>
  <c r="AL1849" i="3"/>
  <c r="AL1850" i="3"/>
  <c r="AL1851" i="3"/>
  <c r="AL1852" i="3"/>
  <c r="AL1853" i="3"/>
  <c r="AL1854" i="3"/>
  <c r="AL1855" i="3"/>
  <c r="AL1856" i="3"/>
  <c r="AL1857" i="3"/>
  <c r="AL1858" i="3"/>
  <c r="AL1859" i="3"/>
  <c r="AL1860" i="3"/>
  <c r="AL1861" i="3"/>
  <c r="AL1862" i="3"/>
  <c r="AL1863" i="3"/>
  <c r="AL1864" i="3"/>
  <c r="AL1865" i="3"/>
  <c r="AL1866" i="3"/>
  <c r="AL1867" i="3"/>
  <c r="AL1868" i="3"/>
  <c r="AL1869" i="3"/>
  <c r="AL1870" i="3"/>
  <c r="AL1871" i="3"/>
  <c r="AL1872" i="3"/>
  <c r="AL1873" i="3"/>
  <c r="AL1874" i="3"/>
  <c r="AL1875" i="3"/>
  <c r="AL1876" i="3"/>
  <c r="AL1877" i="3"/>
  <c r="AL1878" i="3"/>
  <c r="AL1879" i="3"/>
  <c r="AL1880" i="3"/>
  <c r="AL1881" i="3"/>
  <c r="AL1882" i="3"/>
  <c r="AL1883" i="3"/>
  <c r="AL1884" i="3"/>
  <c r="AL1885" i="3"/>
  <c r="AL1886" i="3"/>
  <c r="AL1887" i="3"/>
  <c r="AL1888" i="3"/>
  <c r="AL1889" i="3"/>
  <c r="AL1890" i="3"/>
  <c r="AL1891" i="3"/>
  <c r="AL1892" i="3"/>
  <c r="AL1893" i="3"/>
  <c r="AL1894" i="3"/>
  <c r="AL1895" i="3"/>
  <c r="AL1896" i="3"/>
  <c r="AL1897" i="3"/>
  <c r="AL1898" i="3"/>
  <c r="AL1899" i="3"/>
  <c r="AL1900" i="3"/>
  <c r="AL1901" i="3"/>
  <c r="AL1902" i="3"/>
  <c r="AL1903" i="3"/>
  <c r="AL1904" i="3"/>
  <c r="AL1905" i="3"/>
  <c r="AL1906" i="3"/>
  <c r="AL1907" i="3"/>
  <c r="AL1908" i="3"/>
  <c r="AL1909" i="3"/>
  <c r="AL1910" i="3"/>
  <c r="AL1911" i="3"/>
  <c r="AL1912" i="3"/>
  <c r="AL1913" i="3"/>
  <c r="AL1914" i="3"/>
  <c r="AL1915" i="3"/>
  <c r="AL1916" i="3"/>
  <c r="AL1917" i="3"/>
  <c r="AL1918" i="3"/>
  <c r="AL1919" i="3"/>
  <c r="AL1920" i="3"/>
  <c r="AL1921" i="3"/>
  <c r="AL1922" i="3"/>
  <c r="AL1923" i="3"/>
  <c r="AL1924" i="3"/>
  <c r="AL1925" i="3"/>
  <c r="AL1926" i="3"/>
  <c r="AL1927" i="3"/>
  <c r="AL1928" i="3"/>
  <c r="AL1929" i="3"/>
  <c r="AL1930" i="3"/>
  <c r="AL1931" i="3"/>
  <c r="AL1932" i="3"/>
  <c r="AL1933" i="3"/>
  <c r="AL1934" i="3"/>
  <c r="AL1935" i="3"/>
  <c r="AL1936" i="3"/>
  <c r="AL1937" i="3"/>
  <c r="AL1938" i="3"/>
  <c r="AL1939" i="3"/>
  <c r="AL1940" i="3"/>
  <c r="AL1941" i="3"/>
  <c r="AL1942" i="3"/>
  <c r="AL1943" i="3"/>
  <c r="AL1944" i="3"/>
  <c r="AL1945" i="3"/>
  <c r="AL1946" i="3"/>
  <c r="AL1947" i="3"/>
  <c r="AL1948" i="3"/>
  <c r="AL1949" i="3"/>
  <c r="AL1950" i="3"/>
  <c r="AL1951" i="3"/>
  <c r="AL1952" i="3"/>
  <c r="AL1953" i="3"/>
  <c r="AL1954" i="3"/>
  <c r="AL1955" i="3"/>
  <c r="AL1956" i="3"/>
  <c r="AL1957" i="3"/>
  <c r="AL1958" i="3"/>
  <c r="AL1959" i="3"/>
  <c r="AL1960" i="3"/>
  <c r="AL1961" i="3"/>
  <c r="AL1962" i="3"/>
  <c r="AL1963" i="3"/>
  <c r="AL1964" i="3"/>
  <c r="AL1965" i="3"/>
  <c r="AL1966" i="3"/>
  <c r="AL1967" i="3"/>
  <c r="AL1968" i="3"/>
  <c r="AL1969" i="3"/>
  <c r="AL1970" i="3"/>
  <c r="AL1971" i="3"/>
  <c r="AL1972" i="3"/>
  <c r="AL1973" i="3"/>
  <c r="AL1974" i="3"/>
  <c r="AL1975" i="3"/>
  <c r="AL1976" i="3"/>
  <c r="AL1977" i="3"/>
  <c r="AL1978" i="3"/>
  <c r="AL1979" i="3"/>
  <c r="AL1980" i="3"/>
  <c r="AL1981" i="3"/>
  <c r="AL1982" i="3"/>
  <c r="AL1983" i="3"/>
  <c r="AL1984" i="3"/>
  <c r="AL1985" i="3"/>
  <c r="AL1986" i="3"/>
  <c r="AL1987" i="3"/>
  <c r="AL1988" i="3"/>
  <c r="AL1989" i="3"/>
  <c r="AL1990" i="3"/>
  <c r="AL1991" i="3"/>
  <c r="AL1992" i="3"/>
  <c r="AL1993" i="3"/>
  <c r="AL1994" i="3"/>
  <c r="AL1995" i="3"/>
  <c r="AL1996" i="3"/>
  <c r="AL1997" i="3"/>
  <c r="AL1998" i="3"/>
  <c r="AL1999" i="3"/>
  <c r="AL2000" i="3"/>
  <c r="AL2001" i="3"/>
  <c r="AL2002" i="3"/>
  <c r="AL2003" i="3"/>
  <c r="AL2004" i="3"/>
  <c r="AL2005" i="3"/>
  <c r="AL2006" i="3"/>
  <c r="AL2007" i="3"/>
  <c r="AL2008" i="3"/>
  <c r="AL2009" i="3"/>
  <c r="AL2010" i="3"/>
  <c r="AL2011" i="3"/>
  <c r="AL2012" i="3"/>
  <c r="AL2013" i="3"/>
  <c r="AL2014" i="3"/>
  <c r="AL2015" i="3"/>
  <c r="AL2016" i="3"/>
  <c r="AL2017" i="3"/>
  <c r="AL2018" i="3"/>
  <c r="AL2019" i="3"/>
  <c r="AL2020" i="3"/>
  <c r="AL2021" i="3"/>
  <c r="AL2022" i="3"/>
  <c r="AL2023" i="3"/>
  <c r="AL2024" i="3"/>
  <c r="AL2025" i="3"/>
  <c r="AL2026" i="3"/>
  <c r="AL2027" i="3"/>
  <c r="AL2028" i="3"/>
  <c r="AL2029" i="3"/>
  <c r="AL2030" i="3"/>
  <c r="AL2031" i="3"/>
  <c r="AL2032" i="3"/>
  <c r="AL2033" i="3"/>
  <c r="AL2034" i="3"/>
  <c r="AL2035" i="3"/>
  <c r="AL2036" i="3"/>
  <c r="AL2037" i="3"/>
  <c r="AL2038" i="3"/>
  <c r="AL2039" i="3"/>
  <c r="AL2040" i="3"/>
  <c r="AL2041" i="3"/>
  <c r="AL2042" i="3"/>
  <c r="AL2043" i="3"/>
  <c r="AL2044" i="3"/>
  <c r="AL2045" i="3"/>
  <c r="AL2046" i="3"/>
  <c r="AL2047" i="3"/>
  <c r="AL2048" i="3"/>
  <c r="AL2049" i="3"/>
  <c r="AL2050" i="3"/>
  <c r="AL2051" i="3"/>
  <c r="AL2052" i="3"/>
  <c r="AL2053" i="3"/>
  <c r="AL2054" i="3"/>
  <c r="AL2055" i="3"/>
  <c r="AL2056" i="3"/>
  <c r="AL2057" i="3"/>
  <c r="AL2058" i="3"/>
  <c r="AL2059" i="3"/>
  <c r="AL2060" i="3"/>
  <c r="AL2061" i="3"/>
  <c r="AL2062" i="3"/>
  <c r="AL2063" i="3"/>
  <c r="AL2064" i="3"/>
  <c r="AL2065" i="3"/>
  <c r="AL2066" i="3"/>
  <c r="AL2067" i="3"/>
  <c r="AL2068" i="3"/>
  <c r="AL2069" i="3"/>
  <c r="AL2070" i="3"/>
  <c r="AL2071" i="3"/>
  <c r="AL2072" i="3"/>
  <c r="AL2073" i="3"/>
  <c r="AL2074" i="3"/>
  <c r="AL2075" i="3"/>
  <c r="AL2076" i="3"/>
  <c r="AL2077" i="3"/>
  <c r="AL2078" i="3"/>
  <c r="AL2079" i="3"/>
  <c r="AL2080" i="3"/>
  <c r="AL2081" i="3"/>
  <c r="AL2082" i="3"/>
  <c r="AL2083" i="3"/>
  <c r="AL2084" i="3"/>
  <c r="AL2085" i="3"/>
  <c r="AL2086" i="3"/>
  <c r="AL2087" i="3"/>
  <c r="AL2088" i="3"/>
  <c r="AL2089" i="3"/>
  <c r="AL2090" i="3"/>
  <c r="AL2091" i="3"/>
  <c r="AL2092" i="3"/>
  <c r="AL2093" i="3"/>
  <c r="AL2094" i="3"/>
  <c r="AL2095" i="3"/>
  <c r="AL2096" i="3"/>
  <c r="AL2097" i="3"/>
  <c r="AL2098" i="3"/>
  <c r="AL2099" i="3"/>
  <c r="AL2100" i="3"/>
  <c r="AL2101" i="3"/>
  <c r="AL2102" i="3"/>
  <c r="AL2103" i="3"/>
  <c r="AL2104" i="3"/>
  <c r="AL2105" i="3"/>
  <c r="AL2106" i="3"/>
  <c r="AL2107" i="3"/>
  <c r="AL2108" i="3"/>
  <c r="AL2109" i="3"/>
  <c r="AL2110" i="3"/>
  <c r="AL2111" i="3"/>
  <c r="AL2112" i="3"/>
  <c r="AL2113" i="3"/>
  <c r="AL2114" i="3"/>
  <c r="AL2115" i="3"/>
  <c r="AL2116" i="3"/>
  <c r="AL2117" i="3"/>
  <c r="AL2118" i="3"/>
  <c r="AL2119" i="3"/>
  <c r="AL2120" i="3"/>
  <c r="AL2121" i="3"/>
  <c r="AL2122" i="3"/>
  <c r="AL2123" i="3"/>
  <c r="AL2124" i="3"/>
  <c r="AL2125" i="3"/>
  <c r="AL2126" i="3"/>
  <c r="AL2127" i="3"/>
  <c r="AL2128" i="3"/>
  <c r="AL2129" i="3"/>
  <c r="AL2130" i="3"/>
  <c r="AL2131" i="3"/>
  <c r="AL2132" i="3"/>
  <c r="AL2133" i="3"/>
  <c r="AL2134" i="3"/>
  <c r="AL2135" i="3"/>
  <c r="AL2136" i="3"/>
  <c r="AL2137" i="3"/>
  <c r="AL2138" i="3"/>
  <c r="AL2139" i="3"/>
  <c r="AL2140" i="3"/>
  <c r="AL2141" i="3"/>
  <c r="AL2142" i="3"/>
  <c r="AL2143" i="3"/>
  <c r="AL2144" i="3"/>
  <c r="AL2145" i="3"/>
  <c r="AL2146" i="3"/>
  <c r="AL2147" i="3"/>
  <c r="AL2148" i="3"/>
  <c r="AL2149" i="3"/>
  <c r="AL2150" i="3"/>
  <c r="AL2151" i="3"/>
  <c r="AL2152" i="3"/>
  <c r="AL2153" i="3"/>
  <c r="AL2154" i="3"/>
  <c r="AL2155" i="3"/>
  <c r="AL2156" i="3"/>
  <c r="AL2157" i="3"/>
  <c r="AL2158" i="3"/>
  <c r="AL2159" i="3"/>
  <c r="AL2160" i="3"/>
  <c r="AL2161" i="3"/>
  <c r="AL2162" i="3"/>
  <c r="AL2163" i="3"/>
  <c r="AL2164" i="3"/>
  <c r="AL2165" i="3"/>
  <c r="AL2166" i="3"/>
  <c r="AL2167" i="3"/>
  <c r="AL2168" i="3"/>
  <c r="AL2169" i="3"/>
  <c r="AL2170" i="3"/>
  <c r="AL2171" i="3"/>
  <c r="AL2172" i="3"/>
  <c r="AL2173" i="3"/>
  <c r="AL2174" i="3"/>
  <c r="AL2175" i="3"/>
  <c r="AL2176" i="3"/>
  <c r="AL2177" i="3"/>
  <c r="AL2178" i="3"/>
  <c r="AL2179" i="3"/>
  <c r="AL2180" i="3"/>
  <c r="AL2181" i="3"/>
  <c r="AL2182" i="3"/>
  <c r="AL2183" i="3"/>
  <c r="AL2184" i="3"/>
  <c r="AL2185" i="3"/>
  <c r="AL2186" i="3"/>
  <c r="AL2187" i="3"/>
  <c r="AL2188" i="3"/>
  <c r="AL2189" i="3"/>
  <c r="AL2190" i="3"/>
  <c r="AL2191" i="3"/>
  <c r="AL2192" i="3"/>
  <c r="AL2193" i="3"/>
  <c r="AL2194" i="3"/>
  <c r="AL2195" i="3"/>
  <c r="AL2196" i="3"/>
  <c r="AL2197" i="3"/>
  <c r="AL2198" i="3"/>
  <c r="AL2199" i="3"/>
  <c r="AL2200" i="3"/>
  <c r="AL2201" i="3"/>
  <c r="AL2202" i="3"/>
  <c r="AL2203" i="3"/>
  <c r="AL2204" i="3"/>
  <c r="AL2205" i="3"/>
  <c r="AL2206" i="3"/>
  <c r="AL2207" i="3"/>
  <c r="AL2208" i="3"/>
  <c r="AL2209" i="3"/>
  <c r="AL2210" i="3"/>
  <c r="AL2211" i="3"/>
  <c r="AL2212" i="3"/>
  <c r="AL2213" i="3"/>
  <c r="AL2214" i="3"/>
  <c r="AL2215" i="3"/>
  <c r="AL2216" i="3"/>
  <c r="AL2217" i="3"/>
  <c r="AL2218" i="3"/>
  <c r="AL2219" i="3"/>
  <c r="AL2220" i="3"/>
  <c r="AL2221" i="3"/>
  <c r="AL2222" i="3"/>
  <c r="AL2223" i="3"/>
  <c r="AL2224" i="3"/>
  <c r="AL2225" i="3"/>
  <c r="AL2226" i="3"/>
  <c r="AL2227" i="3"/>
  <c r="AL2228" i="3"/>
  <c r="AL2229" i="3"/>
  <c r="AL2230" i="3"/>
  <c r="AL2231" i="3"/>
  <c r="AL2232" i="3"/>
  <c r="AL2233" i="3"/>
  <c r="AL2234" i="3"/>
  <c r="AL2235" i="3"/>
  <c r="AL2236" i="3"/>
  <c r="AL2237" i="3"/>
  <c r="AL2238" i="3"/>
  <c r="AL2239" i="3"/>
  <c r="AL2240" i="3"/>
  <c r="AL2241" i="3"/>
  <c r="AJ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J473" i="3"/>
  <c r="AJ474" i="3"/>
  <c r="AJ475" i="3"/>
  <c r="AJ476" i="3"/>
  <c r="AJ477" i="3"/>
  <c r="AJ478" i="3"/>
  <c r="AJ479" i="3"/>
  <c r="AJ480" i="3"/>
  <c r="AJ481" i="3"/>
  <c r="AJ482" i="3"/>
  <c r="AJ483" i="3"/>
  <c r="AJ484" i="3"/>
  <c r="AJ485" i="3"/>
  <c r="AJ486" i="3"/>
  <c r="AJ487" i="3"/>
  <c r="AJ488" i="3"/>
  <c r="AJ489" i="3"/>
  <c r="AJ490" i="3"/>
  <c r="AJ491" i="3"/>
  <c r="AJ492" i="3"/>
  <c r="AJ493" i="3"/>
  <c r="AJ494" i="3"/>
  <c r="AJ495" i="3"/>
  <c r="AJ496" i="3"/>
  <c r="AJ497" i="3"/>
  <c r="AJ498" i="3"/>
  <c r="AJ499" i="3"/>
  <c r="AJ500" i="3"/>
  <c r="AJ501" i="3"/>
  <c r="AJ502" i="3"/>
  <c r="AJ503" i="3"/>
  <c r="AJ504" i="3"/>
  <c r="AJ505" i="3"/>
  <c r="AJ506" i="3"/>
  <c r="AJ507" i="3"/>
  <c r="AJ508" i="3"/>
  <c r="AJ509" i="3"/>
  <c r="AJ510" i="3"/>
  <c r="AJ511" i="3"/>
  <c r="AJ512" i="3"/>
  <c r="AJ513" i="3"/>
  <c r="AJ514" i="3"/>
  <c r="AJ515" i="3"/>
  <c r="AJ516" i="3"/>
  <c r="AJ517" i="3"/>
  <c r="AJ518" i="3"/>
  <c r="AJ519" i="3"/>
  <c r="AJ520" i="3"/>
  <c r="AJ521" i="3"/>
  <c r="AJ522" i="3"/>
  <c r="AJ523" i="3"/>
  <c r="AJ524" i="3"/>
  <c r="AJ525" i="3"/>
  <c r="AJ526" i="3"/>
  <c r="AJ527" i="3"/>
  <c r="AJ528" i="3"/>
  <c r="AJ529" i="3"/>
  <c r="AJ530" i="3"/>
  <c r="AJ531" i="3"/>
  <c r="AJ532" i="3"/>
  <c r="AJ533" i="3"/>
  <c r="AJ534" i="3"/>
  <c r="AJ535" i="3"/>
  <c r="AJ536" i="3"/>
  <c r="AJ537" i="3"/>
  <c r="AJ538" i="3"/>
  <c r="AJ539" i="3"/>
  <c r="AJ540" i="3"/>
  <c r="AJ541" i="3"/>
  <c r="AJ542" i="3"/>
  <c r="AJ543" i="3"/>
  <c r="AJ544" i="3"/>
  <c r="AJ545" i="3"/>
  <c r="AJ546" i="3"/>
  <c r="AJ547" i="3"/>
  <c r="AJ548" i="3"/>
  <c r="AJ549" i="3"/>
  <c r="AJ550" i="3"/>
  <c r="AJ551" i="3"/>
  <c r="AJ552" i="3"/>
  <c r="AJ553" i="3"/>
  <c r="AJ554" i="3"/>
  <c r="AJ555" i="3"/>
  <c r="AJ556" i="3"/>
  <c r="AJ557" i="3"/>
  <c r="AJ558" i="3"/>
  <c r="AJ559" i="3"/>
  <c r="AJ560" i="3"/>
  <c r="AJ561" i="3"/>
  <c r="AJ562" i="3"/>
  <c r="AJ563" i="3"/>
  <c r="AJ564" i="3"/>
  <c r="AJ565" i="3"/>
  <c r="AJ566" i="3"/>
  <c r="AJ567" i="3"/>
  <c r="AJ568" i="3"/>
  <c r="AJ569" i="3"/>
  <c r="AJ570" i="3"/>
  <c r="AJ571" i="3"/>
  <c r="AJ572" i="3"/>
  <c r="AJ573" i="3"/>
  <c r="AJ574" i="3"/>
  <c r="AJ575" i="3"/>
  <c r="AJ576" i="3"/>
  <c r="AJ577" i="3"/>
  <c r="AJ578" i="3"/>
  <c r="AJ579" i="3"/>
  <c r="AJ580" i="3"/>
  <c r="AJ581" i="3"/>
  <c r="AJ582" i="3"/>
  <c r="AJ583" i="3"/>
  <c r="AJ584" i="3"/>
  <c r="AJ585" i="3"/>
  <c r="AJ586" i="3"/>
  <c r="AJ587" i="3"/>
  <c r="AJ588" i="3"/>
  <c r="AJ589" i="3"/>
  <c r="AJ590" i="3"/>
  <c r="AJ591" i="3"/>
  <c r="AJ592" i="3"/>
  <c r="AJ593" i="3"/>
  <c r="AJ594" i="3"/>
  <c r="AJ595" i="3"/>
  <c r="AJ596" i="3"/>
  <c r="AJ597" i="3"/>
  <c r="AJ598" i="3"/>
  <c r="AJ599" i="3"/>
  <c r="AJ600" i="3"/>
  <c r="AJ601" i="3"/>
  <c r="AJ602" i="3"/>
  <c r="AJ603" i="3"/>
  <c r="AJ604" i="3"/>
  <c r="AJ605" i="3"/>
  <c r="AJ606" i="3"/>
  <c r="AJ607" i="3"/>
  <c r="AJ608" i="3"/>
  <c r="AJ609" i="3"/>
  <c r="AJ610" i="3"/>
  <c r="AJ611" i="3"/>
  <c r="AJ612" i="3"/>
  <c r="AJ613" i="3"/>
  <c r="AJ614" i="3"/>
  <c r="AJ615" i="3"/>
  <c r="AJ616" i="3"/>
  <c r="AJ617" i="3"/>
  <c r="AJ618" i="3"/>
  <c r="AJ619" i="3"/>
  <c r="AJ620" i="3"/>
  <c r="AJ621" i="3"/>
  <c r="AJ622" i="3"/>
  <c r="AJ623" i="3"/>
  <c r="AJ624" i="3"/>
  <c r="AJ625" i="3"/>
  <c r="AJ626" i="3"/>
  <c r="AJ627" i="3"/>
  <c r="AJ628" i="3"/>
  <c r="AJ629" i="3"/>
  <c r="AJ630" i="3"/>
  <c r="AJ631" i="3"/>
  <c r="AJ632" i="3"/>
  <c r="AJ633" i="3"/>
  <c r="AJ634" i="3"/>
  <c r="AJ635" i="3"/>
  <c r="AJ636" i="3"/>
  <c r="AJ637" i="3"/>
  <c r="AJ638" i="3"/>
  <c r="AJ639" i="3"/>
  <c r="AJ640" i="3"/>
  <c r="AJ641" i="3"/>
  <c r="AJ642" i="3"/>
  <c r="AJ643" i="3"/>
  <c r="AJ644" i="3"/>
  <c r="AJ645" i="3"/>
  <c r="AJ646" i="3"/>
  <c r="AJ647" i="3"/>
  <c r="AJ648" i="3"/>
  <c r="AJ649" i="3"/>
  <c r="AJ650" i="3"/>
  <c r="AJ651" i="3"/>
  <c r="AJ652" i="3"/>
  <c r="AJ653" i="3"/>
  <c r="AJ654" i="3"/>
  <c r="AJ655" i="3"/>
  <c r="AJ656" i="3"/>
  <c r="AJ657" i="3"/>
  <c r="AJ658" i="3"/>
  <c r="AJ659" i="3"/>
  <c r="AJ660" i="3"/>
  <c r="AJ661" i="3"/>
  <c r="AJ662" i="3"/>
  <c r="AJ663" i="3"/>
  <c r="AJ664" i="3"/>
  <c r="AJ665" i="3"/>
  <c r="AJ666" i="3"/>
  <c r="AJ667" i="3"/>
  <c r="AJ668" i="3"/>
  <c r="AJ669" i="3"/>
  <c r="AJ670" i="3"/>
  <c r="AJ671" i="3"/>
  <c r="AJ672" i="3"/>
  <c r="AJ673" i="3"/>
  <c r="AJ674" i="3"/>
  <c r="AJ675" i="3"/>
  <c r="AJ676" i="3"/>
  <c r="AJ677" i="3"/>
  <c r="AJ678" i="3"/>
  <c r="AJ679" i="3"/>
  <c r="AJ680" i="3"/>
  <c r="AJ681" i="3"/>
  <c r="AJ682" i="3"/>
  <c r="AJ683" i="3"/>
  <c r="AJ684" i="3"/>
  <c r="AJ685" i="3"/>
  <c r="AJ686" i="3"/>
  <c r="AJ687" i="3"/>
  <c r="AJ688" i="3"/>
  <c r="AJ689" i="3"/>
  <c r="AJ690" i="3"/>
  <c r="AJ691" i="3"/>
  <c r="AJ692" i="3"/>
  <c r="AJ693" i="3"/>
  <c r="AJ694" i="3"/>
  <c r="AJ695" i="3"/>
  <c r="AJ696" i="3"/>
  <c r="AJ697" i="3"/>
  <c r="AJ698" i="3"/>
  <c r="AJ699" i="3"/>
  <c r="AJ700" i="3"/>
  <c r="AJ701" i="3"/>
  <c r="AJ702" i="3"/>
  <c r="AJ703" i="3"/>
  <c r="AJ704" i="3"/>
  <c r="AJ705" i="3"/>
  <c r="AJ706" i="3"/>
  <c r="AJ707" i="3"/>
  <c r="AJ708" i="3"/>
  <c r="AJ709" i="3"/>
  <c r="AJ710" i="3"/>
  <c r="AJ711" i="3"/>
  <c r="AJ712" i="3"/>
  <c r="AJ713" i="3"/>
  <c r="AJ714" i="3"/>
  <c r="AJ715" i="3"/>
  <c r="AJ716" i="3"/>
  <c r="AJ717" i="3"/>
  <c r="AJ718" i="3"/>
  <c r="AJ719" i="3"/>
  <c r="AJ720" i="3"/>
  <c r="AJ721" i="3"/>
  <c r="AJ722" i="3"/>
  <c r="AJ723" i="3"/>
  <c r="AJ724" i="3"/>
  <c r="AJ725" i="3"/>
  <c r="AJ726" i="3"/>
  <c r="AJ727" i="3"/>
  <c r="AJ728" i="3"/>
  <c r="AJ729" i="3"/>
  <c r="AJ730" i="3"/>
  <c r="AJ731" i="3"/>
  <c r="AJ732" i="3"/>
  <c r="AJ733" i="3"/>
  <c r="AJ734" i="3"/>
  <c r="AJ735" i="3"/>
  <c r="AJ736" i="3"/>
  <c r="AJ737" i="3"/>
  <c r="AJ738" i="3"/>
  <c r="AJ739" i="3"/>
  <c r="AJ740" i="3"/>
  <c r="AJ741" i="3"/>
  <c r="AJ742" i="3"/>
  <c r="AJ743" i="3"/>
  <c r="AJ744" i="3"/>
  <c r="AJ745" i="3"/>
  <c r="AJ746" i="3"/>
  <c r="AJ747" i="3"/>
  <c r="AJ748" i="3"/>
  <c r="AJ749" i="3"/>
  <c r="AJ750" i="3"/>
  <c r="AJ751" i="3"/>
  <c r="AJ752" i="3"/>
  <c r="AJ753" i="3"/>
  <c r="AJ754" i="3"/>
  <c r="AJ755" i="3"/>
  <c r="AJ756" i="3"/>
  <c r="AJ757" i="3"/>
  <c r="AJ758" i="3"/>
  <c r="AJ759" i="3"/>
  <c r="AJ760" i="3"/>
  <c r="AJ761" i="3"/>
  <c r="AJ762" i="3"/>
  <c r="AJ763" i="3"/>
  <c r="AJ764" i="3"/>
  <c r="AJ765" i="3"/>
  <c r="AJ766" i="3"/>
  <c r="AJ767" i="3"/>
  <c r="AJ768" i="3"/>
  <c r="AJ769" i="3"/>
  <c r="AJ770" i="3"/>
  <c r="AJ771" i="3"/>
  <c r="AJ772" i="3"/>
  <c r="AJ773" i="3"/>
  <c r="AJ774" i="3"/>
  <c r="AJ775" i="3"/>
  <c r="AJ776" i="3"/>
  <c r="AJ777" i="3"/>
  <c r="AJ778" i="3"/>
  <c r="AJ779" i="3"/>
  <c r="AJ780" i="3"/>
  <c r="AJ781" i="3"/>
  <c r="AJ782" i="3"/>
  <c r="AJ783" i="3"/>
  <c r="AJ784" i="3"/>
  <c r="AJ785" i="3"/>
  <c r="AJ786" i="3"/>
  <c r="AJ787" i="3"/>
  <c r="AJ788" i="3"/>
  <c r="AJ789" i="3"/>
  <c r="AJ790" i="3"/>
  <c r="AJ791" i="3"/>
  <c r="AJ792" i="3"/>
  <c r="AJ793" i="3"/>
  <c r="AJ794" i="3"/>
  <c r="AJ795" i="3"/>
  <c r="AJ796" i="3"/>
  <c r="AJ797" i="3"/>
  <c r="AJ798" i="3"/>
  <c r="AJ799" i="3"/>
  <c r="AJ800" i="3"/>
  <c r="AJ801" i="3"/>
  <c r="AJ802" i="3"/>
  <c r="AJ803" i="3"/>
  <c r="AJ804" i="3"/>
  <c r="AJ805" i="3"/>
  <c r="AJ806" i="3"/>
  <c r="AJ807" i="3"/>
  <c r="AJ808" i="3"/>
  <c r="AJ809" i="3"/>
  <c r="AJ810" i="3"/>
  <c r="AJ811" i="3"/>
  <c r="AJ812" i="3"/>
  <c r="AJ813" i="3"/>
  <c r="AJ814" i="3"/>
  <c r="AJ815" i="3"/>
  <c r="AJ816" i="3"/>
  <c r="AJ817" i="3"/>
  <c r="AJ818" i="3"/>
  <c r="AJ819" i="3"/>
  <c r="AJ820" i="3"/>
  <c r="AJ821" i="3"/>
  <c r="AJ822" i="3"/>
  <c r="AJ823" i="3"/>
  <c r="AJ824" i="3"/>
  <c r="AJ825" i="3"/>
  <c r="AJ826" i="3"/>
  <c r="AJ827" i="3"/>
  <c r="AJ828" i="3"/>
  <c r="AJ829" i="3"/>
  <c r="AJ830" i="3"/>
  <c r="AJ831" i="3"/>
  <c r="AJ832" i="3"/>
  <c r="AJ833" i="3"/>
  <c r="AJ834" i="3"/>
  <c r="AJ835" i="3"/>
  <c r="AJ836" i="3"/>
  <c r="AJ837" i="3"/>
  <c r="AJ838" i="3"/>
  <c r="AJ839" i="3"/>
  <c r="AJ840" i="3"/>
  <c r="AJ841" i="3"/>
  <c r="AJ842" i="3"/>
  <c r="AJ843" i="3"/>
  <c r="AJ844" i="3"/>
  <c r="AJ845" i="3"/>
  <c r="AJ846" i="3"/>
  <c r="AJ847" i="3"/>
  <c r="AJ848" i="3"/>
  <c r="AJ849" i="3"/>
  <c r="AJ850" i="3"/>
  <c r="AJ851" i="3"/>
  <c r="AJ852" i="3"/>
  <c r="AJ853" i="3"/>
  <c r="AJ854" i="3"/>
  <c r="AJ855" i="3"/>
  <c r="AJ856" i="3"/>
  <c r="AJ857" i="3"/>
  <c r="AJ858" i="3"/>
  <c r="AJ859" i="3"/>
  <c r="AJ860" i="3"/>
  <c r="AJ861" i="3"/>
  <c r="AJ862" i="3"/>
  <c r="AJ863" i="3"/>
  <c r="AJ864" i="3"/>
  <c r="AJ865" i="3"/>
  <c r="AJ866" i="3"/>
  <c r="AJ867" i="3"/>
  <c r="AJ868" i="3"/>
  <c r="AJ869" i="3"/>
  <c r="AJ870" i="3"/>
  <c r="AJ871" i="3"/>
  <c r="AJ872" i="3"/>
  <c r="AJ873" i="3"/>
  <c r="AJ874" i="3"/>
  <c r="AJ875" i="3"/>
  <c r="AJ876" i="3"/>
  <c r="AJ877" i="3"/>
  <c r="AJ878" i="3"/>
  <c r="AJ879" i="3"/>
  <c r="AJ880" i="3"/>
  <c r="AJ881" i="3"/>
  <c r="AJ882" i="3"/>
  <c r="AJ883" i="3"/>
  <c r="AJ884" i="3"/>
  <c r="AJ885" i="3"/>
  <c r="AJ886" i="3"/>
  <c r="AJ887" i="3"/>
  <c r="AJ888" i="3"/>
  <c r="AJ889" i="3"/>
  <c r="AJ890" i="3"/>
  <c r="AJ891" i="3"/>
  <c r="AJ892" i="3"/>
  <c r="AJ893" i="3"/>
  <c r="AJ894" i="3"/>
  <c r="AJ895" i="3"/>
  <c r="AJ896" i="3"/>
  <c r="AJ897" i="3"/>
  <c r="AJ898" i="3"/>
  <c r="AJ899" i="3"/>
  <c r="AJ900" i="3"/>
  <c r="AJ901" i="3"/>
  <c r="AJ902" i="3"/>
  <c r="AJ903" i="3"/>
  <c r="AJ904" i="3"/>
  <c r="AJ905" i="3"/>
  <c r="AJ906" i="3"/>
  <c r="AJ907" i="3"/>
  <c r="AJ908" i="3"/>
  <c r="AJ909" i="3"/>
  <c r="AJ910" i="3"/>
  <c r="AJ911" i="3"/>
  <c r="AJ912" i="3"/>
  <c r="AJ913" i="3"/>
  <c r="AJ914" i="3"/>
  <c r="AJ915" i="3"/>
  <c r="AJ916" i="3"/>
  <c r="AJ917" i="3"/>
  <c r="AJ918" i="3"/>
  <c r="AJ919" i="3"/>
  <c r="AJ920" i="3"/>
  <c r="AJ921" i="3"/>
  <c r="AJ922" i="3"/>
  <c r="AJ923" i="3"/>
  <c r="AJ924" i="3"/>
  <c r="AJ925" i="3"/>
  <c r="AJ926" i="3"/>
  <c r="AJ927" i="3"/>
  <c r="AJ928" i="3"/>
  <c r="AJ929" i="3"/>
  <c r="AJ930" i="3"/>
  <c r="AJ931" i="3"/>
  <c r="AJ932" i="3"/>
  <c r="AJ933" i="3"/>
  <c r="AJ934" i="3"/>
  <c r="AJ935" i="3"/>
  <c r="AJ936" i="3"/>
  <c r="AJ937" i="3"/>
  <c r="AJ938" i="3"/>
  <c r="AJ939" i="3"/>
  <c r="AJ940" i="3"/>
  <c r="AJ941" i="3"/>
  <c r="AJ942" i="3"/>
  <c r="AJ943" i="3"/>
  <c r="AJ944" i="3"/>
  <c r="AJ945" i="3"/>
  <c r="AJ946" i="3"/>
  <c r="AJ947" i="3"/>
  <c r="AJ948" i="3"/>
  <c r="AJ949" i="3"/>
  <c r="AJ950" i="3"/>
  <c r="AJ951" i="3"/>
  <c r="AJ952" i="3"/>
  <c r="AJ953" i="3"/>
  <c r="AJ954" i="3"/>
  <c r="AJ955" i="3"/>
  <c r="AJ956" i="3"/>
  <c r="AJ957" i="3"/>
  <c r="AJ958" i="3"/>
  <c r="AJ959" i="3"/>
  <c r="AJ960" i="3"/>
  <c r="AJ961" i="3"/>
  <c r="AJ962" i="3"/>
  <c r="AJ963" i="3"/>
  <c r="AJ964" i="3"/>
  <c r="AJ965" i="3"/>
  <c r="AJ966" i="3"/>
  <c r="AJ967" i="3"/>
  <c r="AJ968" i="3"/>
  <c r="AJ969" i="3"/>
  <c r="AJ970" i="3"/>
  <c r="AJ971" i="3"/>
  <c r="AJ972" i="3"/>
  <c r="AJ973" i="3"/>
  <c r="AJ974" i="3"/>
  <c r="AJ975" i="3"/>
  <c r="AJ976" i="3"/>
  <c r="AJ977" i="3"/>
  <c r="AJ978" i="3"/>
  <c r="AJ979" i="3"/>
  <c r="AJ980" i="3"/>
  <c r="AJ981" i="3"/>
  <c r="AJ982" i="3"/>
  <c r="AJ983" i="3"/>
  <c r="AJ984" i="3"/>
  <c r="AJ985" i="3"/>
  <c r="AJ986" i="3"/>
  <c r="AJ987" i="3"/>
  <c r="AJ988" i="3"/>
  <c r="AJ989" i="3"/>
  <c r="AJ990" i="3"/>
  <c r="AJ991" i="3"/>
  <c r="AJ992" i="3"/>
  <c r="AJ993" i="3"/>
  <c r="AJ994" i="3"/>
  <c r="AJ995" i="3"/>
  <c r="AJ996" i="3"/>
  <c r="AJ997" i="3"/>
  <c r="AJ998" i="3"/>
  <c r="AJ999" i="3"/>
  <c r="AJ1000" i="3"/>
  <c r="AJ1001" i="3"/>
  <c r="AJ1002" i="3"/>
  <c r="AJ1003" i="3"/>
  <c r="AJ1004" i="3"/>
  <c r="AJ1005" i="3"/>
  <c r="AJ1006" i="3"/>
  <c r="AJ1007" i="3"/>
  <c r="AJ1008" i="3"/>
  <c r="AJ1009" i="3"/>
  <c r="AJ1010" i="3"/>
  <c r="AJ1011" i="3"/>
  <c r="AJ1012" i="3"/>
  <c r="AJ1013" i="3"/>
  <c r="AJ1014" i="3"/>
  <c r="AJ1015" i="3"/>
  <c r="AJ1016" i="3"/>
  <c r="AJ1017" i="3"/>
  <c r="AJ1018" i="3"/>
  <c r="AJ1019" i="3"/>
  <c r="AJ1020" i="3"/>
  <c r="AJ1021" i="3"/>
  <c r="AJ1022" i="3"/>
  <c r="AJ1023" i="3"/>
  <c r="AJ1024" i="3"/>
  <c r="AJ1025" i="3"/>
  <c r="AJ1026" i="3"/>
  <c r="AJ1027" i="3"/>
  <c r="AJ1028" i="3"/>
  <c r="AJ1029" i="3"/>
  <c r="AJ1030" i="3"/>
  <c r="AJ1031" i="3"/>
  <c r="AJ1032" i="3"/>
  <c r="AJ1033" i="3"/>
  <c r="AJ1034" i="3"/>
  <c r="AJ1035" i="3"/>
  <c r="AJ1036" i="3"/>
  <c r="AJ1037" i="3"/>
  <c r="AJ1038" i="3"/>
  <c r="AJ1039" i="3"/>
  <c r="AJ1040" i="3"/>
  <c r="AJ1041" i="3"/>
  <c r="AJ1042" i="3"/>
  <c r="AJ1043" i="3"/>
  <c r="AJ1044" i="3"/>
  <c r="AJ1045" i="3"/>
  <c r="AJ1046" i="3"/>
  <c r="AJ1047" i="3"/>
  <c r="AJ1048" i="3"/>
  <c r="AJ1049" i="3"/>
  <c r="AJ1050" i="3"/>
  <c r="AJ1051" i="3"/>
  <c r="AJ1052" i="3"/>
  <c r="AJ1053" i="3"/>
  <c r="AJ1054" i="3"/>
  <c r="AJ1055" i="3"/>
  <c r="AJ1056" i="3"/>
  <c r="AJ1057" i="3"/>
  <c r="AJ1058" i="3"/>
  <c r="AJ1059" i="3"/>
  <c r="AJ1060" i="3"/>
  <c r="AJ1061" i="3"/>
  <c r="AJ1062" i="3"/>
  <c r="AJ1063" i="3"/>
  <c r="AJ1064" i="3"/>
  <c r="AJ1065" i="3"/>
  <c r="AJ1066" i="3"/>
  <c r="AJ1067" i="3"/>
  <c r="AJ1068" i="3"/>
  <c r="AJ1069" i="3"/>
  <c r="AJ1070" i="3"/>
  <c r="AJ1071" i="3"/>
  <c r="AJ1072" i="3"/>
  <c r="AJ1073" i="3"/>
  <c r="AJ1074" i="3"/>
  <c r="AJ1075" i="3"/>
  <c r="AJ1076" i="3"/>
  <c r="AJ1077" i="3"/>
  <c r="AJ1078" i="3"/>
  <c r="AJ1079" i="3"/>
  <c r="AJ1080" i="3"/>
  <c r="AJ1081" i="3"/>
  <c r="AJ1082" i="3"/>
  <c r="AJ1083" i="3"/>
  <c r="AJ1084" i="3"/>
  <c r="AJ1085" i="3"/>
  <c r="AJ1086" i="3"/>
  <c r="AJ1087" i="3"/>
  <c r="AJ1088" i="3"/>
  <c r="AJ1089" i="3"/>
  <c r="AJ1090" i="3"/>
  <c r="AJ1091" i="3"/>
  <c r="AJ1092" i="3"/>
  <c r="AJ1093" i="3"/>
  <c r="AJ1094" i="3"/>
  <c r="AJ1095" i="3"/>
  <c r="AJ1096" i="3"/>
  <c r="AJ1097" i="3"/>
  <c r="AJ1098" i="3"/>
  <c r="AJ1099" i="3"/>
  <c r="AJ1100" i="3"/>
  <c r="AJ1101" i="3"/>
  <c r="AJ1102" i="3"/>
  <c r="AJ1103" i="3"/>
  <c r="AJ1104" i="3"/>
  <c r="AJ1105" i="3"/>
  <c r="AJ1106" i="3"/>
  <c r="AJ1107" i="3"/>
  <c r="AJ1108" i="3"/>
  <c r="AJ1109" i="3"/>
  <c r="AJ1110" i="3"/>
  <c r="AJ1111" i="3"/>
  <c r="AJ1112" i="3"/>
  <c r="AJ1113" i="3"/>
  <c r="AJ1114" i="3"/>
  <c r="AJ1115" i="3"/>
  <c r="AJ1116" i="3"/>
  <c r="AJ1117" i="3"/>
  <c r="AJ1118" i="3"/>
  <c r="AJ1119" i="3"/>
  <c r="AJ1120" i="3"/>
  <c r="AJ1121" i="3"/>
  <c r="AJ1122" i="3"/>
  <c r="AJ1123" i="3"/>
  <c r="AJ1124" i="3"/>
  <c r="AJ1125" i="3"/>
  <c r="AJ1126" i="3"/>
  <c r="AJ1127" i="3"/>
  <c r="AJ1128" i="3"/>
  <c r="AJ1129" i="3"/>
  <c r="AJ1130" i="3"/>
  <c r="AJ1131" i="3"/>
  <c r="AJ1132" i="3"/>
  <c r="AJ1133" i="3"/>
  <c r="AJ1134" i="3"/>
  <c r="AJ1135" i="3"/>
  <c r="AJ1136" i="3"/>
  <c r="AJ1137" i="3"/>
  <c r="AJ1138" i="3"/>
  <c r="AJ1139" i="3"/>
  <c r="AJ1140" i="3"/>
  <c r="AJ1141" i="3"/>
  <c r="AJ1142" i="3"/>
  <c r="AJ1143" i="3"/>
  <c r="AJ1144" i="3"/>
  <c r="AJ1145" i="3"/>
  <c r="AJ1146" i="3"/>
  <c r="AJ1147" i="3"/>
  <c r="AJ1148" i="3"/>
  <c r="AJ1149" i="3"/>
  <c r="AJ1150" i="3"/>
  <c r="AJ1151" i="3"/>
  <c r="AJ1152" i="3"/>
  <c r="AJ1153" i="3"/>
  <c r="AJ1154" i="3"/>
  <c r="AJ1155" i="3"/>
  <c r="AJ1156" i="3"/>
  <c r="AJ1157" i="3"/>
  <c r="AJ1158" i="3"/>
  <c r="AJ1159" i="3"/>
  <c r="AJ1160" i="3"/>
  <c r="AJ1161" i="3"/>
  <c r="AJ1162" i="3"/>
  <c r="AJ1163" i="3"/>
  <c r="AJ1164" i="3"/>
  <c r="AJ1165" i="3"/>
  <c r="AJ1166" i="3"/>
  <c r="AJ1167" i="3"/>
  <c r="AJ1168" i="3"/>
  <c r="AJ1169" i="3"/>
  <c r="AJ1170" i="3"/>
  <c r="AJ1171" i="3"/>
  <c r="AJ1172" i="3"/>
  <c r="AJ1173" i="3"/>
  <c r="AJ1174" i="3"/>
  <c r="AJ1175" i="3"/>
  <c r="AJ1176" i="3"/>
  <c r="AJ1177" i="3"/>
  <c r="AJ1178" i="3"/>
  <c r="AJ1179" i="3"/>
  <c r="AJ1180" i="3"/>
  <c r="AJ1181" i="3"/>
  <c r="AJ1182" i="3"/>
  <c r="AJ1183" i="3"/>
  <c r="AJ1184" i="3"/>
  <c r="AJ1185" i="3"/>
  <c r="AJ1186" i="3"/>
  <c r="AJ1187" i="3"/>
  <c r="AJ1188" i="3"/>
  <c r="AJ1189" i="3"/>
  <c r="AJ1190" i="3"/>
  <c r="AJ1191" i="3"/>
  <c r="AJ1192" i="3"/>
  <c r="AJ1193" i="3"/>
  <c r="AJ1194" i="3"/>
  <c r="AJ1195" i="3"/>
  <c r="AJ1196" i="3"/>
  <c r="AJ1197" i="3"/>
  <c r="AJ1198" i="3"/>
  <c r="AJ1199" i="3"/>
  <c r="AJ1200" i="3"/>
  <c r="AJ1201" i="3"/>
  <c r="AJ1202" i="3"/>
  <c r="AJ1203" i="3"/>
  <c r="AJ1204" i="3"/>
  <c r="AJ1205" i="3"/>
  <c r="AJ1206" i="3"/>
  <c r="AJ1207" i="3"/>
  <c r="AJ1208" i="3"/>
  <c r="AJ1209" i="3"/>
  <c r="AJ1210" i="3"/>
  <c r="AJ1211" i="3"/>
  <c r="AJ1212" i="3"/>
  <c r="AJ1213" i="3"/>
  <c r="AJ1214" i="3"/>
  <c r="AJ1215" i="3"/>
  <c r="AJ1216" i="3"/>
  <c r="AJ1217" i="3"/>
  <c r="AJ1218" i="3"/>
  <c r="AJ1219" i="3"/>
  <c r="AJ1220" i="3"/>
  <c r="AJ1221" i="3"/>
  <c r="AJ1222" i="3"/>
  <c r="AJ1223" i="3"/>
  <c r="AJ1224" i="3"/>
  <c r="AJ1225" i="3"/>
  <c r="AJ1226" i="3"/>
  <c r="AJ1227" i="3"/>
  <c r="AJ1228" i="3"/>
  <c r="AJ1229" i="3"/>
  <c r="AJ1230" i="3"/>
  <c r="AJ1231" i="3"/>
  <c r="AJ1232" i="3"/>
  <c r="AJ1233" i="3"/>
  <c r="AJ1234" i="3"/>
  <c r="AJ1235" i="3"/>
  <c r="AJ1236" i="3"/>
  <c r="AJ1237" i="3"/>
  <c r="AJ1238" i="3"/>
  <c r="AJ1239" i="3"/>
  <c r="AJ1240" i="3"/>
  <c r="AJ1241" i="3"/>
  <c r="AJ1242" i="3"/>
  <c r="AJ1243" i="3"/>
  <c r="AJ1244" i="3"/>
  <c r="AJ1245" i="3"/>
  <c r="AJ1246" i="3"/>
  <c r="AJ1247" i="3"/>
  <c r="AJ1248" i="3"/>
  <c r="AJ1249" i="3"/>
  <c r="AJ1250" i="3"/>
  <c r="AJ1251" i="3"/>
  <c r="AJ1252" i="3"/>
  <c r="AJ1253" i="3"/>
  <c r="AJ1254" i="3"/>
  <c r="AJ1255" i="3"/>
  <c r="AJ1256" i="3"/>
  <c r="AJ1257" i="3"/>
  <c r="AJ1258" i="3"/>
  <c r="AJ1259" i="3"/>
  <c r="AJ1260" i="3"/>
  <c r="AJ1261" i="3"/>
  <c r="AJ1262" i="3"/>
  <c r="AJ1263" i="3"/>
  <c r="AJ1264" i="3"/>
  <c r="AJ1265" i="3"/>
  <c r="AJ1266" i="3"/>
  <c r="AJ1267" i="3"/>
  <c r="AJ1268" i="3"/>
  <c r="AJ1269" i="3"/>
  <c r="AJ1270" i="3"/>
  <c r="AJ1271" i="3"/>
  <c r="AJ1272" i="3"/>
  <c r="AJ1273" i="3"/>
  <c r="AJ1274" i="3"/>
  <c r="AJ1275" i="3"/>
  <c r="AJ1276" i="3"/>
  <c r="AJ1277" i="3"/>
  <c r="AJ1278" i="3"/>
  <c r="AJ1279" i="3"/>
  <c r="AJ1280" i="3"/>
  <c r="AJ1281" i="3"/>
  <c r="AJ1282" i="3"/>
  <c r="AJ1283" i="3"/>
  <c r="AJ1284" i="3"/>
  <c r="AJ1285" i="3"/>
  <c r="AJ1286" i="3"/>
  <c r="AJ1287" i="3"/>
  <c r="AJ1288" i="3"/>
  <c r="AJ1289" i="3"/>
  <c r="AJ1290" i="3"/>
  <c r="AJ1291" i="3"/>
  <c r="AJ1292" i="3"/>
  <c r="AJ1293" i="3"/>
  <c r="AJ1294" i="3"/>
  <c r="AJ1295" i="3"/>
  <c r="AJ1296" i="3"/>
  <c r="AJ1297" i="3"/>
  <c r="AJ1298" i="3"/>
  <c r="AJ1299" i="3"/>
  <c r="AJ1300" i="3"/>
  <c r="AJ1301" i="3"/>
  <c r="AJ1302" i="3"/>
  <c r="AJ1303" i="3"/>
  <c r="AJ1304" i="3"/>
  <c r="AJ1305" i="3"/>
  <c r="AJ1306" i="3"/>
  <c r="AJ1307" i="3"/>
  <c r="AJ1308" i="3"/>
  <c r="AJ1309" i="3"/>
  <c r="AJ1310" i="3"/>
  <c r="AJ1311" i="3"/>
  <c r="AJ1312" i="3"/>
  <c r="AJ1313" i="3"/>
  <c r="AJ1314" i="3"/>
  <c r="AJ1315" i="3"/>
  <c r="AJ1316" i="3"/>
  <c r="AJ1317" i="3"/>
  <c r="AJ1318" i="3"/>
  <c r="AJ1319" i="3"/>
  <c r="AJ1320" i="3"/>
  <c r="AJ1321" i="3"/>
  <c r="AJ1322" i="3"/>
  <c r="AJ1323" i="3"/>
  <c r="AJ1324" i="3"/>
  <c r="AJ1325" i="3"/>
  <c r="AJ1326" i="3"/>
  <c r="AJ1327" i="3"/>
  <c r="AJ1328" i="3"/>
  <c r="AJ1329" i="3"/>
  <c r="AJ1330" i="3"/>
  <c r="AJ1331" i="3"/>
  <c r="AJ1332" i="3"/>
  <c r="AJ1333" i="3"/>
  <c r="AJ1334" i="3"/>
  <c r="AJ1335" i="3"/>
  <c r="AJ1336" i="3"/>
  <c r="AJ1337" i="3"/>
  <c r="AJ1338" i="3"/>
  <c r="AJ1339" i="3"/>
  <c r="AJ1340" i="3"/>
  <c r="AJ1341" i="3"/>
  <c r="AJ1342" i="3"/>
  <c r="AJ1343" i="3"/>
  <c r="AJ1344" i="3"/>
  <c r="AJ1345" i="3"/>
  <c r="AJ1346" i="3"/>
  <c r="AJ1347" i="3"/>
  <c r="AJ1348" i="3"/>
  <c r="AJ1349" i="3"/>
  <c r="AJ1350" i="3"/>
  <c r="AJ1351" i="3"/>
  <c r="AJ1352" i="3"/>
  <c r="AJ1353" i="3"/>
  <c r="AJ1354" i="3"/>
  <c r="AJ1355" i="3"/>
  <c r="AJ1356" i="3"/>
  <c r="AJ1357" i="3"/>
  <c r="AJ1358" i="3"/>
  <c r="AJ1359" i="3"/>
  <c r="AJ1360" i="3"/>
  <c r="AJ1361" i="3"/>
  <c r="AJ1362" i="3"/>
  <c r="AJ1363" i="3"/>
  <c r="AJ1364" i="3"/>
  <c r="AJ1365" i="3"/>
  <c r="AJ1366" i="3"/>
  <c r="AJ1367" i="3"/>
  <c r="AJ1368" i="3"/>
  <c r="AJ1369" i="3"/>
  <c r="AJ1370" i="3"/>
  <c r="AJ1371" i="3"/>
  <c r="AJ1372" i="3"/>
  <c r="AJ1373" i="3"/>
  <c r="AJ1374" i="3"/>
  <c r="AJ1375" i="3"/>
  <c r="AJ1376" i="3"/>
  <c r="AJ1377" i="3"/>
  <c r="AJ1378" i="3"/>
  <c r="AJ1379" i="3"/>
  <c r="AJ1380" i="3"/>
  <c r="AJ1381" i="3"/>
  <c r="AJ1382" i="3"/>
  <c r="AJ1383" i="3"/>
  <c r="AJ1384" i="3"/>
  <c r="AJ1385" i="3"/>
  <c r="AJ1386" i="3"/>
  <c r="AJ1387" i="3"/>
  <c r="AJ1388" i="3"/>
  <c r="AJ1389" i="3"/>
  <c r="AJ1390" i="3"/>
  <c r="AJ1391" i="3"/>
  <c r="AJ1392" i="3"/>
  <c r="AJ1393" i="3"/>
  <c r="AJ1394" i="3"/>
  <c r="AJ1395" i="3"/>
  <c r="AJ1396" i="3"/>
  <c r="AJ1397" i="3"/>
  <c r="AJ1398" i="3"/>
  <c r="AJ1399" i="3"/>
  <c r="AJ1400" i="3"/>
  <c r="AJ1401" i="3"/>
  <c r="AJ1402" i="3"/>
  <c r="AJ1403" i="3"/>
  <c r="AJ1404" i="3"/>
  <c r="AJ1405" i="3"/>
  <c r="AJ1406" i="3"/>
  <c r="AJ1407" i="3"/>
  <c r="AJ1408" i="3"/>
  <c r="AJ1409" i="3"/>
  <c r="AJ1410" i="3"/>
  <c r="AJ1411" i="3"/>
  <c r="AJ1412" i="3"/>
  <c r="AJ1413" i="3"/>
  <c r="AJ1414" i="3"/>
  <c r="AJ1415" i="3"/>
  <c r="AJ1416" i="3"/>
  <c r="AJ1417" i="3"/>
  <c r="AJ1418" i="3"/>
  <c r="AJ1419" i="3"/>
  <c r="AJ1420" i="3"/>
  <c r="AJ1421" i="3"/>
  <c r="AJ1422" i="3"/>
  <c r="AJ1423" i="3"/>
  <c r="AJ1424" i="3"/>
  <c r="AJ1425" i="3"/>
  <c r="AJ1426" i="3"/>
  <c r="AJ1427" i="3"/>
  <c r="AJ1428" i="3"/>
  <c r="AJ1429" i="3"/>
  <c r="AJ1430" i="3"/>
  <c r="AJ1431" i="3"/>
  <c r="AJ1432" i="3"/>
  <c r="AJ1433" i="3"/>
  <c r="AJ1434" i="3"/>
  <c r="AJ1435" i="3"/>
  <c r="AJ1436" i="3"/>
  <c r="AJ1437" i="3"/>
  <c r="AJ1438" i="3"/>
  <c r="AJ1439" i="3"/>
  <c r="AJ1440" i="3"/>
  <c r="AJ1441" i="3"/>
  <c r="AJ1442" i="3"/>
  <c r="AJ1443" i="3"/>
  <c r="AJ1444" i="3"/>
  <c r="AJ1445" i="3"/>
  <c r="AJ1446" i="3"/>
  <c r="AJ1447" i="3"/>
  <c r="AJ1448" i="3"/>
  <c r="AJ1449" i="3"/>
  <c r="AJ1450" i="3"/>
  <c r="AJ1451" i="3"/>
  <c r="AJ1452" i="3"/>
  <c r="AJ1453" i="3"/>
  <c r="AJ1454" i="3"/>
  <c r="AJ1455" i="3"/>
  <c r="AJ1456" i="3"/>
  <c r="AJ1457" i="3"/>
  <c r="AJ1458" i="3"/>
  <c r="AJ1459" i="3"/>
  <c r="AJ1460" i="3"/>
  <c r="AJ1461" i="3"/>
  <c r="AJ1462" i="3"/>
  <c r="AJ1463" i="3"/>
  <c r="AJ1464" i="3"/>
  <c r="AJ1465" i="3"/>
  <c r="AJ1466" i="3"/>
  <c r="AJ1467" i="3"/>
  <c r="AJ1468" i="3"/>
  <c r="AJ1469" i="3"/>
  <c r="AJ1470" i="3"/>
  <c r="AJ1471" i="3"/>
  <c r="AJ1472" i="3"/>
  <c r="AJ1473" i="3"/>
  <c r="AJ1474" i="3"/>
  <c r="AJ1475" i="3"/>
  <c r="AJ1476" i="3"/>
  <c r="AJ1477" i="3"/>
  <c r="AJ1478" i="3"/>
  <c r="AJ1479" i="3"/>
  <c r="AJ1480" i="3"/>
  <c r="AJ1481" i="3"/>
  <c r="AJ1482" i="3"/>
  <c r="AJ1483" i="3"/>
  <c r="AJ1484" i="3"/>
  <c r="AJ1485" i="3"/>
  <c r="AJ1486" i="3"/>
  <c r="AJ1487" i="3"/>
  <c r="AJ1488" i="3"/>
  <c r="AJ1489" i="3"/>
  <c r="AJ1490" i="3"/>
  <c r="AJ1491" i="3"/>
  <c r="AJ1492" i="3"/>
  <c r="AJ1493" i="3"/>
  <c r="AJ1494" i="3"/>
  <c r="AJ1495" i="3"/>
  <c r="AJ1496" i="3"/>
  <c r="AJ1497" i="3"/>
  <c r="AJ1498" i="3"/>
  <c r="AJ1499" i="3"/>
  <c r="AJ1500" i="3"/>
  <c r="AJ1501" i="3"/>
  <c r="AJ1502" i="3"/>
  <c r="AJ1503" i="3"/>
  <c r="AJ1504" i="3"/>
  <c r="AJ1505" i="3"/>
  <c r="AJ1506" i="3"/>
  <c r="AJ1507" i="3"/>
  <c r="AJ1508" i="3"/>
  <c r="AJ1509" i="3"/>
  <c r="AJ1510" i="3"/>
  <c r="AJ1511" i="3"/>
  <c r="AJ1512" i="3"/>
  <c r="AJ1513" i="3"/>
  <c r="AJ1514" i="3"/>
  <c r="AJ1515" i="3"/>
  <c r="AJ1516" i="3"/>
  <c r="AJ1517" i="3"/>
  <c r="AJ1518" i="3"/>
  <c r="AJ1519" i="3"/>
  <c r="AJ1520" i="3"/>
  <c r="AJ1521" i="3"/>
  <c r="AJ1522" i="3"/>
  <c r="AJ1523" i="3"/>
  <c r="AJ1524" i="3"/>
  <c r="AJ1525" i="3"/>
  <c r="AJ1526" i="3"/>
  <c r="AJ1527" i="3"/>
  <c r="AJ1528" i="3"/>
  <c r="AJ1529" i="3"/>
  <c r="AJ1530" i="3"/>
  <c r="AJ1531" i="3"/>
  <c r="AJ1532" i="3"/>
  <c r="AJ1533" i="3"/>
  <c r="AJ1534" i="3"/>
  <c r="AJ1535" i="3"/>
  <c r="AJ1536" i="3"/>
  <c r="AJ1537" i="3"/>
  <c r="AJ1538" i="3"/>
  <c r="AJ1539" i="3"/>
  <c r="AJ1540" i="3"/>
  <c r="AJ1541" i="3"/>
  <c r="AJ1542" i="3"/>
  <c r="AJ1543" i="3"/>
  <c r="AJ1544" i="3"/>
  <c r="AJ1545" i="3"/>
  <c r="AJ1546" i="3"/>
  <c r="AJ1547" i="3"/>
  <c r="AJ1548" i="3"/>
  <c r="AJ1549" i="3"/>
  <c r="AJ1550" i="3"/>
  <c r="AJ1551" i="3"/>
  <c r="AJ1552" i="3"/>
  <c r="AJ1553" i="3"/>
  <c r="AJ1554" i="3"/>
  <c r="AJ1555" i="3"/>
  <c r="AJ1556" i="3"/>
  <c r="AJ1557" i="3"/>
  <c r="AJ1558" i="3"/>
  <c r="AJ1559" i="3"/>
  <c r="AJ1560" i="3"/>
  <c r="AJ1561" i="3"/>
  <c r="AJ1562" i="3"/>
  <c r="AJ1563" i="3"/>
  <c r="AJ1564" i="3"/>
  <c r="AJ1565" i="3"/>
  <c r="AJ1566" i="3"/>
  <c r="AJ1567" i="3"/>
  <c r="AJ1568" i="3"/>
  <c r="AJ1569" i="3"/>
  <c r="AJ1570" i="3"/>
  <c r="AJ1571" i="3"/>
  <c r="AJ1572" i="3"/>
  <c r="AJ1573" i="3"/>
  <c r="AJ1574" i="3"/>
  <c r="AJ1575" i="3"/>
  <c r="AJ1576" i="3"/>
  <c r="AJ1577" i="3"/>
  <c r="AJ1578" i="3"/>
  <c r="AJ1579" i="3"/>
  <c r="AJ1580" i="3"/>
  <c r="AJ1581" i="3"/>
  <c r="AJ1582" i="3"/>
  <c r="AJ1583" i="3"/>
  <c r="AJ1584" i="3"/>
  <c r="AJ1585" i="3"/>
  <c r="AJ1586" i="3"/>
  <c r="AJ1587" i="3"/>
  <c r="AJ1588" i="3"/>
  <c r="AJ1589" i="3"/>
  <c r="AJ1590" i="3"/>
  <c r="AJ1591" i="3"/>
  <c r="AJ1592" i="3"/>
  <c r="AJ1593" i="3"/>
  <c r="AJ1594" i="3"/>
  <c r="AJ1595" i="3"/>
  <c r="AJ1596" i="3"/>
  <c r="AJ1597" i="3"/>
  <c r="AJ1598" i="3"/>
  <c r="AJ1599" i="3"/>
  <c r="AJ1600" i="3"/>
  <c r="AJ1601" i="3"/>
  <c r="AJ1602" i="3"/>
  <c r="AJ1603" i="3"/>
  <c r="AJ1604" i="3"/>
  <c r="AJ1605" i="3"/>
  <c r="AJ1606" i="3"/>
  <c r="AJ1607" i="3"/>
  <c r="AJ1608" i="3"/>
  <c r="AJ1609" i="3"/>
  <c r="AJ1610" i="3"/>
  <c r="AJ1611" i="3"/>
  <c r="AJ1612" i="3"/>
  <c r="AJ1613" i="3"/>
  <c r="AJ1614" i="3"/>
  <c r="AJ1615" i="3"/>
  <c r="AJ1616" i="3"/>
  <c r="AJ1617" i="3"/>
  <c r="AJ1618" i="3"/>
  <c r="AJ1619" i="3"/>
  <c r="AJ1620" i="3"/>
  <c r="AJ1621" i="3"/>
  <c r="AJ1622" i="3"/>
  <c r="AJ1623" i="3"/>
  <c r="AJ1624" i="3"/>
  <c r="AJ1625" i="3"/>
  <c r="AJ1626" i="3"/>
  <c r="AJ1627" i="3"/>
  <c r="AJ1628" i="3"/>
  <c r="AJ1629" i="3"/>
  <c r="AJ1630" i="3"/>
  <c r="AJ1631" i="3"/>
  <c r="AJ1632" i="3"/>
  <c r="AJ1633" i="3"/>
  <c r="AJ1634" i="3"/>
  <c r="AJ1635" i="3"/>
  <c r="AJ1636" i="3"/>
  <c r="AJ1637" i="3"/>
  <c r="AJ1638" i="3"/>
  <c r="AJ1639" i="3"/>
  <c r="AJ1640" i="3"/>
  <c r="AJ1641" i="3"/>
  <c r="AJ1642" i="3"/>
  <c r="AJ1643" i="3"/>
  <c r="AJ1644" i="3"/>
  <c r="AJ1645" i="3"/>
  <c r="AJ1646" i="3"/>
  <c r="AJ1647" i="3"/>
  <c r="AJ1648" i="3"/>
  <c r="AJ1649" i="3"/>
  <c r="AJ1650" i="3"/>
  <c r="AJ1651" i="3"/>
  <c r="AJ1652" i="3"/>
  <c r="AJ1653" i="3"/>
  <c r="AJ1654" i="3"/>
  <c r="AJ1655" i="3"/>
  <c r="AJ1656" i="3"/>
  <c r="AJ1657" i="3"/>
  <c r="AJ1658" i="3"/>
  <c r="AJ1659" i="3"/>
  <c r="AJ1660" i="3"/>
  <c r="AJ1661" i="3"/>
  <c r="AJ1662" i="3"/>
  <c r="AJ1663" i="3"/>
  <c r="AJ1664" i="3"/>
  <c r="AJ1665" i="3"/>
  <c r="AJ1666" i="3"/>
  <c r="AJ1667" i="3"/>
  <c r="AJ1668" i="3"/>
  <c r="AJ1669" i="3"/>
  <c r="AJ1670" i="3"/>
  <c r="AJ1671" i="3"/>
  <c r="AJ1672" i="3"/>
  <c r="AJ1673" i="3"/>
  <c r="AJ1674" i="3"/>
  <c r="AJ1675" i="3"/>
  <c r="AJ1676" i="3"/>
  <c r="AJ1677" i="3"/>
  <c r="AJ1678" i="3"/>
  <c r="AJ1679" i="3"/>
  <c r="AJ1680" i="3"/>
  <c r="AJ1681" i="3"/>
  <c r="AJ1682" i="3"/>
  <c r="AJ1683" i="3"/>
  <c r="AJ1684" i="3"/>
  <c r="AJ1685" i="3"/>
  <c r="AJ1686" i="3"/>
  <c r="AJ1687" i="3"/>
  <c r="AJ1688" i="3"/>
  <c r="AJ1689" i="3"/>
  <c r="AJ1690" i="3"/>
  <c r="AJ1691" i="3"/>
  <c r="AJ1692" i="3"/>
  <c r="AJ1693" i="3"/>
  <c r="AJ1694" i="3"/>
  <c r="AJ1695" i="3"/>
  <c r="AJ1696" i="3"/>
  <c r="AJ1697" i="3"/>
  <c r="AJ1698" i="3"/>
  <c r="AJ1699" i="3"/>
  <c r="AJ1700" i="3"/>
  <c r="AJ1701" i="3"/>
  <c r="AJ1702" i="3"/>
  <c r="AJ1703" i="3"/>
  <c r="AJ1704" i="3"/>
  <c r="AJ1705" i="3"/>
  <c r="AJ1706" i="3"/>
  <c r="AJ1707" i="3"/>
  <c r="AJ1708" i="3"/>
  <c r="AJ1709" i="3"/>
  <c r="AJ1710" i="3"/>
  <c r="AJ1711" i="3"/>
  <c r="AJ1712" i="3"/>
  <c r="AJ1713" i="3"/>
  <c r="AJ1714" i="3"/>
  <c r="AJ1715" i="3"/>
  <c r="AJ1716" i="3"/>
  <c r="AJ1717" i="3"/>
  <c r="AJ1718" i="3"/>
  <c r="AJ1719" i="3"/>
  <c r="AJ1720" i="3"/>
  <c r="AJ1721" i="3"/>
  <c r="AJ1722" i="3"/>
  <c r="AJ1723" i="3"/>
  <c r="AJ1724" i="3"/>
  <c r="AJ1725" i="3"/>
  <c r="AJ1726" i="3"/>
  <c r="AJ1727" i="3"/>
  <c r="AJ1728" i="3"/>
  <c r="AJ1729" i="3"/>
  <c r="AJ1730" i="3"/>
  <c r="AJ1731" i="3"/>
  <c r="AJ1732" i="3"/>
  <c r="AJ1733" i="3"/>
  <c r="AJ1734" i="3"/>
  <c r="AJ1735" i="3"/>
  <c r="AJ1736" i="3"/>
  <c r="AJ1737" i="3"/>
  <c r="AJ1738" i="3"/>
  <c r="AJ1739" i="3"/>
  <c r="AJ1740" i="3"/>
  <c r="AJ1741" i="3"/>
  <c r="AJ1742" i="3"/>
  <c r="AJ1743" i="3"/>
  <c r="AJ1744" i="3"/>
  <c r="AJ1745" i="3"/>
  <c r="AJ1746" i="3"/>
  <c r="AJ1747" i="3"/>
  <c r="AJ1748" i="3"/>
  <c r="AJ1749" i="3"/>
  <c r="AJ1750" i="3"/>
  <c r="AJ1751" i="3"/>
  <c r="AJ1752" i="3"/>
  <c r="AJ1753" i="3"/>
  <c r="AJ1754" i="3"/>
  <c r="AJ1755" i="3"/>
  <c r="AJ1756" i="3"/>
  <c r="AJ1757" i="3"/>
  <c r="AJ1758" i="3"/>
  <c r="AJ1759" i="3"/>
  <c r="AJ1760" i="3"/>
  <c r="AJ1761" i="3"/>
  <c r="AJ1762" i="3"/>
  <c r="AJ1763" i="3"/>
  <c r="AJ1764" i="3"/>
  <c r="AJ1765" i="3"/>
  <c r="AJ1766" i="3"/>
  <c r="AJ1767" i="3"/>
  <c r="AJ1768" i="3"/>
  <c r="AJ1769" i="3"/>
  <c r="AJ1770" i="3"/>
  <c r="AJ1771" i="3"/>
  <c r="AJ1772" i="3"/>
  <c r="AJ1773" i="3"/>
  <c r="AJ1774" i="3"/>
  <c r="AJ1775" i="3"/>
  <c r="AJ1776" i="3"/>
  <c r="AJ1777" i="3"/>
  <c r="AJ1778" i="3"/>
  <c r="AJ1779" i="3"/>
  <c r="AJ1780" i="3"/>
  <c r="AJ1781" i="3"/>
  <c r="AJ1782" i="3"/>
  <c r="AJ1783" i="3"/>
  <c r="AJ1784" i="3"/>
  <c r="AJ1785" i="3"/>
  <c r="AJ1786" i="3"/>
  <c r="AJ1787" i="3"/>
  <c r="AJ1788" i="3"/>
  <c r="AJ1789" i="3"/>
  <c r="AJ1790" i="3"/>
  <c r="AJ1791" i="3"/>
  <c r="AJ1792" i="3"/>
  <c r="AJ1793" i="3"/>
  <c r="AJ1794" i="3"/>
  <c r="AJ1795" i="3"/>
  <c r="AJ1796" i="3"/>
  <c r="AJ1797" i="3"/>
  <c r="AJ1798" i="3"/>
  <c r="AJ1799" i="3"/>
  <c r="AJ1800" i="3"/>
  <c r="AJ1801" i="3"/>
  <c r="AJ1802" i="3"/>
  <c r="AJ1803" i="3"/>
  <c r="AJ1804" i="3"/>
  <c r="AJ1805" i="3"/>
  <c r="AJ1806" i="3"/>
  <c r="AJ1807" i="3"/>
  <c r="AJ1808" i="3"/>
  <c r="AJ1809" i="3"/>
  <c r="AJ1810" i="3"/>
  <c r="AJ1811" i="3"/>
  <c r="AJ1812" i="3"/>
  <c r="AJ1813" i="3"/>
  <c r="AJ1814" i="3"/>
  <c r="AJ1815" i="3"/>
  <c r="AJ1816" i="3"/>
  <c r="AJ1817" i="3"/>
  <c r="AJ1818" i="3"/>
  <c r="AJ1819" i="3"/>
  <c r="AJ1820" i="3"/>
  <c r="AJ1821" i="3"/>
  <c r="AJ1822" i="3"/>
  <c r="AJ1823" i="3"/>
  <c r="AJ1824" i="3"/>
  <c r="AJ1825" i="3"/>
  <c r="AJ1826" i="3"/>
  <c r="AJ1827" i="3"/>
  <c r="AJ1828" i="3"/>
  <c r="AJ1829" i="3"/>
  <c r="AJ1830" i="3"/>
  <c r="AJ1831" i="3"/>
  <c r="AJ1832" i="3"/>
  <c r="AJ1833" i="3"/>
  <c r="AJ1834" i="3"/>
  <c r="AJ1835" i="3"/>
  <c r="AJ1836" i="3"/>
  <c r="AJ1837" i="3"/>
  <c r="AJ1838" i="3"/>
  <c r="AJ1839" i="3"/>
  <c r="AJ1840" i="3"/>
  <c r="AJ1841" i="3"/>
  <c r="AJ1842" i="3"/>
  <c r="AJ1843" i="3"/>
  <c r="AJ1844" i="3"/>
  <c r="AJ1845" i="3"/>
  <c r="AJ1846" i="3"/>
  <c r="AJ1847" i="3"/>
  <c r="AJ1848" i="3"/>
  <c r="AJ1849" i="3"/>
  <c r="AJ1850" i="3"/>
  <c r="AJ1851" i="3"/>
  <c r="AJ1852" i="3"/>
  <c r="AJ1853" i="3"/>
  <c r="AJ1854" i="3"/>
  <c r="AJ1855" i="3"/>
  <c r="AJ1856" i="3"/>
  <c r="AJ1857" i="3"/>
  <c r="AJ1858" i="3"/>
  <c r="AJ1859" i="3"/>
  <c r="AJ1860" i="3"/>
  <c r="AJ1861" i="3"/>
  <c r="AJ1862" i="3"/>
  <c r="AJ1863" i="3"/>
  <c r="AJ1864" i="3"/>
  <c r="AJ1865" i="3"/>
  <c r="AJ1866" i="3"/>
  <c r="AJ1867" i="3"/>
  <c r="AJ1868" i="3"/>
  <c r="AJ1869" i="3"/>
  <c r="AJ1870" i="3"/>
  <c r="AJ1871" i="3"/>
  <c r="AJ1872" i="3"/>
  <c r="AJ1873" i="3"/>
  <c r="AJ1874" i="3"/>
  <c r="AJ1875" i="3"/>
  <c r="AJ1876" i="3"/>
  <c r="AJ1877" i="3"/>
  <c r="AJ1878" i="3"/>
  <c r="AJ1879" i="3"/>
  <c r="AJ1880" i="3"/>
  <c r="AJ1881" i="3"/>
  <c r="AJ1882" i="3"/>
  <c r="AJ1883" i="3"/>
  <c r="AJ1884" i="3"/>
  <c r="AJ1885" i="3"/>
  <c r="AJ1886" i="3"/>
  <c r="AJ1887" i="3"/>
  <c r="AJ1888" i="3"/>
  <c r="AJ1889" i="3"/>
  <c r="AJ1890" i="3"/>
  <c r="AJ1891" i="3"/>
  <c r="AJ1892" i="3"/>
  <c r="AJ1893" i="3"/>
  <c r="AJ1894" i="3"/>
  <c r="AJ1895" i="3"/>
  <c r="AJ1896" i="3"/>
  <c r="AJ1897" i="3"/>
  <c r="AJ1898" i="3"/>
  <c r="AJ1899" i="3"/>
  <c r="AJ1900" i="3"/>
  <c r="AJ1901" i="3"/>
  <c r="AJ1902" i="3"/>
  <c r="AJ1903" i="3"/>
  <c r="AJ1904" i="3"/>
  <c r="AJ1905" i="3"/>
  <c r="AJ1906" i="3"/>
  <c r="AJ1907" i="3"/>
  <c r="AJ1908" i="3"/>
  <c r="AJ1909" i="3"/>
  <c r="AJ1910" i="3"/>
  <c r="AJ1911" i="3"/>
  <c r="AJ1912" i="3"/>
  <c r="AJ1913" i="3"/>
  <c r="AJ1914" i="3"/>
  <c r="AJ1915" i="3"/>
  <c r="AJ1916" i="3"/>
  <c r="AJ1917" i="3"/>
  <c r="AJ1918" i="3"/>
  <c r="AJ1919" i="3"/>
  <c r="AJ1920" i="3"/>
  <c r="AJ1921" i="3"/>
  <c r="AJ1922" i="3"/>
  <c r="AJ1923" i="3"/>
  <c r="AJ1924" i="3"/>
  <c r="AJ1925" i="3"/>
  <c r="AJ1926" i="3"/>
  <c r="AJ1927" i="3"/>
  <c r="AJ1928" i="3"/>
  <c r="AJ1929" i="3"/>
  <c r="AJ1930" i="3"/>
  <c r="AJ1931" i="3"/>
  <c r="AJ1932" i="3"/>
  <c r="AJ1933" i="3"/>
  <c r="AJ1934" i="3"/>
  <c r="AJ1935" i="3"/>
  <c r="AJ1936" i="3"/>
  <c r="AJ1937" i="3"/>
  <c r="AJ1938" i="3"/>
  <c r="AJ1939" i="3"/>
  <c r="AJ1940" i="3"/>
  <c r="AJ1941" i="3"/>
  <c r="AJ1942" i="3"/>
  <c r="AJ1943" i="3"/>
  <c r="AJ1944" i="3"/>
  <c r="AJ1945" i="3"/>
  <c r="AJ1946" i="3"/>
  <c r="AJ1947" i="3"/>
  <c r="AJ1948" i="3"/>
  <c r="AJ1949" i="3"/>
  <c r="AJ1950" i="3"/>
  <c r="AJ1951" i="3"/>
  <c r="AJ1952" i="3"/>
  <c r="AJ1953" i="3"/>
  <c r="AJ1954" i="3"/>
  <c r="AJ1955" i="3"/>
  <c r="AJ1956" i="3"/>
  <c r="AJ1957" i="3"/>
  <c r="AJ1958" i="3"/>
  <c r="AJ1959" i="3"/>
  <c r="AJ1960" i="3"/>
  <c r="AJ1961" i="3"/>
  <c r="AJ1962" i="3"/>
  <c r="AJ1963" i="3"/>
  <c r="AJ1964" i="3"/>
  <c r="AJ1965" i="3"/>
  <c r="AJ1966" i="3"/>
  <c r="AJ1967" i="3"/>
  <c r="AJ1968" i="3"/>
  <c r="AJ1969" i="3"/>
  <c r="AJ1970" i="3"/>
  <c r="AJ1971" i="3"/>
  <c r="AJ1972" i="3"/>
  <c r="AJ1973" i="3"/>
  <c r="AJ1974" i="3"/>
  <c r="AJ1975" i="3"/>
  <c r="AJ1976" i="3"/>
  <c r="AJ1977" i="3"/>
  <c r="AJ1978" i="3"/>
  <c r="AJ1979" i="3"/>
  <c r="AJ1980" i="3"/>
  <c r="AJ1981" i="3"/>
  <c r="AJ1982" i="3"/>
  <c r="AJ1983" i="3"/>
  <c r="AJ1984" i="3"/>
  <c r="AJ1985" i="3"/>
  <c r="AJ1986" i="3"/>
  <c r="AJ1987" i="3"/>
  <c r="AJ1988" i="3"/>
  <c r="AJ1989" i="3"/>
  <c r="AJ1990" i="3"/>
  <c r="AJ1991" i="3"/>
  <c r="AJ1992" i="3"/>
  <c r="AJ1993" i="3"/>
  <c r="AJ1994" i="3"/>
  <c r="AJ1995" i="3"/>
  <c r="AJ1996" i="3"/>
  <c r="AJ1997" i="3"/>
  <c r="AJ1998" i="3"/>
  <c r="AJ1999" i="3"/>
  <c r="AJ2000" i="3"/>
  <c r="AJ2001" i="3"/>
  <c r="AJ2002" i="3"/>
  <c r="AJ2003" i="3"/>
  <c r="AJ2004" i="3"/>
  <c r="AJ2005" i="3"/>
  <c r="AJ2006" i="3"/>
  <c r="AJ2007" i="3"/>
  <c r="AJ2008" i="3"/>
  <c r="AJ2009" i="3"/>
  <c r="AJ2010" i="3"/>
  <c r="AJ2011" i="3"/>
  <c r="AJ2012" i="3"/>
  <c r="AJ2013" i="3"/>
  <c r="AJ2014" i="3"/>
  <c r="AJ2015" i="3"/>
  <c r="AJ2016" i="3"/>
  <c r="AJ2017" i="3"/>
  <c r="AJ2018" i="3"/>
  <c r="AJ2019" i="3"/>
  <c r="AJ2020" i="3"/>
  <c r="AJ2021" i="3"/>
  <c r="AJ2022" i="3"/>
  <c r="AJ2023" i="3"/>
  <c r="AJ2024" i="3"/>
  <c r="AJ2025" i="3"/>
  <c r="AJ2026" i="3"/>
  <c r="AJ2027" i="3"/>
  <c r="AJ2028" i="3"/>
  <c r="AJ2029" i="3"/>
  <c r="AJ2030" i="3"/>
  <c r="AJ2031" i="3"/>
  <c r="AJ2032" i="3"/>
  <c r="AJ2033" i="3"/>
  <c r="AJ2034" i="3"/>
  <c r="AJ2035" i="3"/>
  <c r="AJ2036" i="3"/>
  <c r="AJ2037" i="3"/>
  <c r="AJ2038" i="3"/>
  <c r="AJ2039" i="3"/>
  <c r="AJ2040" i="3"/>
  <c r="AJ2041" i="3"/>
  <c r="AJ2042" i="3"/>
  <c r="AJ2043" i="3"/>
  <c r="AJ2044" i="3"/>
  <c r="AJ2045" i="3"/>
  <c r="AJ2046" i="3"/>
  <c r="AJ2047" i="3"/>
  <c r="AJ2048" i="3"/>
  <c r="AJ2049" i="3"/>
  <c r="AJ2050" i="3"/>
  <c r="AJ2051" i="3"/>
  <c r="AJ2052" i="3"/>
  <c r="AJ2053" i="3"/>
  <c r="AJ2054" i="3"/>
  <c r="AJ2055" i="3"/>
  <c r="AJ2056" i="3"/>
  <c r="AJ2057" i="3"/>
  <c r="AJ2058" i="3"/>
  <c r="AJ2059" i="3"/>
  <c r="AJ2060" i="3"/>
  <c r="AJ2061" i="3"/>
  <c r="AJ2062" i="3"/>
  <c r="AJ2063" i="3"/>
  <c r="AJ2064" i="3"/>
  <c r="AJ2065" i="3"/>
  <c r="AJ2066" i="3"/>
  <c r="AJ2067" i="3"/>
  <c r="AJ2068" i="3"/>
  <c r="AJ2069" i="3"/>
  <c r="AJ2070" i="3"/>
  <c r="AJ2071" i="3"/>
  <c r="AJ2072" i="3"/>
  <c r="AJ2073" i="3"/>
  <c r="AJ2074" i="3"/>
  <c r="AJ2075" i="3"/>
  <c r="AJ2076" i="3"/>
  <c r="AJ2077" i="3"/>
  <c r="AJ2078" i="3"/>
  <c r="AJ2079" i="3"/>
  <c r="AJ2080" i="3"/>
  <c r="AJ2081" i="3"/>
  <c r="AJ2082" i="3"/>
  <c r="AJ2083" i="3"/>
  <c r="AJ2084" i="3"/>
  <c r="AJ2085" i="3"/>
  <c r="AJ2086" i="3"/>
  <c r="AJ2087" i="3"/>
  <c r="AJ2088" i="3"/>
  <c r="AJ2089" i="3"/>
  <c r="AJ2090" i="3"/>
  <c r="AJ2091" i="3"/>
  <c r="AJ2092" i="3"/>
  <c r="AJ2093" i="3"/>
  <c r="AJ2094" i="3"/>
  <c r="AJ2095" i="3"/>
  <c r="AJ2096" i="3"/>
  <c r="AJ2097" i="3"/>
  <c r="AJ2098" i="3"/>
  <c r="AJ2099" i="3"/>
  <c r="AJ2100" i="3"/>
  <c r="AJ2101" i="3"/>
  <c r="AJ2102" i="3"/>
  <c r="AJ2103" i="3"/>
  <c r="AJ2104" i="3"/>
  <c r="AJ2105" i="3"/>
  <c r="AJ2106" i="3"/>
  <c r="AJ2107" i="3"/>
  <c r="AJ2108" i="3"/>
  <c r="AJ2109" i="3"/>
  <c r="AJ2110" i="3"/>
  <c r="AJ2111" i="3"/>
  <c r="AJ2112" i="3"/>
  <c r="AJ2113" i="3"/>
  <c r="AJ2114" i="3"/>
  <c r="AJ2115" i="3"/>
  <c r="AJ2116" i="3"/>
  <c r="AJ2117" i="3"/>
  <c r="AJ2118" i="3"/>
  <c r="AJ2119" i="3"/>
  <c r="AJ2120" i="3"/>
  <c r="AJ2121" i="3"/>
  <c r="AJ2122" i="3"/>
  <c r="AJ2123" i="3"/>
  <c r="AJ2124" i="3"/>
  <c r="AJ2125" i="3"/>
  <c r="AJ2126" i="3"/>
  <c r="AJ2127" i="3"/>
  <c r="AJ2128" i="3"/>
  <c r="AJ2129" i="3"/>
  <c r="AJ2130" i="3"/>
  <c r="AJ2131" i="3"/>
  <c r="AJ2132" i="3"/>
  <c r="AJ2133" i="3"/>
  <c r="AJ2134" i="3"/>
  <c r="AJ2135" i="3"/>
  <c r="AJ2136" i="3"/>
  <c r="AJ2137" i="3"/>
  <c r="AJ2138" i="3"/>
  <c r="AJ2139" i="3"/>
  <c r="AJ2140" i="3"/>
  <c r="AJ2141" i="3"/>
  <c r="AJ2142" i="3"/>
  <c r="AJ2143" i="3"/>
  <c r="AJ2144" i="3"/>
  <c r="AJ2145" i="3"/>
  <c r="AJ2146" i="3"/>
  <c r="AJ2147" i="3"/>
  <c r="AJ2148" i="3"/>
  <c r="AJ2149" i="3"/>
  <c r="AJ2150" i="3"/>
  <c r="AJ2151" i="3"/>
  <c r="AJ2152" i="3"/>
  <c r="AJ2153" i="3"/>
  <c r="AJ2154" i="3"/>
  <c r="AJ2155" i="3"/>
  <c r="AJ2156" i="3"/>
  <c r="AJ2157" i="3"/>
  <c r="AJ2158" i="3"/>
  <c r="AJ2159" i="3"/>
  <c r="AJ2160" i="3"/>
  <c r="AJ2161" i="3"/>
  <c r="AJ2162" i="3"/>
  <c r="AJ2163" i="3"/>
  <c r="AJ2164" i="3"/>
  <c r="AJ2165" i="3"/>
  <c r="AJ2166" i="3"/>
  <c r="AJ2167" i="3"/>
  <c r="AJ2168" i="3"/>
  <c r="AJ2169" i="3"/>
  <c r="AJ2170" i="3"/>
  <c r="AJ2171" i="3"/>
  <c r="AJ2172" i="3"/>
  <c r="AJ2173" i="3"/>
  <c r="AJ2174" i="3"/>
  <c r="AJ2175" i="3"/>
  <c r="AJ2176" i="3"/>
  <c r="AJ2177" i="3"/>
  <c r="AJ2178" i="3"/>
  <c r="AJ2179" i="3"/>
  <c r="AJ2180" i="3"/>
  <c r="AJ2181" i="3"/>
  <c r="AJ2182" i="3"/>
  <c r="AJ2183" i="3"/>
  <c r="AJ2184" i="3"/>
  <c r="AJ2185" i="3"/>
  <c r="AJ2186" i="3"/>
  <c r="AJ2187" i="3"/>
  <c r="AJ2188" i="3"/>
  <c r="AJ2189" i="3"/>
  <c r="AJ2190" i="3"/>
  <c r="AJ2191" i="3"/>
  <c r="AJ2192" i="3"/>
  <c r="AJ2193" i="3"/>
  <c r="AJ2194" i="3"/>
  <c r="AJ2195" i="3"/>
  <c r="AJ2196" i="3"/>
  <c r="AJ2197" i="3"/>
  <c r="AJ2198" i="3"/>
  <c r="AJ2199" i="3"/>
  <c r="AJ2200" i="3"/>
  <c r="AJ2201" i="3"/>
  <c r="AJ2202" i="3"/>
  <c r="AJ2203" i="3"/>
  <c r="AJ2204" i="3"/>
  <c r="AJ2205" i="3"/>
  <c r="AJ2206" i="3"/>
  <c r="AJ2207" i="3"/>
  <c r="AJ2208" i="3"/>
  <c r="AJ2209" i="3"/>
  <c r="AJ2210" i="3"/>
  <c r="AJ2211" i="3"/>
  <c r="AJ2212" i="3"/>
  <c r="AJ2213" i="3"/>
  <c r="AJ2214" i="3"/>
  <c r="AJ2215" i="3"/>
  <c r="AJ2216" i="3"/>
  <c r="AJ2217" i="3"/>
  <c r="AJ2218" i="3"/>
  <c r="AJ2219" i="3"/>
  <c r="AJ2220" i="3"/>
  <c r="AJ2221" i="3"/>
  <c r="AJ2222" i="3"/>
  <c r="AJ2223" i="3"/>
  <c r="AJ2224" i="3"/>
  <c r="AJ2225" i="3"/>
  <c r="AJ2226" i="3"/>
  <c r="AJ2227" i="3"/>
  <c r="AJ2228" i="3"/>
  <c r="AJ2229" i="3"/>
  <c r="AJ2230" i="3"/>
  <c r="AJ2231" i="3"/>
  <c r="AJ2232" i="3"/>
  <c r="AJ2233" i="3"/>
  <c r="AJ2234" i="3"/>
  <c r="AJ2235" i="3"/>
  <c r="AJ2236" i="3"/>
  <c r="AJ2237" i="3"/>
  <c r="AJ2238" i="3"/>
  <c r="AJ2239" i="3"/>
  <c r="AJ2240" i="3"/>
  <c r="AJ2241" i="3"/>
  <c r="AI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I473" i="3"/>
  <c r="AI474" i="3"/>
  <c r="AI475" i="3"/>
  <c r="AI476" i="3"/>
  <c r="AI477" i="3"/>
  <c r="AI478" i="3"/>
  <c r="AI479" i="3"/>
  <c r="AI480" i="3"/>
  <c r="AI481" i="3"/>
  <c r="AI482" i="3"/>
  <c r="AI483" i="3"/>
  <c r="AI484" i="3"/>
  <c r="AI485" i="3"/>
  <c r="AI486" i="3"/>
  <c r="AI487" i="3"/>
  <c r="AI488" i="3"/>
  <c r="AI489" i="3"/>
  <c r="AI490" i="3"/>
  <c r="AI491" i="3"/>
  <c r="AI492" i="3"/>
  <c r="AI493" i="3"/>
  <c r="AI494" i="3"/>
  <c r="AI495" i="3"/>
  <c r="AI496" i="3"/>
  <c r="AI497" i="3"/>
  <c r="AI498" i="3"/>
  <c r="AI499" i="3"/>
  <c r="AI500" i="3"/>
  <c r="AI501" i="3"/>
  <c r="AI502" i="3"/>
  <c r="AI503" i="3"/>
  <c r="AI504" i="3"/>
  <c r="AI505" i="3"/>
  <c r="AI506" i="3"/>
  <c r="AI507" i="3"/>
  <c r="AI508" i="3"/>
  <c r="AI509" i="3"/>
  <c r="AI510" i="3"/>
  <c r="AI511" i="3"/>
  <c r="AI512" i="3"/>
  <c r="AI513" i="3"/>
  <c r="AI514" i="3"/>
  <c r="AI515" i="3"/>
  <c r="AI516" i="3"/>
  <c r="AI517" i="3"/>
  <c r="AI518" i="3"/>
  <c r="AI519" i="3"/>
  <c r="AI520" i="3"/>
  <c r="AI521" i="3"/>
  <c r="AI522" i="3"/>
  <c r="AI523" i="3"/>
  <c r="AI524" i="3"/>
  <c r="AI525" i="3"/>
  <c r="AI526" i="3"/>
  <c r="AI527" i="3"/>
  <c r="AI528" i="3"/>
  <c r="AI529" i="3"/>
  <c r="AI530" i="3"/>
  <c r="AI531" i="3"/>
  <c r="AI532" i="3"/>
  <c r="AI533" i="3"/>
  <c r="AI534" i="3"/>
  <c r="AI535" i="3"/>
  <c r="AI536" i="3"/>
  <c r="AI537" i="3"/>
  <c r="AI538" i="3"/>
  <c r="AI539" i="3"/>
  <c r="AI540" i="3"/>
  <c r="AI541" i="3"/>
  <c r="AI542" i="3"/>
  <c r="AI543" i="3"/>
  <c r="AI544" i="3"/>
  <c r="AI545" i="3"/>
  <c r="AI546" i="3"/>
  <c r="AI547" i="3"/>
  <c r="AI548" i="3"/>
  <c r="AI549" i="3"/>
  <c r="AI550" i="3"/>
  <c r="AI551" i="3"/>
  <c r="AI552" i="3"/>
  <c r="AI553" i="3"/>
  <c r="AI554" i="3"/>
  <c r="AI555" i="3"/>
  <c r="AI556" i="3"/>
  <c r="AI557" i="3"/>
  <c r="AI558" i="3"/>
  <c r="AI559" i="3"/>
  <c r="AI560" i="3"/>
  <c r="AI561" i="3"/>
  <c r="AI562" i="3"/>
  <c r="AI563" i="3"/>
  <c r="AI564" i="3"/>
  <c r="AI565" i="3"/>
  <c r="AI566" i="3"/>
  <c r="AI567" i="3"/>
  <c r="AI568" i="3"/>
  <c r="AI569" i="3"/>
  <c r="AI570" i="3"/>
  <c r="AI571" i="3"/>
  <c r="AI572" i="3"/>
  <c r="AI573" i="3"/>
  <c r="AI574" i="3"/>
  <c r="AI575" i="3"/>
  <c r="AI576" i="3"/>
  <c r="AI577" i="3"/>
  <c r="AI578" i="3"/>
  <c r="AI579" i="3"/>
  <c r="AI580" i="3"/>
  <c r="AI581" i="3"/>
  <c r="AI582" i="3"/>
  <c r="AI583" i="3"/>
  <c r="AI584" i="3"/>
  <c r="AI585" i="3"/>
  <c r="AI586" i="3"/>
  <c r="AI587" i="3"/>
  <c r="AI588" i="3"/>
  <c r="AI589" i="3"/>
  <c r="AI590" i="3"/>
  <c r="AI591" i="3"/>
  <c r="AI592" i="3"/>
  <c r="AI593" i="3"/>
  <c r="AI594" i="3"/>
  <c r="AI595" i="3"/>
  <c r="AI596" i="3"/>
  <c r="AI597" i="3"/>
  <c r="AI598" i="3"/>
  <c r="AI599" i="3"/>
  <c r="AI600" i="3"/>
  <c r="AI601" i="3"/>
  <c r="AI602" i="3"/>
  <c r="AI603" i="3"/>
  <c r="AI604" i="3"/>
  <c r="AI605" i="3"/>
  <c r="AI606" i="3"/>
  <c r="AI607" i="3"/>
  <c r="AI608" i="3"/>
  <c r="AI609" i="3"/>
  <c r="AI610" i="3"/>
  <c r="AI611" i="3"/>
  <c r="AI612" i="3"/>
  <c r="AI613" i="3"/>
  <c r="AI614" i="3"/>
  <c r="AI615" i="3"/>
  <c r="AI616" i="3"/>
  <c r="AI617" i="3"/>
  <c r="AI618" i="3"/>
  <c r="AI619" i="3"/>
  <c r="AI620" i="3"/>
  <c r="AI621" i="3"/>
  <c r="AI622" i="3"/>
  <c r="AI623" i="3"/>
  <c r="AI624" i="3"/>
  <c r="AI625" i="3"/>
  <c r="AI626" i="3"/>
  <c r="AI627" i="3"/>
  <c r="AI628" i="3"/>
  <c r="AI629" i="3"/>
  <c r="AI630" i="3"/>
  <c r="AI631" i="3"/>
  <c r="AI632" i="3"/>
  <c r="AI633" i="3"/>
  <c r="AI634" i="3"/>
  <c r="AI635" i="3"/>
  <c r="AI636" i="3"/>
  <c r="AI637" i="3"/>
  <c r="AI638" i="3"/>
  <c r="AI639" i="3"/>
  <c r="AI640" i="3"/>
  <c r="AI641" i="3"/>
  <c r="AI642" i="3"/>
  <c r="AI643" i="3"/>
  <c r="AI644" i="3"/>
  <c r="AI645" i="3"/>
  <c r="AI646" i="3"/>
  <c r="AI647" i="3"/>
  <c r="AI648" i="3"/>
  <c r="AI649" i="3"/>
  <c r="AI650" i="3"/>
  <c r="AI651" i="3"/>
  <c r="AI652" i="3"/>
  <c r="AI653" i="3"/>
  <c r="AI654" i="3"/>
  <c r="AI655" i="3"/>
  <c r="AI656" i="3"/>
  <c r="AI657" i="3"/>
  <c r="AI658" i="3"/>
  <c r="AI659" i="3"/>
  <c r="AI660" i="3"/>
  <c r="AI661" i="3"/>
  <c r="AI662" i="3"/>
  <c r="AI663" i="3"/>
  <c r="AI664" i="3"/>
  <c r="AI665" i="3"/>
  <c r="AI666" i="3"/>
  <c r="AI667" i="3"/>
  <c r="AI668" i="3"/>
  <c r="AI669" i="3"/>
  <c r="AI670" i="3"/>
  <c r="AI671" i="3"/>
  <c r="AI672" i="3"/>
  <c r="AI673" i="3"/>
  <c r="AI674" i="3"/>
  <c r="AI675" i="3"/>
  <c r="AI676" i="3"/>
  <c r="AI677" i="3"/>
  <c r="AI678" i="3"/>
  <c r="AI679" i="3"/>
  <c r="AI680" i="3"/>
  <c r="AI681" i="3"/>
  <c r="AI682" i="3"/>
  <c r="AI683" i="3"/>
  <c r="AI684" i="3"/>
  <c r="AI685" i="3"/>
  <c r="AI686" i="3"/>
  <c r="AI687" i="3"/>
  <c r="AI688" i="3"/>
  <c r="AI689" i="3"/>
  <c r="AI690" i="3"/>
  <c r="AI691" i="3"/>
  <c r="AI692" i="3"/>
  <c r="AI693" i="3"/>
  <c r="AI694" i="3"/>
  <c r="AI695" i="3"/>
  <c r="AI696" i="3"/>
  <c r="AI697" i="3"/>
  <c r="AI698" i="3"/>
  <c r="AI699" i="3"/>
  <c r="AI700" i="3"/>
  <c r="AI701" i="3"/>
  <c r="AI702" i="3"/>
  <c r="AI703" i="3"/>
  <c r="AI704" i="3"/>
  <c r="AI705" i="3"/>
  <c r="AI706" i="3"/>
  <c r="AI707" i="3"/>
  <c r="AI708" i="3"/>
  <c r="AI709" i="3"/>
  <c r="AI710" i="3"/>
  <c r="AI711" i="3"/>
  <c r="AI712" i="3"/>
  <c r="AI713" i="3"/>
  <c r="AI714" i="3"/>
  <c r="AI715" i="3"/>
  <c r="AI716" i="3"/>
  <c r="AI717" i="3"/>
  <c r="AI718" i="3"/>
  <c r="AI719" i="3"/>
  <c r="AI720" i="3"/>
  <c r="AI721" i="3"/>
  <c r="AI722" i="3"/>
  <c r="AI723" i="3"/>
  <c r="AI724" i="3"/>
  <c r="AI725" i="3"/>
  <c r="AI726" i="3"/>
  <c r="AI727" i="3"/>
  <c r="AI728" i="3"/>
  <c r="AI729" i="3"/>
  <c r="AI730" i="3"/>
  <c r="AI731" i="3"/>
  <c r="AI732" i="3"/>
  <c r="AI733" i="3"/>
  <c r="AI734" i="3"/>
  <c r="AI735" i="3"/>
  <c r="AI736" i="3"/>
  <c r="AI737" i="3"/>
  <c r="AI738" i="3"/>
  <c r="AI739" i="3"/>
  <c r="AI740" i="3"/>
  <c r="AI741" i="3"/>
  <c r="AI742" i="3"/>
  <c r="AI743" i="3"/>
  <c r="AI744" i="3"/>
  <c r="AI745" i="3"/>
  <c r="AI746" i="3"/>
  <c r="AI747" i="3"/>
  <c r="AI748" i="3"/>
  <c r="AI749" i="3"/>
  <c r="AI750" i="3"/>
  <c r="AI751" i="3"/>
  <c r="AI752" i="3"/>
  <c r="AI753" i="3"/>
  <c r="AI754" i="3"/>
  <c r="AI755" i="3"/>
  <c r="AI756" i="3"/>
  <c r="AI757" i="3"/>
  <c r="AI758" i="3"/>
  <c r="AI759" i="3"/>
  <c r="AI760" i="3"/>
  <c r="AI761" i="3"/>
  <c r="AI762" i="3"/>
  <c r="AI763" i="3"/>
  <c r="AI764" i="3"/>
  <c r="AI765" i="3"/>
  <c r="AI766" i="3"/>
  <c r="AI767" i="3"/>
  <c r="AI768" i="3"/>
  <c r="AI769" i="3"/>
  <c r="AI770" i="3"/>
  <c r="AI771" i="3"/>
  <c r="AI772" i="3"/>
  <c r="AI773" i="3"/>
  <c r="AI774" i="3"/>
  <c r="AI775" i="3"/>
  <c r="AI776" i="3"/>
  <c r="AI777" i="3"/>
  <c r="AI778" i="3"/>
  <c r="AI779" i="3"/>
  <c r="AI780" i="3"/>
  <c r="AI781" i="3"/>
  <c r="AI782" i="3"/>
  <c r="AI783" i="3"/>
  <c r="AI784" i="3"/>
  <c r="AI785" i="3"/>
  <c r="AI786" i="3"/>
  <c r="AI787" i="3"/>
  <c r="AI788" i="3"/>
  <c r="AI789" i="3"/>
  <c r="AI790" i="3"/>
  <c r="AI791" i="3"/>
  <c r="AI792" i="3"/>
  <c r="AI793" i="3"/>
  <c r="AI794" i="3"/>
  <c r="AI795" i="3"/>
  <c r="AI796" i="3"/>
  <c r="AI797" i="3"/>
  <c r="AI798" i="3"/>
  <c r="AI799" i="3"/>
  <c r="AI800" i="3"/>
  <c r="AI801" i="3"/>
  <c r="AI802" i="3"/>
  <c r="AI803" i="3"/>
  <c r="AI804" i="3"/>
  <c r="AI805" i="3"/>
  <c r="AI806" i="3"/>
  <c r="AI807" i="3"/>
  <c r="AI808" i="3"/>
  <c r="AI809" i="3"/>
  <c r="AI810" i="3"/>
  <c r="AI811" i="3"/>
  <c r="AI812" i="3"/>
  <c r="AI813" i="3"/>
  <c r="AI814" i="3"/>
  <c r="AI815" i="3"/>
  <c r="AI816" i="3"/>
  <c r="AI817" i="3"/>
  <c r="AI818" i="3"/>
  <c r="AI819" i="3"/>
  <c r="AI820" i="3"/>
  <c r="AI821" i="3"/>
  <c r="AI822" i="3"/>
  <c r="AI823" i="3"/>
  <c r="AI824" i="3"/>
  <c r="AI825" i="3"/>
  <c r="AI826" i="3"/>
  <c r="AI827" i="3"/>
  <c r="AI828" i="3"/>
  <c r="AI829" i="3"/>
  <c r="AI830" i="3"/>
  <c r="AI831" i="3"/>
  <c r="AI832" i="3"/>
  <c r="AI833" i="3"/>
  <c r="AI834" i="3"/>
  <c r="AI835" i="3"/>
  <c r="AI836" i="3"/>
  <c r="AI837" i="3"/>
  <c r="AI838" i="3"/>
  <c r="AI839" i="3"/>
  <c r="AI840" i="3"/>
  <c r="AI841" i="3"/>
  <c r="AI842" i="3"/>
  <c r="AI843" i="3"/>
  <c r="AI844" i="3"/>
  <c r="AI845" i="3"/>
  <c r="AI846" i="3"/>
  <c r="AI847" i="3"/>
  <c r="AI848" i="3"/>
  <c r="AI849" i="3"/>
  <c r="AI850" i="3"/>
  <c r="AI851" i="3"/>
  <c r="AI852" i="3"/>
  <c r="AI853" i="3"/>
  <c r="AI854" i="3"/>
  <c r="AI855" i="3"/>
  <c r="AI856" i="3"/>
  <c r="AI857" i="3"/>
  <c r="AI858" i="3"/>
  <c r="AI859" i="3"/>
  <c r="AI860" i="3"/>
  <c r="AI861" i="3"/>
  <c r="AI862" i="3"/>
  <c r="AI863" i="3"/>
  <c r="AI864" i="3"/>
  <c r="AI865" i="3"/>
  <c r="AI866" i="3"/>
  <c r="AI867" i="3"/>
  <c r="AI868" i="3"/>
  <c r="AI869" i="3"/>
  <c r="AI870" i="3"/>
  <c r="AI871" i="3"/>
  <c r="AI872" i="3"/>
  <c r="AI873" i="3"/>
  <c r="AI874" i="3"/>
  <c r="AI875" i="3"/>
  <c r="AI876" i="3"/>
  <c r="AI877" i="3"/>
  <c r="AI878" i="3"/>
  <c r="AI879" i="3"/>
  <c r="AI880" i="3"/>
  <c r="AI881" i="3"/>
  <c r="AI882" i="3"/>
  <c r="AI883" i="3"/>
  <c r="AI884" i="3"/>
  <c r="AI885" i="3"/>
  <c r="AI886" i="3"/>
  <c r="AI887" i="3"/>
  <c r="AI888" i="3"/>
  <c r="AI889" i="3"/>
  <c r="AI890" i="3"/>
  <c r="AI891" i="3"/>
  <c r="AI892" i="3"/>
  <c r="AI893" i="3"/>
  <c r="AI894" i="3"/>
  <c r="AI895" i="3"/>
  <c r="AI896" i="3"/>
  <c r="AI897" i="3"/>
  <c r="AI898" i="3"/>
  <c r="AI899" i="3"/>
  <c r="AI900" i="3"/>
  <c r="AI901" i="3"/>
  <c r="AI902" i="3"/>
  <c r="AI903" i="3"/>
  <c r="AI904" i="3"/>
  <c r="AI905" i="3"/>
  <c r="AI906" i="3"/>
  <c r="AI907" i="3"/>
  <c r="AI908" i="3"/>
  <c r="AI909" i="3"/>
  <c r="AI910" i="3"/>
  <c r="AI911" i="3"/>
  <c r="AI912" i="3"/>
  <c r="AI913" i="3"/>
  <c r="AI914" i="3"/>
  <c r="AI915" i="3"/>
  <c r="AI916" i="3"/>
  <c r="AI917" i="3"/>
  <c r="AI918" i="3"/>
  <c r="AI919" i="3"/>
  <c r="AI920" i="3"/>
  <c r="AI921" i="3"/>
  <c r="AI922" i="3"/>
  <c r="AI923" i="3"/>
  <c r="AI924" i="3"/>
  <c r="AI925" i="3"/>
  <c r="AI926" i="3"/>
  <c r="AI927" i="3"/>
  <c r="AI928" i="3"/>
  <c r="AI929" i="3"/>
  <c r="AI930" i="3"/>
  <c r="AI931" i="3"/>
  <c r="AI932" i="3"/>
  <c r="AI933" i="3"/>
  <c r="AI934" i="3"/>
  <c r="AI935" i="3"/>
  <c r="AI936" i="3"/>
  <c r="AI937" i="3"/>
  <c r="AI938" i="3"/>
  <c r="AI939" i="3"/>
  <c r="AI940" i="3"/>
  <c r="AI941" i="3"/>
  <c r="AI942" i="3"/>
  <c r="AI943" i="3"/>
  <c r="AI944" i="3"/>
  <c r="AI945" i="3"/>
  <c r="AI946" i="3"/>
  <c r="AI947" i="3"/>
  <c r="AI948" i="3"/>
  <c r="AI949" i="3"/>
  <c r="AI950" i="3"/>
  <c r="AI951" i="3"/>
  <c r="AI952" i="3"/>
  <c r="AI953" i="3"/>
  <c r="AI954" i="3"/>
  <c r="AI955" i="3"/>
  <c r="AI956" i="3"/>
  <c r="AI957" i="3"/>
  <c r="AI958" i="3"/>
  <c r="AI959" i="3"/>
  <c r="AI960" i="3"/>
  <c r="AI961" i="3"/>
  <c r="AI962" i="3"/>
  <c r="AI963" i="3"/>
  <c r="AI964" i="3"/>
  <c r="AI965" i="3"/>
  <c r="AI966" i="3"/>
  <c r="AI967" i="3"/>
  <c r="AI968" i="3"/>
  <c r="AI969" i="3"/>
  <c r="AI970" i="3"/>
  <c r="AI971" i="3"/>
  <c r="AI972" i="3"/>
  <c r="AI973" i="3"/>
  <c r="AI974" i="3"/>
  <c r="AI975" i="3"/>
  <c r="AI976" i="3"/>
  <c r="AI977" i="3"/>
  <c r="AI978" i="3"/>
  <c r="AI979" i="3"/>
  <c r="AI980" i="3"/>
  <c r="AI981" i="3"/>
  <c r="AI982" i="3"/>
  <c r="AI983" i="3"/>
  <c r="AI984" i="3"/>
  <c r="AI985" i="3"/>
  <c r="AI986" i="3"/>
  <c r="AI987" i="3"/>
  <c r="AI988" i="3"/>
  <c r="AI989" i="3"/>
  <c r="AI990" i="3"/>
  <c r="AI991" i="3"/>
  <c r="AI992" i="3"/>
  <c r="AI993" i="3"/>
  <c r="AI994" i="3"/>
  <c r="AI995" i="3"/>
  <c r="AI996" i="3"/>
  <c r="AI997" i="3"/>
  <c r="AI998" i="3"/>
  <c r="AI999" i="3"/>
  <c r="AI1000" i="3"/>
  <c r="AI1001" i="3"/>
  <c r="AI1002" i="3"/>
  <c r="AI1003" i="3"/>
  <c r="AI1004" i="3"/>
  <c r="AI1005" i="3"/>
  <c r="AI1006" i="3"/>
  <c r="AI1007" i="3"/>
  <c r="AI1008" i="3"/>
  <c r="AI1009" i="3"/>
  <c r="AI1010" i="3"/>
  <c r="AI1011" i="3"/>
  <c r="AI1012" i="3"/>
  <c r="AI1013" i="3"/>
  <c r="AI1014" i="3"/>
  <c r="AI1015" i="3"/>
  <c r="AI1016" i="3"/>
  <c r="AI1017" i="3"/>
  <c r="AI1018" i="3"/>
  <c r="AI1019" i="3"/>
  <c r="AI1020" i="3"/>
  <c r="AI1021" i="3"/>
  <c r="AI1022" i="3"/>
  <c r="AI1023" i="3"/>
  <c r="AI1024" i="3"/>
  <c r="AI1025" i="3"/>
  <c r="AI1026" i="3"/>
  <c r="AI1027" i="3"/>
  <c r="AI1028" i="3"/>
  <c r="AI1029" i="3"/>
  <c r="AI1030" i="3"/>
  <c r="AI1031" i="3"/>
  <c r="AI1032" i="3"/>
  <c r="AI1033" i="3"/>
  <c r="AI1034" i="3"/>
  <c r="AI1035" i="3"/>
  <c r="AI1036" i="3"/>
  <c r="AI1037" i="3"/>
  <c r="AI1038" i="3"/>
  <c r="AI1039" i="3"/>
  <c r="AI1040" i="3"/>
  <c r="AI1041" i="3"/>
  <c r="AI1042" i="3"/>
  <c r="AI1043" i="3"/>
  <c r="AI1044" i="3"/>
  <c r="AI1045" i="3"/>
  <c r="AI1046" i="3"/>
  <c r="AI1047" i="3"/>
  <c r="AI1048" i="3"/>
  <c r="AI1049" i="3"/>
  <c r="AI1050" i="3"/>
  <c r="AI1051" i="3"/>
  <c r="AI1052" i="3"/>
  <c r="AI1053" i="3"/>
  <c r="AI1054" i="3"/>
  <c r="AI1055" i="3"/>
  <c r="AI1056" i="3"/>
  <c r="AI1057" i="3"/>
  <c r="AI1058" i="3"/>
  <c r="AI1059" i="3"/>
  <c r="AI1060" i="3"/>
  <c r="AI1061" i="3"/>
  <c r="AI1062" i="3"/>
  <c r="AI1063" i="3"/>
  <c r="AI1064" i="3"/>
  <c r="AI1065" i="3"/>
  <c r="AI1066" i="3"/>
  <c r="AI1067" i="3"/>
  <c r="AI1068" i="3"/>
  <c r="AI1069" i="3"/>
  <c r="AI1070" i="3"/>
  <c r="AI1071" i="3"/>
  <c r="AI1072" i="3"/>
  <c r="AI1073" i="3"/>
  <c r="AI1074" i="3"/>
  <c r="AI1075" i="3"/>
  <c r="AI1076" i="3"/>
  <c r="AI1077" i="3"/>
  <c r="AI1078" i="3"/>
  <c r="AI1079" i="3"/>
  <c r="AI1080" i="3"/>
  <c r="AI1081" i="3"/>
  <c r="AI1082" i="3"/>
  <c r="AI1083" i="3"/>
  <c r="AI1084" i="3"/>
  <c r="AI1085" i="3"/>
  <c r="AI1086" i="3"/>
  <c r="AI1087" i="3"/>
  <c r="AI1088" i="3"/>
  <c r="AI1089" i="3"/>
  <c r="AI1090" i="3"/>
  <c r="AI1091" i="3"/>
  <c r="AI1092" i="3"/>
  <c r="AI1093" i="3"/>
  <c r="AI1094" i="3"/>
  <c r="AI1095" i="3"/>
  <c r="AI1096" i="3"/>
  <c r="AI1097" i="3"/>
  <c r="AI1098" i="3"/>
  <c r="AI1099" i="3"/>
  <c r="AI1100" i="3"/>
  <c r="AI1101" i="3"/>
  <c r="AI1102" i="3"/>
  <c r="AI1103" i="3"/>
  <c r="AI1104" i="3"/>
  <c r="AI1105" i="3"/>
  <c r="AI1106" i="3"/>
  <c r="AI1107" i="3"/>
  <c r="AI1108" i="3"/>
  <c r="AI1109" i="3"/>
  <c r="AI1110" i="3"/>
  <c r="AI1111" i="3"/>
  <c r="AI1112" i="3"/>
  <c r="AI1113" i="3"/>
  <c r="AI1114" i="3"/>
  <c r="AI1115" i="3"/>
  <c r="AI1116" i="3"/>
  <c r="AI1117" i="3"/>
  <c r="AI1118" i="3"/>
  <c r="AI1119" i="3"/>
  <c r="AI1120" i="3"/>
  <c r="AI1121" i="3"/>
  <c r="AI1122" i="3"/>
  <c r="AI1123" i="3"/>
  <c r="AI1124" i="3"/>
  <c r="AI1125" i="3"/>
  <c r="AI1126" i="3"/>
  <c r="AI1127" i="3"/>
  <c r="AI1128" i="3"/>
  <c r="AI1129" i="3"/>
  <c r="AI1130" i="3"/>
  <c r="AI1131" i="3"/>
  <c r="AI1132" i="3"/>
  <c r="AI1133" i="3"/>
  <c r="AI1134" i="3"/>
  <c r="AI1135" i="3"/>
  <c r="AI1136" i="3"/>
  <c r="AI1137" i="3"/>
  <c r="AI1138" i="3"/>
  <c r="AI1139" i="3"/>
  <c r="AI1140" i="3"/>
  <c r="AI1141" i="3"/>
  <c r="AI1142" i="3"/>
  <c r="AI1143" i="3"/>
  <c r="AI1144" i="3"/>
  <c r="AI1145" i="3"/>
  <c r="AI1146" i="3"/>
  <c r="AI1147" i="3"/>
  <c r="AI1148" i="3"/>
  <c r="AI1149" i="3"/>
  <c r="AI1150" i="3"/>
  <c r="AI1151" i="3"/>
  <c r="AI1152" i="3"/>
  <c r="AI1153" i="3"/>
  <c r="AI1154" i="3"/>
  <c r="AI1155" i="3"/>
  <c r="AI1156" i="3"/>
  <c r="AI1157" i="3"/>
  <c r="AI1158" i="3"/>
  <c r="AI1159" i="3"/>
  <c r="AI1160" i="3"/>
  <c r="AI1161" i="3"/>
  <c r="AI1162" i="3"/>
  <c r="AI1163" i="3"/>
  <c r="AI1164" i="3"/>
  <c r="AI1165" i="3"/>
  <c r="AI1166" i="3"/>
  <c r="AI1167" i="3"/>
  <c r="AI1168" i="3"/>
  <c r="AI1169" i="3"/>
  <c r="AI1170" i="3"/>
  <c r="AI1171" i="3"/>
  <c r="AI1172" i="3"/>
  <c r="AI1173" i="3"/>
  <c r="AI1174" i="3"/>
  <c r="AI1175" i="3"/>
  <c r="AI1176" i="3"/>
  <c r="AI1177" i="3"/>
  <c r="AI1178" i="3"/>
  <c r="AI1179" i="3"/>
  <c r="AI1180" i="3"/>
  <c r="AI1181" i="3"/>
  <c r="AI1182" i="3"/>
  <c r="AI1183" i="3"/>
  <c r="AI1184" i="3"/>
  <c r="AI1185" i="3"/>
  <c r="AI1186" i="3"/>
  <c r="AI1187" i="3"/>
  <c r="AI1188" i="3"/>
  <c r="AI1189" i="3"/>
  <c r="AI1190" i="3"/>
  <c r="AI1191" i="3"/>
  <c r="AI1192" i="3"/>
  <c r="AI1193" i="3"/>
  <c r="AI1194" i="3"/>
  <c r="AI1195" i="3"/>
  <c r="AI1196" i="3"/>
  <c r="AI1197" i="3"/>
  <c r="AI1198" i="3"/>
  <c r="AI1199" i="3"/>
  <c r="AI1200" i="3"/>
  <c r="AI1201" i="3"/>
  <c r="AI1202" i="3"/>
  <c r="AI1203" i="3"/>
  <c r="AI1204" i="3"/>
  <c r="AI1205" i="3"/>
  <c r="AI1206" i="3"/>
  <c r="AI1207" i="3"/>
  <c r="AI1208" i="3"/>
  <c r="AI1209" i="3"/>
  <c r="AI1210" i="3"/>
  <c r="AI1211" i="3"/>
  <c r="AI1212" i="3"/>
  <c r="AI1213" i="3"/>
  <c r="AI1214" i="3"/>
  <c r="AI1215" i="3"/>
  <c r="AI1216" i="3"/>
  <c r="AI1217" i="3"/>
  <c r="AI1218" i="3"/>
  <c r="AI1219" i="3"/>
  <c r="AI1220" i="3"/>
  <c r="AI1221" i="3"/>
  <c r="AI1222" i="3"/>
  <c r="AI1223" i="3"/>
  <c r="AI1224" i="3"/>
  <c r="AI1225" i="3"/>
  <c r="AI1226" i="3"/>
  <c r="AI1227" i="3"/>
  <c r="AI1228" i="3"/>
  <c r="AI1229" i="3"/>
  <c r="AI1230" i="3"/>
  <c r="AI1231" i="3"/>
  <c r="AI1232" i="3"/>
  <c r="AI1233" i="3"/>
  <c r="AI1234" i="3"/>
  <c r="AI1235" i="3"/>
  <c r="AI1236" i="3"/>
  <c r="AI1237" i="3"/>
  <c r="AI1238" i="3"/>
  <c r="AI1239" i="3"/>
  <c r="AI1240" i="3"/>
  <c r="AI1241" i="3"/>
  <c r="AI1242" i="3"/>
  <c r="AI1243" i="3"/>
  <c r="AI1244" i="3"/>
  <c r="AI1245" i="3"/>
  <c r="AI1246" i="3"/>
  <c r="AI1247" i="3"/>
  <c r="AI1248" i="3"/>
  <c r="AI1249" i="3"/>
  <c r="AI1250" i="3"/>
  <c r="AI1251" i="3"/>
  <c r="AI1252" i="3"/>
  <c r="AI1253" i="3"/>
  <c r="AI1254" i="3"/>
  <c r="AI1255" i="3"/>
  <c r="AI1256" i="3"/>
  <c r="AI1257" i="3"/>
  <c r="AI1258" i="3"/>
  <c r="AI1259" i="3"/>
  <c r="AI1260" i="3"/>
  <c r="AI1261" i="3"/>
  <c r="AI1262" i="3"/>
  <c r="AI1263" i="3"/>
  <c r="AI1264" i="3"/>
  <c r="AI1265" i="3"/>
  <c r="AI1266" i="3"/>
  <c r="AI1267" i="3"/>
  <c r="AI1268" i="3"/>
  <c r="AI1269" i="3"/>
  <c r="AI1270" i="3"/>
  <c r="AI1271" i="3"/>
  <c r="AI1272" i="3"/>
  <c r="AI1273" i="3"/>
  <c r="AI1274" i="3"/>
  <c r="AI1275" i="3"/>
  <c r="AI1276" i="3"/>
  <c r="AI1277" i="3"/>
  <c r="AI1278" i="3"/>
  <c r="AI1279" i="3"/>
  <c r="AI1280" i="3"/>
  <c r="AI1281" i="3"/>
  <c r="AI1282" i="3"/>
  <c r="AI1283" i="3"/>
  <c r="AI1284" i="3"/>
  <c r="AI1285" i="3"/>
  <c r="AI1286" i="3"/>
  <c r="AI1287" i="3"/>
  <c r="AI1288" i="3"/>
  <c r="AI1289" i="3"/>
  <c r="AI1290" i="3"/>
  <c r="AI1291" i="3"/>
  <c r="AI1292" i="3"/>
  <c r="AI1293" i="3"/>
  <c r="AI1294" i="3"/>
  <c r="AI1295" i="3"/>
  <c r="AI1296" i="3"/>
  <c r="AI1297" i="3"/>
  <c r="AI1298" i="3"/>
  <c r="AI1299" i="3"/>
  <c r="AI1300" i="3"/>
  <c r="AI1301" i="3"/>
  <c r="AI1302" i="3"/>
  <c r="AI1303" i="3"/>
  <c r="AI1304" i="3"/>
  <c r="AI1305" i="3"/>
  <c r="AI1306" i="3"/>
  <c r="AI1307" i="3"/>
  <c r="AI1308" i="3"/>
  <c r="AI1309" i="3"/>
  <c r="AI1310" i="3"/>
  <c r="AI1311" i="3"/>
  <c r="AI1312" i="3"/>
  <c r="AI1313" i="3"/>
  <c r="AI1314" i="3"/>
  <c r="AI1315" i="3"/>
  <c r="AI1316" i="3"/>
  <c r="AI1317" i="3"/>
  <c r="AI1318" i="3"/>
  <c r="AI1319" i="3"/>
  <c r="AI1320" i="3"/>
  <c r="AI1321" i="3"/>
  <c r="AI1322" i="3"/>
  <c r="AI1323" i="3"/>
  <c r="AI1324" i="3"/>
  <c r="AI1325" i="3"/>
  <c r="AI1326" i="3"/>
  <c r="AI1327" i="3"/>
  <c r="AI1328" i="3"/>
  <c r="AI1329" i="3"/>
  <c r="AI1330" i="3"/>
  <c r="AI1331" i="3"/>
  <c r="AI1332" i="3"/>
  <c r="AI1333" i="3"/>
  <c r="AI1334" i="3"/>
  <c r="AI1335" i="3"/>
  <c r="AI1336" i="3"/>
  <c r="AI1337" i="3"/>
  <c r="AI1338" i="3"/>
  <c r="AI1339" i="3"/>
  <c r="AI1340" i="3"/>
  <c r="AI1341" i="3"/>
  <c r="AI1342" i="3"/>
  <c r="AI1343" i="3"/>
  <c r="AI1344" i="3"/>
  <c r="AI1345" i="3"/>
  <c r="AI1346" i="3"/>
  <c r="AI1347" i="3"/>
  <c r="AI1348" i="3"/>
  <c r="AI1349" i="3"/>
  <c r="AI1350" i="3"/>
  <c r="AI1351" i="3"/>
  <c r="AI1352" i="3"/>
  <c r="AI1353" i="3"/>
  <c r="AI1354" i="3"/>
  <c r="AI1355" i="3"/>
  <c r="AI1356" i="3"/>
  <c r="AI1357" i="3"/>
  <c r="AI1358" i="3"/>
  <c r="AI1359" i="3"/>
  <c r="AI1360" i="3"/>
  <c r="AI1361" i="3"/>
  <c r="AI1362" i="3"/>
  <c r="AI1363" i="3"/>
  <c r="AI1364" i="3"/>
  <c r="AI1365" i="3"/>
  <c r="AI1366" i="3"/>
  <c r="AI1367" i="3"/>
  <c r="AI1368" i="3"/>
  <c r="AI1369" i="3"/>
  <c r="AI1370" i="3"/>
  <c r="AI1371" i="3"/>
  <c r="AI1372" i="3"/>
  <c r="AI1373" i="3"/>
  <c r="AI1374" i="3"/>
  <c r="AI1375" i="3"/>
  <c r="AI1376" i="3"/>
  <c r="AI1377" i="3"/>
  <c r="AI1378" i="3"/>
  <c r="AI1379" i="3"/>
  <c r="AI1380" i="3"/>
  <c r="AI1381" i="3"/>
  <c r="AI1382" i="3"/>
  <c r="AI1383" i="3"/>
  <c r="AI1384" i="3"/>
  <c r="AI1385" i="3"/>
  <c r="AI1386" i="3"/>
  <c r="AI1387" i="3"/>
  <c r="AI1388" i="3"/>
  <c r="AI1389" i="3"/>
  <c r="AI1390" i="3"/>
  <c r="AI1391" i="3"/>
  <c r="AI1392" i="3"/>
  <c r="AI1393" i="3"/>
  <c r="AI1394" i="3"/>
  <c r="AI1395" i="3"/>
  <c r="AI1396" i="3"/>
  <c r="AI1397" i="3"/>
  <c r="AI1398" i="3"/>
  <c r="AI1399" i="3"/>
  <c r="AI1400" i="3"/>
  <c r="AI1401" i="3"/>
  <c r="AI1402" i="3"/>
  <c r="AI1403" i="3"/>
  <c r="AI1404" i="3"/>
  <c r="AI1405" i="3"/>
  <c r="AI1406" i="3"/>
  <c r="AI1407" i="3"/>
  <c r="AI1408" i="3"/>
  <c r="AI1409" i="3"/>
  <c r="AI1410" i="3"/>
  <c r="AI1411" i="3"/>
  <c r="AI1412" i="3"/>
  <c r="AI1413" i="3"/>
  <c r="AI1414" i="3"/>
  <c r="AI1415" i="3"/>
  <c r="AI1416" i="3"/>
  <c r="AI1417" i="3"/>
  <c r="AI1418" i="3"/>
  <c r="AI1419" i="3"/>
  <c r="AI1420" i="3"/>
  <c r="AI1421" i="3"/>
  <c r="AI1422" i="3"/>
  <c r="AI1423" i="3"/>
  <c r="AI1424" i="3"/>
  <c r="AI1425" i="3"/>
  <c r="AI1426" i="3"/>
  <c r="AI1427" i="3"/>
  <c r="AI1428" i="3"/>
  <c r="AI1429" i="3"/>
  <c r="AI1430" i="3"/>
  <c r="AI1431" i="3"/>
  <c r="AI1432" i="3"/>
  <c r="AI1433" i="3"/>
  <c r="AI1434" i="3"/>
  <c r="AI1435" i="3"/>
  <c r="AI1436" i="3"/>
  <c r="AI1437" i="3"/>
  <c r="AI1438" i="3"/>
  <c r="AI1439" i="3"/>
  <c r="AI1440" i="3"/>
  <c r="AI1441" i="3"/>
  <c r="AI1442" i="3"/>
  <c r="AI1443" i="3"/>
  <c r="AI1444" i="3"/>
  <c r="AI1445" i="3"/>
  <c r="AI1446" i="3"/>
  <c r="AI1447" i="3"/>
  <c r="AI1448" i="3"/>
  <c r="AI1449" i="3"/>
  <c r="AI1450" i="3"/>
  <c r="AI1451" i="3"/>
  <c r="AI1452" i="3"/>
  <c r="AI1453" i="3"/>
  <c r="AI1454" i="3"/>
  <c r="AI1455" i="3"/>
  <c r="AI1456" i="3"/>
  <c r="AI1457" i="3"/>
  <c r="AI1458" i="3"/>
  <c r="AI1459" i="3"/>
  <c r="AI1460" i="3"/>
  <c r="AI1461" i="3"/>
  <c r="AI1462" i="3"/>
  <c r="AI1463" i="3"/>
  <c r="AI1464" i="3"/>
  <c r="AI1465" i="3"/>
  <c r="AI1466" i="3"/>
  <c r="AI1467" i="3"/>
  <c r="AI1468" i="3"/>
  <c r="AI1469" i="3"/>
  <c r="AI1470" i="3"/>
  <c r="AI1471" i="3"/>
  <c r="AI1472" i="3"/>
  <c r="AI1473" i="3"/>
  <c r="AI1474" i="3"/>
  <c r="AI1475" i="3"/>
  <c r="AI1476" i="3"/>
  <c r="AI1477" i="3"/>
  <c r="AI1478" i="3"/>
  <c r="AI1479" i="3"/>
  <c r="AI1480" i="3"/>
  <c r="AI1481" i="3"/>
  <c r="AI1482" i="3"/>
  <c r="AI1483" i="3"/>
  <c r="AI1484" i="3"/>
  <c r="AI1485" i="3"/>
  <c r="AI1486" i="3"/>
  <c r="AI1487" i="3"/>
  <c r="AI1488" i="3"/>
  <c r="AI1489" i="3"/>
  <c r="AI1490" i="3"/>
  <c r="AI1491" i="3"/>
  <c r="AI1492" i="3"/>
  <c r="AI1493" i="3"/>
  <c r="AI1494" i="3"/>
  <c r="AI1495" i="3"/>
  <c r="AI1496" i="3"/>
  <c r="AI1497" i="3"/>
  <c r="AI1498" i="3"/>
  <c r="AI1499" i="3"/>
  <c r="AI1500" i="3"/>
  <c r="AI1501" i="3"/>
  <c r="AI1502" i="3"/>
  <c r="AI1503" i="3"/>
  <c r="AI1504" i="3"/>
  <c r="AI1505" i="3"/>
  <c r="AI1506" i="3"/>
  <c r="AI1507" i="3"/>
  <c r="AI1508" i="3"/>
  <c r="AI1509" i="3"/>
  <c r="AI1510" i="3"/>
  <c r="AI1511" i="3"/>
  <c r="AI1512" i="3"/>
  <c r="AI1513" i="3"/>
  <c r="AI1514" i="3"/>
  <c r="AI1515" i="3"/>
  <c r="AI1516" i="3"/>
  <c r="AI1517" i="3"/>
  <c r="AI1518" i="3"/>
  <c r="AI1519" i="3"/>
  <c r="AI1520" i="3"/>
  <c r="AI1521" i="3"/>
  <c r="AI1522" i="3"/>
  <c r="AI1523" i="3"/>
  <c r="AI1524" i="3"/>
  <c r="AI1525" i="3"/>
  <c r="AI1526" i="3"/>
  <c r="AI1527" i="3"/>
  <c r="AI1528" i="3"/>
  <c r="AI1529" i="3"/>
  <c r="AI1530" i="3"/>
  <c r="AI1531" i="3"/>
  <c r="AI1532" i="3"/>
  <c r="AI1533" i="3"/>
  <c r="AI1534" i="3"/>
  <c r="AI1535" i="3"/>
  <c r="AI1536" i="3"/>
  <c r="AI1537" i="3"/>
  <c r="AI1538" i="3"/>
  <c r="AI1539" i="3"/>
  <c r="AI1540" i="3"/>
  <c r="AI1541" i="3"/>
  <c r="AI1542" i="3"/>
  <c r="AI1543" i="3"/>
  <c r="AI1544" i="3"/>
  <c r="AI1545" i="3"/>
  <c r="AI1546" i="3"/>
  <c r="AI1547" i="3"/>
  <c r="AI1548" i="3"/>
  <c r="AI1549" i="3"/>
  <c r="AI1550" i="3"/>
  <c r="AI1551" i="3"/>
  <c r="AI1552" i="3"/>
  <c r="AI1553" i="3"/>
  <c r="AI1554" i="3"/>
  <c r="AI1555" i="3"/>
  <c r="AI1556" i="3"/>
  <c r="AI1557" i="3"/>
  <c r="AI1558" i="3"/>
  <c r="AI1559" i="3"/>
  <c r="AI1560" i="3"/>
  <c r="AI1561" i="3"/>
  <c r="AI1562" i="3"/>
  <c r="AI1563" i="3"/>
  <c r="AI1564" i="3"/>
  <c r="AI1565" i="3"/>
  <c r="AI1566" i="3"/>
  <c r="AI1567" i="3"/>
  <c r="AI1568" i="3"/>
  <c r="AI1569" i="3"/>
  <c r="AI1570" i="3"/>
  <c r="AI1571" i="3"/>
  <c r="AI1572" i="3"/>
  <c r="AI1573" i="3"/>
  <c r="AI1574" i="3"/>
  <c r="AI1575" i="3"/>
  <c r="AI1576" i="3"/>
  <c r="AI1577" i="3"/>
  <c r="AI1578" i="3"/>
  <c r="AI1579" i="3"/>
  <c r="AI1580" i="3"/>
  <c r="AI1581" i="3"/>
  <c r="AI1582" i="3"/>
  <c r="AI1583" i="3"/>
  <c r="AI1584" i="3"/>
  <c r="AI1585" i="3"/>
  <c r="AI1586" i="3"/>
  <c r="AI1587" i="3"/>
  <c r="AI1588" i="3"/>
  <c r="AI1589" i="3"/>
  <c r="AI1590" i="3"/>
  <c r="AI1591" i="3"/>
  <c r="AI1592" i="3"/>
  <c r="AI1593" i="3"/>
  <c r="AI1594" i="3"/>
  <c r="AI1595" i="3"/>
  <c r="AI1596" i="3"/>
  <c r="AI1597" i="3"/>
  <c r="AI1598" i="3"/>
  <c r="AI1599" i="3"/>
  <c r="AI1600" i="3"/>
  <c r="AI1601" i="3"/>
  <c r="AI1602" i="3"/>
  <c r="AI1603" i="3"/>
  <c r="AI1604" i="3"/>
  <c r="AI1605" i="3"/>
  <c r="AI1606" i="3"/>
  <c r="AI1607" i="3"/>
  <c r="AI1608" i="3"/>
  <c r="AI1609" i="3"/>
  <c r="AI1610" i="3"/>
  <c r="AI1611" i="3"/>
  <c r="AI1612" i="3"/>
  <c r="AI1613" i="3"/>
  <c r="AI1614" i="3"/>
  <c r="AI1615" i="3"/>
  <c r="AI1616" i="3"/>
  <c r="AI1617" i="3"/>
  <c r="AI1618" i="3"/>
  <c r="AI1619" i="3"/>
  <c r="AI1620" i="3"/>
  <c r="AI1621" i="3"/>
  <c r="AI1622" i="3"/>
  <c r="AI1623" i="3"/>
  <c r="AI1624" i="3"/>
  <c r="AI1625" i="3"/>
  <c r="AI1626" i="3"/>
  <c r="AI1627" i="3"/>
  <c r="AI1628" i="3"/>
  <c r="AI1629" i="3"/>
  <c r="AI1630" i="3"/>
  <c r="AI1631" i="3"/>
  <c r="AI1632" i="3"/>
  <c r="AI1633" i="3"/>
  <c r="AI1634" i="3"/>
  <c r="AI1635" i="3"/>
  <c r="AI1636" i="3"/>
  <c r="AI1637" i="3"/>
  <c r="AI1638" i="3"/>
  <c r="AI1639" i="3"/>
  <c r="AI1640" i="3"/>
  <c r="AI1641" i="3"/>
  <c r="AI1642" i="3"/>
  <c r="AI1643" i="3"/>
  <c r="AI1644" i="3"/>
  <c r="AI1645" i="3"/>
  <c r="AI1646" i="3"/>
  <c r="AI1647" i="3"/>
  <c r="AI1648" i="3"/>
  <c r="AI1649" i="3"/>
  <c r="AI1650" i="3"/>
  <c r="AI1651" i="3"/>
  <c r="AI1652" i="3"/>
  <c r="AI1653" i="3"/>
  <c r="AI1654" i="3"/>
  <c r="AI1655" i="3"/>
  <c r="AI1656" i="3"/>
  <c r="AI1657" i="3"/>
  <c r="AI1658" i="3"/>
  <c r="AI1659" i="3"/>
  <c r="AI1660" i="3"/>
  <c r="AI1661" i="3"/>
  <c r="AI1662" i="3"/>
  <c r="AI1663" i="3"/>
  <c r="AI1664" i="3"/>
  <c r="AI1665" i="3"/>
  <c r="AI1666" i="3"/>
  <c r="AI1667" i="3"/>
  <c r="AI1668" i="3"/>
  <c r="AI1669" i="3"/>
  <c r="AI1670" i="3"/>
  <c r="AI1671" i="3"/>
  <c r="AI1672" i="3"/>
  <c r="AI1673" i="3"/>
  <c r="AI1674" i="3"/>
  <c r="AI1675" i="3"/>
  <c r="AI1676" i="3"/>
  <c r="AI1677" i="3"/>
  <c r="AI1678" i="3"/>
  <c r="AI1679" i="3"/>
  <c r="AI1680" i="3"/>
  <c r="AI1681" i="3"/>
  <c r="AI1682" i="3"/>
  <c r="AI1683" i="3"/>
  <c r="AI1684" i="3"/>
  <c r="AI1685" i="3"/>
  <c r="AI1686" i="3"/>
  <c r="AI1687" i="3"/>
  <c r="AI1688" i="3"/>
  <c r="AI1689" i="3"/>
  <c r="AI1690" i="3"/>
  <c r="AI1691" i="3"/>
  <c r="AI1692" i="3"/>
  <c r="AI1693" i="3"/>
  <c r="AI1694" i="3"/>
  <c r="AI1695" i="3"/>
  <c r="AI1696" i="3"/>
  <c r="AI1697" i="3"/>
  <c r="AI1698" i="3"/>
  <c r="AI1699" i="3"/>
  <c r="AI1700" i="3"/>
  <c r="AI1701" i="3"/>
  <c r="AI1702" i="3"/>
  <c r="AI1703" i="3"/>
  <c r="AI1704" i="3"/>
  <c r="AI1705" i="3"/>
  <c r="AI1706" i="3"/>
  <c r="AI1707" i="3"/>
  <c r="AI1708" i="3"/>
  <c r="AI1709" i="3"/>
  <c r="AI1710" i="3"/>
  <c r="AI1711" i="3"/>
  <c r="AI1712" i="3"/>
  <c r="AI1713" i="3"/>
  <c r="AI1714" i="3"/>
  <c r="AI1715" i="3"/>
  <c r="AI1716" i="3"/>
  <c r="AI1717" i="3"/>
  <c r="AI1718" i="3"/>
  <c r="AI1719" i="3"/>
  <c r="AI1720" i="3"/>
  <c r="AI1721" i="3"/>
  <c r="AI1722" i="3"/>
  <c r="AI1723" i="3"/>
  <c r="AI1724" i="3"/>
  <c r="AI1725" i="3"/>
  <c r="AI1726" i="3"/>
  <c r="AI1727" i="3"/>
  <c r="AI1728" i="3"/>
  <c r="AI1729" i="3"/>
  <c r="AI1730" i="3"/>
  <c r="AI1731" i="3"/>
  <c r="AI1732" i="3"/>
  <c r="AI1733" i="3"/>
  <c r="AI1734" i="3"/>
  <c r="AI1735" i="3"/>
  <c r="AI1736" i="3"/>
  <c r="AI1737" i="3"/>
  <c r="AI1738" i="3"/>
  <c r="AI1739" i="3"/>
  <c r="AI1740" i="3"/>
  <c r="AI1741" i="3"/>
  <c r="AI1742" i="3"/>
  <c r="AI1743" i="3"/>
  <c r="AI1744" i="3"/>
  <c r="AI1745" i="3"/>
  <c r="AI1746" i="3"/>
  <c r="AI1747" i="3"/>
  <c r="AI1748" i="3"/>
  <c r="AI1749" i="3"/>
  <c r="AI1750" i="3"/>
  <c r="AI1751" i="3"/>
  <c r="AI1752" i="3"/>
  <c r="AI1753" i="3"/>
  <c r="AI1754" i="3"/>
  <c r="AI1755" i="3"/>
  <c r="AI1756" i="3"/>
  <c r="AI1757" i="3"/>
  <c r="AI1758" i="3"/>
  <c r="AI1759" i="3"/>
  <c r="AI1760" i="3"/>
  <c r="AI1761" i="3"/>
  <c r="AI1762" i="3"/>
  <c r="AI1763" i="3"/>
  <c r="AI1764" i="3"/>
  <c r="AI1765" i="3"/>
  <c r="AI1766" i="3"/>
  <c r="AI1767" i="3"/>
  <c r="AI1768" i="3"/>
  <c r="AI1769" i="3"/>
  <c r="AI1770" i="3"/>
  <c r="AI1771" i="3"/>
  <c r="AI1772" i="3"/>
  <c r="AI1773" i="3"/>
  <c r="AI1774" i="3"/>
  <c r="AI1775" i="3"/>
  <c r="AI1776" i="3"/>
  <c r="AI1777" i="3"/>
  <c r="AI1778" i="3"/>
  <c r="AI1779" i="3"/>
  <c r="AI1780" i="3"/>
  <c r="AI1781" i="3"/>
  <c r="AI1782" i="3"/>
  <c r="AI1783" i="3"/>
  <c r="AI1784" i="3"/>
  <c r="AI1785" i="3"/>
  <c r="AI1786" i="3"/>
  <c r="AI1787" i="3"/>
  <c r="AI1788" i="3"/>
  <c r="AI1789" i="3"/>
  <c r="AI1790" i="3"/>
  <c r="AI1791" i="3"/>
  <c r="AI1792" i="3"/>
  <c r="AI1793" i="3"/>
  <c r="AI1794" i="3"/>
  <c r="AI1795" i="3"/>
  <c r="AI1796" i="3"/>
  <c r="AI1797" i="3"/>
  <c r="AI1798" i="3"/>
  <c r="AI1799" i="3"/>
  <c r="AI1800" i="3"/>
  <c r="AI1801" i="3"/>
  <c r="AI1802" i="3"/>
  <c r="AI1803" i="3"/>
  <c r="AI1804" i="3"/>
  <c r="AI1805" i="3"/>
  <c r="AI1806" i="3"/>
  <c r="AI1807" i="3"/>
  <c r="AI1808" i="3"/>
  <c r="AI1809" i="3"/>
  <c r="AI1810" i="3"/>
  <c r="AI1811" i="3"/>
  <c r="AI1812" i="3"/>
  <c r="AI1813" i="3"/>
  <c r="AI1814" i="3"/>
  <c r="AI1815" i="3"/>
  <c r="AI1816" i="3"/>
  <c r="AI1817" i="3"/>
  <c r="AI1818" i="3"/>
  <c r="AI1819" i="3"/>
  <c r="AI1820" i="3"/>
  <c r="AI1821" i="3"/>
  <c r="AI1822" i="3"/>
  <c r="AI1823" i="3"/>
  <c r="AI1824" i="3"/>
  <c r="AI1825" i="3"/>
  <c r="AI1826" i="3"/>
  <c r="AI1827" i="3"/>
  <c r="AI1828" i="3"/>
  <c r="AI1829" i="3"/>
  <c r="AI1830" i="3"/>
  <c r="AI1831" i="3"/>
  <c r="AI1832" i="3"/>
  <c r="AI1833" i="3"/>
  <c r="AI1834" i="3"/>
  <c r="AI1835" i="3"/>
  <c r="AI1836" i="3"/>
  <c r="AI1837" i="3"/>
  <c r="AI1838" i="3"/>
  <c r="AI1839" i="3"/>
  <c r="AI1840" i="3"/>
  <c r="AI1841" i="3"/>
  <c r="AI1842" i="3"/>
  <c r="AI1843" i="3"/>
  <c r="AI1844" i="3"/>
  <c r="AI1845" i="3"/>
  <c r="AI1846" i="3"/>
  <c r="AI1847" i="3"/>
  <c r="AI1848" i="3"/>
  <c r="AI1849" i="3"/>
  <c r="AI1850" i="3"/>
  <c r="AI1851" i="3"/>
  <c r="AI1852" i="3"/>
  <c r="AI1853" i="3"/>
  <c r="AI1854" i="3"/>
  <c r="AI1855" i="3"/>
  <c r="AI1856" i="3"/>
  <c r="AI1857" i="3"/>
  <c r="AI1858" i="3"/>
  <c r="AI1859" i="3"/>
  <c r="AI1860" i="3"/>
  <c r="AI1861" i="3"/>
  <c r="AI1862" i="3"/>
  <c r="AI1863" i="3"/>
  <c r="AI1864" i="3"/>
  <c r="AI1865" i="3"/>
  <c r="AI1866" i="3"/>
  <c r="AI1867" i="3"/>
  <c r="AI1868" i="3"/>
  <c r="AI1869" i="3"/>
  <c r="AI1870" i="3"/>
  <c r="AI1871" i="3"/>
  <c r="AI1872" i="3"/>
  <c r="AI1873" i="3"/>
  <c r="AI1874" i="3"/>
  <c r="AI1875" i="3"/>
  <c r="AI1876" i="3"/>
  <c r="AI1877" i="3"/>
  <c r="AI1878" i="3"/>
  <c r="AI1879" i="3"/>
  <c r="AI1880" i="3"/>
  <c r="AI1881" i="3"/>
  <c r="AI1882" i="3"/>
  <c r="AI1883" i="3"/>
  <c r="AI1884" i="3"/>
  <c r="AI1885" i="3"/>
  <c r="AI1886" i="3"/>
  <c r="AI1887" i="3"/>
  <c r="AI1888" i="3"/>
  <c r="AI1889" i="3"/>
  <c r="AI1890" i="3"/>
  <c r="AI1891" i="3"/>
  <c r="AI1892" i="3"/>
  <c r="AI1893" i="3"/>
  <c r="AI1894" i="3"/>
  <c r="AI1895" i="3"/>
  <c r="AI1896" i="3"/>
  <c r="AI1897" i="3"/>
  <c r="AI1898" i="3"/>
  <c r="AI1899" i="3"/>
  <c r="AI1900" i="3"/>
  <c r="AI1901" i="3"/>
  <c r="AI1902" i="3"/>
  <c r="AI1903" i="3"/>
  <c r="AI1904" i="3"/>
  <c r="AI1905" i="3"/>
  <c r="AI1906" i="3"/>
  <c r="AI1907" i="3"/>
  <c r="AI1908" i="3"/>
  <c r="AI1909" i="3"/>
  <c r="AI1910" i="3"/>
  <c r="AI1911" i="3"/>
  <c r="AI1912" i="3"/>
  <c r="AI1913" i="3"/>
  <c r="AI1914" i="3"/>
  <c r="AI1915" i="3"/>
  <c r="AI1916" i="3"/>
  <c r="AI1917" i="3"/>
  <c r="AI1918" i="3"/>
  <c r="AI1919" i="3"/>
  <c r="AI1920" i="3"/>
  <c r="AI1921" i="3"/>
  <c r="AI1922" i="3"/>
  <c r="AI1923" i="3"/>
  <c r="AI1924" i="3"/>
  <c r="AI1925" i="3"/>
  <c r="AI1926" i="3"/>
  <c r="AI1927" i="3"/>
  <c r="AI1928" i="3"/>
  <c r="AI1929" i="3"/>
  <c r="AI1930" i="3"/>
  <c r="AI1931" i="3"/>
  <c r="AI1932" i="3"/>
  <c r="AI1933" i="3"/>
  <c r="AI1934" i="3"/>
  <c r="AI1935" i="3"/>
  <c r="AI1936" i="3"/>
  <c r="AI1937" i="3"/>
  <c r="AI1938" i="3"/>
  <c r="AI1939" i="3"/>
  <c r="AI1940" i="3"/>
  <c r="AI1941" i="3"/>
  <c r="AI1942" i="3"/>
  <c r="AI1943" i="3"/>
  <c r="AI1944" i="3"/>
  <c r="AI1945" i="3"/>
  <c r="AI1946" i="3"/>
  <c r="AI1947" i="3"/>
  <c r="AI1948" i="3"/>
  <c r="AI1949" i="3"/>
  <c r="AI1950" i="3"/>
  <c r="AI1951" i="3"/>
  <c r="AI1952" i="3"/>
  <c r="AI1953" i="3"/>
  <c r="AI1954" i="3"/>
  <c r="AI1955" i="3"/>
  <c r="AI1956" i="3"/>
  <c r="AI1957" i="3"/>
  <c r="AI1958" i="3"/>
  <c r="AI1959" i="3"/>
  <c r="AI1960" i="3"/>
  <c r="AI1961" i="3"/>
  <c r="AI1962" i="3"/>
  <c r="AI1963" i="3"/>
  <c r="AI1964" i="3"/>
  <c r="AI1965" i="3"/>
  <c r="AI1966" i="3"/>
  <c r="AI1967" i="3"/>
  <c r="AI1968" i="3"/>
  <c r="AI1969" i="3"/>
  <c r="AI1970" i="3"/>
  <c r="AI1971" i="3"/>
  <c r="AI1972" i="3"/>
  <c r="AI1973" i="3"/>
  <c r="AI1974" i="3"/>
  <c r="AI1975" i="3"/>
  <c r="AI1976" i="3"/>
  <c r="AI1977" i="3"/>
  <c r="AI1978" i="3"/>
  <c r="AI1979" i="3"/>
  <c r="AI1980" i="3"/>
  <c r="AI1981" i="3"/>
  <c r="AI1982" i="3"/>
  <c r="AI1983" i="3"/>
  <c r="AI1984" i="3"/>
  <c r="AI1985" i="3"/>
  <c r="AI1986" i="3"/>
  <c r="AI1987" i="3"/>
  <c r="AI1988" i="3"/>
  <c r="AI1989" i="3"/>
  <c r="AI1990" i="3"/>
  <c r="AI1991" i="3"/>
  <c r="AI1992" i="3"/>
  <c r="AI1993" i="3"/>
  <c r="AI1994" i="3"/>
  <c r="AI1995" i="3"/>
  <c r="AI1996" i="3"/>
  <c r="AI1997" i="3"/>
  <c r="AI1998" i="3"/>
  <c r="AI1999" i="3"/>
  <c r="AI2000" i="3"/>
  <c r="AI2001" i="3"/>
  <c r="AI2002" i="3"/>
  <c r="AI2003" i="3"/>
  <c r="AI2004" i="3"/>
  <c r="AI2005" i="3"/>
  <c r="AI2006" i="3"/>
  <c r="AI2007" i="3"/>
  <c r="AI2008" i="3"/>
  <c r="AI2009" i="3"/>
  <c r="AI2010" i="3"/>
  <c r="AI2011" i="3"/>
  <c r="AI2012" i="3"/>
  <c r="AI2013" i="3"/>
  <c r="AI2014" i="3"/>
  <c r="AI2015" i="3"/>
  <c r="AI2016" i="3"/>
  <c r="AI2017" i="3"/>
  <c r="AI2018" i="3"/>
  <c r="AI2019" i="3"/>
  <c r="AI2020" i="3"/>
  <c r="AI2021" i="3"/>
  <c r="AI2022" i="3"/>
  <c r="AI2023" i="3"/>
  <c r="AI2024" i="3"/>
  <c r="AI2025" i="3"/>
  <c r="AI2026" i="3"/>
  <c r="AI2027" i="3"/>
  <c r="AI2028" i="3"/>
  <c r="AI2029" i="3"/>
  <c r="AI2030" i="3"/>
  <c r="AI2031" i="3"/>
  <c r="AI2032" i="3"/>
  <c r="AI2033" i="3"/>
  <c r="AI2034" i="3"/>
  <c r="AI2035" i="3"/>
  <c r="AI2036" i="3"/>
  <c r="AI2037" i="3"/>
  <c r="AI2038" i="3"/>
  <c r="AI2039" i="3"/>
  <c r="AI2040" i="3"/>
  <c r="AI2041" i="3"/>
  <c r="AI2042" i="3"/>
  <c r="AI2043" i="3"/>
  <c r="AI2044" i="3"/>
  <c r="AI2045" i="3"/>
  <c r="AI2046" i="3"/>
  <c r="AI2047" i="3"/>
  <c r="AI2048" i="3"/>
  <c r="AI2049" i="3"/>
  <c r="AI2050" i="3"/>
  <c r="AI2051" i="3"/>
  <c r="AI2052" i="3"/>
  <c r="AI2053" i="3"/>
  <c r="AI2054" i="3"/>
  <c r="AI2055" i="3"/>
  <c r="AI2056" i="3"/>
  <c r="AI2057" i="3"/>
  <c r="AI2058" i="3"/>
  <c r="AI2059" i="3"/>
  <c r="AI2060" i="3"/>
  <c r="AI2061" i="3"/>
  <c r="AI2062" i="3"/>
  <c r="AI2063" i="3"/>
  <c r="AI2064" i="3"/>
  <c r="AI2065" i="3"/>
  <c r="AI2066" i="3"/>
  <c r="AI2067" i="3"/>
  <c r="AI2068" i="3"/>
  <c r="AI2069" i="3"/>
  <c r="AI2070" i="3"/>
  <c r="AI2071" i="3"/>
  <c r="AI2072" i="3"/>
  <c r="AI2073" i="3"/>
  <c r="AI2074" i="3"/>
  <c r="AI2075" i="3"/>
  <c r="AI2076" i="3"/>
  <c r="AI2077" i="3"/>
  <c r="AI2078" i="3"/>
  <c r="AI2079" i="3"/>
  <c r="AI2080" i="3"/>
  <c r="AI2081" i="3"/>
  <c r="AI2082" i="3"/>
  <c r="AI2083" i="3"/>
  <c r="AI2084" i="3"/>
  <c r="AI2085" i="3"/>
  <c r="AI2086" i="3"/>
  <c r="AI2087" i="3"/>
  <c r="AI2088" i="3"/>
  <c r="AI2089" i="3"/>
  <c r="AI2090" i="3"/>
  <c r="AI2091" i="3"/>
  <c r="AI2092" i="3"/>
  <c r="AI2093" i="3"/>
  <c r="AI2094" i="3"/>
  <c r="AI2095" i="3"/>
  <c r="AI2096" i="3"/>
  <c r="AI2097" i="3"/>
  <c r="AI2098" i="3"/>
  <c r="AI2099" i="3"/>
  <c r="AI2100" i="3"/>
  <c r="AI2101" i="3"/>
  <c r="AI2102" i="3"/>
  <c r="AI2103" i="3"/>
  <c r="AI2104" i="3"/>
  <c r="AI2105" i="3"/>
  <c r="AI2106" i="3"/>
  <c r="AI2107" i="3"/>
  <c r="AI2108" i="3"/>
  <c r="AI2109" i="3"/>
  <c r="AI2110" i="3"/>
  <c r="AI2111" i="3"/>
  <c r="AI2112" i="3"/>
  <c r="AI2113" i="3"/>
  <c r="AI2114" i="3"/>
  <c r="AI2115" i="3"/>
  <c r="AI2116" i="3"/>
  <c r="AI2117" i="3"/>
  <c r="AI2118" i="3"/>
  <c r="AI2119" i="3"/>
  <c r="AI2120" i="3"/>
  <c r="AI2121" i="3"/>
  <c r="AI2122" i="3"/>
  <c r="AI2123" i="3"/>
  <c r="AI2124" i="3"/>
  <c r="AI2125" i="3"/>
  <c r="AI2126" i="3"/>
  <c r="AI2127" i="3"/>
  <c r="AI2128" i="3"/>
  <c r="AI2129" i="3"/>
  <c r="AI2130" i="3"/>
  <c r="AI2131" i="3"/>
  <c r="AI2132" i="3"/>
  <c r="AI2133" i="3"/>
  <c r="AI2134" i="3"/>
  <c r="AI2135" i="3"/>
  <c r="AI2136" i="3"/>
  <c r="AI2137" i="3"/>
  <c r="AI2138" i="3"/>
  <c r="AI2139" i="3"/>
  <c r="AI2140" i="3"/>
  <c r="AI2141" i="3"/>
  <c r="AI2142" i="3"/>
  <c r="AI2143" i="3"/>
  <c r="AI2144" i="3"/>
  <c r="AI2145" i="3"/>
  <c r="AI2146" i="3"/>
  <c r="AI2147" i="3"/>
  <c r="AI2148" i="3"/>
  <c r="AI2149" i="3"/>
  <c r="AI2150" i="3"/>
  <c r="AI2151" i="3"/>
  <c r="AI2152" i="3"/>
  <c r="AI2153" i="3"/>
  <c r="AI2154" i="3"/>
  <c r="AI2155" i="3"/>
  <c r="AI2156" i="3"/>
  <c r="AI2157" i="3"/>
  <c r="AI2158" i="3"/>
  <c r="AI2159" i="3"/>
  <c r="AI2160" i="3"/>
  <c r="AI2161" i="3"/>
  <c r="AI2162" i="3"/>
  <c r="AI2163" i="3"/>
  <c r="AI2164" i="3"/>
  <c r="AI2165" i="3"/>
  <c r="AI2166" i="3"/>
  <c r="AI2167" i="3"/>
  <c r="AI2168" i="3"/>
  <c r="AI2169" i="3"/>
  <c r="AI2170" i="3"/>
  <c r="AI2171" i="3"/>
  <c r="AI2172" i="3"/>
  <c r="AI2173" i="3"/>
  <c r="AI2174" i="3"/>
  <c r="AI2175" i="3"/>
  <c r="AI2176" i="3"/>
  <c r="AI2177" i="3"/>
  <c r="AI2178" i="3"/>
  <c r="AI2179" i="3"/>
  <c r="AI2180" i="3"/>
  <c r="AI2181" i="3"/>
  <c r="AI2182" i="3"/>
  <c r="AI2183" i="3"/>
  <c r="AI2184" i="3"/>
  <c r="AI2185" i="3"/>
  <c r="AI2186" i="3"/>
  <c r="AI2187" i="3"/>
  <c r="AI2188" i="3"/>
  <c r="AI2189" i="3"/>
  <c r="AI2190" i="3"/>
  <c r="AI2191" i="3"/>
  <c r="AI2192" i="3"/>
  <c r="AI2193" i="3"/>
  <c r="AI2194" i="3"/>
  <c r="AI2195" i="3"/>
  <c r="AI2196" i="3"/>
  <c r="AI2197" i="3"/>
  <c r="AI2198" i="3"/>
  <c r="AI2199" i="3"/>
  <c r="AI2200" i="3"/>
  <c r="AI2201" i="3"/>
  <c r="AI2202" i="3"/>
  <c r="AI2203" i="3"/>
  <c r="AI2204" i="3"/>
  <c r="AI2205" i="3"/>
  <c r="AI2206" i="3"/>
  <c r="AI2207" i="3"/>
  <c r="AI2208" i="3"/>
  <c r="AI2209" i="3"/>
  <c r="AI2210" i="3"/>
  <c r="AI2211" i="3"/>
  <c r="AI2212" i="3"/>
  <c r="AI2213" i="3"/>
  <c r="AI2214" i="3"/>
  <c r="AI2215" i="3"/>
  <c r="AI2216" i="3"/>
  <c r="AI2217" i="3"/>
  <c r="AI2218" i="3"/>
  <c r="AI2219" i="3"/>
  <c r="AI2220" i="3"/>
  <c r="AI2221" i="3"/>
  <c r="AI2222" i="3"/>
  <c r="AI2223" i="3"/>
  <c r="AI2224" i="3"/>
  <c r="AI2225" i="3"/>
  <c r="AI2226" i="3"/>
  <c r="AI2227" i="3"/>
  <c r="AI2228" i="3"/>
  <c r="AI2229" i="3"/>
  <c r="AI2230" i="3"/>
  <c r="AI2231" i="3"/>
  <c r="AI2232" i="3"/>
  <c r="AI2233" i="3"/>
  <c r="AI2234" i="3"/>
  <c r="AI2235" i="3"/>
  <c r="AI2236" i="3"/>
  <c r="AI2237" i="3"/>
  <c r="AI2238" i="3"/>
  <c r="AI2239" i="3"/>
  <c r="AI2240" i="3"/>
  <c r="AI2241" i="3"/>
  <c r="AH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H473" i="3"/>
  <c r="AH474" i="3"/>
  <c r="AH475" i="3"/>
  <c r="AH476" i="3"/>
  <c r="AH477" i="3"/>
  <c r="AH478" i="3"/>
  <c r="AH479" i="3"/>
  <c r="AH480" i="3"/>
  <c r="AH481" i="3"/>
  <c r="AH482" i="3"/>
  <c r="AH483" i="3"/>
  <c r="AH484" i="3"/>
  <c r="AH485" i="3"/>
  <c r="AH486" i="3"/>
  <c r="AH487" i="3"/>
  <c r="AH488" i="3"/>
  <c r="AH489" i="3"/>
  <c r="AH490" i="3"/>
  <c r="AH491" i="3"/>
  <c r="AH492" i="3"/>
  <c r="AH493" i="3"/>
  <c r="AH494" i="3"/>
  <c r="AH495" i="3"/>
  <c r="AH496" i="3"/>
  <c r="AH497" i="3"/>
  <c r="AH498" i="3"/>
  <c r="AH499" i="3"/>
  <c r="AH500" i="3"/>
  <c r="AH501" i="3"/>
  <c r="AH502" i="3"/>
  <c r="AH503" i="3"/>
  <c r="AH504" i="3"/>
  <c r="AH505" i="3"/>
  <c r="AH506" i="3"/>
  <c r="AH507" i="3"/>
  <c r="AH508" i="3"/>
  <c r="AH509" i="3"/>
  <c r="AH510" i="3"/>
  <c r="AH511" i="3"/>
  <c r="AH512" i="3"/>
  <c r="AH513" i="3"/>
  <c r="AH514" i="3"/>
  <c r="AH515" i="3"/>
  <c r="AH516" i="3"/>
  <c r="AH517" i="3"/>
  <c r="AH518" i="3"/>
  <c r="AH519" i="3"/>
  <c r="AH520" i="3"/>
  <c r="AH521" i="3"/>
  <c r="AH522" i="3"/>
  <c r="AH523" i="3"/>
  <c r="AH524" i="3"/>
  <c r="AH525" i="3"/>
  <c r="AH526" i="3"/>
  <c r="AH527" i="3"/>
  <c r="AH528" i="3"/>
  <c r="AH529" i="3"/>
  <c r="AH530" i="3"/>
  <c r="AH531" i="3"/>
  <c r="AH532" i="3"/>
  <c r="AH533" i="3"/>
  <c r="AH534" i="3"/>
  <c r="AH535" i="3"/>
  <c r="AH536" i="3"/>
  <c r="AH537" i="3"/>
  <c r="AH538" i="3"/>
  <c r="AH539" i="3"/>
  <c r="AH540" i="3"/>
  <c r="AH541" i="3"/>
  <c r="AH542" i="3"/>
  <c r="AH543" i="3"/>
  <c r="AH544" i="3"/>
  <c r="AH545" i="3"/>
  <c r="AH546" i="3"/>
  <c r="AH547" i="3"/>
  <c r="AH548" i="3"/>
  <c r="AH549" i="3"/>
  <c r="AH550" i="3"/>
  <c r="AH551" i="3"/>
  <c r="AH552" i="3"/>
  <c r="AH553" i="3"/>
  <c r="AH554" i="3"/>
  <c r="AH555" i="3"/>
  <c r="AH556" i="3"/>
  <c r="AH557" i="3"/>
  <c r="AH558" i="3"/>
  <c r="AH559" i="3"/>
  <c r="AH560" i="3"/>
  <c r="AH561" i="3"/>
  <c r="AH562" i="3"/>
  <c r="AH563" i="3"/>
  <c r="AH564" i="3"/>
  <c r="AH565" i="3"/>
  <c r="AH566" i="3"/>
  <c r="AH567" i="3"/>
  <c r="AH568" i="3"/>
  <c r="AH569" i="3"/>
  <c r="AH570" i="3"/>
  <c r="AH571" i="3"/>
  <c r="AH572" i="3"/>
  <c r="AH573" i="3"/>
  <c r="AH574" i="3"/>
  <c r="AH575" i="3"/>
  <c r="AH576" i="3"/>
  <c r="AH577" i="3"/>
  <c r="AH578" i="3"/>
  <c r="AH579" i="3"/>
  <c r="AH580" i="3"/>
  <c r="AH581" i="3"/>
  <c r="AH582" i="3"/>
  <c r="AH583" i="3"/>
  <c r="AH584" i="3"/>
  <c r="AH585" i="3"/>
  <c r="AH586" i="3"/>
  <c r="AH587" i="3"/>
  <c r="AH588" i="3"/>
  <c r="AH589" i="3"/>
  <c r="AH590" i="3"/>
  <c r="AH591" i="3"/>
  <c r="AH592" i="3"/>
  <c r="AH593" i="3"/>
  <c r="AH594" i="3"/>
  <c r="AH595" i="3"/>
  <c r="AH596" i="3"/>
  <c r="AH597" i="3"/>
  <c r="AH598" i="3"/>
  <c r="AH599" i="3"/>
  <c r="AH600" i="3"/>
  <c r="AH601" i="3"/>
  <c r="AH602" i="3"/>
  <c r="AH603" i="3"/>
  <c r="AH604" i="3"/>
  <c r="AH605" i="3"/>
  <c r="AH606" i="3"/>
  <c r="AH607" i="3"/>
  <c r="AH608" i="3"/>
  <c r="AH609" i="3"/>
  <c r="AH610" i="3"/>
  <c r="AH611" i="3"/>
  <c r="AH612" i="3"/>
  <c r="AH613" i="3"/>
  <c r="AH614" i="3"/>
  <c r="AH615" i="3"/>
  <c r="AH616" i="3"/>
  <c r="AH617" i="3"/>
  <c r="AH618" i="3"/>
  <c r="AH619" i="3"/>
  <c r="AH620" i="3"/>
  <c r="AH621" i="3"/>
  <c r="AH622" i="3"/>
  <c r="AH623" i="3"/>
  <c r="AH624" i="3"/>
  <c r="AH625" i="3"/>
  <c r="AH626" i="3"/>
  <c r="AH627" i="3"/>
  <c r="AH628" i="3"/>
  <c r="AH629" i="3"/>
  <c r="AH630" i="3"/>
  <c r="AH631" i="3"/>
  <c r="AH632" i="3"/>
  <c r="AH633" i="3"/>
  <c r="AH634" i="3"/>
  <c r="AH635" i="3"/>
  <c r="AH636" i="3"/>
  <c r="AH637" i="3"/>
  <c r="AH638" i="3"/>
  <c r="AH639" i="3"/>
  <c r="AH640" i="3"/>
  <c r="AH641" i="3"/>
  <c r="AH642" i="3"/>
  <c r="AH643" i="3"/>
  <c r="AH644" i="3"/>
  <c r="AH645" i="3"/>
  <c r="AH646" i="3"/>
  <c r="AH647" i="3"/>
  <c r="AH648" i="3"/>
  <c r="AH649" i="3"/>
  <c r="AH650" i="3"/>
  <c r="AH651" i="3"/>
  <c r="AH652" i="3"/>
  <c r="AH653" i="3"/>
  <c r="AH654" i="3"/>
  <c r="AH655" i="3"/>
  <c r="AH656" i="3"/>
  <c r="AH657" i="3"/>
  <c r="AH658" i="3"/>
  <c r="AH659" i="3"/>
  <c r="AH660" i="3"/>
  <c r="AH661" i="3"/>
  <c r="AH662" i="3"/>
  <c r="AH663" i="3"/>
  <c r="AH664" i="3"/>
  <c r="AH665" i="3"/>
  <c r="AH666" i="3"/>
  <c r="AH667" i="3"/>
  <c r="AH668" i="3"/>
  <c r="AH669" i="3"/>
  <c r="AH670" i="3"/>
  <c r="AH671" i="3"/>
  <c r="AH672" i="3"/>
  <c r="AH673" i="3"/>
  <c r="AH674" i="3"/>
  <c r="AH675" i="3"/>
  <c r="AH676" i="3"/>
  <c r="AH677" i="3"/>
  <c r="AH678" i="3"/>
  <c r="AH679" i="3"/>
  <c r="AH680" i="3"/>
  <c r="AH681" i="3"/>
  <c r="AH682" i="3"/>
  <c r="AH683" i="3"/>
  <c r="AH684" i="3"/>
  <c r="AH685" i="3"/>
  <c r="AH686" i="3"/>
  <c r="AH687" i="3"/>
  <c r="AH688" i="3"/>
  <c r="AH689" i="3"/>
  <c r="AH690" i="3"/>
  <c r="AH691" i="3"/>
  <c r="AH692" i="3"/>
  <c r="AH693" i="3"/>
  <c r="AH694" i="3"/>
  <c r="AH695" i="3"/>
  <c r="AH696" i="3"/>
  <c r="AH697" i="3"/>
  <c r="AH698" i="3"/>
  <c r="AH699" i="3"/>
  <c r="AH700" i="3"/>
  <c r="AH701" i="3"/>
  <c r="AH702" i="3"/>
  <c r="AH703" i="3"/>
  <c r="AH704" i="3"/>
  <c r="AH705" i="3"/>
  <c r="AH706" i="3"/>
  <c r="AH707" i="3"/>
  <c r="AH708" i="3"/>
  <c r="AH709" i="3"/>
  <c r="AH710" i="3"/>
  <c r="AH711" i="3"/>
  <c r="AH712" i="3"/>
  <c r="AH713" i="3"/>
  <c r="AH714" i="3"/>
  <c r="AH715" i="3"/>
  <c r="AH716" i="3"/>
  <c r="AH717" i="3"/>
  <c r="AH718" i="3"/>
  <c r="AH719" i="3"/>
  <c r="AH720" i="3"/>
  <c r="AH721" i="3"/>
  <c r="AH722" i="3"/>
  <c r="AH723" i="3"/>
  <c r="AH724" i="3"/>
  <c r="AH725" i="3"/>
  <c r="AH726" i="3"/>
  <c r="AH727" i="3"/>
  <c r="AH728" i="3"/>
  <c r="AH729" i="3"/>
  <c r="AH730" i="3"/>
  <c r="AH731" i="3"/>
  <c r="AH732" i="3"/>
  <c r="AH733" i="3"/>
  <c r="AH734" i="3"/>
  <c r="AH735" i="3"/>
  <c r="AH736" i="3"/>
  <c r="AH737" i="3"/>
  <c r="AH738" i="3"/>
  <c r="AH739" i="3"/>
  <c r="AH740" i="3"/>
  <c r="AH741" i="3"/>
  <c r="AH742" i="3"/>
  <c r="AH743" i="3"/>
  <c r="AH744" i="3"/>
  <c r="AH745" i="3"/>
  <c r="AH746" i="3"/>
  <c r="AH747" i="3"/>
  <c r="AH748" i="3"/>
  <c r="AH749" i="3"/>
  <c r="AH750" i="3"/>
  <c r="AH751" i="3"/>
  <c r="AH752" i="3"/>
  <c r="AH753" i="3"/>
  <c r="AH754" i="3"/>
  <c r="AH755" i="3"/>
  <c r="AH756" i="3"/>
  <c r="AH757" i="3"/>
  <c r="AH758" i="3"/>
  <c r="AH759" i="3"/>
  <c r="AH760" i="3"/>
  <c r="AH761" i="3"/>
  <c r="AH762" i="3"/>
  <c r="AH763" i="3"/>
  <c r="AH764" i="3"/>
  <c r="AH765" i="3"/>
  <c r="AH766" i="3"/>
  <c r="AH767" i="3"/>
  <c r="AH768" i="3"/>
  <c r="AH769" i="3"/>
  <c r="AH770" i="3"/>
  <c r="AH771" i="3"/>
  <c r="AH772" i="3"/>
  <c r="AH773" i="3"/>
  <c r="AH774" i="3"/>
  <c r="AH775" i="3"/>
  <c r="AH776" i="3"/>
  <c r="AH777" i="3"/>
  <c r="AH778" i="3"/>
  <c r="AH779" i="3"/>
  <c r="AH780" i="3"/>
  <c r="AH781" i="3"/>
  <c r="AH782" i="3"/>
  <c r="AH783" i="3"/>
  <c r="AH784" i="3"/>
  <c r="AH785" i="3"/>
  <c r="AH786" i="3"/>
  <c r="AH787" i="3"/>
  <c r="AH788" i="3"/>
  <c r="AH789" i="3"/>
  <c r="AH790" i="3"/>
  <c r="AH791" i="3"/>
  <c r="AH792" i="3"/>
  <c r="AH793" i="3"/>
  <c r="AH794" i="3"/>
  <c r="AH795" i="3"/>
  <c r="AH796" i="3"/>
  <c r="AH797" i="3"/>
  <c r="AH798" i="3"/>
  <c r="AH799" i="3"/>
  <c r="AH800" i="3"/>
  <c r="AH801" i="3"/>
  <c r="AH802" i="3"/>
  <c r="AH803" i="3"/>
  <c r="AH804" i="3"/>
  <c r="AH805" i="3"/>
  <c r="AH806" i="3"/>
  <c r="AH807" i="3"/>
  <c r="AH808" i="3"/>
  <c r="AH809" i="3"/>
  <c r="AH810" i="3"/>
  <c r="AH811" i="3"/>
  <c r="AH812" i="3"/>
  <c r="AH813" i="3"/>
  <c r="AH814" i="3"/>
  <c r="AH815" i="3"/>
  <c r="AH816" i="3"/>
  <c r="AH817" i="3"/>
  <c r="AH818" i="3"/>
  <c r="AH819" i="3"/>
  <c r="AH820" i="3"/>
  <c r="AH821" i="3"/>
  <c r="AH822" i="3"/>
  <c r="AH823" i="3"/>
  <c r="AH824" i="3"/>
  <c r="AH825" i="3"/>
  <c r="AH826" i="3"/>
  <c r="AH827" i="3"/>
  <c r="AH828" i="3"/>
  <c r="AH829" i="3"/>
  <c r="AH830" i="3"/>
  <c r="AH831" i="3"/>
  <c r="AH832" i="3"/>
  <c r="AH833" i="3"/>
  <c r="AH834" i="3"/>
  <c r="AH835" i="3"/>
  <c r="AH836" i="3"/>
  <c r="AH837" i="3"/>
  <c r="AH838" i="3"/>
  <c r="AH839" i="3"/>
  <c r="AH840" i="3"/>
  <c r="AH841" i="3"/>
  <c r="AH842" i="3"/>
  <c r="AH843" i="3"/>
  <c r="AH844" i="3"/>
  <c r="AH845" i="3"/>
  <c r="AH846" i="3"/>
  <c r="AH847" i="3"/>
  <c r="AH848" i="3"/>
  <c r="AH849" i="3"/>
  <c r="AH850" i="3"/>
  <c r="AH851" i="3"/>
  <c r="AH852" i="3"/>
  <c r="AH853" i="3"/>
  <c r="AH854" i="3"/>
  <c r="AH855" i="3"/>
  <c r="AH856" i="3"/>
  <c r="AH857" i="3"/>
  <c r="AH858" i="3"/>
  <c r="AH859" i="3"/>
  <c r="AH860" i="3"/>
  <c r="AH861" i="3"/>
  <c r="AH862" i="3"/>
  <c r="AH863" i="3"/>
  <c r="AH864" i="3"/>
  <c r="AH865" i="3"/>
  <c r="AH866" i="3"/>
  <c r="AH867" i="3"/>
  <c r="AH868" i="3"/>
  <c r="AH869" i="3"/>
  <c r="AH870" i="3"/>
  <c r="AH871" i="3"/>
  <c r="AH872" i="3"/>
  <c r="AH873" i="3"/>
  <c r="AH874" i="3"/>
  <c r="AH875" i="3"/>
  <c r="AH876" i="3"/>
  <c r="AH877" i="3"/>
  <c r="AH878" i="3"/>
  <c r="AH879" i="3"/>
  <c r="AH880" i="3"/>
  <c r="AH881" i="3"/>
  <c r="AH882" i="3"/>
  <c r="AH883" i="3"/>
  <c r="AH884" i="3"/>
  <c r="AH885" i="3"/>
  <c r="AH886" i="3"/>
  <c r="AH887" i="3"/>
  <c r="AH888" i="3"/>
  <c r="AH889" i="3"/>
  <c r="AH890" i="3"/>
  <c r="AH891" i="3"/>
  <c r="AH892" i="3"/>
  <c r="AH893" i="3"/>
  <c r="AH894" i="3"/>
  <c r="AH895" i="3"/>
  <c r="AH896" i="3"/>
  <c r="AH897" i="3"/>
  <c r="AH898" i="3"/>
  <c r="AH899" i="3"/>
  <c r="AH900" i="3"/>
  <c r="AH901" i="3"/>
  <c r="AH902" i="3"/>
  <c r="AH903" i="3"/>
  <c r="AH904" i="3"/>
  <c r="AH905" i="3"/>
  <c r="AH906" i="3"/>
  <c r="AH907" i="3"/>
  <c r="AH908" i="3"/>
  <c r="AH909" i="3"/>
  <c r="AH910" i="3"/>
  <c r="AH911" i="3"/>
  <c r="AH912" i="3"/>
  <c r="AH913" i="3"/>
  <c r="AH914" i="3"/>
  <c r="AH915" i="3"/>
  <c r="AH916" i="3"/>
  <c r="AH917" i="3"/>
  <c r="AH918" i="3"/>
  <c r="AH919" i="3"/>
  <c r="AH920" i="3"/>
  <c r="AH921" i="3"/>
  <c r="AH922" i="3"/>
  <c r="AH923" i="3"/>
  <c r="AH924" i="3"/>
  <c r="AH925" i="3"/>
  <c r="AH926" i="3"/>
  <c r="AH927" i="3"/>
  <c r="AH928" i="3"/>
  <c r="AH929" i="3"/>
  <c r="AH930" i="3"/>
  <c r="AH931" i="3"/>
  <c r="AH932" i="3"/>
  <c r="AH933" i="3"/>
  <c r="AH934" i="3"/>
  <c r="AH935" i="3"/>
  <c r="AH936" i="3"/>
  <c r="AH937" i="3"/>
  <c r="AH938" i="3"/>
  <c r="AH939" i="3"/>
  <c r="AH940" i="3"/>
  <c r="AH941" i="3"/>
  <c r="AH942" i="3"/>
  <c r="AH943" i="3"/>
  <c r="AH944" i="3"/>
  <c r="AH945" i="3"/>
  <c r="AH946" i="3"/>
  <c r="AH947" i="3"/>
  <c r="AH948" i="3"/>
  <c r="AH949" i="3"/>
  <c r="AH950" i="3"/>
  <c r="AH951" i="3"/>
  <c r="AH952" i="3"/>
  <c r="AH953" i="3"/>
  <c r="AH954" i="3"/>
  <c r="AH955" i="3"/>
  <c r="AH956" i="3"/>
  <c r="AH957" i="3"/>
  <c r="AH958" i="3"/>
  <c r="AH959" i="3"/>
  <c r="AH960" i="3"/>
  <c r="AH961" i="3"/>
  <c r="AH962" i="3"/>
  <c r="AH963" i="3"/>
  <c r="AH964" i="3"/>
  <c r="AH965" i="3"/>
  <c r="AH966" i="3"/>
  <c r="AH967" i="3"/>
  <c r="AH968" i="3"/>
  <c r="AH969" i="3"/>
  <c r="AH970" i="3"/>
  <c r="AH971" i="3"/>
  <c r="AH972" i="3"/>
  <c r="AH973" i="3"/>
  <c r="AH974" i="3"/>
  <c r="AH975" i="3"/>
  <c r="AH976" i="3"/>
  <c r="AH977" i="3"/>
  <c r="AH978" i="3"/>
  <c r="AH979" i="3"/>
  <c r="AH980" i="3"/>
  <c r="AH981" i="3"/>
  <c r="AH982" i="3"/>
  <c r="AH983" i="3"/>
  <c r="AH984" i="3"/>
  <c r="AH985" i="3"/>
  <c r="AH986" i="3"/>
  <c r="AH987" i="3"/>
  <c r="AH988" i="3"/>
  <c r="AH989" i="3"/>
  <c r="AH990" i="3"/>
  <c r="AH991" i="3"/>
  <c r="AH992" i="3"/>
  <c r="AH993" i="3"/>
  <c r="AH994" i="3"/>
  <c r="AH995" i="3"/>
  <c r="AH996" i="3"/>
  <c r="AH997" i="3"/>
  <c r="AH998" i="3"/>
  <c r="AH999" i="3"/>
  <c r="AH1000" i="3"/>
  <c r="AH1001" i="3"/>
  <c r="AH1002" i="3"/>
  <c r="AH1003" i="3"/>
  <c r="AH1004" i="3"/>
  <c r="AH1005" i="3"/>
  <c r="AH1006" i="3"/>
  <c r="AH1007" i="3"/>
  <c r="AH1008" i="3"/>
  <c r="AH1009" i="3"/>
  <c r="AH1010" i="3"/>
  <c r="AH1011" i="3"/>
  <c r="AH1012" i="3"/>
  <c r="AH1013" i="3"/>
  <c r="AH1014" i="3"/>
  <c r="AH1015" i="3"/>
  <c r="AH1016" i="3"/>
  <c r="AH1017" i="3"/>
  <c r="AH1018" i="3"/>
  <c r="AH1019" i="3"/>
  <c r="AH1020" i="3"/>
  <c r="AH1021" i="3"/>
  <c r="AH1022" i="3"/>
  <c r="AH1023" i="3"/>
  <c r="AH1024" i="3"/>
  <c r="AH1025" i="3"/>
  <c r="AH1026" i="3"/>
  <c r="AH1027" i="3"/>
  <c r="AH1028" i="3"/>
  <c r="AH1029" i="3"/>
  <c r="AH1030" i="3"/>
  <c r="AH1031" i="3"/>
  <c r="AH1032" i="3"/>
  <c r="AH1033" i="3"/>
  <c r="AH1034" i="3"/>
  <c r="AH1035" i="3"/>
  <c r="AH1036" i="3"/>
  <c r="AH1037" i="3"/>
  <c r="AH1038" i="3"/>
  <c r="AH1039" i="3"/>
  <c r="AH1040" i="3"/>
  <c r="AH1041" i="3"/>
  <c r="AH1042" i="3"/>
  <c r="AH1043" i="3"/>
  <c r="AH1044" i="3"/>
  <c r="AH1045" i="3"/>
  <c r="AH1046" i="3"/>
  <c r="AH1047" i="3"/>
  <c r="AH1048" i="3"/>
  <c r="AH1049" i="3"/>
  <c r="AH1050" i="3"/>
  <c r="AH1051" i="3"/>
  <c r="AH1052" i="3"/>
  <c r="AH1053" i="3"/>
  <c r="AH1054" i="3"/>
  <c r="AH1055" i="3"/>
  <c r="AH1056" i="3"/>
  <c r="AH1057" i="3"/>
  <c r="AH1058" i="3"/>
  <c r="AH1059" i="3"/>
  <c r="AH1060" i="3"/>
  <c r="AH1061" i="3"/>
  <c r="AH1062" i="3"/>
  <c r="AH1063" i="3"/>
  <c r="AH1064" i="3"/>
  <c r="AH1065" i="3"/>
  <c r="AH1066" i="3"/>
  <c r="AH1067" i="3"/>
  <c r="AH1068" i="3"/>
  <c r="AH1069" i="3"/>
  <c r="AH1070" i="3"/>
  <c r="AH1071" i="3"/>
  <c r="AH1072" i="3"/>
  <c r="AH1073" i="3"/>
  <c r="AH1074" i="3"/>
  <c r="AH1075" i="3"/>
  <c r="AH1076" i="3"/>
  <c r="AH1077" i="3"/>
  <c r="AH1078" i="3"/>
  <c r="AH1079" i="3"/>
  <c r="AH1080" i="3"/>
  <c r="AH1081" i="3"/>
  <c r="AH1082" i="3"/>
  <c r="AH1083" i="3"/>
  <c r="AH1084" i="3"/>
  <c r="AH1085" i="3"/>
  <c r="AH1086" i="3"/>
  <c r="AH1087" i="3"/>
  <c r="AH1088" i="3"/>
  <c r="AH1089" i="3"/>
  <c r="AH1090" i="3"/>
  <c r="AH1091" i="3"/>
  <c r="AH1092" i="3"/>
  <c r="AH1093" i="3"/>
  <c r="AH1094" i="3"/>
  <c r="AH1095" i="3"/>
  <c r="AH1096" i="3"/>
  <c r="AH1097" i="3"/>
  <c r="AH1098" i="3"/>
  <c r="AH1099" i="3"/>
  <c r="AH1100" i="3"/>
  <c r="AH1101" i="3"/>
  <c r="AH1102" i="3"/>
  <c r="AH1103" i="3"/>
  <c r="AH1104" i="3"/>
  <c r="AH1105" i="3"/>
  <c r="AH1106" i="3"/>
  <c r="AH1107" i="3"/>
  <c r="AH1108" i="3"/>
  <c r="AH1109" i="3"/>
  <c r="AH1110" i="3"/>
  <c r="AH1111" i="3"/>
  <c r="AH1112" i="3"/>
  <c r="AH1113" i="3"/>
  <c r="AH1114" i="3"/>
  <c r="AH1115" i="3"/>
  <c r="AH1116" i="3"/>
  <c r="AH1117" i="3"/>
  <c r="AH1118" i="3"/>
  <c r="AH1119" i="3"/>
  <c r="AH1120" i="3"/>
  <c r="AH1121" i="3"/>
  <c r="AH1122" i="3"/>
  <c r="AH1123" i="3"/>
  <c r="AH1124" i="3"/>
  <c r="AH1125" i="3"/>
  <c r="AH1126" i="3"/>
  <c r="AH1127" i="3"/>
  <c r="AH1128" i="3"/>
  <c r="AH1129" i="3"/>
  <c r="AH1130" i="3"/>
  <c r="AH1131" i="3"/>
  <c r="AH1132" i="3"/>
  <c r="AH1133" i="3"/>
  <c r="AH1134" i="3"/>
  <c r="AH1135" i="3"/>
  <c r="AH1136" i="3"/>
  <c r="AH1137" i="3"/>
  <c r="AH1138" i="3"/>
  <c r="AH1139" i="3"/>
  <c r="AH1140" i="3"/>
  <c r="AH1141" i="3"/>
  <c r="AH1142" i="3"/>
  <c r="AH1143" i="3"/>
  <c r="AH1144" i="3"/>
  <c r="AH1145" i="3"/>
  <c r="AH1146" i="3"/>
  <c r="AH1147" i="3"/>
  <c r="AH1148" i="3"/>
  <c r="AH1149" i="3"/>
  <c r="AH1150" i="3"/>
  <c r="AH1151" i="3"/>
  <c r="AH1152" i="3"/>
  <c r="AH1153" i="3"/>
  <c r="AH1154" i="3"/>
  <c r="AH1155" i="3"/>
  <c r="AH1156" i="3"/>
  <c r="AH1157" i="3"/>
  <c r="AH1158" i="3"/>
  <c r="AH1159" i="3"/>
  <c r="AH1160" i="3"/>
  <c r="AH1161" i="3"/>
  <c r="AH1162" i="3"/>
  <c r="AH1163" i="3"/>
  <c r="AH1164" i="3"/>
  <c r="AH1165" i="3"/>
  <c r="AH1166" i="3"/>
  <c r="AH1167" i="3"/>
  <c r="AH1168" i="3"/>
  <c r="AH1169" i="3"/>
  <c r="AH1170" i="3"/>
  <c r="AH1171" i="3"/>
  <c r="AH1172" i="3"/>
  <c r="AH1173" i="3"/>
  <c r="AH1174" i="3"/>
  <c r="AH1175" i="3"/>
  <c r="AH1176" i="3"/>
  <c r="AH1177" i="3"/>
  <c r="AH1178" i="3"/>
  <c r="AH1179" i="3"/>
  <c r="AH1180" i="3"/>
  <c r="AH1181" i="3"/>
  <c r="AH1182" i="3"/>
  <c r="AH1183" i="3"/>
  <c r="AH1184" i="3"/>
  <c r="AH1185" i="3"/>
  <c r="AH1186" i="3"/>
  <c r="AH1187" i="3"/>
  <c r="AH1188" i="3"/>
  <c r="AH1189" i="3"/>
  <c r="AH1190" i="3"/>
  <c r="AH1191" i="3"/>
  <c r="AH1192" i="3"/>
  <c r="AH1193" i="3"/>
  <c r="AH1194" i="3"/>
  <c r="AH1195" i="3"/>
  <c r="AH1196" i="3"/>
  <c r="AH1197" i="3"/>
  <c r="AH1198" i="3"/>
  <c r="AH1199" i="3"/>
  <c r="AH1200" i="3"/>
  <c r="AH1201" i="3"/>
  <c r="AH1202" i="3"/>
  <c r="AH1203" i="3"/>
  <c r="AH1204" i="3"/>
  <c r="AH1205" i="3"/>
  <c r="AH1206" i="3"/>
  <c r="AH1207" i="3"/>
  <c r="AH1208" i="3"/>
  <c r="AH1209" i="3"/>
  <c r="AH1210" i="3"/>
  <c r="AH1211" i="3"/>
  <c r="AH1212" i="3"/>
  <c r="AH1213" i="3"/>
  <c r="AH1214" i="3"/>
  <c r="AH1215" i="3"/>
  <c r="AH1216" i="3"/>
  <c r="AH1217" i="3"/>
  <c r="AH1218" i="3"/>
  <c r="AH1219" i="3"/>
  <c r="AH1220" i="3"/>
  <c r="AH1221" i="3"/>
  <c r="AH1222" i="3"/>
  <c r="AH1223" i="3"/>
  <c r="AH1224" i="3"/>
  <c r="AH1225" i="3"/>
  <c r="AH1226" i="3"/>
  <c r="AH1227" i="3"/>
  <c r="AH1228" i="3"/>
  <c r="AH1229" i="3"/>
  <c r="AH1230" i="3"/>
  <c r="AH1231" i="3"/>
  <c r="AH1232" i="3"/>
  <c r="AH1233" i="3"/>
  <c r="AH1234" i="3"/>
  <c r="AH1235" i="3"/>
  <c r="AH1236" i="3"/>
  <c r="AH1237" i="3"/>
  <c r="AH1238" i="3"/>
  <c r="AH1239" i="3"/>
  <c r="AH1240" i="3"/>
  <c r="AH1241" i="3"/>
  <c r="AH1242" i="3"/>
  <c r="AH1243" i="3"/>
  <c r="AH1244" i="3"/>
  <c r="AH1245" i="3"/>
  <c r="AH1246" i="3"/>
  <c r="AH1247" i="3"/>
  <c r="AH1248" i="3"/>
  <c r="AH1249" i="3"/>
  <c r="AH1250" i="3"/>
  <c r="AH1251" i="3"/>
  <c r="AH1252" i="3"/>
  <c r="AH1253" i="3"/>
  <c r="AH1254" i="3"/>
  <c r="AH1255" i="3"/>
  <c r="AH1256" i="3"/>
  <c r="AH1257" i="3"/>
  <c r="AH1258" i="3"/>
  <c r="AH1259" i="3"/>
  <c r="AH1260" i="3"/>
  <c r="AH1261" i="3"/>
  <c r="AH1262" i="3"/>
  <c r="AH1263" i="3"/>
  <c r="AH1264" i="3"/>
  <c r="AH1265" i="3"/>
  <c r="AH1266" i="3"/>
  <c r="AH1267" i="3"/>
  <c r="AH1268" i="3"/>
  <c r="AH1269" i="3"/>
  <c r="AH1270" i="3"/>
  <c r="AH1271" i="3"/>
  <c r="AH1272" i="3"/>
  <c r="AH1273" i="3"/>
  <c r="AH1274" i="3"/>
  <c r="AH1275" i="3"/>
  <c r="AH1276" i="3"/>
  <c r="AH1277" i="3"/>
  <c r="AH1278" i="3"/>
  <c r="AH1279" i="3"/>
  <c r="AH1280" i="3"/>
  <c r="AH1281" i="3"/>
  <c r="AH1282" i="3"/>
  <c r="AH1283" i="3"/>
  <c r="AH1284" i="3"/>
  <c r="AH1285" i="3"/>
  <c r="AH1286" i="3"/>
  <c r="AH1287" i="3"/>
  <c r="AH1288" i="3"/>
  <c r="AH1289" i="3"/>
  <c r="AH1290" i="3"/>
  <c r="AH1291" i="3"/>
  <c r="AH1292" i="3"/>
  <c r="AH1293" i="3"/>
  <c r="AH1294" i="3"/>
  <c r="AH1295" i="3"/>
  <c r="AH1296" i="3"/>
  <c r="AH1297" i="3"/>
  <c r="AH1298" i="3"/>
  <c r="AH1299" i="3"/>
  <c r="AH1300" i="3"/>
  <c r="AH1301" i="3"/>
  <c r="AH1302" i="3"/>
  <c r="AH1303" i="3"/>
  <c r="AH1304" i="3"/>
  <c r="AH1305" i="3"/>
  <c r="AH1306" i="3"/>
  <c r="AH1307" i="3"/>
  <c r="AH1308" i="3"/>
  <c r="AH1309" i="3"/>
  <c r="AH1310" i="3"/>
  <c r="AH1311" i="3"/>
  <c r="AH1312" i="3"/>
  <c r="AH1313" i="3"/>
  <c r="AH1314" i="3"/>
  <c r="AH1315" i="3"/>
  <c r="AH1316" i="3"/>
  <c r="AH1317" i="3"/>
  <c r="AH1318" i="3"/>
  <c r="AH1319" i="3"/>
  <c r="AH1320" i="3"/>
  <c r="AH1321" i="3"/>
  <c r="AH1322" i="3"/>
  <c r="AH1323" i="3"/>
  <c r="AH1324" i="3"/>
  <c r="AH1325" i="3"/>
  <c r="AH1326" i="3"/>
  <c r="AH1327" i="3"/>
  <c r="AH1328" i="3"/>
  <c r="AH1329" i="3"/>
  <c r="AH1330" i="3"/>
  <c r="AH1331" i="3"/>
  <c r="AH1332" i="3"/>
  <c r="AH1333" i="3"/>
  <c r="AH1334" i="3"/>
  <c r="AH1335" i="3"/>
  <c r="AH1336" i="3"/>
  <c r="AH1337" i="3"/>
  <c r="AH1338" i="3"/>
  <c r="AH1339" i="3"/>
  <c r="AH1340" i="3"/>
  <c r="AH1341" i="3"/>
  <c r="AH1342" i="3"/>
  <c r="AH1343" i="3"/>
  <c r="AH1344" i="3"/>
  <c r="AH1345" i="3"/>
  <c r="AH1346" i="3"/>
  <c r="AH1347" i="3"/>
  <c r="AH1348" i="3"/>
  <c r="AH1349" i="3"/>
  <c r="AH1350" i="3"/>
  <c r="AH1351" i="3"/>
  <c r="AH1352" i="3"/>
  <c r="AH1353" i="3"/>
  <c r="AH1354" i="3"/>
  <c r="AH1355" i="3"/>
  <c r="AH1356" i="3"/>
  <c r="AH1357" i="3"/>
  <c r="AH1358" i="3"/>
  <c r="AH1359" i="3"/>
  <c r="AH1360" i="3"/>
  <c r="AH1361" i="3"/>
  <c r="AH1362" i="3"/>
  <c r="AH1363" i="3"/>
  <c r="AH1364" i="3"/>
  <c r="AH1365" i="3"/>
  <c r="AH1366" i="3"/>
  <c r="AH1367" i="3"/>
  <c r="AH1368" i="3"/>
  <c r="AH1369" i="3"/>
  <c r="AH1370" i="3"/>
  <c r="AH1371" i="3"/>
  <c r="AH1372" i="3"/>
  <c r="AH1373" i="3"/>
  <c r="AH1374" i="3"/>
  <c r="AH1375" i="3"/>
  <c r="AH1376" i="3"/>
  <c r="AH1377" i="3"/>
  <c r="AH1378" i="3"/>
  <c r="AH1379" i="3"/>
  <c r="AH1380" i="3"/>
  <c r="AH1381" i="3"/>
  <c r="AH1382" i="3"/>
  <c r="AH1383" i="3"/>
  <c r="AH1384" i="3"/>
  <c r="AH1385" i="3"/>
  <c r="AH1386" i="3"/>
  <c r="AH1387" i="3"/>
  <c r="AH1388" i="3"/>
  <c r="AH1389" i="3"/>
  <c r="AH1390" i="3"/>
  <c r="AH1391" i="3"/>
  <c r="AH1392" i="3"/>
  <c r="AH1393" i="3"/>
  <c r="AH1394" i="3"/>
  <c r="AH1395" i="3"/>
  <c r="AH1396" i="3"/>
  <c r="AH1397" i="3"/>
  <c r="AH1398" i="3"/>
  <c r="AH1399" i="3"/>
  <c r="AH1400" i="3"/>
  <c r="AH1401" i="3"/>
  <c r="AH1402" i="3"/>
  <c r="AH1403" i="3"/>
  <c r="AH1404" i="3"/>
  <c r="AH1405" i="3"/>
  <c r="AH1406" i="3"/>
  <c r="AH1407" i="3"/>
  <c r="AH1408" i="3"/>
  <c r="AH1409" i="3"/>
  <c r="AH1410" i="3"/>
  <c r="AH1411" i="3"/>
  <c r="AH1412" i="3"/>
  <c r="AH1413" i="3"/>
  <c r="AH1414" i="3"/>
  <c r="AH1415" i="3"/>
  <c r="AH1416" i="3"/>
  <c r="AH1417" i="3"/>
  <c r="AH1418" i="3"/>
  <c r="AH1419" i="3"/>
  <c r="AH1420" i="3"/>
  <c r="AH1421" i="3"/>
  <c r="AH1422" i="3"/>
  <c r="AH1423" i="3"/>
  <c r="AH1424" i="3"/>
  <c r="AH1425" i="3"/>
  <c r="AH1426" i="3"/>
  <c r="AH1427" i="3"/>
  <c r="AH1428" i="3"/>
  <c r="AH1429" i="3"/>
  <c r="AH1430" i="3"/>
  <c r="AH1431" i="3"/>
  <c r="AH1432" i="3"/>
  <c r="AH1433" i="3"/>
  <c r="AH1434" i="3"/>
  <c r="AH1435" i="3"/>
  <c r="AH1436" i="3"/>
  <c r="AH1437" i="3"/>
  <c r="AH1438" i="3"/>
  <c r="AH1439" i="3"/>
  <c r="AH1440" i="3"/>
  <c r="AH1441" i="3"/>
  <c r="AH1442" i="3"/>
  <c r="AH1443" i="3"/>
  <c r="AH1444" i="3"/>
  <c r="AH1445" i="3"/>
  <c r="AH1446" i="3"/>
  <c r="AH1447" i="3"/>
  <c r="AH1448" i="3"/>
  <c r="AH1449" i="3"/>
  <c r="AH1450" i="3"/>
  <c r="AH1451" i="3"/>
  <c r="AH1452" i="3"/>
  <c r="AH1453" i="3"/>
  <c r="AH1454" i="3"/>
  <c r="AH1455" i="3"/>
  <c r="AH1456" i="3"/>
  <c r="AH1457" i="3"/>
  <c r="AH1458" i="3"/>
  <c r="AH1459" i="3"/>
  <c r="AH1460" i="3"/>
  <c r="AH1461" i="3"/>
  <c r="AH1462" i="3"/>
  <c r="AH1463" i="3"/>
  <c r="AH1464" i="3"/>
  <c r="AH1465" i="3"/>
  <c r="AH1466" i="3"/>
  <c r="AH1467" i="3"/>
  <c r="AH1468" i="3"/>
  <c r="AH1469" i="3"/>
  <c r="AH1470" i="3"/>
  <c r="AH1471" i="3"/>
  <c r="AH1472" i="3"/>
  <c r="AH1473" i="3"/>
  <c r="AH1474" i="3"/>
  <c r="AH1475" i="3"/>
  <c r="AH1476" i="3"/>
  <c r="AH1477" i="3"/>
  <c r="AH1478" i="3"/>
  <c r="AH1479" i="3"/>
  <c r="AH1480" i="3"/>
  <c r="AH1481" i="3"/>
  <c r="AH1482" i="3"/>
  <c r="AH1483" i="3"/>
  <c r="AH1484" i="3"/>
  <c r="AH1485" i="3"/>
  <c r="AH1486" i="3"/>
  <c r="AH1487" i="3"/>
  <c r="AH1488" i="3"/>
  <c r="AH1489" i="3"/>
  <c r="AH1490" i="3"/>
  <c r="AH1491" i="3"/>
  <c r="AH1492" i="3"/>
  <c r="AH1493" i="3"/>
  <c r="AH1494" i="3"/>
  <c r="AH1495" i="3"/>
  <c r="AH1496" i="3"/>
  <c r="AH1497" i="3"/>
  <c r="AH1498" i="3"/>
  <c r="AH1499" i="3"/>
  <c r="AH1500" i="3"/>
  <c r="AH1501" i="3"/>
  <c r="AH1502" i="3"/>
  <c r="AH1503" i="3"/>
  <c r="AH1504" i="3"/>
  <c r="AH1505" i="3"/>
  <c r="AH1506" i="3"/>
  <c r="AH1507" i="3"/>
  <c r="AH1508" i="3"/>
  <c r="AH1509" i="3"/>
  <c r="AH1510" i="3"/>
  <c r="AH1511" i="3"/>
  <c r="AH1512" i="3"/>
  <c r="AH1513" i="3"/>
  <c r="AH1514" i="3"/>
  <c r="AH1515" i="3"/>
  <c r="AH1516" i="3"/>
  <c r="AH1517" i="3"/>
  <c r="AH1518" i="3"/>
  <c r="AH1519" i="3"/>
  <c r="AH1520" i="3"/>
  <c r="AH1521" i="3"/>
  <c r="AH1522" i="3"/>
  <c r="AH1523" i="3"/>
  <c r="AH1524" i="3"/>
  <c r="AH1525" i="3"/>
  <c r="AH1526" i="3"/>
  <c r="AH1527" i="3"/>
  <c r="AH1528" i="3"/>
  <c r="AH1529" i="3"/>
  <c r="AH1530" i="3"/>
  <c r="AH1531" i="3"/>
  <c r="AH1532" i="3"/>
  <c r="AH1533" i="3"/>
  <c r="AH1534" i="3"/>
  <c r="AH1535" i="3"/>
  <c r="AH1536" i="3"/>
  <c r="AH1537" i="3"/>
  <c r="AH1538" i="3"/>
  <c r="AH1539" i="3"/>
  <c r="AH1540" i="3"/>
  <c r="AH1541" i="3"/>
  <c r="AH1542" i="3"/>
  <c r="AH1543" i="3"/>
  <c r="AH1544" i="3"/>
  <c r="AH1545" i="3"/>
  <c r="AH1546" i="3"/>
  <c r="AH1547" i="3"/>
  <c r="AH1548" i="3"/>
  <c r="AH1549" i="3"/>
  <c r="AH1550" i="3"/>
  <c r="AH1551" i="3"/>
  <c r="AH1552" i="3"/>
  <c r="AH1553" i="3"/>
  <c r="AH1554" i="3"/>
  <c r="AH1555" i="3"/>
  <c r="AH1556" i="3"/>
  <c r="AH1557" i="3"/>
  <c r="AH1558" i="3"/>
  <c r="AH1559" i="3"/>
  <c r="AH1560" i="3"/>
  <c r="AH1561" i="3"/>
  <c r="AH1562" i="3"/>
  <c r="AH1563" i="3"/>
  <c r="AH1564" i="3"/>
  <c r="AH1565" i="3"/>
  <c r="AH1566" i="3"/>
  <c r="AH1567" i="3"/>
  <c r="AH1568" i="3"/>
  <c r="AH1569" i="3"/>
  <c r="AH1570" i="3"/>
  <c r="AH1571" i="3"/>
  <c r="AH1572" i="3"/>
  <c r="AH1573" i="3"/>
  <c r="AH1574" i="3"/>
  <c r="AH1575" i="3"/>
  <c r="AH1576" i="3"/>
  <c r="AH1577" i="3"/>
  <c r="AH1578" i="3"/>
  <c r="AH1579" i="3"/>
  <c r="AH1580" i="3"/>
  <c r="AH1581" i="3"/>
  <c r="AH1582" i="3"/>
  <c r="AH1583" i="3"/>
  <c r="AH1584" i="3"/>
  <c r="AH1585" i="3"/>
  <c r="AH1586" i="3"/>
  <c r="AH1587" i="3"/>
  <c r="AH1588" i="3"/>
  <c r="AH1589" i="3"/>
  <c r="AH1590" i="3"/>
  <c r="AH1591" i="3"/>
  <c r="AH1592" i="3"/>
  <c r="AH1593" i="3"/>
  <c r="AH1594" i="3"/>
  <c r="AH1595" i="3"/>
  <c r="AH1596" i="3"/>
  <c r="AH1597" i="3"/>
  <c r="AH1598" i="3"/>
  <c r="AH1599" i="3"/>
  <c r="AH1600" i="3"/>
  <c r="AH1601" i="3"/>
  <c r="AH1602" i="3"/>
  <c r="AH1603" i="3"/>
  <c r="AH1604" i="3"/>
  <c r="AH1605" i="3"/>
  <c r="AH1606" i="3"/>
  <c r="AH1607" i="3"/>
  <c r="AH1608" i="3"/>
  <c r="AH1609" i="3"/>
  <c r="AH1610" i="3"/>
  <c r="AH1611" i="3"/>
  <c r="AH1612" i="3"/>
  <c r="AH1613" i="3"/>
  <c r="AH1614" i="3"/>
  <c r="AH1615" i="3"/>
  <c r="AH1616" i="3"/>
  <c r="AH1617" i="3"/>
  <c r="AH1618" i="3"/>
  <c r="AH1619" i="3"/>
  <c r="AH1620" i="3"/>
  <c r="AH1621" i="3"/>
  <c r="AH1622" i="3"/>
  <c r="AH1623" i="3"/>
  <c r="AH1624" i="3"/>
  <c r="AH1625" i="3"/>
  <c r="AH1626" i="3"/>
  <c r="AH1627" i="3"/>
  <c r="AH1628" i="3"/>
  <c r="AH1629" i="3"/>
  <c r="AH1630" i="3"/>
  <c r="AH1631" i="3"/>
  <c r="AH1632" i="3"/>
  <c r="AH1633" i="3"/>
  <c r="AH1634" i="3"/>
  <c r="AH1635" i="3"/>
  <c r="AH1636" i="3"/>
  <c r="AH1637" i="3"/>
  <c r="AH1638" i="3"/>
  <c r="AH1639" i="3"/>
  <c r="AH1640" i="3"/>
  <c r="AH1641" i="3"/>
  <c r="AH1642" i="3"/>
  <c r="AH1643" i="3"/>
  <c r="AH1644" i="3"/>
  <c r="AH1645" i="3"/>
  <c r="AH1646" i="3"/>
  <c r="AH1647" i="3"/>
  <c r="AH1648" i="3"/>
  <c r="AH1649" i="3"/>
  <c r="AH1650" i="3"/>
  <c r="AH1651" i="3"/>
  <c r="AH1652" i="3"/>
  <c r="AH1653" i="3"/>
  <c r="AH1654" i="3"/>
  <c r="AH1655" i="3"/>
  <c r="AH1656" i="3"/>
  <c r="AH1657" i="3"/>
  <c r="AH1658" i="3"/>
  <c r="AH1659" i="3"/>
  <c r="AH1660" i="3"/>
  <c r="AH1661" i="3"/>
  <c r="AH1662" i="3"/>
  <c r="AH1663" i="3"/>
  <c r="AH1664" i="3"/>
  <c r="AH1665" i="3"/>
  <c r="AH1666" i="3"/>
  <c r="AH1667" i="3"/>
  <c r="AH1668" i="3"/>
  <c r="AH1669" i="3"/>
  <c r="AH1670" i="3"/>
  <c r="AH1671" i="3"/>
  <c r="AH1672" i="3"/>
  <c r="AH1673" i="3"/>
  <c r="AH1674" i="3"/>
  <c r="AH1675" i="3"/>
  <c r="AH1676" i="3"/>
  <c r="AH1677" i="3"/>
  <c r="AH1678" i="3"/>
  <c r="AH1679" i="3"/>
  <c r="AH1680" i="3"/>
  <c r="AH1681" i="3"/>
  <c r="AH1682" i="3"/>
  <c r="AH1683" i="3"/>
  <c r="AH1684" i="3"/>
  <c r="AH1685" i="3"/>
  <c r="AH1686" i="3"/>
  <c r="AH1687" i="3"/>
  <c r="AH1688" i="3"/>
  <c r="AH1689" i="3"/>
  <c r="AH1690" i="3"/>
  <c r="AH1691" i="3"/>
  <c r="AH1692" i="3"/>
  <c r="AH1693" i="3"/>
  <c r="AH1694" i="3"/>
  <c r="AH1695" i="3"/>
  <c r="AH1696" i="3"/>
  <c r="AH1697" i="3"/>
  <c r="AH1698" i="3"/>
  <c r="AH1699" i="3"/>
  <c r="AH1700" i="3"/>
  <c r="AH1701" i="3"/>
  <c r="AH1702" i="3"/>
  <c r="AH1703" i="3"/>
  <c r="AH1704" i="3"/>
  <c r="AH1705" i="3"/>
  <c r="AH1706" i="3"/>
  <c r="AH1707" i="3"/>
  <c r="AH1708" i="3"/>
  <c r="AH1709" i="3"/>
  <c r="AH1710" i="3"/>
  <c r="AH1711" i="3"/>
  <c r="AH1712" i="3"/>
  <c r="AH1713" i="3"/>
  <c r="AH1714" i="3"/>
  <c r="AH1715" i="3"/>
  <c r="AH1716" i="3"/>
  <c r="AH1717" i="3"/>
  <c r="AH1718" i="3"/>
  <c r="AH1719" i="3"/>
  <c r="AH1720" i="3"/>
  <c r="AH1721" i="3"/>
  <c r="AH1722" i="3"/>
  <c r="AH1723" i="3"/>
  <c r="AH1724" i="3"/>
  <c r="AH1725" i="3"/>
  <c r="AH1726" i="3"/>
  <c r="AH1727" i="3"/>
  <c r="AH1728" i="3"/>
  <c r="AH1729" i="3"/>
  <c r="AH1730" i="3"/>
  <c r="AH1731" i="3"/>
  <c r="AH1732" i="3"/>
  <c r="AH1733" i="3"/>
  <c r="AH1734" i="3"/>
  <c r="AH1735" i="3"/>
  <c r="AH1736" i="3"/>
  <c r="AH1737" i="3"/>
  <c r="AH1738" i="3"/>
  <c r="AH1739" i="3"/>
  <c r="AH1740" i="3"/>
  <c r="AH1741" i="3"/>
  <c r="AH1742" i="3"/>
  <c r="AH1743" i="3"/>
  <c r="AH1744" i="3"/>
  <c r="AH1745" i="3"/>
  <c r="AH1746" i="3"/>
  <c r="AH1747" i="3"/>
  <c r="AH1748" i="3"/>
  <c r="AH1749" i="3"/>
  <c r="AH1750" i="3"/>
  <c r="AH1751" i="3"/>
  <c r="AH1752" i="3"/>
  <c r="AH1753" i="3"/>
  <c r="AH1754" i="3"/>
  <c r="AH1755" i="3"/>
  <c r="AH1756" i="3"/>
  <c r="AH1757" i="3"/>
  <c r="AH1758" i="3"/>
  <c r="AH1759" i="3"/>
  <c r="AH1760" i="3"/>
  <c r="AH1761" i="3"/>
  <c r="AH1762" i="3"/>
  <c r="AH1763" i="3"/>
  <c r="AH1764" i="3"/>
  <c r="AH1765" i="3"/>
  <c r="AH1766" i="3"/>
  <c r="AH1767" i="3"/>
  <c r="AH1768" i="3"/>
  <c r="AH1769" i="3"/>
  <c r="AH1770" i="3"/>
  <c r="AH1771" i="3"/>
  <c r="AH1772" i="3"/>
  <c r="AH1773" i="3"/>
  <c r="AH1774" i="3"/>
  <c r="AH1775" i="3"/>
  <c r="AH1776" i="3"/>
  <c r="AH1777" i="3"/>
  <c r="AH1778" i="3"/>
  <c r="AH1779" i="3"/>
  <c r="AH1780" i="3"/>
  <c r="AH1781" i="3"/>
  <c r="AH1782" i="3"/>
  <c r="AH1783" i="3"/>
  <c r="AH1784" i="3"/>
  <c r="AH1785" i="3"/>
  <c r="AH1786" i="3"/>
  <c r="AH1787" i="3"/>
  <c r="AH1788" i="3"/>
  <c r="AH1789" i="3"/>
  <c r="AH1790" i="3"/>
  <c r="AH1791" i="3"/>
  <c r="AH1792" i="3"/>
  <c r="AH1793" i="3"/>
  <c r="AH1794" i="3"/>
  <c r="AH1795" i="3"/>
  <c r="AH1796" i="3"/>
  <c r="AH1797" i="3"/>
  <c r="AH1798" i="3"/>
  <c r="AH1799" i="3"/>
  <c r="AH1800" i="3"/>
  <c r="AH1801" i="3"/>
  <c r="AH1802" i="3"/>
  <c r="AH1803" i="3"/>
  <c r="AH1804" i="3"/>
  <c r="AH1805" i="3"/>
  <c r="AH1806" i="3"/>
  <c r="AH1807" i="3"/>
  <c r="AH1808" i="3"/>
  <c r="AH1809" i="3"/>
  <c r="AH1810" i="3"/>
  <c r="AH1811" i="3"/>
  <c r="AH1812" i="3"/>
  <c r="AH1813" i="3"/>
  <c r="AH1814" i="3"/>
  <c r="AH1815" i="3"/>
  <c r="AH1816" i="3"/>
  <c r="AH1817" i="3"/>
  <c r="AH1818" i="3"/>
  <c r="AH1819" i="3"/>
  <c r="AH1820" i="3"/>
  <c r="AH1821" i="3"/>
  <c r="AH1822" i="3"/>
  <c r="AH1823" i="3"/>
  <c r="AH1824" i="3"/>
  <c r="AH1825" i="3"/>
  <c r="AH1826" i="3"/>
  <c r="AH1827" i="3"/>
  <c r="AH1828" i="3"/>
  <c r="AH1829" i="3"/>
  <c r="AH1830" i="3"/>
  <c r="AH1831" i="3"/>
  <c r="AH1832" i="3"/>
  <c r="AH1833" i="3"/>
  <c r="AH1834" i="3"/>
  <c r="AH1835" i="3"/>
  <c r="AH1836" i="3"/>
  <c r="AH1837" i="3"/>
  <c r="AH1838" i="3"/>
  <c r="AH1839" i="3"/>
  <c r="AH1840" i="3"/>
  <c r="AH1841" i="3"/>
  <c r="AH1842" i="3"/>
  <c r="AH1843" i="3"/>
  <c r="AH1844" i="3"/>
  <c r="AH1845" i="3"/>
  <c r="AH1846" i="3"/>
  <c r="AH1847" i="3"/>
  <c r="AH1848" i="3"/>
  <c r="AH1849" i="3"/>
  <c r="AH1850" i="3"/>
  <c r="AH1851" i="3"/>
  <c r="AH1852" i="3"/>
  <c r="AH1853" i="3"/>
  <c r="AH1854" i="3"/>
  <c r="AH1855" i="3"/>
  <c r="AH1856" i="3"/>
  <c r="AH1857" i="3"/>
  <c r="AH1858" i="3"/>
  <c r="AH1859" i="3"/>
  <c r="AH1860" i="3"/>
  <c r="AH1861" i="3"/>
  <c r="AH1862" i="3"/>
  <c r="AH1863" i="3"/>
  <c r="AH1864" i="3"/>
  <c r="AH1865" i="3"/>
  <c r="AH1866" i="3"/>
  <c r="AH1867" i="3"/>
  <c r="AH1868" i="3"/>
  <c r="AH1869" i="3"/>
  <c r="AH1870" i="3"/>
  <c r="AH1871" i="3"/>
  <c r="AH1872" i="3"/>
  <c r="AH1873" i="3"/>
  <c r="AH1874" i="3"/>
  <c r="AH1875" i="3"/>
  <c r="AH1876" i="3"/>
  <c r="AH1877" i="3"/>
  <c r="AH1878" i="3"/>
  <c r="AH1879" i="3"/>
  <c r="AH1880" i="3"/>
  <c r="AH1881" i="3"/>
  <c r="AH1882" i="3"/>
  <c r="AH1883" i="3"/>
  <c r="AH1884" i="3"/>
  <c r="AH1885" i="3"/>
  <c r="AH1886" i="3"/>
  <c r="AH1887" i="3"/>
  <c r="AH1888" i="3"/>
  <c r="AH1889" i="3"/>
  <c r="AH1890" i="3"/>
  <c r="AH1891" i="3"/>
  <c r="AH1892" i="3"/>
  <c r="AH1893" i="3"/>
  <c r="AH1894" i="3"/>
  <c r="AH1895" i="3"/>
  <c r="AH1896" i="3"/>
  <c r="AH1897" i="3"/>
  <c r="AH1898" i="3"/>
  <c r="AH1899" i="3"/>
  <c r="AH1900" i="3"/>
  <c r="AH1901" i="3"/>
  <c r="AH1902" i="3"/>
  <c r="AH1903" i="3"/>
  <c r="AH1904" i="3"/>
  <c r="AH1905" i="3"/>
  <c r="AH1906" i="3"/>
  <c r="AH1907" i="3"/>
  <c r="AH1908" i="3"/>
  <c r="AH1909" i="3"/>
  <c r="AH1910" i="3"/>
  <c r="AH1911" i="3"/>
  <c r="AH1912" i="3"/>
  <c r="AH1913" i="3"/>
  <c r="AH1914" i="3"/>
  <c r="AH1915" i="3"/>
  <c r="AH1916" i="3"/>
  <c r="AH1917" i="3"/>
  <c r="AH1918" i="3"/>
  <c r="AH1919" i="3"/>
  <c r="AH1920" i="3"/>
  <c r="AH1921" i="3"/>
  <c r="AH1922" i="3"/>
  <c r="AH1923" i="3"/>
  <c r="AH1924" i="3"/>
  <c r="AH1925" i="3"/>
  <c r="AH1926" i="3"/>
  <c r="AH1927" i="3"/>
  <c r="AH1928" i="3"/>
  <c r="AH1929" i="3"/>
  <c r="AH1930" i="3"/>
  <c r="AH1931" i="3"/>
  <c r="AH1932" i="3"/>
  <c r="AH1933" i="3"/>
  <c r="AH1934" i="3"/>
  <c r="AH1935" i="3"/>
  <c r="AH1936" i="3"/>
  <c r="AH1937" i="3"/>
  <c r="AH1938" i="3"/>
  <c r="AH1939" i="3"/>
  <c r="AH1940" i="3"/>
  <c r="AH1941" i="3"/>
  <c r="AH1942" i="3"/>
  <c r="AH1943" i="3"/>
  <c r="AH1944" i="3"/>
  <c r="AH1945" i="3"/>
  <c r="AH1946" i="3"/>
  <c r="AH1947" i="3"/>
  <c r="AH1948" i="3"/>
  <c r="AH1949" i="3"/>
  <c r="AH1950" i="3"/>
  <c r="AH1951" i="3"/>
  <c r="AH1952" i="3"/>
  <c r="AH1953" i="3"/>
  <c r="AH1954" i="3"/>
  <c r="AH1955" i="3"/>
  <c r="AH1956" i="3"/>
  <c r="AH1957" i="3"/>
  <c r="AH1958" i="3"/>
  <c r="AH1959" i="3"/>
  <c r="AH1960" i="3"/>
  <c r="AH1961" i="3"/>
  <c r="AH1962" i="3"/>
  <c r="AH1963" i="3"/>
  <c r="AH1964" i="3"/>
  <c r="AH1965" i="3"/>
  <c r="AH1966" i="3"/>
  <c r="AH1967" i="3"/>
  <c r="AH1968" i="3"/>
  <c r="AH1969" i="3"/>
  <c r="AH1970" i="3"/>
  <c r="AH1971" i="3"/>
  <c r="AH1972" i="3"/>
  <c r="AH1973" i="3"/>
  <c r="AH1974" i="3"/>
  <c r="AH1975" i="3"/>
  <c r="AH1976" i="3"/>
  <c r="AH1977" i="3"/>
  <c r="AH1978" i="3"/>
  <c r="AH1979" i="3"/>
  <c r="AH1980" i="3"/>
  <c r="AH1981" i="3"/>
  <c r="AH1982" i="3"/>
  <c r="AH1983" i="3"/>
  <c r="AH1984" i="3"/>
  <c r="AH1985" i="3"/>
  <c r="AH1986" i="3"/>
  <c r="AH1987" i="3"/>
  <c r="AH1988" i="3"/>
  <c r="AH1989" i="3"/>
  <c r="AH1990" i="3"/>
  <c r="AH1991" i="3"/>
  <c r="AH1992" i="3"/>
  <c r="AH1993" i="3"/>
  <c r="AH1994" i="3"/>
  <c r="AH1995" i="3"/>
  <c r="AH1996" i="3"/>
  <c r="AH1997" i="3"/>
  <c r="AH1998" i="3"/>
  <c r="AH1999" i="3"/>
  <c r="AH2000" i="3"/>
  <c r="AH2001" i="3"/>
  <c r="AH2002" i="3"/>
  <c r="AH2003" i="3"/>
  <c r="AH2004" i="3"/>
  <c r="AH2005" i="3"/>
  <c r="AH2006" i="3"/>
  <c r="AH2007" i="3"/>
  <c r="AH2008" i="3"/>
  <c r="AH2009" i="3"/>
  <c r="AH2010" i="3"/>
  <c r="AH2011" i="3"/>
  <c r="AH2012" i="3"/>
  <c r="AH2013" i="3"/>
  <c r="AH2014" i="3"/>
  <c r="AH2015" i="3"/>
  <c r="AH2016" i="3"/>
  <c r="AH2017" i="3"/>
  <c r="AH2018" i="3"/>
  <c r="AH2019" i="3"/>
  <c r="AH2020" i="3"/>
  <c r="AH2021" i="3"/>
  <c r="AH2022" i="3"/>
  <c r="AH2023" i="3"/>
  <c r="AH2024" i="3"/>
  <c r="AH2025" i="3"/>
  <c r="AH2026" i="3"/>
  <c r="AH2027" i="3"/>
  <c r="AH2028" i="3"/>
  <c r="AH2029" i="3"/>
  <c r="AH2030" i="3"/>
  <c r="AH2031" i="3"/>
  <c r="AH2032" i="3"/>
  <c r="AH2033" i="3"/>
  <c r="AH2034" i="3"/>
  <c r="AH2035" i="3"/>
  <c r="AH2036" i="3"/>
  <c r="AH2037" i="3"/>
  <c r="AH2038" i="3"/>
  <c r="AH2039" i="3"/>
  <c r="AH2040" i="3"/>
  <c r="AH2041" i="3"/>
  <c r="AH2042" i="3"/>
  <c r="AH2043" i="3"/>
  <c r="AH2044" i="3"/>
  <c r="AH2045" i="3"/>
  <c r="AH2046" i="3"/>
  <c r="AH2047" i="3"/>
  <c r="AH2048" i="3"/>
  <c r="AH2049" i="3"/>
  <c r="AH2050" i="3"/>
  <c r="AH2051" i="3"/>
  <c r="AH2052" i="3"/>
  <c r="AH2053" i="3"/>
  <c r="AH2054" i="3"/>
  <c r="AH2055" i="3"/>
  <c r="AH2056" i="3"/>
  <c r="AH2057" i="3"/>
  <c r="AH2058" i="3"/>
  <c r="AH2059" i="3"/>
  <c r="AH2060" i="3"/>
  <c r="AH2061" i="3"/>
  <c r="AH2062" i="3"/>
  <c r="AH2063" i="3"/>
  <c r="AH2064" i="3"/>
  <c r="AH2065" i="3"/>
  <c r="AH2066" i="3"/>
  <c r="AH2067" i="3"/>
  <c r="AH2068" i="3"/>
  <c r="AH2069" i="3"/>
  <c r="AH2070" i="3"/>
  <c r="AH2071" i="3"/>
  <c r="AH2072" i="3"/>
  <c r="AH2073" i="3"/>
  <c r="AH2074" i="3"/>
  <c r="AH2075" i="3"/>
  <c r="AH2076" i="3"/>
  <c r="AH2077" i="3"/>
  <c r="AH2078" i="3"/>
  <c r="AH2079" i="3"/>
  <c r="AH2080" i="3"/>
  <c r="AH2081" i="3"/>
  <c r="AH2082" i="3"/>
  <c r="AH2083" i="3"/>
  <c r="AH2084" i="3"/>
  <c r="AH2085" i="3"/>
  <c r="AH2086" i="3"/>
  <c r="AH2087" i="3"/>
  <c r="AH2088" i="3"/>
  <c r="AH2089" i="3"/>
  <c r="AH2090" i="3"/>
  <c r="AH2091" i="3"/>
  <c r="AH2092" i="3"/>
  <c r="AH2093" i="3"/>
  <c r="AH2094" i="3"/>
  <c r="AH2095" i="3"/>
  <c r="AH2096" i="3"/>
  <c r="AH2097" i="3"/>
  <c r="AH2098" i="3"/>
  <c r="AH2099" i="3"/>
  <c r="AH2100" i="3"/>
  <c r="AH2101" i="3"/>
  <c r="AH2102" i="3"/>
  <c r="AH2103" i="3"/>
  <c r="AH2104" i="3"/>
  <c r="AH2105" i="3"/>
  <c r="AH2106" i="3"/>
  <c r="AH2107" i="3"/>
  <c r="AH2108" i="3"/>
  <c r="AH2109" i="3"/>
  <c r="AH2110" i="3"/>
  <c r="AH2111" i="3"/>
  <c r="AH2112" i="3"/>
  <c r="AH2113" i="3"/>
  <c r="AH2114" i="3"/>
  <c r="AH2115" i="3"/>
  <c r="AH2116" i="3"/>
  <c r="AH2117" i="3"/>
  <c r="AH2118" i="3"/>
  <c r="AH2119" i="3"/>
  <c r="AH2120" i="3"/>
  <c r="AH2121" i="3"/>
  <c r="AH2122" i="3"/>
  <c r="AH2123" i="3"/>
  <c r="AH2124" i="3"/>
  <c r="AH2125" i="3"/>
  <c r="AH2126" i="3"/>
  <c r="AH2127" i="3"/>
  <c r="AH2128" i="3"/>
  <c r="AH2129" i="3"/>
  <c r="AH2130" i="3"/>
  <c r="AH2131" i="3"/>
  <c r="AH2132" i="3"/>
  <c r="AH2133" i="3"/>
  <c r="AH2134" i="3"/>
  <c r="AH2135" i="3"/>
  <c r="AH2136" i="3"/>
  <c r="AH2137" i="3"/>
  <c r="AH2138" i="3"/>
  <c r="AH2139" i="3"/>
  <c r="AH2140" i="3"/>
  <c r="AH2141" i="3"/>
  <c r="AH2142" i="3"/>
  <c r="AH2143" i="3"/>
  <c r="AH2144" i="3"/>
  <c r="AH2145" i="3"/>
  <c r="AH2146" i="3"/>
  <c r="AH2147" i="3"/>
  <c r="AH2148" i="3"/>
  <c r="AH2149" i="3"/>
  <c r="AH2150" i="3"/>
  <c r="AH2151" i="3"/>
  <c r="AH2152" i="3"/>
  <c r="AH2153" i="3"/>
  <c r="AH2154" i="3"/>
  <c r="AH2155" i="3"/>
  <c r="AH2156" i="3"/>
  <c r="AH2157" i="3"/>
  <c r="AH2158" i="3"/>
  <c r="AH2159" i="3"/>
  <c r="AH2160" i="3"/>
  <c r="AH2161" i="3"/>
  <c r="AH2162" i="3"/>
  <c r="AH2163" i="3"/>
  <c r="AH2164" i="3"/>
  <c r="AH2165" i="3"/>
  <c r="AH2166" i="3"/>
  <c r="AH2167" i="3"/>
  <c r="AH2168" i="3"/>
  <c r="AH2169" i="3"/>
  <c r="AH2170" i="3"/>
  <c r="AH2171" i="3"/>
  <c r="AH2172" i="3"/>
  <c r="AH2173" i="3"/>
  <c r="AH2174" i="3"/>
  <c r="AH2175" i="3"/>
  <c r="AH2176" i="3"/>
  <c r="AH2177" i="3"/>
  <c r="AH2178" i="3"/>
  <c r="AH2179" i="3"/>
  <c r="AH2180" i="3"/>
  <c r="AH2181" i="3"/>
  <c r="AH2182" i="3"/>
  <c r="AH2183" i="3"/>
  <c r="AH2184" i="3"/>
  <c r="AH2185" i="3"/>
  <c r="AH2186" i="3"/>
  <c r="AH2187" i="3"/>
  <c r="AH2188" i="3"/>
  <c r="AH2189" i="3"/>
  <c r="AH2190" i="3"/>
  <c r="AH2191" i="3"/>
  <c r="AH2192" i="3"/>
  <c r="AH2193" i="3"/>
  <c r="AH2194" i="3"/>
  <c r="AH2195" i="3"/>
  <c r="AH2196" i="3"/>
  <c r="AH2197" i="3"/>
  <c r="AH2198" i="3"/>
  <c r="AH2199" i="3"/>
  <c r="AH2200" i="3"/>
  <c r="AH2201" i="3"/>
  <c r="AH2202" i="3"/>
  <c r="AH2203" i="3"/>
  <c r="AH2204" i="3"/>
  <c r="AH2205" i="3"/>
  <c r="AH2206" i="3"/>
  <c r="AH2207" i="3"/>
  <c r="AH2208" i="3"/>
  <c r="AH2209" i="3"/>
  <c r="AH2210" i="3"/>
  <c r="AH2211" i="3"/>
  <c r="AH2212" i="3"/>
  <c r="AH2213" i="3"/>
  <c r="AH2214" i="3"/>
  <c r="AH2215" i="3"/>
  <c r="AH2216" i="3"/>
  <c r="AH2217" i="3"/>
  <c r="AH2218" i="3"/>
  <c r="AH2219" i="3"/>
  <c r="AH2220" i="3"/>
  <c r="AH2221" i="3"/>
  <c r="AH2222" i="3"/>
  <c r="AH2223" i="3"/>
  <c r="AH2224" i="3"/>
  <c r="AH2225" i="3"/>
  <c r="AH2226" i="3"/>
  <c r="AH2227" i="3"/>
  <c r="AH2228" i="3"/>
  <c r="AH2229" i="3"/>
  <c r="AH2230" i="3"/>
  <c r="AH2231" i="3"/>
  <c r="AH2232" i="3"/>
  <c r="AH2233" i="3"/>
  <c r="AH2234" i="3"/>
  <c r="AH2235" i="3"/>
  <c r="AH2236" i="3"/>
  <c r="AH2237" i="3"/>
  <c r="AH2238" i="3"/>
  <c r="AH2239" i="3"/>
  <c r="AH2240" i="3"/>
  <c r="AH2241" i="3"/>
  <c r="AG2241" i="3"/>
  <c r="AG2240" i="3"/>
  <c r="AG2239" i="3"/>
  <c r="AG2238" i="3"/>
  <c r="AG2237" i="3"/>
  <c r="AG2236" i="3"/>
  <c r="AG2235" i="3"/>
  <c r="AG2234" i="3"/>
  <c r="AG2233" i="3"/>
  <c r="AG2232" i="3"/>
  <c r="AG2231" i="3"/>
  <c r="AG2230" i="3"/>
  <c r="AG2229" i="3"/>
  <c r="AG2228" i="3"/>
  <c r="AG2227" i="3"/>
  <c r="AG2226" i="3"/>
  <c r="AG2225" i="3"/>
  <c r="AG2224" i="3"/>
  <c r="AG2223" i="3"/>
  <c r="AG2222" i="3"/>
  <c r="AG2221" i="3"/>
  <c r="AG2220" i="3"/>
  <c r="AG2219" i="3"/>
  <c r="AG2218" i="3"/>
  <c r="AG2217" i="3"/>
  <c r="AG2216" i="3"/>
  <c r="AG2215" i="3"/>
  <c r="AG2214" i="3"/>
  <c r="AG2213" i="3"/>
  <c r="AG2212" i="3"/>
  <c r="AG2211" i="3"/>
  <c r="AG2210" i="3"/>
  <c r="AG2209" i="3"/>
  <c r="AG2208" i="3"/>
  <c r="AG2207" i="3"/>
  <c r="AG2206" i="3"/>
  <c r="AG2205" i="3"/>
  <c r="AG2204" i="3"/>
  <c r="AG2203" i="3"/>
  <c r="AG2202" i="3"/>
  <c r="AG2201" i="3"/>
  <c r="AG2200" i="3"/>
  <c r="AG2199" i="3"/>
  <c r="AG2198" i="3"/>
  <c r="AG2197" i="3"/>
  <c r="AG2196" i="3"/>
  <c r="AG2195" i="3"/>
  <c r="AG2194" i="3"/>
  <c r="AG2193" i="3"/>
  <c r="AG2192" i="3"/>
  <c r="AG2191" i="3"/>
  <c r="AG2190" i="3"/>
  <c r="AG2189" i="3"/>
  <c r="AG2188" i="3"/>
  <c r="AG2187" i="3"/>
  <c r="AG2186" i="3"/>
  <c r="AG2185" i="3"/>
  <c r="AG2184" i="3"/>
  <c r="AG2183" i="3"/>
  <c r="AG2182" i="3"/>
  <c r="AG2181" i="3"/>
  <c r="AG2180" i="3"/>
  <c r="AG2179" i="3"/>
  <c r="AG2178" i="3"/>
  <c r="AG2177" i="3"/>
  <c r="AG2176" i="3"/>
  <c r="AG2175" i="3"/>
  <c r="AG2174" i="3"/>
  <c r="AG2173" i="3"/>
  <c r="AG2172" i="3"/>
  <c r="AG2171" i="3"/>
  <c r="AG2170" i="3"/>
  <c r="AG2169" i="3"/>
  <c r="AG2168" i="3"/>
  <c r="AG2167" i="3"/>
  <c r="AG2166" i="3"/>
  <c r="AG2165" i="3"/>
  <c r="AG2164" i="3"/>
  <c r="AG2163" i="3"/>
  <c r="AG2162" i="3"/>
  <c r="AG2161" i="3"/>
  <c r="AG2160" i="3"/>
  <c r="AG2159" i="3"/>
  <c r="AG2158" i="3"/>
  <c r="AG2157" i="3"/>
  <c r="AG2156" i="3"/>
  <c r="AG2155" i="3"/>
  <c r="AG2154" i="3"/>
  <c r="AG2153" i="3"/>
  <c r="AG2152" i="3"/>
  <c r="AG2151" i="3"/>
  <c r="AG2150" i="3"/>
  <c r="AG2149" i="3"/>
  <c r="AG2148" i="3"/>
  <c r="AG2147" i="3"/>
  <c r="AG2146" i="3"/>
  <c r="AG2145" i="3"/>
  <c r="AG2144" i="3"/>
  <c r="AG2143" i="3"/>
  <c r="AG2142" i="3"/>
  <c r="AG2141" i="3"/>
  <c r="AG2140" i="3"/>
  <c r="AG2139" i="3"/>
  <c r="AG2138" i="3"/>
  <c r="AG2137" i="3"/>
  <c r="AG2136" i="3"/>
  <c r="AG2135" i="3"/>
  <c r="AG2134" i="3"/>
  <c r="AG2133" i="3"/>
  <c r="AG2132" i="3"/>
  <c r="AG2131" i="3"/>
  <c r="AG2130" i="3"/>
  <c r="AG2129" i="3"/>
  <c r="AG2128" i="3"/>
  <c r="AG2127" i="3"/>
  <c r="AG2126" i="3"/>
  <c r="AG2125" i="3"/>
  <c r="AG2124" i="3"/>
  <c r="AG2123" i="3"/>
  <c r="AG2122" i="3"/>
  <c r="AG2121" i="3"/>
  <c r="AG2120" i="3"/>
  <c r="AG2119" i="3"/>
  <c r="AG2118" i="3"/>
  <c r="AG2117" i="3"/>
  <c r="AG2116" i="3"/>
  <c r="AG2115" i="3"/>
  <c r="AG2114" i="3"/>
  <c r="AG2113" i="3"/>
  <c r="AG2112" i="3"/>
  <c r="AG2111" i="3"/>
  <c r="AG2110" i="3"/>
  <c r="AG2109" i="3"/>
  <c r="AG2108" i="3"/>
  <c r="AG2107" i="3"/>
  <c r="AG2106" i="3"/>
  <c r="AG2105" i="3"/>
  <c r="AG2104" i="3"/>
  <c r="AG2103" i="3"/>
  <c r="AG2102" i="3"/>
  <c r="AG2101" i="3"/>
  <c r="AG2100" i="3"/>
  <c r="AG2099" i="3"/>
  <c r="AG2098" i="3"/>
  <c r="AG2097" i="3"/>
  <c r="AG2096" i="3"/>
  <c r="AG2095" i="3"/>
  <c r="AG2094" i="3"/>
  <c r="AG2093" i="3"/>
  <c r="AG2092" i="3"/>
  <c r="AG2091" i="3"/>
  <c r="AG2090" i="3"/>
  <c r="AG2089" i="3"/>
  <c r="AG2088" i="3"/>
  <c r="AG2087" i="3"/>
  <c r="AG2086" i="3"/>
  <c r="AG2085" i="3"/>
  <c r="AG2084" i="3"/>
  <c r="AG2083" i="3"/>
  <c r="AG2082" i="3"/>
  <c r="AG2081" i="3"/>
  <c r="AG2080" i="3"/>
  <c r="AG2079" i="3"/>
  <c r="AG2078" i="3"/>
  <c r="AG2077" i="3"/>
  <c r="AG2076" i="3"/>
  <c r="AG2075" i="3"/>
  <c r="AG2074" i="3"/>
  <c r="AG2073" i="3"/>
  <c r="AG2072" i="3"/>
  <c r="AG2071" i="3"/>
  <c r="AG2070" i="3"/>
  <c r="AG2069" i="3"/>
  <c r="AG2068" i="3"/>
  <c r="AG2067" i="3"/>
  <c r="AG2066" i="3"/>
  <c r="AG2065" i="3"/>
  <c r="AG2064" i="3"/>
  <c r="AG2063" i="3"/>
  <c r="AG2062" i="3"/>
  <c r="AG2061" i="3"/>
  <c r="AG2060" i="3"/>
  <c r="AG2059" i="3"/>
  <c r="AG2058" i="3"/>
  <c r="AG2057" i="3"/>
  <c r="AG2056" i="3"/>
  <c r="AG2055" i="3"/>
  <c r="AG2054" i="3"/>
  <c r="AG2053" i="3"/>
  <c r="AG2052" i="3"/>
  <c r="AG2051" i="3"/>
  <c r="AG2050" i="3"/>
  <c r="AG2049" i="3"/>
  <c r="AG2048" i="3"/>
  <c r="AG2047" i="3"/>
  <c r="AG2046" i="3"/>
  <c r="AG2045" i="3"/>
  <c r="AG2044" i="3"/>
  <c r="AG2043" i="3"/>
  <c r="AG2042" i="3"/>
  <c r="AG2041" i="3"/>
  <c r="AG2040" i="3"/>
  <c r="AG2039" i="3"/>
  <c r="AG2038" i="3"/>
  <c r="AG2037" i="3"/>
  <c r="AG2036" i="3"/>
  <c r="AG2035" i="3"/>
  <c r="AG2034" i="3"/>
  <c r="AG2033" i="3"/>
  <c r="AG2032" i="3"/>
  <c r="AG2031" i="3"/>
  <c r="AG2030" i="3"/>
  <c r="AG2029" i="3"/>
  <c r="AG2028" i="3"/>
  <c r="AG2027" i="3"/>
  <c r="AG2026" i="3"/>
  <c r="AG2025" i="3"/>
  <c r="AG2024" i="3"/>
  <c r="AG2023" i="3"/>
  <c r="AG2022" i="3"/>
  <c r="AG2021" i="3"/>
  <c r="AG2020" i="3"/>
  <c r="AG2019" i="3"/>
  <c r="AG2018" i="3"/>
  <c r="AG2017" i="3"/>
  <c r="AG2016" i="3"/>
  <c r="AG2015" i="3"/>
  <c r="AG2014" i="3"/>
  <c r="AG2013" i="3"/>
  <c r="AG2012" i="3"/>
  <c r="AG2011" i="3"/>
  <c r="AG2010" i="3"/>
  <c r="AG2009" i="3"/>
  <c r="AG2008" i="3"/>
  <c r="AG2007" i="3"/>
  <c r="AG2006" i="3"/>
  <c r="AG2005" i="3"/>
  <c r="AG2004" i="3"/>
  <c r="AG2003" i="3"/>
  <c r="AG2002" i="3"/>
  <c r="AG2001" i="3"/>
  <c r="AG2000" i="3"/>
  <c r="AG1999" i="3"/>
  <c r="AG1998" i="3"/>
  <c r="AG1997" i="3"/>
  <c r="AG1996" i="3"/>
  <c r="AG1995" i="3"/>
  <c r="AG1994" i="3"/>
  <c r="AG1993" i="3"/>
  <c r="AG1992" i="3"/>
  <c r="AG1991" i="3"/>
  <c r="AG1990" i="3"/>
  <c r="AG1989" i="3"/>
  <c r="AG1988" i="3"/>
  <c r="AG1987" i="3"/>
  <c r="AG1986" i="3"/>
  <c r="AG1985" i="3"/>
  <c r="AG1984" i="3"/>
  <c r="AG1983" i="3"/>
  <c r="AG1982" i="3"/>
  <c r="AG1981" i="3"/>
  <c r="AG1980" i="3"/>
  <c r="AG1979" i="3"/>
  <c r="AG1978" i="3"/>
  <c r="AG1977" i="3"/>
  <c r="AG1976" i="3"/>
  <c r="AG1975" i="3"/>
  <c r="AG1974" i="3"/>
  <c r="AG1973" i="3"/>
  <c r="AG1972" i="3"/>
  <c r="AG1971" i="3"/>
  <c r="AG1970" i="3"/>
  <c r="AG1969" i="3"/>
  <c r="AG1968" i="3"/>
  <c r="AG1967" i="3"/>
  <c r="AG1966" i="3"/>
  <c r="AG1965" i="3"/>
  <c r="AG1964" i="3"/>
  <c r="AG1963" i="3"/>
  <c r="AG1962" i="3"/>
  <c r="AG1961" i="3"/>
  <c r="AG1960" i="3"/>
  <c r="AG1959" i="3"/>
  <c r="AG1958" i="3"/>
  <c r="AG1957" i="3"/>
  <c r="AG1956" i="3"/>
  <c r="AG1955" i="3"/>
  <c r="AG1954" i="3"/>
  <c r="AG1953" i="3"/>
  <c r="AG1952" i="3"/>
  <c r="AG1951" i="3"/>
  <c r="AG1950" i="3"/>
  <c r="AG1949" i="3"/>
  <c r="AG1948" i="3"/>
  <c r="AG1947" i="3"/>
  <c r="AG1946" i="3"/>
  <c r="AG1945" i="3"/>
  <c r="AG1944" i="3"/>
  <c r="AG1943" i="3"/>
  <c r="AG1942" i="3"/>
  <c r="AG1941" i="3"/>
  <c r="AG1940" i="3"/>
  <c r="AG1939" i="3"/>
  <c r="AG1938" i="3"/>
  <c r="AG1937" i="3"/>
  <c r="AG1936" i="3"/>
  <c r="AG1935" i="3"/>
  <c r="AG1934" i="3"/>
  <c r="AG1933" i="3"/>
  <c r="AG1932" i="3"/>
  <c r="AG1931" i="3"/>
  <c r="AG1930" i="3"/>
  <c r="AG1929" i="3"/>
  <c r="AG1928" i="3"/>
  <c r="AG1927" i="3"/>
  <c r="AG1926" i="3"/>
  <c r="AG1925" i="3"/>
  <c r="AG1924" i="3"/>
  <c r="AG1923" i="3"/>
  <c r="AG1922" i="3"/>
  <c r="AG1921" i="3"/>
  <c r="AG1920" i="3"/>
  <c r="AG1919" i="3"/>
  <c r="AG1918" i="3"/>
  <c r="AG1917" i="3"/>
  <c r="AG1916" i="3"/>
  <c r="AG1915" i="3"/>
  <c r="AG1914" i="3"/>
  <c r="AG1913" i="3"/>
  <c r="AG1912" i="3"/>
  <c r="AG1911" i="3"/>
  <c r="AG1910" i="3"/>
  <c r="AG1909" i="3"/>
  <c r="AG1908" i="3"/>
  <c r="AG1907" i="3"/>
  <c r="AG1906" i="3"/>
  <c r="AG1905" i="3"/>
  <c r="AG1904" i="3"/>
  <c r="AG1903" i="3"/>
  <c r="AG1902" i="3"/>
  <c r="AG1901" i="3"/>
  <c r="AG1900" i="3"/>
  <c r="AG1899" i="3"/>
  <c r="AG1898" i="3"/>
  <c r="AG1897" i="3"/>
  <c r="AG1896" i="3"/>
  <c r="AG1895" i="3"/>
  <c r="AG1894" i="3"/>
  <c r="AG1893" i="3"/>
  <c r="AG1892" i="3"/>
  <c r="AG1891" i="3"/>
  <c r="AG1890" i="3"/>
  <c r="AG1889" i="3"/>
  <c r="AG1888" i="3"/>
  <c r="AG1887" i="3"/>
  <c r="AG1886" i="3"/>
  <c r="AG1885" i="3"/>
  <c r="AG1884" i="3"/>
  <c r="AG1883" i="3"/>
  <c r="AG1882" i="3"/>
  <c r="AG1881" i="3"/>
  <c r="AG1880" i="3"/>
  <c r="AG1879" i="3"/>
  <c r="AG1878" i="3"/>
  <c r="AG1877" i="3"/>
  <c r="AG1876" i="3"/>
  <c r="AG1875" i="3"/>
  <c r="AG1874" i="3"/>
  <c r="AG1873" i="3"/>
  <c r="AG1872" i="3"/>
  <c r="AG1871" i="3"/>
  <c r="AG1870" i="3"/>
  <c r="AG1869" i="3"/>
  <c r="AG1868" i="3"/>
  <c r="AG1867" i="3"/>
  <c r="AG1866" i="3"/>
  <c r="AG1865" i="3"/>
  <c r="AG1864" i="3"/>
  <c r="AG1863" i="3"/>
  <c r="AG1862" i="3"/>
  <c r="AG1861" i="3"/>
  <c r="AG1860" i="3"/>
  <c r="AG1859" i="3"/>
  <c r="AG1858" i="3"/>
  <c r="AG1857" i="3"/>
  <c r="AG1856" i="3"/>
  <c r="AG1855" i="3"/>
  <c r="AG1854" i="3"/>
  <c r="AG1853" i="3"/>
  <c r="AG1852" i="3"/>
  <c r="AG1851" i="3"/>
  <c r="AG1850" i="3"/>
  <c r="AG1849" i="3"/>
  <c r="AG1848" i="3"/>
  <c r="AG1847" i="3"/>
  <c r="AG1846" i="3"/>
  <c r="AG1845" i="3"/>
  <c r="AG1844" i="3"/>
  <c r="AG1843" i="3"/>
  <c r="AG1842" i="3"/>
  <c r="AG1841" i="3"/>
  <c r="AG1840" i="3"/>
  <c r="AG1839" i="3"/>
  <c r="AG1838" i="3"/>
  <c r="AG1837" i="3"/>
  <c r="AG1836" i="3"/>
  <c r="AG1835" i="3"/>
  <c r="AG1834" i="3"/>
  <c r="AG1833" i="3"/>
  <c r="AG1832" i="3"/>
  <c r="AG1831" i="3"/>
  <c r="AG1830" i="3"/>
  <c r="AG1829" i="3"/>
  <c r="AG1828" i="3"/>
  <c r="AG1827" i="3"/>
  <c r="AG1826" i="3"/>
  <c r="AG1825" i="3"/>
  <c r="AG1824" i="3"/>
  <c r="AG1823" i="3"/>
  <c r="AG1822" i="3"/>
  <c r="AG1821" i="3"/>
  <c r="AG1820" i="3"/>
  <c r="AG1819" i="3"/>
  <c r="AG1818" i="3"/>
  <c r="AG1817" i="3"/>
  <c r="AG1816" i="3"/>
  <c r="AG1815" i="3"/>
  <c r="AG1814" i="3"/>
  <c r="AG1813" i="3"/>
  <c r="AG1812" i="3"/>
  <c r="AG1811" i="3"/>
  <c r="AG1810" i="3"/>
  <c r="AG1809" i="3"/>
  <c r="AG1808" i="3"/>
  <c r="AG1807" i="3"/>
  <c r="AG1806" i="3"/>
  <c r="AG1805" i="3"/>
  <c r="AG1804" i="3"/>
  <c r="AG1803" i="3"/>
  <c r="AG1802" i="3"/>
  <c r="AG1801" i="3"/>
  <c r="AG1800" i="3"/>
  <c r="AG1799" i="3"/>
  <c r="AG1798" i="3"/>
  <c r="AG1797" i="3"/>
  <c r="AG1796" i="3"/>
  <c r="AG1795" i="3"/>
  <c r="AG1794" i="3"/>
  <c r="AG1793" i="3"/>
  <c r="AG1792" i="3"/>
  <c r="AG1791" i="3"/>
  <c r="AG1790" i="3"/>
  <c r="AG1789" i="3"/>
  <c r="AG1788" i="3"/>
  <c r="AG1787" i="3"/>
  <c r="AG1786" i="3"/>
  <c r="AG1785" i="3"/>
  <c r="AG1784" i="3"/>
  <c r="AG1783" i="3"/>
  <c r="AG1782" i="3"/>
  <c r="AG1781" i="3"/>
  <c r="AG1780" i="3"/>
  <c r="AG1779" i="3"/>
  <c r="AG1778" i="3"/>
  <c r="AG1777" i="3"/>
  <c r="AG1776" i="3"/>
  <c r="AG1775" i="3"/>
  <c r="AG1774" i="3"/>
  <c r="AG1773" i="3"/>
  <c r="AG1772" i="3"/>
  <c r="AG1771" i="3"/>
  <c r="AG1770" i="3"/>
  <c r="AG1769" i="3"/>
  <c r="AG1768" i="3"/>
  <c r="AG1767" i="3"/>
  <c r="AG1766" i="3"/>
  <c r="AG1765" i="3"/>
  <c r="AG1764" i="3"/>
  <c r="AG1763" i="3"/>
  <c r="AG1762" i="3"/>
  <c r="AG1761" i="3"/>
  <c r="AG1760" i="3"/>
  <c r="AG1759" i="3"/>
  <c r="AG1758" i="3"/>
  <c r="AG1757" i="3"/>
  <c r="AG1756" i="3"/>
  <c r="AG1755" i="3"/>
  <c r="AG1754" i="3"/>
  <c r="AG1753" i="3"/>
  <c r="AG1752" i="3"/>
  <c r="AG1751" i="3"/>
  <c r="AG1750" i="3"/>
  <c r="AG1749" i="3"/>
  <c r="AG1748" i="3"/>
  <c r="AG1747" i="3"/>
  <c r="AG1746" i="3"/>
  <c r="AG1745" i="3"/>
  <c r="AG1744" i="3"/>
  <c r="AG1743" i="3"/>
  <c r="AG1742" i="3"/>
  <c r="AG1741" i="3"/>
  <c r="AG1740" i="3"/>
  <c r="AG1739" i="3"/>
  <c r="AG1738" i="3"/>
  <c r="AG1737" i="3"/>
  <c r="AG1736" i="3"/>
  <c r="AG1735" i="3"/>
  <c r="AG1734" i="3"/>
  <c r="AG1733" i="3"/>
  <c r="AG1732" i="3"/>
  <c r="AG1731" i="3"/>
  <c r="AG1730" i="3"/>
  <c r="AG1729" i="3"/>
  <c r="AG1728" i="3"/>
  <c r="AG1727" i="3"/>
  <c r="AG1726" i="3"/>
  <c r="AG1725" i="3"/>
  <c r="AG1724" i="3"/>
  <c r="AG1723" i="3"/>
  <c r="AG1722" i="3"/>
  <c r="AG1721" i="3"/>
  <c r="AG1720" i="3"/>
  <c r="AG1719" i="3"/>
  <c r="AG1718" i="3"/>
  <c r="AG1717" i="3"/>
  <c r="AG1716" i="3"/>
  <c r="AG1715" i="3"/>
  <c r="AG1714" i="3"/>
  <c r="AG1713" i="3"/>
  <c r="AG1712" i="3"/>
  <c r="AG1711" i="3"/>
  <c r="AG1710" i="3"/>
  <c r="AG1709" i="3"/>
  <c r="AG1708" i="3"/>
  <c r="AG1707" i="3"/>
  <c r="AG1706" i="3"/>
  <c r="AG1705" i="3"/>
  <c r="AG1704" i="3"/>
  <c r="AG1703" i="3"/>
  <c r="AG1702" i="3"/>
  <c r="AG1701" i="3"/>
  <c r="AG1700" i="3"/>
  <c r="AG1699" i="3"/>
  <c r="AG1698" i="3"/>
  <c r="AG1697" i="3"/>
  <c r="AG1696" i="3"/>
  <c r="AG1695" i="3"/>
  <c r="AG1694" i="3"/>
  <c r="AG1693" i="3"/>
  <c r="AG1692" i="3"/>
  <c r="AG1691" i="3"/>
  <c r="AG1690" i="3"/>
  <c r="AG1689" i="3"/>
  <c r="AG1688" i="3"/>
  <c r="AG1687" i="3"/>
  <c r="AG1686" i="3"/>
  <c r="AG1685" i="3"/>
  <c r="AG1684" i="3"/>
  <c r="AG1683" i="3"/>
  <c r="AG1682" i="3"/>
  <c r="AG1681" i="3"/>
  <c r="AG1680" i="3"/>
  <c r="AG1679" i="3"/>
  <c r="AG1678" i="3"/>
  <c r="AG1677" i="3"/>
  <c r="AG1676" i="3"/>
  <c r="AG1675" i="3"/>
  <c r="AG1674" i="3"/>
  <c r="AG1673" i="3"/>
  <c r="AG1672" i="3"/>
  <c r="AG1671" i="3"/>
  <c r="AG1670" i="3"/>
  <c r="AG1669" i="3"/>
  <c r="AG1668" i="3"/>
  <c r="AG1667" i="3"/>
  <c r="AG1666" i="3"/>
  <c r="AG1665" i="3"/>
  <c r="AG1664" i="3"/>
  <c r="AG1663" i="3"/>
  <c r="AG1662" i="3"/>
  <c r="AG1661" i="3"/>
  <c r="AG1660" i="3"/>
  <c r="AG1659" i="3"/>
  <c r="AG1658" i="3"/>
  <c r="AG1657" i="3"/>
  <c r="AG1656" i="3"/>
  <c r="AG1655" i="3"/>
  <c r="AG1654" i="3"/>
  <c r="AG1653" i="3"/>
  <c r="AG1652" i="3"/>
  <c r="AG1651" i="3"/>
  <c r="AG1650" i="3"/>
  <c r="AG1649" i="3"/>
  <c r="AG1648" i="3"/>
  <c r="AG1647" i="3"/>
  <c r="AG1646" i="3"/>
  <c r="AG1645" i="3"/>
  <c r="AG1644" i="3"/>
  <c r="AG1643" i="3"/>
  <c r="AG1642" i="3"/>
  <c r="AG1641" i="3"/>
  <c r="AG1640" i="3"/>
  <c r="AG1639" i="3"/>
  <c r="AG1638" i="3"/>
  <c r="AG1637" i="3"/>
  <c r="AG1636" i="3"/>
  <c r="AG1635" i="3"/>
  <c r="AG1634" i="3"/>
  <c r="AG1633" i="3"/>
  <c r="AG1632" i="3"/>
  <c r="AG1631" i="3"/>
  <c r="AG1630" i="3"/>
  <c r="AG1629" i="3"/>
  <c r="AG1628" i="3"/>
  <c r="AG1627" i="3"/>
  <c r="AG1626" i="3"/>
  <c r="AG1625" i="3"/>
  <c r="AG1624" i="3"/>
  <c r="AG1623" i="3"/>
  <c r="AG1622" i="3"/>
  <c r="AG1621" i="3"/>
  <c r="AG1620" i="3"/>
  <c r="AG1619" i="3"/>
  <c r="AG1618" i="3"/>
  <c r="AG1617" i="3"/>
  <c r="AG1616" i="3"/>
  <c r="AG1615" i="3"/>
  <c r="AG1614" i="3"/>
  <c r="AG1613" i="3"/>
  <c r="AG1612" i="3"/>
  <c r="AG1611" i="3"/>
  <c r="AG1610" i="3"/>
  <c r="AG1609" i="3"/>
  <c r="AG1608" i="3"/>
  <c r="AG1607" i="3"/>
  <c r="AG1606" i="3"/>
  <c r="AG1605" i="3"/>
  <c r="AG1604" i="3"/>
  <c r="AG1603" i="3"/>
  <c r="AG1602" i="3"/>
  <c r="AG1601" i="3"/>
  <c r="AG1600" i="3"/>
  <c r="AG1599" i="3"/>
  <c r="AG1598" i="3"/>
  <c r="AG1597" i="3"/>
  <c r="AG1596" i="3"/>
  <c r="AG1595" i="3"/>
  <c r="AG1594" i="3"/>
  <c r="AG1593" i="3"/>
  <c r="AG1592" i="3"/>
  <c r="AG1591" i="3"/>
  <c r="AG1590" i="3"/>
  <c r="AG1589" i="3"/>
  <c r="AG1588" i="3"/>
  <c r="AG1587" i="3"/>
  <c r="AG1586" i="3"/>
  <c r="AG1585" i="3"/>
  <c r="AG1584" i="3"/>
  <c r="AG1583" i="3"/>
  <c r="AG1582" i="3"/>
  <c r="AG1581" i="3"/>
  <c r="AG1580" i="3"/>
  <c r="AG1579" i="3"/>
  <c r="AG1578" i="3"/>
  <c r="AG1577" i="3"/>
  <c r="AG1576" i="3"/>
  <c r="AG1575" i="3"/>
  <c r="AG1574" i="3"/>
  <c r="AG1573" i="3"/>
  <c r="AG1572" i="3"/>
  <c r="AG1571" i="3"/>
  <c r="AG1570" i="3"/>
  <c r="AG1569" i="3"/>
  <c r="AG1568" i="3"/>
  <c r="AG1567" i="3"/>
  <c r="AG1566" i="3"/>
  <c r="AG1565" i="3"/>
  <c r="AG1564" i="3"/>
  <c r="AG1563" i="3"/>
  <c r="AG1562" i="3"/>
  <c r="AG1561" i="3"/>
  <c r="AG1560" i="3"/>
  <c r="AG1559" i="3"/>
  <c r="AG1558" i="3"/>
  <c r="AG1557" i="3"/>
  <c r="AG1556" i="3"/>
  <c r="AG1555" i="3"/>
  <c r="AG1554" i="3"/>
  <c r="AG1553" i="3"/>
  <c r="AG1552" i="3"/>
  <c r="AG1551" i="3"/>
  <c r="AG1550" i="3"/>
  <c r="AG1549" i="3"/>
  <c r="AG1548" i="3"/>
  <c r="AG1547" i="3"/>
  <c r="AG1546" i="3"/>
  <c r="AG1545" i="3"/>
  <c r="AG1544" i="3"/>
  <c r="AG1543" i="3"/>
  <c r="AG1542" i="3"/>
  <c r="AG1541" i="3"/>
  <c r="AG1540" i="3"/>
  <c r="AG1539" i="3"/>
  <c r="AG1538" i="3"/>
  <c r="AG1537" i="3"/>
  <c r="AG1536" i="3"/>
  <c r="AG1535" i="3"/>
  <c r="AG1534" i="3"/>
  <c r="AG1533" i="3"/>
  <c r="AG1532" i="3"/>
  <c r="AG1531" i="3"/>
  <c r="AG1530" i="3"/>
  <c r="AG1529" i="3"/>
  <c r="AG1528" i="3"/>
  <c r="AG1527" i="3"/>
  <c r="AG1526" i="3"/>
  <c r="AG1525" i="3"/>
  <c r="AG1524" i="3"/>
  <c r="AG1523" i="3"/>
  <c r="AG1522" i="3"/>
  <c r="AG1521" i="3"/>
  <c r="AG1520" i="3"/>
  <c r="AG1519" i="3"/>
  <c r="AG1518" i="3"/>
  <c r="AG1517" i="3"/>
  <c r="AG1516" i="3"/>
  <c r="AG1515" i="3"/>
  <c r="AG1514" i="3"/>
  <c r="AG1513" i="3"/>
  <c r="AG1512" i="3"/>
  <c r="AG1511" i="3"/>
  <c r="AG1510" i="3"/>
  <c r="AG1509" i="3"/>
  <c r="AG1508" i="3"/>
  <c r="AG1507" i="3"/>
  <c r="AG1506" i="3"/>
  <c r="AG1505" i="3"/>
  <c r="AG1504" i="3"/>
  <c r="AG1503" i="3"/>
  <c r="AG1502" i="3"/>
  <c r="AG1501" i="3"/>
  <c r="AG1500" i="3"/>
  <c r="AG1499" i="3"/>
  <c r="AG1498" i="3"/>
  <c r="AG1497" i="3"/>
  <c r="AG1496" i="3"/>
  <c r="AG1495" i="3"/>
  <c r="AG1494" i="3"/>
  <c r="AG1493" i="3"/>
  <c r="AG1492" i="3"/>
  <c r="AG1491" i="3"/>
  <c r="AG1490" i="3"/>
  <c r="AG1489" i="3"/>
  <c r="AG1488" i="3"/>
  <c r="AG1487" i="3"/>
  <c r="AG1486" i="3"/>
  <c r="AG1485" i="3"/>
  <c r="AG1484" i="3"/>
  <c r="AG1483" i="3"/>
  <c r="AG1482" i="3"/>
  <c r="AG1481" i="3"/>
  <c r="AG1480" i="3"/>
  <c r="AG1479" i="3"/>
  <c r="AG1478" i="3"/>
  <c r="AG1477" i="3"/>
  <c r="AG1476" i="3"/>
  <c r="AG1475" i="3"/>
  <c r="AG1474" i="3"/>
  <c r="AG1473" i="3"/>
  <c r="AG1472" i="3"/>
  <c r="AG1471" i="3"/>
  <c r="AG1470" i="3"/>
  <c r="AG1469" i="3"/>
  <c r="AG1468" i="3"/>
  <c r="AG1467" i="3"/>
  <c r="AG1466" i="3"/>
  <c r="AG1465" i="3"/>
  <c r="AG1464" i="3"/>
  <c r="AG1463" i="3"/>
  <c r="AG1462" i="3"/>
  <c r="AG1461" i="3"/>
  <c r="AG1460" i="3"/>
  <c r="AG1459" i="3"/>
  <c r="AG1458" i="3"/>
  <c r="AG1457" i="3"/>
  <c r="AG1456" i="3"/>
  <c r="AG1455" i="3"/>
  <c r="AG1454" i="3"/>
  <c r="AG1453" i="3"/>
  <c r="AG1452" i="3"/>
  <c r="AG1451" i="3"/>
  <c r="AG1450" i="3"/>
  <c r="AG1449" i="3"/>
  <c r="AG1448" i="3"/>
  <c r="AG1447" i="3"/>
  <c r="AG1446" i="3"/>
  <c r="AG1445" i="3"/>
  <c r="AG1444" i="3"/>
  <c r="AG1443" i="3"/>
  <c r="AG1442" i="3"/>
  <c r="AG1441" i="3"/>
  <c r="AG1440" i="3"/>
  <c r="AG1439" i="3"/>
  <c r="AG1438" i="3"/>
  <c r="AG1437" i="3"/>
  <c r="AG1436" i="3"/>
  <c r="AG1435" i="3"/>
  <c r="AG1434" i="3"/>
  <c r="AG1433" i="3"/>
  <c r="AG1432" i="3"/>
  <c r="AG1431" i="3"/>
  <c r="AG1430" i="3"/>
  <c r="AG1429" i="3"/>
  <c r="AG1428" i="3"/>
  <c r="AG1427" i="3"/>
  <c r="AG1426" i="3"/>
  <c r="AG1425" i="3"/>
  <c r="AG1424" i="3"/>
  <c r="AG1423" i="3"/>
  <c r="AG1422" i="3"/>
  <c r="AG1421" i="3"/>
  <c r="AG1420" i="3"/>
  <c r="AG1419" i="3"/>
  <c r="AG1418" i="3"/>
  <c r="AG1417" i="3"/>
  <c r="AG1416" i="3"/>
  <c r="AG1415" i="3"/>
  <c r="AG1414" i="3"/>
  <c r="AG1413" i="3"/>
  <c r="AG1412" i="3"/>
  <c r="AG1411" i="3"/>
  <c r="AG1410" i="3"/>
  <c r="AG1409" i="3"/>
  <c r="AG1408" i="3"/>
  <c r="AG1407" i="3"/>
  <c r="AG1406" i="3"/>
  <c r="AG1405" i="3"/>
  <c r="AG1404" i="3"/>
  <c r="AG1403" i="3"/>
  <c r="AG1402" i="3"/>
  <c r="AG1401" i="3"/>
  <c r="AG1400" i="3"/>
  <c r="AG1399" i="3"/>
  <c r="AG1398" i="3"/>
  <c r="AG1397" i="3"/>
  <c r="AG1396" i="3"/>
  <c r="AG1395" i="3"/>
  <c r="AG1394" i="3"/>
  <c r="AG1393" i="3"/>
  <c r="AG1392" i="3"/>
  <c r="AG1391" i="3"/>
  <c r="AG1390" i="3"/>
  <c r="AG1389" i="3"/>
  <c r="AG1388" i="3"/>
  <c r="AG1387" i="3"/>
  <c r="AG1386" i="3"/>
  <c r="AG1385" i="3"/>
  <c r="AG1384" i="3"/>
  <c r="AG1383" i="3"/>
  <c r="AG1382" i="3"/>
  <c r="AG1381" i="3"/>
  <c r="AG1380" i="3"/>
  <c r="AG1379" i="3"/>
  <c r="AG1378" i="3"/>
  <c r="AG1377" i="3"/>
  <c r="AG1376" i="3"/>
  <c r="AG1375" i="3"/>
  <c r="AG1374" i="3"/>
  <c r="AG1373" i="3"/>
  <c r="AG1372" i="3"/>
  <c r="AG1371" i="3"/>
  <c r="AG1370" i="3"/>
  <c r="AG1369" i="3"/>
  <c r="AG1368" i="3"/>
  <c r="AG1367" i="3"/>
  <c r="AG1366" i="3"/>
  <c r="AG1365" i="3"/>
  <c r="AG1364" i="3"/>
  <c r="AG1363" i="3"/>
  <c r="AG1362" i="3"/>
  <c r="AG1361" i="3"/>
  <c r="AG1360" i="3"/>
  <c r="AG1359" i="3"/>
  <c r="AG1358" i="3"/>
  <c r="AG1357" i="3"/>
  <c r="AG1356" i="3"/>
  <c r="AG1355" i="3"/>
  <c r="AG1354" i="3"/>
  <c r="AG1353" i="3"/>
  <c r="AG1352" i="3"/>
  <c r="AG1351" i="3"/>
  <c r="AG1350" i="3"/>
  <c r="AG1349" i="3"/>
  <c r="AG1348" i="3"/>
  <c r="AG1347" i="3"/>
  <c r="AG1346" i="3"/>
  <c r="AG1345" i="3"/>
  <c r="AG1344" i="3"/>
  <c r="AG1343" i="3"/>
  <c r="AG1342" i="3"/>
  <c r="AG1341" i="3"/>
  <c r="AG1340" i="3"/>
  <c r="AG1339" i="3"/>
  <c r="AG1338" i="3"/>
  <c r="AG1337" i="3"/>
  <c r="AG1336" i="3"/>
  <c r="AG1335" i="3"/>
  <c r="AG1334" i="3"/>
  <c r="AG1333" i="3"/>
  <c r="AG1332" i="3"/>
  <c r="AG1331" i="3"/>
  <c r="AG1330" i="3"/>
  <c r="AG1329" i="3"/>
  <c r="AG1328" i="3"/>
  <c r="AG1327" i="3"/>
  <c r="AG1326" i="3"/>
  <c r="AG1325" i="3"/>
  <c r="AG1324" i="3"/>
  <c r="AG1323" i="3"/>
  <c r="AG1322" i="3"/>
  <c r="AG1321" i="3"/>
  <c r="AG1320" i="3"/>
  <c r="AG1319" i="3"/>
  <c r="AG1318" i="3"/>
  <c r="AG1317" i="3"/>
  <c r="AG1316" i="3"/>
  <c r="AG1315" i="3"/>
  <c r="AG1314" i="3"/>
  <c r="AG1313" i="3"/>
  <c r="AG1312" i="3"/>
  <c r="AG1311" i="3"/>
  <c r="AG1310" i="3"/>
  <c r="AG1309" i="3"/>
  <c r="AG1308" i="3"/>
  <c r="AG1307" i="3"/>
  <c r="AG1306" i="3"/>
  <c r="AG1305" i="3"/>
  <c r="AG1304" i="3"/>
  <c r="AG1303" i="3"/>
  <c r="AG1302" i="3"/>
  <c r="AG1301" i="3"/>
  <c r="AG1300" i="3"/>
  <c r="AG1299" i="3"/>
  <c r="AG1298" i="3"/>
  <c r="AG1297" i="3"/>
  <c r="AG1296" i="3"/>
  <c r="AG1295" i="3"/>
  <c r="AG1294" i="3"/>
  <c r="AG1293" i="3"/>
  <c r="AG1292" i="3"/>
  <c r="AG1291" i="3"/>
  <c r="AG1290" i="3"/>
  <c r="AG1289" i="3"/>
  <c r="AG1288" i="3"/>
  <c r="AG1287" i="3"/>
  <c r="AG1286" i="3"/>
  <c r="AG1285" i="3"/>
  <c r="AG1284" i="3"/>
  <c r="AG1283" i="3"/>
  <c r="AG1282" i="3"/>
  <c r="AG1281" i="3"/>
  <c r="AG1280" i="3"/>
  <c r="AG1279" i="3"/>
  <c r="AG1278" i="3"/>
  <c r="AG1277" i="3"/>
  <c r="AG1276" i="3"/>
  <c r="AG1275" i="3"/>
  <c r="AG1274" i="3"/>
  <c r="AG1273" i="3"/>
  <c r="AG1272" i="3"/>
  <c r="AG1271" i="3"/>
  <c r="AG1270" i="3"/>
  <c r="AG1269" i="3"/>
  <c r="AG1268" i="3"/>
  <c r="AG1267" i="3"/>
  <c r="AG1266" i="3"/>
  <c r="AG1265" i="3"/>
  <c r="AG1264" i="3"/>
  <c r="AG1263" i="3"/>
  <c r="AG1262" i="3"/>
  <c r="AG1261" i="3"/>
  <c r="AG1260" i="3"/>
  <c r="AG1259" i="3"/>
  <c r="AG1258" i="3"/>
  <c r="AG1257" i="3"/>
  <c r="AG1256" i="3"/>
  <c r="AG1255" i="3"/>
  <c r="AG1254" i="3"/>
  <c r="AG1253" i="3"/>
  <c r="AG1252" i="3"/>
  <c r="AG1251" i="3"/>
  <c r="AG1250" i="3"/>
  <c r="AG1249" i="3"/>
  <c r="AG1248" i="3"/>
  <c r="AG1247" i="3"/>
  <c r="AG1246" i="3"/>
  <c r="AG1245" i="3"/>
  <c r="AG1244" i="3"/>
  <c r="AG1243" i="3"/>
  <c r="AG1242" i="3"/>
  <c r="AG1241" i="3"/>
  <c r="AG1240" i="3"/>
  <c r="AG1239" i="3"/>
  <c r="AG1238" i="3"/>
  <c r="AG1237" i="3"/>
  <c r="AG1236" i="3"/>
  <c r="AG1235" i="3"/>
  <c r="AG1234" i="3"/>
  <c r="AG1233" i="3"/>
  <c r="AG1232" i="3"/>
  <c r="AG1231" i="3"/>
  <c r="AG1230" i="3"/>
  <c r="AG1229" i="3"/>
  <c r="AG1228" i="3"/>
  <c r="AG1227" i="3"/>
  <c r="AG1226" i="3"/>
  <c r="AG1225" i="3"/>
  <c r="AG1224" i="3"/>
  <c r="AG1223" i="3"/>
  <c r="AG1222" i="3"/>
  <c r="AG1221" i="3"/>
  <c r="AG1220" i="3"/>
  <c r="AG1219" i="3"/>
  <c r="AG1218" i="3"/>
  <c r="AG1217" i="3"/>
  <c r="AG1216" i="3"/>
  <c r="AG1215" i="3"/>
  <c r="AG1214" i="3"/>
  <c r="AG1213" i="3"/>
  <c r="AG1212" i="3"/>
  <c r="AG1211" i="3"/>
  <c r="AG1210" i="3"/>
  <c r="AG1209" i="3"/>
  <c r="AG1208" i="3"/>
  <c r="AG1207" i="3"/>
  <c r="AG1206" i="3"/>
  <c r="AG1205" i="3"/>
  <c r="AG1204" i="3"/>
  <c r="AG1203" i="3"/>
  <c r="AG1202" i="3"/>
  <c r="AG1201" i="3"/>
  <c r="AG1200" i="3"/>
  <c r="AG1199" i="3"/>
  <c r="AG1198" i="3"/>
  <c r="AG1197" i="3"/>
  <c r="AG1196" i="3"/>
  <c r="AG1195" i="3"/>
  <c r="AG1194" i="3"/>
  <c r="AG1193" i="3"/>
  <c r="AG1192" i="3"/>
  <c r="AG1191" i="3"/>
  <c r="AG1190" i="3"/>
  <c r="AG1189" i="3"/>
  <c r="AG1188" i="3"/>
  <c r="AG1187" i="3"/>
  <c r="AG1186" i="3"/>
  <c r="AG1185" i="3"/>
  <c r="AG1184" i="3"/>
  <c r="AG1183" i="3"/>
  <c r="AG1182" i="3"/>
  <c r="AG1181" i="3"/>
  <c r="AG1180" i="3"/>
  <c r="AG1179" i="3"/>
  <c r="AG1178" i="3"/>
  <c r="AG1177" i="3"/>
  <c r="AG1176" i="3"/>
  <c r="AG1175" i="3"/>
  <c r="AG1174" i="3"/>
  <c r="AG1173" i="3"/>
  <c r="AG1172" i="3"/>
  <c r="AG1171" i="3"/>
  <c r="AG1170" i="3"/>
  <c r="AG1169" i="3"/>
  <c r="AG1168" i="3"/>
  <c r="AG1167" i="3"/>
  <c r="AG1166" i="3"/>
  <c r="AG1165" i="3"/>
  <c r="AG1164" i="3"/>
  <c r="AG1163" i="3"/>
  <c r="AG1162" i="3"/>
  <c r="AG1161" i="3"/>
  <c r="AG1160" i="3"/>
  <c r="AG1159" i="3"/>
  <c r="AG1158" i="3"/>
  <c r="AG1157" i="3"/>
  <c r="AG1156" i="3"/>
  <c r="AG1155" i="3"/>
  <c r="AG1154" i="3"/>
  <c r="AG1153" i="3"/>
  <c r="AG1152" i="3"/>
  <c r="AG1151" i="3"/>
  <c r="AG1150" i="3"/>
  <c r="AG1149" i="3"/>
  <c r="AG1148" i="3"/>
  <c r="AG1147" i="3"/>
  <c r="AG1146" i="3"/>
  <c r="AG1145" i="3"/>
  <c r="AG1144" i="3"/>
  <c r="AG1143" i="3"/>
  <c r="AG1142" i="3"/>
  <c r="AG1141" i="3"/>
  <c r="AG1140" i="3"/>
  <c r="AG1139" i="3"/>
  <c r="AG1138" i="3"/>
  <c r="AG1137" i="3"/>
  <c r="AG1136" i="3"/>
  <c r="AG1135" i="3"/>
  <c r="AG1134" i="3"/>
  <c r="AG1133" i="3"/>
  <c r="AG1132" i="3"/>
  <c r="AG1131" i="3"/>
  <c r="AG1130" i="3"/>
  <c r="AG1129" i="3"/>
  <c r="AG1128" i="3"/>
  <c r="AG1127" i="3"/>
  <c r="AG1126" i="3"/>
  <c r="AG1125" i="3"/>
  <c r="AG1124" i="3"/>
  <c r="AG1123" i="3"/>
  <c r="AG1122" i="3"/>
  <c r="AG1121" i="3"/>
  <c r="AG1120" i="3"/>
  <c r="AG1119" i="3"/>
  <c r="AG1118" i="3"/>
  <c r="AG1117" i="3"/>
  <c r="AG1116" i="3"/>
  <c r="AG1115" i="3"/>
  <c r="AG1114" i="3"/>
  <c r="AG1113" i="3"/>
  <c r="AG1112" i="3"/>
  <c r="AG1111" i="3"/>
  <c r="AG1110" i="3"/>
  <c r="AG1109" i="3"/>
  <c r="AG1108" i="3"/>
  <c r="AG1107" i="3"/>
  <c r="AG1106" i="3"/>
  <c r="AG1105" i="3"/>
  <c r="AG1104" i="3"/>
  <c r="AG1103" i="3"/>
  <c r="AG1102" i="3"/>
  <c r="AG1101" i="3"/>
  <c r="AG1100" i="3"/>
  <c r="AG1099" i="3"/>
  <c r="AG1098" i="3"/>
  <c r="AG1097" i="3"/>
  <c r="AG1096" i="3"/>
  <c r="AG1095" i="3"/>
  <c r="AG1094" i="3"/>
  <c r="AG1093" i="3"/>
  <c r="AG1092" i="3"/>
  <c r="AG1091" i="3"/>
  <c r="AG1090" i="3"/>
  <c r="AG1089" i="3"/>
  <c r="AG1088" i="3"/>
  <c r="AG1087" i="3"/>
  <c r="AG1086" i="3"/>
  <c r="AG1085" i="3"/>
  <c r="AG1084" i="3"/>
  <c r="AG1083" i="3"/>
  <c r="AG1082" i="3"/>
  <c r="AG1081" i="3"/>
  <c r="AG1080" i="3"/>
  <c r="AG1079" i="3"/>
  <c r="AG1078" i="3"/>
  <c r="AG1077" i="3"/>
  <c r="AG1076" i="3"/>
  <c r="AG1075" i="3"/>
  <c r="AG1074" i="3"/>
  <c r="AG1073" i="3"/>
  <c r="AG1072" i="3"/>
  <c r="AG1071" i="3"/>
  <c r="AG1070" i="3"/>
  <c r="AG1069" i="3"/>
  <c r="AG1068" i="3"/>
  <c r="AG1067" i="3"/>
  <c r="AG1066" i="3"/>
  <c r="AG1065" i="3"/>
  <c r="AG1064" i="3"/>
  <c r="AG1063" i="3"/>
  <c r="AG1062" i="3"/>
  <c r="AG1061" i="3"/>
  <c r="AG1060" i="3"/>
  <c r="AG1059" i="3"/>
  <c r="AG1058" i="3"/>
  <c r="AG1057" i="3"/>
  <c r="AG1056" i="3"/>
  <c r="AG1055" i="3"/>
  <c r="AG1054" i="3"/>
  <c r="AG1053" i="3"/>
  <c r="AG1052" i="3"/>
  <c r="AG1051" i="3"/>
  <c r="AG1050" i="3"/>
  <c r="AG1049" i="3"/>
  <c r="AG1048" i="3"/>
  <c r="AG1047" i="3"/>
  <c r="AG1046" i="3"/>
  <c r="AG1045" i="3"/>
  <c r="AG1044" i="3"/>
  <c r="AG1043" i="3"/>
  <c r="AG1042" i="3"/>
  <c r="AG1041" i="3"/>
  <c r="AG1040" i="3"/>
  <c r="AG1039" i="3"/>
  <c r="AG1038" i="3"/>
  <c r="AG1037" i="3"/>
  <c r="AG1036" i="3"/>
  <c r="AG1035" i="3"/>
  <c r="AG1034" i="3"/>
  <c r="AG1033" i="3"/>
  <c r="AG1032" i="3"/>
  <c r="AG1031" i="3"/>
  <c r="AG1030" i="3"/>
  <c r="AG1029" i="3"/>
  <c r="AG1028" i="3"/>
  <c r="AG1027" i="3"/>
  <c r="AG1026" i="3"/>
  <c r="AG1025" i="3"/>
  <c r="AG1024" i="3"/>
  <c r="AG1023" i="3"/>
  <c r="AG1022" i="3"/>
  <c r="AG1021" i="3"/>
  <c r="AG1020" i="3"/>
  <c r="AG1019" i="3"/>
  <c r="AG1018" i="3"/>
  <c r="AG1017" i="3"/>
  <c r="AG1016" i="3"/>
  <c r="AG1015" i="3"/>
  <c r="AG1014" i="3"/>
  <c r="AG1013" i="3"/>
  <c r="AG1012" i="3"/>
  <c r="AG1011" i="3"/>
  <c r="AG1010" i="3"/>
  <c r="AG1009" i="3"/>
  <c r="AG1008" i="3"/>
  <c r="AG1007" i="3"/>
  <c r="AG1006" i="3"/>
  <c r="AG1005" i="3"/>
  <c r="AG1004" i="3"/>
  <c r="AG1003" i="3"/>
  <c r="AG1002" i="3"/>
  <c r="AG1001" i="3"/>
  <c r="AG1000" i="3"/>
  <c r="AG999" i="3"/>
  <c r="AG998" i="3"/>
  <c r="AG997" i="3"/>
  <c r="AG996" i="3"/>
  <c r="AG995" i="3"/>
  <c r="AG994" i="3"/>
  <c r="AG993" i="3"/>
  <c r="AG992" i="3"/>
  <c r="AG991" i="3"/>
  <c r="AG990" i="3"/>
  <c r="AG989" i="3"/>
  <c r="AG988" i="3"/>
  <c r="AG987" i="3"/>
  <c r="AG986" i="3"/>
  <c r="AG985" i="3"/>
  <c r="AG984" i="3"/>
  <c r="AG983" i="3"/>
  <c r="AG982" i="3"/>
  <c r="AG981" i="3"/>
  <c r="AG980" i="3"/>
  <c r="AG979" i="3"/>
  <c r="AG978" i="3"/>
  <c r="AG977" i="3"/>
  <c r="AG976" i="3"/>
  <c r="AG975" i="3"/>
  <c r="AG974" i="3"/>
  <c r="AG973" i="3"/>
  <c r="AG972" i="3"/>
  <c r="AG971" i="3"/>
  <c r="AG970" i="3"/>
  <c r="AG969" i="3"/>
  <c r="AG968" i="3"/>
  <c r="AG967" i="3"/>
  <c r="AG966" i="3"/>
  <c r="AG965" i="3"/>
  <c r="AG964" i="3"/>
  <c r="AG963" i="3"/>
  <c r="AG962" i="3"/>
  <c r="AG961" i="3"/>
  <c r="AG960" i="3"/>
  <c r="AG959" i="3"/>
  <c r="AG958" i="3"/>
  <c r="AG957" i="3"/>
  <c r="AG956" i="3"/>
  <c r="AG955" i="3"/>
  <c r="AG954" i="3"/>
  <c r="AG953" i="3"/>
  <c r="AG952" i="3"/>
  <c r="AG951" i="3"/>
  <c r="AG950" i="3"/>
  <c r="AG949" i="3"/>
  <c r="AG948" i="3"/>
  <c r="AG947" i="3"/>
  <c r="AG946" i="3"/>
  <c r="AG945" i="3"/>
  <c r="AG944" i="3"/>
  <c r="AG943" i="3"/>
  <c r="AG942" i="3"/>
  <c r="AG941" i="3"/>
  <c r="AG940" i="3"/>
  <c r="AG939" i="3"/>
  <c r="AG938" i="3"/>
  <c r="AG937" i="3"/>
  <c r="AG936" i="3"/>
  <c r="AG935" i="3"/>
  <c r="AG934" i="3"/>
  <c r="AG933" i="3"/>
  <c r="AG932" i="3"/>
  <c r="AG931" i="3"/>
  <c r="AG930" i="3"/>
  <c r="AG929" i="3"/>
  <c r="AG928" i="3"/>
  <c r="AG927" i="3"/>
  <c r="AG926" i="3"/>
  <c r="AG925" i="3"/>
  <c r="AG924" i="3"/>
  <c r="AG923" i="3"/>
  <c r="AG922" i="3"/>
  <c r="AG921" i="3"/>
  <c r="AG920" i="3"/>
  <c r="AG919" i="3"/>
  <c r="AG918" i="3"/>
  <c r="AG917" i="3"/>
  <c r="AG916" i="3"/>
  <c r="AG915" i="3"/>
  <c r="AG914" i="3"/>
  <c r="AG913" i="3"/>
  <c r="AG912" i="3"/>
  <c r="AG911" i="3"/>
  <c r="AG910" i="3"/>
  <c r="AG909" i="3"/>
  <c r="AG908" i="3"/>
  <c r="AG907" i="3"/>
  <c r="AG906" i="3"/>
  <c r="AG905" i="3"/>
  <c r="AG904" i="3"/>
  <c r="AG903" i="3"/>
  <c r="AG902" i="3"/>
  <c r="AG901" i="3"/>
  <c r="AG900" i="3"/>
  <c r="AG899" i="3"/>
  <c r="AG898" i="3"/>
  <c r="AG897" i="3"/>
  <c r="AG896" i="3"/>
  <c r="AG895" i="3"/>
  <c r="AG894" i="3"/>
  <c r="AG893" i="3"/>
  <c r="AG892" i="3"/>
  <c r="AG891" i="3"/>
  <c r="AG890" i="3"/>
  <c r="AG889" i="3"/>
  <c r="AG888" i="3"/>
  <c r="AG887" i="3"/>
  <c r="AG886" i="3"/>
  <c r="AG885" i="3"/>
  <c r="AG884" i="3"/>
  <c r="AG883" i="3"/>
  <c r="AG882" i="3"/>
  <c r="AG881" i="3"/>
  <c r="AG880" i="3"/>
  <c r="AG879" i="3"/>
  <c r="AG878" i="3"/>
  <c r="AG877" i="3"/>
  <c r="AG876" i="3"/>
  <c r="AG875" i="3"/>
  <c r="AG874" i="3"/>
  <c r="AG873" i="3"/>
  <c r="AG872" i="3"/>
  <c r="AG871" i="3"/>
  <c r="AG870" i="3"/>
  <c r="AG869" i="3"/>
  <c r="AG868" i="3"/>
  <c r="AG867" i="3"/>
  <c r="AG866" i="3"/>
  <c r="AG865" i="3"/>
  <c r="AG864" i="3"/>
  <c r="AG863" i="3"/>
  <c r="AG862" i="3"/>
  <c r="AG861" i="3"/>
  <c r="AG860" i="3"/>
  <c r="AG859" i="3"/>
  <c r="AG858" i="3"/>
  <c r="AG857" i="3"/>
  <c r="AG856" i="3"/>
  <c r="AG855" i="3"/>
  <c r="AG854" i="3"/>
  <c r="AG853" i="3"/>
  <c r="AG852" i="3"/>
  <c r="AG851" i="3"/>
  <c r="AG850" i="3"/>
  <c r="AG849" i="3"/>
  <c r="AG848" i="3"/>
  <c r="AG847" i="3"/>
  <c r="AG846" i="3"/>
  <c r="AG845" i="3"/>
  <c r="AG844" i="3"/>
  <c r="AG843" i="3"/>
  <c r="AG842" i="3"/>
  <c r="AG841" i="3"/>
  <c r="AG840" i="3"/>
  <c r="AG839" i="3"/>
  <c r="AG838" i="3"/>
  <c r="AG837" i="3"/>
  <c r="AG836" i="3"/>
  <c r="AG835" i="3"/>
  <c r="AG834" i="3"/>
  <c r="AG833" i="3"/>
  <c r="AG832" i="3"/>
  <c r="AG831" i="3"/>
  <c r="AG830" i="3"/>
  <c r="AG829" i="3"/>
  <c r="AG828" i="3"/>
  <c r="AG827" i="3"/>
  <c r="AG826" i="3"/>
  <c r="AG825" i="3"/>
  <c r="AG824" i="3"/>
  <c r="AG823" i="3"/>
  <c r="AG822" i="3"/>
  <c r="AG821" i="3"/>
  <c r="AG820" i="3"/>
  <c r="AG819" i="3"/>
  <c r="AG818" i="3"/>
  <c r="AG817" i="3"/>
  <c r="AG816" i="3"/>
  <c r="AG815" i="3"/>
  <c r="AG814" i="3"/>
  <c r="AG813" i="3"/>
  <c r="AG812" i="3"/>
  <c r="AG811" i="3"/>
  <c r="AG810" i="3"/>
  <c r="AG809" i="3"/>
  <c r="AG808" i="3"/>
  <c r="AG807" i="3"/>
  <c r="AG806" i="3"/>
  <c r="AG805" i="3"/>
  <c r="AG804" i="3"/>
  <c r="AG803" i="3"/>
  <c r="AG802" i="3"/>
  <c r="AG801" i="3"/>
  <c r="AG800" i="3"/>
  <c r="AG799" i="3"/>
  <c r="AG798" i="3"/>
  <c r="AG797" i="3"/>
  <c r="AG796" i="3"/>
  <c r="AG795" i="3"/>
  <c r="AG794" i="3"/>
  <c r="AG793" i="3"/>
  <c r="AG792" i="3"/>
  <c r="AG791" i="3"/>
  <c r="AG790" i="3"/>
  <c r="AG789" i="3"/>
  <c r="AG788" i="3"/>
  <c r="AG787" i="3"/>
  <c r="AG786" i="3"/>
  <c r="AG785" i="3"/>
  <c r="AG784" i="3"/>
  <c r="AG783" i="3"/>
  <c r="AG782" i="3"/>
  <c r="AG781" i="3"/>
  <c r="AG780" i="3"/>
  <c r="AG779" i="3"/>
  <c r="AG778" i="3"/>
  <c r="AG777" i="3"/>
  <c r="AG776" i="3"/>
  <c r="AG775" i="3"/>
  <c r="AG774" i="3"/>
  <c r="AG773" i="3"/>
  <c r="AG772" i="3"/>
  <c r="AG771" i="3"/>
  <c r="AG770" i="3"/>
  <c r="AG769" i="3"/>
  <c r="AG768" i="3"/>
  <c r="AG767" i="3"/>
  <c r="AG766" i="3"/>
  <c r="AG765" i="3"/>
  <c r="AG764" i="3"/>
  <c r="AG763" i="3"/>
  <c r="AG762" i="3"/>
  <c r="AG761" i="3"/>
  <c r="AG760" i="3"/>
  <c r="AG759" i="3"/>
  <c r="AG758" i="3"/>
  <c r="AG757" i="3"/>
  <c r="AG756" i="3"/>
  <c r="AG755" i="3"/>
  <c r="AG754" i="3"/>
  <c r="AG753" i="3"/>
  <c r="AG752" i="3"/>
  <c r="AG751" i="3"/>
  <c r="AG750" i="3"/>
  <c r="AG749" i="3"/>
  <c r="AG748" i="3"/>
  <c r="AG747" i="3"/>
  <c r="AG746" i="3"/>
  <c r="AG745" i="3"/>
  <c r="AG744" i="3"/>
  <c r="AG743" i="3"/>
  <c r="AG742" i="3"/>
  <c r="AG741" i="3"/>
  <c r="AG740" i="3"/>
  <c r="AG739" i="3"/>
  <c r="AG738" i="3"/>
  <c r="AG737" i="3"/>
  <c r="AG736" i="3"/>
  <c r="AG735" i="3"/>
  <c r="AG734" i="3"/>
  <c r="AG733" i="3"/>
  <c r="AG732" i="3"/>
  <c r="AG731" i="3"/>
  <c r="AG730" i="3"/>
  <c r="AG729" i="3"/>
  <c r="AG728" i="3"/>
  <c r="AG727" i="3"/>
  <c r="AG726" i="3"/>
  <c r="AG725" i="3"/>
  <c r="AG724" i="3"/>
  <c r="AG723" i="3"/>
  <c r="AG722" i="3"/>
  <c r="AG721" i="3"/>
  <c r="AG720" i="3"/>
  <c r="AG719" i="3"/>
  <c r="AG718" i="3"/>
  <c r="AG717" i="3"/>
  <c r="AG716" i="3"/>
  <c r="AG715" i="3"/>
  <c r="AG714" i="3"/>
  <c r="AG713" i="3"/>
  <c r="AG712" i="3"/>
  <c r="AG711" i="3"/>
  <c r="AG710" i="3"/>
  <c r="AG709" i="3"/>
  <c r="AG708" i="3"/>
  <c r="AG707" i="3"/>
  <c r="AG706" i="3"/>
  <c r="AG705" i="3"/>
  <c r="AG704" i="3"/>
  <c r="AG703" i="3"/>
  <c r="AG702" i="3"/>
  <c r="AG701" i="3"/>
  <c r="AG700" i="3"/>
  <c r="AG699" i="3"/>
  <c r="AG698" i="3"/>
  <c r="AG697" i="3"/>
  <c r="AG696" i="3"/>
  <c r="AG695" i="3"/>
  <c r="AG694" i="3"/>
  <c r="AG693" i="3"/>
  <c r="AG692" i="3"/>
  <c r="AG691" i="3"/>
  <c r="AG690" i="3"/>
  <c r="AG689" i="3"/>
  <c r="AG688" i="3"/>
  <c r="AG687" i="3"/>
  <c r="AG686" i="3"/>
  <c r="AG685" i="3"/>
  <c r="AG684" i="3"/>
  <c r="AG683" i="3"/>
  <c r="AG682" i="3"/>
  <c r="AG681" i="3"/>
  <c r="AG680" i="3"/>
  <c r="AG679" i="3"/>
  <c r="AG678" i="3"/>
  <c r="AG677" i="3"/>
  <c r="AG676" i="3"/>
  <c r="AG675" i="3"/>
  <c r="AG674" i="3"/>
  <c r="AG673" i="3"/>
  <c r="AG672" i="3"/>
  <c r="AG671" i="3"/>
  <c r="AG670" i="3"/>
  <c r="AG669" i="3"/>
  <c r="AG668" i="3"/>
  <c r="AG667" i="3"/>
  <c r="AG666" i="3"/>
  <c r="AG665" i="3"/>
  <c r="AG664" i="3"/>
  <c r="AG663" i="3"/>
  <c r="AG662" i="3"/>
  <c r="AG661" i="3"/>
  <c r="AG660" i="3"/>
  <c r="AG659" i="3"/>
  <c r="AG658" i="3"/>
  <c r="AG657" i="3"/>
  <c r="AG656" i="3"/>
  <c r="AG655" i="3"/>
  <c r="AG654" i="3"/>
  <c r="AG653" i="3"/>
  <c r="AG652" i="3"/>
  <c r="AG651" i="3"/>
  <c r="AG650" i="3"/>
  <c r="AG649" i="3"/>
  <c r="AG648" i="3"/>
  <c r="AG647" i="3"/>
  <c r="AG646" i="3"/>
  <c r="AG645" i="3"/>
  <c r="AG644" i="3"/>
  <c r="AG643" i="3"/>
  <c r="AG642" i="3"/>
  <c r="AG641" i="3"/>
  <c r="AG640" i="3"/>
  <c r="AG639" i="3"/>
  <c r="AG638" i="3"/>
  <c r="AG637" i="3"/>
  <c r="AG636" i="3"/>
  <c r="AG635" i="3"/>
  <c r="AG634" i="3"/>
  <c r="AG633" i="3"/>
  <c r="AG632" i="3"/>
  <c r="AG631" i="3"/>
  <c r="AG630" i="3"/>
  <c r="AG629" i="3"/>
  <c r="AG628" i="3"/>
  <c r="AG627" i="3"/>
  <c r="AG626" i="3"/>
  <c r="AG625" i="3"/>
  <c r="AG624" i="3"/>
  <c r="AG623" i="3"/>
  <c r="AG622" i="3"/>
  <c r="AG621" i="3"/>
  <c r="AG620" i="3"/>
  <c r="AG619" i="3"/>
  <c r="AG618" i="3"/>
  <c r="AG617" i="3"/>
  <c r="AG616" i="3"/>
  <c r="AG615" i="3"/>
  <c r="AG614" i="3"/>
  <c r="AG613" i="3"/>
  <c r="AG612" i="3"/>
  <c r="AG611" i="3"/>
  <c r="AG610" i="3"/>
  <c r="AG609" i="3"/>
  <c r="AG608" i="3"/>
  <c r="AG607" i="3"/>
  <c r="AG606" i="3"/>
  <c r="AG605" i="3"/>
  <c r="AG604" i="3"/>
  <c r="AG603" i="3"/>
  <c r="AG602" i="3"/>
  <c r="AG601" i="3"/>
  <c r="AG600" i="3"/>
  <c r="AG599" i="3"/>
  <c r="AG598" i="3"/>
  <c r="AG597" i="3"/>
  <c r="AG596" i="3"/>
  <c r="AG595" i="3"/>
  <c r="AG594" i="3"/>
  <c r="AG593" i="3"/>
  <c r="AG592" i="3"/>
  <c r="AG591" i="3"/>
  <c r="AG590" i="3"/>
  <c r="AG589" i="3"/>
  <c r="AG588" i="3"/>
  <c r="AG587" i="3"/>
  <c r="AG586" i="3"/>
  <c r="AG585" i="3"/>
  <c r="AG584" i="3"/>
  <c r="AG583" i="3"/>
  <c r="AG582" i="3"/>
  <c r="AG581" i="3"/>
  <c r="AG580" i="3"/>
  <c r="AG579" i="3"/>
  <c r="AG578" i="3"/>
  <c r="AG577" i="3"/>
  <c r="AG576" i="3"/>
  <c r="AG575" i="3"/>
  <c r="AG574" i="3"/>
  <c r="AG573" i="3"/>
  <c r="AG572" i="3"/>
  <c r="AG571" i="3"/>
  <c r="AG570" i="3"/>
  <c r="AG569" i="3"/>
  <c r="AG568" i="3"/>
  <c r="AG567" i="3"/>
  <c r="AG566" i="3"/>
  <c r="AG565" i="3"/>
  <c r="AG564" i="3"/>
  <c r="AG563" i="3"/>
  <c r="AG562" i="3"/>
  <c r="AG561" i="3"/>
  <c r="AG560" i="3"/>
  <c r="AG559" i="3"/>
  <c r="AG558" i="3"/>
  <c r="AG557" i="3"/>
  <c r="AG556" i="3"/>
  <c r="AG555" i="3"/>
  <c r="AG554" i="3"/>
  <c r="AG553" i="3"/>
  <c r="AG552" i="3"/>
  <c r="AG551" i="3"/>
  <c r="AG550" i="3"/>
  <c r="AG549" i="3"/>
  <c r="AG548" i="3"/>
  <c r="AG547" i="3"/>
  <c r="AG546" i="3"/>
  <c r="AG545" i="3"/>
  <c r="AG544" i="3"/>
  <c r="AG543" i="3"/>
  <c r="AG542" i="3"/>
  <c r="AG541" i="3"/>
  <c r="AG540" i="3"/>
  <c r="AG539" i="3"/>
  <c r="AG538" i="3"/>
  <c r="AG537" i="3"/>
  <c r="AG536" i="3"/>
  <c r="AG535" i="3"/>
  <c r="AG534" i="3"/>
  <c r="AG533" i="3"/>
  <c r="AG532" i="3"/>
  <c r="AG531" i="3"/>
  <c r="AG530" i="3"/>
  <c r="AG529" i="3"/>
  <c r="AG528" i="3"/>
  <c r="AG527" i="3"/>
  <c r="AG526" i="3"/>
  <c r="AG525" i="3"/>
  <c r="AG524" i="3"/>
  <c r="AG523" i="3"/>
  <c r="AG522" i="3"/>
  <c r="AG521" i="3"/>
  <c r="AG520" i="3"/>
  <c r="AG519" i="3"/>
  <c r="AG518" i="3"/>
  <c r="AG517" i="3"/>
  <c r="AG516" i="3"/>
  <c r="AG515" i="3"/>
  <c r="AG514" i="3"/>
  <c r="AG513" i="3"/>
  <c r="AG512" i="3"/>
  <c r="AG511" i="3"/>
  <c r="AG510" i="3"/>
  <c r="AG509" i="3"/>
  <c r="AG508" i="3"/>
  <c r="AG507" i="3"/>
  <c r="AG506" i="3"/>
  <c r="AG505" i="3"/>
  <c r="AG504" i="3"/>
  <c r="AG503" i="3"/>
  <c r="AG502" i="3"/>
  <c r="AG501" i="3"/>
  <c r="AG500" i="3"/>
  <c r="AG499" i="3"/>
  <c r="AG498" i="3"/>
  <c r="AG497" i="3"/>
  <c r="AG496" i="3"/>
  <c r="AG495" i="3"/>
  <c r="AG494" i="3"/>
  <c r="AG493" i="3"/>
  <c r="AG492" i="3"/>
  <c r="AG491" i="3"/>
  <c r="AG490" i="3"/>
  <c r="AG489" i="3"/>
  <c r="AG488" i="3"/>
  <c r="AG487" i="3"/>
  <c r="AG486" i="3"/>
  <c r="AG485" i="3"/>
  <c r="AG484" i="3"/>
  <c r="AG483" i="3"/>
  <c r="AG482" i="3"/>
  <c r="AG481" i="3"/>
  <c r="AG480" i="3"/>
  <c r="AG479" i="3"/>
  <c r="AG478" i="3"/>
  <c r="AG477" i="3"/>
  <c r="AG476" i="3"/>
  <c r="AG475" i="3"/>
  <c r="AG474" i="3"/>
  <c r="AG473" i="3"/>
  <c r="AG472" i="3"/>
  <c r="AG471" i="3"/>
  <c r="AG470" i="3"/>
  <c r="AG469" i="3"/>
  <c r="AG468" i="3"/>
  <c r="AG467" i="3"/>
  <c r="AG466" i="3"/>
  <c r="AG465" i="3"/>
  <c r="AG464" i="3"/>
  <c r="AG463" i="3"/>
  <c r="AG462" i="3"/>
  <c r="AG461" i="3"/>
  <c r="AG460" i="3"/>
  <c r="AG459" i="3"/>
  <c r="AG458" i="3"/>
  <c r="AG457" i="3"/>
  <c r="AG456" i="3"/>
  <c r="AG455" i="3"/>
  <c r="AG454" i="3"/>
  <c r="AG453" i="3"/>
  <c r="AG452" i="3"/>
  <c r="AG451" i="3"/>
  <c r="AG450" i="3"/>
  <c r="AG449" i="3"/>
  <c r="AG448" i="3"/>
  <c r="AG447" i="3"/>
  <c r="AG446" i="3"/>
  <c r="AG445" i="3"/>
  <c r="AG444" i="3"/>
  <c r="AG443" i="3"/>
  <c r="AG442" i="3"/>
  <c r="AG441" i="3"/>
  <c r="AG440" i="3"/>
  <c r="AG439" i="3"/>
  <c r="AG438" i="3"/>
  <c r="AG437" i="3"/>
  <c r="AG436" i="3"/>
  <c r="AG435" i="3"/>
  <c r="AG434" i="3"/>
  <c r="AG433" i="3"/>
  <c r="AG432" i="3"/>
  <c r="AG431" i="3"/>
  <c r="AG430" i="3"/>
  <c r="AG429" i="3"/>
  <c r="AG428" i="3"/>
  <c r="AG427" i="3"/>
  <c r="AG426" i="3"/>
  <c r="AG425" i="3"/>
  <c r="AG424" i="3"/>
  <c r="AG423" i="3"/>
  <c r="AG422" i="3"/>
  <c r="AG421" i="3"/>
  <c r="AG420" i="3"/>
  <c r="AG419" i="3"/>
  <c r="AG418" i="3"/>
  <c r="AG417" i="3"/>
  <c r="AG416" i="3"/>
  <c r="AG415" i="3"/>
  <c r="AG414" i="3"/>
  <c r="AG413" i="3"/>
  <c r="AG412" i="3"/>
  <c r="AG411" i="3"/>
  <c r="AG410" i="3"/>
  <c r="AG409" i="3"/>
  <c r="AG408" i="3"/>
  <c r="AG407" i="3"/>
  <c r="AG406" i="3"/>
  <c r="AG405" i="3"/>
  <c r="AG404" i="3"/>
  <c r="AG403" i="3"/>
  <c r="AG402" i="3"/>
  <c r="AG401" i="3"/>
  <c r="AG400" i="3"/>
  <c r="AG399" i="3"/>
  <c r="AG398" i="3"/>
  <c r="AG397" i="3"/>
  <c r="AG396" i="3"/>
  <c r="AG395" i="3"/>
  <c r="AG394" i="3"/>
  <c r="AG393" i="3"/>
  <c r="AG392" i="3"/>
  <c r="AG391" i="3"/>
  <c r="AG390" i="3"/>
  <c r="AG389" i="3"/>
  <c r="AG388" i="3"/>
  <c r="AG387" i="3"/>
  <c r="AG386" i="3"/>
  <c r="AG385" i="3"/>
  <c r="AG384" i="3"/>
  <c r="AG383" i="3"/>
  <c r="AG382" i="3"/>
  <c r="AG381" i="3"/>
  <c r="AG380" i="3"/>
  <c r="AG379" i="3"/>
  <c r="AG378" i="3"/>
  <c r="AG377" i="3"/>
  <c r="AG376" i="3"/>
  <c r="AG375" i="3"/>
  <c r="AG374" i="3"/>
  <c r="AG373" i="3"/>
  <c r="AG372" i="3"/>
  <c r="AG371" i="3"/>
  <c r="AG370" i="3"/>
  <c r="AG369" i="3"/>
  <c r="AG368" i="3"/>
  <c r="AG367" i="3"/>
  <c r="AG366" i="3"/>
  <c r="AG365" i="3"/>
  <c r="AG364" i="3"/>
  <c r="AG363" i="3"/>
  <c r="AG362" i="3"/>
  <c r="AG361" i="3"/>
  <c r="AG360" i="3"/>
  <c r="AG359" i="3"/>
  <c r="AG358" i="3"/>
  <c r="AG357" i="3"/>
  <c r="AG356" i="3"/>
  <c r="AG355" i="3"/>
  <c r="AG354" i="3"/>
  <c r="AG353" i="3"/>
  <c r="AG352" i="3"/>
  <c r="AG351" i="3"/>
  <c r="AG350" i="3"/>
  <c r="AG349" i="3"/>
  <c r="AG348" i="3"/>
  <c r="AG347" i="3"/>
  <c r="AG346" i="3"/>
  <c r="AG345" i="3"/>
  <c r="AG344" i="3"/>
  <c r="AG343" i="3"/>
  <c r="AG342" i="3"/>
  <c r="AG341" i="3"/>
  <c r="AG340" i="3"/>
  <c r="AG339" i="3"/>
  <c r="AG338" i="3"/>
  <c r="AG337" i="3"/>
  <c r="AG336" i="3"/>
  <c r="AG335" i="3"/>
  <c r="AG334" i="3"/>
  <c r="AG333" i="3"/>
  <c r="AG332" i="3"/>
  <c r="AG331" i="3"/>
  <c r="AG330" i="3"/>
  <c r="AG329" i="3"/>
  <c r="AG328" i="3"/>
  <c r="AG327" i="3"/>
  <c r="AG326" i="3"/>
  <c r="AG325" i="3"/>
  <c r="AG324" i="3"/>
  <c r="AG323" i="3"/>
  <c r="AG322" i="3"/>
  <c r="AG321" i="3"/>
  <c r="AG320" i="3"/>
  <c r="AG319" i="3"/>
  <c r="AG318" i="3"/>
  <c r="AG317" i="3"/>
  <c r="AG316" i="3"/>
  <c r="AG315" i="3"/>
  <c r="AG314" i="3"/>
  <c r="AG313" i="3"/>
  <c r="AG312" i="3"/>
  <c r="AG311" i="3"/>
  <c r="AG310" i="3"/>
  <c r="AG309" i="3"/>
  <c r="AG308" i="3"/>
  <c r="AG307" i="3"/>
  <c r="AG306" i="3"/>
  <c r="AG305" i="3"/>
  <c r="AG304" i="3"/>
  <c r="AG303" i="3"/>
  <c r="AG302" i="3"/>
  <c r="AG301" i="3"/>
  <c r="AG300" i="3"/>
  <c r="AG299" i="3"/>
  <c r="AG298" i="3"/>
  <c r="AG297" i="3"/>
  <c r="AG296" i="3"/>
  <c r="AG295" i="3"/>
  <c r="AG294" i="3"/>
  <c r="AG293" i="3"/>
  <c r="AG292" i="3"/>
  <c r="AG291" i="3"/>
  <c r="AG290" i="3"/>
  <c r="AG289" i="3"/>
  <c r="AG288" i="3"/>
  <c r="AG287" i="3"/>
  <c r="AG286" i="3"/>
  <c r="AG285" i="3"/>
  <c r="AG284" i="3"/>
  <c r="AG283" i="3"/>
  <c r="AG282" i="3"/>
  <c r="AG281" i="3"/>
  <c r="AG280" i="3"/>
  <c r="AG279" i="3"/>
  <c r="AG278" i="3"/>
  <c r="AG277" i="3"/>
  <c r="AG276" i="3"/>
  <c r="AG275" i="3"/>
  <c r="AG274" i="3"/>
  <c r="AG273" i="3"/>
  <c r="AG272" i="3"/>
  <c r="AG271" i="3"/>
  <c r="AG270" i="3"/>
  <c r="AG269" i="3"/>
  <c r="AG268" i="3"/>
  <c r="AG267" i="3"/>
  <c r="AG266" i="3"/>
  <c r="AG265" i="3"/>
  <c r="AG264" i="3"/>
  <c r="AG263" i="3"/>
  <c r="AG262" i="3"/>
  <c r="AG261" i="3"/>
  <c r="AG260" i="3"/>
  <c r="AG259" i="3"/>
  <c r="AG258" i="3"/>
  <c r="AG257" i="3"/>
  <c r="AG256" i="3"/>
  <c r="AG255" i="3"/>
  <c r="AG254" i="3"/>
  <c r="AG253" i="3"/>
  <c r="AG252" i="3"/>
  <c r="AG251" i="3"/>
  <c r="AG250" i="3"/>
  <c r="AG249" i="3"/>
  <c r="AG248" i="3"/>
  <c r="AG247" i="3"/>
  <c r="AG246" i="3"/>
  <c r="AG245" i="3"/>
  <c r="AG244" i="3"/>
  <c r="AG243" i="3"/>
  <c r="AG242" i="3"/>
  <c r="AG241" i="3"/>
  <c r="AG240" i="3"/>
  <c r="AG239" i="3"/>
  <c r="AG238" i="3"/>
  <c r="AG237" i="3"/>
  <c r="AG236" i="3"/>
  <c r="AG235" i="3"/>
  <c r="AG234" i="3"/>
  <c r="AG233" i="3"/>
  <c r="AG232" i="3"/>
  <c r="AG231" i="3"/>
  <c r="AG230" i="3"/>
  <c r="AG229" i="3"/>
  <c r="AG228" i="3"/>
  <c r="AG227" i="3"/>
  <c r="AG226" i="3"/>
  <c r="AG225" i="3"/>
  <c r="AG224" i="3"/>
  <c r="AG223" i="3"/>
  <c r="AG222" i="3"/>
  <c r="AG221" i="3"/>
  <c r="AG220" i="3"/>
  <c r="AG219" i="3"/>
  <c r="AG218" i="3"/>
  <c r="AG217" i="3"/>
  <c r="AG216" i="3"/>
  <c r="AG215" i="3"/>
  <c r="AG214" i="3"/>
  <c r="AG213" i="3"/>
  <c r="AG212" i="3"/>
  <c r="AG211" i="3"/>
  <c r="AG210" i="3"/>
  <c r="AG209" i="3"/>
  <c r="AG208" i="3"/>
  <c r="AG207" i="3"/>
  <c r="AG206" i="3"/>
  <c r="AG205" i="3"/>
  <c r="AG204" i="3"/>
  <c r="AG203" i="3"/>
  <c r="AG202" i="3"/>
  <c r="AG201" i="3"/>
  <c r="AG200" i="3"/>
  <c r="AG199" i="3"/>
  <c r="AG198" i="3"/>
  <c r="AG197" i="3"/>
  <c r="AG196" i="3"/>
  <c r="AG195" i="3"/>
  <c r="AG194" i="3"/>
  <c r="AG193" i="3"/>
  <c r="AG192" i="3"/>
  <c r="AG191" i="3"/>
  <c r="AG190" i="3"/>
  <c r="AG189" i="3"/>
  <c r="AG188" i="3"/>
  <c r="AG187" i="3"/>
  <c r="AG186" i="3"/>
  <c r="AG185" i="3"/>
  <c r="AG184" i="3"/>
  <c r="AG183" i="3"/>
  <c r="AG182" i="3"/>
  <c r="AG181" i="3"/>
  <c r="AG180" i="3"/>
  <c r="AG179" i="3"/>
  <c r="AG178" i="3"/>
  <c r="AG177" i="3"/>
  <c r="AG176" i="3"/>
  <c r="AG175" i="3"/>
  <c r="AG174" i="3"/>
  <c r="AG173" i="3"/>
  <c r="AG172" i="3"/>
  <c r="AG171" i="3"/>
  <c r="AG170" i="3"/>
  <c r="AG169" i="3"/>
  <c r="AG168" i="3"/>
  <c r="AG167" i="3"/>
  <c r="AG166" i="3"/>
  <c r="AG165" i="3"/>
  <c r="AG164" i="3"/>
  <c r="AG163" i="3"/>
  <c r="AG162" i="3"/>
  <c r="AG161" i="3"/>
  <c r="AG160" i="3"/>
  <c r="AG159" i="3"/>
  <c r="AG158" i="3"/>
  <c r="AG157" i="3"/>
  <c r="AG156" i="3"/>
  <c r="AG155" i="3"/>
  <c r="AG154" i="3"/>
  <c r="AG153" i="3"/>
  <c r="AG152" i="3"/>
  <c r="AG151" i="3"/>
  <c r="AG150" i="3"/>
  <c r="AG149" i="3"/>
  <c r="AG148" i="3"/>
  <c r="AG147" i="3"/>
  <c r="AG146" i="3"/>
  <c r="AG145" i="3"/>
  <c r="AG144" i="3"/>
  <c r="AG143" i="3"/>
  <c r="AG142" i="3"/>
  <c r="AG141" i="3"/>
  <c r="AG140" i="3"/>
  <c r="AG139" i="3"/>
  <c r="AG138" i="3"/>
  <c r="AG137" i="3"/>
  <c r="AG136" i="3"/>
  <c r="AG135" i="3"/>
  <c r="AG134" i="3"/>
  <c r="AG133" i="3"/>
  <c r="AG132" i="3"/>
  <c r="AG131" i="3"/>
  <c r="AG130" i="3"/>
  <c r="AG129" i="3"/>
  <c r="AG128" i="3"/>
  <c r="AG127" i="3"/>
  <c r="AG126" i="3"/>
  <c r="AG125" i="3"/>
  <c r="AG124" i="3"/>
  <c r="AG123" i="3"/>
  <c r="AG122" i="3"/>
  <c r="AG121" i="3"/>
  <c r="AG120" i="3"/>
  <c r="AG119" i="3"/>
  <c r="AG118" i="3"/>
  <c r="AG117" i="3"/>
  <c r="AG116" i="3"/>
  <c r="AG115" i="3"/>
  <c r="AG114" i="3"/>
  <c r="AG113" i="3"/>
  <c r="AG112" i="3"/>
  <c r="AG111" i="3"/>
  <c r="AG110" i="3"/>
  <c r="AG109" i="3"/>
  <c r="AG108" i="3"/>
  <c r="AG107" i="3"/>
  <c r="AG106" i="3"/>
  <c r="AG105" i="3"/>
  <c r="AG104" i="3"/>
  <c r="AG103" i="3"/>
  <c r="AG102" i="3"/>
  <c r="AG101" i="3"/>
  <c r="AG100" i="3"/>
  <c r="AG99" i="3"/>
  <c r="AG98" i="3"/>
  <c r="AG97" i="3"/>
  <c r="AG96" i="3"/>
  <c r="AG95" i="3"/>
  <c r="AG94" i="3"/>
  <c r="AG93" i="3"/>
  <c r="AG92" i="3"/>
  <c r="AG91" i="3"/>
  <c r="AG90" i="3"/>
  <c r="AG89" i="3"/>
  <c r="AG88" i="3"/>
  <c r="AG87" i="3"/>
  <c r="AG86" i="3"/>
  <c r="AG85" i="3"/>
  <c r="AG84" i="3"/>
  <c r="AG83" i="3"/>
  <c r="AG82" i="3"/>
  <c r="AG81" i="3"/>
  <c r="AG80" i="3"/>
  <c r="AG79" i="3"/>
  <c r="AG78" i="3"/>
  <c r="AG77" i="3"/>
  <c r="AG76" i="3"/>
  <c r="AG75" i="3"/>
  <c r="AG74" i="3"/>
  <c r="AG73" i="3"/>
  <c r="AG72" i="3"/>
  <c r="AG71" i="3"/>
  <c r="AG70" i="3"/>
  <c r="AG69" i="3"/>
  <c r="AG68" i="3"/>
  <c r="AG67" i="3"/>
  <c r="AG66" i="3"/>
  <c r="AG65" i="3"/>
  <c r="AG64" i="3"/>
  <c r="AG63" i="3"/>
  <c r="AG62" i="3"/>
  <c r="AG61" i="3"/>
  <c r="AG60" i="3"/>
  <c r="AG59" i="3"/>
  <c r="AG58" i="3"/>
  <c r="AG57" i="3"/>
  <c r="AG56" i="3"/>
  <c r="AG55" i="3"/>
  <c r="AG54" i="3"/>
  <c r="AG53" i="3"/>
  <c r="AG52" i="3"/>
  <c r="AG51" i="3"/>
  <c r="AG50" i="3"/>
  <c r="AG49" i="3"/>
  <c r="AG48" i="3"/>
  <c r="AG47" i="3"/>
  <c r="AG46" i="3"/>
  <c r="AG45" i="3"/>
  <c r="AG44" i="3"/>
  <c r="AG43" i="3"/>
  <c r="AG42" i="3"/>
  <c r="AG41" i="3"/>
  <c r="AG40" i="3"/>
  <c r="AG39" i="3"/>
  <c r="AG38" i="3"/>
  <c r="AG37" i="3"/>
  <c r="AG36" i="3"/>
  <c r="AG35" i="3"/>
  <c r="AG34" i="3"/>
  <c r="AG33" i="3"/>
  <c r="AG32" i="3"/>
  <c r="AG31" i="3"/>
  <c r="AG30" i="3"/>
  <c r="AG29" i="3"/>
  <c r="AG28" i="3"/>
  <c r="AG27" i="3"/>
  <c r="AG26" i="3"/>
  <c r="AG25" i="3"/>
  <c r="AG24" i="3"/>
  <c r="AG23" i="3"/>
  <c r="AG22" i="3"/>
  <c r="AG21" i="3"/>
  <c r="AG20" i="3"/>
  <c r="AG19" i="3"/>
  <c r="AG18" i="3"/>
  <c r="AG17" i="3"/>
  <c r="AG16" i="3"/>
  <c r="AG15" i="3"/>
  <c r="AG14" i="3"/>
  <c r="AG13" i="3"/>
  <c r="AG12" i="3"/>
  <c r="AG11" i="3"/>
  <c r="AG10" i="3"/>
  <c r="AG9" i="3"/>
  <c r="AG8" i="3"/>
  <c r="AG7" i="3"/>
  <c r="AG6" i="3"/>
  <c r="AG5" i="3"/>
  <c r="AG4" i="3"/>
  <c r="AG3" i="3"/>
  <c r="AG2" i="3"/>
  <c r="AF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F473" i="3"/>
  <c r="AF474" i="3"/>
  <c r="AF475" i="3"/>
  <c r="AF476" i="3"/>
  <c r="AF477" i="3"/>
  <c r="AF478" i="3"/>
  <c r="AF479" i="3"/>
  <c r="AF480" i="3"/>
  <c r="AF481" i="3"/>
  <c r="AF482" i="3"/>
  <c r="AF483" i="3"/>
  <c r="AF484" i="3"/>
  <c r="AF485" i="3"/>
  <c r="AF486" i="3"/>
  <c r="AF487" i="3"/>
  <c r="AF488" i="3"/>
  <c r="AF489" i="3"/>
  <c r="AF490" i="3"/>
  <c r="AF491" i="3"/>
  <c r="AF492" i="3"/>
  <c r="AF493" i="3"/>
  <c r="AF494" i="3"/>
  <c r="AF495" i="3"/>
  <c r="AF496" i="3"/>
  <c r="AF497" i="3"/>
  <c r="AF498" i="3"/>
  <c r="AF499" i="3"/>
  <c r="AF500" i="3"/>
  <c r="AF501" i="3"/>
  <c r="AF502" i="3"/>
  <c r="AF503" i="3"/>
  <c r="AF504" i="3"/>
  <c r="AF505" i="3"/>
  <c r="AF506" i="3"/>
  <c r="AF507" i="3"/>
  <c r="AF508" i="3"/>
  <c r="AF509" i="3"/>
  <c r="AF510" i="3"/>
  <c r="AF511" i="3"/>
  <c r="AF512" i="3"/>
  <c r="AF513" i="3"/>
  <c r="AF514" i="3"/>
  <c r="AF515" i="3"/>
  <c r="AF516" i="3"/>
  <c r="AF517" i="3"/>
  <c r="AF518" i="3"/>
  <c r="AF519" i="3"/>
  <c r="AF520" i="3"/>
  <c r="AF521" i="3"/>
  <c r="AF522" i="3"/>
  <c r="AF523" i="3"/>
  <c r="AF524" i="3"/>
  <c r="AF525" i="3"/>
  <c r="AF526" i="3"/>
  <c r="AF527" i="3"/>
  <c r="AF528" i="3"/>
  <c r="AF529" i="3"/>
  <c r="AF530" i="3"/>
  <c r="AF531" i="3"/>
  <c r="AF532" i="3"/>
  <c r="AF533" i="3"/>
  <c r="AF534" i="3"/>
  <c r="AF535" i="3"/>
  <c r="AF536" i="3"/>
  <c r="AF537" i="3"/>
  <c r="AF538" i="3"/>
  <c r="AF539" i="3"/>
  <c r="AF540" i="3"/>
  <c r="AF541" i="3"/>
  <c r="AF542" i="3"/>
  <c r="AF543" i="3"/>
  <c r="AF544" i="3"/>
  <c r="AF545" i="3"/>
  <c r="AF546" i="3"/>
  <c r="AF547" i="3"/>
  <c r="AF548" i="3"/>
  <c r="AF549" i="3"/>
  <c r="AF550" i="3"/>
  <c r="AF551" i="3"/>
  <c r="AF552" i="3"/>
  <c r="AF553" i="3"/>
  <c r="AF554" i="3"/>
  <c r="AF555" i="3"/>
  <c r="AF556" i="3"/>
  <c r="AF557" i="3"/>
  <c r="AF558" i="3"/>
  <c r="AF559" i="3"/>
  <c r="AF560" i="3"/>
  <c r="AF561" i="3"/>
  <c r="AF562" i="3"/>
  <c r="AF563" i="3"/>
  <c r="AF564" i="3"/>
  <c r="AF565" i="3"/>
  <c r="AF566" i="3"/>
  <c r="AF567" i="3"/>
  <c r="AF568" i="3"/>
  <c r="AF569" i="3"/>
  <c r="AF570" i="3"/>
  <c r="AF571" i="3"/>
  <c r="AF572" i="3"/>
  <c r="AF573" i="3"/>
  <c r="AF574" i="3"/>
  <c r="AF575" i="3"/>
  <c r="AF576" i="3"/>
  <c r="AF577" i="3"/>
  <c r="AF578" i="3"/>
  <c r="AF579" i="3"/>
  <c r="AF580" i="3"/>
  <c r="AF581" i="3"/>
  <c r="AF582" i="3"/>
  <c r="AF583" i="3"/>
  <c r="AF584" i="3"/>
  <c r="AF585" i="3"/>
  <c r="AF586" i="3"/>
  <c r="AF587" i="3"/>
  <c r="AF588" i="3"/>
  <c r="AF589" i="3"/>
  <c r="AF590" i="3"/>
  <c r="AF591" i="3"/>
  <c r="AF592" i="3"/>
  <c r="AF593" i="3"/>
  <c r="AF594" i="3"/>
  <c r="AF595" i="3"/>
  <c r="AF596" i="3"/>
  <c r="AF597" i="3"/>
  <c r="AF598" i="3"/>
  <c r="AF599" i="3"/>
  <c r="AF600" i="3"/>
  <c r="AF601" i="3"/>
  <c r="AF602" i="3"/>
  <c r="AF603" i="3"/>
  <c r="AF604" i="3"/>
  <c r="AF605" i="3"/>
  <c r="AF606" i="3"/>
  <c r="AF607" i="3"/>
  <c r="AF608" i="3"/>
  <c r="AF609" i="3"/>
  <c r="AF610" i="3"/>
  <c r="AF611" i="3"/>
  <c r="AF612" i="3"/>
  <c r="AF613" i="3"/>
  <c r="AF614" i="3"/>
  <c r="AF615" i="3"/>
  <c r="AF616" i="3"/>
  <c r="AF617" i="3"/>
  <c r="AF618" i="3"/>
  <c r="AF619" i="3"/>
  <c r="AF620" i="3"/>
  <c r="AF621" i="3"/>
  <c r="AF622" i="3"/>
  <c r="AF623" i="3"/>
  <c r="AF624" i="3"/>
  <c r="AF625" i="3"/>
  <c r="AF626" i="3"/>
  <c r="AF627" i="3"/>
  <c r="AF628" i="3"/>
  <c r="AF629" i="3"/>
  <c r="AF630" i="3"/>
  <c r="AF631" i="3"/>
  <c r="AF632" i="3"/>
  <c r="AF633" i="3"/>
  <c r="AF634" i="3"/>
  <c r="AF635" i="3"/>
  <c r="AF636" i="3"/>
  <c r="AF637" i="3"/>
  <c r="AF638" i="3"/>
  <c r="AF639" i="3"/>
  <c r="AF640" i="3"/>
  <c r="AF641" i="3"/>
  <c r="AF642" i="3"/>
  <c r="AF643" i="3"/>
  <c r="AF644" i="3"/>
  <c r="AF645" i="3"/>
  <c r="AF646" i="3"/>
  <c r="AF647" i="3"/>
  <c r="AF648" i="3"/>
  <c r="AF649" i="3"/>
  <c r="AF650" i="3"/>
  <c r="AF651" i="3"/>
  <c r="AF652" i="3"/>
  <c r="AF653" i="3"/>
  <c r="AF654" i="3"/>
  <c r="AF655" i="3"/>
  <c r="AF656" i="3"/>
  <c r="AF657" i="3"/>
  <c r="AF658" i="3"/>
  <c r="AF659" i="3"/>
  <c r="AF660" i="3"/>
  <c r="AF661" i="3"/>
  <c r="AF662" i="3"/>
  <c r="AF663" i="3"/>
  <c r="AF664" i="3"/>
  <c r="AF665" i="3"/>
  <c r="AF666" i="3"/>
  <c r="AF667" i="3"/>
  <c r="AF668" i="3"/>
  <c r="AF669" i="3"/>
  <c r="AF670" i="3"/>
  <c r="AF671" i="3"/>
  <c r="AF672" i="3"/>
  <c r="AF673" i="3"/>
  <c r="AF674" i="3"/>
  <c r="AF675" i="3"/>
  <c r="AF676" i="3"/>
  <c r="AF677" i="3"/>
  <c r="AF678" i="3"/>
  <c r="AF679" i="3"/>
  <c r="AF680" i="3"/>
  <c r="AF681" i="3"/>
  <c r="AF682" i="3"/>
  <c r="AF683" i="3"/>
  <c r="AF684" i="3"/>
  <c r="AF685" i="3"/>
  <c r="AF686" i="3"/>
  <c r="AF687" i="3"/>
  <c r="AF688" i="3"/>
  <c r="AF689" i="3"/>
  <c r="AF690" i="3"/>
  <c r="AF691" i="3"/>
  <c r="AF692" i="3"/>
  <c r="AF693" i="3"/>
  <c r="AF694" i="3"/>
  <c r="AF695" i="3"/>
  <c r="AF696" i="3"/>
  <c r="AF697" i="3"/>
  <c r="AF698" i="3"/>
  <c r="AF699" i="3"/>
  <c r="AF700" i="3"/>
  <c r="AF701" i="3"/>
  <c r="AF702" i="3"/>
  <c r="AF703" i="3"/>
  <c r="AF704" i="3"/>
  <c r="AF705" i="3"/>
  <c r="AF706" i="3"/>
  <c r="AF707" i="3"/>
  <c r="AF708" i="3"/>
  <c r="AF709" i="3"/>
  <c r="AF710" i="3"/>
  <c r="AF711" i="3"/>
  <c r="AF712" i="3"/>
  <c r="AF713" i="3"/>
  <c r="AF714" i="3"/>
  <c r="AF715" i="3"/>
  <c r="AF716" i="3"/>
  <c r="AF717" i="3"/>
  <c r="AF718" i="3"/>
  <c r="AF719" i="3"/>
  <c r="AF720" i="3"/>
  <c r="AF721" i="3"/>
  <c r="AF722" i="3"/>
  <c r="AF723" i="3"/>
  <c r="AF724" i="3"/>
  <c r="AF725" i="3"/>
  <c r="AF726" i="3"/>
  <c r="AF727" i="3"/>
  <c r="AF728" i="3"/>
  <c r="AF729" i="3"/>
  <c r="AF730" i="3"/>
  <c r="AF731" i="3"/>
  <c r="AF732" i="3"/>
  <c r="AF733" i="3"/>
  <c r="AF734" i="3"/>
  <c r="AF735" i="3"/>
  <c r="AF736" i="3"/>
  <c r="AF737" i="3"/>
  <c r="AF738" i="3"/>
  <c r="AF739" i="3"/>
  <c r="AF740" i="3"/>
  <c r="AF741" i="3"/>
  <c r="AF742" i="3"/>
  <c r="AF743" i="3"/>
  <c r="AF744" i="3"/>
  <c r="AF745" i="3"/>
  <c r="AF746" i="3"/>
  <c r="AF747" i="3"/>
  <c r="AF748" i="3"/>
  <c r="AF749" i="3"/>
  <c r="AF750" i="3"/>
  <c r="AF751" i="3"/>
  <c r="AF752" i="3"/>
  <c r="AF753" i="3"/>
  <c r="AF754" i="3"/>
  <c r="AF755" i="3"/>
  <c r="AF756" i="3"/>
  <c r="AF757" i="3"/>
  <c r="AF758" i="3"/>
  <c r="AF759" i="3"/>
  <c r="AF760" i="3"/>
  <c r="AF761" i="3"/>
  <c r="AF762" i="3"/>
  <c r="AF763" i="3"/>
  <c r="AF764" i="3"/>
  <c r="AF765" i="3"/>
  <c r="AF766" i="3"/>
  <c r="AF767" i="3"/>
  <c r="AF768" i="3"/>
  <c r="AF769" i="3"/>
  <c r="AF770" i="3"/>
  <c r="AF771" i="3"/>
  <c r="AF772" i="3"/>
  <c r="AF773" i="3"/>
  <c r="AF774" i="3"/>
  <c r="AF775" i="3"/>
  <c r="AF776" i="3"/>
  <c r="AF777" i="3"/>
  <c r="AF778" i="3"/>
  <c r="AF779" i="3"/>
  <c r="AF780" i="3"/>
  <c r="AF781" i="3"/>
  <c r="AF782" i="3"/>
  <c r="AF783" i="3"/>
  <c r="AF784" i="3"/>
  <c r="AF785" i="3"/>
  <c r="AF786" i="3"/>
  <c r="AF787" i="3"/>
  <c r="AF788" i="3"/>
  <c r="AF789" i="3"/>
  <c r="AF790" i="3"/>
  <c r="AF791" i="3"/>
  <c r="AF792" i="3"/>
  <c r="AF793" i="3"/>
  <c r="AF794" i="3"/>
  <c r="AF795" i="3"/>
  <c r="AF796" i="3"/>
  <c r="AF797" i="3"/>
  <c r="AF798" i="3"/>
  <c r="AF799" i="3"/>
  <c r="AF800" i="3"/>
  <c r="AF801" i="3"/>
  <c r="AF802" i="3"/>
  <c r="AF803" i="3"/>
  <c r="AF804" i="3"/>
  <c r="AF805" i="3"/>
  <c r="AF806" i="3"/>
  <c r="AF807" i="3"/>
  <c r="AF808" i="3"/>
  <c r="AF809" i="3"/>
  <c r="AF810" i="3"/>
  <c r="AF811" i="3"/>
  <c r="AF812" i="3"/>
  <c r="AF813" i="3"/>
  <c r="AF814" i="3"/>
  <c r="AF815" i="3"/>
  <c r="AF816" i="3"/>
  <c r="AF817" i="3"/>
  <c r="AF818" i="3"/>
  <c r="AF819" i="3"/>
  <c r="AF820" i="3"/>
  <c r="AF821" i="3"/>
  <c r="AF822" i="3"/>
  <c r="AF823" i="3"/>
  <c r="AF824" i="3"/>
  <c r="AF825" i="3"/>
  <c r="AF826" i="3"/>
  <c r="AF827" i="3"/>
  <c r="AF828" i="3"/>
  <c r="AF829" i="3"/>
  <c r="AF830" i="3"/>
  <c r="AF831" i="3"/>
  <c r="AF832" i="3"/>
  <c r="AF833" i="3"/>
  <c r="AF834" i="3"/>
  <c r="AF835" i="3"/>
  <c r="AF836" i="3"/>
  <c r="AF837" i="3"/>
  <c r="AF838" i="3"/>
  <c r="AF839" i="3"/>
  <c r="AF840" i="3"/>
  <c r="AF841" i="3"/>
  <c r="AF842" i="3"/>
  <c r="AF843" i="3"/>
  <c r="AF844" i="3"/>
  <c r="AF845" i="3"/>
  <c r="AF846" i="3"/>
  <c r="AF847" i="3"/>
  <c r="AF848" i="3"/>
  <c r="AF849" i="3"/>
  <c r="AF850" i="3"/>
  <c r="AF851" i="3"/>
  <c r="AF852" i="3"/>
  <c r="AF853" i="3"/>
  <c r="AF854" i="3"/>
  <c r="AF855" i="3"/>
  <c r="AF856" i="3"/>
  <c r="AF857" i="3"/>
  <c r="AF858" i="3"/>
  <c r="AF859" i="3"/>
  <c r="AF860" i="3"/>
  <c r="AF861" i="3"/>
  <c r="AF862" i="3"/>
  <c r="AF863" i="3"/>
  <c r="AF864" i="3"/>
  <c r="AF865" i="3"/>
  <c r="AF866" i="3"/>
  <c r="AF867" i="3"/>
  <c r="AF868" i="3"/>
  <c r="AF869" i="3"/>
  <c r="AF870" i="3"/>
  <c r="AF871" i="3"/>
  <c r="AF872" i="3"/>
  <c r="AF873" i="3"/>
  <c r="AF874" i="3"/>
  <c r="AF875" i="3"/>
  <c r="AF876" i="3"/>
  <c r="AF877" i="3"/>
  <c r="AF878" i="3"/>
  <c r="AF879" i="3"/>
  <c r="AF880" i="3"/>
  <c r="AF881" i="3"/>
  <c r="AF882" i="3"/>
  <c r="AF883" i="3"/>
  <c r="AF884" i="3"/>
  <c r="AF885" i="3"/>
  <c r="AF886" i="3"/>
  <c r="AF887" i="3"/>
  <c r="AF888" i="3"/>
  <c r="AF889" i="3"/>
  <c r="AF890" i="3"/>
  <c r="AF891" i="3"/>
  <c r="AF892" i="3"/>
  <c r="AF893" i="3"/>
  <c r="AF894" i="3"/>
  <c r="AF895" i="3"/>
  <c r="AF896" i="3"/>
  <c r="AF897" i="3"/>
  <c r="AF898" i="3"/>
  <c r="AF899" i="3"/>
  <c r="AF900" i="3"/>
  <c r="AF901" i="3"/>
  <c r="AF902" i="3"/>
  <c r="AF903" i="3"/>
  <c r="AF904" i="3"/>
  <c r="AF905" i="3"/>
  <c r="AF906" i="3"/>
  <c r="AF907" i="3"/>
  <c r="AF908" i="3"/>
  <c r="AF909" i="3"/>
  <c r="AF910" i="3"/>
  <c r="AF911" i="3"/>
  <c r="AF912" i="3"/>
  <c r="AF913" i="3"/>
  <c r="AF914" i="3"/>
  <c r="AF915" i="3"/>
  <c r="AF916" i="3"/>
  <c r="AF917" i="3"/>
  <c r="AF918" i="3"/>
  <c r="AF919" i="3"/>
  <c r="AF920" i="3"/>
  <c r="AF921" i="3"/>
  <c r="AF922" i="3"/>
  <c r="AF923" i="3"/>
  <c r="AF924" i="3"/>
  <c r="AF925" i="3"/>
  <c r="AF926" i="3"/>
  <c r="AF927" i="3"/>
  <c r="AF928" i="3"/>
  <c r="AF929" i="3"/>
  <c r="AF930" i="3"/>
  <c r="AF931" i="3"/>
  <c r="AF932" i="3"/>
  <c r="AF933" i="3"/>
  <c r="AF934" i="3"/>
  <c r="AF935" i="3"/>
  <c r="AF936" i="3"/>
  <c r="AF937" i="3"/>
  <c r="AF938" i="3"/>
  <c r="AF939" i="3"/>
  <c r="AF940" i="3"/>
  <c r="AF941" i="3"/>
  <c r="AF942" i="3"/>
  <c r="AF943" i="3"/>
  <c r="AF944" i="3"/>
  <c r="AF945" i="3"/>
  <c r="AF946" i="3"/>
  <c r="AF947" i="3"/>
  <c r="AF948" i="3"/>
  <c r="AF949" i="3"/>
  <c r="AF950" i="3"/>
  <c r="AF951" i="3"/>
  <c r="AF952" i="3"/>
  <c r="AF953" i="3"/>
  <c r="AF954" i="3"/>
  <c r="AF955" i="3"/>
  <c r="AF956" i="3"/>
  <c r="AF957" i="3"/>
  <c r="AF958" i="3"/>
  <c r="AF959" i="3"/>
  <c r="AF960" i="3"/>
  <c r="AF961" i="3"/>
  <c r="AF962" i="3"/>
  <c r="AF963" i="3"/>
  <c r="AF964" i="3"/>
  <c r="AF965" i="3"/>
  <c r="AF966" i="3"/>
  <c r="AF967" i="3"/>
  <c r="AF968" i="3"/>
  <c r="AF969" i="3"/>
  <c r="AF970" i="3"/>
  <c r="AF971" i="3"/>
  <c r="AF972" i="3"/>
  <c r="AF973" i="3"/>
  <c r="AF974" i="3"/>
  <c r="AF975" i="3"/>
  <c r="AF976" i="3"/>
  <c r="AF977" i="3"/>
  <c r="AF978" i="3"/>
  <c r="AF979" i="3"/>
  <c r="AF980" i="3"/>
  <c r="AF981" i="3"/>
  <c r="AF982" i="3"/>
  <c r="AF983" i="3"/>
  <c r="AF984" i="3"/>
  <c r="AF985" i="3"/>
  <c r="AF986" i="3"/>
  <c r="AF987" i="3"/>
  <c r="AF988" i="3"/>
  <c r="AF989" i="3"/>
  <c r="AF990" i="3"/>
  <c r="AF991" i="3"/>
  <c r="AF992" i="3"/>
  <c r="AF993" i="3"/>
  <c r="AF994" i="3"/>
  <c r="AF995" i="3"/>
  <c r="AF996" i="3"/>
  <c r="AF997" i="3"/>
  <c r="AF998" i="3"/>
  <c r="AF999" i="3"/>
  <c r="AF1000" i="3"/>
  <c r="AF1001" i="3"/>
  <c r="AF1002" i="3"/>
  <c r="AF1003" i="3"/>
  <c r="AF1004" i="3"/>
  <c r="AF1005" i="3"/>
  <c r="AF1006" i="3"/>
  <c r="AF1007" i="3"/>
  <c r="AF1008" i="3"/>
  <c r="AF1009" i="3"/>
  <c r="AF1010" i="3"/>
  <c r="AF1011" i="3"/>
  <c r="AF1012" i="3"/>
  <c r="AF1013" i="3"/>
  <c r="AF1014" i="3"/>
  <c r="AF1015" i="3"/>
  <c r="AF1016" i="3"/>
  <c r="AF1017" i="3"/>
  <c r="AF1018" i="3"/>
  <c r="AF1019" i="3"/>
  <c r="AF1020" i="3"/>
  <c r="AF1021" i="3"/>
  <c r="AF1022" i="3"/>
  <c r="AF1023" i="3"/>
  <c r="AF1024" i="3"/>
  <c r="AF1025" i="3"/>
  <c r="AF1026" i="3"/>
  <c r="AF1027" i="3"/>
  <c r="AF1028" i="3"/>
  <c r="AF1029" i="3"/>
  <c r="AF1030" i="3"/>
  <c r="AF1031" i="3"/>
  <c r="AF1032" i="3"/>
  <c r="AF1033" i="3"/>
  <c r="AF1034" i="3"/>
  <c r="AF1035" i="3"/>
  <c r="AF1036" i="3"/>
  <c r="AF1037" i="3"/>
  <c r="AF1038" i="3"/>
  <c r="AF1039" i="3"/>
  <c r="AF1040" i="3"/>
  <c r="AF1041" i="3"/>
  <c r="AF1042" i="3"/>
  <c r="AF1043" i="3"/>
  <c r="AF1044" i="3"/>
  <c r="AF1045" i="3"/>
  <c r="AF1046" i="3"/>
  <c r="AF1047" i="3"/>
  <c r="AF1048" i="3"/>
  <c r="AF1049" i="3"/>
  <c r="AF1050" i="3"/>
  <c r="AF1051" i="3"/>
  <c r="AF1052" i="3"/>
  <c r="AF1053" i="3"/>
  <c r="AF1054" i="3"/>
  <c r="AF1055" i="3"/>
  <c r="AF1056" i="3"/>
  <c r="AF1057" i="3"/>
  <c r="AF1058" i="3"/>
  <c r="AF1059" i="3"/>
  <c r="AF1060" i="3"/>
  <c r="AF1061" i="3"/>
  <c r="AF1062" i="3"/>
  <c r="AF1063" i="3"/>
  <c r="AF1064" i="3"/>
  <c r="AF1065" i="3"/>
  <c r="AF1066" i="3"/>
  <c r="AF1067" i="3"/>
  <c r="AF1068" i="3"/>
  <c r="AF1069" i="3"/>
  <c r="AF1070" i="3"/>
  <c r="AF1071" i="3"/>
  <c r="AF1072" i="3"/>
  <c r="AF1073" i="3"/>
  <c r="AF1074" i="3"/>
  <c r="AF1075" i="3"/>
  <c r="AF1076" i="3"/>
  <c r="AF1077" i="3"/>
  <c r="AF1078" i="3"/>
  <c r="AF1079" i="3"/>
  <c r="AF1080" i="3"/>
  <c r="AF1081" i="3"/>
  <c r="AF1082" i="3"/>
  <c r="AF1083" i="3"/>
  <c r="AF1084" i="3"/>
  <c r="AF1085" i="3"/>
  <c r="AF1086" i="3"/>
  <c r="AF1087" i="3"/>
  <c r="AF1088" i="3"/>
  <c r="AF1089" i="3"/>
  <c r="AF1090" i="3"/>
  <c r="AF1091" i="3"/>
  <c r="AF1092" i="3"/>
  <c r="AF1093" i="3"/>
  <c r="AF1094" i="3"/>
  <c r="AF1095" i="3"/>
  <c r="AF1096" i="3"/>
  <c r="AF1097" i="3"/>
  <c r="AF1098" i="3"/>
  <c r="AF1099" i="3"/>
  <c r="AF1100" i="3"/>
  <c r="AF1101" i="3"/>
  <c r="AF1102" i="3"/>
  <c r="AF1103" i="3"/>
  <c r="AF1104" i="3"/>
  <c r="AF1105" i="3"/>
  <c r="AF1106" i="3"/>
  <c r="AF1107" i="3"/>
  <c r="AF1108" i="3"/>
  <c r="AF1109" i="3"/>
  <c r="AF1110" i="3"/>
  <c r="AF1111" i="3"/>
  <c r="AF1112" i="3"/>
  <c r="AF1113" i="3"/>
  <c r="AF1114" i="3"/>
  <c r="AF1115" i="3"/>
  <c r="AF1116" i="3"/>
  <c r="AF1117" i="3"/>
  <c r="AF1118" i="3"/>
  <c r="AF1119" i="3"/>
  <c r="AF1120" i="3"/>
  <c r="AF1121" i="3"/>
  <c r="AF1122" i="3"/>
  <c r="AF1123" i="3"/>
  <c r="AF1124" i="3"/>
  <c r="AF1125" i="3"/>
  <c r="AF1126" i="3"/>
  <c r="AF1127" i="3"/>
  <c r="AF1128" i="3"/>
  <c r="AF1129" i="3"/>
  <c r="AF1130" i="3"/>
  <c r="AF1131" i="3"/>
  <c r="AF1132" i="3"/>
  <c r="AF1133" i="3"/>
  <c r="AF1134" i="3"/>
  <c r="AF1135" i="3"/>
  <c r="AF1136" i="3"/>
  <c r="AF1137" i="3"/>
  <c r="AF1138" i="3"/>
  <c r="AF1139" i="3"/>
  <c r="AF1140" i="3"/>
  <c r="AF1141" i="3"/>
  <c r="AF1142" i="3"/>
  <c r="AF1143" i="3"/>
  <c r="AF1144" i="3"/>
  <c r="AF1145" i="3"/>
  <c r="AF1146" i="3"/>
  <c r="AF1147" i="3"/>
  <c r="AF1148" i="3"/>
  <c r="AF1149" i="3"/>
  <c r="AF1150" i="3"/>
  <c r="AF1151" i="3"/>
  <c r="AF1152" i="3"/>
  <c r="AF1153" i="3"/>
  <c r="AF1154" i="3"/>
  <c r="AF1155" i="3"/>
  <c r="AF1156" i="3"/>
  <c r="AF1157" i="3"/>
  <c r="AF1158" i="3"/>
  <c r="AF1159" i="3"/>
  <c r="AF1160" i="3"/>
  <c r="AF1161" i="3"/>
  <c r="AF1162" i="3"/>
  <c r="AF1163" i="3"/>
  <c r="AF1164" i="3"/>
  <c r="AF1165" i="3"/>
  <c r="AF1166" i="3"/>
  <c r="AF1167" i="3"/>
  <c r="AF1168" i="3"/>
  <c r="AF1169" i="3"/>
  <c r="AF1170" i="3"/>
  <c r="AF1171" i="3"/>
  <c r="AF1172" i="3"/>
  <c r="AF1173" i="3"/>
  <c r="AF1174" i="3"/>
  <c r="AF1175" i="3"/>
  <c r="AF1176" i="3"/>
  <c r="AF1177" i="3"/>
  <c r="AF1178" i="3"/>
  <c r="AF1179" i="3"/>
  <c r="AF1180" i="3"/>
  <c r="AF1181" i="3"/>
  <c r="AF1182" i="3"/>
  <c r="AF1183" i="3"/>
  <c r="AF1184" i="3"/>
  <c r="AF1185" i="3"/>
  <c r="AF1186" i="3"/>
  <c r="AF1187" i="3"/>
  <c r="AF1188" i="3"/>
  <c r="AF1189" i="3"/>
  <c r="AF1190" i="3"/>
  <c r="AF1191" i="3"/>
  <c r="AF1192" i="3"/>
  <c r="AF1193" i="3"/>
  <c r="AF1194" i="3"/>
  <c r="AF1195" i="3"/>
  <c r="AF1196" i="3"/>
  <c r="AF1197" i="3"/>
  <c r="AF1198" i="3"/>
  <c r="AF1199" i="3"/>
  <c r="AF1200" i="3"/>
  <c r="AF1201" i="3"/>
  <c r="AF1202" i="3"/>
  <c r="AF1203" i="3"/>
  <c r="AF1204" i="3"/>
  <c r="AF1205" i="3"/>
  <c r="AF1206" i="3"/>
  <c r="AF1207" i="3"/>
  <c r="AF1208" i="3"/>
  <c r="AF1209" i="3"/>
  <c r="AF1210" i="3"/>
  <c r="AF1211" i="3"/>
  <c r="AF1212" i="3"/>
  <c r="AF1213" i="3"/>
  <c r="AF1214" i="3"/>
  <c r="AF1215" i="3"/>
  <c r="AF1216" i="3"/>
  <c r="AF1217" i="3"/>
  <c r="AF1218" i="3"/>
  <c r="AF1219" i="3"/>
  <c r="AF1220" i="3"/>
  <c r="AF1221" i="3"/>
  <c r="AF1222" i="3"/>
  <c r="AF1223" i="3"/>
  <c r="AF1224" i="3"/>
  <c r="AF1225" i="3"/>
  <c r="AF1226" i="3"/>
  <c r="AF1227" i="3"/>
  <c r="AF1228" i="3"/>
  <c r="AF1229" i="3"/>
  <c r="AF1230" i="3"/>
  <c r="AF1231" i="3"/>
  <c r="AF1232" i="3"/>
  <c r="AF1233" i="3"/>
  <c r="AF1234" i="3"/>
  <c r="AF1235" i="3"/>
  <c r="AF1236" i="3"/>
  <c r="AF1237" i="3"/>
  <c r="AF1238" i="3"/>
  <c r="AF1239" i="3"/>
  <c r="AF1240" i="3"/>
  <c r="AF1241" i="3"/>
  <c r="AF1242" i="3"/>
  <c r="AF1243" i="3"/>
  <c r="AF1244" i="3"/>
  <c r="AF1245" i="3"/>
  <c r="AF1246" i="3"/>
  <c r="AF1247" i="3"/>
  <c r="AF1248" i="3"/>
  <c r="AF1249" i="3"/>
  <c r="AF1250" i="3"/>
  <c r="AF1251" i="3"/>
  <c r="AF1252" i="3"/>
  <c r="AF1253" i="3"/>
  <c r="AF1254" i="3"/>
  <c r="AF1255" i="3"/>
  <c r="AF1256" i="3"/>
  <c r="AF1257" i="3"/>
  <c r="AF1258" i="3"/>
  <c r="AF1259" i="3"/>
  <c r="AF1260" i="3"/>
  <c r="AF1261" i="3"/>
  <c r="AF1262" i="3"/>
  <c r="AF1263" i="3"/>
  <c r="AF1264" i="3"/>
  <c r="AF1265" i="3"/>
  <c r="AF1266" i="3"/>
  <c r="AF1267" i="3"/>
  <c r="AF1268" i="3"/>
  <c r="AF1269" i="3"/>
  <c r="AF1270" i="3"/>
  <c r="AF1271" i="3"/>
  <c r="AF1272" i="3"/>
  <c r="AF1273" i="3"/>
  <c r="AF1274" i="3"/>
  <c r="AF1275" i="3"/>
  <c r="AF1276" i="3"/>
  <c r="AF1277" i="3"/>
  <c r="AF1278" i="3"/>
  <c r="AF1279" i="3"/>
  <c r="AF1280" i="3"/>
  <c r="AF1281" i="3"/>
  <c r="AF1282" i="3"/>
  <c r="AF1283" i="3"/>
  <c r="AF1284" i="3"/>
  <c r="AF1285" i="3"/>
  <c r="AF1286" i="3"/>
  <c r="AF1287" i="3"/>
  <c r="AF1288" i="3"/>
  <c r="AF1289" i="3"/>
  <c r="AF1290" i="3"/>
  <c r="AF1291" i="3"/>
  <c r="AF1292" i="3"/>
  <c r="AF1293" i="3"/>
  <c r="AF1294" i="3"/>
  <c r="AF1295" i="3"/>
  <c r="AF1296" i="3"/>
  <c r="AF1297" i="3"/>
  <c r="AF1298" i="3"/>
  <c r="AF1299" i="3"/>
  <c r="AF1300" i="3"/>
  <c r="AF1301" i="3"/>
  <c r="AF1302" i="3"/>
  <c r="AF1303" i="3"/>
  <c r="AF1304" i="3"/>
  <c r="AF1305" i="3"/>
  <c r="AF1306" i="3"/>
  <c r="AF1307" i="3"/>
  <c r="AF1308" i="3"/>
  <c r="AF1309" i="3"/>
  <c r="AF1310" i="3"/>
  <c r="AF1311" i="3"/>
  <c r="AF1312" i="3"/>
  <c r="AF1313" i="3"/>
  <c r="AF1314" i="3"/>
  <c r="AF1315" i="3"/>
  <c r="AF1316" i="3"/>
  <c r="AF1317" i="3"/>
  <c r="AF1318" i="3"/>
  <c r="AF1319" i="3"/>
  <c r="AF1320" i="3"/>
  <c r="AF1321" i="3"/>
  <c r="AF1322" i="3"/>
  <c r="AF1323" i="3"/>
  <c r="AF1324" i="3"/>
  <c r="AF1325" i="3"/>
  <c r="AF1326" i="3"/>
  <c r="AF1327" i="3"/>
  <c r="AF1328" i="3"/>
  <c r="AF1329" i="3"/>
  <c r="AF1330" i="3"/>
  <c r="AF1331" i="3"/>
  <c r="AF1332" i="3"/>
  <c r="AF1333" i="3"/>
  <c r="AF1334" i="3"/>
  <c r="AF1335" i="3"/>
  <c r="AF1336" i="3"/>
  <c r="AF1337" i="3"/>
  <c r="AF1338" i="3"/>
  <c r="AF1339" i="3"/>
  <c r="AF1340" i="3"/>
  <c r="AF1341" i="3"/>
  <c r="AF1342" i="3"/>
  <c r="AF1343" i="3"/>
  <c r="AF1344" i="3"/>
  <c r="AF1345" i="3"/>
  <c r="AF1346" i="3"/>
  <c r="AF1347" i="3"/>
  <c r="AF1348" i="3"/>
  <c r="AF1349" i="3"/>
  <c r="AF1350" i="3"/>
  <c r="AF1351" i="3"/>
  <c r="AF1352" i="3"/>
  <c r="AF1353" i="3"/>
  <c r="AF1354" i="3"/>
  <c r="AF1355" i="3"/>
  <c r="AF1356" i="3"/>
  <c r="AF1357" i="3"/>
  <c r="AF1358" i="3"/>
  <c r="AF1359" i="3"/>
  <c r="AF1360" i="3"/>
  <c r="AF1361" i="3"/>
  <c r="AF1362" i="3"/>
  <c r="AF1363" i="3"/>
  <c r="AF1364" i="3"/>
  <c r="AF1365" i="3"/>
  <c r="AF1366" i="3"/>
  <c r="AF1367" i="3"/>
  <c r="AF1368" i="3"/>
  <c r="AF1369" i="3"/>
  <c r="AF1370" i="3"/>
  <c r="AF1371" i="3"/>
  <c r="AF1372" i="3"/>
  <c r="AF1373" i="3"/>
  <c r="AF1374" i="3"/>
  <c r="AF1375" i="3"/>
  <c r="AF1376" i="3"/>
  <c r="AF1377" i="3"/>
  <c r="AF1378" i="3"/>
  <c r="AF1379" i="3"/>
  <c r="AF1380" i="3"/>
  <c r="AF1381" i="3"/>
  <c r="AF1382" i="3"/>
  <c r="AF1383" i="3"/>
  <c r="AF1384" i="3"/>
  <c r="AF1385" i="3"/>
  <c r="AF1386" i="3"/>
  <c r="AF1387" i="3"/>
  <c r="AF1388" i="3"/>
  <c r="AF1389" i="3"/>
  <c r="AF1390" i="3"/>
  <c r="AF1391" i="3"/>
  <c r="AF1392" i="3"/>
  <c r="AF1393" i="3"/>
  <c r="AF1394" i="3"/>
  <c r="AF1395" i="3"/>
  <c r="AF1396" i="3"/>
  <c r="AF1397" i="3"/>
  <c r="AF1398" i="3"/>
  <c r="AF1399" i="3"/>
  <c r="AF1400" i="3"/>
  <c r="AF1401" i="3"/>
  <c r="AF1402" i="3"/>
  <c r="AF1403" i="3"/>
  <c r="AF1404" i="3"/>
  <c r="AF1405" i="3"/>
  <c r="AF1406" i="3"/>
  <c r="AF1407" i="3"/>
  <c r="AF1408" i="3"/>
  <c r="AF1409" i="3"/>
  <c r="AF1410" i="3"/>
  <c r="AF1411" i="3"/>
  <c r="AF1412" i="3"/>
  <c r="AF1413" i="3"/>
  <c r="AF1414" i="3"/>
  <c r="AF1415" i="3"/>
  <c r="AF1416" i="3"/>
  <c r="AF1417" i="3"/>
  <c r="AF1418" i="3"/>
  <c r="AF1419" i="3"/>
  <c r="AF1420" i="3"/>
  <c r="AF1421" i="3"/>
  <c r="AF1422" i="3"/>
  <c r="AF1423" i="3"/>
  <c r="AF1424" i="3"/>
  <c r="AF1425" i="3"/>
  <c r="AF1426" i="3"/>
  <c r="AF1427" i="3"/>
  <c r="AF1428" i="3"/>
  <c r="AF1429" i="3"/>
  <c r="AF1430" i="3"/>
  <c r="AF1431" i="3"/>
  <c r="AF1432" i="3"/>
  <c r="AF1433" i="3"/>
  <c r="AF1434" i="3"/>
  <c r="AF1435" i="3"/>
  <c r="AF1436" i="3"/>
  <c r="AF1437" i="3"/>
  <c r="AF1438" i="3"/>
  <c r="AF1439" i="3"/>
  <c r="AF1440" i="3"/>
  <c r="AF1441" i="3"/>
  <c r="AF1442" i="3"/>
  <c r="AF1443" i="3"/>
  <c r="AF1444" i="3"/>
  <c r="AF1445" i="3"/>
  <c r="AF1446" i="3"/>
  <c r="AF1447" i="3"/>
  <c r="AF1448" i="3"/>
  <c r="AF1449" i="3"/>
  <c r="AF1450" i="3"/>
  <c r="AF1451" i="3"/>
  <c r="AF1452" i="3"/>
  <c r="AF1453" i="3"/>
  <c r="AF1454" i="3"/>
  <c r="AF1455" i="3"/>
  <c r="AF1456" i="3"/>
  <c r="AF1457" i="3"/>
  <c r="AF1458" i="3"/>
  <c r="AF1459" i="3"/>
  <c r="AF1460" i="3"/>
  <c r="AF1461" i="3"/>
  <c r="AF1462" i="3"/>
  <c r="AF1463" i="3"/>
  <c r="AF1464" i="3"/>
  <c r="AF1465" i="3"/>
  <c r="AF1466" i="3"/>
  <c r="AF1467" i="3"/>
  <c r="AF1468" i="3"/>
  <c r="AF1469" i="3"/>
  <c r="AF1470" i="3"/>
  <c r="AF1471" i="3"/>
  <c r="AF1472" i="3"/>
  <c r="AF1473" i="3"/>
  <c r="AF1474" i="3"/>
  <c r="AF1475" i="3"/>
  <c r="AF1476" i="3"/>
  <c r="AF1477" i="3"/>
  <c r="AF1478" i="3"/>
  <c r="AF1479" i="3"/>
  <c r="AF1480" i="3"/>
  <c r="AF1481" i="3"/>
  <c r="AF1482" i="3"/>
  <c r="AF1483" i="3"/>
  <c r="AF1484" i="3"/>
  <c r="AF1485" i="3"/>
  <c r="AF1486" i="3"/>
  <c r="AF1487" i="3"/>
  <c r="AF1488" i="3"/>
  <c r="AF1489" i="3"/>
  <c r="AF1490" i="3"/>
  <c r="AF1491" i="3"/>
  <c r="AF1492" i="3"/>
  <c r="AF1493" i="3"/>
  <c r="AF1494" i="3"/>
  <c r="AF1495" i="3"/>
  <c r="AF1496" i="3"/>
  <c r="AF1497" i="3"/>
  <c r="AF1498" i="3"/>
  <c r="AF1499" i="3"/>
  <c r="AF1500" i="3"/>
  <c r="AF1501" i="3"/>
  <c r="AF1502" i="3"/>
  <c r="AF1503" i="3"/>
  <c r="AF1504" i="3"/>
  <c r="AF1505" i="3"/>
  <c r="AF1506" i="3"/>
  <c r="AF1507" i="3"/>
  <c r="AF1508" i="3"/>
  <c r="AF1509" i="3"/>
  <c r="AF1510" i="3"/>
  <c r="AF1511" i="3"/>
  <c r="AF1512" i="3"/>
  <c r="AF1513" i="3"/>
  <c r="AF1514" i="3"/>
  <c r="AF1515" i="3"/>
  <c r="AF1516" i="3"/>
  <c r="AF1517" i="3"/>
  <c r="AF1518" i="3"/>
  <c r="AF1519" i="3"/>
  <c r="AF1520" i="3"/>
  <c r="AF1521" i="3"/>
  <c r="AF1522" i="3"/>
  <c r="AF1523" i="3"/>
  <c r="AF1524" i="3"/>
  <c r="AF1525" i="3"/>
  <c r="AF1526" i="3"/>
  <c r="AF1527" i="3"/>
  <c r="AF1528" i="3"/>
  <c r="AF1529" i="3"/>
  <c r="AF1530" i="3"/>
  <c r="AF1531" i="3"/>
  <c r="AF1532" i="3"/>
  <c r="AF1533" i="3"/>
  <c r="AF1534" i="3"/>
  <c r="AF1535" i="3"/>
  <c r="AF1536" i="3"/>
  <c r="AF1537" i="3"/>
  <c r="AF1538" i="3"/>
  <c r="AF1539" i="3"/>
  <c r="AF1540" i="3"/>
  <c r="AF1541" i="3"/>
  <c r="AF1542" i="3"/>
  <c r="AF1543" i="3"/>
  <c r="AF1544" i="3"/>
  <c r="AF1545" i="3"/>
  <c r="AF1546" i="3"/>
  <c r="AF1547" i="3"/>
  <c r="AF1548" i="3"/>
  <c r="AF1549" i="3"/>
  <c r="AF1550" i="3"/>
  <c r="AF1551" i="3"/>
  <c r="AF1552" i="3"/>
  <c r="AF1553" i="3"/>
  <c r="AF1554" i="3"/>
  <c r="AF1555" i="3"/>
  <c r="AF1556" i="3"/>
  <c r="AF1557" i="3"/>
  <c r="AF1558" i="3"/>
  <c r="AF1559" i="3"/>
  <c r="AF1560" i="3"/>
  <c r="AF1561" i="3"/>
  <c r="AF1562" i="3"/>
  <c r="AF1563" i="3"/>
  <c r="AF1564" i="3"/>
  <c r="AF1565" i="3"/>
  <c r="AF1566" i="3"/>
  <c r="AF1567" i="3"/>
  <c r="AF1568" i="3"/>
  <c r="AF1569" i="3"/>
  <c r="AF1570" i="3"/>
  <c r="AF1571" i="3"/>
  <c r="AF1572" i="3"/>
  <c r="AF1573" i="3"/>
  <c r="AF1574" i="3"/>
  <c r="AF1575" i="3"/>
  <c r="AF1576" i="3"/>
  <c r="AF1577" i="3"/>
  <c r="AF1578" i="3"/>
  <c r="AF1579" i="3"/>
  <c r="AF1580" i="3"/>
  <c r="AF1581" i="3"/>
  <c r="AF1582" i="3"/>
  <c r="AF1583" i="3"/>
  <c r="AF1584" i="3"/>
  <c r="AF1585" i="3"/>
  <c r="AF1586" i="3"/>
  <c r="AF1587" i="3"/>
  <c r="AF1588" i="3"/>
  <c r="AF1589" i="3"/>
  <c r="AF1590" i="3"/>
  <c r="AF1591" i="3"/>
  <c r="AF1592" i="3"/>
  <c r="AF1593" i="3"/>
  <c r="AF1594" i="3"/>
  <c r="AF1595" i="3"/>
  <c r="AF1596" i="3"/>
  <c r="AF1597" i="3"/>
  <c r="AF1598" i="3"/>
  <c r="AF1599" i="3"/>
  <c r="AF1600" i="3"/>
  <c r="AF1601" i="3"/>
  <c r="AF1602" i="3"/>
  <c r="AF1603" i="3"/>
  <c r="AF1604" i="3"/>
  <c r="AF1605" i="3"/>
  <c r="AF1606" i="3"/>
  <c r="AF1607" i="3"/>
  <c r="AF1608" i="3"/>
  <c r="AF1609" i="3"/>
  <c r="AF1610" i="3"/>
  <c r="AF1611" i="3"/>
  <c r="AF1612" i="3"/>
  <c r="AF1613" i="3"/>
  <c r="AF1614" i="3"/>
  <c r="AF1615" i="3"/>
  <c r="AF1616" i="3"/>
  <c r="AF1617" i="3"/>
  <c r="AF1618" i="3"/>
  <c r="AF1619" i="3"/>
  <c r="AF1620" i="3"/>
  <c r="AF1621" i="3"/>
  <c r="AF1622" i="3"/>
  <c r="AF1623" i="3"/>
  <c r="AF1624" i="3"/>
  <c r="AF1625" i="3"/>
  <c r="AF1626" i="3"/>
  <c r="AF1627" i="3"/>
  <c r="AF1628" i="3"/>
  <c r="AF1629" i="3"/>
  <c r="AF1630" i="3"/>
  <c r="AF1631" i="3"/>
  <c r="AF1632" i="3"/>
  <c r="AF1633" i="3"/>
  <c r="AF1634" i="3"/>
  <c r="AF1635" i="3"/>
  <c r="AF1636" i="3"/>
  <c r="AF1637" i="3"/>
  <c r="AF1638" i="3"/>
  <c r="AF1639" i="3"/>
  <c r="AF1640" i="3"/>
  <c r="AF1641" i="3"/>
  <c r="AF1642" i="3"/>
  <c r="AF1643" i="3"/>
  <c r="AF1644" i="3"/>
  <c r="AF1645" i="3"/>
  <c r="AF1646" i="3"/>
  <c r="AF1647" i="3"/>
  <c r="AF1648" i="3"/>
  <c r="AF1649" i="3"/>
  <c r="AF1650" i="3"/>
  <c r="AF1651" i="3"/>
  <c r="AF1652" i="3"/>
  <c r="AF1653" i="3"/>
  <c r="AF1654" i="3"/>
  <c r="AF1655" i="3"/>
  <c r="AF1656" i="3"/>
  <c r="AF1657" i="3"/>
  <c r="AF1658" i="3"/>
  <c r="AF1659" i="3"/>
  <c r="AF1660" i="3"/>
  <c r="AF1661" i="3"/>
  <c r="AF1662" i="3"/>
  <c r="AF1663" i="3"/>
  <c r="AF1664" i="3"/>
  <c r="AF1665" i="3"/>
  <c r="AF1666" i="3"/>
  <c r="AF1667" i="3"/>
  <c r="AF1668" i="3"/>
  <c r="AF1669" i="3"/>
  <c r="AF1670" i="3"/>
  <c r="AF1671" i="3"/>
  <c r="AF1672" i="3"/>
  <c r="AF1673" i="3"/>
  <c r="AF1674" i="3"/>
  <c r="AF1675" i="3"/>
  <c r="AF1676" i="3"/>
  <c r="AF1677" i="3"/>
  <c r="AF1678" i="3"/>
  <c r="AF1679" i="3"/>
  <c r="AF1680" i="3"/>
  <c r="AF1681" i="3"/>
  <c r="AF1682" i="3"/>
  <c r="AF1683" i="3"/>
  <c r="AF1684" i="3"/>
  <c r="AF1685" i="3"/>
  <c r="AF1686" i="3"/>
  <c r="AF1687" i="3"/>
  <c r="AF1688" i="3"/>
  <c r="AF1689" i="3"/>
  <c r="AF1690" i="3"/>
  <c r="AF1691" i="3"/>
  <c r="AF1692" i="3"/>
  <c r="AF1693" i="3"/>
  <c r="AF1694" i="3"/>
  <c r="AF1695" i="3"/>
  <c r="AF1696" i="3"/>
  <c r="AF1697" i="3"/>
  <c r="AF1698" i="3"/>
  <c r="AF1699" i="3"/>
  <c r="AF1700" i="3"/>
  <c r="AF1701" i="3"/>
  <c r="AF1702" i="3"/>
  <c r="AF1703" i="3"/>
  <c r="AF1704" i="3"/>
  <c r="AF1705" i="3"/>
  <c r="AF1706" i="3"/>
  <c r="AF1707" i="3"/>
  <c r="AF1708" i="3"/>
  <c r="AF1709" i="3"/>
  <c r="AF1710" i="3"/>
  <c r="AF1711" i="3"/>
  <c r="AF1712" i="3"/>
  <c r="AF1713" i="3"/>
  <c r="AF1714" i="3"/>
  <c r="AF1715" i="3"/>
  <c r="AF1716" i="3"/>
  <c r="AF1717" i="3"/>
  <c r="AF1718" i="3"/>
  <c r="AF1719" i="3"/>
  <c r="AF1720" i="3"/>
  <c r="AF1721" i="3"/>
  <c r="AF1722" i="3"/>
  <c r="AF1723" i="3"/>
  <c r="AF1724" i="3"/>
  <c r="AF1725" i="3"/>
  <c r="AF1726" i="3"/>
  <c r="AF1727" i="3"/>
  <c r="AF1728" i="3"/>
  <c r="AF1729" i="3"/>
  <c r="AF1730" i="3"/>
  <c r="AF1731" i="3"/>
  <c r="AF1732" i="3"/>
  <c r="AF1733" i="3"/>
  <c r="AF1734" i="3"/>
  <c r="AF1735" i="3"/>
  <c r="AF1736" i="3"/>
  <c r="AF1737" i="3"/>
  <c r="AF1738" i="3"/>
  <c r="AF1739" i="3"/>
  <c r="AF1740" i="3"/>
  <c r="AF1741" i="3"/>
  <c r="AF1742" i="3"/>
  <c r="AF1743" i="3"/>
  <c r="AF1744" i="3"/>
  <c r="AF1745" i="3"/>
  <c r="AF1746" i="3"/>
  <c r="AF1747" i="3"/>
  <c r="AF1748" i="3"/>
  <c r="AF1749" i="3"/>
  <c r="AF1750" i="3"/>
  <c r="AF1751" i="3"/>
  <c r="AF1752" i="3"/>
  <c r="AF1753" i="3"/>
  <c r="AF1754" i="3"/>
  <c r="AF1755" i="3"/>
  <c r="AF1756" i="3"/>
  <c r="AF1757" i="3"/>
  <c r="AF1758" i="3"/>
  <c r="AF1759" i="3"/>
  <c r="AF1760" i="3"/>
  <c r="AF1761" i="3"/>
  <c r="AF1762" i="3"/>
  <c r="AF1763" i="3"/>
  <c r="AF1764" i="3"/>
  <c r="AF1765" i="3"/>
  <c r="AF1766" i="3"/>
  <c r="AF1767" i="3"/>
  <c r="AF1768" i="3"/>
  <c r="AF1769" i="3"/>
  <c r="AF1770" i="3"/>
  <c r="AF1771" i="3"/>
  <c r="AF1772" i="3"/>
  <c r="AF1773" i="3"/>
  <c r="AF1774" i="3"/>
  <c r="AF1775" i="3"/>
  <c r="AF1776" i="3"/>
  <c r="AF1777" i="3"/>
  <c r="AF1778" i="3"/>
  <c r="AF1779" i="3"/>
  <c r="AF1780" i="3"/>
  <c r="AF1781" i="3"/>
  <c r="AF1782" i="3"/>
  <c r="AF1783" i="3"/>
  <c r="AF1784" i="3"/>
  <c r="AF1785" i="3"/>
  <c r="AF1786" i="3"/>
  <c r="AF1787" i="3"/>
  <c r="AF1788" i="3"/>
  <c r="AF1789" i="3"/>
  <c r="AF1790" i="3"/>
  <c r="AF1791" i="3"/>
  <c r="AF1792" i="3"/>
  <c r="AF1793" i="3"/>
  <c r="AF1794" i="3"/>
  <c r="AF1795" i="3"/>
  <c r="AF1796" i="3"/>
  <c r="AF1797" i="3"/>
  <c r="AF1798" i="3"/>
  <c r="AF1799" i="3"/>
  <c r="AF1800" i="3"/>
  <c r="AF1801" i="3"/>
  <c r="AF1802" i="3"/>
  <c r="AF1803" i="3"/>
  <c r="AF1804" i="3"/>
  <c r="AF1805" i="3"/>
  <c r="AF1806" i="3"/>
  <c r="AF1807" i="3"/>
  <c r="AF1808" i="3"/>
  <c r="AF1809" i="3"/>
  <c r="AF1810" i="3"/>
  <c r="AF1811" i="3"/>
  <c r="AF1812" i="3"/>
  <c r="AF1813" i="3"/>
  <c r="AF1814" i="3"/>
  <c r="AF1815" i="3"/>
  <c r="AF1816" i="3"/>
  <c r="AF1817" i="3"/>
  <c r="AF1818" i="3"/>
  <c r="AF1819" i="3"/>
  <c r="AF1820" i="3"/>
  <c r="AF1821" i="3"/>
  <c r="AF1822" i="3"/>
  <c r="AF1823" i="3"/>
  <c r="AF1824" i="3"/>
  <c r="AF1825" i="3"/>
  <c r="AF1826" i="3"/>
  <c r="AF1827" i="3"/>
  <c r="AF1828" i="3"/>
  <c r="AF1829" i="3"/>
  <c r="AF1830" i="3"/>
  <c r="AF1831" i="3"/>
  <c r="AF1832" i="3"/>
  <c r="AF1833" i="3"/>
  <c r="AF1834" i="3"/>
  <c r="AF1835" i="3"/>
  <c r="AF1836" i="3"/>
  <c r="AF1837" i="3"/>
  <c r="AF1838" i="3"/>
  <c r="AF1839" i="3"/>
  <c r="AF1840" i="3"/>
  <c r="AF1841" i="3"/>
  <c r="AF1842" i="3"/>
  <c r="AF1843" i="3"/>
  <c r="AF1844" i="3"/>
  <c r="AF1845" i="3"/>
  <c r="AF1846" i="3"/>
  <c r="AF1847" i="3"/>
  <c r="AF1848" i="3"/>
  <c r="AF1849" i="3"/>
  <c r="AF1850" i="3"/>
  <c r="AF1851" i="3"/>
  <c r="AF1852" i="3"/>
  <c r="AF1853" i="3"/>
  <c r="AF1854" i="3"/>
  <c r="AF1855" i="3"/>
  <c r="AF1856" i="3"/>
  <c r="AF1857" i="3"/>
  <c r="AF1858" i="3"/>
  <c r="AF1859" i="3"/>
  <c r="AF1860" i="3"/>
  <c r="AF1861" i="3"/>
  <c r="AF1862" i="3"/>
  <c r="AF1863" i="3"/>
  <c r="AF1864" i="3"/>
  <c r="AF1865" i="3"/>
  <c r="AF1866" i="3"/>
  <c r="AF1867" i="3"/>
  <c r="AF1868" i="3"/>
  <c r="AF1869" i="3"/>
  <c r="AF1870" i="3"/>
  <c r="AF1871" i="3"/>
  <c r="AF1872" i="3"/>
  <c r="AF1873" i="3"/>
  <c r="AF1874" i="3"/>
  <c r="AF1875" i="3"/>
  <c r="AF1876" i="3"/>
  <c r="AF1877" i="3"/>
  <c r="AF1878" i="3"/>
  <c r="AF1879" i="3"/>
  <c r="AF1880" i="3"/>
  <c r="AF1881" i="3"/>
  <c r="AF1882" i="3"/>
  <c r="AF1883" i="3"/>
  <c r="AF1884" i="3"/>
  <c r="AF1885" i="3"/>
  <c r="AF1886" i="3"/>
  <c r="AF1887" i="3"/>
  <c r="AF1888" i="3"/>
  <c r="AF1889" i="3"/>
  <c r="AF1890" i="3"/>
  <c r="AF1891" i="3"/>
  <c r="AF1892" i="3"/>
  <c r="AF1893" i="3"/>
  <c r="AF1894" i="3"/>
  <c r="AF1895" i="3"/>
  <c r="AF1896" i="3"/>
  <c r="AF1897" i="3"/>
  <c r="AF1898" i="3"/>
  <c r="AF1899" i="3"/>
  <c r="AF1900" i="3"/>
  <c r="AF1901" i="3"/>
  <c r="AF1902" i="3"/>
  <c r="AF1903" i="3"/>
  <c r="AF1904" i="3"/>
  <c r="AF1905" i="3"/>
  <c r="AF1906" i="3"/>
  <c r="AF1907" i="3"/>
  <c r="AF1908" i="3"/>
  <c r="AF1909" i="3"/>
  <c r="AF1910" i="3"/>
  <c r="AF1911" i="3"/>
  <c r="AF1912" i="3"/>
  <c r="AF1913" i="3"/>
  <c r="AF1914" i="3"/>
  <c r="AF1915" i="3"/>
  <c r="AF1916" i="3"/>
  <c r="AF1917" i="3"/>
  <c r="AF1918" i="3"/>
  <c r="AF1919" i="3"/>
  <c r="AF1920" i="3"/>
  <c r="AF1921" i="3"/>
  <c r="AF1922" i="3"/>
  <c r="AF1923" i="3"/>
  <c r="AF1924" i="3"/>
  <c r="AF1925" i="3"/>
  <c r="AF1926" i="3"/>
  <c r="AF1927" i="3"/>
  <c r="AF1928" i="3"/>
  <c r="AF1929" i="3"/>
  <c r="AF1930" i="3"/>
  <c r="AF1931" i="3"/>
  <c r="AF1932" i="3"/>
  <c r="AF1933" i="3"/>
  <c r="AF1934" i="3"/>
  <c r="AF1935" i="3"/>
  <c r="AF1936" i="3"/>
  <c r="AF1937" i="3"/>
  <c r="AF1938" i="3"/>
  <c r="AF1939" i="3"/>
  <c r="AF1940" i="3"/>
  <c r="AF1941" i="3"/>
  <c r="AF1942" i="3"/>
  <c r="AF1943" i="3"/>
  <c r="AF1944" i="3"/>
  <c r="AF1945" i="3"/>
  <c r="AF1946" i="3"/>
  <c r="AF1947" i="3"/>
  <c r="AF1948" i="3"/>
  <c r="AF1949" i="3"/>
  <c r="AF1950" i="3"/>
  <c r="AF1951" i="3"/>
  <c r="AF1952" i="3"/>
  <c r="AF1953" i="3"/>
  <c r="AF1954" i="3"/>
  <c r="AF1955" i="3"/>
  <c r="AF1956" i="3"/>
  <c r="AF1957" i="3"/>
  <c r="AF1958" i="3"/>
  <c r="AF1959" i="3"/>
  <c r="AF1960" i="3"/>
  <c r="AF1961" i="3"/>
  <c r="AF1962" i="3"/>
  <c r="AF1963" i="3"/>
  <c r="AF1964" i="3"/>
  <c r="AF1965" i="3"/>
  <c r="AF1966" i="3"/>
  <c r="AF1967" i="3"/>
  <c r="AF1968" i="3"/>
  <c r="AF1969" i="3"/>
  <c r="AF1970" i="3"/>
  <c r="AF1971" i="3"/>
  <c r="AF1972" i="3"/>
  <c r="AF1973" i="3"/>
  <c r="AF1974" i="3"/>
  <c r="AF1975" i="3"/>
  <c r="AF1976" i="3"/>
  <c r="AF1977" i="3"/>
  <c r="AF1978" i="3"/>
  <c r="AF1979" i="3"/>
  <c r="AF1980" i="3"/>
  <c r="AF1981" i="3"/>
  <c r="AF1982" i="3"/>
  <c r="AF1983" i="3"/>
  <c r="AF1984" i="3"/>
  <c r="AF1985" i="3"/>
  <c r="AF1986" i="3"/>
  <c r="AF1987" i="3"/>
  <c r="AF1988" i="3"/>
  <c r="AF1989" i="3"/>
  <c r="AF1990" i="3"/>
  <c r="AF1991" i="3"/>
  <c r="AF1992" i="3"/>
  <c r="AF1993" i="3"/>
  <c r="AF1994" i="3"/>
  <c r="AF1995" i="3"/>
  <c r="AF1996" i="3"/>
  <c r="AF1997" i="3"/>
  <c r="AF1998" i="3"/>
  <c r="AF1999" i="3"/>
  <c r="AF2000" i="3"/>
  <c r="AF2001" i="3"/>
  <c r="AF2002" i="3"/>
  <c r="AF2003" i="3"/>
  <c r="AF2004" i="3"/>
  <c r="AF2005" i="3"/>
  <c r="AF2006" i="3"/>
  <c r="AF2007" i="3"/>
  <c r="AF2008" i="3"/>
  <c r="AF2009" i="3"/>
  <c r="AF2010" i="3"/>
  <c r="AF2011" i="3"/>
  <c r="AF2012" i="3"/>
  <c r="AF2013" i="3"/>
  <c r="AF2014" i="3"/>
  <c r="AF2015" i="3"/>
  <c r="AF2016" i="3"/>
  <c r="AF2017" i="3"/>
  <c r="AF2018" i="3"/>
  <c r="AF2019" i="3"/>
  <c r="AF2020" i="3"/>
  <c r="AF2021" i="3"/>
  <c r="AF2022" i="3"/>
  <c r="AF2023" i="3"/>
  <c r="AF2024" i="3"/>
  <c r="AF2025" i="3"/>
  <c r="AF2026" i="3"/>
  <c r="AF2027" i="3"/>
  <c r="AF2028" i="3"/>
  <c r="AF2029" i="3"/>
  <c r="AF2030" i="3"/>
  <c r="AF2031" i="3"/>
  <c r="AF2032" i="3"/>
  <c r="AF2033" i="3"/>
  <c r="AF2034" i="3"/>
  <c r="AF2035" i="3"/>
  <c r="AF2036" i="3"/>
  <c r="AF2037" i="3"/>
  <c r="AF2038" i="3"/>
  <c r="AF2039" i="3"/>
  <c r="AF2040" i="3"/>
  <c r="AF2041" i="3"/>
  <c r="AF2042" i="3"/>
  <c r="AF2043" i="3"/>
  <c r="AF2044" i="3"/>
  <c r="AF2045" i="3"/>
  <c r="AF2046" i="3"/>
  <c r="AF2047" i="3"/>
  <c r="AF2048" i="3"/>
  <c r="AF2049" i="3"/>
  <c r="AF2050" i="3"/>
  <c r="AF2051" i="3"/>
  <c r="AF2052" i="3"/>
  <c r="AF2053" i="3"/>
  <c r="AF2054" i="3"/>
  <c r="AF2055" i="3"/>
  <c r="AF2056" i="3"/>
  <c r="AF2057" i="3"/>
  <c r="AF2058" i="3"/>
  <c r="AF2059" i="3"/>
  <c r="AF2060" i="3"/>
  <c r="AF2061" i="3"/>
  <c r="AF2062" i="3"/>
  <c r="AF2063" i="3"/>
  <c r="AF2064" i="3"/>
  <c r="AF2065" i="3"/>
  <c r="AF2066" i="3"/>
  <c r="AF2067" i="3"/>
  <c r="AF2068" i="3"/>
  <c r="AF2069" i="3"/>
  <c r="AF2070" i="3"/>
  <c r="AF2071" i="3"/>
  <c r="AF2072" i="3"/>
  <c r="AF2073" i="3"/>
  <c r="AF2074" i="3"/>
  <c r="AF2075" i="3"/>
  <c r="AF2076" i="3"/>
  <c r="AF2077" i="3"/>
  <c r="AF2078" i="3"/>
  <c r="AF2079" i="3"/>
  <c r="AF2080" i="3"/>
  <c r="AF2081" i="3"/>
  <c r="AF2082" i="3"/>
  <c r="AF2083" i="3"/>
  <c r="AF2084" i="3"/>
  <c r="AF2085" i="3"/>
  <c r="AF2086" i="3"/>
  <c r="AF2087" i="3"/>
  <c r="AF2088" i="3"/>
  <c r="AF2089" i="3"/>
  <c r="AF2090" i="3"/>
  <c r="AF2091" i="3"/>
  <c r="AF2092" i="3"/>
  <c r="AF2093" i="3"/>
  <c r="AF2094" i="3"/>
  <c r="AF2095" i="3"/>
  <c r="AF2096" i="3"/>
  <c r="AF2097" i="3"/>
  <c r="AF2098" i="3"/>
  <c r="AF2099" i="3"/>
  <c r="AF2100" i="3"/>
  <c r="AF2101" i="3"/>
  <c r="AF2102" i="3"/>
  <c r="AF2103" i="3"/>
  <c r="AF2104" i="3"/>
  <c r="AF2105" i="3"/>
  <c r="AF2106" i="3"/>
  <c r="AF2107" i="3"/>
  <c r="AF2108" i="3"/>
  <c r="AF2109" i="3"/>
  <c r="AF2110" i="3"/>
  <c r="AF2111" i="3"/>
  <c r="AF2112" i="3"/>
  <c r="AF2113" i="3"/>
  <c r="AF2114" i="3"/>
  <c r="AF2115" i="3"/>
  <c r="AF2116" i="3"/>
  <c r="AF2117" i="3"/>
  <c r="AF2118" i="3"/>
  <c r="AF2119" i="3"/>
  <c r="AF2120" i="3"/>
  <c r="AF2121" i="3"/>
  <c r="AF2122" i="3"/>
  <c r="AF2123" i="3"/>
  <c r="AF2124" i="3"/>
  <c r="AF2125" i="3"/>
  <c r="AF2126" i="3"/>
  <c r="AF2127" i="3"/>
  <c r="AF2128" i="3"/>
  <c r="AF2129" i="3"/>
  <c r="AF2130" i="3"/>
  <c r="AF2131" i="3"/>
  <c r="AF2132" i="3"/>
  <c r="AF2133" i="3"/>
  <c r="AF2134" i="3"/>
  <c r="AF2135" i="3"/>
  <c r="AF2136" i="3"/>
  <c r="AF2137" i="3"/>
  <c r="AF2138" i="3"/>
  <c r="AF2139" i="3"/>
  <c r="AF2140" i="3"/>
  <c r="AF2141" i="3"/>
  <c r="AF2142" i="3"/>
  <c r="AF2143" i="3"/>
  <c r="AF2144" i="3"/>
  <c r="AF2145" i="3"/>
  <c r="AF2146" i="3"/>
  <c r="AF2147" i="3"/>
  <c r="AF2148" i="3"/>
  <c r="AF2149" i="3"/>
  <c r="AF2150" i="3"/>
  <c r="AF2151" i="3"/>
  <c r="AF2152" i="3"/>
  <c r="AF2153" i="3"/>
  <c r="AF2154" i="3"/>
  <c r="AF2155" i="3"/>
  <c r="AF2156" i="3"/>
  <c r="AF2157" i="3"/>
  <c r="AF2158" i="3"/>
  <c r="AF2159" i="3"/>
  <c r="AF2160" i="3"/>
  <c r="AF2161" i="3"/>
  <c r="AF2162" i="3"/>
  <c r="AF2163" i="3"/>
  <c r="AF2164" i="3"/>
  <c r="AF2165" i="3"/>
  <c r="AF2166" i="3"/>
  <c r="AF2167" i="3"/>
  <c r="AF2168" i="3"/>
  <c r="AF2169" i="3"/>
  <c r="AF2170" i="3"/>
  <c r="AF2171" i="3"/>
  <c r="AF2172" i="3"/>
  <c r="AF2173" i="3"/>
  <c r="AF2174" i="3"/>
  <c r="AF2175" i="3"/>
  <c r="AF2176" i="3"/>
  <c r="AF2177" i="3"/>
  <c r="AF2178" i="3"/>
  <c r="AF2179" i="3"/>
  <c r="AF2180" i="3"/>
  <c r="AF2181" i="3"/>
  <c r="AF2182" i="3"/>
  <c r="AF2183" i="3"/>
  <c r="AF2184" i="3"/>
  <c r="AF2185" i="3"/>
  <c r="AF2186" i="3"/>
  <c r="AF2187" i="3"/>
  <c r="AF2188" i="3"/>
  <c r="AF2189" i="3"/>
  <c r="AF2190" i="3"/>
  <c r="AF2191" i="3"/>
  <c r="AF2192" i="3"/>
  <c r="AF2193" i="3"/>
  <c r="AF2194" i="3"/>
  <c r="AF2195" i="3"/>
  <c r="AF2196" i="3"/>
  <c r="AF2197" i="3"/>
  <c r="AF2198" i="3"/>
  <c r="AF2199" i="3"/>
  <c r="AF2200" i="3"/>
  <c r="AF2201" i="3"/>
  <c r="AF2202" i="3"/>
  <c r="AF2203" i="3"/>
  <c r="AF2204" i="3"/>
  <c r="AF2205" i="3"/>
  <c r="AF2206" i="3"/>
  <c r="AF2207" i="3"/>
  <c r="AF2208" i="3"/>
  <c r="AF2209" i="3"/>
  <c r="AF2210" i="3"/>
  <c r="AF2211" i="3"/>
  <c r="AF2212" i="3"/>
  <c r="AF2213" i="3"/>
  <c r="AF2214" i="3"/>
  <c r="AF2215" i="3"/>
  <c r="AF2216" i="3"/>
  <c r="AF2217" i="3"/>
  <c r="AF2218" i="3"/>
  <c r="AF2219" i="3"/>
  <c r="AF2220" i="3"/>
  <c r="AF2221" i="3"/>
  <c r="AF2222" i="3"/>
  <c r="AF2223" i="3"/>
  <c r="AF2224" i="3"/>
  <c r="AF2225" i="3"/>
  <c r="AF2226" i="3"/>
  <c r="AF2227" i="3"/>
  <c r="AF2228" i="3"/>
  <c r="AF2229" i="3"/>
  <c r="AF2230" i="3"/>
  <c r="AF2231" i="3"/>
  <c r="AF2232" i="3"/>
  <c r="AF2233" i="3"/>
  <c r="AF2234" i="3"/>
  <c r="AF2235" i="3"/>
  <c r="AF2236" i="3"/>
  <c r="AF2237" i="3"/>
  <c r="AF2238" i="3"/>
  <c r="AF2239" i="3"/>
  <c r="AF2240" i="3"/>
  <c r="AF2241" i="3"/>
  <c r="AE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E473" i="3"/>
  <c r="AE474" i="3"/>
  <c r="AE475" i="3"/>
  <c r="AE476" i="3"/>
  <c r="AE477" i="3"/>
  <c r="AE478" i="3"/>
  <c r="AE479" i="3"/>
  <c r="AE480" i="3"/>
  <c r="AE481" i="3"/>
  <c r="AE482" i="3"/>
  <c r="AE483" i="3"/>
  <c r="AE484" i="3"/>
  <c r="AE485" i="3"/>
  <c r="AE486" i="3"/>
  <c r="AE487" i="3"/>
  <c r="AE488" i="3"/>
  <c r="AE489" i="3"/>
  <c r="AE490" i="3"/>
  <c r="AE491" i="3"/>
  <c r="AE492" i="3"/>
  <c r="AE493" i="3"/>
  <c r="AE494" i="3"/>
  <c r="AE495" i="3"/>
  <c r="AE496" i="3"/>
  <c r="AE497" i="3"/>
  <c r="AE498" i="3"/>
  <c r="AE499" i="3"/>
  <c r="AE500" i="3"/>
  <c r="AE501" i="3"/>
  <c r="AE502" i="3"/>
  <c r="AE503" i="3"/>
  <c r="AE504" i="3"/>
  <c r="AE505" i="3"/>
  <c r="AE506" i="3"/>
  <c r="AE507" i="3"/>
  <c r="AE508" i="3"/>
  <c r="AE509" i="3"/>
  <c r="AE510" i="3"/>
  <c r="AE511" i="3"/>
  <c r="AE512" i="3"/>
  <c r="AE513" i="3"/>
  <c r="AE514" i="3"/>
  <c r="AE515" i="3"/>
  <c r="AE516" i="3"/>
  <c r="AE517" i="3"/>
  <c r="AE518" i="3"/>
  <c r="AE519" i="3"/>
  <c r="AE520" i="3"/>
  <c r="AE521" i="3"/>
  <c r="AE522" i="3"/>
  <c r="AE523" i="3"/>
  <c r="AE524" i="3"/>
  <c r="AE525" i="3"/>
  <c r="AE526" i="3"/>
  <c r="AE527" i="3"/>
  <c r="AE528" i="3"/>
  <c r="AE529" i="3"/>
  <c r="AE530" i="3"/>
  <c r="AE531" i="3"/>
  <c r="AE532" i="3"/>
  <c r="AE533" i="3"/>
  <c r="AE534" i="3"/>
  <c r="AE535" i="3"/>
  <c r="AE536" i="3"/>
  <c r="AE537" i="3"/>
  <c r="AE538" i="3"/>
  <c r="AE539" i="3"/>
  <c r="AE540" i="3"/>
  <c r="AE541" i="3"/>
  <c r="AE542" i="3"/>
  <c r="AE543" i="3"/>
  <c r="AE544" i="3"/>
  <c r="AE545" i="3"/>
  <c r="AE546" i="3"/>
  <c r="AE547" i="3"/>
  <c r="AE548" i="3"/>
  <c r="AE549" i="3"/>
  <c r="AE550" i="3"/>
  <c r="AE551" i="3"/>
  <c r="AE552" i="3"/>
  <c r="AE553" i="3"/>
  <c r="AE554" i="3"/>
  <c r="AE555" i="3"/>
  <c r="AE556" i="3"/>
  <c r="AE557" i="3"/>
  <c r="AE558" i="3"/>
  <c r="AE559" i="3"/>
  <c r="AE560" i="3"/>
  <c r="AE561" i="3"/>
  <c r="AE562" i="3"/>
  <c r="AE563" i="3"/>
  <c r="AE564" i="3"/>
  <c r="AE565" i="3"/>
  <c r="AE566" i="3"/>
  <c r="AE567" i="3"/>
  <c r="AE568" i="3"/>
  <c r="AE569" i="3"/>
  <c r="AE570" i="3"/>
  <c r="AE571" i="3"/>
  <c r="AE572" i="3"/>
  <c r="AE573" i="3"/>
  <c r="AE574" i="3"/>
  <c r="AE575" i="3"/>
  <c r="AE576" i="3"/>
  <c r="AE577" i="3"/>
  <c r="AE578" i="3"/>
  <c r="AE579" i="3"/>
  <c r="AE580" i="3"/>
  <c r="AE581" i="3"/>
  <c r="AE582" i="3"/>
  <c r="AE583" i="3"/>
  <c r="AE584" i="3"/>
  <c r="AE585" i="3"/>
  <c r="AE586" i="3"/>
  <c r="AE587" i="3"/>
  <c r="AE588" i="3"/>
  <c r="AE589" i="3"/>
  <c r="AE590" i="3"/>
  <c r="AE591" i="3"/>
  <c r="AE592" i="3"/>
  <c r="AE593" i="3"/>
  <c r="AE594" i="3"/>
  <c r="AE595" i="3"/>
  <c r="AE596" i="3"/>
  <c r="AE597" i="3"/>
  <c r="AE598" i="3"/>
  <c r="AE599" i="3"/>
  <c r="AE600" i="3"/>
  <c r="AE601" i="3"/>
  <c r="AE602" i="3"/>
  <c r="AE603" i="3"/>
  <c r="AE604" i="3"/>
  <c r="AE605" i="3"/>
  <c r="AE606" i="3"/>
  <c r="AE607" i="3"/>
  <c r="AE608" i="3"/>
  <c r="AE609" i="3"/>
  <c r="AE610" i="3"/>
  <c r="AE611" i="3"/>
  <c r="AE612" i="3"/>
  <c r="AE613" i="3"/>
  <c r="AE614" i="3"/>
  <c r="AE615" i="3"/>
  <c r="AE616" i="3"/>
  <c r="AE617" i="3"/>
  <c r="AE618" i="3"/>
  <c r="AE619" i="3"/>
  <c r="AE620" i="3"/>
  <c r="AE621" i="3"/>
  <c r="AE622" i="3"/>
  <c r="AE623" i="3"/>
  <c r="AE624" i="3"/>
  <c r="AE625" i="3"/>
  <c r="AE626" i="3"/>
  <c r="AE627" i="3"/>
  <c r="AE628" i="3"/>
  <c r="AE629" i="3"/>
  <c r="AE630" i="3"/>
  <c r="AE631" i="3"/>
  <c r="AE632" i="3"/>
  <c r="AE633" i="3"/>
  <c r="AE634" i="3"/>
  <c r="AE635" i="3"/>
  <c r="AE636" i="3"/>
  <c r="AE637" i="3"/>
  <c r="AE638" i="3"/>
  <c r="AE639" i="3"/>
  <c r="AE640" i="3"/>
  <c r="AE641" i="3"/>
  <c r="AE642" i="3"/>
  <c r="AE643" i="3"/>
  <c r="AE644" i="3"/>
  <c r="AE645" i="3"/>
  <c r="AE646" i="3"/>
  <c r="AE647" i="3"/>
  <c r="AE648" i="3"/>
  <c r="AE649" i="3"/>
  <c r="AE650" i="3"/>
  <c r="AE651" i="3"/>
  <c r="AE652" i="3"/>
  <c r="AE653" i="3"/>
  <c r="AE654" i="3"/>
  <c r="AE655" i="3"/>
  <c r="AE656" i="3"/>
  <c r="AE657" i="3"/>
  <c r="AE658" i="3"/>
  <c r="AE659" i="3"/>
  <c r="AE660" i="3"/>
  <c r="AE661" i="3"/>
  <c r="AE662" i="3"/>
  <c r="AE663" i="3"/>
  <c r="AE664" i="3"/>
  <c r="AE665" i="3"/>
  <c r="AE666" i="3"/>
  <c r="AE667" i="3"/>
  <c r="AE668" i="3"/>
  <c r="AE669" i="3"/>
  <c r="AE670" i="3"/>
  <c r="AE671" i="3"/>
  <c r="AE672" i="3"/>
  <c r="AE673" i="3"/>
  <c r="AE674" i="3"/>
  <c r="AE675" i="3"/>
  <c r="AE676" i="3"/>
  <c r="AE677" i="3"/>
  <c r="AE678" i="3"/>
  <c r="AE679" i="3"/>
  <c r="AE680" i="3"/>
  <c r="AE681" i="3"/>
  <c r="AE682" i="3"/>
  <c r="AE683" i="3"/>
  <c r="AE684" i="3"/>
  <c r="AE685" i="3"/>
  <c r="AE686" i="3"/>
  <c r="AE687" i="3"/>
  <c r="AE688" i="3"/>
  <c r="AE689" i="3"/>
  <c r="AE690" i="3"/>
  <c r="AE691" i="3"/>
  <c r="AE692" i="3"/>
  <c r="AE693" i="3"/>
  <c r="AE694" i="3"/>
  <c r="AE695" i="3"/>
  <c r="AE696" i="3"/>
  <c r="AE697" i="3"/>
  <c r="AE698" i="3"/>
  <c r="AE699" i="3"/>
  <c r="AE700" i="3"/>
  <c r="AE701" i="3"/>
  <c r="AE702" i="3"/>
  <c r="AE703" i="3"/>
  <c r="AE704" i="3"/>
  <c r="AE705" i="3"/>
  <c r="AE706" i="3"/>
  <c r="AE707" i="3"/>
  <c r="AE708" i="3"/>
  <c r="AE709" i="3"/>
  <c r="AE710" i="3"/>
  <c r="AE711" i="3"/>
  <c r="AE712" i="3"/>
  <c r="AE713" i="3"/>
  <c r="AE714" i="3"/>
  <c r="AE715" i="3"/>
  <c r="AE716" i="3"/>
  <c r="AE717" i="3"/>
  <c r="AE718" i="3"/>
  <c r="AE719" i="3"/>
  <c r="AE720" i="3"/>
  <c r="AE721" i="3"/>
  <c r="AE722" i="3"/>
  <c r="AE723" i="3"/>
  <c r="AE724" i="3"/>
  <c r="AE725" i="3"/>
  <c r="AE726" i="3"/>
  <c r="AE727" i="3"/>
  <c r="AE728" i="3"/>
  <c r="AE729" i="3"/>
  <c r="AE730" i="3"/>
  <c r="AE731" i="3"/>
  <c r="AE732" i="3"/>
  <c r="AE733" i="3"/>
  <c r="AE734" i="3"/>
  <c r="AE735" i="3"/>
  <c r="AE736" i="3"/>
  <c r="AE737" i="3"/>
  <c r="AE738" i="3"/>
  <c r="AE739" i="3"/>
  <c r="AE740" i="3"/>
  <c r="AE741" i="3"/>
  <c r="AE742" i="3"/>
  <c r="AE743" i="3"/>
  <c r="AE744" i="3"/>
  <c r="AE745" i="3"/>
  <c r="AE746" i="3"/>
  <c r="AE747" i="3"/>
  <c r="AE748" i="3"/>
  <c r="AE749" i="3"/>
  <c r="AE750" i="3"/>
  <c r="AE751" i="3"/>
  <c r="AE752" i="3"/>
  <c r="AE753" i="3"/>
  <c r="AE754" i="3"/>
  <c r="AE755" i="3"/>
  <c r="AE756" i="3"/>
  <c r="AE757" i="3"/>
  <c r="AE758" i="3"/>
  <c r="AE759" i="3"/>
  <c r="AE760" i="3"/>
  <c r="AE761" i="3"/>
  <c r="AE762" i="3"/>
  <c r="AE763" i="3"/>
  <c r="AE764" i="3"/>
  <c r="AE765" i="3"/>
  <c r="AE766" i="3"/>
  <c r="AE767" i="3"/>
  <c r="AE768" i="3"/>
  <c r="AE769" i="3"/>
  <c r="AE770" i="3"/>
  <c r="AE771" i="3"/>
  <c r="AE772" i="3"/>
  <c r="AE773" i="3"/>
  <c r="AE774" i="3"/>
  <c r="AE775" i="3"/>
  <c r="AE776" i="3"/>
  <c r="AE777" i="3"/>
  <c r="AE778" i="3"/>
  <c r="AE779" i="3"/>
  <c r="AE780" i="3"/>
  <c r="AE781" i="3"/>
  <c r="AE782" i="3"/>
  <c r="AE783" i="3"/>
  <c r="AE784" i="3"/>
  <c r="AE785" i="3"/>
  <c r="AE786" i="3"/>
  <c r="AE787" i="3"/>
  <c r="AE788" i="3"/>
  <c r="AE789" i="3"/>
  <c r="AE790" i="3"/>
  <c r="AE791" i="3"/>
  <c r="AE792" i="3"/>
  <c r="AE793" i="3"/>
  <c r="AE794" i="3"/>
  <c r="AE795" i="3"/>
  <c r="AE796" i="3"/>
  <c r="AE797" i="3"/>
  <c r="AE798" i="3"/>
  <c r="AE799" i="3"/>
  <c r="AE800" i="3"/>
  <c r="AE801" i="3"/>
  <c r="AE802" i="3"/>
  <c r="AE803" i="3"/>
  <c r="AE804" i="3"/>
  <c r="AE805" i="3"/>
  <c r="AE806" i="3"/>
  <c r="AE807" i="3"/>
  <c r="AE808" i="3"/>
  <c r="AE809" i="3"/>
  <c r="AE810" i="3"/>
  <c r="AE811" i="3"/>
  <c r="AE812" i="3"/>
  <c r="AE813" i="3"/>
  <c r="AE814" i="3"/>
  <c r="AE815" i="3"/>
  <c r="AE816" i="3"/>
  <c r="AE817" i="3"/>
  <c r="AE818" i="3"/>
  <c r="AE819" i="3"/>
  <c r="AE820" i="3"/>
  <c r="AE821" i="3"/>
  <c r="AE822" i="3"/>
  <c r="AE823" i="3"/>
  <c r="AE824" i="3"/>
  <c r="AE825" i="3"/>
  <c r="AE826" i="3"/>
  <c r="AE827" i="3"/>
  <c r="AE828" i="3"/>
  <c r="AE829" i="3"/>
  <c r="AE830" i="3"/>
  <c r="AE831" i="3"/>
  <c r="AE832" i="3"/>
  <c r="AE833" i="3"/>
  <c r="AE834" i="3"/>
  <c r="AE835" i="3"/>
  <c r="AE836" i="3"/>
  <c r="AE837" i="3"/>
  <c r="AE838" i="3"/>
  <c r="AE839" i="3"/>
  <c r="AE840" i="3"/>
  <c r="AE841" i="3"/>
  <c r="AE842" i="3"/>
  <c r="AE843" i="3"/>
  <c r="AE844" i="3"/>
  <c r="AE845" i="3"/>
  <c r="AE846" i="3"/>
  <c r="AE847" i="3"/>
  <c r="AE848" i="3"/>
  <c r="AE849" i="3"/>
  <c r="AE850" i="3"/>
  <c r="AE851" i="3"/>
  <c r="AE852" i="3"/>
  <c r="AE853" i="3"/>
  <c r="AE854" i="3"/>
  <c r="AE855" i="3"/>
  <c r="AE856" i="3"/>
  <c r="AE857" i="3"/>
  <c r="AE858" i="3"/>
  <c r="AE859" i="3"/>
  <c r="AE860" i="3"/>
  <c r="AE861" i="3"/>
  <c r="AE862" i="3"/>
  <c r="AE863" i="3"/>
  <c r="AE864" i="3"/>
  <c r="AE865" i="3"/>
  <c r="AE866" i="3"/>
  <c r="AE867" i="3"/>
  <c r="AE868" i="3"/>
  <c r="AE869" i="3"/>
  <c r="AE870" i="3"/>
  <c r="AE871" i="3"/>
  <c r="AE872" i="3"/>
  <c r="AE873" i="3"/>
  <c r="AE874" i="3"/>
  <c r="AE875" i="3"/>
  <c r="AE876" i="3"/>
  <c r="AE877" i="3"/>
  <c r="AE878" i="3"/>
  <c r="AE879" i="3"/>
  <c r="AE880" i="3"/>
  <c r="AE881" i="3"/>
  <c r="AE882" i="3"/>
  <c r="AE883" i="3"/>
  <c r="AE884" i="3"/>
  <c r="AE885" i="3"/>
  <c r="AE886" i="3"/>
  <c r="AE887" i="3"/>
  <c r="AE888" i="3"/>
  <c r="AE889" i="3"/>
  <c r="AE890" i="3"/>
  <c r="AE891" i="3"/>
  <c r="AE892" i="3"/>
  <c r="AE893" i="3"/>
  <c r="AE894" i="3"/>
  <c r="AE895" i="3"/>
  <c r="AE896" i="3"/>
  <c r="AE897" i="3"/>
  <c r="AE898" i="3"/>
  <c r="AE899" i="3"/>
  <c r="AE900" i="3"/>
  <c r="AE901" i="3"/>
  <c r="AE902" i="3"/>
  <c r="AE903" i="3"/>
  <c r="AE904" i="3"/>
  <c r="AE905" i="3"/>
  <c r="AE906" i="3"/>
  <c r="AE907" i="3"/>
  <c r="AE908" i="3"/>
  <c r="AE909" i="3"/>
  <c r="AE910" i="3"/>
  <c r="AE911" i="3"/>
  <c r="AE912" i="3"/>
  <c r="AE913" i="3"/>
  <c r="AE914" i="3"/>
  <c r="AE915" i="3"/>
  <c r="AE916" i="3"/>
  <c r="AE917" i="3"/>
  <c r="AE918" i="3"/>
  <c r="AE919" i="3"/>
  <c r="AE920" i="3"/>
  <c r="AE921" i="3"/>
  <c r="AE922" i="3"/>
  <c r="AE923" i="3"/>
  <c r="AE924" i="3"/>
  <c r="AE925" i="3"/>
  <c r="AE926" i="3"/>
  <c r="AE927" i="3"/>
  <c r="AE928" i="3"/>
  <c r="AE929" i="3"/>
  <c r="AE930" i="3"/>
  <c r="AE931" i="3"/>
  <c r="AE932" i="3"/>
  <c r="AE933" i="3"/>
  <c r="AE934" i="3"/>
  <c r="AE935" i="3"/>
  <c r="AE936" i="3"/>
  <c r="AE937" i="3"/>
  <c r="AE938" i="3"/>
  <c r="AE939" i="3"/>
  <c r="AE940" i="3"/>
  <c r="AE941" i="3"/>
  <c r="AE942" i="3"/>
  <c r="AE943" i="3"/>
  <c r="AE944" i="3"/>
  <c r="AE945" i="3"/>
  <c r="AE946" i="3"/>
  <c r="AE947" i="3"/>
  <c r="AE948" i="3"/>
  <c r="AE949" i="3"/>
  <c r="AE950" i="3"/>
  <c r="AE951" i="3"/>
  <c r="AE952" i="3"/>
  <c r="AE953" i="3"/>
  <c r="AE954" i="3"/>
  <c r="AE955" i="3"/>
  <c r="AE956" i="3"/>
  <c r="AE957" i="3"/>
  <c r="AE958" i="3"/>
  <c r="AE959" i="3"/>
  <c r="AE960" i="3"/>
  <c r="AE961" i="3"/>
  <c r="AE962" i="3"/>
  <c r="AE963" i="3"/>
  <c r="AE964" i="3"/>
  <c r="AE965" i="3"/>
  <c r="AE966" i="3"/>
  <c r="AE967" i="3"/>
  <c r="AE968" i="3"/>
  <c r="AE969" i="3"/>
  <c r="AE970" i="3"/>
  <c r="AE971" i="3"/>
  <c r="AE972" i="3"/>
  <c r="AE973" i="3"/>
  <c r="AE974" i="3"/>
  <c r="AE975" i="3"/>
  <c r="AE976" i="3"/>
  <c r="AE977" i="3"/>
  <c r="AE978" i="3"/>
  <c r="AE979" i="3"/>
  <c r="AE980" i="3"/>
  <c r="AE981" i="3"/>
  <c r="AE982" i="3"/>
  <c r="AE983" i="3"/>
  <c r="AE984" i="3"/>
  <c r="AE985" i="3"/>
  <c r="AE986" i="3"/>
  <c r="AE987" i="3"/>
  <c r="AE988" i="3"/>
  <c r="AE989" i="3"/>
  <c r="AE990" i="3"/>
  <c r="AE991" i="3"/>
  <c r="AE992" i="3"/>
  <c r="AE993" i="3"/>
  <c r="AE994" i="3"/>
  <c r="AE995" i="3"/>
  <c r="AE996" i="3"/>
  <c r="AE997" i="3"/>
  <c r="AE998" i="3"/>
  <c r="AE999" i="3"/>
  <c r="AE1000" i="3"/>
  <c r="AE1001" i="3"/>
  <c r="AE1002" i="3"/>
  <c r="AE1003" i="3"/>
  <c r="AE1004" i="3"/>
  <c r="AE1005" i="3"/>
  <c r="AE1006" i="3"/>
  <c r="AE1007" i="3"/>
  <c r="AE1008" i="3"/>
  <c r="AE1009" i="3"/>
  <c r="AE1010" i="3"/>
  <c r="AE1011" i="3"/>
  <c r="AE1012" i="3"/>
  <c r="AE1013" i="3"/>
  <c r="AE1014" i="3"/>
  <c r="AE1015" i="3"/>
  <c r="AE1016" i="3"/>
  <c r="AE1017" i="3"/>
  <c r="AE1018" i="3"/>
  <c r="AE1019" i="3"/>
  <c r="AE1020" i="3"/>
  <c r="AE1021" i="3"/>
  <c r="AE1022" i="3"/>
  <c r="AE1023" i="3"/>
  <c r="AE1024" i="3"/>
  <c r="AE1025" i="3"/>
  <c r="AE1026" i="3"/>
  <c r="AE1027" i="3"/>
  <c r="AE1028" i="3"/>
  <c r="AE1029" i="3"/>
  <c r="AE1030" i="3"/>
  <c r="AE1031" i="3"/>
  <c r="AE1032" i="3"/>
  <c r="AE1033" i="3"/>
  <c r="AE1034" i="3"/>
  <c r="AE1035" i="3"/>
  <c r="AE1036" i="3"/>
  <c r="AE1037" i="3"/>
  <c r="AE1038" i="3"/>
  <c r="AE1039" i="3"/>
  <c r="AE1040" i="3"/>
  <c r="AE1041" i="3"/>
  <c r="AE1042" i="3"/>
  <c r="AE1043" i="3"/>
  <c r="AE1044" i="3"/>
  <c r="AE1045" i="3"/>
  <c r="AE1046" i="3"/>
  <c r="AE1047" i="3"/>
  <c r="AE1048" i="3"/>
  <c r="AE1049" i="3"/>
  <c r="AE1050" i="3"/>
  <c r="AE1051" i="3"/>
  <c r="AE1052" i="3"/>
  <c r="AE1053" i="3"/>
  <c r="AE1054" i="3"/>
  <c r="AE1055" i="3"/>
  <c r="AE1056" i="3"/>
  <c r="AE1057" i="3"/>
  <c r="AE1058" i="3"/>
  <c r="AE1059" i="3"/>
  <c r="AE1060" i="3"/>
  <c r="AE1061" i="3"/>
  <c r="AE1062" i="3"/>
  <c r="AE1063" i="3"/>
  <c r="AE1064" i="3"/>
  <c r="AE1065" i="3"/>
  <c r="AE1066" i="3"/>
  <c r="AE1067" i="3"/>
  <c r="AE1068" i="3"/>
  <c r="AE1069" i="3"/>
  <c r="AE1070" i="3"/>
  <c r="AE1071" i="3"/>
  <c r="AE1072" i="3"/>
  <c r="AE1073" i="3"/>
  <c r="AE1074" i="3"/>
  <c r="AE1075" i="3"/>
  <c r="AE1076" i="3"/>
  <c r="AE1077" i="3"/>
  <c r="AE1078" i="3"/>
  <c r="AE1079" i="3"/>
  <c r="AE1080" i="3"/>
  <c r="AE1081" i="3"/>
  <c r="AE1082" i="3"/>
  <c r="AE1083" i="3"/>
  <c r="AE1084" i="3"/>
  <c r="AE1085" i="3"/>
  <c r="AE1086" i="3"/>
  <c r="AE1087" i="3"/>
  <c r="AE1088" i="3"/>
  <c r="AE1089" i="3"/>
  <c r="AE1090" i="3"/>
  <c r="AE1091" i="3"/>
  <c r="AE1092" i="3"/>
  <c r="AE1093" i="3"/>
  <c r="AE1094" i="3"/>
  <c r="AE1095" i="3"/>
  <c r="AE1096" i="3"/>
  <c r="AE1097" i="3"/>
  <c r="AE1098" i="3"/>
  <c r="AE1099" i="3"/>
  <c r="AE1100" i="3"/>
  <c r="AE1101" i="3"/>
  <c r="AE1102" i="3"/>
  <c r="AE1103" i="3"/>
  <c r="AE1104" i="3"/>
  <c r="AE1105" i="3"/>
  <c r="AE1106" i="3"/>
  <c r="AE1107" i="3"/>
  <c r="AE1108" i="3"/>
  <c r="AE1109" i="3"/>
  <c r="AE1110" i="3"/>
  <c r="AE1111" i="3"/>
  <c r="AE1112" i="3"/>
  <c r="AE1113" i="3"/>
  <c r="AE1114" i="3"/>
  <c r="AE1115" i="3"/>
  <c r="AE1116" i="3"/>
  <c r="AE1117" i="3"/>
  <c r="AE1118" i="3"/>
  <c r="AE1119" i="3"/>
  <c r="AE1120" i="3"/>
  <c r="AE1121" i="3"/>
  <c r="AE1122" i="3"/>
  <c r="AE1123" i="3"/>
  <c r="AE1124" i="3"/>
  <c r="AE1125" i="3"/>
  <c r="AE1126" i="3"/>
  <c r="AE1127" i="3"/>
  <c r="AE1128" i="3"/>
  <c r="AE1129" i="3"/>
  <c r="AE1130" i="3"/>
  <c r="AE1131" i="3"/>
  <c r="AE1132" i="3"/>
  <c r="AE1133" i="3"/>
  <c r="AE1134" i="3"/>
  <c r="AE1135" i="3"/>
  <c r="AE1136" i="3"/>
  <c r="AE1137" i="3"/>
  <c r="AE1138" i="3"/>
  <c r="AE1139" i="3"/>
  <c r="AE1140" i="3"/>
  <c r="AE1141" i="3"/>
  <c r="AE1142" i="3"/>
  <c r="AE1143" i="3"/>
  <c r="AE1144" i="3"/>
  <c r="AE1145" i="3"/>
  <c r="AE1146" i="3"/>
  <c r="AE1147" i="3"/>
  <c r="AE1148" i="3"/>
  <c r="AE1149" i="3"/>
  <c r="AE1150" i="3"/>
  <c r="AE1151" i="3"/>
  <c r="AE1152" i="3"/>
  <c r="AE1153" i="3"/>
  <c r="AE1154" i="3"/>
  <c r="AE1155" i="3"/>
  <c r="AE1156" i="3"/>
  <c r="AE1157" i="3"/>
  <c r="AE1158" i="3"/>
  <c r="AE1159" i="3"/>
  <c r="AE1160" i="3"/>
  <c r="AE1161" i="3"/>
  <c r="AE1162" i="3"/>
  <c r="AE1163" i="3"/>
  <c r="AE1164" i="3"/>
  <c r="AE1165" i="3"/>
  <c r="AE1166" i="3"/>
  <c r="AE1167" i="3"/>
  <c r="AE1168" i="3"/>
  <c r="AE1169" i="3"/>
  <c r="AE1170" i="3"/>
  <c r="AE1171" i="3"/>
  <c r="AE1172" i="3"/>
  <c r="AE1173" i="3"/>
  <c r="AE1174" i="3"/>
  <c r="AE1175" i="3"/>
  <c r="AE1176" i="3"/>
  <c r="AE1177" i="3"/>
  <c r="AE1178" i="3"/>
  <c r="AE1179" i="3"/>
  <c r="AE1180" i="3"/>
  <c r="AE1181" i="3"/>
  <c r="AE1182" i="3"/>
  <c r="AE1183" i="3"/>
  <c r="AE1184" i="3"/>
  <c r="AE1185" i="3"/>
  <c r="AE1186" i="3"/>
  <c r="AE1187" i="3"/>
  <c r="AE1188" i="3"/>
  <c r="AE1189" i="3"/>
  <c r="AE1190" i="3"/>
  <c r="AE1191" i="3"/>
  <c r="AE1192" i="3"/>
  <c r="AE1193" i="3"/>
  <c r="AE1194" i="3"/>
  <c r="AE1195" i="3"/>
  <c r="AE1196" i="3"/>
  <c r="AE1197" i="3"/>
  <c r="AE1198" i="3"/>
  <c r="AE1199" i="3"/>
  <c r="AE1200" i="3"/>
  <c r="AE1201" i="3"/>
  <c r="AE1202" i="3"/>
  <c r="AE1203" i="3"/>
  <c r="AE1204" i="3"/>
  <c r="AE1205" i="3"/>
  <c r="AE1206" i="3"/>
  <c r="AE1207" i="3"/>
  <c r="AE1208" i="3"/>
  <c r="AE1209" i="3"/>
  <c r="AE1210" i="3"/>
  <c r="AE1211" i="3"/>
  <c r="AE1212" i="3"/>
  <c r="AE1213" i="3"/>
  <c r="AE1214" i="3"/>
  <c r="AE1215" i="3"/>
  <c r="AE1216" i="3"/>
  <c r="AE1217" i="3"/>
  <c r="AE1218" i="3"/>
  <c r="AE1219" i="3"/>
  <c r="AE1220" i="3"/>
  <c r="AE1221" i="3"/>
  <c r="AE1222" i="3"/>
  <c r="AE1223" i="3"/>
  <c r="AE1224" i="3"/>
  <c r="AE1225" i="3"/>
  <c r="AE1226" i="3"/>
  <c r="AE1227" i="3"/>
  <c r="AE1228" i="3"/>
  <c r="AE1229" i="3"/>
  <c r="AE1230" i="3"/>
  <c r="AE1231" i="3"/>
  <c r="AE1232" i="3"/>
  <c r="AE1233" i="3"/>
  <c r="AE1234" i="3"/>
  <c r="AE1235" i="3"/>
  <c r="AE1236" i="3"/>
  <c r="AE1237" i="3"/>
  <c r="AE1238" i="3"/>
  <c r="AE1239" i="3"/>
  <c r="AE1240" i="3"/>
  <c r="AE1241" i="3"/>
  <c r="AE1242" i="3"/>
  <c r="AE1243" i="3"/>
  <c r="AE1244" i="3"/>
  <c r="AE1245" i="3"/>
  <c r="AE1246" i="3"/>
  <c r="AE1247" i="3"/>
  <c r="AE1248" i="3"/>
  <c r="AE1249" i="3"/>
  <c r="AE1250" i="3"/>
  <c r="AE1251" i="3"/>
  <c r="AE1252" i="3"/>
  <c r="AE1253" i="3"/>
  <c r="AE1254" i="3"/>
  <c r="AE1255" i="3"/>
  <c r="AE1256" i="3"/>
  <c r="AE1257" i="3"/>
  <c r="AE1258" i="3"/>
  <c r="AE1259" i="3"/>
  <c r="AE1260" i="3"/>
  <c r="AE1261" i="3"/>
  <c r="AE1262" i="3"/>
  <c r="AE1263" i="3"/>
  <c r="AE1264" i="3"/>
  <c r="AE1265" i="3"/>
  <c r="AE1266" i="3"/>
  <c r="AE1267" i="3"/>
  <c r="AE1268" i="3"/>
  <c r="AE1269" i="3"/>
  <c r="AE1270" i="3"/>
  <c r="AE1271" i="3"/>
  <c r="AE1272" i="3"/>
  <c r="AE1273" i="3"/>
  <c r="AE1274" i="3"/>
  <c r="AE1275" i="3"/>
  <c r="AE1276" i="3"/>
  <c r="AE1277" i="3"/>
  <c r="AE1278" i="3"/>
  <c r="AE1279" i="3"/>
  <c r="AE1280" i="3"/>
  <c r="AE1281" i="3"/>
  <c r="AE1282" i="3"/>
  <c r="AE1283" i="3"/>
  <c r="AE1284" i="3"/>
  <c r="AE1285" i="3"/>
  <c r="AE1286" i="3"/>
  <c r="AE1287" i="3"/>
  <c r="AE1288" i="3"/>
  <c r="AE1289" i="3"/>
  <c r="AE1290" i="3"/>
  <c r="AE1291" i="3"/>
  <c r="AE1292" i="3"/>
  <c r="AE1293" i="3"/>
  <c r="AE1294" i="3"/>
  <c r="AE1295" i="3"/>
  <c r="AE1296" i="3"/>
  <c r="AE1297" i="3"/>
  <c r="AE1298" i="3"/>
  <c r="AE1299" i="3"/>
  <c r="AE1300" i="3"/>
  <c r="AE1301" i="3"/>
  <c r="AE1302" i="3"/>
  <c r="AE1303" i="3"/>
  <c r="AE1304" i="3"/>
  <c r="AE1305" i="3"/>
  <c r="AE1306" i="3"/>
  <c r="AE1307" i="3"/>
  <c r="AE1308" i="3"/>
  <c r="AE1309" i="3"/>
  <c r="AE1310" i="3"/>
  <c r="AE1311" i="3"/>
  <c r="AE1312" i="3"/>
  <c r="AE1313" i="3"/>
  <c r="AE1314" i="3"/>
  <c r="AE1315" i="3"/>
  <c r="AE1316" i="3"/>
  <c r="AE1317" i="3"/>
  <c r="AE1318" i="3"/>
  <c r="AE1319" i="3"/>
  <c r="AE1320" i="3"/>
  <c r="AE1321" i="3"/>
  <c r="AE1322" i="3"/>
  <c r="AE1323" i="3"/>
  <c r="AE1324" i="3"/>
  <c r="AE1325" i="3"/>
  <c r="AE1326" i="3"/>
  <c r="AE1327" i="3"/>
  <c r="AE1328" i="3"/>
  <c r="AE1329" i="3"/>
  <c r="AE1330" i="3"/>
  <c r="AE1331" i="3"/>
  <c r="AE1332" i="3"/>
  <c r="AE1333" i="3"/>
  <c r="AE1334" i="3"/>
  <c r="AE1335" i="3"/>
  <c r="AE1336" i="3"/>
  <c r="AE1337" i="3"/>
  <c r="AE1338" i="3"/>
  <c r="AE1339" i="3"/>
  <c r="AE1340" i="3"/>
  <c r="AE1341" i="3"/>
  <c r="AE1342" i="3"/>
  <c r="AE1343" i="3"/>
  <c r="AE1344" i="3"/>
  <c r="AE1345" i="3"/>
  <c r="AE1346" i="3"/>
  <c r="AE1347" i="3"/>
  <c r="AE1348" i="3"/>
  <c r="AE1349" i="3"/>
  <c r="AE1350" i="3"/>
  <c r="AE1351" i="3"/>
  <c r="AE1352" i="3"/>
  <c r="AE1353" i="3"/>
  <c r="AE1354" i="3"/>
  <c r="AE1355" i="3"/>
  <c r="AE1356" i="3"/>
  <c r="AE1357" i="3"/>
  <c r="AE1358" i="3"/>
  <c r="AE1359" i="3"/>
  <c r="AE1360" i="3"/>
  <c r="AE1361" i="3"/>
  <c r="AE1362" i="3"/>
  <c r="AE1363" i="3"/>
  <c r="AE1364" i="3"/>
  <c r="AE1365" i="3"/>
  <c r="AE1366" i="3"/>
  <c r="AE1367" i="3"/>
  <c r="AE1368" i="3"/>
  <c r="AE1369" i="3"/>
  <c r="AE1370" i="3"/>
  <c r="AE1371" i="3"/>
  <c r="AE1372" i="3"/>
  <c r="AE1373" i="3"/>
  <c r="AE1374" i="3"/>
  <c r="AE1375" i="3"/>
  <c r="AE1376" i="3"/>
  <c r="AE1377" i="3"/>
  <c r="AE1378" i="3"/>
  <c r="AE1379" i="3"/>
  <c r="AE1380" i="3"/>
  <c r="AE1381" i="3"/>
  <c r="AE1382" i="3"/>
  <c r="AE1383" i="3"/>
  <c r="AE1384" i="3"/>
  <c r="AE1385" i="3"/>
  <c r="AE1386" i="3"/>
  <c r="AE1387" i="3"/>
  <c r="AE1388" i="3"/>
  <c r="AE1389" i="3"/>
  <c r="AE1390" i="3"/>
  <c r="AE1391" i="3"/>
  <c r="AE1392" i="3"/>
  <c r="AE1393" i="3"/>
  <c r="AE1394" i="3"/>
  <c r="AE1395" i="3"/>
  <c r="AE1396" i="3"/>
  <c r="AE1397" i="3"/>
  <c r="AE1398" i="3"/>
  <c r="AE1399" i="3"/>
  <c r="AE1400" i="3"/>
  <c r="AE1401" i="3"/>
  <c r="AE1402" i="3"/>
  <c r="AE1403" i="3"/>
  <c r="AE1404" i="3"/>
  <c r="AE1405" i="3"/>
  <c r="AE1406" i="3"/>
  <c r="AE1407" i="3"/>
  <c r="AE1408" i="3"/>
  <c r="AE1409" i="3"/>
  <c r="AE1410" i="3"/>
  <c r="AE1411" i="3"/>
  <c r="AE1412" i="3"/>
  <c r="AE1413" i="3"/>
  <c r="AE1414" i="3"/>
  <c r="AE1415" i="3"/>
  <c r="AE1416" i="3"/>
  <c r="AE1417" i="3"/>
  <c r="AE1418" i="3"/>
  <c r="AE1419" i="3"/>
  <c r="AE1420" i="3"/>
  <c r="AE1421" i="3"/>
  <c r="AE1422" i="3"/>
  <c r="AE1423" i="3"/>
  <c r="AE1424" i="3"/>
  <c r="AE1425" i="3"/>
  <c r="AE1426" i="3"/>
  <c r="AE1427" i="3"/>
  <c r="AE1428" i="3"/>
  <c r="AE1429" i="3"/>
  <c r="AE1430" i="3"/>
  <c r="AE1431" i="3"/>
  <c r="AE1432" i="3"/>
  <c r="AE1433" i="3"/>
  <c r="AE1434" i="3"/>
  <c r="AE1435" i="3"/>
  <c r="AE1436" i="3"/>
  <c r="AE1437" i="3"/>
  <c r="AE1438" i="3"/>
  <c r="AE1439" i="3"/>
  <c r="AE1440" i="3"/>
  <c r="AE1441" i="3"/>
  <c r="AE1442" i="3"/>
  <c r="AE1443" i="3"/>
  <c r="AE1444" i="3"/>
  <c r="AE1445" i="3"/>
  <c r="AE1446" i="3"/>
  <c r="AE1447" i="3"/>
  <c r="AE1448" i="3"/>
  <c r="AE1449" i="3"/>
  <c r="AE1450" i="3"/>
  <c r="AE1451" i="3"/>
  <c r="AE1452" i="3"/>
  <c r="AE1453" i="3"/>
  <c r="AE1454" i="3"/>
  <c r="AE1455" i="3"/>
  <c r="AE1456" i="3"/>
  <c r="AE1457" i="3"/>
  <c r="AE1458" i="3"/>
  <c r="AE1459" i="3"/>
  <c r="AE1460" i="3"/>
  <c r="AE1461" i="3"/>
  <c r="AE1462" i="3"/>
  <c r="AE1463" i="3"/>
  <c r="AE1464" i="3"/>
  <c r="AE1465" i="3"/>
  <c r="AE1466" i="3"/>
  <c r="AE1467" i="3"/>
  <c r="AE1468" i="3"/>
  <c r="AE1469" i="3"/>
  <c r="AE1470" i="3"/>
  <c r="AE1471" i="3"/>
  <c r="AE1472" i="3"/>
  <c r="AE1473" i="3"/>
  <c r="AE1474" i="3"/>
  <c r="AE1475" i="3"/>
  <c r="AE1476" i="3"/>
  <c r="AE1477" i="3"/>
  <c r="AE1478" i="3"/>
  <c r="AE1479" i="3"/>
  <c r="AE1480" i="3"/>
  <c r="AE1481" i="3"/>
  <c r="AE1482" i="3"/>
  <c r="AE1483" i="3"/>
  <c r="AE1484" i="3"/>
  <c r="AE1485" i="3"/>
  <c r="AE1486" i="3"/>
  <c r="AE1487" i="3"/>
  <c r="AE1488" i="3"/>
  <c r="AE1489" i="3"/>
  <c r="AE1490" i="3"/>
  <c r="AE1491" i="3"/>
  <c r="AE1492" i="3"/>
  <c r="AE1493" i="3"/>
  <c r="AE1494" i="3"/>
  <c r="AE1495" i="3"/>
  <c r="AE1496" i="3"/>
  <c r="AE1497" i="3"/>
  <c r="AE1498" i="3"/>
  <c r="AE1499" i="3"/>
  <c r="AE1500" i="3"/>
  <c r="AE1501" i="3"/>
  <c r="AE1502" i="3"/>
  <c r="AE1503" i="3"/>
  <c r="AE1504" i="3"/>
  <c r="AE1505" i="3"/>
  <c r="AE1506" i="3"/>
  <c r="AE1507" i="3"/>
  <c r="AE1508" i="3"/>
  <c r="AE1509" i="3"/>
  <c r="AE1510" i="3"/>
  <c r="AE1511" i="3"/>
  <c r="AE1512" i="3"/>
  <c r="AE1513" i="3"/>
  <c r="AE1514" i="3"/>
  <c r="AE1515" i="3"/>
  <c r="AE1516" i="3"/>
  <c r="AE1517" i="3"/>
  <c r="AE1518" i="3"/>
  <c r="AE1519" i="3"/>
  <c r="AE1520" i="3"/>
  <c r="AE1521" i="3"/>
  <c r="AE1522" i="3"/>
  <c r="AE1523" i="3"/>
  <c r="AE1524" i="3"/>
  <c r="AE1525" i="3"/>
  <c r="AE1526" i="3"/>
  <c r="AE1527" i="3"/>
  <c r="AE1528" i="3"/>
  <c r="AE1529" i="3"/>
  <c r="AE1530" i="3"/>
  <c r="AE1531" i="3"/>
  <c r="AE1532" i="3"/>
  <c r="AE1533" i="3"/>
  <c r="AE1534" i="3"/>
  <c r="AE1535" i="3"/>
  <c r="AE1536" i="3"/>
  <c r="AE1537" i="3"/>
  <c r="AE1538" i="3"/>
  <c r="AE1539" i="3"/>
  <c r="AE1540" i="3"/>
  <c r="AE1541" i="3"/>
  <c r="AE1542" i="3"/>
  <c r="AE1543" i="3"/>
  <c r="AE1544" i="3"/>
  <c r="AE1545" i="3"/>
  <c r="AE1546" i="3"/>
  <c r="AE1547" i="3"/>
  <c r="AE1548" i="3"/>
  <c r="AE1549" i="3"/>
  <c r="AE1550" i="3"/>
  <c r="AE1551" i="3"/>
  <c r="AE1552" i="3"/>
  <c r="AE1553" i="3"/>
  <c r="AE1554" i="3"/>
  <c r="AE1555" i="3"/>
  <c r="AE1556" i="3"/>
  <c r="AE1557" i="3"/>
  <c r="AE1558" i="3"/>
  <c r="AE1559" i="3"/>
  <c r="AE1560" i="3"/>
  <c r="AE1561" i="3"/>
  <c r="AE1562" i="3"/>
  <c r="AE1563" i="3"/>
  <c r="AE1564" i="3"/>
  <c r="AE1565" i="3"/>
  <c r="AE1566" i="3"/>
  <c r="AE1567" i="3"/>
  <c r="AE1568" i="3"/>
  <c r="AE1569" i="3"/>
  <c r="AE1570" i="3"/>
  <c r="AE1571" i="3"/>
  <c r="AE1572" i="3"/>
  <c r="AE1573" i="3"/>
  <c r="AE1574" i="3"/>
  <c r="AE1575" i="3"/>
  <c r="AE1576" i="3"/>
  <c r="AE1577" i="3"/>
  <c r="AE1578" i="3"/>
  <c r="AE1579" i="3"/>
  <c r="AE1580" i="3"/>
  <c r="AE1581" i="3"/>
  <c r="AE1582" i="3"/>
  <c r="AE1583" i="3"/>
  <c r="AE1584" i="3"/>
  <c r="AE1585" i="3"/>
  <c r="AE1586" i="3"/>
  <c r="AE1587" i="3"/>
  <c r="AE1588" i="3"/>
  <c r="AE1589" i="3"/>
  <c r="AE1590" i="3"/>
  <c r="AE1591" i="3"/>
  <c r="AE1592" i="3"/>
  <c r="AE1593" i="3"/>
  <c r="AE1594" i="3"/>
  <c r="AE1595" i="3"/>
  <c r="AE1596" i="3"/>
  <c r="AE1597" i="3"/>
  <c r="AE1598" i="3"/>
  <c r="AE1599" i="3"/>
  <c r="AE1600" i="3"/>
  <c r="AE1601" i="3"/>
  <c r="AE1602" i="3"/>
  <c r="AE1603" i="3"/>
  <c r="AE1604" i="3"/>
  <c r="AE1605" i="3"/>
  <c r="AE1606" i="3"/>
  <c r="AE1607" i="3"/>
  <c r="AE1608" i="3"/>
  <c r="AE1609" i="3"/>
  <c r="AE1610" i="3"/>
  <c r="AE1611" i="3"/>
  <c r="AE1612" i="3"/>
  <c r="AE1613" i="3"/>
  <c r="AE1614" i="3"/>
  <c r="AE1615" i="3"/>
  <c r="AE1616" i="3"/>
  <c r="AE1617" i="3"/>
  <c r="AE1618" i="3"/>
  <c r="AE1619" i="3"/>
  <c r="AE1620" i="3"/>
  <c r="AE1621" i="3"/>
  <c r="AE1622" i="3"/>
  <c r="AE1623" i="3"/>
  <c r="AE1624" i="3"/>
  <c r="AE1625" i="3"/>
  <c r="AE1626" i="3"/>
  <c r="AE1627" i="3"/>
  <c r="AE1628" i="3"/>
  <c r="AE1629" i="3"/>
  <c r="AE1630" i="3"/>
  <c r="AE1631" i="3"/>
  <c r="AE1632" i="3"/>
  <c r="AE1633" i="3"/>
  <c r="AE1634" i="3"/>
  <c r="AE1635" i="3"/>
  <c r="AE1636" i="3"/>
  <c r="AE1637" i="3"/>
  <c r="AE1638" i="3"/>
  <c r="AE1639" i="3"/>
  <c r="AE1640" i="3"/>
  <c r="AE1641" i="3"/>
  <c r="AE1642" i="3"/>
  <c r="AE1643" i="3"/>
  <c r="AE1644" i="3"/>
  <c r="AE1645" i="3"/>
  <c r="AE1646" i="3"/>
  <c r="AE1647" i="3"/>
  <c r="AE1648" i="3"/>
  <c r="AE1649" i="3"/>
  <c r="AE1650" i="3"/>
  <c r="AE1651" i="3"/>
  <c r="AE1652" i="3"/>
  <c r="AE1653" i="3"/>
  <c r="AE1654" i="3"/>
  <c r="AE1655" i="3"/>
  <c r="AE1656" i="3"/>
  <c r="AE1657" i="3"/>
  <c r="AE1658" i="3"/>
  <c r="AE1659" i="3"/>
  <c r="AE1660" i="3"/>
  <c r="AE1661" i="3"/>
  <c r="AE1662" i="3"/>
  <c r="AE1663" i="3"/>
  <c r="AE1664" i="3"/>
  <c r="AE1665" i="3"/>
  <c r="AE1666" i="3"/>
  <c r="AE1667" i="3"/>
  <c r="AE1668" i="3"/>
  <c r="AE1669" i="3"/>
  <c r="AE1670" i="3"/>
  <c r="AE1671" i="3"/>
  <c r="AE1672" i="3"/>
  <c r="AE1673" i="3"/>
  <c r="AE1674" i="3"/>
  <c r="AE1675" i="3"/>
  <c r="AE1676" i="3"/>
  <c r="AE1677" i="3"/>
  <c r="AE1678" i="3"/>
  <c r="AE1679" i="3"/>
  <c r="AE1680" i="3"/>
  <c r="AE1681" i="3"/>
  <c r="AE1682" i="3"/>
  <c r="AE1683" i="3"/>
  <c r="AE1684" i="3"/>
  <c r="AE1685" i="3"/>
  <c r="AE1686" i="3"/>
  <c r="AE1687" i="3"/>
  <c r="AE1688" i="3"/>
  <c r="AE1689" i="3"/>
  <c r="AE1690" i="3"/>
  <c r="AE1691" i="3"/>
  <c r="AE1692" i="3"/>
  <c r="AE1693" i="3"/>
  <c r="AE1694" i="3"/>
  <c r="AE1695" i="3"/>
  <c r="AE1696" i="3"/>
  <c r="AE1697" i="3"/>
  <c r="AE1698" i="3"/>
  <c r="AE1699" i="3"/>
  <c r="AE1700" i="3"/>
  <c r="AE1701" i="3"/>
  <c r="AE1702" i="3"/>
  <c r="AE1703" i="3"/>
  <c r="AE1704" i="3"/>
  <c r="AE1705" i="3"/>
  <c r="AE1706" i="3"/>
  <c r="AE1707" i="3"/>
  <c r="AE1708" i="3"/>
  <c r="AE1709" i="3"/>
  <c r="AE1710" i="3"/>
  <c r="AE1711" i="3"/>
  <c r="AE1712" i="3"/>
  <c r="AE1713" i="3"/>
  <c r="AE1714" i="3"/>
  <c r="AE1715" i="3"/>
  <c r="AE1716" i="3"/>
  <c r="AE1717" i="3"/>
  <c r="AE1718" i="3"/>
  <c r="AE1719" i="3"/>
  <c r="AE1720" i="3"/>
  <c r="AE1721" i="3"/>
  <c r="AE1722" i="3"/>
  <c r="AE1723" i="3"/>
  <c r="AE1724" i="3"/>
  <c r="AE1725" i="3"/>
  <c r="AE1726" i="3"/>
  <c r="AE1727" i="3"/>
  <c r="AE1728" i="3"/>
  <c r="AE1729" i="3"/>
  <c r="AE1730" i="3"/>
  <c r="AE1731" i="3"/>
  <c r="AE1732" i="3"/>
  <c r="AE1733" i="3"/>
  <c r="AE1734" i="3"/>
  <c r="AE1735" i="3"/>
  <c r="AE1736" i="3"/>
  <c r="AE1737" i="3"/>
  <c r="AE1738" i="3"/>
  <c r="AE1739" i="3"/>
  <c r="AE1740" i="3"/>
  <c r="AE1741" i="3"/>
  <c r="AE1742" i="3"/>
  <c r="AE1743" i="3"/>
  <c r="AE1744" i="3"/>
  <c r="AE1745" i="3"/>
  <c r="AE1746" i="3"/>
  <c r="AE1747" i="3"/>
  <c r="AE1748" i="3"/>
  <c r="AE1749" i="3"/>
  <c r="AE1750" i="3"/>
  <c r="AE1751" i="3"/>
  <c r="AE1752" i="3"/>
  <c r="AE1753" i="3"/>
  <c r="AE1754" i="3"/>
  <c r="AE1755" i="3"/>
  <c r="AE1756" i="3"/>
  <c r="AE1757" i="3"/>
  <c r="AE1758" i="3"/>
  <c r="AE1759" i="3"/>
  <c r="AE1760" i="3"/>
  <c r="AE1761" i="3"/>
  <c r="AE1762" i="3"/>
  <c r="AE1763" i="3"/>
  <c r="AE1764" i="3"/>
  <c r="AE1765" i="3"/>
  <c r="AE1766" i="3"/>
  <c r="AE1767" i="3"/>
  <c r="AE1768" i="3"/>
  <c r="AE1769" i="3"/>
  <c r="AE1770" i="3"/>
  <c r="AE1771" i="3"/>
  <c r="AE1772" i="3"/>
  <c r="AE1773" i="3"/>
  <c r="AE1774" i="3"/>
  <c r="AE1775" i="3"/>
  <c r="AE1776" i="3"/>
  <c r="AE1777" i="3"/>
  <c r="AE1778" i="3"/>
  <c r="AE1779" i="3"/>
  <c r="AE1780" i="3"/>
  <c r="AE1781" i="3"/>
  <c r="AE1782" i="3"/>
  <c r="AE1783" i="3"/>
  <c r="AE1784" i="3"/>
  <c r="AE1785" i="3"/>
  <c r="AE1786" i="3"/>
  <c r="AE1787" i="3"/>
  <c r="AE1788" i="3"/>
  <c r="AE1789" i="3"/>
  <c r="AE1790" i="3"/>
  <c r="AE1791" i="3"/>
  <c r="AE1792" i="3"/>
  <c r="AE1793" i="3"/>
  <c r="AE1794" i="3"/>
  <c r="AE1795" i="3"/>
  <c r="AE1796" i="3"/>
  <c r="AE1797" i="3"/>
  <c r="AE1798" i="3"/>
  <c r="AE1799" i="3"/>
  <c r="AE1800" i="3"/>
  <c r="AE1801" i="3"/>
  <c r="AE1802" i="3"/>
  <c r="AE1803" i="3"/>
  <c r="AE1804" i="3"/>
  <c r="AE1805" i="3"/>
  <c r="AE1806" i="3"/>
  <c r="AE1807" i="3"/>
  <c r="AE1808" i="3"/>
  <c r="AE1809" i="3"/>
  <c r="AE1810" i="3"/>
  <c r="AE1811" i="3"/>
  <c r="AE1812" i="3"/>
  <c r="AE1813" i="3"/>
  <c r="AE1814" i="3"/>
  <c r="AE1815" i="3"/>
  <c r="AE1816" i="3"/>
  <c r="AE1817" i="3"/>
  <c r="AE1818" i="3"/>
  <c r="AE1819" i="3"/>
  <c r="AE1820" i="3"/>
  <c r="AE1821" i="3"/>
  <c r="AE1822" i="3"/>
  <c r="AE1823" i="3"/>
  <c r="AE1824" i="3"/>
  <c r="AE1825" i="3"/>
  <c r="AE1826" i="3"/>
  <c r="AE1827" i="3"/>
  <c r="AE1828" i="3"/>
  <c r="AE1829" i="3"/>
  <c r="AE1830" i="3"/>
  <c r="AE1831" i="3"/>
  <c r="AE1832" i="3"/>
  <c r="AE1833" i="3"/>
  <c r="AE1834" i="3"/>
  <c r="AE1835" i="3"/>
  <c r="AE1836" i="3"/>
  <c r="AE1837" i="3"/>
  <c r="AE1838" i="3"/>
  <c r="AE1839" i="3"/>
  <c r="AE1840" i="3"/>
  <c r="AE1841" i="3"/>
  <c r="AE1842" i="3"/>
  <c r="AE1843" i="3"/>
  <c r="AE1844" i="3"/>
  <c r="AE1845" i="3"/>
  <c r="AE1846" i="3"/>
  <c r="AE1847" i="3"/>
  <c r="AE1848" i="3"/>
  <c r="AE1849" i="3"/>
  <c r="AE1850" i="3"/>
  <c r="AE1851" i="3"/>
  <c r="AE1852" i="3"/>
  <c r="AE1853" i="3"/>
  <c r="AE1854" i="3"/>
  <c r="AE1855" i="3"/>
  <c r="AE1856" i="3"/>
  <c r="AE1857" i="3"/>
  <c r="AE1858" i="3"/>
  <c r="AE1859" i="3"/>
  <c r="AE1860" i="3"/>
  <c r="AE1861" i="3"/>
  <c r="AE1862" i="3"/>
  <c r="AE1863" i="3"/>
  <c r="AE1864" i="3"/>
  <c r="AE1865" i="3"/>
  <c r="AE1866" i="3"/>
  <c r="AE1867" i="3"/>
  <c r="AE1868" i="3"/>
  <c r="AE1869" i="3"/>
  <c r="AE1870" i="3"/>
  <c r="AE1871" i="3"/>
  <c r="AE1872" i="3"/>
  <c r="AE1873" i="3"/>
  <c r="AE1874" i="3"/>
  <c r="AE1875" i="3"/>
  <c r="AE1876" i="3"/>
  <c r="AE1877" i="3"/>
  <c r="AE1878" i="3"/>
  <c r="AE1879" i="3"/>
  <c r="AE1880" i="3"/>
  <c r="AE1881" i="3"/>
  <c r="AE1882" i="3"/>
  <c r="AE1883" i="3"/>
  <c r="AE1884" i="3"/>
  <c r="AE1885" i="3"/>
  <c r="AE1886" i="3"/>
  <c r="AE1887" i="3"/>
  <c r="AE1888" i="3"/>
  <c r="AE1889" i="3"/>
  <c r="AE1890" i="3"/>
  <c r="AE1891" i="3"/>
  <c r="AE1892" i="3"/>
  <c r="AE1893" i="3"/>
  <c r="AE1894" i="3"/>
  <c r="AE1895" i="3"/>
  <c r="AE1896" i="3"/>
  <c r="AE1897" i="3"/>
  <c r="AE1898" i="3"/>
  <c r="AE1899" i="3"/>
  <c r="AE1900" i="3"/>
  <c r="AE1901" i="3"/>
  <c r="AE1902" i="3"/>
  <c r="AE1903" i="3"/>
  <c r="AE1904" i="3"/>
  <c r="AE1905" i="3"/>
  <c r="AE1906" i="3"/>
  <c r="AE1907" i="3"/>
  <c r="AE1908" i="3"/>
  <c r="AE1909" i="3"/>
  <c r="AE1910" i="3"/>
  <c r="AE1911" i="3"/>
  <c r="AE1912" i="3"/>
  <c r="AE1913" i="3"/>
  <c r="AE1914" i="3"/>
  <c r="AE1915" i="3"/>
  <c r="AE1916" i="3"/>
  <c r="AE1917" i="3"/>
  <c r="AE1918" i="3"/>
  <c r="AE1919" i="3"/>
  <c r="AE1920" i="3"/>
  <c r="AE1921" i="3"/>
  <c r="AE1922" i="3"/>
  <c r="AE1923" i="3"/>
  <c r="AE1924" i="3"/>
  <c r="AE1925" i="3"/>
  <c r="AE1926" i="3"/>
  <c r="AE1927" i="3"/>
  <c r="AE1928" i="3"/>
  <c r="AE1929" i="3"/>
  <c r="AE1930" i="3"/>
  <c r="AE1931" i="3"/>
  <c r="AE1932" i="3"/>
  <c r="AE1933" i="3"/>
  <c r="AE1934" i="3"/>
  <c r="AE1935" i="3"/>
  <c r="AE1936" i="3"/>
  <c r="AE1937" i="3"/>
  <c r="AE1938" i="3"/>
  <c r="AE1939" i="3"/>
  <c r="AE1940" i="3"/>
  <c r="AE1941" i="3"/>
  <c r="AE1942" i="3"/>
  <c r="AE1943" i="3"/>
  <c r="AE1944" i="3"/>
  <c r="AE1945" i="3"/>
  <c r="AE1946" i="3"/>
  <c r="AE1947" i="3"/>
  <c r="AE1948" i="3"/>
  <c r="AE1949" i="3"/>
  <c r="AE1950" i="3"/>
  <c r="AE1951" i="3"/>
  <c r="AE1952" i="3"/>
  <c r="AE1953" i="3"/>
  <c r="AE1954" i="3"/>
  <c r="AE1955" i="3"/>
  <c r="AE1956" i="3"/>
  <c r="AE1957" i="3"/>
  <c r="AE1958" i="3"/>
  <c r="AE1959" i="3"/>
  <c r="AE1960" i="3"/>
  <c r="AE1961" i="3"/>
  <c r="AE1962" i="3"/>
  <c r="AE1963" i="3"/>
  <c r="AE1964" i="3"/>
  <c r="AE1965" i="3"/>
  <c r="AE1966" i="3"/>
  <c r="AE1967" i="3"/>
  <c r="AE1968" i="3"/>
  <c r="AE1969" i="3"/>
  <c r="AE1970" i="3"/>
  <c r="AE1971" i="3"/>
  <c r="AE1972" i="3"/>
  <c r="AE1973" i="3"/>
  <c r="AE1974" i="3"/>
  <c r="AE1975" i="3"/>
  <c r="AE1976" i="3"/>
  <c r="AE1977" i="3"/>
  <c r="AE1978" i="3"/>
  <c r="AE1979" i="3"/>
  <c r="AE1980" i="3"/>
  <c r="AE1981" i="3"/>
  <c r="AE1982" i="3"/>
  <c r="AE1983" i="3"/>
  <c r="AE1984" i="3"/>
  <c r="AE1985" i="3"/>
  <c r="AE1986" i="3"/>
  <c r="AE1987" i="3"/>
  <c r="AE1988" i="3"/>
  <c r="AE1989" i="3"/>
  <c r="AE1990" i="3"/>
  <c r="AE1991" i="3"/>
  <c r="AE1992" i="3"/>
  <c r="AE1993" i="3"/>
  <c r="AE1994" i="3"/>
  <c r="AE1995" i="3"/>
  <c r="AE1996" i="3"/>
  <c r="AE1997" i="3"/>
  <c r="AE1998" i="3"/>
  <c r="AE1999" i="3"/>
  <c r="AE2000" i="3"/>
  <c r="AE2001" i="3"/>
  <c r="AE2002" i="3"/>
  <c r="AE2003" i="3"/>
  <c r="AE2004" i="3"/>
  <c r="AE2005" i="3"/>
  <c r="AE2006" i="3"/>
  <c r="AE2007" i="3"/>
  <c r="AE2008" i="3"/>
  <c r="AE2009" i="3"/>
  <c r="AE2010" i="3"/>
  <c r="AE2011" i="3"/>
  <c r="AE2012" i="3"/>
  <c r="AE2013" i="3"/>
  <c r="AE2014" i="3"/>
  <c r="AE2015" i="3"/>
  <c r="AE2016" i="3"/>
  <c r="AE2017" i="3"/>
  <c r="AE2018" i="3"/>
  <c r="AE2019" i="3"/>
  <c r="AE2020" i="3"/>
  <c r="AE2021" i="3"/>
  <c r="AE2022" i="3"/>
  <c r="AE2023" i="3"/>
  <c r="AE2024" i="3"/>
  <c r="AE2025" i="3"/>
  <c r="AE2026" i="3"/>
  <c r="AE2027" i="3"/>
  <c r="AE2028" i="3"/>
  <c r="AE2029" i="3"/>
  <c r="AE2030" i="3"/>
  <c r="AE2031" i="3"/>
  <c r="AE2032" i="3"/>
  <c r="AE2033" i="3"/>
  <c r="AE2034" i="3"/>
  <c r="AE2035" i="3"/>
  <c r="AE2036" i="3"/>
  <c r="AE2037" i="3"/>
  <c r="AE2038" i="3"/>
  <c r="AE2039" i="3"/>
  <c r="AE2040" i="3"/>
  <c r="AE2041" i="3"/>
  <c r="AE2042" i="3"/>
  <c r="AE2043" i="3"/>
  <c r="AE2044" i="3"/>
  <c r="AE2045" i="3"/>
  <c r="AE2046" i="3"/>
  <c r="AE2047" i="3"/>
  <c r="AE2048" i="3"/>
  <c r="AE2049" i="3"/>
  <c r="AE2050" i="3"/>
  <c r="AE2051" i="3"/>
  <c r="AE2052" i="3"/>
  <c r="AE2053" i="3"/>
  <c r="AE2054" i="3"/>
  <c r="AE2055" i="3"/>
  <c r="AE2056" i="3"/>
  <c r="AE2057" i="3"/>
  <c r="AE2058" i="3"/>
  <c r="AE2059" i="3"/>
  <c r="AE2060" i="3"/>
  <c r="AE2061" i="3"/>
  <c r="AE2062" i="3"/>
  <c r="AE2063" i="3"/>
  <c r="AE2064" i="3"/>
  <c r="AE2065" i="3"/>
  <c r="AE2066" i="3"/>
  <c r="AE2067" i="3"/>
  <c r="AE2068" i="3"/>
  <c r="AE2069" i="3"/>
  <c r="AE2070" i="3"/>
  <c r="AE2071" i="3"/>
  <c r="AE2072" i="3"/>
  <c r="AE2073" i="3"/>
  <c r="AE2074" i="3"/>
  <c r="AE2075" i="3"/>
  <c r="AE2076" i="3"/>
  <c r="AE2077" i="3"/>
  <c r="AE2078" i="3"/>
  <c r="AE2079" i="3"/>
  <c r="AE2080" i="3"/>
  <c r="AE2081" i="3"/>
  <c r="AE2082" i="3"/>
  <c r="AE2083" i="3"/>
  <c r="AE2084" i="3"/>
  <c r="AE2085" i="3"/>
  <c r="AE2086" i="3"/>
  <c r="AE2087" i="3"/>
  <c r="AE2088" i="3"/>
  <c r="AE2089" i="3"/>
  <c r="AE2090" i="3"/>
  <c r="AE2091" i="3"/>
  <c r="AE2092" i="3"/>
  <c r="AE2093" i="3"/>
  <c r="AE2094" i="3"/>
  <c r="AE2095" i="3"/>
  <c r="AE2096" i="3"/>
  <c r="AE2097" i="3"/>
  <c r="AE2098" i="3"/>
  <c r="AE2099" i="3"/>
  <c r="AE2100" i="3"/>
  <c r="AE2101" i="3"/>
  <c r="AE2102" i="3"/>
  <c r="AE2103" i="3"/>
  <c r="AE2104" i="3"/>
  <c r="AE2105" i="3"/>
  <c r="AE2106" i="3"/>
  <c r="AE2107" i="3"/>
  <c r="AE2108" i="3"/>
  <c r="AE2109" i="3"/>
  <c r="AE2110" i="3"/>
  <c r="AE2111" i="3"/>
  <c r="AE2112" i="3"/>
  <c r="AE2113" i="3"/>
  <c r="AE2114" i="3"/>
  <c r="AE2115" i="3"/>
  <c r="AE2116" i="3"/>
  <c r="AE2117" i="3"/>
  <c r="AE2118" i="3"/>
  <c r="AE2119" i="3"/>
  <c r="AE2120" i="3"/>
  <c r="AE2121" i="3"/>
  <c r="AE2122" i="3"/>
  <c r="AE2123" i="3"/>
  <c r="AE2124" i="3"/>
  <c r="AE2125" i="3"/>
  <c r="AE2126" i="3"/>
  <c r="AE2127" i="3"/>
  <c r="AE2128" i="3"/>
  <c r="AE2129" i="3"/>
  <c r="AE2130" i="3"/>
  <c r="AE2131" i="3"/>
  <c r="AE2132" i="3"/>
  <c r="AE2133" i="3"/>
  <c r="AE2134" i="3"/>
  <c r="AE2135" i="3"/>
  <c r="AE2136" i="3"/>
  <c r="AE2137" i="3"/>
  <c r="AE2138" i="3"/>
  <c r="AE2139" i="3"/>
  <c r="AE2140" i="3"/>
  <c r="AE2141" i="3"/>
  <c r="AE2142" i="3"/>
  <c r="AE2143" i="3"/>
  <c r="AE2144" i="3"/>
  <c r="AE2145" i="3"/>
  <c r="AE2146" i="3"/>
  <c r="AE2147" i="3"/>
  <c r="AE2148" i="3"/>
  <c r="AE2149" i="3"/>
  <c r="AE2150" i="3"/>
  <c r="AE2151" i="3"/>
  <c r="AE2152" i="3"/>
  <c r="AE2153" i="3"/>
  <c r="AE2154" i="3"/>
  <c r="AE2155" i="3"/>
  <c r="AE2156" i="3"/>
  <c r="AE2157" i="3"/>
  <c r="AE2158" i="3"/>
  <c r="AE2159" i="3"/>
  <c r="AE2160" i="3"/>
  <c r="AE2161" i="3"/>
  <c r="AE2162" i="3"/>
  <c r="AE2163" i="3"/>
  <c r="AE2164" i="3"/>
  <c r="AE2165" i="3"/>
  <c r="AE2166" i="3"/>
  <c r="AE2167" i="3"/>
  <c r="AE2168" i="3"/>
  <c r="AE2169" i="3"/>
  <c r="AE2170" i="3"/>
  <c r="AE2171" i="3"/>
  <c r="AE2172" i="3"/>
  <c r="AE2173" i="3"/>
  <c r="AE2174" i="3"/>
  <c r="AE2175" i="3"/>
  <c r="AE2176" i="3"/>
  <c r="AE2177" i="3"/>
  <c r="AE2178" i="3"/>
  <c r="AE2179" i="3"/>
  <c r="AE2180" i="3"/>
  <c r="AE2181" i="3"/>
  <c r="AE2182" i="3"/>
  <c r="AE2183" i="3"/>
  <c r="AE2184" i="3"/>
  <c r="AE2185" i="3"/>
  <c r="AE2186" i="3"/>
  <c r="AE2187" i="3"/>
  <c r="AE2188" i="3"/>
  <c r="AE2189" i="3"/>
  <c r="AE2190" i="3"/>
  <c r="AE2191" i="3"/>
  <c r="AE2192" i="3"/>
  <c r="AE2193" i="3"/>
  <c r="AE2194" i="3"/>
  <c r="AE2195" i="3"/>
  <c r="AE2196" i="3"/>
  <c r="AE2197" i="3"/>
  <c r="AE2198" i="3"/>
  <c r="AE2199" i="3"/>
  <c r="AE2200" i="3"/>
  <c r="AE2201" i="3"/>
  <c r="AE2202" i="3"/>
  <c r="AE2203" i="3"/>
  <c r="AE2204" i="3"/>
  <c r="AE2205" i="3"/>
  <c r="AE2206" i="3"/>
  <c r="AE2207" i="3"/>
  <c r="AE2208" i="3"/>
  <c r="AE2209" i="3"/>
  <c r="AE2210" i="3"/>
  <c r="AE2211" i="3"/>
  <c r="AE2212" i="3"/>
  <c r="AE2213" i="3"/>
  <c r="AE2214" i="3"/>
  <c r="AE2215" i="3"/>
  <c r="AE2216" i="3"/>
  <c r="AE2217" i="3"/>
  <c r="AE2218" i="3"/>
  <c r="AE2219" i="3"/>
  <c r="AE2220" i="3"/>
  <c r="AE2221" i="3"/>
  <c r="AE2222" i="3"/>
  <c r="AE2223" i="3"/>
  <c r="AE2224" i="3"/>
  <c r="AE2225" i="3"/>
  <c r="AE2226" i="3"/>
  <c r="AE2227" i="3"/>
  <c r="AE2228" i="3"/>
  <c r="AE2229" i="3"/>
  <c r="AE2230" i="3"/>
  <c r="AE2231" i="3"/>
  <c r="AE2232" i="3"/>
  <c r="AE2233" i="3"/>
  <c r="AE2234" i="3"/>
  <c r="AE2235" i="3"/>
  <c r="AE2236" i="3"/>
  <c r="AE2237" i="3"/>
  <c r="AE2238" i="3"/>
  <c r="AE2239" i="3"/>
  <c r="AE2240" i="3"/>
  <c r="AE2241" i="3"/>
  <c r="AD2" i="3"/>
  <c r="B8" i="4" s="1"/>
  <c r="C8" i="4" s="1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D473" i="3"/>
  <c r="AD474" i="3"/>
  <c r="AD475" i="3"/>
  <c r="AD476" i="3"/>
  <c r="AD477" i="3"/>
  <c r="AD478" i="3"/>
  <c r="AD479" i="3"/>
  <c r="AD480" i="3"/>
  <c r="AD481" i="3"/>
  <c r="AD482" i="3"/>
  <c r="AD483" i="3"/>
  <c r="AD484" i="3"/>
  <c r="AD485" i="3"/>
  <c r="AD486" i="3"/>
  <c r="AD487" i="3"/>
  <c r="AD488" i="3"/>
  <c r="AD489" i="3"/>
  <c r="AD490" i="3"/>
  <c r="AD491" i="3"/>
  <c r="AD492" i="3"/>
  <c r="AD493" i="3"/>
  <c r="AD494" i="3"/>
  <c r="AD495" i="3"/>
  <c r="AD496" i="3"/>
  <c r="AD497" i="3"/>
  <c r="AD498" i="3"/>
  <c r="AD499" i="3"/>
  <c r="AD500" i="3"/>
  <c r="AD501" i="3"/>
  <c r="AD502" i="3"/>
  <c r="AD503" i="3"/>
  <c r="AD504" i="3"/>
  <c r="AD505" i="3"/>
  <c r="AD506" i="3"/>
  <c r="AD507" i="3"/>
  <c r="AD508" i="3"/>
  <c r="AD509" i="3"/>
  <c r="AD510" i="3"/>
  <c r="AD511" i="3"/>
  <c r="AD512" i="3"/>
  <c r="AD513" i="3"/>
  <c r="AD514" i="3"/>
  <c r="AD515" i="3"/>
  <c r="AD516" i="3"/>
  <c r="AD517" i="3"/>
  <c r="AD518" i="3"/>
  <c r="AD519" i="3"/>
  <c r="AD520" i="3"/>
  <c r="AD521" i="3"/>
  <c r="AD522" i="3"/>
  <c r="AD523" i="3"/>
  <c r="AD524" i="3"/>
  <c r="AD525" i="3"/>
  <c r="AD526" i="3"/>
  <c r="AD527" i="3"/>
  <c r="AD528" i="3"/>
  <c r="AD529" i="3"/>
  <c r="AD530" i="3"/>
  <c r="AD531" i="3"/>
  <c r="AD532" i="3"/>
  <c r="AD533" i="3"/>
  <c r="AD534" i="3"/>
  <c r="AD535" i="3"/>
  <c r="AD536" i="3"/>
  <c r="AD537" i="3"/>
  <c r="AD538" i="3"/>
  <c r="AD539" i="3"/>
  <c r="AD540" i="3"/>
  <c r="AD541" i="3"/>
  <c r="AD542" i="3"/>
  <c r="AD543" i="3"/>
  <c r="AD544" i="3"/>
  <c r="AD545" i="3"/>
  <c r="AD546" i="3"/>
  <c r="AD547" i="3"/>
  <c r="AD548" i="3"/>
  <c r="AD549" i="3"/>
  <c r="AD550" i="3"/>
  <c r="AD551" i="3"/>
  <c r="AD552" i="3"/>
  <c r="AD553" i="3"/>
  <c r="AD554" i="3"/>
  <c r="AD555" i="3"/>
  <c r="AD556" i="3"/>
  <c r="AD557" i="3"/>
  <c r="AD558" i="3"/>
  <c r="AD559" i="3"/>
  <c r="AD560" i="3"/>
  <c r="AD561" i="3"/>
  <c r="AD562" i="3"/>
  <c r="AD563" i="3"/>
  <c r="AD564" i="3"/>
  <c r="AD565" i="3"/>
  <c r="AD566" i="3"/>
  <c r="AD567" i="3"/>
  <c r="AD568" i="3"/>
  <c r="AD569" i="3"/>
  <c r="AD570" i="3"/>
  <c r="AD571" i="3"/>
  <c r="AD572" i="3"/>
  <c r="AD573" i="3"/>
  <c r="AD574" i="3"/>
  <c r="AD575" i="3"/>
  <c r="AD576" i="3"/>
  <c r="AD577" i="3"/>
  <c r="AD578" i="3"/>
  <c r="AD579" i="3"/>
  <c r="AD580" i="3"/>
  <c r="AD581" i="3"/>
  <c r="AD582" i="3"/>
  <c r="AD583" i="3"/>
  <c r="AD584" i="3"/>
  <c r="AD585" i="3"/>
  <c r="AD586" i="3"/>
  <c r="AD587" i="3"/>
  <c r="AD588" i="3"/>
  <c r="AD589" i="3"/>
  <c r="AD590" i="3"/>
  <c r="AD591" i="3"/>
  <c r="AD592" i="3"/>
  <c r="AD593" i="3"/>
  <c r="AD594" i="3"/>
  <c r="AD595" i="3"/>
  <c r="AD596" i="3"/>
  <c r="AD597" i="3"/>
  <c r="AD598" i="3"/>
  <c r="AD599" i="3"/>
  <c r="AD600" i="3"/>
  <c r="AD601" i="3"/>
  <c r="AD602" i="3"/>
  <c r="AD603" i="3"/>
  <c r="AD604" i="3"/>
  <c r="AD605" i="3"/>
  <c r="AD606" i="3"/>
  <c r="AD607" i="3"/>
  <c r="AD608" i="3"/>
  <c r="AD609" i="3"/>
  <c r="AD610" i="3"/>
  <c r="AD611" i="3"/>
  <c r="AD612" i="3"/>
  <c r="AD613" i="3"/>
  <c r="AD614" i="3"/>
  <c r="AD615" i="3"/>
  <c r="AD616" i="3"/>
  <c r="AD617" i="3"/>
  <c r="AD618" i="3"/>
  <c r="AD619" i="3"/>
  <c r="AD620" i="3"/>
  <c r="AD621" i="3"/>
  <c r="AD622" i="3"/>
  <c r="AD623" i="3"/>
  <c r="AD624" i="3"/>
  <c r="AD625" i="3"/>
  <c r="AD626" i="3"/>
  <c r="AD627" i="3"/>
  <c r="AD628" i="3"/>
  <c r="AD629" i="3"/>
  <c r="AD630" i="3"/>
  <c r="AD631" i="3"/>
  <c r="AD632" i="3"/>
  <c r="AD633" i="3"/>
  <c r="AD634" i="3"/>
  <c r="AD635" i="3"/>
  <c r="AD636" i="3"/>
  <c r="AD637" i="3"/>
  <c r="AD638" i="3"/>
  <c r="AD639" i="3"/>
  <c r="AD640" i="3"/>
  <c r="AD641" i="3"/>
  <c r="AD642" i="3"/>
  <c r="AD643" i="3"/>
  <c r="AD644" i="3"/>
  <c r="AD645" i="3"/>
  <c r="AD646" i="3"/>
  <c r="AD647" i="3"/>
  <c r="AD648" i="3"/>
  <c r="AD649" i="3"/>
  <c r="AD650" i="3"/>
  <c r="AD651" i="3"/>
  <c r="AD652" i="3"/>
  <c r="AD653" i="3"/>
  <c r="AD654" i="3"/>
  <c r="AD655" i="3"/>
  <c r="AD656" i="3"/>
  <c r="AD657" i="3"/>
  <c r="AD658" i="3"/>
  <c r="AD659" i="3"/>
  <c r="AD660" i="3"/>
  <c r="AD661" i="3"/>
  <c r="AD662" i="3"/>
  <c r="AD663" i="3"/>
  <c r="AD664" i="3"/>
  <c r="AD665" i="3"/>
  <c r="AD666" i="3"/>
  <c r="AD667" i="3"/>
  <c r="AD668" i="3"/>
  <c r="AD669" i="3"/>
  <c r="AD670" i="3"/>
  <c r="AD671" i="3"/>
  <c r="AD672" i="3"/>
  <c r="AD673" i="3"/>
  <c r="AD674" i="3"/>
  <c r="AD675" i="3"/>
  <c r="AD676" i="3"/>
  <c r="AD677" i="3"/>
  <c r="AD678" i="3"/>
  <c r="AD679" i="3"/>
  <c r="AD680" i="3"/>
  <c r="AD681" i="3"/>
  <c r="AD682" i="3"/>
  <c r="AD683" i="3"/>
  <c r="AD684" i="3"/>
  <c r="AD685" i="3"/>
  <c r="AD686" i="3"/>
  <c r="AD687" i="3"/>
  <c r="AD688" i="3"/>
  <c r="AD689" i="3"/>
  <c r="AD690" i="3"/>
  <c r="AD691" i="3"/>
  <c r="AD692" i="3"/>
  <c r="AD693" i="3"/>
  <c r="AD694" i="3"/>
  <c r="AD695" i="3"/>
  <c r="AD696" i="3"/>
  <c r="AD697" i="3"/>
  <c r="AD698" i="3"/>
  <c r="AD699" i="3"/>
  <c r="AD700" i="3"/>
  <c r="AD701" i="3"/>
  <c r="AD702" i="3"/>
  <c r="AD703" i="3"/>
  <c r="AD704" i="3"/>
  <c r="AD705" i="3"/>
  <c r="AD706" i="3"/>
  <c r="AD707" i="3"/>
  <c r="AD708" i="3"/>
  <c r="AD709" i="3"/>
  <c r="AD710" i="3"/>
  <c r="AD711" i="3"/>
  <c r="AD712" i="3"/>
  <c r="AD713" i="3"/>
  <c r="AD714" i="3"/>
  <c r="AD715" i="3"/>
  <c r="AD716" i="3"/>
  <c r="AD717" i="3"/>
  <c r="AD718" i="3"/>
  <c r="AD719" i="3"/>
  <c r="AD720" i="3"/>
  <c r="AD721" i="3"/>
  <c r="AD722" i="3"/>
  <c r="AD723" i="3"/>
  <c r="AD724" i="3"/>
  <c r="AD725" i="3"/>
  <c r="AD726" i="3"/>
  <c r="AD727" i="3"/>
  <c r="AD728" i="3"/>
  <c r="AD729" i="3"/>
  <c r="AD730" i="3"/>
  <c r="AD731" i="3"/>
  <c r="AD732" i="3"/>
  <c r="AD733" i="3"/>
  <c r="AD734" i="3"/>
  <c r="AD735" i="3"/>
  <c r="AD736" i="3"/>
  <c r="AD737" i="3"/>
  <c r="AD738" i="3"/>
  <c r="AD739" i="3"/>
  <c r="AD740" i="3"/>
  <c r="AD741" i="3"/>
  <c r="AD742" i="3"/>
  <c r="AD743" i="3"/>
  <c r="AD744" i="3"/>
  <c r="AD745" i="3"/>
  <c r="AD746" i="3"/>
  <c r="AD747" i="3"/>
  <c r="AD748" i="3"/>
  <c r="AD749" i="3"/>
  <c r="AD750" i="3"/>
  <c r="AD751" i="3"/>
  <c r="AD752" i="3"/>
  <c r="AD753" i="3"/>
  <c r="AD754" i="3"/>
  <c r="AD755" i="3"/>
  <c r="AD756" i="3"/>
  <c r="AD757" i="3"/>
  <c r="AD758" i="3"/>
  <c r="AD759" i="3"/>
  <c r="AD760" i="3"/>
  <c r="AD761" i="3"/>
  <c r="AD762" i="3"/>
  <c r="AD763" i="3"/>
  <c r="AD764" i="3"/>
  <c r="AD765" i="3"/>
  <c r="AD766" i="3"/>
  <c r="AD767" i="3"/>
  <c r="AD768" i="3"/>
  <c r="AD769" i="3"/>
  <c r="AD770" i="3"/>
  <c r="AD771" i="3"/>
  <c r="AD772" i="3"/>
  <c r="AD773" i="3"/>
  <c r="AD774" i="3"/>
  <c r="AD775" i="3"/>
  <c r="AD776" i="3"/>
  <c r="AD777" i="3"/>
  <c r="AD778" i="3"/>
  <c r="AD779" i="3"/>
  <c r="AD780" i="3"/>
  <c r="AD781" i="3"/>
  <c r="AD782" i="3"/>
  <c r="AD783" i="3"/>
  <c r="AD784" i="3"/>
  <c r="AD785" i="3"/>
  <c r="AD786" i="3"/>
  <c r="AD787" i="3"/>
  <c r="AD788" i="3"/>
  <c r="AD789" i="3"/>
  <c r="AD790" i="3"/>
  <c r="AD791" i="3"/>
  <c r="AD792" i="3"/>
  <c r="AD793" i="3"/>
  <c r="AD794" i="3"/>
  <c r="AD795" i="3"/>
  <c r="AD796" i="3"/>
  <c r="AD797" i="3"/>
  <c r="AD798" i="3"/>
  <c r="AD799" i="3"/>
  <c r="AD800" i="3"/>
  <c r="AD801" i="3"/>
  <c r="AD802" i="3"/>
  <c r="AD803" i="3"/>
  <c r="AD804" i="3"/>
  <c r="AD805" i="3"/>
  <c r="AD806" i="3"/>
  <c r="AD807" i="3"/>
  <c r="AD808" i="3"/>
  <c r="AD809" i="3"/>
  <c r="AD810" i="3"/>
  <c r="AD811" i="3"/>
  <c r="AD812" i="3"/>
  <c r="AD813" i="3"/>
  <c r="AD814" i="3"/>
  <c r="AD815" i="3"/>
  <c r="AD816" i="3"/>
  <c r="AD817" i="3"/>
  <c r="AD818" i="3"/>
  <c r="AD819" i="3"/>
  <c r="AD820" i="3"/>
  <c r="AD821" i="3"/>
  <c r="AD822" i="3"/>
  <c r="AD823" i="3"/>
  <c r="AD824" i="3"/>
  <c r="AD825" i="3"/>
  <c r="AD826" i="3"/>
  <c r="AD827" i="3"/>
  <c r="AD828" i="3"/>
  <c r="AD829" i="3"/>
  <c r="AD830" i="3"/>
  <c r="AD831" i="3"/>
  <c r="AD832" i="3"/>
  <c r="AD833" i="3"/>
  <c r="AD834" i="3"/>
  <c r="AD835" i="3"/>
  <c r="AD836" i="3"/>
  <c r="AD837" i="3"/>
  <c r="AD838" i="3"/>
  <c r="AD839" i="3"/>
  <c r="AD840" i="3"/>
  <c r="AD841" i="3"/>
  <c r="AD842" i="3"/>
  <c r="AD843" i="3"/>
  <c r="AD844" i="3"/>
  <c r="AD845" i="3"/>
  <c r="AD846" i="3"/>
  <c r="AD847" i="3"/>
  <c r="AD848" i="3"/>
  <c r="AD849" i="3"/>
  <c r="AD850" i="3"/>
  <c r="AD851" i="3"/>
  <c r="AD852" i="3"/>
  <c r="AD853" i="3"/>
  <c r="AD854" i="3"/>
  <c r="AD855" i="3"/>
  <c r="AD856" i="3"/>
  <c r="AD857" i="3"/>
  <c r="AD858" i="3"/>
  <c r="AD859" i="3"/>
  <c r="AD860" i="3"/>
  <c r="AD861" i="3"/>
  <c r="AD862" i="3"/>
  <c r="AD863" i="3"/>
  <c r="AD864" i="3"/>
  <c r="AD865" i="3"/>
  <c r="AD866" i="3"/>
  <c r="AD867" i="3"/>
  <c r="AD868" i="3"/>
  <c r="AD869" i="3"/>
  <c r="AD870" i="3"/>
  <c r="AD871" i="3"/>
  <c r="AD872" i="3"/>
  <c r="AD873" i="3"/>
  <c r="AD874" i="3"/>
  <c r="AD875" i="3"/>
  <c r="AD876" i="3"/>
  <c r="AD877" i="3"/>
  <c r="AD878" i="3"/>
  <c r="AD879" i="3"/>
  <c r="AD880" i="3"/>
  <c r="AD881" i="3"/>
  <c r="AD882" i="3"/>
  <c r="AD883" i="3"/>
  <c r="AD884" i="3"/>
  <c r="AD885" i="3"/>
  <c r="AD886" i="3"/>
  <c r="AD887" i="3"/>
  <c r="AD888" i="3"/>
  <c r="AD889" i="3"/>
  <c r="AD890" i="3"/>
  <c r="AD891" i="3"/>
  <c r="AD892" i="3"/>
  <c r="AD893" i="3"/>
  <c r="AD894" i="3"/>
  <c r="AD895" i="3"/>
  <c r="AD896" i="3"/>
  <c r="AD897" i="3"/>
  <c r="AD898" i="3"/>
  <c r="AD899" i="3"/>
  <c r="AD900" i="3"/>
  <c r="AD901" i="3"/>
  <c r="AD902" i="3"/>
  <c r="AD903" i="3"/>
  <c r="AD904" i="3"/>
  <c r="AD905" i="3"/>
  <c r="AD906" i="3"/>
  <c r="AD907" i="3"/>
  <c r="AD908" i="3"/>
  <c r="AD909" i="3"/>
  <c r="AD910" i="3"/>
  <c r="AD911" i="3"/>
  <c r="AD912" i="3"/>
  <c r="AD913" i="3"/>
  <c r="AD914" i="3"/>
  <c r="AD915" i="3"/>
  <c r="AD916" i="3"/>
  <c r="AD917" i="3"/>
  <c r="AD918" i="3"/>
  <c r="AD919" i="3"/>
  <c r="AD920" i="3"/>
  <c r="AD921" i="3"/>
  <c r="AD922" i="3"/>
  <c r="AD923" i="3"/>
  <c r="AD924" i="3"/>
  <c r="AD925" i="3"/>
  <c r="AD926" i="3"/>
  <c r="AD927" i="3"/>
  <c r="AD928" i="3"/>
  <c r="AD929" i="3"/>
  <c r="AD930" i="3"/>
  <c r="AD931" i="3"/>
  <c r="AD932" i="3"/>
  <c r="AD933" i="3"/>
  <c r="AD934" i="3"/>
  <c r="AD935" i="3"/>
  <c r="AD936" i="3"/>
  <c r="AD937" i="3"/>
  <c r="AD938" i="3"/>
  <c r="AD939" i="3"/>
  <c r="AD940" i="3"/>
  <c r="AD941" i="3"/>
  <c r="AD942" i="3"/>
  <c r="AD943" i="3"/>
  <c r="AD944" i="3"/>
  <c r="AD945" i="3"/>
  <c r="AD946" i="3"/>
  <c r="AD947" i="3"/>
  <c r="AD948" i="3"/>
  <c r="AD949" i="3"/>
  <c r="AD950" i="3"/>
  <c r="AD951" i="3"/>
  <c r="AD952" i="3"/>
  <c r="AD953" i="3"/>
  <c r="AD954" i="3"/>
  <c r="AD955" i="3"/>
  <c r="AD956" i="3"/>
  <c r="AD957" i="3"/>
  <c r="AD958" i="3"/>
  <c r="AD959" i="3"/>
  <c r="AD960" i="3"/>
  <c r="AD961" i="3"/>
  <c r="AD962" i="3"/>
  <c r="AD963" i="3"/>
  <c r="AD964" i="3"/>
  <c r="AD965" i="3"/>
  <c r="AD966" i="3"/>
  <c r="AD967" i="3"/>
  <c r="AD968" i="3"/>
  <c r="AD969" i="3"/>
  <c r="AD970" i="3"/>
  <c r="AD971" i="3"/>
  <c r="AD972" i="3"/>
  <c r="AD973" i="3"/>
  <c r="AD974" i="3"/>
  <c r="AD975" i="3"/>
  <c r="AD976" i="3"/>
  <c r="AD977" i="3"/>
  <c r="AD978" i="3"/>
  <c r="AD979" i="3"/>
  <c r="AD980" i="3"/>
  <c r="AD981" i="3"/>
  <c r="AD982" i="3"/>
  <c r="AD983" i="3"/>
  <c r="AD984" i="3"/>
  <c r="AD985" i="3"/>
  <c r="AD986" i="3"/>
  <c r="AD987" i="3"/>
  <c r="AD988" i="3"/>
  <c r="AD989" i="3"/>
  <c r="AD990" i="3"/>
  <c r="AD991" i="3"/>
  <c r="AD992" i="3"/>
  <c r="AD993" i="3"/>
  <c r="AD994" i="3"/>
  <c r="AD995" i="3"/>
  <c r="AD996" i="3"/>
  <c r="AD997" i="3"/>
  <c r="AD998" i="3"/>
  <c r="AD999" i="3"/>
  <c r="AD1000" i="3"/>
  <c r="AD1001" i="3"/>
  <c r="AD1002" i="3"/>
  <c r="AD1003" i="3"/>
  <c r="AD1004" i="3"/>
  <c r="AD1005" i="3"/>
  <c r="AD1006" i="3"/>
  <c r="AD1007" i="3"/>
  <c r="AD1008" i="3"/>
  <c r="AD1009" i="3"/>
  <c r="AD1010" i="3"/>
  <c r="AD1011" i="3"/>
  <c r="AD1012" i="3"/>
  <c r="AD1013" i="3"/>
  <c r="AD1014" i="3"/>
  <c r="AD1015" i="3"/>
  <c r="AD1016" i="3"/>
  <c r="AD1017" i="3"/>
  <c r="AD1018" i="3"/>
  <c r="AD1019" i="3"/>
  <c r="AD1020" i="3"/>
  <c r="AD1021" i="3"/>
  <c r="AD1022" i="3"/>
  <c r="AD1023" i="3"/>
  <c r="AD1024" i="3"/>
  <c r="AD1025" i="3"/>
  <c r="AD1026" i="3"/>
  <c r="AD1027" i="3"/>
  <c r="AD1028" i="3"/>
  <c r="AD1029" i="3"/>
  <c r="AD1030" i="3"/>
  <c r="AD1031" i="3"/>
  <c r="AD1032" i="3"/>
  <c r="AD1033" i="3"/>
  <c r="AD1034" i="3"/>
  <c r="AD1035" i="3"/>
  <c r="AD1036" i="3"/>
  <c r="AD1037" i="3"/>
  <c r="AD1038" i="3"/>
  <c r="AD1039" i="3"/>
  <c r="AD1040" i="3"/>
  <c r="AD1041" i="3"/>
  <c r="AD1042" i="3"/>
  <c r="AD1043" i="3"/>
  <c r="AD1044" i="3"/>
  <c r="AD1045" i="3"/>
  <c r="AD1046" i="3"/>
  <c r="AD1047" i="3"/>
  <c r="AD1048" i="3"/>
  <c r="AD1049" i="3"/>
  <c r="AD1050" i="3"/>
  <c r="AD1051" i="3"/>
  <c r="AD1052" i="3"/>
  <c r="AD1053" i="3"/>
  <c r="AD1054" i="3"/>
  <c r="AD1055" i="3"/>
  <c r="AD1056" i="3"/>
  <c r="AD1057" i="3"/>
  <c r="AD1058" i="3"/>
  <c r="AD1059" i="3"/>
  <c r="AD1060" i="3"/>
  <c r="AD1061" i="3"/>
  <c r="AD1062" i="3"/>
  <c r="AD1063" i="3"/>
  <c r="AD1064" i="3"/>
  <c r="AD1065" i="3"/>
  <c r="AD1066" i="3"/>
  <c r="AD1067" i="3"/>
  <c r="AD1068" i="3"/>
  <c r="AD1069" i="3"/>
  <c r="AD1070" i="3"/>
  <c r="AD1071" i="3"/>
  <c r="AD1072" i="3"/>
  <c r="AD1073" i="3"/>
  <c r="AD1074" i="3"/>
  <c r="AD1075" i="3"/>
  <c r="AD1076" i="3"/>
  <c r="AD1077" i="3"/>
  <c r="AD1078" i="3"/>
  <c r="AD1079" i="3"/>
  <c r="AD1080" i="3"/>
  <c r="AD1081" i="3"/>
  <c r="AD1082" i="3"/>
  <c r="AD1083" i="3"/>
  <c r="AD1084" i="3"/>
  <c r="AD1085" i="3"/>
  <c r="AD1086" i="3"/>
  <c r="AD1087" i="3"/>
  <c r="AD1088" i="3"/>
  <c r="AD1089" i="3"/>
  <c r="AD1090" i="3"/>
  <c r="AD1091" i="3"/>
  <c r="AD1092" i="3"/>
  <c r="AD1093" i="3"/>
  <c r="AD1094" i="3"/>
  <c r="AD1095" i="3"/>
  <c r="AD1096" i="3"/>
  <c r="AD1097" i="3"/>
  <c r="AD1098" i="3"/>
  <c r="AD1099" i="3"/>
  <c r="AD1100" i="3"/>
  <c r="AD1101" i="3"/>
  <c r="AD1102" i="3"/>
  <c r="AD1103" i="3"/>
  <c r="AD1104" i="3"/>
  <c r="AD1105" i="3"/>
  <c r="AD1106" i="3"/>
  <c r="AD1107" i="3"/>
  <c r="AD1108" i="3"/>
  <c r="AD1109" i="3"/>
  <c r="AD1110" i="3"/>
  <c r="AD1111" i="3"/>
  <c r="AD1112" i="3"/>
  <c r="AD1113" i="3"/>
  <c r="AD1114" i="3"/>
  <c r="AD1115" i="3"/>
  <c r="AD1116" i="3"/>
  <c r="AD1117" i="3"/>
  <c r="AD1118" i="3"/>
  <c r="AD1119" i="3"/>
  <c r="AD1120" i="3"/>
  <c r="AD1121" i="3"/>
  <c r="AD1122" i="3"/>
  <c r="AD1123" i="3"/>
  <c r="AD1124" i="3"/>
  <c r="AD1125" i="3"/>
  <c r="AD1126" i="3"/>
  <c r="AD1127" i="3"/>
  <c r="AD1128" i="3"/>
  <c r="AD1129" i="3"/>
  <c r="AD1130" i="3"/>
  <c r="AD1131" i="3"/>
  <c r="AD1132" i="3"/>
  <c r="AD1133" i="3"/>
  <c r="AD1134" i="3"/>
  <c r="AD1135" i="3"/>
  <c r="AD1136" i="3"/>
  <c r="AD1137" i="3"/>
  <c r="AD1138" i="3"/>
  <c r="AD1139" i="3"/>
  <c r="AD1140" i="3"/>
  <c r="AD1141" i="3"/>
  <c r="AD1142" i="3"/>
  <c r="AD1143" i="3"/>
  <c r="AD1144" i="3"/>
  <c r="AD1145" i="3"/>
  <c r="AD1146" i="3"/>
  <c r="AD1147" i="3"/>
  <c r="AD1148" i="3"/>
  <c r="AD1149" i="3"/>
  <c r="AD1150" i="3"/>
  <c r="AD1151" i="3"/>
  <c r="AD1152" i="3"/>
  <c r="AD1153" i="3"/>
  <c r="AD1154" i="3"/>
  <c r="AD1155" i="3"/>
  <c r="AD1156" i="3"/>
  <c r="AD1157" i="3"/>
  <c r="AD1158" i="3"/>
  <c r="AD1159" i="3"/>
  <c r="AD1160" i="3"/>
  <c r="AD1161" i="3"/>
  <c r="AD1162" i="3"/>
  <c r="AD1163" i="3"/>
  <c r="AD1164" i="3"/>
  <c r="AD1165" i="3"/>
  <c r="AD1166" i="3"/>
  <c r="AD1167" i="3"/>
  <c r="AD1168" i="3"/>
  <c r="AD1169" i="3"/>
  <c r="AD1170" i="3"/>
  <c r="AD1171" i="3"/>
  <c r="AD1172" i="3"/>
  <c r="AD1173" i="3"/>
  <c r="AD1174" i="3"/>
  <c r="AD1175" i="3"/>
  <c r="AD1176" i="3"/>
  <c r="AD1177" i="3"/>
  <c r="AD1178" i="3"/>
  <c r="AD1179" i="3"/>
  <c r="AD1180" i="3"/>
  <c r="AD1181" i="3"/>
  <c r="AD1182" i="3"/>
  <c r="AD1183" i="3"/>
  <c r="AD1184" i="3"/>
  <c r="AD1185" i="3"/>
  <c r="AD1186" i="3"/>
  <c r="AD1187" i="3"/>
  <c r="AD1188" i="3"/>
  <c r="AD1189" i="3"/>
  <c r="AD1190" i="3"/>
  <c r="AD1191" i="3"/>
  <c r="AD1192" i="3"/>
  <c r="AD1193" i="3"/>
  <c r="AD1194" i="3"/>
  <c r="AD1195" i="3"/>
  <c r="AD1196" i="3"/>
  <c r="AD1197" i="3"/>
  <c r="AD1198" i="3"/>
  <c r="AD1199" i="3"/>
  <c r="AD1200" i="3"/>
  <c r="AD1201" i="3"/>
  <c r="AD1202" i="3"/>
  <c r="AD1203" i="3"/>
  <c r="AD1204" i="3"/>
  <c r="AD1205" i="3"/>
  <c r="AD1206" i="3"/>
  <c r="AD1207" i="3"/>
  <c r="AD1208" i="3"/>
  <c r="AD1209" i="3"/>
  <c r="AD1210" i="3"/>
  <c r="AD1211" i="3"/>
  <c r="AD1212" i="3"/>
  <c r="AD1213" i="3"/>
  <c r="AD1214" i="3"/>
  <c r="AD1215" i="3"/>
  <c r="AD1216" i="3"/>
  <c r="AD1217" i="3"/>
  <c r="AD1218" i="3"/>
  <c r="AD1219" i="3"/>
  <c r="AD1220" i="3"/>
  <c r="AD1221" i="3"/>
  <c r="AD1222" i="3"/>
  <c r="AD1223" i="3"/>
  <c r="AD1224" i="3"/>
  <c r="AD1225" i="3"/>
  <c r="AD1226" i="3"/>
  <c r="AD1227" i="3"/>
  <c r="AD1228" i="3"/>
  <c r="AD1229" i="3"/>
  <c r="AD1230" i="3"/>
  <c r="AD1231" i="3"/>
  <c r="AD1232" i="3"/>
  <c r="AD1233" i="3"/>
  <c r="AD1234" i="3"/>
  <c r="AD1235" i="3"/>
  <c r="AD1236" i="3"/>
  <c r="AD1237" i="3"/>
  <c r="AD1238" i="3"/>
  <c r="AD1239" i="3"/>
  <c r="AD1240" i="3"/>
  <c r="AD1241" i="3"/>
  <c r="AD1242" i="3"/>
  <c r="AD1243" i="3"/>
  <c r="AD1244" i="3"/>
  <c r="AD1245" i="3"/>
  <c r="AD1246" i="3"/>
  <c r="AD1247" i="3"/>
  <c r="AD1248" i="3"/>
  <c r="AD1249" i="3"/>
  <c r="AD1250" i="3"/>
  <c r="AD1251" i="3"/>
  <c r="AD1252" i="3"/>
  <c r="AD1253" i="3"/>
  <c r="AD1254" i="3"/>
  <c r="AD1255" i="3"/>
  <c r="AD1256" i="3"/>
  <c r="AD1257" i="3"/>
  <c r="AD1258" i="3"/>
  <c r="AD1259" i="3"/>
  <c r="AD1260" i="3"/>
  <c r="AD1261" i="3"/>
  <c r="AD1262" i="3"/>
  <c r="AD1263" i="3"/>
  <c r="AD1264" i="3"/>
  <c r="AD1265" i="3"/>
  <c r="AD1266" i="3"/>
  <c r="AD1267" i="3"/>
  <c r="AD1268" i="3"/>
  <c r="AD1269" i="3"/>
  <c r="AD1270" i="3"/>
  <c r="AD1271" i="3"/>
  <c r="AD1272" i="3"/>
  <c r="AD1273" i="3"/>
  <c r="AD1274" i="3"/>
  <c r="AD1275" i="3"/>
  <c r="AD1276" i="3"/>
  <c r="AD1277" i="3"/>
  <c r="AD1278" i="3"/>
  <c r="AD1279" i="3"/>
  <c r="AD1280" i="3"/>
  <c r="AD1281" i="3"/>
  <c r="AD1282" i="3"/>
  <c r="AD1283" i="3"/>
  <c r="AD1284" i="3"/>
  <c r="AD1285" i="3"/>
  <c r="AD1286" i="3"/>
  <c r="AD1287" i="3"/>
  <c r="AD1288" i="3"/>
  <c r="AD1289" i="3"/>
  <c r="AD1290" i="3"/>
  <c r="AD1291" i="3"/>
  <c r="AD1292" i="3"/>
  <c r="AD1293" i="3"/>
  <c r="AD1294" i="3"/>
  <c r="AD1295" i="3"/>
  <c r="AD1296" i="3"/>
  <c r="AD1297" i="3"/>
  <c r="AD1298" i="3"/>
  <c r="AD1299" i="3"/>
  <c r="AD1300" i="3"/>
  <c r="AD1301" i="3"/>
  <c r="AD1302" i="3"/>
  <c r="AD1303" i="3"/>
  <c r="AD1304" i="3"/>
  <c r="AD1305" i="3"/>
  <c r="AD1306" i="3"/>
  <c r="AD1307" i="3"/>
  <c r="AD1308" i="3"/>
  <c r="AD1309" i="3"/>
  <c r="AD1310" i="3"/>
  <c r="AD1311" i="3"/>
  <c r="AD1312" i="3"/>
  <c r="AD1313" i="3"/>
  <c r="AD1314" i="3"/>
  <c r="AD1315" i="3"/>
  <c r="AD1316" i="3"/>
  <c r="AD1317" i="3"/>
  <c r="AD1318" i="3"/>
  <c r="AD1319" i="3"/>
  <c r="AD1320" i="3"/>
  <c r="AD1321" i="3"/>
  <c r="AD1322" i="3"/>
  <c r="AD1323" i="3"/>
  <c r="AD1324" i="3"/>
  <c r="AD1325" i="3"/>
  <c r="AD1326" i="3"/>
  <c r="AD1327" i="3"/>
  <c r="AD1328" i="3"/>
  <c r="AD1329" i="3"/>
  <c r="AD1330" i="3"/>
  <c r="AD1331" i="3"/>
  <c r="AD1332" i="3"/>
  <c r="AD1333" i="3"/>
  <c r="AD1334" i="3"/>
  <c r="AD1335" i="3"/>
  <c r="AD1336" i="3"/>
  <c r="AD1337" i="3"/>
  <c r="AD1338" i="3"/>
  <c r="AD1339" i="3"/>
  <c r="AD1340" i="3"/>
  <c r="AD1341" i="3"/>
  <c r="AD1342" i="3"/>
  <c r="AD1343" i="3"/>
  <c r="AD1344" i="3"/>
  <c r="AD1345" i="3"/>
  <c r="AD1346" i="3"/>
  <c r="AD1347" i="3"/>
  <c r="AD1348" i="3"/>
  <c r="AD1349" i="3"/>
  <c r="AD1350" i="3"/>
  <c r="AD1351" i="3"/>
  <c r="AD1352" i="3"/>
  <c r="AD1353" i="3"/>
  <c r="AD1354" i="3"/>
  <c r="AD1355" i="3"/>
  <c r="AD1356" i="3"/>
  <c r="AD1357" i="3"/>
  <c r="AD1358" i="3"/>
  <c r="AD1359" i="3"/>
  <c r="AD1360" i="3"/>
  <c r="AD1361" i="3"/>
  <c r="AD1362" i="3"/>
  <c r="AD1363" i="3"/>
  <c r="AD1364" i="3"/>
  <c r="AD1365" i="3"/>
  <c r="AD1366" i="3"/>
  <c r="AD1367" i="3"/>
  <c r="AD1368" i="3"/>
  <c r="AD1369" i="3"/>
  <c r="AD1370" i="3"/>
  <c r="AD1371" i="3"/>
  <c r="AD1372" i="3"/>
  <c r="AD1373" i="3"/>
  <c r="AD1374" i="3"/>
  <c r="AD1375" i="3"/>
  <c r="AD1376" i="3"/>
  <c r="AD1377" i="3"/>
  <c r="AD1378" i="3"/>
  <c r="AD1379" i="3"/>
  <c r="AD1380" i="3"/>
  <c r="AD1381" i="3"/>
  <c r="AD1382" i="3"/>
  <c r="AD1383" i="3"/>
  <c r="AD1384" i="3"/>
  <c r="AD1385" i="3"/>
  <c r="AD1386" i="3"/>
  <c r="AD1387" i="3"/>
  <c r="AD1388" i="3"/>
  <c r="AD1389" i="3"/>
  <c r="AD1390" i="3"/>
  <c r="AD1391" i="3"/>
  <c r="AD1392" i="3"/>
  <c r="AD1393" i="3"/>
  <c r="AD1394" i="3"/>
  <c r="AD1395" i="3"/>
  <c r="AD1396" i="3"/>
  <c r="AD1397" i="3"/>
  <c r="AD1398" i="3"/>
  <c r="AD1399" i="3"/>
  <c r="AD1400" i="3"/>
  <c r="AD1401" i="3"/>
  <c r="AD1402" i="3"/>
  <c r="AD1403" i="3"/>
  <c r="AD1404" i="3"/>
  <c r="AD1405" i="3"/>
  <c r="AD1406" i="3"/>
  <c r="AD1407" i="3"/>
  <c r="AD1408" i="3"/>
  <c r="AD1409" i="3"/>
  <c r="AD1410" i="3"/>
  <c r="AD1411" i="3"/>
  <c r="AD1412" i="3"/>
  <c r="AD1413" i="3"/>
  <c r="AD1414" i="3"/>
  <c r="AD1415" i="3"/>
  <c r="AD1416" i="3"/>
  <c r="AD1417" i="3"/>
  <c r="AD1418" i="3"/>
  <c r="AD1419" i="3"/>
  <c r="AD1420" i="3"/>
  <c r="AD1421" i="3"/>
  <c r="AD1422" i="3"/>
  <c r="AD1423" i="3"/>
  <c r="AD1424" i="3"/>
  <c r="AD1425" i="3"/>
  <c r="AD1426" i="3"/>
  <c r="AD1427" i="3"/>
  <c r="AD1428" i="3"/>
  <c r="AD1429" i="3"/>
  <c r="AD1430" i="3"/>
  <c r="AD1431" i="3"/>
  <c r="AD1432" i="3"/>
  <c r="AD1433" i="3"/>
  <c r="AD1434" i="3"/>
  <c r="AD1435" i="3"/>
  <c r="AD1436" i="3"/>
  <c r="AD1437" i="3"/>
  <c r="AD1438" i="3"/>
  <c r="AD1439" i="3"/>
  <c r="AD1440" i="3"/>
  <c r="AD1441" i="3"/>
  <c r="AD1442" i="3"/>
  <c r="AD1443" i="3"/>
  <c r="AD1444" i="3"/>
  <c r="AD1445" i="3"/>
  <c r="AD1446" i="3"/>
  <c r="AD1447" i="3"/>
  <c r="AD1448" i="3"/>
  <c r="AD1449" i="3"/>
  <c r="AD1450" i="3"/>
  <c r="AD1451" i="3"/>
  <c r="AD1452" i="3"/>
  <c r="AD1453" i="3"/>
  <c r="AD1454" i="3"/>
  <c r="AD1455" i="3"/>
  <c r="AD1456" i="3"/>
  <c r="AD1457" i="3"/>
  <c r="AD1458" i="3"/>
  <c r="AD1459" i="3"/>
  <c r="AD1460" i="3"/>
  <c r="AD1461" i="3"/>
  <c r="AD1462" i="3"/>
  <c r="AD1463" i="3"/>
  <c r="AD1464" i="3"/>
  <c r="AD1465" i="3"/>
  <c r="AD1466" i="3"/>
  <c r="AD1467" i="3"/>
  <c r="AD1468" i="3"/>
  <c r="AD1469" i="3"/>
  <c r="AD1470" i="3"/>
  <c r="AD1471" i="3"/>
  <c r="AD1472" i="3"/>
  <c r="AD1473" i="3"/>
  <c r="AD1474" i="3"/>
  <c r="AD1475" i="3"/>
  <c r="AD1476" i="3"/>
  <c r="AD1477" i="3"/>
  <c r="AD1478" i="3"/>
  <c r="AD1479" i="3"/>
  <c r="AD1480" i="3"/>
  <c r="AD1481" i="3"/>
  <c r="AD1482" i="3"/>
  <c r="AD1483" i="3"/>
  <c r="AD1484" i="3"/>
  <c r="AD1485" i="3"/>
  <c r="AD1486" i="3"/>
  <c r="AD1487" i="3"/>
  <c r="AD1488" i="3"/>
  <c r="AD1489" i="3"/>
  <c r="AD1490" i="3"/>
  <c r="AD1491" i="3"/>
  <c r="AD1492" i="3"/>
  <c r="AD1493" i="3"/>
  <c r="AD1494" i="3"/>
  <c r="AD1495" i="3"/>
  <c r="AD1496" i="3"/>
  <c r="AD1497" i="3"/>
  <c r="AD1498" i="3"/>
  <c r="AD1499" i="3"/>
  <c r="AD1500" i="3"/>
  <c r="AD1501" i="3"/>
  <c r="AD1502" i="3"/>
  <c r="AD1503" i="3"/>
  <c r="AD1504" i="3"/>
  <c r="AD1505" i="3"/>
  <c r="AD1506" i="3"/>
  <c r="AD1507" i="3"/>
  <c r="AD1508" i="3"/>
  <c r="AD1509" i="3"/>
  <c r="AD1510" i="3"/>
  <c r="AD1511" i="3"/>
  <c r="AD1512" i="3"/>
  <c r="AD1513" i="3"/>
  <c r="AD1514" i="3"/>
  <c r="AD1515" i="3"/>
  <c r="AD1516" i="3"/>
  <c r="AD1517" i="3"/>
  <c r="AD1518" i="3"/>
  <c r="AD1519" i="3"/>
  <c r="AD1520" i="3"/>
  <c r="AD1521" i="3"/>
  <c r="AD1522" i="3"/>
  <c r="AD1523" i="3"/>
  <c r="AD1524" i="3"/>
  <c r="AD1525" i="3"/>
  <c r="AD1526" i="3"/>
  <c r="AD1527" i="3"/>
  <c r="AD1528" i="3"/>
  <c r="AD1529" i="3"/>
  <c r="AD1530" i="3"/>
  <c r="AD1531" i="3"/>
  <c r="AD1532" i="3"/>
  <c r="AD1533" i="3"/>
  <c r="AD1534" i="3"/>
  <c r="AD1535" i="3"/>
  <c r="AD1536" i="3"/>
  <c r="AD1537" i="3"/>
  <c r="AD1538" i="3"/>
  <c r="AD1539" i="3"/>
  <c r="AD1540" i="3"/>
  <c r="AD1541" i="3"/>
  <c r="AD1542" i="3"/>
  <c r="AD1543" i="3"/>
  <c r="AD1544" i="3"/>
  <c r="AD1545" i="3"/>
  <c r="AD1546" i="3"/>
  <c r="AD1547" i="3"/>
  <c r="AD1548" i="3"/>
  <c r="AD1549" i="3"/>
  <c r="AD1550" i="3"/>
  <c r="AD1551" i="3"/>
  <c r="AD1552" i="3"/>
  <c r="AD1553" i="3"/>
  <c r="AD1554" i="3"/>
  <c r="AD1555" i="3"/>
  <c r="AD1556" i="3"/>
  <c r="AD1557" i="3"/>
  <c r="AD1558" i="3"/>
  <c r="AD1559" i="3"/>
  <c r="AD1560" i="3"/>
  <c r="AD1561" i="3"/>
  <c r="AD1562" i="3"/>
  <c r="AD1563" i="3"/>
  <c r="AD1564" i="3"/>
  <c r="AD1565" i="3"/>
  <c r="AD1566" i="3"/>
  <c r="AD1567" i="3"/>
  <c r="AD1568" i="3"/>
  <c r="AD1569" i="3"/>
  <c r="AD1570" i="3"/>
  <c r="AD1571" i="3"/>
  <c r="AD1572" i="3"/>
  <c r="AD1573" i="3"/>
  <c r="AD1574" i="3"/>
  <c r="AD1575" i="3"/>
  <c r="AD1576" i="3"/>
  <c r="AD1577" i="3"/>
  <c r="AD1578" i="3"/>
  <c r="AD1579" i="3"/>
  <c r="AD1580" i="3"/>
  <c r="AD1581" i="3"/>
  <c r="AD1582" i="3"/>
  <c r="AD1583" i="3"/>
  <c r="AD1584" i="3"/>
  <c r="AD1585" i="3"/>
  <c r="AD1586" i="3"/>
  <c r="AD1587" i="3"/>
  <c r="AD1588" i="3"/>
  <c r="AD1589" i="3"/>
  <c r="AD1590" i="3"/>
  <c r="AD1591" i="3"/>
  <c r="AD1592" i="3"/>
  <c r="AD1593" i="3"/>
  <c r="AD1594" i="3"/>
  <c r="AD1595" i="3"/>
  <c r="AD1596" i="3"/>
  <c r="AD1597" i="3"/>
  <c r="AD1598" i="3"/>
  <c r="AD1599" i="3"/>
  <c r="AD1600" i="3"/>
  <c r="AD1601" i="3"/>
  <c r="AD1602" i="3"/>
  <c r="AD1603" i="3"/>
  <c r="AD1604" i="3"/>
  <c r="AD1605" i="3"/>
  <c r="AD1606" i="3"/>
  <c r="AD1607" i="3"/>
  <c r="AD1608" i="3"/>
  <c r="AD1609" i="3"/>
  <c r="AD1610" i="3"/>
  <c r="AD1611" i="3"/>
  <c r="AD1612" i="3"/>
  <c r="AD1613" i="3"/>
  <c r="AD1614" i="3"/>
  <c r="AD1615" i="3"/>
  <c r="AD1616" i="3"/>
  <c r="AD1617" i="3"/>
  <c r="AD1618" i="3"/>
  <c r="AD1619" i="3"/>
  <c r="AD1620" i="3"/>
  <c r="AD1621" i="3"/>
  <c r="AD1622" i="3"/>
  <c r="AD1623" i="3"/>
  <c r="AD1624" i="3"/>
  <c r="AD1625" i="3"/>
  <c r="AD1626" i="3"/>
  <c r="AD1627" i="3"/>
  <c r="AD1628" i="3"/>
  <c r="AD1629" i="3"/>
  <c r="AD1630" i="3"/>
  <c r="AD1631" i="3"/>
  <c r="AD1632" i="3"/>
  <c r="AD1633" i="3"/>
  <c r="AD1634" i="3"/>
  <c r="AD1635" i="3"/>
  <c r="AD1636" i="3"/>
  <c r="AD1637" i="3"/>
  <c r="AD1638" i="3"/>
  <c r="AD1639" i="3"/>
  <c r="AD1640" i="3"/>
  <c r="AD1641" i="3"/>
  <c r="AD1642" i="3"/>
  <c r="AD1643" i="3"/>
  <c r="AD1644" i="3"/>
  <c r="AD1645" i="3"/>
  <c r="AD1646" i="3"/>
  <c r="AD1647" i="3"/>
  <c r="AD1648" i="3"/>
  <c r="AD1649" i="3"/>
  <c r="AD1650" i="3"/>
  <c r="AD1651" i="3"/>
  <c r="AD1652" i="3"/>
  <c r="AD1653" i="3"/>
  <c r="AD1654" i="3"/>
  <c r="AD1655" i="3"/>
  <c r="AD1656" i="3"/>
  <c r="AD1657" i="3"/>
  <c r="AD1658" i="3"/>
  <c r="AD1659" i="3"/>
  <c r="AD1660" i="3"/>
  <c r="AD1661" i="3"/>
  <c r="AD1662" i="3"/>
  <c r="AD1663" i="3"/>
  <c r="AD1664" i="3"/>
  <c r="AD1665" i="3"/>
  <c r="AD1666" i="3"/>
  <c r="AD1667" i="3"/>
  <c r="AD1668" i="3"/>
  <c r="AD1669" i="3"/>
  <c r="AD1670" i="3"/>
  <c r="AD1671" i="3"/>
  <c r="AD1672" i="3"/>
  <c r="AD1673" i="3"/>
  <c r="AD1674" i="3"/>
  <c r="AD1675" i="3"/>
  <c r="AD1676" i="3"/>
  <c r="AD1677" i="3"/>
  <c r="AD1678" i="3"/>
  <c r="AD1679" i="3"/>
  <c r="AD1680" i="3"/>
  <c r="AD1681" i="3"/>
  <c r="AD1682" i="3"/>
  <c r="AD1683" i="3"/>
  <c r="AD1684" i="3"/>
  <c r="AD1685" i="3"/>
  <c r="AD1686" i="3"/>
  <c r="AD1687" i="3"/>
  <c r="AD1688" i="3"/>
  <c r="AD1689" i="3"/>
  <c r="AD1690" i="3"/>
  <c r="AD1691" i="3"/>
  <c r="AD1692" i="3"/>
  <c r="AD1693" i="3"/>
  <c r="AD1694" i="3"/>
  <c r="AD1695" i="3"/>
  <c r="AD1696" i="3"/>
  <c r="AD1697" i="3"/>
  <c r="AD1698" i="3"/>
  <c r="AD1699" i="3"/>
  <c r="AD1700" i="3"/>
  <c r="AD1701" i="3"/>
  <c r="AD1702" i="3"/>
  <c r="AD1703" i="3"/>
  <c r="AD1704" i="3"/>
  <c r="AD1705" i="3"/>
  <c r="AD1706" i="3"/>
  <c r="AD1707" i="3"/>
  <c r="AD1708" i="3"/>
  <c r="AD1709" i="3"/>
  <c r="AD1710" i="3"/>
  <c r="AD1711" i="3"/>
  <c r="AD1712" i="3"/>
  <c r="AD1713" i="3"/>
  <c r="AD1714" i="3"/>
  <c r="AD1715" i="3"/>
  <c r="AD1716" i="3"/>
  <c r="AD1717" i="3"/>
  <c r="AD1718" i="3"/>
  <c r="AD1719" i="3"/>
  <c r="AD1720" i="3"/>
  <c r="AD1721" i="3"/>
  <c r="AD1722" i="3"/>
  <c r="AD1723" i="3"/>
  <c r="AD1724" i="3"/>
  <c r="AD1725" i="3"/>
  <c r="AD1726" i="3"/>
  <c r="AD1727" i="3"/>
  <c r="AD1728" i="3"/>
  <c r="AD1729" i="3"/>
  <c r="AD1730" i="3"/>
  <c r="AD1731" i="3"/>
  <c r="AD1732" i="3"/>
  <c r="AD1733" i="3"/>
  <c r="AD1734" i="3"/>
  <c r="AD1735" i="3"/>
  <c r="AD1736" i="3"/>
  <c r="AD1737" i="3"/>
  <c r="AD1738" i="3"/>
  <c r="AD1739" i="3"/>
  <c r="AD1740" i="3"/>
  <c r="AD1741" i="3"/>
  <c r="AD1742" i="3"/>
  <c r="AD1743" i="3"/>
  <c r="AD1744" i="3"/>
  <c r="AD1745" i="3"/>
  <c r="AD1746" i="3"/>
  <c r="AD1747" i="3"/>
  <c r="AD1748" i="3"/>
  <c r="AD1749" i="3"/>
  <c r="AD1750" i="3"/>
  <c r="AD1751" i="3"/>
  <c r="AD1752" i="3"/>
  <c r="AD1753" i="3"/>
  <c r="AD1754" i="3"/>
  <c r="AD1755" i="3"/>
  <c r="AD1756" i="3"/>
  <c r="AD1757" i="3"/>
  <c r="AD1758" i="3"/>
  <c r="AD1759" i="3"/>
  <c r="AD1760" i="3"/>
  <c r="AD1761" i="3"/>
  <c r="AD1762" i="3"/>
  <c r="AD1763" i="3"/>
  <c r="AD1764" i="3"/>
  <c r="AD1765" i="3"/>
  <c r="AD1766" i="3"/>
  <c r="AD1767" i="3"/>
  <c r="AD1768" i="3"/>
  <c r="AD1769" i="3"/>
  <c r="AD1770" i="3"/>
  <c r="AD1771" i="3"/>
  <c r="AD1772" i="3"/>
  <c r="AD1773" i="3"/>
  <c r="AD1774" i="3"/>
  <c r="AD1775" i="3"/>
  <c r="AD1776" i="3"/>
  <c r="AD1777" i="3"/>
  <c r="AD1778" i="3"/>
  <c r="AD1779" i="3"/>
  <c r="AD1780" i="3"/>
  <c r="AD1781" i="3"/>
  <c r="AD1782" i="3"/>
  <c r="AD1783" i="3"/>
  <c r="AD1784" i="3"/>
  <c r="AD1785" i="3"/>
  <c r="AD1786" i="3"/>
  <c r="AD1787" i="3"/>
  <c r="AD1788" i="3"/>
  <c r="AD1789" i="3"/>
  <c r="AD1790" i="3"/>
  <c r="AD1791" i="3"/>
  <c r="AD1792" i="3"/>
  <c r="AD1793" i="3"/>
  <c r="AD1794" i="3"/>
  <c r="AD1795" i="3"/>
  <c r="AD1796" i="3"/>
  <c r="AD1797" i="3"/>
  <c r="AD1798" i="3"/>
  <c r="AD1799" i="3"/>
  <c r="AD1800" i="3"/>
  <c r="AD1801" i="3"/>
  <c r="AD1802" i="3"/>
  <c r="AD1803" i="3"/>
  <c r="AD1804" i="3"/>
  <c r="AD1805" i="3"/>
  <c r="AD1806" i="3"/>
  <c r="AD1807" i="3"/>
  <c r="AD1808" i="3"/>
  <c r="AD1809" i="3"/>
  <c r="AD1810" i="3"/>
  <c r="AD1811" i="3"/>
  <c r="AD1812" i="3"/>
  <c r="AD1813" i="3"/>
  <c r="AD1814" i="3"/>
  <c r="AD1815" i="3"/>
  <c r="AD1816" i="3"/>
  <c r="AD1817" i="3"/>
  <c r="AD1818" i="3"/>
  <c r="AD1819" i="3"/>
  <c r="AD1820" i="3"/>
  <c r="AD1821" i="3"/>
  <c r="AD1822" i="3"/>
  <c r="AD1823" i="3"/>
  <c r="AD1824" i="3"/>
  <c r="AD1825" i="3"/>
  <c r="AD1826" i="3"/>
  <c r="AD1827" i="3"/>
  <c r="AD1828" i="3"/>
  <c r="AD1829" i="3"/>
  <c r="AD1830" i="3"/>
  <c r="AD1831" i="3"/>
  <c r="AD1832" i="3"/>
  <c r="AD1833" i="3"/>
  <c r="AD1834" i="3"/>
  <c r="AD1835" i="3"/>
  <c r="AD1836" i="3"/>
  <c r="AD1837" i="3"/>
  <c r="AD1838" i="3"/>
  <c r="AD1839" i="3"/>
  <c r="AD1840" i="3"/>
  <c r="AD1841" i="3"/>
  <c r="AD1842" i="3"/>
  <c r="AD1843" i="3"/>
  <c r="AD1844" i="3"/>
  <c r="AD1845" i="3"/>
  <c r="AD1846" i="3"/>
  <c r="AD1847" i="3"/>
  <c r="AD1848" i="3"/>
  <c r="AD1849" i="3"/>
  <c r="AD1850" i="3"/>
  <c r="AD1851" i="3"/>
  <c r="AD1852" i="3"/>
  <c r="AD1853" i="3"/>
  <c r="AD1854" i="3"/>
  <c r="AD1855" i="3"/>
  <c r="AD1856" i="3"/>
  <c r="AD1857" i="3"/>
  <c r="AD1858" i="3"/>
  <c r="AD1859" i="3"/>
  <c r="AD1860" i="3"/>
  <c r="AD1861" i="3"/>
  <c r="AD1862" i="3"/>
  <c r="AD1863" i="3"/>
  <c r="AD1864" i="3"/>
  <c r="AD1865" i="3"/>
  <c r="AD1866" i="3"/>
  <c r="AD1867" i="3"/>
  <c r="AD1868" i="3"/>
  <c r="AD1869" i="3"/>
  <c r="AD1870" i="3"/>
  <c r="AD1871" i="3"/>
  <c r="AD1872" i="3"/>
  <c r="AD1873" i="3"/>
  <c r="AD1874" i="3"/>
  <c r="AD1875" i="3"/>
  <c r="AD1876" i="3"/>
  <c r="AD1877" i="3"/>
  <c r="AD1878" i="3"/>
  <c r="AD1879" i="3"/>
  <c r="AD1880" i="3"/>
  <c r="AD1881" i="3"/>
  <c r="AD1882" i="3"/>
  <c r="AD1883" i="3"/>
  <c r="AD1884" i="3"/>
  <c r="AD1885" i="3"/>
  <c r="AD1886" i="3"/>
  <c r="AD1887" i="3"/>
  <c r="AD1888" i="3"/>
  <c r="AD1889" i="3"/>
  <c r="AD1890" i="3"/>
  <c r="AD1891" i="3"/>
  <c r="AD1892" i="3"/>
  <c r="AD1893" i="3"/>
  <c r="AD1894" i="3"/>
  <c r="AD1895" i="3"/>
  <c r="AD1896" i="3"/>
  <c r="AD1897" i="3"/>
  <c r="AD1898" i="3"/>
  <c r="AD1899" i="3"/>
  <c r="AD1900" i="3"/>
  <c r="AD1901" i="3"/>
  <c r="AD1902" i="3"/>
  <c r="AD1903" i="3"/>
  <c r="AD1904" i="3"/>
  <c r="AD1905" i="3"/>
  <c r="AD1906" i="3"/>
  <c r="AD1907" i="3"/>
  <c r="AD1908" i="3"/>
  <c r="AD1909" i="3"/>
  <c r="AD1910" i="3"/>
  <c r="AD1911" i="3"/>
  <c r="AD1912" i="3"/>
  <c r="AD1913" i="3"/>
  <c r="AD1914" i="3"/>
  <c r="AD1915" i="3"/>
  <c r="AD1916" i="3"/>
  <c r="AD1917" i="3"/>
  <c r="AD1918" i="3"/>
  <c r="AD1919" i="3"/>
  <c r="AD1920" i="3"/>
  <c r="AD1921" i="3"/>
  <c r="AD1922" i="3"/>
  <c r="AD1923" i="3"/>
  <c r="AD1924" i="3"/>
  <c r="AD1925" i="3"/>
  <c r="AD1926" i="3"/>
  <c r="AD1927" i="3"/>
  <c r="AD1928" i="3"/>
  <c r="AD1929" i="3"/>
  <c r="AD1930" i="3"/>
  <c r="AD1931" i="3"/>
  <c r="AD1932" i="3"/>
  <c r="AD1933" i="3"/>
  <c r="AD1934" i="3"/>
  <c r="AD1935" i="3"/>
  <c r="AD1936" i="3"/>
  <c r="AD1937" i="3"/>
  <c r="AD1938" i="3"/>
  <c r="AD1939" i="3"/>
  <c r="AD1940" i="3"/>
  <c r="AD1941" i="3"/>
  <c r="AD1942" i="3"/>
  <c r="AD1943" i="3"/>
  <c r="AD1944" i="3"/>
  <c r="AD1945" i="3"/>
  <c r="AD1946" i="3"/>
  <c r="AD1947" i="3"/>
  <c r="AD1948" i="3"/>
  <c r="AD1949" i="3"/>
  <c r="AD1950" i="3"/>
  <c r="AD1951" i="3"/>
  <c r="AD1952" i="3"/>
  <c r="AD1953" i="3"/>
  <c r="AD1954" i="3"/>
  <c r="AD1955" i="3"/>
  <c r="AD1956" i="3"/>
  <c r="AD1957" i="3"/>
  <c r="AD1958" i="3"/>
  <c r="AD1959" i="3"/>
  <c r="AD1960" i="3"/>
  <c r="AD1961" i="3"/>
  <c r="AD1962" i="3"/>
  <c r="AD1963" i="3"/>
  <c r="AD1964" i="3"/>
  <c r="AD1965" i="3"/>
  <c r="AD1966" i="3"/>
  <c r="AD1967" i="3"/>
  <c r="AD1968" i="3"/>
  <c r="AD1969" i="3"/>
  <c r="AD1970" i="3"/>
  <c r="AD1971" i="3"/>
  <c r="AD1972" i="3"/>
  <c r="AD1973" i="3"/>
  <c r="AD1974" i="3"/>
  <c r="AD1975" i="3"/>
  <c r="AD1976" i="3"/>
  <c r="AD1977" i="3"/>
  <c r="AD1978" i="3"/>
  <c r="AD1979" i="3"/>
  <c r="AD1980" i="3"/>
  <c r="AD1981" i="3"/>
  <c r="AD1982" i="3"/>
  <c r="AD1983" i="3"/>
  <c r="AD1984" i="3"/>
  <c r="AD1985" i="3"/>
  <c r="AD1986" i="3"/>
  <c r="AD1987" i="3"/>
  <c r="AD1988" i="3"/>
  <c r="AD1989" i="3"/>
  <c r="AD1990" i="3"/>
  <c r="AD1991" i="3"/>
  <c r="AD1992" i="3"/>
  <c r="AD1993" i="3"/>
  <c r="AD1994" i="3"/>
  <c r="AD1995" i="3"/>
  <c r="AD1996" i="3"/>
  <c r="AD1997" i="3"/>
  <c r="AD1998" i="3"/>
  <c r="AD1999" i="3"/>
  <c r="AD2000" i="3"/>
  <c r="AD2001" i="3"/>
  <c r="AD2002" i="3"/>
  <c r="AD2003" i="3"/>
  <c r="AD2004" i="3"/>
  <c r="AD2005" i="3"/>
  <c r="AD2006" i="3"/>
  <c r="AD2007" i="3"/>
  <c r="AD2008" i="3"/>
  <c r="AD2009" i="3"/>
  <c r="AD2010" i="3"/>
  <c r="AD2011" i="3"/>
  <c r="AD2012" i="3"/>
  <c r="AD2013" i="3"/>
  <c r="AD2014" i="3"/>
  <c r="AD2015" i="3"/>
  <c r="AD2016" i="3"/>
  <c r="AD2017" i="3"/>
  <c r="AD2018" i="3"/>
  <c r="AD2019" i="3"/>
  <c r="AD2020" i="3"/>
  <c r="AD2021" i="3"/>
  <c r="AD2022" i="3"/>
  <c r="AD2023" i="3"/>
  <c r="AD2024" i="3"/>
  <c r="AD2025" i="3"/>
  <c r="AD2026" i="3"/>
  <c r="AD2027" i="3"/>
  <c r="AD2028" i="3"/>
  <c r="AD2029" i="3"/>
  <c r="AD2030" i="3"/>
  <c r="AD2031" i="3"/>
  <c r="AD2032" i="3"/>
  <c r="AD2033" i="3"/>
  <c r="AD2034" i="3"/>
  <c r="AD2035" i="3"/>
  <c r="AD2036" i="3"/>
  <c r="AD2037" i="3"/>
  <c r="AD2038" i="3"/>
  <c r="AD2039" i="3"/>
  <c r="AD2040" i="3"/>
  <c r="AD2041" i="3"/>
  <c r="AD2042" i="3"/>
  <c r="AD2043" i="3"/>
  <c r="AD2044" i="3"/>
  <c r="AD2045" i="3"/>
  <c r="AD2046" i="3"/>
  <c r="AD2047" i="3"/>
  <c r="AD2048" i="3"/>
  <c r="AD2049" i="3"/>
  <c r="AD2050" i="3"/>
  <c r="AD2051" i="3"/>
  <c r="AD2052" i="3"/>
  <c r="AD2053" i="3"/>
  <c r="AD2054" i="3"/>
  <c r="AD2055" i="3"/>
  <c r="AD2056" i="3"/>
  <c r="AD2057" i="3"/>
  <c r="AD2058" i="3"/>
  <c r="AD2059" i="3"/>
  <c r="AD2060" i="3"/>
  <c r="AD2061" i="3"/>
  <c r="AD2062" i="3"/>
  <c r="AD2063" i="3"/>
  <c r="AD2064" i="3"/>
  <c r="AD2065" i="3"/>
  <c r="AD2066" i="3"/>
  <c r="AD2067" i="3"/>
  <c r="AD2068" i="3"/>
  <c r="AD2069" i="3"/>
  <c r="AD2070" i="3"/>
  <c r="AD2071" i="3"/>
  <c r="AD2072" i="3"/>
  <c r="AD2073" i="3"/>
  <c r="AD2074" i="3"/>
  <c r="AD2075" i="3"/>
  <c r="AD2076" i="3"/>
  <c r="AD2077" i="3"/>
  <c r="AD2078" i="3"/>
  <c r="AD2079" i="3"/>
  <c r="AD2080" i="3"/>
  <c r="AD2081" i="3"/>
  <c r="AD2082" i="3"/>
  <c r="AD2083" i="3"/>
  <c r="AD2084" i="3"/>
  <c r="AD2085" i="3"/>
  <c r="AD2086" i="3"/>
  <c r="AD2087" i="3"/>
  <c r="AD2088" i="3"/>
  <c r="AD2089" i="3"/>
  <c r="AD2090" i="3"/>
  <c r="AD2091" i="3"/>
  <c r="AD2092" i="3"/>
  <c r="AD2093" i="3"/>
  <c r="AD2094" i="3"/>
  <c r="AD2095" i="3"/>
  <c r="AD2096" i="3"/>
  <c r="AD2097" i="3"/>
  <c r="AD2098" i="3"/>
  <c r="AD2099" i="3"/>
  <c r="AD2100" i="3"/>
  <c r="AD2101" i="3"/>
  <c r="AD2102" i="3"/>
  <c r="AD2103" i="3"/>
  <c r="AD2104" i="3"/>
  <c r="AD2105" i="3"/>
  <c r="AD2106" i="3"/>
  <c r="AD2107" i="3"/>
  <c r="AD2108" i="3"/>
  <c r="AD2109" i="3"/>
  <c r="AD2110" i="3"/>
  <c r="AD2111" i="3"/>
  <c r="AD2112" i="3"/>
  <c r="AD2113" i="3"/>
  <c r="AD2114" i="3"/>
  <c r="AD2115" i="3"/>
  <c r="AD2116" i="3"/>
  <c r="AD2117" i="3"/>
  <c r="AD2118" i="3"/>
  <c r="AD2119" i="3"/>
  <c r="AD2120" i="3"/>
  <c r="AD2121" i="3"/>
  <c r="AD2122" i="3"/>
  <c r="AD2123" i="3"/>
  <c r="AD2124" i="3"/>
  <c r="AD2125" i="3"/>
  <c r="AD2126" i="3"/>
  <c r="AD2127" i="3"/>
  <c r="AD2128" i="3"/>
  <c r="AD2129" i="3"/>
  <c r="AD2130" i="3"/>
  <c r="AD2131" i="3"/>
  <c r="AD2132" i="3"/>
  <c r="AD2133" i="3"/>
  <c r="AD2134" i="3"/>
  <c r="AD2135" i="3"/>
  <c r="AD2136" i="3"/>
  <c r="AD2137" i="3"/>
  <c r="AD2138" i="3"/>
  <c r="AD2139" i="3"/>
  <c r="AD2140" i="3"/>
  <c r="AD2141" i="3"/>
  <c r="AD2142" i="3"/>
  <c r="AD2143" i="3"/>
  <c r="AD2144" i="3"/>
  <c r="AD2145" i="3"/>
  <c r="AD2146" i="3"/>
  <c r="AD2147" i="3"/>
  <c r="AD2148" i="3"/>
  <c r="AD2149" i="3"/>
  <c r="AD2150" i="3"/>
  <c r="AD2151" i="3"/>
  <c r="AD2152" i="3"/>
  <c r="AD2153" i="3"/>
  <c r="AD2154" i="3"/>
  <c r="AD2155" i="3"/>
  <c r="AD2156" i="3"/>
  <c r="AD2157" i="3"/>
  <c r="AD2158" i="3"/>
  <c r="AD2159" i="3"/>
  <c r="AD2160" i="3"/>
  <c r="AD2161" i="3"/>
  <c r="AD2162" i="3"/>
  <c r="AD2163" i="3"/>
  <c r="AD2164" i="3"/>
  <c r="AD2165" i="3"/>
  <c r="AD2166" i="3"/>
  <c r="AD2167" i="3"/>
  <c r="AD2168" i="3"/>
  <c r="AD2169" i="3"/>
  <c r="AD2170" i="3"/>
  <c r="AD2171" i="3"/>
  <c r="AD2172" i="3"/>
  <c r="AD2173" i="3"/>
  <c r="AD2174" i="3"/>
  <c r="AD2175" i="3"/>
  <c r="AD2176" i="3"/>
  <c r="AD2177" i="3"/>
  <c r="AD2178" i="3"/>
  <c r="AD2179" i="3"/>
  <c r="AD2180" i="3"/>
  <c r="AD2181" i="3"/>
  <c r="AD2182" i="3"/>
  <c r="AD2183" i="3"/>
  <c r="AD2184" i="3"/>
  <c r="AD2185" i="3"/>
  <c r="AD2186" i="3"/>
  <c r="AD2187" i="3"/>
  <c r="AD2188" i="3"/>
  <c r="AD2189" i="3"/>
  <c r="AD2190" i="3"/>
  <c r="AD2191" i="3"/>
  <c r="AD2192" i="3"/>
  <c r="AD2193" i="3"/>
  <c r="AD2194" i="3"/>
  <c r="AD2195" i="3"/>
  <c r="AD2196" i="3"/>
  <c r="AD2197" i="3"/>
  <c r="AD2198" i="3"/>
  <c r="AD2199" i="3"/>
  <c r="AD2200" i="3"/>
  <c r="AD2201" i="3"/>
  <c r="AD2202" i="3"/>
  <c r="AD2203" i="3"/>
  <c r="AD2204" i="3"/>
  <c r="AD2205" i="3"/>
  <c r="AD2206" i="3"/>
  <c r="AD2207" i="3"/>
  <c r="AD2208" i="3"/>
  <c r="AD2209" i="3"/>
  <c r="AD2210" i="3"/>
  <c r="AD2211" i="3"/>
  <c r="AD2212" i="3"/>
  <c r="AD2213" i="3"/>
  <c r="AD2214" i="3"/>
  <c r="AD2215" i="3"/>
  <c r="AD2216" i="3"/>
  <c r="AD2217" i="3"/>
  <c r="AD2218" i="3"/>
  <c r="AD2219" i="3"/>
  <c r="AD2220" i="3"/>
  <c r="AD2221" i="3"/>
  <c r="AD2222" i="3"/>
  <c r="AD2223" i="3"/>
  <c r="AD2224" i="3"/>
  <c r="AD2225" i="3"/>
  <c r="AD2226" i="3"/>
  <c r="AD2227" i="3"/>
  <c r="AD2228" i="3"/>
  <c r="AD2229" i="3"/>
  <c r="AD2230" i="3"/>
  <c r="AD2231" i="3"/>
  <c r="AD2232" i="3"/>
  <c r="AD2233" i="3"/>
  <c r="AD2234" i="3"/>
  <c r="AD2235" i="3"/>
  <c r="AD2236" i="3"/>
  <c r="AD2237" i="3"/>
  <c r="AD2238" i="3"/>
  <c r="AD2239" i="3"/>
  <c r="AD2240" i="3"/>
  <c r="AD2241" i="3"/>
  <c r="C9" i="4" l="1"/>
  <c r="C15" i="4"/>
  <c r="C12" i="4"/>
  <c r="C11" i="4"/>
  <c r="C18" i="4"/>
  <c r="C17" i="4"/>
  <c r="C16" i="4"/>
  <c r="C14" i="4"/>
  <c r="B27" i="4"/>
  <c r="B28" i="4" s="1"/>
</calcChain>
</file>

<file path=xl/sharedStrings.xml><?xml version="1.0" encoding="utf-8"?>
<sst xmlns="http://schemas.openxmlformats.org/spreadsheetml/2006/main" count="9190" uniqueCount="114">
  <si>
    <t>ID</t>
  </si>
  <si>
    <t>Year_Birth</t>
  </si>
  <si>
    <t>Education</t>
  </si>
  <si>
    <t>Marital_Status</t>
  </si>
  <si>
    <t>Income</t>
  </si>
  <si>
    <t>Kidhome</t>
  </si>
  <si>
    <t>Teenhome</t>
  </si>
  <si>
    <t>Dt_Customer</t>
  </si>
  <si>
    <t>Recency</t>
  </si>
  <si>
    <t>MntWines</t>
  </si>
  <si>
    <t>MntFruits</t>
  </si>
  <si>
    <t>MntMeatProducts</t>
  </si>
  <si>
    <t>MntFishProducts</t>
  </si>
  <si>
    <t>MntSweetProducts</t>
  </si>
  <si>
    <t>MntGoldProds</t>
  </si>
  <si>
    <t>NumDealsPurchases</t>
  </si>
  <si>
    <t>NumWebPurchases</t>
  </si>
  <si>
    <t>NumCatalogPurchases</t>
  </si>
  <si>
    <t>NumStorePurchases</t>
  </si>
  <si>
    <t>NumWebVisitsMonth</t>
  </si>
  <si>
    <t>AcceptedCmp3</t>
  </si>
  <si>
    <t>AcceptedCmp4</t>
  </si>
  <si>
    <t>AcceptedCmp5</t>
  </si>
  <si>
    <t>AcceptedCmp1</t>
  </si>
  <si>
    <t>AcceptedCmp2</t>
  </si>
  <si>
    <t>Complain</t>
  </si>
  <si>
    <t>Z_CostContact</t>
  </si>
  <si>
    <t>Z_Revenue</t>
  </si>
  <si>
    <t>Response</t>
  </si>
  <si>
    <t>Graduation</t>
  </si>
  <si>
    <t>Single</t>
  </si>
  <si>
    <t>Together</t>
  </si>
  <si>
    <t>PhD</t>
  </si>
  <si>
    <t>Married</t>
  </si>
  <si>
    <t>Master</t>
  </si>
  <si>
    <t>Divorced</t>
  </si>
  <si>
    <t>Basic</t>
  </si>
  <si>
    <t>2n Cycle</t>
  </si>
  <si>
    <t>Widow</t>
  </si>
  <si>
    <t>Alone</t>
  </si>
  <si>
    <t>Absurd</t>
  </si>
  <si>
    <t>YOLO</t>
  </si>
  <si>
    <t>Field_Name</t>
  </si>
  <si>
    <t>Data_Type</t>
  </si>
  <si>
    <t>Rule_Type</t>
  </si>
  <si>
    <t>Rule_Description</t>
  </si>
  <si>
    <t>Number</t>
  </si>
  <si>
    <t>Text</t>
  </si>
  <si>
    <t>Date</t>
  </si>
  <si>
    <t>Unique</t>
  </si>
  <si>
    <t>Range</t>
  </si>
  <si>
    <t>Category</t>
  </si>
  <si>
    <t>Not Null</t>
  </si>
  <si>
    <t>Date Validity</t>
  </si>
  <si>
    <t>Numeric</t>
  </si>
  <si>
    <t>Binary</t>
  </si>
  <si>
    <t>Constant</t>
  </si>
  <si>
    <t>Customer ID must be unique</t>
  </si>
  <si>
    <t>Value must be between 1900 and 2010</t>
  </si>
  <si>
    <t>Allowed values: Graduation, PhD, Master, Basic, 2n Cycle</t>
  </si>
  <si>
    <t>Allowed values: 0–2</t>
  </si>
  <si>
    <t>Value must be between 0 and 100</t>
  </si>
  <si>
    <t>Must be numeric and ≥0</t>
  </si>
  <si>
    <t>Allowed values: 0 or 1</t>
  </si>
  <si>
    <t>Must equal 3 for all rows</t>
  </si>
  <si>
    <t>Must equal 11 for all rows</t>
  </si>
  <si>
    <t>Duplicate_ID_Check</t>
  </si>
  <si>
    <t>Birth_Year_Check</t>
  </si>
  <si>
    <t xml:space="preserve">Education_Category_Check </t>
  </si>
  <si>
    <t>Marital_Status_Check</t>
  </si>
  <si>
    <t>Income_Validity_Check</t>
  </si>
  <si>
    <t>Kidhome_Range_Check</t>
  </si>
  <si>
    <t>Teenhome_Range_Check</t>
  </si>
  <si>
    <t>Customer_Date_Validity_Check</t>
  </si>
  <si>
    <t>Recency_Range_Check</t>
  </si>
  <si>
    <t>Product_Spending_Check</t>
  </si>
  <si>
    <t>Purchase_Count_Validity_Check</t>
  </si>
  <si>
    <t>Campaign_Check</t>
  </si>
  <si>
    <t>Complaint_Binary_Check</t>
  </si>
  <si>
    <t>Z_CostContact_Constant_Check</t>
  </si>
  <si>
    <t>Z_Revenue_Constant_Check</t>
  </si>
  <si>
    <t>Response_Binary_Check</t>
  </si>
  <si>
    <t>Metric</t>
  </si>
  <si>
    <t>Value</t>
  </si>
  <si>
    <t>Total Records</t>
  </si>
  <si>
    <t>Duplicate IDs</t>
  </si>
  <si>
    <t>Invalid Birth Year</t>
  </si>
  <si>
    <t>Invalid Education Category</t>
  </si>
  <si>
    <t>Invalid Marital Status</t>
  </si>
  <si>
    <t>Invalid Income</t>
  </si>
  <si>
    <t>Invalid Customer Date</t>
  </si>
  <si>
    <t>Invalid Kidhome</t>
  </si>
  <si>
    <t>Invalid Teenhome</t>
  </si>
  <si>
    <t>Invalid Recency</t>
  </si>
  <si>
    <t>Invalid Purchase Counts</t>
  </si>
  <si>
    <t>Invalid Campaign Values</t>
  </si>
  <si>
    <t>Invalid Complaint Values</t>
  </si>
  <si>
    <t>Invalid Z_CostContact</t>
  </si>
  <si>
    <t>Invalid Z_Revenue</t>
  </si>
  <si>
    <t>Invalid Response</t>
  </si>
  <si>
    <t>Total Errors</t>
  </si>
  <si>
    <t>Data Quality Score</t>
  </si>
  <si>
    <t>Customer Data Quality Audit Summary</t>
  </si>
  <si>
    <t>Dataset Overview</t>
  </si>
  <si>
    <t>Data Quality Issues</t>
  </si>
  <si>
    <t xml:space="preserve">Data Quality KPIs </t>
  </si>
  <si>
    <t xml:space="preserve">Invalid Product Spending </t>
  </si>
  <si>
    <t>Issue</t>
  </si>
  <si>
    <t>Error Count</t>
  </si>
  <si>
    <t>ERROR DISTRIBUTION</t>
  </si>
  <si>
    <t>Error %</t>
  </si>
  <si>
    <t>Must be a positive numeric and not blank</t>
  </si>
  <si>
    <t>Allowed values: Single, Married, Divorced, Together, Widow, Alone. Any other text(e.g 'Absurd','YOLO') must be flagged as Invalid.</t>
  </si>
  <si>
    <t>Must be a valid date between Jan 2012 and Dec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</si>
</sst>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2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Segoe UI"/>
      <family val="2"/>
    </font>
    <font>
      <b/>
      <sz val="11"/>
      <color theme="0"/>
      <name val="Segoe UI"/>
      <family val="2"/>
    </font>
    <font>
      <b/>
      <sz val="11"/>
      <color rgb="FFFF0000"/>
      <name val="Calibri"/>
      <family val="2"/>
      <scheme val="minor"/>
    </font>
    <font>
      <b/>
      <sz val="10"/>
      <color theme="1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 tint="0.79998168889431442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-0.249977111117893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5BAB9"/>
        <bgColor theme="4" tint="0.79998168889431442"/>
      </patternFill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4" tint="0.3999755851924192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1">
    <xf numFmtId="0" fontId="0" fillId="0" borderId="0" xfId="0"/>
    <xf numFmtId="14" fontId="0" fillId="0" borderId="0" xfId="0" applyNumberFormat="1"/>
    <xf numFmtId="0" fontId="2" fillId="0" borderId="0" xfId="0" applyFont="1"/>
    <xf numFmtId="10" fontId="0" fillId="0" borderId="0" xfId="0" applyNumberFormat="1"/>
    <xf numFmtId="0" fontId="0" fillId="3" borderId="1" xfId="0" applyFill="1" applyBorder="1"/>
    <xf numFmtId="0" fontId="8" fillId="4" borderId="1" xfId="0" applyFont="1" applyFill="1" applyBorder="1" applyAlignment="1">
      <alignment horizontal="left"/>
    </xf>
    <xf numFmtId="0" fontId="8" fillId="2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8" fillId="4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0" fillId="10" borderId="0" xfId="0" applyFill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9" borderId="1" xfId="0" applyFill="1" applyBorder="1" applyAlignment="1">
      <alignment horizontal="center" vertical="center"/>
    </xf>
    <xf numFmtId="10" fontId="3" fillId="8" borderId="1" xfId="1" applyNumberFormat="1" applyFont="1" applyFill="1" applyBorder="1" applyAlignment="1">
      <alignment horizontal="center" vertical="center"/>
    </xf>
    <xf numFmtId="0" fontId="0" fillId="11" borderId="0" xfId="0" applyFill="1"/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10" borderId="1" xfId="0" applyFill="1" applyBorder="1" applyAlignment="1">
      <alignment horizontal="center" vertical="center"/>
    </xf>
    <xf numFmtId="10" fontId="0" fillId="10" borderId="1" xfId="1" applyNumberFormat="1" applyFont="1" applyFill="1" applyBorder="1" applyAlignment="1">
      <alignment horizontal="center" vertical="center"/>
    </xf>
    <xf numFmtId="10" fontId="0" fillId="3" borderId="1" xfId="1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0" fillId="10" borderId="1" xfId="0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2" fillId="15" borderId="1" xfId="0" applyFont="1" applyFill="1" applyBorder="1" applyAlignment="1">
      <alignment horizontal="center" vertical="center"/>
    </xf>
    <xf numFmtId="10" fontId="12" fillId="15" borderId="1" xfId="1" applyNumberFormat="1" applyFont="1" applyFill="1" applyBorder="1" applyAlignment="1">
      <alignment horizontal="center" vertical="center"/>
    </xf>
    <xf numFmtId="0" fontId="10" fillId="14" borderId="0" xfId="0" applyFont="1" applyFill="1" applyAlignment="1">
      <alignment horizontal="left" vertical="center"/>
    </xf>
    <xf numFmtId="0" fontId="0" fillId="14" borderId="0" xfId="0" applyFill="1" applyAlignment="1">
      <alignment horizontal="right" vertical="center"/>
    </xf>
    <xf numFmtId="0" fontId="10" fillId="13" borderId="0" xfId="0" applyFont="1" applyFill="1" applyAlignment="1">
      <alignment horizontal="left" vertical="center"/>
    </xf>
    <xf numFmtId="0" fontId="0" fillId="13" borderId="0" xfId="0" applyFill="1" applyAlignment="1">
      <alignment horizontal="right" vertical="center"/>
    </xf>
    <xf numFmtId="0" fontId="11" fillId="1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13" fillId="16" borderId="4" xfId="0" applyFont="1" applyFill="1" applyBorder="1" applyAlignment="1">
      <alignment horizontal="center"/>
    </xf>
    <xf numFmtId="0" fontId="13" fillId="16" borderId="8" xfId="0" applyFont="1" applyFill="1" applyBorder="1" applyAlignment="1">
      <alignment horizontal="center"/>
    </xf>
    <xf numFmtId="0" fontId="13" fillId="16" borderId="14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 vertical="center"/>
    </xf>
    <xf numFmtId="0" fontId="10" fillId="14" borderId="11" xfId="0" applyFont="1" applyFill="1" applyBorder="1" applyAlignment="1">
      <alignment horizontal="center" vertical="center"/>
    </xf>
    <xf numFmtId="0" fontId="10" fillId="14" borderId="12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10" fillId="14" borderId="10" xfId="0" applyFont="1" applyFill="1" applyBorder="1" applyAlignment="1">
      <alignment horizontal="center" vertical="center"/>
    </xf>
    <xf numFmtId="0" fontId="10" fillId="14" borderId="9" xfId="0" applyFont="1" applyFill="1" applyBorder="1" applyAlignment="1">
      <alignment horizontal="center" vertical="center"/>
    </xf>
    <xf numFmtId="0" fontId="10" fillId="14" borderId="2" xfId="0" applyFont="1" applyFill="1" applyBorder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4" borderId="7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5" fillId="7" borderId="6" xfId="0" applyFont="1" applyFill="1" applyBorder="1" applyAlignment="1">
      <alignment horizontal="center"/>
    </xf>
    <xf numFmtId="0" fontId="5" fillId="7" borderId="7" xfId="0" applyFont="1" applyFill="1" applyBorder="1" applyAlignment="1">
      <alignment horizontal="center"/>
    </xf>
    <xf numFmtId="0" fontId="6" fillId="5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8">
    <dxf>
      <font>
        <color rgb="FF9C0006"/>
      </font>
      <fill>
        <patternFill>
          <bgColor rgb="FFFFC7CE"/>
        </patternFill>
      </fill>
    </dxf>
    <dxf>
      <font>
        <color theme="6" tint="0.79998168889431442"/>
      </font>
    </dxf>
    <dxf>
      <font>
        <color theme="6" tint="0.39994506668294322"/>
      </font>
    </dxf>
    <dxf>
      <font>
        <color theme="6" tint="0.59996337778862885"/>
      </font>
    </dxf>
    <dxf>
      <font>
        <b/>
        <i val="0"/>
        <color rgb="FFFF0000"/>
      </font>
      <fill>
        <patternFill>
          <bgColor rgb="FFFFCCCC"/>
        </patternFill>
      </fill>
    </dxf>
    <dxf>
      <numFmt numFmtId="19" formatCode="dd/mm/yyyy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colors>
    <mruColors>
      <color rgb="FFF2F2F2"/>
      <color rgb="FFF0F4F7"/>
      <color rgb="FFE74C3C"/>
      <color rgb="FFE06666"/>
      <color rgb="FFF5BAB9"/>
      <color rgb="FFFFCCCC"/>
      <color rgb="FFF9F9F9"/>
      <color rgb="FF27AE60"/>
      <color rgb="FF7F8C8D"/>
      <color rgb="FF2C3E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>
                <a:latin typeface="Segoe UI" panose="020B0502040204020203" pitchFamily="34" charset="0"/>
                <a:cs typeface="Segoe UI" panose="020B0502040204020203" pitchFamily="34" charset="0"/>
              </a:rPr>
              <a:t>Top Data Quality Issues</a:t>
            </a:r>
          </a:p>
          <a:p>
            <a:pPr>
              <a:defRPr/>
            </a:pPr>
            <a:endParaRPr lang="en-IN"/>
          </a:p>
        </c:rich>
      </c:tx>
      <c:layout>
        <c:manualLayout>
          <c:xMode val="edge"/>
          <c:yMode val="edge"/>
          <c:x val="0.38507372424519709"/>
          <c:y val="6.94444444444444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886611784691195"/>
          <c:y val="0.15319444444444447"/>
          <c:w val="0.69988998250218726"/>
          <c:h val="0.7208876494604841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Dashboard!$B$19:$E$27</c:f>
              <c:strCache>
                <c:ptCount val="7"/>
                <c:pt idx="0">
                  <c:v>Invalid Birth Year</c:v>
                </c:pt>
                <c:pt idx="3">
                  <c:v>Invalid Marital Status</c:v>
                </c:pt>
                <c:pt idx="6">
                  <c:v>Invalid Income</c:v>
                </c:pt>
              </c:strCache>
            </c:strRef>
          </c:cat>
          <c:val>
            <c:numRef>
              <c:f>Dashboard!$B$19:$B$27</c:f>
              <c:numCache>
                <c:formatCode>General</c:formatCode>
                <c:ptCount val="9"/>
                <c:pt idx="0">
                  <c:v>0</c:v>
                </c:pt>
                <c:pt idx="3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74-4BF7-A5BF-51840F665C5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Dashboard!$B$19:$E$27</c:f>
              <c:strCache>
                <c:ptCount val="7"/>
                <c:pt idx="0">
                  <c:v>Invalid Birth Year</c:v>
                </c:pt>
                <c:pt idx="3">
                  <c:v>Invalid Marital Status</c:v>
                </c:pt>
                <c:pt idx="6">
                  <c:v>Invalid Income</c:v>
                </c:pt>
              </c:strCache>
            </c:strRef>
          </c:cat>
          <c:val>
            <c:numRef>
              <c:f>Dashboard!$C$19:$C$27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1-2174-4BF7-A5BF-51840F665C5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Dashboard!$B$19:$E$27</c:f>
              <c:strCache>
                <c:ptCount val="7"/>
                <c:pt idx="0">
                  <c:v>Invalid Birth Year</c:v>
                </c:pt>
                <c:pt idx="3">
                  <c:v>Invalid Marital Status</c:v>
                </c:pt>
                <c:pt idx="6">
                  <c:v>Invalid Income</c:v>
                </c:pt>
              </c:strCache>
            </c:strRef>
          </c:cat>
          <c:val>
            <c:numRef>
              <c:f>Dashboard!$D$19:$D$27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2-2174-4BF7-A5BF-51840F665C5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Dashboard!$B$19:$E$27</c:f>
              <c:strCache>
                <c:ptCount val="7"/>
                <c:pt idx="0">
                  <c:v>Invalid Birth Year</c:v>
                </c:pt>
                <c:pt idx="3">
                  <c:v>Invalid Marital Status</c:v>
                </c:pt>
                <c:pt idx="6">
                  <c:v>Invalid Income</c:v>
                </c:pt>
              </c:strCache>
            </c:strRef>
          </c:cat>
          <c:val>
            <c:numRef>
              <c:f>Dashboard!$E$19:$E$27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3-2174-4BF7-A5BF-51840F665C52}"/>
            </c:ext>
          </c:extLst>
        </c:ser>
        <c:ser>
          <c:idx val="4"/>
          <c:order val="4"/>
          <c:spPr>
            <a:solidFill>
              <a:srgbClr val="E74C3C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4.2032520594280198E-2"/>
                  <c:y val="4.6296296296296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745-437D-AD3C-6FC746CE3636}"/>
                </c:ext>
              </c:extLst>
            </c:dLbl>
            <c:dLbl>
              <c:idx val="3"/>
              <c:layout>
                <c:manualLayout>
                  <c:x val="6.3048780891420325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745-437D-AD3C-6FC746CE3636}"/>
                </c:ext>
              </c:extLst>
            </c:dLbl>
            <c:dLbl>
              <c:idx val="6"/>
              <c:layout>
                <c:manualLayout>
                  <c:x val="0.30205915935395078"/>
                  <c:y val="-4.2437781360066642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745-437D-AD3C-6FC746CE36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Dashboard!$B$19:$E$27</c:f>
              <c:strCache>
                <c:ptCount val="7"/>
                <c:pt idx="0">
                  <c:v>Invalid Birth Year</c:v>
                </c:pt>
                <c:pt idx="3">
                  <c:v>Invalid Marital Status</c:v>
                </c:pt>
                <c:pt idx="6">
                  <c:v>Invalid Income</c:v>
                </c:pt>
              </c:strCache>
            </c:strRef>
          </c:cat>
          <c:val>
            <c:numRef>
              <c:f>Dashboard!$F$19:$F$27</c:f>
              <c:numCache>
                <c:formatCode>General</c:formatCode>
                <c:ptCount val="9"/>
                <c:pt idx="0">
                  <c:v>2</c:v>
                </c:pt>
                <c:pt idx="3">
                  <c:v>4</c:v>
                </c:pt>
                <c:pt idx="6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74-4BF7-A5BF-51840F665C5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Dashboard!$B$19:$E$27</c:f>
              <c:strCache>
                <c:ptCount val="7"/>
                <c:pt idx="0">
                  <c:v>Invalid Birth Year</c:v>
                </c:pt>
                <c:pt idx="3">
                  <c:v>Invalid Marital Status</c:v>
                </c:pt>
                <c:pt idx="6">
                  <c:v>Invalid Income</c:v>
                </c:pt>
              </c:strCache>
            </c:strRef>
          </c:cat>
          <c:val>
            <c:numRef>
              <c:f>Dashboard!$G$19:$G$27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5-2174-4BF7-A5BF-51840F665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113041167"/>
        <c:axId val="2113024847"/>
      </c:barChart>
      <c:catAx>
        <c:axId val="2113041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024847"/>
        <c:crosses val="autoZero"/>
        <c:auto val="1"/>
        <c:lblAlgn val="ctr"/>
        <c:lblOffset val="100"/>
        <c:noMultiLvlLbl val="0"/>
      </c:catAx>
      <c:valAx>
        <c:axId val="211302484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11304116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365760</xdr:colOff>
      <xdr:row>1</xdr:row>
      <xdr:rowOff>0</xdr:rowOff>
    </xdr:from>
    <xdr:to>
      <xdr:col>18</xdr:col>
      <xdr:colOff>561120</xdr:colOff>
      <xdr:row>4</xdr:row>
      <xdr:rowOff>23760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C75AC37-E4DB-5B6F-3A58-D53F79128BF0}"/>
            </a:ext>
          </a:extLst>
        </xdr:cNvPr>
        <xdr:cNvSpPr/>
      </xdr:nvSpPr>
      <xdr:spPr>
        <a:xfrm>
          <a:off x="365760" y="251298"/>
          <a:ext cx="10928211" cy="583100"/>
        </a:xfrm>
        <a:prstGeom prst="rect">
          <a:avLst/>
        </a:prstGeom>
        <a:solidFill>
          <a:srgbClr val="2C3E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1800" b="1">
              <a:latin typeface="Segoe UI" panose="020B0502040204020203" pitchFamily="34" charset="0"/>
              <a:cs typeface="Segoe UI" panose="020B0502040204020203" pitchFamily="34" charset="0"/>
            </a:rPr>
            <a:t>CUSTOMER DATA QUALITY AUDIT</a:t>
          </a:r>
        </a:p>
        <a:p>
          <a:pPr algn="ctr"/>
          <a:r>
            <a:rPr lang="en-IN" sz="1000" b="0">
              <a:solidFill>
                <a:schemeClr val="bg2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Data Refresh:March16,2026</a:t>
          </a:r>
        </a:p>
      </xdr:txBody>
    </xdr:sp>
    <xdr:clientData/>
  </xdr:twoCellAnchor>
  <xdr:twoCellAnchor>
    <xdr:from>
      <xdr:col>1</xdr:col>
      <xdr:colOff>7620</xdr:colOff>
      <xdr:row>5</xdr:row>
      <xdr:rowOff>167640</xdr:rowOff>
    </xdr:from>
    <xdr:to>
      <xdr:col>6</xdr:col>
      <xdr:colOff>293220</xdr:colOff>
      <xdr:row>12</xdr:row>
      <xdr:rowOff>125880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E2AD4BD2-B058-0442-6F13-61D77FE4228D}"/>
            </a:ext>
          </a:extLst>
        </xdr:cNvPr>
        <xdr:cNvSpPr/>
      </xdr:nvSpPr>
      <xdr:spPr>
        <a:xfrm>
          <a:off x="403860" y="1150620"/>
          <a:ext cx="3333600" cy="123840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127000" dist="38100" dir="2700000" algn="tl" rotWithShape="0">
            <a:prstClr val="black">
              <a:alpha val="1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100" b="1">
              <a:solidFill>
                <a:srgbClr val="7F8C8D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RECORDS</a:t>
          </a:r>
        </a:p>
        <a:p>
          <a:pPr algn="ctr"/>
          <a:endParaRPr lang="en-IN" sz="1100" b="0">
            <a:solidFill>
              <a:schemeClr val="tx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7</xdr:col>
      <xdr:colOff>102870</xdr:colOff>
      <xdr:row>5</xdr:row>
      <xdr:rowOff>167640</xdr:rowOff>
    </xdr:from>
    <xdr:to>
      <xdr:col>12</xdr:col>
      <xdr:colOff>388470</xdr:colOff>
      <xdr:row>12</xdr:row>
      <xdr:rowOff>125880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365E2DBD-DD15-BC2E-B2B5-15AABC74BA19}"/>
            </a:ext>
          </a:extLst>
        </xdr:cNvPr>
        <xdr:cNvSpPr/>
      </xdr:nvSpPr>
      <xdr:spPr>
        <a:xfrm>
          <a:off x="4156710" y="1150620"/>
          <a:ext cx="3333600" cy="123840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127000" dist="38100" dir="2700000" algn="tl" rotWithShape="0">
            <a:prstClr val="black">
              <a:alpha val="1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050" b="1">
              <a:solidFill>
                <a:srgbClr val="7F8C8D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ERRORS</a:t>
          </a:r>
        </a:p>
      </xdr:txBody>
    </xdr:sp>
    <xdr:clientData/>
  </xdr:twoCellAnchor>
  <xdr:twoCellAnchor>
    <xdr:from>
      <xdr:col>13</xdr:col>
      <xdr:colOff>213360</xdr:colOff>
      <xdr:row>5</xdr:row>
      <xdr:rowOff>167640</xdr:rowOff>
    </xdr:from>
    <xdr:to>
      <xdr:col>18</xdr:col>
      <xdr:colOff>498960</xdr:colOff>
      <xdr:row>12</xdr:row>
      <xdr:rowOff>125880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1F5EC863-2546-EC42-D5B2-953B1C5009C1}"/>
            </a:ext>
          </a:extLst>
        </xdr:cNvPr>
        <xdr:cNvSpPr/>
      </xdr:nvSpPr>
      <xdr:spPr>
        <a:xfrm>
          <a:off x="7924800" y="1150620"/>
          <a:ext cx="3333600" cy="123840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127000" dist="38100" dir="2700000" algn="tl" rotWithShape="0">
            <a:prstClr val="black">
              <a:alpha val="1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100" b="1">
              <a:solidFill>
                <a:srgbClr val="7F8C8D"/>
              </a:solidFill>
              <a:latin typeface="Segoe UI" panose="020B0502040204020203" pitchFamily="34" charset="0"/>
              <a:cs typeface="Segoe UI" panose="020B0502040204020203" pitchFamily="34" charset="0"/>
            </a:rPr>
            <a:t>DATA QUALITY SCORE</a:t>
          </a:r>
        </a:p>
      </xdr:txBody>
    </xdr:sp>
    <xdr:clientData/>
  </xdr:twoCellAnchor>
  <xdr:twoCellAnchor>
    <xdr:from>
      <xdr:col>2</xdr:col>
      <xdr:colOff>243840</xdr:colOff>
      <xdr:row>7</xdr:row>
      <xdr:rowOff>60960</xdr:rowOff>
    </xdr:from>
    <xdr:to>
      <xdr:col>5</xdr:col>
      <xdr:colOff>15240</xdr:colOff>
      <xdr:row>11</xdr:row>
      <xdr:rowOff>106680</xdr:rowOff>
    </xdr:to>
    <xdr:sp macro="" textlink="Summary!B4">
      <xdr:nvSpPr>
        <xdr:cNvPr id="10" name="TextBox 9">
          <a:extLst>
            <a:ext uri="{FF2B5EF4-FFF2-40B4-BE49-F238E27FC236}">
              <a16:creationId xmlns:a16="http://schemas.microsoft.com/office/drawing/2014/main" id="{8697457C-C996-E83E-2582-B5AD4C80583C}"/>
            </a:ext>
          </a:extLst>
        </xdr:cNvPr>
        <xdr:cNvSpPr txBox="1"/>
      </xdr:nvSpPr>
      <xdr:spPr>
        <a:xfrm flipH="1">
          <a:off x="1249680" y="1409700"/>
          <a:ext cx="1600200" cy="777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52BD8FD-A76F-4E81-8000-2A32697BD9FD}" type="TxLink">
            <a:rPr lang="en-US" sz="3200" b="1" i="0" u="none" strike="noStrike">
              <a:solidFill>
                <a:schemeClr val="accent1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pPr algn="ctr"/>
            <a:t>2240</a:t>
          </a:fld>
          <a:endParaRPr lang="en-IN" sz="3200" b="1">
            <a:solidFill>
              <a:schemeClr val="accent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oneCellAnchor>
    <xdr:from>
      <xdr:col>9</xdr:col>
      <xdr:colOff>15240</xdr:colOff>
      <xdr:row>8</xdr:row>
      <xdr:rowOff>7620</xdr:rowOff>
    </xdr:from>
    <xdr:ext cx="1021080" cy="493160"/>
    <xdr:sp macro="" textlink="Summary!B27">
      <xdr:nvSpPr>
        <xdr:cNvPr id="13" name="TextBox 12">
          <a:extLst>
            <a:ext uri="{FF2B5EF4-FFF2-40B4-BE49-F238E27FC236}">
              <a16:creationId xmlns:a16="http://schemas.microsoft.com/office/drawing/2014/main" id="{4E42C3B2-6A06-EEA0-A8CA-3F0E8E727BA1}"/>
            </a:ext>
          </a:extLst>
        </xdr:cNvPr>
        <xdr:cNvSpPr txBox="1"/>
      </xdr:nvSpPr>
      <xdr:spPr>
        <a:xfrm>
          <a:off x="5288280" y="1539240"/>
          <a:ext cx="1021080" cy="493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38522CF4-6926-47B9-8F04-8E1AEC3F4864}" type="TxLink">
            <a:rPr lang="en-US" sz="3200" b="1" i="0" u="none" strike="noStrike">
              <a:solidFill>
                <a:srgbClr val="E74C3C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pPr algn="ctr"/>
            <a:t>30</a:t>
          </a:fld>
          <a:endParaRPr lang="en-IN" sz="3200" b="1">
            <a:solidFill>
              <a:srgbClr val="E74C3C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oneCellAnchor>
    <xdr:from>
      <xdr:col>14</xdr:col>
      <xdr:colOff>480060</xdr:colOff>
      <xdr:row>7</xdr:row>
      <xdr:rowOff>121920</xdr:rowOff>
    </xdr:from>
    <xdr:ext cx="1706880" cy="640080"/>
    <xdr:sp macro="" textlink="Summary!B28">
      <xdr:nvSpPr>
        <xdr:cNvPr id="14" name="TextBox 13">
          <a:extLst>
            <a:ext uri="{FF2B5EF4-FFF2-40B4-BE49-F238E27FC236}">
              <a16:creationId xmlns:a16="http://schemas.microsoft.com/office/drawing/2014/main" id="{AFE40A41-BCCA-2D51-B1CA-7E67EF954919}"/>
            </a:ext>
          </a:extLst>
        </xdr:cNvPr>
        <xdr:cNvSpPr txBox="1"/>
      </xdr:nvSpPr>
      <xdr:spPr>
        <a:xfrm>
          <a:off x="8801100" y="1470660"/>
          <a:ext cx="1706880" cy="6400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3B092344-C96A-453D-8BAD-36756EE97DD9}" type="TxLink">
            <a:rPr lang="en-US" sz="3200" b="1" i="0" u="none" strike="noStrike">
              <a:solidFill>
                <a:srgbClr val="27AE60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pPr/>
            <a:t>98.66%</a:t>
          </a:fld>
          <a:endParaRPr lang="en-IN" sz="3200" b="1">
            <a:solidFill>
              <a:srgbClr val="27AE60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>
    <xdr:from>
      <xdr:col>7</xdr:col>
      <xdr:colOff>235085</xdr:colOff>
      <xdr:row>14</xdr:row>
      <xdr:rowOff>176720</xdr:rowOff>
    </xdr:from>
    <xdr:to>
      <xdr:col>18</xdr:col>
      <xdr:colOff>421532</xdr:colOff>
      <xdr:row>29</xdr:row>
      <xdr:rowOff>107005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AE12BD-FAFB-447A-FD53-50A3A82F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381000</xdr:colOff>
      <xdr:row>31</xdr:row>
      <xdr:rowOff>48638</xdr:rowOff>
    </xdr:from>
    <xdr:to>
      <xdr:col>18</xdr:col>
      <xdr:colOff>405319</xdr:colOff>
      <xdr:row>44</xdr:row>
      <xdr:rowOff>24320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EA03B34-7A21-9054-5410-1C9F95C9F9FF}"/>
            </a:ext>
          </a:extLst>
        </xdr:cNvPr>
        <xdr:cNvSpPr/>
      </xdr:nvSpPr>
      <xdr:spPr>
        <a:xfrm>
          <a:off x="381000" y="5909553"/>
          <a:ext cx="10757170" cy="2399490"/>
        </a:xfrm>
        <a:prstGeom prst="rect">
          <a:avLst/>
        </a:prstGeom>
        <a:solidFill>
          <a:srgbClr val="F2F2F2"/>
        </a:solidFill>
        <a:ln>
          <a:solidFill>
            <a:srgbClr val="F0F4F7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IN" sz="1400" b="1">
              <a:latin typeface="Segoe UI" panose="020B0502040204020203" pitchFamily="34" charset="0"/>
              <a:cs typeface="Segoe UI" panose="020B0502040204020203" pitchFamily="34" charset="0"/>
            </a:rPr>
            <a:t>AUDIT CONCLUSION</a:t>
          </a:r>
        </a:p>
        <a:p>
          <a:pPr algn="l"/>
          <a:r>
            <a:rPr lang="en-IN" sz="1300" b="1">
              <a:latin typeface="Segoe UI" panose="020B0502040204020203" pitchFamily="34" charset="0"/>
              <a:cs typeface="Segoe UI" panose="020B0502040204020203" pitchFamily="34" charset="0"/>
            </a:rPr>
            <a:t>Current Status:</a:t>
          </a:r>
          <a:r>
            <a:rPr lang="en-IN" sz="1300">
              <a:latin typeface="Segoe UI" panose="020B0502040204020203" pitchFamily="34" charset="0"/>
              <a:cs typeface="Segoe UI" panose="020B0502040204020203" pitchFamily="34" charset="0"/>
            </a:rPr>
            <a:t>🟢 </a:t>
          </a:r>
          <a:r>
            <a:rPr lang="en-IN" sz="1300" b="1">
              <a:latin typeface="Segoe UI" panose="020B0502040204020203" pitchFamily="34" charset="0"/>
              <a:cs typeface="Segoe UI" panose="020B0502040204020203" pitchFamily="34" charset="0"/>
            </a:rPr>
            <a:t>HEALTHY (98.66%)</a:t>
          </a:r>
        </a:p>
        <a:p>
          <a:pPr algn="l"/>
          <a:endParaRPr lang="en-IN" sz="1300" b="1">
            <a:latin typeface="Segoe UI" panose="020B0502040204020203" pitchFamily="34" charset="0"/>
            <a:cs typeface="Segoe UI" panose="020B0502040204020203" pitchFamily="34" charset="0"/>
          </a:endParaRPr>
        </a:p>
        <a:p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Reliability: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 The dataset achieved a </a:t>
          </a:r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98.66% accuracy score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, confirming that the information is high-quality and safe for business decision-making.</a:t>
          </a:r>
        </a:p>
        <a:p>
          <a:endParaRPr lang="en-IN" sz="1100">
            <a:latin typeface="Segoe UI" panose="020B0502040204020203" pitchFamily="34" charset="0"/>
            <a:cs typeface="Segoe UI" panose="020B0502040204020203" pitchFamily="34" charset="0"/>
          </a:endParaRPr>
        </a:p>
        <a:p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Analysis: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 I flagged 30 errors across the 2,240 records. The biggest issue was definitely the Income field, where 80% of the problems were just missing values (blanks). I also caught a few minor formatting slips in Birth Year and Marital Status, but those only affected about 0.2% of the data.</a:t>
          </a:r>
        </a:p>
        <a:p>
          <a:endParaRPr lang="en-IN" sz="1100">
            <a:latin typeface="Segoe UI" panose="020B0502040204020203" pitchFamily="34" charset="0"/>
            <a:cs typeface="Segoe UI" panose="020B0502040204020203" pitchFamily="34" charset="0"/>
          </a:endParaRPr>
        </a:p>
        <a:p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Recommendation: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 To reach 100% accuracy, we should implement </a:t>
          </a:r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front-end validation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. Making the </a:t>
          </a:r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Income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 field mandatory will stop the blanks, and </a:t>
          </a:r>
          <a:r>
            <a:rPr lang="en-IN">
              <a:latin typeface="Segoe UI" panose="020B0502040204020203" pitchFamily="34" charset="0"/>
              <a:cs typeface="Segoe UI" panose="020B0502040204020203" pitchFamily="34" charset="0"/>
            </a:rPr>
            <a:t>perform a </a:t>
          </a:r>
          <a:r>
            <a:rPr lang="en-IN" b="1">
              <a:latin typeface="Segoe UI" panose="020B0502040204020203" pitchFamily="34" charset="0"/>
              <a:cs typeface="Segoe UI" panose="020B0502040204020203" pitchFamily="34" charset="0"/>
            </a:rPr>
            <a:t>technical sync audit</a:t>
          </a:r>
          <a:r>
            <a:rPr lang="en-IN">
              <a:latin typeface="Segoe UI" panose="020B0502040204020203" pitchFamily="34" charset="0"/>
              <a:cs typeface="Segoe UI" panose="020B0502040204020203" pitchFamily="34" charset="0"/>
            </a:rPr>
            <a:t> to ensure no data is lost during system transfers</a:t>
          </a:r>
          <a:r>
            <a:rPr lang="en-IN"/>
            <a:t>.</a:t>
          </a:r>
          <a:r>
            <a:rPr lang="en-IN">
              <a:latin typeface="Segoe UI" panose="020B0502040204020203" pitchFamily="34" charset="0"/>
              <a:cs typeface="Segoe UI" panose="020B0502040204020203" pitchFamily="34" charset="0"/>
            </a:rPr>
            <a:t>Additionally, 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adding </a:t>
          </a:r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dropdown menus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 for Birth Year and Marital Status will kill the manual typos at the source.</a:t>
          </a:r>
          <a:endParaRPr lang="en-IN" sz="1100" b="1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4D2187-D7AA-4760-A5E3-44BE59015B1D}" name="Audit_Data" displayName="Audit_Data" ref="A1:AS2241" totalsRowShown="0">
  <autoFilter ref="A1:AS2241" xr:uid="{494D2187-D7AA-4760-A5E3-44BE59015B1D}"/>
  <tableColumns count="45">
    <tableColumn id="1" xr3:uid="{432C64F4-CCF7-494D-AB55-9CE5E0C4BB26}" name="ID"/>
    <tableColumn id="2" xr3:uid="{8845C88F-B010-4209-BDE9-6607D931D84D}" name="Year_Birth"/>
    <tableColumn id="3" xr3:uid="{E7EF230A-B9C6-4D9E-9A15-4A3D411A862B}" name="Education"/>
    <tableColumn id="4" xr3:uid="{B444F029-F1FC-4B2F-9683-6A6054021BC2}" name="Marital_Status"/>
    <tableColumn id="5" xr3:uid="{AFA4E2D4-FA18-4E2D-B5F3-A3DCAE7AFF65}" name="Income"/>
    <tableColumn id="6" xr3:uid="{99B92CA7-6D10-4972-ACC5-5E7633C392F2}" name="Kidhome"/>
    <tableColumn id="7" xr3:uid="{BAA3A5C2-296F-4860-8077-AB814560031E}" name="Teenhome"/>
    <tableColumn id="8" xr3:uid="{7241A4B8-EC4D-4734-8916-D4C2FF6B1EF5}" name="Dt_Customer" dataDxfId="27"/>
    <tableColumn id="9" xr3:uid="{071C40D3-C6B2-4403-93D6-134BB6DB73D9}" name="Recency"/>
    <tableColumn id="10" xr3:uid="{1325BB9C-1C37-4F14-91C2-9871461E3C47}" name="MntWines"/>
    <tableColumn id="11" xr3:uid="{CD2D7A37-F20B-4239-A90A-7C2A3F39A3C6}" name="MntFruits"/>
    <tableColumn id="12" xr3:uid="{9BA87DB8-D9CE-435E-B2C4-6BA834069700}" name="MntMeatProducts"/>
    <tableColumn id="13" xr3:uid="{4D41269E-2449-43D9-A6AB-53740008CE78}" name="MntFishProducts"/>
    <tableColumn id="14" xr3:uid="{7DA5DFF1-5E1D-48DD-9827-40BE338C2941}" name="MntSweetProducts"/>
    <tableColumn id="15" xr3:uid="{159052CA-CB3E-448F-B0BD-F126F1C44801}" name="MntGoldProds"/>
    <tableColumn id="16" xr3:uid="{97F1E7CA-0930-4744-B3A6-4C0C80BC2020}" name="NumDealsPurchases"/>
    <tableColumn id="17" xr3:uid="{7BD1A3F1-6793-47A6-8050-103199704E0A}" name="NumWebPurchases"/>
    <tableColumn id="18" xr3:uid="{58AA98C8-13A1-4BF6-A242-818FCDCBAB79}" name="NumCatalogPurchases"/>
    <tableColumn id="19" xr3:uid="{29F88DF1-BF44-43C4-8D49-35D6203281BD}" name="NumStorePurchases"/>
    <tableColumn id="20" xr3:uid="{E2DF7998-E329-4230-BF5E-B29A4384D37D}" name="NumWebVisitsMonth"/>
    <tableColumn id="21" xr3:uid="{D2DE7685-1EFF-4185-AF2C-E9EB1C827293}" name="AcceptedCmp3"/>
    <tableColumn id="22" xr3:uid="{1C0058FB-C73C-4D73-AF4B-81C32AAAE698}" name="AcceptedCmp4"/>
    <tableColumn id="23" xr3:uid="{910B434D-C2A2-4470-A80D-A919950D35F3}" name="AcceptedCmp5"/>
    <tableColumn id="24" xr3:uid="{893F8B98-C08B-4326-A159-11B13A90070B}" name="AcceptedCmp1"/>
    <tableColumn id="25" xr3:uid="{9D590741-276D-4EC0-BC95-FAEDA3679A43}" name="AcceptedCmp2"/>
    <tableColumn id="26" xr3:uid="{C7DAC543-37CF-4C87-A22D-FBAAF08B3240}" name="Complain"/>
    <tableColumn id="27" xr3:uid="{5E7C79DF-2C31-4FA8-8186-17AB18E05616}" name="Z_CostContact"/>
    <tableColumn id="28" xr3:uid="{883F9A55-7CA4-4935-B3DA-D037387D78B1}" name="Z_Revenue"/>
    <tableColumn id="29" xr3:uid="{A180D9F9-48DD-4E94-8013-803EB6D49C08}" name="Response"/>
    <tableColumn id="30" xr3:uid="{FD5C4874-7951-4103-9A93-8CA9946BC969}" name="Duplicate_ID_Check" dataDxfId="26">
      <calculatedColumnFormula>IF(COUNTIF(A:A,A2)&gt;1,"Duplicate","Ok")</calculatedColumnFormula>
    </tableColumn>
    <tableColumn id="31" xr3:uid="{FD85B848-0B88-4BC9-9F10-06724A240D84}" name="Birth_Year_Check" dataDxfId="25">
      <calculatedColumnFormula>IF(AND(Audit_Data[[#This Row],[Year_Birth]]&gt;=1900,Audit_Data[[#This Row],[Year_Birth]]&lt;=2010),"OK","Invalid")</calculatedColumnFormula>
    </tableColumn>
    <tableColumn id="32" xr3:uid="{57A0B73D-316B-40D2-81A9-C58FD76B7A87}" name="Education_Category_Check " dataDxfId="24">
      <calculatedColumnFormula>IF(OR(C2="Graduation",C2="phD",C2="Master",C2="Basic",C2="2n Cycle"),"Valid","Invalid")</calculatedColumnFormula>
    </tableColumn>
    <tableColumn id="33" xr3:uid="{4A3CC557-81A8-4C44-8E5F-8C51BF7DEC57}" name="Marital_Status_Check" dataDxfId="23">
      <calculatedColumnFormula>IF(OR(D2="Single",D2="Married",D2="Divorced",D2="Together",D2="Widow",D2="Alone"),"Valid","Invalid")</calculatedColumnFormula>
    </tableColumn>
    <tableColumn id="34" xr3:uid="{4DDFC2E3-4EEB-45B0-904A-ED0CF827B55E}" name="Income_Validity_Check" dataDxfId="22">
      <calculatedColumnFormula>IF(AND(ISNUMBER(E2),E2&lt;&gt;""),"Valid","Invalid")</calculatedColumnFormula>
    </tableColumn>
    <tableColumn id="35" xr3:uid="{1E41E296-3BAA-4AA4-98E8-5B45EA3D8627}" name="Kidhome_Range_Check" dataDxfId="21">
      <calculatedColumnFormula>IF(AND(F2&gt;=0,F2&lt;=2),"Valid","Invalid")</calculatedColumnFormula>
    </tableColumn>
    <tableColumn id="36" xr3:uid="{1CAA3B56-987D-4DE4-BC43-6C9D3ECE8775}" name="Teenhome_Range_Check" dataDxfId="20">
      <calculatedColumnFormula>IF(AND(G2&gt;=0,G2&lt;=2),"Valid","Invalid")</calculatedColumnFormula>
    </tableColumn>
    <tableColumn id="37" xr3:uid="{AD58D839-7566-496D-A53D-9028202167E6}" name="Customer_Date_Validity_Check" dataDxfId="19">
      <calculatedColumnFormula>IF(AND(ISNUMBER(H2),H2&gt;=DATE(2012,1,1),H2&lt;=DATE(2014,12,31)),"Valid ","Invalid")</calculatedColumnFormula>
    </tableColumn>
    <tableColumn id="38" xr3:uid="{E9361E16-30F9-49B5-807D-D4545B1ED2D7}" name="Recency_Range_Check" dataDxfId="18">
      <calculatedColumnFormula>IF(AND(Audit_Data[[#This Row],[Recency]]&gt;=0,Audit_Data[[#This Row],[Recency]]&lt;=100),"Valid","Invalid")</calculatedColumnFormula>
    </tableColumn>
    <tableColumn id="39" xr3:uid="{74CF9565-21D1-43EC-8CC6-A4986969C898}" name="Product_Spending_Check" dataDxfId="17">
      <calculatedColumnFormula>IF(AND(ISNUMBER(J2),J2&gt;=0,ISNUMBER(K2),K2&gt;=0,ISNUMBER(L2),L2&gt;=0,ISNUMBER(M2),M2&gt;=0,ISNUMBER(N2),N2&gt;=0,ISNUMBER(O2),O2&gt;=0),"Valid","Invalid")</calculatedColumnFormula>
    </tableColumn>
    <tableColumn id="40" xr3:uid="{3EDEF776-C929-4B15-93BB-D528570903D3}" name="Purchase_Count_Validity_Check" dataDxfId="16">
      <calculatedColumnFormula>IF(AND(ISNUMBER(P2),P2&gt;=0,ISNUMBER(Q2),Q2&gt;=0,ISNUMBER(R2),R2&gt;=0,ISNUMBER(S2),S2&gt;=0,ISNUMBER(T2),T2&gt;=0),"Valid","Invalid")</calculatedColumnFormula>
    </tableColumn>
    <tableColumn id="41" xr3:uid="{A1E94063-93C5-4D24-B67F-F93251C78A68}" name="Campaign_Check" dataDxfId="15">
      <calculatedColumnFormula>IF(AND(U2&lt;=1,V2&lt;=1,W2&lt;=1,X2&lt;=1,Y2&lt;=1),"Valid","Invalid")</calculatedColumnFormula>
    </tableColumn>
    <tableColumn id="42" xr3:uid="{4AEEBC0E-4597-453F-8368-4930602540A2}" name="Complaint_Binary_Check" dataDxfId="14">
      <calculatedColumnFormula>IF(OR(Z2=0,Z2=1),"Valid","Invalid")</calculatedColumnFormula>
    </tableColumn>
    <tableColumn id="43" xr3:uid="{254BE1AB-4AE8-40E7-B9BE-D13996683FCD}" name="Z_CostContact_Constant_Check" dataDxfId="13">
      <calculatedColumnFormula>IF(Audit_Data[[#This Row],[Z_CostContact]]=3,"Valid","Invalid")</calculatedColumnFormula>
    </tableColumn>
    <tableColumn id="44" xr3:uid="{D51E094E-D917-4B5E-A374-37977B59AF36}" name="Z_Revenue_Constant_Check" dataDxfId="12">
      <calculatedColumnFormula>IF(AB2=11,"Valid","Invalid")</calculatedColumnFormula>
    </tableColumn>
    <tableColumn id="45" xr3:uid="{4521209E-2381-4929-995E-0FDB72F11A34}" name="Response_Binary_Check" dataDxfId="11">
      <calculatedColumnFormula>IF(OR(AC2=0,AC2=1),"Valid","Invalid")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4AFCA4-47F7-444B-B12D-FD5CCEEAF43A}" name="DQ_Rules" displayName="DQ_Rules" ref="A1:D30" totalsRowShown="0" dataDxfId="10">
  <autoFilter ref="A1:D30" xr:uid="{C24AFCA4-47F7-444B-B12D-FD5CCEEAF43A}"/>
  <tableColumns count="4">
    <tableColumn id="1" xr3:uid="{5B7A5933-E56E-4972-8CAB-CFAD2C04D71B}" name="Field_Name" dataDxfId="9"/>
    <tableColumn id="2" xr3:uid="{4A6213E6-D42A-425C-9C0A-45A25F2ABC29}" name="Data_Type" dataDxfId="8"/>
    <tableColumn id="3" xr3:uid="{B002A50C-5927-423E-B360-C89EC573257A}" name="Rule_Type" dataDxfId="7"/>
    <tableColumn id="4" xr3:uid="{B35F8805-7ADF-4258-99EC-F682E0944D99}" name="Rule_Description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57D4B-CC8B-4F83-943B-0987950183AD}" name="customer_data" displayName="customer_data" ref="A1:AC2241" totalsRowShown="0">
  <autoFilter ref="A1:AC2241" xr:uid="{F1D57D4B-CC8B-4F83-943B-0987950183AD}"/>
  <tableColumns count="29">
    <tableColumn id="1" xr3:uid="{B248A400-C880-4C1C-9E35-5FCA16399E86}" name="ID"/>
    <tableColumn id="2" xr3:uid="{B8E85A46-8060-4E86-B842-AC66E8BC5FBD}" name="Year_Birth"/>
    <tableColumn id="3" xr3:uid="{69341F6D-7D90-409A-81D2-5916BBE6E648}" name="Education"/>
    <tableColumn id="4" xr3:uid="{130FFD75-C815-4984-A7ED-C47944616D6B}" name="Marital_Status"/>
    <tableColumn id="5" xr3:uid="{FFC15EB0-0A22-4AAF-BDEA-D67A9078471C}" name="Income"/>
    <tableColumn id="6" xr3:uid="{F470341F-3631-45FA-B761-F675B43FB60D}" name="Kidhome"/>
    <tableColumn id="7" xr3:uid="{0CD7C0C8-1DF4-44EA-AC1D-7512192DB8DF}" name="Teenhome"/>
    <tableColumn id="8" xr3:uid="{EA47665C-BC9E-40BD-A7AB-C59BD10549BA}" name="Dt_Customer" dataDxfId="5"/>
    <tableColumn id="9" xr3:uid="{3DD71535-87AD-42B8-A78D-6F39AEE8FE60}" name="Recency"/>
    <tableColumn id="10" xr3:uid="{9ADDF8EF-636E-405B-AD58-D0506B1E22F2}" name="MntWines"/>
    <tableColumn id="11" xr3:uid="{0D0A21C6-83CC-4CC0-898E-A2C1B1DE109F}" name="MntFruits"/>
    <tableColumn id="12" xr3:uid="{D1982074-FAC8-4080-8233-0E9DA90CB1AF}" name="MntMeatProducts"/>
    <tableColumn id="13" xr3:uid="{848AF312-9E86-4E2F-A5A9-B390C7994A14}" name="MntFishProducts"/>
    <tableColumn id="14" xr3:uid="{55FC15DA-2413-4337-BFAB-73F0470DDB89}" name="MntSweetProducts"/>
    <tableColumn id="15" xr3:uid="{0DD78FD1-3C2E-48B9-A658-10B85EA926D3}" name="MntGoldProds"/>
    <tableColumn id="16" xr3:uid="{526EDD14-0F95-48F5-B436-8EADC3D40BE4}" name="NumDealsPurchases"/>
    <tableColumn id="17" xr3:uid="{67D8FAA9-5661-4C67-B706-A0DD743BC19F}" name="NumWebPurchases"/>
    <tableColumn id="18" xr3:uid="{08DC0B53-095B-4D60-B4EC-9AACFFADE208}" name="NumCatalogPurchases"/>
    <tableColumn id="19" xr3:uid="{D61A91AA-FAAF-4F41-A029-7A694E0D654A}" name="NumStorePurchases"/>
    <tableColumn id="20" xr3:uid="{C0FF0F2B-4027-4460-922B-1A75F83CDD4C}" name="NumWebVisitsMonth"/>
    <tableColumn id="21" xr3:uid="{0341F44C-065A-4DB1-8FC7-90FB13B7CCD9}" name="AcceptedCmp3"/>
    <tableColumn id="22" xr3:uid="{56D72259-C59C-4877-8E62-DD739B3544F8}" name="AcceptedCmp4"/>
    <tableColumn id="23" xr3:uid="{9A3DC8DB-7C3D-4C03-AC70-38BE78571AEB}" name="AcceptedCmp5"/>
    <tableColumn id="24" xr3:uid="{487CDA10-4710-4256-A0B9-7E324FBD18D5}" name="AcceptedCmp1"/>
    <tableColumn id="25" xr3:uid="{475EA802-CE9A-49AC-B1AA-B99FCB9007B8}" name="AcceptedCmp2"/>
    <tableColumn id="26" xr3:uid="{7C012272-C2FD-43FF-81D8-B77E4754CFCB}" name="Complain"/>
    <tableColumn id="27" xr3:uid="{888C972F-C220-4CA7-8373-9056354EB960}" name="Z_CostContact"/>
    <tableColumn id="28" xr3:uid="{A0D2C3AD-5FE1-498A-A57D-335AE385FB95}" name="Z_Revenue"/>
    <tableColumn id="29" xr3:uid="{9B351066-7931-4CEB-B580-E4F25BC72E98}" name="Respon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87E41-5C7B-4B88-B0AE-D69F2FD7ABF0}">
  <sheetPr>
    <tabColor theme="9" tint="0.39997558519241921"/>
  </sheetPr>
  <dimension ref="B1:G27"/>
  <sheetViews>
    <sheetView showGridLines="0" tabSelected="1" zoomScaleNormal="100" workbookViewId="0">
      <selection activeCell="J48" sqref="J48"/>
    </sheetView>
  </sheetViews>
  <sheetFormatPr defaultRowHeight="14.4" x14ac:dyDescent="0.3"/>
  <cols>
    <col min="1" max="1" width="5.77734375" style="16" customWidth="1"/>
    <col min="2" max="16384" width="8.88671875" style="16"/>
  </cols>
  <sheetData>
    <row r="1" spans="2:7" ht="19.95" customHeight="1" x14ac:dyDescent="0.3"/>
    <row r="16" spans="2:7" ht="15" customHeight="1" x14ac:dyDescent="0.3">
      <c r="B16" s="31" t="s">
        <v>109</v>
      </c>
      <c r="C16" s="32"/>
      <c r="D16" s="32"/>
      <c r="E16" s="32"/>
      <c r="F16" s="32"/>
      <c r="G16" s="32"/>
    </row>
    <row r="17" spans="2:7" x14ac:dyDescent="0.3">
      <c r="B17" s="32"/>
      <c r="C17" s="32"/>
      <c r="D17" s="32"/>
      <c r="E17" s="32"/>
      <c r="F17" s="32"/>
      <c r="G17" s="32"/>
    </row>
    <row r="18" spans="2:7" ht="15" x14ac:dyDescent="0.35">
      <c r="B18" s="33" t="s">
        <v>107</v>
      </c>
      <c r="C18" s="35"/>
      <c r="D18" s="35"/>
      <c r="E18" s="34"/>
      <c r="F18" s="33" t="s">
        <v>108</v>
      </c>
      <c r="G18" s="34"/>
    </row>
    <row r="19" spans="2:7" x14ac:dyDescent="0.3">
      <c r="B19" s="36" t="s">
        <v>86</v>
      </c>
      <c r="C19" s="42"/>
      <c r="D19" s="42"/>
      <c r="E19" s="37"/>
      <c r="F19" s="36">
        <f>Summary!B9</f>
        <v>2</v>
      </c>
      <c r="G19" s="37"/>
    </row>
    <row r="20" spans="2:7" x14ac:dyDescent="0.3">
      <c r="B20" s="38"/>
      <c r="C20" s="43"/>
      <c r="D20" s="43"/>
      <c r="E20" s="39"/>
      <c r="F20" s="38"/>
      <c r="G20" s="39"/>
    </row>
    <row r="21" spans="2:7" x14ac:dyDescent="0.3">
      <c r="B21" s="40"/>
      <c r="C21" s="44"/>
      <c r="D21" s="44"/>
      <c r="E21" s="41"/>
      <c r="F21" s="40"/>
      <c r="G21" s="41"/>
    </row>
    <row r="22" spans="2:7" x14ac:dyDescent="0.3">
      <c r="B22" s="36" t="s">
        <v>88</v>
      </c>
      <c r="C22" s="42"/>
      <c r="D22" s="42"/>
      <c r="E22" s="37"/>
      <c r="F22" s="36">
        <f>Summary!B11</f>
        <v>4</v>
      </c>
      <c r="G22" s="37"/>
    </row>
    <row r="23" spans="2:7" x14ac:dyDescent="0.3">
      <c r="B23" s="38"/>
      <c r="C23" s="43"/>
      <c r="D23" s="43"/>
      <c r="E23" s="39"/>
      <c r="F23" s="38"/>
      <c r="G23" s="39"/>
    </row>
    <row r="24" spans="2:7" x14ac:dyDescent="0.3">
      <c r="B24" s="40"/>
      <c r="C24" s="44"/>
      <c r="D24" s="44"/>
      <c r="E24" s="41"/>
      <c r="F24" s="40"/>
      <c r="G24" s="41"/>
    </row>
    <row r="25" spans="2:7" x14ac:dyDescent="0.3">
      <c r="B25" s="36" t="s">
        <v>89</v>
      </c>
      <c r="C25" s="42"/>
      <c r="D25" s="42"/>
      <c r="E25" s="37"/>
      <c r="F25" s="36">
        <f>Summary!B12</f>
        <v>24</v>
      </c>
      <c r="G25" s="37"/>
    </row>
    <row r="26" spans="2:7" x14ac:dyDescent="0.3">
      <c r="B26" s="38"/>
      <c r="C26" s="43"/>
      <c r="D26" s="43"/>
      <c r="E26" s="39"/>
      <c r="F26" s="38"/>
      <c r="G26" s="39"/>
    </row>
    <row r="27" spans="2:7" x14ac:dyDescent="0.3">
      <c r="B27" s="40"/>
      <c r="C27" s="44"/>
      <c r="D27" s="44"/>
      <c r="E27" s="41"/>
      <c r="F27" s="40"/>
      <c r="G27" s="41"/>
    </row>
  </sheetData>
  <sheetProtection selectLockedCells="1" selectUnlockedCells="1"/>
  <mergeCells count="9">
    <mergeCell ref="B16:G17"/>
    <mergeCell ref="F18:G18"/>
    <mergeCell ref="B18:E18"/>
    <mergeCell ref="F25:G27"/>
    <mergeCell ref="B25:E27"/>
    <mergeCell ref="F22:G24"/>
    <mergeCell ref="B22:E24"/>
    <mergeCell ref="F19:G21"/>
    <mergeCell ref="B19:E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A1241-1925-439D-9114-F3BA2C362E31}">
  <sheetPr>
    <tabColor theme="4" tint="0.39997558519241921"/>
  </sheetPr>
  <dimension ref="A1:R30"/>
  <sheetViews>
    <sheetView showGridLines="0" topLeftCell="A5" zoomScaleNormal="100" workbookViewId="0">
      <selection sqref="A1:G1"/>
    </sheetView>
  </sheetViews>
  <sheetFormatPr defaultRowHeight="14.4" x14ac:dyDescent="0.3"/>
  <cols>
    <col min="1" max="1" width="23.21875" customWidth="1"/>
    <col min="2" max="2" width="26.44140625" customWidth="1"/>
    <col min="3" max="3" width="15.21875" customWidth="1"/>
    <col min="7" max="7" width="9" customWidth="1"/>
    <col min="8" max="8" width="12.44140625" customWidth="1"/>
    <col min="17" max="17" width="35.77734375" customWidth="1"/>
    <col min="18" max="18" width="12.77734375" customWidth="1"/>
  </cols>
  <sheetData>
    <row r="1" spans="1:18" ht="21" x14ac:dyDescent="0.3">
      <c r="A1" s="50" t="s">
        <v>102</v>
      </c>
      <c r="B1" s="50"/>
      <c r="C1" s="50"/>
      <c r="D1" s="50"/>
      <c r="E1" s="50"/>
      <c r="F1" s="50"/>
      <c r="G1" s="50"/>
    </row>
    <row r="2" spans="1:18" ht="18" x14ac:dyDescent="0.35">
      <c r="A2" s="45" t="s">
        <v>103</v>
      </c>
      <c r="B2" s="45"/>
    </row>
    <row r="3" spans="1:18" ht="15.6" x14ac:dyDescent="0.3">
      <c r="A3" s="6" t="s">
        <v>82</v>
      </c>
      <c r="B3" s="10" t="s">
        <v>83</v>
      </c>
    </row>
    <row r="4" spans="1:18" x14ac:dyDescent="0.3">
      <c r="A4" s="4" t="s">
        <v>84</v>
      </c>
      <c r="B4" s="13">
        <f>COUNTA(Data_Audit!A:A)-1</f>
        <v>2240</v>
      </c>
    </row>
    <row r="5" spans="1:18" x14ac:dyDescent="0.3">
      <c r="A5" s="11"/>
      <c r="B5" s="11"/>
    </row>
    <row r="6" spans="1:18" ht="18" x14ac:dyDescent="0.35">
      <c r="A6" s="48" t="s">
        <v>104</v>
      </c>
      <c r="B6" s="49"/>
      <c r="C6" s="49"/>
    </row>
    <row r="7" spans="1:18" ht="15.6" x14ac:dyDescent="0.3">
      <c r="A7" s="22" t="s">
        <v>82</v>
      </c>
      <c r="B7" s="9" t="s">
        <v>83</v>
      </c>
      <c r="C7" s="9" t="s">
        <v>110</v>
      </c>
    </row>
    <row r="8" spans="1:18" x14ac:dyDescent="0.3">
      <c r="A8" s="23" t="s">
        <v>85</v>
      </c>
      <c r="B8" s="19">
        <f>COUNTIF(Data_Audit!AD:AD,"Duplicate")</f>
        <v>0</v>
      </c>
      <c r="C8" s="20">
        <f>$B8/$B$4</f>
        <v>0</v>
      </c>
    </row>
    <row r="9" spans="1:18" x14ac:dyDescent="0.3">
      <c r="A9" s="24" t="s">
        <v>86</v>
      </c>
      <c r="B9" s="25">
        <f>COUNTIF(Data_Audit!AE:AE,"Invalid")</f>
        <v>2</v>
      </c>
      <c r="C9" s="26">
        <f>$B9/$B$4</f>
        <v>8.9285714285714283E-4</v>
      </c>
    </row>
    <row r="10" spans="1:18" ht="14.4" customHeight="1" x14ac:dyDescent="0.3">
      <c r="A10" s="23" t="s">
        <v>87</v>
      </c>
      <c r="B10" s="19">
        <f>COUNTIF(Data_Audit!AF:AF,"Invalid")</f>
        <v>0</v>
      </c>
      <c r="C10" s="20">
        <f t="shared" ref="C10:C23" si="0">$B10/$B$4</f>
        <v>0</v>
      </c>
    </row>
    <row r="11" spans="1:18" ht="14.4" customHeight="1" x14ac:dyDescent="0.3">
      <c r="A11" s="24" t="s">
        <v>88</v>
      </c>
      <c r="B11" s="25">
        <f>COUNTIF(Data_Audit!AG:AG,"Invalid")</f>
        <v>4</v>
      </c>
      <c r="C11" s="26">
        <f t="shared" si="0"/>
        <v>1.7857142857142857E-3</v>
      </c>
      <c r="Q11" s="27"/>
      <c r="R11" s="28"/>
    </row>
    <row r="12" spans="1:18" ht="14.4" customHeight="1" x14ac:dyDescent="0.3">
      <c r="A12" s="23" t="s">
        <v>89</v>
      </c>
      <c r="B12" s="25">
        <f>COUNTIF(Data_Audit!AH:AH,"Invalid")</f>
        <v>24</v>
      </c>
      <c r="C12" s="26">
        <f t="shared" si="0"/>
        <v>1.0714285714285714E-2</v>
      </c>
      <c r="Q12" s="29"/>
      <c r="R12" s="30"/>
    </row>
    <row r="13" spans="1:18" ht="14.4" customHeight="1" x14ac:dyDescent="0.3">
      <c r="A13" s="24" t="s">
        <v>91</v>
      </c>
      <c r="B13" s="12">
        <f>COUNTIF(Data_Audit!AI:AI,"Invalid")</f>
        <v>0</v>
      </c>
      <c r="C13" s="21">
        <f t="shared" si="0"/>
        <v>0</v>
      </c>
      <c r="Q13" s="17"/>
      <c r="R13" s="18"/>
    </row>
    <row r="14" spans="1:18" x14ac:dyDescent="0.3">
      <c r="A14" s="23" t="s">
        <v>92</v>
      </c>
      <c r="B14" s="19">
        <f>COUNTIF(Data_Audit!AJ:AJ,"Invalid")</f>
        <v>0</v>
      </c>
      <c r="C14" s="20">
        <f t="shared" si="0"/>
        <v>0</v>
      </c>
    </row>
    <row r="15" spans="1:18" x14ac:dyDescent="0.3">
      <c r="A15" s="24" t="s">
        <v>90</v>
      </c>
      <c r="B15" s="12">
        <f>COUNTIF(Data_Audit!AK:AK,"Invalid")</f>
        <v>0</v>
      </c>
      <c r="C15" s="21">
        <f t="shared" si="0"/>
        <v>0</v>
      </c>
    </row>
    <row r="16" spans="1:18" x14ac:dyDescent="0.3">
      <c r="A16" s="23" t="s">
        <v>93</v>
      </c>
      <c r="B16" s="19">
        <f>COUNTIF(Data_Audit!AL:AL,"Invalid")</f>
        <v>0</v>
      </c>
      <c r="C16" s="20">
        <f t="shared" si="0"/>
        <v>0</v>
      </c>
    </row>
    <row r="17" spans="1:8" x14ac:dyDescent="0.3">
      <c r="A17" s="24" t="s">
        <v>106</v>
      </c>
      <c r="B17" s="12">
        <f>COUNTIF(Data_Audit!AM:AM,"Invalid")</f>
        <v>0</v>
      </c>
      <c r="C17" s="21">
        <f t="shared" si="0"/>
        <v>0</v>
      </c>
    </row>
    <row r="18" spans="1:8" x14ac:dyDescent="0.3">
      <c r="A18" s="23" t="s">
        <v>94</v>
      </c>
      <c r="B18" s="19">
        <f>COUNTIF(Data_Audit!AN:AN,"Invalid")</f>
        <v>0</v>
      </c>
      <c r="C18" s="20">
        <f t="shared" si="0"/>
        <v>0</v>
      </c>
    </row>
    <row r="19" spans="1:8" x14ac:dyDescent="0.3">
      <c r="A19" s="24" t="s">
        <v>95</v>
      </c>
      <c r="B19" s="12">
        <f>COUNTIF(Data_Audit!AO:AO,"Invalid")</f>
        <v>0</v>
      </c>
      <c r="C19" s="21">
        <f t="shared" si="0"/>
        <v>0</v>
      </c>
    </row>
    <row r="20" spans="1:8" x14ac:dyDescent="0.3">
      <c r="A20" s="23" t="s">
        <v>96</v>
      </c>
      <c r="B20" s="19">
        <f>COUNTIF(Data_Audit!AP:AP,"Invalid")</f>
        <v>0</v>
      </c>
      <c r="C20" s="20">
        <f t="shared" si="0"/>
        <v>0</v>
      </c>
    </row>
    <row r="21" spans="1:8" x14ac:dyDescent="0.3">
      <c r="A21" s="24" t="s">
        <v>97</v>
      </c>
      <c r="B21" s="12">
        <f>COUNTIF(Data_Audit!AQ:AQ,"Invalid")</f>
        <v>0</v>
      </c>
      <c r="C21" s="21">
        <f t="shared" si="0"/>
        <v>0</v>
      </c>
    </row>
    <row r="22" spans="1:8" x14ac:dyDescent="0.3">
      <c r="A22" s="23" t="s">
        <v>98</v>
      </c>
      <c r="B22" s="19">
        <f>COUNTIF(Data_Audit!AR:AR,"Invalid")</f>
        <v>0</v>
      </c>
      <c r="C22" s="20">
        <f t="shared" si="0"/>
        <v>0</v>
      </c>
    </row>
    <row r="23" spans="1:8" x14ac:dyDescent="0.3">
      <c r="A23" s="24" t="s">
        <v>99</v>
      </c>
      <c r="B23" s="12">
        <f>COUNTIF(Data_Audit!AS:AS,"Invalid")</f>
        <v>0</v>
      </c>
      <c r="C23" s="21">
        <f t="shared" si="0"/>
        <v>0</v>
      </c>
    </row>
    <row r="24" spans="1:8" x14ac:dyDescent="0.3">
      <c r="A24" s="11"/>
      <c r="B24" s="11"/>
    </row>
    <row r="25" spans="1:8" ht="18" x14ac:dyDescent="0.35">
      <c r="A25" s="46" t="s">
        <v>105</v>
      </c>
      <c r="B25" s="47"/>
    </row>
    <row r="26" spans="1:8" ht="15.6" x14ac:dyDescent="0.3">
      <c r="A26" s="5" t="s">
        <v>82</v>
      </c>
      <c r="B26" s="9" t="s">
        <v>83</v>
      </c>
    </row>
    <row r="27" spans="1:8" x14ac:dyDescent="0.3">
      <c r="A27" s="8" t="s">
        <v>100</v>
      </c>
      <c r="B27" s="14">
        <f>SUM(B8:B23)</f>
        <v>30</v>
      </c>
    </row>
    <row r="28" spans="1:8" x14ac:dyDescent="0.3">
      <c r="A28" s="7" t="s">
        <v>101</v>
      </c>
      <c r="B28" s="15">
        <f>1-(B27/B4)</f>
        <v>0.9866071428571429</v>
      </c>
    </row>
    <row r="30" spans="1:8" x14ac:dyDescent="0.3">
      <c r="H30" s="3"/>
    </row>
  </sheetData>
  <sheetProtection sheet="1" objects="1" scenarios="1" selectLockedCells="1" selectUnlockedCells="1"/>
  <dataConsolidate/>
  <mergeCells count="4">
    <mergeCell ref="A2:B2"/>
    <mergeCell ref="A25:B25"/>
    <mergeCell ref="A6:C6"/>
    <mergeCell ref="A1:G1"/>
  </mergeCells>
  <conditionalFormatting sqref="B8:C23">
    <cfRule type="expression" dxfId="4" priority="1">
      <formula>"$B7&gt;0"</formula>
    </cfRule>
    <cfRule type="cellIs" dxfId="3" priority="3" operator="equal">
      <formula>0</formula>
    </cfRule>
  </conditionalFormatting>
  <conditionalFormatting sqref="B8:C24">
    <cfRule type="cellIs" dxfId="2" priority="2" operator="equal">
      <formula>0</formula>
    </cfRule>
  </conditionalFormatting>
  <conditionalFormatting sqref="C8:C23">
    <cfRule type="cellIs" dxfId="1" priority="6" operator="equal">
      <formula>0</formula>
    </cfRule>
  </conditionalFormatting>
  <pageMargins left="0.7" right="0.7" top="0.75" bottom="0.75" header="0.3" footer="0.3"/>
  <pageSetup orientation="portrait" r:id="rId1"/>
  <ignoredErrors>
    <ignoredError sqref="B28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C683-A6D1-41D2-8349-5CFF6511148A}">
  <sheetPr>
    <tabColor theme="2" tint="-0.249977111117893"/>
  </sheetPr>
  <dimension ref="A1:AS2241"/>
  <sheetViews>
    <sheetView topLeftCell="AE1" zoomScaleNormal="10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6.5546875" bestFit="1" customWidth="1"/>
    <col min="2" max="2" width="12.5546875" bestFit="1" customWidth="1"/>
    <col min="3" max="3" width="11.77734375" bestFit="1" customWidth="1"/>
    <col min="4" max="4" width="15.88671875" bestFit="1" customWidth="1"/>
    <col min="5" max="5" width="9.88671875" bestFit="1" customWidth="1"/>
    <col min="6" max="6" width="11.109375" bestFit="1" customWidth="1"/>
    <col min="7" max="7" width="12.6640625" bestFit="1" customWidth="1"/>
    <col min="8" max="8" width="14.88671875" bestFit="1" customWidth="1"/>
    <col min="9" max="9" width="10.6640625" bestFit="1" customWidth="1"/>
    <col min="10" max="10" width="12.44140625" bestFit="1" customWidth="1"/>
    <col min="11" max="11" width="12" bestFit="1" customWidth="1"/>
    <col min="12" max="12" width="19.33203125" bestFit="1" customWidth="1"/>
    <col min="13" max="13" width="18.109375" bestFit="1" customWidth="1"/>
    <col min="14" max="14" width="20.109375" bestFit="1" customWidth="1"/>
    <col min="15" max="15" width="15.88671875" bestFit="1" customWidth="1"/>
    <col min="16" max="16" width="21.109375" bestFit="1" customWidth="1"/>
    <col min="17" max="17" width="20.33203125" bestFit="1" customWidth="1"/>
    <col min="18" max="18" width="22.6640625" bestFit="1" customWidth="1"/>
    <col min="19" max="19" width="20.88671875" bestFit="1" customWidth="1"/>
    <col min="20" max="20" width="22.21875" bestFit="1" customWidth="1"/>
    <col min="21" max="25" width="16.44140625" bestFit="1" customWidth="1"/>
    <col min="26" max="26" width="11.44140625" bestFit="1" customWidth="1"/>
    <col min="27" max="27" width="15.6640625" bestFit="1" customWidth="1"/>
    <col min="28" max="28" width="13" bestFit="1" customWidth="1"/>
    <col min="29" max="29" width="11.77734375" bestFit="1" customWidth="1"/>
    <col min="30" max="30" width="20.6640625" bestFit="1" customWidth="1"/>
    <col min="31" max="31" width="18.6640625" bestFit="1" customWidth="1"/>
    <col min="32" max="32" width="27.33203125" customWidth="1"/>
    <col min="33" max="33" width="22.21875" bestFit="1" customWidth="1"/>
    <col min="34" max="34" width="23.5546875" bestFit="1" customWidth="1"/>
    <col min="35" max="35" width="23.6640625" bestFit="1" customWidth="1"/>
    <col min="36" max="36" width="25.21875" bestFit="1" customWidth="1"/>
    <col min="37" max="37" width="30.77734375" bestFit="1" customWidth="1"/>
    <col min="38" max="38" width="23.21875" bestFit="1" customWidth="1"/>
    <col min="39" max="39" width="25.21875" bestFit="1" customWidth="1"/>
    <col min="40" max="40" width="31.109375" bestFit="1" customWidth="1"/>
    <col min="41" max="41" width="18" bestFit="1" customWidth="1"/>
    <col min="42" max="42" width="24.88671875" bestFit="1" customWidth="1"/>
    <col min="43" max="43" width="30.77734375" bestFit="1" customWidth="1"/>
    <col min="44" max="44" width="28" bestFit="1" customWidth="1"/>
    <col min="45" max="45" width="24.5546875" bestFit="1" customWidth="1"/>
  </cols>
  <sheetData>
    <row r="1" spans="1:4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66</v>
      </c>
      <c r="AE1" t="s">
        <v>67</v>
      </c>
      <c r="AF1" t="s">
        <v>68</v>
      </c>
      <c r="AG1" t="s">
        <v>69</v>
      </c>
      <c r="AH1" t="s">
        <v>70</v>
      </c>
      <c r="AI1" t="s">
        <v>71</v>
      </c>
      <c r="AJ1" t="s">
        <v>72</v>
      </c>
      <c r="AK1" t="s">
        <v>73</v>
      </c>
      <c r="AL1" t="s">
        <v>74</v>
      </c>
      <c r="AM1" t="s">
        <v>75</v>
      </c>
      <c r="AN1" t="s">
        <v>76</v>
      </c>
      <c r="AO1" t="s">
        <v>77</v>
      </c>
      <c r="AP1" t="s">
        <v>78</v>
      </c>
      <c r="AQ1" t="s">
        <v>79</v>
      </c>
      <c r="AR1" t="s">
        <v>80</v>
      </c>
      <c r="AS1" t="s">
        <v>81</v>
      </c>
    </row>
    <row r="2" spans="1:45" x14ac:dyDescent="0.3">
      <c r="A2">
        <v>5524</v>
      </c>
      <c r="B2">
        <v>1957</v>
      </c>
      <c r="C2" t="s">
        <v>29</v>
      </c>
      <c r="D2" t="s">
        <v>30</v>
      </c>
      <c r="E2">
        <v>58138</v>
      </c>
      <c r="F2">
        <v>0</v>
      </c>
      <c r="G2">
        <v>0</v>
      </c>
      <c r="H2" s="1">
        <v>41156</v>
      </c>
      <c r="I2">
        <v>58</v>
      </c>
      <c r="J2">
        <v>635</v>
      </c>
      <c r="K2">
        <v>88</v>
      </c>
      <c r="L2">
        <v>546</v>
      </c>
      <c r="M2">
        <v>172</v>
      </c>
      <c r="N2">
        <v>88</v>
      </c>
      <c r="O2">
        <v>88</v>
      </c>
      <c r="P2">
        <v>3</v>
      </c>
      <c r="Q2">
        <v>8</v>
      </c>
      <c r="R2">
        <v>10</v>
      </c>
      <c r="S2">
        <v>4</v>
      </c>
      <c r="T2">
        <v>7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3</v>
      </c>
      <c r="AB2">
        <v>11</v>
      </c>
      <c r="AC2">
        <v>1</v>
      </c>
      <c r="AD2" t="str">
        <f>IF(COUNTIF(A:A,A2)&gt;1,"Duplicate","Ok")</f>
        <v>Ok</v>
      </c>
      <c r="AE2" t="str">
        <f>IF(AND(Audit_Data[[#This Row],[Year_Birth]]&gt;=1900,Audit_Data[[#This Row],[Year_Birth]]&lt;=2010),"OK","Invalid")</f>
        <v>OK</v>
      </c>
      <c r="AF2" t="str">
        <f t="shared" ref="AF2:AF65" si="0">IF(OR(C2="Graduation",C2="phD",C2="Master",C2="Basic",C2="2n Cycle"),"Valid","Invalid")</f>
        <v>Valid</v>
      </c>
      <c r="AG2" t="str">
        <f t="shared" ref="AG2:AG65" si="1">IF(OR(D2="Single",D2="Married",D2="Divorced",D2="Together",D2="Widow",D2="Alone"),"Valid","Invalid")</f>
        <v>Valid</v>
      </c>
      <c r="AH2" t="str">
        <f t="shared" ref="AH2:AH65" si="2">IF(AND(ISNUMBER(E2),E2&lt;&gt;""),"Valid","Invalid")</f>
        <v>Valid</v>
      </c>
      <c r="AI2" t="str">
        <f>IF(AND(F2&gt;=0,F2&lt;=2),"Valid","Invalid")</f>
        <v>Valid</v>
      </c>
      <c r="AJ2" t="str">
        <f>IF(AND(G2&gt;=0,G2&lt;=2),"Valid","Invalid")</f>
        <v>Valid</v>
      </c>
      <c r="AK2" t="str">
        <f>IF(AND(ISNUMBER(H2),H2&gt;=DATE(2012,1,1),H2&lt;=DATE(2014,12,31)),"Valid ","Invalid")</f>
        <v xml:space="preserve">Valid </v>
      </c>
      <c r="AL2" t="str">
        <f>IF(AND(Audit_Data[[#This Row],[Recency]]&gt;=0,Audit_Data[[#This Row],[Recency]]&lt;=100),"Valid","Invalid")</f>
        <v>Valid</v>
      </c>
      <c r="AM2" t="str">
        <f t="shared" ref="AM2:AM65" si="3">IF(AND(ISNUMBER(J2),J2&gt;=0,ISNUMBER(K2),K2&gt;=0,ISNUMBER(L2),L2&gt;=0,ISNUMBER(M2),M2&gt;=0,ISNUMBER(N2),N2&gt;=0,ISNUMBER(O2),O2&gt;=0),"Valid","Invalid")</f>
        <v>Valid</v>
      </c>
      <c r="AN2" t="str">
        <f t="shared" ref="AN2:AN65" si="4">IF(AND(ISNUMBER(P2),P2&gt;=0,ISNUMBER(Q2),Q2&gt;=0,ISNUMBER(R2),R2&gt;=0,ISNUMBER(S2),S2&gt;=0,ISNUMBER(T2),T2&gt;=0),"Valid","Invalid")</f>
        <v>Valid</v>
      </c>
      <c r="AO2" t="str">
        <f t="shared" ref="AO2:AO65" si="5">IF(AND(U2&lt;=1,V2&lt;=1,W2&lt;=1,X2&lt;=1,Y2&lt;=1),"Valid","Invalid")</f>
        <v>Valid</v>
      </c>
      <c r="AP2" t="str">
        <f>IF(OR(Z2=0,Z2=1),"Valid","Invalid")</f>
        <v>Valid</v>
      </c>
      <c r="AQ2" t="str">
        <f>IF(Audit_Data[[#This Row],[Z_CostContact]]=3,"Valid","Invalid")</f>
        <v>Valid</v>
      </c>
      <c r="AR2" t="str">
        <f t="shared" ref="AR2:AR65" si="6">IF(AB2=11,"Valid","Invalid")</f>
        <v>Valid</v>
      </c>
      <c r="AS2" t="str">
        <f t="shared" ref="AS2:AS65" si="7">IF(OR(AC2=0,AC2=1),"Valid","Invalid")</f>
        <v>Valid</v>
      </c>
    </row>
    <row r="3" spans="1:45" x14ac:dyDescent="0.3">
      <c r="A3">
        <v>2174</v>
      </c>
      <c r="B3">
        <v>1954</v>
      </c>
      <c r="C3" t="s">
        <v>29</v>
      </c>
      <c r="D3" t="s">
        <v>30</v>
      </c>
      <c r="E3">
        <v>46344</v>
      </c>
      <c r="F3">
        <v>1</v>
      </c>
      <c r="G3">
        <v>1</v>
      </c>
      <c r="H3" s="1">
        <v>41706</v>
      </c>
      <c r="I3">
        <v>38</v>
      </c>
      <c r="J3">
        <v>11</v>
      </c>
      <c r="K3">
        <v>1</v>
      </c>
      <c r="L3">
        <v>6</v>
      </c>
      <c r="M3">
        <v>2</v>
      </c>
      <c r="N3">
        <v>1</v>
      </c>
      <c r="O3">
        <v>6</v>
      </c>
      <c r="P3">
        <v>2</v>
      </c>
      <c r="Q3">
        <v>1</v>
      </c>
      <c r="R3">
        <v>1</v>
      </c>
      <c r="S3">
        <v>2</v>
      </c>
      <c r="T3">
        <v>5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3</v>
      </c>
      <c r="AB3">
        <v>11</v>
      </c>
      <c r="AC3">
        <v>0</v>
      </c>
      <c r="AD3" t="str">
        <f t="shared" ref="AD3:AD65" si="8">IF(COUNTIF(A:A,A3)&gt;1,"Duplicate","Ok")</f>
        <v>Ok</v>
      </c>
      <c r="AE3" t="str">
        <f>IF(AND(Audit_Data[[#This Row],[Year_Birth]]&gt;=1900,Audit_Data[[#This Row],[Year_Birth]]&lt;=2010),"OK","Invalid")</f>
        <v>OK</v>
      </c>
      <c r="AF3" t="str">
        <f t="shared" si="0"/>
        <v>Valid</v>
      </c>
      <c r="AG3" t="str">
        <f t="shared" si="1"/>
        <v>Valid</v>
      </c>
      <c r="AH3" t="str">
        <f t="shared" si="2"/>
        <v>Valid</v>
      </c>
      <c r="AI3" t="str">
        <f t="shared" ref="AI3:AI65" si="9">IF(AND(F3&gt;=0,F3&lt;=2),"Valid","Invalid")</f>
        <v>Valid</v>
      </c>
      <c r="AJ3" t="str">
        <f t="shared" ref="AJ3:AJ65" si="10">IF(AND(G3&gt;=0,G3&lt;=2),"Valid","Invalid")</f>
        <v>Valid</v>
      </c>
      <c r="AK3" t="str">
        <f t="shared" ref="AK3:AK66" si="11">IF(AND(ISNUMBER(H3),H3&gt;=DATE(2012,1,1),H3&lt;=DATE(2014,12,31)),"Valid ","Invalid")</f>
        <v xml:space="preserve">Valid </v>
      </c>
      <c r="AL3" t="str">
        <f>IF(AND(Audit_Data[[#This Row],[Recency]]&gt;=0,Audit_Data[[#This Row],[Recency]]&lt;=100),"Valid","Invalid")</f>
        <v>Valid</v>
      </c>
      <c r="AM3" t="str">
        <f t="shared" si="3"/>
        <v>Valid</v>
      </c>
      <c r="AN3" t="str">
        <f t="shared" si="4"/>
        <v>Valid</v>
      </c>
      <c r="AO3" t="str">
        <f t="shared" si="5"/>
        <v>Valid</v>
      </c>
      <c r="AP3" t="str">
        <f t="shared" ref="AP3:AP65" si="12">IF(OR(Z3=0,Z3=1),"Valid","Invalid")</f>
        <v>Valid</v>
      </c>
      <c r="AQ3" t="str">
        <f>IF(Audit_Data[[#This Row],[Z_CostContact]]=3,"Valid","Invalid")</f>
        <v>Valid</v>
      </c>
      <c r="AR3" t="str">
        <f t="shared" si="6"/>
        <v>Valid</v>
      </c>
      <c r="AS3" t="str">
        <f t="shared" si="7"/>
        <v>Valid</v>
      </c>
    </row>
    <row r="4" spans="1:45" x14ac:dyDescent="0.3">
      <c r="A4">
        <v>4141</v>
      </c>
      <c r="B4">
        <v>1965</v>
      </c>
      <c r="C4" t="s">
        <v>29</v>
      </c>
      <c r="D4" t="s">
        <v>31</v>
      </c>
      <c r="E4">
        <v>71613</v>
      </c>
      <c r="F4">
        <v>0</v>
      </c>
      <c r="G4">
        <v>0</v>
      </c>
      <c r="H4" s="1">
        <v>41507</v>
      </c>
      <c r="I4">
        <v>26</v>
      </c>
      <c r="J4">
        <v>426</v>
      </c>
      <c r="K4">
        <v>49</v>
      </c>
      <c r="L4">
        <v>127</v>
      </c>
      <c r="M4">
        <v>111</v>
      </c>
      <c r="N4">
        <v>21</v>
      </c>
      <c r="O4">
        <v>42</v>
      </c>
      <c r="P4">
        <v>1</v>
      </c>
      <c r="Q4">
        <v>8</v>
      </c>
      <c r="R4">
        <v>2</v>
      </c>
      <c r="S4">
        <v>10</v>
      </c>
      <c r="T4">
        <v>4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3</v>
      </c>
      <c r="AB4">
        <v>11</v>
      </c>
      <c r="AC4">
        <v>0</v>
      </c>
      <c r="AD4" t="str">
        <f t="shared" si="8"/>
        <v>Ok</v>
      </c>
      <c r="AE4" t="str">
        <f>IF(AND(Audit_Data[[#This Row],[Year_Birth]]&gt;=1900,Audit_Data[[#This Row],[Year_Birth]]&lt;=2010),"OK","Invalid")</f>
        <v>OK</v>
      </c>
      <c r="AF4" t="str">
        <f t="shared" si="0"/>
        <v>Valid</v>
      </c>
      <c r="AG4" t="str">
        <f t="shared" si="1"/>
        <v>Valid</v>
      </c>
      <c r="AH4" t="str">
        <f t="shared" si="2"/>
        <v>Valid</v>
      </c>
      <c r="AI4" t="str">
        <f t="shared" si="9"/>
        <v>Valid</v>
      </c>
      <c r="AJ4" t="str">
        <f t="shared" si="10"/>
        <v>Valid</v>
      </c>
      <c r="AK4" t="str">
        <f t="shared" si="11"/>
        <v xml:space="preserve">Valid </v>
      </c>
      <c r="AL4" t="str">
        <f>IF(AND(Audit_Data[[#This Row],[Recency]]&gt;=0,Audit_Data[[#This Row],[Recency]]&lt;=100),"Valid","Invalid")</f>
        <v>Valid</v>
      </c>
      <c r="AM4" t="str">
        <f t="shared" si="3"/>
        <v>Valid</v>
      </c>
      <c r="AN4" t="str">
        <f t="shared" si="4"/>
        <v>Valid</v>
      </c>
      <c r="AO4" t="str">
        <f t="shared" si="5"/>
        <v>Valid</v>
      </c>
      <c r="AP4" t="str">
        <f t="shared" si="12"/>
        <v>Valid</v>
      </c>
      <c r="AQ4" t="str">
        <f>IF(Audit_Data[[#This Row],[Z_CostContact]]=3,"Valid","Invalid")</f>
        <v>Valid</v>
      </c>
      <c r="AR4" t="str">
        <f t="shared" si="6"/>
        <v>Valid</v>
      </c>
      <c r="AS4" t="str">
        <f t="shared" si="7"/>
        <v>Valid</v>
      </c>
    </row>
    <row r="5" spans="1:45" x14ac:dyDescent="0.3">
      <c r="A5">
        <v>6182</v>
      </c>
      <c r="B5">
        <v>1984</v>
      </c>
      <c r="C5" t="s">
        <v>29</v>
      </c>
      <c r="D5" t="s">
        <v>31</v>
      </c>
      <c r="E5">
        <v>26646</v>
      </c>
      <c r="F5">
        <v>1</v>
      </c>
      <c r="G5">
        <v>0</v>
      </c>
      <c r="H5" s="1">
        <v>41680</v>
      </c>
      <c r="I5">
        <v>26</v>
      </c>
      <c r="J5">
        <v>11</v>
      </c>
      <c r="K5">
        <v>4</v>
      </c>
      <c r="L5">
        <v>20</v>
      </c>
      <c r="M5">
        <v>10</v>
      </c>
      <c r="N5">
        <v>3</v>
      </c>
      <c r="O5">
        <v>5</v>
      </c>
      <c r="P5">
        <v>2</v>
      </c>
      <c r="Q5">
        <v>2</v>
      </c>
      <c r="R5">
        <v>0</v>
      </c>
      <c r="S5">
        <v>4</v>
      </c>
      <c r="T5">
        <v>6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3</v>
      </c>
      <c r="AB5">
        <v>11</v>
      </c>
      <c r="AC5">
        <v>0</v>
      </c>
      <c r="AD5" t="str">
        <f t="shared" si="8"/>
        <v>Ok</v>
      </c>
      <c r="AE5" t="str">
        <f>IF(AND(Audit_Data[[#This Row],[Year_Birth]]&gt;=1900,Audit_Data[[#This Row],[Year_Birth]]&lt;=2010),"OK","Invalid")</f>
        <v>OK</v>
      </c>
      <c r="AF5" t="str">
        <f t="shared" si="0"/>
        <v>Valid</v>
      </c>
      <c r="AG5" t="str">
        <f t="shared" si="1"/>
        <v>Valid</v>
      </c>
      <c r="AH5" t="str">
        <f t="shared" si="2"/>
        <v>Valid</v>
      </c>
      <c r="AI5" t="str">
        <f t="shared" si="9"/>
        <v>Valid</v>
      </c>
      <c r="AJ5" t="str">
        <f t="shared" si="10"/>
        <v>Valid</v>
      </c>
      <c r="AK5" t="str">
        <f t="shared" si="11"/>
        <v xml:space="preserve">Valid </v>
      </c>
      <c r="AL5" t="str">
        <f>IF(AND(Audit_Data[[#This Row],[Recency]]&gt;=0,Audit_Data[[#This Row],[Recency]]&lt;=100),"Valid","Invalid")</f>
        <v>Valid</v>
      </c>
      <c r="AM5" t="str">
        <f t="shared" si="3"/>
        <v>Valid</v>
      </c>
      <c r="AN5" t="str">
        <f t="shared" si="4"/>
        <v>Valid</v>
      </c>
      <c r="AO5" t="str">
        <f t="shared" si="5"/>
        <v>Valid</v>
      </c>
      <c r="AP5" t="str">
        <f t="shared" si="12"/>
        <v>Valid</v>
      </c>
      <c r="AQ5" t="str">
        <f>IF(Audit_Data[[#This Row],[Z_CostContact]]=3,"Valid","Invalid")</f>
        <v>Valid</v>
      </c>
      <c r="AR5" t="str">
        <f t="shared" si="6"/>
        <v>Valid</v>
      </c>
      <c r="AS5" t="str">
        <f t="shared" si="7"/>
        <v>Valid</v>
      </c>
    </row>
    <row r="6" spans="1:45" x14ac:dyDescent="0.3">
      <c r="A6">
        <v>5324</v>
      </c>
      <c r="B6">
        <v>1981</v>
      </c>
      <c r="C6" t="s">
        <v>32</v>
      </c>
      <c r="D6" t="s">
        <v>33</v>
      </c>
      <c r="E6">
        <v>58293</v>
      </c>
      <c r="F6">
        <v>1</v>
      </c>
      <c r="G6">
        <v>0</v>
      </c>
      <c r="H6" s="1">
        <v>41658</v>
      </c>
      <c r="I6">
        <v>94</v>
      </c>
      <c r="J6">
        <v>173</v>
      </c>
      <c r="K6">
        <v>43</v>
      </c>
      <c r="L6">
        <v>118</v>
      </c>
      <c r="M6">
        <v>46</v>
      </c>
      <c r="N6">
        <v>27</v>
      </c>
      <c r="O6">
        <v>15</v>
      </c>
      <c r="P6">
        <v>5</v>
      </c>
      <c r="Q6">
        <v>5</v>
      </c>
      <c r="R6">
        <v>3</v>
      </c>
      <c r="S6">
        <v>6</v>
      </c>
      <c r="T6">
        <v>5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3</v>
      </c>
      <c r="AB6">
        <v>11</v>
      </c>
      <c r="AC6">
        <v>0</v>
      </c>
      <c r="AD6" t="str">
        <f t="shared" si="8"/>
        <v>Ok</v>
      </c>
      <c r="AE6" t="str">
        <f>IF(AND(Audit_Data[[#This Row],[Year_Birth]]&gt;=1900,Audit_Data[[#This Row],[Year_Birth]]&lt;=2010),"OK","Invalid")</f>
        <v>OK</v>
      </c>
      <c r="AF6" t="str">
        <f t="shared" si="0"/>
        <v>Valid</v>
      </c>
      <c r="AG6" t="str">
        <f t="shared" si="1"/>
        <v>Valid</v>
      </c>
      <c r="AH6" t="str">
        <f t="shared" si="2"/>
        <v>Valid</v>
      </c>
      <c r="AI6" t="str">
        <f t="shared" si="9"/>
        <v>Valid</v>
      </c>
      <c r="AJ6" t="str">
        <f t="shared" si="10"/>
        <v>Valid</v>
      </c>
      <c r="AK6" t="str">
        <f t="shared" si="11"/>
        <v xml:space="preserve">Valid </v>
      </c>
      <c r="AL6" t="str">
        <f>IF(AND(Audit_Data[[#This Row],[Recency]]&gt;=0,Audit_Data[[#This Row],[Recency]]&lt;=100),"Valid","Invalid")</f>
        <v>Valid</v>
      </c>
      <c r="AM6" t="str">
        <f t="shared" si="3"/>
        <v>Valid</v>
      </c>
      <c r="AN6" t="str">
        <f t="shared" si="4"/>
        <v>Valid</v>
      </c>
      <c r="AO6" t="str">
        <f t="shared" si="5"/>
        <v>Valid</v>
      </c>
      <c r="AP6" t="str">
        <f t="shared" si="12"/>
        <v>Valid</v>
      </c>
      <c r="AQ6" t="str">
        <f>IF(Audit_Data[[#This Row],[Z_CostContact]]=3,"Valid","Invalid")</f>
        <v>Valid</v>
      </c>
      <c r="AR6" t="str">
        <f t="shared" si="6"/>
        <v>Valid</v>
      </c>
      <c r="AS6" t="str">
        <f t="shared" si="7"/>
        <v>Valid</v>
      </c>
    </row>
    <row r="7" spans="1:45" x14ac:dyDescent="0.3">
      <c r="A7">
        <v>7446</v>
      </c>
      <c r="B7">
        <v>1967</v>
      </c>
      <c r="C7" t="s">
        <v>34</v>
      </c>
      <c r="D7" t="s">
        <v>31</v>
      </c>
      <c r="E7">
        <v>62513</v>
      </c>
      <c r="F7">
        <v>0</v>
      </c>
      <c r="G7">
        <v>1</v>
      </c>
      <c r="H7" s="1">
        <v>41526</v>
      </c>
      <c r="I7">
        <v>16</v>
      </c>
      <c r="J7">
        <v>520</v>
      </c>
      <c r="K7">
        <v>42</v>
      </c>
      <c r="L7">
        <v>98</v>
      </c>
      <c r="M7">
        <v>0</v>
      </c>
      <c r="N7">
        <v>42</v>
      </c>
      <c r="O7">
        <v>14</v>
      </c>
      <c r="P7">
        <v>2</v>
      </c>
      <c r="Q7">
        <v>6</v>
      </c>
      <c r="R7">
        <v>4</v>
      </c>
      <c r="S7">
        <v>10</v>
      </c>
      <c r="T7">
        <v>6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3</v>
      </c>
      <c r="AB7">
        <v>11</v>
      </c>
      <c r="AC7">
        <v>0</v>
      </c>
      <c r="AD7" t="str">
        <f t="shared" si="8"/>
        <v>Ok</v>
      </c>
      <c r="AE7" t="str">
        <f>IF(AND(Audit_Data[[#This Row],[Year_Birth]]&gt;=1900,Audit_Data[[#This Row],[Year_Birth]]&lt;=2010),"OK","Invalid")</f>
        <v>OK</v>
      </c>
      <c r="AF7" t="str">
        <f t="shared" si="0"/>
        <v>Valid</v>
      </c>
      <c r="AG7" t="str">
        <f t="shared" si="1"/>
        <v>Valid</v>
      </c>
      <c r="AH7" t="str">
        <f t="shared" si="2"/>
        <v>Valid</v>
      </c>
      <c r="AI7" t="str">
        <f t="shared" si="9"/>
        <v>Valid</v>
      </c>
      <c r="AJ7" t="str">
        <f t="shared" si="10"/>
        <v>Valid</v>
      </c>
      <c r="AK7" t="str">
        <f t="shared" si="11"/>
        <v xml:space="preserve">Valid </v>
      </c>
      <c r="AL7" t="str">
        <f>IF(AND(Audit_Data[[#This Row],[Recency]]&gt;=0,Audit_Data[[#This Row],[Recency]]&lt;=100),"Valid","Invalid")</f>
        <v>Valid</v>
      </c>
      <c r="AM7" t="str">
        <f t="shared" si="3"/>
        <v>Valid</v>
      </c>
      <c r="AN7" t="str">
        <f t="shared" si="4"/>
        <v>Valid</v>
      </c>
      <c r="AO7" t="str">
        <f t="shared" si="5"/>
        <v>Valid</v>
      </c>
      <c r="AP7" t="str">
        <f t="shared" si="12"/>
        <v>Valid</v>
      </c>
      <c r="AQ7" t="str">
        <f>IF(Audit_Data[[#This Row],[Z_CostContact]]=3,"Valid","Invalid")</f>
        <v>Valid</v>
      </c>
      <c r="AR7" t="str">
        <f t="shared" si="6"/>
        <v>Valid</v>
      </c>
      <c r="AS7" t="str">
        <f t="shared" si="7"/>
        <v>Valid</v>
      </c>
    </row>
    <row r="8" spans="1:45" x14ac:dyDescent="0.3">
      <c r="A8">
        <v>965</v>
      </c>
      <c r="B8">
        <v>1971</v>
      </c>
      <c r="C8" t="s">
        <v>29</v>
      </c>
      <c r="D8" t="s">
        <v>35</v>
      </c>
      <c r="E8">
        <v>55635</v>
      </c>
      <c r="F8">
        <v>0</v>
      </c>
      <c r="G8">
        <v>1</v>
      </c>
      <c r="H8" s="1">
        <v>41226</v>
      </c>
      <c r="I8">
        <v>34</v>
      </c>
      <c r="J8">
        <v>235</v>
      </c>
      <c r="K8">
        <v>65</v>
      </c>
      <c r="L8">
        <v>164</v>
      </c>
      <c r="M8">
        <v>50</v>
      </c>
      <c r="N8">
        <v>49</v>
      </c>
      <c r="O8">
        <v>27</v>
      </c>
      <c r="P8">
        <v>4</v>
      </c>
      <c r="Q8">
        <v>7</v>
      </c>
      <c r="R8">
        <v>3</v>
      </c>
      <c r="S8">
        <v>7</v>
      </c>
      <c r="T8">
        <v>6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3</v>
      </c>
      <c r="AB8">
        <v>11</v>
      </c>
      <c r="AC8">
        <v>0</v>
      </c>
      <c r="AD8" t="str">
        <f t="shared" si="8"/>
        <v>Ok</v>
      </c>
      <c r="AE8" t="str">
        <f>IF(AND(Audit_Data[[#This Row],[Year_Birth]]&gt;=1900,Audit_Data[[#This Row],[Year_Birth]]&lt;=2010),"OK","Invalid")</f>
        <v>OK</v>
      </c>
      <c r="AF8" t="str">
        <f t="shared" si="0"/>
        <v>Valid</v>
      </c>
      <c r="AG8" t="str">
        <f t="shared" si="1"/>
        <v>Valid</v>
      </c>
      <c r="AH8" t="str">
        <f t="shared" si="2"/>
        <v>Valid</v>
      </c>
      <c r="AI8" t="str">
        <f t="shared" si="9"/>
        <v>Valid</v>
      </c>
      <c r="AJ8" t="str">
        <f t="shared" si="10"/>
        <v>Valid</v>
      </c>
      <c r="AK8" t="str">
        <f>IF(AND(ISNUMBER(H8),H8&gt;=DATE(2012,1,1),H8&lt;=DATE(2014,12,31)),"Valid ","Invalid")</f>
        <v xml:space="preserve">Valid </v>
      </c>
      <c r="AL8" t="str">
        <f>IF(AND(Audit_Data[[#This Row],[Recency]]&gt;=0,Audit_Data[[#This Row],[Recency]]&lt;=100),"Valid","Invalid")</f>
        <v>Valid</v>
      </c>
      <c r="AM8" t="str">
        <f t="shared" si="3"/>
        <v>Valid</v>
      </c>
      <c r="AN8" t="str">
        <f t="shared" si="4"/>
        <v>Valid</v>
      </c>
      <c r="AO8" t="str">
        <f t="shared" si="5"/>
        <v>Valid</v>
      </c>
      <c r="AP8" t="str">
        <f t="shared" si="12"/>
        <v>Valid</v>
      </c>
      <c r="AQ8" t="str">
        <f>IF(Audit_Data[[#This Row],[Z_CostContact]]=3,"Valid","Invalid")</f>
        <v>Valid</v>
      </c>
      <c r="AR8" t="str">
        <f t="shared" si="6"/>
        <v>Valid</v>
      </c>
      <c r="AS8" t="str">
        <f t="shared" si="7"/>
        <v>Valid</v>
      </c>
    </row>
    <row r="9" spans="1:45" x14ac:dyDescent="0.3">
      <c r="A9">
        <v>6177</v>
      </c>
      <c r="B9">
        <v>1985</v>
      </c>
      <c r="C9" t="s">
        <v>32</v>
      </c>
      <c r="D9" t="s">
        <v>33</v>
      </c>
      <c r="E9">
        <v>33454</v>
      </c>
      <c r="F9">
        <v>1</v>
      </c>
      <c r="G9">
        <v>0</v>
      </c>
      <c r="H9" s="1">
        <v>41402</v>
      </c>
      <c r="I9">
        <v>32</v>
      </c>
      <c r="J9">
        <v>76</v>
      </c>
      <c r="K9">
        <v>10</v>
      </c>
      <c r="L9">
        <v>56</v>
      </c>
      <c r="M9">
        <v>3</v>
      </c>
      <c r="N9">
        <v>1</v>
      </c>
      <c r="O9">
        <v>23</v>
      </c>
      <c r="P9">
        <v>2</v>
      </c>
      <c r="Q9">
        <v>4</v>
      </c>
      <c r="R9">
        <v>0</v>
      </c>
      <c r="S9">
        <v>4</v>
      </c>
      <c r="T9">
        <v>8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3</v>
      </c>
      <c r="AB9">
        <v>11</v>
      </c>
      <c r="AC9">
        <v>0</v>
      </c>
      <c r="AD9" t="str">
        <f t="shared" si="8"/>
        <v>Ok</v>
      </c>
      <c r="AE9" t="str">
        <f>IF(AND(Audit_Data[[#This Row],[Year_Birth]]&gt;=1900,Audit_Data[[#This Row],[Year_Birth]]&lt;=2010),"OK","Invalid")</f>
        <v>OK</v>
      </c>
      <c r="AF9" t="str">
        <f t="shared" si="0"/>
        <v>Valid</v>
      </c>
      <c r="AG9" t="str">
        <f t="shared" si="1"/>
        <v>Valid</v>
      </c>
      <c r="AH9" t="str">
        <f t="shared" si="2"/>
        <v>Valid</v>
      </c>
      <c r="AI9" t="str">
        <f t="shared" si="9"/>
        <v>Valid</v>
      </c>
      <c r="AJ9" t="str">
        <f t="shared" si="10"/>
        <v>Valid</v>
      </c>
      <c r="AK9" t="str">
        <f t="shared" si="11"/>
        <v xml:space="preserve">Valid </v>
      </c>
      <c r="AL9" t="str">
        <f>IF(AND(Audit_Data[[#This Row],[Recency]]&gt;=0,Audit_Data[[#This Row],[Recency]]&lt;=100),"Valid","Invalid")</f>
        <v>Valid</v>
      </c>
      <c r="AM9" t="str">
        <f t="shared" si="3"/>
        <v>Valid</v>
      </c>
      <c r="AN9" t="str">
        <f t="shared" si="4"/>
        <v>Valid</v>
      </c>
      <c r="AO9" t="str">
        <f t="shared" si="5"/>
        <v>Valid</v>
      </c>
      <c r="AP9" t="str">
        <f t="shared" si="12"/>
        <v>Valid</v>
      </c>
      <c r="AQ9" t="str">
        <f>IF(Audit_Data[[#This Row],[Z_CostContact]]=3,"Valid","Invalid")</f>
        <v>Valid</v>
      </c>
      <c r="AR9" t="str">
        <f t="shared" si="6"/>
        <v>Valid</v>
      </c>
      <c r="AS9" t="str">
        <f t="shared" si="7"/>
        <v>Valid</v>
      </c>
    </row>
    <row r="10" spans="1:45" x14ac:dyDescent="0.3">
      <c r="A10">
        <v>4855</v>
      </c>
      <c r="B10">
        <v>1974</v>
      </c>
      <c r="C10" t="s">
        <v>32</v>
      </c>
      <c r="D10" t="s">
        <v>31</v>
      </c>
      <c r="E10">
        <v>30351</v>
      </c>
      <c r="F10">
        <v>1</v>
      </c>
      <c r="G10">
        <v>0</v>
      </c>
      <c r="H10" s="1">
        <v>41431</v>
      </c>
      <c r="I10">
        <v>19</v>
      </c>
      <c r="J10">
        <v>14</v>
      </c>
      <c r="K10">
        <v>0</v>
      </c>
      <c r="L10">
        <v>24</v>
      </c>
      <c r="M10">
        <v>3</v>
      </c>
      <c r="N10">
        <v>3</v>
      </c>
      <c r="O10">
        <v>2</v>
      </c>
      <c r="P10">
        <v>1</v>
      </c>
      <c r="Q10">
        <v>3</v>
      </c>
      <c r="R10">
        <v>0</v>
      </c>
      <c r="S10">
        <v>2</v>
      </c>
      <c r="T10">
        <v>9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3</v>
      </c>
      <c r="AB10">
        <v>11</v>
      </c>
      <c r="AC10">
        <v>1</v>
      </c>
      <c r="AD10" t="str">
        <f t="shared" si="8"/>
        <v>Ok</v>
      </c>
      <c r="AE10" t="str">
        <f>IF(AND(Audit_Data[[#This Row],[Year_Birth]]&gt;=1900,Audit_Data[[#This Row],[Year_Birth]]&lt;=2010),"OK","Invalid")</f>
        <v>OK</v>
      </c>
      <c r="AF10" t="str">
        <f t="shared" si="0"/>
        <v>Valid</v>
      </c>
      <c r="AG10" t="str">
        <f t="shared" si="1"/>
        <v>Valid</v>
      </c>
      <c r="AH10" t="str">
        <f t="shared" si="2"/>
        <v>Valid</v>
      </c>
      <c r="AI10" t="str">
        <f t="shared" si="9"/>
        <v>Valid</v>
      </c>
      <c r="AJ10" t="str">
        <f t="shared" si="10"/>
        <v>Valid</v>
      </c>
      <c r="AK10" t="str">
        <f t="shared" si="11"/>
        <v xml:space="preserve">Valid </v>
      </c>
      <c r="AL10" t="str">
        <f>IF(AND(Audit_Data[[#This Row],[Recency]]&gt;=0,Audit_Data[[#This Row],[Recency]]&lt;=100),"Valid","Invalid")</f>
        <v>Valid</v>
      </c>
      <c r="AM10" t="str">
        <f t="shared" si="3"/>
        <v>Valid</v>
      </c>
      <c r="AN10" t="str">
        <f t="shared" si="4"/>
        <v>Valid</v>
      </c>
      <c r="AO10" t="str">
        <f t="shared" si="5"/>
        <v>Valid</v>
      </c>
      <c r="AP10" t="str">
        <f t="shared" si="12"/>
        <v>Valid</v>
      </c>
      <c r="AQ10" t="str">
        <f>IF(Audit_Data[[#This Row],[Z_CostContact]]=3,"Valid","Invalid")</f>
        <v>Valid</v>
      </c>
      <c r="AR10" t="str">
        <f t="shared" si="6"/>
        <v>Valid</v>
      </c>
      <c r="AS10" t="str">
        <f t="shared" si="7"/>
        <v>Valid</v>
      </c>
    </row>
    <row r="11" spans="1:45" x14ac:dyDescent="0.3">
      <c r="A11">
        <v>5899</v>
      </c>
      <c r="B11">
        <v>1950</v>
      </c>
      <c r="C11" t="s">
        <v>32</v>
      </c>
      <c r="D11" t="s">
        <v>31</v>
      </c>
      <c r="E11">
        <v>5648</v>
      </c>
      <c r="F11">
        <v>1</v>
      </c>
      <c r="G11">
        <v>1</v>
      </c>
      <c r="H11" s="1">
        <v>41711</v>
      </c>
      <c r="I11">
        <v>68</v>
      </c>
      <c r="J11">
        <v>28</v>
      </c>
      <c r="K11">
        <v>0</v>
      </c>
      <c r="L11">
        <v>6</v>
      </c>
      <c r="M11">
        <v>1</v>
      </c>
      <c r="N11">
        <v>1</v>
      </c>
      <c r="O11">
        <v>13</v>
      </c>
      <c r="P11">
        <v>1</v>
      </c>
      <c r="Q11">
        <v>1</v>
      </c>
      <c r="R11">
        <v>0</v>
      </c>
      <c r="S11">
        <v>0</v>
      </c>
      <c r="T11">
        <v>20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3</v>
      </c>
      <c r="AB11">
        <v>11</v>
      </c>
      <c r="AC11">
        <v>0</v>
      </c>
      <c r="AD11" t="str">
        <f t="shared" si="8"/>
        <v>Ok</v>
      </c>
      <c r="AE11" t="str">
        <f>IF(AND(Audit_Data[[#This Row],[Year_Birth]]&gt;=1900,Audit_Data[[#This Row],[Year_Birth]]&lt;=2010),"OK","Invalid")</f>
        <v>OK</v>
      </c>
      <c r="AF11" t="str">
        <f t="shared" si="0"/>
        <v>Valid</v>
      </c>
      <c r="AG11" t="str">
        <f t="shared" si="1"/>
        <v>Valid</v>
      </c>
      <c r="AH11" t="str">
        <f t="shared" si="2"/>
        <v>Valid</v>
      </c>
      <c r="AI11" t="str">
        <f t="shared" si="9"/>
        <v>Valid</v>
      </c>
      <c r="AJ11" t="str">
        <f t="shared" si="10"/>
        <v>Valid</v>
      </c>
      <c r="AK11" t="str">
        <f t="shared" si="11"/>
        <v xml:space="preserve">Valid </v>
      </c>
      <c r="AL11" t="str">
        <f>IF(AND(Audit_Data[[#This Row],[Recency]]&gt;=0,Audit_Data[[#This Row],[Recency]]&lt;=100),"Valid","Invalid")</f>
        <v>Valid</v>
      </c>
      <c r="AM11" t="str">
        <f t="shared" si="3"/>
        <v>Valid</v>
      </c>
      <c r="AN11" t="str">
        <f t="shared" si="4"/>
        <v>Valid</v>
      </c>
      <c r="AO11" t="str">
        <f t="shared" si="5"/>
        <v>Valid</v>
      </c>
      <c r="AP11" t="str">
        <f t="shared" si="12"/>
        <v>Valid</v>
      </c>
      <c r="AQ11" t="str">
        <f>IF(Audit_Data[[#This Row],[Z_CostContact]]=3,"Valid","Invalid")</f>
        <v>Valid</v>
      </c>
      <c r="AR11" t="str">
        <f t="shared" si="6"/>
        <v>Valid</v>
      </c>
      <c r="AS11" t="str">
        <f t="shared" si="7"/>
        <v>Valid</v>
      </c>
    </row>
    <row r="12" spans="1:45" x14ac:dyDescent="0.3">
      <c r="A12">
        <v>1994</v>
      </c>
      <c r="B12">
        <v>1983</v>
      </c>
      <c r="C12" t="s">
        <v>29</v>
      </c>
      <c r="D12" t="s">
        <v>33</v>
      </c>
      <c r="F12">
        <v>1</v>
      </c>
      <c r="G12">
        <v>0</v>
      </c>
      <c r="H12" s="1">
        <v>41593</v>
      </c>
      <c r="I12">
        <v>11</v>
      </c>
      <c r="J12">
        <v>5</v>
      </c>
      <c r="K12">
        <v>5</v>
      </c>
      <c r="L12">
        <v>6</v>
      </c>
      <c r="M12">
        <v>0</v>
      </c>
      <c r="N12">
        <v>2</v>
      </c>
      <c r="O12">
        <v>1</v>
      </c>
      <c r="P12">
        <v>1</v>
      </c>
      <c r="Q12">
        <v>1</v>
      </c>
      <c r="R12">
        <v>0</v>
      </c>
      <c r="S12">
        <v>2</v>
      </c>
      <c r="T12">
        <v>7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3</v>
      </c>
      <c r="AB12">
        <v>11</v>
      </c>
      <c r="AC12">
        <v>0</v>
      </c>
      <c r="AD12" t="str">
        <f t="shared" si="8"/>
        <v>Ok</v>
      </c>
      <c r="AE12" t="str">
        <f>IF(AND(Audit_Data[[#This Row],[Year_Birth]]&gt;=1900,Audit_Data[[#This Row],[Year_Birth]]&lt;=2010),"OK","Invalid")</f>
        <v>OK</v>
      </c>
      <c r="AF12" t="str">
        <f t="shared" si="0"/>
        <v>Valid</v>
      </c>
      <c r="AG12" t="str">
        <f t="shared" si="1"/>
        <v>Valid</v>
      </c>
      <c r="AH12" t="str">
        <f t="shared" si="2"/>
        <v>Invalid</v>
      </c>
      <c r="AI12" t="str">
        <f t="shared" si="9"/>
        <v>Valid</v>
      </c>
      <c r="AJ12" t="str">
        <f t="shared" si="10"/>
        <v>Valid</v>
      </c>
      <c r="AK12" t="str">
        <f t="shared" si="11"/>
        <v xml:space="preserve">Valid </v>
      </c>
      <c r="AL12" t="str">
        <f>IF(AND(Audit_Data[[#This Row],[Recency]]&gt;=0,Audit_Data[[#This Row],[Recency]]&lt;=100),"Valid","Invalid")</f>
        <v>Valid</v>
      </c>
      <c r="AM12" t="str">
        <f t="shared" si="3"/>
        <v>Valid</v>
      </c>
      <c r="AN12" t="str">
        <f t="shared" si="4"/>
        <v>Valid</v>
      </c>
      <c r="AO12" t="str">
        <f t="shared" si="5"/>
        <v>Valid</v>
      </c>
      <c r="AP12" t="str">
        <f t="shared" si="12"/>
        <v>Valid</v>
      </c>
      <c r="AQ12" t="str">
        <f>IF(Audit_Data[[#This Row],[Z_CostContact]]=3,"Valid","Invalid")</f>
        <v>Valid</v>
      </c>
      <c r="AR12" t="str">
        <f t="shared" si="6"/>
        <v>Valid</v>
      </c>
      <c r="AS12" t="str">
        <f t="shared" si="7"/>
        <v>Valid</v>
      </c>
    </row>
    <row r="13" spans="1:45" x14ac:dyDescent="0.3">
      <c r="A13">
        <v>387</v>
      </c>
      <c r="B13">
        <v>1976</v>
      </c>
      <c r="C13" t="s">
        <v>36</v>
      </c>
      <c r="D13" t="s">
        <v>33</v>
      </c>
      <c r="E13">
        <v>7500</v>
      </c>
      <c r="F13">
        <v>0</v>
      </c>
      <c r="G13">
        <v>0</v>
      </c>
      <c r="H13" s="1">
        <v>41226</v>
      </c>
      <c r="I13">
        <v>59</v>
      </c>
      <c r="J13">
        <v>6</v>
      </c>
      <c r="K13">
        <v>16</v>
      </c>
      <c r="L13">
        <v>11</v>
      </c>
      <c r="M13">
        <v>11</v>
      </c>
      <c r="N13">
        <v>1</v>
      </c>
      <c r="O13">
        <v>16</v>
      </c>
      <c r="P13">
        <v>1</v>
      </c>
      <c r="Q13">
        <v>2</v>
      </c>
      <c r="R13">
        <v>0</v>
      </c>
      <c r="S13">
        <v>3</v>
      </c>
      <c r="T13">
        <v>8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3</v>
      </c>
      <c r="AB13">
        <v>11</v>
      </c>
      <c r="AC13">
        <v>0</v>
      </c>
      <c r="AD13" t="str">
        <f t="shared" si="8"/>
        <v>Ok</v>
      </c>
      <c r="AE13" t="str">
        <f>IF(AND(Audit_Data[[#This Row],[Year_Birth]]&gt;=1900,Audit_Data[[#This Row],[Year_Birth]]&lt;=2010),"OK","Invalid")</f>
        <v>OK</v>
      </c>
      <c r="AF13" t="str">
        <f t="shared" si="0"/>
        <v>Valid</v>
      </c>
      <c r="AG13" t="str">
        <f t="shared" si="1"/>
        <v>Valid</v>
      </c>
      <c r="AH13" t="str">
        <f t="shared" si="2"/>
        <v>Valid</v>
      </c>
      <c r="AI13" t="str">
        <f t="shared" si="9"/>
        <v>Valid</v>
      </c>
      <c r="AJ13" t="str">
        <f t="shared" si="10"/>
        <v>Valid</v>
      </c>
      <c r="AK13" t="str">
        <f t="shared" si="11"/>
        <v xml:space="preserve">Valid </v>
      </c>
      <c r="AL13" t="str">
        <f>IF(AND(Audit_Data[[#This Row],[Recency]]&gt;=0,Audit_Data[[#This Row],[Recency]]&lt;=100),"Valid","Invalid")</f>
        <v>Valid</v>
      </c>
      <c r="AM13" t="str">
        <f t="shared" si="3"/>
        <v>Valid</v>
      </c>
      <c r="AN13" t="str">
        <f t="shared" si="4"/>
        <v>Valid</v>
      </c>
      <c r="AO13" t="str">
        <f t="shared" si="5"/>
        <v>Valid</v>
      </c>
      <c r="AP13" t="str">
        <f t="shared" si="12"/>
        <v>Valid</v>
      </c>
      <c r="AQ13" t="str">
        <f>IF(Audit_Data[[#This Row],[Z_CostContact]]=3,"Valid","Invalid")</f>
        <v>Valid</v>
      </c>
      <c r="AR13" t="str">
        <f t="shared" si="6"/>
        <v>Valid</v>
      </c>
      <c r="AS13" t="str">
        <f t="shared" si="7"/>
        <v>Valid</v>
      </c>
    </row>
    <row r="14" spans="1:45" x14ac:dyDescent="0.3">
      <c r="A14">
        <v>2125</v>
      </c>
      <c r="B14">
        <v>1959</v>
      </c>
      <c r="C14" t="s">
        <v>29</v>
      </c>
      <c r="D14" t="s">
        <v>35</v>
      </c>
      <c r="E14">
        <v>63033</v>
      </c>
      <c r="F14">
        <v>0</v>
      </c>
      <c r="G14">
        <v>0</v>
      </c>
      <c r="H14" s="1">
        <v>41593</v>
      </c>
      <c r="I14">
        <v>82</v>
      </c>
      <c r="J14">
        <v>194</v>
      </c>
      <c r="K14">
        <v>61</v>
      </c>
      <c r="L14">
        <v>480</v>
      </c>
      <c r="M14">
        <v>225</v>
      </c>
      <c r="N14">
        <v>112</v>
      </c>
      <c r="O14">
        <v>30</v>
      </c>
      <c r="P14">
        <v>1</v>
      </c>
      <c r="Q14">
        <v>3</v>
      </c>
      <c r="R14">
        <v>4</v>
      </c>
      <c r="S14">
        <v>8</v>
      </c>
      <c r="T14">
        <v>2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3</v>
      </c>
      <c r="AB14">
        <v>11</v>
      </c>
      <c r="AC14">
        <v>0</v>
      </c>
      <c r="AD14" t="str">
        <f t="shared" si="8"/>
        <v>Ok</v>
      </c>
      <c r="AE14" t="str">
        <f>IF(AND(Audit_Data[[#This Row],[Year_Birth]]&gt;=1900,Audit_Data[[#This Row],[Year_Birth]]&lt;=2010),"OK","Invalid")</f>
        <v>OK</v>
      </c>
      <c r="AF14" t="str">
        <f t="shared" si="0"/>
        <v>Valid</v>
      </c>
      <c r="AG14" t="str">
        <f t="shared" si="1"/>
        <v>Valid</v>
      </c>
      <c r="AH14" t="str">
        <f t="shared" si="2"/>
        <v>Valid</v>
      </c>
      <c r="AI14" t="str">
        <f t="shared" si="9"/>
        <v>Valid</v>
      </c>
      <c r="AJ14" t="str">
        <f t="shared" si="10"/>
        <v>Valid</v>
      </c>
      <c r="AK14" t="str">
        <f t="shared" si="11"/>
        <v xml:space="preserve">Valid </v>
      </c>
      <c r="AL14" t="str">
        <f>IF(AND(Audit_Data[[#This Row],[Recency]]&gt;=0,Audit_Data[[#This Row],[Recency]]&lt;=100),"Valid","Invalid")</f>
        <v>Valid</v>
      </c>
      <c r="AM14" t="str">
        <f t="shared" si="3"/>
        <v>Valid</v>
      </c>
      <c r="AN14" t="str">
        <f t="shared" si="4"/>
        <v>Valid</v>
      </c>
      <c r="AO14" t="str">
        <f t="shared" si="5"/>
        <v>Valid</v>
      </c>
      <c r="AP14" t="str">
        <f t="shared" si="12"/>
        <v>Valid</v>
      </c>
      <c r="AQ14" t="str">
        <f>IF(Audit_Data[[#This Row],[Z_CostContact]]=3,"Valid","Invalid")</f>
        <v>Valid</v>
      </c>
      <c r="AR14" t="str">
        <f t="shared" si="6"/>
        <v>Valid</v>
      </c>
      <c r="AS14" t="str">
        <f t="shared" si="7"/>
        <v>Valid</v>
      </c>
    </row>
    <row r="15" spans="1:45" x14ac:dyDescent="0.3">
      <c r="A15">
        <v>8180</v>
      </c>
      <c r="B15">
        <v>1952</v>
      </c>
      <c r="C15" t="s">
        <v>34</v>
      </c>
      <c r="D15" t="s">
        <v>35</v>
      </c>
      <c r="E15">
        <v>59354</v>
      </c>
      <c r="F15">
        <v>1</v>
      </c>
      <c r="G15">
        <v>1</v>
      </c>
      <c r="H15" s="1">
        <v>41593</v>
      </c>
      <c r="I15">
        <v>53</v>
      </c>
      <c r="J15">
        <v>233</v>
      </c>
      <c r="K15">
        <v>2</v>
      </c>
      <c r="L15">
        <v>53</v>
      </c>
      <c r="M15">
        <v>3</v>
      </c>
      <c r="N15">
        <v>5</v>
      </c>
      <c r="O15">
        <v>14</v>
      </c>
      <c r="P15">
        <v>3</v>
      </c>
      <c r="Q15">
        <v>6</v>
      </c>
      <c r="R15">
        <v>1</v>
      </c>
      <c r="S15">
        <v>5</v>
      </c>
      <c r="T15">
        <v>6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3</v>
      </c>
      <c r="AB15">
        <v>11</v>
      </c>
      <c r="AC15">
        <v>0</v>
      </c>
      <c r="AD15" t="str">
        <f t="shared" si="8"/>
        <v>Ok</v>
      </c>
      <c r="AE15" t="str">
        <f>IF(AND(Audit_Data[[#This Row],[Year_Birth]]&gt;=1900,Audit_Data[[#This Row],[Year_Birth]]&lt;=2010),"OK","Invalid")</f>
        <v>OK</v>
      </c>
      <c r="AF15" t="str">
        <f t="shared" si="0"/>
        <v>Valid</v>
      </c>
      <c r="AG15" t="str">
        <f t="shared" si="1"/>
        <v>Valid</v>
      </c>
      <c r="AH15" t="str">
        <f t="shared" si="2"/>
        <v>Valid</v>
      </c>
      <c r="AI15" t="str">
        <f t="shared" si="9"/>
        <v>Valid</v>
      </c>
      <c r="AJ15" t="str">
        <f t="shared" si="10"/>
        <v>Valid</v>
      </c>
      <c r="AK15" t="str">
        <f t="shared" si="11"/>
        <v xml:space="preserve">Valid </v>
      </c>
      <c r="AL15" t="str">
        <f>IF(AND(Audit_Data[[#This Row],[Recency]]&gt;=0,Audit_Data[[#This Row],[Recency]]&lt;=100),"Valid","Invalid")</f>
        <v>Valid</v>
      </c>
      <c r="AM15" t="str">
        <f t="shared" si="3"/>
        <v>Valid</v>
      </c>
      <c r="AN15" t="str">
        <f t="shared" si="4"/>
        <v>Valid</v>
      </c>
      <c r="AO15" t="str">
        <f t="shared" si="5"/>
        <v>Valid</v>
      </c>
      <c r="AP15" t="str">
        <f t="shared" si="12"/>
        <v>Valid</v>
      </c>
      <c r="AQ15" t="str">
        <f>IF(Audit_Data[[#This Row],[Z_CostContact]]=3,"Valid","Invalid")</f>
        <v>Valid</v>
      </c>
      <c r="AR15" t="str">
        <f t="shared" si="6"/>
        <v>Valid</v>
      </c>
      <c r="AS15" t="str">
        <f t="shared" si="7"/>
        <v>Valid</v>
      </c>
    </row>
    <row r="16" spans="1:45" x14ac:dyDescent="0.3">
      <c r="A16">
        <v>2569</v>
      </c>
      <c r="B16">
        <v>1987</v>
      </c>
      <c r="C16" t="s">
        <v>29</v>
      </c>
      <c r="D16" t="s">
        <v>33</v>
      </c>
      <c r="E16">
        <v>17323</v>
      </c>
      <c r="F16">
        <v>0</v>
      </c>
      <c r="G16">
        <v>0</v>
      </c>
      <c r="H16" s="1">
        <v>41192</v>
      </c>
      <c r="I16">
        <v>38</v>
      </c>
      <c r="J16">
        <v>3</v>
      </c>
      <c r="K16">
        <v>14</v>
      </c>
      <c r="L16">
        <v>17</v>
      </c>
      <c r="M16">
        <v>6</v>
      </c>
      <c r="N16">
        <v>1</v>
      </c>
      <c r="O16">
        <v>5</v>
      </c>
      <c r="P16">
        <v>1</v>
      </c>
      <c r="Q16">
        <v>1</v>
      </c>
      <c r="R16">
        <v>0</v>
      </c>
      <c r="S16">
        <v>3</v>
      </c>
      <c r="T16">
        <v>8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3</v>
      </c>
      <c r="AB16">
        <v>11</v>
      </c>
      <c r="AC16">
        <v>0</v>
      </c>
      <c r="AD16" t="str">
        <f t="shared" si="8"/>
        <v>Ok</v>
      </c>
      <c r="AE16" t="str">
        <f>IF(AND(Audit_Data[[#This Row],[Year_Birth]]&gt;=1900,Audit_Data[[#This Row],[Year_Birth]]&lt;=2010),"OK","Invalid")</f>
        <v>OK</v>
      </c>
      <c r="AF16" t="str">
        <f t="shared" si="0"/>
        <v>Valid</v>
      </c>
      <c r="AG16" t="str">
        <f t="shared" si="1"/>
        <v>Valid</v>
      </c>
      <c r="AH16" t="str">
        <f t="shared" si="2"/>
        <v>Valid</v>
      </c>
      <c r="AI16" t="str">
        <f t="shared" si="9"/>
        <v>Valid</v>
      </c>
      <c r="AJ16" t="str">
        <f t="shared" si="10"/>
        <v>Valid</v>
      </c>
      <c r="AK16" t="str">
        <f t="shared" si="11"/>
        <v xml:space="preserve">Valid </v>
      </c>
      <c r="AL16" t="str">
        <f>IF(AND(Audit_Data[[#This Row],[Recency]]&gt;=0,Audit_Data[[#This Row],[Recency]]&lt;=100),"Valid","Invalid")</f>
        <v>Valid</v>
      </c>
      <c r="AM16" t="str">
        <f t="shared" si="3"/>
        <v>Valid</v>
      </c>
      <c r="AN16" t="str">
        <f t="shared" si="4"/>
        <v>Valid</v>
      </c>
      <c r="AO16" t="str">
        <f t="shared" si="5"/>
        <v>Valid</v>
      </c>
      <c r="AP16" t="str">
        <f t="shared" si="12"/>
        <v>Valid</v>
      </c>
      <c r="AQ16" t="str">
        <f>IF(Audit_Data[[#This Row],[Z_CostContact]]=3,"Valid","Invalid")</f>
        <v>Valid</v>
      </c>
      <c r="AR16" t="str">
        <f t="shared" si="6"/>
        <v>Valid</v>
      </c>
      <c r="AS16" t="str">
        <f t="shared" si="7"/>
        <v>Valid</v>
      </c>
    </row>
    <row r="17" spans="1:45" x14ac:dyDescent="0.3">
      <c r="A17">
        <v>2114</v>
      </c>
      <c r="B17">
        <v>1946</v>
      </c>
      <c r="C17" t="s">
        <v>32</v>
      </c>
      <c r="D17" t="s">
        <v>30</v>
      </c>
      <c r="E17">
        <v>82800</v>
      </c>
      <c r="F17">
        <v>0</v>
      </c>
      <c r="G17">
        <v>0</v>
      </c>
      <c r="H17" s="1">
        <v>41237</v>
      </c>
      <c r="I17">
        <v>23</v>
      </c>
      <c r="J17">
        <v>1006</v>
      </c>
      <c r="K17">
        <v>22</v>
      </c>
      <c r="L17">
        <v>115</v>
      </c>
      <c r="M17">
        <v>59</v>
      </c>
      <c r="N17">
        <v>68</v>
      </c>
      <c r="O17">
        <v>45</v>
      </c>
      <c r="P17">
        <v>1</v>
      </c>
      <c r="Q17">
        <v>7</v>
      </c>
      <c r="R17">
        <v>6</v>
      </c>
      <c r="S17">
        <v>12</v>
      </c>
      <c r="T17">
        <v>3</v>
      </c>
      <c r="U17">
        <v>0</v>
      </c>
      <c r="V17">
        <v>0</v>
      </c>
      <c r="W17">
        <v>1</v>
      </c>
      <c r="X17">
        <v>1</v>
      </c>
      <c r="Y17">
        <v>0</v>
      </c>
      <c r="Z17">
        <v>0</v>
      </c>
      <c r="AA17">
        <v>3</v>
      </c>
      <c r="AB17">
        <v>11</v>
      </c>
      <c r="AC17">
        <v>1</v>
      </c>
      <c r="AD17" t="str">
        <f t="shared" si="8"/>
        <v>Ok</v>
      </c>
      <c r="AE17" t="str">
        <f>IF(AND(Audit_Data[[#This Row],[Year_Birth]]&gt;=1900,Audit_Data[[#This Row],[Year_Birth]]&lt;=2010),"OK","Invalid")</f>
        <v>OK</v>
      </c>
      <c r="AF17" t="str">
        <f t="shared" si="0"/>
        <v>Valid</v>
      </c>
      <c r="AG17" t="str">
        <f t="shared" si="1"/>
        <v>Valid</v>
      </c>
      <c r="AH17" t="str">
        <f t="shared" si="2"/>
        <v>Valid</v>
      </c>
      <c r="AI17" t="str">
        <f t="shared" si="9"/>
        <v>Valid</v>
      </c>
      <c r="AJ17" t="str">
        <f t="shared" si="10"/>
        <v>Valid</v>
      </c>
      <c r="AK17" t="str">
        <f t="shared" si="11"/>
        <v xml:space="preserve">Valid </v>
      </c>
      <c r="AL17" t="str">
        <f>IF(AND(Audit_Data[[#This Row],[Recency]]&gt;=0,Audit_Data[[#This Row],[Recency]]&lt;=100),"Valid","Invalid")</f>
        <v>Valid</v>
      </c>
      <c r="AM17" t="str">
        <f t="shared" si="3"/>
        <v>Valid</v>
      </c>
      <c r="AN17" t="str">
        <f t="shared" si="4"/>
        <v>Valid</v>
      </c>
      <c r="AO17" t="str">
        <f t="shared" si="5"/>
        <v>Valid</v>
      </c>
      <c r="AP17" t="str">
        <f t="shared" si="12"/>
        <v>Valid</v>
      </c>
      <c r="AQ17" t="str">
        <f>IF(Audit_Data[[#This Row],[Z_CostContact]]=3,"Valid","Invalid")</f>
        <v>Valid</v>
      </c>
      <c r="AR17" t="str">
        <f t="shared" si="6"/>
        <v>Valid</v>
      </c>
      <c r="AS17" t="str">
        <f t="shared" si="7"/>
        <v>Valid</v>
      </c>
    </row>
    <row r="18" spans="1:45" x14ac:dyDescent="0.3">
      <c r="A18">
        <v>9736</v>
      </c>
      <c r="B18">
        <v>1980</v>
      </c>
      <c r="C18" t="s">
        <v>29</v>
      </c>
      <c r="D18" t="s">
        <v>33</v>
      </c>
      <c r="E18">
        <v>41850</v>
      </c>
      <c r="F18">
        <v>1</v>
      </c>
      <c r="G18">
        <v>1</v>
      </c>
      <c r="H18" s="1">
        <v>41267</v>
      </c>
      <c r="I18">
        <v>51</v>
      </c>
      <c r="J18">
        <v>53</v>
      </c>
      <c r="K18">
        <v>5</v>
      </c>
      <c r="L18">
        <v>19</v>
      </c>
      <c r="M18">
        <v>2</v>
      </c>
      <c r="N18">
        <v>13</v>
      </c>
      <c r="O18">
        <v>4</v>
      </c>
      <c r="P18">
        <v>3</v>
      </c>
      <c r="Q18">
        <v>3</v>
      </c>
      <c r="R18">
        <v>0</v>
      </c>
      <c r="S18">
        <v>3</v>
      </c>
      <c r="T18">
        <v>8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3</v>
      </c>
      <c r="AB18">
        <v>11</v>
      </c>
      <c r="AC18">
        <v>0</v>
      </c>
      <c r="AD18" t="str">
        <f t="shared" si="8"/>
        <v>Ok</v>
      </c>
      <c r="AE18" t="str">
        <f>IF(AND(Audit_Data[[#This Row],[Year_Birth]]&gt;=1900,Audit_Data[[#This Row],[Year_Birth]]&lt;=2010),"OK","Invalid")</f>
        <v>OK</v>
      </c>
      <c r="AF18" t="str">
        <f t="shared" si="0"/>
        <v>Valid</v>
      </c>
      <c r="AG18" t="str">
        <f t="shared" si="1"/>
        <v>Valid</v>
      </c>
      <c r="AH18" t="str">
        <f t="shared" si="2"/>
        <v>Valid</v>
      </c>
      <c r="AI18" t="str">
        <f t="shared" si="9"/>
        <v>Valid</v>
      </c>
      <c r="AJ18" t="str">
        <f t="shared" si="10"/>
        <v>Valid</v>
      </c>
      <c r="AK18" t="str">
        <f t="shared" si="11"/>
        <v xml:space="preserve">Valid </v>
      </c>
      <c r="AL18" t="str">
        <f>IF(AND(Audit_Data[[#This Row],[Recency]]&gt;=0,Audit_Data[[#This Row],[Recency]]&lt;=100),"Valid","Invalid")</f>
        <v>Valid</v>
      </c>
      <c r="AM18" t="str">
        <f t="shared" si="3"/>
        <v>Valid</v>
      </c>
      <c r="AN18" t="str">
        <f t="shared" si="4"/>
        <v>Valid</v>
      </c>
      <c r="AO18" t="str">
        <f t="shared" si="5"/>
        <v>Valid</v>
      </c>
      <c r="AP18" t="str">
        <f t="shared" si="12"/>
        <v>Valid</v>
      </c>
      <c r="AQ18" t="str">
        <f>IF(Audit_Data[[#This Row],[Z_CostContact]]=3,"Valid","Invalid")</f>
        <v>Valid</v>
      </c>
      <c r="AR18" t="str">
        <f t="shared" si="6"/>
        <v>Valid</v>
      </c>
      <c r="AS18" t="str">
        <f t="shared" si="7"/>
        <v>Valid</v>
      </c>
    </row>
    <row r="19" spans="1:45" x14ac:dyDescent="0.3">
      <c r="A19">
        <v>4939</v>
      </c>
      <c r="B19">
        <v>1946</v>
      </c>
      <c r="C19" t="s">
        <v>29</v>
      </c>
      <c r="D19" t="s">
        <v>31</v>
      </c>
      <c r="E19">
        <v>37760</v>
      </c>
      <c r="F19">
        <v>0</v>
      </c>
      <c r="G19">
        <v>0</v>
      </c>
      <c r="H19" s="1">
        <v>41152</v>
      </c>
      <c r="I19">
        <v>20</v>
      </c>
      <c r="J19">
        <v>84</v>
      </c>
      <c r="K19">
        <v>5</v>
      </c>
      <c r="L19">
        <v>38</v>
      </c>
      <c r="M19">
        <v>150</v>
      </c>
      <c r="N19">
        <v>12</v>
      </c>
      <c r="O19">
        <v>28</v>
      </c>
      <c r="P19">
        <v>2</v>
      </c>
      <c r="Q19">
        <v>4</v>
      </c>
      <c r="R19">
        <v>1</v>
      </c>
      <c r="S19">
        <v>6</v>
      </c>
      <c r="T19">
        <v>7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</v>
      </c>
      <c r="AB19">
        <v>11</v>
      </c>
      <c r="AC19">
        <v>0</v>
      </c>
      <c r="AD19" t="str">
        <f t="shared" si="8"/>
        <v>Ok</v>
      </c>
      <c r="AE19" t="str">
        <f>IF(AND(Audit_Data[[#This Row],[Year_Birth]]&gt;=1900,Audit_Data[[#This Row],[Year_Birth]]&lt;=2010),"OK","Invalid")</f>
        <v>OK</v>
      </c>
      <c r="AF19" t="str">
        <f t="shared" si="0"/>
        <v>Valid</v>
      </c>
      <c r="AG19" t="str">
        <f t="shared" si="1"/>
        <v>Valid</v>
      </c>
      <c r="AH19" t="str">
        <f t="shared" si="2"/>
        <v>Valid</v>
      </c>
      <c r="AI19" t="str">
        <f t="shared" si="9"/>
        <v>Valid</v>
      </c>
      <c r="AJ19" t="str">
        <f t="shared" si="10"/>
        <v>Valid</v>
      </c>
      <c r="AK19" t="str">
        <f t="shared" si="11"/>
        <v xml:space="preserve">Valid </v>
      </c>
      <c r="AL19" t="str">
        <f>IF(AND(Audit_Data[[#This Row],[Recency]]&gt;=0,Audit_Data[[#This Row],[Recency]]&lt;=100),"Valid","Invalid")</f>
        <v>Valid</v>
      </c>
      <c r="AM19" t="str">
        <f t="shared" si="3"/>
        <v>Valid</v>
      </c>
      <c r="AN19" t="str">
        <f t="shared" si="4"/>
        <v>Valid</v>
      </c>
      <c r="AO19" t="str">
        <f t="shared" si="5"/>
        <v>Valid</v>
      </c>
      <c r="AP19" t="str">
        <f t="shared" si="12"/>
        <v>Valid</v>
      </c>
      <c r="AQ19" t="str">
        <f>IF(Audit_Data[[#This Row],[Z_CostContact]]=3,"Valid","Invalid")</f>
        <v>Valid</v>
      </c>
      <c r="AR19" t="str">
        <f t="shared" si="6"/>
        <v>Valid</v>
      </c>
      <c r="AS19" t="str">
        <f t="shared" si="7"/>
        <v>Valid</v>
      </c>
    </row>
    <row r="20" spans="1:45" x14ac:dyDescent="0.3">
      <c r="A20">
        <v>6565</v>
      </c>
      <c r="B20">
        <v>1949</v>
      </c>
      <c r="C20" t="s">
        <v>34</v>
      </c>
      <c r="D20" t="s">
        <v>33</v>
      </c>
      <c r="E20">
        <v>76995</v>
      </c>
      <c r="F20">
        <v>0</v>
      </c>
      <c r="G20">
        <v>1</v>
      </c>
      <c r="H20" s="1">
        <v>41361</v>
      </c>
      <c r="I20">
        <v>91</v>
      </c>
      <c r="J20">
        <v>1012</v>
      </c>
      <c r="K20">
        <v>80</v>
      </c>
      <c r="L20">
        <v>498</v>
      </c>
      <c r="M20">
        <v>0</v>
      </c>
      <c r="N20">
        <v>16</v>
      </c>
      <c r="O20">
        <v>176</v>
      </c>
      <c r="P20">
        <v>2</v>
      </c>
      <c r="Q20">
        <v>11</v>
      </c>
      <c r="R20">
        <v>4</v>
      </c>
      <c r="S20">
        <v>9</v>
      </c>
      <c r="T20">
        <v>5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3</v>
      </c>
      <c r="AB20">
        <v>11</v>
      </c>
      <c r="AC20">
        <v>0</v>
      </c>
      <c r="AD20" t="str">
        <f t="shared" si="8"/>
        <v>Ok</v>
      </c>
      <c r="AE20" t="str">
        <f>IF(AND(Audit_Data[[#This Row],[Year_Birth]]&gt;=1900,Audit_Data[[#This Row],[Year_Birth]]&lt;=2010),"OK","Invalid")</f>
        <v>OK</v>
      </c>
      <c r="AF20" t="str">
        <f t="shared" si="0"/>
        <v>Valid</v>
      </c>
      <c r="AG20" t="str">
        <f t="shared" si="1"/>
        <v>Valid</v>
      </c>
      <c r="AH20" t="str">
        <f t="shared" si="2"/>
        <v>Valid</v>
      </c>
      <c r="AI20" t="str">
        <f t="shared" si="9"/>
        <v>Valid</v>
      </c>
      <c r="AJ20" t="str">
        <f t="shared" si="10"/>
        <v>Valid</v>
      </c>
      <c r="AK20" t="str">
        <f t="shared" si="11"/>
        <v xml:space="preserve">Valid </v>
      </c>
      <c r="AL20" t="str">
        <f>IF(AND(Audit_Data[[#This Row],[Recency]]&gt;=0,Audit_Data[[#This Row],[Recency]]&lt;=100),"Valid","Invalid")</f>
        <v>Valid</v>
      </c>
      <c r="AM20" t="str">
        <f t="shared" si="3"/>
        <v>Valid</v>
      </c>
      <c r="AN20" t="str">
        <f t="shared" si="4"/>
        <v>Valid</v>
      </c>
      <c r="AO20" t="str">
        <f t="shared" si="5"/>
        <v>Valid</v>
      </c>
      <c r="AP20" t="str">
        <f t="shared" si="12"/>
        <v>Valid</v>
      </c>
      <c r="AQ20" t="str">
        <f>IF(Audit_Data[[#This Row],[Z_CostContact]]=3,"Valid","Invalid")</f>
        <v>Valid</v>
      </c>
      <c r="AR20" t="str">
        <f t="shared" si="6"/>
        <v>Valid</v>
      </c>
      <c r="AS20" t="str">
        <f t="shared" si="7"/>
        <v>Valid</v>
      </c>
    </row>
    <row r="21" spans="1:45" x14ac:dyDescent="0.3">
      <c r="A21">
        <v>2278</v>
      </c>
      <c r="B21">
        <v>1985</v>
      </c>
      <c r="C21" t="s">
        <v>37</v>
      </c>
      <c r="D21" t="s">
        <v>30</v>
      </c>
      <c r="E21">
        <v>33812</v>
      </c>
      <c r="F21">
        <v>1</v>
      </c>
      <c r="G21">
        <v>0</v>
      </c>
      <c r="H21" s="1">
        <v>41216</v>
      </c>
      <c r="I21">
        <v>86</v>
      </c>
      <c r="J21">
        <v>4</v>
      </c>
      <c r="K21">
        <v>17</v>
      </c>
      <c r="L21">
        <v>19</v>
      </c>
      <c r="M21">
        <v>30</v>
      </c>
      <c r="N21">
        <v>24</v>
      </c>
      <c r="O21">
        <v>39</v>
      </c>
      <c r="P21">
        <v>2</v>
      </c>
      <c r="Q21">
        <v>2</v>
      </c>
      <c r="R21">
        <v>1</v>
      </c>
      <c r="S21">
        <v>3</v>
      </c>
      <c r="T21">
        <v>6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3</v>
      </c>
      <c r="AB21">
        <v>11</v>
      </c>
      <c r="AC21">
        <v>0</v>
      </c>
      <c r="AD21" t="str">
        <f t="shared" si="8"/>
        <v>Ok</v>
      </c>
      <c r="AE21" t="str">
        <f>IF(AND(Audit_Data[[#This Row],[Year_Birth]]&gt;=1900,Audit_Data[[#This Row],[Year_Birth]]&lt;=2010),"OK","Invalid")</f>
        <v>OK</v>
      </c>
      <c r="AF21" t="str">
        <f t="shared" si="0"/>
        <v>Valid</v>
      </c>
      <c r="AG21" t="str">
        <f t="shared" si="1"/>
        <v>Valid</v>
      </c>
      <c r="AH21" t="str">
        <f t="shared" si="2"/>
        <v>Valid</v>
      </c>
      <c r="AI21" t="str">
        <f t="shared" si="9"/>
        <v>Valid</v>
      </c>
      <c r="AJ21" t="str">
        <f t="shared" si="10"/>
        <v>Valid</v>
      </c>
      <c r="AK21" t="str">
        <f t="shared" si="11"/>
        <v xml:space="preserve">Valid </v>
      </c>
      <c r="AL21" t="str">
        <f>IF(AND(Audit_Data[[#This Row],[Recency]]&gt;=0,Audit_Data[[#This Row],[Recency]]&lt;=100),"Valid","Invalid")</f>
        <v>Valid</v>
      </c>
      <c r="AM21" t="str">
        <f t="shared" si="3"/>
        <v>Valid</v>
      </c>
      <c r="AN21" t="str">
        <f t="shared" si="4"/>
        <v>Valid</v>
      </c>
      <c r="AO21" t="str">
        <f t="shared" si="5"/>
        <v>Valid</v>
      </c>
      <c r="AP21" t="str">
        <f t="shared" si="12"/>
        <v>Valid</v>
      </c>
      <c r="AQ21" t="str">
        <f>IF(Audit_Data[[#This Row],[Z_CostContact]]=3,"Valid","Invalid")</f>
        <v>Valid</v>
      </c>
      <c r="AR21" t="str">
        <f t="shared" si="6"/>
        <v>Valid</v>
      </c>
      <c r="AS21" t="str">
        <f t="shared" si="7"/>
        <v>Valid</v>
      </c>
    </row>
    <row r="22" spans="1:45" x14ac:dyDescent="0.3">
      <c r="A22">
        <v>9360</v>
      </c>
      <c r="B22">
        <v>1982</v>
      </c>
      <c r="C22" t="s">
        <v>29</v>
      </c>
      <c r="D22" t="s">
        <v>33</v>
      </c>
      <c r="E22">
        <v>37040</v>
      </c>
      <c r="F22">
        <v>0</v>
      </c>
      <c r="G22">
        <v>0</v>
      </c>
      <c r="H22" s="1">
        <v>41129</v>
      </c>
      <c r="I22">
        <v>41</v>
      </c>
      <c r="J22">
        <v>86</v>
      </c>
      <c r="K22">
        <v>2</v>
      </c>
      <c r="L22">
        <v>73</v>
      </c>
      <c r="M22">
        <v>69</v>
      </c>
      <c r="N22">
        <v>38</v>
      </c>
      <c r="O22">
        <v>48</v>
      </c>
      <c r="P22">
        <v>1</v>
      </c>
      <c r="Q22">
        <v>4</v>
      </c>
      <c r="R22">
        <v>2</v>
      </c>
      <c r="S22">
        <v>5</v>
      </c>
      <c r="T22">
        <v>8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3</v>
      </c>
      <c r="AB22">
        <v>11</v>
      </c>
      <c r="AC22">
        <v>0</v>
      </c>
      <c r="AD22" t="str">
        <f t="shared" si="8"/>
        <v>Ok</v>
      </c>
      <c r="AE22" t="str">
        <f>IF(AND(Audit_Data[[#This Row],[Year_Birth]]&gt;=1900,Audit_Data[[#This Row],[Year_Birth]]&lt;=2010),"OK","Invalid")</f>
        <v>OK</v>
      </c>
      <c r="AF22" t="str">
        <f t="shared" si="0"/>
        <v>Valid</v>
      </c>
      <c r="AG22" t="str">
        <f t="shared" si="1"/>
        <v>Valid</v>
      </c>
      <c r="AH22" t="str">
        <f t="shared" si="2"/>
        <v>Valid</v>
      </c>
      <c r="AI22" t="str">
        <f t="shared" si="9"/>
        <v>Valid</v>
      </c>
      <c r="AJ22" t="str">
        <f t="shared" si="10"/>
        <v>Valid</v>
      </c>
      <c r="AK22" t="str">
        <f t="shared" si="11"/>
        <v xml:space="preserve">Valid </v>
      </c>
      <c r="AL22" t="str">
        <f>IF(AND(Audit_Data[[#This Row],[Recency]]&gt;=0,Audit_Data[[#This Row],[Recency]]&lt;=100),"Valid","Invalid")</f>
        <v>Valid</v>
      </c>
      <c r="AM22" t="str">
        <f t="shared" si="3"/>
        <v>Valid</v>
      </c>
      <c r="AN22" t="str">
        <f t="shared" si="4"/>
        <v>Valid</v>
      </c>
      <c r="AO22" t="str">
        <f t="shared" si="5"/>
        <v>Valid</v>
      </c>
      <c r="AP22" t="str">
        <f t="shared" si="12"/>
        <v>Valid</v>
      </c>
      <c r="AQ22" t="str">
        <f>IF(Audit_Data[[#This Row],[Z_CostContact]]=3,"Valid","Invalid")</f>
        <v>Valid</v>
      </c>
      <c r="AR22" t="str">
        <f t="shared" si="6"/>
        <v>Valid</v>
      </c>
      <c r="AS22" t="str">
        <f t="shared" si="7"/>
        <v>Valid</v>
      </c>
    </row>
    <row r="23" spans="1:45" x14ac:dyDescent="0.3">
      <c r="A23">
        <v>5376</v>
      </c>
      <c r="B23">
        <v>1979</v>
      </c>
      <c r="C23" t="s">
        <v>29</v>
      </c>
      <c r="D23" t="s">
        <v>33</v>
      </c>
      <c r="E23">
        <v>2447</v>
      </c>
      <c r="F23">
        <v>1</v>
      </c>
      <c r="G23">
        <v>0</v>
      </c>
      <c r="H23" s="1">
        <v>41280</v>
      </c>
      <c r="I23">
        <v>42</v>
      </c>
      <c r="J23">
        <v>1</v>
      </c>
      <c r="K23">
        <v>1</v>
      </c>
      <c r="L23">
        <v>1725</v>
      </c>
      <c r="M23">
        <v>1</v>
      </c>
      <c r="N23">
        <v>1</v>
      </c>
      <c r="O23">
        <v>1</v>
      </c>
      <c r="P23">
        <v>15</v>
      </c>
      <c r="Q23">
        <v>0</v>
      </c>
      <c r="R23">
        <v>28</v>
      </c>
      <c r="S23">
        <v>0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3</v>
      </c>
      <c r="AB23">
        <v>11</v>
      </c>
      <c r="AC23">
        <v>0</v>
      </c>
      <c r="AD23" t="str">
        <f t="shared" si="8"/>
        <v>Ok</v>
      </c>
      <c r="AE23" t="str">
        <f>IF(AND(Audit_Data[[#This Row],[Year_Birth]]&gt;=1900,Audit_Data[[#This Row],[Year_Birth]]&lt;=2010),"OK","Invalid")</f>
        <v>OK</v>
      </c>
      <c r="AF23" t="str">
        <f t="shared" si="0"/>
        <v>Valid</v>
      </c>
      <c r="AG23" t="str">
        <f t="shared" si="1"/>
        <v>Valid</v>
      </c>
      <c r="AH23" t="str">
        <f t="shared" si="2"/>
        <v>Valid</v>
      </c>
      <c r="AI23" t="str">
        <f t="shared" si="9"/>
        <v>Valid</v>
      </c>
      <c r="AJ23" t="str">
        <f t="shared" si="10"/>
        <v>Valid</v>
      </c>
      <c r="AK23" t="str">
        <f t="shared" si="11"/>
        <v xml:space="preserve">Valid </v>
      </c>
      <c r="AL23" t="str">
        <f>IF(AND(Audit_Data[[#This Row],[Recency]]&gt;=0,Audit_Data[[#This Row],[Recency]]&lt;=100),"Valid","Invalid")</f>
        <v>Valid</v>
      </c>
      <c r="AM23" t="str">
        <f t="shared" si="3"/>
        <v>Valid</v>
      </c>
      <c r="AN23" t="str">
        <f t="shared" si="4"/>
        <v>Valid</v>
      </c>
      <c r="AO23" t="str">
        <f t="shared" si="5"/>
        <v>Valid</v>
      </c>
      <c r="AP23" t="str">
        <f t="shared" si="12"/>
        <v>Valid</v>
      </c>
      <c r="AQ23" t="str">
        <f>IF(Audit_Data[[#This Row],[Z_CostContact]]=3,"Valid","Invalid")</f>
        <v>Valid</v>
      </c>
      <c r="AR23" t="str">
        <f t="shared" si="6"/>
        <v>Valid</v>
      </c>
      <c r="AS23" t="str">
        <f t="shared" si="7"/>
        <v>Valid</v>
      </c>
    </row>
    <row r="24" spans="1:45" x14ac:dyDescent="0.3">
      <c r="A24">
        <v>1993</v>
      </c>
      <c r="B24">
        <v>1949</v>
      </c>
      <c r="C24" t="s">
        <v>32</v>
      </c>
      <c r="D24" t="s">
        <v>33</v>
      </c>
      <c r="E24">
        <v>58607</v>
      </c>
      <c r="F24">
        <v>0</v>
      </c>
      <c r="G24">
        <v>1</v>
      </c>
      <c r="H24" s="1">
        <v>41266</v>
      </c>
      <c r="I24">
        <v>63</v>
      </c>
      <c r="J24">
        <v>867</v>
      </c>
      <c r="K24">
        <v>0</v>
      </c>
      <c r="L24">
        <v>86</v>
      </c>
      <c r="M24">
        <v>0</v>
      </c>
      <c r="N24">
        <v>0</v>
      </c>
      <c r="O24">
        <v>19</v>
      </c>
      <c r="P24">
        <v>3</v>
      </c>
      <c r="Q24">
        <v>2</v>
      </c>
      <c r="R24">
        <v>3</v>
      </c>
      <c r="S24">
        <v>9</v>
      </c>
      <c r="T24">
        <v>8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3</v>
      </c>
      <c r="AB24">
        <v>11</v>
      </c>
      <c r="AC24">
        <v>0</v>
      </c>
      <c r="AD24" t="str">
        <f t="shared" si="8"/>
        <v>Ok</v>
      </c>
      <c r="AE24" t="str">
        <f>IF(AND(Audit_Data[[#This Row],[Year_Birth]]&gt;=1900,Audit_Data[[#This Row],[Year_Birth]]&lt;=2010),"OK","Invalid")</f>
        <v>OK</v>
      </c>
      <c r="AF24" t="str">
        <f t="shared" si="0"/>
        <v>Valid</v>
      </c>
      <c r="AG24" t="str">
        <f t="shared" si="1"/>
        <v>Valid</v>
      </c>
      <c r="AH24" t="str">
        <f t="shared" si="2"/>
        <v>Valid</v>
      </c>
      <c r="AI24" t="str">
        <f t="shared" si="9"/>
        <v>Valid</v>
      </c>
      <c r="AJ24" t="str">
        <f t="shared" si="10"/>
        <v>Valid</v>
      </c>
      <c r="AK24" t="str">
        <f t="shared" si="11"/>
        <v xml:space="preserve">Valid </v>
      </c>
      <c r="AL24" t="str">
        <f>IF(AND(Audit_Data[[#This Row],[Recency]]&gt;=0,Audit_Data[[#This Row],[Recency]]&lt;=100),"Valid","Invalid")</f>
        <v>Valid</v>
      </c>
      <c r="AM24" t="str">
        <f t="shared" si="3"/>
        <v>Valid</v>
      </c>
      <c r="AN24" t="str">
        <f t="shared" si="4"/>
        <v>Valid</v>
      </c>
      <c r="AO24" t="str">
        <f t="shared" si="5"/>
        <v>Valid</v>
      </c>
      <c r="AP24" t="str">
        <f t="shared" si="12"/>
        <v>Valid</v>
      </c>
      <c r="AQ24" t="str">
        <f>IF(Audit_Data[[#This Row],[Z_CostContact]]=3,"Valid","Invalid")</f>
        <v>Valid</v>
      </c>
      <c r="AR24" t="str">
        <f t="shared" si="6"/>
        <v>Valid</v>
      </c>
      <c r="AS24" t="str">
        <f t="shared" si="7"/>
        <v>Valid</v>
      </c>
    </row>
    <row r="25" spans="1:45" x14ac:dyDescent="0.3">
      <c r="A25">
        <v>4047</v>
      </c>
      <c r="B25">
        <v>1954</v>
      </c>
      <c r="C25" t="s">
        <v>32</v>
      </c>
      <c r="D25" t="s">
        <v>33</v>
      </c>
      <c r="E25">
        <v>65324</v>
      </c>
      <c r="F25">
        <v>0</v>
      </c>
      <c r="G25">
        <v>1</v>
      </c>
      <c r="H25" s="1">
        <v>41650</v>
      </c>
      <c r="I25">
        <v>0</v>
      </c>
      <c r="J25">
        <v>384</v>
      </c>
      <c r="K25">
        <v>0</v>
      </c>
      <c r="L25">
        <v>102</v>
      </c>
      <c r="M25">
        <v>21</v>
      </c>
      <c r="N25">
        <v>32</v>
      </c>
      <c r="O25">
        <v>5</v>
      </c>
      <c r="P25">
        <v>3</v>
      </c>
      <c r="Q25">
        <v>6</v>
      </c>
      <c r="R25">
        <v>2</v>
      </c>
      <c r="S25">
        <v>9</v>
      </c>
      <c r="T25">
        <v>4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3</v>
      </c>
      <c r="AB25">
        <v>11</v>
      </c>
      <c r="AC25">
        <v>0</v>
      </c>
      <c r="AD25" t="str">
        <f t="shared" si="8"/>
        <v>Ok</v>
      </c>
      <c r="AE25" t="str">
        <f>IF(AND(Audit_Data[[#This Row],[Year_Birth]]&gt;=1900,Audit_Data[[#This Row],[Year_Birth]]&lt;=2010),"OK","Invalid")</f>
        <v>OK</v>
      </c>
      <c r="AF25" t="str">
        <f t="shared" si="0"/>
        <v>Valid</v>
      </c>
      <c r="AG25" t="str">
        <f t="shared" si="1"/>
        <v>Valid</v>
      </c>
      <c r="AH25" t="str">
        <f t="shared" si="2"/>
        <v>Valid</v>
      </c>
      <c r="AI25" t="str">
        <f t="shared" si="9"/>
        <v>Valid</v>
      </c>
      <c r="AJ25" t="str">
        <f t="shared" si="10"/>
        <v>Valid</v>
      </c>
      <c r="AK25" t="str">
        <f t="shared" si="11"/>
        <v xml:space="preserve">Valid </v>
      </c>
      <c r="AL25" t="str">
        <f>IF(AND(Audit_Data[[#This Row],[Recency]]&gt;=0,Audit_Data[[#This Row],[Recency]]&lt;=100),"Valid","Invalid")</f>
        <v>Valid</v>
      </c>
      <c r="AM25" t="str">
        <f t="shared" si="3"/>
        <v>Valid</v>
      </c>
      <c r="AN25" t="str">
        <f t="shared" si="4"/>
        <v>Valid</v>
      </c>
      <c r="AO25" t="str">
        <f t="shared" si="5"/>
        <v>Valid</v>
      </c>
      <c r="AP25" t="str">
        <f t="shared" si="12"/>
        <v>Valid</v>
      </c>
      <c r="AQ25" t="str">
        <f>IF(Audit_Data[[#This Row],[Z_CostContact]]=3,"Valid","Invalid")</f>
        <v>Valid</v>
      </c>
      <c r="AR25" t="str">
        <f t="shared" si="6"/>
        <v>Valid</v>
      </c>
      <c r="AS25" t="str">
        <f t="shared" si="7"/>
        <v>Valid</v>
      </c>
    </row>
    <row r="26" spans="1:45" x14ac:dyDescent="0.3">
      <c r="A26">
        <v>1409</v>
      </c>
      <c r="B26">
        <v>1951</v>
      </c>
      <c r="C26" t="s">
        <v>29</v>
      </c>
      <c r="D26" t="s">
        <v>31</v>
      </c>
      <c r="E26">
        <v>40689</v>
      </c>
      <c r="F26">
        <v>0</v>
      </c>
      <c r="G26">
        <v>1</v>
      </c>
      <c r="H26" s="1">
        <v>41351</v>
      </c>
      <c r="I26">
        <v>69</v>
      </c>
      <c r="J26">
        <v>270</v>
      </c>
      <c r="K26">
        <v>3</v>
      </c>
      <c r="L26">
        <v>27</v>
      </c>
      <c r="M26">
        <v>39</v>
      </c>
      <c r="N26">
        <v>6</v>
      </c>
      <c r="O26">
        <v>99</v>
      </c>
      <c r="P26">
        <v>7</v>
      </c>
      <c r="Q26">
        <v>7</v>
      </c>
      <c r="R26">
        <v>1</v>
      </c>
      <c r="S26">
        <v>5</v>
      </c>
      <c r="T26">
        <v>8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3</v>
      </c>
      <c r="AB26">
        <v>11</v>
      </c>
      <c r="AC26">
        <v>0</v>
      </c>
      <c r="AD26" t="str">
        <f t="shared" si="8"/>
        <v>Ok</v>
      </c>
      <c r="AE26" t="str">
        <f>IF(AND(Audit_Data[[#This Row],[Year_Birth]]&gt;=1900,Audit_Data[[#This Row],[Year_Birth]]&lt;=2010),"OK","Invalid")</f>
        <v>OK</v>
      </c>
      <c r="AF26" t="str">
        <f t="shared" si="0"/>
        <v>Valid</v>
      </c>
      <c r="AG26" t="str">
        <f t="shared" si="1"/>
        <v>Valid</v>
      </c>
      <c r="AH26" t="str">
        <f t="shared" si="2"/>
        <v>Valid</v>
      </c>
      <c r="AI26" t="str">
        <f t="shared" si="9"/>
        <v>Valid</v>
      </c>
      <c r="AJ26" t="str">
        <f t="shared" si="10"/>
        <v>Valid</v>
      </c>
      <c r="AK26" t="str">
        <f t="shared" si="11"/>
        <v xml:space="preserve">Valid </v>
      </c>
      <c r="AL26" t="str">
        <f>IF(AND(Audit_Data[[#This Row],[Recency]]&gt;=0,Audit_Data[[#This Row],[Recency]]&lt;=100),"Valid","Invalid")</f>
        <v>Valid</v>
      </c>
      <c r="AM26" t="str">
        <f t="shared" si="3"/>
        <v>Valid</v>
      </c>
      <c r="AN26" t="str">
        <f t="shared" si="4"/>
        <v>Valid</v>
      </c>
      <c r="AO26" t="str">
        <f t="shared" si="5"/>
        <v>Valid</v>
      </c>
      <c r="AP26" t="str">
        <f t="shared" si="12"/>
        <v>Valid</v>
      </c>
      <c r="AQ26" t="str">
        <f>IF(Audit_Data[[#This Row],[Z_CostContact]]=3,"Valid","Invalid")</f>
        <v>Valid</v>
      </c>
      <c r="AR26" t="str">
        <f t="shared" si="6"/>
        <v>Valid</v>
      </c>
      <c r="AS26" t="str">
        <f t="shared" si="7"/>
        <v>Valid</v>
      </c>
    </row>
    <row r="27" spans="1:45" x14ac:dyDescent="0.3">
      <c r="A27">
        <v>7892</v>
      </c>
      <c r="B27">
        <v>1969</v>
      </c>
      <c r="C27" t="s">
        <v>29</v>
      </c>
      <c r="D27" t="s">
        <v>30</v>
      </c>
      <c r="E27">
        <v>18589</v>
      </c>
      <c r="F27">
        <v>0</v>
      </c>
      <c r="G27">
        <v>0</v>
      </c>
      <c r="H27" s="1">
        <v>41276</v>
      </c>
      <c r="I27">
        <v>89</v>
      </c>
      <c r="J27">
        <v>6</v>
      </c>
      <c r="K27">
        <v>4</v>
      </c>
      <c r="L27">
        <v>25</v>
      </c>
      <c r="M27">
        <v>15</v>
      </c>
      <c r="N27">
        <v>12</v>
      </c>
      <c r="O27">
        <v>13</v>
      </c>
      <c r="P27">
        <v>2</v>
      </c>
      <c r="Q27">
        <v>2</v>
      </c>
      <c r="R27">
        <v>1</v>
      </c>
      <c r="S27">
        <v>3</v>
      </c>
      <c r="T27">
        <v>7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3</v>
      </c>
      <c r="AB27">
        <v>11</v>
      </c>
      <c r="AC27">
        <v>0</v>
      </c>
      <c r="AD27" t="str">
        <f t="shared" si="8"/>
        <v>Ok</v>
      </c>
      <c r="AE27" t="str">
        <f>IF(AND(Audit_Data[[#This Row],[Year_Birth]]&gt;=1900,Audit_Data[[#This Row],[Year_Birth]]&lt;=2010),"OK","Invalid")</f>
        <v>OK</v>
      </c>
      <c r="AF27" t="str">
        <f t="shared" si="0"/>
        <v>Valid</v>
      </c>
      <c r="AG27" t="str">
        <f t="shared" si="1"/>
        <v>Valid</v>
      </c>
      <c r="AH27" t="str">
        <f t="shared" si="2"/>
        <v>Valid</v>
      </c>
      <c r="AI27" t="str">
        <f t="shared" si="9"/>
        <v>Valid</v>
      </c>
      <c r="AJ27" t="str">
        <f t="shared" si="10"/>
        <v>Valid</v>
      </c>
      <c r="AK27" t="str">
        <f t="shared" si="11"/>
        <v xml:space="preserve">Valid </v>
      </c>
      <c r="AL27" t="str">
        <f>IF(AND(Audit_Data[[#This Row],[Recency]]&gt;=0,Audit_Data[[#This Row],[Recency]]&lt;=100),"Valid","Invalid")</f>
        <v>Valid</v>
      </c>
      <c r="AM27" t="str">
        <f t="shared" si="3"/>
        <v>Valid</v>
      </c>
      <c r="AN27" t="str">
        <f t="shared" si="4"/>
        <v>Valid</v>
      </c>
      <c r="AO27" t="str">
        <f t="shared" si="5"/>
        <v>Valid</v>
      </c>
      <c r="AP27" t="str">
        <f t="shared" si="12"/>
        <v>Valid</v>
      </c>
      <c r="AQ27" t="str">
        <f>IF(Audit_Data[[#This Row],[Z_CostContact]]=3,"Valid","Invalid")</f>
        <v>Valid</v>
      </c>
      <c r="AR27" t="str">
        <f t="shared" si="6"/>
        <v>Valid</v>
      </c>
      <c r="AS27" t="str">
        <f t="shared" si="7"/>
        <v>Valid</v>
      </c>
    </row>
    <row r="28" spans="1:45" x14ac:dyDescent="0.3">
      <c r="A28">
        <v>2404</v>
      </c>
      <c r="B28">
        <v>1976</v>
      </c>
      <c r="C28" t="s">
        <v>29</v>
      </c>
      <c r="D28" t="s">
        <v>33</v>
      </c>
      <c r="E28">
        <v>53359</v>
      </c>
      <c r="F28">
        <v>1</v>
      </c>
      <c r="G28">
        <v>1</v>
      </c>
      <c r="H28" s="1">
        <v>41421</v>
      </c>
      <c r="I28">
        <v>4</v>
      </c>
      <c r="J28">
        <v>173</v>
      </c>
      <c r="K28">
        <v>4</v>
      </c>
      <c r="L28">
        <v>30</v>
      </c>
      <c r="M28">
        <v>3</v>
      </c>
      <c r="N28">
        <v>6</v>
      </c>
      <c r="O28">
        <v>41</v>
      </c>
      <c r="P28">
        <v>4</v>
      </c>
      <c r="Q28">
        <v>5</v>
      </c>
      <c r="R28">
        <v>1</v>
      </c>
      <c r="S28">
        <v>4</v>
      </c>
      <c r="T28">
        <v>7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3</v>
      </c>
      <c r="AB28">
        <v>11</v>
      </c>
      <c r="AC28">
        <v>0</v>
      </c>
      <c r="AD28" t="str">
        <f t="shared" si="8"/>
        <v>Ok</v>
      </c>
      <c r="AE28" t="str">
        <f>IF(AND(Audit_Data[[#This Row],[Year_Birth]]&gt;=1900,Audit_Data[[#This Row],[Year_Birth]]&lt;=2010),"OK","Invalid")</f>
        <v>OK</v>
      </c>
      <c r="AF28" t="str">
        <f t="shared" si="0"/>
        <v>Valid</v>
      </c>
      <c r="AG28" t="str">
        <f t="shared" si="1"/>
        <v>Valid</v>
      </c>
      <c r="AH28" t="str">
        <f t="shared" si="2"/>
        <v>Valid</v>
      </c>
      <c r="AI28" t="str">
        <f t="shared" si="9"/>
        <v>Valid</v>
      </c>
      <c r="AJ28" t="str">
        <f t="shared" si="10"/>
        <v>Valid</v>
      </c>
      <c r="AK28" t="str">
        <f t="shared" si="11"/>
        <v xml:space="preserve">Valid </v>
      </c>
      <c r="AL28" t="str">
        <f>IF(AND(Audit_Data[[#This Row],[Recency]]&gt;=0,Audit_Data[[#This Row],[Recency]]&lt;=100),"Valid","Invalid")</f>
        <v>Valid</v>
      </c>
      <c r="AM28" t="str">
        <f t="shared" si="3"/>
        <v>Valid</v>
      </c>
      <c r="AN28" t="str">
        <f t="shared" si="4"/>
        <v>Valid</v>
      </c>
      <c r="AO28" t="str">
        <f t="shared" si="5"/>
        <v>Valid</v>
      </c>
      <c r="AP28" t="str">
        <f t="shared" si="12"/>
        <v>Valid</v>
      </c>
      <c r="AQ28" t="str">
        <f>IF(Audit_Data[[#This Row],[Z_CostContact]]=3,"Valid","Invalid")</f>
        <v>Valid</v>
      </c>
      <c r="AR28" t="str">
        <f t="shared" si="6"/>
        <v>Valid</v>
      </c>
      <c r="AS28" t="str">
        <f t="shared" si="7"/>
        <v>Valid</v>
      </c>
    </row>
    <row r="29" spans="1:45" x14ac:dyDescent="0.3">
      <c r="A29">
        <v>5255</v>
      </c>
      <c r="B29">
        <v>1986</v>
      </c>
      <c r="C29" t="s">
        <v>29</v>
      </c>
      <c r="D29" t="s">
        <v>30</v>
      </c>
      <c r="F29">
        <v>1</v>
      </c>
      <c r="G29">
        <v>0</v>
      </c>
      <c r="H29" s="1">
        <v>41325</v>
      </c>
      <c r="I29">
        <v>19</v>
      </c>
      <c r="J29">
        <v>5</v>
      </c>
      <c r="K29">
        <v>1</v>
      </c>
      <c r="L29">
        <v>3</v>
      </c>
      <c r="M29">
        <v>3</v>
      </c>
      <c r="N29">
        <v>263</v>
      </c>
      <c r="O29">
        <v>362</v>
      </c>
      <c r="P29">
        <v>0</v>
      </c>
      <c r="Q29">
        <v>27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3</v>
      </c>
      <c r="AB29">
        <v>11</v>
      </c>
      <c r="AC29">
        <v>0</v>
      </c>
      <c r="AD29" t="str">
        <f t="shared" si="8"/>
        <v>Ok</v>
      </c>
      <c r="AE29" t="str">
        <f>IF(AND(Audit_Data[[#This Row],[Year_Birth]]&gt;=1900,Audit_Data[[#This Row],[Year_Birth]]&lt;=2010),"OK","Invalid")</f>
        <v>OK</v>
      </c>
      <c r="AF29" t="str">
        <f t="shared" si="0"/>
        <v>Valid</v>
      </c>
      <c r="AG29" t="str">
        <f t="shared" si="1"/>
        <v>Valid</v>
      </c>
      <c r="AH29" t="str">
        <f t="shared" si="2"/>
        <v>Invalid</v>
      </c>
      <c r="AI29" t="str">
        <f t="shared" si="9"/>
        <v>Valid</v>
      </c>
      <c r="AJ29" t="str">
        <f t="shared" si="10"/>
        <v>Valid</v>
      </c>
      <c r="AK29" t="str">
        <f t="shared" si="11"/>
        <v xml:space="preserve">Valid </v>
      </c>
      <c r="AL29" t="str">
        <f>IF(AND(Audit_Data[[#This Row],[Recency]]&gt;=0,Audit_Data[[#This Row],[Recency]]&lt;=100),"Valid","Invalid")</f>
        <v>Valid</v>
      </c>
      <c r="AM29" t="str">
        <f t="shared" si="3"/>
        <v>Valid</v>
      </c>
      <c r="AN29" t="str">
        <f t="shared" si="4"/>
        <v>Valid</v>
      </c>
      <c r="AO29" t="str">
        <f t="shared" si="5"/>
        <v>Valid</v>
      </c>
      <c r="AP29" t="str">
        <f t="shared" si="12"/>
        <v>Valid</v>
      </c>
      <c r="AQ29" t="str">
        <f>IF(Audit_Data[[#This Row],[Z_CostContact]]=3,"Valid","Invalid")</f>
        <v>Valid</v>
      </c>
      <c r="AR29" t="str">
        <f t="shared" si="6"/>
        <v>Valid</v>
      </c>
      <c r="AS29" t="str">
        <f t="shared" si="7"/>
        <v>Valid</v>
      </c>
    </row>
    <row r="30" spans="1:45" x14ac:dyDescent="0.3">
      <c r="A30">
        <v>9422</v>
      </c>
      <c r="B30">
        <v>1989</v>
      </c>
      <c r="C30" t="s">
        <v>29</v>
      </c>
      <c r="D30" t="s">
        <v>33</v>
      </c>
      <c r="E30">
        <v>38360</v>
      </c>
      <c r="F30">
        <v>1</v>
      </c>
      <c r="G30">
        <v>0</v>
      </c>
      <c r="H30" s="1">
        <v>41425</v>
      </c>
      <c r="I30">
        <v>26</v>
      </c>
      <c r="J30">
        <v>36</v>
      </c>
      <c r="K30">
        <v>2</v>
      </c>
      <c r="L30">
        <v>42</v>
      </c>
      <c r="M30">
        <v>20</v>
      </c>
      <c r="N30">
        <v>21</v>
      </c>
      <c r="O30">
        <v>10</v>
      </c>
      <c r="P30">
        <v>2</v>
      </c>
      <c r="Q30">
        <v>2</v>
      </c>
      <c r="R30">
        <v>1</v>
      </c>
      <c r="S30">
        <v>4</v>
      </c>
      <c r="T30">
        <v>3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3</v>
      </c>
      <c r="AB30">
        <v>11</v>
      </c>
      <c r="AC30">
        <v>0</v>
      </c>
      <c r="AD30" t="str">
        <f t="shared" si="8"/>
        <v>Ok</v>
      </c>
      <c r="AE30" t="str">
        <f>IF(AND(Audit_Data[[#This Row],[Year_Birth]]&gt;=1900,Audit_Data[[#This Row],[Year_Birth]]&lt;=2010),"OK","Invalid")</f>
        <v>OK</v>
      </c>
      <c r="AF30" t="str">
        <f t="shared" si="0"/>
        <v>Valid</v>
      </c>
      <c r="AG30" t="str">
        <f t="shared" si="1"/>
        <v>Valid</v>
      </c>
      <c r="AH30" t="str">
        <f t="shared" si="2"/>
        <v>Valid</v>
      </c>
      <c r="AI30" t="str">
        <f t="shared" si="9"/>
        <v>Valid</v>
      </c>
      <c r="AJ30" t="str">
        <f t="shared" si="10"/>
        <v>Valid</v>
      </c>
      <c r="AK30" t="str">
        <f t="shared" si="11"/>
        <v xml:space="preserve">Valid </v>
      </c>
      <c r="AL30" t="str">
        <f>IF(AND(Audit_Data[[#This Row],[Recency]]&gt;=0,Audit_Data[[#This Row],[Recency]]&lt;=100),"Valid","Invalid")</f>
        <v>Valid</v>
      </c>
      <c r="AM30" t="str">
        <f t="shared" si="3"/>
        <v>Valid</v>
      </c>
      <c r="AN30" t="str">
        <f t="shared" si="4"/>
        <v>Valid</v>
      </c>
      <c r="AO30" t="str">
        <f t="shared" si="5"/>
        <v>Valid</v>
      </c>
      <c r="AP30" t="str">
        <f t="shared" si="12"/>
        <v>Valid</v>
      </c>
      <c r="AQ30" t="str">
        <f>IF(Audit_Data[[#This Row],[Z_CostContact]]=3,"Valid","Invalid")</f>
        <v>Valid</v>
      </c>
      <c r="AR30" t="str">
        <f t="shared" si="6"/>
        <v>Valid</v>
      </c>
      <c r="AS30" t="str">
        <f t="shared" si="7"/>
        <v>Valid</v>
      </c>
    </row>
    <row r="31" spans="1:45" x14ac:dyDescent="0.3">
      <c r="A31">
        <v>1966</v>
      </c>
      <c r="B31">
        <v>1965</v>
      </c>
      <c r="C31" t="s">
        <v>32</v>
      </c>
      <c r="D31" t="s">
        <v>33</v>
      </c>
      <c r="E31">
        <v>84618</v>
      </c>
      <c r="F31">
        <v>0</v>
      </c>
      <c r="G31">
        <v>0</v>
      </c>
      <c r="H31" s="1">
        <v>41600</v>
      </c>
      <c r="I31">
        <v>96</v>
      </c>
      <c r="J31">
        <v>684</v>
      </c>
      <c r="K31">
        <v>100</v>
      </c>
      <c r="L31">
        <v>801</v>
      </c>
      <c r="M31">
        <v>21</v>
      </c>
      <c r="N31">
        <v>66</v>
      </c>
      <c r="O31">
        <v>0</v>
      </c>
      <c r="P31">
        <v>1</v>
      </c>
      <c r="Q31">
        <v>6</v>
      </c>
      <c r="R31">
        <v>9</v>
      </c>
      <c r="S31">
        <v>10</v>
      </c>
      <c r="T31">
        <v>2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3</v>
      </c>
      <c r="AB31">
        <v>11</v>
      </c>
      <c r="AC31">
        <v>0</v>
      </c>
      <c r="AD31" t="str">
        <f t="shared" si="8"/>
        <v>Ok</v>
      </c>
      <c r="AE31" t="str">
        <f>IF(AND(Audit_Data[[#This Row],[Year_Birth]]&gt;=1900,Audit_Data[[#This Row],[Year_Birth]]&lt;=2010),"OK","Invalid")</f>
        <v>OK</v>
      </c>
      <c r="AF31" t="str">
        <f t="shared" si="0"/>
        <v>Valid</v>
      </c>
      <c r="AG31" t="str">
        <f t="shared" si="1"/>
        <v>Valid</v>
      </c>
      <c r="AH31" t="str">
        <f t="shared" si="2"/>
        <v>Valid</v>
      </c>
      <c r="AI31" t="str">
        <f t="shared" si="9"/>
        <v>Valid</v>
      </c>
      <c r="AJ31" t="str">
        <f t="shared" si="10"/>
        <v>Valid</v>
      </c>
      <c r="AK31" t="str">
        <f t="shared" si="11"/>
        <v xml:space="preserve">Valid </v>
      </c>
      <c r="AL31" t="str">
        <f>IF(AND(Audit_Data[[#This Row],[Recency]]&gt;=0,Audit_Data[[#This Row],[Recency]]&lt;=100),"Valid","Invalid")</f>
        <v>Valid</v>
      </c>
      <c r="AM31" t="str">
        <f t="shared" si="3"/>
        <v>Valid</v>
      </c>
      <c r="AN31" t="str">
        <f t="shared" si="4"/>
        <v>Valid</v>
      </c>
      <c r="AO31" t="str">
        <f t="shared" si="5"/>
        <v>Valid</v>
      </c>
      <c r="AP31" t="str">
        <f t="shared" si="12"/>
        <v>Valid</v>
      </c>
      <c r="AQ31" t="str">
        <f>IF(Audit_Data[[#This Row],[Z_CostContact]]=3,"Valid","Invalid")</f>
        <v>Valid</v>
      </c>
      <c r="AR31" t="str">
        <f t="shared" si="6"/>
        <v>Valid</v>
      </c>
      <c r="AS31" t="str">
        <f t="shared" si="7"/>
        <v>Valid</v>
      </c>
    </row>
    <row r="32" spans="1:45" x14ac:dyDescent="0.3">
      <c r="A32">
        <v>6864</v>
      </c>
      <c r="B32">
        <v>1989</v>
      </c>
      <c r="C32" t="s">
        <v>34</v>
      </c>
      <c r="D32" t="s">
        <v>35</v>
      </c>
      <c r="E32">
        <v>10979</v>
      </c>
      <c r="F32">
        <v>0</v>
      </c>
      <c r="G32">
        <v>0</v>
      </c>
      <c r="H32" s="1">
        <v>41781</v>
      </c>
      <c r="I32">
        <v>34</v>
      </c>
      <c r="J32">
        <v>8</v>
      </c>
      <c r="K32">
        <v>4</v>
      </c>
      <c r="L32">
        <v>10</v>
      </c>
      <c r="M32">
        <v>2</v>
      </c>
      <c r="N32">
        <v>2</v>
      </c>
      <c r="O32">
        <v>4</v>
      </c>
      <c r="P32">
        <v>2</v>
      </c>
      <c r="Q32">
        <v>3</v>
      </c>
      <c r="R32">
        <v>0</v>
      </c>
      <c r="S32">
        <v>3</v>
      </c>
      <c r="T32">
        <v>5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3</v>
      </c>
      <c r="AB32">
        <v>11</v>
      </c>
      <c r="AC32">
        <v>0</v>
      </c>
      <c r="AD32" t="str">
        <f t="shared" si="8"/>
        <v>Ok</v>
      </c>
      <c r="AE32" t="str">
        <f>IF(AND(Audit_Data[[#This Row],[Year_Birth]]&gt;=1900,Audit_Data[[#This Row],[Year_Birth]]&lt;=2010),"OK","Invalid")</f>
        <v>OK</v>
      </c>
      <c r="AF32" t="str">
        <f t="shared" si="0"/>
        <v>Valid</v>
      </c>
      <c r="AG32" t="str">
        <f t="shared" si="1"/>
        <v>Valid</v>
      </c>
      <c r="AH32" t="str">
        <f t="shared" si="2"/>
        <v>Valid</v>
      </c>
      <c r="AI32" t="str">
        <f t="shared" si="9"/>
        <v>Valid</v>
      </c>
      <c r="AJ32" t="str">
        <f t="shared" si="10"/>
        <v>Valid</v>
      </c>
      <c r="AK32" t="str">
        <f t="shared" si="11"/>
        <v xml:space="preserve">Valid </v>
      </c>
      <c r="AL32" t="str">
        <f>IF(AND(Audit_Data[[#This Row],[Recency]]&gt;=0,Audit_Data[[#This Row],[Recency]]&lt;=100),"Valid","Invalid")</f>
        <v>Valid</v>
      </c>
      <c r="AM32" t="str">
        <f t="shared" si="3"/>
        <v>Valid</v>
      </c>
      <c r="AN32" t="str">
        <f t="shared" si="4"/>
        <v>Valid</v>
      </c>
      <c r="AO32" t="str">
        <f t="shared" si="5"/>
        <v>Valid</v>
      </c>
      <c r="AP32" t="str">
        <f t="shared" si="12"/>
        <v>Valid</v>
      </c>
      <c r="AQ32" t="str">
        <f>IF(Audit_Data[[#This Row],[Z_CostContact]]=3,"Valid","Invalid")</f>
        <v>Valid</v>
      </c>
      <c r="AR32" t="str">
        <f t="shared" si="6"/>
        <v>Valid</v>
      </c>
      <c r="AS32" t="str">
        <f t="shared" si="7"/>
        <v>Valid</v>
      </c>
    </row>
    <row r="33" spans="1:45" x14ac:dyDescent="0.3">
      <c r="A33">
        <v>3033</v>
      </c>
      <c r="B33">
        <v>1963</v>
      </c>
      <c r="C33" t="s">
        <v>34</v>
      </c>
      <c r="D33" t="s">
        <v>31</v>
      </c>
      <c r="E33">
        <v>38620</v>
      </c>
      <c r="F33">
        <v>0</v>
      </c>
      <c r="G33">
        <v>0</v>
      </c>
      <c r="H33" s="1">
        <v>41405</v>
      </c>
      <c r="I33">
        <v>56</v>
      </c>
      <c r="J33">
        <v>112</v>
      </c>
      <c r="K33">
        <v>17</v>
      </c>
      <c r="L33">
        <v>44</v>
      </c>
      <c r="M33">
        <v>34</v>
      </c>
      <c r="N33">
        <v>22</v>
      </c>
      <c r="O33">
        <v>89</v>
      </c>
      <c r="P33">
        <v>1</v>
      </c>
      <c r="Q33">
        <v>2</v>
      </c>
      <c r="R33">
        <v>5</v>
      </c>
      <c r="S33">
        <v>3</v>
      </c>
      <c r="T33">
        <v>3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3</v>
      </c>
      <c r="AB33">
        <v>11</v>
      </c>
      <c r="AC33">
        <v>0</v>
      </c>
      <c r="AD33" t="str">
        <f t="shared" si="8"/>
        <v>Ok</v>
      </c>
      <c r="AE33" t="str">
        <f>IF(AND(Audit_Data[[#This Row],[Year_Birth]]&gt;=1900,Audit_Data[[#This Row],[Year_Birth]]&lt;=2010),"OK","Invalid")</f>
        <v>OK</v>
      </c>
      <c r="AF33" t="str">
        <f t="shared" si="0"/>
        <v>Valid</v>
      </c>
      <c r="AG33" t="str">
        <f t="shared" si="1"/>
        <v>Valid</v>
      </c>
      <c r="AH33" t="str">
        <f t="shared" si="2"/>
        <v>Valid</v>
      </c>
      <c r="AI33" t="str">
        <f t="shared" si="9"/>
        <v>Valid</v>
      </c>
      <c r="AJ33" t="str">
        <f t="shared" si="10"/>
        <v>Valid</v>
      </c>
      <c r="AK33" t="str">
        <f t="shared" si="11"/>
        <v xml:space="preserve">Valid </v>
      </c>
      <c r="AL33" t="str">
        <f>IF(AND(Audit_Data[[#This Row],[Recency]]&gt;=0,Audit_Data[[#This Row],[Recency]]&lt;=100),"Valid","Invalid")</f>
        <v>Valid</v>
      </c>
      <c r="AM33" t="str">
        <f t="shared" si="3"/>
        <v>Valid</v>
      </c>
      <c r="AN33" t="str">
        <f t="shared" si="4"/>
        <v>Valid</v>
      </c>
      <c r="AO33" t="str">
        <f t="shared" si="5"/>
        <v>Valid</v>
      </c>
      <c r="AP33" t="str">
        <f t="shared" si="12"/>
        <v>Valid</v>
      </c>
      <c r="AQ33" t="str">
        <f>IF(Audit_Data[[#This Row],[Z_CostContact]]=3,"Valid","Invalid")</f>
        <v>Valid</v>
      </c>
      <c r="AR33" t="str">
        <f t="shared" si="6"/>
        <v>Valid</v>
      </c>
      <c r="AS33" t="str">
        <f t="shared" si="7"/>
        <v>Valid</v>
      </c>
    </row>
    <row r="34" spans="1:45" x14ac:dyDescent="0.3">
      <c r="A34">
        <v>5710</v>
      </c>
      <c r="B34">
        <v>1970</v>
      </c>
      <c r="C34" t="s">
        <v>29</v>
      </c>
      <c r="D34" t="s">
        <v>31</v>
      </c>
      <c r="E34">
        <v>40548</v>
      </c>
      <c r="F34">
        <v>0</v>
      </c>
      <c r="G34">
        <v>1</v>
      </c>
      <c r="H34" s="1">
        <v>41192</v>
      </c>
      <c r="I34">
        <v>31</v>
      </c>
      <c r="J34">
        <v>110</v>
      </c>
      <c r="K34">
        <v>0</v>
      </c>
      <c r="L34">
        <v>5</v>
      </c>
      <c r="M34">
        <v>2</v>
      </c>
      <c r="N34">
        <v>0</v>
      </c>
      <c r="O34">
        <v>3</v>
      </c>
      <c r="P34">
        <v>2</v>
      </c>
      <c r="Q34">
        <v>2</v>
      </c>
      <c r="R34">
        <v>1</v>
      </c>
      <c r="S34">
        <v>4</v>
      </c>
      <c r="T34">
        <v>5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3</v>
      </c>
      <c r="AB34">
        <v>11</v>
      </c>
      <c r="AC34">
        <v>0</v>
      </c>
      <c r="AD34" t="str">
        <f t="shared" si="8"/>
        <v>Ok</v>
      </c>
      <c r="AE34" t="str">
        <f>IF(AND(Audit_Data[[#This Row],[Year_Birth]]&gt;=1900,Audit_Data[[#This Row],[Year_Birth]]&lt;=2010),"OK","Invalid")</f>
        <v>OK</v>
      </c>
      <c r="AF34" t="str">
        <f t="shared" si="0"/>
        <v>Valid</v>
      </c>
      <c r="AG34" t="str">
        <f t="shared" si="1"/>
        <v>Valid</v>
      </c>
      <c r="AH34" t="str">
        <f t="shared" si="2"/>
        <v>Valid</v>
      </c>
      <c r="AI34" t="str">
        <f t="shared" si="9"/>
        <v>Valid</v>
      </c>
      <c r="AJ34" t="str">
        <f t="shared" si="10"/>
        <v>Valid</v>
      </c>
      <c r="AK34" t="str">
        <f t="shared" si="11"/>
        <v xml:space="preserve">Valid </v>
      </c>
      <c r="AL34" t="str">
        <f>IF(AND(Audit_Data[[#This Row],[Recency]]&gt;=0,Audit_Data[[#This Row],[Recency]]&lt;=100),"Valid","Invalid")</f>
        <v>Valid</v>
      </c>
      <c r="AM34" t="str">
        <f t="shared" si="3"/>
        <v>Valid</v>
      </c>
      <c r="AN34" t="str">
        <f t="shared" si="4"/>
        <v>Valid</v>
      </c>
      <c r="AO34" t="str">
        <f t="shared" si="5"/>
        <v>Valid</v>
      </c>
      <c r="AP34" t="str">
        <f t="shared" si="12"/>
        <v>Valid</v>
      </c>
      <c r="AQ34" t="str">
        <f>IF(Audit_Data[[#This Row],[Z_CostContact]]=3,"Valid","Invalid")</f>
        <v>Valid</v>
      </c>
      <c r="AR34" t="str">
        <f t="shared" si="6"/>
        <v>Valid</v>
      </c>
      <c r="AS34" t="str">
        <f t="shared" si="7"/>
        <v>Valid</v>
      </c>
    </row>
    <row r="35" spans="1:45" x14ac:dyDescent="0.3">
      <c r="A35">
        <v>7373</v>
      </c>
      <c r="B35">
        <v>1952</v>
      </c>
      <c r="C35" t="s">
        <v>32</v>
      </c>
      <c r="D35" t="s">
        <v>35</v>
      </c>
      <c r="E35">
        <v>46610</v>
      </c>
      <c r="F35">
        <v>0</v>
      </c>
      <c r="G35">
        <v>2</v>
      </c>
      <c r="H35" s="1">
        <v>41211</v>
      </c>
      <c r="I35">
        <v>8</v>
      </c>
      <c r="J35">
        <v>96</v>
      </c>
      <c r="K35">
        <v>12</v>
      </c>
      <c r="L35">
        <v>96</v>
      </c>
      <c r="M35">
        <v>33</v>
      </c>
      <c r="N35">
        <v>22</v>
      </c>
      <c r="O35">
        <v>43</v>
      </c>
      <c r="P35">
        <v>6</v>
      </c>
      <c r="Q35">
        <v>4</v>
      </c>
      <c r="R35">
        <v>1</v>
      </c>
      <c r="S35">
        <v>6</v>
      </c>
      <c r="T35">
        <v>6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3</v>
      </c>
      <c r="AB35">
        <v>11</v>
      </c>
      <c r="AC35">
        <v>1</v>
      </c>
      <c r="AD35" t="str">
        <f t="shared" si="8"/>
        <v>Ok</v>
      </c>
      <c r="AE35" t="str">
        <f>IF(AND(Audit_Data[[#This Row],[Year_Birth]]&gt;=1900,Audit_Data[[#This Row],[Year_Birth]]&lt;=2010),"OK","Invalid")</f>
        <v>OK</v>
      </c>
      <c r="AF35" t="str">
        <f t="shared" si="0"/>
        <v>Valid</v>
      </c>
      <c r="AG35" t="str">
        <f t="shared" si="1"/>
        <v>Valid</v>
      </c>
      <c r="AH35" t="str">
        <f t="shared" si="2"/>
        <v>Valid</v>
      </c>
      <c r="AI35" t="str">
        <f t="shared" si="9"/>
        <v>Valid</v>
      </c>
      <c r="AJ35" t="str">
        <f t="shared" si="10"/>
        <v>Valid</v>
      </c>
      <c r="AK35" t="str">
        <f t="shared" si="11"/>
        <v xml:space="preserve">Valid </v>
      </c>
      <c r="AL35" t="str">
        <f>IF(AND(Audit_Data[[#This Row],[Recency]]&gt;=0,Audit_Data[[#This Row],[Recency]]&lt;=100),"Valid","Invalid")</f>
        <v>Valid</v>
      </c>
      <c r="AM35" t="str">
        <f t="shared" si="3"/>
        <v>Valid</v>
      </c>
      <c r="AN35" t="str">
        <f t="shared" si="4"/>
        <v>Valid</v>
      </c>
      <c r="AO35" t="str">
        <f t="shared" si="5"/>
        <v>Valid</v>
      </c>
      <c r="AP35" t="str">
        <f t="shared" si="12"/>
        <v>Valid</v>
      </c>
      <c r="AQ35" t="str">
        <f>IF(Audit_Data[[#This Row],[Z_CostContact]]=3,"Valid","Invalid")</f>
        <v>Valid</v>
      </c>
      <c r="AR35" t="str">
        <f t="shared" si="6"/>
        <v>Valid</v>
      </c>
      <c r="AS35" t="str">
        <f t="shared" si="7"/>
        <v>Valid</v>
      </c>
    </row>
    <row r="36" spans="1:45" x14ac:dyDescent="0.3">
      <c r="A36">
        <v>8755</v>
      </c>
      <c r="B36">
        <v>1946</v>
      </c>
      <c r="C36" t="s">
        <v>34</v>
      </c>
      <c r="D36" t="s">
        <v>33</v>
      </c>
      <c r="E36">
        <v>68657</v>
      </c>
      <c r="F36">
        <v>0</v>
      </c>
      <c r="G36">
        <v>0</v>
      </c>
      <c r="H36" s="1">
        <v>41325</v>
      </c>
      <c r="I36">
        <v>4</v>
      </c>
      <c r="J36">
        <v>482</v>
      </c>
      <c r="K36">
        <v>34</v>
      </c>
      <c r="L36">
        <v>471</v>
      </c>
      <c r="M36">
        <v>119</v>
      </c>
      <c r="N36">
        <v>68</v>
      </c>
      <c r="O36">
        <v>22</v>
      </c>
      <c r="P36">
        <v>1</v>
      </c>
      <c r="Q36">
        <v>3</v>
      </c>
      <c r="R36">
        <v>5</v>
      </c>
      <c r="S36">
        <v>9</v>
      </c>
      <c r="T36">
        <v>7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3</v>
      </c>
      <c r="AB36">
        <v>11</v>
      </c>
      <c r="AC36">
        <v>0</v>
      </c>
      <c r="AD36" t="str">
        <f t="shared" si="8"/>
        <v>Ok</v>
      </c>
      <c r="AE36" t="str">
        <f>IF(AND(Audit_Data[[#This Row],[Year_Birth]]&gt;=1900,Audit_Data[[#This Row],[Year_Birth]]&lt;=2010),"OK","Invalid")</f>
        <v>OK</v>
      </c>
      <c r="AF36" t="str">
        <f t="shared" si="0"/>
        <v>Valid</v>
      </c>
      <c r="AG36" t="str">
        <f t="shared" si="1"/>
        <v>Valid</v>
      </c>
      <c r="AH36" t="str">
        <f t="shared" si="2"/>
        <v>Valid</v>
      </c>
      <c r="AI36" t="str">
        <f t="shared" si="9"/>
        <v>Valid</v>
      </c>
      <c r="AJ36" t="str">
        <f t="shared" si="10"/>
        <v>Valid</v>
      </c>
      <c r="AK36" t="str">
        <f t="shared" si="11"/>
        <v xml:space="preserve">Valid </v>
      </c>
      <c r="AL36" t="str">
        <f>IF(AND(Audit_Data[[#This Row],[Recency]]&gt;=0,Audit_Data[[#This Row],[Recency]]&lt;=100),"Valid","Invalid")</f>
        <v>Valid</v>
      </c>
      <c r="AM36" t="str">
        <f t="shared" si="3"/>
        <v>Valid</v>
      </c>
      <c r="AN36" t="str">
        <f t="shared" si="4"/>
        <v>Valid</v>
      </c>
      <c r="AO36" t="str">
        <f t="shared" si="5"/>
        <v>Valid</v>
      </c>
      <c r="AP36" t="str">
        <f t="shared" si="12"/>
        <v>Valid</v>
      </c>
      <c r="AQ36" t="str">
        <f>IF(Audit_Data[[#This Row],[Z_CostContact]]=3,"Valid","Invalid")</f>
        <v>Valid</v>
      </c>
      <c r="AR36" t="str">
        <f t="shared" si="6"/>
        <v>Valid</v>
      </c>
      <c r="AS36" t="str">
        <f t="shared" si="7"/>
        <v>Valid</v>
      </c>
    </row>
    <row r="37" spans="1:45" x14ac:dyDescent="0.3">
      <c r="A37">
        <v>10738</v>
      </c>
      <c r="B37">
        <v>1951</v>
      </c>
      <c r="C37" t="s">
        <v>34</v>
      </c>
      <c r="D37" t="s">
        <v>30</v>
      </c>
      <c r="E37">
        <v>49389</v>
      </c>
      <c r="F37">
        <v>1</v>
      </c>
      <c r="G37">
        <v>1</v>
      </c>
      <c r="H37" s="1">
        <v>41515</v>
      </c>
      <c r="I37">
        <v>55</v>
      </c>
      <c r="J37">
        <v>40</v>
      </c>
      <c r="K37">
        <v>0</v>
      </c>
      <c r="L37">
        <v>19</v>
      </c>
      <c r="M37">
        <v>2</v>
      </c>
      <c r="N37">
        <v>1</v>
      </c>
      <c r="O37">
        <v>3</v>
      </c>
      <c r="P37">
        <v>1</v>
      </c>
      <c r="Q37">
        <v>2</v>
      </c>
      <c r="R37">
        <v>0</v>
      </c>
      <c r="S37">
        <v>3</v>
      </c>
      <c r="T37">
        <v>7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3</v>
      </c>
      <c r="AB37">
        <v>11</v>
      </c>
      <c r="AC37">
        <v>0</v>
      </c>
      <c r="AD37" t="str">
        <f t="shared" si="8"/>
        <v>Ok</v>
      </c>
      <c r="AE37" t="str">
        <f>IF(AND(Audit_Data[[#This Row],[Year_Birth]]&gt;=1900,Audit_Data[[#This Row],[Year_Birth]]&lt;=2010),"OK","Invalid")</f>
        <v>OK</v>
      </c>
      <c r="AF37" t="str">
        <f t="shared" si="0"/>
        <v>Valid</v>
      </c>
      <c r="AG37" t="str">
        <f t="shared" si="1"/>
        <v>Valid</v>
      </c>
      <c r="AH37" t="str">
        <f t="shared" si="2"/>
        <v>Valid</v>
      </c>
      <c r="AI37" t="str">
        <f t="shared" si="9"/>
        <v>Valid</v>
      </c>
      <c r="AJ37" t="str">
        <f t="shared" si="10"/>
        <v>Valid</v>
      </c>
      <c r="AK37" t="str">
        <f t="shared" si="11"/>
        <v xml:space="preserve">Valid </v>
      </c>
      <c r="AL37" t="str">
        <f>IF(AND(Audit_Data[[#This Row],[Recency]]&gt;=0,Audit_Data[[#This Row],[Recency]]&lt;=100),"Valid","Invalid")</f>
        <v>Valid</v>
      </c>
      <c r="AM37" t="str">
        <f t="shared" si="3"/>
        <v>Valid</v>
      </c>
      <c r="AN37" t="str">
        <f t="shared" si="4"/>
        <v>Valid</v>
      </c>
      <c r="AO37" t="str">
        <f t="shared" si="5"/>
        <v>Valid</v>
      </c>
      <c r="AP37" t="str">
        <f t="shared" si="12"/>
        <v>Valid</v>
      </c>
      <c r="AQ37" t="str">
        <f>IF(Audit_Data[[#This Row],[Z_CostContact]]=3,"Valid","Invalid")</f>
        <v>Valid</v>
      </c>
      <c r="AR37" t="str">
        <f t="shared" si="6"/>
        <v>Valid</v>
      </c>
      <c r="AS37" t="str">
        <f t="shared" si="7"/>
        <v>Valid</v>
      </c>
    </row>
    <row r="38" spans="1:45" x14ac:dyDescent="0.3">
      <c r="A38">
        <v>4339</v>
      </c>
      <c r="B38">
        <v>1970</v>
      </c>
      <c r="C38" t="s">
        <v>32</v>
      </c>
      <c r="D38" t="s">
        <v>33</v>
      </c>
      <c r="E38">
        <v>67353</v>
      </c>
      <c r="F38">
        <v>0</v>
      </c>
      <c r="G38">
        <v>1</v>
      </c>
      <c r="H38" s="1">
        <v>41639</v>
      </c>
      <c r="I38">
        <v>37</v>
      </c>
      <c r="J38">
        <v>702</v>
      </c>
      <c r="K38">
        <v>17</v>
      </c>
      <c r="L38">
        <v>151</v>
      </c>
      <c r="M38">
        <v>0</v>
      </c>
      <c r="N38">
        <v>8</v>
      </c>
      <c r="O38">
        <v>35</v>
      </c>
      <c r="P38">
        <v>5</v>
      </c>
      <c r="Q38">
        <v>5</v>
      </c>
      <c r="R38">
        <v>6</v>
      </c>
      <c r="S38">
        <v>12</v>
      </c>
      <c r="T38">
        <v>2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3</v>
      </c>
      <c r="AB38">
        <v>11</v>
      </c>
      <c r="AC38">
        <v>0</v>
      </c>
      <c r="AD38" t="str">
        <f t="shared" si="8"/>
        <v>Ok</v>
      </c>
      <c r="AE38" t="str">
        <f>IF(AND(Audit_Data[[#This Row],[Year_Birth]]&gt;=1900,Audit_Data[[#This Row],[Year_Birth]]&lt;=2010),"OK","Invalid")</f>
        <v>OK</v>
      </c>
      <c r="AF38" t="str">
        <f t="shared" si="0"/>
        <v>Valid</v>
      </c>
      <c r="AG38" t="str">
        <f t="shared" si="1"/>
        <v>Valid</v>
      </c>
      <c r="AH38" t="str">
        <f t="shared" si="2"/>
        <v>Valid</v>
      </c>
      <c r="AI38" t="str">
        <f t="shared" si="9"/>
        <v>Valid</v>
      </c>
      <c r="AJ38" t="str">
        <f t="shared" si="10"/>
        <v>Valid</v>
      </c>
      <c r="AK38" t="str">
        <f t="shared" si="11"/>
        <v xml:space="preserve">Valid </v>
      </c>
      <c r="AL38" t="str">
        <f>IF(AND(Audit_Data[[#This Row],[Recency]]&gt;=0,Audit_Data[[#This Row],[Recency]]&lt;=100),"Valid","Invalid")</f>
        <v>Valid</v>
      </c>
      <c r="AM38" t="str">
        <f t="shared" si="3"/>
        <v>Valid</v>
      </c>
      <c r="AN38" t="str">
        <f t="shared" si="4"/>
        <v>Valid</v>
      </c>
      <c r="AO38" t="str">
        <f t="shared" si="5"/>
        <v>Valid</v>
      </c>
      <c r="AP38" t="str">
        <f t="shared" si="12"/>
        <v>Valid</v>
      </c>
      <c r="AQ38" t="str">
        <f>IF(Audit_Data[[#This Row],[Z_CostContact]]=3,"Valid","Invalid")</f>
        <v>Valid</v>
      </c>
      <c r="AR38" t="str">
        <f t="shared" si="6"/>
        <v>Valid</v>
      </c>
      <c r="AS38" t="str">
        <f t="shared" si="7"/>
        <v>Valid</v>
      </c>
    </row>
    <row r="39" spans="1:45" x14ac:dyDescent="0.3">
      <c r="A39">
        <v>10755</v>
      </c>
      <c r="B39">
        <v>1976</v>
      </c>
      <c r="C39" t="s">
        <v>37</v>
      </c>
      <c r="D39" t="s">
        <v>33</v>
      </c>
      <c r="E39">
        <v>23718</v>
      </c>
      <c r="F39">
        <v>1</v>
      </c>
      <c r="G39">
        <v>0</v>
      </c>
      <c r="H39" s="1">
        <v>41519</v>
      </c>
      <c r="I39">
        <v>76</v>
      </c>
      <c r="J39">
        <v>6</v>
      </c>
      <c r="K39">
        <v>3</v>
      </c>
      <c r="L39">
        <v>14</v>
      </c>
      <c r="M39">
        <v>15</v>
      </c>
      <c r="N39">
        <v>7</v>
      </c>
      <c r="O39">
        <v>36</v>
      </c>
      <c r="P39">
        <v>3</v>
      </c>
      <c r="Q39">
        <v>3</v>
      </c>
      <c r="R39">
        <v>1</v>
      </c>
      <c r="S39">
        <v>2</v>
      </c>
      <c r="T39">
        <v>7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3</v>
      </c>
      <c r="AB39">
        <v>11</v>
      </c>
      <c r="AC39">
        <v>0</v>
      </c>
      <c r="AD39" t="str">
        <f t="shared" si="8"/>
        <v>Ok</v>
      </c>
      <c r="AE39" t="str">
        <f>IF(AND(Audit_Data[[#This Row],[Year_Birth]]&gt;=1900,Audit_Data[[#This Row],[Year_Birth]]&lt;=2010),"OK","Invalid")</f>
        <v>OK</v>
      </c>
      <c r="AF39" t="str">
        <f t="shared" si="0"/>
        <v>Valid</v>
      </c>
      <c r="AG39" t="str">
        <f t="shared" si="1"/>
        <v>Valid</v>
      </c>
      <c r="AH39" t="str">
        <f t="shared" si="2"/>
        <v>Valid</v>
      </c>
      <c r="AI39" t="str">
        <f t="shared" si="9"/>
        <v>Valid</v>
      </c>
      <c r="AJ39" t="str">
        <f t="shared" si="10"/>
        <v>Valid</v>
      </c>
      <c r="AK39" t="str">
        <f t="shared" si="11"/>
        <v xml:space="preserve">Valid </v>
      </c>
      <c r="AL39" t="str">
        <f>IF(AND(Audit_Data[[#This Row],[Recency]]&gt;=0,Audit_Data[[#This Row],[Recency]]&lt;=100),"Valid","Invalid")</f>
        <v>Valid</v>
      </c>
      <c r="AM39" t="str">
        <f t="shared" si="3"/>
        <v>Valid</v>
      </c>
      <c r="AN39" t="str">
        <f t="shared" si="4"/>
        <v>Valid</v>
      </c>
      <c r="AO39" t="str">
        <f t="shared" si="5"/>
        <v>Valid</v>
      </c>
      <c r="AP39" t="str">
        <f t="shared" si="12"/>
        <v>Valid</v>
      </c>
      <c r="AQ39" t="str">
        <f>IF(Audit_Data[[#This Row],[Z_CostContact]]=3,"Valid","Invalid")</f>
        <v>Valid</v>
      </c>
      <c r="AR39" t="str">
        <f t="shared" si="6"/>
        <v>Valid</v>
      </c>
      <c r="AS39" t="str">
        <f t="shared" si="7"/>
        <v>Valid</v>
      </c>
    </row>
    <row r="40" spans="1:45" x14ac:dyDescent="0.3">
      <c r="A40">
        <v>8595</v>
      </c>
      <c r="B40">
        <v>1973</v>
      </c>
      <c r="C40" t="s">
        <v>29</v>
      </c>
      <c r="D40" t="s">
        <v>38</v>
      </c>
      <c r="E40">
        <v>42429</v>
      </c>
      <c r="F40">
        <v>0</v>
      </c>
      <c r="G40">
        <v>1</v>
      </c>
      <c r="H40" s="1">
        <v>41681</v>
      </c>
      <c r="I40">
        <v>99</v>
      </c>
      <c r="J40">
        <v>55</v>
      </c>
      <c r="K40">
        <v>0</v>
      </c>
      <c r="L40">
        <v>6</v>
      </c>
      <c r="M40">
        <v>2</v>
      </c>
      <c r="N40">
        <v>0</v>
      </c>
      <c r="O40">
        <v>4</v>
      </c>
      <c r="P40">
        <v>2</v>
      </c>
      <c r="Q40">
        <v>1</v>
      </c>
      <c r="R40">
        <v>1</v>
      </c>
      <c r="S40">
        <v>3</v>
      </c>
      <c r="T40">
        <v>5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3</v>
      </c>
      <c r="AB40">
        <v>11</v>
      </c>
      <c r="AC40">
        <v>0</v>
      </c>
      <c r="AD40" t="str">
        <f t="shared" si="8"/>
        <v>Ok</v>
      </c>
      <c r="AE40" t="str">
        <f>IF(AND(Audit_Data[[#This Row],[Year_Birth]]&gt;=1900,Audit_Data[[#This Row],[Year_Birth]]&lt;=2010),"OK","Invalid")</f>
        <v>OK</v>
      </c>
      <c r="AF40" t="str">
        <f t="shared" si="0"/>
        <v>Valid</v>
      </c>
      <c r="AG40" t="str">
        <f t="shared" si="1"/>
        <v>Valid</v>
      </c>
      <c r="AH40" t="str">
        <f t="shared" si="2"/>
        <v>Valid</v>
      </c>
      <c r="AI40" t="str">
        <f t="shared" si="9"/>
        <v>Valid</v>
      </c>
      <c r="AJ40" t="str">
        <f t="shared" si="10"/>
        <v>Valid</v>
      </c>
      <c r="AK40" t="str">
        <f t="shared" si="11"/>
        <v xml:space="preserve">Valid </v>
      </c>
      <c r="AL40" t="str">
        <f>IF(AND(Audit_Data[[#This Row],[Recency]]&gt;=0,Audit_Data[[#This Row],[Recency]]&lt;=100),"Valid","Invalid")</f>
        <v>Valid</v>
      </c>
      <c r="AM40" t="str">
        <f t="shared" si="3"/>
        <v>Valid</v>
      </c>
      <c r="AN40" t="str">
        <f t="shared" si="4"/>
        <v>Valid</v>
      </c>
      <c r="AO40" t="str">
        <f t="shared" si="5"/>
        <v>Valid</v>
      </c>
      <c r="AP40" t="str">
        <f t="shared" si="12"/>
        <v>Valid</v>
      </c>
      <c r="AQ40" t="str">
        <f>IF(Audit_Data[[#This Row],[Z_CostContact]]=3,"Valid","Invalid")</f>
        <v>Valid</v>
      </c>
      <c r="AR40" t="str">
        <f t="shared" si="6"/>
        <v>Valid</v>
      </c>
      <c r="AS40" t="str">
        <f t="shared" si="7"/>
        <v>Valid</v>
      </c>
    </row>
    <row r="41" spans="1:45" x14ac:dyDescent="0.3">
      <c r="A41">
        <v>2968</v>
      </c>
      <c r="B41">
        <v>1943</v>
      </c>
      <c r="C41" t="s">
        <v>32</v>
      </c>
      <c r="D41" t="s">
        <v>35</v>
      </c>
      <c r="E41">
        <v>48948</v>
      </c>
      <c r="F41">
        <v>0</v>
      </c>
      <c r="G41">
        <v>0</v>
      </c>
      <c r="H41" s="1">
        <v>41306</v>
      </c>
      <c r="I41">
        <v>53</v>
      </c>
      <c r="J41">
        <v>437</v>
      </c>
      <c r="K41">
        <v>8</v>
      </c>
      <c r="L41">
        <v>206</v>
      </c>
      <c r="M41">
        <v>160</v>
      </c>
      <c r="N41">
        <v>49</v>
      </c>
      <c r="O41">
        <v>42</v>
      </c>
      <c r="P41">
        <v>2</v>
      </c>
      <c r="Q41">
        <v>7</v>
      </c>
      <c r="R41">
        <v>10</v>
      </c>
      <c r="S41">
        <v>5</v>
      </c>
      <c r="T41">
        <v>6</v>
      </c>
      <c r="U41">
        <v>1</v>
      </c>
      <c r="V41">
        <v>0</v>
      </c>
      <c r="W41">
        <v>0</v>
      </c>
      <c r="X41">
        <v>0</v>
      </c>
      <c r="Y41">
        <v>0</v>
      </c>
      <c r="Z41">
        <v>0</v>
      </c>
      <c r="AA41">
        <v>3</v>
      </c>
      <c r="AB41">
        <v>11</v>
      </c>
      <c r="AC41">
        <v>1</v>
      </c>
      <c r="AD41" t="str">
        <f t="shared" si="8"/>
        <v>Ok</v>
      </c>
      <c r="AE41" t="str">
        <f>IF(AND(Audit_Data[[#This Row],[Year_Birth]]&gt;=1900,Audit_Data[[#This Row],[Year_Birth]]&lt;=2010),"OK","Invalid")</f>
        <v>OK</v>
      </c>
      <c r="AF41" t="str">
        <f t="shared" si="0"/>
        <v>Valid</v>
      </c>
      <c r="AG41" t="str">
        <f t="shared" si="1"/>
        <v>Valid</v>
      </c>
      <c r="AH41" t="str">
        <f t="shared" si="2"/>
        <v>Valid</v>
      </c>
      <c r="AI41" t="str">
        <f t="shared" si="9"/>
        <v>Valid</v>
      </c>
      <c r="AJ41" t="str">
        <f t="shared" si="10"/>
        <v>Valid</v>
      </c>
      <c r="AK41" t="str">
        <f t="shared" si="11"/>
        <v xml:space="preserve">Valid </v>
      </c>
      <c r="AL41" t="str">
        <f>IF(AND(Audit_Data[[#This Row],[Recency]]&gt;=0,Audit_Data[[#This Row],[Recency]]&lt;=100),"Valid","Invalid")</f>
        <v>Valid</v>
      </c>
      <c r="AM41" t="str">
        <f t="shared" si="3"/>
        <v>Valid</v>
      </c>
      <c r="AN41" t="str">
        <f t="shared" si="4"/>
        <v>Valid</v>
      </c>
      <c r="AO41" t="str">
        <f t="shared" si="5"/>
        <v>Valid</v>
      </c>
      <c r="AP41" t="str">
        <f t="shared" si="12"/>
        <v>Valid</v>
      </c>
      <c r="AQ41" t="str">
        <f>IF(Audit_Data[[#This Row],[Z_CostContact]]=3,"Valid","Invalid")</f>
        <v>Valid</v>
      </c>
      <c r="AR41" t="str">
        <f t="shared" si="6"/>
        <v>Valid</v>
      </c>
      <c r="AS41" t="str">
        <f t="shared" si="7"/>
        <v>Valid</v>
      </c>
    </row>
    <row r="42" spans="1:45" x14ac:dyDescent="0.3">
      <c r="A42">
        <v>8601</v>
      </c>
      <c r="B42">
        <v>1980</v>
      </c>
      <c r="C42" t="s">
        <v>29</v>
      </c>
      <c r="D42" t="s">
        <v>33</v>
      </c>
      <c r="E42">
        <v>80011</v>
      </c>
      <c r="F42">
        <v>0</v>
      </c>
      <c r="G42">
        <v>1</v>
      </c>
      <c r="H42" s="1">
        <v>41393</v>
      </c>
      <c r="I42">
        <v>3</v>
      </c>
      <c r="J42">
        <v>421</v>
      </c>
      <c r="K42">
        <v>76</v>
      </c>
      <c r="L42">
        <v>536</v>
      </c>
      <c r="M42">
        <v>82</v>
      </c>
      <c r="N42">
        <v>178</v>
      </c>
      <c r="O42">
        <v>102</v>
      </c>
      <c r="P42">
        <v>2</v>
      </c>
      <c r="Q42">
        <v>8</v>
      </c>
      <c r="R42">
        <v>6</v>
      </c>
      <c r="S42">
        <v>5</v>
      </c>
      <c r="T42">
        <v>4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3</v>
      </c>
      <c r="AB42">
        <v>11</v>
      </c>
      <c r="AC42">
        <v>0</v>
      </c>
      <c r="AD42" t="str">
        <f t="shared" si="8"/>
        <v>Ok</v>
      </c>
      <c r="AE42" t="str">
        <f>IF(AND(Audit_Data[[#This Row],[Year_Birth]]&gt;=1900,Audit_Data[[#This Row],[Year_Birth]]&lt;=2010),"OK","Invalid")</f>
        <v>OK</v>
      </c>
      <c r="AF42" t="str">
        <f t="shared" si="0"/>
        <v>Valid</v>
      </c>
      <c r="AG42" t="str">
        <f t="shared" si="1"/>
        <v>Valid</v>
      </c>
      <c r="AH42" t="str">
        <f t="shared" si="2"/>
        <v>Valid</v>
      </c>
      <c r="AI42" t="str">
        <f t="shared" si="9"/>
        <v>Valid</v>
      </c>
      <c r="AJ42" t="str">
        <f t="shared" si="10"/>
        <v>Valid</v>
      </c>
      <c r="AK42" t="str">
        <f t="shared" si="11"/>
        <v xml:space="preserve">Valid </v>
      </c>
      <c r="AL42" t="str">
        <f>IF(AND(Audit_Data[[#This Row],[Recency]]&gt;=0,Audit_Data[[#This Row],[Recency]]&lt;=100),"Valid","Invalid")</f>
        <v>Valid</v>
      </c>
      <c r="AM42" t="str">
        <f t="shared" si="3"/>
        <v>Valid</v>
      </c>
      <c r="AN42" t="str">
        <f t="shared" si="4"/>
        <v>Valid</v>
      </c>
      <c r="AO42" t="str">
        <f t="shared" si="5"/>
        <v>Valid</v>
      </c>
      <c r="AP42" t="str">
        <f t="shared" si="12"/>
        <v>Valid</v>
      </c>
      <c r="AQ42" t="str">
        <f>IF(Audit_Data[[#This Row],[Z_CostContact]]=3,"Valid","Invalid")</f>
        <v>Valid</v>
      </c>
      <c r="AR42" t="str">
        <f t="shared" si="6"/>
        <v>Valid</v>
      </c>
      <c r="AS42" t="str">
        <f t="shared" si="7"/>
        <v>Valid</v>
      </c>
    </row>
    <row r="43" spans="1:45" x14ac:dyDescent="0.3">
      <c r="A43">
        <v>503</v>
      </c>
      <c r="B43">
        <v>1985</v>
      </c>
      <c r="C43" t="s">
        <v>34</v>
      </c>
      <c r="D43" t="s">
        <v>33</v>
      </c>
      <c r="E43">
        <v>20559</v>
      </c>
      <c r="F43">
        <v>1</v>
      </c>
      <c r="G43">
        <v>0</v>
      </c>
      <c r="H43" s="1">
        <v>41345</v>
      </c>
      <c r="I43">
        <v>88</v>
      </c>
      <c r="J43">
        <v>13</v>
      </c>
      <c r="K43">
        <v>1</v>
      </c>
      <c r="L43">
        <v>29</v>
      </c>
      <c r="M43">
        <v>3</v>
      </c>
      <c r="N43">
        <v>0</v>
      </c>
      <c r="O43">
        <v>7</v>
      </c>
      <c r="P43">
        <v>2</v>
      </c>
      <c r="Q43">
        <v>2</v>
      </c>
      <c r="R43">
        <v>0</v>
      </c>
      <c r="S43">
        <v>3</v>
      </c>
      <c r="T43">
        <v>8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3</v>
      </c>
      <c r="AB43">
        <v>11</v>
      </c>
      <c r="AC43">
        <v>0</v>
      </c>
      <c r="AD43" t="str">
        <f t="shared" si="8"/>
        <v>Ok</v>
      </c>
      <c r="AE43" t="str">
        <f>IF(AND(Audit_Data[[#This Row],[Year_Birth]]&gt;=1900,Audit_Data[[#This Row],[Year_Birth]]&lt;=2010),"OK","Invalid")</f>
        <v>OK</v>
      </c>
      <c r="AF43" t="str">
        <f t="shared" si="0"/>
        <v>Valid</v>
      </c>
      <c r="AG43" t="str">
        <f t="shared" si="1"/>
        <v>Valid</v>
      </c>
      <c r="AH43" t="str">
        <f t="shared" si="2"/>
        <v>Valid</v>
      </c>
      <c r="AI43" t="str">
        <f t="shared" si="9"/>
        <v>Valid</v>
      </c>
      <c r="AJ43" t="str">
        <f t="shared" si="10"/>
        <v>Valid</v>
      </c>
      <c r="AK43" t="str">
        <f t="shared" si="11"/>
        <v xml:space="preserve">Valid </v>
      </c>
      <c r="AL43" t="str">
        <f>IF(AND(Audit_Data[[#This Row],[Recency]]&gt;=0,Audit_Data[[#This Row],[Recency]]&lt;=100),"Valid","Invalid")</f>
        <v>Valid</v>
      </c>
      <c r="AM43" t="str">
        <f t="shared" si="3"/>
        <v>Valid</v>
      </c>
      <c r="AN43" t="str">
        <f t="shared" si="4"/>
        <v>Valid</v>
      </c>
      <c r="AO43" t="str">
        <f t="shared" si="5"/>
        <v>Valid</v>
      </c>
      <c r="AP43" t="str">
        <f t="shared" si="12"/>
        <v>Valid</v>
      </c>
      <c r="AQ43" t="str">
        <f>IF(Audit_Data[[#This Row],[Z_CostContact]]=3,"Valid","Invalid")</f>
        <v>Valid</v>
      </c>
      <c r="AR43" t="str">
        <f t="shared" si="6"/>
        <v>Valid</v>
      </c>
      <c r="AS43" t="str">
        <f t="shared" si="7"/>
        <v>Valid</v>
      </c>
    </row>
    <row r="44" spans="1:45" x14ac:dyDescent="0.3">
      <c r="A44">
        <v>8430</v>
      </c>
      <c r="B44">
        <v>1957</v>
      </c>
      <c r="C44" t="s">
        <v>29</v>
      </c>
      <c r="D44" t="s">
        <v>31</v>
      </c>
      <c r="E44">
        <v>21994</v>
      </c>
      <c r="F44">
        <v>0</v>
      </c>
      <c r="G44">
        <v>1</v>
      </c>
      <c r="H44" s="1">
        <v>41267</v>
      </c>
      <c r="I44">
        <v>4</v>
      </c>
      <c r="J44">
        <v>9</v>
      </c>
      <c r="K44">
        <v>0</v>
      </c>
      <c r="L44">
        <v>6</v>
      </c>
      <c r="M44">
        <v>3</v>
      </c>
      <c r="N44">
        <v>1</v>
      </c>
      <c r="O44">
        <v>3</v>
      </c>
      <c r="P44">
        <v>1</v>
      </c>
      <c r="Q44">
        <v>0</v>
      </c>
      <c r="R44">
        <v>0</v>
      </c>
      <c r="S44">
        <v>3</v>
      </c>
      <c r="T44">
        <v>5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3</v>
      </c>
      <c r="AB44">
        <v>11</v>
      </c>
      <c r="AC44">
        <v>0</v>
      </c>
      <c r="AD44" t="str">
        <f t="shared" si="8"/>
        <v>Ok</v>
      </c>
      <c r="AE44" t="str">
        <f>IF(AND(Audit_Data[[#This Row],[Year_Birth]]&gt;=1900,Audit_Data[[#This Row],[Year_Birth]]&lt;=2010),"OK","Invalid")</f>
        <v>OK</v>
      </c>
      <c r="AF44" t="str">
        <f t="shared" si="0"/>
        <v>Valid</v>
      </c>
      <c r="AG44" t="str">
        <f t="shared" si="1"/>
        <v>Valid</v>
      </c>
      <c r="AH44" t="str">
        <f t="shared" si="2"/>
        <v>Valid</v>
      </c>
      <c r="AI44" t="str">
        <f t="shared" si="9"/>
        <v>Valid</v>
      </c>
      <c r="AJ44" t="str">
        <f t="shared" si="10"/>
        <v>Valid</v>
      </c>
      <c r="AK44" t="str">
        <f t="shared" si="11"/>
        <v xml:space="preserve">Valid </v>
      </c>
      <c r="AL44" t="str">
        <f>IF(AND(Audit_Data[[#This Row],[Recency]]&gt;=0,Audit_Data[[#This Row],[Recency]]&lt;=100),"Valid","Invalid")</f>
        <v>Valid</v>
      </c>
      <c r="AM44" t="str">
        <f t="shared" si="3"/>
        <v>Valid</v>
      </c>
      <c r="AN44" t="str">
        <f t="shared" si="4"/>
        <v>Valid</v>
      </c>
      <c r="AO44" t="str">
        <f t="shared" si="5"/>
        <v>Valid</v>
      </c>
      <c r="AP44" t="str">
        <f t="shared" si="12"/>
        <v>Valid</v>
      </c>
      <c r="AQ44" t="str">
        <f>IF(Audit_Data[[#This Row],[Z_CostContact]]=3,"Valid","Invalid")</f>
        <v>Valid</v>
      </c>
      <c r="AR44" t="str">
        <f t="shared" si="6"/>
        <v>Valid</v>
      </c>
      <c r="AS44" t="str">
        <f t="shared" si="7"/>
        <v>Valid</v>
      </c>
    </row>
    <row r="45" spans="1:45" x14ac:dyDescent="0.3">
      <c r="A45">
        <v>7281</v>
      </c>
      <c r="B45">
        <v>1959</v>
      </c>
      <c r="C45" t="s">
        <v>32</v>
      </c>
      <c r="D45" t="s">
        <v>30</v>
      </c>
      <c r="F45">
        <v>0</v>
      </c>
      <c r="G45">
        <v>0</v>
      </c>
      <c r="H45" s="1">
        <v>41583</v>
      </c>
      <c r="I45">
        <v>80</v>
      </c>
      <c r="J45">
        <v>81</v>
      </c>
      <c r="K45">
        <v>11</v>
      </c>
      <c r="L45">
        <v>50</v>
      </c>
      <c r="M45">
        <v>3</v>
      </c>
      <c r="N45">
        <v>2</v>
      </c>
      <c r="O45">
        <v>39</v>
      </c>
      <c r="P45">
        <v>1</v>
      </c>
      <c r="Q45">
        <v>1</v>
      </c>
      <c r="R45">
        <v>3</v>
      </c>
      <c r="S45">
        <v>4</v>
      </c>
      <c r="T45">
        <v>2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3</v>
      </c>
      <c r="AB45">
        <v>11</v>
      </c>
      <c r="AC45">
        <v>0</v>
      </c>
      <c r="AD45" t="str">
        <f t="shared" si="8"/>
        <v>Ok</v>
      </c>
      <c r="AE45" t="str">
        <f>IF(AND(Audit_Data[[#This Row],[Year_Birth]]&gt;=1900,Audit_Data[[#This Row],[Year_Birth]]&lt;=2010),"OK","Invalid")</f>
        <v>OK</v>
      </c>
      <c r="AF45" t="str">
        <f t="shared" si="0"/>
        <v>Valid</v>
      </c>
      <c r="AG45" t="str">
        <f t="shared" si="1"/>
        <v>Valid</v>
      </c>
      <c r="AH45" t="str">
        <f t="shared" si="2"/>
        <v>Invalid</v>
      </c>
      <c r="AI45" t="str">
        <f t="shared" si="9"/>
        <v>Valid</v>
      </c>
      <c r="AJ45" t="str">
        <f t="shared" si="10"/>
        <v>Valid</v>
      </c>
      <c r="AK45" t="str">
        <f t="shared" si="11"/>
        <v xml:space="preserve">Valid </v>
      </c>
      <c r="AL45" t="str">
        <f>IF(AND(Audit_Data[[#This Row],[Recency]]&gt;=0,Audit_Data[[#This Row],[Recency]]&lt;=100),"Valid","Invalid")</f>
        <v>Valid</v>
      </c>
      <c r="AM45" t="str">
        <f t="shared" si="3"/>
        <v>Valid</v>
      </c>
      <c r="AN45" t="str">
        <f t="shared" si="4"/>
        <v>Valid</v>
      </c>
      <c r="AO45" t="str">
        <f t="shared" si="5"/>
        <v>Valid</v>
      </c>
      <c r="AP45" t="str">
        <f t="shared" si="12"/>
        <v>Valid</v>
      </c>
      <c r="AQ45" t="str">
        <f>IF(Audit_Data[[#This Row],[Z_CostContact]]=3,"Valid","Invalid")</f>
        <v>Valid</v>
      </c>
      <c r="AR45" t="str">
        <f t="shared" si="6"/>
        <v>Valid</v>
      </c>
      <c r="AS45" t="str">
        <f t="shared" si="7"/>
        <v>Valid</v>
      </c>
    </row>
    <row r="46" spans="1:45" x14ac:dyDescent="0.3">
      <c r="A46">
        <v>2139</v>
      </c>
      <c r="B46">
        <v>1975</v>
      </c>
      <c r="C46" t="s">
        <v>34</v>
      </c>
      <c r="D46" t="s">
        <v>33</v>
      </c>
      <c r="E46">
        <v>7500</v>
      </c>
      <c r="F46">
        <v>1</v>
      </c>
      <c r="G46">
        <v>0</v>
      </c>
      <c r="H46" s="1">
        <v>41549</v>
      </c>
      <c r="I46">
        <v>19</v>
      </c>
      <c r="J46">
        <v>3</v>
      </c>
      <c r="K46">
        <v>1</v>
      </c>
      <c r="L46">
        <v>10</v>
      </c>
      <c r="M46">
        <v>3</v>
      </c>
      <c r="N46">
        <v>2</v>
      </c>
      <c r="O46">
        <v>12</v>
      </c>
      <c r="P46">
        <v>3</v>
      </c>
      <c r="Q46">
        <v>2</v>
      </c>
      <c r="R46">
        <v>0</v>
      </c>
      <c r="S46">
        <v>3</v>
      </c>
      <c r="T46">
        <v>5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3</v>
      </c>
      <c r="AB46">
        <v>11</v>
      </c>
      <c r="AC46">
        <v>0</v>
      </c>
      <c r="AD46" t="str">
        <f t="shared" si="8"/>
        <v>Ok</v>
      </c>
      <c r="AE46" t="str">
        <f>IF(AND(Audit_Data[[#This Row],[Year_Birth]]&gt;=1900,Audit_Data[[#This Row],[Year_Birth]]&lt;=2010),"OK","Invalid")</f>
        <v>OK</v>
      </c>
      <c r="AF46" t="str">
        <f t="shared" si="0"/>
        <v>Valid</v>
      </c>
      <c r="AG46" t="str">
        <f t="shared" si="1"/>
        <v>Valid</v>
      </c>
      <c r="AH46" t="str">
        <f t="shared" si="2"/>
        <v>Valid</v>
      </c>
      <c r="AI46" t="str">
        <f t="shared" si="9"/>
        <v>Valid</v>
      </c>
      <c r="AJ46" t="str">
        <f t="shared" si="10"/>
        <v>Valid</v>
      </c>
      <c r="AK46" t="str">
        <f t="shared" si="11"/>
        <v xml:space="preserve">Valid </v>
      </c>
      <c r="AL46" t="str">
        <f>IF(AND(Audit_Data[[#This Row],[Recency]]&gt;=0,Audit_Data[[#This Row],[Recency]]&lt;=100),"Valid","Invalid")</f>
        <v>Valid</v>
      </c>
      <c r="AM46" t="str">
        <f t="shared" si="3"/>
        <v>Valid</v>
      </c>
      <c r="AN46" t="str">
        <f t="shared" si="4"/>
        <v>Valid</v>
      </c>
      <c r="AO46" t="str">
        <f t="shared" si="5"/>
        <v>Valid</v>
      </c>
      <c r="AP46" t="str">
        <f t="shared" si="12"/>
        <v>Valid</v>
      </c>
      <c r="AQ46" t="str">
        <f>IF(Audit_Data[[#This Row],[Z_CostContact]]=3,"Valid","Invalid")</f>
        <v>Valid</v>
      </c>
      <c r="AR46" t="str">
        <f t="shared" si="6"/>
        <v>Valid</v>
      </c>
      <c r="AS46" t="str">
        <f t="shared" si="7"/>
        <v>Valid</v>
      </c>
    </row>
    <row r="47" spans="1:45" x14ac:dyDescent="0.3">
      <c r="A47">
        <v>1371</v>
      </c>
      <c r="B47">
        <v>1976</v>
      </c>
      <c r="C47" t="s">
        <v>29</v>
      </c>
      <c r="D47" t="s">
        <v>30</v>
      </c>
      <c r="E47">
        <v>79941</v>
      </c>
      <c r="F47">
        <v>0</v>
      </c>
      <c r="G47">
        <v>0</v>
      </c>
      <c r="H47" s="1">
        <v>41818</v>
      </c>
      <c r="I47">
        <v>72</v>
      </c>
      <c r="J47">
        <v>123</v>
      </c>
      <c r="K47">
        <v>164</v>
      </c>
      <c r="L47">
        <v>266</v>
      </c>
      <c r="M47">
        <v>227</v>
      </c>
      <c r="N47">
        <v>30</v>
      </c>
      <c r="O47">
        <v>174</v>
      </c>
      <c r="P47">
        <v>1</v>
      </c>
      <c r="Q47">
        <v>2</v>
      </c>
      <c r="R47">
        <v>4</v>
      </c>
      <c r="S47">
        <v>9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3</v>
      </c>
      <c r="AB47">
        <v>11</v>
      </c>
      <c r="AC47">
        <v>0</v>
      </c>
      <c r="AD47" t="str">
        <f t="shared" si="8"/>
        <v>Ok</v>
      </c>
      <c r="AE47" t="str">
        <f>IF(AND(Audit_Data[[#This Row],[Year_Birth]]&gt;=1900,Audit_Data[[#This Row],[Year_Birth]]&lt;=2010),"OK","Invalid")</f>
        <v>OK</v>
      </c>
      <c r="AF47" t="str">
        <f t="shared" si="0"/>
        <v>Valid</v>
      </c>
      <c r="AG47" t="str">
        <f t="shared" si="1"/>
        <v>Valid</v>
      </c>
      <c r="AH47" t="str">
        <f t="shared" si="2"/>
        <v>Valid</v>
      </c>
      <c r="AI47" t="str">
        <f t="shared" si="9"/>
        <v>Valid</v>
      </c>
      <c r="AJ47" t="str">
        <f t="shared" si="10"/>
        <v>Valid</v>
      </c>
      <c r="AK47" t="str">
        <f t="shared" si="11"/>
        <v xml:space="preserve">Valid </v>
      </c>
      <c r="AL47" t="str">
        <f>IF(AND(Audit_Data[[#This Row],[Recency]]&gt;=0,Audit_Data[[#This Row],[Recency]]&lt;=100),"Valid","Invalid")</f>
        <v>Valid</v>
      </c>
      <c r="AM47" t="str">
        <f t="shared" si="3"/>
        <v>Valid</v>
      </c>
      <c r="AN47" t="str">
        <f t="shared" si="4"/>
        <v>Valid</v>
      </c>
      <c r="AO47" t="str">
        <f t="shared" si="5"/>
        <v>Valid</v>
      </c>
      <c r="AP47" t="str">
        <f t="shared" si="12"/>
        <v>Valid</v>
      </c>
      <c r="AQ47" t="str">
        <f>IF(Audit_Data[[#This Row],[Z_CostContact]]=3,"Valid","Invalid")</f>
        <v>Valid</v>
      </c>
      <c r="AR47" t="str">
        <f t="shared" si="6"/>
        <v>Valid</v>
      </c>
      <c r="AS47" t="str">
        <f t="shared" si="7"/>
        <v>Valid</v>
      </c>
    </row>
    <row r="48" spans="1:45" x14ac:dyDescent="0.3">
      <c r="A48">
        <v>9909</v>
      </c>
      <c r="B48">
        <v>1996</v>
      </c>
      <c r="C48" t="s">
        <v>37</v>
      </c>
      <c r="D48" t="s">
        <v>33</v>
      </c>
      <c r="E48">
        <v>7500</v>
      </c>
      <c r="F48">
        <v>0</v>
      </c>
      <c r="G48">
        <v>0</v>
      </c>
      <c r="H48" s="1">
        <v>41222</v>
      </c>
      <c r="I48">
        <v>24</v>
      </c>
      <c r="J48">
        <v>3</v>
      </c>
      <c r="K48">
        <v>18</v>
      </c>
      <c r="L48">
        <v>14</v>
      </c>
      <c r="M48">
        <v>15</v>
      </c>
      <c r="N48">
        <v>22</v>
      </c>
      <c r="O48">
        <v>50</v>
      </c>
      <c r="P48">
        <v>3</v>
      </c>
      <c r="Q48">
        <v>3</v>
      </c>
      <c r="R48">
        <v>1</v>
      </c>
      <c r="S48">
        <v>3</v>
      </c>
      <c r="T48">
        <v>9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3</v>
      </c>
      <c r="AB48">
        <v>11</v>
      </c>
      <c r="AC48">
        <v>1</v>
      </c>
      <c r="AD48" t="str">
        <f t="shared" si="8"/>
        <v>Ok</v>
      </c>
      <c r="AE48" t="str">
        <f>IF(AND(Audit_Data[[#This Row],[Year_Birth]]&gt;=1900,Audit_Data[[#This Row],[Year_Birth]]&lt;=2010),"OK","Invalid")</f>
        <v>OK</v>
      </c>
      <c r="AF48" t="str">
        <f t="shared" si="0"/>
        <v>Valid</v>
      </c>
      <c r="AG48" t="str">
        <f t="shared" si="1"/>
        <v>Valid</v>
      </c>
      <c r="AH48" t="str">
        <f t="shared" si="2"/>
        <v>Valid</v>
      </c>
      <c r="AI48" t="str">
        <f t="shared" si="9"/>
        <v>Valid</v>
      </c>
      <c r="AJ48" t="str">
        <f t="shared" si="10"/>
        <v>Valid</v>
      </c>
      <c r="AK48" t="str">
        <f t="shared" si="11"/>
        <v xml:space="preserve">Valid </v>
      </c>
      <c r="AL48" t="str">
        <f>IF(AND(Audit_Data[[#This Row],[Recency]]&gt;=0,Audit_Data[[#This Row],[Recency]]&lt;=100),"Valid","Invalid")</f>
        <v>Valid</v>
      </c>
      <c r="AM48" t="str">
        <f t="shared" si="3"/>
        <v>Valid</v>
      </c>
      <c r="AN48" t="str">
        <f t="shared" si="4"/>
        <v>Valid</v>
      </c>
      <c r="AO48" t="str">
        <f t="shared" si="5"/>
        <v>Valid</v>
      </c>
      <c r="AP48" t="str">
        <f t="shared" si="12"/>
        <v>Valid</v>
      </c>
      <c r="AQ48" t="str">
        <f>IF(Audit_Data[[#This Row],[Z_CostContact]]=3,"Valid","Invalid")</f>
        <v>Valid</v>
      </c>
      <c r="AR48" t="str">
        <f t="shared" si="6"/>
        <v>Valid</v>
      </c>
      <c r="AS48" t="str">
        <f t="shared" si="7"/>
        <v>Valid</v>
      </c>
    </row>
    <row r="49" spans="1:45" x14ac:dyDescent="0.3">
      <c r="A49">
        <v>7286</v>
      </c>
      <c r="B49">
        <v>1968</v>
      </c>
      <c r="C49" t="s">
        <v>29</v>
      </c>
      <c r="D49" t="s">
        <v>31</v>
      </c>
      <c r="E49">
        <v>41728</v>
      </c>
      <c r="F49">
        <v>1</v>
      </c>
      <c r="G49">
        <v>0</v>
      </c>
      <c r="H49" s="1">
        <v>41418</v>
      </c>
      <c r="I49">
        <v>92</v>
      </c>
      <c r="J49">
        <v>13</v>
      </c>
      <c r="K49">
        <v>6</v>
      </c>
      <c r="L49">
        <v>15</v>
      </c>
      <c r="M49">
        <v>3</v>
      </c>
      <c r="N49">
        <v>5</v>
      </c>
      <c r="O49">
        <v>13</v>
      </c>
      <c r="P49">
        <v>1</v>
      </c>
      <c r="Q49">
        <v>2</v>
      </c>
      <c r="R49">
        <v>0</v>
      </c>
      <c r="S49">
        <v>2</v>
      </c>
      <c r="T49">
        <v>10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3</v>
      </c>
      <c r="AB49">
        <v>11</v>
      </c>
      <c r="AC49">
        <v>0</v>
      </c>
      <c r="AD49" t="str">
        <f t="shared" si="8"/>
        <v>Ok</v>
      </c>
      <c r="AE49" t="str">
        <f>IF(AND(Audit_Data[[#This Row],[Year_Birth]]&gt;=1900,Audit_Data[[#This Row],[Year_Birth]]&lt;=2010),"OK","Invalid")</f>
        <v>OK</v>
      </c>
      <c r="AF49" t="str">
        <f t="shared" si="0"/>
        <v>Valid</v>
      </c>
      <c r="AG49" t="str">
        <f t="shared" si="1"/>
        <v>Valid</v>
      </c>
      <c r="AH49" t="str">
        <f t="shared" si="2"/>
        <v>Valid</v>
      </c>
      <c r="AI49" t="str">
        <f t="shared" si="9"/>
        <v>Valid</v>
      </c>
      <c r="AJ49" t="str">
        <f t="shared" si="10"/>
        <v>Valid</v>
      </c>
      <c r="AK49" t="str">
        <f t="shared" si="11"/>
        <v xml:space="preserve">Valid </v>
      </c>
      <c r="AL49" t="str">
        <f>IF(AND(Audit_Data[[#This Row],[Recency]]&gt;=0,Audit_Data[[#This Row],[Recency]]&lt;=100),"Valid","Invalid")</f>
        <v>Valid</v>
      </c>
      <c r="AM49" t="str">
        <f t="shared" si="3"/>
        <v>Valid</v>
      </c>
      <c r="AN49" t="str">
        <f t="shared" si="4"/>
        <v>Valid</v>
      </c>
      <c r="AO49" t="str">
        <f t="shared" si="5"/>
        <v>Valid</v>
      </c>
      <c r="AP49" t="str">
        <f t="shared" si="12"/>
        <v>Valid</v>
      </c>
      <c r="AQ49" t="str">
        <f>IF(Audit_Data[[#This Row],[Z_CostContact]]=3,"Valid","Invalid")</f>
        <v>Valid</v>
      </c>
      <c r="AR49" t="str">
        <f t="shared" si="6"/>
        <v>Valid</v>
      </c>
      <c r="AS49" t="str">
        <f t="shared" si="7"/>
        <v>Valid</v>
      </c>
    </row>
    <row r="50" spans="1:45" x14ac:dyDescent="0.3">
      <c r="A50">
        <v>7244</v>
      </c>
      <c r="B50">
        <v>1951</v>
      </c>
      <c r="C50" t="s">
        <v>29</v>
      </c>
      <c r="D50" t="s">
        <v>30</v>
      </c>
      <c r="F50">
        <v>2</v>
      </c>
      <c r="G50">
        <v>1</v>
      </c>
      <c r="H50" s="1">
        <v>41640</v>
      </c>
      <c r="I50">
        <v>96</v>
      </c>
      <c r="J50">
        <v>48</v>
      </c>
      <c r="K50">
        <v>5</v>
      </c>
      <c r="L50">
        <v>48</v>
      </c>
      <c r="M50">
        <v>6</v>
      </c>
      <c r="N50">
        <v>10</v>
      </c>
      <c r="O50">
        <v>7</v>
      </c>
      <c r="P50">
        <v>3</v>
      </c>
      <c r="Q50">
        <v>2</v>
      </c>
      <c r="R50">
        <v>1</v>
      </c>
      <c r="S50">
        <v>4</v>
      </c>
      <c r="T50">
        <v>6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3</v>
      </c>
      <c r="AB50">
        <v>11</v>
      </c>
      <c r="AC50">
        <v>0</v>
      </c>
      <c r="AD50" t="str">
        <f t="shared" si="8"/>
        <v>Ok</v>
      </c>
      <c r="AE50" t="str">
        <f>IF(AND(Audit_Data[[#This Row],[Year_Birth]]&gt;=1900,Audit_Data[[#This Row],[Year_Birth]]&lt;=2010),"OK","Invalid")</f>
        <v>OK</v>
      </c>
      <c r="AF50" t="str">
        <f t="shared" si="0"/>
        <v>Valid</v>
      </c>
      <c r="AG50" t="str">
        <f t="shared" si="1"/>
        <v>Valid</v>
      </c>
      <c r="AH50" t="str">
        <f t="shared" si="2"/>
        <v>Invalid</v>
      </c>
      <c r="AI50" t="str">
        <f t="shared" si="9"/>
        <v>Valid</v>
      </c>
      <c r="AJ50" t="str">
        <f t="shared" si="10"/>
        <v>Valid</v>
      </c>
      <c r="AK50" t="str">
        <f t="shared" si="11"/>
        <v xml:space="preserve">Valid </v>
      </c>
      <c r="AL50" t="str">
        <f>IF(AND(Audit_Data[[#This Row],[Recency]]&gt;=0,Audit_Data[[#This Row],[Recency]]&lt;=100),"Valid","Invalid")</f>
        <v>Valid</v>
      </c>
      <c r="AM50" t="str">
        <f t="shared" si="3"/>
        <v>Valid</v>
      </c>
      <c r="AN50" t="str">
        <f t="shared" si="4"/>
        <v>Valid</v>
      </c>
      <c r="AO50" t="str">
        <f t="shared" si="5"/>
        <v>Valid</v>
      </c>
      <c r="AP50" t="str">
        <f t="shared" si="12"/>
        <v>Valid</v>
      </c>
      <c r="AQ50" t="str">
        <f>IF(Audit_Data[[#This Row],[Z_CostContact]]=3,"Valid","Invalid")</f>
        <v>Valid</v>
      </c>
      <c r="AR50" t="str">
        <f t="shared" si="6"/>
        <v>Valid</v>
      </c>
      <c r="AS50" t="str">
        <f t="shared" si="7"/>
        <v>Valid</v>
      </c>
    </row>
    <row r="51" spans="1:45" x14ac:dyDescent="0.3">
      <c r="A51">
        <v>6566</v>
      </c>
      <c r="B51">
        <v>1954</v>
      </c>
      <c r="C51" t="s">
        <v>32</v>
      </c>
      <c r="D51" t="s">
        <v>33</v>
      </c>
      <c r="E51">
        <v>72550</v>
      </c>
      <c r="F51">
        <v>1</v>
      </c>
      <c r="G51">
        <v>1</v>
      </c>
      <c r="H51" s="1">
        <v>41221</v>
      </c>
      <c r="I51">
        <v>39</v>
      </c>
      <c r="J51">
        <v>826</v>
      </c>
      <c r="K51">
        <v>50</v>
      </c>
      <c r="L51">
        <v>317</v>
      </c>
      <c r="M51">
        <v>50</v>
      </c>
      <c r="N51">
        <v>38</v>
      </c>
      <c r="O51">
        <v>38</v>
      </c>
      <c r="P51">
        <v>9</v>
      </c>
      <c r="Q51">
        <v>5</v>
      </c>
      <c r="R51">
        <v>2</v>
      </c>
      <c r="S51">
        <v>12</v>
      </c>
      <c r="T51">
        <v>8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3</v>
      </c>
      <c r="AB51">
        <v>11</v>
      </c>
      <c r="AC51">
        <v>0</v>
      </c>
      <c r="AD51" t="str">
        <f t="shared" si="8"/>
        <v>Ok</v>
      </c>
      <c r="AE51" t="str">
        <f>IF(AND(Audit_Data[[#This Row],[Year_Birth]]&gt;=1900,Audit_Data[[#This Row],[Year_Birth]]&lt;=2010),"OK","Invalid")</f>
        <v>OK</v>
      </c>
      <c r="AF51" t="str">
        <f t="shared" si="0"/>
        <v>Valid</v>
      </c>
      <c r="AG51" t="str">
        <f t="shared" si="1"/>
        <v>Valid</v>
      </c>
      <c r="AH51" t="str">
        <f t="shared" si="2"/>
        <v>Valid</v>
      </c>
      <c r="AI51" t="str">
        <f t="shared" si="9"/>
        <v>Valid</v>
      </c>
      <c r="AJ51" t="str">
        <f t="shared" si="10"/>
        <v>Valid</v>
      </c>
      <c r="AK51" t="str">
        <f t="shared" si="11"/>
        <v xml:space="preserve">Valid </v>
      </c>
      <c r="AL51" t="str">
        <f>IF(AND(Audit_Data[[#This Row],[Recency]]&gt;=0,Audit_Data[[#This Row],[Recency]]&lt;=100),"Valid","Invalid")</f>
        <v>Valid</v>
      </c>
      <c r="AM51" t="str">
        <f t="shared" si="3"/>
        <v>Valid</v>
      </c>
      <c r="AN51" t="str">
        <f t="shared" si="4"/>
        <v>Valid</v>
      </c>
      <c r="AO51" t="str">
        <f t="shared" si="5"/>
        <v>Valid</v>
      </c>
      <c r="AP51" t="str">
        <f t="shared" si="12"/>
        <v>Valid</v>
      </c>
      <c r="AQ51" t="str">
        <f>IF(Audit_Data[[#This Row],[Z_CostContact]]=3,"Valid","Invalid")</f>
        <v>Valid</v>
      </c>
      <c r="AR51" t="str">
        <f t="shared" si="6"/>
        <v>Valid</v>
      </c>
      <c r="AS51" t="str">
        <f t="shared" si="7"/>
        <v>Valid</v>
      </c>
    </row>
    <row r="52" spans="1:45" x14ac:dyDescent="0.3">
      <c r="A52">
        <v>8614</v>
      </c>
      <c r="B52">
        <v>1957</v>
      </c>
      <c r="C52" t="s">
        <v>29</v>
      </c>
      <c r="D52" t="s">
        <v>38</v>
      </c>
      <c r="E52">
        <v>65486</v>
      </c>
      <c r="F52">
        <v>0</v>
      </c>
      <c r="G52">
        <v>1</v>
      </c>
      <c r="H52" s="1">
        <v>41771</v>
      </c>
      <c r="I52">
        <v>29</v>
      </c>
      <c r="J52">
        <v>245</v>
      </c>
      <c r="K52">
        <v>19</v>
      </c>
      <c r="L52">
        <v>125</v>
      </c>
      <c r="M52">
        <v>37</v>
      </c>
      <c r="N52">
        <v>67</v>
      </c>
      <c r="O52">
        <v>14</v>
      </c>
      <c r="P52">
        <v>1</v>
      </c>
      <c r="Q52">
        <v>4</v>
      </c>
      <c r="R52">
        <v>2</v>
      </c>
      <c r="S52">
        <v>10</v>
      </c>
      <c r="T52">
        <v>2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3</v>
      </c>
      <c r="AB52">
        <v>11</v>
      </c>
      <c r="AC52">
        <v>0</v>
      </c>
      <c r="AD52" t="str">
        <f t="shared" si="8"/>
        <v>Ok</v>
      </c>
      <c r="AE52" t="str">
        <f>IF(AND(Audit_Data[[#This Row],[Year_Birth]]&gt;=1900,Audit_Data[[#This Row],[Year_Birth]]&lt;=2010),"OK","Invalid")</f>
        <v>OK</v>
      </c>
      <c r="AF52" t="str">
        <f t="shared" si="0"/>
        <v>Valid</v>
      </c>
      <c r="AG52" t="str">
        <f t="shared" si="1"/>
        <v>Valid</v>
      </c>
      <c r="AH52" t="str">
        <f t="shared" si="2"/>
        <v>Valid</v>
      </c>
      <c r="AI52" t="str">
        <f t="shared" si="9"/>
        <v>Valid</v>
      </c>
      <c r="AJ52" t="str">
        <f t="shared" si="10"/>
        <v>Valid</v>
      </c>
      <c r="AK52" t="str">
        <f t="shared" si="11"/>
        <v xml:space="preserve">Valid </v>
      </c>
      <c r="AL52" t="str">
        <f>IF(AND(Audit_Data[[#This Row],[Recency]]&gt;=0,Audit_Data[[#This Row],[Recency]]&lt;=100),"Valid","Invalid")</f>
        <v>Valid</v>
      </c>
      <c r="AM52" t="str">
        <f t="shared" si="3"/>
        <v>Valid</v>
      </c>
      <c r="AN52" t="str">
        <f t="shared" si="4"/>
        <v>Valid</v>
      </c>
      <c r="AO52" t="str">
        <f t="shared" si="5"/>
        <v>Valid</v>
      </c>
      <c r="AP52" t="str">
        <f t="shared" si="12"/>
        <v>Valid</v>
      </c>
      <c r="AQ52" t="str">
        <f>IF(Audit_Data[[#This Row],[Z_CostContact]]=3,"Valid","Invalid")</f>
        <v>Valid</v>
      </c>
      <c r="AR52" t="str">
        <f t="shared" si="6"/>
        <v>Valid</v>
      </c>
      <c r="AS52" t="str">
        <f t="shared" si="7"/>
        <v>Valid</v>
      </c>
    </row>
    <row r="53" spans="1:45" x14ac:dyDescent="0.3">
      <c r="A53">
        <v>4114</v>
      </c>
      <c r="B53">
        <v>1964</v>
      </c>
      <c r="C53" t="s">
        <v>34</v>
      </c>
      <c r="D53" t="s">
        <v>33</v>
      </c>
      <c r="E53">
        <v>79143</v>
      </c>
      <c r="F53">
        <v>0</v>
      </c>
      <c r="G53">
        <v>0</v>
      </c>
      <c r="H53" s="1">
        <v>41132</v>
      </c>
      <c r="I53">
        <v>2</v>
      </c>
      <c r="J53">
        <v>650</v>
      </c>
      <c r="K53">
        <v>37</v>
      </c>
      <c r="L53">
        <v>780</v>
      </c>
      <c r="M53">
        <v>27</v>
      </c>
      <c r="N53">
        <v>167</v>
      </c>
      <c r="O53">
        <v>32</v>
      </c>
      <c r="P53">
        <v>1</v>
      </c>
      <c r="Q53">
        <v>6</v>
      </c>
      <c r="R53">
        <v>9</v>
      </c>
      <c r="S53">
        <v>13</v>
      </c>
      <c r="T53">
        <v>3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3</v>
      </c>
      <c r="AB53">
        <v>11</v>
      </c>
      <c r="AC53">
        <v>0</v>
      </c>
      <c r="AD53" t="str">
        <f t="shared" si="8"/>
        <v>Ok</v>
      </c>
      <c r="AE53" t="str">
        <f>IF(AND(Audit_Data[[#This Row],[Year_Birth]]&gt;=1900,Audit_Data[[#This Row],[Year_Birth]]&lt;=2010),"OK","Invalid")</f>
        <v>OK</v>
      </c>
      <c r="AF53" t="str">
        <f t="shared" si="0"/>
        <v>Valid</v>
      </c>
      <c r="AG53" t="str">
        <f t="shared" si="1"/>
        <v>Valid</v>
      </c>
      <c r="AH53" t="str">
        <f t="shared" si="2"/>
        <v>Valid</v>
      </c>
      <c r="AI53" t="str">
        <f t="shared" si="9"/>
        <v>Valid</v>
      </c>
      <c r="AJ53" t="str">
        <f t="shared" si="10"/>
        <v>Valid</v>
      </c>
      <c r="AK53" t="str">
        <f t="shared" si="11"/>
        <v xml:space="preserve">Valid </v>
      </c>
      <c r="AL53" t="str">
        <f>IF(AND(Audit_Data[[#This Row],[Recency]]&gt;=0,Audit_Data[[#This Row],[Recency]]&lt;=100),"Valid","Invalid")</f>
        <v>Valid</v>
      </c>
      <c r="AM53" t="str">
        <f t="shared" si="3"/>
        <v>Valid</v>
      </c>
      <c r="AN53" t="str">
        <f t="shared" si="4"/>
        <v>Valid</v>
      </c>
      <c r="AO53" t="str">
        <f t="shared" si="5"/>
        <v>Valid</v>
      </c>
      <c r="AP53" t="str">
        <f t="shared" si="12"/>
        <v>Valid</v>
      </c>
      <c r="AQ53" t="str">
        <f>IF(Audit_Data[[#This Row],[Z_CostContact]]=3,"Valid","Invalid")</f>
        <v>Valid</v>
      </c>
      <c r="AR53" t="str">
        <f t="shared" si="6"/>
        <v>Valid</v>
      </c>
      <c r="AS53" t="str">
        <f t="shared" si="7"/>
        <v>Valid</v>
      </c>
    </row>
    <row r="54" spans="1:45" x14ac:dyDescent="0.3">
      <c r="A54">
        <v>1331</v>
      </c>
      <c r="B54">
        <v>1977</v>
      </c>
      <c r="C54" t="s">
        <v>29</v>
      </c>
      <c r="D54" t="s">
        <v>30</v>
      </c>
      <c r="E54">
        <v>35790</v>
      </c>
      <c r="F54">
        <v>1</v>
      </c>
      <c r="G54">
        <v>0</v>
      </c>
      <c r="H54" s="1">
        <v>41276</v>
      </c>
      <c r="I54">
        <v>54</v>
      </c>
      <c r="J54">
        <v>12</v>
      </c>
      <c r="K54">
        <v>6</v>
      </c>
      <c r="L54">
        <v>20</v>
      </c>
      <c r="M54">
        <v>30</v>
      </c>
      <c r="N54">
        <v>1</v>
      </c>
      <c r="O54">
        <v>3</v>
      </c>
      <c r="P54">
        <v>2</v>
      </c>
      <c r="Q54">
        <v>2</v>
      </c>
      <c r="R54">
        <v>0</v>
      </c>
      <c r="S54">
        <v>3</v>
      </c>
      <c r="T54">
        <v>7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3</v>
      </c>
      <c r="AB54">
        <v>11</v>
      </c>
      <c r="AC54">
        <v>0</v>
      </c>
      <c r="AD54" t="str">
        <f t="shared" si="8"/>
        <v>Ok</v>
      </c>
      <c r="AE54" t="str">
        <f>IF(AND(Audit_Data[[#This Row],[Year_Birth]]&gt;=1900,Audit_Data[[#This Row],[Year_Birth]]&lt;=2010),"OK","Invalid")</f>
        <v>OK</v>
      </c>
      <c r="AF54" t="str">
        <f t="shared" si="0"/>
        <v>Valid</v>
      </c>
      <c r="AG54" t="str">
        <f t="shared" si="1"/>
        <v>Valid</v>
      </c>
      <c r="AH54" t="str">
        <f t="shared" si="2"/>
        <v>Valid</v>
      </c>
      <c r="AI54" t="str">
        <f t="shared" si="9"/>
        <v>Valid</v>
      </c>
      <c r="AJ54" t="str">
        <f t="shared" si="10"/>
        <v>Valid</v>
      </c>
      <c r="AK54" t="str">
        <f t="shared" si="11"/>
        <v xml:space="preserve">Valid </v>
      </c>
      <c r="AL54" t="str">
        <f>IF(AND(Audit_Data[[#This Row],[Recency]]&gt;=0,Audit_Data[[#This Row],[Recency]]&lt;=100),"Valid","Invalid")</f>
        <v>Valid</v>
      </c>
      <c r="AM54" t="str">
        <f t="shared" si="3"/>
        <v>Valid</v>
      </c>
      <c r="AN54" t="str">
        <f t="shared" si="4"/>
        <v>Valid</v>
      </c>
      <c r="AO54" t="str">
        <f t="shared" si="5"/>
        <v>Valid</v>
      </c>
      <c r="AP54" t="str">
        <f t="shared" si="12"/>
        <v>Valid</v>
      </c>
      <c r="AQ54" t="str">
        <f>IF(Audit_Data[[#This Row],[Z_CostContact]]=3,"Valid","Invalid")</f>
        <v>Valid</v>
      </c>
      <c r="AR54" t="str">
        <f t="shared" si="6"/>
        <v>Valid</v>
      </c>
      <c r="AS54" t="str">
        <f t="shared" si="7"/>
        <v>Valid</v>
      </c>
    </row>
    <row r="55" spans="1:45" x14ac:dyDescent="0.3">
      <c r="A55">
        <v>2225</v>
      </c>
      <c r="B55">
        <v>1977</v>
      </c>
      <c r="C55" t="s">
        <v>29</v>
      </c>
      <c r="D55" t="s">
        <v>35</v>
      </c>
      <c r="E55">
        <v>82582</v>
      </c>
      <c r="F55">
        <v>0</v>
      </c>
      <c r="G55">
        <v>0</v>
      </c>
      <c r="H55" s="1">
        <v>41797</v>
      </c>
      <c r="I55">
        <v>54</v>
      </c>
      <c r="J55">
        <v>510</v>
      </c>
      <c r="K55">
        <v>120</v>
      </c>
      <c r="L55">
        <v>550</v>
      </c>
      <c r="M55">
        <v>156</v>
      </c>
      <c r="N55">
        <v>40</v>
      </c>
      <c r="O55">
        <v>241</v>
      </c>
      <c r="P55">
        <v>1</v>
      </c>
      <c r="Q55">
        <v>4</v>
      </c>
      <c r="R55">
        <v>9</v>
      </c>
      <c r="S55">
        <v>7</v>
      </c>
      <c r="T55">
        <v>1</v>
      </c>
      <c r="U55">
        <v>1</v>
      </c>
      <c r="V55">
        <v>0</v>
      </c>
      <c r="W55">
        <v>0</v>
      </c>
      <c r="X55">
        <v>1</v>
      </c>
      <c r="Y55">
        <v>0</v>
      </c>
      <c r="Z55">
        <v>0</v>
      </c>
      <c r="AA55">
        <v>3</v>
      </c>
      <c r="AB55">
        <v>11</v>
      </c>
      <c r="AC55">
        <v>1</v>
      </c>
      <c r="AD55" t="str">
        <f t="shared" si="8"/>
        <v>Ok</v>
      </c>
      <c r="AE55" t="str">
        <f>IF(AND(Audit_Data[[#This Row],[Year_Birth]]&gt;=1900,Audit_Data[[#This Row],[Year_Birth]]&lt;=2010),"OK","Invalid")</f>
        <v>OK</v>
      </c>
      <c r="AF55" t="str">
        <f t="shared" si="0"/>
        <v>Valid</v>
      </c>
      <c r="AG55" t="str">
        <f t="shared" si="1"/>
        <v>Valid</v>
      </c>
      <c r="AH55" t="str">
        <f t="shared" si="2"/>
        <v>Valid</v>
      </c>
      <c r="AI55" t="str">
        <f t="shared" si="9"/>
        <v>Valid</v>
      </c>
      <c r="AJ55" t="str">
        <f t="shared" si="10"/>
        <v>Valid</v>
      </c>
      <c r="AK55" t="str">
        <f t="shared" si="11"/>
        <v xml:space="preserve">Valid </v>
      </c>
      <c r="AL55" t="str">
        <f>IF(AND(Audit_Data[[#This Row],[Recency]]&gt;=0,Audit_Data[[#This Row],[Recency]]&lt;=100),"Valid","Invalid")</f>
        <v>Valid</v>
      </c>
      <c r="AM55" t="str">
        <f t="shared" si="3"/>
        <v>Valid</v>
      </c>
      <c r="AN55" t="str">
        <f t="shared" si="4"/>
        <v>Valid</v>
      </c>
      <c r="AO55" t="str">
        <f t="shared" si="5"/>
        <v>Valid</v>
      </c>
      <c r="AP55" t="str">
        <f t="shared" si="12"/>
        <v>Valid</v>
      </c>
      <c r="AQ55" t="str">
        <f>IF(Audit_Data[[#This Row],[Z_CostContact]]=3,"Valid","Invalid")</f>
        <v>Valid</v>
      </c>
      <c r="AR55" t="str">
        <f t="shared" si="6"/>
        <v>Valid</v>
      </c>
      <c r="AS55" t="str">
        <f t="shared" si="7"/>
        <v>Valid</v>
      </c>
    </row>
    <row r="56" spans="1:45" x14ac:dyDescent="0.3">
      <c r="A56">
        <v>9381</v>
      </c>
      <c r="B56">
        <v>1978</v>
      </c>
      <c r="C56" t="s">
        <v>29</v>
      </c>
      <c r="D56" t="s">
        <v>33</v>
      </c>
      <c r="E56">
        <v>66373</v>
      </c>
      <c r="F56">
        <v>1</v>
      </c>
      <c r="G56">
        <v>1</v>
      </c>
      <c r="H56" s="1">
        <v>41437</v>
      </c>
      <c r="I56">
        <v>57</v>
      </c>
      <c r="J56">
        <v>328</v>
      </c>
      <c r="K56">
        <v>9</v>
      </c>
      <c r="L56">
        <v>124</v>
      </c>
      <c r="M56">
        <v>12</v>
      </c>
      <c r="N56">
        <v>24</v>
      </c>
      <c r="O56">
        <v>109</v>
      </c>
      <c r="P56">
        <v>7</v>
      </c>
      <c r="Q56">
        <v>4</v>
      </c>
      <c r="R56">
        <v>2</v>
      </c>
      <c r="S56">
        <v>10</v>
      </c>
      <c r="T56">
        <v>3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3</v>
      </c>
      <c r="AB56">
        <v>11</v>
      </c>
      <c r="AC56">
        <v>0</v>
      </c>
      <c r="AD56" t="str">
        <f t="shared" si="8"/>
        <v>Ok</v>
      </c>
      <c r="AE56" t="str">
        <f>IF(AND(Audit_Data[[#This Row],[Year_Birth]]&gt;=1900,Audit_Data[[#This Row],[Year_Birth]]&lt;=2010),"OK","Invalid")</f>
        <v>OK</v>
      </c>
      <c r="AF56" t="str">
        <f t="shared" si="0"/>
        <v>Valid</v>
      </c>
      <c r="AG56" t="str">
        <f t="shared" si="1"/>
        <v>Valid</v>
      </c>
      <c r="AH56" t="str">
        <f t="shared" si="2"/>
        <v>Valid</v>
      </c>
      <c r="AI56" t="str">
        <f t="shared" si="9"/>
        <v>Valid</v>
      </c>
      <c r="AJ56" t="str">
        <f t="shared" si="10"/>
        <v>Valid</v>
      </c>
      <c r="AK56" t="str">
        <f t="shared" si="11"/>
        <v xml:space="preserve">Valid </v>
      </c>
      <c r="AL56" t="str">
        <f>IF(AND(Audit_Data[[#This Row],[Recency]]&gt;=0,Audit_Data[[#This Row],[Recency]]&lt;=100),"Valid","Invalid")</f>
        <v>Valid</v>
      </c>
      <c r="AM56" t="str">
        <f t="shared" si="3"/>
        <v>Valid</v>
      </c>
      <c r="AN56" t="str">
        <f t="shared" si="4"/>
        <v>Valid</v>
      </c>
      <c r="AO56" t="str">
        <f t="shared" si="5"/>
        <v>Valid</v>
      </c>
      <c r="AP56" t="str">
        <f t="shared" si="12"/>
        <v>Valid</v>
      </c>
      <c r="AQ56" t="str">
        <f>IF(Audit_Data[[#This Row],[Z_CostContact]]=3,"Valid","Invalid")</f>
        <v>Valid</v>
      </c>
      <c r="AR56" t="str">
        <f t="shared" si="6"/>
        <v>Valid</v>
      </c>
      <c r="AS56" t="str">
        <f t="shared" si="7"/>
        <v>Valid</v>
      </c>
    </row>
    <row r="57" spans="1:45" x14ac:dyDescent="0.3">
      <c r="A57">
        <v>6260</v>
      </c>
      <c r="B57">
        <v>1955</v>
      </c>
      <c r="C57" t="s">
        <v>34</v>
      </c>
      <c r="D57" t="s">
        <v>31</v>
      </c>
      <c r="E57">
        <v>82384</v>
      </c>
      <c r="F57">
        <v>0</v>
      </c>
      <c r="G57">
        <v>0</v>
      </c>
      <c r="H57" s="1">
        <v>41232</v>
      </c>
      <c r="I57">
        <v>55</v>
      </c>
      <c r="J57">
        <v>984</v>
      </c>
      <c r="K57">
        <v>51</v>
      </c>
      <c r="L57">
        <v>432</v>
      </c>
      <c r="M57">
        <v>180</v>
      </c>
      <c r="N57">
        <v>120</v>
      </c>
      <c r="O57">
        <v>190</v>
      </c>
      <c r="P57">
        <v>1</v>
      </c>
      <c r="Q57">
        <v>3</v>
      </c>
      <c r="R57">
        <v>10</v>
      </c>
      <c r="S57">
        <v>13</v>
      </c>
      <c r="T57">
        <v>1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3</v>
      </c>
      <c r="AB57">
        <v>11</v>
      </c>
      <c r="AC57">
        <v>1</v>
      </c>
      <c r="AD57" t="str">
        <f t="shared" si="8"/>
        <v>Ok</v>
      </c>
      <c r="AE57" t="str">
        <f>IF(AND(Audit_Data[[#This Row],[Year_Birth]]&gt;=1900,Audit_Data[[#This Row],[Year_Birth]]&lt;=2010),"OK","Invalid")</f>
        <v>OK</v>
      </c>
      <c r="AF57" t="str">
        <f t="shared" si="0"/>
        <v>Valid</v>
      </c>
      <c r="AG57" t="str">
        <f t="shared" si="1"/>
        <v>Valid</v>
      </c>
      <c r="AH57" t="str">
        <f t="shared" si="2"/>
        <v>Valid</v>
      </c>
      <c r="AI57" t="str">
        <f t="shared" si="9"/>
        <v>Valid</v>
      </c>
      <c r="AJ57" t="str">
        <f t="shared" si="10"/>
        <v>Valid</v>
      </c>
      <c r="AK57" t="str">
        <f t="shared" si="11"/>
        <v xml:space="preserve">Valid </v>
      </c>
      <c r="AL57" t="str">
        <f>IF(AND(Audit_Data[[#This Row],[Recency]]&gt;=0,Audit_Data[[#This Row],[Recency]]&lt;=100),"Valid","Invalid")</f>
        <v>Valid</v>
      </c>
      <c r="AM57" t="str">
        <f t="shared" si="3"/>
        <v>Valid</v>
      </c>
      <c r="AN57" t="str">
        <f t="shared" si="4"/>
        <v>Valid</v>
      </c>
      <c r="AO57" t="str">
        <f t="shared" si="5"/>
        <v>Valid</v>
      </c>
      <c r="AP57" t="str">
        <f t="shared" si="12"/>
        <v>Valid</v>
      </c>
      <c r="AQ57" t="str">
        <f>IF(Audit_Data[[#This Row],[Z_CostContact]]=3,"Valid","Invalid")</f>
        <v>Valid</v>
      </c>
      <c r="AR57" t="str">
        <f t="shared" si="6"/>
        <v>Valid</v>
      </c>
      <c r="AS57" t="str">
        <f t="shared" si="7"/>
        <v>Valid</v>
      </c>
    </row>
    <row r="58" spans="1:45" x14ac:dyDescent="0.3">
      <c r="A58">
        <v>10383</v>
      </c>
      <c r="B58">
        <v>1966</v>
      </c>
      <c r="C58" t="s">
        <v>29</v>
      </c>
      <c r="D58" t="s">
        <v>35</v>
      </c>
      <c r="E58">
        <v>70287</v>
      </c>
      <c r="F58">
        <v>0</v>
      </c>
      <c r="G58">
        <v>0</v>
      </c>
      <c r="H58" s="1">
        <v>41366</v>
      </c>
      <c r="I58">
        <v>30</v>
      </c>
      <c r="J58">
        <v>295</v>
      </c>
      <c r="K58">
        <v>35</v>
      </c>
      <c r="L58">
        <v>482</v>
      </c>
      <c r="M58">
        <v>121</v>
      </c>
      <c r="N58">
        <v>120</v>
      </c>
      <c r="O58">
        <v>40</v>
      </c>
      <c r="P58">
        <v>1</v>
      </c>
      <c r="Q58">
        <v>5</v>
      </c>
      <c r="R58">
        <v>5</v>
      </c>
      <c r="S58">
        <v>10</v>
      </c>
      <c r="T58">
        <v>3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3</v>
      </c>
      <c r="AB58">
        <v>11</v>
      </c>
      <c r="AC58">
        <v>1</v>
      </c>
      <c r="AD58" t="str">
        <f t="shared" si="8"/>
        <v>Ok</v>
      </c>
      <c r="AE58" t="str">
        <f>IF(AND(Audit_Data[[#This Row],[Year_Birth]]&gt;=1900,Audit_Data[[#This Row],[Year_Birth]]&lt;=2010),"OK","Invalid")</f>
        <v>OK</v>
      </c>
      <c r="AF58" t="str">
        <f t="shared" si="0"/>
        <v>Valid</v>
      </c>
      <c r="AG58" t="str">
        <f t="shared" si="1"/>
        <v>Valid</v>
      </c>
      <c r="AH58" t="str">
        <f t="shared" si="2"/>
        <v>Valid</v>
      </c>
      <c r="AI58" t="str">
        <f t="shared" si="9"/>
        <v>Valid</v>
      </c>
      <c r="AJ58" t="str">
        <f t="shared" si="10"/>
        <v>Valid</v>
      </c>
      <c r="AK58" t="str">
        <f t="shared" si="11"/>
        <v xml:space="preserve">Valid </v>
      </c>
      <c r="AL58" t="str">
        <f>IF(AND(Audit_Data[[#This Row],[Recency]]&gt;=0,Audit_Data[[#This Row],[Recency]]&lt;=100),"Valid","Invalid")</f>
        <v>Valid</v>
      </c>
      <c r="AM58" t="str">
        <f t="shared" si="3"/>
        <v>Valid</v>
      </c>
      <c r="AN58" t="str">
        <f t="shared" si="4"/>
        <v>Valid</v>
      </c>
      <c r="AO58" t="str">
        <f t="shared" si="5"/>
        <v>Valid</v>
      </c>
      <c r="AP58" t="str">
        <f t="shared" si="12"/>
        <v>Valid</v>
      </c>
      <c r="AQ58" t="str">
        <f>IF(Audit_Data[[#This Row],[Z_CostContact]]=3,"Valid","Invalid")</f>
        <v>Valid</v>
      </c>
      <c r="AR58" t="str">
        <f t="shared" si="6"/>
        <v>Valid</v>
      </c>
      <c r="AS58" t="str">
        <f t="shared" si="7"/>
        <v>Valid</v>
      </c>
    </row>
    <row r="59" spans="1:45" x14ac:dyDescent="0.3">
      <c r="A59">
        <v>7437</v>
      </c>
      <c r="B59">
        <v>1988</v>
      </c>
      <c r="C59" t="s">
        <v>29</v>
      </c>
      <c r="D59" t="s">
        <v>30</v>
      </c>
      <c r="E59">
        <v>27938</v>
      </c>
      <c r="F59">
        <v>1</v>
      </c>
      <c r="G59">
        <v>0</v>
      </c>
      <c r="H59" s="1">
        <v>41757</v>
      </c>
      <c r="I59">
        <v>31</v>
      </c>
      <c r="J59">
        <v>13</v>
      </c>
      <c r="K59">
        <v>0</v>
      </c>
      <c r="L59">
        <v>8</v>
      </c>
      <c r="M59">
        <v>2</v>
      </c>
      <c r="N59">
        <v>1</v>
      </c>
      <c r="O59">
        <v>5</v>
      </c>
      <c r="P59">
        <v>1</v>
      </c>
      <c r="Q59">
        <v>1</v>
      </c>
      <c r="R59">
        <v>0</v>
      </c>
      <c r="S59">
        <v>4</v>
      </c>
      <c r="T59">
        <v>3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3</v>
      </c>
      <c r="AB59">
        <v>11</v>
      </c>
      <c r="AC59">
        <v>0</v>
      </c>
      <c r="AD59" t="str">
        <f t="shared" si="8"/>
        <v>Ok</v>
      </c>
      <c r="AE59" t="str">
        <f>IF(AND(Audit_Data[[#This Row],[Year_Birth]]&gt;=1900,Audit_Data[[#This Row],[Year_Birth]]&lt;=2010),"OK","Invalid")</f>
        <v>OK</v>
      </c>
      <c r="AF59" t="str">
        <f t="shared" si="0"/>
        <v>Valid</v>
      </c>
      <c r="AG59" t="str">
        <f t="shared" si="1"/>
        <v>Valid</v>
      </c>
      <c r="AH59" t="str">
        <f t="shared" si="2"/>
        <v>Valid</v>
      </c>
      <c r="AI59" t="str">
        <f t="shared" si="9"/>
        <v>Valid</v>
      </c>
      <c r="AJ59" t="str">
        <f t="shared" si="10"/>
        <v>Valid</v>
      </c>
      <c r="AK59" t="str">
        <f t="shared" si="11"/>
        <v xml:space="preserve">Valid </v>
      </c>
      <c r="AL59" t="str">
        <f>IF(AND(Audit_Data[[#This Row],[Recency]]&gt;=0,Audit_Data[[#This Row],[Recency]]&lt;=100),"Valid","Invalid")</f>
        <v>Valid</v>
      </c>
      <c r="AM59" t="str">
        <f t="shared" si="3"/>
        <v>Valid</v>
      </c>
      <c r="AN59" t="str">
        <f t="shared" si="4"/>
        <v>Valid</v>
      </c>
      <c r="AO59" t="str">
        <f t="shared" si="5"/>
        <v>Valid</v>
      </c>
      <c r="AP59" t="str">
        <f t="shared" si="12"/>
        <v>Valid</v>
      </c>
      <c r="AQ59" t="str">
        <f>IF(Audit_Data[[#This Row],[Z_CostContact]]=3,"Valid","Invalid")</f>
        <v>Valid</v>
      </c>
      <c r="AR59" t="str">
        <f t="shared" si="6"/>
        <v>Valid</v>
      </c>
      <c r="AS59" t="str">
        <f t="shared" si="7"/>
        <v>Valid</v>
      </c>
    </row>
    <row r="60" spans="1:45" x14ac:dyDescent="0.3">
      <c r="A60">
        <v>8557</v>
      </c>
      <c r="B60">
        <v>1982</v>
      </c>
      <c r="C60" t="s">
        <v>29</v>
      </c>
      <c r="D60" t="s">
        <v>30</v>
      </c>
      <c r="F60">
        <v>1</v>
      </c>
      <c r="G60">
        <v>0</v>
      </c>
      <c r="H60" s="1">
        <v>41442</v>
      </c>
      <c r="I60">
        <v>57</v>
      </c>
      <c r="J60">
        <v>11</v>
      </c>
      <c r="K60">
        <v>3</v>
      </c>
      <c r="L60">
        <v>22</v>
      </c>
      <c r="M60">
        <v>2</v>
      </c>
      <c r="N60">
        <v>2</v>
      </c>
      <c r="O60">
        <v>6</v>
      </c>
      <c r="P60">
        <v>2</v>
      </c>
      <c r="Q60">
        <v>2</v>
      </c>
      <c r="R60">
        <v>0</v>
      </c>
      <c r="S60">
        <v>3</v>
      </c>
      <c r="T60">
        <v>6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3</v>
      </c>
      <c r="AB60">
        <v>11</v>
      </c>
      <c r="AC60">
        <v>0</v>
      </c>
      <c r="AD60" t="str">
        <f t="shared" si="8"/>
        <v>Ok</v>
      </c>
      <c r="AE60" t="str">
        <f>IF(AND(Audit_Data[[#This Row],[Year_Birth]]&gt;=1900,Audit_Data[[#This Row],[Year_Birth]]&lt;=2010),"OK","Invalid")</f>
        <v>OK</v>
      </c>
      <c r="AF60" t="str">
        <f t="shared" si="0"/>
        <v>Valid</v>
      </c>
      <c r="AG60" t="str">
        <f t="shared" si="1"/>
        <v>Valid</v>
      </c>
      <c r="AH60" t="str">
        <f t="shared" si="2"/>
        <v>Invalid</v>
      </c>
      <c r="AI60" t="str">
        <f t="shared" si="9"/>
        <v>Valid</v>
      </c>
      <c r="AJ60" t="str">
        <f t="shared" si="10"/>
        <v>Valid</v>
      </c>
      <c r="AK60" t="str">
        <f t="shared" si="11"/>
        <v xml:space="preserve">Valid </v>
      </c>
      <c r="AL60" t="str">
        <f>IF(AND(Audit_Data[[#This Row],[Recency]]&gt;=0,Audit_Data[[#This Row],[Recency]]&lt;=100),"Valid","Invalid")</f>
        <v>Valid</v>
      </c>
      <c r="AM60" t="str">
        <f t="shared" si="3"/>
        <v>Valid</v>
      </c>
      <c r="AN60" t="str">
        <f t="shared" si="4"/>
        <v>Valid</v>
      </c>
      <c r="AO60" t="str">
        <f t="shared" si="5"/>
        <v>Valid</v>
      </c>
      <c r="AP60" t="str">
        <f t="shared" si="12"/>
        <v>Valid</v>
      </c>
      <c r="AQ60" t="str">
        <f>IF(Audit_Data[[#This Row],[Z_CostContact]]=3,"Valid","Invalid")</f>
        <v>Valid</v>
      </c>
      <c r="AR60" t="str">
        <f t="shared" si="6"/>
        <v>Valid</v>
      </c>
      <c r="AS60" t="str">
        <f t="shared" si="7"/>
        <v>Valid</v>
      </c>
    </row>
    <row r="61" spans="1:45" x14ac:dyDescent="0.3">
      <c r="A61">
        <v>8375</v>
      </c>
      <c r="B61">
        <v>1968</v>
      </c>
      <c r="C61" t="s">
        <v>32</v>
      </c>
      <c r="D61" t="s">
        <v>33</v>
      </c>
      <c r="E61">
        <v>55954</v>
      </c>
      <c r="F61">
        <v>0</v>
      </c>
      <c r="G61">
        <v>1</v>
      </c>
      <c r="H61" s="1">
        <v>41701</v>
      </c>
      <c r="I61">
        <v>63</v>
      </c>
      <c r="J61">
        <v>447</v>
      </c>
      <c r="K61">
        <v>0</v>
      </c>
      <c r="L61">
        <v>28</v>
      </c>
      <c r="M61">
        <v>0</v>
      </c>
      <c r="N61">
        <v>0</v>
      </c>
      <c r="O61">
        <v>43</v>
      </c>
      <c r="P61">
        <v>3</v>
      </c>
      <c r="Q61">
        <v>8</v>
      </c>
      <c r="R61">
        <v>2</v>
      </c>
      <c r="S61">
        <v>6</v>
      </c>
      <c r="T61">
        <v>7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3</v>
      </c>
      <c r="AB61">
        <v>11</v>
      </c>
      <c r="AC61">
        <v>0</v>
      </c>
      <c r="AD61" t="str">
        <f t="shared" si="8"/>
        <v>Ok</v>
      </c>
      <c r="AE61" t="str">
        <f>IF(AND(Audit_Data[[#This Row],[Year_Birth]]&gt;=1900,Audit_Data[[#This Row],[Year_Birth]]&lt;=2010),"OK","Invalid")</f>
        <v>OK</v>
      </c>
      <c r="AF61" t="str">
        <f t="shared" si="0"/>
        <v>Valid</v>
      </c>
      <c r="AG61" t="str">
        <f t="shared" si="1"/>
        <v>Valid</v>
      </c>
      <c r="AH61" t="str">
        <f t="shared" si="2"/>
        <v>Valid</v>
      </c>
      <c r="AI61" t="str">
        <f t="shared" si="9"/>
        <v>Valid</v>
      </c>
      <c r="AJ61" t="str">
        <f t="shared" si="10"/>
        <v>Valid</v>
      </c>
      <c r="AK61" t="str">
        <f t="shared" si="11"/>
        <v xml:space="preserve">Valid </v>
      </c>
      <c r="AL61" t="str">
        <f>IF(AND(Audit_Data[[#This Row],[Recency]]&gt;=0,Audit_Data[[#This Row],[Recency]]&lt;=100),"Valid","Invalid")</f>
        <v>Valid</v>
      </c>
      <c r="AM61" t="str">
        <f t="shared" si="3"/>
        <v>Valid</v>
      </c>
      <c r="AN61" t="str">
        <f t="shared" si="4"/>
        <v>Valid</v>
      </c>
      <c r="AO61" t="str">
        <f t="shared" si="5"/>
        <v>Valid</v>
      </c>
      <c r="AP61" t="str">
        <f t="shared" si="12"/>
        <v>Valid</v>
      </c>
      <c r="AQ61" t="str">
        <f>IF(Audit_Data[[#This Row],[Z_CostContact]]=3,"Valid","Invalid")</f>
        <v>Valid</v>
      </c>
      <c r="AR61" t="str">
        <f t="shared" si="6"/>
        <v>Valid</v>
      </c>
      <c r="AS61" t="str">
        <f t="shared" si="7"/>
        <v>Valid</v>
      </c>
    </row>
    <row r="62" spans="1:45" x14ac:dyDescent="0.3">
      <c r="A62">
        <v>6853</v>
      </c>
      <c r="B62">
        <v>1982</v>
      </c>
      <c r="C62" t="s">
        <v>34</v>
      </c>
      <c r="D62" t="s">
        <v>30</v>
      </c>
      <c r="E62">
        <v>75777</v>
      </c>
      <c r="F62">
        <v>0</v>
      </c>
      <c r="G62">
        <v>0</v>
      </c>
      <c r="H62" s="1">
        <v>41459</v>
      </c>
      <c r="I62">
        <v>12</v>
      </c>
      <c r="J62">
        <v>712</v>
      </c>
      <c r="K62">
        <v>26</v>
      </c>
      <c r="L62">
        <v>538</v>
      </c>
      <c r="M62">
        <v>69</v>
      </c>
      <c r="N62">
        <v>13</v>
      </c>
      <c r="O62">
        <v>80</v>
      </c>
      <c r="P62">
        <v>1</v>
      </c>
      <c r="Q62">
        <v>3</v>
      </c>
      <c r="R62">
        <v>6</v>
      </c>
      <c r="S62">
        <v>11</v>
      </c>
      <c r="T62">
        <v>1</v>
      </c>
      <c r="U62">
        <v>0</v>
      </c>
      <c r="V62">
        <v>1</v>
      </c>
      <c r="W62">
        <v>1</v>
      </c>
      <c r="X62">
        <v>0</v>
      </c>
      <c r="Y62">
        <v>0</v>
      </c>
      <c r="Z62">
        <v>0</v>
      </c>
      <c r="AA62">
        <v>3</v>
      </c>
      <c r="AB62">
        <v>11</v>
      </c>
      <c r="AC62">
        <v>1</v>
      </c>
      <c r="AD62" t="str">
        <f t="shared" si="8"/>
        <v>Ok</v>
      </c>
      <c r="AE62" t="str">
        <f>IF(AND(Audit_Data[[#This Row],[Year_Birth]]&gt;=1900,Audit_Data[[#This Row],[Year_Birth]]&lt;=2010),"OK","Invalid")</f>
        <v>OK</v>
      </c>
      <c r="AF62" t="str">
        <f t="shared" si="0"/>
        <v>Valid</v>
      </c>
      <c r="AG62" t="str">
        <f t="shared" si="1"/>
        <v>Valid</v>
      </c>
      <c r="AH62" t="str">
        <f t="shared" si="2"/>
        <v>Valid</v>
      </c>
      <c r="AI62" t="str">
        <f t="shared" si="9"/>
        <v>Valid</v>
      </c>
      <c r="AJ62" t="str">
        <f t="shared" si="10"/>
        <v>Valid</v>
      </c>
      <c r="AK62" t="str">
        <f t="shared" si="11"/>
        <v xml:space="preserve">Valid </v>
      </c>
      <c r="AL62" t="str">
        <f>IF(AND(Audit_Data[[#This Row],[Recency]]&gt;=0,Audit_Data[[#This Row],[Recency]]&lt;=100),"Valid","Invalid")</f>
        <v>Valid</v>
      </c>
      <c r="AM62" t="str">
        <f t="shared" si="3"/>
        <v>Valid</v>
      </c>
      <c r="AN62" t="str">
        <f t="shared" si="4"/>
        <v>Valid</v>
      </c>
      <c r="AO62" t="str">
        <f t="shared" si="5"/>
        <v>Valid</v>
      </c>
      <c r="AP62" t="str">
        <f t="shared" si="12"/>
        <v>Valid</v>
      </c>
      <c r="AQ62" t="str">
        <f>IF(Audit_Data[[#This Row],[Z_CostContact]]=3,"Valid","Invalid")</f>
        <v>Valid</v>
      </c>
      <c r="AR62" t="str">
        <f t="shared" si="6"/>
        <v>Valid</v>
      </c>
      <c r="AS62" t="str">
        <f t="shared" si="7"/>
        <v>Valid</v>
      </c>
    </row>
    <row r="63" spans="1:45" x14ac:dyDescent="0.3">
      <c r="A63">
        <v>3076</v>
      </c>
      <c r="B63">
        <v>1975</v>
      </c>
      <c r="C63" t="s">
        <v>29</v>
      </c>
      <c r="D63" t="s">
        <v>31</v>
      </c>
      <c r="E63">
        <v>66653</v>
      </c>
      <c r="F63">
        <v>1</v>
      </c>
      <c r="G63">
        <v>1</v>
      </c>
      <c r="H63" s="1">
        <v>41159</v>
      </c>
      <c r="I63">
        <v>18</v>
      </c>
      <c r="J63">
        <v>452</v>
      </c>
      <c r="K63">
        <v>18</v>
      </c>
      <c r="L63">
        <v>102</v>
      </c>
      <c r="M63">
        <v>16</v>
      </c>
      <c r="N63">
        <v>18</v>
      </c>
      <c r="O63">
        <v>6</v>
      </c>
      <c r="P63">
        <v>4</v>
      </c>
      <c r="Q63">
        <v>4</v>
      </c>
      <c r="R63">
        <v>2</v>
      </c>
      <c r="S63">
        <v>12</v>
      </c>
      <c r="T63">
        <v>3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3</v>
      </c>
      <c r="AB63">
        <v>11</v>
      </c>
      <c r="AC63">
        <v>0</v>
      </c>
      <c r="AD63" t="str">
        <f t="shared" si="8"/>
        <v>Ok</v>
      </c>
      <c r="AE63" t="str">
        <f>IF(AND(Audit_Data[[#This Row],[Year_Birth]]&gt;=1900,Audit_Data[[#This Row],[Year_Birth]]&lt;=2010),"OK","Invalid")</f>
        <v>OK</v>
      </c>
      <c r="AF63" t="str">
        <f t="shared" si="0"/>
        <v>Valid</v>
      </c>
      <c r="AG63" t="str">
        <f t="shared" si="1"/>
        <v>Valid</v>
      </c>
      <c r="AH63" t="str">
        <f t="shared" si="2"/>
        <v>Valid</v>
      </c>
      <c r="AI63" t="str">
        <f t="shared" si="9"/>
        <v>Valid</v>
      </c>
      <c r="AJ63" t="str">
        <f t="shared" si="10"/>
        <v>Valid</v>
      </c>
      <c r="AK63" t="str">
        <f t="shared" si="11"/>
        <v xml:space="preserve">Valid </v>
      </c>
      <c r="AL63" t="str">
        <f>IF(AND(Audit_Data[[#This Row],[Recency]]&gt;=0,Audit_Data[[#This Row],[Recency]]&lt;=100),"Valid","Invalid")</f>
        <v>Valid</v>
      </c>
      <c r="AM63" t="str">
        <f t="shared" si="3"/>
        <v>Valid</v>
      </c>
      <c r="AN63" t="str">
        <f t="shared" si="4"/>
        <v>Valid</v>
      </c>
      <c r="AO63" t="str">
        <f t="shared" si="5"/>
        <v>Valid</v>
      </c>
      <c r="AP63" t="str">
        <f t="shared" si="12"/>
        <v>Valid</v>
      </c>
      <c r="AQ63" t="str">
        <f>IF(Audit_Data[[#This Row],[Z_CostContact]]=3,"Valid","Invalid")</f>
        <v>Valid</v>
      </c>
      <c r="AR63" t="str">
        <f t="shared" si="6"/>
        <v>Valid</v>
      </c>
      <c r="AS63" t="str">
        <f t="shared" si="7"/>
        <v>Valid</v>
      </c>
    </row>
    <row r="64" spans="1:45" x14ac:dyDescent="0.3">
      <c r="A64">
        <v>1012</v>
      </c>
      <c r="B64">
        <v>1952</v>
      </c>
      <c r="C64" t="s">
        <v>29</v>
      </c>
      <c r="D64" t="s">
        <v>30</v>
      </c>
      <c r="E64">
        <v>61823</v>
      </c>
      <c r="F64">
        <v>0</v>
      </c>
      <c r="G64">
        <v>1</v>
      </c>
      <c r="H64" s="1">
        <v>41323</v>
      </c>
      <c r="I64">
        <v>26</v>
      </c>
      <c r="J64">
        <v>523</v>
      </c>
      <c r="K64">
        <v>7</v>
      </c>
      <c r="L64">
        <v>134</v>
      </c>
      <c r="M64">
        <v>37</v>
      </c>
      <c r="N64">
        <v>14</v>
      </c>
      <c r="O64">
        <v>169</v>
      </c>
      <c r="P64">
        <v>4</v>
      </c>
      <c r="Q64">
        <v>8</v>
      </c>
      <c r="R64">
        <v>2</v>
      </c>
      <c r="S64">
        <v>10</v>
      </c>
      <c r="T64">
        <v>7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3</v>
      </c>
      <c r="AB64">
        <v>11</v>
      </c>
      <c r="AC64">
        <v>0</v>
      </c>
      <c r="AD64" t="str">
        <f t="shared" si="8"/>
        <v>Ok</v>
      </c>
      <c r="AE64" t="str">
        <f>IF(AND(Audit_Data[[#This Row],[Year_Birth]]&gt;=1900,Audit_Data[[#This Row],[Year_Birth]]&lt;=2010),"OK","Invalid")</f>
        <v>OK</v>
      </c>
      <c r="AF64" t="str">
        <f t="shared" si="0"/>
        <v>Valid</v>
      </c>
      <c r="AG64" t="str">
        <f t="shared" si="1"/>
        <v>Valid</v>
      </c>
      <c r="AH64" t="str">
        <f t="shared" si="2"/>
        <v>Valid</v>
      </c>
      <c r="AI64" t="str">
        <f t="shared" si="9"/>
        <v>Valid</v>
      </c>
      <c r="AJ64" t="str">
        <f t="shared" si="10"/>
        <v>Valid</v>
      </c>
      <c r="AK64" t="str">
        <f t="shared" si="11"/>
        <v xml:space="preserve">Valid </v>
      </c>
      <c r="AL64" t="str">
        <f>IF(AND(Audit_Data[[#This Row],[Recency]]&gt;=0,Audit_Data[[#This Row],[Recency]]&lt;=100),"Valid","Invalid")</f>
        <v>Valid</v>
      </c>
      <c r="AM64" t="str">
        <f t="shared" si="3"/>
        <v>Valid</v>
      </c>
      <c r="AN64" t="str">
        <f t="shared" si="4"/>
        <v>Valid</v>
      </c>
      <c r="AO64" t="str">
        <f t="shared" si="5"/>
        <v>Valid</v>
      </c>
      <c r="AP64" t="str">
        <f t="shared" si="12"/>
        <v>Valid</v>
      </c>
      <c r="AQ64" t="str">
        <f>IF(Audit_Data[[#This Row],[Z_CostContact]]=3,"Valid","Invalid")</f>
        <v>Valid</v>
      </c>
      <c r="AR64" t="str">
        <f t="shared" si="6"/>
        <v>Valid</v>
      </c>
      <c r="AS64" t="str">
        <f t="shared" si="7"/>
        <v>Valid</v>
      </c>
    </row>
    <row r="65" spans="1:45" x14ac:dyDescent="0.3">
      <c r="A65">
        <v>6518</v>
      </c>
      <c r="B65">
        <v>1951</v>
      </c>
      <c r="C65" t="s">
        <v>32</v>
      </c>
      <c r="D65" t="s">
        <v>38</v>
      </c>
      <c r="E65">
        <v>67680</v>
      </c>
      <c r="F65">
        <v>0</v>
      </c>
      <c r="G65">
        <v>1</v>
      </c>
      <c r="H65" s="1">
        <v>41436</v>
      </c>
      <c r="I65">
        <v>8</v>
      </c>
      <c r="J65">
        <v>546</v>
      </c>
      <c r="K65">
        <v>0</v>
      </c>
      <c r="L65">
        <v>48</v>
      </c>
      <c r="M65">
        <v>0</v>
      </c>
      <c r="N65">
        <v>6</v>
      </c>
      <c r="O65">
        <v>6</v>
      </c>
      <c r="P65">
        <v>1</v>
      </c>
      <c r="Q65">
        <v>7</v>
      </c>
      <c r="R65">
        <v>3</v>
      </c>
      <c r="S65">
        <v>8</v>
      </c>
      <c r="T65">
        <v>5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3</v>
      </c>
      <c r="AB65">
        <v>11</v>
      </c>
      <c r="AC65">
        <v>0</v>
      </c>
      <c r="AD65" t="str">
        <f t="shared" si="8"/>
        <v>Ok</v>
      </c>
      <c r="AE65" t="str">
        <f>IF(AND(Audit_Data[[#This Row],[Year_Birth]]&gt;=1900,Audit_Data[[#This Row],[Year_Birth]]&lt;=2010),"OK","Invalid")</f>
        <v>OK</v>
      </c>
      <c r="AF65" t="str">
        <f t="shared" si="0"/>
        <v>Valid</v>
      </c>
      <c r="AG65" t="str">
        <f t="shared" si="1"/>
        <v>Valid</v>
      </c>
      <c r="AH65" t="str">
        <f t="shared" si="2"/>
        <v>Valid</v>
      </c>
      <c r="AI65" t="str">
        <f t="shared" si="9"/>
        <v>Valid</v>
      </c>
      <c r="AJ65" t="str">
        <f t="shared" si="10"/>
        <v>Valid</v>
      </c>
      <c r="AK65" t="str">
        <f t="shared" si="11"/>
        <v xml:space="preserve">Valid </v>
      </c>
      <c r="AL65" t="str">
        <f>IF(AND(Audit_Data[[#This Row],[Recency]]&gt;=0,Audit_Data[[#This Row],[Recency]]&lt;=100),"Valid","Invalid")</f>
        <v>Valid</v>
      </c>
      <c r="AM65" t="str">
        <f t="shared" si="3"/>
        <v>Valid</v>
      </c>
      <c r="AN65" t="str">
        <f t="shared" si="4"/>
        <v>Valid</v>
      </c>
      <c r="AO65" t="str">
        <f t="shared" si="5"/>
        <v>Valid</v>
      </c>
      <c r="AP65" t="str">
        <f t="shared" si="12"/>
        <v>Valid</v>
      </c>
      <c r="AQ65" t="str">
        <f>IF(Audit_Data[[#This Row],[Z_CostContact]]=3,"Valid","Invalid")</f>
        <v>Valid</v>
      </c>
      <c r="AR65" t="str">
        <f t="shared" si="6"/>
        <v>Valid</v>
      </c>
      <c r="AS65" t="str">
        <f t="shared" si="7"/>
        <v>Valid</v>
      </c>
    </row>
    <row r="66" spans="1:45" x14ac:dyDescent="0.3">
      <c r="A66">
        <v>4137</v>
      </c>
      <c r="B66">
        <v>1948</v>
      </c>
      <c r="C66" t="s">
        <v>29</v>
      </c>
      <c r="D66" t="s">
        <v>31</v>
      </c>
      <c r="E66">
        <v>70666</v>
      </c>
      <c r="F66">
        <v>0</v>
      </c>
      <c r="G66">
        <v>0</v>
      </c>
      <c r="H66" s="1">
        <v>41614</v>
      </c>
      <c r="I66">
        <v>29</v>
      </c>
      <c r="J66">
        <v>398</v>
      </c>
      <c r="K66">
        <v>40</v>
      </c>
      <c r="L66">
        <v>367</v>
      </c>
      <c r="M66">
        <v>119</v>
      </c>
      <c r="N66">
        <v>122</v>
      </c>
      <c r="O66">
        <v>30</v>
      </c>
      <c r="P66">
        <v>1</v>
      </c>
      <c r="Q66">
        <v>7</v>
      </c>
      <c r="R66">
        <v>4</v>
      </c>
      <c r="S66">
        <v>4</v>
      </c>
      <c r="T66">
        <v>4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3</v>
      </c>
      <c r="AB66">
        <v>11</v>
      </c>
      <c r="AC66">
        <v>0</v>
      </c>
      <c r="AD66" t="str">
        <f t="shared" ref="AD66:AD129" si="13">IF(COUNTIF(A:A,A66)&gt;1,"Duplicate","Ok")</f>
        <v>Ok</v>
      </c>
      <c r="AE66" t="str">
        <f>IF(AND(Audit_Data[[#This Row],[Year_Birth]]&gt;=1900,Audit_Data[[#This Row],[Year_Birth]]&lt;=2010),"OK","Invalid")</f>
        <v>OK</v>
      </c>
      <c r="AF66" t="str">
        <f t="shared" ref="AF66:AF129" si="14">IF(OR(C66="Graduation",C66="phD",C66="Master",C66="Basic",C66="2n Cycle"),"Valid","Invalid")</f>
        <v>Valid</v>
      </c>
      <c r="AG66" t="str">
        <f t="shared" ref="AG66:AG129" si="15">IF(OR(D66="Single",D66="Married",D66="Divorced",D66="Together",D66="Widow",D66="Alone"),"Valid","Invalid")</f>
        <v>Valid</v>
      </c>
      <c r="AH66" t="str">
        <f t="shared" ref="AH66:AH129" si="16">IF(AND(ISNUMBER(E66),E66&lt;&gt;""),"Valid","Invalid")</f>
        <v>Valid</v>
      </c>
      <c r="AI66" t="str">
        <f t="shared" ref="AI66:AI129" si="17">IF(AND(F66&gt;=0,F66&lt;=2),"Valid","Invalid")</f>
        <v>Valid</v>
      </c>
      <c r="AJ66" t="str">
        <f t="shared" ref="AJ66:AJ129" si="18">IF(AND(G66&gt;=0,G66&lt;=2),"Valid","Invalid")</f>
        <v>Valid</v>
      </c>
      <c r="AK66" t="str">
        <f t="shared" si="11"/>
        <v xml:space="preserve">Valid </v>
      </c>
      <c r="AL66" t="str">
        <f>IF(AND(Audit_Data[[#This Row],[Recency]]&gt;=0,Audit_Data[[#This Row],[Recency]]&lt;=100),"Valid","Invalid")</f>
        <v>Valid</v>
      </c>
      <c r="AM66" t="str">
        <f t="shared" ref="AM66:AM129" si="19">IF(AND(ISNUMBER(J66),J66&gt;=0,ISNUMBER(K66),K66&gt;=0,ISNUMBER(L66),L66&gt;=0,ISNUMBER(M66),M66&gt;=0,ISNUMBER(N66),N66&gt;=0,ISNUMBER(O66),O66&gt;=0),"Valid","Invalid")</f>
        <v>Valid</v>
      </c>
      <c r="AN66" t="str">
        <f t="shared" ref="AN66:AN129" si="20">IF(AND(ISNUMBER(P66),P66&gt;=0,ISNUMBER(Q66),Q66&gt;=0,ISNUMBER(R66),R66&gt;=0,ISNUMBER(S66),S66&gt;=0,ISNUMBER(T66),T66&gt;=0),"Valid","Invalid")</f>
        <v>Valid</v>
      </c>
      <c r="AO66" t="str">
        <f t="shared" ref="AO66:AO129" si="21">IF(AND(U66&lt;=1,V66&lt;=1,W66&lt;=1,X66&lt;=1,Y66&lt;=1),"Valid","Invalid")</f>
        <v>Valid</v>
      </c>
      <c r="AP66" t="str">
        <f t="shared" ref="AP66:AP129" si="22">IF(OR(Z66=0,Z66=1),"Valid","Invalid")</f>
        <v>Valid</v>
      </c>
      <c r="AQ66" t="str">
        <f>IF(Audit_Data[[#This Row],[Z_CostContact]]=3,"Valid","Invalid")</f>
        <v>Valid</v>
      </c>
      <c r="AR66" t="str">
        <f t="shared" ref="AR66:AR129" si="23">IF(AB66=11,"Valid","Invalid")</f>
        <v>Valid</v>
      </c>
      <c r="AS66" t="str">
        <f t="shared" ref="AS66:AS129" si="24">IF(OR(AC66=0,AC66=1),"Valid","Invalid")</f>
        <v>Valid</v>
      </c>
    </row>
    <row r="67" spans="1:45" x14ac:dyDescent="0.3">
      <c r="A67">
        <v>8082</v>
      </c>
      <c r="B67">
        <v>1971</v>
      </c>
      <c r="C67" t="s">
        <v>29</v>
      </c>
      <c r="D67" t="s">
        <v>33</v>
      </c>
      <c r="E67">
        <v>25721</v>
      </c>
      <c r="F67">
        <v>1</v>
      </c>
      <c r="G67">
        <v>0</v>
      </c>
      <c r="H67" s="1">
        <v>41415</v>
      </c>
      <c r="I67">
        <v>75</v>
      </c>
      <c r="J67">
        <v>1</v>
      </c>
      <c r="K67">
        <v>3</v>
      </c>
      <c r="L67">
        <v>6</v>
      </c>
      <c r="M67">
        <v>3</v>
      </c>
      <c r="N67">
        <v>6</v>
      </c>
      <c r="O67">
        <v>15</v>
      </c>
      <c r="P67">
        <v>1</v>
      </c>
      <c r="Q67">
        <v>1</v>
      </c>
      <c r="R67">
        <v>1</v>
      </c>
      <c r="S67">
        <v>2</v>
      </c>
      <c r="T67">
        <v>7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3</v>
      </c>
      <c r="AB67">
        <v>11</v>
      </c>
      <c r="AC67">
        <v>1</v>
      </c>
      <c r="AD67" t="str">
        <f t="shared" si="13"/>
        <v>Ok</v>
      </c>
      <c r="AE67" t="str">
        <f>IF(AND(Audit_Data[[#This Row],[Year_Birth]]&gt;=1900,Audit_Data[[#This Row],[Year_Birth]]&lt;=2010),"OK","Invalid")</f>
        <v>OK</v>
      </c>
      <c r="AF67" t="str">
        <f t="shared" si="14"/>
        <v>Valid</v>
      </c>
      <c r="AG67" t="str">
        <f t="shared" si="15"/>
        <v>Valid</v>
      </c>
      <c r="AH67" t="str">
        <f t="shared" si="16"/>
        <v>Valid</v>
      </c>
      <c r="AI67" t="str">
        <f t="shared" si="17"/>
        <v>Valid</v>
      </c>
      <c r="AJ67" t="str">
        <f t="shared" si="18"/>
        <v>Valid</v>
      </c>
      <c r="AK67" t="str">
        <f t="shared" ref="AK67:AK130" si="25">IF(AND(ISNUMBER(H67),H67&gt;=DATE(2012,1,1),H67&lt;=DATE(2014,12,31)),"Valid ","Invalid")</f>
        <v xml:space="preserve">Valid </v>
      </c>
      <c r="AL67" t="str">
        <f>IF(AND(Audit_Data[[#This Row],[Recency]]&gt;=0,Audit_Data[[#This Row],[Recency]]&lt;=100),"Valid","Invalid")</f>
        <v>Valid</v>
      </c>
      <c r="AM67" t="str">
        <f t="shared" si="19"/>
        <v>Valid</v>
      </c>
      <c r="AN67" t="str">
        <f t="shared" si="20"/>
        <v>Valid</v>
      </c>
      <c r="AO67" t="str">
        <f t="shared" si="21"/>
        <v>Valid</v>
      </c>
      <c r="AP67" t="str">
        <f t="shared" si="22"/>
        <v>Valid</v>
      </c>
      <c r="AQ67" t="str">
        <f>IF(Audit_Data[[#This Row],[Z_CostContact]]=3,"Valid","Invalid")</f>
        <v>Valid</v>
      </c>
      <c r="AR67" t="str">
        <f t="shared" si="23"/>
        <v>Valid</v>
      </c>
      <c r="AS67" t="str">
        <f t="shared" si="24"/>
        <v>Valid</v>
      </c>
    </row>
    <row r="68" spans="1:45" x14ac:dyDescent="0.3">
      <c r="A68">
        <v>1386</v>
      </c>
      <c r="B68">
        <v>1967</v>
      </c>
      <c r="C68" t="s">
        <v>29</v>
      </c>
      <c r="D68" t="s">
        <v>31</v>
      </c>
      <c r="E68">
        <v>32474</v>
      </c>
      <c r="F68">
        <v>1</v>
      </c>
      <c r="G68">
        <v>1</v>
      </c>
      <c r="H68" s="1">
        <v>41770</v>
      </c>
      <c r="I68">
        <v>0</v>
      </c>
      <c r="J68">
        <v>10</v>
      </c>
      <c r="K68">
        <v>0</v>
      </c>
      <c r="L68">
        <v>1</v>
      </c>
      <c r="M68">
        <v>0</v>
      </c>
      <c r="N68">
        <v>0</v>
      </c>
      <c r="O68">
        <v>0</v>
      </c>
      <c r="P68">
        <v>1</v>
      </c>
      <c r="Q68">
        <v>1</v>
      </c>
      <c r="R68">
        <v>0</v>
      </c>
      <c r="S68">
        <v>2</v>
      </c>
      <c r="T68">
        <v>7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3</v>
      </c>
      <c r="AB68">
        <v>11</v>
      </c>
      <c r="AC68">
        <v>0</v>
      </c>
      <c r="AD68" t="str">
        <f t="shared" si="13"/>
        <v>Ok</v>
      </c>
      <c r="AE68" t="str">
        <f>IF(AND(Audit_Data[[#This Row],[Year_Birth]]&gt;=1900,Audit_Data[[#This Row],[Year_Birth]]&lt;=2010),"OK","Invalid")</f>
        <v>OK</v>
      </c>
      <c r="AF68" t="str">
        <f t="shared" si="14"/>
        <v>Valid</v>
      </c>
      <c r="AG68" t="str">
        <f t="shared" si="15"/>
        <v>Valid</v>
      </c>
      <c r="AH68" t="str">
        <f t="shared" si="16"/>
        <v>Valid</v>
      </c>
      <c r="AI68" t="str">
        <f t="shared" si="17"/>
        <v>Valid</v>
      </c>
      <c r="AJ68" t="str">
        <f t="shared" si="18"/>
        <v>Valid</v>
      </c>
      <c r="AK68" t="str">
        <f t="shared" si="25"/>
        <v xml:space="preserve">Valid </v>
      </c>
      <c r="AL68" t="str">
        <f>IF(AND(Audit_Data[[#This Row],[Recency]]&gt;=0,Audit_Data[[#This Row],[Recency]]&lt;=100),"Valid","Invalid")</f>
        <v>Valid</v>
      </c>
      <c r="AM68" t="str">
        <f t="shared" si="19"/>
        <v>Valid</v>
      </c>
      <c r="AN68" t="str">
        <f t="shared" si="20"/>
        <v>Valid</v>
      </c>
      <c r="AO68" t="str">
        <f t="shared" si="21"/>
        <v>Valid</v>
      </c>
      <c r="AP68" t="str">
        <f t="shared" si="22"/>
        <v>Valid</v>
      </c>
      <c r="AQ68" t="str">
        <f>IF(Audit_Data[[#This Row],[Z_CostContact]]=3,"Valid","Invalid")</f>
        <v>Valid</v>
      </c>
      <c r="AR68" t="str">
        <f t="shared" si="23"/>
        <v>Valid</v>
      </c>
      <c r="AS68" t="str">
        <f t="shared" si="24"/>
        <v>Valid</v>
      </c>
    </row>
    <row r="69" spans="1:45" x14ac:dyDescent="0.3">
      <c r="A69">
        <v>9369</v>
      </c>
      <c r="B69">
        <v>1979</v>
      </c>
      <c r="C69" t="s">
        <v>37</v>
      </c>
      <c r="D69" t="s">
        <v>30</v>
      </c>
      <c r="E69">
        <v>88194</v>
      </c>
      <c r="F69">
        <v>0</v>
      </c>
      <c r="G69">
        <v>1</v>
      </c>
      <c r="H69" s="1">
        <v>41717</v>
      </c>
      <c r="I69">
        <v>19</v>
      </c>
      <c r="J69">
        <v>688</v>
      </c>
      <c r="K69">
        <v>14</v>
      </c>
      <c r="L69">
        <v>309</v>
      </c>
      <c r="M69">
        <v>201</v>
      </c>
      <c r="N69">
        <v>24</v>
      </c>
      <c r="O69">
        <v>38</v>
      </c>
      <c r="P69">
        <v>1</v>
      </c>
      <c r="Q69">
        <v>11</v>
      </c>
      <c r="R69">
        <v>10</v>
      </c>
      <c r="S69">
        <v>10</v>
      </c>
      <c r="T69">
        <v>5</v>
      </c>
      <c r="U69">
        <v>1</v>
      </c>
      <c r="V69">
        <v>0</v>
      </c>
      <c r="W69">
        <v>0</v>
      </c>
      <c r="X69">
        <v>1</v>
      </c>
      <c r="Y69">
        <v>0</v>
      </c>
      <c r="Z69">
        <v>0</v>
      </c>
      <c r="AA69">
        <v>3</v>
      </c>
      <c r="AB69">
        <v>11</v>
      </c>
      <c r="AC69">
        <v>1</v>
      </c>
      <c r="AD69" t="str">
        <f t="shared" si="13"/>
        <v>Ok</v>
      </c>
      <c r="AE69" t="str">
        <f>IF(AND(Audit_Data[[#This Row],[Year_Birth]]&gt;=1900,Audit_Data[[#This Row],[Year_Birth]]&lt;=2010),"OK","Invalid")</f>
        <v>OK</v>
      </c>
      <c r="AF69" t="str">
        <f t="shared" si="14"/>
        <v>Valid</v>
      </c>
      <c r="AG69" t="str">
        <f t="shared" si="15"/>
        <v>Valid</v>
      </c>
      <c r="AH69" t="str">
        <f t="shared" si="16"/>
        <v>Valid</v>
      </c>
      <c r="AI69" t="str">
        <f t="shared" si="17"/>
        <v>Valid</v>
      </c>
      <c r="AJ69" t="str">
        <f t="shared" si="18"/>
        <v>Valid</v>
      </c>
      <c r="AK69" t="str">
        <f t="shared" si="25"/>
        <v xml:space="preserve">Valid </v>
      </c>
      <c r="AL69" t="str">
        <f>IF(AND(Audit_Data[[#This Row],[Recency]]&gt;=0,Audit_Data[[#This Row],[Recency]]&lt;=100),"Valid","Invalid")</f>
        <v>Valid</v>
      </c>
      <c r="AM69" t="str">
        <f t="shared" si="19"/>
        <v>Valid</v>
      </c>
      <c r="AN69" t="str">
        <f t="shared" si="20"/>
        <v>Valid</v>
      </c>
      <c r="AO69" t="str">
        <f t="shared" si="21"/>
        <v>Valid</v>
      </c>
      <c r="AP69" t="str">
        <f t="shared" si="22"/>
        <v>Valid</v>
      </c>
      <c r="AQ69" t="str">
        <f>IF(Audit_Data[[#This Row],[Z_CostContact]]=3,"Valid","Invalid")</f>
        <v>Valid</v>
      </c>
      <c r="AR69" t="str">
        <f t="shared" si="23"/>
        <v>Valid</v>
      </c>
      <c r="AS69" t="str">
        <f t="shared" si="24"/>
        <v>Valid</v>
      </c>
    </row>
    <row r="70" spans="1:45" x14ac:dyDescent="0.3">
      <c r="A70">
        <v>4477</v>
      </c>
      <c r="B70">
        <v>1958</v>
      </c>
      <c r="C70" t="s">
        <v>29</v>
      </c>
      <c r="D70" t="s">
        <v>31</v>
      </c>
      <c r="E70">
        <v>69096</v>
      </c>
      <c r="F70">
        <v>0</v>
      </c>
      <c r="G70">
        <v>1</v>
      </c>
      <c r="H70" s="1">
        <v>41544</v>
      </c>
      <c r="I70">
        <v>4</v>
      </c>
      <c r="J70">
        <v>247</v>
      </c>
      <c r="K70">
        <v>49</v>
      </c>
      <c r="L70">
        <v>159</v>
      </c>
      <c r="M70">
        <v>7</v>
      </c>
      <c r="N70">
        <v>82</v>
      </c>
      <c r="O70">
        <v>109</v>
      </c>
      <c r="P70">
        <v>1</v>
      </c>
      <c r="Q70">
        <v>5</v>
      </c>
      <c r="R70">
        <v>2</v>
      </c>
      <c r="S70">
        <v>10</v>
      </c>
      <c r="T70">
        <v>4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3</v>
      </c>
      <c r="AB70">
        <v>11</v>
      </c>
      <c r="AC70">
        <v>0</v>
      </c>
      <c r="AD70" t="str">
        <f t="shared" si="13"/>
        <v>Ok</v>
      </c>
      <c r="AE70" t="str">
        <f>IF(AND(Audit_Data[[#This Row],[Year_Birth]]&gt;=1900,Audit_Data[[#This Row],[Year_Birth]]&lt;=2010),"OK","Invalid")</f>
        <v>OK</v>
      </c>
      <c r="AF70" t="str">
        <f t="shared" si="14"/>
        <v>Valid</v>
      </c>
      <c r="AG70" t="str">
        <f t="shared" si="15"/>
        <v>Valid</v>
      </c>
      <c r="AH70" t="str">
        <f t="shared" si="16"/>
        <v>Valid</v>
      </c>
      <c r="AI70" t="str">
        <f t="shared" si="17"/>
        <v>Valid</v>
      </c>
      <c r="AJ70" t="str">
        <f t="shared" si="18"/>
        <v>Valid</v>
      </c>
      <c r="AK70" t="str">
        <f t="shared" si="25"/>
        <v xml:space="preserve">Valid </v>
      </c>
      <c r="AL70" t="str">
        <f>IF(AND(Audit_Data[[#This Row],[Recency]]&gt;=0,Audit_Data[[#This Row],[Recency]]&lt;=100),"Valid","Invalid")</f>
        <v>Valid</v>
      </c>
      <c r="AM70" t="str">
        <f t="shared" si="19"/>
        <v>Valid</v>
      </c>
      <c r="AN70" t="str">
        <f t="shared" si="20"/>
        <v>Valid</v>
      </c>
      <c r="AO70" t="str">
        <f t="shared" si="21"/>
        <v>Valid</v>
      </c>
      <c r="AP70" t="str">
        <f t="shared" si="22"/>
        <v>Valid</v>
      </c>
      <c r="AQ70" t="str">
        <f>IF(Audit_Data[[#This Row],[Z_CostContact]]=3,"Valid","Invalid")</f>
        <v>Valid</v>
      </c>
      <c r="AR70" t="str">
        <f t="shared" si="23"/>
        <v>Valid</v>
      </c>
      <c r="AS70" t="str">
        <f t="shared" si="24"/>
        <v>Valid</v>
      </c>
    </row>
    <row r="71" spans="1:45" x14ac:dyDescent="0.3">
      <c r="A71">
        <v>1357</v>
      </c>
      <c r="B71">
        <v>1970</v>
      </c>
      <c r="C71" t="s">
        <v>29</v>
      </c>
      <c r="D71" t="s">
        <v>31</v>
      </c>
      <c r="E71">
        <v>74854</v>
      </c>
      <c r="F71">
        <v>1</v>
      </c>
      <c r="G71">
        <v>2</v>
      </c>
      <c r="H71" s="1">
        <v>41372</v>
      </c>
      <c r="I71">
        <v>90</v>
      </c>
      <c r="J71">
        <v>856</v>
      </c>
      <c r="K71">
        <v>59</v>
      </c>
      <c r="L71">
        <v>487</v>
      </c>
      <c r="M71">
        <v>58</v>
      </c>
      <c r="N71">
        <v>29</v>
      </c>
      <c r="O71">
        <v>73</v>
      </c>
      <c r="P71">
        <v>7</v>
      </c>
      <c r="Q71">
        <v>2</v>
      </c>
      <c r="R71">
        <v>5</v>
      </c>
      <c r="S71">
        <v>5</v>
      </c>
      <c r="T71">
        <v>5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3</v>
      </c>
      <c r="AB71">
        <v>11</v>
      </c>
      <c r="AC71">
        <v>0</v>
      </c>
      <c r="AD71" t="str">
        <f t="shared" si="13"/>
        <v>Ok</v>
      </c>
      <c r="AE71" t="str">
        <f>IF(AND(Audit_Data[[#This Row],[Year_Birth]]&gt;=1900,Audit_Data[[#This Row],[Year_Birth]]&lt;=2010),"OK","Invalid")</f>
        <v>OK</v>
      </c>
      <c r="AF71" t="str">
        <f t="shared" si="14"/>
        <v>Valid</v>
      </c>
      <c r="AG71" t="str">
        <f t="shared" si="15"/>
        <v>Valid</v>
      </c>
      <c r="AH71" t="str">
        <f t="shared" si="16"/>
        <v>Valid</v>
      </c>
      <c r="AI71" t="str">
        <f t="shared" si="17"/>
        <v>Valid</v>
      </c>
      <c r="AJ71" t="str">
        <f t="shared" si="18"/>
        <v>Valid</v>
      </c>
      <c r="AK71" t="str">
        <f t="shared" si="25"/>
        <v xml:space="preserve">Valid </v>
      </c>
      <c r="AL71" t="str">
        <f>IF(AND(Audit_Data[[#This Row],[Recency]]&gt;=0,Audit_Data[[#This Row],[Recency]]&lt;=100),"Valid","Invalid")</f>
        <v>Valid</v>
      </c>
      <c r="AM71" t="str">
        <f t="shared" si="19"/>
        <v>Valid</v>
      </c>
      <c r="AN71" t="str">
        <f t="shared" si="20"/>
        <v>Valid</v>
      </c>
      <c r="AO71" t="str">
        <f t="shared" si="21"/>
        <v>Valid</v>
      </c>
      <c r="AP71" t="str">
        <f t="shared" si="22"/>
        <v>Valid</v>
      </c>
      <c r="AQ71" t="str">
        <f>IF(Audit_Data[[#This Row],[Z_CostContact]]=3,"Valid","Invalid")</f>
        <v>Valid</v>
      </c>
      <c r="AR71" t="str">
        <f t="shared" si="23"/>
        <v>Valid</v>
      </c>
      <c r="AS71" t="str">
        <f t="shared" si="24"/>
        <v>Valid</v>
      </c>
    </row>
    <row r="72" spans="1:45" x14ac:dyDescent="0.3">
      <c r="A72">
        <v>1402</v>
      </c>
      <c r="B72">
        <v>1954</v>
      </c>
      <c r="C72" t="s">
        <v>34</v>
      </c>
      <c r="D72" t="s">
        <v>33</v>
      </c>
      <c r="E72">
        <v>66991</v>
      </c>
      <c r="F72">
        <v>0</v>
      </c>
      <c r="G72">
        <v>0</v>
      </c>
      <c r="H72" s="1">
        <v>41163</v>
      </c>
      <c r="I72">
        <v>1</v>
      </c>
      <c r="J72">
        <v>496</v>
      </c>
      <c r="K72">
        <v>36</v>
      </c>
      <c r="L72">
        <v>460</v>
      </c>
      <c r="M72">
        <v>189</v>
      </c>
      <c r="N72">
        <v>60</v>
      </c>
      <c r="O72">
        <v>12</v>
      </c>
      <c r="P72">
        <v>3</v>
      </c>
      <c r="Q72">
        <v>4</v>
      </c>
      <c r="R72">
        <v>8</v>
      </c>
      <c r="S72">
        <v>6</v>
      </c>
      <c r="T72">
        <v>3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3</v>
      </c>
      <c r="AB72">
        <v>11</v>
      </c>
      <c r="AC72">
        <v>0</v>
      </c>
      <c r="AD72" t="str">
        <f t="shared" si="13"/>
        <v>Ok</v>
      </c>
      <c r="AE72" t="str">
        <f>IF(AND(Audit_Data[[#This Row],[Year_Birth]]&gt;=1900,Audit_Data[[#This Row],[Year_Birth]]&lt;=2010),"OK","Invalid")</f>
        <v>OK</v>
      </c>
      <c r="AF72" t="str">
        <f t="shared" si="14"/>
        <v>Valid</v>
      </c>
      <c r="AG72" t="str">
        <f t="shared" si="15"/>
        <v>Valid</v>
      </c>
      <c r="AH72" t="str">
        <f t="shared" si="16"/>
        <v>Valid</v>
      </c>
      <c r="AI72" t="str">
        <f t="shared" si="17"/>
        <v>Valid</v>
      </c>
      <c r="AJ72" t="str">
        <f t="shared" si="18"/>
        <v>Valid</v>
      </c>
      <c r="AK72" t="str">
        <f t="shared" si="25"/>
        <v xml:space="preserve">Valid </v>
      </c>
      <c r="AL72" t="str">
        <f>IF(AND(Audit_Data[[#This Row],[Recency]]&gt;=0,Audit_Data[[#This Row],[Recency]]&lt;=100),"Valid","Invalid")</f>
        <v>Valid</v>
      </c>
      <c r="AM72" t="str">
        <f t="shared" si="19"/>
        <v>Valid</v>
      </c>
      <c r="AN72" t="str">
        <f t="shared" si="20"/>
        <v>Valid</v>
      </c>
      <c r="AO72" t="str">
        <f t="shared" si="21"/>
        <v>Valid</v>
      </c>
      <c r="AP72" t="str">
        <f t="shared" si="22"/>
        <v>Valid</v>
      </c>
      <c r="AQ72" t="str">
        <f>IF(Audit_Data[[#This Row],[Z_CostContact]]=3,"Valid","Invalid")</f>
        <v>Valid</v>
      </c>
      <c r="AR72" t="str">
        <f t="shared" si="23"/>
        <v>Valid</v>
      </c>
      <c r="AS72" t="str">
        <f t="shared" si="24"/>
        <v>Valid</v>
      </c>
    </row>
    <row r="73" spans="1:45" x14ac:dyDescent="0.3">
      <c r="A73">
        <v>10629</v>
      </c>
      <c r="B73">
        <v>1973</v>
      </c>
      <c r="C73" t="s">
        <v>37</v>
      </c>
      <c r="D73" t="s">
        <v>33</v>
      </c>
      <c r="F73">
        <v>1</v>
      </c>
      <c r="G73">
        <v>0</v>
      </c>
      <c r="H73" s="1">
        <v>41166</v>
      </c>
      <c r="I73">
        <v>25</v>
      </c>
      <c r="J73">
        <v>25</v>
      </c>
      <c r="K73">
        <v>3</v>
      </c>
      <c r="L73">
        <v>43</v>
      </c>
      <c r="M73">
        <v>17</v>
      </c>
      <c r="N73">
        <v>4</v>
      </c>
      <c r="O73">
        <v>17</v>
      </c>
      <c r="P73">
        <v>3</v>
      </c>
      <c r="Q73">
        <v>3</v>
      </c>
      <c r="R73">
        <v>0</v>
      </c>
      <c r="S73">
        <v>3</v>
      </c>
      <c r="T73">
        <v>8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3</v>
      </c>
      <c r="AB73">
        <v>11</v>
      </c>
      <c r="AC73">
        <v>0</v>
      </c>
      <c r="AD73" t="str">
        <f t="shared" si="13"/>
        <v>Ok</v>
      </c>
      <c r="AE73" t="str">
        <f>IF(AND(Audit_Data[[#This Row],[Year_Birth]]&gt;=1900,Audit_Data[[#This Row],[Year_Birth]]&lt;=2010),"OK","Invalid")</f>
        <v>OK</v>
      </c>
      <c r="AF73" t="str">
        <f t="shared" si="14"/>
        <v>Valid</v>
      </c>
      <c r="AG73" t="str">
        <f t="shared" si="15"/>
        <v>Valid</v>
      </c>
      <c r="AH73" t="str">
        <f t="shared" si="16"/>
        <v>Invalid</v>
      </c>
      <c r="AI73" t="str">
        <f t="shared" si="17"/>
        <v>Valid</v>
      </c>
      <c r="AJ73" t="str">
        <f t="shared" si="18"/>
        <v>Valid</v>
      </c>
      <c r="AK73" t="str">
        <f t="shared" si="25"/>
        <v xml:space="preserve">Valid </v>
      </c>
      <c r="AL73" t="str">
        <f>IF(AND(Audit_Data[[#This Row],[Recency]]&gt;=0,Audit_Data[[#This Row],[Recency]]&lt;=100),"Valid","Invalid")</f>
        <v>Valid</v>
      </c>
      <c r="AM73" t="str">
        <f t="shared" si="19"/>
        <v>Valid</v>
      </c>
      <c r="AN73" t="str">
        <f t="shared" si="20"/>
        <v>Valid</v>
      </c>
      <c r="AO73" t="str">
        <f t="shared" si="21"/>
        <v>Valid</v>
      </c>
      <c r="AP73" t="str">
        <f t="shared" si="22"/>
        <v>Valid</v>
      </c>
      <c r="AQ73" t="str">
        <f>IF(Audit_Data[[#This Row],[Z_CostContact]]=3,"Valid","Invalid")</f>
        <v>Valid</v>
      </c>
      <c r="AR73" t="str">
        <f t="shared" si="23"/>
        <v>Valid</v>
      </c>
      <c r="AS73" t="str">
        <f t="shared" si="24"/>
        <v>Valid</v>
      </c>
    </row>
    <row r="74" spans="1:45" x14ac:dyDescent="0.3">
      <c r="A74">
        <v>6312</v>
      </c>
      <c r="B74">
        <v>1959</v>
      </c>
      <c r="C74" t="s">
        <v>29</v>
      </c>
      <c r="D74" t="s">
        <v>33</v>
      </c>
      <c r="E74">
        <v>65031</v>
      </c>
      <c r="F74">
        <v>0</v>
      </c>
      <c r="G74">
        <v>1</v>
      </c>
      <c r="H74" s="1">
        <v>41350</v>
      </c>
      <c r="I74">
        <v>29</v>
      </c>
      <c r="J74">
        <v>258</v>
      </c>
      <c r="K74">
        <v>107</v>
      </c>
      <c r="L74">
        <v>291</v>
      </c>
      <c r="M74">
        <v>84</v>
      </c>
      <c r="N74">
        <v>37</v>
      </c>
      <c r="O74">
        <v>86</v>
      </c>
      <c r="P74">
        <v>4</v>
      </c>
      <c r="Q74">
        <v>10</v>
      </c>
      <c r="R74">
        <v>3</v>
      </c>
      <c r="S74">
        <v>13</v>
      </c>
      <c r="T74">
        <v>7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3</v>
      </c>
      <c r="AB74">
        <v>11</v>
      </c>
      <c r="AC74">
        <v>0</v>
      </c>
      <c r="AD74" t="str">
        <f t="shared" si="13"/>
        <v>Ok</v>
      </c>
      <c r="AE74" t="str">
        <f>IF(AND(Audit_Data[[#This Row],[Year_Birth]]&gt;=1900,Audit_Data[[#This Row],[Year_Birth]]&lt;=2010),"OK","Invalid")</f>
        <v>OK</v>
      </c>
      <c r="AF74" t="str">
        <f t="shared" si="14"/>
        <v>Valid</v>
      </c>
      <c r="AG74" t="str">
        <f t="shared" si="15"/>
        <v>Valid</v>
      </c>
      <c r="AH74" t="str">
        <f t="shared" si="16"/>
        <v>Valid</v>
      </c>
      <c r="AI74" t="str">
        <f t="shared" si="17"/>
        <v>Valid</v>
      </c>
      <c r="AJ74" t="str">
        <f t="shared" si="18"/>
        <v>Valid</v>
      </c>
      <c r="AK74" t="str">
        <f t="shared" si="25"/>
        <v xml:space="preserve">Valid </v>
      </c>
      <c r="AL74" t="str">
        <f>IF(AND(Audit_Data[[#This Row],[Recency]]&gt;=0,Audit_Data[[#This Row],[Recency]]&lt;=100),"Valid","Invalid")</f>
        <v>Valid</v>
      </c>
      <c r="AM74" t="str">
        <f t="shared" si="19"/>
        <v>Valid</v>
      </c>
      <c r="AN74" t="str">
        <f t="shared" si="20"/>
        <v>Valid</v>
      </c>
      <c r="AO74" t="str">
        <f t="shared" si="21"/>
        <v>Valid</v>
      </c>
      <c r="AP74" t="str">
        <f t="shared" si="22"/>
        <v>Valid</v>
      </c>
      <c r="AQ74" t="str">
        <f>IF(Audit_Data[[#This Row],[Z_CostContact]]=3,"Valid","Invalid")</f>
        <v>Valid</v>
      </c>
      <c r="AR74" t="str">
        <f t="shared" si="23"/>
        <v>Valid</v>
      </c>
      <c r="AS74" t="str">
        <f t="shared" si="24"/>
        <v>Valid</v>
      </c>
    </row>
    <row r="75" spans="1:45" x14ac:dyDescent="0.3">
      <c r="A75">
        <v>8132</v>
      </c>
      <c r="B75">
        <v>1975</v>
      </c>
      <c r="C75" t="s">
        <v>32</v>
      </c>
      <c r="D75" t="s">
        <v>33</v>
      </c>
      <c r="E75">
        <v>60631</v>
      </c>
      <c r="F75">
        <v>1</v>
      </c>
      <c r="G75">
        <v>1</v>
      </c>
      <c r="H75" s="1">
        <v>41369</v>
      </c>
      <c r="I75">
        <v>88</v>
      </c>
      <c r="J75">
        <v>565</v>
      </c>
      <c r="K75">
        <v>6</v>
      </c>
      <c r="L75">
        <v>65</v>
      </c>
      <c r="M75">
        <v>0</v>
      </c>
      <c r="N75">
        <v>6</v>
      </c>
      <c r="O75">
        <v>19</v>
      </c>
      <c r="P75">
        <v>5</v>
      </c>
      <c r="Q75">
        <v>9</v>
      </c>
      <c r="R75">
        <v>2</v>
      </c>
      <c r="S75">
        <v>8</v>
      </c>
      <c r="T75">
        <v>7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3</v>
      </c>
      <c r="AB75">
        <v>11</v>
      </c>
      <c r="AC75">
        <v>0</v>
      </c>
      <c r="AD75" t="str">
        <f t="shared" si="13"/>
        <v>Ok</v>
      </c>
      <c r="AE75" t="str">
        <f>IF(AND(Audit_Data[[#This Row],[Year_Birth]]&gt;=1900,Audit_Data[[#This Row],[Year_Birth]]&lt;=2010),"OK","Invalid")</f>
        <v>OK</v>
      </c>
      <c r="AF75" t="str">
        <f t="shared" si="14"/>
        <v>Valid</v>
      </c>
      <c r="AG75" t="str">
        <f t="shared" si="15"/>
        <v>Valid</v>
      </c>
      <c r="AH75" t="str">
        <f t="shared" si="16"/>
        <v>Valid</v>
      </c>
      <c r="AI75" t="str">
        <f t="shared" si="17"/>
        <v>Valid</v>
      </c>
      <c r="AJ75" t="str">
        <f t="shared" si="18"/>
        <v>Valid</v>
      </c>
      <c r="AK75" t="str">
        <f t="shared" si="25"/>
        <v xml:space="preserve">Valid </v>
      </c>
      <c r="AL75" t="str">
        <f>IF(AND(Audit_Data[[#This Row],[Recency]]&gt;=0,Audit_Data[[#This Row],[Recency]]&lt;=100),"Valid","Invalid")</f>
        <v>Valid</v>
      </c>
      <c r="AM75" t="str">
        <f t="shared" si="19"/>
        <v>Valid</v>
      </c>
      <c r="AN75" t="str">
        <f t="shared" si="20"/>
        <v>Valid</v>
      </c>
      <c r="AO75" t="str">
        <f t="shared" si="21"/>
        <v>Valid</v>
      </c>
      <c r="AP75" t="str">
        <f t="shared" si="22"/>
        <v>Valid</v>
      </c>
      <c r="AQ75" t="str">
        <f>IF(Audit_Data[[#This Row],[Z_CostContact]]=3,"Valid","Invalid")</f>
        <v>Valid</v>
      </c>
      <c r="AR75" t="str">
        <f t="shared" si="23"/>
        <v>Valid</v>
      </c>
      <c r="AS75" t="str">
        <f t="shared" si="24"/>
        <v>Valid</v>
      </c>
    </row>
    <row r="76" spans="1:45" x14ac:dyDescent="0.3">
      <c r="A76">
        <v>1050</v>
      </c>
      <c r="B76">
        <v>1952</v>
      </c>
      <c r="C76" t="s">
        <v>29</v>
      </c>
      <c r="D76" t="s">
        <v>33</v>
      </c>
      <c r="E76">
        <v>28332</v>
      </c>
      <c r="F76">
        <v>0</v>
      </c>
      <c r="G76">
        <v>0</v>
      </c>
      <c r="H76" s="1">
        <v>41759</v>
      </c>
      <c r="I76">
        <v>58</v>
      </c>
      <c r="J76">
        <v>14</v>
      </c>
      <c r="K76">
        <v>10</v>
      </c>
      <c r="L76">
        <v>13</v>
      </c>
      <c r="M76">
        <v>4</v>
      </c>
      <c r="N76">
        <v>15</v>
      </c>
      <c r="O76">
        <v>9</v>
      </c>
      <c r="P76">
        <v>1</v>
      </c>
      <c r="Q76">
        <v>2</v>
      </c>
      <c r="R76">
        <v>1</v>
      </c>
      <c r="S76">
        <v>4</v>
      </c>
      <c r="T76">
        <v>2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3</v>
      </c>
      <c r="AB76">
        <v>11</v>
      </c>
      <c r="AC76">
        <v>0</v>
      </c>
      <c r="AD76" t="str">
        <f t="shared" si="13"/>
        <v>Ok</v>
      </c>
      <c r="AE76" t="str">
        <f>IF(AND(Audit_Data[[#This Row],[Year_Birth]]&gt;=1900,Audit_Data[[#This Row],[Year_Birth]]&lt;=2010),"OK","Invalid")</f>
        <v>OK</v>
      </c>
      <c r="AF76" t="str">
        <f t="shared" si="14"/>
        <v>Valid</v>
      </c>
      <c r="AG76" t="str">
        <f t="shared" si="15"/>
        <v>Valid</v>
      </c>
      <c r="AH76" t="str">
        <f t="shared" si="16"/>
        <v>Valid</v>
      </c>
      <c r="AI76" t="str">
        <f t="shared" si="17"/>
        <v>Valid</v>
      </c>
      <c r="AJ76" t="str">
        <f t="shared" si="18"/>
        <v>Valid</v>
      </c>
      <c r="AK76" t="str">
        <f t="shared" si="25"/>
        <v xml:space="preserve">Valid </v>
      </c>
      <c r="AL76" t="str">
        <f>IF(AND(Audit_Data[[#This Row],[Recency]]&gt;=0,Audit_Data[[#This Row],[Recency]]&lt;=100),"Valid","Invalid")</f>
        <v>Valid</v>
      </c>
      <c r="AM76" t="str">
        <f t="shared" si="19"/>
        <v>Valid</v>
      </c>
      <c r="AN76" t="str">
        <f t="shared" si="20"/>
        <v>Valid</v>
      </c>
      <c r="AO76" t="str">
        <f t="shared" si="21"/>
        <v>Valid</v>
      </c>
      <c r="AP76" t="str">
        <f t="shared" si="22"/>
        <v>Valid</v>
      </c>
      <c r="AQ76" t="str">
        <f>IF(Audit_Data[[#This Row],[Z_CostContact]]=3,"Valid","Invalid")</f>
        <v>Valid</v>
      </c>
      <c r="AR76" t="str">
        <f t="shared" si="23"/>
        <v>Valid</v>
      </c>
      <c r="AS76" t="str">
        <f t="shared" si="24"/>
        <v>Valid</v>
      </c>
    </row>
    <row r="77" spans="1:45" x14ac:dyDescent="0.3">
      <c r="A77">
        <v>5846</v>
      </c>
      <c r="B77">
        <v>1977</v>
      </c>
      <c r="C77" t="s">
        <v>29</v>
      </c>
      <c r="D77" t="s">
        <v>35</v>
      </c>
      <c r="E77">
        <v>40246</v>
      </c>
      <c r="F77">
        <v>1</v>
      </c>
      <c r="G77">
        <v>0</v>
      </c>
      <c r="H77" s="1">
        <v>41262</v>
      </c>
      <c r="I77">
        <v>68</v>
      </c>
      <c r="J77">
        <v>2</v>
      </c>
      <c r="K77">
        <v>1</v>
      </c>
      <c r="L77">
        <v>6</v>
      </c>
      <c r="M77">
        <v>2</v>
      </c>
      <c r="N77">
        <v>1</v>
      </c>
      <c r="O77">
        <v>1</v>
      </c>
      <c r="P77">
        <v>1</v>
      </c>
      <c r="Q77">
        <v>1</v>
      </c>
      <c r="R77">
        <v>0</v>
      </c>
      <c r="S77">
        <v>2</v>
      </c>
      <c r="T77">
        <v>6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3</v>
      </c>
      <c r="AB77">
        <v>11</v>
      </c>
      <c r="AC77">
        <v>0</v>
      </c>
      <c r="AD77" t="str">
        <f t="shared" si="13"/>
        <v>Ok</v>
      </c>
      <c r="AE77" t="str">
        <f>IF(AND(Audit_Data[[#This Row],[Year_Birth]]&gt;=1900,Audit_Data[[#This Row],[Year_Birth]]&lt;=2010),"OK","Invalid")</f>
        <v>OK</v>
      </c>
      <c r="AF77" t="str">
        <f t="shared" si="14"/>
        <v>Valid</v>
      </c>
      <c r="AG77" t="str">
        <f t="shared" si="15"/>
        <v>Valid</v>
      </c>
      <c r="AH77" t="str">
        <f t="shared" si="16"/>
        <v>Valid</v>
      </c>
      <c r="AI77" t="str">
        <f t="shared" si="17"/>
        <v>Valid</v>
      </c>
      <c r="AJ77" t="str">
        <f t="shared" si="18"/>
        <v>Valid</v>
      </c>
      <c r="AK77" t="str">
        <f t="shared" si="25"/>
        <v xml:space="preserve">Valid </v>
      </c>
      <c r="AL77" t="str">
        <f>IF(AND(Audit_Data[[#This Row],[Recency]]&gt;=0,Audit_Data[[#This Row],[Recency]]&lt;=100),"Valid","Invalid")</f>
        <v>Valid</v>
      </c>
      <c r="AM77" t="str">
        <f t="shared" si="19"/>
        <v>Valid</v>
      </c>
      <c r="AN77" t="str">
        <f t="shared" si="20"/>
        <v>Valid</v>
      </c>
      <c r="AO77" t="str">
        <f t="shared" si="21"/>
        <v>Valid</v>
      </c>
      <c r="AP77" t="str">
        <f t="shared" si="22"/>
        <v>Valid</v>
      </c>
      <c r="AQ77" t="str">
        <f>IF(Audit_Data[[#This Row],[Z_CostContact]]=3,"Valid","Invalid")</f>
        <v>Valid</v>
      </c>
      <c r="AR77" t="str">
        <f t="shared" si="23"/>
        <v>Valid</v>
      </c>
      <c r="AS77" t="str">
        <f t="shared" si="24"/>
        <v>Valid</v>
      </c>
    </row>
    <row r="78" spans="1:45" x14ac:dyDescent="0.3">
      <c r="A78">
        <v>1859</v>
      </c>
      <c r="B78">
        <v>1972</v>
      </c>
      <c r="C78" t="s">
        <v>34</v>
      </c>
      <c r="D78" t="s">
        <v>33</v>
      </c>
      <c r="E78">
        <v>75251</v>
      </c>
      <c r="F78">
        <v>0</v>
      </c>
      <c r="G78">
        <v>0</v>
      </c>
      <c r="H78" s="1">
        <v>41148</v>
      </c>
      <c r="I78">
        <v>34</v>
      </c>
      <c r="J78">
        <v>721</v>
      </c>
      <c r="K78">
        <v>111</v>
      </c>
      <c r="L78">
        <v>925</v>
      </c>
      <c r="M78">
        <v>97</v>
      </c>
      <c r="N78">
        <v>18</v>
      </c>
      <c r="O78">
        <v>18</v>
      </c>
      <c r="P78">
        <v>1</v>
      </c>
      <c r="Q78">
        <v>7</v>
      </c>
      <c r="R78">
        <v>6</v>
      </c>
      <c r="S78">
        <v>5</v>
      </c>
      <c r="T78">
        <v>5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3</v>
      </c>
      <c r="AB78">
        <v>11</v>
      </c>
      <c r="AC78">
        <v>1</v>
      </c>
      <c r="AD78" t="str">
        <f t="shared" si="13"/>
        <v>Ok</v>
      </c>
      <c r="AE78" t="str">
        <f>IF(AND(Audit_Data[[#This Row],[Year_Birth]]&gt;=1900,Audit_Data[[#This Row],[Year_Birth]]&lt;=2010),"OK","Invalid")</f>
        <v>OK</v>
      </c>
      <c r="AF78" t="str">
        <f t="shared" si="14"/>
        <v>Valid</v>
      </c>
      <c r="AG78" t="str">
        <f t="shared" si="15"/>
        <v>Valid</v>
      </c>
      <c r="AH78" t="str">
        <f t="shared" si="16"/>
        <v>Valid</v>
      </c>
      <c r="AI78" t="str">
        <f t="shared" si="17"/>
        <v>Valid</v>
      </c>
      <c r="AJ78" t="str">
        <f t="shared" si="18"/>
        <v>Valid</v>
      </c>
      <c r="AK78" t="str">
        <f t="shared" si="25"/>
        <v xml:space="preserve">Valid </v>
      </c>
      <c r="AL78" t="str">
        <f>IF(AND(Audit_Data[[#This Row],[Recency]]&gt;=0,Audit_Data[[#This Row],[Recency]]&lt;=100),"Valid","Invalid")</f>
        <v>Valid</v>
      </c>
      <c r="AM78" t="str">
        <f t="shared" si="19"/>
        <v>Valid</v>
      </c>
      <c r="AN78" t="str">
        <f t="shared" si="20"/>
        <v>Valid</v>
      </c>
      <c r="AO78" t="str">
        <f t="shared" si="21"/>
        <v>Valid</v>
      </c>
      <c r="AP78" t="str">
        <f t="shared" si="22"/>
        <v>Valid</v>
      </c>
      <c r="AQ78" t="str">
        <f>IF(Audit_Data[[#This Row],[Z_CostContact]]=3,"Valid","Invalid")</f>
        <v>Valid</v>
      </c>
      <c r="AR78" t="str">
        <f t="shared" si="23"/>
        <v>Valid</v>
      </c>
      <c r="AS78" t="str">
        <f t="shared" si="24"/>
        <v>Valid</v>
      </c>
    </row>
    <row r="79" spans="1:45" x14ac:dyDescent="0.3">
      <c r="A79">
        <v>7503</v>
      </c>
      <c r="B79">
        <v>1976</v>
      </c>
      <c r="C79" t="s">
        <v>29</v>
      </c>
      <c r="D79" t="s">
        <v>30</v>
      </c>
      <c r="E79">
        <v>75825</v>
      </c>
      <c r="F79">
        <v>0</v>
      </c>
      <c r="G79">
        <v>0</v>
      </c>
      <c r="H79" s="1">
        <v>41194</v>
      </c>
      <c r="I79">
        <v>40</v>
      </c>
      <c r="J79">
        <v>1032</v>
      </c>
      <c r="K79">
        <v>105</v>
      </c>
      <c r="L79">
        <v>779</v>
      </c>
      <c r="M79">
        <v>137</v>
      </c>
      <c r="N79">
        <v>105</v>
      </c>
      <c r="O79">
        <v>51</v>
      </c>
      <c r="P79">
        <v>0</v>
      </c>
      <c r="Q79">
        <v>5</v>
      </c>
      <c r="R79">
        <v>8</v>
      </c>
      <c r="S79">
        <v>9</v>
      </c>
      <c r="T79">
        <v>4</v>
      </c>
      <c r="U79">
        <v>1</v>
      </c>
      <c r="V79">
        <v>0</v>
      </c>
      <c r="W79">
        <v>0</v>
      </c>
      <c r="X79">
        <v>0</v>
      </c>
      <c r="Y79">
        <v>0</v>
      </c>
      <c r="Z79">
        <v>0</v>
      </c>
      <c r="AA79">
        <v>3</v>
      </c>
      <c r="AB79">
        <v>11</v>
      </c>
      <c r="AC79">
        <v>1</v>
      </c>
      <c r="AD79" t="str">
        <f t="shared" si="13"/>
        <v>Ok</v>
      </c>
      <c r="AE79" t="str">
        <f>IF(AND(Audit_Data[[#This Row],[Year_Birth]]&gt;=1900,Audit_Data[[#This Row],[Year_Birth]]&lt;=2010),"OK","Invalid")</f>
        <v>OK</v>
      </c>
      <c r="AF79" t="str">
        <f t="shared" si="14"/>
        <v>Valid</v>
      </c>
      <c r="AG79" t="str">
        <f t="shared" si="15"/>
        <v>Valid</v>
      </c>
      <c r="AH79" t="str">
        <f t="shared" si="16"/>
        <v>Valid</v>
      </c>
      <c r="AI79" t="str">
        <f t="shared" si="17"/>
        <v>Valid</v>
      </c>
      <c r="AJ79" t="str">
        <f t="shared" si="18"/>
        <v>Valid</v>
      </c>
      <c r="AK79" t="str">
        <f t="shared" si="25"/>
        <v xml:space="preserve">Valid </v>
      </c>
      <c r="AL79" t="str">
        <f>IF(AND(Audit_Data[[#This Row],[Recency]]&gt;=0,Audit_Data[[#This Row],[Recency]]&lt;=100),"Valid","Invalid")</f>
        <v>Valid</v>
      </c>
      <c r="AM79" t="str">
        <f t="shared" si="19"/>
        <v>Valid</v>
      </c>
      <c r="AN79" t="str">
        <f t="shared" si="20"/>
        <v>Valid</v>
      </c>
      <c r="AO79" t="str">
        <f t="shared" si="21"/>
        <v>Valid</v>
      </c>
      <c r="AP79" t="str">
        <f t="shared" si="22"/>
        <v>Valid</v>
      </c>
      <c r="AQ79" t="str">
        <f>IF(Audit_Data[[#This Row],[Z_CostContact]]=3,"Valid","Invalid")</f>
        <v>Valid</v>
      </c>
      <c r="AR79" t="str">
        <f t="shared" si="23"/>
        <v>Valid</v>
      </c>
      <c r="AS79" t="str">
        <f t="shared" si="24"/>
        <v>Valid</v>
      </c>
    </row>
    <row r="80" spans="1:45" x14ac:dyDescent="0.3">
      <c r="A80">
        <v>10401</v>
      </c>
      <c r="B80">
        <v>1976</v>
      </c>
      <c r="C80" t="s">
        <v>37</v>
      </c>
      <c r="D80" t="s">
        <v>31</v>
      </c>
      <c r="E80">
        <v>26326</v>
      </c>
      <c r="F80">
        <v>0</v>
      </c>
      <c r="G80">
        <v>0</v>
      </c>
      <c r="H80" s="1">
        <v>41521</v>
      </c>
      <c r="I80">
        <v>12</v>
      </c>
      <c r="J80">
        <v>1</v>
      </c>
      <c r="K80">
        <v>0</v>
      </c>
      <c r="L80">
        <v>5</v>
      </c>
      <c r="M80">
        <v>0</v>
      </c>
      <c r="N80">
        <v>3</v>
      </c>
      <c r="O80">
        <v>9</v>
      </c>
      <c r="P80">
        <v>1</v>
      </c>
      <c r="Q80">
        <v>0</v>
      </c>
      <c r="R80">
        <v>0</v>
      </c>
      <c r="S80">
        <v>3</v>
      </c>
      <c r="T80">
        <v>3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3</v>
      </c>
      <c r="AB80">
        <v>11</v>
      </c>
      <c r="AC80">
        <v>0</v>
      </c>
      <c r="AD80" t="str">
        <f t="shared" si="13"/>
        <v>Ok</v>
      </c>
      <c r="AE80" t="str">
        <f>IF(AND(Audit_Data[[#This Row],[Year_Birth]]&gt;=1900,Audit_Data[[#This Row],[Year_Birth]]&lt;=2010),"OK","Invalid")</f>
        <v>OK</v>
      </c>
      <c r="AF80" t="str">
        <f t="shared" si="14"/>
        <v>Valid</v>
      </c>
      <c r="AG80" t="str">
        <f t="shared" si="15"/>
        <v>Valid</v>
      </c>
      <c r="AH80" t="str">
        <f t="shared" si="16"/>
        <v>Valid</v>
      </c>
      <c r="AI80" t="str">
        <f t="shared" si="17"/>
        <v>Valid</v>
      </c>
      <c r="AJ80" t="str">
        <f t="shared" si="18"/>
        <v>Valid</v>
      </c>
      <c r="AK80" t="str">
        <f t="shared" si="25"/>
        <v xml:space="preserve">Valid </v>
      </c>
      <c r="AL80" t="str">
        <f>IF(AND(Audit_Data[[#This Row],[Recency]]&gt;=0,Audit_Data[[#This Row],[Recency]]&lt;=100),"Valid","Invalid")</f>
        <v>Valid</v>
      </c>
      <c r="AM80" t="str">
        <f t="shared" si="19"/>
        <v>Valid</v>
      </c>
      <c r="AN80" t="str">
        <f t="shared" si="20"/>
        <v>Valid</v>
      </c>
      <c r="AO80" t="str">
        <f t="shared" si="21"/>
        <v>Valid</v>
      </c>
      <c r="AP80" t="str">
        <f t="shared" si="22"/>
        <v>Valid</v>
      </c>
      <c r="AQ80" t="str">
        <f>IF(Audit_Data[[#This Row],[Z_CostContact]]=3,"Valid","Invalid")</f>
        <v>Valid</v>
      </c>
      <c r="AR80" t="str">
        <f t="shared" si="23"/>
        <v>Valid</v>
      </c>
      <c r="AS80" t="str">
        <f t="shared" si="24"/>
        <v>Valid</v>
      </c>
    </row>
    <row r="81" spans="1:45" x14ac:dyDescent="0.3">
      <c r="A81">
        <v>1618</v>
      </c>
      <c r="B81">
        <v>1965</v>
      </c>
      <c r="C81" t="s">
        <v>29</v>
      </c>
      <c r="D81" t="s">
        <v>31</v>
      </c>
      <c r="E81">
        <v>56046</v>
      </c>
      <c r="F81">
        <v>0</v>
      </c>
      <c r="G81">
        <v>0</v>
      </c>
      <c r="H81" s="1">
        <v>41276</v>
      </c>
      <c r="I81">
        <v>9</v>
      </c>
      <c r="J81">
        <v>577</v>
      </c>
      <c r="K81">
        <v>0</v>
      </c>
      <c r="L81">
        <v>64</v>
      </c>
      <c r="M81">
        <v>0</v>
      </c>
      <c r="N81">
        <v>0</v>
      </c>
      <c r="O81">
        <v>51</v>
      </c>
      <c r="P81">
        <v>2</v>
      </c>
      <c r="Q81">
        <v>10</v>
      </c>
      <c r="R81">
        <v>1</v>
      </c>
      <c r="S81">
        <v>8</v>
      </c>
      <c r="T81">
        <v>8</v>
      </c>
      <c r="U81">
        <v>1</v>
      </c>
      <c r="V81">
        <v>0</v>
      </c>
      <c r="W81">
        <v>0</v>
      </c>
      <c r="X81">
        <v>0</v>
      </c>
      <c r="Y81">
        <v>0</v>
      </c>
      <c r="Z81">
        <v>0</v>
      </c>
      <c r="AA81">
        <v>3</v>
      </c>
      <c r="AB81">
        <v>11</v>
      </c>
      <c r="AC81">
        <v>1</v>
      </c>
      <c r="AD81" t="str">
        <f t="shared" si="13"/>
        <v>Ok</v>
      </c>
      <c r="AE81" t="str">
        <f>IF(AND(Audit_Data[[#This Row],[Year_Birth]]&gt;=1900,Audit_Data[[#This Row],[Year_Birth]]&lt;=2010),"OK","Invalid")</f>
        <v>OK</v>
      </c>
      <c r="AF81" t="str">
        <f t="shared" si="14"/>
        <v>Valid</v>
      </c>
      <c r="AG81" t="str">
        <f t="shared" si="15"/>
        <v>Valid</v>
      </c>
      <c r="AH81" t="str">
        <f t="shared" si="16"/>
        <v>Valid</v>
      </c>
      <c r="AI81" t="str">
        <f t="shared" si="17"/>
        <v>Valid</v>
      </c>
      <c r="AJ81" t="str">
        <f t="shared" si="18"/>
        <v>Valid</v>
      </c>
      <c r="AK81" t="str">
        <f t="shared" si="25"/>
        <v xml:space="preserve">Valid </v>
      </c>
      <c r="AL81" t="str">
        <f>IF(AND(Audit_Data[[#This Row],[Recency]]&gt;=0,Audit_Data[[#This Row],[Recency]]&lt;=100),"Valid","Invalid")</f>
        <v>Valid</v>
      </c>
      <c r="AM81" t="str">
        <f t="shared" si="19"/>
        <v>Valid</v>
      </c>
      <c r="AN81" t="str">
        <f t="shared" si="20"/>
        <v>Valid</v>
      </c>
      <c r="AO81" t="str">
        <f t="shared" si="21"/>
        <v>Valid</v>
      </c>
      <c r="AP81" t="str">
        <f t="shared" si="22"/>
        <v>Valid</v>
      </c>
      <c r="AQ81" t="str">
        <f>IF(Audit_Data[[#This Row],[Z_CostContact]]=3,"Valid","Invalid")</f>
        <v>Valid</v>
      </c>
      <c r="AR81" t="str">
        <f t="shared" si="23"/>
        <v>Valid</v>
      </c>
      <c r="AS81" t="str">
        <f t="shared" si="24"/>
        <v>Valid</v>
      </c>
    </row>
    <row r="82" spans="1:45" x14ac:dyDescent="0.3">
      <c r="A82">
        <v>3332</v>
      </c>
      <c r="B82">
        <v>1985</v>
      </c>
      <c r="C82" t="s">
        <v>29</v>
      </c>
      <c r="D82" t="s">
        <v>30</v>
      </c>
      <c r="E82">
        <v>29760</v>
      </c>
      <c r="F82">
        <v>1</v>
      </c>
      <c r="G82">
        <v>0</v>
      </c>
      <c r="H82" s="1">
        <v>41150</v>
      </c>
      <c r="I82">
        <v>87</v>
      </c>
      <c r="J82">
        <v>64</v>
      </c>
      <c r="K82">
        <v>4</v>
      </c>
      <c r="L82">
        <v>68</v>
      </c>
      <c r="M82">
        <v>7</v>
      </c>
      <c r="N82">
        <v>5</v>
      </c>
      <c r="O82">
        <v>17</v>
      </c>
      <c r="P82">
        <v>4</v>
      </c>
      <c r="Q82">
        <v>3</v>
      </c>
      <c r="R82">
        <v>1</v>
      </c>
      <c r="S82">
        <v>4</v>
      </c>
      <c r="T82">
        <v>8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3</v>
      </c>
      <c r="AB82">
        <v>11</v>
      </c>
      <c r="AC82">
        <v>0</v>
      </c>
      <c r="AD82" t="str">
        <f t="shared" si="13"/>
        <v>Ok</v>
      </c>
      <c r="AE82" t="str">
        <f>IF(AND(Audit_Data[[#This Row],[Year_Birth]]&gt;=1900,Audit_Data[[#This Row],[Year_Birth]]&lt;=2010),"OK","Invalid")</f>
        <v>OK</v>
      </c>
      <c r="AF82" t="str">
        <f t="shared" si="14"/>
        <v>Valid</v>
      </c>
      <c r="AG82" t="str">
        <f t="shared" si="15"/>
        <v>Valid</v>
      </c>
      <c r="AH82" t="str">
        <f t="shared" si="16"/>
        <v>Valid</v>
      </c>
      <c r="AI82" t="str">
        <f t="shared" si="17"/>
        <v>Valid</v>
      </c>
      <c r="AJ82" t="str">
        <f t="shared" si="18"/>
        <v>Valid</v>
      </c>
      <c r="AK82" t="str">
        <f t="shared" si="25"/>
        <v xml:space="preserve">Valid </v>
      </c>
      <c r="AL82" t="str">
        <f>IF(AND(Audit_Data[[#This Row],[Recency]]&gt;=0,Audit_Data[[#This Row],[Recency]]&lt;=100),"Valid","Invalid")</f>
        <v>Valid</v>
      </c>
      <c r="AM82" t="str">
        <f t="shared" si="19"/>
        <v>Valid</v>
      </c>
      <c r="AN82" t="str">
        <f t="shared" si="20"/>
        <v>Valid</v>
      </c>
      <c r="AO82" t="str">
        <f t="shared" si="21"/>
        <v>Valid</v>
      </c>
      <c r="AP82" t="str">
        <f t="shared" si="22"/>
        <v>Valid</v>
      </c>
      <c r="AQ82" t="str">
        <f>IF(Audit_Data[[#This Row],[Z_CostContact]]=3,"Valid","Invalid")</f>
        <v>Valid</v>
      </c>
      <c r="AR82" t="str">
        <f t="shared" si="23"/>
        <v>Valid</v>
      </c>
      <c r="AS82" t="str">
        <f t="shared" si="24"/>
        <v>Valid</v>
      </c>
    </row>
    <row r="83" spans="1:45" x14ac:dyDescent="0.3">
      <c r="A83">
        <v>2261</v>
      </c>
      <c r="B83">
        <v>1969</v>
      </c>
      <c r="C83" t="s">
        <v>29</v>
      </c>
      <c r="D83" t="s">
        <v>33</v>
      </c>
      <c r="E83">
        <v>26304</v>
      </c>
      <c r="F83">
        <v>1</v>
      </c>
      <c r="G83">
        <v>0</v>
      </c>
      <c r="H83" s="1">
        <v>41448</v>
      </c>
      <c r="I83">
        <v>5</v>
      </c>
      <c r="J83">
        <v>4</v>
      </c>
      <c r="K83">
        <v>1</v>
      </c>
      <c r="L83">
        <v>5</v>
      </c>
      <c r="M83">
        <v>2</v>
      </c>
      <c r="N83">
        <v>0</v>
      </c>
      <c r="O83">
        <v>4</v>
      </c>
      <c r="P83">
        <v>1</v>
      </c>
      <c r="Q83">
        <v>1</v>
      </c>
      <c r="R83">
        <v>0</v>
      </c>
      <c r="S83">
        <v>2</v>
      </c>
      <c r="T83">
        <v>7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3</v>
      </c>
      <c r="AB83">
        <v>11</v>
      </c>
      <c r="AC83">
        <v>0</v>
      </c>
      <c r="AD83" t="str">
        <f t="shared" si="13"/>
        <v>Ok</v>
      </c>
      <c r="AE83" t="str">
        <f>IF(AND(Audit_Data[[#This Row],[Year_Birth]]&gt;=1900,Audit_Data[[#This Row],[Year_Birth]]&lt;=2010),"OK","Invalid")</f>
        <v>OK</v>
      </c>
      <c r="AF83" t="str">
        <f t="shared" si="14"/>
        <v>Valid</v>
      </c>
      <c r="AG83" t="str">
        <f t="shared" si="15"/>
        <v>Valid</v>
      </c>
      <c r="AH83" t="str">
        <f t="shared" si="16"/>
        <v>Valid</v>
      </c>
      <c r="AI83" t="str">
        <f t="shared" si="17"/>
        <v>Valid</v>
      </c>
      <c r="AJ83" t="str">
        <f t="shared" si="18"/>
        <v>Valid</v>
      </c>
      <c r="AK83" t="str">
        <f t="shared" si="25"/>
        <v xml:space="preserve">Valid </v>
      </c>
      <c r="AL83" t="str">
        <f>IF(AND(Audit_Data[[#This Row],[Recency]]&gt;=0,Audit_Data[[#This Row],[Recency]]&lt;=100),"Valid","Invalid")</f>
        <v>Valid</v>
      </c>
      <c r="AM83" t="str">
        <f t="shared" si="19"/>
        <v>Valid</v>
      </c>
      <c r="AN83" t="str">
        <f t="shared" si="20"/>
        <v>Valid</v>
      </c>
      <c r="AO83" t="str">
        <f t="shared" si="21"/>
        <v>Valid</v>
      </c>
      <c r="AP83" t="str">
        <f t="shared" si="22"/>
        <v>Valid</v>
      </c>
      <c r="AQ83" t="str">
        <f>IF(Audit_Data[[#This Row],[Z_CostContact]]=3,"Valid","Invalid")</f>
        <v>Valid</v>
      </c>
      <c r="AR83" t="str">
        <f t="shared" si="23"/>
        <v>Valid</v>
      </c>
      <c r="AS83" t="str">
        <f t="shared" si="24"/>
        <v>Valid</v>
      </c>
    </row>
    <row r="84" spans="1:45" x14ac:dyDescent="0.3">
      <c r="A84">
        <v>5346</v>
      </c>
      <c r="B84">
        <v>1973</v>
      </c>
      <c r="C84" t="s">
        <v>37</v>
      </c>
      <c r="D84" t="s">
        <v>33</v>
      </c>
      <c r="E84">
        <v>23559</v>
      </c>
      <c r="F84">
        <v>1</v>
      </c>
      <c r="G84">
        <v>0</v>
      </c>
      <c r="H84" s="1">
        <v>41458</v>
      </c>
      <c r="I84">
        <v>87</v>
      </c>
      <c r="J84">
        <v>25</v>
      </c>
      <c r="K84">
        <v>5</v>
      </c>
      <c r="L84">
        <v>19</v>
      </c>
      <c r="M84">
        <v>7</v>
      </c>
      <c r="N84">
        <v>0</v>
      </c>
      <c r="O84">
        <v>23</v>
      </c>
      <c r="P84">
        <v>3</v>
      </c>
      <c r="Q84">
        <v>3</v>
      </c>
      <c r="R84">
        <v>0</v>
      </c>
      <c r="S84">
        <v>3</v>
      </c>
      <c r="T84">
        <v>7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3</v>
      </c>
      <c r="AB84">
        <v>11</v>
      </c>
      <c r="AC84">
        <v>0</v>
      </c>
      <c r="AD84" t="str">
        <f t="shared" si="13"/>
        <v>Ok</v>
      </c>
      <c r="AE84" t="str">
        <f>IF(AND(Audit_Data[[#This Row],[Year_Birth]]&gt;=1900,Audit_Data[[#This Row],[Year_Birth]]&lt;=2010),"OK","Invalid")</f>
        <v>OK</v>
      </c>
      <c r="AF84" t="str">
        <f t="shared" si="14"/>
        <v>Valid</v>
      </c>
      <c r="AG84" t="str">
        <f t="shared" si="15"/>
        <v>Valid</v>
      </c>
      <c r="AH84" t="str">
        <f t="shared" si="16"/>
        <v>Valid</v>
      </c>
      <c r="AI84" t="str">
        <f t="shared" si="17"/>
        <v>Valid</v>
      </c>
      <c r="AJ84" t="str">
        <f t="shared" si="18"/>
        <v>Valid</v>
      </c>
      <c r="AK84" t="str">
        <f t="shared" si="25"/>
        <v xml:space="preserve">Valid </v>
      </c>
      <c r="AL84" t="str">
        <f>IF(AND(Audit_Data[[#This Row],[Recency]]&gt;=0,Audit_Data[[#This Row],[Recency]]&lt;=100),"Valid","Invalid")</f>
        <v>Valid</v>
      </c>
      <c r="AM84" t="str">
        <f t="shared" si="19"/>
        <v>Valid</v>
      </c>
      <c r="AN84" t="str">
        <f t="shared" si="20"/>
        <v>Valid</v>
      </c>
      <c r="AO84" t="str">
        <f t="shared" si="21"/>
        <v>Valid</v>
      </c>
      <c r="AP84" t="str">
        <f t="shared" si="22"/>
        <v>Valid</v>
      </c>
      <c r="AQ84" t="str">
        <f>IF(Audit_Data[[#This Row],[Z_CostContact]]=3,"Valid","Invalid")</f>
        <v>Valid</v>
      </c>
      <c r="AR84" t="str">
        <f t="shared" si="23"/>
        <v>Valid</v>
      </c>
      <c r="AS84" t="str">
        <f t="shared" si="24"/>
        <v>Valid</v>
      </c>
    </row>
    <row r="85" spans="1:45" x14ac:dyDescent="0.3">
      <c r="A85">
        <v>4119</v>
      </c>
      <c r="B85">
        <v>1963</v>
      </c>
      <c r="C85" t="s">
        <v>34</v>
      </c>
      <c r="D85" t="s">
        <v>31</v>
      </c>
      <c r="E85">
        <v>38620</v>
      </c>
      <c r="F85">
        <v>0</v>
      </c>
      <c r="G85">
        <v>0</v>
      </c>
      <c r="H85" s="1">
        <v>41405</v>
      </c>
      <c r="I85">
        <v>56</v>
      </c>
      <c r="J85">
        <v>112</v>
      </c>
      <c r="K85">
        <v>17</v>
      </c>
      <c r="L85">
        <v>44</v>
      </c>
      <c r="M85">
        <v>34</v>
      </c>
      <c r="N85">
        <v>22</v>
      </c>
      <c r="O85">
        <v>89</v>
      </c>
      <c r="P85">
        <v>1</v>
      </c>
      <c r="Q85">
        <v>2</v>
      </c>
      <c r="R85">
        <v>5</v>
      </c>
      <c r="S85">
        <v>3</v>
      </c>
      <c r="T85">
        <v>3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3</v>
      </c>
      <c r="AB85">
        <v>11</v>
      </c>
      <c r="AC85">
        <v>0</v>
      </c>
      <c r="AD85" t="str">
        <f t="shared" si="13"/>
        <v>Ok</v>
      </c>
      <c r="AE85" t="str">
        <f>IF(AND(Audit_Data[[#This Row],[Year_Birth]]&gt;=1900,Audit_Data[[#This Row],[Year_Birth]]&lt;=2010),"OK","Invalid")</f>
        <v>OK</v>
      </c>
      <c r="AF85" t="str">
        <f t="shared" si="14"/>
        <v>Valid</v>
      </c>
      <c r="AG85" t="str">
        <f t="shared" si="15"/>
        <v>Valid</v>
      </c>
      <c r="AH85" t="str">
        <f t="shared" si="16"/>
        <v>Valid</v>
      </c>
      <c r="AI85" t="str">
        <f t="shared" si="17"/>
        <v>Valid</v>
      </c>
      <c r="AJ85" t="str">
        <f t="shared" si="18"/>
        <v>Valid</v>
      </c>
      <c r="AK85" t="str">
        <f t="shared" si="25"/>
        <v xml:space="preserve">Valid </v>
      </c>
      <c r="AL85" t="str">
        <f>IF(AND(Audit_Data[[#This Row],[Recency]]&gt;=0,Audit_Data[[#This Row],[Recency]]&lt;=100),"Valid","Invalid")</f>
        <v>Valid</v>
      </c>
      <c r="AM85" t="str">
        <f t="shared" si="19"/>
        <v>Valid</v>
      </c>
      <c r="AN85" t="str">
        <f t="shared" si="20"/>
        <v>Valid</v>
      </c>
      <c r="AO85" t="str">
        <f t="shared" si="21"/>
        <v>Valid</v>
      </c>
      <c r="AP85" t="str">
        <f t="shared" si="22"/>
        <v>Valid</v>
      </c>
      <c r="AQ85" t="str">
        <f>IF(Audit_Data[[#This Row],[Z_CostContact]]=3,"Valid","Invalid")</f>
        <v>Valid</v>
      </c>
      <c r="AR85" t="str">
        <f t="shared" si="23"/>
        <v>Valid</v>
      </c>
      <c r="AS85" t="str">
        <f t="shared" si="24"/>
        <v>Valid</v>
      </c>
    </row>
    <row r="86" spans="1:45" x14ac:dyDescent="0.3">
      <c r="A86">
        <v>535</v>
      </c>
      <c r="B86">
        <v>1987</v>
      </c>
      <c r="C86" t="s">
        <v>29</v>
      </c>
      <c r="D86" t="s">
        <v>35</v>
      </c>
      <c r="E86">
        <v>81361</v>
      </c>
      <c r="F86">
        <v>0</v>
      </c>
      <c r="G86">
        <v>0</v>
      </c>
      <c r="H86" s="1">
        <v>41695</v>
      </c>
      <c r="I86">
        <v>18</v>
      </c>
      <c r="J86">
        <v>163</v>
      </c>
      <c r="K86">
        <v>23</v>
      </c>
      <c r="L86">
        <v>424</v>
      </c>
      <c r="M86">
        <v>27</v>
      </c>
      <c r="N86">
        <v>65</v>
      </c>
      <c r="O86">
        <v>76</v>
      </c>
      <c r="P86">
        <v>1</v>
      </c>
      <c r="Q86">
        <v>3</v>
      </c>
      <c r="R86">
        <v>10</v>
      </c>
      <c r="S86">
        <v>13</v>
      </c>
      <c r="T86">
        <v>1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3</v>
      </c>
      <c r="AB86">
        <v>11</v>
      </c>
      <c r="AC86">
        <v>0</v>
      </c>
      <c r="AD86" t="str">
        <f t="shared" si="13"/>
        <v>Ok</v>
      </c>
      <c r="AE86" t="str">
        <f>IF(AND(Audit_Data[[#This Row],[Year_Birth]]&gt;=1900,Audit_Data[[#This Row],[Year_Birth]]&lt;=2010),"OK","Invalid")</f>
        <v>OK</v>
      </c>
      <c r="AF86" t="str">
        <f t="shared" si="14"/>
        <v>Valid</v>
      </c>
      <c r="AG86" t="str">
        <f t="shared" si="15"/>
        <v>Valid</v>
      </c>
      <c r="AH86" t="str">
        <f t="shared" si="16"/>
        <v>Valid</v>
      </c>
      <c r="AI86" t="str">
        <f t="shared" si="17"/>
        <v>Valid</v>
      </c>
      <c r="AJ86" t="str">
        <f t="shared" si="18"/>
        <v>Valid</v>
      </c>
      <c r="AK86" t="str">
        <f t="shared" si="25"/>
        <v xml:space="preserve">Valid </v>
      </c>
      <c r="AL86" t="str">
        <f>IF(AND(Audit_Data[[#This Row],[Recency]]&gt;=0,Audit_Data[[#This Row],[Recency]]&lt;=100),"Valid","Invalid")</f>
        <v>Valid</v>
      </c>
      <c r="AM86" t="str">
        <f t="shared" si="19"/>
        <v>Valid</v>
      </c>
      <c r="AN86" t="str">
        <f t="shared" si="20"/>
        <v>Valid</v>
      </c>
      <c r="AO86" t="str">
        <f t="shared" si="21"/>
        <v>Valid</v>
      </c>
      <c r="AP86" t="str">
        <f t="shared" si="22"/>
        <v>Valid</v>
      </c>
      <c r="AQ86" t="str">
        <f>IF(Audit_Data[[#This Row],[Z_CostContact]]=3,"Valid","Invalid")</f>
        <v>Valid</v>
      </c>
      <c r="AR86" t="str">
        <f t="shared" si="23"/>
        <v>Valid</v>
      </c>
      <c r="AS86" t="str">
        <f t="shared" si="24"/>
        <v>Valid</v>
      </c>
    </row>
    <row r="87" spans="1:45" x14ac:dyDescent="0.3">
      <c r="A87">
        <v>5268</v>
      </c>
      <c r="B87">
        <v>1960</v>
      </c>
      <c r="C87" t="s">
        <v>29</v>
      </c>
      <c r="D87" t="s">
        <v>33</v>
      </c>
      <c r="E87">
        <v>29440</v>
      </c>
      <c r="F87">
        <v>1</v>
      </c>
      <c r="G87">
        <v>1</v>
      </c>
      <c r="H87" s="1">
        <v>41497</v>
      </c>
      <c r="I87">
        <v>95</v>
      </c>
      <c r="J87">
        <v>17</v>
      </c>
      <c r="K87">
        <v>8</v>
      </c>
      <c r="L87">
        <v>14</v>
      </c>
      <c r="M87">
        <v>10</v>
      </c>
      <c r="N87">
        <v>4</v>
      </c>
      <c r="O87">
        <v>3</v>
      </c>
      <c r="P87">
        <v>2</v>
      </c>
      <c r="Q87">
        <v>1</v>
      </c>
      <c r="R87">
        <v>0</v>
      </c>
      <c r="S87">
        <v>4</v>
      </c>
      <c r="T87">
        <v>7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3</v>
      </c>
      <c r="AB87">
        <v>11</v>
      </c>
      <c r="AC87">
        <v>0</v>
      </c>
      <c r="AD87" t="str">
        <f t="shared" si="13"/>
        <v>Ok</v>
      </c>
      <c r="AE87" t="str">
        <f>IF(AND(Audit_Data[[#This Row],[Year_Birth]]&gt;=1900,Audit_Data[[#This Row],[Year_Birth]]&lt;=2010),"OK","Invalid")</f>
        <v>OK</v>
      </c>
      <c r="AF87" t="str">
        <f t="shared" si="14"/>
        <v>Valid</v>
      </c>
      <c r="AG87" t="str">
        <f t="shared" si="15"/>
        <v>Valid</v>
      </c>
      <c r="AH87" t="str">
        <f t="shared" si="16"/>
        <v>Valid</v>
      </c>
      <c r="AI87" t="str">
        <f t="shared" si="17"/>
        <v>Valid</v>
      </c>
      <c r="AJ87" t="str">
        <f t="shared" si="18"/>
        <v>Valid</v>
      </c>
      <c r="AK87" t="str">
        <f t="shared" si="25"/>
        <v xml:space="preserve">Valid </v>
      </c>
      <c r="AL87" t="str">
        <f>IF(AND(Audit_Data[[#This Row],[Recency]]&gt;=0,Audit_Data[[#This Row],[Recency]]&lt;=100),"Valid","Invalid")</f>
        <v>Valid</v>
      </c>
      <c r="AM87" t="str">
        <f t="shared" si="19"/>
        <v>Valid</v>
      </c>
      <c r="AN87" t="str">
        <f t="shared" si="20"/>
        <v>Valid</v>
      </c>
      <c r="AO87" t="str">
        <f t="shared" si="21"/>
        <v>Valid</v>
      </c>
      <c r="AP87" t="str">
        <f t="shared" si="22"/>
        <v>Valid</v>
      </c>
      <c r="AQ87" t="str">
        <f>IF(Audit_Data[[#This Row],[Z_CostContact]]=3,"Valid","Invalid")</f>
        <v>Valid</v>
      </c>
      <c r="AR87" t="str">
        <f t="shared" si="23"/>
        <v>Valid</v>
      </c>
      <c r="AS87" t="str">
        <f t="shared" si="24"/>
        <v>Valid</v>
      </c>
    </row>
    <row r="88" spans="1:45" x14ac:dyDescent="0.3">
      <c r="A88">
        <v>273</v>
      </c>
      <c r="B88">
        <v>1970</v>
      </c>
      <c r="C88" t="s">
        <v>34</v>
      </c>
      <c r="D88" t="s">
        <v>33</v>
      </c>
      <c r="E88">
        <v>36138</v>
      </c>
      <c r="F88">
        <v>1</v>
      </c>
      <c r="G88">
        <v>1</v>
      </c>
      <c r="H88" s="1">
        <v>41471</v>
      </c>
      <c r="I88">
        <v>48</v>
      </c>
      <c r="J88">
        <v>130</v>
      </c>
      <c r="K88">
        <v>0</v>
      </c>
      <c r="L88">
        <v>16</v>
      </c>
      <c r="M88">
        <v>0</v>
      </c>
      <c r="N88">
        <v>0</v>
      </c>
      <c r="O88">
        <v>5</v>
      </c>
      <c r="P88">
        <v>5</v>
      </c>
      <c r="Q88">
        <v>3</v>
      </c>
      <c r="R88">
        <v>1</v>
      </c>
      <c r="S88">
        <v>4</v>
      </c>
      <c r="T88">
        <v>7</v>
      </c>
      <c r="U88">
        <v>0</v>
      </c>
      <c r="V88">
        <v>1</v>
      </c>
      <c r="W88">
        <v>0</v>
      </c>
      <c r="X88">
        <v>0</v>
      </c>
      <c r="Y88">
        <v>0</v>
      </c>
      <c r="Z88">
        <v>0</v>
      </c>
      <c r="AA88">
        <v>3</v>
      </c>
      <c r="AB88">
        <v>11</v>
      </c>
      <c r="AC88">
        <v>0</v>
      </c>
      <c r="AD88" t="str">
        <f t="shared" si="13"/>
        <v>Ok</v>
      </c>
      <c r="AE88" t="str">
        <f>IF(AND(Audit_Data[[#This Row],[Year_Birth]]&gt;=1900,Audit_Data[[#This Row],[Year_Birth]]&lt;=2010),"OK","Invalid")</f>
        <v>OK</v>
      </c>
      <c r="AF88" t="str">
        <f t="shared" si="14"/>
        <v>Valid</v>
      </c>
      <c r="AG88" t="str">
        <f t="shared" si="15"/>
        <v>Valid</v>
      </c>
      <c r="AH88" t="str">
        <f t="shared" si="16"/>
        <v>Valid</v>
      </c>
      <c r="AI88" t="str">
        <f t="shared" si="17"/>
        <v>Valid</v>
      </c>
      <c r="AJ88" t="str">
        <f t="shared" si="18"/>
        <v>Valid</v>
      </c>
      <c r="AK88" t="str">
        <f t="shared" si="25"/>
        <v xml:space="preserve">Valid </v>
      </c>
      <c r="AL88" t="str">
        <f>IF(AND(Audit_Data[[#This Row],[Recency]]&gt;=0,Audit_Data[[#This Row],[Recency]]&lt;=100),"Valid","Invalid")</f>
        <v>Valid</v>
      </c>
      <c r="AM88" t="str">
        <f t="shared" si="19"/>
        <v>Valid</v>
      </c>
      <c r="AN88" t="str">
        <f t="shared" si="20"/>
        <v>Valid</v>
      </c>
      <c r="AO88" t="str">
        <f t="shared" si="21"/>
        <v>Valid</v>
      </c>
      <c r="AP88" t="str">
        <f t="shared" si="22"/>
        <v>Valid</v>
      </c>
      <c r="AQ88" t="str">
        <f>IF(Audit_Data[[#This Row],[Z_CostContact]]=3,"Valid","Invalid")</f>
        <v>Valid</v>
      </c>
      <c r="AR88" t="str">
        <f t="shared" si="23"/>
        <v>Valid</v>
      </c>
      <c r="AS88" t="str">
        <f t="shared" si="24"/>
        <v>Valid</v>
      </c>
    </row>
    <row r="89" spans="1:45" x14ac:dyDescent="0.3">
      <c r="A89">
        <v>4452</v>
      </c>
      <c r="B89">
        <v>1957</v>
      </c>
      <c r="C89" t="s">
        <v>29</v>
      </c>
      <c r="D89" t="s">
        <v>30</v>
      </c>
      <c r="E89">
        <v>50388</v>
      </c>
      <c r="F89">
        <v>0</v>
      </c>
      <c r="G89">
        <v>1</v>
      </c>
      <c r="H89" s="1">
        <v>41787</v>
      </c>
      <c r="I89">
        <v>3</v>
      </c>
      <c r="J89">
        <v>292</v>
      </c>
      <c r="K89">
        <v>6</v>
      </c>
      <c r="L89">
        <v>37</v>
      </c>
      <c r="M89">
        <v>0</v>
      </c>
      <c r="N89">
        <v>3</v>
      </c>
      <c r="O89">
        <v>34</v>
      </c>
      <c r="P89">
        <v>4</v>
      </c>
      <c r="Q89">
        <v>6</v>
      </c>
      <c r="R89">
        <v>1</v>
      </c>
      <c r="S89">
        <v>6</v>
      </c>
      <c r="T89">
        <v>7</v>
      </c>
      <c r="U89">
        <v>0</v>
      </c>
      <c r="V89">
        <v>1</v>
      </c>
      <c r="W89">
        <v>0</v>
      </c>
      <c r="X89">
        <v>1</v>
      </c>
      <c r="Y89">
        <v>0</v>
      </c>
      <c r="Z89">
        <v>0</v>
      </c>
      <c r="AA89">
        <v>3</v>
      </c>
      <c r="AB89">
        <v>11</v>
      </c>
      <c r="AC89">
        <v>1</v>
      </c>
      <c r="AD89" t="str">
        <f t="shared" si="13"/>
        <v>Ok</v>
      </c>
      <c r="AE89" t="str">
        <f>IF(AND(Audit_Data[[#This Row],[Year_Birth]]&gt;=1900,Audit_Data[[#This Row],[Year_Birth]]&lt;=2010),"OK","Invalid")</f>
        <v>OK</v>
      </c>
      <c r="AF89" t="str">
        <f t="shared" si="14"/>
        <v>Valid</v>
      </c>
      <c r="AG89" t="str">
        <f t="shared" si="15"/>
        <v>Valid</v>
      </c>
      <c r="AH89" t="str">
        <f t="shared" si="16"/>
        <v>Valid</v>
      </c>
      <c r="AI89" t="str">
        <f t="shared" si="17"/>
        <v>Valid</v>
      </c>
      <c r="AJ89" t="str">
        <f t="shared" si="18"/>
        <v>Valid</v>
      </c>
      <c r="AK89" t="str">
        <f t="shared" si="25"/>
        <v xml:space="preserve">Valid </v>
      </c>
      <c r="AL89" t="str">
        <f>IF(AND(Audit_Data[[#This Row],[Recency]]&gt;=0,Audit_Data[[#This Row],[Recency]]&lt;=100),"Valid","Invalid")</f>
        <v>Valid</v>
      </c>
      <c r="AM89" t="str">
        <f t="shared" si="19"/>
        <v>Valid</v>
      </c>
      <c r="AN89" t="str">
        <f t="shared" si="20"/>
        <v>Valid</v>
      </c>
      <c r="AO89" t="str">
        <f t="shared" si="21"/>
        <v>Valid</v>
      </c>
      <c r="AP89" t="str">
        <f t="shared" si="22"/>
        <v>Valid</v>
      </c>
      <c r="AQ89" t="str">
        <f>IF(Audit_Data[[#This Row],[Z_CostContact]]=3,"Valid","Invalid")</f>
        <v>Valid</v>
      </c>
      <c r="AR89" t="str">
        <f t="shared" si="23"/>
        <v>Valid</v>
      </c>
      <c r="AS89" t="str">
        <f t="shared" si="24"/>
        <v>Valid</v>
      </c>
    </row>
    <row r="90" spans="1:45" x14ac:dyDescent="0.3">
      <c r="A90">
        <v>8504</v>
      </c>
      <c r="B90">
        <v>1973</v>
      </c>
      <c r="C90" t="s">
        <v>29</v>
      </c>
      <c r="D90" t="s">
        <v>33</v>
      </c>
      <c r="E90">
        <v>79593</v>
      </c>
      <c r="F90">
        <v>0</v>
      </c>
      <c r="G90">
        <v>0</v>
      </c>
      <c r="H90" s="1">
        <v>41771</v>
      </c>
      <c r="I90">
        <v>70</v>
      </c>
      <c r="J90">
        <v>350</v>
      </c>
      <c r="K90">
        <v>60</v>
      </c>
      <c r="L90">
        <v>568</v>
      </c>
      <c r="M90">
        <v>110</v>
      </c>
      <c r="N90">
        <v>133</v>
      </c>
      <c r="O90">
        <v>145</v>
      </c>
      <c r="P90">
        <v>1</v>
      </c>
      <c r="Q90">
        <v>5</v>
      </c>
      <c r="R90">
        <v>6</v>
      </c>
      <c r="S90">
        <v>7</v>
      </c>
      <c r="T90">
        <v>2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3</v>
      </c>
      <c r="AB90">
        <v>11</v>
      </c>
      <c r="AC90">
        <v>0</v>
      </c>
      <c r="AD90" t="str">
        <f t="shared" si="13"/>
        <v>Ok</v>
      </c>
      <c r="AE90" t="str">
        <f>IF(AND(Audit_Data[[#This Row],[Year_Birth]]&gt;=1900,Audit_Data[[#This Row],[Year_Birth]]&lt;=2010),"OK","Invalid")</f>
        <v>OK</v>
      </c>
      <c r="AF90" t="str">
        <f t="shared" si="14"/>
        <v>Valid</v>
      </c>
      <c r="AG90" t="str">
        <f t="shared" si="15"/>
        <v>Valid</v>
      </c>
      <c r="AH90" t="str">
        <f t="shared" si="16"/>
        <v>Valid</v>
      </c>
      <c r="AI90" t="str">
        <f t="shared" si="17"/>
        <v>Valid</v>
      </c>
      <c r="AJ90" t="str">
        <f t="shared" si="18"/>
        <v>Valid</v>
      </c>
      <c r="AK90" t="str">
        <f t="shared" si="25"/>
        <v xml:space="preserve">Valid </v>
      </c>
      <c r="AL90" t="str">
        <f>IF(AND(Audit_Data[[#This Row],[Recency]]&gt;=0,Audit_Data[[#This Row],[Recency]]&lt;=100),"Valid","Invalid")</f>
        <v>Valid</v>
      </c>
      <c r="AM90" t="str">
        <f t="shared" si="19"/>
        <v>Valid</v>
      </c>
      <c r="AN90" t="str">
        <f t="shared" si="20"/>
        <v>Valid</v>
      </c>
      <c r="AO90" t="str">
        <f t="shared" si="21"/>
        <v>Valid</v>
      </c>
      <c r="AP90" t="str">
        <f t="shared" si="22"/>
        <v>Valid</v>
      </c>
      <c r="AQ90" t="str">
        <f>IF(Audit_Data[[#This Row],[Z_CostContact]]=3,"Valid","Invalid")</f>
        <v>Valid</v>
      </c>
      <c r="AR90" t="str">
        <f t="shared" si="23"/>
        <v>Valid</v>
      </c>
      <c r="AS90" t="str">
        <f t="shared" si="24"/>
        <v>Valid</v>
      </c>
    </row>
    <row r="91" spans="1:45" x14ac:dyDescent="0.3">
      <c r="A91">
        <v>771</v>
      </c>
      <c r="B91">
        <v>1967</v>
      </c>
      <c r="C91" t="s">
        <v>29</v>
      </c>
      <c r="D91" t="s">
        <v>31</v>
      </c>
      <c r="E91">
        <v>54178</v>
      </c>
      <c r="F91">
        <v>0</v>
      </c>
      <c r="G91">
        <v>1</v>
      </c>
      <c r="H91" s="1">
        <v>41660</v>
      </c>
      <c r="I91">
        <v>79</v>
      </c>
      <c r="J91">
        <v>135</v>
      </c>
      <c r="K91">
        <v>9</v>
      </c>
      <c r="L91">
        <v>39</v>
      </c>
      <c r="M91">
        <v>4</v>
      </c>
      <c r="N91">
        <v>0</v>
      </c>
      <c r="O91">
        <v>7</v>
      </c>
      <c r="P91">
        <v>1</v>
      </c>
      <c r="Q91">
        <v>2</v>
      </c>
      <c r="R91">
        <v>2</v>
      </c>
      <c r="S91">
        <v>5</v>
      </c>
      <c r="T91">
        <v>2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3</v>
      </c>
      <c r="AB91">
        <v>11</v>
      </c>
      <c r="AC91">
        <v>0</v>
      </c>
      <c r="AD91" t="str">
        <f t="shared" si="13"/>
        <v>Ok</v>
      </c>
      <c r="AE91" t="str">
        <f>IF(AND(Audit_Data[[#This Row],[Year_Birth]]&gt;=1900,Audit_Data[[#This Row],[Year_Birth]]&lt;=2010),"OK","Invalid")</f>
        <v>OK</v>
      </c>
      <c r="AF91" t="str">
        <f t="shared" si="14"/>
        <v>Valid</v>
      </c>
      <c r="AG91" t="str">
        <f t="shared" si="15"/>
        <v>Valid</v>
      </c>
      <c r="AH91" t="str">
        <f t="shared" si="16"/>
        <v>Valid</v>
      </c>
      <c r="AI91" t="str">
        <f t="shared" si="17"/>
        <v>Valid</v>
      </c>
      <c r="AJ91" t="str">
        <f t="shared" si="18"/>
        <v>Valid</v>
      </c>
      <c r="AK91" t="str">
        <f t="shared" si="25"/>
        <v xml:space="preserve">Valid </v>
      </c>
      <c r="AL91" t="str">
        <f>IF(AND(Audit_Data[[#This Row],[Recency]]&gt;=0,Audit_Data[[#This Row],[Recency]]&lt;=100),"Valid","Invalid")</f>
        <v>Valid</v>
      </c>
      <c r="AM91" t="str">
        <f t="shared" si="19"/>
        <v>Valid</v>
      </c>
      <c r="AN91" t="str">
        <f t="shared" si="20"/>
        <v>Valid</v>
      </c>
      <c r="AO91" t="str">
        <f t="shared" si="21"/>
        <v>Valid</v>
      </c>
      <c r="AP91" t="str">
        <f t="shared" si="22"/>
        <v>Valid</v>
      </c>
      <c r="AQ91" t="str">
        <f>IF(Audit_Data[[#This Row],[Z_CostContact]]=3,"Valid","Invalid")</f>
        <v>Valid</v>
      </c>
      <c r="AR91" t="str">
        <f t="shared" si="23"/>
        <v>Valid</v>
      </c>
      <c r="AS91" t="str">
        <f t="shared" si="24"/>
        <v>Valid</v>
      </c>
    </row>
    <row r="92" spans="1:45" x14ac:dyDescent="0.3">
      <c r="A92">
        <v>8996</v>
      </c>
      <c r="B92">
        <v>1957</v>
      </c>
      <c r="C92" t="s">
        <v>32</v>
      </c>
      <c r="D92" t="s">
        <v>33</v>
      </c>
      <c r="F92">
        <v>2</v>
      </c>
      <c r="G92">
        <v>1</v>
      </c>
      <c r="H92" s="1">
        <v>41232</v>
      </c>
      <c r="I92">
        <v>4</v>
      </c>
      <c r="J92">
        <v>230</v>
      </c>
      <c r="K92">
        <v>42</v>
      </c>
      <c r="L92">
        <v>192</v>
      </c>
      <c r="M92">
        <v>49</v>
      </c>
      <c r="N92">
        <v>37</v>
      </c>
      <c r="O92">
        <v>53</v>
      </c>
      <c r="P92">
        <v>12</v>
      </c>
      <c r="Q92">
        <v>7</v>
      </c>
      <c r="R92">
        <v>2</v>
      </c>
      <c r="S92">
        <v>8</v>
      </c>
      <c r="T92">
        <v>9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3</v>
      </c>
      <c r="AB92">
        <v>11</v>
      </c>
      <c r="AC92">
        <v>0</v>
      </c>
      <c r="AD92" t="str">
        <f t="shared" si="13"/>
        <v>Ok</v>
      </c>
      <c r="AE92" t="str">
        <f>IF(AND(Audit_Data[[#This Row],[Year_Birth]]&gt;=1900,Audit_Data[[#This Row],[Year_Birth]]&lt;=2010),"OK","Invalid")</f>
        <v>OK</v>
      </c>
      <c r="AF92" t="str">
        <f t="shared" si="14"/>
        <v>Valid</v>
      </c>
      <c r="AG92" t="str">
        <f t="shared" si="15"/>
        <v>Valid</v>
      </c>
      <c r="AH92" t="str">
        <f t="shared" si="16"/>
        <v>Invalid</v>
      </c>
      <c r="AI92" t="str">
        <f t="shared" si="17"/>
        <v>Valid</v>
      </c>
      <c r="AJ92" t="str">
        <f t="shared" si="18"/>
        <v>Valid</v>
      </c>
      <c r="AK92" t="str">
        <f t="shared" si="25"/>
        <v xml:space="preserve">Valid </v>
      </c>
      <c r="AL92" t="str">
        <f>IF(AND(Audit_Data[[#This Row],[Recency]]&gt;=0,Audit_Data[[#This Row],[Recency]]&lt;=100),"Valid","Invalid")</f>
        <v>Valid</v>
      </c>
      <c r="AM92" t="str">
        <f t="shared" si="19"/>
        <v>Valid</v>
      </c>
      <c r="AN92" t="str">
        <f t="shared" si="20"/>
        <v>Valid</v>
      </c>
      <c r="AO92" t="str">
        <f t="shared" si="21"/>
        <v>Valid</v>
      </c>
      <c r="AP92" t="str">
        <f t="shared" si="22"/>
        <v>Valid</v>
      </c>
      <c r="AQ92" t="str">
        <f>IF(Audit_Data[[#This Row],[Z_CostContact]]=3,"Valid","Invalid")</f>
        <v>Valid</v>
      </c>
      <c r="AR92" t="str">
        <f t="shared" si="23"/>
        <v>Valid</v>
      </c>
      <c r="AS92" t="str">
        <f t="shared" si="24"/>
        <v>Valid</v>
      </c>
    </row>
    <row r="93" spans="1:45" x14ac:dyDescent="0.3">
      <c r="A93">
        <v>9235</v>
      </c>
      <c r="B93">
        <v>1957</v>
      </c>
      <c r="C93" t="s">
        <v>29</v>
      </c>
      <c r="D93" t="s">
        <v>30</v>
      </c>
      <c r="F93">
        <v>1</v>
      </c>
      <c r="G93">
        <v>1</v>
      </c>
      <c r="H93" s="1">
        <v>41786</v>
      </c>
      <c r="I93">
        <v>45</v>
      </c>
      <c r="J93">
        <v>7</v>
      </c>
      <c r="K93">
        <v>0</v>
      </c>
      <c r="L93">
        <v>8</v>
      </c>
      <c r="M93">
        <v>2</v>
      </c>
      <c r="N93">
        <v>0</v>
      </c>
      <c r="O93">
        <v>1</v>
      </c>
      <c r="P93">
        <v>1</v>
      </c>
      <c r="Q93">
        <v>1</v>
      </c>
      <c r="R93">
        <v>0</v>
      </c>
      <c r="S93">
        <v>2</v>
      </c>
      <c r="T93">
        <v>7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3</v>
      </c>
      <c r="AB93">
        <v>11</v>
      </c>
      <c r="AC93">
        <v>0</v>
      </c>
      <c r="AD93" t="str">
        <f t="shared" si="13"/>
        <v>Ok</v>
      </c>
      <c r="AE93" t="str">
        <f>IF(AND(Audit_Data[[#This Row],[Year_Birth]]&gt;=1900,Audit_Data[[#This Row],[Year_Birth]]&lt;=2010),"OK","Invalid")</f>
        <v>OK</v>
      </c>
      <c r="AF93" t="str">
        <f t="shared" si="14"/>
        <v>Valid</v>
      </c>
      <c r="AG93" t="str">
        <f t="shared" si="15"/>
        <v>Valid</v>
      </c>
      <c r="AH93" t="str">
        <f t="shared" si="16"/>
        <v>Invalid</v>
      </c>
      <c r="AI93" t="str">
        <f t="shared" si="17"/>
        <v>Valid</v>
      </c>
      <c r="AJ93" t="str">
        <f t="shared" si="18"/>
        <v>Valid</v>
      </c>
      <c r="AK93" t="str">
        <f t="shared" si="25"/>
        <v xml:space="preserve">Valid </v>
      </c>
      <c r="AL93" t="str">
        <f>IF(AND(Audit_Data[[#This Row],[Recency]]&gt;=0,Audit_Data[[#This Row],[Recency]]&lt;=100),"Valid","Invalid")</f>
        <v>Valid</v>
      </c>
      <c r="AM93" t="str">
        <f t="shared" si="19"/>
        <v>Valid</v>
      </c>
      <c r="AN93" t="str">
        <f t="shared" si="20"/>
        <v>Valid</v>
      </c>
      <c r="AO93" t="str">
        <f t="shared" si="21"/>
        <v>Valid</v>
      </c>
      <c r="AP93" t="str">
        <f t="shared" si="22"/>
        <v>Valid</v>
      </c>
      <c r="AQ93" t="str">
        <f>IF(Audit_Data[[#This Row],[Z_CostContact]]=3,"Valid","Invalid")</f>
        <v>Valid</v>
      </c>
      <c r="AR93" t="str">
        <f t="shared" si="23"/>
        <v>Valid</v>
      </c>
      <c r="AS93" t="str">
        <f t="shared" si="24"/>
        <v>Valid</v>
      </c>
    </row>
    <row r="94" spans="1:45" x14ac:dyDescent="0.3">
      <c r="A94">
        <v>5798</v>
      </c>
      <c r="B94">
        <v>1973</v>
      </c>
      <c r="C94" t="s">
        <v>34</v>
      </c>
      <c r="D94" t="s">
        <v>31</v>
      </c>
      <c r="F94">
        <v>0</v>
      </c>
      <c r="G94">
        <v>0</v>
      </c>
      <c r="H94" s="1">
        <v>41601</v>
      </c>
      <c r="I94">
        <v>87</v>
      </c>
      <c r="J94">
        <v>445</v>
      </c>
      <c r="K94">
        <v>37</v>
      </c>
      <c r="L94">
        <v>359</v>
      </c>
      <c r="M94">
        <v>98</v>
      </c>
      <c r="N94">
        <v>28</v>
      </c>
      <c r="O94">
        <v>18</v>
      </c>
      <c r="P94">
        <v>1</v>
      </c>
      <c r="Q94">
        <v>2</v>
      </c>
      <c r="R94">
        <v>4</v>
      </c>
      <c r="S94">
        <v>8</v>
      </c>
      <c r="T94">
        <v>1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3</v>
      </c>
      <c r="AB94">
        <v>11</v>
      </c>
      <c r="AC94">
        <v>0</v>
      </c>
      <c r="AD94" t="str">
        <f t="shared" si="13"/>
        <v>Ok</v>
      </c>
      <c r="AE94" t="str">
        <f>IF(AND(Audit_Data[[#This Row],[Year_Birth]]&gt;=1900,Audit_Data[[#This Row],[Year_Birth]]&lt;=2010),"OK","Invalid")</f>
        <v>OK</v>
      </c>
      <c r="AF94" t="str">
        <f t="shared" si="14"/>
        <v>Valid</v>
      </c>
      <c r="AG94" t="str">
        <f t="shared" si="15"/>
        <v>Valid</v>
      </c>
      <c r="AH94" t="str">
        <f t="shared" si="16"/>
        <v>Invalid</v>
      </c>
      <c r="AI94" t="str">
        <f t="shared" si="17"/>
        <v>Valid</v>
      </c>
      <c r="AJ94" t="str">
        <f t="shared" si="18"/>
        <v>Valid</v>
      </c>
      <c r="AK94" t="str">
        <f t="shared" si="25"/>
        <v xml:space="preserve">Valid </v>
      </c>
      <c r="AL94" t="str">
        <f>IF(AND(Audit_Data[[#This Row],[Recency]]&gt;=0,Audit_Data[[#This Row],[Recency]]&lt;=100),"Valid","Invalid")</f>
        <v>Valid</v>
      </c>
      <c r="AM94" t="str">
        <f t="shared" si="19"/>
        <v>Valid</v>
      </c>
      <c r="AN94" t="str">
        <f t="shared" si="20"/>
        <v>Valid</v>
      </c>
      <c r="AO94" t="str">
        <f t="shared" si="21"/>
        <v>Valid</v>
      </c>
      <c r="AP94" t="str">
        <f t="shared" si="22"/>
        <v>Valid</v>
      </c>
      <c r="AQ94" t="str">
        <f>IF(Audit_Data[[#This Row],[Z_CostContact]]=3,"Valid","Invalid")</f>
        <v>Valid</v>
      </c>
      <c r="AR94" t="str">
        <f t="shared" si="23"/>
        <v>Valid</v>
      </c>
      <c r="AS94" t="str">
        <f t="shared" si="24"/>
        <v>Valid</v>
      </c>
    </row>
    <row r="95" spans="1:45" x14ac:dyDescent="0.3">
      <c r="A95">
        <v>11178</v>
      </c>
      <c r="B95">
        <v>1972</v>
      </c>
      <c r="C95" t="s">
        <v>34</v>
      </c>
      <c r="D95" t="s">
        <v>30</v>
      </c>
      <c r="E95">
        <v>42394</v>
      </c>
      <c r="F95">
        <v>1</v>
      </c>
      <c r="G95">
        <v>0</v>
      </c>
      <c r="H95" s="1">
        <v>41721</v>
      </c>
      <c r="I95">
        <v>69</v>
      </c>
      <c r="J95">
        <v>15</v>
      </c>
      <c r="K95">
        <v>2</v>
      </c>
      <c r="L95">
        <v>10</v>
      </c>
      <c r="M95">
        <v>0</v>
      </c>
      <c r="N95">
        <v>1</v>
      </c>
      <c r="O95">
        <v>4</v>
      </c>
      <c r="P95">
        <v>1</v>
      </c>
      <c r="Q95">
        <v>1</v>
      </c>
      <c r="R95">
        <v>0</v>
      </c>
      <c r="S95">
        <v>3</v>
      </c>
      <c r="T95">
        <v>7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3</v>
      </c>
      <c r="AB95">
        <v>11</v>
      </c>
      <c r="AC95">
        <v>0</v>
      </c>
      <c r="AD95" t="str">
        <f t="shared" si="13"/>
        <v>Ok</v>
      </c>
      <c r="AE95" t="str">
        <f>IF(AND(Audit_Data[[#This Row],[Year_Birth]]&gt;=1900,Audit_Data[[#This Row],[Year_Birth]]&lt;=2010),"OK","Invalid")</f>
        <v>OK</v>
      </c>
      <c r="AF95" t="str">
        <f t="shared" si="14"/>
        <v>Valid</v>
      </c>
      <c r="AG95" t="str">
        <f t="shared" si="15"/>
        <v>Valid</v>
      </c>
      <c r="AH95" t="str">
        <f t="shared" si="16"/>
        <v>Valid</v>
      </c>
      <c r="AI95" t="str">
        <f t="shared" si="17"/>
        <v>Valid</v>
      </c>
      <c r="AJ95" t="str">
        <f t="shared" si="18"/>
        <v>Valid</v>
      </c>
      <c r="AK95" t="str">
        <f t="shared" si="25"/>
        <v xml:space="preserve">Valid </v>
      </c>
      <c r="AL95" t="str">
        <f>IF(AND(Audit_Data[[#This Row],[Recency]]&gt;=0,Audit_Data[[#This Row],[Recency]]&lt;=100),"Valid","Invalid")</f>
        <v>Valid</v>
      </c>
      <c r="AM95" t="str">
        <f t="shared" si="19"/>
        <v>Valid</v>
      </c>
      <c r="AN95" t="str">
        <f t="shared" si="20"/>
        <v>Valid</v>
      </c>
      <c r="AO95" t="str">
        <f t="shared" si="21"/>
        <v>Valid</v>
      </c>
      <c r="AP95" t="str">
        <f t="shared" si="22"/>
        <v>Valid</v>
      </c>
      <c r="AQ95" t="str">
        <f>IF(Audit_Data[[#This Row],[Z_CostContact]]=3,"Valid","Invalid")</f>
        <v>Valid</v>
      </c>
      <c r="AR95" t="str">
        <f t="shared" si="23"/>
        <v>Valid</v>
      </c>
      <c r="AS95" t="str">
        <f t="shared" si="24"/>
        <v>Valid</v>
      </c>
    </row>
    <row r="96" spans="1:45" x14ac:dyDescent="0.3">
      <c r="A96">
        <v>2230</v>
      </c>
      <c r="B96">
        <v>1970</v>
      </c>
      <c r="C96" t="s">
        <v>32</v>
      </c>
      <c r="D96" t="s">
        <v>33</v>
      </c>
      <c r="E96">
        <v>23626</v>
      </c>
      <c r="F96">
        <v>1</v>
      </c>
      <c r="G96">
        <v>0</v>
      </c>
      <c r="H96" s="1">
        <v>41783</v>
      </c>
      <c r="I96">
        <v>84</v>
      </c>
      <c r="J96">
        <v>27</v>
      </c>
      <c r="K96">
        <v>2</v>
      </c>
      <c r="L96">
        <v>14</v>
      </c>
      <c r="M96">
        <v>0</v>
      </c>
      <c r="N96">
        <v>0</v>
      </c>
      <c r="O96">
        <v>0</v>
      </c>
      <c r="P96">
        <v>3</v>
      </c>
      <c r="Q96">
        <v>3</v>
      </c>
      <c r="R96">
        <v>1</v>
      </c>
      <c r="S96">
        <v>3</v>
      </c>
      <c r="T96">
        <v>5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3</v>
      </c>
      <c r="AB96">
        <v>11</v>
      </c>
      <c r="AC96">
        <v>0</v>
      </c>
      <c r="AD96" t="str">
        <f t="shared" si="13"/>
        <v>Ok</v>
      </c>
      <c r="AE96" t="str">
        <f>IF(AND(Audit_Data[[#This Row],[Year_Birth]]&gt;=1900,Audit_Data[[#This Row],[Year_Birth]]&lt;=2010),"OK","Invalid")</f>
        <v>OK</v>
      </c>
      <c r="AF96" t="str">
        <f t="shared" si="14"/>
        <v>Valid</v>
      </c>
      <c r="AG96" t="str">
        <f t="shared" si="15"/>
        <v>Valid</v>
      </c>
      <c r="AH96" t="str">
        <f t="shared" si="16"/>
        <v>Valid</v>
      </c>
      <c r="AI96" t="str">
        <f t="shared" si="17"/>
        <v>Valid</v>
      </c>
      <c r="AJ96" t="str">
        <f t="shared" si="18"/>
        <v>Valid</v>
      </c>
      <c r="AK96" t="str">
        <f t="shared" si="25"/>
        <v xml:space="preserve">Valid </v>
      </c>
      <c r="AL96" t="str">
        <f>IF(AND(Audit_Data[[#This Row],[Recency]]&gt;=0,Audit_Data[[#This Row],[Recency]]&lt;=100),"Valid","Invalid")</f>
        <v>Valid</v>
      </c>
      <c r="AM96" t="str">
        <f t="shared" si="19"/>
        <v>Valid</v>
      </c>
      <c r="AN96" t="str">
        <f t="shared" si="20"/>
        <v>Valid</v>
      </c>
      <c r="AO96" t="str">
        <f t="shared" si="21"/>
        <v>Valid</v>
      </c>
      <c r="AP96" t="str">
        <f t="shared" si="22"/>
        <v>Valid</v>
      </c>
      <c r="AQ96" t="str">
        <f>IF(Audit_Data[[#This Row],[Z_CostContact]]=3,"Valid","Invalid")</f>
        <v>Valid</v>
      </c>
      <c r="AR96" t="str">
        <f t="shared" si="23"/>
        <v>Valid</v>
      </c>
      <c r="AS96" t="str">
        <f t="shared" si="24"/>
        <v>Valid</v>
      </c>
    </row>
    <row r="97" spans="1:45" x14ac:dyDescent="0.3">
      <c r="A97">
        <v>7516</v>
      </c>
      <c r="B97">
        <v>1983</v>
      </c>
      <c r="C97" t="s">
        <v>29</v>
      </c>
      <c r="D97" t="s">
        <v>33</v>
      </c>
      <c r="E97">
        <v>30096</v>
      </c>
      <c r="F97">
        <v>1</v>
      </c>
      <c r="G97">
        <v>0</v>
      </c>
      <c r="H97" s="1">
        <v>41781</v>
      </c>
      <c r="I97">
        <v>30</v>
      </c>
      <c r="J97">
        <v>5</v>
      </c>
      <c r="K97">
        <v>3</v>
      </c>
      <c r="L97">
        <v>11</v>
      </c>
      <c r="M97">
        <v>12</v>
      </c>
      <c r="N97">
        <v>5</v>
      </c>
      <c r="O97">
        <v>9</v>
      </c>
      <c r="P97">
        <v>1</v>
      </c>
      <c r="Q97">
        <v>2</v>
      </c>
      <c r="R97">
        <v>0</v>
      </c>
      <c r="S97">
        <v>3</v>
      </c>
      <c r="T97">
        <v>6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3</v>
      </c>
      <c r="AB97">
        <v>11</v>
      </c>
      <c r="AC97">
        <v>0</v>
      </c>
      <c r="AD97" t="str">
        <f t="shared" si="13"/>
        <v>Ok</v>
      </c>
      <c r="AE97" t="str">
        <f>IF(AND(Audit_Data[[#This Row],[Year_Birth]]&gt;=1900,Audit_Data[[#This Row],[Year_Birth]]&lt;=2010),"OK","Invalid")</f>
        <v>OK</v>
      </c>
      <c r="AF97" t="str">
        <f t="shared" si="14"/>
        <v>Valid</v>
      </c>
      <c r="AG97" t="str">
        <f t="shared" si="15"/>
        <v>Valid</v>
      </c>
      <c r="AH97" t="str">
        <f t="shared" si="16"/>
        <v>Valid</v>
      </c>
      <c r="AI97" t="str">
        <f t="shared" si="17"/>
        <v>Valid</v>
      </c>
      <c r="AJ97" t="str">
        <f t="shared" si="18"/>
        <v>Valid</v>
      </c>
      <c r="AK97" t="str">
        <f t="shared" si="25"/>
        <v xml:space="preserve">Valid </v>
      </c>
      <c r="AL97" t="str">
        <f>IF(AND(Audit_Data[[#This Row],[Recency]]&gt;=0,Audit_Data[[#This Row],[Recency]]&lt;=100),"Valid","Invalid")</f>
        <v>Valid</v>
      </c>
      <c r="AM97" t="str">
        <f t="shared" si="19"/>
        <v>Valid</v>
      </c>
      <c r="AN97" t="str">
        <f t="shared" si="20"/>
        <v>Valid</v>
      </c>
      <c r="AO97" t="str">
        <f t="shared" si="21"/>
        <v>Valid</v>
      </c>
      <c r="AP97" t="str">
        <f t="shared" si="22"/>
        <v>Valid</v>
      </c>
      <c r="AQ97" t="str">
        <f>IF(Audit_Data[[#This Row],[Z_CostContact]]=3,"Valid","Invalid")</f>
        <v>Valid</v>
      </c>
      <c r="AR97" t="str">
        <f t="shared" si="23"/>
        <v>Valid</v>
      </c>
      <c r="AS97" t="str">
        <f t="shared" si="24"/>
        <v>Valid</v>
      </c>
    </row>
    <row r="98" spans="1:45" x14ac:dyDescent="0.3">
      <c r="A98">
        <v>7247</v>
      </c>
      <c r="B98">
        <v>1960</v>
      </c>
      <c r="C98" t="s">
        <v>29</v>
      </c>
      <c r="D98" t="s">
        <v>38</v>
      </c>
      <c r="E98">
        <v>47916</v>
      </c>
      <c r="F98">
        <v>0</v>
      </c>
      <c r="G98">
        <v>1</v>
      </c>
      <c r="H98" s="1">
        <v>41235</v>
      </c>
      <c r="I98">
        <v>72</v>
      </c>
      <c r="J98">
        <v>505</v>
      </c>
      <c r="K98">
        <v>0</v>
      </c>
      <c r="L98">
        <v>26</v>
      </c>
      <c r="M98">
        <v>0</v>
      </c>
      <c r="N98">
        <v>0</v>
      </c>
      <c r="O98">
        <v>75</v>
      </c>
      <c r="P98">
        <v>5</v>
      </c>
      <c r="Q98">
        <v>7</v>
      </c>
      <c r="R98">
        <v>4</v>
      </c>
      <c r="S98">
        <v>6</v>
      </c>
      <c r="T98">
        <v>6</v>
      </c>
      <c r="U98">
        <v>0</v>
      </c>
      <c r="V98">
        <v>1</v>
      </c>
      <c r="W98">
        <v>0</v>
      </c>
      <c r="X98">
        <v>0</v>
      </c>
      <c r="Y98">
        <v>0</v>
      </c>
      <c r="Z98">
        <v>0</v>
      </c>
      <c r="AA98">
        <v>3</v>
      </c>
      <c r="AB98">
        <v>11</v>
      </c>
      <c r="AC98">
        <v>0</v>
      </c>
      <c r="AD98" t="str">
        <f t="shared" si="13"/>
        <v>Ok</v>
      </c>
      <c r="AE98" t="str">
        <f>IF(AND(Audit_Data[[#This Row],[Year_Birth]]&gt;=1900,Audit_Data[[#This Row],[Year_Birth]]&lt;=2010),"OK","Invalid")</f>
        <v>OK</v>
      </c>
      <c r="AF98" t="str">
        <f t="shared" si="14"/>
        <v>Valid</v>
      </c>
      <c r="AG98" t="str">
        <f t="shared" si="15"/>
        <v>Valid</v>
      </c>
      <c r="AH98" t="str">
        <f t="shared" si="16"/>
        <v>Valid</v>
      </c>
      <c r="AI98" t="str">
        <f t="shared" si="17"/>
        <v>Valid</v>
      </c>
      <c r="AJ98" t="str">
        <f t="shared" si="18"/>
        <v>Valid</v>
      </c>
      <c r="AK98" t="str">
        <f t="shared" si="25"/>
        <v xml:space="preserve">Valid </v>
      </c>
      <c r="AL98" t="str">
        <f>IF(AND(Audit_Data[[#This Row],[Recency]]&gt;=0,Audit_Data[[#This Row],[Recency]]&lt;=100),"Valid","Invalid")</f>
        <v>Valid</v>
      </c>
      <c r="AM98" t="str">
        <f t="shared" si="19"/>
        <v>Valid</v>
      </c>
      <c r="AN98" t="str">
        <f t="shared" si="20"/>
        <v>Valid</v>
      </c>
      <c r="AO98" t="str">
        <f t="shared" si="21"/>
        <v>Valid</v>
      </c>
      <c r="AP98" t="str">
        <f t="shared" si="22"/>
        <v>Valid</v>
      </c>
      <c r="AQ98" t="str">
        <f>IF(Audit_Data[[#This Row],[Z_CostContact]]=3,"Valid","Invalid")</f>
        <v>Valid</v>
      </c>
      <c r="AR98" t="str">
        <f t="shared" si="23"/>
        <v>Valid</v>
      </c>
      <c r="AS98" t="str">
        <f t="shared" si="24"/>
        <v>Valid</v>
      </c>
    </row>
    <row r="99" spans="1:45" x14ac:dyDescent="0.3">
      <c r="A99">
        <v>11100</v>
      </c>
      <c r="B99">
        <v>1972</v>
      </c>
      <c r="C99" t="s">
        <v>29</v>
      </c>
      <c r="D99" t="s">
        <v>35</v>
      </c>
      <c r="E99">
        <v>51813</v>
      </c>
      <c r="F99">
        <v>1</v>
      </c>
      <c r="G99">
        <v>1</v>
      </c>
      <c r="H99" s="1">
        <v>41375</v>
      </c>
      <c r="I99">
        <v>37</v>
      </c>
      <c r="J99">
        <v>51</v>
      </c>
      <c r="K99">
        <v>2</v>
      </c>
      <c r="L99">
        <v>7</v>
      </c>
      <c r="M99">
        <v>0</v>
      </c>
      <c r="N99">
        <v>1</v>
      </c>
      <c r="O99">
        <v>2</v>
      </c>
      <c r="P99">
        <v>2</v>
      </c>
      <c r="Q99">
        <v>2</v>
      </c>
      <c r="R99">
        <v>0</v>
      </c>
      <c r="S99">
        <v>3</v>
      </c>
      <c r="T99">
        <v>7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3</v>
      </c>
      <c r="AB99">
        <v>11</v>
      </c>
      <c r="AC99">
        <v>0</v>
      </c>
      <c r="AD99" t="str">
        <f t="shared" si="13"/>
        <v>Ok</v>
      </c>
      <c r="AE99" t="str">
        <f>IF(AND(Audit_Data[[#This Row],[Year_Birth]]&gt;=1900,Audit_Data[[#This Row],[Year_Birth]]&lt;=2010),"OK","Invalid")</f>
        <v>OK</v>
      </c>
      <c r="AF99" t="str">
        <f t="shared" si="14"/>
        <v>Valid</v>
      </c>
      <c r="AG99" t="str">
        <f t="shared" si="15"/>
        <v>Valid</v>
      </c>
      <c r="AH99" t="str">
        <f t="shared" si="16"/>
        <v>Valid</v>
      </c>
      <c r="AI99" t="str">
        <f t="shared" si="17"/>
        <v>Valid</v>
      </c>
      <c r="AJ99" t="str">
        <f t="shared" si="18"/>
        <v>Valid</v>
      </c>
      <c r="AK99" t="str">
        <f t="shared" si="25"/>
        <v xml:space="preserve">Valid </v>
      </c>
      <c r="AL99" t="str">
        <f>IF(AND(Audit_Data[[#This Row],[Recency]]&gt;=0,Audit_Data[[#This Row],[Recency]]&lt;=100),"Valid","Invalid")</f>
        <v>Valid</v>
      </c>
      <c r="AM99" t="str">
        <f t="shared" si="19"/>
        <v>Valid</v>
      </c>
      <c r="AN99" t="str">
        <f t="shared" si="20"/>
        <v>Valid</v>
      </c>
      <c r="AO99" t="str">
        <f t="shared" si="21"/>
        <v>Valid</v>
      </c>
      <c r="AP99" t="str">
        <f t="shared" si="22"/>
        <v>Valid</v>
      </c>
      <c r="AQ99" t="str">
        <f>IF(Audit_Data[[#This Row],[Z_CostContact]]=3,"Valid","Invalid")</f>
        <v>Valid</v>
      </c>
      <c r="AR99" t="str">
        <f t="shared" si="23"/>
        <v>Valid</v>
      </c>
      <c r="AS99" t="str">
        <f t="shared" si="24"/>
        <v>Valid</v>
      </c>
    </row>
    <row r="100" spans="1:45" x14ac:dyDescent="0.3">
      <c r="A100">
        <v>4646</v>
      </c>
      <c r="B100">
        <v>1951</v>
      </c>
      <c r="C100" t="s">
        <v>37</v>
      </c>
      <c r="D100" t="s">
        <v>33</v>
      </c>
      <c r="E100">
        <v>78497</v>
      </c>
      <c r="F100">
        <v>0</v>
      </c>
      <c r="G100">
        <v>0</v>
      </c>
      <c r="H100" s="1">
        <v>41609</v>
      </c>
      <c r="I100">
        <v>44</v>
      </c>
      <c r="J100">
        <v>207</v>
      </c>
      <c r="K100">
        <v>26</v>
      </c>
      <c r="L100">
        <v>447</v>
      </c>
      <c r="M100">
        <v>75</v>
      </c>
      <c r="N100">
        <v>0</v>
      </c>
      <c r="O100">
        <v>223</v>
      </c>
      <c r="P100">
        <v>1</v>
      </c>
      <c r="Q100">
        <v>5</v>
      </c>
      <c r="R100">
        <v>7</v>
      </c>
      <c r="S100">
        <v>12</v>
      </c>
      <c r="T100">
        <v>2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>
        <v>3</v>
      </c>
      <c r="AB100">
        <v>11</v>
      </c>
      <c r="AC100">
        <v>0</v>
      </c>
      <c r="AD100" t="str">
        <f t="shared" si="13"/>
        <v>Ok</v>
      </c>
      <c r="AE100" t="str">
        <f>IF(AND(Audit_Data[[#This Row],[Year_Birth]]&gt;=1900,Audit_Data[[#This Row],[Year_Birth]]&lt;=2010),"OK","Invalid")</f>
        <v>OK</v>
      </c>
      <c r="AF100" t="str">
        <f t="shared" si="14"/>
        <v>Valid</v>
      </c>
      <c r="AG100" t="str">
        <f t="shared" si="15"/>
        <v>Valid</v>
      </c>
      <c r="AH100" t="str">
        <f t="shared" si="16"/>
        <v>Valid</v>
      </c>
      <c r="AI100" t="str">
        <f t="shared" si="17"/>
        <v>Valid</v>
      </c>
      <c r="AJ100" t="str">
        <f t="shared" si="18"/>
        <v>Valid</v>
      </c>
      <c r="AK100" t="str">
        <f t="shared" si="25"/>
        <v xml:space="preserve">Valid </v>
      </c>
      <c r="AL100" t="str">
        <f>IF(AND(Audit_Data[[#This Row],[Recency]]&gt;=0,Audit_Data[[#This Row],[Recency]]&lt;=100),"Valid","Invalid")</f>
        <v>Valid</v>
      </c>
      <c r="AM100" t="str">
        <f t="shared" si="19"/>
        <v>Valid</v>
      </c>
      <c r="AN100" t="str">
        <f t="shared" si="20"/>
        <v>Valid</v>
      </c>
      <c r="AO100" t="str">
        <f t="shared" si="21"/>
        <v>Valid</v>
      </c>
      <c r="AP100" t="str">
        <f t="shared" si="22"/>
        <v>Valid</v>
      </c>
      <c r="AQ100" t="str">
        <f>IF(Audit_Data[[#This Row],[Z_CostContact]]=3,"Valid","Invalid")</f>
        <v>Valid</v>
      </c>
      <c r="AR100" t="str">
        <f t="shared" si="23"/>
        <v>Valid</v>
      </c>
      <c r="AS100" t="str">
        <f t="shared" si="24"/>
        <v>Valid</v>
      </c>
    </row>
    <row r="101" spans="1:45" x14ac:dyDescent="0.3">
      <c r="A101">
        <v>3037</v>
      </c>
      <c r="B101">
        <v>1983</v>
      </c>
      <c r="C101" t="s">
        <v>32</v>
      </c>
      <c r="D101" t="s">
        <v>33</v>
      </c>
      <c r="E101">
        <v>50150</v>
      </c>
      <c r="F101">
        <v>0</v>
      </c>
      <c r="G101">
        <v>0</v>
      </c>
      <c r="H101" s="1">
        <v>41445</v>
      </c>
      <c r="I101">
        <v>32</v>
      </c>
      <c r="J101">
        <v>135</v>
      </c>
      <c r="K101">
        <v>46</v>
      </c>
      <c r="L101">
        <v>92</v>
      </c>
      <c r="M101">
        <v>65</v>
      </c>
      <c r="N101">
        <v>61</v>
      </c>
      <c r="O101">
        <v>11</v>
      </c>
      <c r="P101">
        <v>2</v>
      </c>
      <c r="Q101">
        <v>5</v>
      </c>
      <c r="R101">
        <v>2</v>
      </c>
      <c r="S101">
        <v>7</v>
      </c>
      <c r="T101">
        <v>5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3</v>
      </c>
      <c r="AB101">
        <v>11</v>
      </c>
      <c r="AC101">
        <v>0</v>
      </c>
      <c r="AD101" t="str">
        <f t="shared" si="13"/>
        <v>Ok</v>
      </c>
      <c r="AE101" t="str">
        <f>IF(AND(Audit_Data[[#This Row],[Year_Birth]]&gt;=1900,Audit_Data[[#This Row],[Year_Birth]]&lt;=2010),"OK","Invalid")</f>
        <v>OK</v>
      </c>
      <c r="AF101" t="str">
        <f t="shared" si="14"/>
        <v>Valid</v>
      </c>
      <c r="AG101" t="str">
        <f t="shared" si="15"/>
        <v>Valid</v>
      </c>
      <c r="AH101" t="str">
        <f t="shared" si="16"/>
        <v>Valid</v>
      </c>
      <c r="AI101" t="str">
        <f t="shared" si="17"/>
        <v>Valid</v>
      </c>
      <c r="AJ101" t="str">
        <f t="shared" si="18"/>
        <v>Valid</v>
      </c>
      <c r="AK101" t="str">
        <f t="shared" si="25"/>
        <v xml:space="preserve">Valid </v>
      </c>
      <c r="AL101" t="str">
        <f>IF(AND(Audit_Data[[#This Row],[Recency]]&gt;=0,Audit_Data[[#This Row],[Recency]]&lt;=100),"Valid","Invalid")</f>
        <v>Valid</v>
      </c>
      <c r="AM101" t="str">
        <f t="shared" si="19"/>
        <v>Valid</v>
      </c>
      <c r="AN101" t="str">
        <f t="shared" si="20"/>
        <v>Valid</v>
      </c>
      <c r="AO101" t="str">
        <f t="shared" si="21"/>
        <v>Valid</v>
      </c>
      <c r="AP101" t="str">
        <f t="shared" si="22"/>
        <v>Valid</v>
      </c>
      <c r="AQ101" t="str">
        <f>IF(Audit_Data[[#This Row],[Z_CostContact]]=3,"Valid","Invalid")</f>
        <v>Valid</v>
      </c>
      <c r="AR101" t="str">
        <f t="shared" si="23"/>
        <v>Valid</v>
      </c>
      <c r="AS101" t="str">
        <f t="shared" si="24"/>
        <v>Valid</v>
      </c>
    </row>
    <row r="102" spans="1:45" x14ac:dyDescent="0.3">
      <c r="A102">
        <v>1473</v>
      </c>
      <c r="B102">
        <v>1960</v>
      </c>
      <c r="C102" t="s">
        <v>37</v>
      </c>
      <c r="D102" t="s">
        <v>30</v>
      </c>
      <c r="E102">
        <v>47823</v>
      </c>
      <c r="F102">
        <v>0</v>
      </c>
      <c r="G102">
        <v>1</v>
      </c>
      <c r="H102" s="1">
        <v>41478</v>
      </c>
      <c r="I102">
        <v>0</v>
      </c>
      <c r="J102">
        <v>53</v>
      </c>
      <c r="K102">
        <v>1</v>
      </c>
      <c r="L102">
        <v>5</v>
      </c>
      <c r="M102">
        <v>2</v>
      </c>
      <c r="N102">
        <v>1</v>
      </c>
      <c r="O102">
        <v>10</v>
      </c>
      <c r="P102">
        <v>2</v>
      </c>
      <c r="Q102">
        <v>2</v>
      </c>
      <c r="R102">
        <v>0</v>
      </c>
      <c r="S102">
        <v>3</v>
      </c>
      <c r="T102">
        <v>8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3</v>
      </c>
      <c r="AB102">
        <v>11</v>
      </c>
      <c r="AC102">
        <v>0</v>
      </c>
      <c r="AD102" t="str">
        <f t="shared" si="13"/>
        <v>Ok</v>
      </c>
      <c r="AE102" t="str">
        <f>IF(AND(Audit_Data[[#This Row],[Year_Birth]]&gt;=1900,Audit_Data[[#This Row],[Year_Birth]]&lt;=2010),"OK","Invalid")</f>
        <v>OK</v>
      </c>
      <c r="AF102" t="str">
        <f t="shared" si="14"/>
        <v>Valid</v>
      </c>
      <c r="AG102" t="str">
        <f t="shared" si="15"/>
        <v>Valid</v>
      </c>
      <c r="AH102" t="str">
        <f t="shared" si="16"/>
        <v>Valid</v>
      </c>
      <c r="AI102" t="str">
        <f t="shared" si="17"/>
        <v>Valid</v>
      </c>
      <c r="AJ102" t="str">
        <f t="shared" si="18"/>
        <v>Valid</v>
      </c>
      <c r="AK102" t="str">
        <f t="shared" si="25"/>
        <v xml:space="preserve">Valid </v>
      </c>
      <c r="AL102" t="str">
        <f>IF(AND(Audit_Data[[#This Row],[Recency]]&gt;=0,Audit_Data[[#This Row],[Recency]]&lt;=100),"Valid","Invalid")</f>
        <v>Valid</v>
      </c>
      <c r="AM102" t="str">
        <f t="shared" si="19"/>
        <v>Valid</v>
      </c>
      <c r="AN102" t="str">
        <f t="shared" si="20"/>
        <v>Valid</v>
      </c>
      <c r="AO102" t="str">
        <f t="shared" si="21"/>
        <v>Valid</v>
      </c>
      <c r="AP102" t="str">
        <f t="shared" si="22"/>
        <v>Valid</v>
      </c>
      <c r="AQ102" t="str">
        <f>IF(Audit_Data[[#This Row],[Z_CostContact]]=3,"Valid","Invalid")</f>
        <v>Valid</v>
      </c>
      <c r="AR102" t="str">
        <f t="shared" si="23"/>
        <v>Valid</v>
      </c>
      <c r="AS102" t="str">
        <f t="shared" si="24"/>
        <v>Valid</v>
      </c>
    </row>
    <row r="103" spans="1:45" x14ac:dyDescent="0.3">
      <c r="A103">
        <v>1016</v>
      </c>
      <c r="B103">
        <v>1959</v>
      </c>
      <c r="C103" t="s">
        <v>32</v>
      </c>
      <c r="D103" t="s">
        <v>30</v>
      </c>
      <c r="E103">
        <v>34554</v>
      </c>
      <c r="F103">
        <v>0</v>
      </c>
      <c r="G103">
        <v>1</v>
      </c>
      <c r="H103" s="1">
        <v>41728</v>
      </c>
      <c r="I103">
        <v>43</v>
      </c>
      <c r="J103">
        <v>41</v>
      </c>
      <c r="K103">
        <v>1</v>
      </c>
      <c r="L103">
        <v>6</v>
      </c>
      <c r="M103">
        <v>2</v>
      </c>
      <c r="N103">
        <v>0</v>
      </c>
      <c r="O103">
        <v>5</v>
      </c>
      <c r="P103">
        <v>2</v>
      </c>
      <c r="Q103">
        <v>2</v>
      </c>
      <c r="R103">
        <v>0</v>
      </c>
      <c r="S103">
        <v>3</v>
      </c>
      <c r="T103">
        <v>6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3</v>
      </c>
      <c r="AB103">
        <v>11</v>
      </c>
      <c r="AC103">
        <v>0</v>
      </c>
      <c r="AD103" t="str">
        <f t="shared" si="13"/>
        <v>Ok</v>
      </c>
      <c r="AE103" t="str">
        <f>IF(AND(Audit_Data[[#This Row],[Year_Birth]]&gt;=1900,Audit_Data[[#This Row],[Year_Birth]]&lt;=2010),"OK","Invalid")</f>
        <v>OK</v>
      </c>
      <c r="AF103" t="str">
        <f t="shared" si="14"/>
        <v>Valid</v>
      </c>
      <c r="AG103" t="str">
        <f t="shared" si="15"/>
        <v>Valid</v>
      </c>
      <c r="AH103" t="str">
        <f t="shared" si="16"/>
        <v>Valid</v>
      </c>
      <c r="AI103" t="str">
        <f t="shared" si="17"/>
        <v>Valid</v>
      </c>
      <c r="AJ103" t="str">
        <f t="shared" si="18"/>
        <v>Valid</v>
      </c>
      <c r="AK103" t="str">
        <f t="shared" si="25"/>
        <v xml:space="preserve">Valid </v>
      </c>
      <c r="AL103" t="str">
        <f>IF(AND(Audit_Data[[#This Row],[Recency]]&gt;=0,Audit_Data[[#This Row],[Recency]]&lt;=100),"Valid","Invalid")</f>
        <v>Valid</v>
      </c>
      <c r="AM103" t="str">
        <f t="shared" si="19"/>
        <v>Valid</v>
      </c>
      <c r="AN103" t="str">
        <f t="shared" si="20"/>
        <v>Valid</v>
      </c>
      <c r="AO103" t="str">
        <f t="shared" si="21"/>
        <v>Valid</v>
      </c>
      <c r="AP103" t="str">
        <f t="shared" si="22"/>
        <v>Valid</v>
      </c>
      <c r="AQ103" t="str">
        <f>IF(Audit_Data[[#This Row],[Z_CostContact]]=3,"Valid","Invalid")</f>
        <v>Valid</v>
      </c>
      <c r="AR103" t="str">
        <f t="shared" si="23"/>
        <v>Valid</v>
      </c>
      <c r="AS103" t="str">
        <f t="shared" si="24"/>
        <v>Valid</v>
      </c>
    </row>
    <row r="104" spans="1:45" x14ac:dyDescent="0.3">
      <c r="A104">
        <v>4518</v>
      </c>
      <c r="B104">
        <v>1979</v>
      </c>
      <c r="C104" t="s">
        <v>29</v>
      </c>
      <c r="D104" t="s">
        <v>31</v>
      </c>
      <c r="E104">
        <v>85693</v>
      </c>
      <c r="F104">
        <v>0</v>
      </c>
      <c r="G104">
        <v>1</v>
      </c>
      <c r="H104" s="1">
        <v>41384</v>
      </c>
      <c r="I104">
        <v>59</v>
      </c>
      <c r="J104">
        <v>386</v>
      </c>
      <c r="K104">
        <v>172</v>
      </c>
      <c r="L104">
        <v>183</v>
      </c>
      <c r="M104">
        <v>185</v>
      </c>
      <c r="N104">
        <v>132</v>
      </c>
      <c r="O104">
        <v>111</v>
      </c>
      <c r="P104">
        <v>2</v>
      </c>
      <c r="Q104">
        <v>9</v>
      </c>
      <c r="R104">
        <v>5</v>
      </c>
      <c r="S104">
        <v>11</v>
      </c>
      <c r="T104">
        <v>5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3</v>
      </c>
      <c r="AB104">
        <v>11</v>
      </c>
      <c r="AC104">
        <v>0</v>
      </c>
      <c r="AD104" t="str">
        <f t="shared" si="13"/>
        <v>Ok</v>
      </c>
      <c r="AE104" t="str">
        <f>IF(AND(Audit_Data[[#This Row],[Year_Birth]]&gt;=1900,Audit_Data[[#This Row],[Year_Birth]]&lt;=2010),"OK","Invalid")</f>
        <v>OK</v>
      </c>
      <c r="AF104" t="str">
        <f t="shared" si="14"/>
        <v>Valid</v>
      </c>
      <c r="AG104" t="str">
        <f t="shared" si="15"/>
        <v>Valid</v>
      </c>
      <c r="AH104" t="str">
        <f t="shared" si="16"/>
        <v>Valid</v>
      </c>
      <c r="AI104" t="str">
        <f t="shared" si="17"/>
        <v>Valid</v>
      </c>
      <c r="AJ104" t="str">
        <f t="shared" si="18"/>
        <v>Valid</v>
      </c>
      <c r="AK104" t="str">
        <f t="shared" si="25"/>
        <v xml:space="preserve">Valid </v>
      </c>
      <c r="AL104" t="str">
        <f>IF(AND(Audit_Data[[#This Row],[Recency]]&gt;=0,Audit_Data[[#This Row],[Recency]]&lt;=100),"Valid","Invalid")</f>
        <v>Valid</v>
      </c>
      <c r="AM104" t="str">
        <f t="shared" si="19"/>
        <v>Valid</v>
      </c>
      <c r="AN104" t="str">
        <f t="shared" si="20"/>
        <v>Valid</v>
      </c>
      <c r="AO104" t="str">
        <f t="shared" si="21"/>
        <v>Valid</v>
      </c>
      <c r="AP104" t="str">
        <f t="shared" si="22"/>
        <v>Valid</v>
      </c>
      <c r="AQ104" t="str">
        <f>IF(Audit_Data[[#This Row],[Z_CostContact]]=3,"Valid","Invalid")</f>
        <v>Valid</v>
      </c>
      <c r="AR104" t="str">
        <f t="shared" si="23"/>
        <v>Valid</v>
      </c>
      <c r="AS104" t="str">
        <f t="shared" si="24"/>
        <v>Valid</v>
      </c>
    </row>
    <row r="105" spans="1:45" x14ac:dyDescent="0.3">
      <c r="A105">
        <v>9370</v>
      </c>
      <c r="B105">
        <v>1945</v>
      </c>
      <c r="C105" t="s">
        <v>32</v>
      </c>
      <c r="D105" t="s">
        <v>33</v>
      </c>
      <c r="E105">
        <v>65846</v>
      </c>
      <c r="F105">
        <v>0</v>
      </c>
      <c r="G105">
        <v>0</v>
      </c>
      <c r="H105" s="1">
        <v>41411</v>
      </c>
      <c r="I105">
        <v>68</v>
      </c>
      <c r="J105">
        <v>562</v>
      </c>
      <c r="K105">
        <v>81</v>
      </c>
      <c r="L105">
        <v>276</v>
      </c>
      <c r="M105">
        <v>80</v>
      </c>
      <c r="N105">
        <v>40</v>
      </c>
      <c r="O105">
        <v>81</v>
      </c>
      <c r="P105">
        <v>1</v>
      </c>
      <c r="Q105">
        <v>6</v>
      </c>
      <c r="R105">
        <v>3</v>
      </c>
      <c r="S105">
        <v>6</v>
      </c>
      <c r="T105">
        <v>4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3</v>
      </c>
      <c r="AB105">
        <v>11</v>
      </c>
      <c r="AC105">
        <v>0</v>
      </c>
      <c r="AD105" t="str">
        <f t="shared" si="13"/>
        <v>Ok</v>
      </c>
      <c r="AE105" t="str">
        <f>IF(AND(Audit_Data[[#This Row],[Year_Birth]]&gt;=1900,Audit_Data[[#This Row],[Year_Birth]]&lt;=2010),"OK","Invalid")</f>
        <v>OK</v>
      </c>
      <c r="AF105" t="str">
        <f t="shared" si="14"/>
        <v>Valid</v>
      </c>
      <c r="AG105" t="str">
        <f t="shared" si="15"/>
        <v>Valid</v>
      </c>
      <c r="AH105" t="str">
        <f t="shared" si="16"/>
        <v>Valid</v>
      </c>
      <c r="AI105" t="str">
        <f t="shared" si="17"/>
        <v>Valid</v>
      </c>
      <c r="AJ105" t="str">
        <f t="shared" si="18"/>
        <v>Valid</v>
      </c>
      <c r="AK105" t="str">
        <f t="shared" si="25"/>
        <v xml:space="preserve">Valid </v>
      </c>
      <c r="AL105" t="str">
        <f>IF(AND(Audit_Data[[#This Row],[Recency]]&gt;=0,Audit_Data[[#This Row],[Recency]]&lt;=100),"Valid","Invalid")</f>
        <v>Valid</v>
      </c>
      <c r="AM105" t="str">
        <f t="shared" si="19"/>
        <v>Valid</v>
      </c>
      <c r="AN105" t="str">
        <f t="shared" si="20"/>
        <v>Valid</v>
      </c>
      <c r="AO105" t="str">
        <f t="shared" si="21"/>
        <v>Valid</v>
      </c>
      <c r="AP105" t="str">
        <f t="shared" si="22"/>
        <v>Valid</v>
      </c>
      <c r="AQ105" t="str">
        <f>IF(Audit_Data[[#This Row],[Z_CostContact]]=3,"Valid","Invalid")</f>
        <v>Valid</v>
      </c>
      <c r="AR105" t="str">
        <f t="shared" si="23"/>
        <v>Valid</v>
      </c>
      <c r="AS105" t="str">
        <f t="shared" si="24"/>
        <v>Valid</v>
      </c>
    </row>
    <row r="106" spans="1:45" x14ac:dyDescent="0.3">
      <c r="A106">
        <v>8908</v>
      </c>
      <c r="B106">
        <v>1959</v>
      </c>
      <c r="C106" t="s">
        <v>29</v>
      </c>
      <c r="D106" t="s">
        <v>33</v>
      </c>
      <c r="E106">
        <v>87195</v>
      </c>
      <c r="F106">
        <v>0</v>
      </c>
      <c r="G106">
        <v>0</v>
      </c>
      <c r="H106" s="1">
        <v>41767</v>
      </c>
      <c r="I106">
        <v>35</v>
      </c>
      <c r="J106">
        <v>217</v>
      </c>
      <c r="K106">
        <v>76</v>
      </c>
      <c r="L106">
        <v>690</v>
      </c>
      <c r="M106">
        <v>50</v>
      </c>
      <c r="N106">
        <v>26</v>
      </c>
      <c r="O106">
        <v>38</v>
      </c>
      <c r="P106">
        <v>1</v>
      </c>
      <c r="Q106">
        <v>3</v>
      </c>
      <c r="R106">
        <v>11</v>
      </c>
      <c r="S106">
        <v>5</v>
      </c>
      <c r="T106">
        <v>1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3</v>
      </c>
      <c r="AB106">
        <v>11</v>
      </c>
      <c r="AC106">
        <v>1</v>
      </c>
      <c r="AD106" t="str">
        <f t="shared" si="13"/>
        <v>Ok</v>
      </c>
      <c r="AE106" t="str">
        <f>IF(AND(Audit_Data[[#This Row],[Year_Birth]]&gt;=1900,Audit_Data[[#This Row],[Year_Birth]]&lt;=2010),"OK","Invalid")</f>
        <v>OK</v>
      </c>
      <c r="AF106" t="str">
        <f t="shared" si="14"/>
        <v>Valid</v>
      </c>
      <c r="AG106" t="str">
        <f t="shared" si="15"/>
        <v>Valid</v>
      </c>
      <c r="AH106" t="str">
        <f t="shared" si="16"/>
        <v>Valid</v>
      </c>
      <c r="AI106" t="str">
        <f t="shared" si="17"/>
        <v>Valid</v>
      </c>
      <c r="AJ106" t="str">
        <f t="shared" si="18"/>
        <v>Valid</v>
      </c>
      <c r="AK106" t="str">
        <f t="shared" si="25"/>
        <v xml:space="preserve">Valid </v>
      </c>
      <c r="AL106" t="str">
        <f>IF(AND(Audit_Data[[#This Row],[Recency]]&gt;=0,Audit_Data[[#This Row],[Recency]]&lt;=100),"Valid","Invalid")</f>
        <v>Valid</v>
      </c>
      <c r="AM106" t="str">
        <f t="shared" si="19"/>
        <v>Valid</v>
      </c>
      <c r="AN106" t="str">
        <f t="shared" si="20"/>
        <v>Valid</v>
      </c>
      <c r="AO106" t="str">
        <f t="shared" si="21"/>
        <v>Valid</v>
      </c>
      <c r="AP106" t="str">
        <f t="shared" si="22"/>
        <v>Valid</v>
      </c>
      <c r="AQ106" t="str">
        <f>IF(Audit_Data[[#This Row],[Z_CostContact]]=3,"Valid","Invalid")</f>
        <v>Valid</v>
      </c>
      <c r="AR106" t="str">
        <f t="shared" si="23"/>
        <v>Valid</v>
      </c>
      <c r="AS106" t="str">
        <f t="shared" si="24"/>
        <v>Valid</v>
      </c>
    </row>
    <row r="107" spans="1:45" x14ac:dyDescent="0.3">
      <c r="A107">
        <v>8373</v>
      </c>
      <c r="B107">
        <v>1979</v>
      </c>
      <c r="C107" t="s">
        <v>36</v>
      </c>
      <c r="D107" t="s">
        <v>31</v>
      </c>
      <c r="E107">
        <v>24594</v>
      </c>
      <c r="F107">
        <v>1</v>
      </c>
      <c r="G107">
        <v>0</v>
      </c>
      <c r="H107" s="1">
        <v>41618</v>
      </c>
      <c r="I107">
        <v>94</v>
      </c>
      <c r="J107">
        <v>1</v>
      </c>
      <c r="K107">
        <v>3</v>
      </c>
      <c r="L107">
        <v>6</v>
      </c>
      <c r="M107">
        <v>10</v>
      </c>
      <c r="N107">
        <v>0</v>
      </c>
      <c r="O107">
        <v>9</v>
      </c>
      <c r="P107">
        <v>1</v>
      </c>
      <c r="Q107">
        <v>1</v>
      </c>
      <c r="R107">
        <v>0</v>
      </c>
      <c r="S107">
        <v>3</v>
      </c>
      <c r="T107">
        <v>5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3</v>
      </c>
      <c r="AB107">
        <v>11</v>
      </c>
      <c r="AC107">
        <v>0</v>
      </c>
      <c r="AD107" t="str">
        <f t="shared" si="13"/>
        <v>Ok</v>
      </c>
      <c r="AE107" t="str">
        <f>IF(AND(Audit_Data[[#This Row],[Year_Birth]]&gt;=1900,Audit_Data[[#This Row],[Year_Birth]]&lt;=2010),"OK","Invalid")</f>
        <v>OK</v>
      </c>
      <c r="AF107" t="str">
        <f t="shared" si="14"/>
        <v>Valid</v>
      </c>
      <c r="AG107" t="str">
        <f t="shared" si="15"/>
        <v>Valid</v>
      </c>
      <c r="AH107" t="str">
        <f t="shared" si="16"/>
        <v>Valid</v>
      </c>
      <c r="AI107" t="str">
        <f t="shared" si="17"/>
        <v>Valid</v>
      </c>
      <c r="AJ107" t="str">
        <f t="shared" si="18"/>
        <v>Valid</v>
      </c>
      <c r="AK107" t="str">
        <f t="shared" si="25"/>
        <v xml:space="preserve">Valid </v>
      </c>
      <c r="AL107" t="str">
        <f>IF(AND(Audit_Data[[#This Row],[Recency]]&gt;=0,Audit_Data[[#This Row],[Recency]]&lt;=100),"Valid","Invalid")</f>
        <v>Valid</v>
      </c>
      <c r="AM107" t="str">
        <f t="shared" si="19"/>
        <v>Valid</v>
      </c>
      <c r="AN107" t="str">
        <f t="shared" si="20"/>
        <v>Valid</v>
      </c>
      <c r="AO107" t="str">
        <f t="shared" si="21"/>
        <v>Valid</v>
      </c>
      <c r="AP107" t="str">
        <f t="shared" si="22"/>
        <v>Valid</v>
      </c>
      <c r="AQ107" t="str">
        <f>IF(Audit_Data[[#This Row],[Z_CostContact]]=3,"Valid","Invalid")</f>
        <v>Valid</v>
      </c>
      <c r="AR107" t="str">
        <f t="shared" si="23"/>
        <v>Valid</v>
      </c>
      <c r="AS107" t="str">
        <f t="shared" si="24"/>
        <v>Valid</v>
      </c>
    </row>
    <row r="108" spans="1:45" x14ac:dyDescent="0.3">
      <c r="A108">
        <v>7533</v>
      </c>
      <c r="B108">
        <v>1964</v>
      </c>
      <c r="C108" t="s">
        <v>29</v>
      </c>
      <c r="D108" t="s">
        <v>33</v>
      </c>
      <c r="E108">
        <v>49096</v>
      </c>
      <c r="F108">
        <v>1</v>
      </c>
      <c r="G108">
        <v>1</v>
      </c>
      <c r="H108" s="1">
        <v>41541</v>
      </c>
      <c r="I108">
        <v>15</v>
      </c>
      <c r="J108">
        <v>144</v>
      </c>
      <c r="K108">
        <v>1</v>
      </c>
      <c r="L108">
        <v>32</v>
      </c>
      <c r="M108">
        <v>2</v>
      </c>
      <c r="N108">
        <v>1</v>
      </c>
      <c r="O108">
        <v>7</v>
      </c>
      <c r="P108">
        <v>4</v>
      </c>
      <c r="Q108">
        <v>4</v>
      </c>
      <c r="R108">
        <v>1</v>
      </c>
      <c r="S108">
        <v>4</v>
      </c>
      <c r="T108">
        <v>7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3</v>
      </c>
      <c r="AB108">
        <v>11</v>
      </c>
      <c r="AC108">
        <v>0</v>
      </c>
      <c r="AD108" t="str">
        <f t="shared" si="13"/>
        <v>Ok</v>
      </c>
      <c r="AE108" t="str">
        <f>IF(AND(Audit_Data[[#This Row],[Year_Birth]]&gt;=1900,Audit_Data[[#This Row],[Year_Birth]]&lt;=2010),"OK","Invalid")</f>
        <v>OK</v>
      </c>
      <c r="AF108" t="str">
        <f t="shared" si="14"/>
        <v>Valid</v>
      </c>
      <c r="AG108" t="str">
        <f t="shared" si="15"/>
        <v>Valid</v>
      </c>
      <c r="AH108" t="str">
        <f t="shared" si="16"/>
        <v>Valid</v>
      </c>
      <c r="AI108" t="str">
        <f t="shared" si="17"/>
        <v>Valid</v>
      </c>
      <c r="AJ108" t="str">
        <f t="shared" si="18"/>
        <v>Valid</v>
      </c>
      <c r="AK108" t="str">
        <f t="shared" si="25"/>
        <v xml:space="preserve">Valid </v>
      </c>
      <c r="AL108" t="str">
        <f>IF(AND(Audit_Data[[#This Row],[Recency]]&gt;=0,Audit_Data[[#This Row],[Recency]]&lt;=100),"Valid","Invalid")</f>
        <v>Valid</v>
      </c>
      <c r="AM108" t="str">
        <f t="shared" si="19"/>
        <v>Valid</v>
      </c>
      <c r="AN108" t="str">
        <f t="shared" si="20"/>
        <v>Valid</v>
      </c>
      <c r="AO108" t="str">
        <f t="shared" si="21"/>
        <v>Valid</v>
      </c>
      <c r="AP108" t="str">
        <f t="shared" si="22"/>
        <v>Valid</v>
      </c>
      <c r="AQ108" t="str">
        <f>IF(Audit_Data[[#This Row],[Z_CostContact]]=3,"Valid","Invalid")</f>
        <v>Valid</v>
      </c>
      <c r="AR108" t="str">
        <f t="shared" si="23"/>
        <v>Valid</v>
      </c>
      <c r="AS108" t="str">
        <f t="shared" si="24"/>
        <v>Valid</v>
      </c>
    </row>
    <row r="109" spans="1:45" x14ac:dyDescent="0.3">
      <c r="A109">
        <v>2683</v>
      </c>
      <c r="B109">
        <v>1969</v>
      </c>
      <c r="C109" t="s">
        <v>29</v>
      </c>
      <c r="D109" t="s">
        <v>33</v>
      </c>
      <c r="E109">
        <v>52413</v>
      </c>
      <c r="F109">
        <v>0</v>
      </c>
      <c r="G109">
        <v>2</v>
      </c>
      <c r="H109" s="1">
        <v>41307</v>
      </c>
      <c r="I109">
        <v>56</v>
      </c>
      <c r="J109">
        <v>295</v>
      </c>
      <c r="K109">
        <v>106</v>
      </c>
      <c r="L109">
        <v>271</v>
      </c>
      <c r="M109">
        <v>75</v>
      </c>
      <c r="N109">
        <v>98</v>
      </c>
      <c r="O109">
        <v>65</v>
      </c>
      <c r="P109">
        <v>4</v>
      </c>
      <c r="Q109">
        <v>6</v>
      </c>
      <c r="R109">
        <v>4</v>
      </c>
      <c r="S109">
        <v>12</v>
      </c>
      <c r="T109">
        <v>6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3</v>
      </c>
      <c r="AB109">
        <v>11</v>
      </c>
      <c r="AC109">
        <v>0</v>
      </c>
      <c r="AD109" t="str">
        <f t="shared" si="13"/>
        <v>Ok</v>
      </c>
      <c r="AE109" t="str">
        <f>IF(AND(Audit_Data[[#This Row],[Year_Birth]]&gt;=1900,Audit_Data[[#This Row],[Year_Birth]]&lt;=2010),"OK","Invalid")</f>
        <v>OK</v>
      </c>
      <c r="AF109" t="str">
        <f t="shared" si="14"/>
        <v>Valid</v>
      </c>
      <c r="AG109" t="str">
        <f t="shared" si="15"/>
        <v>Valid</v>
      </c>
      <c r="AH109" t="str">
        <f t="shared" si="16"/>
        <v>Valid</v>
      </c>
      <c r="AI109" t="str">
        <f t="shared" si="17"/>
        <v>Valid</v>
      </c>
      <c r="AJ109" t="str">
        <f t="shared" si="18"/>
        <v>Valid</v>
      </c>
      <c r="AK109" t="str">
        <f t="shared" si="25"/>
        <v xml:space="preserve">Valid </v>
      </c>
      <c r="AL109" t="str">
        <f>IF(AND(Audit_Data[[#This Row],[Recency]]&gt;=0,Audit_Data[[#This Row],[Recency]]&lt;=100),"Valid","Invalid")</f>
        <v>Valid</v>
      </c>
      <c r="AM109" t="str">
        <f t="shared" si="19"/>
        <v>Valid</v>
      </c>
      <c r="AN109" t="str">
        <f t="shared" si="20"/>
        <v>Valid</v>
      </c>
      <c r="AO109" t="str">
        <f t="shared" si="21"/>
        <v>Valid</v>
      </c>
      <c r="AP109" t="str">
        <f t="shared" si="22"/>
        <v>Valid</v>
      </c>
      <c r="AQ109" t="str">
        <f>IF(Audit_Data[[#This Row],[Z_CostContact]]=3,"Valid","Invalid")</f>
        <v>Valid</v>
      </c>
      <c r="AR109" t="str">
        <f t="shared" si="23"/>
        <v>Valid</v>
      </c>
      <c r="AS109" t="str">
        <f t="shared" si="24"/>
        <v>Valid</v>
      </c>
    </row>
    <row r="110" spans="1:45" x14ac:dyDescent="0.3">
      <c r="A110">
        <v>3629</v>
      </c>
      <c r="B110">
        <v>1978</v>
      </c>
      <c r="C110" t="s">
        <v>29</v>
      </c>
      <c r="D110" t="s">
        <v>30</v>
      </c>
      <c r="E110">
        <v>38557</v>
      </c>
      <c r="F110">
        <v>1</v>
      </c>
      <c r="G110">
        <v>0</v>
      </c>
      <c r="H110" s="1">
        <v>41262</v>
      </c>
      <c r="I110">
        <v>17</v>
      </c>
      <c r="J110">
        <v>76</v>
      </c>
      <c r="K110">
        <v>3</v>
      </c>
      <c r="L110">
        <v>31</v>
      </c>
      <c r="M110">
        <v>4</v>
      </c>
      <c r="N110">
        <v>4</v>
      </c>
      <c r="O110">
        <v>27</v>
      </c>
      <c r="P110">
        <v>2</v>
      </c>
      <c r="Q110">
        <v>3</v>
      </c>
      <c r="R110">
        <v>1</v>
      </c>
      <c r="S110">
        <v>3</v>
      </c>
      <c r="T110">
        <v>7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3</v>
      </c>
      <c r="AB110">
        <v>11</v>
      </c>
      <c r="AC110">
        <v>0</v>
      </c>
      <c r="AD110" t="str">
        <f t="shared" si="13"/>
        <v>Ok</v>
      </c>
      <c r="AE110" t="str">
        <f>IF(AND(Audit_Data[[#This Row],[Year_Birth]]&gt;=1900,Audit_Data[[#This Row],[Year_Birth]]&lt;=2010),"OK","Invalid")</f>
        <v>OK</v>
      </c>
      <c r="AF110" t="str">
        <f t="shared" si="14"/>
        <v>Valid</v>
      </c>
      <c r="AG110" t="str">
        <f t="shared" si="15"/>
        <v>Valid</v>
      </c>
      <c r="AH110" t="str">
        <f t="shared" si="16"/>
        <v>Valid</v>
      </c>
      <c r="AI110" t="str">
        <f t="shared" si="17"/>
        <v>Valid</v>
      </c>
      <c r="AJ110" t="str">
        <f t="shared" si="18"/>
        <v>Valid</v>
      </c>
      <c r="AK110" t="str">
        <f t="shared" si="25"/>
        <v xml:space="preserve">Valid </v>
      </c>
      <c r="AL110" t="str">
        <f>IF(AND(Audit_Data[[#This Row],[Recency]]&gt;=0,Audit_Data[[#This Row],[Recency]]&lt;=100),"Valid","Invalid")</f>
        <v>Valid</v>
      </c>
      <c r="AM110" t="str">
        <f t="shared" si="19"/>
        <v>Valid</v>
      </c>
      <c r="AN110" t="str">
        <f t="shared" si="20"/>
        <v>Valid</v>
      </c>
      <c r="AO110" t="str">
        <f t="shared" si="21"/>
        <v>Valid</v>
      </c>
      <c r="AP110" t="str">
        <f t="shared" si="22"/>
        <v>Valid</v>
      </c>
      <c r="AQ110" t="str">
        <f>IF(Audit_Data[[#This Row],[Z_CostContact]]=3,"Valid","Invalid")</f>
        <v>Valid</v>
      </c>
      <c r="AR110" t="str">
        <f t="shared" si="23"/>
        <v>Valid</v>
      </c>
      <c r="AS110" t="str">
        <f t="shared" si="24"/>
        <v>Valid</v>
      </c>
    </row>
    <row r="111" spans="1:45" x14ac:dyDescent="0.3">
      <c r="A111">
        <v>10991</v>
      </c>
      <c r="B111">
        <v>1960</v>
      </c>
      <c r="C111" t="s">
        <v>34</v>
      </c>
      <c r="D111" t="s">
        <v>33</v>
      </c>
      <c r="E111">
        <v>89058</v>
      </c>
      <c r="F111">
        <v>0</v>
      </c>
      <c r="G111">
        <v>0</v>
      </c>
      <c r="H111" s="1">
        <v>41250</v>
      </c>
      <c r="I111">
        <v>18</v>
      </c>
      <c r="J111">
        <v>454</v>
      </c>
      <c r="K111">
        <v>194</v>
      </c>
      <c r="L111">
        <v>106</v>
      </c>
      <c r="M111">
        <v>31</v>
      </c>
      <c r="N111">
        <v>22</v>
      </c>
      <c r="O111">
        <v>43</v>
      </c>
      <c r="P111">
        <v>1</v>
      </c>
      <c r="Q111">
        <v>5</v>
      </c>
      <c r="R111">
        <v>4</v>
      </c>
      <c r="S111">
        <v>4</v>
      </c>
      <c r="T111">
        <v>2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3</v>
      </c>
      <c r="AB111">
        <v>11</v>
      </c>
      <c r="AC111">
        <v>0</v>
      </c>
      <c r="AD111" t="str">
        <f t="shared" si="13"/>
        <v>Ok</v>
      </c>
      <c r="AE111" t="str">
        <f>IF(AND(Audit_Data[[#This Row],[Year_Birth]]&gt;=1900,Audit_Data[[#This Row],[Year_Birth]]&lt;=2010),"OK","Invalid")</f>
        <v>OK</v>
      </c>
      <c r="AF111" t="str">
        <f t="shared" si="14"/>
        <v>Valid</v>
      </c>
      <c r="AG111" t="str">
        <f t="shared" si="15"/>
        <v>Valid</v>
      </c>
      <c r="AH111" t="str">
        <f t="shared" si="16"/>
        <v>Valid</v>
      </c>
      <c r="AI111" t="str">
        <f t="shared" si="17"/>
        <v>Valid</v>
      </c>
      <c r="AJ111" t="str">
        <f t="shared" si="18"/>
        <v>Valid</v>
      </c>
      <c r="AK111" t="str">
        <f t="shared" si="25"/>
        <v xml:space="preserve">Valid </v>
      </c>
      <c r="AL111" t="str">
        <f>IF(AND(Audit_Data[[#This Row],[Recency]]&gt;=0,Audit_Data[[#This Row],[Recency]]&lt;=100),"Valid","Invalid")</f>
        <v>Valid</v>
      </c>
      <c r="AM111" t="str">
        <f t="shared" si="19"/>
        <v>Valid</v>
      </c>
      <c r="AN111" t="str">
        <f t="shared" si="20"/>
        <v>Valid</v>
      </c>
      <c r="AO111" t="str">
        <f t="shared" si="21"/>
        <v>Valid</v>
      </c>
      <c r="AP111" t="str">
        <f t="shared" si="22"/>
        <v>Valid</v>
      </c>
      <c r="AQ111" t="str">
        <f>IF(Audit_Data[[#This Row],[Z_CostContact]]=3,"Valid","Invalid")</f>
        <v>Valid</v>
      </c>
      <c r="AR111" t="str">
        <f t="shared" si="23"/>
        <v>Valid</v>
      </c>
      <c r="AS111" t="str">
        <f t="shared" si="24"/>
        <v>Valid</v>
      </c>
    </row>
    <row r="112" spans="1:45" x14ac:dyDescent="0.3">
      <c r="A112">
        <v>5077</v>
      </c>
      <c r="B112">
        <v>1979</v>
      </c>
      <c r="C112" t="s">
        <v>29</v>
      </c>
      <c r="D112" t="s">
        <v>31</v>
      </c>
      <c r="E112">
        <v>77298</v>
      </c>
      <c r="F112">
        <v>0</v>
      </c>
      <c r="G112">
        <v>1</v>
      </c>
      <c r="H112" s="1">
        <v>41580</v>
      </c>
      <c r="I112">
        <v>46</v>
      </c>
      <c r="J112">
        <v>425</v>
      </c>
      <c r="K112">
        <v>115</v>
      </c>
      <c r="L112">
        <v>292</v>
      </c>
      <c r="M112">
        <v>23</v>
      </c>
      <c r="N112">
        <v>35</v>
      </c>
      <c r="O112">
        <v>79</v>
      </c>
      <c r="P112">
        <v>1</v>
      </c>
      <c r="Q112">
        <v>6</v>
      </c>
      <c r="R112">
        <v>6</v>
      </c>
      <c r="S112">
        <v>11</v>
      </c>
      <c r="T112">
        <v>3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3</v>
      </c>
      <c r="AB112">
        <v>11</v>
      </c>
      <c r="AC112">
        <v>0</v>
      </c>
      <c r="AD112" t="str">
        <f t="shared" si="13"/>
        <v>Ok</v>
      </c>
      <c r="AE112" t="str">
        <f>IF(AND(Audit_Data[[#This Row],[Year_Birth]]&gt;=1900,Audit_Data[[#This Row],[Year_Birth]]&lt;=2010),"OK","Invalid")</f>
        <v>OK</v>
      </c>
      <c r="AF112" t="str">
        <f t="shared" si="14"/>
        <v>Valid</v>
      </c>
      <c r="AG112" t="str">
        <f t="shared" si="15"/>
        <v>Valid</v>
      </c>
      <c r="AH112" t="str">
        <f t="shared" si="16"/>
        <v>Valid</v>
      </c>
      <c r="AI112" t="str">
        <f t="shared" si="17"/>
        <v>Valid</v>
      </c>
      <c r="AJ112" t="str">
        <f t="shared" si="18"/>
        <v>Valid</v>
      </c>
      <c r="AK112" t="str">
        <f t="shared" si="25"/>
        <v xml:space="preserve">Valid </v>
      </c>
      <c r="AL112" t="str">
        <f>IF(AND(Audit_Data[[#This Row],[Recency]]&gt;=0,Audit_Data[[#This Row],[Recency]]&lt;=100),"Valid","Invalid")</f>
        <v>Valid</v>
      </c>
      <c r="AM112" t="str">
        <f t="shared" si="19"/>
        <v>Valid</v>
      </c>
      <c r="AN112" t="str">
        <f t="shared" si="20"/>
        <v>Valid</v>
      </c>
      <c r="AO112" t="str">
        <f t="shared" si="21"/>
        <v>Valid</v>
      </c>
      <c r="AP112" t="str">
        <f t="shared" si="22"/>
        <v>Valid</v>
      </c>
      <c r="AQ112" t="str">
        <f>IF(Audit_Data[[#This Row],[Z_CostContact]]=3,"Valid","Invalid")</f>
        <v>Valid</v>
      </c>
      <c r="AR112" t="str">
        <f t="shared" si="23"/>
        <v>Valid</v>
      </c>
      <c r="AS112" t="str">
        <f t="shared" si="24"/>
        <v>Valid</v>
      </c>
    </row>
    <row r="113" spans="1:45" x14ac:dyDescent="0.3">
      <c r="A113">
        <v>7431</v>
      </c>
      <c r="B113">
        <v>1991</v>
      </c>
      <c r="C113" t="s">
        <v>32</v>
      </c>
      <c r="D113" t="s">
        <v>30</v>
      </c>
      <c r="E113">
        <v>68126</v>
      </c>
      <c r="F113">
        <v>0</v>
      </c>
      <c r="G113">
        <v>0</v>
      </c>
      <c r="H113" s="1">
        <v>41223</v>
      </c>
      <c r="I113">
        <v>40</v>
      </c>
      <c r="J113">
        <v>1332</v>
      </c>
      <c r="K113">
        <v>17</v>
      </c>
      <c r="L113">
        <v>311</v>
      </c>
      <c r="M113">
        <v>23</v>
      </c>
      <c r="N113">
        <v>51</v>
      </c>
      <c r="O113">
        <v>86</v>
      </c>
      <c r="P113">
        <v>1</v>
      </c>
      <c r="Q113">
        <v>7</v>
      </c>
      <c r="R113">
        <v>4</v>
      </c>
      <c r="S113">
        <v>5</v>
      </c>
      <c r="T113">
        <v>9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0</v>
      </c>
      <c r="AA113">
        <v>3</v>
      </c>
      <c r="AB113">
        <v>11</v>
      </c>
      <c r="AC113">
        <v>1</v>
      </c>
      <c r="AD113" t="str">
        <f t="shared" si="13"/>
        <v>Ok</v>
      </c>
      <c r="AE113" t="str">
        <f>IF(AND(Audit_Data[[#This Row],[Year_Birth]]&gt;=1900,Audit_Data[[#This Row],[Year_Birth]]&lt;=2010),"OK","Invalid")</f>
        <v>OK</v>
      </c>
      <c r="AF113" t="str">
        <f t="shared" si="14"/>
        <v>Valid</v>
      </c>
      <c r="AG113" t="str">
        <f t="shared" si="15"/>
        <v>Valid</v>
      </c>
      <c r="AH113" t="str">
        <f t="shared" si="16"/>
        <v>Valid</v>
      </c>
      <c r="AI113" t="str">
        <f t="shared" si="17"/>
        <v>Valid</v>
      </c>
      <c r="AJ113" t="str">
        <f t="shared" si="18"/>
        <v>Valid</v>
      </c>
      <c r="AK113" t="str">
        <f t="shared" si="25"/>
        <v xml:space="preserve">Valid </v>
      </c>
      <c r="AL113" t="str">
        <f>IF(AND(Audit_Data[[#This Row],[Recency]]&gt;=0,Audit_Data[[#This Row],[Recency]]&lt;=100),"Valid","Invalid")</f>
        <v>Valid</v>
      </c>
      <c r="AM113" t="str">
        <f t="shared" si="19"/>
        <v>Valid</v>
      </c>
      <c r="AN113" t="str">
        <f t="shared" si="20"/>
        <v>Valid</v>
      </c>
      <c r="AO113" t="str">
        <f t="shared" si="21"/>
        <v>Valid</v>
      </c>
      <c r="AP113" t="str">
        <f t="shared" si="22"/>
        <v>Valid</v>
      </c>
      <c r="AQ113" t="str">
        <f>IF(Audit_Data[[#This Row],[Z_CostContact]]=3,"Valid","Invalid")</f>
        <v>Valid</v>
      </c>
      <c r="AR113" t="str">
        <f t="shared" si="23"/>
        <v>Valid</v>
      </c>
      <c r="AS113" t="str">
        <f t="shared" si="24"/>
        <v>Valid</v>
      </c>
    </row>
    <row r="114" spans="1:45" x14ac:dyDescent="0.3">
      <c r="A114">
        <v>3267</v>
      </c>
      <c r="B114">
        <v>1963</v>
      </c>
      <c r="C114" t="s">
        <v>34</v>
      </c>
      <c r="D114" t="s">
        <v>31</v>
      </c>
      <c r="E114">
        <v>57288</v>
      </c>
      <c r="F114">
        <v>0</v>
      </c>
      <c r="G114">
        <v>1</v>
      </c>
      <c r="H114" s="1">
        <v>41815</v>
      </c>
      <c r="I114">
        <v>27</v>
      </c>
      <c r="J114">
        <v>527</v>
      </c>
      <c r="K114">
        <v>0</v>
      </c>
      <c r="L114">
        <v>21</v>
      </c>
      <c r="M114">
        <v>0</v>
      </c>
      <c r="N114">
        <v>0</v>
      </c>
      <c r="O114">
        <v>60</v>
      </c>
      <c r="P114">
        <v>3</v>
      </c>
      <c r="Q114">
        <v>8</v>
      </c>
      <c r="R114">
        <v>1</v>
      </c>
      <c r="S114">
        <v>8</v>
      </c>
      <c r="T114">
        <v>6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0</v>
      </c>
      <c r="AA114">
        <v>3</v>
      </c>
      <c r="AB114">
        <v>11</v>
      </c>
      <c r="AC114">
        <v>0</v>
      </c>
      <c r="AD114" t="str">
        <f t="shared" si="13"/>
        <v>Ok</v>
      </c>
      <c r="AE114" t="str">
        <f>IF(AND(Audit_Data[[#This Row],[Year_Birth]]&gt;=1900,Audit_Data[[#This Row],[Year_Birth]]&lt;=2010),"OK","Invalid")</f>
        <v>OK</v>
      </c>
      <c r="AF114" t="str">
        <f t="shared" si="14"/>
        <v>Valid</v>
      </c>
      <c r="AG114" t="str">
        <f t="shared" si="15"/>
        <v>Valid</v>
      </c>
      <c r="AH114" t="str">
        <f t="shared" si="16"/>
        <v>Valid</v>
      </c>
      <c r="AI114" t="str">
        <f t="shared" si="17"/>
        <v>Valid</v>
      </c>
      <c r="AJ114" t="str">
        <f t="shared" si="18"/>
        <v>Valid</v>
      </c>
      <c r="AK114" t="str">
        <f t="shared" si="25"/>
        <v xml:space="preserve">Valid </v>
      </c>
      <c r="AL114" t="str">
        <f>IF(AND(Audit_Data[[#This Row],[Recency]]&gt;=0,Audit_Data[[#This Row],[Recency]]&lt;=100),"Valid","Invalid")</f>
        <v>Valid</v>
      </c>
      <c r="AM114" t="str">
        <f t="shared" si="19"/>
        <v>Valid</v>
      </c>
      <c r="AN114" t="str">
        <f t="shared" si="20"/>
        <v>Valid</v>
      </c>
      <c r="AO114" t="str">
        <f t="shared" si="21"/>
        <v>Valid</v>
      </c>
      <c r="AP114" t="str">
        <f t="shared" si="22"/>
        <v>Valid</v>
      </c>
      <c r="AQ114" t="str">
        <f>IF(Audit_Data[[#This Row],[Z_CostContact]]=3,"Valid","Invalid")</f>
        <v>Valid</v>
      </c>
      <c r="AR114" t="str">
        <f t="shared" si="23"/>
        <v>Valid</v>
      </c>
      <c r="AS114" t="str">
        <f t="shared" si="24"/>
        <v>Valid</v>
      </c>
    </row>
    <row r="115" spans="1:45" x14ac:dyDescent="0.3">
      <c r="A115">
        <v>999</v>
      </c>
      <c r="B115">
        <v>1991</v>
      </c>
      <c r="C115" t="s">
        <v>29</v>
      </c>
      <c r="D115" t="s">
        <v>30</v>
      </c>
      <c r="E115">
        <v>86037</v>
      </c>
      <c r="F115">
        <v>0</v>
      </c>
      <c r="G115">
        <v>0</v>
      </c>
      <c r="H115" s="1">
        <v>41276</v>
      </c>
      <c r="I115">
        <v>95</v>
      </c>
      <c r="J115">
        <v>490</v>
      </c>
      <c r="K115">
        <v>44</v>
      </c>
      <c r="L115">
        <v>125</v>
      </c>
      <c r="M115">
        <v>29</v>
      </c>
      <c r="N115">
        <v>20</v>
      </c>
      <c r="O115">
        <v>22</v>
      </c>
      <c r="P115">
        <v>1</v>
      </c>
      <c r="Q115">
        <v>6</v>
      </c>
      <c r="R115">
        <v>7</v>
      </c>
      <c r="S115">
        <v>11</v>
      </c>
      <c r="T115">
        <v>3</v>
      </c>
      <c r="U115">
        <v>0</v>
      </c>
      <c r="V115">
        <v>1</v>
      </c>
      <c r="W115">
        <v>1</v>
      </c>
      <c r="X115">
        <v>0</v>
      </c>
      <c r="Y115">
        <v>0</v>
      </c>
      <c r="Z115">
        <v>0</v>
      </c>
      <c r="AA115">
        <v>3</v>
      </c>
      <c r="AB115">
        <v>11</v>
      </c>
      <c r="AC115">
        <v>1</v>
      </c>
      <c r="AD115" t="str">
        <f t="shared" si="13"/>
        <v>Ok</v>
      </c>
      <c r="AE115" t="str">
        <f>IF(AND(Audit_Data[[#This Row],[Year_Birth]]&gt;=1900,Audit_Data[[#This Row],[Year_Birth]]&lt;=2010),"OK","Invalid")</f>
        <v>OK</v>
      </c>
      <c r="AF115" t="str">
        <f t="shared" si="14"/>
        <v>Valid</v>
      </c>
      <c r="AG115" t="str">
        <f t="shared" si="15"/>
        <v>Valid</v>
      </c>
      <c r="AH115" t="str">
        <f t="shared" si="16"/>
        <v>Valid</v>
      </c>
      <c r="AI115" t="str">
        <f t="shared" si="17"/>
        <v>Valid</v>
      </c>
      <c r="AJ115" t="str">
        <f t="shared" si="18"/>
        <v>Valid</v>
      </c>
      <c r="AK115" t="str">
        <f t="shared" si="25"/>
        <v xml:space="preserve">Valid </v>
      </c>
      <c r="AL115" t="str">
        <f>IF(AND(Audit_Data[[#This Row],[Recency]]&gt;=0,Audit_Data[[#This Row],[Recency]]&lt;=100),"Valid","Invalid")</f>
        <v>Valid</v>
      </c>
      <c r="AM115" t="str">
        <f t="shared" si="19"/>
        <v>Valid</v>
      </c>
      <c r="AN115" t="str">
        <f t="shared" si="20"/>
        <v>Valid</v>
      </c>
      <c r="AO115" t="str">
        <f t="shared" si="21"/>
        <v>Valid</v>
      </c>
      <c r="AP115" t="str">
        <f t="shared" si="22"/>
        <v>Valid</v>
      </c>
      <c r="AQ115" t="str">
        <f>IF(Audit_Data[[#This Row],[Z_CostContact]]=3,"Valid","Invalid")</f>
        <v>Valid</v>
      </c>
      <c r="AR115" t="str">
        <f t="shared" si="23"/>
        <v>Valid</v>
      </c>
      <c r="AS115" t="str">
        <f t="shared" si="24"/>
        <v>Valid</v>
      </c>
    </row>
    <row r="116" spans="1:45" x14ac:dyDescent="0.3">
      <c r="A116">
        <v>9215</v>
      </c>
      <c r="B116">
        <v>1980</v>
      </c>
      <c r="C116" t="s">
        <v>32</v>
      </c>
      <c r="D116" t="s">
        <v>33</v>
      </c>
      <c r="E116">
        <v>43974</v>
      </c>
      <c r="F116">
        <v>1</v>
      </c>
      <c r="G116">
        <v>0</v>
      </c>
      <c r="H116" s="1">
        <v>41255</v>
      </c>
      <c r="I116">
        <v>19</v>
      </c>
      <c r="J116">
        <v>378</v>
      </c>
      <c r="K116">
        <v>0</v>
      </c>
      <c r="L116">
        <v>101</v>
      </c>
      <c r="M116">
        <v>0</v>
      </c>
      <c r="N116">
        <v>0</v>
      </c>
      <c r="O116">
        <v>72</v>
      </c>
      <c r="P116">
        <v>5</v>
      </c>
      <c r="Q116">
        <v>6</v>
      </c>
      <c r="R116">
        <v>4</v>
      </c>
      <c r="S116">
        <v>6</v>
      </c>
      <c r="T116">
        <v>7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3</v>
      </c>
      <c r="AB116">
        <v>11</v>
      </c>
      <c r="AC116">
        <v>0</v>
      </c>
      <c r="AD116" t="str">
        <f t="shared" si="13"/>
        <v>Ok</v>
      </c>
      <c r="AE116" t="str">
        <f>IF(AND(Audit_Data[[#This Row],[Year_Birth]]&gt;=1900,Audit_Data[[#This Row],[Year_Birth]]&lt;=2010),"OK","Invalid")</f>
        <v>OK</v>
      </c>
      <c r="AF116" t="str">
        <f t="shared" si="14"/>
        <v>Valid</v>
      </c>
      <c r="AG116" t="str">
        <f t="shared" si="15"/>
        <v>Valid</v>
      </c>
      <c r="AH116" t="str">
        <f t="shared" si="16"/>
        <v>Valid</v>
      </c>
      <c r="AI116" t="str">
        <f t="shared" si="17"/>
        <v>Valid</v>
      </c>
      <c r="AJ116" t="str">
        <f t="shared" si="18"/>
        <v>Valid</v>
      </c>
      <c r="AK116" t="str">
        <f t="shared" si="25"/>
        <v xml:space="preserve">Valid </v>
      </c>
      <c r="AL116" t="str">
        <f>IF(AND(Audit_Data[[#This Row],[Recency]]&gt;=0,Audit_Data[[#This Row],[Recency]]&lt;=100),"Valid","Invalid")</f>
        <v>Valid</v>
      </c>
      <c r="AM116" t="str">
        <f t="shared" si="19"/>
        <v>Valid</v>
      </c>
      <c r="AN116" t="str">
        <f t="shared" si="20"/>
        <v>Valid</v>
      </c>
      <c r="AO116" t="str">
        <f t="shared" si="21"/>
        <v>Valid</v>
      </c>
      <c r="AP116" t="str">
        <f t="shared" si="22"/>
        <v>Valid</v>
      </c>
      <c r="AQ116" t="str">
        <f>IF(Audit_Data[[#This Row],[Z_CostContact]]=3,"Valid","Invalid")</f>
        <v>Valid</v>
      </c>
      <c r="AR116" t="str">
        <f t="shared" si="23"/>
        <v>Valid</v>
      </c>
      <c r="AS116" t="str">
        <f t="shared" si="24"/>
        <v>Valid</v>
      </c>
    </row>
    <row r="117" spans="1:45" x14ac:dyDescent="0.3">
      <c r="A117">
        <v>2286</v>
      </c>
      <c r="B117">
        <v>1962</v>
      </c>
      <c r="C117" t="s">
        <v>29</v>
      </c>
      <c r="D117" t="s">
        <v>30</v>
      </c>
      <c r="E117">
        <v>50785</v>
      </c>
      <c r="F117">
        <v>1</v>
      </c>
      <c r="G117">
        <v>1</v>
      </c>
      <c r="H117" s="1">
        <v>41527</v>
      </c>
      <c r="I117">
        <v>27</v>
      </c>
      <c r="J117">
        <v>64</v>
      </c>
      <c r="K117">
        <v>1</v>
      </c>
      <c r="L117">
        <v>21</v>
      </c>
      <c r="M117">
        <v>0</v>
      </c>
      <c r="N117">
        <v>1</v>
      </c>
      <c r="O117">
        <v>27</v>
      </c>
      <c r="P117">
        <v>2</v>
      </c>
      <c r="Q117">
        <v>2</v>
      </c>
      <c r="R117">
        <v>1</v>
      </c>
      <c r="S117">
        <v>3</v>
      </c>
      <c r="T117">
        <v>6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3</v>
      </c>
      <c r="AB117">
        <v>11</v>
      </c>
      <c r="AC117">
        <v>0</v>
      </c>
      <c r="AD117" t="str">
        <f t="shared" si="13"/>
        <v>Ok</v>
      </c>
      <c r="AE117" t="str">
        <f>IF(AND(Audit_Data[[#This Row],[Year_Birth]]&gt;=1900,Audit_Data[[#This Row],[Year_Birth]]&lt;=2010),"OK","Invalid")</f>
        <v>OK</v>
      </c>
      <c r="AF117" t="str">
        <f t="shared" si="14"/>
        <v>Valid</v>
      </c>
      <c r="AG117" t="str">
        <f t="shared" si="15"/>
        <v>Valid</v>
      </c>
      <c r="AH117" t="str">
        <f t="shared" si="16"/>
        <v>Valid</v>
      </c>
      <c r="AI117" t="str">
        <f t="shared" si="17"/>
        <v>Valid</v>
      </c>
      <c r="AJ117" t="str">
        <f t="shared" si="18"/>
        <v>Valid</v>
      </c>
      <c r="AK117" t="str">
        <f t="shared" si="25"/>
        <v xml:space="preserve">Valid </v>
      </c>
      <c r="AL117" t="str">
        <f>IF(AND(Audit_Data[[#This Row],[Recency]]&gt;=0,Audit_Data[[#This Row],[Recency]]&lt;=100),"Valid","Invalid")</f>
        <v>Valid</v>
      </c>
      <c r="AM117" t="str">
        <f t="shared" si="19"/>
        <v>Valid</v>
      </c>
      <c r="AN117" t="str">
        <f t="shared" si="20"/>
        <v>Valid</v>
      </c>
      <c r="AO117" t="str">
        <f t="shared" si="21"/>
        <v>Valid</v>
      </c>
      <c r="AP117" t="str">
        <f t="shared" si="22"/>
        <v>Valid</v>
      </c>
      <c r="AQ117" t="str">
        <f>IF(Audit_Data[[#This Row],[Z_CostContact]]=3,"Valid","Invalid")</f>
        <v>Valid</v>
      </c>
      <c r="AR117" t="str">
        <f t="shared" si="23"/>
        <v>Valid</v>
      </c>
      <c r="AS117" t="str">
        <f t="shared" si="24"/>
        <v>Valid</v>
      </c>
    </row>
    <row r="118" spans="1:45" x14ac:dyDescent="0.3">
      <c r="A118">
        <v>1592</v>
      </c>
      <c r="B118">
        <v>1970</v>
      </c>
      <c r="C118" t="s">
        <v>29</v>
      </c>
      <c r="D118" t="s">
        <v>33</v>
      </c>
      <c r="E118">
        <v>90765</v>
      </c>
      <c r="F118">
        <v>0</v>
      </c>
      <c r="G118">
        <v>0</v>
      </c>
      <c r="H118" s="1">
        <v>41663</v>
      </c>
      <c r="I118">
        <v>25</v>
      </c>
      <c r="J118">
        <v>547</v>
      </c>
      <c r="K118">
        <v>99</v>
      </c>
      <c r="L118">
        <v>812</v>
      </c>
      <c r="M118">
        <v>151</v>
      </c>
      <c r="N118">
        <v>82</v>
      </c>
      <c r="O118">
        <v>33</v>
      </c>
      <c r="P118">
        <v>0</v>
      </c>
      <c r="Q118">
        <v>4</v>
      </c>
      <c r="R118">
        <v>6</v>
      </c>
      <c r="S118">
        <v>5</v>
      </c>
      <c r="T118">
        <v>1</v>
      </c>
      <c r="U118">
        <v>0</v>
      </c>
      <c r="V118">
        <v>0</v>
      </c>
      <c r="W118">
        <v>1</v>
      </c>
      <c r="X118">
        <v>1</v>
      </c>
      <c r="Y118">
        <v>0</v>
      </c>
      <c r="Z118">
        <v>0</v>
      </c>
      <c r="AA118">
        <v>3</v>
      </c>
      <c r="AB118">
        <v>11</v>
      </c>
      <c r="AC118">
        <v>0</v>
      </c>
      <c r="AD118" t="str">
        <f t="shared" si="13"/>
        <v>Ok</v>
      </c>
      <c r="AE118" t="str">
        <f>IF(AND(Audit_Data[[#This Row],[Year_Birth]]&gt;=1900,Audit_Data[[#This Row],[Year_Birth]]&lt;=2010),"OK","Invalid")</f>
        <v>OK</v>
      </c>
      <c r="AF118" t="str">
        <f t="shared" si="14"/>
        <v>Valid</v>
      </c>
      <c r="AG118" t="str">
        <f t="shared" si="15"/>
        <v>Valid</v>
      </c>
      <c r="AH118" t="str">
        <f t="shared" si="16"/>
        <v>Valid</v>
      </c>
      <c r="AI118" t="str">
        <f t="shared" si="17"/>
        <v>Valid</v>
      </c>
      <c r="AJ118" t="str">
        <f t="shared" si="18"/>
        <v>Valid</v>
      </c>
      <c r="AK118" t="str">
        <f t="shared" si="25"/>
        <v xml:space="preserve">Valid </v>
      </c>
      <c r="AL118" t="str">
        <f>IF(AND(Audit_Data[[#This Row],[Recency]]&gt;=0,Audit_Data[[#This Row],[Recency]]&lt;=100),"Valid","Invalid")</f>
        <v>Valid</v>
      </c>
      <c r="AM118" t="str">
        <f t="shared" si="19"/>
        <v>Valid</v>
      </c>
      <c r="AN118" t="str">
        <f t="shared" si="20"/>
        <v>Valid</v>
      </c>
      <c r="AO118" t="str">
        <f t="shared" si="21"/>
        <v>Valid</v>
      </c>
      <c r="AP118" t="str">
        <f t="shared" si="22"/>
        <v>Valid</v>
      </c>
      <c r="AQ118" t="str">
        <f>IF(Audit_Data[[#This Row],[Z_CostContact]]=3,"Valid","Invalid")</f>
        <v>Valid</v>
      </c>
      <c r="AR118" t="str">
        <f t="shared" si="23"/>
        <v>Valid</v>
      </c>
      <c r="AS118" t="str">
        <f t="shared" si="24"/>
        <v>Valid</v>
      </c>
    </row>
    <row r="119" spans="1:45" x14ac:dyDescent="0.3">
      <c r="A119">
        <v>367</v>
      </c>
      <c r="B119">
        <v>1978</v>
      </c>
      <c r="C119" t="s">
        <v>37</v>
      </c>
      <c r="D119" t="s">
        <v>33</v>
      </c>
      <c r="E119">
        <v>36550</v>
      </c>
      <c r="F119">
        <v>1</v>
      </c>
      <c r="G119">
        <v>0</v>
      </c>
      <c r="H119" s="1">
        <v>41324</v>
      </c>
      <c r="I119">
        <v>74</v>
      </c>
      <c r="J119">
        <v>47</v>
      </c>
      <c r="K119">
        <v>90</v>
      </c>
      <c r="L119">
        <v>94</v>
      </c>
      <c r="M119">
        <v>123</v>
      </c>
      <c r="N119">
        <v>103</v>
      </c>
      <c r="O119">
        <v>120</v>
      </c>
      <c r="P119">
        <v>5</v>
      </c>
      <c r="Q119">
        <v>9</v>
      </c>
      <c r="R119">
        <v>1</v>
      </c>
      <c r="S119">
        <v>5</v>
      </c>
      <c r="T119">
        <v>9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3</v>
      </c>
      <c r="AB119">
        <v>11</v>
      </c>
      <c r="AC119">
        <v>0</v>
      </c>
      <c r="AD119" t="str">
        <f t="shared" si="13"/>
        <v>Ok</v>
      </c>
      <c r="AE119" t="str">
        <f>IF(AND(Audit_Data[[#This Row],[Year_Birth]]&gt;=1900,Audit_Data[[#This Row],[Year_Birth]]&lt;=2010),"OK","Invalid")</f>
        <v>OK</v>
      </c>
      <c r="AF119" t="str">
        <f t="shared" si="14"/>
        <v>Valid</v>
      </c>
      <c r="AG119" t="str">
        <f t="shared" si="15"/>
        <v>Valid</v>
      </c>
      <c r="AH119" t="str">
        <f t="shared" si="16"/>
        <v>Valid</v>
      </c>
      <c r="AI119" t="str">
        <f t="shared" si="17"/>
        <v>Valid</v>
      </c>
      <c r="AJ119" t="str">
        <f t="shared" si="18"/>
        <v>Valid</v>
      </c>
      <c r="AK119" t="str">
        <f t="shared" si="25"/>
        <v xml:space="preserve">Valid </v>
      </c>
      <c r="AL119" t="str">
        <f>IF(AND(Audit_Data[[#This Row],[Recency]]&gt;=0,Audit_Data[[#This Row],[Recency]]&lt;=100),"Valid","Invalid")</f>
        <v>Valid</v>
      </c>
      <c r="AM119" t="str">
        <f t="shared" si="19"/>
        <v>Valid</v>
      </c>
      <c r="AN119" t="str">
        <f t="shared" si="20"/>
        <v>Valid</v>
      </c>
      <c r="AO119" t="str">
        <f t="shared" si="21"/>
        <v>Valid</v>
      </c>
      <c r="AP119" t="str">
        <f t="shared" si="22"/>
        <v>Valid</v>
      </c>
      <c r="AQ119" t="str">
        <f>IF(Audit_Data[[#This Row],[Z_CostContact]]=3,"Valid","Invalid")</f>
        <v>Valid</v>
      </c>
      <c r="AR119" t="str">
        <f t="shared" si="23"/>
        <v>Valid</v>
      </c>
      <c r="AS119" t="str">
        <f t="shared" si="24"/>
        <v>Valid</v>
      </c>
    </row>
    <row r="120" spans="1:45" x14ac:dyDescent="0.3">
      <c r="A120">
        <v>5234</v>
      </c>
      <c r="B120">
        <v>1967</v>
      </c>
      <c r="C120" t="s">
        <v>37</v>
      </c>
      <c r="D120" t="s">
        <v>31</v>
      </c>
      <c r="E120">
        <v>30753</v>
      </c>
      <c r="F120">
        <v>1</v>
      </c>
      <c r="G120">
        <v>1</v>
      </c>
      <c r="H120" s="1">
        <v>41466</v>
      </c>
      <c r="I120">
        <v>85</v>
      </c>
      <c r="J120">
        <v>12</v>
      </c>
      <c r="K120">
        <v>5</v>
      </c>
      <c r="L120">
        <v>25</v>
      </c>
      <c r="M120">
        <v>0</v>
      </c>
      <c r="N120">
        <v>9</v>
      </c>
      <c r="O120">
        <v>30</v>
      </c>
      <c r="P120">
        <v>2</v>
      </c>
      <c r="Q120">
        <v>1</v>
      </c>
      <c r="R120">
        <v>1</v>
      </c>
      <c r="S120">
        <v>3</v>
      </c>
      <c r="T120">
        <v>5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3</v>
      </c>
      <c r="AB120">
        <v>11</v>
      </c>
      <c r="AC120">
        <v>0</v>
      </c>
      <c r="AD120" t="str">
        <f t="shared" si="13"/>
        <v>Ok</v>
      </c>
      <c r="AE120" t="str">
        <f>IF(AND(Audit_Data[[#This Row],[Year_Birth]]&gt;=1900,Audit_Data[[#This Row],[Year_Birth]]&lt;=2010),"OK","Invalid")</f>
        <v>OK</v>
      </c>
      <c r="AF120" t="str">
        <f t="shared" si="14"/>
        <v>Valid</v>
      </c>
      <c r="AG120" t="str">
        <f t="shared" si="15"/>
        <v>Valid</v>
      </c>
      <c r="AH120" t="str">
        <f t="shared" si="16"/>
        <v>Valid</v>
      </c>
      <c r="AI120" t="str">
        <f t="shared" si="17"/>
        <v>Valid</v>
      </c>
      <c r="AJ120" t="str">
        <f t="shared" si="18"/>
        <v>Valid</v>
      </c>
      <c r="AK120" t="str">
        <f t="shared" si="25"/>
        <v xml:space="preserve">Valid </v>
      </c>
      <c r="AL120" t="str">
        <f>IF(AND(Audit_Data[[#This Row],[Recency]]&gt;=0,Audit_Data[[#This Row],[Recency]]&lt;=100),"Valid","Invalid")</f>
        <v>Valid</v>
      </c>
      <c r="AM120" t="str">
        <f t="shared" si="19"/>
        <v>Valid</v>
      </c>
      <c r="AN120" t="str">
        <f t="shared" si="20"/>
        <v>Valid</v>
      </c>
      <c r="AO120" t="str">
        <f t="shared" si="21"/>
        <v>Valid</v>
      </c>
      <c r="AP120" t="str">
        <f t="shared" si="22"/>
        <v>Valid</v>
      </c>
      <c r="AQ120" t="str">
        <f>IF(Audit_Data[[#This Row],[Z_CostContact]]=3,"Valid","Invalid")</f>
        <v>Valid</v>
      </c>
      <c r="AR120" t="str">
        <f t="shared" si="23"/>
        <v>Valid</v>
      </c>
      <c r="AS120" t="str">
        <f t="shared" si="24"/>
        <v>Valid</v>
      </c>
    </row>
    <row r="121" spans="1:45" x14ac:dyDescent="0.3">
      <c r="A121">
        <v>9862</v>
      </c>
      <c r="B121">
        <v>1969</v>
      </c>
      <c r="C121" t="s">
        <v>29</v>
      </c>
      <c r="D121" t="s">
        <v>31</v>
      </c>
      <c r="E121">
        <v>21918</v>
      </c>
      <c r="F121">
        <v>1</v>
      </c>
      <c r="G121">
        <v>0</v>
      </c>
      <c r="H121" s="1">
        <v>41592</v>
      </c>
      <c r="I121">
        <v>37</v>
      </c>
      <c r="J121">
        <v>1</v>
      </c>
      <c r="K121">
        <v>6</v>
      </c>
      <c r="L121">
        <v>7</v>
      </c>
      <c r="M121">
        <v>11</v>
      </c>
      <c r="N121">
        <v>5</v>
      </c>
      <c r="O121">
        <v>3</v>
      </c>
      <c r="P121">
        <v>2</v>
      </c>
      <c r="Q121">
        <v>2</v>
      </c>
      <c r="R121">
        <v>0</v>
      </c>
      <c r="S121">
        <v>3</v>
      </c>
      <c r="T121">
        <v>6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3</v>
      </c>
      <c r="AB121">
        <v>11</v>
      </c>
      <c r="AC121">
        <v>0</v>
      </c>
      <c r="AD121" t="str">
        <f t="shared" si="13"/>
        <v>Ok</v>
      </c>
      <c r="AE121" t="str">
        <f>IF(AND(Audit_Data[[#This Row],[Year_Birth]]&gt;=1900,Audit_Data[[#This Row],[Year_Birth]]&lt;=2010),"OK","Invalid")</f>
        <v>OK</v>
      </c>
      <c r="AF121" t="str">
        <f t="shared" si="14"/>
        <v>Valid</v>
      </c>
      <c r="AG121" t="str">
        <f t="shared" si="15"/>
        <v>Valid</v>
      </c>
      <c r="AH121" t="str">
        <f t="shared" si="16"/>
        <v>Valid</v>
      </c>
      <c r="AI121" t="str">
        <f t="shared" si="17"/>
        <v>Valid</v>
      </c>
      <c r="AJ121" t="str">
        <f t="shared" si="18"/>
        <v>Valid</v>
      </c>
      <c r="AK121" t="str">
        <f t="shared" si="25"/>
        <v xml:space="preserve">Valid </v>
      </c>
      <c r="AL121" t="str">
        <f>IF(AND(Audit_Data[[#This Row],[Recency]]&gt;=0,Audit_Data[[#This Row],[Recency]]&lt;=100),"Valid","Invalid")</f>
        <v>Valid</v>
      </c>
      <c r="AM121" t="str">
        <f t="shared" si="19"/>
        <v>Valid</v>
      </c>
      <c r="AN121" t="str">
        <f t="shared" si="20"/>
        <v>Valid</v>
      </c>
      <c r="AO121" t="str">
        <f t="shared" si="21"/>
        <v>Valid</v>
      </c>
      <c r="AP121" t="str">
        <f t="shared" si="22"/>
        <v>Valid</v>
      </c>
      <c r="AQ121" t="str">
        <f>IF(Audit_Data[[#This Row],[Z_CostContact]]=3,"Valid","Invalid")</f>
        <v>Valid</v>
      </c>
      <c r="AR121" t="str">
        <f t="shared" si="23"/>
        <v>Valid</v>
      </c>
      <c r="AS121" t="str">
        <f t="shared" si="24"/>
        <v>Valid</v>
      </c>
    </row>
    <row r="122" spans="1:45" x14ac:dyDescent="0.3">
      <c r="A122">
        <v>9805</v>
      </c>
      <c r="B122">
        <v>1953</v>
      </c>
      <c r="C122" t="s">
        <v>34</v>
      </c>
      <c r="D122" t="s">
        <v>31</v>
      </c>
      <c r="E122">
        <v>56129</v>
      </c>
      <c r="F122">
        <v>0</v>
      </c>
      <c r="G122">
        <v>1</v>
      </c>
      <c r="H122" s="1">
        <v>41445</v>
      </c>
      <c r="I122">
        <v>65</v>
      </c>
      <c r="J122">
        <v>320</v>
      </c>
      <c r="K122">
        <v>48</v>
      </c>
      <c r="L122">
        <v>133</v>
      </c>
      <c r="M122">
        <v>39</v>
      </c>
      <c r="N122">
        <v>72</v>
      </c>
      <c r="O122">
        <v>48</v>
      </c>
      <c r="P122">
        <v>4</v>
      </c>
      <c r="Q122">
        <v>6</v>
      </c>
      <c r="R122">
        <v>2</v>
      </c>
      <c r="S122">
        <v>10</v>
      </c>
      <c r="T122">
        <v>4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3</v>
      </c>
      <c r="AB122">
        <v>11</v>
      </c>
      <c r="AC122">
        <v>0</v>
      </c>
      <c r="AD122" t="str">
        <f t="shared" si="13"/>
        <v>Ok</v>
      </c>
      <c r="AE122" t="str">
        <f>IF(AND(Audit_Data[[#This Row],[Year_Birth]]&gt;=1900,Audit_Data[[#This Row],[Year_Birth]]&lt;=2010),"OK","Invalid")</f>
        <v>OK</v>
      </c>
      <c r="AF122" t="str">
        <f t="shared" si="14"/>
        <v>Valid</v>
      </c>
      <c r="AG122" t="str">
        <f t="shared" si="15"/>
        <v>Valid</v>
      </c>
      <c r="AH122" t="str">
        <f t="shared" si="16"/>
        <v>Valid</v>
      </c>
      <c r="AI122" t="str">
        <f t="shared" si="17"/>
        <v>Valid</v>
      </c>
      <c r="AJ122" t="str">
        <f t="shared" si="18"/>
        <v>Valid</v>
      </c>
      <c r="AK122" t="str">
        <f t="shared" si="25"/>
        <v xml:space="preserve">Valid </v>
      </c>
      <c r="AL122" t="str">
        <f>IF(AND(Audit_Data[[#This Row],[Recency]]&gt;=0,Audit_Data[[#This Row],[Recency]]&lt;=100),"Valid","Invalid")</f>
        <v>Valid</v>
      </c>
      <c r="AM122" t="str">
        <f t="shared" si="19"/>
        <v>Valid</v>
      </c>
      <c r="AN122" t="str">
        <f t="shared" si="20"/>
        <v>Valid</v>
      </c>
      <c r="AO122" t="str">
        <f t="shared" si="21"/>
        <v>Valid</v>
      </c>
      <c r="AP122" t="str">
        <f t="shared" si="22"/>
        <v>Valid</v>
      </c>
      <c r="AQ122" t="str">
        <f>IF(Audit_Data[[#This Row],[Z_CostContact]]=3,"Valid","Invalid")</f>
        <v>Valid</v>
      </c>
      <c r="AR122" t="str">
        <f t="shared" si="23"/>
        <v>Valid</v>
      </c>
      <c r="AS122" t="str">
        <f t="shared" si="24"/>
        <v>Valid</v>
      </c>
    </row>
    <row r="123" spans="1:45" x14ac:dyDescent="0.3">
      <c r="A123">
        <v>6205</v>
      </c>
      <c r="B123">
        <v>1967</v>
      </c>
      <c r="C123" t="s">
        <v>34</v>
      </c>
      <c r="D123" t="s">
        <v>30</v>
      </c>
      <c r="E123">
        <v>32557</v>
      </c>
      <c r="F123">
        <v>1</v>
      </c>
      <c r="G123">
        <v>0</v>
      </c>
      <c r="H123" s="1">
        <v>41694</v>
      </c>
      <c r="I123">
        <v>13</v>
      </c>
      <c r="J123">
        <v>34</v>
      </c>
      <c r="K123">
        <v>3</v>
      </c>
      <c r="L123">
        <v>29</v>
      </c>
      <c r="M123">
        <v>0</v>
      </c>
      <c r="N123">
        <v>4</v>
      </c>
      <c r="O123">
        <v>10</v>
      </c>
      <c r="P123">
        <v>3</v>
      </c>
      <c r="Q123">
        <v>2</v>
      </c>
      <c r="R123">
        <v>1</v>
      </c>
      <c r="S123">
        <v>3</v>
      </c>
      <c r="T123">
        <v>5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3</v>
      </c>
      <c r="AB123">
        <v>11</v>
      </c>
      <c r="AC123">
        <v>1</v>
      </c>
      <c r="AD123" t="str">
        <f t="shared" si="13"/>
        <v>Ok</v>
      </c>
      <c r="AE123" t="str">
        <f>IF(AND(Audit_Data[[#This Row],[Year_Birth]]&gt;=1900,Audit_Data[[#This Row],[Year_Birth]]&lt;=2010),"OK","Invalid")</f>
        <v>OK</v>
      </c>
      <c r="AF123" t="str">
        <f t="shared" si="14"/>
        <v>Valid</v>
      </c>
      <c r="AG123" t="str">
        <f t="shared" si="15"/>
        <v>Valid</v>
      </c>
      <c r="AH123" t="str">
        <f t="shared" si="16"/>
        <v>Valid</v>
      </c>
      <c r="AI123" t="str">
        <f t="shared" si="17"/>
        <v>Valid</v>
      </c>
      <c r="AJ123" t="str">
        <f t="shared" si="18"/>
        <v>Valid</v>
      </c>
      <c r="AK123" t="str">
        <f t="shared" si="25"/>
        <v xml:space="preserve">Valid </v>
      </c>
      <c r="AL123" t="str">
        <f>IF(AND(Audit_Data[[#This Row],[Recency]]&gt;=0,Audit_Data[[#This Row],[Recency]]&lt;=100),"Valid","Invalid")</f>
        <v>Valid</v>
      </c>
      <c r="AM123" t="str">
        <f t="shared" si="19"/>
        <v>Valid</v>
      </c>
      <c r="AN123" t="str">
        <f t="shared" si="20"/>
        <v>Valid</v>
      </c>
      <c r="AO123" t="str">
        <f t="shared" si="21"/>
        <v>Valid</v>
      </c>
      <c r="AP123" t="str">
        <f t="shared" si="22"/>
        <v>Valid</v>
      </c>
      <c r="AQ123" t="str">
        <f>IF(Audit_Data[[#This Row],[Z_CostContact]]=3,"Valid","Invalid")</f>
        <v>Valid</v>
      </c>
      <c r="AR123" t="str">
        <f t="shared" si="23"/>
        <v>Valid</v>
      </c>
      <c r="AS123" t="str">
        <f t="shared" si="24"/>
        <v>Valid</v>
      </c>
    </row>
    <row r="124" spans="1:45" x14ac:dyDescent="0.3">
      <c r="A124">
        <v>8442</v>
      </c>
      <c r="B124">
        <v>1985</v>
      </c>
      <c r="C124" t="s">
        <v>34</v>
      </c>
      <c r="D124" t="s">
        <v>33</v>
      </c>
      <c r="E124">
        <v>19510</v>
      </c>
      <c r="F124">
        <v>2</v>
      </c>
      <c r="G124">
        <v>0</v>
      </c>
      <c r="H124" s="1">
        <v>41521</v>
      </c>
      <c r="I124">
        <v>63</v>
      </c>
      <c r="J124">
        <v>9</v>
      </c>
      <c r="K124">
        <v>0</v>
      </c>
      <c r="L124">
        <v>7</v>
      </c>
      <c r="M124">
        <v>3</v>
      </c>
      <c r="N124">
        <v>4</v>
      </c>
      <c r="O124">
        <v>7</v>
      </c>
      <c r="P124">
        <v>2</v>
      </c>
      <c r="Q124">
        <v>1</v>
      </c>
      <c r="R124">
        <v>0</v>
      </c>
      <c r="S124">
        <v>3</v>
      </c>
      <c r="T124">
        <v>7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3</v>
      </c>
      <c r="AB124">
        <v>11</v>
      </c>
      <c r="AC124">
        <v>0</v>
      </c>
      <c r="AD124" t="str">
        <f t="shared" si="13"/>
        <v>Ok</v>
      </c>
      <c r="AE124" t="str">
        <f>IF(AND(Audit_Data[[#This Row],[Year_Birth]]&gt;=1900,Audit_Data[[#This Row],[Year_Birth]]&lt;=2010),"OK","Invalid")</f>
        <v>OK</v>
      </c>
      <c r="AF124" t="str">
        <f t="shared" si="14"/>
        <v>Valid</v>
      </c>
      <c r="AG124" t="str">
        <f t="shared" si="15"/>
        <v>Valid</v>
      </c>
      <c r="AH124" t="str">
        <f t="shared" si="16"/>
        <v>Valid</v>
      </c>
      <c r="AI124" t="str">
        <f t="shared" si="17"/>
        <v>Valid</v>
      </c>
      <c r="AJ124" t="str">
        <f t="shared" si="18"/>
        <v>Valid</v>
      </c>
      <c r="AK124" t="str">
        <f t="shared" si="25"/>
        <v xml:space="preserve">Valid </v>
      </c>
      <c r="AL124" t="str">
        <f>IF(AND(Audit_Data[[#This Row],[Recency]]&gt;=0,Audit_Data[[#This Row],[Recency]]&lt;=100),"Valid","Invalid")</f>
        <v>Valid</v>
      </c>
      <c r="AM124" t="str">
        <f t="shared" si="19"/>
        <v>Valid</v>
      </c>
      <c r="AN124" t="str">
        <f t="shared" si="20"/>
        <v>Valid</v>
      </c>
      <c r="AO124" t="str">
        <f t="shared" si="21"/>
        <v>Valid</v>
      </c>
      <c r="AP124" t="str">
        <f t="shared" si="22"/>
        <v>Valid</v>
      </c>
      <c r="AQ124" t="str">
        <f>IF(Audit_Data[[#This Row],[Z_CostContact]]=3,"Valid","Invalid")</f>
        <v>Valid</v>
      </c>
      <c r="AR124" t="str">
        <f t="shared" si="23"/>
        <v>Valid</v>
      </c>
      <c r="AS124" t="str">
        <f t="shared" si="24"/>
        <v>Valid</v>
      </c>
    </row>
    <row r="125" spans="1:45" x14ac:dyDescent="0.3">
      <c r="A125">
        <v>7386</v>
      </c>
      <c r="B125">
        <v>1976</v>
      </c>
      <c r="C125" t="s">
        <v>29</v>
      </c>
      <c r="D125" t="s">
        <v>35</v>
      </c>
      <c r="E125">
        <v>30992</v>
      </c>
      <c r="F125">
        <v>1</v>
      </c>
      <c r="G125">
        <v>0</v>
      </c>
      <c r="H125" s="1">
        <v>41386</v>
      </c>
      <c r="I125">
        <v>83</v>
      </c>
      <c r="J125">
        <v>17</v>
      </c>
      <c r="K125">
        <v>0</v>
      </c>
      <c r="L125">
        <v>14</v>
      </c>
      <c r="M125">
        <v>7</v>
      </c>
      <c r="N125">
        <v>3</v>
      </c>
      <c r="O125">
        <v>2</v>
      </c>
      <c r="P125">
        <v>1</v>
      </c>
      <c r="Q125">
        <v>1</v>
      </c>
      <c r="R125">
        <v>0</v>
      </c>
      <c r="S125">
        <v>3</v>
      </c>
      <c r="T125">
        <v>7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3</v>
      </c>
      <c r="AB125">
        <v>11</v>
      </c>
      <c r="AC125">
        <v>0</v>
      </c>
      <c r="AD125" t="str">
        <f t="shared" si="13"/>
        <v>Ok</v>
      </c>
      <c r="AE125" t="str">
        <f>IF(AND(Audit_Data[[#This Row],[Year_Birth]]&gt;=1900,Audit_Data[[#This Row],[Year_Birth]]&lt;=2010),"OK","Invalid")</f>
        <v>OK</v>
      </c>
      <c r="AF125" t="str">
        <f t="shared" si="14"/>
        <v>Valid</v>
      </c>
      <c r="AG125" t="str">
        <f t="shared" si="15"/>
        <v>Valid</v>
      </c>
      <c r="AH125" t="str">
        <f t="shared" si="16"/>
        <v>Valid</v>
      </c>
      <c r="AI125" t="str">
        <f t="shared" si="17"/>
        <v>Valid</v>
      </c>
      <c r="AJ125" t="str">
        <f t="shared" si="18"/>
        <v>Valid</v>
      </c>
      <c r="AK125" t="str">
        <f t="shared" si="25"/>
        <v xml:space="preserve">Valid </v>
      </c>
      <c r="AL125" t="str">
        <f>IF(AND(Audit_Data[[#This Row],[Recency]]&gt;=0,Audit_Data[[#This Row],[Recency]]&lt;=100),"Valid","Invalid")</f>
        <v>Valid</v>
      </c>
      <c r="AM125" t="str">
        <f t="shared" si="19"/>
        <v>Valid</v>
      </c>
      <c r="AN125" t="str">
        <f t="shared" si="20"/>
        <v>Valid</v>
      </c>
      <c r="AO125" t="str">
        <f t="shared" si="21"/>
        <v>Valid</v>
      </c>
      <c r="AP125" t="str">
        <f t="shared" si="22"/>
        <v>Valid</v>
      </c>
      <c r="AQ125" t="str">
        <f>IF(Audit_Data[[#This Row],[Z_CostContact]]=3,"Valid","Invalid")</f>
        <v>Valid</v>
      </c>
      <c r="AR125" t="str">
        <f t="shared" si="23"/>
        <v>Valid</v>
      </c>
      <c r="AS125" t="str">
        <f t="shared" si="24"/>
        <v>Valid</v>
      </c>
    </row>
    <row r="126" spans="1:45" x14ac:dyDescent="0.3">
      <c r="A126">
        <v>7215</v>
      </c>
      <c r="B126">
        <v>1983</v>
      </c>
      <c r="C126" t="s">
        <v>29</v>
      </c>
      <c r="D126" t="s">
        <v>30</v>
      </c>
      <c r="E126">
        <v>101970</v>
      </c>
      <c r="F126">
        <v>0</v>
      </c>
      <c r="G126">
        <v>0</v>
      </c>
      <c r="H126" s="1">
        <v>41345</v>
      </c>
      <c r="I126">
        <v>69</v>
      </c>
      <c r="J126">
        <v>722</v>
      </c>
      <c r="K126">
        <v>27</v>
      </c>
      <c r="L126">
        <v>102</v>
      </c>
      <c r="M126">
        <v>44</v>
      </c>
      <c r="N126">
        <v>72</v>
      </c>
      <c r="O126">
        <v>168</v>
      </c>
      <c r="P126">
        <v>0</v>
      </c>
      <c r="Q126">
        <v>6</v>
      </c>
      <c r="R126">
        <v>8</v>
      </c>
      <c r="S126">
        <v>13</v>
      </c>
      <c r="T126">
        <v>2</v>
      </c>
      <c r="U126">
        <v>0</v>
      </c>
      <c r="V126">
        <v>1</v>
      </c>
      <c r="W126">
        <v>1</v>
      </c>
      <c r="X126">
        <v>1</v>
      </c>
      <c r="Y126">
        <v>0</v>
      </c>
      <c r="Z126">
        <v>0</v>
      </c>
      <c r="AA126">
        <v>3</v>
      </c>
      <c r="AB126">
        <v>11</v>
      </c>
      <c r="AC126">
        <v>1</v>
      </c>
      <c r="AD126" t="str">
        <f t="shared" si="13"/>
        <v>Ok</v>
      </c>
      <c r="AE126" t="str">
        <f>IF(AND(Audit_Data[[#This Row],[Year_Birth]]&gt;=1900,Audit_Data[[#This Row],[Year_Birth]]&lt;=2010),"OK","Invalid")</f>
        <v>OK</v>
      </c>
      <c r="AF126" t="str">
        <f t="shared" si="14"/>
        <v>Valid</v>
      </c>
      <c r="AG126" t="str">
        <f t="shared" si="15"/>
        <v>Valid</v>
      </c>
      <c r="AH126" t="str">
        <f t="shared" si="16"/>
        <v>Valid</v>
      </c>
      <c r="AI126" t="str">
        <f t="shared" si="17"/>
        <v>Valid</v>
      </c>
      <c r="AJ126" t="str">
        <f t="shared" si="18"/>
        <v>Valid</v>
      </c>
      <c r="AK126" t="str">
        <f t="shared" si="25"/>
        <v xml:space="preserve">Valid </v>
      </c>
      <c r="AL126" t="str">
        <f>IF(AND(Audit_Data[[#This Row],[Recency]]&gt;=0,Audit_Data[[#This Row],[Recency]]&lt;=100),"Valid","Invalid")</f>
        <v>Valid</v>
      </c>
      <c r="AM126" t="str">
        <f t="shared" si="19"/>
        <v>Valid</v>
      </c>
      <c r="AN126" t="str">
        <f t="shared" si="20"/>
        <v>Valid</v>
      </c>
      <c r="AO126" t="str">
        <f t="shared" si="21"/>
        <v>Valid</v>
      </c>
      <c r="AP126" t="str">
        <f t="shared" si="22"/>
        <v>Valid</v>
      </c>
      <c r="AQ126" t="str">
        <f>IF(Audit_Data[[#This Row],[Z_CostContact]]=3,"Valid","Invalid")</f>
        <v>Valid</v>
      </c>
      <c r="AR126" t="str">
        <f t="shared" si="23"/>
        <v>Valid</v>
      </c>
      <c r="AS126" t="str">
        <f t="shared" si="24"/>
        <v>Valid</v>
      </c>
    </row>
    <row r="127" spans="1:45" x14ac:dyDescent="0.3">
      <c r="A127">
        <v>1491</v>
      </c>
      <c r="B127">
        <v>1965</v>
      </c>
      <c r="C127" t="s">
        <v>37</v>
      </c>
      <c r="D127" t="s">
        <v>31</v>
      </c>
      <c r="E127">
        <v>71488</v>
      </c>
      <c r="F127">
        <v>0</v>
      </c>
      <c r="G127">
        <v>0</v>
      </c>
      <c r="H127" s="1">
        <v>41323</v>
      </c>
      <c r="I127">
        <v>87</v>
      </c>
      <c r="J127">
        <v>162</v>
      </c>
      <c r="K127">
        <v>33</v>
      </c>
      <c r="L127">
        <v>124</v>
      </c>
      <c r="M127">
        <v>40</v>
      </c>
      <c r="N127">
        <v>28</v>
      </c>
      <c r="O127">
        <v>172</v>
      </c>
      <c r="P127">
        <v>2</v>
      </c>
      <c r="Q127">
        <v>3</v>
      </c>
      <c r="R127">
        <v>4</v>
      </c>
      <c r="S127">
        <v>7</v>
      </c>
      <c r="T127">
        <v>1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3</v>
      </c>
      <c r="AB127">
        <v>11</v>
      </c>
      <c r="AC127">
        <v>0</v>
      </c>
      <c r="AD127" t="str">
        <f t="shared" si="13"/>
        <v>Ok</v>
      </c>
      <c r="AE127" t="str">
        <f>IF(AND(Audit_Data[[#This Row],[Year_Birth]]&gt;=1900,Audit_Data[[#This Row],[Year_Birth]]&lt;=2010),"OK","Invalid")</f>
        <v>OK</v>
      </c>
      <c r="AF127" t="str">
        <f t="shared" si="14"/>
        <v>Valid</v>
      </c>
      <c r="AG127" t="str">
        <f t="shared" si="15"/>
        <v>Valid</v>
      </c>
      <c r="AH127" t="str">
        <f t="shared" si="16"/>
        <v>Valid</v>
      </c>
      <c r="AI127" t="str">
        <f t="shared" si="17"/>
        <v>Valid</v>
      </c>
      <c r="AJ127" t="str">
        <f t="shared" si="18"/>
        <v>Valid</v>
      </c>
      <c r="AK127" t="str">
        <f t="shared" si="25"/>
        <v xml:space="preserve">Valid </v>
      </c>
      <c r="AL127" t="str">
        <f>IF(AND(Audit_Data[[#This Row],[Recency]]&gt;=0,Audit_Data[[#This Row],[Recency]]&lt;=100),"Valid","Invalid")</f>
        <v>Valid</v>
      </c>
      <c r="AM127" t="str">
        <f t="shared" si="19"/>
        <v>Valid</v>
      </c>
      <c r="AN127" t="str">
        <f t="shared" si="20"/>
        <v>Valid</v>
      </c>
      <c r="AO127" t="str">
        <f t="shared" si="21"/>
        <v>Valid</v>
      </c>
      <c r="AP127" t="str">
        <f t="shared" si="22"/>
        <v>Valid</v>
      </c>
      <c r="AQ127" t="str">
        <f>IF(Audit_Data[[#This Row],[Z_CostContact]]=3,"Valid","Invalid")</f>
        <v>Valid</v>
      </c>
      <c r="AR127" t="str">
        <f t="shared" si="23"/>
        <v>Valid</v>
      </c>
      <c r="AS127" t="str">
        <f t="shared" si="24"/>
        <v>Valid</v>
      </c>
    </row>
    <row r="128" spans="1:45" x14ac:dyDescent="0.3">
      <c r="A128">
        <v>11071</v>
      </c>
      <c r="B128">
        <v>1984</v>
      </c>
      <c r="C128" t="s">
        <v>29</v>
      </c>
      <c r="D128" t="s">
        <v>30</v>
      </c>
      <c r="E128">
        <v>79607</v>
      </c>
      <c r="F128">
        <v>0</v>
      </c>
      <c r="G128">
        <v>0</v>
      </c>
      <c r="H128" s="1">
        <v>41385</v>
      </c>
      <c r="I128">
        <v>37</v>
      </c>
      <c r="J128">
        <v>450</v>
      </c>
      <c r="K128">
        <v>133</v>
      </c>
      <c r="L128">
        <v>951</v>
      </c>
      <c r="M128">
        <v>173</v>
      </c>
      <c r="N128">
        <v>0</v>
      </c>
      <c r="O128">
        <v>216</v>
      </c>
      <c r="P128">
        <v>1</v>
      </c>
      <c r="Q128">
        <v>3</v>
      </c>
      <c r="R128">
        <v>6</v>
      </c>
      <c r="S128">
        <v>6</v>
      </c>
      <c r="T128">
        <v>1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3</v>
      </c>
      <c r="AB128">
        <v>11</v>
      </c>
      <c r="AC128">
        <v>1</v>
      </c>
      <c r="AD128" t="str">
        <f t="shared" si="13"/>
        <v>Ok</v>
      </c>
      <c r="AE128" t="str">
        <f>IF(AND(Audit_Data[[#This Row],[Year_Birth]]&gt;=1900,Audit_Data[[#This Row],[Year_Birth]]&lt;=2010),"OK","Invalid")</f>
        <v>OK</v>
      </c>
      <c r="AF128" t="str">
        <f t="shared" si="14"/>
        <v>Valid</v>
      </c>
      <c r="AG128" t="str">
        <f t="shared" si="15"/>
        <v>Valid</v>
      </c>
      <c r="AH128" t="str">
        <f t="shared" si="16"/>
        <v>Valid</v>
      </c>
      <c r="AI128" t="str">
        <f t="shared" si="17"/>
        <v>Valid</v>
      </c>
      <c r="AJ128" t="str">
        <f t="shared" si="18"/>
        <v>Valid</v>
      </c>
      <c r="AK128" t="str">
        <f t="shared" si="25"/>
        <v xml:space="preserve">Valid </v>
      </c>
      <c r="AL128" t="str">
        <f>IF(AND(Audit_Data[[#This Row],[Recency]]&gt;=0,Audit_Data[[#This Row],[Recency]]&lt;=100),"Valid","Invalid")</f>
        <v>Valid</v>
      </c>
      <c r="AM128" t="str">
        <f t="shared" si="19"/>
        <v>Valid</v>
      </c>
      <c r="AN128" t="str">
        <f t="shared" si="20"/>
        <v>Valid</v>
      </c>
      <c r="AO128" t="str">
        <f t="shared" si="21"/>
        <v>Valid</v>
      </c>
      <c r="AP128" t="str">
        <f t="shared" si="22"/>
        <v>Valid</v>
      </c>
      <c r="AQ128" t="str">
        <f>IF(Audit_Data[[#This Row],[Z_CostContact]]=3,"Valid","Invalid")</f>
        <v>Valid</v>
      </c>
      <c r="AR128" t="str">
        <f t="shared" si="23"/>
        <v>Valid</v>
      </c>
      <c r="AS128" t="str">
        <f t="shared" si="24"/>
        <v>Valid</v>
      </c>
    </row>
    <row r="129" spans="1:45" x14ac:dyDescent="0.3">
      <c r="A129">
        <v>3381</v>
      </c>
      <c r="B129">
        <v>1953</v>
      </c>
      <c r="C129" t="s">
        <v>34</v>
      </c>
      <c r="D129" t="s">
        <v>33</v>
      </c>
      <c r="E129">
        <v>54348</v>
      </c>
      <c r="F129">
        <v>1</v>
      </c>
      <c r="G129">
        <v>1</v>
      </c>
      <c r="H129" s="1">
        <v>41798</v>
      </c>
      <c r="I129">
        <v>51</v>
      </c>
      <c r="J129">
        <v>70</v>
      </c>
      <c r="K129">
        <v>0</v>
      </c>
      <c r="L129">
        <v>16</v>
      </c>
      <c r="M129">
        <v>0</v>
      </c>
      <c r="N129">
        <v>0</v>
      </c>
      <c r="O129">
        <v>4</v>
      </c>
      <c r="P129">
        <v>2</v>
      </c>
      <c r="Q129">
        <v>2</v>
      </c>
      <c r="R129">
        <v>0</v>
      </c>
      <c r="S129">
        <v>4</v>
      </c>
      <c r="T129">
        <v>6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3</v>
      </c>
      <c r="AB129">
        <v>11</v>
      </c>
      <c r="AC129">
        <v>0</v>
      </c>
      <c r="AD129" t="str">
        <f t="shared" si="13"/>
        <v>Ok</v>
      </c>
      <c r="AE129" t="str">
        <f>IF(AND(Audit_Data[[#This Row],[Year_Birth]]&gt;=1900,Audit_Data[[#This Row],[Year_Birth]]&lt;=2010),"OK","Invalid")</f>
        <v>OK</v>
      </c>
      <c r="AF129" t="str">
        <f t="shared" si="14"/>
        <v>Valid</v>
      </c>
      <c r="AG129" t="str">
        <f t="shared" si="15"/>
        <v>Valid</v>
      </c>
      <c r="AH129" t="str">
        <f t="shared" si="16"/>
        <v>Valid</v>
      </c>
      <c r="AI129" t="str">
        <f t="shared" si="17"/>
        <v>Valid</v>
      </c>
      <c r="AJ129" t="str">
        <f t="shared" si="18"/>
        <v>Valid</v>
      </c>
      <c r="AK129" t="str">
        <f t="shared" si="25"/>
        <v xml:space="preserve">Valid </v>
      </c>
      <c r="AL129" t="str">
        <f>IF(AND(Audit_Data[[#This Row],[Recency]]&gt;=0,Audit_Data[[#This Row],[Recency]]&lt;=100),"Valid","Invalid")</f>
        <v>Valid</v>
      </c>
      <c r="AM129" t="str">
        <f t="shared" si="19"/>
        <v>Valid</v>
      </c>
      <c r="AN129" t="str">
        <f t="shared" si="20"/>
        <v>Valid</v>
      </c>
      <c r="AO129" t="str">
        <f t="shared" si="21"/>
        <v>Valid</v>
      </c>
      <c r="AP129" t="str">
        <f t="shared" si="22"/>
        <v>Valid</v>
      </c>
      <c r="AQ129" t="str">
        <f>IF(Audit_Data[[#This Row],[Z_CostContact]]=3,"Valid","Invalid")</f>
        <v>Valid</v>
      </c>
      <c r="AR129" t="str">
        <f t="shared" si="23"/>
        <v>Valid</v>
      </c>
      <c r="AS129" t="str">
        <f t="shared" si="24"/>
        <v>Valid</v>
      </c>
    </row>
    <row r="130" spans="1:45" x14ac:dyDescent="0.3">
      <c r="A130">
        <v>8268</v>
      </c>
      <c r="B130">
        <v>1961</v>
      </c>
      <c r="C130" t="s">
        <v>32</v>
      </c>
      <c r="D130" t="s">
        <v>33</v>
      </c>
      <c r="F130">
        <v>0</v>
      </c>
      <c r="G130">
        <v>1</v>
      </c>
      <c r="H130" s="1">
        <v>41466</v>
      </c>
      <c r="I130">
        <v>23</v>
      </c>
      <c r="J130">
        <v>352</v>
      </c>
      <c r="K130">
        <v>0</v>
      </c>
      <c r="L130">
        <v>27</v>
      </c>
      <c r="M130">
        <v>10</v>
      </c>
      <c r="N130">
        <v>0</v>
      </c>
      <c r="O130">
        <v>15</v>
      </c>
      <c r="P130">
        <v>3</v>
      </c>
      <c r="Q130">
        <v>6</v>
      </c>
      <c r="R130">
        <v>1</v>
      </c>
      <c r="S130">
        <v>7</v>
      </c>
      <c r="T130">
        <v>6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3</v>
      </c>
      <c r="AB130">
        <v>11</v>
      </c>
      <c r="AC130">
        <v>0</v>
      </c>
      <c r="AD130" t="str">
        <f t="shared" ref="AD130:AD193" si="26">IF(COUNTIF(A:A,A130)&gt;1,"Duplicate","Ok")</f>
        <v>Ok</v>
      </c>
      <c r="AE130" t="str">
        <f>IF(AND(Audit_Data[[#This Row],[Year_Birth]]&gt;=1900,Audit_Data[[#This Row],[Year_Birth]]&lt;=2010),"OK","Invalid")</f>
        <v>OK</v>
      </c>
      <c r="AF130" t="str">
        <f t="shared" ref="AF130:AF193" si="27">IF(OR(C130="Graduation",C130="phD",C130="Master",C130="Basic",C130="2n Cycle"),"Valid","Invalid")</f>
        <v>Valid</v>
      </c>
      <c r="AG130" t="str">
        <f t="shared" ref="AG130:AG193" si="28">IF(OR(D130="Single",D130="Married",D130="Divorced",D130="Together",D130="Widow",D130="Alone"),"Valid","Invalid")</f>
        <v>Valid</v>
      </c>
      <c r="AH130" t="str">
        <f t="shared" ref="AH130:AH193" si="29">IF(AND(ISNUMBER(E130),E130&lt;&gt;""),"Valid","Invalid")</f>
        <v>Invalid</v>
      </c>
      <c r="AI130" t="str">
        <f t="shared" ref="AI130:AI193" si="30">IF(AND(F130&gt;=0,F130&lt;=2),"Valid","Invalid")</f>
        <v>Valid</v>
      </c>
      <c r="AJ130" t="str">
        <f t="shared" ref="AJ130:AJ193" si="31">IF(AND(G130&gt;=0,G130&lt;=2),"Valid","Invalid")</f>
        <v>Valid</v>
      </c>
      <c r="AK130" t="str">
        <f t="shared" si="25"/>
        <v xml:space="preserve">Valid </v>
      </c>
      <c r="AL130" t="str">
        <f>IF(AND(Audit_Data[[#This Row],[Recency]]&gt;=0,Audit_Data[[#This Row],[Recency]]&lt;=100),"Valid","Invalid")</f>
        <v>Valid</v>
      </c>
      <c r="AM130" t="str">
        <f t="shared" ref="AM130:AM193" si="32">IF(AND(ISNUMBER(J130),J130&gt;=0,ISNUMBER(K130),K130&gt;=0,ISNUMBER(L130),L130&gt;=0,ISNUMBER(M130),M130&gt;=0,ISNUMBER(N130),N130&gt;=0,ISNUMBER(O130),O130&gt;=0),"Valid","Invalid")</f>
        <v>Valid</v>
      </c>
      <c r="AN130" t="str">
        <f t="shared" ref="AN130:AN193" si="33">IF(AND(ISNUMBER(P130),P130&gt;=0,ISNUMBER(Q130),Q130&gt;=0,ISNUMBER(R130),R130&gt;=0,ISNUMBER(S130),S130&gt;=0,ISNUMBER(T130),T130&gt;=0),"Valid","Invalid")</f>
        <v>Valid</v>
      </c>
      <c r="AO130" t="str">
        <f t="shared" ref="AO130:AO193" si="34">IF(AND(U130&lt;=1,V130&lt;=1,W130&lt;=1,X130&lt;=1,Y130&lt;=1),"Valid","Invalid")</f>
        <v>Valid</v>
      </c>
      <c r="AP130" t="str">
        <f t="shared" ref="AP130:AP193" si="35">IF(OR(Z130=0,Z130=1),"Valid","Invalid")</f>
        <v>Valid</v>
      </c>
      <c r="AQ130" t="str">
        <f>IF(Audit_Data[[#This Row],[Z_CostContact]]=3,"Valid","Invalid")</f>
        <v>Valid</v>
      </c>
      <c r="AR130" t="str">
        <f t="shared" ref="AR130:AR193" si="36">IF(AB130=11,"Valid","Invalid")</f>
        <v>Valid</v>
      </c>
      <c r="AS130" t="str">
        <f t="shared" ref="AS130:AS193" si="37">IF(OR(AC130=0,AC130=1),"Valid","Invalid")</f>
        <v>Valid</v>
      </c>
    </row>
    <row r="131" spans="1:45" x14ac:dyDescent="0.3">
      <c r="A131">
        <v>11051</v>
      </c>
      <c r="B131">
        <v>1956</v>
      </c>
      <c r="C131" t="s">
        <v>32</v>
      </c>
      <c r="D131" t="s">
        <v>31</v>
      </c>
      <c r="E131">
        <v>77376</v>
      </c>
      <c r="F131">
        <v>1</v>
      </c>
      <c r="G131">
        <v>1</v>
      </c>
      <c r="H131" s="1">
        <v>41769</v>
      </c>
      <c r="I131">
        <v>72</v>
      </c>
      <c r="J131">
        <v>492</v>
      </c>
      <c r="K131">
        <v>19</v>
      </c>
      <c r="L131">
        <v>110</v>
      </c>
      <c r="M131">
        <v>16</v>
      </c>
      <c r="N131">
        <v>12</v>
      </c>
      <c r="O131">
        <v>12</v>
      </c>
      <c r="P131">
        <v>4</v>
      </c>
      <c r="Q131">
        <v>6</v>
      </c>
      <c r="R131">
        <v>3</v>
      </c>
      <c r="S131">
        <v>10</v>
      </c>
      <c r="T131">
        <v>4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3</v>
      </c>
      <c r="AB131">
        <v>11</v>
      </c>
      <c r="AC131">
        <v>0</v>
      </c>
      <c r="AD131" t="str">
        <f t="shared" si="26"/>
        <v>Ok</v>
      </c>
      <c r="AE131" t="str">
        <f>IF(AND(Audit_Data[[#This Row],[Year_Birth]]&gt;=1900,Audit_Data[[#This Row],[Year_Birth]]&lt;=2010),"OK","Invalid")</f>
        <v>OK</v>
      </c>
      <c r="AF131" t="str">
        <f t="shared" si="27"/>
        <v>Valid</v>
      </c>
      <c r="AG131" t="str">
        <f t="shared" si="28"/>
        <v>Valid</v>
      </c>
      <c r="AH131" t="str">
        <f t="shared" si="29"/>
        <v>Valid</v>
      </c>
      <c r="AI131" t="str">
        <f t="shared" si="30"/>
        <v>Valid</v>
      </c>
      <c r="AJ131" t="str">
        <f t="shared" si="31"/>
        <v>Valid</v>
      </c>
      <c r="AK131" t="str">
        <f t="shared" ref="AK131:AK194" si="38">IF(AND(ISNUMBER(H131),H131&gt;=DATE(2012,1,1),H131&lt;=DATE(2014,12,31)),"Valid ","Invalid")</f>
        <v xml:space="preserve">Valid </v>
      </c>
      <c r="AL131" t="str">
        <f>IF(AND(Audit_Data[[#This Row],[Recency]]&gt;=0,Audit_Data[[#This Row],[Recency]]&lt;=100),"Valid","Invalid")</f>
        <v>Valid</v>
      </c>
      <c r="AM131" t="str">
        <f t="shared" si="32"/>
        <v>Valid</v>
      </c>
      <c r="AN131" t="str">
        <f t="shared" si="33"/>
        <v>Valid</v>
      </c>
      <c r="AO131" t="str">
        <f t="shared" si="34"/>
        <v>Valid</v>
      </c>
      <c r="AP131" t="str">
        <f t="shared" si="35"/>
        <v>Valid</v>
      </c>
      <c r="AQ131" t="str">
        <f>IF(Audit_Data[[#This Row],[Z_CostContact]]=3,"Valid","Invalid")</f>
        <v>Valid</v>
      </c>
      <c r="AR131" t="str">
        <f t="shared" si="36"/>
        <v>Valid</v>
      </c>
      <c r="AS131" t="str">
        <f t="shared" si="37"/>
        <v>Valid</v>
      </c>
    </row>
    <row r="132" spans="1:45" x14ac:dyDescent="0.3">
      <c r="A132">
        <v>8026</v>
      </c>
      <c r="B132">
        <v>1952</v>
      </c>
      <c r="C132" t="s">
        <v>29</v>
      </c>
      <c r="D132" t="s">
        <v>33</v>
      </c>
      <c r="E132">
        <v>62998</v>
      </c>
      <c r="F132">
        <v>0</v>
      </c>
      <c r="G132">
        <v>1</v>
      </c>
      <c r="H132" s="1">
        <v>41547</v>
      </c>
      <c r="I132">
        <v>10</v>
      </c>
      <c r="J132">
        <v>120</v>
      </c>
      <c r="K132">
        <v>58</v>
      </c>
      <c r="L132">
        <v>73</v>
      </c>
      <c r="M132">
        <v>65</v>
      </c>
      <c r="N132">
        <v>89</v>
      </c>
      <c r="O132">
        <v>58</v>
      </c>
      <c r="P132">
        <v>5</v>
      </c>
      <c r="Q132">
        <v>5</v>
      </c>
      <c r="R132">
        <v>4</v>
      </c>
      <c r="S132">
        <v>5</v>
      </c>
      <c r="T132">
        <v>5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3</v>
      </c>
      <c r="AB132">
        <v>11</v>
      </c>
      <c r="AC132">
        <v>0</v>
      </c>
      <c r="AD132" t="str">
        <f t="shared" si="26"/>
        <v>Ok</v>
      </c>
      <c r="AE132" t="str">
        <f>IF(AND(Audit_Data[[#This Row],[Year_Birth]]&gt;=1900,Audit_Data[[#This Row],[Year_Birth]]&lt;=2010),"OK","Invalid")</f>
        <v>OK</v>
      </c>
      <c r="AF132" t="str">
        <f t="shared" si="27"/>
        <v>Valid</v>
      </c>
      <c r="AG132" t="str">
        <f t="shared" si="28"/>
        <v>Valid</v>
      </c>
      <c r="AH132" t="str">
        <f t="shared" si="29"/>
        <v>Valid</v>
      </c>
      <c r="AI132" t="str">
        <f t="shared" si="30"/>
        <v>Valid</v>
      </c>
      <c r="AJ132" t="str">
        <f t="shared" si="31"/>
        <v>Valid</v>
      </c>
      <c r="AK132" t="str">
        <f t="shared" si="38"/>
        <v xml:space="preserve">Valid </v>
      </c>
      <c r="AL132" t="str">
        <f>IF(AND(Audit_Data[[#This Row],[Recency]]&gt;=0,Audit_Data[[#This Row],[Recency]]&lt;=100),"Valid","Invalid")</f>
        <v>Valid</v>
      </c>
      <c r="AM132" t="str">
        <f t="shared" si="32"/>
        <v>Valid</v>
      </c>
      <c r="AN132" t="str">
        <f t="shared" si="33"/>
        <v>Valid</v>
      </c>
      <c r="AO132" t="str">
        <f t="shared" si="34"/>
        <v>Valid</v>
      </c>
      <c r="AP132" t="str">
        <f t="shared" si="35"/>
        <v>Valid</v>
      </c>
      <c r="AQ132" t="str">
        <f>IF(Audit_Data[[#This Row],[Z_CostContact]]=3,"Valid","Invalid")</f>
        <v>Valid</v>
      </c>
      <c r="AR132" t="str">
        <f t="shared" si="36"/>
        <v>Valid</v>
      </c>
      <c r="AS132" t="str">
        <f t="shared" si="37"/>
        <v>Valid</v>
      </c>
    </row>
    <row r="133" spans="1:45" x14ac:dyDescent="0.3">
      <c r="A133">
        <v>433</v>
      </c>
      <c r="B133">
        <v>1958</v>
      </c>
      <c r="C133" t="s">
        <v>34</v>
      </c>
      <c r="D133" t="s">
        <v>39</v>
      </c>
      <c r="E133">
        <v>61331</v>
      </c>
      <c r="F133">
        <v>1</v>
      </c>
      <c r="G133">
        <v>1</v>
      </c>
      <c r="H133" s="1">
        <v>41343</v>
      </c>
      <c r="I133">
        <v>42</v>
      </c>
      <c r="J133">
        <v>534</v>
      </c>
      <c r="K133">
        <v>5</v>
      </c>
      <c r="L133">
        <v>47</v>
      </c>
      <c r="M133">
        <v>0</v>
      </c>
      <c r="N133">
        <v>5</v>
      </c>
      <c r="O133">
        <v>41</v>
      </c>
      <c r="P133">
        <v>5</v>
      </c>
      <c r="Q133">
        <v>11</v>
      </c>
      <c r="R133">
        <v>1</v>
      </c>
      <c r="S133">
        <v>6</v>
      </c>
      <c r="T133">
        <v>8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3</v>
      </c>
      <c r="AB133">
        <v>11</v>
      </c>
      <c r="AC133">
        <v>0</v>
      </c>
      <c r="AD133" t="str">
        <f t="shared" si="26"/>
        <v>Ok</v>
      </c>
      <c r="AE133" t="str">
        <f>IF(AND(Audit_Data[[#This Row],[Year_Birth]]&gt;=1900,Audit_Data[[#This Row],[Year_Birth]]&lt;=2010),"OK","Invalid")</f>
        <v>OK</v>
      </c>
      <c r="AF133" t="str">
        <f t="shared" si="27"/>
        <v>Valid</v>
      </c>
      <c r="AG133" t="str">
        <f t="shared" si="28"/>
        <v>Valid</v>
      </c>
      <c r="AH133" t="str">
        <f t="shared" si="29"/>
        <v>Valid</v>
      </c>
      <c r="AI133" t="str">
        <f t="shared" si="30"/>
        <v>Valid</v>
      </c>
      <c r="AJ133" t="str">
        <f t="shared" si="31"/>
        <v>Valid</v>
      </c>
      <c r="AK133" t="str">
        <f t="shared" si="38"/>
        <v xml:space="preserve">Valid </v>
      </c>
      <c r="AL133" t="str">
        <f>IF(AND(Audit_Data[[#This Row],[Recency]]&gt;=0,Audit_Data[[#This Row],[Recency]]&lt;=100),"Valid","Invalid")</f>
        <v>Valid</v>
      </c>
      <c r="AM133" t="str">
        <f t="shared" si="32"/>
        <v>Valid</v>
      </c>
      <c r="AN133" t="str">
        <f t="shared" si="33"/>
        <v>Valid</v>
      </c>
      <c r="AO133" t="str">
        <f t="shared" si="34"/>
        <v>Valid</v>
      </c>
      <c r="AP133" t="str">
        <f t="shared" si="35"/>
        <v>Valid</v>
      </c>
      <c r="AQ133" t="str">
        <f>IF(Audit_Data[[#This Row],[Z_CostContact]]=3,"Valid","Invalid")</f>
        <v>Valid</v>
      </c>
      <c r="AR133" t="str">
        <f t="shared" si="36"/>
        <v>Valid</v>
      </c>
      <c r="AS133" t="str">
        <f t="shared" si="37"/>
        <v>Valid</v>
      </c>
    </row>
    <row r="134" spans="1:45" x14ac:dyDescent="0.3">
      <c r="A134">
        <v>9597</v>
      </c>
      <c r="B134">
        <v>1969</v>
      </c>
      <c r="C134" t="s">
        <v>29</v>
      </c>
      <c r="D134" t="s">
        <v>33</v>
      </c>
      <c r="E134">
        <v>73448</v>
      </c>
      <c r="F134">
        <v>0</v>
      </c>
      <c r="G134">
        <v>0</v>
      </c>
      <c r="H134" s="1">
        <v>41680</v>
      </c>
      <c r="I134">
        <v>10</v>
      </c>
      <c r="J134">
        <v>236</v>
      </c>
      <c r="K134">
        <v>106</v>
      </c>
      <c r="L134">
        <v>189</v>
      </c>
      <c r="M134">
        <v>23</v>
      </c>
      <c r="N134">
        <v>41</v>
      </c>
      <c r="O134">
        <v>130</v>
      </c>
      <c r="P134">
        <v>1</v>
      </c>
      <c r="Q134">
        <v>7</v>
      </c>
      <c r="R134">
        <v>2</v>
      </c>
      <c r="S134">
        <v>9</v>
      </c>
      <c r="T134">
        <v>4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3</v>
      </c>
      <c r="AB134">
        <v>11</v>
      </c>
      <c r="AC134">
        <v>0</v>
      </c>
      <c r="AD134" t="str">
        <f t="shared" si="26"/>
        <v>Ok</v>
      </c>
      <c r="AE134" t="str">
        <f>IF(AND(Audit_Data[[#This Row],[Year_Birth]]&gt;=1900,Audit_Data[[#This Row],[Year_Birth]]&lt;=2010),"OK","Invalid")</f>
        <v>OK</v>
      </c>
      <c r="AF134" t="str">
        <f t="shared" si="27"/>
        <v>Valid</v>
      </c>
      <c r="AG134" t="str">
        <f t="shared" si="28"/>
        <v>Valid</v>
      </c>
      <c r="AH134" t="str">
        <f t="shared" si="29"/>
        <v>Valid</v>
      </c>
      <c r="AI134" t="str">
        <f t="shared" si="30"/>
        <v>Valid</v>
      </c>
      <c r="AJ134" t="str">
        <f t="shared" si="31"/>
        <v>Valid</v>
      </c>
      <c r="AK134" t="str">
        <f t="shared" si="38"/>
        <v xml:space="preserve">Valid </v>
      </c>
      <c r="AL134" t="str">
        <f>IF(AND(Audit_Data[[#This Row],[Recency]]&gt;=0,Audit_Data[[#This Row],[Recency]]&lt;=100),"Valid","Invalid")</f>
        <v>Valid</v>
      </c>
      <c r="AM134" t="str">
        <f t="shared" si="32"/>
        <v>Valid</v>
      </c>
      <c r="AN134" t="str">
        <f t="shared" si="33"/>
        <v>Valid</v>
      </c>
      <c r="AO134" t="str">
        <f t="shared" si="34"/>
        <v>Valid</v>
      </c>
      <c r="AP134" t="str">
        <f t="shared" si="35"/>
        <v>Valid</v>
      </c>
      <c r="AQ134" t="str">
        <f>IF(Audit_Data[[#This Row],[Z_CostContact]]=3,"Valid","Invalid")</f>
        <v>Valid</v>
      </c>
      <c r="AR134" t="str">
        <f t="shared" si="36"/>
        <v>Valid</v>
      </c>
      <c r="AS134" t="str">
        <f t="shared" si="37"/>
        <v>Valid</v>
      </c>
    </row>
    <row r="135" spans="1:45" x14ac:dyDescent="0.3">
      <c r="A135">
        <v>1295</v>
      </c>
      <c r="B135">
        <v>1963</v>
      </c>
      <c r="C135" t="s">
        <v>29</v>
      </c>
      <c r="D135" t="s">
        <v>33</v>
      </c>
      <c r="F135">
        <v>0</v>
      </c>
      <c r="G135">
        <v>1</v>
      </c>
      <c r="H135" s="1">
        <v>41497</v>
      </c>
      <c r="I135">
        <v>96</v>
      </c>
      <c r="J135">
        <v>231</v>
      </c>
      <c r="K135">
        <v>65</v>
      </c>
      <c r="L135">
        <v>196</v>
      </c>
      <c r="M135">
        <v>38</v>
      </c>
      <c r="N135">
        <v>71</v>
      </c>
      <c r="O135">
        <v>124</v>
      </c>
      <c r="P135">
        <v>1</v>
      </c>
      <c r="Q135">
        <v>6</v>
      </c>
      <c r="R135">
        <v>5</v>
      </c>
      <c r="S135">
        <v>7</v>
      </c>
      <c r="T135">
        <v>4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3</v>
      </c>
      <c r="AB135">
        <v>11</v>
      </c>
      <c r="AC135">
        <v>0</v>
      </c>
      <c r="AD135" t="str">
        <f t="shared" si="26"/>
        <v>Ok</v>
      </c>
      <c r="AE135" t="str">
        <f>IF(AND(Audit_Data[[#This Row],[Year_Birth]]&gt;=1900,Audit_Data[[#This Row],[Year_Birth]]&lt;=2010),"OK","Invalid")</f>
        <v>OK</v>
      </c>
      <c r="AF135" t="str">
        <f t="shared" si="27"/>
        <v>Valid</v>
      </c>
      <c r="AG135" t="str">
        <f t="shared" si="28"/>
        <v>Valid</v>
      </c>
      <c r="AH135" t="str">
        <f t="shared" si="29"/>
        <v>Invalid</v>
      </c>
      <c r="AI135" t="str">
        <f t="shared" si="30"/>
        <v>Valid</v>
      </c>
      <c r="AJ135" t="str">
        <f t="shared" si="31"/>
        <v>Valid</v>
      </c>
      <c r="AK135" t="str">
        <f t="shared" si="38"/>
        <v xml:space="preserve">Valid </v>
      </c>
      <c r="AL135" t="str">
        <f>IF(AND(Audit_Data[[#This Row],[Recency]]&gt;=0,Audit_Data[[#This Row],[Recency]]&lt;=100),"Valid","Invalid")</f>
        <v>Valid</v>
      </c>
      <c r="AM135" t="str">
        <f t="shared" si="32"/>
        <v>Valid</v>
      </c>
      <c r="AN135" t="str">
        <f t="shared" si="33"/>
        <v>Valid</v>
      </c>
      <c r="AO135" t="str">
        <f t="shared" si="34"/>
        <v>Valid</v>
      </c>
      <c r="AP135" t="str">
        <f t="shared" si="35"/>
        <v>Valid</v>
      </c>
      <c r="AQ135" t="str">
        <f>IF(Audit_Data[[#This Row],[Z_CostContact]]=3,"Valid","Invalid")</f>
        <v>Valid</v>
      </c>
      <c r="AR135" t="str">
        <f t="shared" si="36"/>
        <v>Valid</v>
      </c>
      <c r="AS135" t="str">
        <f t="shared" si="37"/>
        <v>Valid</v>
      </c>
    </row>
    <row r="136" spans="1:45" x14ac:dyDescent="0.3">
      <c r="A136">
        <v>5290</v>
      </c>
      <c r="B136">
        <v>1964</v>
      </c>
      <c r="C136" t="s">
        <v>32</v>
      </c>
      <c r="D136" t="s">
        <v>33</v>
      </c>
      <c r="E136">
        <v>41551</v>
      </c>
      <c r="F136">
        <v>1</v>
      </c>
      <c r="G136">
        <v>1</v>
      </c>
      <c r="H136" s="1">
        <v>41500</v>
      </c>
      <c r="I136">
        <v>51</v>
      </c>
      <c r="J136">
        <v>220</v>
      </c>
      <c r="K136">
        <v>0</v>
      </c>
      <c r="L136">
        <v>33</v>
      </c>
      <c r="M136">
        <v>3</v>
      </c>
      <c r="N136">
        <v>0</v>
      </c>
      <c r="O136">
        <v>23</v>
      </c>
      <c r="P136">
        <v>5</v>
      </c>
      <c r="Q136">
        <v>5</v>
      </c>
      <c r="R136">
        <v>1</v>
      </c>
      <c r="S136">
        <v>5</v>
      </c>
      <c r="T136">
        <v>8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3</v>
      </c>
      <c r="AB136">
        <v>11</v>
      </c>
      <c r="AC136">
        <v>0</v>
      </c>
      <c r="AD136" t="str">
        <f t="shared" si="26"/>
        <v>Ok</v>
      </c>
      <c r="AE136" t="str">
        <f>IF(AND(Audit_Data[[#This Row],[Year_Birth]]&gt;=1900,Audit_Data[[#This Row],[Year_Birth]]&lt;=2010),"OK","Invalid")</f>
        <v>OK</v>
      </c>
      <c r="AF136" t="str">
        <f t="shared" si="27"/>
        <v>Valid</v>
      </c>
      <c r="AG136" t="str">
        <f t="shared" si="28"/>
        <v>Valid</v>
      </c>
      <c r="AH136" t="str">
        <f t="shared" si="29"/>
        <v>Valid</v>
      </c>
      <c r="AI136" t="str">
        <f t="shared" si="30"/>
        <v>Valid</v>
      </c>
      <c r="AJ136" t="str">
        <f t="shared" si="31"/>
        <v>Valid</v>
      </c>
      <c r="AK136" t="str">
        <f t="shared" si="38"/>
        <v xml:space="preserve">Valid </v>
      </c>
      <c r="AL136" t="str">
        <f>IF(AND(Audit_Data[[#This Row],[Recency]]&gt;=0,Audit_Data[[#This Row],[Recency]]&lt;=100),"Valid","Invalid")</f>
        <v>Valid</v>
      </c>
      <c r="AM136" t="str">
        <f t="shared" si="32"/>
        <v>Valid</v>
      </c>
      <c r="AN136" t="str">
        <f t="shared" si="33"/>
        <v>Valid</v>
      </c>
      <c r="AO136" t="str">
        <f t="shared" si="34"/>
        <v>Valid</v>
      </c>
      <c r="AP136" t="str">
        <f t="shared" si="35"/>
        <v>Valid</v>
      </c>
      <c r="AQ136" t="str">
        <f>IF(Audit_Data[[#This Row],[Z_CostContact]]=3,"Valid","Invalid")</f>
        <v>Valid</v>
      </c>
      <c r="AR136" t="str">
        <f t="shared" si="36"/>
        <v>Valid</v>
      </c>
      <c r="AS136" t="str">
        <f t="shared" si="37"/>
        <v>Valid</v>
      </c>
    </row>
    <row r="137" spans="1:45" x14ac:dyDescent="0.3">
      <c r="A137">
        <v>1685</v>
      </c>
      <c r="B137">
        <v>1967</v>
      </c>
      <c r="C137" t="s">
        <v>32</v>
      </c>
      <c r="D137" t="s">
        <v>31</v>
      </c>
      <c r="E137">
        <v>62981</v>
      </c>
      <c r="F137">
        <v>0</v>
      </c>
      <c r="G137">
        <v>0</v>
      </c>
      <c r="H137" s="1">
        <v>41350</v>
      </c>
      <c r="I137">
        <v>21</v>
      </c>
      <c r="J137">
        <v>796</v>
      </c>
      <c r="K137">
        <v>14</v>
      </c>
      <c r="L137">
        <v>590</v>
      </c>
      <c r="M137">
        <v>38</v>
      </c>
      <c r="N137">
        <v>44</v>
      </c>
      <c r="O137">
        <v>0</v>
      </c>
      <c r="P137">
        <v>1</v>
      </c>
      <c r="Q137">
        <v>4</v>
      </c>
      <c r="R137">
        <v>5</v>
      </c>
      <c r="S137">
        <v>13</v>
      </c>
      <c r="T137">
        <v>3</v>
      </c>
      <c r="U137">
        <v>0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3</v>
      </c>
      <c r="AB137">
        <v>11</v>
      </c>
      <c r="AC137">
        <v>0</v>
      </c>
      <c r="AD137" t="str">
        <f t="shared" si="26"/>
        <v>Ok</v>
      </c>
      <c r="AE137" t="str">
        <f>IF(AND(Audit_Data[[#This Row],[Year_Birth]]&gt;=1900,Audit_Data[[#This Row],[Year_Birth]]&lt;=2010),"OK","Invalid")</f>
        <v>OK</v>
      </c>
      <c r="AF137" t="str">
        <f t="shared" si="27"/>
        <v>Valid</v>
      </c>
      <c r="AG137" t="str">
        <f t="shared" si="28"/>
        <v>Valid</v>
      </c>
      <c r="AH137" t="str">
        <f t="shared" si="29"/>
        <v>Valid</v>
      </c>
      <c r="AI137" t="str">
        <f t="shared" si="30"/>
        <v>Valid</v>
      </c>
      <c r="AJ137" t="str">
        <f t="shared" si="31"/>
        <v>Valid</v>
      </c>
      <c r="AK137" t="str">
        <f t="shared" si="38"/>
        <v xml:space="preserve">Valid </v>
      </c>
      <c r="AL137" t="str">
        <f>IF(AND(Audit_Data[[#This Row],[Recency]]&gt;=0,Audit_Data[[#This Row],[Recency]]&lt;=100),"Valid","Invalid")</f>
        <v>Valid</v>
      </c>
      <c r="AM137" t="str">
        <f t="shared" si="32"/>
        <v>Valid</v>
      </c>
      <c r="AN137" t="str">
        <f t="shared" si="33"/>
        <v>Valid</v>
      </c>
      <c r="AO137" t="str">
        <f t="shared" si="34"/>
        <v>Valid</v>
      </c>
      <c r="AP137" t="str">
        <f t="shared" si="35"/>
        <v>Valid</v>
      </c>
      <c r="AQ137" t="str">
        <f>IF(Audit_Data[[#This Row],[Z_CostContact]]=3,"Valid","Invalid")</f>
        <v>Valid</v>
      </c>
      <c r="AR137" t="str">
        <f t="shared" si="36"/>
        <v>Valid</v>
      </c>
      <c r="AS137" t="str">
        <f t="shared" si="37"/>
        <v>Valid</v>
      </c>
    </row>
    <row r="138" spans="1:45" x14ac:dyDescent="0.3">
      <c r="A138">
        <v>5342</v>
      </c>
      <c r="B138">
        <v>1976</v>
      </c>
      <c r="C138" t="s">
        <v>36</v>
      </c>
      <c r="D138" t="s">
        <v>35</v>
      </c>
      <c r="E138">
        <v>9548</v>
      </c>
      <c r="F138">
        <v>1</v>
      </c>
      <c r="G138">
        <v>0</v>
      </c>
      <c r="H138" s="1">
        <v>41129</v>
      </c>
      <c r="I138">
        <v>31</v>
      </c>
      <c r="J138">
        <v>0</v>
      </c>
      <c r="K138">
        <v>1</v>
      </c>
      <c r="L138">
        <v>3</v>
      </c>
      <c r="M138">
        <v>10</v>
      </c>
      <c r="N138">
        <v>6</v>
      </c>
      <c r="O138">
        <v>9</v>
      </c>
      <c r="P138">
        <v>2</v>
      </c>
      <c r="Q138">
        <v>1</v>
      </c>
      <c r="R138">
        <v>0</v>
      </c>
      <c r="S138">
        <v>3</v>
      </c>
      <c r="T138">
        <v>8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3</v>
      </c>
      <c r="AB138">
        <v>11</v>
      </c>
      <c r="AC138">
        <v>0</v>
      </c>
      <c r="AD138" t="str">
        <f t="shared" si="26"/>
        <v>Ok</v>
      </c>
      <c r="AE138" t="str">
        <f>IF(AND(Audit_Data[[#This Row],[Year_Birth]]&gt;=1900,Audit_Data[[#This Row],[Year_Birth]]&lt;=2010),"OK","Invalid")</f>
        <v>OK</v>
      </c>
      <c r="AF138" t="str">
        <f t="shared" si="27"/>
        <v>Valid</v>
      </c>
      <c r="AG138" t="str">
        <f t="shared" si="28"/>
        <v>Valid</v>
      </c>
      <c r="AH138" t="str">
        <f t="shared" si="29"/>
        <v>Valid</v>
      </c>
      <c r="AI138" t="str">
        <f t="shared" si="30"/>
        <v>Valid</v>
      </c>
      <c r="AJ138" t="str">
        <f t="shared" si="31"/>
        <v>Valid</v>
      </c>
      <c r="AK138" t="str">
        <f t="shared" si="38"/>
        <v xml:space="preserve">Valid </v>
      </c>
      <c r="AL138" t="str">
        <f>IF(AND(Audit_Data[[#This Row],[Recency]]&gt;=0,Audit_Data[[#This Row],[Recency]]&lt;=100),"Valid","Invalid")</f>
        <v>Valid</v>
      </c>
      <c r="AM138" t="str">
        <f t="shared" si="32"/>
        <v>Valid</v>
      </c>
      <c r="AN138" t="str">
        <f t="shared" si="33"/>
        <v>Valid</v>
      </c>
      <c r="AO138" t="str">
        <f t="shared" si="34"/>
        <v>Valid</v>
      </c>
      <c r="AP138" t="str">
        <f t="shared" si="35"/>
        <v>Valid</v>
      </c>
      <c r="AQ138" t="str">
        <f>IF(Audit_Data[[#This Row],[Z_CostContact]]=3,"Valid","Invalid")</f>
        <v>Valid</v>
      </c>
      <c r="AR138" t="str">
        <f t="shared" si="36"/>
        <v>Valid</v>
      </c>
      <c r="AS138" t="str">
        <f t="shared" si="37"/>
        <v>Valid</v>
      </c>
    </row>
    <row r="139" spans="1:45" x14ac:dyDescent="0.3">
      <c r="A139">
        <v>9579</v>
      </c>
      <c r="B139">
        <v>1959</v>
      </c>
      <c r="C139" t="s">
        <v>32</v>
      </c>
      <c r="D139" t="s">
        <v>33</v>
      </c>
      <c r="E139">
        <v>33762</v>
      </c>
      <c r="F139">
        <v>2</v>
      </c>
      <c r="G139">
        <v>1</v>
      </c>
      <c r="H139" s="1">
        <v>41462</v>
      </c>
      <c r="I139">
        <v>61</v>
      </c>
      <c r="J139">
        <v>53</v>
      </c>
      <c r="K139">
        <v>1</v>
      </c>
      <c r="L139">
        <v>34</v>
      </c>
      <c r="M139">
        <v>2</v>
      </c>
      <c r="N139">
        <v>0</v>
      </c>
      <c r="O139">
        <v>16</v>
      </c>
      <c r="P139">
        <v>3</v>
      </c>
      <c r="Q139">
        <v>2</v>
      </c>
      <c r="R139">
        <v>2</v>
      </c>
      <c r="S139">
        <v>2</v>
      </c>
      <c r="T139">
        <v>8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3</v>
      </c>
      <c r="AB139">
        <v>11</v>
      </c>
      <c r="AC139">
        <v>0</v>
      </c>
      <c r="AD139" t="str">
        <f t="shared" si="26"/>
        <v>Ok</v>
      </c>
      <c r="AE139" t="str">
        <f>IF(AND(Audit_Data[[#This Row],[Year_Birth]]&gt;=1900,Audit_Data[[#This Row],[Year_Birth]]&lt;=2010),"OK","Invalid")</f>
        <v>OK</v>
      </c>
      <c r="AF139" t="str">
        <f t="shared" si="27"/>
        <v>Valid</v>
      </c>
      <c r="AG139" t="str">
        <f t="shared" si="28"/>
        <v>Valid</v>
      </c>
      <c r="AH139" t="str">
        <f t="shared" si="29"/>
        <v>Valid</v>
      </c>
      <c r="AI139" t="str">
        <f t="shared" si="30"/>
        <v>Valid</v>
      </c>
      <c r="AJ139" t="str">
        <f t="shared" si="31"/>
        <v>Valid</v>
      </c>
      <c r="AK139" t="str">
        <f t="shared" si="38"/>
        <v xml:space="preserve">Valid </v>
      </c>
      <c r="AL139" t="str">
        <f>IF(AND(Audit_Data[[#This Row],[Recency]]&gt;=0,Audit_Data[[#This Row],[Recency]]&lt;=100),"Valid","Invalid")</f>
        <v>Valid</v>
      </c>
      <c r="AM139" t="str">
        <f t="shared" si="32"/>
        <v>Valid</v>
      </c>
      <c r="AN139" t="str">
        <f t="shared" si="33"/>
        <v>Valid</v>
      </c>
      <c r="AO139" t="str">
        <f t="shared" si="34"/>
        <v>Valid</v>
      </c>
      <c r="AP139" t="str">
        <f t="shared" si="35"/>
        <v>Valid</v>
      </c>
      <c r="AQ139" t="str">
        <f>IF(Audit_Data[[#This Row],[Z_CostContact]]=3,"Valid","Invalid")</f>
        <v>Valid</v>
      </c>
      <c r="AR139" t="str">
        <f t="shared" si="36"/>
        <v>Valid</v>
      </c>
      <c r="AS139" t="str">
        <f t="shared" si="37"/>
        <v>Valid</v>
      </c>
    </row>
    <row r="140" spans="1:45" x14ac:dyDescent="0.3">
      <c r="A140">
        <v>7660</v>
      </c>
      <c r="B140">
        <v>1973</v>
      </c>
      <c r="C140" t="s">
        <v>32</v>
      </c>
      <c r="D140" t="s">
        <v>39</v>
      </c>
      <c r="E140">
        <v>35860</v>
      </c>
      <c r="F140">
        <v>1</v>
      </c>
      <c r="G140">
        <v>1</v>
      </c>
      <c r="H140" s="1">
        <v>41778</v>
      </c>
      <c r="I140">
        <v>37</v>
      </c>
      <c r="J140">
        <v>15</v>
      </c>
      <c r="K140">
        <v>0</v>
      </c>
      <c r="L140">
        <v>8</v>
      </c>
      <c r="M140">
        <v>4</v>
      </c>
      <c r="N140">
        <v>2</v>
      </c>
      <c r="O140">
        <v>20</v>
      </c>
      <c r="P140">
        <v>2</v>
      </c>
      <c r="Q140">
        <v>1</v>
      </c>
      <c r="R140">
        <v>1</v>
      </c>
      <c r="S140">
        <v>2</v>
      </c>
      <c r="T140">
        <v>5</v>
      </c>
      <c r="U140">
        <v>1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3</v>
      </c>
      <c r="AB140">
        <v>11</v>
      </c>
      <c r="AC140">
        <v>1</v>
      </c>
      <c r="AD140" t="str">
        <f t="shared" si="26"/>
        <v>Ok</v>
      </c>
      <c r="AE140" t="str">
        <f>IF(AND(Audit_Data[[#This Row],[Year_Birth]]&gt;=1900,Audit_Data[[#This Row],[Year_Birth]]&lt;=2010),"OK","Invalid")</f>
        <v>OK</v>
      </c>
      <c r="AF140" t="str">
        <f t="shared" si="27"/>
        <v>Valid</v>
      </c>
      <c r="AG140" t="str">
        <f t="shared" si="28"/>
        <v>Valid</v>
      </c>
      <c r="AH140" t="str">
        <f t="shared" si="29"/>
        <v>Valid</v>
      </c>
      <c r="AI140" t="str">
        <f t="shared" si="30"/>
        <v>Valid</v>
      </c>
      <c r="AJ140" t="str">
        <f t="shared" si="31"/>
        <v>Valid</v>
      </c>
      <c r="AK140" t="str">
        <f t="shared" si="38"/>
        <v xml:space="preserve">Valid </v>
      </c>
      <c r="AL140" t="str">
        <f>IF(AND(Audit_Data[[#This Row],[Recency]]&gt;=0,Audit_Data[[#This Row],[Recency]]&lt;=100),"Valid","Invalid")</f>
        <v>Valid</v>
      </c>
      <c r="AM140" t="str">
        <f t="shared" si="32"/>
        <v>Valid</v>
      </c>
      <c r="AN140" t="str">
        <f t="shared" si="33"/>
        <v>Valid</v>
      </c>
      <c r="AO140" t="str">
        <f t="shared" si="34"/>
        <v>Valid</v>
      </c>
      <c r="AP140" t="str">
        <f t="shared" si="35"/>
        <v>Valid</v>
      </c>
      <c r="AQ140" t="str">
        <f>IF(Audit_Data[[#This Row],[Z_CostContact]]=3,"Valid","Invalid")</f>
        <v>Valid</v>
      </c>
      <c r="AR140" t="str">
        <f t="shared" si="36"/>
        <v>Valid</v>
      </c>
      <c r="AS140" t="str">
        <f t="shared" si="37"/>
        <v>Valid</v>
      </c>
    </row>
    <row r="141" spans="1:45" x14ac:dyDescent="0.3">
      <c r="A141">
        <v>1461</v>
      </c>
      <c r="B141">
        <v>1965</v>
      </c>
      <c r="C141" t="s">
        <v>32</v>
      </c>
      <c r="D141" t="s">
        <v>35</v>
      </c>
      <c r="E141">
        <v>36921</v>
      </c>
      <c r="F141">
        <v>1</v>
      </c>
      <c r="G141">
        <v>1</v>
      </c>
      <c r="H141" s="1">
        <v>41483</v>
      </c>
      <c r="I141">
        <v>74</v>
      </c>
      <c r="J141">
        <v>17</v>
      </c>
      <c r="K141">
        <v>1</v>
      </c>
      <c r="L141">
        <v>12</v>
      </c>
      <c r="M141">
        <v>3</v>
      </c>
      <c r="N141">
        <v>1</v>
      </c>
      <c r="O141">
        <v>4</v>
      </c>
      <c r="P141">
        <v>2</v>
      </c>
      <c r="Q141">
        <v>2</v>
      </c>
      <c r="R141">
        <v>0</v>
      </c>
      <c r="S141">
        <v>3</v>
      </c>
      <c r="T141">
        <v>7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3</v>
      </c>
      <c r="AB141">
        <v>11</v>
      </c>
      <c r="AC141">
        <v>0</v>
      </c>
      <c r="AD141" t="str">
        <f t="shared" si="26"/>
        <v>Ok</v>
      </c>
      <c r="AE141" t="str">
        <f>IF(AND(Audit_Data[[#This Row],[Year_Birth]]&gt;=1900,Audit_Data[[#This Row],[Year_Birth]]&lt;=2010),"OK","Invalid")</f>
        <v>OK</v>
      </c>
      <c r="AF141" t="str">
        <f t="shared" si="27"/>
        <v>Valid</v>
      </c>
      <c r="AG141" t="str">
        <f t="shared" si="28"/>
        <v>Valid</v>
      </c>
      <c r="AH141" t="str">
        <f t="shared" si="29"/>
        <v>Valid</v>
      </c>
      <c r="AI141" t="str">
        <f t="shared" si="30"/>
        <v>Valid</v>
      </c>
      <c r="AJ141" t="str">
        <f t="shared" si="31"/>
        <v>Valid</v>
      </c>
      <c r="AK141" t="str">
        <f t="shared" si="38"/>
        <v xml:space="preserve">Valid </v>
      </c>
      <c r="AL141" t="str">
        <f>IF(AND(Audit_Data[[#This Row],[Recency]]&gt;=0,Audit_Data[[#This Row],[Recency]]&lt;=100),"Valid","Invalid")</f>
        <v>Valid</v>
      </c>
      <c r="AM141" t="str">
        <f t="shared" si="32"/>
        <v>Valid</v>
      </c>
      <c r="AN141" t="str">
        <f t="shared" si="33"/>
        <v>Valid</v>
      </c>
      <c r="AO141" t="str">
        <f t="shared" si="34"/>
        <v>Valid</v>
      </c>
      <c r="AP141" t="str">
        <f t="shared" si="35"/>
        <v>Valid</v>
      </c>
      <c r="AQ141" t="str">
        <f>IF(Audit_Data[[#This Row],[Z_CostContact]]=3,"Valid","Invalid")</f>
        <v>Valid</v>
      </c>
      <c r="AR141" t="str">
        <f t="shared" si="36"/>
        <v>Valid</v>
      </c>
      <c r="AS141" t="str">
        <f t="shared" si="37"/>
        <v>Valid</v>
      </c>
    </row>
    <row r="142" spans="1:45" x14ac:dyDescent="0.3">
      <c r="A142">
        <v>821</v>
      </c>
      <c r="B142">
        <v>1992</v>
      </c>
      <c r="C142" t="s">
        <v>34</v>
      </c>
      <c r="D142" t="s">
        <v>30</v>
      </c>
      <c r="E142">
        <v>92859</v>
      </c>
      <c r="F142">
        <v>0</v>
      </c>
      <c r="G142">
        <v>0</v>
      </c>
      <c r="H142" s="1">
        <v>41201</v>
      </c>
      <c r="I142">
        <v>46</v>
      </c>
      <c r="J142">
        <v>962</v>
      </c>
      <c r="K142">
        <v>61</v>
      </c>
      <c r="L142">
        <v>921</v>
      </c>
      <c r="M142">
        <v>52</v>
      </c>
      <c r="N142">
        <v>61</v>
      </c>
      <c r="O142">
        <v>20</v>
      </c>
      <c r="P142">
        <v>1</v>
      </c>
      <c r="Q142">
        <v>5</v>
      </c>
      <c r="R142">
        <v>4</v>
      </c>
      <c r="S142">
        <v>12</v>
      </c>
      <c r="T142">
        <v>2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3</v>
      </c>
      <c r="AB142">
        <v>11</v>
      </c>
      <c r="AC142">
        <v>0</v>
      </c>
      <c r="AD142" t="str">
        <f t="shared" si="26"/>
        <v>Ok</v>
      </c>
      <c r="AE142" t="str">
        <f>IF(AND(Audit_Data[[#This Row],[Year_Birth]]&gt;=1900,Audit_Data[[#This Row],[Year_Birth]]&lt;=2010),"OK","Invalid")</f>
        <v>OK</v>
      </c>
      <c r="AF142" t="str">
        <f t="shared" si="27"/>
        <v>Valid</v>
      </c>
      <c r="AG142" t="str">
        <f t="shared" si="28"/>
        <v>Valid</v>
      </c>
      <c r="AH142" t="str">
        <f t="shared" si="29"/>
        <v>Valid</v>
      </c>
      <c r="AI142" t="str">
        <f t="shared" si="30"/>
        <v>Valid</v>
      </c>
      <c r="AJ142" t="str">
        <f t="shared" si="31"/>
        <v>Valid</v>
      </c>
      <c r="AK142" t="str">
        <f t="shared" si="38"/>
        <v xml:space="preserve">Valid </v>
      </c>
      <c r="AL142" t="str">
        <f>IF(AND(Audit_Data[[#This Row],[Recency]]&gt;=0,Audit_Data[[#This Row],[Recency]]&lt;=100),"Valid","Invalid")</f>
        <v>Valid</v>
      </c>
      <c r="AM142" t="str">
        <f t="shared" si="32"/>
        <v>Valid</v>
      </c>
      <c r="AN142" t="str">
        <f t="shared" si="33"/>
        <v>Valid</v>
      </c>
      <c r="AO142" t="str">
        <f t="shared" si="34"/>
        <v>Valid</v>
      </c>
      <c r="AP142" t="str">
        <f t="shared" si="35"/>
        <v>Valid</v>
      </c>
      <c r="AQ142" t="str">
        <f>IF(Audit_Data[[#This Row],[Z_CostContact]]=3,"Valid","Invalid")</f>
        <v>Valid</v>
      </c>
      <c r="AR142" t="str">
        <f t="shared" si="36"/>
        <v>Valid</v>
      </c>
      <c r="AS142" t="str">
        <f t="shared" si="37"/>
        <v>Valid</v>
      </c>
    </row>
    <row r="143" spans="1:45" x14ac:dyDescent="0.3">
      <c r="A143">
        <v>11084</v>
      </c>
      <c r="B143">
        <v>1976</v>
      </c>
      <c r="C143" t="s">
        <v>34</v>
      </c>
      <c r="D143" t="s">
        <v>31</v>
      </c>
      <c r="E143">
        <v>65104</v>
      </c>
      <c r="F143">
        <v>0</v>
      </c>
      <c r="G143">
        <v>1</v>
      </c>
      <c r="H143" s="1">
        <v>41592</v>
      </c>
      <c r="I143">
        <v>4</v>
      </c>
      <c r="J143">
        <v>738</v>
      </c>
      <c r="K143">
        <v>0</v>
      </c>
      <c r="L143">
        <v>232</v>
      </c>
      <c r="M143">
        <v>13</v>
      </c>
      <c r="N143">
        <v>20</v>
      </c>
      <c r="O143">
        <v>50</v>
      </c>
      <c r="P143">
        <v>2</v>
      </c>
      <c r="Q143">
        <v>3</v>
      </c>
      <c r="R143">
        <v>5</v>
      </c>
      <c r="S143">
        <v>7</v>
      </c>
      <c r="T143">
        <v>7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3</v>
      </c>
      <c r="AB143">
        <v>11</v>
      </c>
      <c r="AC143">
        <v>1</v>
      </c>
      <c r="AD143" t="str">
        <f t="shared" si="26"/>
        <v>Ok</v>
      </c>
      <c r="AE143" t="str">
        <f>IF(AND(Audit_Data[[#This Row],[Year_Birth]]&gt;=1900,Audit_Data[[#This Row],[Year_Birth]]&lt;=2010),"OK","Invalid")</f>
        <v>OK</v>
      </c>
      <c r="AF143" t="str">
        <f t="shared" si="27"/>
        <v>Valid</v>
      </c>
      <c r="AG143" t="str">
        <f t="shared" si="28"/>
        <v>Valid</v>
      </c>
      <c r="AH143" t="str">
        <f t="shared" si="29"/>
        <v>Valid</v>
      </c>
      <c r="AI143" t="str">
        <f t="shared" si="30"/>
        <v>Valid</v>
      </c>
      <c r="AJ143" t="str">
        <f t="shared" si="31"/>
        <v>Valid</v>
      </c>
      <c r="AK143" t="str">
        <f t="shared" si="38"/>
        <v xml:space="preserve">Valid </v>
      </c>
      <c r="AL143" t="str">
        <f>IF(AND(Audit_Data[[#This Row],[Recency]]&gt;=0,Audit_Data[[#This Row],[Recency]]&lt;=100),"Valid","Invalid")</f>
        <v>Valid</v>
      </c>
      <c r="AM143" t="str">
        <f t="shared" si="32"/>
        <v>Valid</v>
      </c>
      <c r="AN143" t="str">
        <f t="shared" si="33"/>
        <v>Valid</v>
      </c>
      <c r="AO143" t="str">
        <f t="shared" si="34"/>
        <v>Valid</v>
      </c>
      <c r="AP143" t="str">
        <f t="shared" si="35"/>
        <v>Valid</v>
      </c>
      <c r="AQ143" t="str">
        <f>IF(Audit_Data[[#This Row],[Z_CostContact]]=3,"Valid","Invalid")</f>
        <v>Valid</v>
      </c>
      <c r="AR143" t="str">
        <f t="shared" si="36"/>
        <v>Valid</v>
      </c>
      <c r="AS143" t="str">
        <f t="shared" si="37"/>
        <v>Valid</v>
      </c>
    </row>
    <row r="144" spans="1:45" x14ac:dyDescent="0.3">
      <c r="A144">
        <v>8690</v>
      </c>
      <c r="B144">
        <v>1962</v>
      </c>
      <c r="C144" t="s">
        <v>29</v>
      </c>
      <c r="D144" t="s">
        <v>33</v>
      </c>
      <c r="E144">
        <v>86111</v>
      </c>
      <c r="F144">
        <v>0</v>
      </c>
      <c r="G144">
        <v>0</v>
      </c>
      <c r="H144" s="1">
        <v>41383</v>
      </c>
      <c r="I144">
        <v>73</v>
      </c>
      <c r="J144">
        <v>399</v>
      </c>
      <c r="K144">
        <v>28</v>
      </c>
      <c r="L144">
        <v>756</v>
      </c>
      <c r="M144">
        <v>36</v>
      </c>
      <c r="N144">
        <v>40</v>
      </c>
      <c r="O144">
        <v>126</v>
      </c>
      <c r="P144">
        <v>1</v>
      </c>
      <c r="Q144">
        <v>5</v>
      </c>
      <c r="R144">
        <v>7</v>
      </c>
      <c r="S144">
        <v>10</v>
      </c>
      <c r="T144">
        <v>2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3</v>
      </c>
      <c r="AB144">
        <v>11</v>
      </c>
      <c r="AC144">
        <v>0</v>
      </c>
      <c r="AD144" t="str">
        <f t="shared" si="26"/>
        <v>Ok</v>
      </c>
      <c r="AE144" t="str">
        <f>IF(AND(Audit_Data[[#This Row],[Year_Birth]]&gt;=1900,Audit_Data[[#This Row],[Year_Birth]]&lt;=2010),"OK","Invalid")</f>
        <v>OK</v>
      </c>
      <c r="AF144" t="str">
        <f t="shared" si="27"/>
        <v>Valid</v>
      </c>
      <c r="AG144" t="str">
        <f t="shared" si="28"/>
        <v>Valid</v>
      </c>
      <c r="AH144" t="str">
        <f t="shared" si="29"/>
        <v>Valid</v>
      </c>
      <c r="AI144" t="str">
        <f t="shared" si="30"/>
        <v>Valid</v>
      </c>
      <c r="AJ144" t="str">
        <f t="shared" si="31"/>
        <v>Valid</v>
      </c>
      <c r="AK144" t="str">
        <f t="shared" si="38"/>
        <v xml:space="preserve">Valid </v>
      </c>
      <c r="AL144" t="str">
        <f>IF(AND(Audit_Data[[#This Row],[Recency]]&gt;=0,Audit_Data[[#This Row],[Recency]]&lt;=100),"Valid","Invalid")</f>
        <v>Valid</v>
      </c>
      <c r="AM144" t="str">
        <f t="shared" si="32"/>
        <v>Valid</v>
      </c>
      <c r="AN144" t="str">
        <f t="shared" si="33"/>
        <v>Valid</v>
      </c>
      <c r="AO144" t="str">
        <f t="shared" si="34"/>
        <v>Valid</v>
      </c>
      <c r="AP144" t="str">
        <f t="shared" si="35"/>
        <v>Valid</v>
      </c>
      <c r="AQ144" t="str">
        <f>IF(Audit_Data[[#This Row],[Z_CostContact]]=3,"Valid","Invalid")</f>
        <v>Valid</v>
      </c>
      <c r="AR144" t="str">
        <f t="shared" si="36"/>
        <v>Valid</v>
      </c>
      <c r="AS144" t="str">
        <f t="shared" si="37"/>
        <v>Valid</v>
      </c>
    </row>
    <row r="145" spans="1:45" x14ac:dyDescent="0.3">
      <c r="A145">
        <v>2937</v>
      </c>
      <c r="B145">
        <v>1974</v>
      </c>
      <c r="C145" t="s">
        <v>32</v>
      </c>
      <c r="D145" t="s">
        <v>30</v>
      </c>
      <c r="E145">
        <v>68352</v>
      </c>
      <c r="F145">
        <v>0</v>
      </c>
      <c r="G145">
        <v>1</v>
      </c>
      <c r="H145" s="1">
        <v>41514</v>
      </c>
      <c r="I145">
        <v>47</v>
      </c>
      <c r="J145">
        <v>614</v>
      </c>
      <c r="K145">
        <v>16</v>
      </c>
      <c r="L145">
        <v>132</v>
      </c>
      <c r="M145">
        <v>43</v>
      </c>
      <c r="N145">
        <v>33</v>
      </c>
      <c r="O145">
        <v>33</v>
      </c>
      <c r="P145">
        <v>3</v>
      </c>
      <c r="Q145">
        <v>8</v>
      </c>
      <c r="R145">
        <v>5</v>
      </c>
      <c r="S145">
        <v>9</v>
      </c>
      <c r="T145">
        <v>6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3</v>
      </c>
      <c r="AB145">
        <v>11</v>
      </c>
      <c r="AC145">
        <v>0</v>
      </c>
      <c r="AD145" t="str">
        <f t="shared" si="26"/>
        <v>Ok</v>
      </c>
      <c r="AE145" t="str">
        <f>IF(AND(Audit_Data[[#This Row],[Year_Birth]]&gt;=1900,Audit_Data[[#This Row],[Year_Birth]]&lt;=2010),"OK","Invalid")</f>
        <v>OK</v>
      </c>
      <c r="AF145" t="str">
        <f t="shared" si="27"/>
        <v>Valid</v>
      </c>
      <c r="AG145" t="str">
        <f t="shared" si="28"/>
        <v>Valid</v>
      </c>
      <c r="AH145" t="str">
        <f t="shared" si="29"/>
        <v>Valid</v>
      </c>
      <c r="AI145" t="str">
        <f t="shared" si="30"/>
        <v>Valid</v>
      </c>
      <c r="AJ145" t="str">
        <f t="shared" si="31"/>
        <v>Valid</v>
      </c>
      <c r="AK145" t="str">
        <f t="shared" si="38"/>
        <v xml:space="preserve">Valid </v>
      </c>
      <c r="AL145" t="str">
        <f>IF(AND(Audit_Data[[#This Row],[Recency]]&gt;=0,Audit_Data[[#This Row],[Recency]]&lt;=100),"Valid","Invalid")</f>
        <v>Valid</v>
      </c>
      <c r="AM145" t="str">
        <f t="shared" si="32"/>
        <v>Valid</v>
      </c>
      <c r="AN145" t="str">
        <f t="shared" si="33"/>
        <v>Valid</v>
      </c>
      <c r="AO145" t="str">
        <f t="shared" si="34"/>
        <v>Valid</v>
      </c>
      <c r="AP145" t="str">
        <f t="shared" si="35"/>
        <v>Valid</v>
      </c>
      <c r="AQ145" t="str">
        <f>IF(Audit_Data[[#This Row],[Z_CostContact]]=3,"Valid","Invalid")</f>
        <v>Valid</v>
      </c>
      <c r="AR145" t="str">
        <f t="shared" si="36"/>
        <v>Valid</v>
      </c>
      <c r="AS145" t="str">
        <f t="shared" si="37"/>
        <v>Valid</v>
      </c>
    </row>
    <row r="146" spans="1:45" x14ac:dyDescent="0.3">
      <c r="A146">
        <v>9701</v>
      </c>
      <c r="B146">
        <v>1988</v>
      </c>
      <c r="C146" t="s">
        <v>29</v>
      </c>
      <c r="D146" t="s">
        <v>31</v>
      </c>
      <c r="E146">
        <v>41883</v>
      </c>
      <c r="F146">
        <v>1</v>
      </c>
      <c r="G146">
        <v>0</v>
      </c>
      <c r="H146" s="1">
        <v>41352</v>
      </c>
      <c r="I146">
        <v>13</v>
      </c>
      <c r="J146">
        <v>32</v>
      </c>
      <c r="K146">
        <v>34</v>
      </c>
      <c r="L146">
        <v>41</v>
      </c>
      <c r="M146">
        <v>73</v>
      </c>
      <c r="N146">
        <v>16</v>
      </c>
      <c r="O146">
        <v>116</v>
      </c>
      <c r="P146">
        <v>3</v>
      </c>
      <c r="Q146">
        <v>4</v>
      </c>
      <c r="R146">
        <v>2</v>
      </c>
      <c r="S146">
        <v>3</v>
      </c>
      <c r="T146">
        <v>7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3</v>
      </c>
      <c r="AB146">
        <v>11</v>
      </c>
      <c r="AC146">
        <v>0</v>
      </c>
      <c r="AD146" t="str">
        <f t="shared" si="26"/>
        <v>Ok</v>
      </c>
      <c r="AE146" t="str">
        <f>IF(AND(Audit_Data[[#This Row],[Year_Birth]]&gt;=1900,Audit_Data[[#This Row],[Year_Birth]]&lt;=2010),"OK","Invalid")</f>
        <v>OK</v>
      </c>
      <c r="AF146" t="str">
        <f t="shared" si="27"/>
        <v>Valid</v>
      </c>
      <c r="AG146" t="str">
        <f t="shared" si="28"/>
        <v>Valid</v>
      </c>
      <c r="AH146" t="str">
        <f t="shared" si="29"/>
        <v>Valid</v>
      </c>
      <c r="AI146" t="str">
        <f t="shared" si="30"/>
        <v>Valid</v>
      </c>
      <c r="AJ146" t="str">
        <f t="shared" si="31"/>
        <v>Valid</v>
      </c>
      <c r="AK146" t="str">
        <f t="shared" si="38"/>
        <v xml:space="preserve">Valid </v>
      </c>
      <c r="AL146" t="str">
        <f>IF(AND(Audit_Data[[#This Row],[Recency]]&gt;=0,Audit_Data[[#This Row],[Recency]]&lt;=100),"Valid","Invalid")</f>
        <v>Valid</v>
      </c>
      <c r="AM146" t="str">
        <f t="shared" si="32"/>
        <v>Valid</v>
      </c>
      <c r="AN146" t="str">
        <f t="shared" si="33"/>
        <v>Valid</v>
      </c>
      <c r="AO146" t="str">
        <f t="shared" si="34"/>
        <v>Valid</v>
      </c>
      <c r="AP146" t="str">
        <f t="shared" si="35"/>
        <v>Valid</v>
      </c>
      <c r="AQ146" t="str">
        <f>IF(Audit_Data[[#This Row],[Z_CostContact]]=3,"Valid","Invalid")</f>
        <v>Valid</v>
      </c>
      <c r="AR146" t="str">
        <f t="shared" si="36"/>
        <v>Valid</v>
      </c>
      <c r="AS146" t="str">
        <f t="shared" si="37"/>
        <v>Valid</v>
      </c>
    </row>
    <row r="147" spans="1:45" x14ac:dyDescent="0.3">
      <c r="A147">
        <v>9949</v>
      </c>
      <c r="B147">
        <v>1976</v>
      </c>
      <c r="C147" t="s">
        <v>29</v>
      </c>
      <c r="D147" t="s">
        <v>33</v>
      </c>
      <c r="E147">
        <v>59809</v>
      </c>
      <c r="F147">
        <v>0</v>
      </c>
      <c r="G147">
        <v>2</v>
      </c>
      <c r="H147" s="1">
        <v>41200</v>
      </c>
      <c r="I147">
        <v>36</v>
      </c>
      <c r="J147">
        <v>598</v>
      </c>
      <c r="K147">
        <v>16</v>
      </c>
      <c r="L147">
        <v>141</v>
      </c>
      <c r="M147">
        <v>32</v>
      </c>
      <c r="N147">
        <v>41</v>
      </c>
      <c r="O147">
        <v>49</v>
      </c>
      <c r="P147">
        <v>3</v>
      </c>
      <c r="Q147">
        <v>3</v>
      </c>
      <c r="R147">
        <v>3</v>
      </c>
      <c r="S147">
        <v>6</v>
      </c>
      <c r="T147">
        <v>8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3</v>
      </c>
      <c r="AB147">
        <v>11</v>
      </c>
      <c r="AC147">
        <v>0</v>
      </c>
      <c r="AD147" t="str">
        <f t="shared" si="26"/>
        <v>Ok</v>
      </c>
      <c r="AE147" t="str">
        <f>IF(AND(Audit_Data[[#This Row],[Year_Birth]]&gt;=1900,Audit_Data[[#This Row],[Year_Birth]]&lt;=2010),"OK","Invalid")</f>
        <v>OK</v>
      </c>
      <c r="AF147" t="str">
        <f t="shared" si="27"/>
        <v>Valid</v>
      </c>
      <c r="AG147" t="str">
        <f t="shared" si="28"/>
        <v>Valid</v>
      </c>
      <c r="AH147" t="str">
        <f t="shared" si="29"/>
        <v>Valid</v>
      </c>
      <c r="AI147" t="str">
        <f t="shared" si="30"/>
        <v>Valid</v>
      </c>
      <c r="AJ147" t="str">
        <f t="shared" si="31"/>
        <v>Valid</v>
      </c>
      <c r="AK147" t="str">
        <f t="shared" si="38"/>
        <v xml:space="preserve">Valid </v>
      </c>
      <c r="AL147" t="str">
        <f>IF(AND(Audit_Data[[#This Row],[Recency]]&gt;=0,Audit_Data[[#This Row],[Recency]]&lt;=100),"Valid","Invalid")</f>
        <v>Valid</v>
      </c>
      <c r="AM147" t="str">
        <f t="shared" si="32"/>
        <v>Valid</v>
      </c>
      <c r="AN147" t="str">
        <f t="shared" si="33"/>
        <v>Valid</v>
      </c>
      <c r="AO147" t="str">
        <f t="shared" si="34"/>
        <v>Valid</v>
      </c>
      <c r="AP147" t="str">
        <f t="shared" si="35"/>
        <v>Valid</v>
      </c>
      <c r="AQ147" t="str">
        <f>IF(Audit_Data[[#This Row],[Z_CostContact]]=3,"Valid","Invalid")</f>
        <v>Valid</v>
      </c>
      <c r="AR147" t="str">
        <f t="shared" si="36"/>
        <v>Valid</v>
      </c>
      <c r="AS147" t="str">
        <f t="shared" si="37"/>
        <v>Valid</v>
      </c>
    </row>
    <row r="148" spans="1:45" x14ac:dyDescent="0.3">
      <c r="A148">
        <v>10837</v>
      </c>
      <c r="B148">
        <v>1975</v>
      </c>
      <c r="C148" t="s">
        <v>29</v>
      </c>
      <c r="D148" t="s">
        <v>33</v>
      </c>
      <c r="E148">
        <v>23957</v>
      </c>
      <c r="F148">
        <v>1</v>
      </c>
      <c r="G148">
        <v>0</v>
      </c>
      <c r="H148" s="1">
        <v>41210</v>
      </c>
      <c r="I148">
        <v>47</v>
      </c>
      <c r="J148">
        <v>2</v>
      </c>
      <c r="K148">
        <v>1</v>
      </c>
      <c r="L148">
        <v>18</v>
      </c>
      <c r="M148">
        <v>20</v>
      </c>
      <c r="N148">
        <v>11</v>
      </c>
      <c r="O148">
        <v>16</v>
      </c>
      <c r="P148">
        <v>1</v>
      </c>
      <c r="Q148">
        <v>2</v>
      </c>
      <c r="R148">
        <v>0</v>
      </c>
      <c r="S148">
        <v>3</v>
      </c>
      <c r="T148">
        <v>6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3</v>
      </c>
      <c r="AB148">
        <v>11</v>
      </c>
      <c r="AC148">
        <v>1</v>
      </c>
      <c r="AD148" t="str">
        <f t="shared" si="26"/>
        <v>Ok</v>
      </c>
      <c r="AE148" t="str">
        <f>IF(AND(Audit_Data[[#This Row],[Year_Birth]]&gt;=1900,Audit_Data[[#This Row],[Year_Birth]]&lt;=2010),"OK","Invalid")</f>
        <v>OK</v>
      </c>
      <c r="AF148" t="str">
        <f t="shared" si="27"/>
        <v>Valid</v>
      </c>
      <c r="AG148" t="str">
        <f t="shared" si="28"/>
        <v>Valid</v>
      </c>
      <c r="AH148" t="str">
        <f t="shared" si="29"/>
        <v>Valid</v>
      </c>
      <c r="AI148" t="str">
        <f t="shared" si="30"/>
        <v>Valid</v>
      </c>
      <c r="AJ148" t="str">
        <f t="shared" si="31"/>
        <v>Valid</v>
      </c>
      <c r="AK148" t="str">
        <f t="shared" si="38"/>
        <v xml:space="preserve">Valid </v>
      </c>
      <c r="AL148" t="str">
        <f>IF(AND(Audit_Data[[#This Row],[Recency]]&gt;=0,Audit_Data[[#This Row],[Recency]]&lt;=100),"Valid","Invalid")</f>
        <v>Valid</v>
      </c>
      <c r="AM148" t="str">
        <f t="shared" si="32"/>
        <v>Valid</v>
      </c>
      <c r="AN148" t="str">
        <f t="shared" si="33"/>
        <v>Valid</v>
      </c>
      <c r="AO148" t="str">
        <f t="shared" si="34"/>
        <v>Valid</v>
      </c>
      <c r="AP148" t="str">
        <f t="shared" si="35"/>
        <v>Valid</v>
      </c>
      <c r="AQ148" t="str">
        <f>IF(Audit_Data[[#This Row],[Z_CostContact]]=3,"Valid","Invalid")</f>
        <v>Valid</v>
      </c>
      <c r="AR148" t="str">
        <f t="shared" si="36"/>
        <v>Valid</v>
      </c>
      <c r="AS148" t="str">
        <f t="shared" si="37"/>
        <v>Valid</v>
      </c>
    </row>
    <row r="149" spans="1:45" x14ac:dyDescent="0.3">
      <c r="A149">
        <v>3120</v>
      </c>
      <c r="B149">
        <v>1981</v>
      </c>
      <c r="C149" t="s">
        <v>29</v>
      </c>
      <c r="D149" t="s">
        <v>31</v>
      </c>
      <c r="E149">
        <v>38547</v>
      </c>
      <c r="F149">
        <v>1</v>
      </c>
      <c r="G149">
        <v>0</v>
      </c>
      <c r="H149" s="1">
        <v>41514</v>
      </c>
      <c r="I149">
        <v>49</v>
      </c>
      <c r="J149">
        <v>6</v>
      </c>
      <c r="K149">
        <v>1</v>
      </c>
      <c r="L149">
        <v>10</v>
      </c>
      <c r="M149">
        <v>0</v>
      </c>
      <c r="N149">
        <v>1</v>
      </c>
      <c r="O149">
        <v>4</v>
      </c>
      <c r="P149">
        <v>1</v>
      </c>
      <c r="Q149">
        <v>1</v>
      </c>
      <c r="R149">
        <v>0</v>
      </c>
      <c r="S149">
        <v>2</v>
      </c>
      <c r="T149">
        <v>8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>
        <v>3</v>
      </c>
      <c r="AB149">
        <v>11</v>
      </c>
      <c r="AC149">
        <v>0</v>
      </c>
      <c r="AD149" t="str">
        <f t="shared" si="26"/>
        <v>Ok</v>
      </c>
      <c r="AE149" t="str">
        <f>IF(AND(Audit_Data[[#This Row],[Year_Birth]]&gt;=1900,Audit_Data[[#This Row],[Year_Birth]]&lt;=2010),"OK","Invalid")</f>
        <v>OK</v>
      </c>
      <c r="AF149" t="str">
        <f t="shared" si="27"/>
        <v>Valid</v>
      </c>
      <c r="AG149" t="str">
        <f t="shared" si="28"/>
        <v>Valid</v>
      </c>
      <c r="AH149" t="str">
        <f t="shared" si="29"/>
        <v>Valid</v>
      </c>
      <c r="AI149" t="str">
        <f t="shared" si="30"/>
        <v>Valid</v>
      </c>
      <c r="AJ149" t="str">
        <f t="shared" si="31"/>
        <v>Valid</v>
      </c>
      <c r="AK149" t="str">
        <f t="shared" si="38"/>
        <v xml:space="preserve">Valid </v>
      </c>
      <c r="AL149" t="str">
        <f>IF(AND(Audit_Data[[#This Row],[Recency]]&gt;=0,Audit_Data[[#This Row],[Recency]]&lt;=100),"Valid","Invalid")</f>
        <v>Valid</v>
      </c>
      <c r="AM149" t="str">
        <f t="shared" si="32"/>
        <v>Valid</v>
      </c>
      <c r="AN149" t="str">
        <f t="shared" si="33"/>
        <v>Valid</v>
      </c>
      <c r="AO149" t="str">
        <f t="shared" si="34"/>
        <v>Valid</v>
      </c>
      <c r="AP149" t="str">
        <f t="shared" si="35"/>
        <v>Valid</v>
      </c>
      <c r="AQ149" t="str">
        <f>IF(Audit_Data[[#This Row],[Z_CostContact]]=3,"Valid","Invalid")</f>
        <v>Valid</v>
      </c>
      <c r="AR149" t="str">
        <f t="shared" si="36"/>
        <v>Valid</v>
      </c>
      <c r="AS149" t="str">
        <f t="shared" si="37"/>
        <v>Valid</v>
      </c>
    </row>
    <row r="150" spans="1:45" x14ac:dyDescent="0.3">
      <c r="A150">
        <v>5885</v>
      </c>
      <c r="B150">
        <v>1973</v>
      </c>
      <c r="C150" t="s">
        <v>37</v>
      </c>
      <c r="D150" t="s">
        <v>33</v>
      </c>
      <c r="E150">
        <v>35688</v>
      </c>
      <c r="F150">
        <v>2</v>
      </c>
      <c r="G150">
        <v>1</v>
      </c>
      <c r="H150" s="1">
        <v>41143</v>
      </c>
      <c r="I150">
        <v>94</v>
      </c>
      <c r="J150">
        <v>73</v>
      </c>
      <c r="K150">
        <v>3</v>
      </c>
      <c r="L150">
        <v>90</v>
      </c>
      <c r="M150">
        <v>12</v>
      </c>
      <c r="N150">
        <v>1</v>
      </c>
      <c r="O150">
        <v>32</v>
      </c>
      <c r="P150">
        <v>7</v>
      </c>
      <c r="Q150">
        <v>4</v>
      </c>
      <c r="R150">
        <v>1</v>
      </c>
      <c r="S150">
        <v>4</v>
      </c>
      <c r="T150">
        <v>8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3</v>
      </c>
      <c r="AB150">
        <v>11</v>
      </c>
      <c r="AC150">
        <v>0</v>
      </c>
      <c r="AD150" t="str">
        <f t="shared" si="26"/>
        <v>Ok</v>
      </c>
      <c r="AE150" t="str">
        <f>IF(AND(Audit_Data[[#This Row],[Year_Birth]]&gt;=1900,Audit_Data[[#This Row],[Year_Birth]]&lt;=2010),"OK","Invalid")</f>
        <v>OK</v>
      </c>
      <c r="AF150" t="str">
        <f t="shared" si="27"/>
        <v>Valid</v>
      </c>
      <c r="AG150" t="str">
        <f t="shared" si="28"/>
        <v>Valid</v>
      </c>
      <c r="AH150" t="str">
        <f t="shared" si="29"/>
        <v>Valid</v>
      </c>
      <c r="AI150" t="str">
        <f t="shared" si="30"/>
        <v>Valid</v>
      </c>
      <c r="AJ150" t="str">
        <f t="shared" si="31"/>
        <v>Valid</v>
      </c>
      <c r="AK150" t="str">
        <f t="shared" si="38"/>
        <v xml:space="preserve">Valid </v>
      </c>
      <c r="AL150" t="str">
        <f>IF(AND(Audit_Data[[#This Row],[Recency]]&gt;=0,Audit_Data[[#This Row],[Recency]]&lt;=100),"Valid","Invalid")</f>
        <v>Valid</v>
      </c>
      <c r="AM150" t="str">
        <f t="shared" si="32"/>
        <v>Valid</v>
      </c>
      <c r="AN150" t="str">
        <f t="shared" si="33"/>
        <v>Valid</v>
      </c>
      <c r="AO150" t="str">
        <f t="shared" si="34"/>
        <v>Valid</v>
      </c>
      <c r="AP150" t="str">
        <f t="shared" si="35"/>
        <v>Valid</v>
      </c>
      <c r="AQ150" t="str">
        <f>IF(Audit_Data[[#This Row],[Z_CostContact]]=3,"Valid","Invalid")</f>
        <v>Valid</v>
      </c>
      <c r="AR150" t="str">
        <f t="shared" si="36"/>
        <v>Valid</v>
      </c>
      <c r="AS150" t="str">
        <f t="shared" si="37"/>
        <v>Valid</v>
      </c>
    </row>
    <row r="151" spans="1:45" x14ac:dyDescent="0.3">
      <c r="A151">
        <v>4050</v>
      </c>
      <c r="B151">
        <v>1966</v>
      </c>
      <c r="C151" t="s">
        <v>34</v>
      </c>
      <c r="D151" t="s">
        <v>33</v>
      </c>
      <c r="E151">
        <v>49605</v>
      </c>
      <c r="F151">
        <v>0</v>
      </c>
      <c r="G151">
        <v>0</v>
      </c>
      <c r="H151" s="1">
        <v>41811</v>
      </c>
      <c r="I151">
        <v>65</v>
      </c>
      <c r="J151">
        <v>42</v>
      </c>
      <c r="K151">
        <v>16</v>
      </c>
      <c r="L151">
        <v>29</v>
      </c>
      <c r="M151">
        <v>12</v>
      </c>
      <c r="N151">
        <v>20</v>
      </c>
      <c r="O151">
        <v>8</v>
      </c>
      <c r="P151">
        <v>1</v>
      </c>
      <c r="Q151">
        <v>2</v>
      </c>
      <c r="R151">
        <v>1</v>
      </c>
      <c r="S151">
        <v>4</v>
      </c>
      <c r="T151">
        <v>3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3</v>
      </c>
      <c r="AB151">
        <v>11</v>
      </c>
      <c r="AC151">
        <v>0</v>
      </c>
      <c r="AD151" t="str">
        <f t="shared" si="26"/>
        <v>Ok</v>
      </c>
      <c r="AE151" t="str">
        <f>IF(AND(Audit_Data[[#This Row],[Year_Birth]]&gt;=1900,Audit_Data[[#This Row],[Year_Birth]]&lt;=2010),"OK","Invalid")</f>
        <v>OK</v>
      </c>
      <c r="AF151" t="str">
        <f t="shared" si="27"/>
        <v>Valid</v>
      </c>
      <c r="AG151" t="str">
        <f t="shared" si="28"/>
        <v>Valid</v>
      </c>
      <c r="AH151" t="str">
        <f t="shared" si="29"/>
        <v>Valid</v>
      </c>
      <c r="AI151" t="str">
        <f t="shared" si="30"/>
        <v>Valid</v>
      </c>
      <c r="AJ151" t="str">
        <f t="shared" si="31"/>
        <v>Valid</v>
      </c>
      <c r="AK151" t="str">
        <f t="shared" si="38"/>
        <v xml:space="preserve">Valid </v>
      </c>
      <c r="AL151" t="str">
        <f>IF(AND(Audit_Data[[#This Row],[Recency]]&gt;=0,Audit_Data[[#This Row],[Recency]]&lt;=100),"Valid","Invalid")</f>
        <v>Valid</v>
      </c>
      <c r="AM151" t="str">
        <f t="shared" si="32"/>
        <v>Valid</v>
      </c>
      <c r="AN151" t="str">
        <f t="shared" si="33"/>
        <v>Valid</v>
      </c>
      <c r="AO151" t="str">
        <f t="shared" si="34"/>
        <v>Valid</v>
      </c>
      <c r="AP151" t="str">
        <f t="shared" si="35"/>
        <v>Valid</v>
      </c>
      <c r="AQ151" t="str">
        <f>IF(Audit_Data[[#This Row],[Z_CostContact]]=3,"Valid","Invalid")</f>
        <v>Valid</v>
      </c>
      <c r="AR151" t="str">
        <f t="shared" si="36"/>
        <v>Valid</v>
      </c>
      <c r="AS151" t="str">
        <f t="shared" si="37"/>
        <v>Valid</v>
      </c>
    </row>
    <row r="152" spans="1:45" x14ac:dyDescent="0.3">
      <c r="A152">
        <v>3830</v>
      </c>
      <c r="B152">
        <v>1953</v>
      </c>
      <c r="C152" t="s">
        <v>34</v>
      </c>
      <c r="D152" t="s">
        <v>33</v>
      </c>
      <c r="E152">
        <v>59354</v>
      </c>
      <c r="F152">
        <v>0</v>
      </c>
      <c r="G152">
        <v>2</v>
      </c>
      <c r="H152" s="1">
        <v>41753</v>
      </c>
      <c r="I152">
        <v>59</v>
      </c>
      <c r="J152">
        <v>295</v>
      </c>
      <c r="K152">
        <v>21</v>
      </c>
      <c r="L152">
        <v>78</v>
      </c>
      <c r="M152">
        <v>39</v>
      </c>
      <c r="N152">
        <v>13</v>
      </c>
      <c r="O152">
        <v>13</v>
      </c>
      <c r="P152">
        <v>1</v>
      </c>
      <c r="Q152">
        <v>4</v>
      </c>
      <c r="R152">
        <v>4</v>
      </c>
      <c r="S152">
        <v>7</v>
      </c>
      <c r="T152">
        <v>3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3</v>
      </c>
      <c r="AB152">
        <v>11</v>
      </c>
      <c r="AC152">
        <v>0</v>
      </c>
      <c r="AD152" t="str">
        <f t="shared" si="26"/>
        <v>Ok</v>
      </c>
      <c r="AE152" t="str">
        <f>IF(AND(Audit_Data[[#This Row],[Year_Birth]]&gt;=1900,Audit_Data[[#This Row],[Year_Birth]]&lt;=2010),"OK","Invalid")</f>
        <v>OK</v>
      </c>
      <c r="AF152" t="str">
        <f t="shared" si="27"/>
        <v>Valid</v>
      </c>
      <c r="AG152" t="str">
        <f t="shared" si="28"/>
        <v>Valid</v>
      </c>
      <c r="AH152" t="str">
        <f t="shared" si="29"/>
        <v>Valid</v>
      </c>
      <c r="AI152" t="str">
        <f t="shared" si="30"/>
        <v>Valid</v>
      </c>
      <c r="AJ152" t="str">
        <f t="shared" si="31"/>
        <v>Valid</v>
      </c>
      <c r="AK152" t="str">
        <f t="shared" si="38"/>
        <v xml:space="preserve">Valid </v>
      </c>
      <c r="AL152" t="str">
        <f>IF(AND(Audit_Data[[#This Row],[Recency]]&gt;=0,Audit_Data[[#This Row],[Recency]]&lt;=100),"Valid","Invalid")</f>
        <v>Valid</v>
      </c>
      <c r="AM152" t="str">
        <f t="shared" si="32"/>
        <v>Valid</v>
      </c>
      <c r="AN152" t="str">
        <f t="shared" si="33"/>
        <v>Valid</v>
      </c>
      <c r="AO152" t="str">
        <f t="shared" si="34"/>
        <v>Valid</v>
      </c>
      <c r="AP152" t="str">
        <f t="shared" si="35"/>
        <v>Valid</v>
      </c>
      <c r="AQ152" t="str">
        <f>IF(Audit_Data[[#This Row],[Z_CostContact]]=3,"Valid","Invalid")</f>
        <v>Valid</v>
      </c>
      <c r="AR152" t="str">
        <f t="shared" si="36"/>
        <v>Valid</v>
      </c>
      <c r="AS152" t="str">
        <f t="shared" si="37"/>
        <v>Valid</v>
      </c>
    </row>
    <row r="153" spans="1:45" x14ac:dyDescent="0.3">
      <c r="A153">
        <v>7987</v>
      </c>
      <c r="B153">
        <v>1969</v>
      </c>
      <c r="C153" t="s">
        <v>29</v>
      </c>
      <c r="D153" t="s">
        <v>33</v>
      </c>
      <c r="E153">
        <v>65747</v>
      </c>
      <c r="F153">
        <v>0</v>
      </c>
      <c r="G153">
        <v>1</v>
      </c>
      <c r="H153" s="1">
        <v>41705</v>
      </c>
      <c r="I153">
        <v>96</v>
      </c>
      <c r="J153">
        <v>346</v>
      </c>
      <c r="K153">
        <v>17</v>
      </c>
      <c r="L153">
        <v>48</v>
      </c>
      <c r="M153">
        <v>23</v>
      </c>
      <c r="N153">
        <v>13</v>
      </c>
      <c r="O153">
        <v>13</v>
      </c>
      <c r="P153">
        <v>4</v>
      </c>
      <c r="Q153">
        <v>8</v>
      </c>
      <c r="R153">
        <v>1</v>
      </c>
      <c r="S153">
        <v>6</v>
      </c>
      <c r="T153">
        <v>6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11</v>
      </c>
      <c r="AC153">
        <v>0</v>
      </c>
      <c r="AD153" t="str">
        <f t="shared" si="26"/>
        <v>Ok</v>
      </c>
      <c r="AE153" t="str">
        <f>IF(AND(Audit_Data[[#This Row],[Year_Birth]]&gt;=1900,Audit_Data[[#This Row],[Year_Birth]]&lt;=2010),"OK","Invalid")</f>
        <v>OK</v>
      </c>
      <c r="AF153" t="str">
        <f t="shared" si="27"/>
        <v>Valid</v>
      </c>
      <c r="AG153" t="str">
        <f t="shared" si="28"/>
        <v>Valid</v>
      </c>
      <c r="AH153" t="str">
        <f t="shared" si="29"/>
        <v>Valid</v>
      </c>
      <c r="AI153" t="str">
        <f t="shared" si="30"/>
        <v>Valid</v>
      </c>
      <c r="AJ153" t="str">
        <f t="shared" si="31"/>
        <v>Valid</v>
      </c>
      <c r="AK153" t="str">
        <f t="shared" si="38"/>
        <v xml:space="preserve">Valid </v>
      </c>
      <c r="AL153" t="str">
        <f>IF(AND(Audit_Data[[#This Row],[Recency]]&gt;=0,Audit_Data[[#This Row],[Recency]]&lt;=100),"Valid","Invalid")</f>
        <v>Valid</v>
      </c>
      <c r="AM153" t="str">
        <f t="shared" si="32"/>
        <v>Valid</v>
      </c>
      <c r="AN153" t="str">
        <f t="shared" si="33"/>
        <v>Valid</v>
      </c>
      <c r="AO153" t="str">
        <f t="shared" si="34"/>
        <v>Valid</v>
      </c>
      <c r="AP153" t="str">
        <f t="shared" si="35"/>
        <v>Valid</v>
      </c>
      <c r="AQ153" t="str">
        <f>IF(Audit_Data[[#This Row],[Z_CostContact]]=3,"Valid","Invalid")</f>
        <v>Valid</v>
      </c>
      <c r="AR153" t="str">
        <f t="shared" si="36"/>
        <v>Valid</v>
      </c>
      <c r="AS153" t="str">
        <f t="shared" si="37"/>
        <v>Valid</v>
      </c>
    </row>
    <row r="154" spans="1:45" x14ac:dyDescent="0.3">
      <c r="A154">
        <v>7798</v>
      </c>
      <c r="B154">
        <v>1972</v>
      </c>
      <c r="C154" t="s">
        <v>37</v>
      </c>
      <c r="D154" t="s">
        <v>31</v>
      </c>
      <c r="E154">
        <v>46344</v>
      </c>
      <c r="F154">
        <v>0</v>
      </c>
      <c r="G154">
        <v>1</v>
      </c>
      <c r="H154" s="1">
        <v>41257</v>
      </c>
      <c r="I154">
        <v>28</v>
      </c>
      <c r="J154">
        <v>233</v>
      </c>
      <c r="K154">
        <v>20</v>
      </c>
      <c r="L154">
        <v>57</v>
      </c>
      <c r="M154">
        <v>8</v>
      </c>
      <c r="N154">
        <v>20</v>
      </c>
      <c r="O154">
        <v>91</v>
      </c>
      <c r="P154">
        <v>4</v>
      </c>
      <c r="Q154">
        <v>7</v>
      </c>
      <c r="R154">
        <v>1</v>
      </c>
      <c r="S154">
        <v>5</v>
      </c>
      <c r="T154">
        <v>7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3</v>
      </c>
      <c r="AB154">
        <v>11</v>
      </c>
      <c r="AC154">
        <v>0</v>
      </c>
      <c r="AD154" t="str">
        <f t="shared" si="26"/>
        <v>Ok</v>
      </c>
      <c r="AE154" t="str">
        <f>IF(AND(Audit_Data[[#This Row],[Year_Birth]]&gt;=1900,Audit_Data[[#This Row],[Year_Birth]]&lt;=2010),"OK","Invalid")</f>
        <v>OK</v>
      </c>
      <c r="AF154" t="str">
        <f t="shared" si="27"/>
        <v>Valid</v>
      </c>
      <c r="AG154" t="str">
        <f t="shared" si="28"/>
        <v>Valid</v>
      </c>
      <c r="AH154" t="str">
        <f t="shared" si="29"/>
        <v>Valid</v>
      </c>
      <c r="AI154" t="str">
        <f t="shared" si="30"/>
        <v>Valid</v>
      </c>
      <c r="AJ154" t="str">
        <f t="shared" si="31"/>
        <v>Valid</v>
      </c>
      <c r="AK154" t="str">
        <f t="shared" si="38"/>
        <v xml:space="preserve">Valid </v>
      </c>
      <c r="AL154" t="str">
        <f>IF(AND(Audit_Data[[#This Row],[Recency]]&gt;=0,Audit_Data[[#This Row],[Recency]]&lt;=100),"Valid","Invalid")</f>
        <v>Valid</v>
      </c>
      <c r="AM154" t="str">
        <f t="shared" si="32"/>
        <v>Valid</v>
      </c>
      <c r="AN154" t="str">
        <f t="shared" si="33"/>
        <v>Valid</v>
      </c>
      <c r="AO154" t="str">
        <f t="shared" si="34"/>
        <v>Valid</v>
      </c>
      <c r="AP154" t="str">
        <f t="shared" si="35"/>
        <v>Valid</v>
      </c>
      <c r="AQ154" t="str">
        <f>IF(Audit_Data[[#This Row],[Z_CostContact]]=3,"Valid","Invalid")</f>
        <v>Valid</v>
      </c>
      <c r="AR154" t="str">
        <f t="shared" si="36"/>
        <v>Valid</v>
      </c>
      <c r="AS154" t="str">
        <f t="shared" si="37"/>
        <v>Valid</v>
      </c>
    </row>
    <row r="155" spans="1:45" x14ac:dyDescent="0.3">
      <c r="A155">
        <v>92</v>
      </c>
      <c r="B155">
        <v>1988</v>
      </c>
      <c r="C155" t="s">
        <v>29</v>
      </c>
      <c r="D155" t="s">
        <v>39</v>
      </c>
      <c r="E155">
        <v>34176</v>
      </c>
      <c r="F155">
        <v>1</v>
      </c>
      <c r="G155">
        <v>0</v>
      </c>
      <c r="H155" s="1">
        <v>41771</v>
      </c>
      <c r="I155">
        <v>12</v>
      </c>
      <c r="J155">
        <v>5</v>
      </c>
      <c r="K155">
        <v>7</v>
      </c>
      <c r="L155">
        <v>24</v>
      </c>
      <c r="M155">
        <v>19</v>
      </c>
      <c r="N155">
        <v>14</v>
      </c>
      <c r="O155">
        <v>20</v>
      </c>
      <c r="P155">
        <v>4</v>
      </c>
      <c r="Q155">
        <v>3</v>
      </c>
      <c r="R155">
        <v>0</v>
      </c>
      <c r="S155">
        <v>4</v>
      </c>
      <c r="T155">
        <v>6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3</v>
      </c>
      <c r="AB155">
        <v>11</v>
      </c>
      <c r="AC155">
        <v>0</v>
      </c>
      <c r="AD155" t="str">
        <f t="shared" si="26"/>
        <v>Ok</v>
      </c>
      <c r="AE155" t="str">
        <f>IF(AND(Audit_Data[[#This Row],[Year_Birth]]&gt;=1900,Audit_Data[[#This Row],[Year_Birth]]&lt;=2010),"OK","Invalid")</f>
        <v>OK</v>
      </c>
      <c r="AF155" t="str">
        <f t="shared" si="27"/>
        <v>Valid</v>
      </c>
      <c r="AG155" t="str">
        <f t="shared" si="28"/>
        <v>Valid</v>
      </c>
      <c r="AH155" t="str">
        <f t="shared" si="29"/>
        <v>Valid</v>
      </c>
      <c r="AI155" t="str">
        <f t="shared" si="30"/>
        <v>Valid</v>
      </c>
      <c r="AJ155" t="str">
        <f t="shared" si="31"/>
        <v>Valid</v>
      </c>
      <c r="AK155" t="str">
        <f t="shared" si="38"/>
        <v xml:space="preserve">Valid </v>
      </c>
      <c r="AL155" t="str">
        <f>IF(AND(Audit_Data[[#This Row],[Recency]]&gt;=0,Audit_Data[[#This Row],[Recency]]&lt;=100),"Valid","Invalid")</f>
        <v>Valid</v>
      </c>
      <c r="AM155" t="str">
        <f t="shared" si="32"/>
        <v>Valid</v>
      </c>
      <c r="AN155" t="str">
        <f t="shared" si="33"/>
        <v>Valid</v>
      </c>
      <c r="AO155" t="str">
        <f t="shared" si="34"/>
        <v>Valid</v>
      </c>
      <c r="AP155" t="str">
        <f t="shared" si="35"/>
        <v>Valid</v>
      </c>
      <c r="AQ155" t="str">
        <f>IF(Audit_Data[[#This Row],[Z_CostContact]]=3,"Valid","Invalid")</f>
        <v>Valid</v>
      </c>
      <c r="AR155" t="str">
        <f t="shared" si="36"/>
        <v>Valid</v>
      </c>
      <c r="AS155" t="str">
        <f t="shared" si="37"/>
        <v>Valid</v>
      </c>
    </row>
    <row r="156" spans="1:45" x14ac:dyDescent="0.3">
      <c r="A156">
        <v>7055</v>
      </c>
      <c r="B156">
        <v>1952</v>
      </c>
      <c r="C156" t="s">
        <v>32</v>
      </c>
      <c r="D156" t="s">
        <v>31</v>
      </c>
      <c r="E156">
        <v>61010</v>
      </c>
      <c r="F156">
        <v>0</v>
      </c>
      <c r="G156">
        <v>1</v>
      </c>
      <c r="H156" s="1">
        <v>41191</v>
      </c>
      <c r="I156">
        <v>57</v>
      </c>
      <c r="J156">
        <v>888</v>
      </c>
      <c r="K156">
        <v>0</v>
      </c>
      <c r="L156">
        <v>57</v>
      </c>
      <c r="M156">
        <v>0</v>
      </c>
      <c r="N156">
        <v>0</v>
      </c>
      <c r="O156">
        <v>76</v>
      </c>
      <c r="P156">
        <v>2</v>
      </c>
      <c r="Q156">
        <v>8</v>
      </c>
      <c r="R156">
        <v>5</v>
      </c>
      <c r="S156">
        <v>11</v>
      </c>
      <c r="T156">
        <v>5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3</v>
      </c>
      <c r="AB156">
        <v>11</v>
      </c>
      <c r="AC156">
        <v>0</v>
      </c>
      <c r="AD156" t="str">
        <f t="shared" si="26"/>
        <v>Ok</v>
      </c>
      <c r="AE156" t="str">
        <f>IF(AND(Audit_Data[[#This Row],[Year_Birth]]&gt;=1900,Audit_Data[[#This Row],[Year_Birth]]&lt;=2010),"OK","Invalid")</f>
        <v>OK</v>
      </c>
      <c r="AF156" t="str">
        <f t="shared" si="27"/>
        <v>Valid</v>
      </c>
      <c r="AG156" t="str">
        <f t="shared" si="28"/>
        <v>Valid</v>
      </c>
      <c r="AH156" t="str">
        <f t="shared" si="29"/>
        <v>Valid</v>
      </c>
      <c r="AI156" t="str">
        <f t="shared" si="30"/>
        <v>Valid</v>
      </c>
      <c r="AJ156" t="str">
        <f t="shared" si="31"/>
        <v>Valid</v>
      </c>
      <c r="AK156" t="str">
        <f t="shared" si="38"/>
        <v xml:space="preserve">Valid </v>
      </c>
      <c r="AL156" t="str">
        <f>IF(AND(Audit_Data[[#This Row],[Recency]]&gt;=0,Audit_Data[[#This Row],[Recency]]&lt;=100),"Valid","Invalid")</f>
        <v>Valid</v>
      </c>
      <c r="AM156" t="str">
        <f t="shared" si="32"/>
        <v>Valid</v>
      </c>
      <c r="AN156" t="str">
        <f t="shared" si="33"/>
        <v>Valid</v>
      </c>
      <c r="AO156" t="str">
        <f t="shared" si="34"/>
        <v>Valid</v>
      </c>
      <c r="AP156" t="str">
        <f t="shared" si="35"/>
        <v>Valid</v>
      </c>
      <c r="AQ156" t="str">
        <f>IF(Audit_Data[[#This Row],[Z_CostContact]]=3,"Valid","Invalid")</f>
        <v>Valid</v>
      </c>
      <c r="AR156" t="str">
        <f t="shared" si="36"/>
        <v>Valid</v>
      </c>
      <c r="AS156" t="str">
        <f t="shared" si="37"/>
        <v>Valid</v>
      </c>
    </row>
    <row r="157" spans="1:45" x14ac:dyDescent="0.3">
      <c r="A157">
        <v>10240</v>
      </c>
      <c r="B157">
        <v>1949</v>
      </c>
      <c r="C157" t="s">
        <v>29</v>
      </c>
      <c r="D157" t="s">
        <v>31</v>
      </c>
      <c r="E157">
        <v>69372</v>
      </c>
      <c r="F157">
        <v>0</v>
      </c>
      <c r="G157">
        <v>0</v>
      </c>
      <c r="H157" s="1">
        <v>41324</v>
      </c>
      <c r="I157">
        <v>10</v>
      </c>
      <c r="J157">
        <v>997</v>
      </c>
      <c r="K157">
        <v>26</v>
      </c>
      <c r="L157">
        <v>269</v>
      </c>
      <c r="M157">
        <v>34</v>
      </c>
      <c r="N157">
        <v>13</v>
      </c>
      <c r="O157">
        <v>42</v>
      </c>
      <c r="P157">
        <v>1</v>
      </c>
      <c r="Q157">
        <v>10</v>
      </c>
      <c r="R157">
        <v>4</v>
      </c>
      <c r="S157">
        <v>6</v>
      </c>
      <c r="T157">
        <v>4</v>
      </c>
      <c r="U157">
        <v>0</v>
      </c>
      <c r="V157">
        <v>1</v>
      </c>
      <c r="W157">
        <v>1</v>
      </c>
      <c r="X157">
        <v>0</v>
      </c>
      <c r="Y157">
        <v>0</v>
      </c>
      <c r="Z157">
        <v>0</v>
      </c>
      <c r="AA157">
        <v>3</v>
      </c>
      <c r="AB157">
        <v>11</v>
      </c>
      <c r="AC157">
        <v>1</v>
      </c>
      <c r="AD157" t="str">
        <f t="shared" si="26"/>
        <v>Ok</v>
      </c>
      <c r="AE157" t="str">
        <f>IF(AND(Audit_Data[[#This Row],[Year_Birth]]&gt;=1900,Audit_Data[[#This Row],[Year_Birth]]&lt;=2010),"OK","Invalid")</f>
        <v>OK</v>
      </c>
      <c r="AF157" t="str">
        <f t="shared" si="27"/>
        <v>Valid</v>
      </c>
      <c r="AG157" t="str">
        <f t="shared" si="28"/>
        <v>Valid</v>
      </c>
      <c r="AH157" t="str">
        <f t="shared" si="29"/>
        <v>Valid</v>
      </c>
      <c r="AI157" t="str">
        <f t="shared" si="30"/>
        <v>Valid</v>
      </c>
      <c r="AJ157" t="str">
        <f t="shared" si="31"/>
        <v>Valid</v>
      </c>
      <c r="AK157" t="str">
        <f t="shared" si="38"/>
        <v xml:space="preserve">Valid </v>
      </c>
      <c r="AL157" t="str">
        <f>IF(AND(Audit_Data[[#This Row],[Recency]]&gt;=0,Audit_Data[[#This Row],[Recency]]&lt;=100),"Valid","Invalid")</f>
        <v>Valid</v>
      </c>
      <c r="AM157" t="str">
        <f t="shared" si="32"/>
        <v>Valid</v>
      </c>
      <c r="AN157" t="str">
        <f t="shared" si="33"/>
        <v>Valid</v>
      </c>
      <c r="AO157" t="str">
        <f t="shared" si="34"/>
        <v>Valid</v>
      </c>
      <c r="AP157" t="str">
        <f t="shared" si="35"/>
        <v>Valid</v>
      </c>
      <c r="AQ157" t="str">
        <f>IF(Audit_Data[[#This Row],[Z_CostContact]]=3,"Valid","Invalid")</f>
        <v>Valid</v>
      </c>
      <c r="AR157" t="str">
        <f t="shared" si="36"/>
        <v>Valid</v>
      </c>
      <c r="AS157" t="str">
        <f t="shared" si="37"/>
        <v>Valid</v>
      </c>
    </row>
    <row r="158" spans="1:45" x14ac:dyDescent="0.3">
      <c r="A158">
        <v>3025</v>
      </c>
      <c r="B158">
        <v>1958</v>
      </c>
      <c r="C158" t="s">
        <v>29</v>
      </c>
      <c r="D158" t="s">
        <v>30</v>
      </c>
      <c r="E158">
        <v>49967</v>
      </c>
      <c r="F158">
        <v>0</v>
      </c>
      <c r="G158">
        <v>1</v>
      </c>
      <c r="H158" s="1">
        <v>41463</v>
      </c>
      <c r="I158">
        <v>4</v>
      </c>
      <c r="J158">
        <v>212</v>
      </c>
      <c r="K158">
        <v>6</v>
      </c>
      <c r="L158">
        <v>69</v>
      </c>
      <c r="M158">
        <v>4</v>
      </c>
      <c r="N158">
        <v>12</v>
      </c>
      <c r="O158">
        <v>3</v>
      </c>
      <c r="P158">
        <v>3</v>
      </c>
      <c r="Q158">
        <v>6</v>
      </c>
      <c r="R158">
        <v>1</v>
      </c>
      <c r="S158">
        <v>5</v>
      </c>
      <c r="T158">
        <v>7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3</v>
      </c>
      <c r="AB158">
        <v>11</v>
      </c>
      <c r="AC158">
        <v>0</v>
      </c>
      <c r="AD158" t="str">
        <f t="shared" si="26"/>
        <v>Ok</v>
      </c>
      <c r="AE158" t="str">
        <f>IF(AND(Audit_Data[[#This Row],[Year_Birth]]&gt;=1900,Audit_Data[[#This Row],[Year_Birth]]&lt;=2010),"OK","Invalid")</f>
        <v>OK</v>
      </c>
      <c r="AF158" t="str">
        <f t="shared" si="27"/>
        <v>Valid</v>
      </c>
      <c r="AG158" t="str">
        <f t="shared" si="28"/>
        <v>Valid</v>
      </c>
      <c r="AH158" t="str">
        <f t="shared" si="29"/>
        <v>Valid</v>
      </c>
      <c r="AI158" t="str">
        <f t="shared" si="30"/>
        <v>Valid</v>
      </c>
      <c r="AJ158" t="str">
        <f t="shared" si="31"/>
        <v>Valid</v>
      </c>
      <c r="AK158" t="str">
        <f t="shared" si="38"/>
        <v xml:space="preserve">Valid </v>
      </c>
      <c r="AL158" t="str">
        <f>IF(AND(Audit_Data[[#This Row],[Recency]]&gt;=0,Audit_Data[[#This Row],[Recency]]&lt;=100),"Valid","Invalid")</f>
        <v>Valid</v>
      </c>
      <c r="AM158" t="str">
        <f t="shared" si="32"/>
        <v>Valid</v>
      </c>
      <c r="AN158" t="str">
        <f t="shared" si="33"/>
        <v>Valid</v>
      </c>
      <c r="AO158" t="str">
        <f t="shared" si="34"/>
        <v>Valid</v>
      </c>
      <c r="AP158" t="str">
        <f t="shared" si="35"/>
        <v>Valid</v>
      </c>
      <c r="AQ158" t="str">
        <f>IF(Audit_Data[[#This Row],[Z_CostContact]]=3,"Valid","Invalid")</f>
        <v>Valid</v>
      </c>
      <c r="AR158" t="str">
        <f t="shared" si="36"/>
        <v>Valid</v>
      </c>
      <c r="AS158" t="str">
        <f t="shared" si="37"/>
        <v>Valid</v>
      </c>
    </row>
    <row r="159" spans="1:45" x14ac:dyDescent="0.3">
      <c r="A159">
        <v>9283</v>
      </c>
      <c r="B159">
        <v>1978</v>
      </c>
      <c r="C159" t="s">
        <v>29</v>
      </c>
      <c r="D159" t="s">
        <v>30</v>
      </c>
      <c r="E159">
        <v>60199</v>
      </c>
      <c r="F159">
        <v>1</v>
      </c>
      <c r="G159">
        <v>2</v>
      </c>
      <c r="H159" s="1">
        <v>41529</v>
      </c>
      <c r="I159">
        <v>49</v>
      </c>
      <c r="J159">
        <v>8</v>
      </c>
      <c r="K159">
        <v>1</v>
      </c>
      <c r="L159">
        <v>7</v>
      </c>
      <c r="M159">
        <v>2</v>
      </c>
      <c r="N159">
        <v>0</v>
      </c>
      <c r="O159">
        <v>0</v>
      </c>
      <c r="P159">
        <v>1</v>
      </c>
      <c r="Q159">
        <v>0</v>
      </c>
      <c r="R159">
        <v>0</v>
      </c>
      <c r="S159">
        <v>3</v>
      </c>
      <c r="T159">
        <v>4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3</v>
      </c>
      <c r="AB159">
        <v>11</v>
      </c>
      <c r="AC159">
        <v>0</v>
      </c>
      <c r="AD159" t="str">
        <f t="shared" si="26"/>
        <v>Ok</v>
      </c>
      <c r="AE159" t="str">
        <f>IF(AND(Audit_Data[[#This Row],[Year_Birth]]&gt;=1900,Audit_Data[[#This Row],[Year_Birth]]&lt;=2010),"OK","Invalid")</f>
        <v>OK</v>
      </c>
      <c r="AF159" t="str">
        <f t="shared" si="27"/>
        <v>Valid</v>
      </c>
      <c r="AG159" t="str">
        <f t="shared" si="28"/>
        <v>Valid</v>
      </c>
      <c r="AH159" t="str">
        <f t="shared" si="29"/>
        <v>Valid</v>
      </c>
      <c r="AI159" t="str">
        <f t="shared" si="30"/>
        <v>Valid</v>
      </c>
      <c r="AJ159" t="str">
        <f t="shared" si="31"/>
        <v>Valid</v>
      </c>
      <c r="AK159" t="str">
        <f t="shared" si="38"/>
        <v xml:space="preserve">Valid </v>
      </c>
      <c r="AL159" t="str">
        <f>IF(AND(Audit_Data[[#This Row],[Recency]]&gt;=0,Audit_Data[[#This Row],[Recency]]&lt;=100),"Valid","Invalid")</f>
        <v>Valid</v>
      </c>
      <c r="AM159" t="str">
        <f t="shared" si="32"/>
        <v>Valid</v>
      </c>
      <c r="AN159" t="str">
        <f t="shared" si="33"/>
        <v>Valid</v>
      </c>
      <c r="AO159" t="str">
        <f t="shared" si="34"/>
        <v>Valid</v>
      </c>
      <c r="AP159" t="str">
        <f t="shared" si="35"/>
        <v>Valid</v>
      </c>
      <c r="AQ159" t="str">
        <f>IF(Audit_Data[[#This Row],[Z_CostContact]]=3,"Valid","Invalid")</f>
        <v>Valid</v>
      </c>
      <c r="AR159" t="str">
        <f t="shared" si="36"/>
        <v>Valid</v>
      </c>
      <c r="AS159" t="str">
        <f t="shared" si="37"/>
        <v>Valid</v>
      </c>
    </row>
    <row r="160" spans="1:45" x14ac:dyDescent="0.3">
      <c r="A160">
        <v>9970</v>
      </c>
      <c r="B160">
        <v>1977</v>
      </c>
      <c r="C160" t="s">
        <v>29</v>
      </c>
      <c r="D160" t="s">
        <v>31</v>
      </c>
      <c r="E160">
        <v>55375</v>
      </c>
      <c r="F160">
        <v>0</v>
      </c>
      <c r="G160">
        <v>1</v>
      </c>
      <c r="H160" s="1">
        <v>41564</v>
      </c>
      <c r="I160">
        <v>3</v>
      </c>
      <c r="J160">
        <v>42</v>
      </c>
      <c r="K160">
        <v>11</v>
      </c>
      <c r="L160">
        <v>57</v>
      </c>
      <c r="M160">
        <v>10</v>
      </c>
      <c r="N160">
        <v>28</v>
      </c>
      <c r="O160">
        <v>14</v>
      </c>
      <c r="P160">
        <v>1</v>
      </c>
      <c r="Q160">
        <v>1</v>
      </c>
      <c r="R160">
        <v>1</v>
      </c>
      <c r="S160">
        <v>6</v>
      </c>
      <c r="T160">
        <v>2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3</v>
      </c>
      <c r="AB160">
        <v>11</v>
      </c>
      <c r="AC160">
        <v>0</v>
      </c>
      <c r="AD160" t="str">
        <f t="shared" si="26"/>
        <v>Ok</v>
      </c>
      <c r="AE160" t="str">
        <f>IF(AND(Audit_Data[[#This Row],[Year_Birth]]&gt;=1900,Audit_Data[[#This Row],[Year_Birth]]&lt;=2010),"OK","Invalid")</f>
        <v>OK</v>
      </c>
      <c r="AF160" t="str">
        <f t="shared" si="27"/>
        <v>Valid</v>
      </c>
      <c r="AG160" t="str">
        <f t="shared" si="28"/>
        <v>Valid</v>
      </c>
      <c r="AH160" t="str">
        <f t="shared" si="29"/>
        <v>Valid</v>
      </c>
      <c r="AI160" t="str">
        <f t="shared" si="30"/>
        <v>Valid</v>
      </c>
      <c r="AJ160" t="str">
        <f t="shared" si="31"/>
        <v>Valid</v>
      </c>
      <c r="AK160" t="str">
        <f t="shared" si="38"/>
        <v xml:space="preserve">Valid </v>
      </c>
      <c r="AL160" t="str">
        <f>IF(AND(Audit_Data[[#This Row],[Recency]]&gt;=0,Audit_Data[[#This Row],[Recency]]&lt;=100),"Valid","Invalid")</f>
        <v>Valid</v>
      </c>
      <c r="AM160" t="str">
        <f t="shared" si="32"/>
        <v>Valid</v>
      </c>
      <c r="AN160" t="str">
        <f t="shared" si="33"/>
        <v>Valid</v>
      </c>
      <c r="AO160" t="str">
        <f t="shared" si="34"/>
        <v>Valid</v>
      </c>
      <c r="AP160" t="str">
        <f t="shared" si="35"/>
        <v>Valid</v>
      </c>
      <c r="AQ160" t="str">
        <f>IF(Audit_Data[[#This Row],[Z_CostContact]]=3,"Valid","Invalid")</f>
        <v>Valid</v>
      </c>
      <c r="AR160" t="str">
        <f t="shared" si="36"/>
        <v>Valid</v>
      </c>
      <c r="AS160" t="str">
        <f t="shared" si="37"/>
        <v>Valid</v>
      </c>
    </row>
    <row r="161" spans="1:45" x14ac:dyDescent="0.3">
      <c r="A161">
        <v>2730</v>
      </c>
      <c r="B161">
        <v>1955</v>
      </c>
      <c r="C161" t="s">
        <v>29</v>
      </c>
      <c r="D161" t="s">
        <v>30</v>
      </c>
      <c r="E161">
        <v>80317</v>
      </c>
      <c r="F161">
        <v>0</v>
      </c>
      <c r="G161">
        <v>0</v>
      </c>
      <c r="H161" s="1">
        <v>41506</v>
      </c>
      <c r="I161">
        <v>64</v>
      </c>
      <c r="J161">
        <v>536</v>
      </c>
      <c r="K161">
        <v>11</v>
      </c>
      <c r="L161">
        <v>387</v>
      </c>
      <c r="M161">
        <v>149</v>
      </c>
      <c r="N161">
        <v>91</v>
      </c>
      <c r="O161">
        <v>57</v>
      </c>
      <c r="P161">
        <v>1</v>
      </c>
      <c r="Q161">
        <v>3</v>
      </c>
      <c r="R161">
        <v>4</v>
      </c>
      <c r="S161">
        <v>10</v>
      </c>
      <c r="T161">
        <v>1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3</v>
      </c>
      <c r="AB161">
        <v>11</v>
      </c>
      <c r="AC161">
        <v>0</v>
      </c>
      <c r="AD161" t="str">
        <f t="shared" si="26"/>
        <v>Ok</v>
      </c>
      <c r="AE161" t="str">
        <f>IF(AND(Audit_Data[[#This Row],[Year_Birth]]&gt;=1900,Audit_Data[[#This Row],[Year_Birth]]&lt;=2010),"OK","Invalid")</f>
        <v>OK</v>
      </c>
      <c r="AF161" t="str">
        <f t="shared" si="27"/>
        <v>Valid</v>
      </c>
      <c r="AG161" t="str">
        <f t="shared" si="28"/>
        <v>Valid</v>
      </c>
      <c r="AH161" t="str">
        <f t="shared" si="29"/>
        <v>Valid</v>
      </c>
      <c r="AI161" t="str">
        <f t="shared" si="30"/>
        <v>Valid</v>
      </c>
      <c r="AJ161" t="str">
        <f t="shared" si="31"/>
        <v>Valid</v>
      </c>
      <c r="AK161" t="str">
        <f t="shared" si="38"/>
        <v xml:space="preserve">Valid </v>
      </c>
      <c r="AL161" t="str">
        <f>IF(AND(Audit_Data[[#This Row],[Recency]]&gt;=0,Audit_Data[[#This Row],[Recency]]&lt;=100),"Valid","Invalid")</f>
        <v>Valid</v>
      </c>
      <c r="AM161" t="str">
        <f t="shared" si="32"/>
        <v>Valid</v>
      </c>
      <c r="AN161" t="str">
        <f t="shared" si="33"/>
        <v>Valid</v>
      </c>
      <c r="AO161" t="str">
        <f t="shared" si="34"/>
        <v>Valid</v>
      </c>
      <c r="AP161" t="str">
        <f t="shared" si="35"/>
        <v>Valid</v>
      </c>
      <c r="AQ161" t="str">
        <f>IF(Audit_Data[[#This Row],[Z_CostContact]]=3,"Valid","Invalid")</f>
        <v>Valid</v>
      </c>
      <c r="AR161" t="str">
        <f t="shared" si="36"/>
        <v>Valid</v>
      </c>
      <c r="AS161" t="str">
        <f t="shared" si="37"/>
        <v>Valid</v>
      </c>
    </row>
    <row r="162" spans="1:45" x14ac:dyDescent="0.3">
      <c r="A162">
        <v>2795</v>
      </c>
      <c r="B162">
        <v>1958</v>
      </c>
      <c r="C162" t="s">
        <v>34</v>
      </c>
      <c r="D162" t="s">
        <v>30</v>
      </c>
      <c r="E162">
        <v>30523</v>
      </c>
      <c r="F162">
        <v>2</v>
      </c>
      <c r="G162">
        <v>1</v>
      </c>
      <c r="H162" s="1">
        <v>41456</v>
      </c>
      <c r="I162">
        <v>0</v>
      </c>
      <c r="J162">
        <v>5</v>
      </c>
      <c r="K162">
        <v>0</v>
      </c>
      <c r="L162">
        <v>3</v>
      </c>
      <c r="M162">
        <v>0</v>
      </c>
      <c r="N162">
        <v>0</v>
      </c>
      <c r="O162">
        <v>5</v>
      </c>
      <c r="P162">
        <v>1</v>
      </c>
      <c r="Q162">
        <v>1</v>
      </c>
      <c r="R162">
        <v>0</v>
      </c>
      <c r="S162">
        <v>2</v>
      </c>
      <c r="T162">
        <v>7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3</v>
      </c>
      <c r="AB162">
        <v>11</v>
      </c>
      <c r="AC162">
        <v>0</v>
      </c>
      <c r="AD162" t="str">
        <f t="shared" si="26"/>
        <v>Ok</v>
      </c>
      <c r="AE162" t="str">
        <f>IF(AND(Audit_Data[[#This Row],[Year_Birth]]&gt;=1900,Audit_Data[[#This Row],[Year_Birth]]&lt;=2010),"OK","Invalid")</f>
        <v>OK</v>
      </c>
      <c r="AF162" t="str">
        <f t="shared" si="27"/>
        <v>Valid</v>
      </c>
      <c r="AG162" t="str">
        <f t="shared" si="28"/>
        <v>Valid</v>
      </c>
      <c r="AH162" t="str">
        <f t="shared" si="29"/>
        <v>Valid</v>
      </c>
      <c r="AI162" t="str">
        <f t="shared" si="30"/>
        <v>Valid</v>
      </c>
      <c r="AJ162" t="str">
        <f t="shared" si="31"/>
        <v>Valid</v>
      </c>
      <c r="AK162" t="str">
        <f t="shared" si="38"/>
        <v xml:space="preserve">Valid </v>
      </c>
      <c r="AL162" t="str">
        <f>IF(AND(Audit_Data[[#This Row],[Recency]]&gt;=0,Audit_Data[[#This Row],[Recency]]&lt;=100),"Valid","Invalid")</f>
        <v>Valid</v>
      </c>
      <c r="AM162" t="str">
        <f t="shared" si="32"/>
        <v>Valid</v>
      </c>
      <c r="AN162" t="str">
        <f t="shared" si="33"/>
        <v>Valid</v>
      </c>
      <c r="AO162" t="str">
        <f t="shared" si="34"/>
        <v>Valid</v>
      </c>
      <c r="AP162" t="str">
        <f t="shared" si="35"/>
        <v>Valid</v>
      </c>
      <c r="AQ162" t="str">
        <f>IF(Audit_Data[[#This Row],[Z_CostContact]]=3,"Valid","Invalid")</f>
        <v>Valid</v>
      </c>
      <c r="AR162" t="str">
        <f t="shared" si="36"/>
        <v>Valid</v>
      </c>
      <c r="AS162" t="str">
        <f t="shared" si="37"/>
        <v>Valid</v>
      </c>
    </row>
    <row r="163" spans="1:45" x14ac:dyDescent="0.3">
      <c r="A163">
        <v>9260</v>
      </c>
      <c r="B163">
        <v>1945</v>
      </c>
      <c r="C163" t="s">
        <v>32</v>
      </c>
      <c r="D163" t="s">
        <v>33</v>
      </c>
      <c r="E163">
        <v>70356</v>
      </c>
      <c r="F163">
        <v>0</v>
      </c>
      <c r="G163">
        <v>0</v>
      </c>
      <c r="H163" s="1">
        <v>41218</v>
      </c>
      <c r="I163">
        <v>20</v>
      </c>
      <c r="J163">
        <v>1349</v>
      </c>
      <c r="K163">
        <v>16</v>
      </c>
      <c r="L163">
        <v>249</v>
      </c>
      <c r="M163">
        <v>43</v>
      </c>
      <c r="N163">
        <v>16</v>
      </c>
      <c r="O163">
        <v>33</v>
      </c>
      <c r="P163">
        <v>2</v>
      </c>
      <c r="Q163">
        <v>10</v>
      </c>
      <c r="R163">
        <v>6</v>
      </c>
      <c r="S163">
        <v>9</v>
      </c>
      <c r="T163">
        <v>6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3</v>
      </c>
      <c r="AB163">
        <v>11</v>
      </c>
      <c r="AC163">
        <v>0</v>
      </c>
      <c r="AD163" t="str">
        <f t="shared" si="26"/>
        <v>Ok</v>
      </c>
      <c r="AE163" t="str">
        <f>IF(AND(Audit_Data[[#This Row],[Year_Birth]]&gt;=1900,Audit_Data[[#This Row],[Year_Birth]]&lt;=2010),"OK","Invalid")</f>
        <v>OK</v>
      </c>
      <c r="AF163" t="str">
        <f t="shared" si="27"/>
        <v>Valid</v>
      </c>
      <c r="AG163" t="str">
        <f t="shared" si="28"/>
        <v>Valid</v>
      </c>
      <c r="AH163" t="str">
        <f t="shared" si="29"/>
        <v>Valid</v>
      </c>
      <c r="AI163" t="str">
        <f t="shared" si="30"/>
        <v>Valid</v>
      </c>
      <c r="AJ163" t="str">
        <f t="shared" si="31"/>
        <v>Valid</v>
      </c>
      <c r="AK163" t="str">
        <f t="shared" si="38"/>
        <v xml:space="preserve">Valid </v>
      </c>
      <c r="AL163" t="str">
        <f>IF(AND(Audit_Data[[#This Row],[Recency]]&gt;=0,Audit_Data[[#This Row],[Recency]]&lt;=100),"Valid","Invalid")</f>
        <v>Valid</v>
      </c>
      <c r="AM163" t="str">
        <f t="shared" si="32"/>
        <v>Valid</v>
      </c>
      <c r="AN163" t="str">
        <f t="shared" si="33"/>
        <v>Valid</v>
      </c>
      <c r="AO163" t="str">
        <f t="shared" si="34"/>
        <v>Valid</v>
      </c>
      <c r="AP163" t="str">
        <f t="shared" si="35"/>
        <v>Valid</v>
      </c>
      <c r="AQ163" t="str">
        <f>IF(Audit_Data[[#This Row],[Z_CostContact]]=3,"Valid","Invalid")</f>
        <v>Valid</v>
      </c>
      <c r="AR163" t="str">
        <f t="shared" si="36"/>
        <v>Valid</v>
      </c>
      <c r="AS163" t="str">
        <f t="shared" si="37"/>
        <v>Valid</v>
      </c>
    </row>
    <row r="164" spans="1:45" x14ac:dyDescent="0.3">
      <c r="A164">
        <v>8182</v>
      </c>
      <c r="B164">
        <v>1984</v>
      </c>
      <c r="C164" t="s">
        <v>29</v>
      </c>
      <c r="D164" t="s">
        <v>33</v>
      </c>
      <c r="E164">
        <v>23228</v>
      </c>
      <c r="F164">
        <v>1</v>
      </c>
      <c r="G164">
        <v>0</v>
      </c>
      <c r="H164" s="1">
        <v>41644</v>
      </c>
      <c r="I164">
        <v>91</v>
      </c>
      <c r="J164">
        <v>53</v>
      </c>
      <c r="K164">
        <v>3</v>
      </c>
      <c r="L164">
        <v>49</v>
      </c>
      <c r="M164">
        <v>7</v>
      </c>
      <c r="N164">
        <v>4</v>
      </c>
      <c r="O164">
        <v>5</v>
      </c>
      <c r="P164">
        <v>4</v>
      </c>
      <c r="Q164">
        <v>3</v>
      </c>
      <c r="R164">
        <v>0</v>
      </c>
      <c r="S164">
        <v>4</v>
      </c>
      <c r="T164">
        <v>8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3</v>
      </c>
      <c r="AB164">
        <v>11</v>
      </c>
      <c r="AC164">
        <v>0</v>
      </c>
      <c r="AD164" t="str">
        <f t="shared" si="26"/>
        <v>Ok</v>
      </c>
      <c r="AE164" t="str">
        <f>IF(AND(Audit_Data[[#This Row],[Year_Birth]]&gt;=1900,Audit_Data[[#This Row],[Year_Birth]]&lt;=2010),"OK","Invalid")</f>
        <v>OK</v>
      </c>
      <c r="AF164" t="str">
        <f t="shared" si="27"/>
        <v>Valid</v>
      </c>
      <c r="AG164" t="str">
        <f t="shared" si="28"/>
        <v>Valid</v>
      </c>
      <c r="AH164" t="str">
        <f t="shared" si="29"/>
        <v>Valid</v>
      </c>
      <c r="AI164" t="str">
        <f t="shared" si="30"/>
        <v>Valid</v>
      </c>
      <c r="AJ164" t="str">
        <f t="shared" si="31"/>
        <v>Valid</v>
      </c>
      <c r="AK164" t="str">
        <f t="shared" si="38"/>
        <v xml:space="preserve">Valid </v>
      </c>
      <c r="AL164" t="str">
        <f>IF(AND(Audit_Data[[#This Row],[Recency]]&gt;=0,Audit_Data[[#This Row],[Recency]]&lt;=100),"Valid","Invalid")</f>
        <v>Valid</v>
      </c>
      <c r="AM164" t="str">
        <f t="shared" si="32"/>
        <v>Valid</v>
      </c>
      <c r="AN164" t="str">
        <f t="shared" si="33"/>
        <v>Valid</v>
      </c>
      <c r="AO164" t="str">
        <f t="shared" si="34"/>
        <v>Valid</v>
      </c>
      <c r="AP164" t="str">
        <f t="shared" si="35"/>
        <v>Valid</v>
      </c>
      <c r="AQ164" t="str">
        <f>IF(Audit_Data[[#This Row],[Z_CostContact]]=3,"Valid","Invalid")</f>
        <v>Valid</v>
      </c>
      <c r="AR164" t="str">
        <f t="shared" si="36"/>
        <v>Valid</v>
      </c>
      <c r="AS164" t="str">
        <f t="shared" si="37"/>
        <v>Valid</v>
      </c>
    </row>
    <row r="165" spans="1:45" x14ac:dyDescent="0.3">
      <c r="A165">
        <v>10095</v>
      </c>
      <c r="B165">
        <v>1975</v>
      </c>
      <c r="C165" t="s">
        <v>32</v>
      </c>
      <c r="D165" t="s">
        <v>35</v>
      </c>
      <c r="E165">
        <v>74165</v>
      </c>
      <c r="F165">
        <v>0</v>
      </c>
      <c r="G165">
        <v>0</v>
      </c>
      <c r="H165" s="1">
        <v>41395</v>
      </c>
      <c r="I165">
        <v>9</v>
      </c>
      <c r="J165">
        <v>1001</v>
      </c>
      <c r="K165">
        <v>12</v>
      </c>
      <c r="L165">
        <v>240</v>
      </c>
      <c r="M165">
        <v>16</v>
      </c>
      <c r="N165">
        <v>12</v>
      </c>
      <c r="O165">
        <v>12</v>
      </c>
      <c r="P165">
        <v>1</v>
      </c>
      <c r="Q165">
        <v>5</v>
      </c>
      <c r="R165">
        <v>4</v>
      </c>
      <c r="S165">
        <v>10</v>
      </c>
      <c r="T165">
        <v>2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3</v>
      </c>
      <c r="AB165">
        <v>11</v>
      </c>
      <c r="AC165">
        <v>0</v>
      </c>
      <c r="AD165" t="str">
        <f t="shared" si="26"/>
        <v>Ok</v>
      </c>
      <c r="AE165" t="str">
        <f>IF(AND(Audit_Data[[#This Row],[Year_Birth]]&gt;=1900,Audit_Data[[#This Row],[Year_Birth]]&lt;=2010),"OK","Invalid")</f>
        <v>OK</v>
      </c>
      <c r="AF165" t="str">
        <f t="shared" si="27"/>
        <v>Valid</v>
      </c>
      <c r="AG165" t="str">
        <f t="shared" si="28"/>
        <v>Valid</v>
      </c>
      <c r="AH165" t="str">
        <f t="shared" si="29"/>
        <v>Valid</v>
      </c>
      <c r="AI165" t="str">
        <f t="shared" si="30"/>
        <v>Valid</v>
      </c>
      <c r="AJ165" t="str">
        <f t="shared" si="31"/>
        <v>Valid</v>
      </c>
      <c r="AK165" t="str">
        <f t="shared" si="38"/>
        <v xml:space="preserve">Valid </v>
      </c>
      <c r="AL165" t="str">
        <f>IF(AND(Audit_Data[[#This Row],[Recency]]&gt;=0,Audit_Data[[#This Row],[Recency]]&lt;=100),"Valid","Invalid")</f>
        <v>Valid</v>
      </c>
      <c r="AM165" t="str">
        <f t="shared" si="32"/>
        <v>Valid</v>
      </c>
      <c r="AN165" t="str">
        <f t="shared" si="33"/>
        <v>Valid</v>
      </c>
      <c r="AO165" t="str">
        <f t="shared" si="34"/>
        <v>Valid</v>
      </c>
      <c r="AP165" t="str">
        <f t="shared" si="35"/>
        <v>Valid</v>
      </c>
      <c r="AQ165" t="str">
        <f>IF(Audit_Data[[#This Row],[Z_CostContact]]=3,"Valid","Invalid")</f>
        <v>Valid</v>
      </c>
      <c r="AR165" t="str">
        <f t="shared" si="36"/>
        <v>Valid</v>
      </c>
      <c r="AS165" t="str">
        <f t="shared" si="37"/>
        <v>Valid</v>
      </c>
    </row>
    <row r="166" spans="1:45" x14ac:dyDescent="0.3">
      <c r="A166">
        <v>8475</v>
      </c>
      <c r="B166">
        <v>1973</v>
      </c>
      <c r="C166" t="s">
        <v>32</v>
      </c>
      <c r="D166" t="s">
        <v>33</v>
      </c>
      <c r="E166">
        <v>157243</v>
      </c>
      <c r="F166">
        <v>0</v>
      </c>
      <c r="G166">
        <v>1</v>
      </c>
      <c r="H166" s="1">
        <v>41699</v>
      </c>
      <c r="I166">
        <v>98</v>
      </c>
      <c r="J166">
        <v>20</v>
      </c>
      <c r="K166">
        <v>2</v>
      </c>
      <c r="L166">
        <v>1582</v>
      </c>
      <c r="M166">
        <v>1</v>
      </c>
      <c r="N166">
        <v>2</v>
      </c>
      <c r="O166">
        <v>1</v>
      </c>
      <c r="P166">
        <v>15</v>
      </c>
      <c r="Q166">
        <v>0</v>
      </c>
      <c r="R166">
        <v>22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3</v>
      </c>
      <c r="AB166">
        <v>11</v>
      </c>
      <c r="AC166">
        <v>0</v>
      </c>
      <c r="AD166" t="str">
        <f t="shared" si="26"/>
        <v>Ok</v>
      </c>
      <c r="AE166" t="str">
        <f>IF(AND(Audit_Data[[#This Row],[Year_Birth]]&gt;=1900,Audit_Data[[#This Row],[Year_Birth]]&lt;=2010),"OK","Invalid")</f>
        <v>OK</v>
      </c>
      <c r="AF166" t="str">
        <f t="shared" si="27"/>
        <v>Valid</v>
      </c>
      <c r="AG166" t="str">
        <f t="shared" si="28"/>
        <v>Valid</v>
      </c>
      <c r="AH166" t="str">
        <f t="shared" si="29"/>
        <v>Valid</v>
      </c>
      <c r="AI166" t="str">
        <f t="shared" si="30"/>
        <v>Valid</v>
      </c>
      <c r="AJ166" t="str">
        <f t="shared" si="31"/>
        <v>Valid</v>
      </c>
      <c r="AK166" t="str">
        <f t="shared" si="38"/>
        <v xml:space="preserve">Valid </v>
      </c>
      <c r="AL166" t="str">
        <f>IF(AND(Audit_Data[[#This Row],[Recency]]&gt;=0,Audit_Data[[#This Row],[Recency]]&lt;=100),"Valid","Invalid")</f>
        <v>Valid</v>
      </c>
      <c r="AM166" t="str">
        <f t="shared" si="32"/>
        <v>Valid</v>
      </c>
      <c r="AN166" t="str">
        <f t="shared" si="33"/>
        <v>Valid</v>
      </c>
      <c r="AO166" t="str">
        <f t="shared" si="34"/>
        <v>Valid</v>
      </c>
      <c r="AP166" t="str">
        <f t="shared" si="35"/>
        <v>Valid</v>
      </c>
      <c r="AQ166" t="str">
        <f>IF(Audit_Data[[#This Row],[Z_CostContact]]=3,"Valid","Invalid")</f>
        <v>Valid</v>
      </c>
      <c r="AR166" t="str">
        <f t="shared" si="36"/>
        <v>Valid</v>
      </c>
      <c r="AS166" t="str">
        <f t="shared" si="37"/>
        <v>Valid</v>
      </c>
    </row>
    <row r="167" spans="1:45" x14ac:dyDescent="0.3">
      <c r="A167">
        <v>4370</v>
      </c>
      <c r="B167">
        <v>1966</v>
      </c>
      <c r="C167" t="s">
        <v>29</v>
      </c>
      <c r="D167" t="s">
        <v>31</v>
      </c>
      <c r="E167">
        <v>43482</v>
      </c>
      <c r="F167">
        <v>2</v>
      </c>
      <c r="G167">
        <v>1</v>
      </c>
      <c r="H167" s="1">
        <v>41591</v>
      </c>
      <c r="I167">
        <v>83</v>
      </c>
      <c r="J167">
        <v>18</v>
      </c>
      <c r="K167">
        <v>1</v>
      </c>
      <c r="L167">
        <v>32</v>
      </c>
      <c r="M167">
        <v>6</v>
      </c>
      <c r="N167">
        <v>3</v>
      </c>
      <c r="O167">
        <v>28</v>
      </c>
      <c r="P167">
        <v>3</v>
      </c>
      <c r="Q167">
        <v>2</v>
      </c>
      <c r="R167">
        <v>0</v>
      </c>
      <c r="S167">
        <v>4</v>
      </c>
      <c r="T167">
        <v>6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3</v>
      </c>
      <c r="AB167">
        <v>11</v>
      </c>
      <c r="AC167">
        <v>0</v>
      </c>
      <c r="AD167" t="str">
        <f t="shared" si="26"/>
        <v>Ok</v>
      </c>
      <c r="AE167" t="str">
        <f>IF(AND(Audit_Data[[#This Row],[Year_Birth]]&gt;=1900,Audit_Data[[#This Row],[Year_Birth]]&lt;=2010),"OK","Invalid")</f>
        <v>OK</v>
      </c>
      <c r="AF167" t="str">
        <f t="shared" si="27"/>
        <v>Valid</v>
      </c>
      <c r="AG167" t="str">
        <f t="shared" si="28"/>
        <v>Valid</v>
      </c>
      <c r="AH167" t="str">
        <f t="shared" si="29"/>
        <v>Valid</v>
      </c>
      <c r="AI167" t="str">
        <f t="shared" si="30"/>
        <v>Valid</v>
      </c>
      <c r="AJ167" t="str">
        <f t="shared" si="31"/>
        <v>Valid</v>
      </c>
      <c r="AK167" t="str">
        <f t="shared" si="38"/>
        <v xml:space="preserve">Valid </v>
      </c>
      <c r="AL167" t="str">
        <f>IF(AND(Audit_Data[[#This Row],[Recency]]&gt;=0,Audit_Data[[#This Row],[Recency]]&lt;=100),"Valid","Invalid")</f>
        <v>Valid</v>
      </c>
      <c r="AM167" t="str">
        <f t="shared" si="32"/>
        <v>Valid</v>
      </c>
      <c r="AN167" t="str">
        <f t="shared" si="33"/>
        <v>Valid</v>
      </c>
      <c r="AO167" t="str">
        <f t="shared" si="34"/>
        <v>Valid</v>
      </c>
      <c r="AP167" t="str">
        <f t="shared" si="35"/>
        <v>Valid</v>
      </c>
      <c r="AQ167" t="str">
        <f>IF(Audit_Data[[#This Row],[Z_CostContact]]=3,"Valid","Invalid")</f>
        <v>Valid</v>
      </c>
      <c r="AR167" t="str">
        <f t="shared" si="36"/>
        <v>Valid</v>
      </c>
      <c r="AS167" t="str">
        <f t="shared" si="37"/>
        <v>Valid</v>
      </c>
    </row>
    <row r="168" spans="1:45" x14ac:dyDescent="0.3">
      <c r="A168">
        <v>10573</v>
      </c>
      <c r="B168">
        <v>1953</v>
      </c>
      <c r="C168" t="s">
        <v>29</v>
      </c>
      <c r="D168" t="s">
        <v>35</v>
      </c>
      <c r="E168">
        <v>62551</v>
      </c>
      <c r="F168">
        <v>0</v>
      </c>
      <c r="G168">
        <v>0</v>
      </c>
      <c r="H168" s="1">
        <v>41596</v>
      </c>
      <c r="I168">
        <v>27</v>
      </c>
      <c r="J168">
        <v>125</v>
      </c>
      <c r="K168">
        <v>16</v>
      </c>
      <c r="L168">
        <v>98</v>
      </c>
      <c r="M168">
        <v>134</v>
      </c>
      <c r="N168">
        <v>21</v>
      </c>
      <c r="O168">
        <v>27</v>
      </c>
      <c r="P168">
        <v>1</v>
      </c>
      <c r="Q168">
        <v>6</v>
      </c>
      <c r="R168">
        <v>7</v>
      </c>
      <c r="S168">
        <v>4</v>
      </c>
      <c r="T168">
        <v>3</v>
      </c>
      <c r="U168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11</v>
      </c>
      <c r="AC168">
        <v>0</v>
      </c>
      <c r="AD168" t="str">
        <f t="shared" si="26"/>
        <v>Ok</v>
      </c>
      <c r="AE168" t="str">
        <f>IF(AND(Audit_Data[[#This Row],[Year_Birth]]&gt;=1900,Audit_Data[[#This Row],[Year_Birth]]&lt;=2010),"OK","Invalid")</f>
        <v>OK</v>
      </c>
      <c r="AF168" t="str">
        <f t="shared" si="27"/>
        <v>Valid</v>
      </c>
      <c r="AG168" t="str">
        <f t="shared" si="28"/>
        <v>Valid</v>
      </c>
      <c r="AH168" t="str">
        <f t="shared" si="29"/>
        <v>Valid</v>
      </c>
      <c r="AI168" t="str">
        <f t="shared" si="30"/>
        <v>Valid</v>
      </c>
      <c r="AJ168" t="str">
        <f t="shared" si="31"/>
        <v>Valid</v>
      </c>
      <c r="AK168" t="str">
        <f t="shared" si="38"/>
        <v xml:space="preserve">Valid </v>
      </c>
      <c r="AL168" t="str">
        <f>IF(AND(Audit_Data[[#This Row],[Recency]]&gt;=0,Audit_Data[[#This Row],[Recency]]&lt;=100),"Valid","Invalid")</f>
        <v>Valid</v>
      </c>
      <c r="AM168" t="str">
        <f t="shared" si="32"/>
        <v>Valid</v>
      </c>
      <c r="AN168" t="str">
        <f t="shared" si="33"/>
        <v>Valid</v>
      </c>
      <c r="AO168" t="str">
        <f t="shared" si="34"/>
        <v>Valid</v>
      </c>
      <c r="AP168" t="str">
        <f t="shared" si="35"/>
        <v>Valid</v>
      </c>
      <c r="AQ168" t="str">
        <f>IF(Audit_Data[[#This Row],[Z_CostContact]]=3,"Valid","Invalid")</f>
        <v>Valid</v>
      </c>
      <c r="AR168" t="str">
        <f t="shared" si="36"/>
        <v>Valid</v>
      </c>
      <c r="AS168" t="str">
        <f t="shared" si="37"/>
        <v>Valid</v>
      </c>
    </row>
    <row r="169" spans="1:45" x14ac:dyDescent="0.3">
      <c r="A169">
        <v>3712</v>
      </c>
      <c r="B169">
        <v>1959</v>
      </c>
      <c r="C169" t="s">
        <v>29</v>
      </c>
      <c r="D169" t="s">
        <v>35</v>
      </c>
      <c r="E169">
        <v>52332</v>
      </c>
      <c r="F169">
        <v>0</v>
      </c>
      <c r="G169">
        <v>0</v>
      </c>
      <c r="H169" s="1">
        <v>41514</v>
      </c>
      <c r="I169">
        <v>63</v>
      </c>
      <c r="J169">
        <v>212</v>
      </c>
      <c r="K169">
        <v>5</v>
      </c>
      <c r="L169">
        <v>33</v>
      </c>
      <c r="M169">
        <v>7</v>
      </c>
      <c r="N169">
        <v>0</v>
      </c>
      <c r="O169">
        <v>2</v>
      </c>
      <c r="P169">
        <v>1</v>
      </c>
      <c r="Q169">
        <v>3</v>
      </c>
      <c r="R169">
        <v>2</v>
      </c>
      <c r="S169">
        <v>6</v>
      </c>
      <c r="T169">
        <v>4</v>
      </c>
      <c r="U169">
        <v>0</v>
      </c>
      <c r="V169">
        <v>1</v>
      </c>
      <c r="W169">
        <v>0</v>
      </c>
      <c r="X169">
        <v>0</v>
      </c>
      <c r="Y169">
        <v>0</v>
      </c>
      <c r="Z169">
        <v>0</v>
      </c>
      <c r="AA169">
        <v>3</v>
      </c>
      <c r="AB169">
        <v>11</v>
      </c>
      <c r="AC169">
        <v>0</v>
      </c>
      <c r="AD169" t="str">
        <f t="shared" si="26"/>
        <v>Ok</v>
      </c>
      <c r="AE169" t="str">
        <f>IF(AND(Audit_Data[[#This Row],[Year_Birth]]&gt;=1900,Audit_Data[[#This Row],[Year_Birth]]&lt;=2010),"OK","Invalid")</f>
        <v>OK</v>
      </c>
      <c r="AF169" t="str">
        <f t="shared" si="27"/>
        <v>Valid</v>
      </c>
      <c r="AG169" t="str">
        <f t="shared" si="28"/>
        <v>Valid</v>
      </c>
      <c r="AH169" t="str">
        <f t="shared" si="29"/>
        <v>Valid</v>
      </c>
      <c r="AI169" t="str">
        <f t="shared" si="30"/>
        <v>Valid</v>
      </c>
      <c r="AJ169" t="str">
        <f t="shared" si="31"/>
        <v>Valid</v>
      </c>
      <c r="AK169" t="str">
        <f t="shared" si="38"/>
        <v xml:space="preserve">Valid </v>
      </c>
      <c r="AL169" t="str">
        <f>IF(AND(Audit_Data[[#This Row],[Recency]]&gt;=0,Audit_Data[[#This Row],[Recency]]&lt;=100),"Valid","Invalid")</f>
        <v>Valid</v>
      </c>
      <c r="AM169" t="str">
        <f t="shared" si="32"/>
        <v>Valid</v>
      </c>
      <c r="AN169" t="str">
        <f t="shared" si="33"/>
        <v>Valid</v>
      </c>
      <c r="AO169" t="str">
        <f t="shared" si="34"/>
        <v>Valid</v>
      </c>
      <c r="AP169" t="str">
        <f t="shared" si="35"/>
        <v>Valid</v>
      </c>
      <c r="AQ169" t="str">
        <f>IF(Audit_Data[[#This Row],[Z_CostContact]]=3,"Valid","Invalid")</f>
        <v>Valid</v>
      </c>
      <c r="AR169" t="str">
        <f t="shared" si="36"/>
        <v>Valid</v>
      </c>
      <c r="AS169" t="str">
        <f t="shared" si="37"/>
        <v>Valid</v>
      </c>
    </row>
    <row r="170" spans="1:45" x14ac:dyDescent="0.3">
      <c r="A170">
        <v>6637</v>
      </c>
      <c r="B170">
        <v>1988</v>
      </c>
      <c r="C170" t="s">
        <v>29</v>
      </c>
      <c r="D170" t="s">
        <v>30</v>
      </c>
      <c r="E170">
        <v>66951</v>
      </c>
      <c r="F170">
        <v>0</v>
      </c>
      <c r="G170">
        <v>0</v>
      </c>
      <c r="H170" s="1">
        <v>41580</v>
      </c>
      <c r="I170">
        <v>46</v>
      </c>
      <c r="J170">
        <v>277</v>
      </c>
      <c r="K170">
        <v>162</v>
      </c>
      <c r="L170">
        <v>305</v>
      </c>
      <c r="M170">
        <v>173</v>
      </c>
      <c r="N170">
        <v>76</v>
      </c>
      <c r="O170">
        <v>124</v>
      </c>
      <c r="P170">
        <v>1</v>
      </c>
      <c r="Q170">
        <v>3</v>
      </c>
      <c r="R170">
        <v>4</v>
      </c>
      <c r="S170">
        <v>7</v>
      </c>
      <c r="T170">
        <v>1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3</v>
      </c>
      <c r="AB170">
        <v>11</v>
      </c>
      <c r="AC170">
        <v>0</v>
      </c>
      <c r="AD170" t="str">
        <f t="shared" si="26"/>
        <v>Ok</v>
      </c>
      <c r="AE170" t="str">
        <f>IF(AND(Audit_Data[[#This Row],[Year_Birth]]&gt;=1900,Audit_Data[[#This Row],[Year_Birth]]&lt;=2010),"OK","Invalid")</f>
        <v>OK</v>
      </c>
      <c r="AF170" t="str">
        <f t="shared" si="27"/>
        <v>Valid</v>
      </c>
      <c r="AG170" t="str">
        <f t="shared" si="28"/>
        <v>Valid</v>
      </c>
      <c r="AH170" t="str">
        <f t="shared" si="29"/>
        <v>Valid</v>
      </c>
      <c r="AI170" t="str">
        <f t="shared" si="30"/>
        <v>Valid</v>
      </c>
      <c r="AJ170" t="str">
        <f t="shared" si="31"/>
        <v>Valid</v>
      </c>
      <c r="AK170" t="str">
        <f t="shared" si="38"/>
        <v xml:space="preserve">Valid </v>
      </c>
      <c r="AL170" t="str">
        <f>IF(AND(Audit_Data[[#This Row],[Recency]]&gt;=0,Audit_Data[[#This Row],[Recency]]&lt;=100),"Valid","Invalid")</f>
        <v>Valid</v>
      </c>
      <c r="AM170" t="str">
        <f t="shared" si="32"/>
        <v>Valid</v>
      </c>
      <c r="AN170" t="str">
        <f t="shared" si="33"/>
        <v>Valid</v>
      </c>
      <c r="AO170" t="str">
        <f t="shared" si="34"/>
        <v>Valid</v>
      </c>
      <c r="AP170" t="str">
        <f t="shared" si="35"/>
        <v>Valid</v>
      </c>
      <c r="AQ170" t="str">
        <f>IF(Audit_Data[[#This Row],[Z_CostContact]]=3,"Valid","Invalid")</f>
        <v>Valid</v>
      </c>
      <c r="AR170" t="str">
        <f t="shared" si="36"/>
        <v>Valid</v>
      </c>
      <c r="AS170" t="str">
        <f t="shared" si="37"/>
        <v>Valid</v>
      </c>
    </row>
    <row r="171" spans="1:45" x14ac:dyDescent="0.3">
      <c r="A171">
        <v>3152</v>
      </c>
      <c r="B171">
        <v>1957</v>
      </c>
      <c r="C171" t="s">
        <v>29</v>
      </c>
      <c r="D171" t="s">
        <v>31</v>
      </c>
      <c r="E171">
        <v>26091</v>
      </c>
      <c r="F171">
        <v>1</v>
      </c>
      <c r="G171">
        <v>1</v>
      </c>
      <c r="H171" s="1">
        <v>41695</v>
      </c>
      <c r="I171">
        <v>84</v>
      </c>
      <c r="J171">
        <v>15</v>
      </c>
      <c r="K171">
        <v>10</v>
      </c>
      <c r="L171">
        <v>19</v>
      </c>
      <c r="M171">
        <v>8</v>
      </c>
      <c r="N171">
        <v>17</v>
      </c>
      <c r="O171">
        <v>20</v>
      </c>
      <c r="P171">
        <v>3</v>
      </c>
      <c r="Q171">
        <v>2</v>
      </c>
      <c r="R171">
        <v>1</v>
      </c>
      <c r="S171">
        <v>3</v>
      </c>
      <c r="T171">
        <v>5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3</v>
      </c>
      <c r="AB171">
        <v>11</v>
      </c>
      <c r="AC171">
        <v>0</v>
      </c>
      <c r="AD171" t="str">
        <f t="shared" si="26"/>
        <v>Ok</v>
      </c>
      <c r="AE171" t="str">
        <f>IF(AND(Audit_Data[[#This Row],[Year_Birth]]&gt;=1900,Audit_Data[[#This Row],[Year_Birth]]&lt;=2010),"OK","Invalid")</f>
        <v>OK</v>
      </c>
      <c r="AF171" t="str">
        <f t="shared" si="27"/>
        <v>Valid</v>
      </c>
      <c r="AG171" t="str">
        <f t="shared" si="28"/>
        <v>Valid</v>
      </c>
      <c r="AH171" t="str">
        <f t="shared" si="29"/>
        <v>Valid</v>
      </c>
      <c r="AI171" t="str">
        <f t="shared" si="30"/>
        <v>Valid</v>
      </c>
      <c r="AJ171" t="str">
        <f t="shared" si="31"/>
        <v>Valid</v>
      </c>
      <c r="AK171" t="str">
        <f t="shared" si="38"/>
        <v xml:space="preserve">Valid </v>
      </c>
      <c r="AL171" t="str">
        <f>IF(AND(Audit_Data[[#This Row],[Recency]]&gt;=0,Audit_Data[[#This Row],[Recency]]&lt;=100),"Valid","Invalid")</f>
        <v>Valid</v>
      </c>
      <c r="AM171" t="str">
        <f t="shared" si="32"/>
        <v>Valid</v>
      </c>
      <c r="AN171" t="str">
        <f t="shared" si="33"/>
        <v>Valid</v>
      </c>
      <c r="AO171" t="str">
        <f t="shared" si="34"/>
        <v>Valid</v>
      </c>
      <c r="AP171" t="str">
        <f t="shared" si="35"/>
        <v>Valid</v>
      </c>
      <c r="AQ171" t="str">
        <f>IF(Audit_Data[[#This Row],[Z_CostContact]]=3,"Valid","Invalid")</f>
        <v>Valid</v>
      </c>
      <c r="AR171" t="str">
        <f t="shared" si="36"/>
        <v>Valid</v>
      </c>
      <c r="AS171" t="str">
        <f t="shared" si="37"/>
        <v>Valid</v>
      </c>
    </row>
    <row r="172" spans="1:45" x14ac:dyDescent="0.3">
      <c r="A172">
        <v>5610</v>
      </c>
      <c r="B172">
        <v>1965</v>
      </c>
      <c r="C172" t="s">
        <v>29</v>
      </c>
      <c r="D172" t="s">
        <v>31</v>
      </c>
      <c r="E172">
        <v>33456</v>
      </c>
      <c r="F172">
        <v>1</v>
      </c>
      <c r="G172">
        <v>1</v>
      </c>
      <c r="H172" s="1">
        <v>41750</v>
      </c>
      <c r="I172">
        <v>58</v>
      </c>
      <c r="J172">
        <v>7</v>
      </c>
      <c r="K172">
        <v>3</v>
      </c>
      <c r="L172">
        <v>10</v>
      </c>
      <c r="M172">
        <v>8</v>
      </c>
      <c r="N172">
        <v>1</v>
      </c>
      <c r="O172">
        <v>7</v>
      </c>
      <c r="P172">
        <v>2</v>
      </c>
      <c r="Q172">
        <v>1</v>
      </c>
      <c r="R172">
        <v>0</v>
      </c>
      <c r="S172">
        <v>3</v>
      </c>
      <c r="T172">
        <v>7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3</v>
      </c>
      <c r="AB172">
        <v>11</v>
      </c>
      <c r="AC172">
        <v>0</v>
      </c>
      <c r="AD172" t="str">
        <f t="shared" si="26"/>
        <v>Ok</v>
      </c>
      <c r="AE172" t="str">
        <f>IF(AND(Audit_Data[[#This Row],[Year_Birth]]&gt;=1900,Audit_Data[[#This Row],[Year_Birth]]&lt;=2010),"OK","Invalid")</f>
        <v>OK</v>
      </c>
      <c r="AF172" t="str">
        <f t="shared" si="27"/>
        <v>Valid</v>
      </c>
      <c r="AG172" t="str">
        <f t="shared" si="28"/>
        <v>Valid</v>
      </c>
      <c r="AH172" t="str">
        <f t="shared" si="29"/>
        <v>Valid</v>
      </c>
      <c r="AI172" t="str">
        <f t="shared" si="30"/>
        <v>Valid</v>
      </c>
      <c r="AJ172" t="str">
        <f t="shared" si="31"/>
        <v>Valid</v>
      </c>
      <c r="AK172" t="str">
        <f t="shared" si="38"/>
        <v xml:space="preserve">Valid </v>
      </c>
      <c r="AL172" t="str">
        <f>IF(AND(Audit_Data[[#This Row],[Recency]]&gt;=0,Audit_Data[[#This Row],[Recency]]&lt;=100),"Valid","Invalid")</f>
        <v>Valid</v>
      </c>
      <c r="AM172" t="str">
        <f t="shared" si="32"/>
        <v>Valid</v>
      </c>
      <c r="AN172" t="str">
        <f t="shared" si="33"/>
        <v>Valid</v>
      </c>
      <c r="AO172" t="str">
        <f t="shared" si="34"/>
        <v>Valid</v>
      </c>
      <c r="AP172" t="str">
        <f t="shared" si="35"/>
        <v>Valid</v>
      </c>
      <c r="AQ172" t="str">
        <f>IF(Audit_Data[[#This Row],[Z_CostContact]]=3,"Valid","Invalid")</f>
        <v>Valid</v>
      </c>
      <c r="AR172" t="str">
        <f t="shared" si="36"/>
        <v>Valid</v>
      </c>
      <c r="AS172" t="str">
        <f t="shared" si="37"/>
        <v>Valid</v>
      </c>
    </row>
    <row r="173" spans="1:45" x14ac:dyDescent="0.3">
      <c r="A173">
        <v>6460</v>
      </c>
      <c r="B173">
        <v>1982</v>
      </c>
      <c r="C173" t="s">
        <v>29</v>
      </c>
      <c r="D173" t="s">
        <v>33</v>
      </c>
      <c r="E173">
        <v>28718</v>
      </c>
      <c r="F173">
        <v>1</v>
      </c>
      <c r="G173">
        <v>0</v>
      </c>
      <c r="H173" s="1">
        <v>41468</v>
      </c>
      <c r="I173">
        <v>78</v>
      </c>
      <c r="J173">
        <v>12</v>
      </c>
      <c r="K173">
        <v>4</v>
      </c>
      <c r="L173">
        <v>6</v>
      </c>
      <c r="M173">
        <v>11</v>
      </c>
      <c r="N173">
        <v>8</v>
      </c>
      <c r="O173">
        <v>16</v>
      </c>
      <c r="P173">
        <v>2</v>
      </c>
      <c r="Q173">
        <v>2</v>
      </c>
      <c r="R173">
        <v>0</v>
      </c>
      <c r="S173">
        <v>3</v>
      </c>
      <c r="T173">
        <v>8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3</v>
      </c>
      <c r="AB173">
        <v>11</v>
      </c>
      <c r="AC173">
        <v>0</v>
      </c>
      <c r="AD173" t="str">
        <f t="shared" si="26"/>
        <v>Ok</v>
      </c>
      <c r="AE173" t="str">
        <f>IF(AND(Audit_Data[[#This Row],[Year_Birth]]&gt;=1900,Audit_Data[[#This Row],[Year_Birth]]&lt;=2010),"OK","Invalid")</f>
        <v>OK</v>
      </c>
      <c r="AF173" t="str">
        <f t="shared" si="27"/>
        <v>Valid</v>
      </c>
      <c r="AG173" t="str">
        <f t="shared" si="28"/>
        <v>Valid</v>
      </c>
      <c r="AH173" t="str">
        <f t="shared" si="29"/>
        <v>Valid</v>
      </c>
      <c r="AI173" t="str">
        <f t="shared" si="30"/>
        <v>Valid</v>
      </c>
      <c r="AJ173" t="str">
        <f t="shared" si="31"/>
        <v>Valid</v>
      </c>
      <c r="AK173" t="str">
        <f t="shared" si="38"/>
        <v xml:space="preserve">Valid </v>
      </c>
      <c r="AL173" t="str">
        <f>IF(AND(Audit_Data[[#This Row],[Recency]]&gt;=0,Audit_Data[[#This Row],[Recency]]&lt;=100),"Valid","Invalid")</f>
        <v>Valid</v>
      </c>
      <c r="AM173" t="str">
        <f t="shared" si="32"/>
        <v>Valid</v>
      </c>
      <c r="AN173" t="str">
        <f t="shared" si="33"/>
        <v>Valid</v>
      </c>
      <c r="AO173" t="str">
        <f t="shared" si="34"/>
        <v>Valid</v>
      </c>
      <c r="AP173" t="str">
        <f t="shared" si="35"/>
        <v>Valid</v>
      </c>
      <c r="AQ173" t="str">
        <f>IF(Audit_Data[[#This Row],[Z_CostContact]]=3,"Valid","Invalid")</f>
        <v>Valid</v>
      </c>
      <c r="AR173" t="str">
        <f t="shared" si="36"/>
        <v>Valid</v>
      </c>
      <c r="AS173" t="str">
        <f t="shared" si="37"/>
        <v>Valid</v>
      </c>
    </row>
    <row r="174" spans="1:45" x14ac:dyDescent="0.3">
      <c r="A174">
        <v>1349</v>
      </c>
      <c r="B174">
        <v>1970</v>
      </c>
      <c r="C174" t="s">
        <v>29</v>
      </c>
      <c r="D174" t="s">
        <v>33</v>
      </c>
      <c r="E174">
        <v>50447</v>
      </c>
      <c r="F174">
        <v>2</v>
      </c>
      <c r="G174">
        <v>0</v>
      </c>
      <c r="H174" s="1">
        <v>41750</v>
      </c>
      <c r="I174">
        <v>4</v>
      </c>
      <c r="J174">
        <v>85</v>
      </c>
      <c r="K174">
        <v>7</v>
      </c>
      <c r="L174">
        <v>24</v>
      </c>
      <c r="M174">
        <v>2</v>
      </c>
      <c r="N174">
        <v>3</v>
      </c>
      <c r="O174">
        <v>27</v>
      </c>
      <c r="P174">
        <v>1</v>
      </c>
      <c r="Q174">
        <v>3</v>
      </c>
      <c r="R174">
        <v>1</v>
      </c>
      <c r="S174">
        <v>3</v>
      </c>
      <c r="T174">
        <v>6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3</v>
      </c>
      <c r="AB174">
        <v>11</v>
      </c>
      <c r="AC174">
        <v>0</v>
      </c>
      <c r="AD174" t="str">
        <f t="shared" si="26"/>
        <v>Ok</v>
      </c>
      <c r="AE174" t="str">
        <f>IF(AND(Audit_Data[[#This Row],[Year_Birth]]&gt;=1900,Audit_Data[[#This Row],[Year_Birth]]&lt;=2010),"OK","Invalid")</f>
        <v>OK</v>
      </c>
      <c r="AF174" t="str">
        <f t="shared" si="27"/>
        <v>Valid</v>
      </c>
      <c r="AG174" t="str">
        <f t="shared" si="28"/>
        <v>Valid</v>
      </c>
      <c r="AH174" t="str">
        <f t="shared" si="29"/>
        <v>Valid</v>
      </c>
      <c r="AI174" t="str">
        <f t="shared" si="30"/>
        <v>Valid</v>
      </c>
      <c r="AJ174" t="str">
        <f t="shared" si="31"/>
        <v>Valid</v>
      </c>
      <c r="AK174" t="str">
        <f t="shared" si="38"/>
        <v xml:space="preserve">Valid </v>
      </c>
      <c r="AL174" t="str">
        <f>IF(AND(Audit_Data[[#This Row],[Recency]]&gt;=0,Audit_Data[[#This Row],[Recency]]&lt;=100),"Valid","Invalid")</f>
        <v>Valid</v>
      </c>
      <c r="AM174" t="str">
        <f t="shared" si="32"/>
        <v>Valid</v>
      </c>
      <c r="AN174" t="str">
        <f t="shared" si="33"/>
        <v>Valid</v>
      </c>
      <c r="AO174" t="str">
        <f t="shared" si="34"/>
        <v>Valid</v>
      </c>
      <c r="AP174" t="str">
        <f t="shared" si="35"/>
        <v>Valid</v>
      </c>
      <c r="AQ174" t="str">
        <f>IF(Audit_Data[[#This Row],[Z_CostContact]]=3,"Valid","Invalid")</f>
        <v>Valid</v>
      </c>
      <c r="AR174" t="str">
        <f t="shared" si="36"/>
        <v>Valid</v>
      </c>
      <c r="AS174" t="str">
        <f t="shared" si="37"/>
        <v>Valid</v>
      </c>
    </row>
    <row r="175" spans="1:45" x14ac:dyDescent="0.3">
      <c r="A175">
        <v>1880</v>
      </c>
      <c r="B175">
        <v>1959</v>
      </c>
      <c r="C175" t="s">
        <v>32</v>
      </c>
      <c r="D175" t="s">
        <v>31</v>
      </c>
      <c r="E175">
        <v>53537</v>
      </c>
      <c r="F175">
        <v>1</v>
      </c>
      <c r="G175">
        <v>1</v>
      </c>
      <c r="H175" s="1">
        <v>41669</v>
      </c>
      <c r="I175">
        <v>17</v>
      </c>
      <c r="J175">
        <v>81</v>
      </c>
      <c r="K175">
        <v>0</v>
      </c>
      <c r="L175">
        <v>6</v>
      </c>
      <c r="M175">
        <v>0</v>
      </c>
      <c r="N175">
        <v>0</v>
      </c>
      <c r="O175">
        <v>6</v>
      </c>
      <c r="P175">
        <v>2</v>
      </c>
      <c r="Q175">
        <v>2</v>
      </c>
      <c r="R175">
        <v>1</v>
      </c>
      <c r="S175">
        <v>3</v>
      </c>
      <c r="T175">
        <v>5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3</v>
      </c>
      <c r="AB175">
        <v>11</v>
      </c>
      <c r="AC175">
        <v>0</v>
      </c>
      <c r="AD175" t="str">
        <f t="shared" si="26"/>
        <v>Ok</v>
      </c>
      <c r="AE175" t="str">
        <f>IF(AND(Audit_Data[[#This Row],[Year_Birth]]&gt;=1900,Audit_Data[[#This Row],[Year_Birth]]&lt;=2010),"OK","Invalid")</f>
        <v>OK</v>
      </c>
      <c r="AF175" t="str">
        <f t="shared" si="27"/>
        <v>Valid</v>
      </c>
      <c r="AG175" t="str">
        <f t="shared" si="28"/>
        <v>Valid</v>
      </c>
      <c r="AH175" t="str">
        <f t="shared" si="29"/>
        <v>Valid</v>
      </c>
      <c r="AI175" t="str">
        <f t="shared" si="30"/>
        <v>Valid</v>
      </c>
      <c r="AJ175" t="str">
        <f t="shared" si="31"/>
        <v>Valid</v>
      </c>
      <c r="AK175" t="str">
        <f t="shared" si="38"/>
        <v xml:space="preserve">Valid </v>
      </c>
      <c r="AL175" t="str">
        <f>IF(AND(Audit_Data[[#This Row],[Recency]]&gt;=0,Audit_Data[[#This Row],[Recency]]&lt;=100),"Valid","Invalid")</f>
        <v>Valid</v>
      </c>
      <c r="AM175" t="str">
        <f t="shared" si="32"/>
        <v>Valid</v>
      </c>
      <c r="AN175" t="str">
        <f t="shared" si="33"/>
        <v>Valid</v>
      </c>
      <c r="AO175" t="str">
        <f t="shared" si="34"/>
        <v>Valid</v>
      </c>
      <c r="AP175" t="str">
        <f t="shared" si="35"/>
        <v>Valid</v>
      </c>
      <c r="AQ175" t="str">
        <f>IF(Audit_Data[[#This Row],[Z_CostContact]]=3,"Valid","Invalid")</f>
        <v>Valid</v>
      </c>
      <c r="AR175" t="str">
        <f t="shared" si="36"/>
        <v>Valid</v>
      </c>
      <c r="AS175" t="str">
        <f t="shared" si="37"/>
        <v>Valid</v>
      </c>
    </row>
    <row r="176" spans="1:45" x14ac:dyDescent="0.3">
      <c r="A176">
        <v>641</v>
      </c>
      <c r="B176">
        <v>1967</v>
      </c>
      <c r="C176" t="s">
        <v>29</v>
      </c>
      <c r="D176" t="s">
        <v>30</v>
      </c>
      <c r="E176">
        <v>52074</v>
      </c>
      <c r="F176">
        <v>0</v>
      </c>
      <c r="G176">
        <v>1</v>
      </c>
      <c r="H176" s="1">
        <v>41733</v>
      </c>
      <c r="I176">
        <v>77</v>
      </c>
      <c r="J176">
        <v>59</v>
      </c>
      <c r="K176">
        <v>0</v>
      </c>
      <c r="L176">
        <v>12</v>
      </c>
      <c r="M176">
        <v>0</v>
      </c>
      <c r="N176">
        <v>0</v>
      </c>
      <c r="O176">
        <v>48</v>
      </c>
      <c r="P176">
        <v>1</v>
      </c>
      <c r="Q176">
        <v>2</v>
      </c>
      <c r="R176">
        <v>2</v>
      </c>
      <c r="S176">
        <v>2</v>
      </c>
      <c r="T176">
        <v>4</v>
      </c>
      <c r="U176">
        <v>1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3</v>
      </c>
      <c r="AB176">
        <v>11</v>
      </c>
      <c r="AC176">
        <v>0</v>
      </c>
      <c r="AD176" t="str">
        <f t="shared" si="26"/>
        <v>Ok</v>
      </c>
      <c r="AE176" t="str">
        <f>IF(AND(Audit_Data[[#This Row],[Year_Birth]]&gt;=1900,Audit_Data[[#This Row],[Year_Birth]]&lt;=2010),"OK","Invalid")</f>
        <v>OK</v>
      </c>
      <c r="AF176" t="str">
        <f t="shared" si="27"/>
        <v>Valid</v>
      </c>
      <c r="AG176" t="str">
        <f t="shared" si="28"/>
        <v>Valid</v>
      </c>
      <c r="AH176" t="str">
        <f t="shared" si="29"/>
        <v>Valid</v>
      </c>
      <c r="AI176" t="str">
        <f t="shared" si="30"/>
        <v>Valid</v>
      </c>
      <c r="AJ176" t="str">
        <f t="shared" si="31"/>
        <v>Valid</v>
      </c>
      <c r="AK176" t="str">
        <f t="shared" si="38"/>
        <v xml:space="preserve">Valid </v>
      </c>
      <c r="AL176" t="str">
        <f>IF(AND(Audit_Data[[#This Row],[Recency]]&gt;=0,Audit_Data[[#This Row],[Recency]]&lt;=100),"Valid","Invalid")</f>
        <v>Valid</v>
      </c>
      <c r="AM176" t="str">
        <f t="shared" si="32"/>
        <v>Valid</v>
      </c>
      <c r="AN176" t="str">
        <f t="shared" si="33"/>
        <v>Valid</v>
      </c>
      <c r="AO176" t="str">
        <f t="shared" si="34"/>
        <v>Valid</v>
      </c>
      <c r="AP176" t="str">
        <f t="shared" si="35"/>
        <v>Valid</v>
      </c>
      <c r="AQ176" t="str">
        <f>IF(Audit_Data[[#This Row],[Z_CostContact]]=3,"Valid","Invalid")</f>
        <v>Valid</v>
      </c>
      <c r="AR176" t="str">
        <f t="shared" si="36"/>
        <v>Valid</v>
      </c>
      <c r="AS176" t="str">
        <f t="shared" si="37"/>
        <v>Valid</v>
      </c>
    </row>
    <row r="177" spans="1:45" x14ac:dyDescent="0.3">
      <c r="A177">
        <v>8717</v>
      </c>
      <c r="B177">
        <v>1975</v>
      </c>
      <c r="C177" t="s">
        <v>32</v>
      </c>
      <c r="D177" t="s">
        <v>33</v>
      </c>
      <c r="E177">
        <v>80427</v>
      </c>
      <c r="F177">
        <v>0</v>
      </c>
      <c r="G177">
        <v>1</v>
      </c>
      <c r="H177" s="1">
        <v>41164</v>
      </c>
      <c r="I177">
        <v>56</v>
      </c>
      <c r="J177">
        <v>1149</v>
      </c>
      <c r="K177">
        <v>71</v>
      </c>
      <c r="L177">
        <v>449</v>
      </c>
      <c r="M177">
        <v>69</v>
      </c>
      <c r="N177">
        <v>71</v>
      </c>
      <c r="O177">
        <v>26</v>
      </c>
      <c r="P177">
        <v>1</v>
      </c>
      <c r="Q177">
        <v>11</v>
      </c>
      <c r="R177">
        <v>8</v>
      </c>
      <c r="S177">
        <v>8</v>
      </c>
      <c r="T177">
        <v>5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11</v>
      </c>
      <c r="AC177">
        <v>0</v>
      </c>
      <c r="AD177" t="str">
        <f t="shared" si="26"/>
        <v>Ok</v>
      </c>
      <c r="AE177" t="str">
        <f>IF(AND(Audit_Data[[#This Row],[Year_Birth]]&gt;=1900,Audit_Data[[#This Row],[Year_Birth]]&lt;=2010),"OK","Invalid")</f>
        <v>OK</v>
      </c>
      <c r="AF177" t="str">
        <f t="shared" si="27"/>
        <v>Valid</v>
      </c>
      <c r="AG177" t="str">
        <f t="shared" si="28"/>
        <v>Valid</v>
      </c>
      <c r="AH177" t="str">
        <f t="shared" si="29"/>
        <v>Valid</v>
      </c>
      <c r="AI177" t="str">
        <f t="shared" si="30"/>
        <v>Valid</v>
      </c>
      <c r="AJ177" t="str">
        <f t="shared" si="31"/>
        <v>Valid</v>
      </c>
      <c r="AK177" t="str">
        <f t="shared" si="38"/>
        <v xml:space="preserve">Valid </v>
      </c>
      <c r="AL177" t="str">
        <f>IF(AND(Audit_Data[[#This Row],[Recency]]&gt;=0,Audit_Data[[#This Row],[Recency]]&lt;=100),"Valid","Invalid")</f>
        <v>Valid</v>
      </c>
      <c r="AM177" t="str">
        <f t="shared" si="32"/>
        <v>Valid</v>
      </c>
      <c r="AN177" t="str">
        <f t="shared" si="33"/>
        <v>Valid</v>
      </c>
      <c r="AO177" t="str">
        <f t="shared" si="34"/>
        <v>Valid</v>
      </c>
      <c r="AP177" t="str">
        <f t="shared" si="35"/>
        <v>Valid</v>
      </c>
      <c r="AQ177" t="str">
        <f>IF(Audit_Data[[#This Row],[Z_CostContact]]=3,"Valid","Invalid")</f>
        <v>Valid</v>
      </c>
      <c r="AR177" t="str">
        <f t="shared" si="36"/>
        <v>Valid</v>
      </c>
      <c r="AS177" t="str">
        <f t="shared" si="37"/>
        <v>Valid</v>
      </c>
    </row>
    <row r="178" spans="1:45" x14ac:dyDescent="0.3">
      <c r="A178">
        <v>10314</v>
      </c>
      <c r="B178">
        <v>1948</v>
      </c>
      <c r="C178" t="s">
        <v>32</v>
      </c>
      <c r="D178" t="s">
        <v>33</v>
      </c>
      <c r="E178">
        <v>83837</v>
      </c>
      <c r="F178">
        <v>0</v>
      </c>
      <c r="G178">
        <v>0</v>
      </c>
      <c r="H178" s="1">
        <v>41259</v>
      </c>
      <c r="I178">
        <v>79</v>
      </c>
      <c r="J178">
        <v>847</v>
      </c>
      <c r="K178">
        <v>66</v>
      </c>
      <c r="L178">
        <v>119</v>
      </c>
      <c r="M178">
        <v>86</v>
      </c>
      <c r="N178">
        <v>89</v>
      </c>
      <c r="O178">
        <v>111</v>
      </c>
      <c r="P178">
        <v>1</v>
      </c>
      <c r="Q178">
        <v>9</v>
      </c>
      <c r="R178">
        <v>10</v>
      </c>
      <c r="S178">
        <v>5</v>
      </c>
      <c r="T178">
        <v>4</v>
      </c>
      <c r="U178">
        <v>0</v>
      </c>
      <c r="V178">
        <v>1</v>
      </c>
      <c r="W178">
        <v>0</v>
      </c>
      <c r="X178">
        <v>1</v>
      </c>
      <c r="Y178">
        <v>0</v>
      </c>
      <c r="Z178">
        <v>0</v>
      </c>
      <c r="AA178">
        <v>3</v>
      </c>
      <c r="AB178">
        <v>11</v>
      </c>
      <c r="AC178">
        <v>1</v>
      </c>
      <c r="AD178" t="str">
        <f t="shared" si="26"/>
        <v>Ok</v>
      </c>
      <c r="AE178" t="str">
        <f>IF(AND(Audit_Data[[#This Row],[Year_Birth]]&gt;=1900,Audit_Data[[#This Row],[Year_Birth]]&lt;=2010),"OK","Invalid")</f>
        <v>OK</v>
      </c>
      <c r="AF178" t="str">
        <f t="shared" si="27"/>
        <v>Valid</v>
      </c>
      <c r="AG178" t="str">
        <f t="shared" si="28"/>
        <v>Valid</v>
      </c>
      <c r="AH178" t="str">
        <f t="shared" si="29"/>
        <v>Valid</v>
      </c>
      <c r="AI178" t="str">
        <f t="shared" si="30"/>
        <v>Valid</v>
      </c>
      <c r="AJ178" t="str">
        <f t="shared" si="31"/>
        <v>Valid</v>
      </c>
      <c r="AK178" t="str">
        <f t="shared" si="38"/>
        <v xml:space="preserve">Valid </v>
      </c>
      <c r="AL178" t="str">
        <f>IF(AND(Audit_Data[[#This Row],[Recency]]&gt;=0,Audit_Data[[#This Row],[Recency]]&lt;=100),"Valid","Invalid")</f>
        <v>Valid</v>
      </c>
      <c r="AM178" t="str">
        <f t="shared" si="32"/>
        <v>Valid</v>
      </c>
      <c r="AN178" t="str">
        <f t="shared" si="33"/>
        <v>Valid</v>
      </c>
      <c r="AO178" t="str">
        <f t="shared" si="34"/>
        <v>Valid</v>
      </c>
      <c r="AP178" t="str">
        <f t="shared" si="35"/>
        <v>Valid</v>
      </c>
      <c r="AQ178" t="str">
        <f>IF(Audit_Data[[#This Row],[Z_CostContact]]=3,"Valid","Invalid")</f>
        <v>Valid</v>
      </c>
      <c r="AR178" t="str">
        <f t="shared" si="36"/>
        <v>Valid</v>
      </c>
      <c r="AS178" t="str">
        <f t="shared" si="37"/>
        <v>Valid</v>
      </c>
    </row>
    <row r="179" spans="1:45" x14ac:dyDescent="0.3">
      <c r="A179">
        <v>10854</v>
      </c>
      <c r="B179">
        <v>1970</v>
      </c>
      <c r="C179" t="s">
        <v>32</v>
      </c>
      <c r="D179" t="s">
        <v>33</v>
      </c>
      <c r="E179">
        <v>38853</v>
      </c>
      <c r="F179">
        <v>1</v>
      </c>
      <c r="G179">
        <v>1</v>
      </c>
      <c r="H179" s="1">
        <v>41782</v>
      </c>
      <c r="I179">
        <v>90</v>
      </c>
      <c r="J179">
        <v>29</v>
      </c>
      <c r="K179">
        <v>0</v>
      </c>
      <c r="L179">
        <v>14</v>
      </c>
      <c r="M179">
        <v>0</v>
      </c>
      <c r="N179">
        <v>0</v>
      </c>
      <c r="O179">
        <v>2</v>
      </c>
      <c r="P179">
        <v>2</v>
      </c>
      <c r="Q179">
        <v>2</v>
      </c>
      <c r="R179">
        <v>0</v>
      </c>
      <c r="S179">
        <v>3</v>
      </c>
      <c r="T179">
        <v>7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3</v>
      </c>
      <c r="AB179">
        <v>11</v>
      </c>
      <c r="AC179">
        <v>0</v>
      </c>
      <c r="AD179" t="str">
        <f t="shared" si="26"/>
        <v>Ok</v>
      </c>
      <c r="AE179" t="str">
        <f>IF(AND(Audit_Data[[#This Row],[Year_Birth]]&gt;=1900,Audit_Data[[#This Row],[Year_Birth]]&lt;=2010),"OK","Invalid")</f>
        <v>OK</v>
      </c>
      <c r="AF179" t="str">
        <f t="shared" si="27"/>
        <v>Valid</v>
      </c>
      <c r="AG179" t="str">
        <f t="shared" si="28"/>
        <v>Valid</v>
      </c>
      <c r="AH179" t="str">
        <f t="shared" si="29"/>
        <v>Valid</v>
      </c>
      <c r="AI179" t="str">
        <f t="shared" si="30"/>
        <v>Valid</v>
      </c>
      <c r="AJ179" t="str">
        <f t="shared" si="31"/>
        <v>Valid</v>
      </c>
      <c r="AK179" t="str">
        <f t="shared" si="38"/>
        <v xml:space="preserve">Valid </v>
      </c>
      <c r="AL179" t="str">
        <f>IF(AND(Audit_Data[[#This Row],[Recency]]&gt;=0,Audit_Data[[#This Row],[Recency]]&lt;=100),"Valid","Invalid")</f>
        <v>Valid</v>
      </c>
      <c r="AM179" t="str">
        <f t="shared" si="32"/>
        <v>Valid</v>
      </c>
      <c r="AN179" t="str">
        <f t="shared" si="33"/>
        <v>Valid</v>
      </c>
      <c r="AO179" t="str">
        <f t="shared" si="34"/>
        <v>Valid</v>
      </c>
      <c r="AP179" t="str">
        <f t="shared" si="35"/>
        <v>Valid</v>
      </c>
      <c r="AQ179" t="str">
        <f>IF(Audit_Data[[#This Row],[Z_CostContact]]=3,"Valid","Invalid")</f>
        <v>Valid</v>
      </c>
      <c r="AR179" t="str">
        <f t="shared" si="36"/>
        <v>Valid</v>
      </c>
      <c r="AS179" t="str">
        <f t="shared" si="37"/>
        <v>Valid</v>
      </c>
    </row>
    <row r="180" spans="1:45" x14ac:dyDescent="0.3">
      <c r="A180">
        <v>10492</v>
      </c>
      <c r="B180">
        <v>1959</v>
      </c>
      <c r="C180" t="s">
        <v>29</v>
      </c>
      <c r="D180" t="s">
        <v>31</v>
      </c>
      <c r="E180">
        <v>38285</v>
      </c>
      <c r="F180">
        <v>2</v>
      </c>
      <c r="G180">
        <v>1</v>
      </c>
      <c r="H180" s="1">
        <v>41814</v>
      </c>
      <c r="I180">
        <v>96</v>
      </c>
      <c r="J180">
        <v>2</v>
      </c>
      <c r="K180">
        <v>0</v>
      </c>
      <c r="L180">
        <v>5</v>
      </c>
      <c r="M180">
        <v>2</v>
      </c>
      <c r="N180">
        <v>0</v>
      </c>
      <c r="O180">
        <v>1</v>
      </c>
      <c r="P180">
        <v>1</v>
      </c>
      <c r="Q180">
        <v>0</v>
      </c>
      <c r="R180">
        <v>0</v>
      </c>
      <c r="S180">
        <v>3</v>
      </c>
      <c r="T180">
        <v>2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3</v>
      </c>
      <c r="AB180">
        <v>11</v>
      </c>
      <c r="AC180">
        <v>0</v>
      </c>
      <c r="AD180" t="str">
        <f t="shared" si="26"/>
        <v>Ok</v>
      </c>
      <c r="AE180" t="str">
        <f>IF(AND(Audit_Data[[#This Row],[Year_Birth]]&gt;=1900,Audit_Data[[#This Row],[Year_Birth]]&lt;=2010),"OK","Invalid")</f>
        <v>OK</v>
      </c>
      <c r="AF180" t="str">
        <f t="shared" si="27"/>
        <v>Valid</v>
      </c>
      <c r="AG180" t="str">
        <f t="shared" si="28"/>
        <v>Valid</v>
      </c>
      <c r="AH180" t="str">
        <f t="shared" si="29"/>
        <v>Valid</v>
      </c>
      <c r="AI180" t="str">
        <f t="shared" si="30"/>
        <v>Valid</v>
      </c>
      <c r="AJ180" t="str">
        <f t="shared" si="31"/>
        <v>Valid</v>
      </c>
      <c r="AK180" t="str">
        <f t="shared" si="38"/>
        <v xml:space="preserve">Valid </v>
      </c>
      <c r="AL180" t="str">
        <f>IF(AND(Audit_Data[[#This Row],[Recency]]&gt;=0,Audit_Data[[#This Row],[Recency]]&lt;=100),"Valid","Invalid")</f>
        <v>Valid</v>
      </c>
      <c r="AM180" t="str">
        <f t="shared" si="32"/>
        <v>Valid</v>
      </c>
      <c r="AN180" t="str">
        <f t="shared" si="33"/>
        <v>Valid</v>
      </c>
      <c r="AO180" t="str">
        <f t="shared" si="34"/>
        <v>Valid</v>
      </c>
      <c r="AP180" t="str">
        <f t="shared" si="35"/>
        <v>Valid</v>
      </c>
      <c r="AQ180" t="str">
        <f>IF(Audit_Data[[#This Row],[Z_CostContact]]=3,"Valid","Invalid")</f>
        <v>Valid</v>
      </c>
      <c r="AR180" t="str">
        <f t="shared" si="36"/>
        <v>Valid</v>
      </c>
      <c r="AS180" t="str">
        <f t="shared" si="37"/>
        <v>Valid</v>
      </c>
    </row>
    <row r="181" spans="1:45" x14ac:dyDescent="0.3">
      <c r="A181">
        <v>6935</v>
      </c>
      <c r="B181">
        <v>1951</v>
      </c>
      <c r="C181" t="s">
        <v>37</v>
      </c>
      <c r="D181" t="s">
        <v>33</v>
      </c>
      <c r="E181">
        <v>78497</v>
      </c>
      <c r="F181">
        <v>0</v>
      </c>
      <c r="G181">
        <v>0</v>
      </c>
      <c r="H181" s="1">
        <v>41609</v>
      </c>
      <c r="I181">
        <v>44</v>
      </c>
      <c r="J181">
        <v>207</v>
      </c>
      <c r="K181">
        <v>26</v>
      </c>
      <c r="L181">
        <v>447</v>
      </c>
      <c r="M181">
        <v>75</v>
      </c>
      <c r="N181">
        <v>0</v>
      </c>
      <c r="O181">
        <v>223</v>
      </c>
      <c r="P181">
        <v>1</v>
      </c>
      <c r="Q181">
        <v>5</v>
      </c>
      <c r="R181">
        <v>7</v>
      </c>
      <c r="S181">
        <v>12</v>
      </c>
      <c r="T181">
        <v>2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v>3</v>
      </c>
      <c r="AB181">
        <v>11</v>
      </c>
      <c r="AC181">
        <v>0</v>
      </c>
      <c r="AD181" t="str">
        <f t="shared" si="26"/>
        <v>Ok</v>
      </c>
      <c r="AE181" t="str">
        <f>IF(AND(Audit_Data[[#This Row],[Year_Birth]]&gt;=1900,Audit_Data[[#This Row],[Year_Birth]]&lt;=2010),"OK","Invalid")</f>
        <v>OK</v>
      </c>
      <c r="AF181" t="str">
        <f t="shared" si="27"/>
        <v>Valid</v>
      </c>
      <c r="AG181" t="str">
        <f t="shared" si="28"/>
        <v>Valid</v>
      </c>
      <c r="AH181" t="str">
        <f t="shared" si="29"/>
        <v>Valid</v>
      </c>
      <c r="AI181" t="str">
        <f t="shared" si="30"/>
        <v>Valid</v>
      </c>
      <c r="AJ181" t="str">
        <f t="shared" si="31"/>
        <v>Valid</v>
      </c>
      <c r="AK181" t="str">
        <f t="shared" si="38"/>
        <v xml:space="preserve">Valid </v>
      </c>
      <c r="AL181" t="str">
        <f>IF(AND(Audit_Data[[#This Row],[Recency]]&gt;=0,Audit_Data[[#This Row],[Recency]]&lt;=100),"Valid","Invalid")</f>
        <v>Valid</v>
      </c>
      <c r="AM181" t="str">
        <f t="shared" si="32"/>
        <v>Valid</v>
      </c>
      <c r="AN181" t="str">
        <f t="shared" si="33"/>
        <v>Valid</v>
      </c>
      <c r="AO181" t="str">
        <f t="shared" si="34"/>
        <v>Valid</v>
      </c>
      <c r="AP181" t="str">
        <f t="shared" si="35"/>
        <v>Valid</v>
      </c>
      <c r="AQ181" t="str">
        <f>IF(Audit_Data[[#This Row],[Z_CostContact]]=3,"Valid","Invalid")</f>
        <v>Valid</v>
      </c>
      <c r="AR181" t="str">
        <f t="shared" si="36"/>
        <v>Valid</v>
      </c>
      <c r="AS181" t="str">
        <f t="shared" si="37"/>
        <v>Valid</v>
      </c>
    </row>
    <row r="182" spans="1:45" x14ac:dyDescent="0.3">
      <c r="A182">
        <v>7698</v>
      </c>
      <c r="B182">
        <v>1976</v>
      </c>
      <c r="C182" t="s">
        <v>32</v>
      </c>
      <c r="D182" t="s">
        <v>33</v>
      </c>
      <c r="E182">
        <v>51650</v>
      </c>
      <c r="F182">
        <v>0</v>
      </c>
      <c r="G182">
        <v>1</v>
      </c>
      <c r="H182" s="1">
        <v>41770</v>
      </c>
      <c r="I182">
        <v>81</v>
      </c>
      <c r="J182">
        <v>152</v>
      </c>
      <c r="K182">
        <v>3</v>
      </c>
      <c r="L182">
        <v>22</v>
      </c>
      <c r="M182">
        <v>2</v>
      </c>
      <c r="N182">
        <v>5</v>
      </c>
      <c r="O182">
        <v>7</v>
      </c>
      <c r="P182">
        <v>1</v>
      </c>
      <c r="Q182">
        <v>4</v>
      </c>
      <c r="R182">
        <v>1</v>
      </c>
      <c r="S182">
        <v>4</v>
      </c>
      <c r="T182">
        <v>5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3</v>
      </c>
      <c r="AB182">
        <v>11</v>
      </c>
      <c r="AC182">
        <v>0</v>
      </c>
      <c r="AD182" t="str">
        <f t="shared" si="26"/>
        <v>Ok</v>
      </c>
      <c r="AE182" t="str">
        <f>IF(AND(Audit_Data[[#This Row],[Year_Birth]]&gt;=1900,Audit_Data[[#This Row],[Year_Birth]]&lt;=2010),"OK","Invalid")</f>
        <v>OK</v>
      </c>
      <c r="AF182" t="str">
        <f t="shared" si="27"/>
        <v>Valid</v>
      </c>
      <c r="AG182" t="str">
        <f t="shared" si="28"/>
        <v>Valid</v>
      </c>
      <c r="AH182" t="str">
        <f t="shared" si="29"/>
        <v>Valid</v>
      </c>
      <c r="AI182" t="str">
        <f t="shared" si="30"/>
        <v>Valid</v>
      </c>
      <c r="AJ182" t="str">
        <f t="shared" si="31"/>
        <v>Valid</v>
      </c>
      <c r="AK182" t="str">
        <f t="shared" si="38"/>
        <v xml:space="preserve">Valid </v>
      </c>
      <c r="AL182" t="str">
        <f>IF(AND(Audit_Data[[#This Row],[Recency]]&gt;=0,Audit_Data[[#This Row],[Recency]]&lt;=100),"Valid","Invalid")</f>
        <v>Valid</v>
      </c>
      <c r="AM182" t="str">
        <f t="shared" si="32"/>
        <v>Valid</v>
      </c>
      <c r="AN182" t="str">
        <f t="shared" si="33"/>
        <v>Valid</v>
      </c>
      <c r="AO182" t="str">
        <f t="shared" si="34"/>
        <v>Valid</v>
      </c>
      <c r="AP182" t="str">
        <f t="shared" si="35"/>
        <v>Valid</v>
      </c>
      <c r="AQ182" t="str">
        <f>IF(Audit_Data[[#This Row],[Z_CostContact]]=3,"Valid","Invalid")</f>
        <v>Valid</v>
      </c>
      <c r="AR182" t="str">
        <f t="shared" si="36"/>
        <v>Valid</v>
      </c>
      <c r="AS182" t="str">
        <f t="shared" si="37"/>
        <v>Valid</v>
      </c>
    </row>
    <row r="183" spans="1:45" x14ac:dyDescent="0.3">
      <c r="A183">
        <v>3559</v>
      </c>
      <c r="B183">
        <v>1988</v>
      </c>
      <c r="C183" t="s">
        <v>37</v>
      </c>
      <c r="D183" t="s">
        <v>33</v>
      </c>
      <c r="E183">
        <v>16248</v>
      </c>
      <c r="F183">
        <v>1</v>
      </c>
      <c r="G183">
        <v>0</v>
      </c>
      <c r="H183" s="1">
        <v>41769</v>
      </c>
      <c r="I183">
        <v>77</v>
      </c>
      <c r="J183">
        <v>12</v>
      </c>
      <c r="K183">
        <v>11</v>
      </c>
      <c r="L183">
        <v>10</v>
      </c>
      <c r="M183">
        <v>3</v>
      </c>
      <c r="N183">
        <v>12</v>
      </c>
      <c r="O183">
        <v>9</v>
      </c>
      <c r="P183">
        <v>3</v>
      </c>
      <c r="Q183">
        <v>2</v>
      </c>
      <c r="R183">
        <v>1</v>
      </c>
      <c r="S183">
        <v>3</v>
      </c>
      <c r="T183">
        <v>6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3</v>
      </c>
      <c r="AB183">
        <v>11</v>
      </c>
      <c r="AC183">
        <v>0</v>
      </c>
      <c r="AD183" t="str">
        <f t="shared" si="26"/>
        <v>Ok</v>
      </c>
      <c r="AE183" t="str">
        <f>IF(AND(Audit_Data[[#This Row],[Year_Birth]]&gt;=1900,Audit_Data[[#This Row],[Year_Birth]]&lt;=2010),"OK","Invalid")</f>
        <v>OK</v>
      </c>
      <c r="AF183" t="str">
        <f t="shared" si="27"/>
        <v>Valid</v>
      </c>
      <c r="AG183" t="str">
        <f t="shared" si="28"/>
        <v>Valid</v>
      </c>
      <c r="AH183" t="str">
        <f t="shared" si="29"/>
        <v>Valid</v>
      </c>
      <c r="AI183" t="str">
        <f t="shared" si="30"/>
        <v>Valid</v>
      </c>
      <c r="AJ183" t="str">
        <f t="shared" si="31"/>
        <v>Valid</v>
      </c>
      <c r="AK183" t="str">
        <f t="shared" si="38"/>
        <v xml:space="preserve">Valid </v>
      </c>
      <c r="AL183" t="str">
        <f>IF(AND(Audit_Data[[#This Row],[Recency]]&gt;=0,Audit_Data[[#This Row],[Recency]]&lt;=100),"Valid","Invalid")</f>
        <v>Valid</v>
      </c>
      <c r="AM183" t="str">
        <f t="shared" si="32"/>
        <v>Valid</v>
      </c>
      <c r="AN183" t="str">
        <f t="shared" si="33"/>
        <v>Valid</v>
      </c>
      <c r="AO183" t="str">
        <f t="shared" si="34"/>
        <v>Valid</v>
      </c>
      <c r="AP183" t="str">
        <f t="shared" si="35"/>
        <v>Valid</v>
      </c>
      <c r="AQ183" t="str">
        <f>IF(Audit_Data[[#This Row],[Z_CostContact]]=3,"Valid","Invalid")</f>
        <v>Valid</v>
      </c>
      <c r="AR183" t="str">
        <f t="shared" si="36"/>
        <v>Valid</v>
      </c>
      <c r="AS183" t="str">
        <f t="shared" si="37"/>
        <v>Valid</v>
      </c>
    </row>
    <row r="184" spans="1:45" x14ac:dyDescent="0.3">
      <c r="A184">
        <v>10562</v>
      </c>
      <c r="B184">
        <v>1946</v>
      </c>
      <c r="C184" t="s">
        <v>34</v>
      </c>
      <c r="D184" t="s">
        <v>33</v>
      </c>
      <c r="E184">
        <v>66835</v>
      </c>
      <c r="F184">
        <v>0</v>
      </c>
      <c r="G184">
        <v>0</v>
      </c>
      <c r="H184" s="1">
        <v>41545</v>
      </c>
      <c r="I184">
        <v>21</v>
      </c>
      <c r="J184">
        <v>620</v>
      </c>
      <c r="K184">
        <v>26</v>
      </c>
      <c r="L184">
        <v>195</v>
      </c>
      <c r="M184">
        <v>34</v>
      </c>
      <c r="N184">
        <v>17</v>
      </c>
      <c r="O184">
        <v>141</v>
      </c>
      <c r="P184">
        <v>1</v>
      </c>
      <c r="Q184">
        <v>6</v>
      </c>
      <c r="R184">
        <v>4</v>
      </c>
      <c r="S184">
        <v>13</v>
      </c>
      <c r="T184">
        <v>2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3</v>
      </c>
      <c r="AB184">
        <v>11</v>
      </c>
      <c r="AC184">
        <v>0</v>
      </c>
      <c r="AD184" t="str">
        <f t="shared" si="26"/>
        <v>Ok</v>
      </c>
      <c r="AE184" t="str">
        <f>IF(AND(Audit_Data[[#This Row],[Year_Birth]]&gt;=1900,Audit_Data[[#This Row],[Year_Birth]]&lt;=2010),"OK","Invalid")</f>
        <v>OK</v>
      </c>
      <c r="AF184" t="str">
        <f t="shared" si="27"/>
        <v>Valid</v>
      </c>
      <c r="AG184" t="str">
        <f t="shared" si="28"/>
        <v>Valid</v>
      </c>
      <c r="AH184" t="str">
        <f t="shared" si="29"/>
        <v>Valid</v>
      </c>
      <c r="AI184" t="str">
        <f t="shared" si="30"/>
        <v>Valid</v>
      </c>
      <c r="AJ184" t="str">
        <f t="shared" si="31"/>
        <v>Valid</v>
      </c>
      <c r="AK184" t="str">
        <f t="shared" si="38"/>
        <v xml:space="preserve">Valid </v>
      </c>
      <c r="AL184" t="str">
        <f>IF(AND(Audit_Data[[#This Row],[Recency]]&gt;=0,Audit_Data[[#This Row],[Recency]]&lt;=100),"Valid","Invalid")</f>
        <v>Valid</v>
      </c>
      <c r="AM184" t="str">
        <f t="shared" si="32"/>
        <v>Valid</v>
      </c>
      <c r="AN184" t="str">
        <f t="shared" si="33"/>
        <v>Valid</v>
      </c>
      <c r="AO184" t="str">
        <f t="shared" si="34"/>
        <v>Valid</v>
      </c>
      <c r="AP184" t="str">
        <f t="shared" si="35"/>
        <v>Valid</v>
      </c>
      <c r="AQ184" t="str">
        <f>IF(Audit_Data[[#This Row],[Z_CostContact]]=3,"Valid","Invalid")</f>
        <v>Valid</v>
      </c>
      <c r="AR184" t="str">
        <f t="shared" si="36"/>
        <v>Valid</v>
      </c>
      <c r="AS184" t="str">
        <f t="shared" si="37"/>
        <v>Valid</v>
      </c>
    </row>
    <row r="185" spans="1:45" x14ac:dyDescent="0.3">
      <c r="A185">
        <v>10796</v>
      </c>
      <c r="B185">
        <v>1984</v>
      </c>
      <c r="C185" t="s">
        <v>34</v>
      </c>
      <c r="D185" t="s">
        <v>33</v>
      </c>
      <c r="E185">
        <v>30477</v>
      </c>
      <c r="F185">
        <v>1</v>
      </c>
      <c r="G185">
        <v>0</v>
      </c>
      <c r="H185" s="1">
        <v>41661</v>
      </c>
      <c r="I185">
        <v>16</v>
      </c>
      <c r="J185">
        <v>47</v>
      </c>
      <c r="K185">
        <v>1</v>
      </c>
      <c r="L185">
        <v>6</v>
      </c>
      <c r="M185">
        <v>0</v>
      </c>
      <c r="N185">
        <v>0</v>
      </c>
      <c r="O185">
        <v>12</v>
      </c>
      <c r="P185">
        <v>1</v>
      </c>
      <c r="Q185">
        <v>1</v>
      </c>
      <c r="R185">
        <v>1</v>
      </c>
      <c r="S185">
        <v>3</v>
      </c>
      <c r="T185">
        <v>6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3</v>
      </c>
      <c r="AB185">
        <v>11</v>
      </c>
      <c r="AC185">
        <v>0</v>
      </c>
      <c r="AD185" t="str">
        <f t="shared" si="26"/>
        <v>Ok</v>
      </c>
      <c r="AE185" t="str">
        <f>IF(AND(Audit_Data[[#This Row],[Year_Birth]]&gt;=1900,Audit_Data[[#This Row],[Year_Birth]]&lt;=2010),"OK","Invalid")</f>
        <v>OK</v>
      </c>
      <c r="AF185" t="str">
        <f t="shared" si="27"/>
        <v>Valid</v>
      </c>
      <c r="AG185" t="str">
        <f t="shared" si="28"/>
        <v>Valid</v>
      </c>
      <c r="AH185" t="str">
        <f t="shared" si="29"/>
        <v>Valid</v>
      </c>
      <c r="AI185" t="str">
        <f t="shared" si="30"/>
        <v>Valid</v>
      </c>
      <c r="AJ185" t="str">
        <f t="shared" si="31"/>
        <v>Valid</v>
      </c>
      <c r="AK185" t="str">
        <f t="shared" si="38"/>
        <v xml:space="preserve">Valid </v>
      </c>
      <c r="AL185" t="str">
        <f>IF(AND(Audit_Data[[#This Row],[Recency]]&gt;=0,Audit_Data[[#This Row],[Recency]]&lt;=100),"Valid","Invalid")</f>
        <v>Valid</v>
      </c>
      <c r="AM185" t="str">
        <f t="shared" si="32"/>
        <v>Valid</v>
      </c>
      <c r="AN185" t="str">
        <f t="shared" si="33"/>
        <v>Valid</v>
      </c>
      <c r="AO185" t="str">
        <f t="shared" si="34"/>
        <v>Valid</v>
      </c>
      <c r="AP185" t="str">
        <f t="shared" si="35"/>
        <v>Valid</v>
      </c>
      <c r="AQ185" t="str">
        <f>IF(Audit_Data[[#This Row],[Z_CostContact]]=3,"Valid","Invalid")</f>
        <v>Valid</v>
      </c>
      <c r="AR185" t="str">
        <f t="shared" si="36"/>
        <v>Valid</v>
      </c>
      <c r="AS185" t="str">
        <f t="shared" si="37"/>
        <v>Valid</v>
      </c>
    </row>
    <row r="186" spans="1:45" x14ac:dyDescent="0.3">
      <c r="A186">
        <v>2563</v>
      </c>
      <c r="B186">
        <v>1961</v>
      </c>
      <c r="C186" t="s">
        <v>36</v>
      </c>
      <c r="D186" t="s">
        <v>33</v>
      </c>
      <c r="E186">
        <v>28249</v>
      </c>
      <c r="F186">
        <v>0</v>
      </c>
      <c r="G186">
        <v>0</v>
      </c>
      <c r="H186" s="1">
        <v>41805</v>
      </c>
      <c r="I186">
        <v>80</v>
      </c>
      <c r="J186">
        <v>1</v>
      </c>
      <c r="K186">
        <v>9</v>
      </c>
      <c r="L186">
        <v>7</v>
      </c>
      <c r="M186">
        <v>2</v>
      </c>
      <c r="N186">
        <v>14</v>
      </c>
      <c r="O186">
        <v>10</v>
      </c>
      <c r="P186">
        <v>1</v>
      </c>
      <c r="Q186">
        <v>2</v>
      </c>
      <c r="R186">
        <v>0</v>
      </c>
      <c r="S186">
        <v>3</v>
      </c>
      <c r="T186">
        <v>6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3</v>
      </c>
      <c r="AB186">
        <v>11</v>
      </c>
      <c r="AC186">
        <v>0</v>
      </c>
      <c r="AD186" t="str">
        <f t="shared" si="26"/>
        <v>Ok</v>
      </c>
      <c r="AE186" t="str">
        <f>IF(AND(Audit_Data[[#This Row],[Year_Birth]]&gt;=1900,Audit_Data[[#This Row],[Year_Birth]]&lt;=2010),"OK","Invalid")</f>
        <v>OK</v>
      </c>
      <c r="AF186" t="str">
        <f t="shared" si="27"/>
        <v>Valid</v>
      </c>
      <c r="AG186" t="str">
        <f t="shared" si="28"/>
        <v>Valid</v>
      </c>
      <c r="AH186" t="str">
        <f t="shared" si="29"/>
        <v>Valid</v>
      </c>
      <c r="AI186" t="str">
        <f t="shared" si="30"/>
        <v>Valid</v>
      </c>
      <c r="AJ186" t="str">
        <f t="shared" si="31"/>
        <v>Valid</v>
      </c>
      <c r="AK186" t="str">
        <f t="shared" si="38"/>
        <v xml:space="preserve">Valid </v>
      </c>
      <c r="AL186" t="str">
        <f>IF(AND(Audit_Data[[#This Row],[Recency]]&gt;=0,Audit_Data[[#This Row],[Recency]]&lt;=100),"Valid","Invalid")</f>
        <v>Valid</v>
      </c>
      <c r="AM186" t="str">
        <f t="shared" si="32"/>
        <v>Valid</v>
      </c>
      <c r="AN186" t="str">
        <f t="shared" si="33"/>
        <v>Valid</v>
      </c>
      <c r="AO186" t="str">
        <f t="shared" si="34"/>
        <v>Valid</v>
      </c>
      <c r="AP186" t="str">
        <f t="shared" si="35"/>
        <v>Valid</v>
      </c>
      <c r="AQ186" t="str">
        <f>IF(Audit_Data[[#This Row],[Z_CostContact]]=3,"Valid","Invalid")</f>
        <v>Valid</v>
      </c>
      <c r="AR186" t="str">
        <f t="shared" si="36"/>
        <v>Valid</v>
      </c>
      <c r="AS186" t="str">
        <f t="shared" si="37"/>
        <v>Valid</v>
      </c>
    </row>
    <row r="187" spans="1:45" x14ac:dyDescent="0.3">
      <c r="A187">
        <v>3518</v>
      </c>
      <c r="B187">
        <v>1983</v>
      </c>
      <c r="C187" t="s">
        <v>29</v>
      </c>
      <c r="D187" t="s">
        <v>33</v>
      </c>
      <c r="E187">
        <v>25271</v>
      </c>
      <c r="F187">
        <v>1</v>
      </c>
      <c r="G187">
        <v>0</v>
      </c>
      <c r="H187" s="1">
        <v>41248</v>
      </c>
      <c r="I187">
        <v>45</v>
      </c>
      <c r="J187">
        <v>10</v>
      </c>
      <c r="K187">
        <v>1</v>
      </c>
      <c r="L187">
        <v>18</v>
      </c>
      <c r="M187">
        <v>10</v>
      </c>
      <c r="N187">
        <v>4</v>
      </c>
      <c r="O187">
        <v>7</v>
      </c>
      <c r="P187">
        <v>1</v>
      </c>
      <c r="Q187">
        <v>1</v>
      </c>
      <c r="R187">
        <v>1</v>
      </c>
      <c r="S187">
        <v>2</v>
      </c>
      <c r="T187">
        <v>9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3</v>
      </c>
      <c r="AB187">
        <v>11</v>
      </c>
      <c r="AC187">
        <v>0</v>
      </c>
      <c r="AD187" t="str">
        <f t="shared" si="26"/>
        <v>Ok</v>
      </c>
      <c r="AE187" t="str">
        <f>IF(AND(Audit_Data[[#This Row],[Year_Birth]]&gt;=1900,Audit_Data[[#This Row],[Year_Birth]]&lt;=2010),"OK","Invalid")</f>
        <v>OK</v>
      </c>
      <c r="AF187" t="str">
        <f t="shared" si="27"/>
        <v>Valid</v>
      </c>
      <c r="AG187" t="str">
        <f t="shared" si="28"/>
        <v>Valid</v>
      </c>
      <c r="AH187" t="str">
        <f t="shared" si="29"/>
        <v>Valid</v>
      </c>
      <c r="AI187" t="str">
        <f t="shared" si="30"/>
        <v>Valid</v>
      </c>
      <c r="AJ187" t="str">
        <f t="shared" si="31"/>
        <v>Valid</v>
      </c>
      <c r="AK187" t="str">
        <f t="shared" si="38"/>
        <v xml:space="preserve">Valid </v>
      </c>
      <c r="AL187" t="str">
        <f>IF(AND(Audit_Data[[#This Row],[Recency]]&gt;=0,Audit_Data[[#This Row],[Recency]]&lt;=100),"Valid","Invalid")</f>
        <v>Valid</v>
      </c>
      <c r="AM187" t="str">
        <f t="shared" si="32"/>
        <v>Valid</v>
      </c>
      <c r="AN187" t="str">
        <f t="shared" si="33"/>
        <v>Valid</v>
      </c>
      <c r="AO187" t="str">
        <f t="shared" si="34"/>
        <v>Valid</v>
      </c>
      <c r="AP187" t="str">
        <f t="shared" si="35"/>
        <v>Valid</v>
      </c>
      <c r="AQ187" t="str">
        <f>IF(Audit_Data[[#This Row],[Z_CostContact]]=3,"Valid","Invalid")</f>
        <v>Valid</v>
      </c>
      <c r="AR187" t="str">
        <f t="shared" si="36"/>
        <v>Valid</v>
      </c>
      <c r="AS187" t="str">
        <f t="shared" si="37"/>
        <v>Valid</v>
      </c>
    </row>
    <row r="188" spans="1:45" x14ac:dyDescent="0.3">
      <c r="A188">
        <v>5823</v>
      </c>
      <c r="B188">
        <v>1970</v>
      </c>
      <c r="C188" t="s">
        <v>32</v>
      </c>
      <c r="D188" t="s">
        <v>30</v>
      </c>
      <c r="E188">
        <v>32303</v>
      </c>
      <c r="F188">
        <v>0</v>
      </c>
      <c r="G188">
        <v>1</v>
      </c>
      <c r="H188" s="1">
        <v>41706</v>
      </c>
      <c r="I188">
        <v>63</v>
      </c>
      <c r="J188">
        <v>35</v>
      </c>
      <c r="K188">
        <v>0</v>
      </c>
      <c r="L188">
        <v>2</v>
      </c>
      <c r="M188">
        <v>0</v>
      </c>
      <c r="N188">
        <v>0</v>
      </c>
      <c r="O188">
        <v>2</v>
      </c>
      <c r="P188">
        <v>2</v>
      </c>
      <c r="Q188">
        <v>1</v>
      </c>
      <c r="R188">
        <v>0</v>
      </c>
      <c r="S188">
        <v>4</v>
      </c>
      <c r="T188">
        <v>5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3</v>
      </c>
      <c r="AB188">
        <v>11</v>
      </c>
      <c r="AC188">
        <v>0</v>
      </c>
      <c r="AD188" t="str">
        <f t="shared" si="26"/>
        <v>Ok</v>
      </c>
      <c r="AE188" t="str">
        <f>IF(AND(Audit_Data[[#This Row],[Year_Birth]]&gt;=1900,Audit_Data[[#This Row],[Year_Birth]]&lt;=2010),"OK","Invalid")</f>
        <v>OK</v>
      </c>
      <c r="AF188" t="str">
        <f t="shared" si="27"/>
        <v>Valid</v>
      </c>
      <c r="AG188" t="str">
        <f t="shared" si="28"/>
        <v>Valid</v>
      </c>
      <c r="AH188" t="str">
        <f t="shared" si="29"/>
        <v>Valid</v>
      </c>
      <c r="AI188" t="str">
        <f t="shared" si="30"/>
        <v>Valid</v>
      </c>
      <c r="AJ188" t="str">
        <f t="shared" si="31"/>
        <v>Valid</v>
      </c>
      <c r="AK188" t="str">
        <f t="shared" si="38"/>
        <v xml:space="preserve">Valid </v>
      </c>
      <c r="AL188" t="str">
        <f>IF(AND(Audit_Data[[#This Row],[Recency]]&gt;=0,Audit_Data[[#This Row],[Recency]]&lt;=100),"Valid","Invalid")</f>
        <v>Valid</v>
      </c>
      <c r="AM188" t="str">
        <f t="shared" si="32"/>
        <v>Valid</v>
      </c>
      <c r="AN188" t="str">
        <f t="shared" si="33"/>
        <v>Valid</v>
      </c>
      <c r="AO188" t="str">
        <f t="shared" si="34"/>
        <v>Valid</v>
      </c>
      <c r="AP188" t="str">
        <f t="shared" si="35"/>
        <v>Valid</v>
      </c>
      <c r="AQ188" t="str">
        <f>IF(Audit_Data[[#This Row],[Z_CostContact]]=3,"Valid","Invalid")</f>
        <v>Valid</v>
      </c>
      <c r="AR188" t="str">
        <f t="shared" si="36"/>
        <v>Valid</v>
      </c>
      <c r="AS188" t="str">
        <f t="shared" si="37"/>
        <v>Valid</v>
      </c>
    </row>
    <row r="189" spans="1:45" x14ac:dyDescent="0.3">
      <c r="A189">
        <v>3934</v>
      </c>
      <c r="B189">
        <v>1966</v>
      </c>
      <c r="C189" t="s">
        <v>29</v>
      </c>
      <c r="D189" t="s">
        <v>33</v>
      </c>
      <c r="E189">
        <v>61286</v>
      </c>
      <c r="F189">
        <v>0</v>
      </c>
      <c r="G189">
        <v>1</v>
      </c>
      <c r="H189" s="1">
        <v>41488</v>
      </c>
      <c r="I189">
        <v>34</v>
      </c>
      <c r="J189">
        <v>356</v>
      </c>
      <c r="K189">
        <v>0</v>
      </c>
      <c r="L189">
        <v>107</v>
      </c>
      <c r="M189">
        <v>19</v>
      </c>
      <c r="N189">
        <v>9</v>
      </c>
      <c r="O189">
        <v>117</v>
      </c>
      <c r="P189">
        <v>2</v>
      </c>
      <c r="Q189">
        <v>7</v>
      </c>
      <c r="R189">
        <v>1</v>
      </c>
      <c r="S189">
        <v>8</v>
      </c>
      <c r="T189">
        <v>5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3</v>
      </c>
      <c r="AB189">
        <v>11</v>
      </c>
      <c r="AC189">
        <v>0</v>
      </c>
      <c r="AD189" t="str">
        <f t="shared" si="26"/>
        <v>Ok</v>
      </c>
      <c r="AE189" t="str">
        <f>IF(AND(Audit_Data[[#This Row],[Year_Birth]]&gt;=1900,Audit_Data[[#This Row],[Year_Birth]]&lt;=2010),"OK","Invalid")</f>
        <v>OK</v>
      </c>
      <c r="AF189" t="str">
        <f t="shared" si="27"/>
        <v>Valid</v>
      </c>
      <c r="AG189" t="str">
        <f t="shared" si="28"/>
        <v>Valid</v>
      </c>
      <c r="AH189" t="str">
        <f t="shared" si="29"/>
        <v>Valid</v>
      </c>
      <c r="AI189" t="str">
        <f t="shared" si="30"/>
        <v>Valid</v>
      </c>
      <c r="AJ189" t="str">
        <f t="shared" si="31"/>
        <v>Valid</v>
      </c>
      <c r="AK189" t="str">
        <f t="shared" si="38"/>
        <v xml:space="preserve">Valid </v>
      </c>
      <c r="AL189" t="str">
        <f>IF(AND(Audit_Data[[#This Row],[Recency]]&gt;=0,Audit_Data[[#This Row],[Recency]]&lt;=100),"Valid","Invalid")</f>
        <v>Valid</v>
      </c>
      <c r="AM189" t="str">
        <f t="shared" si="32"/>
        <v>Valid</v>
      </c>
      <c r="AN189" t="str">
        <f t="shared" si="33"/>
        <v>Valid</v>
      </c>
      <c r="AO189" t="str">
        <f t="shared" si="34"/>
        <v>Valid</v>
      </c>
      <c r="AP189" t="str">
        <f t="shared" si="35"/>
        <v>Valid</v>
      </c>
      <c r="AQ189" t="str">
        <f>IF(Audit_Data[[#This Row],[Z_CostContact]]=3,"Valid","Invalid")</f>
        <v>Valid</v>
      </c>
      <c r="AR189" t="str">
        <f t="shared" si="36"/>
        <v>Valid</v>
      </c>
      <c r="AS189" t="str">
        <f t="shared" si="37"/>
        <v>Valid</v>
      </c>
    </row>
    <row r="190" spans="1:45" x14ac:dyDescent="0.3">
      <c r="A190">
        <v>6982</v>
      </c>
      <c r="B190">
        <v>1976</v>
      </c>
      <c r="C190" t="s">
        <v>29</v>
      </c>
      <c r="D190" t="s">
        <v>33</v>
      </c>
      <c r="E190">
        <v>74068</v>
      </c>
      <c r="F190">
        <v>0</v>
      </c>
      <c r="G190">
        <v>0</v>
      </c>
      <c r="H190" s="1">
        <v>41352</v>
      </c>
      <c r="I190">
        <v>14</v>
      </c>
      <c r="J190">
        <v>783</v>
      </c>
      <c r="K190">
        <v>30</v>
      </c>
      <c r="L190">
        <v>537</v>
      </c>
      <c r="M190">
        <v>140</v>
      </c>
      <c r="N190">
        <v>76</v>
      </c>
      <c r="O190">
        <v>15</v>
      </c>
      <c r="P190">
        <v>1</v>
      </c>
      <c r="Q190">
        <v>4</v>
      </c>
      <c r="R190">
        <v>10</v>
      </c>
      <c r="S190">
        <v>9</v>
      </c>
      <c r="T190">
        <v>2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3</v>
      </c>
      <c r="AB190">
        <v>11</v>
      </c>
      <c r="AC190">
        <v>0</v>
      </c>
      <c r="AD190" t="str">
        <f t="shared" si="26"/>
        <v>Ok</v>
      </c>
      <c r="AE190" t="str">
        <f>IF(AND(Audit_Data[[#This Row],[Year_Birth]]&gt;=1900,Audit_Data[[#This Row],[Year_Birth]]&lt;=2010),"OK","Invalid")</f>
        <v>OK</v>
      </c>
      <c r="AF190" t="str">
        <f t="shared" si="27"/>
        <v>Valid</v>
      </c>
      <c r="AG190" t="str">
        <f t="shared" si="28"/>
        <v>Valid</v>
      </c>
      <c r="AH190" t="str">
        <f t="shared" si="29"/>
        <v>Valid</v>
      </c>
      <c r="AI190" t="str">
        <f t="shared" si="30"/>
        <v>Valid</v>
      </c>
      <c r="AJ190" t="str">
        <f t="shared" si="31"/>
        <v>Valid</v>
      </c>
      <c r="AK190" t="str">
        <f t="shared" si="38"/>
        <v xml:space="preserve">Valid </v>
      </c>
      <c r="AL190" t="str">
        <f>IF(AND(Audit_Data[[#This Row],[Recency]]&gt;=0,Audit_Data[[#This Row],[Recency]]&lt;=100),"Valid","Invalid")</f>
        <v>Valid</v>
      </c>
      <c r="AM190" t="str">
        <f t="shared" si="32"/>
        <v>Valid</v>
      </c>
      <c r="AN190" t="str">
        <f t="shared" si="33"/>
        <v>Valid</v>
      </c>
      <c r="AO190" t="str">
        <f t="shared" si="34"/>
        <v>Valid</v>
      </c>
      <c r="AP190" t="str">
        <f t="shared" si="35"/>
        <v>Valid</v>
      </c>
      <c r="AQ190" t="str">
        <f>IF(Audit_Data[[#This Row],[Z_CostContact]]=3,"Valid","Invalid")</f>
        <v>Valid</v>
      </c>
      <c r="AR190" t="str">
        <f t="shared" si="36"/>
        <v>Valid</v>
      </c>
      <c r="AS190" t="str">
        <f t="shared" si="37"/>
        <v>Valid</v>
      </c>
    </row>
    <row r="191" spans="1:45" x14ac:dyDescent="0.3">
      <c r="A191">
        <v>6431</v>
      </c>
      <c r="B191">
        <v>1964</v>
      </c>
      <c r="C191" t="s">
        <v>32</v>
      </c>
      <c r="D191" t="s">
        <v>33</v>
      </c>
      <c r="E191">
        <v>45759</v>
      </c>
      <c r="F191">
        <v>1</v>
      </c>
      <c r="G191">
        <v>1</v>
      </c>
      <c r="H191" s="1">
        <v>41328</v>
      </c>
      <c r="I191">
        <v>13</v>
      </c>
      <c r="J191">
        <v>42</v>
      </c>
      <c r="K191">
        <v>1</v>
      </c>
      <c r="L191">
        <v>18</v>
      </c>
      <c r="M191">
        <v>3</v>
      </c>
      <c r="N191">
        <v>0</v>
      </c>
      <c r="O191">
        <v>4</v>
      </c>
      <c r="P191">
        <v>2</v>
      </c>
      <c r="Q191">
        <v>2</v>
      </c>
      <c r="R191">
        <v>0</v>
      </c>
      <c r="S191">
        <v>3</v>
      </c>
      <c r="T191">
        <v>7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3</v>
      </c>
      <c r="AB191">
        <v>11</v>
      </c>
      <c r="AC191">
        <v>0</v>
      </c>
      <c r="AD191" t="str">
        <f t="shared" si="26"/>
        <v>Ok</v>
      </c>
      <c r="AE191" t="str">
        <f>IF(AND(Audit_Data[[#This Row],[Year_Birth]]&gt;=1900,Audit_Data[[#This Row],[Year_Birth]]&lt;=2010),"OK","Invalid")</f>
        <v>OK</v>
      </c>
      <c r="AF191" t="str">
        <f t="shared" si="27"/>
        <v>Valid</v>
      </c>
      <c r="AG191" t="str">
        <f t="shared" si="28"/>
        <v>Valid</v>
      </c>
      <c r="AH191" t="str">
        <f t="shared" si="29"/>
        <v>Valid</v>
      </c>
      <c r="AI191" t="str">
        <f t="shared" si="30"/>
        <v>Valid</v>
      </c>
      <c r="AJ191" t="str">
        <f t="shared" si="31"/>
        <v>Valid</v>
      </c>
      <c r="AK191" t="str">
        <f t="shared" si="38"/>
        <v xml:space="preserve">Valid </v>
      </c>
      <c r="AL191" t="str">
        <f>IF(AND(Audit_Data[[#This Row],[Recency]]&gt;=0,Audit_Data[[#This Row],[Recency]]&lt;=100),"Valid","Invalid")</f>
        <v>Valid</v>
      </c>
      <c r="AM191" t="str">
        <f t="shared" si="32"/>
        <v>Valid</v>
      </c>
      <c r="AN191" t="str">
        <f t="shared" si="33"/>
        <v>Valid</v>
      </c>
      <c r="AO191" t="str">
        <f t="shared" si="34"/>
        <v>Valid</v>
      </c>
      <c r="AP191" t="str">
        <f t="shared" si="35"/>
        <v>Valid</v>
      </c>
      <c r="AQ191" t="str">
        <f>IF(Audit_Data[[#This Row],[Z_CostContact]]=3,"Valid","Invalid")</f>
        <v>Valid</v>
      </c>
      <c r="AR191" t="str">
        <f t="shared" si="36"/>
        <v>Valid</v>
      </c>
      <c r="AS191" t="str">
        <f t="shared" si="37"/>
        <v>Valid</v>
      </c>
    </row>
    <row r="192" spans="1:45" x14ac:dyDescent="0.3">
      <c r="A192">
        <v>9733</v>
      </c>
      <c r="B192">
        <v>1978</v>
      </c>
      <c r="C192" t="s">
        <v>36</v>
      </c>
      <c r="D192" t="s">
        <v>31</v>
      </c>
      <c r="E192">
        <v>24882</v>
      </c>
      <c r="F192">
        <v>1</v>
      </c>
      <c r="G192">
        <v>0</v>
      </c>
      <c r="H192" s="1">
        <v>41161</v>
      </c>
      <c r="I192">
        <v>52</v>
      </c>
      <c r="J192">
        <v>1</v>
      </c>
      <c r="K192">
        <v>4</v>
      </c>
      <c r="L192">
        <v>10</v>
      </c>
      <c r="M192">
        <v>29</v>
      </c>
      <c r="N192">
        <v>0</v>
      </c>
      <c r="O192">
        <v>36</v>
      </c>
      <c r="P192">
        <v>1</v>
      </c>
      <c r="Q192">
        <v>1</v>
      </c>
      <c r="R192">
        <v>1</v>
      </c>
      <c r="S192">
        <v>2</v>
      </c>
      <c r="T192">
        <v>6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3</v>
      </c>
      <c r="AB192">
        <v>11</v>
      </c>
      <c r="AC192">
        <v>0</v>
      </c>
      <c r="AD192" t="str">
        <f t="shared" si="26"/>
        <v>Ok</v>
      </c>
      <c r="AE192" t="str">
        <f>IF(AND(Audit_Data[[#This Row],[Year_Birth]]&gt;=1900,Audit_Data[[#This Row],[Year_Birth]]&lt;=2010),"OK","Invalid")</f>
        <v>OK</v>
      </c>
      <c r="AF192" t="str">
        <f t="shared" si="27"/>
        <v>Valid</v>
      </c>
      <c r="AG192" t="str">
        <f t="shared" si="28"/>
        <v>Valid</v>
      </c>
      <c r="AH192" t="str">
        <f t="shared" si="29"/>
        <v>Valid</v>
      </c>
      <c r="AI192" t="str">
        <f t="shared" si="30"/>
        <v>Valid</v>
      </c>
      <c r="AJ192" t="str">
        <f t="shared" si="31"/>
        <v>Valid</v>
      </c>
      <c r="AK192" t="str">
        <f t="shared" si="38"/>
        <v xml:space="preserve">Valid </v>
      </c>
      <c r="AL192" t="str">
        <f>IF(AND(Audit_Data[[#This Row],[Recency]]&gt;=0,Audit_Data[[#This Row],[Recency]]&lt;=100),"Valid","Invalid")</f>
        <v>Valid</v>
      </c>
      <c r="AM192" t="str">
        <f t="shared" si="32"/>
        <v>Valid</v>
      </c>
      <c r="AN192" t="str">
        <f t="shared" si="33"/>
        <v>Valid</v>
      </c>
      <c r="AO192" t="str">
        <f t="shared" si="34"/>
        <v>Valid</v>
      </c>
      <c r="AP192" t="str">
        <f t="shared" si="35"/>
        <v>Valid</v>
      </c>
      <c r="AQ192" t="str">
        <f>IF(Audit_Data[[#This Row],[Z_CostContact]]=3,"Valid","Invalid")</f>
        <v>Valid</v>
      </c>
      <c r="AR192" t="str">
        <f t="shared" si="36"/>
        <v>Valid</v>
      </c>
      <c r="AS192" t="str">
        <f t="shared" si="37"/>
        <v>Valid</v>
      </c>
    </row>
    <row r="193" spans="1:45" x14ac:dyDescent="0.3">
      <c r="A193">
        <v>5602</v>
      </c>
      <c r="B193">
        <v>1989</v>
      </c>
      <c r="C193" t="s">
        <v>32</v>
      </c>
      <c r="D193" t="s">
        <v>31</v>
      </c>
      <c r="E193">
        <v>66973</v>
      </c>
      <c r="F193">
        <v>0</v>
      </c>
      <c r="G193">
        <v>0</v>
      </c>
      <c r="H193" s="1">
        <v>41411</v>
      </c>
      <c r="I193">
        <v>98</v>
      </c>
      <c r="J193">
        <v>466</v>
      </c>
      <c r="K193">
        <v>22</v>
      </c>
      <c r="L193">
        <v>432</v>
      </c>
      <c r="M193">
        <v>147</v>
      </c>
      <c r="N193">
        <v>113</v>
      </c>
      <c r="O193">
        <v>102</v>
      </c>
      <c r="P193">
        <v>1</v>
      </c>
      <c r="Q193">
        <v>8</v>
      </c>
      <c r="R193">
        <v>7</v>
      </c>
      <c r="S193">
        <v>12</v>
      </c>
      <c r="T193">
        <v>3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3</v>
      </c>
      <c r="AB193">
        <v>11</v>
      </c>
      <c r="AC193">
        <v>0</v>
      </c>
      <c r="AD193" t="str">
        <f t="shared" si="26"/>
        <v>Ok</v>
      </c>
      <c r="AE193" t="str">
        <f>IF(AND(Audit_Data[[#This Row],[Year_Birth]]&gt;=1900,Audit_Data[[#This Row],[Year_Birth]]&lt;=2010),"OK","Invalid")</f>
        <v>OK</v>
      </c>
      <c r="AF193" t="str">
        <f t="shared" si="27"/>
        <v>Valid</v>
      </c>
      <c r="AG193" t="str">
        <f t="shared" si="28"/>
        <v>Valid</v>
      </c>
      <c r="AH193" t="str">
        <f t="shared" si="29"/>
        <v>Valid</v>
      </c>
      <c r="AI193" t="str">
        <f t="shared" si="30"/>
        <v>Valid</v>
      </c>
      <c r="AJ193" t="str">
        <f t="shared" si="31"/>
        <v>Valid</v>
      </c>
      <c r="AK193" t="str">
        <f t="shared" si="38"/>
        <v xml:space="preserve">Valid </v>
      </c>
      <c r="AL193" t="str">
        <f>IF(AND(Audit_Data[[#This Row],[Recency]]&gt;=0,Audit_Data[[#This Row],[Recency]]&lt;=100),"Valid","Invalid")</f>
        <v>Valid</v>
      </c>
      <c r="AM193" t="str">
        <f t="shared" si="32"/>
        <v>Valid</v>
      </c>
      <c r="AN193" t="str">
        <f t="shared" si="33"/>
        <v>Valid</v>
      </c>
      <c r="AO193" t="str">
        <f t="shared" si="34"/>
        <v>Valid</v>
      </c>
      <c r="AP193" t="str">
        <f t="shared" si="35"/>
        <v>Valid</v>
      </c>
      <c r="AQ193" t="str">
        <f>IF(Audit_Data[[#This Row],[Z_CostContact]]=3,"Valid","Invalid")</f>
        <v>Valid</v>
      </c>
      <c r="AR193" t="str">
        <f t="shared" si="36"/>
        <v>Valid</v>
      </c>
      <c r="AS193" t="str">
        <f t="shared" si="37"/>
        <v>Valid</v>
      </c>
    </row>
    <row r="194" spans="1:45" x14ac:dyDescent="0.3">
      <c r="A194">
        <v>7829</v>
      </c>
      <c r="B194">
        <v>1900</v>
      </c>
      <c r="C194" t="s">
        <v>37</v>
      </c>
      <c r="D194" t="s">
        <v>35</v>
      </c>
      <c r="E194">
        <v>36640</v>
      </c>
      <c r="F194">
        <v>1</v>
      </c>
      <c r="G194">
        <v>0</v>
      </c>
      <c r="H194" s="1">
        <v>41543</v>
      </c>
      <c r="I194">
        <v>99</v>
      </c>
      <c r="J194">
        <v>15</v>
      </c>
      <c r="K194">
        <v>6</v>
      </c>
      <c r="L194">
        <v>8</v>
      </c>
      <c r="M194">
        <v>7</v>
      </c>
      <c r="N194">
        <v>4</v>
      </c>
      <c r="O194">
        <v>25</v>
      </c>
      <c r="P194">
        <v>1</v>
      </c>
      <c r="Q194">
        <v>2</v>
      </c>
      <c r="R194">
        <v>1</v>
      </c>
      <c r="S194">
        <v>2</v>
      </c>
      <c r="T194">
        <v>5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3</v>
      </c>
      <c r="AB194">
        <v>11</v>
      </c>
      <c r="AC194">
        <v>0</v>
      </c>
      <c r="AD194" t="str">
        <f t="shared" ref="AD194:AD257" si="39">IF(COUNTIF(A:A,A194)&gt;1,"Duplicate","Ok")</f>
        <v>Ok</v>
      </c>
      <c r="AE194" t="str">
        <f>IF(AND(Audit_Data[[#This Row],[Year_Birth]]&gt;=1900,Audit_Data[[#This Row],[Year_Birth]]&lt;=2010),"OK","Invalid")</f>
        <v>OK</v>
      </c>
      <c r="AF194" t="str">
        <f t="shared" ref="AF194:AF257" si="40">IF(OR(C194="Graduation",C194="phD",C194="Master",C194="Basic",C194="2n Cycle"),"Valid","Invalid")</f>
        <v>Valid</v>
      </c>
      <c r="AG194" t="str">
        <f t="shared" ref="AG194:AG257" si="41">IF(OR(D194="Single",D194="Married",D194="Divorced",D194="Together",D194="Widow",D194="Alone"),"Valid","Invalid")</f>
        <v>Valid</v>
      </c>
      <c r="AH194" t="str">
        <f t="shared" ref="AH194:AH257" si="42">IF(AND(ISNUMBER(E194),E194&lt;&gt;""),"Valid","Invalid")</f>
        <v>Valid</v>
      </c>
      <c r="AI194" t="str">
        <f t="shared" ref="AI194:AI257" si="43">IF(AND(F194&gt;=0,F194&lt;=2),"Valid","Invalid")</f>
        <v>Valid</v>
      </c>
      <c r="AJ194" t="str">
        <f t="shared" ref="AJ194:AJ257" si="44">IF(AND(G194&gt;=0,G194&lt;=2),"Valid","Invalid")</f>
        <v>Valid</v>
      </c>
      <c r="AK194" t="str">
        <f t="shared" si="38"/>
        <v xml:space="preserve">Valid </v>
      </c>
      <c r="AL194" t="str">
        <f>IF(AND(Audit_Data[[#This Row],[Recency]]&gt;=0,Audit_Data[[#This Row],[Recency]]&lt;=100),"Valid","Invalid")</f>
        <v>Valid</v>
      </c>
      <c r="AM194" t="str">
        <f t="shared" ref="AM194:AM257" si="45">IF(AND(ISNUMBER(J194),J194&gt;=0,ISNUMBER(K194),K194&gt;=0,ISNUMBER(L194),L194&gt;=0,ISNUMBER(M194),M194&gt;=0,ISNUMBER(N194),N194&gt;=0,ISNUMBER(O194),O194&gt;=0),"Valid","Invalid")</f>
        <v>Valid</v>
      </c>
      <c r="AN194" t="str">
        <f t="shared" ref="AN194:AN257" si="46">IF(AND(ISNUMBER(P194),P194&gt;=0,ISNUMBER(Q194),Q194&gt;=0,ISNUMBER(R194),R194&gt;=0,ISNUMBER(S194),S194&gt;=0,ISNUMBER(T194),T194&gt;=0),"Valid","Invalid")</f>
        <v>Valid</v>
      </c>
      <c r="AO194" t="str">
        <f t="shared" ref="AO194:AO257" si="47">IF(AND(U194&lt;=1,V194&lt;=1,W194&lt;=1,X194&lt;=1,Y194&lt;=1),"Valid","Invalid")</f>
        <v>Valid</v>
      </c>
      <c r="AP194" t="str">
        <f t="shared" ref="AP194:AP257" si="48">IF(OR(Z194=0,Z194=1),"Valid","Invalid")</f>
        <v>Valid</v>
      </c>
      <c r="AQ194" t="str">
        <f>IF(Audit_Data[[#This Row],[Z_CostContact]]=3,"Valid","Invalid")</f>
        <v>Valid</v>
      </c>
      <c r="AR194" t="str">
        <f t="shared" ref="AR194:AR257" si="49">IF(AB194=11,"Valid","Invalid")</f>
        <v>Valid</v>
      </c>
      <c r="AS194" t="str">
        <f t="shared" ref="AS194:AS257" si="50">IF(OR(AC194=0,AC194=1),"Valid","Invalid")</f>
        <v>Valid</v>
      </c>
    </row>
    <row r="195" spans="1:45" x14ac:dyDescent="0.3">
      <c r="A195">
        <v>1324</v>
      </c>
      <c r="B195">
        <v>1988</v>
      </c>
      <c r="C195" t="s">
        <v>29</v>
      </c>
      <c r="D195" t="s">
        <v>33</v>
      </c>
      <c r="E195">
        <v>38872</v>
      </c>
      <c r="F195">
        <v>1</v>
      </c>
      <c r="G195">
        <v>0</v>
      </c>
      <c r="H195" s="1">
        <v>41424</v>
      </c>
      <c r="I195">
        <v>93</v>
      </c>
      <c r="J195">
        <v>23</v>
      </c>
      <c r="K195">
        <v>3</v>
      </c>
      <c r="L195">
        <v>21</v>
      </c>
      <c r="M195">
        <v>3</v>
      </c>
      <c r="N195">
        <v>19</v>
      </c>
      <c r="O195">
        <v>22</v>
      </c>
      <c r="P195">
        <v>2</v>
      </c>
      <c r="Q195">
        <v>3</v>
      </c>
      <c r="R195">
        <v>0</v>
      </c>
      <c r="S195">
        <v>3</v>
      </c>
      <c r="T195">
        <v>8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3</v>
      </c>
      <c r="AB195">
        <v>11</v>
      </c>
      <c r="AC195">
        <v>0</v>
      </c>
      <c r="AD195" t="str">
        <f t="shared" si="39"/>
        <v>Ok</v>
      </c>
      <c r="AE195" t="str">
        <f>IF(AND(Audit_Data[[#This Row],[Year_Birth]]&gt;=1900,Audit_Data[[#This Row],[Year_Birth]]&lt;=2010),"OK","Invalid")</f>
        <v>OK</v>
      </c>
      <c r="AF195" t="str">
        <f t="shared" si="40"/>
        <v>Valid</v>
      </c>
      <c r="AG195" t="str">
        <f t="shared" si="41"/>
        <v>Valid</v>
      </c>
      <c r="AH195" t="str">
        <f t="shared" si="42"/>
        <v>Valid</v>
      </c>
      <c r="AI195" t="str">
        <f t="shared" si="43"/>
        <v>Valid</v>
      </c>
      <c r="AJ195" t="str">
        <f t="shared" si="44"/>
        <v>Valid</v>
      </c>
      <c r="AK195" t="str">
        <f t="shared" ref="AK195:AK258" si="51">IF(AND(ISNUMBER(H195),H195&gt;=DATE(2012,1,1),H195&lt;=DATE(2014,12,31)),"Valid ","Invalid")</f>
        <v xml:space="preserve">Valid </v>
      </c>
      <c r="AL195" t="str">
        <f>IF(AND(Audit_Data[[#This Row],[Recency]]&gt;=0,Audit_Data[[#This Row],[Recency]]&lt;=100),"Valid","Invalid")</f>
        <v>Valid</v>
      </c>
      <c r="AM195" t="str">
        <f t="shared" si="45"/>
        <v>Valid</v>
      </c>
      <c r="AN195" t="str">
        <f t="shared" si="46"/>
        <v>Valid</v>
      </c>
      <c r="AO195" t="str">
        <f t="shared" si="47"/>
        <v>Valid</v>
      </c>
      <c r="AP195" t="str">
        <f t="shared" si="48"/>
        <v>Valid</v>
      </c>
      <c r="AQ195" t="str">
        <f>IF(Audit_Data[[#This Row],[Z_CostContact]]=3,"Valid","Invalid")</f>
        <v>Valid</v>
      </c>
      <c r="AR195" t="str">
        <f t="shared" si="49"/>
        <v>Valid</v>
      </c>
      <c r="AS195" t="str">
        <f t="shared" si="50"/>
        <v>Valid</v>
      </c>
    </row>
    <row r="196" spans="1:45" x14ac:dyDescent="0.3">
      <c r="A196">
        <v>326</v>
      </c>
      <c r="B196">
        <v>1973</v>
      </c>
      <c r="C196" t="s">
        <v>29</v>
      </c>
      <c r="D196" t="s">
        <v>33</v>
      </c>
      <c r="E196">
        <v>51148</v>
      </c>
      <c r="F196">
        <v>1</v>
      </c>
      <c r="G196">
        <v>1</v>
      </c>
      <c r="H196" s="1">
        <v>41323</v>
      </c>
      <c r="I196">
        <v>38</v>
      </c>
      <c r="J196">
        <v>235</v>
      </c>
      <c r="K196">
        <v>6</v>
      </c>
      <c r="L196">
        <v>45</v>
      </c>
      <c r="M196">
        <v>8</v>
      </c>
      <c r="N196">
        <v>9</v>
      </c>
      <c r="O196">
        <v>12</v>
      </c>
      <c r="P196">
        <v>4</v>
      </c>
      <c r="Q196">
        <v>5</v>
      </c>
      <c r="R196">
        <v>1</v>
      </c>
      <c r="S196">
        <v>6</v>
      </c>
      <c r="T196">
        <v>6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3</v>
      </c>
      <c r="AB196">
        <v>11</v>
      </c>
      <c r="AC196">
        <v>0</v>
      </c>
      <c r="AD196" t="str">
        <f t="shared" si="39"/>
        <v>Ok</v>
      </c>
      <c r="AE196" t="str">
        <f>IF(AND(Audit_Data[[#This Row],[Year_Birth]]&gt;=1900,Audit_Data[[#This Row],[Year_Birth]]&lt;=2010),"OK","Invalid")</f>
        <v>OK</v>
      </c>
      <c r="AF196" t="str">
        <f t="shared" si="40"/>
        <v>Valid</v>
      </c>
      <c r="AG196" t="str">
        <f t="shared" si="41"/>
        <v>Valid</v>
      </c>
      <c r="AH196" t="str">
        <f t="shared" si="42"/>
        <v>Valid</v>
      </c>
      <c r="AI196" t="str">
        <f t="shared" si="43"/>
        <v>Valid</v>
      </c>
      <c r="AJ196" t="str">
        <f t="shared" si="44"/>
        <v>Valid</v>
      </c>
      <c r="AK196" t="str">
        <f t="shared" si="51"/>
        <v xml:space="preserve">Valid </v>
      </c>
      <c r="AL196" t="str">
        <f>IF(AND(Audit_Data[[#This Row],[Recency]]&gt;=0,Audit_Data[[#This Row],[Recency]]&lt;=100),"Valid","Invalid")</f>
        <v>Valid</v>
      </c>
      <c r="AM196" t="str">
        <f t="shared" si="45"/>
        <v>Valid</v>
      </c>
      <c r="AN196" t="str">
        <f t="shared" si="46"/>
        <v>Valid</v>
      </c>
      <c r="AO196" t="str">
        <f t="shared" si="47"/>
        <v>Valid</v>
      </c>
      <c r="AP196" t="str">
        <f t="shared" si="48"/>
        <v>Valid</v>
      </c>
      <c r="AQ196" t="str">
        <f>IF(Audit_Data[[#This Row],[Z_CostContact]]=3,"Valid","Invalid")</f>
        <v>Valid</v>
      </c>
      <c r="AR196" t="str">
        <f t="shared" si="49"/>
        <v>Valid</v>
      </c>
      <c r="AS196" t="str">
        <f t="shared" si="50"/>
        <v>Valid</v>
      </c>
    </row>
    <row r="197" spans="1:45" x14ac:dyDescent="0.3">
      <c r="A197">
        <v>7224</v>
      </c>
      <c r="B197">
        <v>1977</v>
      </c>
      <c r="C197" t="s">
        <v>29</v>
      </c>
      <c r="D197" t="s">
        <v>33</v>
      </c>
      <c r="E197">
        <v>31353</v>
      </c>
      <c r="F197">
        <v>1</v>
      </c>
      <c r="G197">
        <v>1</v>
      </c>
      <c r="H197" s="1">
        <v>41637</v>
      </c>
      <c r="I197">
        <v>24</v>
      </c>
      <c r="J197">
        <v>10</v>
      </c>
      <c r="K197">
        <v>0</v>
      </c>
      <c r="L197">
        <v>10</v>
      </c>
      <c r="M197">
        <v>3</v>
      </c>
      <c r="N197">
        <v>1</v>
      </c>
      <c r="O197">
        <v>7</v>
      </c>
      <c r="P197">
        <v>2</v>
      </c>
      <c r="Q197">
        <v>1</v>
      </c>
      <c r="R197">
        <v>1</v>
      </c>
      <c r="S197">
        <v>2</v>
      </c>
      <c r="T197">
        <v>8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3</v>
      </c>
      <c r="AB197">
        <v>11</v>
      </c>
      <c r="AC197">
        <v>0</v>
      </c>
      <c r="AD197" t="str">
        <f t="shared" si="39"/>
        <v>Ok</v>
      </c>
      <c r="AE197" t="str">
        <f>IF(AND(Audit_Data[[#This Row],[Year_Birth]]&gt;=1900,Audit_Data[[#This Row],[Year_Birth]]&lt;=2010),"OK","Invalid")</f>
        <v>OK</v>
      </c>
      <c r="AF197" t="str">
        <f t="shared" si="40"/>
        <v>Valid</v>
      </c>
      <c r="AG197" t="str">
        <f t="shared" si="41"/>
        <v>Valid</v>
      </c>
      <c r="AH197" t="str">
        <f t="shared" si="42"/>
        <v>Valid</v>
      </c>
      <c r="AI197" t="str">
        <f t="shared" si="43"/>
        <v>Valid</v>
      </c>
      <c r="AJ197" t="str">
        <f t="shared" si="44"/>
        <v>Valid</v>
      </c>
      <c r="AK197" t="str">
        <f t="shared" si="51"/>
        <v xml:space="preserve">Valid </v>
      </c>
      <c r="AL197" t="str">
        <f>IF(AND(Audit_Data[[#This Row],[Recency]]&gt;=0,Audit_Data[[#This Row],[Recency]]&lt;=100),"Valid","Invalid")</f>
        <v>Valid</v>
      </c>
      <c r="AM197" t="str">
        <f t="shared" si="45"/>
        <v>Valid</v>
      </c>
      <c r="AN197" t="str">
        <f t="shared" si="46"/>
        <v>Valid</v>
      </c>
      <c r="AO197" t="str">
        <f t="shared" si="47"/>
        <v>Valid</v>
      </c>
      <c r="AP197" t="str">
        <f t="shared" si="48"/>
        <v>Valid</v>
      </c>
      <c r="AQ197" t="str">
        <f>IF(Audit_Data[[#This Row],[Z_CostContact]]=3,"Valid","Invalid")</f>
        <v>Valid</v>
      </c>
      <c r="AR197" t="str">
        <f t="shared" si="49"/>
        <v>Valid</v>
      </c>
      <c r="AS197" t="str">
        <f t="shared" si="50"/>
        <v>Valid</v>
      </c>
    </row>
    <row r="198" spans="1:45" x14ac:dyDescent="0.3">
      <c r="A198">
        <v>6999</v>
      </c>
      <c r="B198">
        <v>1980</v>
      </c>
      <c r="C198" t="s">
        <v>34</v>
      </c>
      <c r="D198" t="s">
        <v>33</v>
      </c>
      <c r="E198">
        <v>69661</v>
      </c>
      <c r="F198">
        <v>0</v>
      </c>
      <c r="G198">
        <v>0</v>
      </c>
      <c r="H198" s="1">
        <v>41772</v>
      </c>
      <c r="I198">
        <v>80</v>
      </c>
      <c r="J198">
        <v>656</v>
      </c>
      <c r="K198">
        <v>16</v>
      </c>
      <c r="L198">
        <v>106</v>
      </c>
      <c r="M198">
        <v>32</v>
      </c>
      <c r="N198">
        <v>16</v>
      </c>
      <c r="O198">
        <v>8</v>
      </c>
      <c r="P198">
        <v>1</v>
      </c>
      <c r="Q198">
        <v>7</v>
      </c>
      <c r="R198">
        <v>3</v>
      </c>
      <c r="S198">
        <v>12</v>
      </c>
      <c r="T198">
        <v>3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3</v>
      </c>
      <c r="AB198">
        <v>11</v>
      </c>
      <c r="AC198">
        <v>0</v>
      </c>
      <c r="AD198" t="str">
        <f t="shared" si="39"/>
        <v>Ok</v>
      </c>
      <c r="AE198" t="str">
        <f>IF(AND(Audit_Data[[#This Row],[Year_Birth]]&gt;=1900,Audit_Data[[#This Row],[Year_Birth]]&lt;=2010),"OK","Invalid")</f>
        <v>OK</v>
      </c>
      <c r="AF198" t="str">
        <f t="shared" si="40"/>
        <v>Valid</v>
      </c>
      <c r="AG198" t="str">
        <f t="shared" si="41"/>
        <v>Valid</v>
      </c>
      <c r="AH198" t="str">
        <f t="shared" si="42"/>
        <v>Valid</v>
      </c>
      <c r="AI198" t="str">
        <f t="shared" si="43"/>
        <v>Valid</v>
      </c>
      <c r="AJ198" t="str">
        <f t="shared" si="44"/>
        <v>Valid</v>
      </c>
      <c r="AK198" t="str">
        <f t="shared" si="51"/>
        <v xml:space="preserve">Valid </v>
      </c>
      <c r="AL198" t="str">
        <f>IF(AND(Audit_Data[[#This Row],[Recency]]&gt;=0,Audit_Data[[#This Row],[Recency]]&lt;=100),"Valid","Invalid")</f>
        <v>Valid</v>
      </c>
      <c r="AM198" t="str">
        <f t="shared" si="45"/>
        <v>Valid</v>
      </c>
      <c r="AN198" t="str">
        <f t="shared" si="46"/>
        <v>Valid</v>
      </c>
      <c r="AO198" t="str">
        <f t="shared" si="47"/>
        <v>Valid</v>
      </c>
      <c r="AP198" t="str">
        <f t="shared" si="48"/>
        <v>Valid</v>
      </c>
      <c r="AQ198" t="str">
        <f>IF(Audit_Data[[#This Row],[Z_CostContact]]=3,"Valid","Invalid")</f>
        <v>Valid</v>
      </c>
      <c r="AR198" t="str">
        <f t="shared" si="49"/>
        <v>Valid</v>
      </c>
      <c r="AS198" t="str">
        <f t="shared" si="50"/>
        <v>Valid</v>
      </c>
    </row>
    <row r="199" spans="1:45" x14ac:dyDescent="0.3">
      <c r="A199">
        <v>9938</v>
      </c>
      <c r="B199">
        <v>1954</v>
      </c>
      <c r="C199" t="s">
        <v>29</v>
      </c>
      <c r="D199" t="s">
        <v>33</v>
      </c>
      <c r="E199">
        <v>80067</v>
      </c>
      <c r="F199">
        <v>0</v>
      </c>
      <c r="G199">
        <v>0</v>
      </c>
      <c r="H199" s="1">
        <v>41536</v>
      </c>
      <c r="I199">
        <v>82</v>
      </c>
      <c r="J199">
        <v>519</v>
      </c>
      <c r="K199">
        <v>17</v>
      </c>
      <c r="L199">
        <v>813</v>
      </c>
      <c r="M199">
        <v>27</v>
      </c>
      <c r="N199">
        <v>173</v>
      </c>
      <c r="O199">
        <v>51</v>
      </c>
      <c r="P199">
        <v>1</v>
      </c>
      <c r="Q199">
        <v>4</v>
      </c>
      <c r="R199">
        <v>6</v>
      </c>
      <c r="S199">
        <v>6</v>
      </c>
      <c r="T199">
        <v>2</v>
      </c>
      <c r="U199">
        <v>0</v>
      </c>
      <c r="V199">
        <v>0</v>
      </c>
      <c r="W199">
        <v>1</v>
      </c>
      <c r="X199">
        <v>0</v>
      </c>
      <c r="Y199">
        <v>0</v>
      </c>
      <c r="Z199">
        <v>0</v>
      </c>
      <c r="AA199">
        <v>3</v>
      </c>
      <c r="AB199">
        <v>11</v>
      </c>
      <c r="AC199">
        <v>0</v>
      </c>
      <c r="AD199" t="str">
        <f t="shared" si="39"/>
        <v>Ok</v>
      </c>
      <c r="AE199" t="str">
        <f>IF(AND(Audit_Data[[#This Row],[Year_Birth]]&gt;=1900,Audit_Data[[#This Row],[Year_Birth]]&lt;=2010),"OK","Invalid")</f>
        <v>OK</v>
      </c>
      <c r="AF199" t="str">
        <f t="shared" si="40"/>
        <v>Valid</v>
      </c>
      <c r="AG199" t="str">
        <f t="shared" si="41"/>
        <v>Valid</v>
      </c>
      <c r="AH199" t="str">
        <f t="shared" si="42"/>
        <v>Valid</v>
      </c>
      <c r="AI199" t="str">
        <f t="shared" si="43"/>
        <v>Valid</v>
      </c>
      <c r="AJ199" t="str">
        <f t="shared" si="44"/>
        <v>Valid</v>
      </c>
      <c r="AK199" t="str">
        <f t="shared" si="51"/>
        <v xml:space="preserve">Valid </v>
      </c>
      <c r="AL199" t="str">
        <f>IF(AND(Audit_Data[[#This Row],[Recency]]&gt;=0,Audit_Data[[#This Row],[Recency]]&lt;=100),"Valid","Invalid")</f>
        <v>Valid</v>
      </c>
      <c r="AM199" t="str">
        <f t="shared" si="45"/>
        <v>Valid</v>
      </c>
      <c r="AN199" t="str">
        <f t="shared" si="46"/>
        <v>Valid</v>
      </c>
      <c r="AO199" t="str">
        <f t="shared" si="47"/>
        <v>Valid</v>
      </c>
      <c r="AP199" t="str">
        <f t="shared" si="48"/>
        <v>Valid</v>
      </c>
      <c r="AQ199" t="str">
        <f>IF(Audit_Data[[#This Row],[Z_CostContact]]=3,"Valid","Invalid")</f>
        <v>Valid</v>
      </c>
      <c r="AR199" t="str">
        <f t="shared" si="49"/>
        <v>Valid</v>
      </c>
      <c r="AS199" t="str">
        <f t="shared" si="50"/>
        <v>Valid</v>
      </c>
    </row>
    <row r="200" spans="1:45" x14ac:dyDescent="0.3">
      <c r="A200">
        <v>6422</v>
      </c>
      <c r="B200">
        <v>1954</v>
      </c>
      <c r="C200" t="s">
        <v>29</v>
      </c>
      <c r="D200" t="s">
        <v>33</v>
      </c>
      <c r="E200">
        <v>86718</v>
      </c>
      <c r="F200">
        <v>0</v>
      </c>
      <c r="G200">
        <v>0</v>
      </c>
      <c r="H200" s="1">
        <v>41291</v>
      </c>
      <c r="I200">
        <v>20</v>
      </c>
      <c r="J200">
        <v>344</v>
      </c>
      <c r="K200">
        <v>189</v>
      </c>
      <c r="L200">
        <v>482</v>
      </c>
      <c r="M200">
        <v>50</v>
      </c>
      <c r="N200">
        <v>33</v>
      </c>
      <c r="O200">
        <v>172</v>
      </c>
      <c r="P200">
        <v>1</v>
      </c>
      <c r="Q200">
        <v>5</v>
      </c>
      <c r="R200">
        <v>6</v>
      </c>
      <c r="S200">
        <v>5</v>
      </c>
      <c r="T200">
        <v>2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3</v>
      </c>
      <c r="AB200">
        <v>11</v>
      </c>
      <c r="AC200">
        <v>0</v>
      </c>
      <c r="AD200" t="str">
        <f t="shared" si="39"/>
        <v>Ok</v>
      </c>
      <c r="AE200" t="str">
        <f>IF(AND(Audit_Data[[#This Row],[Year_Birth]]&gt;=1900,Audit_Data[[#This Row],[Year_Birth]]&lt;=2010),"OK","Invalid")</f>
        <v>OK</v>
      </c>
      <c r="AF200" t="str">
        <f t="shared" si="40"/>
        <v>Valid</v>
      </c>
      <c r="AG200" t="str">
        <f t="shared" si="41"/>
        <v>Valid</v>
      </c>
      <c r="AH200" t="str">
        <f t="shared" si="42"/>
        <v>Valid</v>
      </c>
      <c r="AI200" t="str">
        <f t="shared" si="43"/>
        <v>Valid</v>
      </c>
      <c r="AJ200" t="str">
        <f t="shared" si="44"/>
        <v>Valid</v>
      </c>
      <c r="AK200" t="str">
        <f t="shared" si="51"/>
        <v xml:space="preserve">Valid </v>
      </c>
      <c r="AL200" t="str">
        <f>IF(AND(Audit_Data[[#This Row],[Recency]]&gt;=0,Audit_Data[[#This Row],[Recency]]&lt;=100),"Valid","Invalid")</f>
        <v>Valid</v>
      </c>
      <c r="AM200" t="str">
        <f t="shared" si="45"/>
        <v>Valid</v>
      </c>
      <c r="AN200" t="str">
        <f t="shared" si="46"/>
        <v>Valid</v>
      </c>
      <c r="AO200" t="str">
        <f t="shared" si="47"/>
        <v>Valid</v>
      </c>
      <c r="AP200" t="str">
        <f t="shared" si="48"/>
        <v>Valid</v>
      </c>
      <c r="AQ200" t="str">
        <f>IF(Audit_Data[[#This Row],[Z_CostContact]]=3,"Valid","Invalid")</f>
        <v>Valid</v>
      </c>
      <c r="AR200" t="str">
        <f t="shared" si="49"/>
        <v>Valid</v>
      </c>
      <c r="AS200" t="str">
        <f t="shared" si="50"/>
        <v>Valid</v>
      </c>
    </row>
    <row r="201" spans="1:45" x14ac:dyDescent="0.3">
      <c r="A201">
        <v>3182</v>
      </c>
      <c r="B201">
        <v>1973</v>
      </c>
      <c r="C201" t="s">
        <v>32</v>
      </c>
      <c r="D201" t="s">
        <v>30</v>
      </c>
      <c r="E201">
        <v>46854</v>
      </c>
      <c r="F201">
        <v>1</v>
      </c>
      <c r="G201">
        <v>1</v>
      </c>
      <c r="H201" s="1">
        <v>41729</v>
      </c>
      <c r="I201">
        <v>81</v>
      </c>
      <c r="J201">
        <v>96</v>
      </c>
      <c r="K201">
        <v>1</v>
      </c>
      <c r="L201">
        <v>79</v>
      </c>
      <c r="M201">
        <v>7</v>
      </c>
      <c r="N201">
        <v>1</v>
      </c>
      <c r="O201">
        <v>79</v>
      </c>
      <c r="P201">
        <v>6</v>
      </c>
      <c r="Q201">
        <v>5</v>
      </c>
      <c r="R201">
        <v>1</v>
      </c>
      <c r="S201">
        <v>3</v>
      </c>
      <c r="T201">
        <v>8</v>
      </c>
      <c r="U201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3</v>
      </c>
      <c r="AB201">
        <v>11</v>
      </c>
      <c r="AC201">
        <v>1</v>
      </c>
      <c r="AD201" t="str">
        <f t="shared" si="39"/>
        <v>Ok</v>
      </c>
      <c r="AE201" t="str">
        <f>IF(AND(Audit_Data[[#This Row],[Year_Birth]]&gt;=1900,Audit_Data[[#This Row],[Year_Birth]]&lt;=2010),"OK","Invalid")</f>
        <v>OK</v>
      </c>
      <c r="AF201" t="str">
        <f t="shared" si="40"/>
        <v>Valid</v>
      </c>
      <c r="AG201" t="str">
        <f t="shared" si="41"/>
        <v>Valid</v>
      </c>
      <c r="AH201" t="str">
        <f t="shared" si="42"/>
        <v>Valid</v>
      </c>
      <c r="AI201" t="str">
        <f t="shared" si="43"/>
        <v>Valid</v>
      </c>
      <c r="AJ201" t="str">
        <f t="shared" si="44"/>
        <v>Valid</v>
      </c>
      <c r="AK201" t="str">
        <f t="shared" si="51"/>
        <v xml:space="preserve">Valid </v>
      </c>
      <c r="AL201" t="str">
        <f>IF(AND(Audit_Data[[#This Row],[Recency]]&gt;=0,Audit_Data[[#This Row],[Recency]]&lt;=100),"Valid","Invalid")</f>
        <v>Valid</v>
      </c>
      <c r="AM201" t="str">
        <f t="shared" si="45"/>
        <v>Valid</v>
      </c>
      <c r="AN201" t="str">
        <f t="shared" si="46"/>
        <v>Valid</v>
      </c>
      <c r="AO201" t="str">
        <f t="shared" si="47"/>
        <v>Valid</v>
      </c>
      <c r="AP201" t="str">
        <f t="shared" si="48"/>
        <v>Valid</v>
      </c>
      <c r="AQ201" t="str">
        <f>IF(Audit_Data[[#This Row],[Z_CostContact]]=3,"Valid","Invalid")</f>
        <v>Valid</v>
      </c>
      <c r="AR201" t="str">
        <f t="shared" si="49"/>
        <v>Valid</v>
      </c>
      <c r="AS201" t="str">
        <f t="shared" si="50"/>
        <v>Valid</v>
      </c>
    </row>
    <row r="202" spans="1:45" x14ac:dyDescent="0.3">
      <c r="A202">
        <v>7300</v>
      </c>
      <c r="B202">
        <v>1952</v>
      </c>
      <c r="C202" t="s">
        <v>29</v>
      </c>
      <c r="D202" t="s">
        <v>35</v>
      </c>
      <c r="E202">
        <v>69142</v>
      </c>
      <c r="F202">
        <v>0</v>
      </c>
      <c r="G202">
        <v>1</v>
      </c>
      <c r="H202" s="1">
        <v>41819</v>
      </c>
      <c r="I202">
        <v>50</v>
      </c>
      <c r="J202">
        <v>448</v>
      </c>
      <c r="K202">
        <v>4</v>
      </c>
      <c r="L202">
        <v>34</v>
      </c>
      <c r="M202">
        <v>6</v>
      </c>
      <c r="N202">
        <v>4</v>
      </c>
      <c r="O202">
        <v>39</v>
      </c>
      <c r="P202">
        <v>3</v>
      </c>
      <c r="Q202">
        <v>8</v>
      </c>
      <c r="R202">
        <v>1</v>
      </c>
      <c r="S202">
        <v>7</v>
      </c>
      <c r="T202">
        <v>5</v>
      </c>
      <c r="U202">
        <v>0</v>
      </c>
      <c r="V202">
        <v>1</v>
      </c>
      <c r="W202">
        <v>0</v>
      </c>
      <c r="X202">
        <v>0</v>
      </c>
      <c r="Y202">
        <v>0</v>
      </c>
      <c r="Z202">
        <v>0</v>
      </c>
      <c r="AA202">
        <v>3</v>
      </c>
      <c r="AB202">
        <v>11</v>
      </c>
      <c r="AC202">
        <v>0</v>
      </c>
      <c r="AD202" t="str">
        <f t="shared" si="39"/>
        <v>Ok</v>
      </c>
      <c r="AE202" t="str">
        <f>IF(AND(Audit_Data[[#This Row],[Year_Birth]]&gt;=1900,Audit_Data[[#This Row],[Year_Birth]]&lt;=2010),"OK","Invalid")</f>
        <v>OK</v>
      </c>
      <c r="AF202" t="str">
        <f t="shared" si="40"/>
        <v>Valid</v>
      </c>
      <c r="AG202" t="str">
        <f t="shared" si="41"/>
        <v>Valid</v>
      </c>
      <c r="AH202" t="str">
        <f t="shared" si="42"/>
        <v>Valid</v>
      </c>
      <c r="AI202" t="str">
        <f t="shared" si="43"/>
        <v>Valid</v>
      </c>
      <c r="AJ202" t="str">
        <f t="shared" si="44"/>
        <v>Valid</v>
      </c>
      <c r="AK202" t="str">
        <f t="shared" si="51"/>
        <v xml:space="preserve">Valid </v>
      </c>
      <c r="AL202" t="str">
        <f>IF(AND(Audit_Data[[#This Row],[Recency]]&gt;=0,Audit_Data[[#This Row],[Recency]]&lt;=100),"Valid","Invalid")</f>
        <v>Valid</v>
      </c>
      <c r="AM202" t="str">
        <f t="shared" si="45"/>
        <v>Valid</v>
      </c>
      <c r="AN202" t="str">
        <f t="shared" si="46"/>
        <v>Valid</v>
      </c>
      <c r="AO202" t="str">
        <f t="shared" si="47"/>
        <v>Valid</v>
      </c>
      <c r="AP202" t="str">
        <f t="shared" si="48"/>
        <v>Valid</v>
      </c>
      <c r="AQ202" t="str">
        <f>IF(Audit_Data[[#This Row],[Z_CostContact]]=3,"Valid","Invalid")</f>
        <v>Valid</v>
      </c>
      <c r="AR202" t="str">
        <f t="shared" si="49"/>
        <v>Valid</v>
      </c>
      <c r="AS202" t="str">
        <f t="shared" si="50"/>
        <v>Valid</v>
      </c>
    </row>
    <row r="203" spans="1:45" x14ac:dyDescent="0.3">
      <c r="A203">
        <v>10424</v>
      </c>
      <c r="B203">
        <v>1968</v>
      </c>
      <c r="C203" t="s">
        <v>29</v>
      </c>
      <c r="D203" t="s">
        <v>30</v>
      </c>
      <c r="E203">
        <v>75922</v>
      </c>
      <c r="F203">
        <v>0</v>
      </c>
      <c r="G203">
        <v>0</v>
      </c>
      <c r="H203" s="1">
        <v>41617</v>
      </c>
      <c r="I203">
        <v>60</v>
      </c>
      <c r="J203">
        <v>265</v>
      </c>
      <c r="K203">
        <v>138</v>
      </c>
      <c r="L203">
        <v>553</v>
      </c>
      <c r="M203">
        <v>224</v>
      </c>
      <c r="N203">
        <v>23</v>
      </c>
      <c r="O203">
        <v>92</v>
      </c>
      <c r="P203">
        <v>1</v>
      </c>
      <c r="Q203">
        <v>4</v>
      </c>
      <c r="R203">
        <v>4</v>
      </c>
      <c r="S203">
        <v>9</v>
      </c>
      <c r="T203">
        <v>1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3</v>
      </c>
      <c r="AB203">
        <v>11</v>
      </c>
      <c r="AC203">
        <v>0</v>
      </c>
      <c r="AD203" t="str">
        <f t="shared" si="39"/>
        <v>Ok</v>
      </c>
      <c r="AE203" t="str">
        <f>IF(AND(Audit_Data[[#This Row],[Year_Birth]]&gt;=1900,Audit_Data[[#This Row],[Year_Birth]]&lt;=2010),"OK","Invalid")</f>
        <v>OK</v>
      </c>
      <c r="AF203" t="str">
        <f t="shared" si="40"/>
        <v>Valid</v>
      </c>
      <c r="AG203" t="str">
        <f t="shared" si="41"/>
        <v>Valid</v>
      </c>
      <c r="AH203" t="str">
        <f t="shared" si="42"/>
        <v>Valid</v>
      </c>
      <c r="AI203" t="str">
        <f t="shared" si="43"/>
        <v>Valid</v>
      </c>
      <c r="AJ203" t="str">
        <f t="shared" si="44"/>
        <v>Valid</v>
      </c>
      <c r="AK203" t="str">
        <f t="shared" si="51"/>
        <v xml:space="preserve">Valid </v>
      </c>
      <c r="AL203" t="str">
        <f>IF(AND(Audit_Data[[#This Row],[Recency]]&gt;=0,Audit_Data[[#This Row],[Recency]]&lt;=100),"Valid","Invalid")</f>
        <v>Valid</v>
      </c>
      <c r="AM203" t="str">
        <f t="shared" si="45"/>
        <v>Valid</v>
      </c>
      <c r="AN203" t="str">
        <f t="shared" si="46"/>
        <v>Valid</v>
      </c>
      <c r="AO203" t="str">
        <f t="shared" si="47"/>
        <v>Valid</v>
      </c>
      <c r="AP203" t="str">
        <f t="shared" si="48"/>
        <v>Valid</v>
      </c>
      <c r="AQ203" t="str">
        <f>IF(Audit_Data[[#This Row],[Z_CostContact]]=3,"Valid","Invalid")</f>
        <v>Valid</v>
      </c>
      <c r="AR203" t="str">
        <f t="shared" si="49"/>
        <v>Valid</v>
      </c>
      <c r="AS203" t="str">
        <f t="shared" si="50"/>
        <v>Valid</v>
      </c>
    </row>
    <row r="204" spans="1:45" x14ac:dyDescent="0.3">
      <c r="A204">
        <v>8727</v>
      </c>
      <c r="B204">
        <v>1978</v>
      </c>
      <c r="C204" t="s">
        <v>29</v>
      </c>
      <c r="D204" t="s">
        <v>35</v>
      </c>
      <c r="E204">
        <v>63693</v>
      </c>
      <c r="F204">
        <v>0</v>
      </c>
      <c r="G204">
        <v>1</v>
      </c>
      <c r="H204" s="1">
        <v>41561</v>
      </c>
      <c r="I204">
        <v>63</v>
      </c>
      <c r="J204">
        <v>587</v>
      </c>
      <c r="K204">
        <v>43</v>
      </c>
      <c r="L204">
        <v>337</v>
      </c>
      <c r="M204">
        <v>42</v>
      </c>
      <c r="N204">
        <v>87</v>
      </c>
      <c r="O204">
        <v>54</v>
      </c>
      <c r="P204">
        <v>3</v>
      </c>
      <c r="Q204">
        <v>11</v>
      </c>
      <c r="R204">
        <v>6</v>
      </c>
      <c r="S204">
        <v>9</v>
      </c>
      <c r="T204">
        <v>6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3</v>
      </c>
      <c r="AB204">
        <v>11</v>
      </c>
      <c r="AC204">
        <v>0</v>
      </c>
      <c r="AD204" t="str">
        <f t="shared" si="39"/>
        <v>Ok</v>
      </c>
      <c r="AE204" t="str">
        <f>IF(AND(Audit_Data[[#This Row],[Year_Birth]]&gt;=1900,Audit_Data[[#This Row],[Year_Birth]]&lt;=2010),"OK","Invalid")</f>
        <v>OK</v>
      </c>
      <c r="AF204" t="str">
        <f t="shared" si="40"/>
        <v>Valid</v>
      </c>
      <c r="AG204" t="str">
        <f t="shared" si="41"/>
        <v>Valid</v>
      </c>
      <c r="AH204" t="str">
        <f t="shared" si="42"/>
        <v>Valid</v>
      </c>
      <c r="AI204" t="str">
        <f t="shared" si="43"/>
        <v>Valid</v>
      </c>
      <c r="AJ204" t="str">
        <f t="shared" si="44"/>
        <v>Valid</v>
      </c>
      <c r="AK204" t="str">
        <f t="shared" si="51"/>
        <v xml:space="preserve">Valid </v>
      </c>
      <c r="AL204" t="str">
        <f>IF(AND(Audit_Data[[#This Row],[Recency]]&gt;=0,Audit_Data[[#This Row],[Recency]]&lt;=100),"Valid","Invalid")</f>
        <v>Valid</v>
      </c>
      <c r="AM204" t="str">
        <f t="shared" si="45"/>
        <v>Valid</v>
      </c>
      <c r="AN204" t="str">
        <f t="shared" si="46"/>
        <v>Valid</v>
      </c>
      <c r="AO204" t="str">
        <f t="shared" si="47"/>
        <v>Valid</v>
      </c>
      <c r="AP204" t="str">
        <f t="shared" si="48"/>
        <v>Valid</v>
      </c>
      <c r="AQ204" t="str">
        <f>IF(Audit_Data[[#This Row],[Z_CostContact]]=3,"Valid","Invalid")</f>
        <v>Valid</v>
      </c>
      <c r="AR204" t="str">
        <f t="shared" si="49"/>
        <v>Valid</v>
      </c>
      <c r="AS204" t="str">
        <f t="shared" si="50"/>
        <v>Valid</v>
      </c>
    </row>
    <row r="205" spans="1:45" x14ac:dyDescent="0.3">
      <c r="A205">
        <v>2798</v>
      </c>
      <c r="B205">
        <v>1977</v>
      </c>
      <c r="C205" t="s">
        <v>32</v>
      </c>
      <c r="D205" t="s">
        <v>31</v>
      </c>
      <c r="E205">
        <v>102160</v>
      </c>
      <c r="F205">
        <v>0</v>
      </c>
      <c r="G205">
        <v>0</v>
      </c>
      <c r="H205" s="1">
        <v>41215</v>
      </c>
      <c r="I205">
        <v>54</v>
      </c>
      <c r="J205">
        <v>763</v>
      </c>
      <c r="K205">
        <v>29</v>
      </c>
      <c r="L205">
        <v>138</v>
      </c>
      <c r="M205">
        <v>76</v>
      </c>
      <c r="N205">
        <v>176</v>
      </c>
      <c r="O205">
        <v>58</v>
      </c>
      <c r="P205">
        <v>0</v>
      </c>
      <c r="Q205">
        <v>7</v>
      </c>
      <c r="R205">
        <v>9</v>
      </c>
      <c r="S205">
        <v>10</v>
      </c>
      <c r="T205">
        <v>4</v>
      </c>
      <c r="U205">
        <v>0</v>
      </c>
      <c r="V205">
        <v>1</v>
      </c>
      <c r="W205">
        <v>1</v>
      </c>
      <c r="X205">
        <v>1</v>
      </c>
      <c r="Y205">
        <v>0</v>
      </c>
      <c r="Z205">
        <v>0</v>
      </c>
      <c r="AA205">
        <v>3</v>
      </c>
      <c r="AB205">
        <v>11</v>
      </c>
      <c r="AC205">
        <v>1</v>
      </c>
      <c r="AD205" t="str">
        <f t="shared" si="39"/>
        <v>Ok</v>
      </c>
      <c r="AE205" t="str">
        <f>IF(AND(Audit_Data[[#This Row],[Year_Birth]]&gt;=1900,Audit_Data[[#This Row],[Year_Birth]]&lt;=2010),"OK","Invalid")</f>
        <v>OK</v>
      </c>
      <c r="AF205" t="str">
        <f t="shared" si="40"/>
        <v>Valid</v>
      </c>
      <c r="AG205" t="str">
        <f t="shared" si="41"/>
        <v>Valid</v>
      </c>
      <c r="AH205" t="str">
        <f t="shared" si="42"/>
        <v>Valid</v>
      </c>
      <c r="AI205" t="str">
        <f t="shared" si="43"/>
        <v>Valid</v>
      </c>
      <c r="AJ205" t="str">
        <f t="shared" si="44"/>
        <v>Valid</v>
      </c>
      <c r="AK205" t="str">
        <f t="shared" si="51"/>
        <v xml:space="preserve">Valid </v>
      </c>
      <c r="AL205" t="str">
        <f>IF(AND(Audit_Data[[#This Row],[Recency]]&gt;=0,Audit_Data[[#This Row],[Recency]]&lt;=100),"Valid","Invalid")</f>
        <v>Valid</v>
      </c>
      <c r="AM205" t="str">
        <f t="shared" si="45"/>
        <v>Valid</v>
      </c>
      <c r="AN205" t="str">
        <f t="shared" si="46"/>
        <v>Valid</v>
      </c>
      <c r="AO205" t="str">
        <f t="shared" si="47"/>
        <v>Valid</v>
      </c>
      <c r="AP205" t="str">
        <f t="shared" si="48"/>
        <v>Valid</v>
      </c>
      <c r="AQ205" t="str">
        <f>IF(Audit_Data[[#This Row],[Z_CostContact]]=3,"Valid","Invalid")</f>
        <v>Valid</v>
      </c>
      <c r="AR205" t="str">
        <f t="shared" si="49"/>
        <v>Valid</v>
      </c>
      <c r="AS205" t="str">
        <f t="shared" si="50"/>
        <v>Valid</v>
      </c>
    </row>
    <row r="206" spans="1:45" x14ac:dyDescent="0.3">
      <c r="A206">
        <v>1030</v>
      </c>
      <c r="B206">
        <v>1965</v>
      </c>
      <c r="C206" t="s">
        <v>32</v>
      </c>
      <c r="D206" t="s">
        <v>30</v>
      </c>
      <c r="E206">
        <v>40637</v>
      </c>
      <c r="F206">
        <v>1</v>
      </c>
      <c r="G206">
        <v>1</v>
      </c>
      <c r="H206" s="1">
        <v>41472</v>
      </c>
      <c r="I206">
        <v>72</v>
      </c>
      <c r="J206">
        <v>22</v>
      </c>
      <c r="K206">
        <v>0</v>
      </c>
      <c r="L206">
        <v>13</v>
      </c>
      <c r="M206">
        <v>0</v>
      </c>
      <c r="N206">
        <v>0</v>
      </c>
      <c r="O206">
        <v>3</v>
      </c>
      <c r="P206">
        <v>2</v>
      </c>
      <c r="Q206">
        <v>1</v>
      </c>
      <c r="R206">
        <v>0</v>
      </c>
      <c r="S206">
        <v>3</v>
      </c>
      <c r="T206">
        <v>7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3</v>
      </c>
      <c r="AB206">
        <v>11</v>
      </c>
      <c r="AC206">
        <v>0</v>
      </c>
      <c r="AD206" t="str">
        <f t="shared" si="39"/>
        <v>Ok</v>
      </c>
      <c r="AE206" t="str">
        <f>IF(AND(Audit_Data[[#This Row],[Year_Birth]]&gt;=1900,Audit_Data[[#This Row],[Year_Birth]]&lt;=2010),"OK","Invalid")</f>
        <v>OK</v>
      </c>
      <c r="AF206" t="str">
        <f t="shared" si="40"/>
        <v>Valid</v>
      </c>
      <c r="AG206" t="str">
        <f t="shared" si="41"/>
        <v>Valid</v>
      </c>
      <c r="AH206" t="str">
        <f t="shared" si="42"/>
        <v>Valid</v>
      </c>
      <c r="AI206" t="str">
        <f t="shared" si="43"/>
        <v>Valid</v>
      </c>
      <c r="AJ206" t="str">
        <f t="shared" si="44"/>
        <v>Valid</v>
      </c>
      <c r="AK206" t="str">
        <f t="shared" si="51"/>
        <v xml:space="preserve">Valid </v>
      </c>
      <c r="AL206" t="str">
        <f>IF(AND(Audit_Data[[#This Row],[Recency]]&gt;=0,Audit_Data[[#This Row],[Recency]]&lt;=100),"Valid","Invalid")</f>
        <v>Valid</v>
      </c>
      <c r="AM206" t="str">
        <f t="shared" si="45"/>
        <v>Valid</v>
      </c>
      <c r="AN206" t="str">
        <f t="shared" si="46"/>
        <v>Valid</v>
      </c>
      <c r="AO206" t="str">
        <f t="shared" si="47"/>
        <v>Valid</v>
      </c>
      <c r="AP206" t="str">
        <f t="shared" si="48"/>
        <v>Valid</v>
      </c>
      <c r="AQ206" t="str">
        <f>IF(Audit_Data[[#This Row],[Z_CostContact]]=3,"Valid","Invalid")</f>
        <v>Valid</v>
      </c>
      <c r="AR206" t="str">
        <f t="shared" si="49"/>
        <v>Valid</v>
      </c>
      <c r="AS206" t="str">
        <f t="shared" si="50"/>
        <v>Valid</v>
      </c>
    </row>
    <row r="207" spans="1:45" x14ac:dyDescent="0.3">
      <c r="A207">
        <v>624</v>
      </c>
      <c r="B207">
        <v>1984</v>
      </c>
      <c r="C207" t="s">
        <v>34</v>
      </c>
      <c r="D207" t="s">
        <v>30</v>
      </c>
      <c r="E207">
        <v>18890</v>
      </c>
      <c r="F207">
        <v>0</v>
      </c>
      <c r="G207">
        <v>0</v>
      </c>
      <c r="H207" s="1">
        <v>41223</v>
      </c>
      <c r="I207">
        <v>5</v>
      </c>
      <c r="J207">
        <v>6</v>
      </c>
      <c r="K207">
        <v>4</v>
      </c>
      <c r="L207">
        <v>1</v>
      </c>
      <c r="M207">
        <v>7</v>
      </c>
      <c r="N207">
        <v>2</v>
      </c>
      <c r="O207">
        <v>15</v>
      </c>
      <c r="P207">
        <v>1</v>
      </c>
      <c r="Q207">
        <v>0</v>
      </c>
      <c r="R207">
        <v>1</v>
      </c>
      <c r="S207">
        <v>2</v>
      </c>
      <c r="T207">
        <v>6</v>
      </c>
      <c r="U207">
        <v>1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3</v>
      </c>
      <c r="AB207">
        <v>11</v>
      </c>
      <c r="AC207">
        <v>1</v>
      </c>
      <c r="AD207" t="str">
        <f t="shared" si="39"/>
        <v>Ok</v>
      </c>
      <c r="AE207" t="str">
        <f>IF(AND(Audit_Data[[#This Row],[Year_Birth]]&gt;=1900,Audit_Data[[#This Row],[Year_Birth]]&lt;=2010),"OK","Invalid")</f>
        <v>OK</v>
      </c>
      <c r="AF207" t="str">
        <f t="shared" si="40"/>
        <v>Valid</v>
      </c>
      <c r="AG207" t="str">
        <f t="shared" si="41"/>
        <v>Valid</v>
      </c>
      <c r="AH207" t="str">
        <f t="shared" si="42"/>
        <v>Valid</v>
      </c>
      <c r="AI207" t="str">
        <f t="shared" si="43"/>
        <v>Valid</v>
      </c>
      <c r="AJ207" t="str">
        <f t="shared" si="44"/>
        <v>Valid</v>
      </c>
      <c r="AK207" t="str">
        <f t="shared" si="51"/>
        <v xml:space="preserve">Valid </v>
      </c>
      <c r="AL207" t="str">
        <f>IF(AND(Audit_Data[[#This Row],[Recency]]&gt;=0,Audit_Data[[#This Row],[Recency]]&lt;=100),"Valid","Invalid")</f>
        <v>Valid</v>
      </c>
      <c r="AM207" t="str">
        <f t="shared" si="45"/>
        <v>Valid</v>
      </c>
      <c r="AN207" t="str">
        <f t="shared" si="46"/>
        <v>Valid</v>
      </c>
      <c r="AO207" t="str">
        <f t="shared" si="47"/>
        <v>Valid</v>
      </c>
      <c r="AP207" t="str">
        <f t="shared" si="48"/>
        <v>Valid</v>
      </c>
      <c r="AQ207" t="str">
        <f>IF(Audit_Data[[#This Row],[Z_CostContact]]=3,"Valid","Invalid")</f>
        <v>Valid</v>
      </c>
      <c r="AR207" t="str">
        <f t="shared" si="49"/>
        <v>Valid</v>
      </c>
      <c r="AS207" t="str">
        <f t="shared" si="50"/>
        <v>Valid</v>
      </c>
    </row>
    <row r="208" spans="1:45" x14ac:dyDescent="0.3">
      <c r="A208">
        <v>5176</v>
      </c>
      <c r="B208">
        <v>1988</v>
      </c>
      <c r="C208" t="s">
        <v>29</v>
      </c>
      <c r="D208" t="s">
        <v>31</v>
      </c>
      <c r="E208">
        <v>29604</v>
      </c>
      <c r="F208">
        <v>1</v>
      </c>
      <c r="G208">
        <v>0</v>
      </c>
      <c r="H208" s="1">
        <v>41616</v>
      </c>
      <c r="I208">
        <v>88</v>
      </c>
      <c r="J208">
        <v>7</v>
      </c>
      <c r="K208">
        <v>6</v>
      </c>
      <c r="L208">
        <v>13</v>
      </c>
      <c r="M208">
        <v>7</v>
      </c>
      <c r="N208">
        <v>6</v>
      </c>
      <c r="O208">
        <v>14</v>
      </c>
      <c r="P208">
        <v>1</v>
      </c>
      <c r="Q208">
        <v>1</v>
      </c>
      <c r="R208">
        <v>0</v>
      </c>
      <c r="S208">
        <v>3</v>
      </c>
      <c r="T208">
        <v>9</v>
      </c>
      <c r="U208">
        <v>1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3</v>
      </c>
      <c r="AB208">
        <v>11</v>
      </c>
      <c r="AC208">
        <v>0</v>
      </c>
      <c r="AD208" t="str">
        <f t="shared" si="39"/>
        <v>Ok</v>
      </c>
      <c r="AE208" t="str">
        <f>IF(AND(Audit_Data[[#This Row],[Year_Birth]]&gt;=1900,Audit_Data[[#This Row],[Year_Birth]]&lt;=2010),"OK","Invalid")</f>
        <v>OK</v>
      </c>
      <c r="AF208" t="str">
        <f t="shared" si="40"/>
        <v>Valid</v>
      </c>
      <c r="AG208" t="str">
        <f t="shared" si="41"/>
        <v>Valid</v>
      </c>
      <c r="AH208" t="str">
        <f t="shared" si="42"/>
        <v>Valid</v>
      </c>
      <c r="AI208" t="str">
        <f t="shared" si="43"/>
        <v>Valid</v>
      </c>
      <c r="AJ208" t="str">
        <f t="shared" si="44"/>
        <v>Valid</v>
      </c>
      <c r="AK208" t="str">
        <f t="shared" si="51"/>
        <v xml:space="preserve">Valid </v>
      </c>
      <c r="AL208" t="str">
        <f>IF(AND(Audit_Data[[#This Row],[Recency]]&gt;=0,Audit_Data[[#This Row],[Recency]]&lt;=100),"Valid","Invalid")</f>
        <v>Valid</v>
      </c>
      <c r="AM208" t="str">
        <f t="shared" si="45"/>
        <v>Valid</v>
      </c>
      <c r="AN208" t="str">
        <f t="shared" si="46"/>
        <v>Valid</v>
      </c>
      <c r="AO208" t="str">
        <f t="shared" si="47"/>
        <v>Valid</v>
      </c>
      <c r="AP208" t="str">
        <f t="shared" si="48"/>
        <v>Valid</v>
      </c>
      <c r="AQ208" t="str">
        <f>IF(Audit_Data[[#This Row],[Z_CostContact]]=3,"Valid","Invalid")</f>
        <v>Valid</v>
      </c>
      <c r="AR208" t="str">
        <f t="shared" si="49"/>
        <v>Valid</v>
      </c>
      <c r="AS208" t="str">
        <f t="shared" si="50"/>
        <v>Valid</v>
      </c>
    </row>
    <row r="209" spans="1:45" x14ac:dyDescent="0.3">
      <c r="A209">
        <v>5552</v>
      </c>
      <c r="B209">
        <v>1963</v>
      </c>
      <c r="C209" t="s">
        <v>34</v>
      </c>
      <c r="D209" t="s">
        <v>35</v>
      </c>
      <c r="E209">
        <v>48721</v>
      </c>
      <c r="F209">
        <v>1</v>
      </c>
      <c r="G209">
        <v>1</v>
      </c>
      <c r="H209" s="1">
        <v>41407</v>
      </c>
      <c r="I209">
        <v>50</v>
      </c>
      <c r="J209">
        <v>81</v>
      </c>
      <c r="K209">
        <v>18</v>
      </c>
      <c r="L209">
        <v>113</v>
      </c>
      <c r="M209">
        <v>47</v>
      </c>
      <c r="N209">
        <v>13</v>
      </c>
      <c r="O209">
        <v>21</v>
      </c>
      <c r="P209">
        <v>6</v>
      </c>
      <c r="Q209">
        <v>4</v>
      </c>
      <c r="R209">
        <v>2</v>
      </c>
      <c r="S209">
        <v>5</v>
      </c>
      <c r="T209">
        <v>6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3</v>
      </c>
      <c r="AB209">
        <v>11</v>
      </c>
      <c r="AC209">
        <v>0</v>
      </c>
      <c r="AD209" t="str">
        <f t="shared" si="39"/>
        <v>Ok</v>
      </c>
      <c r="AE209" t="str">
        <f>IF(AND(Audit_Data[[#This Row],[Year_Birth]]&gt;=1900,Audit_Data[[#This Row],[Year_Birth]]&lt;=2010),"OK","Invalid")</f>
        <v>OK</v>
      </c>
      <c r="AF209" t="str">
        <f t="shared" si="40"/>
        <v>Valid</v>
      </c>
      <c r="AG209" t="str">
        <f t="shared" si="41"/>
        <v>Valid</v>
      </c>
      <c r="AH209" t="str">
        <f t="shared" si="42"/>
        <v>Valid</v>
      </c>
      <c r="AI209" t="str">
        <f t="shared" si="43"/>
        <v>Valid</v>
      </c>
      <c r="AJ209" t="str">
        <f t="shared" si="44"/>
        <v>Valid</v>
      </c>
      <c r="AK209" t="str">
        <f t="shared" si="51"/>
        <v xml:space="preserve">Valid </v>
      </c>
      <c r="AL209" t="str">
        <f>IF(AND(Audit_Data[[#This Row],[Recency]]&gt;=0,Audit_Data[[#This Row],[Recency]]&lt;=100),"Valid","Invalid")</f>
        <v>Valid</v>
      </c>
      <c r="AM209" t="str">
        <f t="shared" si="45"/>
        <v>Valid</v>
      </c>
      <c r="AN209" t="str">
        <f t="shared" si="46"/>
        <v>Valid</v>
      </c>
      <c r="AO209" t="str">
        <f t="shared" si="47"/>
        <v>Valid</v>
      </c>
      <c r="AP209" t="str">
        <f t="shared" si="48"/>
        <v>Valid</v>
      </c>
      <c r="AQ209" t="str">
        <f>IF(Audit_Data[[#This Row],[Z_CostContact]]=3,"Valid","Invalid")</f>
        <v>Valid</v>
      </c>
      <c r="AR209" t="str">
        <f t="shared" si="49"/>
        <v>Valid</v>
      </c>
      <c r="AS209" t="str">
        <f t="shared" si="50"/>
        <v>Valid</v>
      </c>
    </row>
    <row r="210" spans="1:45" x14ac:dyDescent="0.3">
      <c r="A210">
        <v>868</v>
      </c>
      <c r="B210">
        <v>1966</v>
      </c>
      <c r="C210" t="s">
        <v>29</v>
      </c>
      <c r="D210" t="s">
        <v>33</v>
      </c>
      <c r="E210">
        <v>44794</v>
      </c>
      <c r="F210">
        <v>0</v>
      </c>
      <c r="G210">
        <v>1</v>
      </c>
      <c r="H210" s="1">
        <v>41798</v>
      </c>
      <c r="I210">
        <v>99</v>
      </c>
      <c r="J210">
        <v>54</v>
      </c>
      <c r="K210">
        <v>0</v>
      </c>
      <c r="L210">
        <v>7</v>
      </c>
      <c r="M210">
        <v>0</v>
      </c>
      <c r="N210">
        <v>0</v>
      </c>
      <c r="O210">
        <v>4</v>
      </c>
      <c r="P210">
        <v>1</v>
      </c>
      <c r="Q210">
        <v>2</v>
      </c>
      <c r="R210">
        <v>0</v>
      </c>
      <c r="S210">
        <v>3</v>
      </c>
      <c r="T210">
        <v>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3</v>
      </c>
      <c r="AB210">
        <v>11</v>
      </c>
      <c r="AC210">
        <v>0</v>
      </c>
      <c r="AD210" t="str">
        <f t="shared" si="39"/>
        <v>Ok</v>
      </c>
      <c r="AE210" t="str">
        <f>IF(AND(Audit_Data[[#This Row],[Year_Birth]]&gt;=1900,Audit_Data[[#This Row],[Year_Birth]]&lt;=2010),"OK","Invalid")</f>
        <v>OK</v>
      </c>
      <c r="AF210" t="str">
        <f t="shared" si="40"/>
        <v>Valid</v>
      </c>
      <c r="AG210" t="str">
        <f t="shared" si="41"/>
        <v>Valid</v>
      </c>
      <c r="AH210" t="str">
        <f t="shared" si="42"/>
        <v>Valid</v>
      </c>
      <c r="AI210" t="str">
        <f t="shared" si="43"/>
        <v>Valid</v>
      </c>
      <c r="AJ210" t="str">
        <f t="shared" si="44"/>
        <v>Valid</v>
      </c>
      <c r="AK210" t="str">
        <f t="shared" si="51"/>
        <v xml:space="preserve">Valid </v>
      </c>
      <c r="AL210" t="str">
        <f>IF(AND(Audit_Data[[#This Row],[Recency]]&gt;=0,Audit_Data[[#This Row],[Recency]]&lt;=100),"Valid","Invalid")</f>
        <v>Valid</v>
      </c>
      <c r="AM210" t="str">
        <f t="shared" si="45"/>
        <v>Valid</v>
      </c>
      <c r="AN210" t="str">
        <f t="shared" si="46"/>
        <v>Valid</v>
      </c>
      <c r="AO210" t="str">
        <f t="shared" si="47"/>
        <v>Valid</v>
      </c>
      <c r="AP210" t="str">
        <f t="shared" si="48"/>
        <v>Valid</v>
      </c>
      <c r="AQ210" t="str">
        <f>IF(Audit_Data[[#This Row],[Z_CostContact]]=3,"Valid","Invalid")</f>
        <v>Valid</v>
      </c>
      <c r="AR210" t="str">
        <f t="shared" si="49"/>
        <v>Valid</v>
      </c>
      <c r="AS210" t="str">
        <f t="shared" si="50"/>
        <v>Valid</v>
      </c>
    </row>
    <row r="211" spans="1:45" x14ac:dyDescent="0.3">
      <c r="A211">
        <v>380</v>
      </c>
      <c r="B211">
        <v>1954</v>
      </c>
      <c r="C211" t="s">
        <v>29</v>
      </c>
      <c r="D211" t="s">
        <v>35</v>
      </c>
      <c r="E211">
        <v>64497</v>
      </c>
      <c r="F211">
        <v>0</v>
      </c>
      <c r="G211">
        <v>1</v>
      </c>
      <c r="H211" s="1">
        <v>41162</v>
      </c>
      <c r="I211">
        <v>17</v>
      </c>
      <c r="J211">
        <v>1170</v>
      </c>
      <c r="K211">
        <v>48</v>
      </c>
      <c r="L211">
        <v>320</v>
      </c>
      <c r="M211">
        <v>42</v>
      </c>
      <c r="N211">
        <v>32</v>
      </c>
      <c r="O211">
        <v>192</v>
      </c>
      <c r="P211">
        <v>5</v>
      </c>
      <c r="Q211">
        <v>11</v>
      </c>
      <c r="R211">
        <v>4</v>
      </c>
      <c r="S211">
        <v>9</v>
      </c>
      <c r="T211">
        <v>8</v>
      </c>
      <c r="U211">
        <v>1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3</v>
      </c>
      <c r="AB211">
        <v>11</v>
      </c>
      <c r="AC211">
        <v>1</v>
      </c>
      <c r="AD211" t="str">
        <f t="shared" si="39"/>
        <v>Ok</v>
      </c>
      <c r="AE211" t="str">
        <f>IF(AND(Audit_Data[[#This Row],[Year_Birth]]&gt;=1900,Audit_Data[[#This Row],[Year_Birth]]&lt;=2010),"OK","Invalid")</f>
        <v>OK</v>
      </c>
      <c r="AF211" t="str">
        <f t="shared" si="40"/>
        <v>Valid</v>
      </c>
      <c r="AG211" t="str">
        <f t="shared" si="41"/>
        <v>Valid</v>
      </c>
      <c r="AH211" t="str">
        <f t="shared" si="42"/>
        <v>Valid</v>
      </c>
      <c r="AI211" t="str">
        <f t="shared" si="43"/>
        <v>Valid</v>
      </c>
      <c r="AJ211" t="str">
        <f t="shared" si="44"/>
        <v>Valid</v>
      </c>
      <c r="AK211" t="str">
        <f t="shared" si="51"/>
        <v xml:space="preserve">Valid </v>
      </c>
      <c r="AL211" t="str">
        <f>IF(AND(Audit_Data[[#This Row],[Recency]]&gt;=0,Audit_Data[[#This Row],[Recency]]&lt;=100),"Valid","Invalid")</f>
        <v>Valid</v>
      </c>
      <c r="AM211" t="str">
        <f t="shared" si="45"/>
        <v>Valid</v>
      </c>
      <c r="AN211" t="str">
        <f t="shared" si="46"/>
        <v>Valid</v>
      </c>
      <c r="AO211" t="str">
        <f t="shared" si="47"/>
        <v>Valid</v>
      </c>
      <c r="AP211" t="str">
        <f t="shared" si="48"/>
        <v>Valid</v>
      </c>
      <c r="AQ211" t="str">
        <f>IF(Audit_Data[[#This Row],[Z_CostContact]]=3,"Valid","Invalid")</f>
        <v>Valid</v>
      </c>
      <c r="AR211" t="str">
        <f t="shared" si="49"/>
        <v>Valid</v>
      </c>
      <c r="AS211" t="str">
        <f t="shared" si="50"/>
        <v>Valid</v>
      </c>
    </row>
    <row r="212" spans="1:45" x14ac:dyDescent="0.3">
      <c r="A212">
        <v>2677</v>
      </c>
      <c r="B212">
        <v>1956</v>
      </c>
      <c r="C212" t="s">
        <v>29</v>
      </c>
      <c r="D212" t="s">
        <v>31</v>
      </c>
      <c r="E212">
        <v>46097</v>
      </c>
      <c r="F212">
        <v>0</v>
      </c>
      <c r="G212">
        <v>1</v>
      </c>
      <c r="H212" s="1">
        <v>41364</v>
      </c>
      <c r="I212">
        <v>11</v>
      </c>
      <c r="J212">
        <v>72</v>
      </c>
      <c r="K212">
        <v>24</v>
      </c>
      <c r="L212">
        <v>68</v>
      </c>
      <c r="M212">
        <v>65</v>
      </c>
      <c r="N212">
        <v>4</v>
      </c>
      <c r="O212">
        <v>8</v>
      </c>
      <c r="P212">
        <v>5</v>
      </c>
      <c r="Q212">
        <v>3</v>
      </c>
      <c r="R212">
        <v>1</v>
      </c>
      <c r="S212">
        <v>6</v>
      </c>
      <c r="T212">
        <v>4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3</v>
      </c>
      <c r="AB212">
        <v>11</v>
      </c>
      <c r="AC212">
        <v>0</v>
      </c>
      <c r="AD212" t="str">
        <f t="shared" si="39"/>
        <v>Ok</v>
      </c>
      <c r="AE212" t="str">
        <f>IF(AND(Audit_Data[[#This Row],[Year_Birth]]&gt;=1900,Audit_Data[[#This Row],[Year_Birth]]&lt;=2010),"OK","Invalid")</f>
        <v>OK</v>
      </c>
      <c r="AF212" t="str">
        <f t="shared" si="40"/>
        <v>Valid</v>
      </c>
      <c r="AG212" t="str">
        <f t="shared" si="41"/>
        <v>Valid</v>
      </c>
      <c r="AH212" t="str">
        <f t="shared" si="42"/>
        <v>Valid</v>
      </c>
      <c r="AI212" t="str">
        <f t="shared" si="43"/>
        <v>Valid</v>
      </c>
      <c r="AJ212" t="str">
        <f t="shared" si="44"/>
        <v>Valid</v>
      </c>
      <c r="AK212" t="str">
        <f t="shared" si="51"/>
        <v xml:space="preserve">Valid </v>
      </c>
      <c r="AL212" t="str">
        <f>IF(AND(Audit_Data[[#This Row],[Recency]]&gt;=0,Audit_Data[[#This Row],[Recency]]&lt;=100),"Valid","Invalid")</f>
        <v>Valid</v>
      </c>
      <c r="AM212" t="str">
        <f t="shared" si="45"/>
        <v>Valid</v>
      </c>
      <c r="AN212" t="str">
        <f t="shared" si="46"/>
        <v>Valid</v>
      </c>
      <c r="AO212" t="str">
        <f t="shared" si="47"/>
        <v>Valid</v>
      </c>
      <c r="AP212" t="str">
        <f t="shared" si="48"/>
        <v>Valid</v>
      </c>
      <c r="AQ212" t="str">
        <f>IF(Audit_Data[[#This Row],[Z_CostContact]]=3,"Valid","Invalid")</f>
        <v>Valid</v>
      </c>
      <c r="AR212" t="str">
        <f t="shared" si="49"/>
        <v>Valid</v>
      </c>
      <c r="AS212" t="str">
        <f t="shared" si="50"/>
        <v>Valid</v>
      </c>
    </row>
    <row r="213" spans="1:45" x14ac:dyDescent="0.3">
      <c r="A213">
        <v>6521</v>
      </c>
      <c r="B213">
        <v>1954</v>
      </c>
      <c r="C213" t="s">
        <v>29</v>
      </c>
      <c r="D213" t="s">
        <v>31</v>
      </c>
      <c r="E213">
        <v>77972</v>
      </c>
      <c r="F213">
        <v>0</v>
      </c>
      <c r="G213">
        <v>0</v>
      </c>
      <c r="H213" s="1">
        <v>41716</v>
      </c>
      <c r="I213">
        <v>18</v>
      </c>
      <c r="J213">
        <v>613</v>
      </c>
      <c r="K213">
        <v>22</v>
      </c>
      <c r="L213">
        <v>319</v>
      </c>
      <c r="M213">
        <v>33</v>
      </c>
      <c r="N213">
        <v>102</v>
      </c>
      <c r="O213">
        <v>12</v>
      </c>
      <c r="P213">
        <v>1</v>
      </c>
      <c r="Q213">
        <v>4</v>
      </c>
      <c r="R213">
        <v>6</v>
      </c>
      <c r="S213">
        <v>9</v>
      </c>
      <c r="T213">
        <v>1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3</v>
      </c>
      <c r="AB213">
        <v>11</v>
      </c>
      <c r="AC213">
        <v>0</v>
      </c>
      <c r="AD213" t="str">
        <f t="shared" si="39"/>
        <v>Ok</v>
      </c>
      <c r="AE213" t="str">
        <f>IF(AND(Audit_Data[[#This Row],[Year_Birth]]&gt;=1900,Audit_Data[[#This Row],[Year_Birth]]&lt;=2010),"OK","Invalid")</f>
        <v>OK</v>
      </c>
      <c r="AF213" t="str">
        <f t="shared" si="40"/>
        <v>Valid</v>
      </c>
      <c r="AG213" t="str">
        <f t="shared" si="41"/>
        <v>Valid</v>
      </c>
      <c r="AH213" t="str">
        <f t="shared" si="42"/>
        <v>Valid</v>
      </c>
      <c r="AI213" t="str">
        <f t="shared" si="43"/>
        <v>Valid</v>
      </c>
      <c r="AJ213" t="str">
        <f t="shared" si="44"/>
        <v>Valid</v>
      </c>
      <c r="AK213" t="str">
        <f t="shared" si="51"/>
        <v xml:space="preserve">Valid </v>
      </c>
      <c r="AL213" t="str">
        <f>IF(AND(Audit_Data[[#This Row],[Recency]]&gt;=0,Audit_Data[[#This Row],[Recency]]&lt;=100),"Valid","Invalid")</f>
        <v>Valid</v>
      </c>
      <c r="AM213" t="str">
        <f t="shared" si="45"/>
        <v>Valid</v>
      </c>
      <c r="AN213" t="str">
        <f t="shared" si="46"/>
        <v>Valid</v>
      </c>
      <c r="AO213" t="str">
        <f t="shared" si="47"/>
        <v>Valid</v>
      </c>
      <c r="AP213" t="str">
        <f t="shared" si="48"/>
        <v>Valid</v>
      </c>
      <c r="AQ213" t="str">
        <f>IF(Audit_Data[[#This Row],[Z_CostContact]]=3,"Valid","Invalid")</f>
        <v>Valid</v>
      </c>
      <c r="AR213" t="str">
        <f t="shared" si="49"/>
        <v>Valid</v>
      </c>
      <c r="AS213" t="str">
        <f t="shared" si="50"/>
        <v>Valid</v>
      </c>
    </row>
    <row r="214" spans="1:45" x14ac:dyDescent="0.3">
      <c r="A214">
        <v>6927</v>
      </c>
      <c r="B214">
        <v>1968</v>
      </c>
      <c r="C214" t="s">
        <v>32</v>
      </c>
      <c r="D214" t="s">
        <v>33</v>
      </c>
      <c r="E214">
        <v>44377</v>
      </c>
      <c r="F214">
        <v>1</v>
      </c>
      <c r="G214">
        <v>1</v>
      </c>
      <c r="H214" s="1">
        <v>41187</v>
      </c>
      <c r="I214">
        <v>70</v>
      </c>
      <c r="J214">
        <v>224</v>
      </c>
      <c r="K214">
        <v>0</v>
      </c>
      <c r="L214">
        <v>30</v>
      </c>
      <c r="M214">
        <v>0</v>
      </c>
      <c r="N214">
        <v>0</v>
      </c>
      <c r="O214">
        <v>10</v>
      </c>
      <c r="P214">
        <v>8</v>
      </c>
      <c r="Q214">
        <v>5</v>
      </c>
      <c r="R214">
        <v>1</v>
      </c>
      <c r="S214">
        <v>5</v>
      </c>
      <c r="T214">
        <v>8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3</v>
      </c>
      <c r="AB214">
        <v>11</v>
      </c>
      <c r="AC214">
        <v>0</v>
      </c>
      <c r="AD214" t="str">
        <f t="shared" si="39"/>
        <v>Ok</v>
      </c>
      <c r="AE214" t="str">
        <f>IF(AND(Audit_Data[[#This Row],[Year_Birth]]&gt;=1900,Audit_Data[[#This Row],[Year_Birth]]&lt;=2010),"OK","Invalid")</f>
        <v>OK</v>
      </c>
      <c r="AF214" t="str">
        <f t="shared" si="40"/>
        <v>Valid</v>
      </c>
      <c r="AG214" t="str">
        <f t="shared" si="41"/>
        <v>Valid</v>
      </c>
      <c r="AH214" t="str">
        <f t="shared" si="42"/>
        <v>Valid</v>
      </c>
      <c r="AI214" t="str">
        <f t="shared" si="43"/>
        <v>Valid</v>
      </c>
      <c r="AJ214" t="str">
        <f t="shared" si="44"/>
        <v>Valid</v>
      </c>
      <c r="AK214" t="str">
        <f t="shared" si="51"/>
        <v xml:space="preserve">Valid </v>
      </c>
      <c r="AL214" t="str">
        <f>IF(AND(Audit_Data[[#This Row],[Recency]]&gt;=0,Audit_Data[[#This Row],[Recency]]&lt;=100),"Valid","Invalid")</f>
        <v>Valid</v>
      </c>
      <c r="AM214" t="str">
        <f t="shared" si="45"/>
        <v>Valid</v>
      </c>
      <c r="AN214" t="str">
        <f t="shared" si="46"/>
        <v>Valid</v>
      </c>
      <c r="AO214" t="str">
        <f t="shared" si="47"/>
        <v>Valid</v>
      </c>
      <c r="AP214" t="str">
        <f t="shared" si="48"/>
        <v>Valid</v>
      </c>
      <c r="AQ214" t="str">
        <f>IF(Audit_Data[[#This Row],[Z_CostContact]]=3,"Valid","Invalid")</f>
        <v>Valid</v>
      </c>
      <c r="AR214" t="str">
        <f t="shared" si="49"/>
        <v>Valid</v>
      </c>
      <c r="AS214" t="str">
        <f t="shared" si="50"/>
        <v>Valid</v>
      </c>
    </row>
    <row r="215" spans="1:45" x14ac:dyDescent="0.3">
      <c r="A215">
        <v>2877</v>
      </c>
      <c r="B215">
        <v>1974</v>
      </c>
      <c r="C215" t="s">
        <v>34</v>
      </c>
      <c r="D215" t="s">
        <v>31</v>
      </c>
      <c r="E215">
        <v>46014</v>
      </c>
      <c r="F215">
        <v>1</v>
      </c>
      <c r="G215">
        <v>1</v>
      </c>
      <c r="H215" s="1">
        <v>41295</v>
      </c>
      <c r="I215">
        <v>21</v>
      </c>
      <c r="J215">
        <v>410</v>
      </c>
      <c r="K215">
        <v>0</v>
      </c>
      <c r="L215">
        <v>59</v>
      </c>
      <c r="M215">
        <v>19</v>
      </c>
      <c r="N215">
        <v>9</v>
      </c>
      <c r="O215">
        <v>44</v>
      </c>
      <c r="P215">
        <v>10</v>
      </c>
      <c r="Q215">
        <v>7</v>
      </c>
      <c r="R215">
        <v>1</v>
      </c>
      <c r="S215">
        <v>8</v>
      </c>
      <c r="T215">
        <v>7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11</v>
      </c>
      <c r="AC215">
        <v>0</v>
      </c>
      <c r="AD215" t="str">
        <f t="shared" si="39"/>
        <v>Ok</v>
      </c>
      <c r="AE215" t="str">
        <f>IF(AND(Audit_Data[[#This Row],[Year_Birth]]&gt;=1900,Audit_Data[[#This Row],[Year_Birth]]&lt;=2010),"OK","Invalid")</f>
        <v>OK</v>
      </c>
      <c r="AF215" t="str">
        <f t="shared" si="40"/>
        <v>Valid</v>
      </c>
      <c r="AG215" t="str">
        <f t="shared" si="41"/>
        <v>Valid</v>
      </c>
      <c r="AH215" t="str">
        <f t="shared" si="42"/>
        <v>Valid</v>
      </c>
      <c r="AI215" t="str">
        <f t="shared" si="43"/>
        <v>Valid</v>
      </c>
      <c r="AJ215" t="str">
        <f t="shared" si="44"/>
        <v>Valid</v>
      </c>
      <c r="AK215" t="str">
        <f t="shared" si="51"/>
        <v xml:space="preserve">Valid </v>
      </c>
      <c r="AL215" t="str">
        <f>IF(AND(Audit_Data[[#This Row],[Recency]]&gt;=0,Audit_Data[[#This Row],[Recency]]&lt;=100),"Valid","Invalid")</f>
        <v>Valid</v>
      </c>
      <c r="AM215" t="str">
        <f t="shared" si="45"/>
        <v>Valid</v>
      </c>
      <c r="AN215" t="str">
        <f t="shared" si="46"/>
        <v>Valid</v>
      </c>
      <c r="AO215" t="str">
        <f t="shared" si="47"/>
        <v>Valid</v>
      </c>
      <c r="AP215" t="str">
        <f t="shared" si="48"/>
        <v>Valid</v>
      </c>
      <c r="AQ215" t="str">
        <f>IF(Audit_Data[[#This Row],[Z_CostContact]]=3,"Valid","Invalid")</f>
        <v>Valid</v>
      </c>
      <c r="AR215" t="str">
        <f t="shared" si="49"/>
        <v>Valid</v>
      </c>
      <c r="AS215" t="str">
        <f t="shared" si="50"/>
        <v>Valid</v>
      </c>
    </row>
    <row r="216" spans="1:45" x14ac:dyDescent="0.3">
      <c r="A216">
        <v>0</v>
      </c>
      <c r="B216">
        <v>1985</v>
      </c>
      <c r="C216" t="s">
        <v>29</v>
      </c>
      <c r="D216" t="s">
        <v>33</v>
      </c>
      <c r="E216">
        <v>70951</v>
      </c>
      <c r="F216">
        <v>0</v>
      </c>
      <c r="G216">
        <v>0</v>
      </c>
      <c r="H216" s="1">
        <v>41398</v>
      </c>
      <c r="I216">
        <v>66</v>
      </c>
      <c r="J216">
        <v>239</v>
      </c>
      <c r="K216">
        <v>10</v>
      </c>
      <c r="L216">
        <v>554</v>
      </c>
      <c r="M216">
        <v>254</v>
      </c>
      <c r="N216">
        <v>87</v>
      </c>
      <c r="O216">
        <v>54</v>
      </c>
      <c r="P216">
        <v>1</v>
      </c>
      <c r="Q216">
        <v>3</v>
      </c>
      <c r="R216">
        <v>4</v>
      </c>
      <c r="S216">
        <v>9</v>
      </c>
      <c r="T216">
        <v>1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3</v>
      </c>
      <c r="AB216">
        <v>11</v>
      </c>
      <c r="AC216">
        <v>0</v>
      </c>
      <c r="AD216" t="str">
        <f t="shared" si="39"/>
        <v>Ok</v>
      </c>
      <c r="AE216" t="str">
        <f>IF(AND(Audit_Data[[#This Row],[Year_Birth]]&gt;=1900,Audit_Data[[#This Row],[Year_Birth]]&lt;=2010),"OK","Invalid")</f>
        <v>OK</v>
      </c>
      <c r="AF216" t="str">
        <f t="shared" si="40"/>
        <v>Valid</v>
      </c>
      <c r="AG216" t="str">
        <f t="shared" si="41"/>
        <v>Valid</v>
      </c>
      <c r="AH216" t="str">
        <f t="shared" si="42"/>
        <v>Valid</v>
      </c>
      <c r="AI216" t="str">
        <f t="shared" si="43"/>
        <v>Valid</v>
      </c>
      <c r="AJ216" t="str">
        <f t="shared" si="44"/>
        <v>Valid</v>
      </c>
      <c r="AK216" t="str">
        <f t="shared" si="51"/>
        <v xml:space="preserve">Valid </v>
      </c>
      <c r="AL216" t="str">
        <f>IF(AND(Audit_Data[[#This Row],[Recency]]&gt;=0,Audit_Data[[#This Row],[Recency]]&lt;=100),"Valid","Invalid")</f>
        <v>Valid</v>
      </c>
      <c r="AM216" t="str">
        <f t="shared" si="45"/>
        <v>Valid</v>
      </c>
      <c r="AN216" t="str">
        <f t="shared" si="46"/>
        <v>Valid</v>
      </c>
      <c r="AO216" t="str">
        <f t="shared" si="47"/>
        <v>Valid</v>
      </c>
      <c r="AP216" t="str">
        <f t="shared" si="48"/>
        <v>Valid</v>
      </c>
      <c r="AQ216" t="str">
        <f>IF(Audit_Data[[#This Row],[Z_CostContact]]=3,"Valid","Invalid")</f>
        <v>Valid</v>
      </c>
      <c r="AR216" t="str">
        <f t="shared" si="49"/>
        <v>Valid</v>
      </c>
      <c r="AS216" t="str">
        <f t="shared" si="50"/>
        <v>Valid</v>
      </c>
    </row>
    <row r="217" spans="1:45" x14ac:dyDescent="0.3">
      <c r="A217">
        <v>1584</v>
      </c>
      <c r="B217">
        <v>1977</v>
      </c>
      <c r="C217" t="s">
        <v>29</v>
      </c>
      <c r="D217" t="s">
        <v>33</v>
      </c>
      <c r="E217">
        <v>41443</v>
      </c>
      <c r="F217">
        <v>1</v>
      </c>
      <c r="G217">
        <v>0</v>
      </c>
      <c r="H217" s="1">
        <v>41730</v>
      </c>
      <c r="I217">
        <v>79</v>
      </c>
      <c r="J217">
        <v>171</v>
      </c>
      <c r="K217">
        <v>7</v>
      </c>
      <c r="L217">
        <v>171</v>
      </c>
      <c r="M217">
        <v>25</v>
      </c>
      <c r="N217">
        <v>19</v>
      </c>
      <c r="O217">
        <v>89</v>
      </c>
      <c r="P217">
        <v>6</v>
      </c>
      <c r="Q217">
        <v>8</v>
      </c>
      <c r="R217">
        <v>1</v>
      </c>
      <c r="S217">
        <v>5</v>
      </c>
      <c r="T217">
        <v>8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3</v>
      </c>
      <c r="AB217">
        <v>11</v>
      </c>
      <c r="AC217">
        <v>0</v>
      </c>
      <c r="AD217" t="str">
        <f t="shared" si="39"/>
        <v>Ok</v>
      </c>
      <c r="AE217" t="str">
        <f>IF(AND(Audit_Data[[#This Row],[Year_Birth]]&gt;=1900,Audit_Data[[#This Row],[Year_Birth]]&lt;=2010),"OK","Invalid")</f>
        <v>OK</v>
      </c>
      <c r="AF217" t="str">
        <f t="shared" si="40"/>
        <v>Valid</v>
      </c>
      <c r="AG217" t="str">
        <f t="shared" si="41"/>
        <v>Valid</v>
      </c>
      <c r="AH217" t="str">
        <f t="shared" si="42"/>
        <v>Valid</v>
      </c>
      <c r="AI217" t="str">
        <f t="shared" si="43"/>
        <v>Valid</v>
      </c>
      <c r="AJ217" t="str">
        <f t="shared" si="44"/>
        <v>Valid</v>
      </c>
      <c r="AK217" t="str">
        <f t="shared" si="51"/>
        <v xml:space="preserve">Valid </v>
      </c>
      <c r="AL217" t="str">
        <f>IF(AND(Audit_Data[[#This Row],[Recency]]&gt;=0,Audit_Data[[#This Row],[Recency]]&lt;=100),"Valid","Invalid")</f>
        <v>Valid</v>
      </c>
      <c r="AM217" t="str">
        <f t="shared" si="45"/>
        <v>Valid</v>
      </c>
      <c r="AN217" t="str">
        <f t="shared" si="46"/>
        <v>Valid</v>
      </c>
      <c r="AO217" t="str">
        <f t="shared" si="47"/>
        <v>Valid</v>
      </c>
      <c r="AP217" t="str">
        <f t="shared" si="48"/>
        <v>Valid</v>
      </c>
      <c r="AQ217" t="str">
        <f>IF(Audit_Data[[#This Row],[Z_CostContact]]=3,"Valid","Invalid")</f>
        <v>Valid</v>
      </c>
      <c r="AR217" t="str">
        <f t="shared" si="49"/>
        <v>Valid</v>
      </c>
      <c r="AS217" t="str">
        <f t="shared" si="50"/>
        <v>Valid</v>
      </c>
    </row>
    <row r="218" spans="1:45" x14ac:dyDescent="0.3">
      <c r="A218">
        <v>7264</v>
      </c>
      <c r="B218">
        <v>1978</v>
      </c>
      <c r="C218" t="s">
        <v>37</v>
      </c>
      <c r="D218" t="s">
        <v>30</v>
      </c>
      <c r="E218">
        <v>52195</v>
      </c>
      <c r="F218">
        <v>2</v>
      </c>
      <c r="G218">
        <v>1</v>
      </c>
      <c r="H218" s="1">
        <v>41771</v>
      </c>
      <c r="I218">
        <v>2</v>
      </c>
      <c r="J218">
        <v>12</v>
      </c>
      <c r="K218">
        <v>0</v>
      </c>
      <c r="L218">
        <v>4</v>
      </c>
      <c r="M218">
        <v>0</v>
      </c>
      <c r="N218">
        <v>0</v>
      </c>
      <c r="O218">
        <v>1</v>
      </c>
      <c r="P218">
        <v>1</v>
      </c>
      <c r="Q218">
        <v>1</v>
      </c>
      <c r="R218">
        <v>0</v>
      </c>
      <c r="S218">
        <v>2</v>
      </c>
      <c r="T218">
        <v>8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3</v>
      </c>
      <c r="AB218">
        <v>11</v>
      </c>
      <c r="AC218">
        <v>0</v>
      </c>
      <c r="AD218" t="str">
        <f t="shared" si="39"/>
        <v>Ok</v>
      </c>
      <c r="AE218" t="str">
        <f>IF(AND(Audit_Data[[#This Row],[Year_Birth]]&gt;=1900,Audit_Data[[#This Row],[Year_Birth]]&lt;=2010),"OK","Invalid")</f>
        <v>OK</v>
      </c>
      <c r="AF218" t="str">
        <f t="shared" si="40"/>
        <v>Valid</v>
      </c>
      <c r="AG218" t="str">
        <f t="shared" si="41"/>
        <v>Valid</v>
      </c>
      <c r="AH218" t="str">
        <f t="shared" si="42"/>
        <v>Valid</v>
      </c>
      <c r="AI218" t="str">
        <f t="shared" si="43"/>
        <v>Valid</v>
      </c>
      <c r="AJ218" t="str">
        <f t="shared" si="44"/>
        <v>Valid</v>
      </c>
      <c r="AK218" t="str">
        <f t="shared" si="51"/>
        <v xml:space="preserve">Valid </v>
      </c>
      <c r="AL218" t="str">
        <f>IF(AND(Audit_Data[[#This Row],[Recency]]&gt;=0,Audit_Data[[#This Row],[Recency]]&lt;=100),"Valid","Invalid")</f>
        <v>Valid</v>
      </c>
      <c r="AM218" t="str">
        <f t="shared" si="45"/>
        <v>Valid</v>
      </c>
      <c r="AN218" t="str">
        <f t="shared" si="46"/>
        <v>Valid</v>
      </c>
      <c r="AO218" t="str">
        <f t="shared" si="47"/>
        <v>Valid</v>
      </c>
      <c r="AP218" t="str">
        <f t="shared" si="48"/>
        <v>Valid</v>
      </c>
      <c r="AQ218" t="str">
        <f>IF(Audit_Data[[#This Row],[Z_CostContact]]=3,"Valid","Invalid")</f>
        <v>Valid</v>
      </c>
      <c r="AR218" t="str">
        <f t="shared" si="49"/>
        <v>Valid</v>
      </c>
      <c r="AS218" t="str">
        <f t="shared" si="50"/>
        <v>Valid</v>
      </c>
    </row>
    <row r="219" spans="1:45" x14ac:dyDescent="0.3">
      <c r="A219">
        <v>6274</v>
      </c>
      <c r="B219">
        <v>1948</v>
      </c>
      <c r="C219" t="s">
        <v>34</v>
      </c>
      <c r="D219" t="s">
        <v>33</v>
      </c>
      <c r="E219">
        <v>83790</v>
      </c>
      <c r="F219">
        <v>0</v>
      </c>
      <c r="G219">
        <v>0</v>
      </c>
      <c r="H219" s="1">
        <v>41593</v>
      </c>
      <c r="I219">
        <v>81</v>
      </c>
      <c r="J219">
        <v>1076</v>
      </c>
      <c r="K219">
        <v>16</v>
      </c>
      <c r="L219">
        <v>417</v>
      </c>
      <c r="M219">
        <v>42</v>
      </c>
      <c r="N219">
        <v>48</v>
      </c>
      <c r="O219">
        <v>16</v>
      </c>
      <c r="P219">
        <v>1</v>
      </c>
      <c r="Q219">
        <v>8</v>
      </c>
      <c r="R219">
        <v>10</v>
      </c>
      <c r="S219">
        <v>6</v>
      </c>
      <c r="T219">
        <v>3</v>
      </c>
      <c r="U219">
        <v>0</v>
      </c>
      <c r="V219">
        <v>1</v>
      </c>
      <c r="W219">
        <v>1</v>
      </c>
      <c r="X219">
        <v>0</v>
      </c>
      <c r="Y219">
        <v>0</v>
      </c>
      <c r="Z219">
        <v>0</v>
      </c>
      <c r="AA219">
        <v>3</v>
      </c>
      <c r="AB219">
        <v>11</v>
      </c>
      <c r="AC219">
        <v>0</v>
      </c>
      <c r="AD219" t="str">
        <f t="shared" si="39"/>
        <v>Ok</v>
      </c>
      <c r="AE219" t="str">
        <f>IF(AND(Audit_Data[[#This Row],[Year_Birth]]&gt;=1900,Audit_Data[[#This Row],[Year_Birth]]&lt;=2010),"OK","Invalid")</f>
        <v>OK</v>
      </c>
      <c r="AF219" t="str">
        <f t="shared" si="40"/>
        <v>Valid</v>
      </c>
      <c r="AG219" t="str">
        <f t="shared" si="41"/>
        <v>Valid</v>
      </c>
      <c r="AH219" t="str">
        <f t="shared" si="42"/>
        <v>Valid</v>
      </c>
      <c r="AI219" t="str">
        <f t="shared" si="43"/>
        <v>Valid</v>
      </c>
      <c r="AJ219" t="str">
        <f t="shared" si="44"/>
        <v>Valid</v>
      </c>
      <c r="AK219" t="str">
        <f t="shared" si="51"/>
        <v xml:space="preserve">Valid </v>
      </c>
      <c r="AL219" t="str">
        <f>IF(AND(Audit_Data[[#This Row],[Recency]]&gt;=0,Audit_Data[[#This Row],[Recency]]&lt;=100),"Valid","Invalid")</f>
        <v>Valid</v>
      </c>
      <c r="AM219" t="str">
        <f t="shared" si="45"/>
        <v>Valid</v>
      </c>
      <c r="AN219" t="str">
        <f t="shared" si="46"/>
        <v>Valid</v>
      </c>
      <c r="AO219" t="str">
        <f t="shared" si="47"/>
        <v>Valid</v>
      </c>
      <c r="AP219" t="str">
        <f t="shared" si="48"/>
        <v>Valid</v>
      </c>
      <c r="AQ219" t="str">
        <f>IF(Audit_Data[[#This Row],[Z_CostContact]]=3,"Valid","Invalid")</f>
        <v>Valid</v>
      </c>
      <c r="AR219" t="str">
        <f t="shared" si="49"/>
        <v>Valid</v>
      </c>
      <c r="AS219" t="str">
        <f t="shared" si="50"/>
        <v>Valid</v>
      </c>
    </row>
    <row r="220" spans="1:45" x14ac:dyDescent="0.3">
      <c r="A220">
        <v>1377</v>
      </c>
      <c r="B220">
        <v>1954</v>
      </c>
      <c r="C220" t="s">
        <v>34</v>
      </c>
      <c r="D220" t="s">
        <v>38</v>
      </c>
      <c r="E220">
        <v>44551</v>
      </c>
      <c r="F220">
        <v>0</v>
      </c>
      <c r="G220">
        <v>1</v>
      </c>
      <c r="H220" s="1">
        <v>41517</v>
      </c>
      <c r="I220">
        <v>24</v>
      </c>
      <c r="J220">
        <v>182</v>
      </c>
      <c r="K220">
        <v>4</v>
      </c>
      <c r="L220">
        <v>33</v>
      </c>
      <c r="M220">
        <v>0</v>
      </c>
      <c r="N220">
        <v>0</v>
      </c>
      <c r="O220">
        <v>66</v>
      </c>
      <c r="P220">
        <v>2</v>
      </c>
      <c r="Q220">
        <v>4</v>
      </c>
      <c r="R220">
        <v>1</v>
      </c>
      <c r="S220">
        <v>5</v>
      </c>
      <c r="T220">
        <v>7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3</v>
      </c>
      <c r="AB220">
        <v>11</v>
      </c>
      <c r="AC220">
        <v>0</v>
      </c>
      <c r="AD220" t="str">
        <f t="shared" si="39"/>
        <v>Ok</v>
      </c>
      <c r="AE220" t="str">
        <f>IF(AND(Audit_Data[[#This Row],[Year_Birth]]&gt;=1900,Audit_Data[[#This Row],[Year_Birth]]&lt;=2010),"OK","Invalid")</f>
        <v>OK</v>
      </c>
      <c r="AF220" t="str">
        <f t="shared" si="40"/>
        <v>Valid</v>
      </c>
      <c r="AG220" t="str">
        <f t="shared" si="41"/>
        <v>Valid</v>
      </c>
      <c r="AH220" t="str">
        <f t="shared" si="42"/>
        <v>Valid</v>
      </c>
      <c r="AI220" t="str">
        <f t="shared" si="43"/>
        <v>Valid</v>
      </c>
      <c r="AJ220" t="str">
        <f t="shared" si="44"/>
        <v>Valid</v>
      </c>
      <c r="AK220" t="str">
        <f t="shared" si="51"/>
        <v xml:space="preserve">Valid </v>
      </c>
      <c r="AL220" t="str">
        <f>IF(AND(Audit_Data[[#This Row],[Recency]]&gt;=0,Audit_Data[[#This Row],[Recency]]&lt;=100),"Valid","Invalid")</f>
        <v>Valid</v>
      </c>
      <c r="AM220" t="str">
        <f t="shared" si="45"/>
        <v>Valid</v>
      </c>
      <c r="AN220" t="str">
        <f t="shared" si="46"/>
        <v>Valid</v>
      </c>
      <c r="AO220" t="str">
        <f t="shared" si="47"/>
        <v>Valid</v>
      </c>
      <c r="AP220" t="str">
        <f t="shared" si="48"/>
        <v>Valid</v>
      </c>
      <c r="AQ220" t="str">
        <f>IF(Audit_Data[[#This Row],[Z_CostContact]]=3,"Valid","Invalid")</f>
        <v>Valid</v>
      </c>
      <c r="AR220" t="str">
        <f t="shared" si="49"/>
        <v>Valid</v>
      </c>
      <c r="AS220" t="str">
        <f t="shared" si="50"/>
        <v>Valid</v>
      </c>
    </row>
    <row r="221" spans="1:45" x14ac:dyDescent="0.3">
      <c r="A221">
        <v>454</v>
      </c>
      <c r="B221">
        <v>1980</v>
      </c>
      <c r="C221" t="s">
        <v>29</v>
      </c>
      <c r="D221" t="s">
        <v>31</v>
      </c>
      <c r="E221">
        <v>69508</v>
      </c>
      <c r="F221">
        <v>1</v>
      </c>
      <c r="G221">
        <v>0</v>
      </c>
      <c r="H221" s="1">
        <v>41227</v>
      </c>
      <c r="I221">
        <v>48</v>
      </c>
      <c r="J221">
        <v>824</v>
      </c>
      <c r="K221">
        <v>32</v>
      </c>
      <c r="L221">
        <v>162</v>
      </c>
      <c r="M221">
        <v>42</v>
      </c>
      <c r="N221">
        <v>32</v>
      </c>
      <c r="O221">
        <v>43</v>
      </c>
      <c r="P221">
        <v>2</v>
      </c>
      <c r="Q221">
        <v>11</v>
      </c>
      <c r="R221">
        <v>4</v>
      </c>
      <c r="S221">
        <v>11</v>
      </c>
      <c r="T221">
        <v>6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3</v>
      </c>
      <c r="AB221">
        <v>11</v>
      </c>
      <c r="AC221">
        <v>0</v>
      </c>
      <c r="AD221" t="str">
        <f t="shared" si="39"/>
        <v>Ok</v>
      </c>
      <c r="AE221" t="str">
        <f>IF(AND(Audit_Data[[#This Row],[Year_Birth]]&gt;=1900,Audit_Data[[#This Row],[Year_Birth]]&lt;=2010),"OK","Invalid")</f>
        <v>OK</v>
      </c>
      <c r="AF221" t="str">
        <f t="shared" si="40"/>
        <v>Valid</v>
      </c>
      <c r="AG221" t="str">
        <f t="shared" si="41"/>
        <v>Valid</v>
      </c>
      <c r="AH221" t="str">
        <f t="shared" si="42"/>
        <v>Valid</v>
      </c>
      <c r="AI221" t="str">
        <f t="shared" si="43"/>
        <v>Valid</v>
      </c>
      <c r="AJ221" t="str">
        <f t="shared" si="44"/>
        <v>Valid</v>
      </c>
      <c r="AK221" t="str">
        <f t="shared" si="51"/>
        <v xml:space="preserve">Valid </v>
      </c>
      <c r="AL221" t="str">
        <f>IF(AND(Audit_Data[[#This Row],[Recency]]&gt;=0,Audit_Data[[#This Row],[Recency]]&lt;=100),"Valid","Invalid")</f>
        <v>Valid</v>
      </c>
      <c r="AM221" t="str">
        <f t="shared" si="45"/>
        <v>Valid</v>
      </c>
      <c r="AN221" t="str">
        <f t="shared" si="46"/>
        <v>Valid</v>
      </c>
      <c r="AO221" t="str">
        <f t="shared" si="47"/>
        <v>Valid</v>
      </c>
      <c r="AP221" t="str">
        <f t="shared" si="48"/>
        <v>Valid</v>
      </c>
      <c r="AQ221" t="str">
        <f>IF(Audit_Data[[#This Row],[Z_CostContact]]=3,"Valid","Invalid")</f>
        <v>Valid</v>
      </c>
      <c r="AR221" t="str">
        <f t="shared" si="49"/>
        <v>Valid</v>
      </c>
      <c r="AS221" t="str">
        <f t="shared" si="50"/>
        <v>Valid</v>
      </c>
    </row>
    <row r="222" spans="1:45" x14ac:dyDescent="0.3">
      <c r="A222">
        <v>1755</v>
      </c>
      <c r="B222">
        <v>1988</v>
      </c>
      <c r="C222" t="s">
        <v>37</v>
      </c>
      <c r="D222" t="s">
        <v>31</v>
      </c>
      <c r="E222">
        <v>45204</v>
      </c>
      <c r="F222">
        <v>1</v>
      </c>
      <c r="G222">
        <v>0</v>
      </c>
      <c r="H222" s="1">
        <v>41740</v>
      </c>
      <c r="I222">
        <v>93</v>
      </c>
      <c r="J222">
        <v>30</v>
      </c>
      <c r="K222">
        <v>11</v>
      </c>
      <c r="L222">
        <v>25</v>
      </c>
      <c r="M222">
        <v>29</v>
      </c>
      <c r="N222">
        <v>1</v>
      </c>
      <c r="O222">
        <v>18</v>
      </c>
      <c r="P222">
        <v>1</v>
      </c>
      <c r="Q222">
        <v>1</v>
      </c>
      <c r="R222">
        <v>1</v>
      </c>
      <c r="S222">
        <v>4</v>
      </c>
      <c r="T222">
        <v>3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11</v>
      </c>
      <c r="AC222">
        <v>0</v>
      </c>
      <c r="AD222" t="str">
        <f t="shared" si="39"/>
        <v>Ok</v>
      </c>
      <c r="AE222" t="str">
        <f>IF(AND(Audit_Data[[#This Row],[Year_Birth]]&gt;=1900,Audit_Data[[#This Row],[Year_Birth]]&lt;=2010),"OK","Invalid")</f>
        <v>OK</v>
      </c>
      <c r="AF222" t="str">
        <f t="shared" si="40"/>
        <v>Valid</v>
      </c>
      <c r="AG222" t="str">
        <f t="shared" si="41"/>
        <v>Valid</v>
      </c>
      <c r="AH222" t="str">
        <f t="shared" si="42"/>
        <v>Valid</v>
      </c>
      <c r="AI222" t="str">
        <f t="shared" si="43"/>
        <v>Valid</v>
      </c>
      <c r="AJ222" t="str">
        <f t="shared" si="44"/>
        <v>Valid</v>
      </c>
      <c r="AK222" t="str">
        <f t="shared" si="51"/>
        <v xml:space="preserve">Valid </v>
      </c>
      <c r="AL222" t="str">
        <f>IF(AND(Audit_Data[[#This Row],[Recency]]&gt;=0,Audit_Data[[#This Row],[Recency]]&lt;=100),"Valid","Invalid")</f>
        <v>Valid</v>
      </c>
      <c r="AM222" t="str">
        <f t="shared" si="45"/>
        <v>Valid</v>
      </c>
      <c r="AN222" t="str">
        <f t="shared" si="46"/>
        <v>Valid</v>
      </c>
      <c r="AO222" t="str">
        <f t="shared" si="47"/>
        <v>Valid</v>
      </c>
      <c r="AP222" t="str">
        <f t="shared" si="48"/>
        <v>Valid</v>
      </c>
      <c r="AQ222" t="str">
        <f>IF(Audit_Data[[#This Row],[Z_CostContact]]=3,"Valid","Invalid")</f>
        <v>Valid</v>
      </c>
      <c r="AR222" t="str">
        <f t="shared" si="49"/>
        <v>Valid</v>
      </c>
      <c r="AS222" t="str">
        <f t="shared" si="50"/>
        <v>Valid</v>
      </c>
    </row>
    <row r="223" spans="1:45" x14ac:dyDescent="0.3">
      <c r="A223">
        <v>2075</v>
      </c>
      <c r="B223">
        <v>1969</v>
      </c>
      <c r="C223" t="s">
        <v>29</v>
      </c>
      <c r="D223" t="s">
        <v>33</v>
      </c>
      <c r="E223">
        <v>72460</v>
      </c>
      <c r="F223">
        <v>0</v>
      </c>
      <c r="G223">
        <v>0</v>
      </c>
      <c r="H223" s="1">
        <v>41592</v>
      </c>
      <c r="I223">
        <v>56</v>
      </c>
      <c r="J223">
        <v>377</v>
      </c>
      <c r="K223">
        <v>10</v>
      </c>
      <c r="L223">
        <v>540</v>
      </c>
      <c r="M223">
        <v>80</v>
      </c>
      <c r="N223">
        <v>30</v>
      </c>
      <c r="O223">
        <v>10</v>
      </c>
      <c r="P223">
        <v>1</v>
      </c>
      <c r="Q223">
        <v>3</v>
      </c>
      <c r="R223">
        <v>5</v>
      </c>
      <c r="S223">
        <v>7</v>
      </c>
      <c r="T223">
        <v>1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3</v>
      </c>
      <c r="AB223">
        <v>11</v>
      </c>
      <c r="AC223">
        <v>0</v>
      </c>
      <c r="AD223" t="str">
        <f t="shared" si="39"/>
        <v>Ok</v>
      </c>
      <c r="AE223" t="str">
        <f>IF(AND(Audit_Data[[#This Row],[Year_Birth]]&gt;=1900,Audit_Data[[#This Row],[Year_Birth]]&lt;=2010),"OK","Invalid")</f>
        <v>OK</v>
      </c>
      <c r="AF223" t="str">
        <f t="shared" si="40"/>
        <v>Valid</v>
      </c>
      <c r="AG223" t="str">
        <f t="shared" si="41"/>
        <v>Valid</v>
      </c>
      <c r="AH223" t="str">
        <f t="shared" si="42"/>
        <v>Valid</v>
      </c>
      <c r="AI223" t="str">
        <f t="shared" si="43"/>
        <v>Valid</v>
      </c>
      <c r="AJ223" t="str">
        <f t="shared" si="44"/>
        <v>Valid</v>
      </c>
      <c r="AK223" t="str">
        <f t="shared" si="51"/>
        <v xml:space="preserve">Valid </v>
      </c>
      <c r="AL223" t="str">
        <f>IF(AND(Audit_Data[[#This Row],[Recency]]&gt;=0,Audit_Data[[#This Row],[Recency]]&lt;=100),"Valid","Invalid")</f>
        <v>Valid</v>
      </c>
      <c r="AM223" t="str">
        <f t="shared" si="45"/>
        <v>Valid</v>
      </c>
      <c r="AN223" t="str">
        <f t="shared" si="46"/>
        <v>Valid</v>
      </c>
      <c r="AO223" t="str">
        <f t="shared" si="47"/>
        <v>Valid</v>
      </c>
      <c r="AP223" t="str">
        <f t="shared" si="48"/>
        <v>Valid</v>
      </c>
      <c r="AQ223" t="str">
        <f>IF(Audit_Data[[#This Row],[Z_CostContact]]=3,"Valid","Invalid")</f>
        <v>Valid</v>
      </c>
      <c r="AR223" t="str">
        <f t="shared" si="49"/>
        <v>Valid</v>
      </c>
      <c r="AS223" t="str">
        <f t="shared" si="50"/>
        <v>Valid</v>
      </c>
    </row>
    <row r="224" spans="1:45" x14ac:dyDescent="0.3">
      <c r="A224">
        <v>4785</v>
      </c>
      <c r="B224">
        <v>1970</v>
      </c>
      <c r="C224" t="s">
        <v>32</v>
      </c>
      <c r="D224" t="s">
        <v>31</v>
      </c>
      <c r="E224">
        <v>77622</v>
      </c>
      <c r="F224">
        <v>0</v>
      </c>
      <c r="G224">
        <v>2</v>
      </c>
      <c r="H224" s="1">
        <v>41743</v>
      </c>
      <c r="I224">
        <v>3</v>
      </c>
      <c r="J224">
        <v>520</v>
      </c>
      <c r="K224">
        <v>7</v>
      </c>
      <c r="L224">
        <v>154</v>
      </c>
      <c r="M224">
        <v>19</v>
      </c>
      <c r="N224">
        <v>0</v>
      </c>
      <c r="O224">
        <v>14</v>
      </c>
      <c r="P224">
        <v>2</v>
      </c>
      <c r="Q224">
        <v>6</v>
      </c>
      <c r="R224">
        <v>3</v>
      </c>
      <c r="S224">
        <v>11</v>
      </c>
      <c r="T224">
        <v>3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3</v>
      </c>
      <c r="AB224">
        <v>11</v>
      </c>
      <c r="AC224">
        <v>0</v>
      </c>
      <c r="AD224" t="str">
        <f t="shared" si="39"/>
        <v>Ok</v>
      </c>
      <c r="AE224" t="str">
        <f>IF(AND(Audit_Data[[#This Row],[Year_Birth]]&gt;=1900,Audit_Data[[#This Row],[Year_Birth]]&lt;=2010),"OK","Invalid")</f>
        <v>OK</v>
      </c>
      <c r="AF224" t="str">
        <f t="shared" si="40"/>
        <v>Valid</v>
      </c>
      <c r="AG224" t="str">
        <f t="shared" si="41"/>
        <v>Valid</v>
      </c>
      <c r="AH224" t="str">
        <f t="shared" si="42"/>
        <v>Valid</v>
      </c>
      <c r="AI224" t="str">
        <f t="shared" si="43"/>
        <v>Valid</v>
      </c>
      <c r="AJ224" t="str">
        <f t="shared" si="44"/>
        <v>Valid</v>
      </c>
      <c r="AK224" t="str">
        <f t="shared" si="51"/>
        <v xml:space="preserve">Valid </v>
      </c>
      <c r="AL224" t="str">
        <f>IF(AND(Audit_Data[[#This Row],[Recency]]&gt;=0,Audit_Data[[#This Row],[Recency]]&lt;=100),"Valid","Invalid")</f>
        <v>Valid</v>
      </c>
      <c r="AM224" t="str">
        <f t="shared" si="45"/>
        <v>Valid</v>
      </c>
      <c r="AN224" t="str">
        <f t="shared" si="46"/>
        <v>Valid</v>
      </c>
      <c r="AO224" t="str">
        <f t="shared" si="47"/>
        <v>Valid</v>
      </c>
      <c r="AP224" t="str">
        <f t="shared" si="48"/>
        <v>Valid</v>
      </c>
      <c r="AQ224" t="str">
        <f>IF(Audit_Data[[#This Row],[Z_CostContact]]=3,"Valid","Invalid")</f>
        <v>Valid</v>
      </c>
      <c r="AR224" t="str">
        <f t="shared" si="49"/>
        <v>Valid</v>
      </c>
      <c r="AS224" t="str">
        <f t="shared" si="50"/>
        <v>Valid</v>
      </c>
    </row>
    <row r="225" spans="1:45" x14ac:dyDescent="0.3">
      <c r="A225">
        <v>9076</v>
      </c>
      <c r="B225">
        <v>1980</v>
      </c>
      <c r="C225" t="s">
        <v>32</v>
      </c>
      <c r="D225" t="s">
        <v>33</v>
      </c>
      <c r="E225">
        <v>30732</v>
      </c>
      <c r="F225">
        <v>1</v>
      </c>
      <c r="G225">
        <v>0</v>
      </c>
      <c r="H225" s="1">
        <v>41279</v>
      </c>
      <c r="I225">
        <v>44</v>
      </c>
      <c r="J225">
        <v>155</v>
      </c>
      <c r="K225">
        <v>1</v>
      </c>
      <c r="L225">
        <v>25</v>
      </c>
      <c r="M225">
        <v>0</v>
      </c>
      <c r="N225">
        <v>1</v>
      </c>
      <c r="O225">
        <v>3</v>
      </c>
      <c r="P225">
        <v>4</v>
      </c>
      <c r="Q225">
        <v>4</v>
      </c>
      <c r="R225">
        <v>1</v>
      </c>
      <c r="S225">
        <v>4</v>
      </c>
      <c r="T225">
        <v>8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3</v>
      </c>
      <c r="AB225">
        <v>11</v>
      </c>
      <c r="AC225">
        <v>0</v>
      </c>
      <c r="AD225" t="str">
        <f t="shared" si="39"/>
        <v>Ok</v>
      </c>
      <c r="AE225" t="str">
        <f>IF(AND(Audit_Data[[#This Row],[Year_Birth]]&gt;=1900,Audit_Data[[#This Row],[Year_Birth]]&lt;=2010),"OK","Invalid")</f>
        <v>OK</v>
      </c>
      <c r="AF225" t="str">
        <f t="shared" si="40"/>
        <v>Valid</v>
      </c>
      <c r="AG225" t="str">
        <f t="shared" si="41"/>
        <v>Valid</v>
      </c>
      <c r="AH225" t="str">
        <f t="shared" si="42"/>
        <v>Valid</v>
      </c>
      <c r="AI225" t="str">
        <f t="shared" si="43"/>
        <v>Valid</v>
      </c>
      <c r="AJ225" t="str">
        <f t="shared" si="44"/>
        <v>Valid</v>
      </c>
      <c r="AK225" t="str">
        <f t="shared" si="51"/>
        <v xml:space="preserve">Valid </v>
      </c>
      <c r="AL225" t="str">
        <f>IF(AND(Audit_Data[[#This Row],[Recency]]&gt;=0,Audit_Data[[#This Row],[Recency]]&lt;=100),"Valid","Invalid")</f>
        <v>Valid</v>
      </c>
      <c r="AM225" t="str">
        <f t="shared" si="45"/>
        <v>Valid</v>
      </c>
      <c r="AN225" t="str">
        <f t="shared" si="46"/>
        <v>Valid</v>
      </c>
      <c r="AO225" t="str">
        <f t="shared" si="47"/>
        <v>Valid</v>
      </c>
      <c r="AP225" t="str">
        <f t="shared" si="48"/>
        <v>Valid</v>
      </c>
      <c r="AQ225" t="str">
        <f>IF(Audit_Data[[#This Row],[Z_CostContact]]=3,"Valid","Invalid")</f>
        <v>Valid</v>
      </c>
      <c r="AR225" t="str">
        <f t="shared" si="49"/>
        <v>Valid</v>
      </c>
      <c r="AS225" t="str">
        <f t="shared" si="50"/>
        <v>Valid</v>
      </c>
    </row>
    <row r="226" spans="1:45" x14ac:dyDescent="0.3">
      <c r="A226">
        <v>7079</v>
      </c>
      <c r="B226">
        <v>1962</v>
      </c>
      <c r="C226" t="s">
        <v>29</v>
      </c>
      <c r="D226" t="s">
        <v>35</v>
      </c>
      <c r="E226">
        <v>63887</v>
      </c>
      <c r="F226">
        <v>0</v>
      </c>
      <c r="G226">
        <v>1</v>
      </c>
      <c r="H226" s="1">
        <v>41160</v>
      </c>
      <c r="I226">
        <v>38</v>
      </c>
      <c r="J226">
        <v>897</v>
      </c>
      <c r="K226">
        <v>23</v>
      </c>
      <c r="L226">
        <v>207</v>
      </c>
      <c r="M226">
        <v>15</v>
      </c>
      <c r="N226">
        <v>11</v>
      </c>
      <c r="O226">
        <v>92</v>
      </c>
      <c r="P226">
        <v>5</v>
      </c>
      <c r="Q226">
        <v>9</v>
      </c>
      <c r="R226">
        <v>6</v>
      </c>
      <c r="S226">
        <v>12</v>
      </c>
      <c r="T226">
        <v>6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3</v>
      </c>
      <c r="AB226">
        <v>11</v>
      </c>
      <c r="AC226">
        <v>0</v>
      </c>
      <c r="AD226" t="str">
        <f t="shared" si="39"/>
        <v>Ok</v>
      </c>
      <c r="AE226" t="str">
        <f>IF(AND(Audit_Data[[#This Row],[Year_Birth]]&gt;=1900,Audit_Data[[#This Row],[Year_Birth]]&lt;=2010),"OK","Invalid")</f>
        <v>OK</v>
      </c>
      <c r="AF226" t="str">
        <f t="shared" si="40"/>
        <v>Valid</v>
      </c>
      <c r="AG226" t="str">
        <f t="shared" si="41"/>
        <v>Valid</v>
      </c>
      <c r="AH226" t="str">
        <f t="shared" si="42"/>
        <v>Valid</v>
      </c>
      <c r="AI226" t="str">
        <f t="shared" si="43"/>
        <v>Valid</v>
      </c>
      <c r="AJ226" t="str">
        <f t="shared" si="44"/>
        <v>Valid</v>
      </c>
      <c r="AK226" t="str">
        <f t="shared" si="51"/>
        <v xml:space="preserve">Valid </v>
      </c>
      <c r="AL226" t="str">
        <f>IF(AND(Audit_Data[[#This Row],[Recency]]&gt;=0,Audit_Data[[#This Row],[Recency]]&lt;=100),"Valid","Invalid")</f>
        <v>Valid</v>
      </c>
      <c r="AM226" t="str">
        <f t="shared" si="45"/>
        <v>Valid</v>
      </c>
      <c r="AN226" t="str">
        <f t="shared" si="46"/>
        <v>Valid</v>
      </c>
      <c r="AO226" t="str">
        <f t="shared" si="47"/>
        <v>Valid</v>
      </c>
      <c r="AP226" t="str">
        <f t="shared" si="48"/>
        <v>Valid</v>
      </c>
      <c r="AQ226" t="str">
        <f>IF(Audit_Data[[#This Row],[Z_CostContact]]=3,"Valid","Invalid")</f>
        <v>Valid</v>
      </c>
      <c r="AR226" t="str">
        <f t="shared" si="49"/>
        <v>Valid</v>
      </c>
      <c r="AS226" t="str">
        <f t="shared" si="50"/>
        <v>Valid</v>
      </c>
    </row>
    <row r="227" spans="1:45" x14ac:dyDescent="0.3">
      <c r="A227">
        <v>4653</v>
      </c>
      <c r="B227">
        <v>1978</v>
      </c>
      <c r="C227" t="s">
        <v>29</v>
      </c>
      <c r="D227" t="s">
        <v>31</v>
      </c>
      <c r="E227">
        <v>42011</v>
      </c>
      <c r="F227">
        <v>1</v>
      </c>
      <c r="G227">
        <v>0</v>
      </c>
      <c r="H227" s="1">
        <v>41359</v>
      </c>
      <c r="I227">
        <v>46</v>
      </c>
      <c r="J227">
        <v>131</v>
      </c>
      <c r="K227">
        <v>0</v>
      </c>
      <c r="L227">
        <v>16</v>
      </c>
      <c r="M227">
        <v>2</v>
      </c>
      <c r="N227">
        <v>1</v>
      </c>
      <c r="O227">
        <v>39</v>
      </c>
      <c r="P227">
        <v>4</v>
      </c>
      <c r="Q227">
        <v>3</v>
      </c>
      <c r="R227">
        <v>1</v>
      </c>
      <c r="S227">
        <v>4</v>
      </c>
      <c r="T227">
        <v>8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3</v>
      </c>
      <c r="AB227">
        <v>11</v>
      </c>
      <c r="AC227">
        <v>0</v>
      </c>
      <c r="AD227" t="str">
        <f t="shared" si="39"/>
        <v>Ok</v>
      </c>
      <c r="AE227" t="str">
        <f>IF(AND(Audit_Data[[#This Row],[Year_Birth]]&gt;=1900,Audit_Data[[#This Row],[Year_Birth]]&lt;=2010),"OK","Invalid")</f>
        <v>OK</v>
      </c>
      <c r="AF227" t="str">
        <f t="shared" si="40"/>
        <v>Valid</v>
      </c>
      <c r="AG227" t="str">
        <f t="shared" si="41"/>
        <v>Valid</v>
      </c>
      <c r="AH227" t="str">
        <f t="shared" si="42"/>
        <v>Valid</v>
      </c>
      <c r="AI227" t="str">
        <f t="shared" si="43"/>
        <v>Valid</v>
      </c>
      <c r="AJ227" t="str">
        <f t="shared" si="44"/>
        <v>Valid</v>
      </c>
      <c r="AK227" t="str">
        <f t="shared" si="51"/>
        <v xml:space="preserve">Valid </v>
      </c>
      <c r="AL227" t="str">
        <f>IF(AND(Audit_Data[[#This Row],[Recency]]&gt;=0,Audit_Data[[#This Row],[Recency]]&lt;=100),"Valid","Invalid")</f>
        <v>Valid</v>
      </c>
      <c r="AM227" t="str">
        <f t="shared" si="45"/>
        <v>Valid</v>
      </c>
      <c r="AN227" t="str">
        <f t="shared" si="46"/>
        <v>Valid</v>
      </c>
      <c r="AO227" t="str">
        <f t="shared" si="47"/>
        <v>Valid</v>
      </c>
      <c r="AP227" t="str">
        <f t="shared" si="48"/>
        <v>Valid</v>
      </c>
      <c r="AQ227" t="str">
        <f>IF(Audit_Data[[#This Row],[Z_CostContact]]=3,"Valid","Invalid")</f>
        <v>Valid</v>
      </c>
      <c r="AR227" t="str">
        <f t="shared" si="49"/>
        <v>Valid</v>
      </c>
      <c r="AS227" t="str">
        <f t="shared" si="50"/>
        <v>Valid</v>
      </c>
    </row>
    <row r="228" spans="1:45" x14ac:dyDescent="0.3">
      <c r="A228">
        <v>7375</v>
      </c>
      <c r="B228">
        <v>1976</v>
      </c>
      <c r="C228" t="s">
        <v>29</v>
      </c>
      <c r="D228" t="s">
        <v>31</v>
      </c>
      <c r="E228">
        <v>51369</v>
      </c>
      <c r="F228">
        <v>0</v>
      </c>
      <c r="G228">
        <v>1</v>
      </c>
      <c r="H228" s="1">
        <v>41207</v>
      </c>
      <c r="I228">
        <v>84</v>
      </c>
      <c r="J228">
        <v>297</v>
      </c>
      <c r="K228">
        <v>7</v>
      </c>
      <c r="L228">
        <v>79</v>
      </c>
      <c r="M228">
        <v>0</v>
      </c>
      <c r="N228">
        <v>11</v>
      </c>
      <c r="O228">
        <v>182</v>
      </c>
      <c r="P228">
        <v>2</v>
      </c>
      <c r="Q228">
        <v>8</v>
      </c>
      <c r="R228">
        <v>2</v>
      </c>
      <c r="S228">
        <v>4</v>
      </c>
      <c r="T228">
        <v>8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3</v>
      </c>
      <c r="AB228">
        <v>11</v>
      </c>
      <c r="AC228">
        <v>0</v>
      </c>
      <c r="AD228" t="str">
        <f t="shared" si="39"/>
        <v>Ok</v>
      </c>
      <c r="AE228" t="str">
        <f>IF(AND(Audit_Data[[#This Row],[Year_Birth]]&gt;=1900,Audit_Data[[#This Row],[Year_Birth]]&lt;=2010),"OK","Invalid")</f>
        <v>OK</v>
      </c>
      <c r="AF228" t="str">
        <f t="shared" si="40"/>
        <v>Valid</v>
      </c>
      <c r="AG228" t="str">
        <f t="shared" si="41"/>
        <v>Valid</v>
      </c>
      <c r="AH228" t="str">
        <f t="shared" si="42"/>
        <v>Valid</v>
      </c>
      <c r="AI228" t="str">
        <f t="shared" si="43"/>
        <v>Valid</v>
      </c>
      <c r="AJ228" t="str">
        <f t="shared" si="44"/>
        <v>Valid</v>
      </c>
      <c r="AK228" t="str">
        <f t="shared" si="51"/>
        <v xml:space="preserve">Valid </v>
      </c>
      <c r="AL228" t="str">
        <f>IF(AND(Audit_Data[[#This Row],[Recency]]&gt;=0,Audit_Data[[#This Row],[Recency]]&lt;=100),"Valid","Invalid")</f>
        <v>Valid</v>
      </c>
      <c r="AM228" t="str">
        <f t="shared" si="45"/>
        <v>Valid</v>
      </c>
      <c r="AN228" t="str">
        <f t="shared" si="46"/>
        <v>Valid</v>
      </c>
      <c r="AO228" t="str">
        <f t="shared" si="47"/>
        <v>Valid</v>
      </c>
      <c r="AP228" t="str">
        <f t="shared" si="48"/>
        <v>Valid</v>
      </c>
      <c r="AQ228" t="str">
        <f>IF(Audit_Data[[#This Row],[Z_CostContact]]=3,"Valid","Invalid")</f>
        <v>Valid</v>
      </c>
      <c r="AR228" t="str">
        <f t="shared" si="49"/>
        <v>Valid</v>
      </c>
      <c r="AS228" t="str">
        <f t="shared" si="50"/>
        <v>Valid</v>
      </c>
    </row>
    <row r="229" spans="1:45" x14ac:dyDescent="0.3">
      <c r="A229">
        <v>709</v>
      </c>
      <c r="B229">
        <v>1952</v>
      </c>
      <c r="C229" t="s">
        <v>29</v>
      </c>
      <c r="D229" t="s">
        <v>35</v>
      </c>
      <c r="E229">
        <v>51537</v>
      </c>
      <c r="F229">
        <v>0</v>
      </c>
      <c r="G229">
        <v>1</v>
      </c>
      <c r="H229" s="1">
        <v>41252</v>
      </c>
      <c r="I229">
        <v>27</v>
      </c>
      <c r="J229">
        <v>787</v>
      </c>
      <c r="K229">
        <v>20</v>
      </c>
      <c r="L229">
        <v>204</v>
      </c>
      <c r="M229">
        <v>0</v>
      </c>
      <c r="N229">
        <v>0</v>
      </c>
      <c r="O229">
        <v>92</v>
      </c>
      <c r="P229">
        <v>3</v>
      </c>
      <c r="Q229">
        <v>2</v>
      </c>
      <c r="R229">
        <v>2</v>
      </c>
      <c r="S229">
        <v>11</v>
      </c>
      <c r="T229">
        <v>8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3</v>
      </c>
      <c r="AB229">
        <v>11</v>
      </c>
      <c r="AC229">
        <v>0</v>
      </c>
      <c r="AD229" t="str">
        <f t="shared" si="39"/>
        <v>Ok</v>
      </c>
      <c r="AE229" t="str">
        <f>IF(AND(Audit_Data[[#This Row],[Year_Birth]]&gt;=1900,Audit_Data[[#This Row],[Year_Birth]]&lt;=2010),"OK","Invalid")</f>
        <v>OK</v>
      </c>
      <c r="AF229" t="str">
        <f t="shared" si="40"/>
        <v>Valid</v>
      </c>
      <c r="AG229" t="str">
        <f t="shared" si="41"/>
        <v>Valid</v>
      </c>
      <c r="AH229" t="str">
        <f t="shared" si="42"/>
        <v>Valid</v>
      </c>
      <c r="AI229" t="str">
        <f t="shared" si="43"/>
        <v>Valid</v>
      </c>
      <c r="AJ229" t="str">
        <f t="shared" si="44"/>
        <v>Valid</v>
      </c>
      <c r="AK229" t="str">
        <f t="shared" si="51"/>
        <v xml:space="preserve">Valid </v>
      </c>
      <c r="AL229" t="str">
        <f>IF(AND(Audit_Data[[#This Row],[Recency]]&gt;=0,Audit_Data[[#This Row],[Recency]]&lt;=100),"Valid","Invalid")</f>
        <v>Valid</v>
      </c>
      <c r="AM229" t="str">
        <f t="shared" si="45"/>
        <v>Valid</v>
      </c>
      <c r="AN229" t="str">
        <f t="shared" si="46"/>
        <v>Valid</v>
      </c>
      <c r="AO229" t="str">
        <f t="shared" si="47"/>
        <v>Valid</v>
      </c>
      <c r="AP229" t="str">
        <f t="shared" si="48"/>
        <v>Valid</v>
      </c>
      <c r="AQ229" t="str">
        <f>IF(Audit_Data[[#This Row],[Z_CostContact]]=3,"Valid","Invalid")</f>
        <v>Valid</v>
      </c>
      <c r="AR229" t="str">
        <f t="shared" si="49"/>
        <v>Valid</v>
      </c>
      <c r="AS229" t="str">
        <f t="shared" si="50"/>
        <v>Valid</v>
      </c>
    </row>
    <row r="230" spans="1:45" x14ac:dyDescent="0.3">
      <c r="A230">
        <v>460</v>
      </c>
      <c r="B230">
        <v>1972</v>
      </c>
      <c r="C230" t="s">
        <v>32</v>
      </c>
      <c r="D230" t="s">
        <v>33</v>
      </c>
      <c r="E230">
        <v>79930</v>
      </c>
      <c r="F230">
        <v>0</v>
      </c>
      <c r="G230">
        <v>0</v>
      </c>
      <c r="H230" s="1">
        <v>41129</v>
      </c>
      <c r="I230">
        <v>72</v>
      </c>
      <c r="J230">
        <v>792</v>
      </c>
      <c r="K230">
        <v>86</v>
      </c>
      <c r="L230">
        <v>740</v>
      </c>
      <c r="M230">
        <v>67</v>
      </c>
      <c r="N230">
        <v>51</v>
      </c>
      <c r="O230">
        <v>17</v>
      </c>
      <c r="P230">
        <v>1</v>
      </c>
      <c r="Q230">
        <v>3</v>
      </c>
      <c r="R230">
        <v>5</v>
      </c>
      <c r="S230">
        <v>8</v>
      </c>
      <c r="T230">
        <v>2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3</v>
      </c>
      <c r="AB230">
        <v>11</v>
      </c>
      <c r="AC230">
        <v>0</v>
      </c>
      <c r="AD230" t="str">
        <f t="shared" si="39"/>
        <v>Ok</v>
      </c>
      <c r="AE230" t="str">
        <f>IF(AND(Audit_Data[[#This Row],[Year_Birth]]&gt;=1900,Audit_Data[[#This Row],[Year_Birth]]&lt;=2010),"OK","Invalid")</f>
        <v>OK</v>
      </c>
      <c r="AF230" t="str">
        <f t="shared" si="40"/>
        <v>Valid</v>
      </c>
      <c r="AG230" t="str">
        <f t="shared" si="41"/>
        <v>Valid</v>
      </c>
      <c r="AH230" t="str">
        <f t="shared" si="42"/>
        <v>Valid</v>
      </c>
      <c r="AI230" t="str">
        <f t="shared" si="43"/>
        <v>Valid</v>
      </c>
      <c r="AJ230" t="str">
        <f t="shared" si="44"/>
        <v>Valid</v>
      </c>
      <c r="AK230" t="str">
        <f t="shared" si="51"/>
        <v xml:space="preserve">Valid </v>
      </c>
      <c r="AL230" t="str">
        <f>IF(AND(Audit_Data[[#This Row],[Recency]]&gt;=0,Audit_Data[[#This Row],[Recency]]&lt;=100),"Valid","Invalid")</f>
        <v>Valid</v>
      </c>
      <c r="AM230" t="str">
        <f t="shared" si="45"/>
        <v>Valid</v>
      </c>
      <c r="AN230" t="str">
        <f t="shared" si="46"/>
        <v>Valid</v>
      </c>
      <c r="AO230" t="str">
        <f t="shared" si="47"/>
        <v>Valid</v>
      </c>
      <c r="AP230" t="str">
        <f t="shared" si="48"/>
        <v>Valid</v>
      </c>
      <c r="AQ230" t="str">
        <f>IF(Audit_Data[[#This Row],[Z_CostContact]]=3,"Valid","Invalid")</f>
        <v>Valid</v>
      </c>
      <c r="AR230" t="str">
        <f t="shared" si="49"/>
        <v>Valid</v>
      </c>
      <c r="AS230" t="str">
        <f t="shared" si="50"/>
        <v>Valid</v>
      </c>
    </row>
    <row r="231" spans="1:45" x14ac:dyDescent="0.3">
      <c r="A231">
        <v>3726</v>
      </c>
      <c r="B231">
        <v>1986</v>
      </c>
      <c r="C231" t="s">
        <v>32</v>
      </c>
      <c r="D231" t="s">
        <v>31</v>
      </c>
      <c r="E231">
        <v>34320</v>
      </c>
      <c r="F231">
        <v>1</v>
      </c>
      <c r="G231">
        <v>0</v>
      </c>
      <c r="H231" s="1">
        <v>41686</v>
      </c>
      <c r="I231">
        <v>66</v>
      </c>
      <c r="J231">
        <v>4</v>
      </c>
      <c r="K231">
        <v>1</v>
      </c>
      <c r="L231">
        <v>9</v>
      </c>
      <c r="M231">
        <v>3</v>
      </c>
      <c r="N231">
        <v>0</v>
      </c>
      <c r="O231">
        <v>0</v>
      </c>
      <c r="P231">
        <v>1</v>
      </c>
      <c r="Q231">
        <v>1</v>
      </c>
      <c r="R231">
        <v>0</v>
      </c>
      <c r="S231">
        <v>2</v>
      </c>
      <c r="T231">
        <v>8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3</v>
      </c>
      <c r="AB231">
        <v>11</v>
      </c>
      <c r="AC231">
        <v>0</v>
      </c>
      <c r="AD231" t="str">
        <f t="shared" si="39"/>
        <v>Ok</v>
      </c>
      <c r="AE231" t="str">
        <f>IF(AND(Audit_Data[[#This Row],[Year_Birth]]&gt;=1900,Audit_Data[[#This Row],[Year_Birth]]&lt;=2010),"OK","Invalid")</f>
        <v>OK</v>
      </c>
      <c r="AF231" t="str">
        <f t="shared" si="40"/>
        <v>Valid</v>
      </c>
      <c r="AG231" t="str">
        <f t="shared" si="41"/>
        <v>Valid</v>
      </c>
      <c r="AH231" t="str">
        <f t="shared" si="42"/>
        <v>Valid</v>
      </c>
      <c r="AI231" t="str">
        <f t="shared" si="43"/>
        <v>Valid</v>
      </c>
      <c r="AJ231" t="str">
        <f t="shared" si="44"/>
        <v>Valid</v>
      </c>
      <c r="AK231" t="str">
        <f t="shared" si="51"/>
        <v xml:space="preserve">Valid </v>
      </c>
      <c r="AL231" t="str">
        <f>IF(AND(Audit_Data[[#This Row],[Recency]]&gt;=0,Audit_Data[[#This Row],[Recency]]&lt;=100),"Valid","Invalid")</f>
        <v>Valid</v>
      </c>
      <c r="AM231" t="str">
        <f t="shared" si="45"/>
        <v>Valid</v>
      </c>
      <c r="AN231" t="str">
        <f t="shared" si="46"/>
        <v>Valid</v>
      </c>
      <c r="AO231" t="str">
        <f t="shared" si="47"/>
        <v>Valid</v>
      </c>
      <c r="AP231" t="str">
        <f t="shared" si="48"/>
        <v>Valid</v>
      </c>
      <c r="AQ231" t="str">
        <f>IF(Audit_Data[[#This Row],[Z_CostContact]]=3,"Valid","Invalid")</f>
        <v>Valid</v>
      </c>
      <c r="AR231" t="str">
        <f t="shared" si="49"/>
        <v>Valid</v>
      </c>
      <c r="AS231" t="str">
        <f t="shared" si="50"/>
        <v>Valid</v>
      </c>
    </row>
    <row r="232" spans="1:45" x14ac:dyDescent="0.3">
      <c r="A232">
        <v>6798</v>
      </c>
      <c r="B232">
        <v>1966</v>
      </c>
      <c r="C232" t="s">
        <v>29</v>
      </c>
      <c r="D232" t="s">
        <v>30</v>
      </c>
      <c r="E232">
        <v>37070</v>
      </c>
      <c r="F232">
        <v>1</v>
      </c>
      <c r="G232">
        <v>1</v>
      </c>
      <c r="H232" s="1">
        <v>41353</v>
      </c>
      <c r="I232">
        <v>30</v>
      </c>
      <c r="J232">
        <v>231</v>
      </c>
      <c r="K232">
        <v>7</v>
      </c>
      <c r="L232">
        <v>137</v>
      </c>
      <c r="M232">
        <v>4</v>
      </c>
      <c r="N232">
        <v>15</v>
      </c>
      <c r="O232">
        <v>39</v>
      </c>
      <c r="P232">
        <v>9</v>
      </c>
      <c r="Q232">
        <v>5</v>
      </c>
      <c r="R232">
        <v>1</v>
      </c>
      <c r="S232">
        <v>8</v>
      </c>
      <c r="T232">
        <v>7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3</v>
      </c>
      <c r="AB232">
        <v>11</v>
      </c>
      <c r="AC232">
        <v>1</v>
      </c>
      <c r="AD232" t="str">
        <f t="shared" si="39"/>
        <v>Ok</v>
      </c>
      <c r="AE232" t="str">
        <f>IF(AND(Audit_Data[[#This Row],[Year_Birth]]&gt;=1900,Audit_Data[[#This Row],[Year_Birth]]&lt;=2010),"OK","Invalid")</f>
        <v>OK</v>
      </c>
      <c r="AF232" t="str">
        <f t="shared" si="40"/>
        <v>Valid</v>
      </c>
      <c r="AG232" t="str">
        <f t="shared" si="41"/>
        <v>Valid</v>
      </c>
      <c r="AH232" t="str">
        <f t="shared" si="42"/>
        <v>Valid</v>
      </c>
      <c r="AI232" t="str">
        <f t="shared" si="43"/>
        <v>Valid</v>
      </c>
      <c r="AJ232" t="str">
        <f t="shared" si="44"/>
        <v>Valid</v>
      </c>
      <c r="AK232" t="str">
        <f t="shared" si="51"/>
        <v xml:space="preserve">Valid </v>
      </c>
      <c r="AL232" t="str">
        <f>IF(AND(Audit_Data[[#This Row],[Recency]]&gt;=0,Audit_Data[[#This Row],[Recency]]&lt;=100),"Valid","Invalid")</f>
        <v>Valid</v>
      </c>
      <c r="AM232" t="str">
        <f t="shared" si="45"/>
        <v>Valid</v>
      </c>
      <c r="AN232" t="str">
        <f t="shared" si="46"/>
        <v>Valid</v>
      </c>
      <c r="AO232" t="str">
        <f t="shared" si="47"/>
        <v>Valid</v>
      </c>
      <c r="AP232" t="str">
        <f t="shared" si="48"/>
        <v>Valid</v>
      </c>
      <c r="AQ232" t="str">
        <f>IF(Audit_Data[[#This Row],[Z_CostContact]]=3,"Valid","Invalid")</f>
        <v>Valid</v>
      </c>
      <c r="AR232" t="str">
        <f t="shared" si="49"/>
        <v>Valid</v>
      </c>
      <c r="AS232" t="str">
        <f t="shared" si="50"/>
        <v>Valid</v>
      </c>
    </row>
    <row r="233" spans="1:45" x14ac:dyDescent="0.3">
      <c r="A233">
        <v>5341</v>
      </c>
      <c r="B233">
        <v>1962</v>
      </c>
      <c r="C233" t="s">
        <v>37</v>
      </c>
      <c r="D233" t="s">
        <v>35</v>
      </c>
      <c r="E233">
        <v>81975</v>
      </c>
      <c r="F233">
        <v>0</v>
      </c>
      <c r="G233">
        <v>1</v>
      </c>
      <c r="H233" s="1">
        <v>41279</v>
      </c>
      <c r="I233">
        <v>2</v>
      </c>
      <c r="J233">
        <v>983</v>
      </c>
      <c r="K233">
        <v>76</v>
      </c>
      <c r="L233">
        <v>184</v>
      </c>
      <c r="M233">
        <v>180</v>
      </c>
      <c r="N233">
        <v>138</v>
      </c>
      <c r="O233">
        <v>27</v>
      </c>
      <c r="P233">
        <v>1</v>
      </c>
      <c r="Q233">
        <v>6</v>
      </c>
      <c r="R233">
        <v>3</v>
      </c>
      <c r="S233">
        <v>4</v>
      </c>
      <c r="T233">
        <v>7</v>
      </c>
      <c r="U233">
        <v>0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3</v>
      </c>
      <c r="AB233">
        <v>11</v>
      </c>
      <c r="AC233">
        <v>0</v>
      </c>
      <c r="AD233" t="str">
        <f t="shared" si="39"/>
        <v>Ok</v>
      </c>
      <c r="AE233" t="str">
        <f>IF(AND(Audit_Data[[#This Row],[Year_Birth]]&gt;=1900,Audit_Data[[#This Row],[Year_Birth]]&lt;=2010),"OK","Invalid")</f>
        <v>OK</v>
      </c>
      <c r="AF233" t="str">
        <f t="shared" si="40"/>
        <v>Valid</v>
      </c>
      <c r="AG233" t="str">
        <f t="shared" si="41"/>
        <v>Valid</v>
      </c>
      <c r="AH233" t="str">
        <f t="shared" si="42"/>
        <v>Valid</v>
      </c>
      <c r="AI233" t="str">
        <f t="shared" si="43"/>
        <v>Valid</v>
      </c>
      <c r="AJ233" t="str">
        <f t="shared" si="44"/>
        <v>Valid</v>
      </c>
      <c r="AK233" t="str">
        <f t="shared" si="51"/>
        <v xml:space="preserve">Valid </v>
      </c>
      <c r="AL233" t="str">
        <f>IF(AND(Audit_Data[[#This Row],[Recency]]&gt;=0,Audit_Data[[#This Row],[Recency]]&lt;=100),"Valid","Invalid")</f>
        <v>Valid</v>
      </c>
      <c r="AM233" t="str">
        <f t="shared" si="45"/>
        <v>Valid</v>
      </c>
      <c r="AN233" t="str">
        <f t="shared" si="46"/>
        <v>Valid</v>
      </c>
      <c r="AO233" t="str">
        <f t="shared" si="47"/>
        <v>Valid</v>
      </c>
      <c r="AP233" t="str">
        <f t="shared" si="48"/>
        <v>Valid</v>
      </c>
      <c r="AQ233" t="str">
        <f>IF(Audit_Data[[#This Row],[Z_CostContact]]=3,"Valid","Invalid")</f>
        <v>Valid</v>
      </c>
      <c r="AR233" t="str">
        <f t="shared" si="49"/>
        <v>Valid</v>
      </c>
      <c r="AS233" t="str">
        <f t="shared" si="50"/>
        <v>Valid</v>
      </c>
    </row>
    <row r="234" spans="1:45" x14ac:dyDescent="0.3">
      <c r="A234">
        <v>1606</v>
      </c>
      <c r="B234">
        <v>1971</v>
      </c>
      <c r="C234" t="s">
        <v>29</v>
      </c>
      <c r="D234" t="s">
        <v>31</v>
      </c>
      <c r="E234">
        <v>38590</v>
      </c>
      <c r="F234">
        <v>1</v>
      </c>
      <c r="G234">
        <v>0</v>
      </c>
      <c r="H234" s="1">
        <v>41409</v>
      </c>
      <c r="I234">
        <v>65</v>
      </c>
      <c r="J234">
        <v>3</v>
      </c>
      <c r="K234">
        <v>1</v>
      </c>
      <c r="L234">
        <v>8</v>
      </c>
      <c r="M234">
        <v>4</v>
      </c>
      <c r="N234">
        <v>3</v>
      </c>
      <c r="O234">
        <v>3</v>
      </c>
      <c r="P234">
        <v>1</v>
      </c>
      <c r="Q234">
        <v>1</v>
      </c>
      <c r="R234">
        <v>0</v>
      </c>
      <c r="S234">
        <v>2</v>
      </c>
      <c r="T234">
        <v>8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3</v>
      </c>
      <c r="AB234">
        <v>11</v>
      </c>
      <c r="AC234">
        <v>0</v>
      </c>
      <c r="AD234" t="str">
        <f t="shared" si="39"/>
        <v>Ok</v>
      </c>
      <c r="AE234" t="str">
        <f>IF(AND(Audit_Data[[#This Row],[Year_Birth]]&gt;=1900,Audit_Data[[#This Row],[Year_Birth]]&lt;=2010),"OK","Invalid")</f>
        <v>OK</v>
      </c>
      <c r="AF234" t="str">
        <f t="shared" si="40"/>
        <v>Valid</v>
      </c>
      <c r="AG234" t="str">
        <f t="shared" si="41"/>
        <v>Valid</v>
      </c>
      <c r="AH234" t="str">
        <f t="shared" si="42"/>
        <v>Valid</v>
      </c>
      <c r="AI234" t="str">
        <f t="shared" si="43"/>
        <v>Valid</v>
      </c>
      <c r="AJ234" t="str">
        <f t="shared" si="44"/>
        <v>Valid</v>
      </c>
      <c r="AK234" t="str">
        <f t="shared" si="51"/>
        <v xml:space="preserve">Valid </v>
      </c>
      <c r="AL234" t="str">
        <f>IF(AND(Audit_Data[[#This Row],[Recency]]&gt;=0,Audit_Data[[#This Row],[Recency]]&lt;=100),"Valid","Invalid")</f>
        <v>Valid</v>
      </c>
      <c r="AM234" t="str">
        <f t="shared" si="45"/>
        <v>Valid</v>
      </c>
      <c r="AN234" t="str">
        <f t="shared" si="46"/>
        <v>Valid</v>
      </c>
      <c r="AO234" t="str">
        <f t="shared" si="47"/>
        <v>Valid</v>
      </c>
      <c r="AP234" t="str">
        <f t="shared" si="48"/>
        <v>Valid</v>
      </c>
      <c r="AQ234" t="str">
        <f>IF(Audit_Data[[#This Row],[Z_CostContact]]=3,"Valid","Invalid")</f>
        <v>Valid</v>
      </c>
      <c r="AR234" t="str">
        <f t="shared" si="49"/>
        <v>Valid</v>
      </c>
      <c r="AS234" t="str">
        <f t="shared" si="50"/>
        <v>Valid</v>
      </c>
    </row>
    <row r="235" spans="1:45" x14ac:dyDescent="0.3">
      <c r="A235">
        <v>9617</v>
      </c>
      <c r="B235">
        <v>1951</v>
      </c>
      <c r="C235" t="s">
        <v>29</v>
      </c>
      <c r="D235" t="s">
        <v>30</v>
      </c>
      <c r="E235">
        <v>15033</v>
      </c>
      <c r="F235">
        <v>0</v>
      </c>
      <c r="G235">
        <v>0</v>
      </c>
      <c r="H235" s="1">
        <v>41745</v>
      </c>
      <c r="I235">
        <v>37</v>
      </c>
      <c r="J235">
        <v>0</v>
      </c>
      <c r="K235">
        <v>4</v>
      </c>
      <c r="L235">
        <v>5</v>
      </c>
      <c r="M235">
        <v>6</v>
      </c>
      <c r="N235">
        <v>0</v>
      </c>
      <c r="O235">
        <v>4</v>
      </c>
      <c r="P235">
        <v>1</v>
      </c>
      <c r="Q235">
        <v>1</v>
      </c>
      <c r="R235">
        <v>0</v>
      </c>
      <c r="S235">
        <v>3</v>
      </c>
      <c r="T235">
        <v>3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11</v>
      </c>
      <c r="AC235">
        <v>0</v>
      </c>
      <c r="AD235" t="str">
        <f t="shared" si="39"/>
        <v>Ok</v>
      </c>
      <c r="AE235" t="str">
        <f>IF(AND(Audit_Data[[#This Row],[Year_Birth]]&gt;=1900,Audit_Data[[#This Row],[Year_Birth]]&lt;=2010),"OK","Invalid")</f>
        <v>OK</v>
      </c>
      <c r="AF235" t="str">
        <f t="shared" si="40"/>
        <v>Valid</v>
      </c>
      <c r="AG235" t="str">
        <f t="shared" si="41"/>
        <v>Valid</v>
      </c>
      <c r="AH235" t="str">
        <f t="shared" si="42"/>
        <v>Valid</v>
      </c>
      <c r="AI235" t="str">
        <f t="shared" si="43"/>
        <v>Valid</v>
      </c>
      <c r="AJ235" t="str">
        <f t="shared" si="44"/>
        <v>Valid</v>
      </c>
      <c r="AK235" t="str">
        <f t="shared" si="51"/>
        <v xml:space="preserve">Valid </v>
      </c>
      <c r="AL235" t="str">
        <f>IF(AND(Audit_Data[[#This Row],[Recency]]&gt;=0,Audit_Data[[#This Row],[Recency]]&lt;=100),"Valid","Invalid")</f>
        <v>Valid</v>
      </c>
      <c r="AM235" t="str">
        <f t="shared" si="45"/>
        <v>Valid</v>
      </c>
      <c r="AN235" t="str">
        <f t="shared" si="46"/>
        <v>Valid</v>
      </c>
      <c r="AO235" t="str">
        <f t="shared" si="47"/>
        <v>Valid</v>
      </c>
      <c r="AP235" t="str">
        <f t="shared" si="48"/>
        <v>Valid</v>
      </c>
      <c r="AQ235" t="str">
        <f>IF(Audit_Data[[#This Row],[Z_CostContact]]=3,"Valid","Invalid")</f>
        <v>Valid</v>
      </c>
      <c r="AR235" t="str">
        <f t="shared" si="49"/>
        <v>Valid</v>
      </c>
      <c r="AS235" t="str">
        <f t="shared" si="50"/>
        <v>Valid</v>
      </c>
    </row>
    <row r="236" spans="1:45" x14ac:dyDescent="0.3">
      <c r="A236">
        <v>3233</v>
      </c>
      <c r="B236">
        <v>1965</v>
      </c>
      <c r="C236" t="s">
        <v>32</v>
      </c>
      <c r="D236" t="s">
        <v>33</v>
      </c>
      <c r="E236">
        <v>62745</v>
      </c>
      <c r="F236">
        <v>0</v>
      </c>
      <c r="G236">
        <v>1</v>
      </c>
      <c r="H236" s="1">
        <v>41356</v>
      </c>
      <c r="I236">
        <v>89</v>
      </c>
      <c r="J236">
        <v>562</v>
      </c>
      <c r="K236">
        <v>21</v>
      </c>
      <c r="L236">
        <v>464</v>
      </c>
      <c r="M236">
        <v>28</v>
      </c>
      <c r="N236">
        <v>10</v>
      </c>
      <c r="O236">
        <v>32</v>
      </c>
      <c r="P236">
        <v>3</v>
      </c>
      <c r="Q236">
        <v>7</v>
      </c>
      <c r="R236">
        <v>8</v>
      </c>
      <c r="S236">
        <v>11</v>
      </c>
      <c r="T236">
        <v>5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3</v>
      </c>
      <c r="AB236">
        <v>11</v>
      </c>
      <c r="AC236">
        <v>0</v>
      </c>
      <c r="AD236" t="str">
        <f t="shared" si="39"/>
        <v>Ok</v>
      </c>
      <c r="AE236" t="str">
        <f>IF(AND(Audit_Data[[#This Row],[Year_Birth]]&gt;=1900,Audit_Data[[#This Row],[Year_Birth]]&lt;=2010),"OK","Invalid")</f>
        <v>OK</v>
      </c>
      <c r="AF236" t="str">
        <f t="shared" si="40"/>
        <v>Valid</v>
      </c>
      <c r="AG236" t="str">
        <f t="shared" si="41"/>
        <v>Valid</v>
      </c>
      <c r="AH236" t="str">
        <f t="shared" si="42"/>
        <v>Valid</v>
      </c>
      <c r="AI236" t="str">
        <f t="shared" si="43"/>
        <v>Valid</v>
      </c>
      <c r="AJ236" t="str">
        <f t="shared" si="44"/>
        <v>Valid</v>
      </c>
      <c r="AK236" t="str">
        <f t="shared" si="51"/>
        <v xml:space="preserve">Valid </v>
      </c>
      <c r="AL236" t="str">
        <f>IF(AND(Audit_Data[[#This Row],[Recency]]&gt;=0,Audit_Data[[#This Row],[Recency]]&lt;=100),"Valid","Invalid")</f>
        <v>Valid</v>
      </c>
      <c r="AM236" t="str">
        <f t="shared" si="45"/>
        <v>Valid</v>
      </c>
      <c r="AN236" t="str">
        <f t="shared" si="46"/>
        <v>Valid</v>
      </c>
      <c r="AO236" t="str">
        <f t="shared" si="47"/>
        <v>Valid</v>
      </c>
      <c r="AP236" t="str">
        <f t="shared" si="48"/>
        <v>Valid</v>
      </c>
      <c r="AQ236" t="str">
        <f>IF(Audit_Data[[#This Row],[Z_CostContact]]=3,"Valid","Invalid")</f>
        <v>Valid</v>
      </c>
      <c r="AR236" t="str">
        <f t="shared" si="49"/>
        <v>Valid</v>
      </c>
      <c r="AS236" t="str">
        <f t="shared" si="50"/>
        <v>Valid</v>
      </c>
    </row>
    <row r="237" spans="1:45" x14ac:dyDescent="0.3">
      <c r="A237">
        <v>89</v>
      </c>
      <c r="B237">
        <v>1975</v>
      </c>
      <c r="C237" t="s">
        <v>37</v>
      </c>
      <c r="D237" t="s">
        <v>33</v>
      </c>
      <c r="E237">
        <v>22212</v>
      </c>
      <c r="F237">
        <v>1</v>
      </c>
      <c r="G237">
        <v>0</v>
      </c>
      <c r="H237" s="1">
        <v>41617</v>
      </c>
      <c r="I237">
        <v>49</v>
      </c>
      <c r="J237">
        <v>5</v>
      </c>
      <c r="K237">
        <v>9</v>
      </c>
      <c r="L237">
        <v>20</v>
      </c>
      <c r="M237">
        <v>6</v>
      </c>
      <c r="N237">
        <v>8</v>
      </c>
      <c r="O237">
        <v>21</v>
      </c>
      <c r="P237">
        <v>2</v>
      </c>
      <c r="Q237">
        <v>2</v>
      </c>
      <c r="R237">
        <v>0</v>
      </c>
      <c r="S237">
        <v>4</v>
      </c>
      <c r="T237">
        <v>6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3</v>
      </c>
      <c r="AB237">
        <v>11</v>
      </c>
      <c r="AC237">
        <v>0</v>
      </c>
      <c r="AD237" t="str">
        <f t="shared" si="39"/>
        <v>Ok</v>
      </c>
      <c r="AE237" t="str">
        <f>IF(AND(Audit_Data[[#This Row],[Year_Birth]]&gt;=1900,Audit_Data[[#This Row],[Year_Birth]]&lt;=2010),"OK","Invalid")</f>
        <v>OK</v>
      </c>
      <c r="AF237" t="str">
        <f t="shared" si="40"/>
        <v>Valid</v>
      </c>
      <c r="AG237" t="str">
        <f t="shared" si="41"/>
        <v>Valid</v>
      </c>
      <c r="AH237" t="str">
        <f t="shared" si="42"/>
        <v>Valid</v>
      </c>
      <c r="AI237" t="str">
        <f t="shared" si="43"/>
        <v>Valid</v>
      </c>
      <c r="AJ237" t="str">
        <f t="shared" si="44"/>
        <v>Valid</v>
      </c>
      <c r="AK237" t="str">
        <f t="shared" si="51"/>
        <v xml:space="preserve">Valid </v>
      </c>
      <c r="AL237" t="str">
        <f>IF(AND(Audit_Data[[#This Row],[Recency]]&gt;=0,Audit_Data[[#This Row],[Recency]]&lt;=100),"Valid","Invalid")</f>
        <v>Valid</v>
      </c>
      <c r="AM237" t="str">
        <f t="shared" si="45"/>
        <v>Valid</v>
      </c>
      <c r="AN237" t="str">
        <f t="shared" si="46"/>
        <v>Valid</v>
      </c>
      <c r="AO237" t="str">
        <f t="shared" si="47"/>
        <v>Valid</v>
      </c>
      <c r="AP237" t="str">
        <f t="shared" si="48"/>
        <v>Valid</v>
      </c>
      <c r="AQ237" t="str">
        <f>IF(Audit_Data[[#This Row],[Z_CostContact]]=3,"Valid","Invalid")</f>
        <v>Valid</v>
      </c>
      <c r="AR237" t="str">
        <f t="shared" si="49"/>
        <v>Valid</v>
      </c>
      <c r="AS237" t="str">
        <f t="shared" si="50"/>
        <v>Valid</v>
      </c>
    </row>
    <row r="238" spans="1:45" x14ac:dyDescent="0.3">
      <c r="A238">
        <v>2936</v>
      </c>
      <c r="B238">
        <v>1982</v>
      </c>
      <c r="C238" t="s">
        <v>34</v>
      </c>
      <c r="D238" t="s">
        <v>31</v>
      </c>
      <c r="E238">
        <v>23661</v>
      </c>
      <c r="F238">
        <v>1</v>
      </c>
      <c r="G238">
        <v>0</v>
      </c>
      <c r="H238" s="1">
        <v>41612</v>
      </c>
      <c r="I238">
        <v>46</v>
      </c>
      <c r="J238">
        <v>18</v>
      </c>
      <c r="K238">
        <v>0</v>
      </c>
      <c r="L238">
        <v>4</v>
      </c>
      <c r="M238">
        <v>0</v>
      </c>
      <c r="N238">
        <v>0</v>
      </c>
      <c r="O238">
        <v>1</v>
      </c>
      <c r="P238">
        <v>1</v>
      </c>
      <c r="Q238">
        <v>1</v>
      </c>
      <c r="R238">
        <v>0</v>
      </c>
      <c r="S238">
        <v>3</v>
      </c>
      <c r="T238">
        <v>7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3</v>
      </c>
      <c r="AB238">
        <v>11</v>
      </c>
      <c r="AC238">
        <v>0</v>
      </c>
      <c r="AD238" t="str">
        <f t="shared" si="39"/>
        <v>Ok</v>
      </c>
      <c r="AE238" t="str">
        <f>IF(AND(Audit_Data[[#This Row],[Year_Birth]]&gt;=1900,Audit_Data[[#This Row],[Year_Birth]]&lt;=2010),"OK","Invalid")</f>
        <v>OK</v>
      </c>
      <c r="AF238" t="str">
        <f t="shared" si="40"/>
        <v>Valid</v>
      </c>
      <c r="AG238" t="str">
        <f t="shared" si="41"/>
        <v>Valid</v>
      </c>
      <c r="AH238" t="str">
        <f t="shared" si="42"/>
        <v>Valid</v>
      </c>
      <c r="AI238" t="str">
        <f t="shared" si="43"/>
        <v>Valid</v>
      </c>
      <c r="AJ238" t="str">
        <f t="shared" si="44"/>
        <v>Valid</v>
      </c>
      <c r="AK238" t="str">
        <f t="shared" si="51"/>
        <v xml:space="preserve">Valid </v>
      </c>
      <c r="AL238" t="str">
        <f>IF(AND(Audit_Data[[#This Row],[Recency]]&gt;=0,Audit_Data[[#This Row],[Recency]]&lt;=100),"Valid","Invalid")</f>
        <v>Valid</v>
      </c>
      <c r="AM238" t="str">
        <f t="shared" si="45"/>
        <v>Valid</v>
      </c>
      <c r="AN238" t="str">
        <f t="shared" si="46"/>
        <v>Valid</v>
      </c>
      <c r="AO238" t="str">
        <f t="shared" si="47"/>
        <v>Valid</v>
      </c>
      <c r="AP238" t="str">
        <f t="shared" si="48"/>
        <v>Valid</v>
      </c>
      <c r="AQ238" t="str">
        <f>IF(Audit_Data[[#This Row],[Z_CostContact]]=3,"Valid","Invalid")</f>
        <v>Valid</v>
      </c>
      <c r="AR238" t="str">
        <f t="shared" si="49"/>
        <v>Valid</v>
      </c>
      <c r="AS238" t="str">
        <f t="shared" si="50"/>
        <v>Valid</v>
      </c>
    </row>
    <row r="239" spans="1:45" x14ac:dyDescent="0.3">
      <c r="A239">
        <v>9449</v>
      </c>
      <c r="B239">
        <v>1958</v>
      </c>
      <c r="C239" t="s">
        <v>32</v>
      </c>
      <c r="D239" t="s">
        <v>30</v>
      </c>
      <c r="E239">
        <v>79761</v>
      </c>
      <c r="F239">
        <v>0</v>
      </c>
      <c r="G239">
        <v>1</v>
      </c>
      <c r="H239" s="1">
        <v>41551</v>
      </c>
      <c r="I239">
        <v>32</v>
      </c>
      <c r="J239">
        <v>415</v>
      </c>
      <c r="K239">
        <v>5</v>
      </c>
      <c r="L239">
        <v>124</v>
      </c>
      <c r="M239">
        <v>15</v>
      </c>
      <c r="N239">
        <v>35</v>
      </c>
      <c r="O239">
        <v>11</v>
      </c>
      <c r="P239">
        <v>1</v>
      </c>
      <c r="Q239">
        <v>5</v>
      </c>
      <c r="R239">
        <v>2</v>
      </c>
      <c r="S239">
        <v>11</v>
      </c>
      <c r="T239">
        <v>3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3</v>
      </c>
      <c r="AB239">
        <v>11</v>
      </c>
      <c r="AC239">
        <v>0</v>
      </c>
      <c r="AD239" t="str">
        <f t="shared" si="39"/>
        <v>Ok</v>
      </c>
      <c r="AE239" t="str">
        <f>IF(AND(Audit_Data[[#This Row],[Year_Birth]]&gt;=1900,Audit_Data[[#This Row],[Year_Birth]]&lt;=2010),"OK","Invalid")</f>
        <v>OK</v>
      </c>
      <c r="AF239" t="str">
        <f t="shared" si="40"/>
        <v>Valid</v>
      </c>
      <c r="AG239" t="str">
        <f t="shared" si="41"/>
        <v>Valid</v>
      </c>
      <c r="AH239" t="str">
        <f t="shared" si="42"/>
        <v>Valid</v>
      </c>
      <c r="AI239" t="str">
        <f t="shared" si="43"/>
        <v>Valid</v>
      </c>
      <c r="AJ239" t="str">
        <f t="shared" si="44"/>
        <v>Valid</v>
      </c>
      <c r="AK239" t="str">
        <f t="shared" si="51"/>
        <v xml:space="preserve">Valid </v>
      </c>
      <c r="AL239" t="str">
        <f>IF(AND(Audit_Data[[#This Row],[Recency]]&gt;=0,Audit_Data[[#This Row],[Recency]]&lt;=100),"Valid","Invalid")</f>
        <v>Valid</v>
      </c>
      <c r="AM239" t="str">
        <f t="shared" si="45"/>
        <v>Valid</v>
      </c>
      <c r="AN239" t="str">
        <f t="shared" si="46"/>
        <v>Valid</v>
      </c>
      <c r="AO239" t="str">
        <f t="shared" si="47"/>
        <v>Valid</v>
      </c>
      <c r="AP239" t="str">
        <f t="shared" si="48"/>
        <v>Valid</v>
      </c>
      <c r="AQ239" t="str">
        <f>IF(Audit_Data[[#This Row],[Z_CostContact]]=3,"Valid","Invalid")</f>
        <v>Valid</v>
      </c>
      <c r="AR239" t="str">
        <f t="shared" si="49"/>
        <v>Valid</v>
      </c>
      <c r="AS239" t="str">
        <f t="shared" si="50"/>
        <v>Valid</v>
      </c>
    </row>
    <row r="240" spans="1:45" x14ac:dyDescent="0.3">
      <c r="A240">
        <v>7297</v>
      </c>
      <c r="B240">
        <v>1973</v>
      </c>
      <c r="C240" t="s">
        <v>29</v>
      </c>
      <c r="D240" t="s">
        <v>30</v>
      </c>
      <c r="E240">
        <v>7500</v>
      </c>
      <c r="F240">
        <v>1</v>
      </c>
      <c r="G240">
        <v>0</v>
      </c>
      <c r="H240" s="1">
        <v>41634</v>
      </c>
      <c r="I240">
        <v>54</v>
      </c>
      <c r="J240">
        <v>5</v>
      </c>
      <c r="K240">
        <v>3</v>
      </c>
      <c r="L240">
        <v>10</v>
      </c>
      <c r="M240">
        <v>12</v>
      </c>
      <c r="N240">
        <v>7</v>
      </c>
      <c r="O240">
        <v>20</v>
      </c>
      <c r="P240">
        <v>4</v>
      </c>
      <c r="Q240">
        <v>3</v>
      </c>
      <c r="R240">
        <v>1</v>
      </c>
      <c r="S240">
        <v>3</v>
      </c>
      <c r="T240">
        <v>7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3</v>
      </c>
      <c r="AB240">
        <v>11</v>
      </c>
      <c r="AC240">
        <v>0</v>
      </c>
      <c r="AD240" t="str">
        <f t="shared" si="39"/>
        <v>Ok</v>
      </c>
      <c r="AE240" t="str">
        <f>IF(AND(Audit_Data[[#This Row],[Year_Birth]]&gt;=1900,Audit_Data[[#This Row],[Year_Birth]]&lt;=2010),"OK","Invalid")</f>
        <v>OK</v>
      </c>
      <c r="AF240" t="str">
        <f t="shared" si="40"/>
        <v>Valid</v>
      </c>
      <c r="AG240" t="str">
        <f t="shared" si="41"/>
        <v>Valid</v>
      </c>
      <c r="AH240" t="str">
        <f t="shared" si="42"/>
        <v>Valid</v>
      </c>
      <c r="AI240" t="str">
        <f t="shared" si="43"/>
        <v>Valid</v>
      </c>
      <c r="AJ240" t="str">
        <f t="shared" si="44"/>
        <v>Valid</v>
      </c>
      <c r="AK240" t="str">
        <f t="shared" si="51"/>
        <v xml:space="preserve">Valid </v>
      </c>
      <c r="AL240" t="str">
        <f>IF(AND(Audit_Data[[#This Row],[Recency]]&gt;=0,Audit_Data[[#This Row],[Recency]]&lt;=100),"Valid","Invalid")</f>
        <v>Valid</v>
      </c>
      <c r="AM240" t="str">
        <f t="shared" si="45"/>
        <v>Valid</v>
      </c>
      <c r="AN240" t="str">
        <f t="shared" si="46"/>
        <v>Valid</v>
      </c>
      <c r="AO240" t="str">
        <f t="shared" si="47"/>
        <v>Valid</v>
      </c>
      <c r="AP240" t="str">
        <f t="shared" si="48"/>
        <v>Valid</v>
      </c>
      <c r="AQ240" t="str">
        <f>IF(Audit_Data[[#This Row],[Z_CostContact]]=3,"Valid","Invalid")</f>
        <v>Valid</v>
      </c>
      <c r="AR240" t="str">
        <f t="shared" si="49"/>
        <v>Valid</v>
      </c>
      <c r="AS240" t="str">
        <f t="shared" si="50"/>
        <v>Valid</v>
      </c>
    </row>
    <row r="241" spans="1:45" x14ac:dyDescent="0.3">
      <c r="A241">
        <v>11004</v>
      </c>
      <c r="B241">
        <v>1893</v>
      </c>
      <c r="C241" t="s">
        <v>37</v>
      </c>
      <c r="D241" t="s">
        <v>30</v>
      </c>
      <c r="E241">
        <v>60182</v>
      </c>
      <c r="F241">
        <v>0</v>
      </c>
      <c r="G241">
        <v>1</v>
      </c>
      <c r="H241" s="1">
        <v>41776</v>
      </c>
      <c r="I241">
        <v>23</v>
      </c>
      <c r="J241">
        <v>8</v>
      </c>
      <c r="K241">
        <v>0</v>
      </c>
      <c r="L241">
        <v>5</v>
      </c>
      <c r="M241">
        <v>7</v>
      </c>
      <c r="N241">
        <v>0</v>
      </c>
      <c r="O241">
        <v>2</v>
      </c>
      <c r="P241">
        <v>1</v>
      </c>
      <c r="Q241">
        <v>1</v>
      </c>
      <c r="R241">
        <v>0</v>
      </c>
      <c r="S241">
        <v>2</v>
      </c>
      <c r="T241">
        <v>4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3</v>
      </c>
      <c r="AB241">
        <v>11</v>
      </c>
      <c r="AC241">
        <v>0</v>
      </c>
      <c r="AD241" t="str">
        <f t="shared" si="39"/>
        <v>Ok</v>
      </c>
      <c r="AE241" t="str">
        <f>IF(AND(Audit_Data[[#This Row],[Year_Birth]]&gt;=1900,Audit_Data[[#This Row],[Year_Birth]]&lt;=2010),"OK","Invalid")</f>
        <v>Invalid</v>
      </c>
      <c r="AF241" t="str">
        <f t="shared" si="40"/>
        <v>Valid</v>
      </c>
      <c r="AG241" t="str">
        <f t="shared" si="41"/>
        <v>Valid</v>
      </c>
      <c r="AH241" t="str">
        <f t="shared" si="42"/>
        <v>Valid</v>
      </c>
      <c r="AI241" t="str">
        <f t="shared" si="43"/>
        <v>Valid</v>
      </c>
      <c r="AJ241" t="str">
        <f t="shared" si="44"/>
        <v>Valid</v>
      </c>
      <c r="AK241" t="str">
        <f t="shared" si="51"/>
        <v xml:space="preserve">Valid </v>
      </c>
      <c r="AL241" t="str">
        <f>IF(AND(Audit_Data[[#This Row],[Recency]]&gt;=0,Audit_Data[[#This Row],[Recency]]&lt;=100),"Valid","Invalid")</f>
        <v>Valid</v>
      </c>
      <c r="AM241" t="str">
        <f t="shared" si="45"/>
        <v>Valid</v>
      </c>
      <c r="AN241" t="str">
        <f t="shared" si="46"/>
        <v>Valid</v>
      </c>
      <c r="AO241" t="str">
        <f t="shared" si="47"/>
        <v>Valid</v>
      </c>
      <c r="AP241" t="str">
        <f t="shared" si="48"/>
        <v>Valid</v>
      </c>
      <c r="AQ241" t="str">
        <f>IF(Audit_Data[[#This Row],[Z_CostContact]]=3,"Valid","Invalid")</f>
        <v>Valid</v>
      </c>
      <c r="AR241" t="str">
        <f t="shared" si="49"/>
        <v>Valid</v>
      </c>
      <c r="AS241" t="str">
        <f t="shared" si="50"/>
        <v>Valid</v>
      </c>
    </row>
    <row r="242" spans="1:45" x14ac:dyDescent="0.3">
      <c r="A242">
        <v>313</v>
      </c>
      <c r="B242">
        <v>1968</v>
      </c>
      <c r="C242" t="s">
        <v>29</v>
      </c>
      <c r="D242" t="s">
        <v>38</v>
      </c>
      <c r="E242">
        <v>73455</v>
      </c>
      <c r="F242">
        <v>0</v>
      </c>
      <c r="G242">
        <v>0</v>
      </c>
      <c r="H242" s="1">
        <v>41575</v>
      </c>
      <c r="I242">
        <v>98</v>
      </c>
      <c r="J242">
        <v>901</v>
      </c>
      <c r="K242">
        <v>61</v>
      </c>
      <c r="L242">
        <v>757</v>
      </c>
      <c r="M242">
        <v>186</v>
      </c>
      <c r="N242">
        <v>163</v>
      </c>
      <c r="O242">
        <v>20</v>
      </c>
      <c r="P242">
        <v>1</v>
      </c>
      <c r="Q242">
        <v>6</v>
      </c>
      <c r="R242">
        <v>5</v>
      </c>
      <c r="S242">
        <v>10</v>
      </c>
      <c r="T242">
        <v>3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3</v>
      </c>
      <c r="AB242">
        <v>11</v>
      </c>
      <c r="AC242">
        <v>0</v>
      </c>
      <c r="AD242" t="str">
        <f t="shared" si="39"/>
        <v>Ok</v>
      </c>
      <c r="AE242" t="str">
        <f>IF(AND(Audit_Data[[#This Row],[Year_Birth]]&gt;=1900,Audit_Data[[#This Row],[Year_Birth]]&lt;=2010),"OK","Invalid")</f>
        <v>OK</v>
      </c>
      <c r="AF242" t="str">
        <f t="shared" si="40"/>
        <v>Valid</v>
      </c>
      <c r="AG242" t="str">
        <f t="shared" si="41"/>
        <v>Valid</v>
      </c>
      <c r="AH242" t="str">
        <f t="shared" si="42"/>
        <v>Valid</v>
      </c>
      <c r="AI242" t="str">
        <f t="shared" si="43"/>
        <v>Valid</v>
      </c>
      <c r="AJ242" t="str">
        <f t="shared" si="44"/>
        <v>Valid</v>
      </c>
      <c r="AK242" t="str">
        <f t="shared" si="51"/>
        <v xml:space="preserve">Valid </v>
      </c>
      <c r="AL242" t="str">
        <f>IF(AND(Audit_Data[[#This Row],[Recency]]&gt;=0,Audit_Data[[#This Row],[Recency]]&lt;=100),"Valid","Invalid")</f>
        <v>Valid</v>
      </c>
      <c r="AM242" t="str">
        <f t="shared" si="45"/>
        <v>Valid</v>
      </c>
      <c r="AN242" t="str">
        <f t="shared" si="46"/>
        <v>Valid</v>
      </c>
      <c r="AO242" t="str">
        <f t="shared" si="47"/>
        <v>Valid</v>
      </c>
      <c r="AP242" t="str">
        <f t="shared" si="48"/>
        <v>Valid</v>
      </c>
      <c r="AQ242" t="str">
        <f>IF(Audit_Data[[#This Row],[Z_CostContact]]=3,"Valid","Invalid")</f>
        <v>Valid</v>
      </c>
      <c r="AR242" t="str">
        <f t="shared" si="49"/>
        <v>Valid</v>
      </c>
      <c r="AS242" t="str">
        <f t="shared" si="50"/>
        <v>Valid</v>
      </c>
    </row>
    <row r="243" spans="1:45" x14ac:dyDescent="0.3">
      <c r="A243">
        <v>9940</v>
      </c>
      <c r="B243">
        <v>1958</v>
      </c>
      <c r="C243" t="s">
        <v>29</v>
      </c>
      <c r="D243" t="s">
        <v>31</v>
      </c>
      <c r="E243">
        <v>64961</v>
      </c>
      <c r="F243">
        <v>0</v>
      </c>
      <c r="G243">
        <v>1</v>
      </c>
      <c r="H243" s="1">
        <v>41266</v>
      </c>
      <c r="I243">
        <v>97</v>
      </c>
      <c r="J243">
        <v>382</v>
      </c>
      <c r="K243">
        <v>114</v>
      </c>
      <c r="L243">
        <v>276</v>
      </c>
      <c r="M243">
        <v>75</v>
      </c>
      <c r="N243">
        <v>124</v>
      </c>
      <c r="O243">
        <v>38</v>
      </c>
      <c r="P243">
        <v>2</v>
      </c>
      <c r="Q243">
        <v>6</v>
      </c>
      <c r="R243">
        <v>4</v>
      </c>
      <c r="S243">
        <v>4</v>
      </c>
      <c r="T243">
        <v>3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3</v>
      </c>
      <c r="AB243">
        <v>11</v>
      </c>
      <c r="AC243">
        <v>0</v>
      </c>
      <c r="AD243" t="str">
        <f t="shared" si="39"/>
        <v>Ok</v>
      </c>
      <c r="AE243" t="str">
        <f>IF(AND(Audit_Data[[#This Row],[Year_Birth]]&gt;=1900,Audit_Data[[#This Row],[Year_Birth]]&lt;=2010),"OK","Invalid")</f>
        <v>OK</v>
      </c>
      <c r="AF243" t="str">
        <f t="shared" si="40"/>
        <v>Valid</v>
      </c>
      <c r="AG243" t="str">
        <f t="shared" si="41"/>
        <v>Valid</v>
      </c>
      <c r="AH243" t="str">
        <f t="shared" si="42"/>
        <v>Valid</v>
      </c>
      <c r="AI243" t="str">
        <f t="shared" si="43"/>
        <v>Valid</v>
      </c>
      <c r="AJ243" t="str">
        <f t="shared" si="44"/>
        <v>Valid</v>
      </c>
      <c r="AK243" t="str">
        <f t="shared" si="51"/>
        <v xml:space="preserve">Valid </v>
      </c>
      <c r="AL243" t="str">
        <f>IF(AND(Audit_Data[[#This Row],[Recency]]&gt;=0,Audit_Data[[#This Row],[Recency]]&lt;=100),"Valid","Invalid")</f>
        <v>Valid</v>
      </c>
      <c r="AM243" t="str">
        <f t="shared" si="45"/>
        <v>Valid</v>
      </c>
      <c r="AN243" t="str">
        <f t="shared" si="46"/>
        <v>Valid</v>
      </c>
      <c r="AO243" t="str">
        <f t="shared" si="47"/>
        <v>Valid</v>
      </c>
      <c r="AP243" t="str">
        <f t="shared" si="48"/>
        <v>Valid</v>
      </c>
      <c r="AQ243" t="str">
        <f>IF(Audit_Data[[#This Row],[Z_CostContact]]=3,"Valid","Invalid")</f>
        <v>Valid</v>
      </c>
      <c r="AR243" t="str">
        <f t="shared" si="49"/>
        <v>Valid</v>
      </c>
      <c r="AS243" t="str">
        <f t="shared" si="50"/>
        <v>Valid</v>
      </c>
    </row>
    <row r="244" spans="1:45" x14ac:dyDescent="0.3">
      <c r="A244">
        <v>10735</v>
      </c>
      <c r="B244">
        <v>1971</v>
      </c>
      <c r="C244" t="s">
        <v>29</v>
      </c>
      <c r="D244" t="s">
        <v>30</v>
      </c>
      <c r="E244">
        <v>22804</v>
      </c>
      <c r="F244">
        <v>1</v>
      </c>
      <c r="G244">
        <v>0</v>
      </c>
      <c r="H244" s="1">
        <v>41486</v>
      </c>
      <c r="I244">
        <v>75</v>
      </c>
      <c r="J244">
        <v>14</v>
      </c>
      <c r="K244">
        <v>1</v>
      </c>
      <c r="L244">
        <v>7</v>
      </c>
      <c r="M244">
        <v>2</v>
      </c>
      <c r="N244">
        <v>1</v>
      </c>
      <c r="O244">
        <v>1</v>
      </c>
      <c r="P244">
        <v>1</v>
      </c>
      <c r="Q244">
        <v>2</v>
      </c>
      <c r="R244">
        <v>0</v>
      </c>
      <c r="S244">
        <v>2</v>
      </c>
      <c r="T244">
        <v>9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3</v>
      </c>
      <c r="AB244">
        <v>11</v>
      </c>
      <c r="AC244">
        <v>0</v>
      </c>
      <c r="AD244" t="str">
        <f t="shared" si="39"/>
        <v>Ok</v>
      </c>
      <c r="AE244" t="str">
        <f>IF(AND(Audit_Data[[#This Row],[Year_Birth]]&gt;=1900,Audit_Data[[#This Row],[Year_Birth]]&lt;=2010),"OK","Invalid")</f>
        <v>OK</v>
      </c>
      <c r="AF244" t="str">
        <f t="shared" si="40"/>
        <v>Valid</v>
      </c>
      <c r="AG244" t="str">
        <f t="shared" si="41"/>
        <v>Valid</v>
      </c>
      <c r="AH244" t="str">
        <f t="shared" si="42"/>
        <v>Valid</v>
      </c>
      <c r="AI244" t="str">
        <f t="shared" si="43"/>
        <v>Valid</v>
      </c>
      <c r="AJ244" t="str">
        <f t="shared" si="44"/>
        <v>Valid</v>
      </c>
      <c r="AK244" t="str">
        <f t="shared" si="51"/>
        <v xml:space="preserve">Valid </v>
      </c>
      <c r="AL244" t="str">
        <f>IF(AND(Audit_Data[[#This Row],[Recency]]&gt;=0,Audit_Data[[#This Row],[Recency]]&lt;=100),"Valid","Invalid")</f>
        <v>Valid</v>
      </c>
      <c r="AM244" t="str">
        <f t="shared" si="45"/>
        <v>Valid</v>
      </c>
      <c r="AN244" t="str">
        <f t="shared" si="46"/>
        <v>Valid</v>
      </c>
      <c r="AO244" t="str">
        <f t="shared" si="47"/>
        <v>Valid</v>
      </c>
      <c r="AP244" t="str">
        <f t="shared" si="48"/>
        <v>Valid</v>
      </c>
      <c r="AQ244" t="str">
        <f>IF(Audit_Data[[#This Row],[Z_CostContact]]=3,"Valid","Invalid")</f>
        <v>Valid</v>
      </c>
      <c r="AR244" t="str">
        <f t="shared" si="49"/>
        <v>Valid</v>
      </c>
      <c r="AS244" t="str">
        <f t="shared" si="50"/>
        <v>Valid</v>
      </c>
    </row>
    <row r="245" spans="1:45" x14ac:dyDescent="0.3">
      <c r="A245">
        <v>9529</v>
      </c>
      <c r="B245">
        <v>1990</v>
      </c>
      <c r="C245" t="s">
        <v>29</v>
      </c>
      <c r="D245" t="s">
        <v>33</v>
      </c>
      <c r="E245">
        <v>73687</v>
      </c>
      <c r="F245">
        <v>0</v>
      </c>
      <c r="G245">
        <v>0</v>
      </c>
      <c r="H245" s="1">
        <v>41606</v>
      </c>
      <c r="I245">
        <v>8</v>
      </c>
      <c r="J245">
        <v>559</v>
      </c>
      <c r="K245">
        <v>153</v>
      </c>
      <c r="L245">
        <v>503</v>
      </c>
      <c r="M245">
        <v>218</v>
      </c>
      <c r="N245">
        <v>13</v>
      </c>
      <c r="O245">
        <v>181</v>
      </c>
      <c r="P245">
        <v>1</v>
      </c>
      <c r="Q245">
        <v>3</v>
      </c>
      <c r="R245">
        <v>9</v>
      </c>
      <c r="S245">
        <v>9</v>
      </c>
      <c r="T245">
        <v>2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0</v>
      </c>
      <c r="AA245">
        <v>3</v>
      </c>
      <c r="AB245">
        <v>11</v>
      </c>
      <c r="AC245">
        <v>1</v>
      </c>
      <c r="AD245" t="str">
        <f t="shared" si="39"/>
        <v>Ok</v>
      </c>
      <c r="AE245" t="str">
        <f>IF(AND(Audit_Data[[#This Row],[Year_Birth]]&gt;=1900,Audit_Data[[#This Row],[Year_Birth]]&lt;=2010),"OK","Invalid")</f>
        <v>OK</v>
      </c>
      <c r="AF245" t="str">
        <f t="shared" si="40"/>
        <v>Valid</v>
      </c>
      <c r="AG245" t="str">
        <f t="shared" si="41"/>
        <v>Valid</v>
      </c>
      <c r="AH245" t="str">
        <f t="shared" si="42"/>
        <v>Valid</v>
      </c>
      <c r="AI245" t="str">
        <f t="shared" si="43"/>
        <v>Valid</v>
      </c>
      <c r="AJ245" t="str">
        <f t="shared" si="44"/>
        <v>Valid</v>
      </c>
      <c r="AK245" t="str">
        <f t="shared" si="51"/>
        <v xml:space="preserve">Valid </v>
      </c>
      <c r="AL245" t="str">
        <f>IF(AND(Audit_Data[[#This Row],[Recency]]&gt;=0,Audit_Data[[#This Row],[Recency]]&lt;=100),"Valid","Invalid")</f>
        <v>Valid</v>
      </c>
      <c r="AM245" t="str">
        <f t="shared" si="45"/>
        <v>Valid</v>
      </c>
      <c r="AN245" t="str">
        <f t="shared" si="46"/>
        <v>Valid</v>
      </c>
      <c r="AO245" t="str">
        <f t="shared" si="47"/>
        <v>Valid</v>
      </c>
      <c r="AP245" t="str">
        <f t="shared" si="48"/>
        <v>Valid</v>
      </c>
      <c r="AQ245" t="str">
        <f>IF(Audit_Data[[#This Row],[Z_CostContact]]=3,"Valid","Invalid")</f>
        <v>Valid</v>
      </c>
      <c r="AR245" t="str">
        <f t="shared" si="49"/>
        <v>Valid</v>
      </c>
      <c r="AS245" t="str">
        <f t="shared" si="50"/>
        <v>Valid</v>
      </c>
    </row>
    <row r="246" spans="1:45" x14ac:dyDescent="0.3">
      <c r="A246">
        <v>6439</v>
      </c>
      <c r="B246">
        <v>1958</v>
      </c>
      <c r="C246" t="s">
        <v>29</v>
      </c>
      <c r="D246" t="s">
        <v>33</v>
      </c>
      <c r="E246">
        <v>61074</v>
      </c>
      <c r="F246">
        <v>0</v>
      </c>
      <c r="G246">
        <v>1</v>
      </c>
      <c r="H246" s="1">
        <v>41138</v>
      </c>
      <c r="I246">
        <v>37</v>
      </c>
      <c r="J246">
        <v>789</v>
      </c>
      <c r="K246">
        <v>0</v>
      </c>
      <c r="L246">
        <v>133</v>
      </c>
      <c r="M246">
        <v>0</v>
      </c>
      <c r="N246">
        <v>28</v>
      </c>
      <c r="O246">
        <v>152</v>
      </c>
      <c r="P246">
        <v>7</v>
      </c>
      <c r="Q246">
        <v>11</v>
      </c>
      <c r="R246">
        <v>5</v>
      </c>
      <c r="S246">
        <v>8</v>
      </c>
      <c r="T246">
        <v>7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3</v>
      </c>
      <c r="AB246">
        <v>11</v>
      </c>
      <c r="AC246">
        <v>0</v>
      </c>
      <c r="AD246" t="str">
        <f t="shared" si="39"/>
        <v>Ok</v>
      </c>
      <c r="AE246" t="str">
        <f>IF(AND(Audit_Data[[#This Row],[Year_Birth]]&gt;=1900,Audit_Data[[#This Row],[Year_Birth]]&lt;=2010),"OK","Invalid")</f>
        <v>OK</v>
      </c>
      <c r="AF246" t="str">
        <f t="shared" si="40"/>
        <v>Valid</v>
      </c>
      <c r="AG246" t="str">
        <f t="shared" si="41"/>
        <v>Valid</v>
      </c>
      <c r="AH246" t="str">
        <f t="shared" si="42"/>
        <v>Valid</v>
      </c>
      <c r="AI246" t="str">
        <f t="shared" si="43"/>
        <v>Valid</v>
      </c>
      <c r="AJ246" t="str">
        <f t="shared" si="44"/>
        <v>Valid</v>
      </c>
      <c r="AK246" t="str">
        <f t="shared" si="51"/>
        <v xml:space="preserve">Valid </v>
      </c>
      <c r="AL246" t="str">
        <f>IF(AND(Audit_Data[[#This Row],[Recency]]&gt;=0,Audit_Data[[#This Row],[Recency]]&lt;=100),"Valid","Invalid")</f>
        <v>Valid</v>
      </c>
      <c r="AM246" t="str">
        <f t="shared" si="45"/>
        <v>Valid</v>
      </c>
      <c r="AN246" t="str">
        <f t="shared" si="46"/>
        <v>Valid</v>
      </c>
      <c r="AO246" t="str">
        <f t="shared" si="47"/>
        <v>Valid</v>
      </c>
      <c r="AP246" t="str">
        <f t="shared" si="48"/>
        <v>Valid</v>
      </c>
      <c r="AQ246" t="str">
        <f>IF(Audit_Data[[#This Row],[Z_CostContact]]=3,"Valid","Invalid")</f>
        <v>Valid</v>
      </c>
      <c r="AR246" t="str">
        <f t="shared" si="49"/>
        <v>Valid</v>
      </c>
      <c r="AS246" t="str">
        <f t="shared" si="50"/>
        <v>Valid</v>
      </c>
    </row>
    <row r="247" spans="1:45" x14ac:dyDescent="0.3">
      <c r="A247">
        <v>7411</v>
      </c>
      <c r="B247">
        <v>1964</v>
      </c>
      <c r="C247" t="s">
        <v>32</v>
      </c>
      <c r="D247" t="s">
        <v>33</v>
      </c>
      <c r="E247">
        <v>31686</v>
      </c>
      <c r="F247">
        <v>1</v>
      </c>
      <c r="G247">
        <v>1</v>
      </c>
      <c r="H247" s="1">
        <v>41795</v>
      </c>
      <c r="I247">
        <v>31</v>
      </c>
      <c r="J247">
        <v>11</v>
      </c>
      <c r="K247">
        <v>0</v>
      </c>
      <c r="L247">
        <v>5</v>
      </c>
      <c r="M247">
        <v>0</v>
      </c>
      <c r="N247">
        <v>0</v>
      </c>
      <c r="O247">
        <v>1</v>
      </c>
      <c r="P247">
        <v>2</v>
      </c>
      <c r="Q247">
        <v>1</v>
      </c>
      <c r="R247">
        <v>0</v>
      </c>
      <c r="S247">
        <v>3</v>
      </c>
      <c r="T247">
        <v>6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3</v>
      </c>
      <c r="AB247">
        <v>11</v>
      </c>
      <c r="AC247">
        <v>0</v>
      </c>
      <c r="AD247" t="str">
        <f t="shared" si="39"/>
        <v>Ok</v>
      </c>
      <c r="AE247" t="str">
        <f>IF(AND(Audit_Data[[#This Row],[Year_Birth]]&gt;=1900,Audit_Data[[#This Row],[Year_Birth]]&lt;=2010),"OK","Invalid")</f>
        <v>OK</v>
      </c>
      <c r="AF247" t="str">
        <f t="shared" si="40"/>
        <v>Valid</v>
      </c>
      <c r="AG247" t="str">
        <f t="shared" si="41"/>
        <v>Valid</v>
      </c>
      <c r="AH247" t="str">
        <f t="shared" si="42"/>
        <v>Valid</v>
      </c>
      <c r="AI247" t="str">
        <f t="shared" si="43"/>
        <v>Valid</v>
      </c>
      <c r="AJ247" t="str">
        <f t="shared" si="44"/>
        <v>Valid</v>
      </c>
      <c r="AK247" t="str">
        <f t="shared" si="51"/>
        <v xml:space="preserve">Valid </v>
      </c>
      <c r="AL247" t="str">
        <f>IF(AND(Audit_Data[[#This Row],[Recency]]&gt;=0,Audit_Data[[#This Row],[Recency]]&lt;=100),"Valid","Invalid")</f>
        <v>Valid</v>
      </c>
      <c r="AM247" t="str">
        <f t="shared" si="45"/>
        <v>Valid</v>
      </c>
      <c r="AN247" t="str">
        <f t="shared" si="46"/>
        <v>Valid</v>
      </c>
      <c r="AO247" t="str">
        <f t="shared" si="47"/>
        <v>Valid</v>
      </c>
      <c r="AP247" t="str">
        <f t="shared" si="48"/>
        <v>Valid</v>
      </c>
      <c r="AQ247" t="str">
        <f>IF(Audit_Data[[#This Row],[Z_CostContact]]=3,"Valid","Invalid")</f>
        <v>Valid</v>
      </c>
      <c r="AR247" t="str">
        <f t="shared" si="49"/>
        <v>Valid</v>
      </c>
      <c r="AS247" t="str">
        <f t="shared" si="50"/>
        <v>Valid</v>
      </c>
    </row>
    <row r="248" spans="1:45" x14ac:dyDescent="0.3">
      <c r="A248">
        <v>2176</v>
      </c>
      <c r="B248">
        <v>1972</v>
      </c>
      <c r="C248" t="s">
        <v>29</v>
      </c>
      <c r="D248" t="s">
        <v>33</v>
      </c>
      <c r="E248">
        <v>80134</v>
      </c>
      <c r="F248">
        <v>1</v>
      </c>
      <c r="G248">
        <v>0</v>
      </c>
      <c r="H248" s="1">
        <v>41414</v>
      </c>
      <c r="I248">
        <v>40</v>
      </c>
      <c r="J248">
        <v>1218</v>
      </c>
      <c r="K248">
        <v>16</v>
      </c>
      <c r="L248">
        <v>272</v>
      </c>
      <c r="M248">
        <v>104</v>
      </c>
      <c r="N248">
        <v>0</v>
      </c>
      <c r="O248">
        <v>80</v>
      </c>
      <c r="P248">
        <v>2</v>
      </c>
      <c r="Q248">
        <v>5</v>
      </c>
      <c r="R248">
        <v>3</v>
      </c>
      <c r="S248">
        <v>6</v>
      </c>
      <c r="T248">
        <v>6</v>
      </c>
      <c r="U248">
        <v>0</v>
      </c>
      <c r="V248">
        <v>1</v>
      </c>
      <c r="W248">
        <v>1</v>
      </c>
      <c r="X248">
        <v>1</v>
      </c>
      <c r="Y248">
        <v>0</v>
      </c>
      <c r="Z248">
        <v>0</v>
      </c>
      <c r="AA248">
        <v>3</v>
      </c>
      <c r="AB248">
        <v>11</v>
      </c>
      <c r="AC248">
        <v>1</v>
      </c>
      <c r="AD248" t="str">
        <f t="shared" si="39"/>
        <v>Ok</v>
      </c>
      <c r="AE248" t="str">
        <f>IF(AND(Audit_Data[[#This Row],[Year_Birth]]&gt;=1900,Audit_Data[[#This Row],[Year_Birth]]&lt;=2010),"OK","Invalid")</f>
        <v>OK</v>
      </c>
      <c r="AF248" t="str">
        <f t="shared" si="40"/>
        <v>Valid</v>
      </c>
      <c r="AG248" t="str">
        <f t="shared" si="41"/>
        <v>Valid</v>
      </c>
      <c r="AH248" t="str">
        <f t="shared" si="42"/>
        <v>Valid</v>
      </c>
      <c r="AI248" t="str">
        <f t="shared" si="43"/>
        <v>Valid</v>
      </c>
      <c r="AJ248" t="str">
        <f t="shared" si="44"/>
        <v>Valid</v>
      </c>
      <c r="AK248" t="str">
        <f t="shared" si="51"/>
        <v xml:space="preserve">Valid </v>
      </c>
      <c r="AL248" t="str">
        <f>IF(AND(Audit_Data[[#This Row],[Recency]]&gt;=0,Audit_Data[[#This Row],[Recency]]&lt;=100),"Valid","Invalid")</f>
        <v>Valid</v>
      </c>
      <c r="AM248" t="str">
        <f t="shared" si="45"/>
        <v>Valid</v>
      </c>
      <c r="AN248" t="str">
        <f t="shared" si="46"/>
        <v>Valid</v>
      </c>
      <c r="AO248" t="str">
        <f t="shared" si="47"/>
        <v>Valid</v>
      </c>
      <c r="AP248" t="str">
        <f t="shared" si="48"/>
        <v>Valid</v>
      </c>
      <c r="AQ248" t="str">
        <f>IF(Audit_Data[[#This Row],[Z_CostContact]]=3,"Valid","Invalid")</f>
        <v>Valid</v>
      </c>
      <c r="AR248" t="str">
        <f t="shared" si="49"/>
        <v>Valid</v>
      </c>
      <c r="AS248" t="str">
        <f t="shared" si="50"/>
        <v>Valid</v>
      </c>
    </row>
    <row r="249" spans="1:45" x14ac:dyDescent="0.3">
      <c r="A249">
        <v>9265</v>
      </c>
      <c r="B249">
        <v>1953</v>
      </c>
      <c r="C249" t="s">
        <v>29</v>
      </c>
      <c r="D249" t="s">
        <v>33</v>
      </c>
      <c r="E249">
        <v>75027</v>
      </c>
      <c r="F249">
        <v>0</v>
      </c>
      <c r="G249">
        <v>1</v>
      </c>
      <c r="H249" s="1">
        <v>41283</v>
      </c>
      <c r="I249">
        <v>74</v>
      </c>
      <c r="J249">
        <v>925</v>
      </c>
      <c r="K249">
        <v>64</v>
      </c>
      <c r="L249">
        <v>179</v>
      </c>
      <c r="M249">
        <v>133</v>
      </c>
      <c r="N249">
        <v>12</v>
      </c>
      <c r="O249">
        <v>77</v>
      </c>
      <c r="P249">
        <v>2</v>
      </c>
      <c r="Q249">
        <v>9</v>
      </c>
      <c r="R249">
        <v>4</v>
      </c>
      <c r="S249">
        <v>6</v>
      </c>
      <c r="T249">
        <v>5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3</v>
      </c>
      <c r="AB249">
        <v>11</v>
      </c>
      <c r="AC249">
        <v>0</v>
      </c>
      <c r="AD249" t="str">
        <f t="shared" si="39"/>
        <v>Ok</v>
      </c>
      <c r="AE249" t="str">
        <f>IF(AND(Audit_Data[[#This Row],[Year_Birth]]&gt;=1900,Audit_Data[[#This Row],[Year_Birth]]&lt;=2010),"OK","Invalid")</f>
        <v>OK</v>
      </c>
      <c r="AF249" t="str">
        <f t="shared" si="40"/>
        <v>Valid</v>
      </c>
      <c r="AG249" t="str">
        <f t="shared" si="41"/>
        <v>Valid</v>
      </c>
      <c r="AH249" t="str">
        <f t="shared" si="42"/>
        <v>Valid</v>
      </c>
      <c r="AI249" t="str">
        <f t="shared" si="43"/>
        <v>Valid</v>
      </c>
      <c r="AJ249" t="str">
        <f t="shared" si="44"/>
        <v>Valid</v>
      </c>
      <c r="AK249" t="str">
        <f t="shared" si="51"/>
        <v xml:space="preserve">Valid </v>
      </c>
      <c r="AL249" t="str">
        <f>IF(AND(Audit_Data[[#This Row],[Recency]]&gt;=0,Audit_Data[[#This Row],[Recency]]&lt;=100),"Valid","Invalid")</f>
        <v>Valid</v>
      </c>
      <c r="AM249" t="str">
        <f t="shared" si="45"/>
        <v>Valid</v>
      </c>
      <c r="AN249" t="str">
        <f t="shared" si="46"/>
        <v>Valid</v>
      </c>
      <c r="AO249" t="str">
        <f t="shared" si="47"/>
        <v>Valid</v>
      </c>
      <c r="AP249" t="str">
        <f t="shared" si="48"/>
        <v>Valid</v>
      </c>
      <c r="AQ249" t="str">
        <f>IF(Audit_Data[[#This Row],[Z_CostContact]]=3,"Valid","Invalid")</f>
        <v>Valid</v>
      </c>
      <c r="AR249" t="str">
        <f t="shared" si="49"/>
        <v>Valid</v>
      </c>
      <c r="AS249" t="str">
        <f t="shared" si="50"/>
        <v>Valid</v>
      </c>
    </row>
    <row r="250" spans="1:45" x14ac:dyDescent="0.3">
      <c r="A250">
        <v>8867</v>
      </c>
      <c r="B250">
        <v>1988</v>
      </c>
      <c r="C250" t="s">
        <v>32</v>
      </c>
      <c r="D250" t="s">
        <v>33</v>
      </c>
      <c r="E250">
        <v>67546</v>
      </c>
      <c r="F250">
        <v>0</v>
      </c>
      <c r="G250">
        <v>0</v>
      </c>
      <c r="H250" s="1">
        <v>41152</v>
      </c>
      <c r="I250">
        <v>90</v>
      </c>
      <c r="J250">
        <v>864</v>
      </c>
      <c r="K250">
        <v>134</v>
      </c>
      <c r="L250">
        <v>768</v>
      </c>
      <c r="M250">
        <v>150</v>
      </c>
      <c r="N250">
        <v>38</v>
      </c>
      <c r="O250">
        <v>172</v>
      </c>
      <c r="P250">
        <v>1</v>
      </c>
      <c r="Q250">
        <v>4</v>
      </c>
      <c r="R250">
        <v>10</v>
      </c>
      <c r="S250">
        <v>5</v>
      </c>
      <c r="T250">
        <v>3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3</v>
      </c>
      <c r="AB250">
        <v>11</v>
      </c>
      <c r="AC250">
        <v>0</v>
      </c>
      <c r="AD250" t="str">
        <f t="shared" si="39"/>
        <v>Ok</v>
      </c>
      <c r="AE250" t="str">
        <f>IF(AND(Audit_Data[[#This Row],[Year_Birth]]&gt;=1900,Audit_Data[[#This Row],[Year_Birth]]&lt;=2010),"OK","Invalid")</f>
        <v>OK</v>
      </c>
      <c r="AF250" t="str">
        <f t="shared" si="40"/>
        <v>Valid</v>
      </c>
      <c r="AG250" t="str">
        <f t="shared" si="41"/>
        <v>Valid</v>
      </c>
      <c r="AH250" t="str">
        <f t="shared" si="42"/>
        <v>Valid</v>
      </c>
      <c r="AI250" t="str">
        <f t="shared" si="43"/>
        <v>Valid</v>
      </c>
      <c r="AJ250" t="str">
        <f t="shared" si="44"/>
        <v>Valid</v>
      </c>
      <c r="AK250" t="str">
        <f t="shared" si="51"/>
        <v xml:space="preserve">Valid </v>
      </c>
      <c r="AL250" t="str">
        <f>IF(AND(Audit_Data[[#This Row],[Recency]]&gt;=0,Audit_Data[[#This Row],[Recency]]&lt;=100),"Valid","Invalid")</f>
        <v>Valid</v>
      </c>
      <c r="AM250" t="str">
        <f t="shared" si="45"/>
        <v>Valid</v>
      </c>
      <c r="AN250" t="str">
        <f t="shared" si="46"/>
        <v>Valid</v>
      </c>
      <c r="AO250" t="str">
        <f t="shared" si="47"/>
        <v>Valid</v>
      </c>
      <c r="AP250" t="str">
        <f t="shared" si="48"/>
        <v>Valid</v>
      </c>
      <c r="AQ250" t="str">
        <f>IF(Audit_Data[[#This Row],[Z_CostContact]]=3,"Valid","Invalid")</f>
        <v>Valid</v>
      </c>
      <c r="AR250" t="str">
        <f t="shared" si="49"/>
        <v>Valid</v>
      </c>
      <c r="AS250" t="str">
        <f t="shared" si="50"/>
        <v>Valid</v>
      </c>
    </row>
    <row r="251" spans="1:45" x14ac:dyDescent="0.3">
      <c r="A251">
        <v>8932</v>
      </c>
      <c r="B251">
        <v>1969</v>
      </c>
      <c r="C251" t="s">
        <v>34</v>
      </c>
      <c r="D251" t="s">
        <v>31</v>
      </c>
      <c r="E251">
        <v>65176</v>
      </c>
      <c r="F251">
        <v>0</v>
      </c>
      <c r="G251">
        <v>1</v>
      </c>
      <c r="H251" s="1">
        <v>41211</v>
      </c>
      <c r="I251">
        <v>57</v>
      </c>
      <c r="J251">
        <v>960</v>
      </c>
      <c r="K251">
        <v>28</v>
      </c>
      <c r="L251">
        <v>183</v>
      </c>
      <c r="M251">
        <v>220</v>
      </c>
      <c r="N251">
        <v>70</v>
      </c>
      <c r="O251">
        <v>70</v>
      </c>
      <c r="P251">
        <v>4</v>
      </c>
      <c r="Q251">
        <v>9</v>
      </c>
      <c r="R251">
        <v>6</v>
      </c>
      <c r="S251">
        <v>6</v>
      </c>
      <c r="T251">
        <v>6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3</v>
      </c>
      <c r="AB251">
        <v>11</v>
      </c>
      <c r="AC251">
        <v>0</v>
      </c>
      <c r="AD251" t="str">
        <f t="shared" si="39"/>
        <v>Ok</v>
      </c>
      <c r="AE251" t="str">
        <f>IF(AND(Audit_Data[[#This Row],[Year_Birth]]&gt;=1900,Audit_Data[[#This Row],[Year_Birth]]&lt;=2010),"OK","Invalid")</f>
        <v>OK</v>
      </c>
      <c r="AF251" t="str">
        <f t="shared" si="40"/>
        <v>Valid</v>
      </c>
      <c r="AG251" t="str">
        <f t="shared" si="41"/>
        <v>Valid</v>
      </c>
      <c r="AH251" t="str">
        <f t="shared" si="42"/>
        <v>Valid</v>
      </c>
      <c r="AI251" t="str">
        <f t="shared" si="43"/>
        <v>Valid</v>
      </c>
      <c r="AJ251" t="str">
        <f t="shared" si="44"/>
        <v>Valid</v>
      </c>
      <c r="AK251" t="str">
        <f t="shared" si="51"/>
        <v xml:space="preserve">Valid </v>
      </c>
      <c r="AL251" t="str">
        <f>IF(AND(Audit_Data[[#This Row],[Recency]]&gt;=0,Audit_Data[[#This Row],[Recency]]&lt;=100),"Valid","Invalid")</f>
        <v>Valid</v>
      </c>
      <c r="AM251" t="str">
        <f t="shared" si="45"/>
        <v>Valid</v>
      </c>
      <c r="AN251" t="str">
        <f t="shared" si="46"/>
        <v>Valid</v>
      </c>
      <c r="AO251" t="str">
        <f t="shared" si="47"/>
        <v>Valid</v>
      </c>
      <c r="AP251" t="str">
        <f t="shared" si="48"/>
        <v>Valid</v>
      </c>
      <c r="AQ251" t="str">
        <f>IF(Audit_Data[[#This Row],[Z_CostContact]]=3,"Valid","Invalid")</f>
        <v>Valid</v>
      </c>
      <c r="AR251" t="str">
        <f t="shared" si="49"/>
        <v>Valid</v>
      </c>
      <c r="AS251" t="str">
        <f t="shared" si="50"/>
        <v>Valid</v>
      </c>
    </row>
    <row r="252" spans="1:45" x14ac:dyDescent="0.3">
      <c r="A252">
        <v>10236</v>
      </c>
      <c r="B252">
        <v>1975</v>
      </c>
      <c r="C252" t="s">
        <v>34</v>
      </c>
      <c r="D252" t="s">
        <v>30</v>
      </c>
      <c r="E252">
        <v>31160</v>
      </c>
      <c r="F252">
        <v>1</v>
      </c>
      <c r="G252">
        <v>0</v>
      </c>
      <c r="H252" s="1">
        <v>41533</v>
      </c>
      <c r="I252">
        <v>59</v>
      </c>
      <c r="J252">
        <v>16</v>
      </c>
      <c r="K252">
        <v>3</v>
      </c>
      <c r="L252">
        <v>25</v>
      </c>
      <c r="M252">
        <v>6</v>
      </c>
      <c r="N252">
        <v>1</v>
      </c>
      <c r="O252">
        <v>13</v>
      </c>
      <c r="P252">
        <v>2</v>
      </c>
      <c r="Q252">
        <v>2</v>
      </c>
      <c r="R252">
        <v>0</v>
      </c>
      <c r="S252">
        <v>3</v>
      </c>
      <c r="T252">
        <v>8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3</v>
      </c>
      <c r="AB252">
        <v>11</v>
      </c>
      <c r="AC252">
        <v>0</v>
      </c>
      <c r="AD252" t="str">
        <f t="shared" si="39"/>
        <v>Ok</v>
      </c>
      <c r="AE252" t="str">
        <f>IF(AND(Audit_Data[[#This Row],[Year_Birth]]&gt;=1900,Audit_Data[[#This Row],[Year_Birth]]&lt;=2010),"OK","Invalid")</f>
        <v>OK</v>
      </c>
      <c r="AF252" t="str">
        <f t="shared" si="40"/>
        <v>Valid</v>
      </c>
      <c r="AG252" t="str">
        <f t="shared" si="41"/>
        <v>Valid</v>
      </c>
      <c r="AH252" t="str">
        <f t="shared" si="42"/>
        <v>Valid</v>
      </c>
      <c r="AI252" t="str">
        <f t="shared" si="43"/>
        <v>Valid</v>
      </c>
      <c r="AJ252" t="str">
        <f t="shared" si="44"/>
        <v>Valid</v>
      </c>
      <c r="AK252" t="str">
        <f t="shared" si="51"/>
        <v xml:space="preserve">Valid </v>
      </c>
      <c r="AL252" t="str">
        <f>IF(AND(Audit_Data[[#This Row],[Recency]]&gt;=0,Audit_Data[[#This Row],[Recency]]&lt;=100),"Valid","Invalid")</f>
        <v>Valid</v>
      </c>
      <c r="AM252" t="str">
        <f t="shared" si="45"/>
        <v>Valid</v>
      </c>
      <c r="AN252" t="str">
        <f t="shared" si="46"/>
        <v>Valid</v>
      </c>
      <c r="AO252" t="str">
        <f t="shared" si="47"/>
        <v>Valid</v>
      </c>
      <c r="AP252" t="str">
        <f t="shared" si="48"/>
        <v>Valid</v>
      </c>
      <c r="AQ252" t="str">
        <f>IF(Audit_Data[[#This Row],[Z_CostContact]]=3,"Valid","Invalid")</f>
        <v>Valid</v>
      </c>
      <c r="AR252" t="str">
        <f t="shared" si="49"/>
        <v>Valid</v>
      </c>
      <c r="AS252" t="str">
        <f t="shared" si="50"/>
        <v>Valid</v>
      </c>
    </row>
    <row r="253" spans="1:45" x14ac:dyDescent="0.3">
      <c r="A253">
        <v>6340</v>
      </c>
      <c r="B253">
        <v>1985</v>
      </c>
      <c r="C253" t="s">
        <v>29</v>
      </c>
      <c r="D253" t="s">
        <v>30</v>
      </c>
      <c r="E253">
        <v>29938</v>
      </c>
      <c r="F253">
        <v>1</v>
      </c>
      <c r="G253">
        <v>0</v>
      </c>
      <c r="H253" s="1">
        <v>41574</v>
      </c>
      <c r="I253">
        <v>52</v>
      </c>
      <c r="J253">
        <v>3</v>
      </c>
      <c r="K253">
        <v>3</v>
      </c>
      <c r="L253">
        <v>7</v>
      </c>
      <c r="M253">
        <v>0</v>
      </c>
      <c r="N253">
        <v>2</v>
      </c>
      <c r="O253">
        <v>11</v>
      </c>
      <c r="P253">
        <v>2</v>
      </c>
      <c r="Q253">
        <v>1</v>
      </c>
      <c r="R253">
        <v>0</v>
      </c>
      <c r="S253">
        <v>3</v>
      </c>
      <c r="T253">
        <v>6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3</v>
      </c>
      <c r="AB253">
        <v>11</v>
      </c>
      <c r="AC253">
        <v>0</v>
      </c>
      <c r="AD253" t="str">
        <f t="shared" si="39"/>
        <v>Ok</v>
      </c>
      <c r="AE253" t="str">
        <f>IF(AND(Audit_Data[[#This Row],[Year_Birth]]&gt;=1900,Audit_Data[[#This Row],[Year_Birth]]&lt;=2010),"OK","Invalid")</f>
        <v>OK</v>
      </c>
      <c r="AF253" t="str">
        <f t="shared" si="40"/>
        <v>Valid</v>
      </c>
      <c r="AG253" t="str">
        <f t="shared" si="41"/>
        <v>Valid</v>
      </c>
      <c r="AH253" t="str">
        <f t="shared" si="42"/>
        <v>Valid</v>
      </c>
      <c r="AI253" t="str">
        <f t="shared" si="43"/>
        <v>Valid</v>
      </c>
      <c r="AJ253" t="str">
        <f t="shared" si="44"/>
        <v>Valid</v>
      </c>
      <c r="AK253" t="str">
        <f t="shared" si="51"/>
        <v xml:space="preserve">Valid </v>
      </c>
      <c r="AL253" t="str">
        <f>IF(AND(Audit_Data[[#This Row],[Recency]]&gt;=0,Audit_Data[[#This Row],[Recency]]&lt;=100),"Valid","Invalid")</f>
        <v>Valid</v>
      </c>
      <c r="AM253" t="str">
        <f t="shared" si="45"/>
        <v>Valid</v>
      </c>
      <c r="AN253" t="str">
        <f t="shared" si="46"/>
        <v>Valid</v>
      </c>
      <c r="AO253" t="str">
        <f t="shared" si="47"/>
        <v>Valid</v>
      </c>
      <c r="AP253" t="str">
        <f t="shared" si="48"/>
        <v>Valid</v>
      </c>
      <c r="AQ253" t="str">
        <f>IF(Audit_Data[[#This Row],[Z_CostContact]]=3,"Valid","Invalid")</f>
        <v>Valid</v>
      </c>
      <c r="AR253" t="str">
        <f t="shared" si="49"/>
        <v>Valid</v>
      </c>
      <c r="AS253" t="str">
        <f t="shared" si="50"/>
        <v>Valid</v>
      </c>
    </row>
    <row r="254" spans="1:45" x14ac:dyDescent="0.3">
      <c r="A254">
        <v>10089</v>
      </c>
      <c r="B254">
        <v>1974</v>
      </c>
      <c r="C254" t="s">
        <v>29</v>
      </c>
      <c r="D254" t="s">
        <v>35</v>
      </c>
      <c r="E254">
        <v>102692</v>
      </c>
      <c r="F254">
        <v>0</v>
      </c>
      <c r="G254">
        <v>0</v>
      </c>
      <c r="H254" s="1">
        <v>41369</v>
      </c>
      <c r="I254">
        <v>5</v>
      </c>
      <c r="J254">
        <v>168</v>
      </c>
      <c r="K254">
        <v>148</v>
      </c>
      <c r="L254">
        <v>444</v>
      </c>
      <c r="M254">
        <v>32</v>
      </c>
      <c r="N254">
        <v>172</v>
      </c>
      <c r="O254">
        <v>148</v>
      </c>
      <c r="P254">
        <v>1</v>
      </c>
      <c r="Q254">
        <v>6</v>
      </c>
      <c r="R254">
        <v>9</v>
      </c>
      <c r="S254">
        <v>13</v>
      </c>
      <c r="T254">
        <v>2</v>
      </c>
      <c r="U254">
        <v>0</v>
      </c>
      <c r="V254">
        <v>1</v>
      </c>
      <c r="W254">
        <v>1</v>
      </c>
      <c r="X254">
        <v>1</v>
      </c>
      <c r="Y254">
        <v>1</v>
      </c>
      <c r="Z254">
        <v>0</v>
      </c>
      <c r="AA254">
        <v>3</v>
      </c>
      <c r="AB254">
        <v>11</v>
      </c>
      <c r="AC254">
        <v>1</v>
      </c>
      <c r="AD254" t="str">
        <f t="shared" si="39"/>
        <v>Ok</v>
      </c>
      <c r="AE254" t="str">
        <f>IF(AND(Audit_Data[[#This Row],[Year_Birth]]&gt;=1900,Audit_Data[[#This Row],[Year_Birth]]&lt;=2010),"OK","Invalid")</f>
        <v>OK</v>
      </c>
      <c r="AF254" t="str">
        <f t="shared" si="40"/>
        <v>Valid</v>
      </c>
      <c r="AG254" t="str">
        <f t="shared" si="41"/>
        <v>Valid</v>
      </c>
      <c r="AH254" t="str">
        <f t="shared" si="42"/>
        <v>Valid</v>
      </c>
      <c r="AI254" t="str">
        <f t="shared" si="43"/>
        <v>Valid</v>
      </c>
      <c r="AJ254" t="str">
        <f t="shared" si="44"/>
        <v>Valid</v>
      </c>
      <c r="AK254" t="str">
        <f t="shared" si="51"/>
        <v xml:space="preserve">Valid </v>
      </c>
      <c r="AL254" t="str">
        <f>IF(AND(Audit_Data[[#This Row],[Recency]]&gt;=0,Audit_Data[[#This Row],[Recency]]&lt;=100),"Valid","Invalid")</f>
        <v>Valid</v>
      </c>
      <c r="AM254" t="str">
        <f t="shared" si="45"/>
        <v>Valid</v>
      </c>
      <c r="AN254" t="str">
        <f t="shared" si="46"/>
        <v>Valid</v>
      </c>
      <c r="AO254" t="str">
        <f t="shared" si="47"/>
        <v>Valid</v>
      </c>
      <c r="AP254" t="str">
        <f t="shared" si="48"/>
        <v>Valid</v>
      </c>
      <c r="AQ254" t="str">
        <f>IF(Audit_Data[[#This Row],[Z_CostContact]]=3,"Valid","Invalid")</f>
        <v>Valid</v>
      </c>
      <c r="AR254" t="str">
        <f t="shared" si="49"/>
        <v>Valid</v>
      </c>
      <c r="AS254" t="str">
        <f t="shared" si="50"/>
        <v>Valid</v>
      </c>
    </row>
    <row r="255" spans="1:45" x14ac:dyDescent="0.3">
      <c r="A255">
        <v>2227</v>
      </c>
      <c r="B255">
        <v>1958</v>
      </c>
      <c r="C255" t="s">
        <v>37</v>
      </c>
      <c r="D255" t="s">
        <v>31</v>
      </c>
      <c r="E255">
        <v>26490</v>
      </c>
      <c r="F255">
        <v>0</v>
      </c>
      <c r="G255">
        <v>0</v>
      </c>
      <c r="H255" s="1">
        <v>41174</v>
      </c>
      <c r="I255">
        <v>92</v>
      </c>
      <c r="J255">
        <v>45</v>
      </c>
      <c r="K255">
        <v>47</v>
      </c>
      <c r="L255">
        <v>52</v>
      </c>
      <c r="M255">
        <v>21</v>
      </c>
      <c r="N255">
        <v>20</v>
      </c>
      <c r="O255">
        <v>25</v>
      </c>
      <c r="P255">
        <v>2</v>
      </c>
      <c r="Q255">
        <v>3</v>
      </c>
      <c r="R255">
        <v>1</v>
      </c>
      <c r="S255">
        <v>5</v>
      </c>
      <c r="T255">
        <v>6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3</v>
      </c>
      <c r="AB255">
        <v>11</v>
      </c>
      <c r="AC255">
        <v>0</v>
      </c>
      <c r="AD255" t="str">
        <f t="shared" si="39"/>
        <v>Ok</v>
      </c>
      <c r="AE255" t="str">
        <f>IF(AND(Audit_Data[[#This Row],[Year_Birth]]&gt;=1900,Audit_Data[[#This Row],[Year_Birth]]&lt;=2010),"OK","Invalid")</f>
        <v>OK</v>
      </c>
      <c r="AF255" t="str">
        <f t="shared" si="40"/>
        <v>Valid</v>
      </c>
      <c r="AG255" t="str">
        <f t="shared" si="41"/>
        <v>Valid</v>
      </c>
      <c r="AH255" t="str">
        <f t="shared" si="42"/>
        <v>Valid</v>
      </c>
      <c r="AI255" t="str">
        <f t="shared" si="43"/>
        <v>Valid</v>
      </c>
      <c r="AJ255" t="str">
        <f t="shared" si="44"/>
        <v>Valid</v>
      </c>
      <c r="AK255" t="str">
        <f t="shared" si="51"/>
        <v xml:space="preserve">Valid </v>
      </c>
      <c r="AL255" t="str">
        <f>IF(AND(Audit_Data[[#This Row],[Recency]]&gt;=0,Audit_Data[[#This Row],[Recency]]&lt;=100),"Valid","Invalid")</f>
        <v>Valid</v>
      </c>
      <c r="AM255" t="str">
        <f t="shared" si="45"/>
        <v>Valid</v>
      </c>
      <c r="AN255" t="str">
        <f t="shared" si="46"/>
        <v>Valid</v>
      </c>
      <c r="AO255" t="str">
        <f t="shared" si="47"/>
        <v>Valid</v>
      </c>
      <c r="AP255" t="str">
        <f t="shared" si="48"/>
        <v>Valid</v>
      </c>
      <c r="AQ255" t="str">
        <f>IF(Audit_Data[[#This Row],[Z_CostContact]]=3,"Valid","Invalid")</f>
        <v>Valid</v>
      </c>
      <c r="AR255" t="str">
        <f t="shared" si="49"/>
        <v>Valid</v>
      </c>
      <c r="AS255" t="str">
        <f t="shared" si="50"/>
        <v>Valid</v>
      </c>
    </row>
    <row r="256" spans="1:45" x14ac:dyDescent="0.3">
      <c r="A256">
        <v>10992</v>
      </c>
      <c r="B256">
        <v>1967</v>
      </c>
      <c r="C256" t="s">
        <v>29</v>
      </c>
      <c r="D256" t="s">
        <v>31</v>
      </c>
      <c r="E256">
        <v>75702</v>
      </c>
      <c r="F256">
        <v>1</v>
      </c>
      <c r="G256">
        <v>1</v>
      </c>
      <c r="H256" s="1">
        <v>41150</v>
      </c>
      <c r="I256">
        <v>77</v>
      </c>
      <c r="J256">
        <v>650</v>
      </c>
      <c r="K256">
        <v>28</v>
      </c>
      <c r="L256">
        <v>353</v>
      </c>
      <c r="M256">
        <v>45</v>
      </c>
      <c r="N256">
        <v>42</v>
      </c>
      <c r="O256">
        <v>30</v>
      </c>
      <c r="P256">
        <v>5</v>
      </c>
      <c r="Q256">
        <v>4</v>
      </c>
      <c r="R256">
        <v>6</v>
      </c>
      <c r="S256">
        <v>11</v>
      </c>
      <c r="T256">
        <v>8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3</v>
      </c>
      <c r="AB256">
        <v>11</v>
      </c>
      <c r="AC256">
        <v>0</v>
      </c>
      <c r="AD256" t="str">
        <f t="shared" si="39"/>
        <v>Ok</v>
      </c>
      <c r="AE256" t="str">
        <f>IF(AND(Audit_Data[[#This Row],[Year_Birth]]&gt;=1900,Audit_Data[[#This Row],[Year_Birth]]&lt;=2010),"OK","Invalid")</f>
        <v>OK</v>
      </c>
      <c r="AF256" t="str">
        <f t="shared" si="40"/>
        <v>Valid</v>
      </c>
      <c r="AG256" t="str">
        <f t="shared" si="41"/>
        <v>Valid</v>
      </c>
      <c r="AH256" t="str">
        <f t="shared" si="42"/>
        <v>Valid</v>
      </c>
      <c r="AI256" t="str">
        <f t="shared" si="43"/>
        <v>Valid</v>
      </c>
      <c r="AJ256" t="str">
        <f t="shared" si="44"/>
        <v>Valid</v>
      </c>
      <c r="AK256" t="str">
        <f t="shared" si="51"/>
        <v xml:space="preserve">Valid </v>
      </c>
      <c r="AL256" t="str">
        <f>IF(AND(Audit_Data[[#This Row],[Recency]]&gt;=0,Audit_Data[[#This Row],[Recency]]&lt;=100),"Valid","Invalid")</f>
        <v>Valid</v>
      </c>
      <c r="AM256" t="str">
        <f t="shared" si="45"/>
        <v>Valid</v>
      </c>
      <c r="AN256" t="str">
        <f t="shared" si="46"/>
        <v>Valid</v>
      </c>
      <c r="AO256" t="str">
        <f t="shared" si="47"/>
        <v>Valid</v>
      </c>
      <c r="AP256" t="str">
        <f t="shared" si="48"/>
        <v>Valid</v>
      </c>
      <c r="AQ256" t="str">
        <f>IF(Audit_Data[[#This Row],[Z_CostContact]]=3,"Valid","Invalid")</f>
        <v>Valid</v>
      </c>
      <c r="AR256" t="str">
        <f t="shared" si="49"/>
        <v>Valid</v>
      </c>
      <c r="AS256" t="str">
        <f t="shared" si="50"/>
        <v>Valid</v>
      </c>
    </row>
    <row r="257" spans="1:45" x14ac:dyDescent="0.3">
      <c r="A257">
        <v>5304</v>
      </c>
      <c r="B257">
        <v>1974</v>
      </c>
      <c r="C257" t="s">
        <v>32</v>
      </c>
      <c r="D257" t="s">
        <v>30</v>
      </c>
      <c r="E257">
        <v>30899</v>
      </c>
      <c r="F257">
        <v>1</v>
      </c>
      <c r="G257">
        <v>0</v>
      </c>
      <c r="H257" s="1">
        <v>41195</v>
      </c>
      <c r="I257">
        <v>35</v>
      </c>
      <c r="J257">
        <v>24</v>
      </c>
      <c r="K257">
        <v>0</v>
      </c>
      <c r="L257">
        <v>8</v>
      </c>
      <c r="M257">
        <v>0</v>
      </c>
      <c r="N257">
        <v>0</v>
      </c>
      <c r="O257">
        <v>1</v>
      </c>
      <c r="P257">
        <v>2</v>
      </c>
      <c r="Q257">
        <v>1</v>
      </c>
      <c r="R257">
        <v>0</v>
      </c>
      <c r="S257">
        <v>3</v>
      </c>
      <c r="T257">
        <v>6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3</v>
      </c>
      <c r="AB257">
        <v>11</v>
      </c>
      <c r="AC257">
        <v>0</v>
      </c>
      <c r="AD257" t="str">
        <f t="shared" si="39"/>
        <v>Ok</v>
      </c>
      <c r="AE257" t="str">
        <f>IF(AND(Audit_Data[[#This Row],[Year_Birth]]&gt;=1900,Audit_Data[[#This Row],[Year_Birth]]&lt;=2010),"OK","Invalid")</f>
        <v>OK</v>
      </c>
      <c r="AF257" t="str">
        <f t="shared" si="40"/>
        <v>Valid</v>
      </c>
      <c r="AG257" t="str">
        <f t="shared" si="41"/>
        <v>Valid</v>
      </c>
      <c r="AH257" t="str">
        <f t="shared" si="42"/>
        <v>Valid</v>
      </c>
      <c r="AI257" t="str">
        <f t="shared" si="43"/>
        <v>Valid</v>
      </c>
      <c r="AJ257" t="str">
        <f t="shared" si="44"/>
        <v>Valid</v>
      </c>
      <c r="AK257" t="str">
        <f t="shared" si="51"/>
        <v xml:space="preserve">Valid </v>
      </c>
      <c r="AL257" t="str">
        <f>IF(AND(Audit_Data[[#This Row],[Recency]]&gt;=0,Audit_Data[[#This Row],[Recency]]&lt;=100),"Valid","Invalid")</f>
        <v>Valid</v>
      </c>
      <c r="AM257" t="str">
        <f t="shared" si="45"/>
        <v>Valid</v>
      </c>
      <c r="AN257" t="str">
        <f t="shared" si="46"/>
        <v>Valid</v>
      </c>
      <c r="AO257" t="str">
        <f t="shared" si="47"/>
        <v>Valid</v>
      </c>
      <c r="AP257" t="str">
        <f t="shared" si="48"/>
        <v>Valid</v>
      </c>
      <c r="AQ257" t="str">
        <f>IF(Audit_Data[[#This Row],[Z_CostContact]]=3,"Valid","Invalid")</f>
        <v>Valid</v>
      </c>
      <c r="AR257" t="str">
        <f t="shared" si="49"/>
        <v>Valid</v>
      </c>
      <c r="AS257" t="str">
        <f t="shared" si="50"/>
        <v>Valid</v>
      </c>
    </row>
    <row r="258" spans="1:45" x14ac:dyDescent="0.3">
      <c r="A258">
        <v>309</v>
      </c>
      <c r="B258">
        <v>1961</v>
      </c>
      <c r="C258" t="s">
        <v>32</v>
      </c>
      <c r="D258" t="s">
        <v>31</v>
      </c>
      <c r="E258">
        <v>63342</v>
      </c>
      <c r="F258">
        <v>0</v>
      </c>
      <c r="G258">
        <v>1</v>
      </c>
      <c r="H258" s="1">
        <v>41198</v>
      </c>
      <c r="I258">
        <v>48</v>
      </c>
      <c r="J258">
        <v>918</v>
      </c>
      <c r="K258">
        <v>21</v>
      </c>
      <c r="L258">
        <v>118</v>
      </c>
      <c r="M258">
        <v>13</v>
      </c>
      <c r="N258">
        <v>10</v>
      </c>
      <c r="O258">
        <v>21</v>
      </c>
      <c r="P258">
        <v>3</v>
      </c>
      <c r="Q258">
        <v>8</v>
      </c>
      <c r="R258">
        <v>3</v>
      </c>
      <c r="S258">
        <v>5</v>
      </c>
      <c r="T258">
        <v>6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3</v>
      </c>
      <c r="AB258">
        <v>11</v>
      </c>
      <c r="AC258">
        <v>0</v>
      </c>
      <c r="AD258" t="str">
        <f t="shared" ref="AD258:AD321" si="52">IF(COUNTIF(A:A,A258)&gt;1,"Duplicate","Ok")</f>
        <v>Ok</v>
      </c>
      <c r="AE258" t="str">
        <f>IF(AND(Audit_Data[[#This Row],[Year_Birth]]&gt;=1900,Audit_Data[[#This Row],[Year_Birth]]&lt;=2010),"OK","Invalid")</f>
        <v>OK</v>
      </c>
      <c r="AF258" t="str">
        <f t="shared" ref="AF258:AF321" si="53">IF(OR(C258="Graduation",C258="phD",C258="Master",C258="Basic",C258="2n Cycle"),"Valid","Invalid")</f>
        <v>Valid</v>
      </c>
      <c r="AG258" t="str">
        <f t="shared" ref="AG258:AG321" si="54">IF(OR(D258="Single",D258="Married",D258="Divorced",D258="Together",D258="Widow",D258="Alone"),"Valid","Invalid")</f>
        <v>Valid</v>
      </c>
      <c r="AH258" t="str">
        <f t="shared" ref="AH258:AH321" si="55">IF(AND(ISNUMBER(E258),E258&lt;&gt;""),"Valid","Invalid")</f>
        <v>Valid</v>
      </c>
      <c r="AI258" t="str">
        <f t="shared" ref="AI258:AI321" si="56">IF(AND(F258&gt;=0,F258&lt;=2),"Valid","Invalid")</f>
        <v>Valid</v>
      </c>
      <c r="AJ258" t="str">
        <f t="shared" ref="AJ258:AJ321" si="57">IF(AND(G258&gt;=0,G258&lt;=2),"Valid","Invalid")</f>
        <v>Valid</v>
      </c>
      <c r="AK258" t="str">
        <f t="shared" si="51"/>
        <v xml:space="preserve">Valid </v>
      </c>
      <c r="AL258" t="str">
        <f>IF(AND(Audit_Data[[#This Row],[Recency]]&gt;=0,Audit_Data[[#This Row],[Recency]]&lt;=100),"Valid","Invalid")</f>
        <v>Valid</v>
      </c>
      <c r="AM258" t="str">
        <f t="shared" ref="AM258:AM321" si="58">IF(AND(ISNUMBER(J258),J258&gt;=0,ISNUMBER(K258),K258&gt;=0,ISNUMBER(L258),L258&gt;=0,ISNUMBER(M258),M258&gt;=0,ISNUMBER(N258),N258&gt;=0,ISNUMBER(O258),O258&gt;=0),"Valid","Invalid")</f>
        <v>Valid</v>
      </c>
      <c r="AN258" t="str">
        <f t="shared" ref="AN258:AN321" si="59">IF(AND(ISNUMBER(P258),P258&gt;=0,ISNUMBER(Q258),Q258&gt;=0,ISNUMBER(R258),R258&gt;=0,ISNUMBER(S258),S258&gt;=0,ISNUMBER(T258),T258&gt;=0),"Valid","Invalid")</f>
        <v>Valid</v>
      </c>
      <c r="AO258" t="str">
        <f t="shared" ref="AO258:AO321" si="60">IF(AND(U258&lt;=1,V258&lt;=1,W258&lt;=1,X258&lt;=1,Y258&lt;=1),"Valid","Invalid")</f>
        <v>Valid</v>
      </c>
      <c r="AP258" t="str">
        <f t="shared" ref="AP258:AP321" si="61">IF(OR(Z258=0,Z258=1),"Valid","Invalid")</f>
        <v>Valid</v>
      </c>
      <c r="AQ258" t="str">
        <f>IF(Audit_Data[[#This Row],[Z_CostContact]]=3,"Valid","Invalid")</f>
        <v>Valid</v>
      </c>
      <c r="AR258" t="str">
        <f t="shared" ref="AR258:AR321" si="62">IF(AB258=11,"Valid","Invalid")</f>
        <v>Valid</v>
      </c>
      <c r="AS258" t="str">
        <f t="shared" ref="AS258:AS321" si="63">IF(OR(AC258=0,AC258=1),"Valid","Invalid")</f>
        <v>Valid</v>
      </c>
    </row>
    <row r="259" spans="1:45" x14ac:dyDescent="0.3">
      <c r="A259">
        <v>3406</v>
      </c>
      <c r="B259">
        <v>1964</v>
      </c>
      <c r="C259" t="s">
        <v>29</v>
      </c>
      <c r="D259" t="s">
        <v>30</v>
      </c>
      <c r="E259">
        <v>45989</v>
      </c>
      <c r="F259">
        <v>0</v>
      </c>
      <c r="G259">
        <v>1</v>
      </c>
      <c r="H259" s="1">
        <v>41204</v>
      </c>
      <c r="I259">
        <v>97</v>
      </c>
      <c r="J259">
        <v>138</v>
      </c>
      <c r="K259">
        <v>33</v>
      </c>
      <c r="L259">
        <v>87</v>
      </c>
      <c r="M259">
        <v>28</v>
      </c>
      <c r="N259">
        <v>24</v>
      </c>
      <c r="O259">
        <v>12</v>
      </c>
      <c r="P259">
        <v>4</v>
      </c>
      <c r="Q259">
        <v>3</v>
      </c>
      <c r="R259">
        <v>2</v>
      </c>
      <c r="S259">
        <v>7</v>
      </c>
      <c r="T259">
        <v>3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3</v>
      </c>
      <c r="AB259">
        <v>11</v>
      </c>
      <c r="AC259">
        <v>0</v>
      </c>
      <c r="AD259" t="str">
        <f t="shared" si="52"/>
        <v>Ok</v>
      </c>
      <c r="AE259" t="str">
        <f>IF(AND(Audit_Data[[#This Row],[Year_Birth]]&gt;=1900,Audit_Data[[#This Row],[Year_Birth]]&lt;=2010),"OK","Invalid")</f>
        <v>OK</v>
      </c>
      <c r="AF259" t="str">
        <f t="shared" si="53"/>
        <v>Valid</v>
      </c>
      <c r="AG259" t="str">
        <f t="shared" si="54"/>
        <v>Valid</v>
      </c>
      <c r="AH259" t="str">
        <f t="shared" si="55"/>
        <v>Valid</v>
      </c>
      <c r="AI259" t="str">
        <f t="shared" si="56"/>
        <v>Valid</v>
      </c>
      <c r="AJ259" t="str">
        <f t="shared" si="57"/>
        <v>Valid</v>
      </c>
      <c r="AK259" t="str">
        <f t="shared" ref="AK259:AK322" si="64">IF(AND(ISNUMBER(H259),H259&gt;=DATE(2012,1,1),H259&lt;=DATE(2014,12,31)),"Valid ","Invalid")</f>
        <v xml:space="preserve">Valid </v>
      </c>
      <c r="AL259" t="str">
        <f>IF(AND(Audit_Data[[#This Row],[Recency]]&gt;=0,Audit_Data[[#This Row],[Recency]]&lt;=100),"Valid","Invalid")</f>
        <v>Valid</v>
      </c>
      <c r="AM259" t="str">
        <f t="shared" si="58"/>
        <v>Valid</v>
      </c>
      <c r="AN259" t="str">
        <f t="shared" si="59"/>
        <v>Valid</v>
      </c>
      <c r="AO259" t="str">
        <f t="shared" si="60"/>
        <v>Valid</v>
      </c>
      <c r="AP259" t="str">
        <f t="shared" si="61"/>
        <v>Valid</v>
      </c>
      <c r="AQ259" t="str">
        <f>IF(Audit_Data[[#This Row],[Z_CostContact]]=3,"Valid","Invalid")</f>
        <v>Valid</v>
      </c>
      <c r="AR259" t="str">
        <f t="shared" si="62"/>
        <v>Valid</v>
      </c>
      <c r="AS259" t="str">
        <f t="shared" si="63"/>
        <v>Valid</v>
      </c>
    </row>
    <row r="260" spans="1:45" x14ac:dyDescent="0.3">
      <c r="A260">
        <v>2661</v>
      </c>
      <c r="B260">
        <v>1964</v>
      </c>
      <c r="C260" t="s">
        <v>29</v>
      </c>
      <c r="D260" t="s">
        <v>30</v>
      </c>
      <c r="E260">
        <v>18701</v>
      </c>
      <c r="F260">
        <v>1</v>
      </c>
      <c r="G260">
        <v>1</v>
      </c>
      <c r="H260" s="1">
        <v>41429</v>
      </c>
      <c r="I260">
        <v>95</v>
      </c>
      <c r="J260">
        <v>12</v>
      </c>
      <c r="K260">
        <v>4</v>
      </c>
      <c r="L260">
        <v>2</v>
      </c>
      <c r="M260">
        <v>10</v>
      </c>
      <c r="N260">
        <v>6</v>
      </c>
      <c r="O260">
        <v>10</v>
      </c>
      <c r="P260">
        <v>4</v>
      </c>
      <c r="Q260">
        <v>2</v>
      </c>
      <c r="R260">
        <v>0</v>
      </c>
      <c r="S260">
        <v>4</v>
      </c>
      <c r="T260">
        <v>5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3</v>
      </c>
      <c r="AB260">
        <v>11</v>
      </c>
      <c r="AC260">
        <v>0</v>
      </c>
      <c r="AD260" t="str">
        <f t="shared" si="52"/>
        <v>Ok</v>
      </c>
      <c r="AE260" t="str">
        <f>IF(AND(Audit_Data[[#This Row],[Year_Birth]]&gt;=1900,Audit_Data[[#This Row],[Year_Birth]]&lt;=2010),"OK","Invalid")</f>
        <v>OK</v>
      </c>
      <c r="AF260" t="str">
        <f t="shared" si="53"/>
        <v>Valid</v>
      </c>
      <c r="AG260" t="str">
        <f t="shared" si="54"/>
        <v>Valid</v>
      </c>
      <c r="AH260" t="str">
        <f t="shared" si="55"/>
        <v>Valid</v>
      </c>
      <c r="AI260" t="str">
        <f t="shared" si="56"/>
        <v>Valid</v>
      </c>
      <c r="AJ260" t="str">
        <f t="shared" si="57"/>
        <v>Valid</v>
      </c>
      <c r="AK260" t="str">
        <f t="shared" si="64"/>
        <v xml:space="preserve">Valid </v>
      </c>
      <c r="AL260" t="str">
        <f>IF(AND(Audit_Data[[#This Row],[Recency]]&gt;=0,Audit_Data[[#This Row],[Recency]]&lt;=100),"Valid","Invalid")</f>
        <v>Valid</v>
      </c>
      <c r="AM260" t="str">
        <f t="shared" si="58"/>
        <v>Valid</v>
      </c>
      <c r="AN260" t="str">
        <f t="shared" si="59"/>
        <v>Valid</v>
      </c>
      <c r="AO260" t="str">
        <f t="shared" si="60"/>
        <v>Valid</v>
      </c>
      <c r="AP260" t="str">
        <f t="shared" si="61"/>
        <v>Valid</v>
      </c>
      <c r="AQ260" t="str">
        <f>IF(Audit_Data[[#This Row],[Z_CostContact]]=3,"Valid","Invalid")</f>
        <v>Valid</v>
      </c>
      <c r="AR260" t="str">
        <f t="shared" si="62"/>
        <v>Valid</v>
      </c>
      <c r="AS260" t="str">
        <f t="shared" si="63"/>
        <v>Valid</v>
      </c>
    </row>
    <row r="261" spans="1:45" x14ac:dyDescent="0.3">
      <c r="A261">
        <v>3153</v>
      </c>
      <c r="B261">
        <v>1957</v>
      </c>
      <c r="C261" t="s">
        <v>32</v>
      </c>
      <c r="D261" t="s">
        <v>30</v>
      </c>
      <c r="E261">
        <v>40737</v>
      </c>
      <c r="F261">
        <v>2</v>
      </c>
      <c r="G261">
        <v>1</v>
      </c>
      <c r="H261" s="1">
        <v>41616</v>
      </c>
      <c r="I261">
        <v>24</v>
      </c>
      <c r="J261">
        <v>11</v>
      </c>
      <c r="K261">
        <v>0</v>
      </c>
      <c r="L261">
        <v>4</v>
      </c>
      <c r="M261">
        <v>0</v>
      </c>
      <c r="N261">
        <v>0</v>
      </c>
      <c r="O261">
        <v>2</v>
      </c>
      <c r="P261">
        <v>1</v>
      </c>
      <c r="Q261">
        <v>1</v>
      </c>
      <c r="R261">
        <v>0</v>
      </c>
      <c r="S261">
        <v>2</v>
      </c>
      <c r="T261">
        <v>8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3</v>
      </c>
      <c r="AB261">
        <v>11</v>
      </c>
      <c r="AC261">
        <v>0</v>
      </c>
      <c r="AD261" t="str">
        <f t="shared" si="52"/>
        <v>Ok</v>
      </c>
      <c r="AE261" t="str">
        <f>IF(AND(Audit_Data[[#This Row],[Year_Birth]]&gt;=1900,Audit_Data[[#This Row],[Year_Birth]]&lt;=2010),"OK","Invalid")</f>
        <v>OK</v>
      </c>
      <c r="AF261" t="str">
        <f t="shared" si="53"/>
        <v>Valid</v>
      </c>
      <c r="AG261" t="str">
        <f t="shared" si="54"/>
        <v>Valid</v>
      </c>
      <c r="AH261" t="str">
        <f t="shared" si="55"/>
        <v>Valid</v>
      </c>
      <c r="AI261" t="str">
        <f t="shared" si="56"/>
        <v>Valid</v>
      </c>
      <c r="AJ261" t="str">
        <f t="shared" si="57"/>
        <v>Valid</v>
      </c>
      <c r="AK261" t="str">
        <f t="shared" si="64"/>
        <v xml:space="preserve">Valid </v>
      </c>
      <c r="AL261" t="str">
        <f>IF(AND(Audit_Data[[#This Row],[Recency]]&gt;=0,Audit_Data[[#This Row],[Recency]]&lt;=100),"Valid","Invalid")</f>
        <v>Valid</v>
      </c>
      <c r="AM261" t="str">
        <f t="shared" si="58"/>
        <v>Valid</v>
      </c>
      <c r="AN261" t="str">
        <f t="shared" si="59"/>
        <v>Valid</v>
      </c>
      <c r="AO261" t="str">
        <f t="shared" si="60"/>
        <v>Valid</v>
      </c>
      <c r="AP261" t="str">
        <f t="shared" si="61"/>
        <v>Valid</v>
      </c>
      <c r="AQ261" t="str">
        <f>IF(Audit_Data[[#This Row],[Z_CostContact]]=3,"Valid","Invalid")</f>
        <v>Valid</v>
      </c>
      <c r="AR261" t="str">
        <f t="shared" si="62"/>
        <v>Valid</v>
      </c>
      <c r="AS261" t="str">
        <f t="shared" si="63"/>
        <v>Valid</v>
      </c>
    </row>
    <row r="262" spans="1:45" x14ac:dyDescent="0.3">
      <c r="A262">
        <v>10264</v>
      </c>
      <c r="B262">
        <v>1979</v>
      </c>
      <c r="C262" t="s">
        <v>29</v>
      </c>
      <c r="D262" t="s">
        <v>35</v>
      </c>
      <c r="E262">
        <v>15287</v>
      </c>
      <c r="F262">
        <v>1</v>
      </c>
      <c r="G262">
        <v>0</v>
      </c>
      <c r="H262" s="1">
        <v>41192</v>
      </c>
      <c r="I262">
        <v>60</v>
      </c>
      <c r="J262">
        <v>1</v>
      </c>
      <c r="K262">
        <v>2</v>
      </c>
      <c r="L262">
        <v>8</v>
      </c>
      <c r="M262">
        <v>4</v>
      </c>
      <c r="N262">
        <v>3</v>
      </c>
      <c r="O262">
        <v>13</v>
      </c>
      <c r="P262">
        <v>2</v>
      </c>
      <c r="Q262">
        <v>1</v>
      </c>
      <c r="R262">
        <v>1</v>
      </c>
      <c r="S262">
        <v>2</v>
      </c>
      <c r="T262">
        <v>7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3</v>
      </c>
      <c r="AB262">
        <v>11</v>
      </c>
      <c r="AC262">
        <v>1</v>
      </c>
      <c r="AD262" t="str">
        <f t="shared" si="52"/>
        <v>Ok</v>
      </c>
      <c r="AE262" t="str">
        <f>IF(AND(Audit_Data[[#This Row],[Year_Birth]]&gt;=1900,Audit_Data[[#This Row],[Year_Birth]]&lt;=2010),"OK","Invalid")</f>
        <v>OK</v>
      </c>
      <c r="AF262" t="str">
        <f t="shared" si="53"/>
        <v>Valid</v>
      </c>
      <c r="AG262" t="str">
        <f t="shared" si="54"/>
        <v>Valid</v>
      </c>
      <c r="AH262" t="str">
        <f t="shared" si="55"/>
        <v>Valid</v>
      </c>
      <c r="AI262" t="str">
        <f t="shared" si="56"/>
        <v>Valid</v>
      </c>
      <c r="AJ262" t="str">
        <f t="shared" si="57"/>
        <v>Valid</v>
      </c>
      <c r="AK262" t="str">
        <f t="shared" si="64"/>
        <v xml:space="preserve">Valid </v>
      </c>
      <c r="AL262" t="str">
        <f>IF(AND(Audit_Data[[#This Row],[Recency]]&gt;=0,Audit_Data[[#This Row],[Recency]]&lt;=100),"Valid","Invalid")</f>
        <v>Valid</v>
      </c>
      <c r="AM262" t="str">
        <f t="shared" si="58"/>
        <v>Valid</v>
      </c>
      <c r="AN262" t="str">
        <f t="shared" si="59"/>
        <v>Valid</v>
      </c>
      <c r="AO262" t="str">
        <f t="shared" si="60"/>
        <v>Valid</v>
      </c>
      <c r="AP262" t="str">
        <f t="shared" si="61"/>
        <v>Valid</v>
      </c>
      <c r="AQ262" t="str">
        <f>IF(Audit_Data[[#This Row],[Z_CostContact]]=3,"Valid","Invalid")</f>
        <v>Valid</v>
      </c>
      <c r="AR262" t="str">
        <f t="shared" si="62"/>
        <v>Valid</v>
      </c>
      <c r="AS262" t="str">
        <f t="shared" si="63"/>
        <v>Valid</v>
      </c>
    </row>
    <row r="263" spans="1:45" x14ac:dyDescent="0.3">
      <c r="A263">
        <v>1184</v>
      </c>
      <c r="B263">
        <v>1968</v>
      </c>
      <c r="C263" t="s">
        <v>32</v>
      </c>
      <c r="D263" t="s">
        <v>35</v>
      </c>
      <c r="E263">
        <v>69674</v>
      </c>
      <c r="F263">
        <v>0</v>
      </c>
      <c r="G263">
        <v>2</v>
      </c>
      <c r="H263" s="1">
        <v>41416</v>
      </c>
      <c r="I263">
        <v>46</v>
      </c>
      <c r="J263">
        <v>554</v>
      </c>
      <c r="K263">
        <v>41</v>
      </c>
      <c r="L263">
        <v>215</v>
      </c>
      <c r="M263">
        <v>11</v>
      </c>
      <c r="N263">
        <v>0</v>
      </c>
      <c r="O263">
        <v>24</v>
      </c>
      <c r="P263">
        <v>3</v>
      </c>
      <c r="Q263">
        <v>10</v>
      </c>
      <c r="R263">
        <v>2</v>
      </c>
      <c r="S263">
        <v>10</v>
      </c>
      <c r="T263">
        <v>5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3</v>
      </c>
      <c r="AB263">
        <v>11</v>
      </c>
      <c r="AC263">
        <v>0</v>
      </c>
      <c r="AD263" t="str">
        <f t="shared" si="52"/>
        <v>Ok</v>
      </c>
      <c r="AE263" t="str">
        <f>IF(AND(Audit_Data[[#This Row],[Year_Birth]]&gt;=1900,Audit_Data[[#This Row],[Year_Birth]]&lt;=2010),"OK","Invalid")</f>
        <v>OK</v>
      </c>
      <c r="AF263" t="str">
        <f t="shared" si="53"/>
        <v>Valid</v>
      </c>
      <c r="AG263" t="str">
        <f t="shared" si="54"/>
        <v>Valid</v>
      </c>
      <c r="AH263" t="str">
        <f t="shared" si="55"/>
        <v>Valid</v>
      </c>
      <c r="AI263" t="str">
        <f t="shared" si="56"/>
        <v>Valid</v>
      </c>
      <c r="AJ263" t="str">
        <f t="shared" si="57"/>
        <v>Valid</v>
      </c>
      <c r="AK263" t="str">
        <f t="shared" si="64"/>
        <v xml:space="preserve">Valid </v>
      </c>
      <c r="AL263" t="str">
        <f>IF(AND(Audit_Data[[#This Row],[Recency]]&gt;=0,Audit_Data[[#This Row],[Recency]]&lt;=100),"Valid","Invalid")</f>
        <v>Valid</v>
      </c>
      <c r="AM263" t="str">
        <f t="shared" si="58"/>
        <v>Valid</v>
      </c>
      <c r="AN263" t="str">
        <f t="shared" si="59"/>
        <v>Valid</v>
      </c>
      <c r="AO263" t="str">
        <f t="shared" si="60"/>
        <v>Valid</v>
      </c>
      <c r="AP263" t="str">
        <f t="shared" si="61"/>
        <v>Valid</v>
      </c>
      <c r="AQ263" t="str">
        <f>IF(Audit_Data[[#This Row],[Z_CostContact]]=3,"Valid","Invalid")</f>
        <v>Valid</v>
      </c>
      <c r="AR263" t="str">
        <f t="shared" si="62"/>
        <v>Valid</v>
      </c>
      <c r="AS263" t="str">
        <f t="shared" si="63"/>
        <v>Valid</v>
      </c>
    </row>
    <row r="264" spans="1:45" x14ac:dyDescent="0.3">
      <c r="A264">
        <v>4200</v>
      </c>
      <c r="B264">
        <v>1970</v>
      </c>
      <c r="C264" t="s">
        <v>34</v>
      </c>
      <c r="D264" t="s">
        <v>33</v>
      </c>
      <c r="E264">
        <v>44159</v>
      </c>
      <c r="F264">
        <v>1</v>
      </c>
      <c r="G264">
        <v>0</v>
      </c>
      <c r="H264" s="1">
        <v>41807</v>
      </c>
      <c r="I264">
        <v>85</v>
      </c>
      <c r="J264">
        <v>167</v>
      </c>
      <c r="K264">
        <v>2</v>
      </c>
      <c r="L264">
        <v>62</v>
      </c>
      <c r="M264">
        <v>24</v>
      </c>
      <c r="N264">
        <v>13</v>
      </c>
      <c r="O264">
        <v>7</v>
      </c>
      <c r="P264">
        <v>4</v>
      </c>
      <c r="Q264">
        <v>4</v>
      </c>
      <c r="R264">
        <v>1</v>
      </c>
      <c r="S264">
        <v>6</v>
      </c>
      <c r="T264">
        <v>5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3</v>
      </c>
      <c r="AB264">
        <v>11</v>
      </c>
      <c r="AC264">
        <v>0</v>
      </c>
      <c r="AD264" t="str">
        <f t="shared" si="52"/>
        <v>Ok</v>
      </c>
      <c r="AE264" t="str">
        <f>IF(AND(Audit_Data[[#This Row],[Year_Birth]]&gt;=1900,Audit_Data[[#This Row],[Year_Birth]]&lt;=2010),"OK","Invalid")</f>
        <v>OK</v>
      </c>
      <c r="AF264" t="str">
        <f t="shared" si="53"/>
        <v>Valid</v>
      </c>
      <c r="AG264" t="str">
        <f t="shared" si="54"/>
        <v>Valid</v>
      </c>
      <c r="AH264" t="str">
        <f t="shared" si="55"/>
        <v>Valid</v>
      </c>
      <c r="AI264" t="str">
        <f t="shared" si="56"/>
        <v>Valid</v>
      </c>
      <c r="AJ264" t="str">
        <f t="shared" si="57"/>
        <v>Valid</v>
      </c>
      <c r="AK264" t="str">
        <f t="shared" si="64"/>
        <v xml:space="preserve">Valid </v>
      </c>
      <c r="AL264" t="str">
        <f>IF(AND(Audit_Data[[#This Row],[Recency]]&gt;=0,Audit_Data[[#This Row],[Recency]]&lt;=100),"Valid","Invalid")</f>
        <v>Valid</v>
      </c>
      <c r="AM264" t="str">
        <f t="shared" si="58"/>
        <v>Valid</v>
      </c>
      <c r="AN264" t="str">
        <f t="shared" si="59"/>
        <v>Valid</v>
      </c>
      <c r="AO264" t="str">
        <f t="shared" si="60"/>
        <v>Valid</v>
      </c>
      <c r="AP264" t="str">
        <f t="shared" si="61"/>
        <v>Valid</v>
      </c>
      <c r="AQ264" t="str">
        <f>IF(Audit_Data[[#This Row],[Z_CostContact]]=3,"Valid","Invalid")</f>
        <v>Valid</v>
      </c>
      <c r="AR264" t="str">
        <f t="shared" si="62"/>
        <v>Valid</v>
      </c>
      <c r="AS264" t="str">
        <f t="shared" si="63"/>
        <v>Valid</v>
      </c>
    </row>
    <row r="265" spans="1:45" x14ac:dyDescent="0.3">
      <c r="A265">
        <v>9396</v>
      </c>
      <c r="B265">
        <v>1978</v>
      </c>
      <c r="C265" t="s">
        <v>32</v>
      </c>
      <c r="D265" t="s">
        <v>33</v>
      </c>
      <c r="E265">
        <v>37717</v>
      </c>
      <c r="F265">
        <v>1</v>
      </c>
      <c r="G265">
        <v>0</v>
      </c>
      <c r="H265" s="1">
        <v>41236</v>
      </c>
      <c r="I265">
        <v>31</v>
      </c>
      <c r="J265">
        <v>9</v>
      </c>
      <c r="K265">
        <v>0</v>
      </c>
      <c r="L265">
        <v>6</v>
      </c>
      <c r="M265">
        <v>4</v>
      </c>
      <c r="N265">
        <v>1</v>
      </c>
      <c r="O265">
        <v>5</v>
      </c>
      <c r="P265">
        <v>1</v>
      </c>
      <c r="Q265">
        <v>1</v>
      </c>
      <c r="R265">
        <v>0</v>
      </c>
      <c r="S265">
        <v>2</v>
      </c>
      <c r="T265">
        <v>9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3</v>
      </c>
      <c r="AB265">
        <v>11</v>
      </c>
      <c r="AC265">
        <v>0</v>
      </c>
      <c r="AD265" t="str">
        <f t="shared" si="52"/>
        <v>Ok</v>
      </c>
      <c r="AE265" t="str">
        <f>IF(AND(Audit_Data[[#This Row],[Year_Birth]]&gt;=1900,Audit_Data[[#This Row],[Year_Birth]]&lt;=2010),"OK","Invalid")</f>
        <v>OK</v>
      </c>
      <c r="AF265" t="str">
        <f t="shared" si="53"/>
        <v>Valid</v>
      </c>
      <c r="AG265" t="str">
        <f t="shared" si="54"/>
        <v>Valid</v>
      </c>
      <c r="AH265" t="str">
        <f t="shared" si="55"/>
        <v>Valid</v>
      </c>
      <c r="AI265" t="str">
        <f t="shared" si="56"/>
        <v>Valid</v>
      </c>
      <c r="AJ265" t="str">
        <f t="shared" si="57"/>
        <v>Valid</v>
      </c>
      <c r="AK265" t="str">
        <f t="shared" si="64"/>
        <v xml:space="preserve">Valid </v>
      </c>
      <c r="AL265" t="str">
        <f>IF(AND(Audit_Data[[#This Row],[Recency]]&gt;=0,Audit_Data[[#This Row],[Recency]]&lt;=100),"Valid","Invalid")</f>
        <v>Valid</v>
      </c>
      <c r="AM265" t="str">
        <f t="shared" si="58"/>
        <v>Valid</v>
      </c>
      <c r="AN265" t="str">
        <f t="shared" si="59"/>
        <v>Valid</v>
      </c>
      <c r="AO265" t="str">
        <f t="shared" si="60"/>
        <v>Valid</v>
      </c>
      <c r="AP265" t="str">
        <f t="shared" si="61"/>
        <v>Valid</v>
      </c>
      <c r="AQ265" t="str">
        <f>IF(Audit_Data[[#This Row],[Z_CostContact]]=3,"Valid","Invalid")</f>
        <v>Valid</v>
      </c>
      <c r="AR265" t="str">
        <f t="shared" si="62"/>
        <v>Valid</v>
      </c>
      <c r="AS265" t="str">
        <f t="shared" si="63"/>
        <v>Valid</v>
      </c>
    </row>
    <row r="266" spans="1:45" x14ac:dyDescent="0.3">
      <c r="A266">
        <v>2387</v>
      </c>
      <c r="B266">
        <v>1952</v>
      </c>
      <c r="C266" t="s">
        <v>34</v>
      </c>
      <c r="D266" t="s">
        <v>31</v>
      </c>
      <c r="E266">
        <v>43776</v>
      </c>
      <c r="F266">
        <v>1</v>
      </c>
      <c r="G266">
        <v>1</v>
      </c>
      <c r="H266" s="1">
        <v>41308</v>
      </c>
      <c r="I266">
        <v>9</v>
      </c>
      <c r="J266">
        <v>177</v>
      </c>
      <c r="K266">
        <v>2</v>
      </c>
      <c r="L266">
        <v>71</v>
      </c>
      <c r="M266">
        <v>3</v>
      </c>
      <c r="N266">
        <v>2</v>
      </c>
      <c r="O266">
        <v>20</v>
      </c>
      <c r="P266">
        <v>6</v>
      </c>
      <c r="Q266">
        <v>5</v>
      </c>
      <c r="R266">
        <v>2</v>
      </c>
      <c r="S266">
        <v>4</v>
      </c>
      <c r="T266">
        <v>8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3</v>
      </c>
      <c r="AB266">
        <v>11</v>
      </c>
      <c r="AC266">
        <v>1</v>
      </c>
      <c r="AD266" t="str">
        <f t="shared" si="52"/>
        <v>Ok</v>
      </c>
      <c r="AE266" t="str">
        <f>IF(AND(Audit_Data[[#This Row],[Year_Birth]]&gt;=1900,Audit_Data[[#This Row],[Year_Birth]]&lt;=2010),"OK","Invalid")</f>
        <v>OK</v>
      </c>
      <c r="AF266" t="str">
        <f t="shared" si="53"/>
        <v>Valid</v>
      </c>
      <c r="AG266" t="str">
        <f t="shared" si="54"/>
        <v>Valid</v>
      </c>
      <c r="AH266" t="str">
        <f t="shared" si="55"/>
        <v>Valid</v>
      </c>
      <c r="AI266" t="str">
        <f t="shared" si="56"/>
        <v>Valid</v>
      </c>
      <c r="AJ266" t="str">
        <f t="shared" si="57"/>
        <v>Valid</v>
      </c>
      <c r="AK266" t="str">
        <f t="shared" si="64"/>
        <v xml:space="preserve">Valid </v>
      </c>
      <c r="AL266" t="str">
        <f>IF(AND(Audit_Data[[#This Row],[Recency]]&gt;=0,Audit_Data[[#This Row],[Recency]]&lt;=100),"Valid","Invalid")</f>
        <v>Valid</v>
      </c>
      <c r="AM266" t="str">
        <f t="shared" si="58"/>
        <v>Valid</v>
      </c>
      <c r="AN266" t="str">
        <f t="shared" si="59"/>
        <v>Valid</v>
      </c>
      <c r="AO266" t="str">
        <f t="shared" si="60"/>
        <v>Valid</v>
      </c>
      <c r="AP266" t="str">
        <f t="shared" si="61"/>
        <v>Valid</v>
      </c>
      <c r="AQ266" t="str">
        <f>IF(Audit_Data[[#This Row],[Z_CostContact]]=3,"Valid","Invalid")</f>
        <v>Valid</v>
      </c>
      <c r="AR266" t="str">
        <f t="shared" si="62"/>
        <v>Valid</v>
      </c>
      <c r="AS266" t="str">
        <f t="shared" si="63"/>
        <v>Valid</v>
      </c>
    </row>
    <row r="267" spans="1:45" x14ac:dyDescent="0.3">
      <c r="A267">
        <v>6690</v>
      </c>
      <c r="B267">
        <v>1966</v>
      </c>
      <c r="C267" t="s">
        <v>34</v>
      </c>
      <c r="D267" t="s">
        <v>33</v>
      </c>
      <c r="E267">
        <v>38179</v>
      </c>
      <c r="F267">
        <v>1</v>
      </c>
      <c r="G267">
        <v>1</v>
      </c>
      <c r="H267" s="1">
        <v>41347</v>
      </c>
      <c r="I267">
        <v>30</v>
      </c>
      <c r="J267">
        <v>38</v>
      </c>
      <c r="K267">
        <v>4</v>
      </c>
      <c r="L267">
        <v>22</v>
      </c>
      <c r="M267">
        <v>4</v>
      </c>
      <c r="N267">
        <v>2</v>
      </c>
      <c r="O267">
        <v>20</v>
      </c>
      <c r="P267">
        <v>4</v>
      </c>
      <c r="Q267">
        <v>3</v>
      </c>
      <c r="R267">
        <v>1</v>
      </c>
      <c r="S267">
        <v>3</v>
      </c>
      <c r="T267">
        <v>7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3</v>
      </c>
      <c r="AB267">
        <v>11</v>
      </c>
      <c r="AC267">
        <v>0</v>
      </c>
      <c r="AD267" t="str">
        <f t="shared" si="52"/>
        <v>Ok</v>
      </c>
      <c r="AE267" t="str">
        <f>IF(AND(Audit_Data[[#This Row],[Year_Birth]]&gt;=1900,Audit_Data[[#This Row],[Year_Birth]]&lt;=2010),"OK","Invalid")</f>
        <v>OK</v>
      </c>
      <c r="AF267" t="str">
        <f t="shared" si="53"/>
        <v>Valid</v>
      </c>
      <c r="AG267" t="str">
        <f t="shared" si="54"/>
        <v>Valid</v>
      </c>
      <c r="AH267" t="str">
        <f t="shared" si="55"/>
        <v>Valid</v>
      </c>
      <c r="AI267" t="str">
        <f t="shared" si="56"/>
        <v>Valid</v>
      </c>
      <c r="AJ267" t="str">
        <f t="shared" si="57"/>
        <v>Valid</v>
      </c>
      <c r="AK267" t="str">
        <f t="shared" si="64"/>
        <v xml:space="preserve">Valid </v>
      </c>
      <c r="AL267" t="str">
        <f>IF(AND(Audit_Data[[#This Row],[Recency]]&gt;=0,Audit_Data[[#This Row],[Recency]]&lt;=100),"Valid","Invalid")</f>
        <v>Valid</v>
      </c>
      <c r="AM267" t="str">
        <f t="shared" si="58"/>
        <v>Valid</v>
      </c>
      <c r="AN267" t="str">
        <f t="shared" si="59"/>
        <v>Valid</v>
      </c>
      <c r="AO267" t="str">
        <f t="shared" si="60"/>
        <v>Valid</v>
      </c>
      <c r="AP267" t="str">
        <f t="shared" si="61"/>
        <v>Valid</v>
      </c>
      <c r="AQ267" t="str">
        <f>IF(Audit_Data[[#This Row],[Z_CostContact]]=3,"Valid","Invalid")</f>
        <v>Valid</v>
      </c>
      <c r="AR267" t="str">
        <f t="shared" si="62"/>
        <v>Valid</v>
      </c>
      <c r="AS267" t="str">
        <f t="shared" si="63"/>
        <v>Valid</v>
      </c>
    </row>
    <row r="268" spans="1:45" x14ac:dyDescent="0.3">
      <c r="A268">
        <v>1225</v>
      </c>
      <c r="B268">
        <v>1963</v>
      </c>
      <c r="C268" t="s">
        <v>29</v>
      </c>
      <c r="D268" t="s">
        <v>33</v>
      </c>
      <c r="E268">
        <v>80124</v>
      </c>
      <c r="F268">
        <v>0</v>
      </c>
      <c r="G268">
        <v>0</v>
      </c>
      <c r="H268" s="1">
        <v>41816</v>
      </c>
      <c r="I268">
        <v>47</v>
      </c>
      <c r="J268">
        <v>483</v>
      </c>
      <c r="K268">
        <v>84</v>
      </c>
      <c r="L268">
        <v>398</v>
      </c>
      <c r="M268">
        <v>205</v>
      </c>
      <c r="N268">
        <v>84</v>
      </c>
      <c r="O268">
        <v>241</v>
      </c>
      <c r="P268">
        <v>1</v>
      </c>
      <c r="Q268">
        <v>3</v>
      </c>
      <c r="R268">
        <v>7</v>
      </c>
      <c r="S268">
        <v>8</v>
      </c>
      <c r="T268">
        <v>1</v>
      </c>
      <c r="U268">
        <v>1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3</v>
      </c>
      <c r="AB268">
        <v>11</v>
      </c>
      <c r="AC268">
        <v>0</v>
      </c>
      <c r="AD268" t="str">
        <f t="shared" si="52"/>
        <v>Ok</v>
      </c>
      <c r="AE268" t="str">
        <f>IF(AND(Audit_Data[[#This Row],[Year_Birth]]&gt;=1900,Audit_Data[[#This Row],[Year_Birth]]&lt;=2010),"OK","Invalid")</f>
        <v>OK</v>
      </c>
      <c r="AF268" t="str">
        <f t="shared" si="53"/>
        <v>Valid</v>
      </c>
      <c r="AG268" t="str">
        <f t="shared" si="54"/>
        <v>Valid</v>
      </c>
      <c r="AH268" t="str">
        <f t="shared" si="55"/>
        <v>Valid</v>
      </c>
      <c r="AI268" t="str">
        <f t="shared" si="56"/>
        <v>Valid</v>
      </c>
      <c r="AJ268" t="str">
        <f t="shared" si="57"/>
        <v>Valid</v>
      </c>
      <c r="AK268" t="str">
        <f t="shared" si="64"/>
        <v xml:space="preserve">Valid </v>
      </c>
      <c r="AL268" t="str">
        <f>IF(AND(Audit_Data[[#This Row],[Recency]]&gt;=0,Audit_Data[[#This Row],[Recency]]&lt;=100),"Valid","Invalid")</f>
        <v>Valid</v>
      </c>
      <c r="AM268" t="str">
        <f t="shared" si="58"/>
        <v>Valid</v>
      </c>
      <c r="AN268" t="str">
        <f t="shared" si="59"/>
        <v>Valid</v>
      </c>
      <c r="AO268" t="str">
        <f t="shared" si="60"/>
        <v>Valid</v>
      </c>
      <c r="AP268" t="str">
        <f t="shared" si="61"/>
        <v>Valid</v>
      </c>
      <c r="AQ268" t="str">
        <f>IF(Audit_Data[[#This Row],[Z_CostContact]]=3,"Valid","Invalid")</f>
        <v>Valid</v>
      </c>
      <c r="AR268" t="str">
        <f t="shared" si="62"/>
        <v>Valid</v>
      </c>
      <c r="AS268" t="str">
        <f t="shared" si="63"/>
        <v>Valid</v>
      </c>
    </row>
    <row r="269" spans="1:45" x14ac:dyDescent="0.3">
      <c r="A269">
        <v>9703</v>
      </c>
      <c r="B269">
        <v>1970</v>
      </c>
      <c r="C269" t="s">
        <v>32</v>
      </c>
      <c r="D269" t="s">
        <v>33</v>
      </c>
      <c r="E269">
        <v>38097</v>
      </c>
      <c r="F269">
        <v>1</v>
      </c>
      <c r="G269">
        <v>1</v>
      </c>
      <c r="H269" s="1">
        <v>41197</v>
      </c>
      <c r="I269">
        <v>70</v>
      </c>
      <c r="J269">
        <v>77</v>
      </c>
      <c r="K269">
        <v>2</v>
      </c>
      <c r="L269">
        <v>35</v>
      </c>
      <c r="M269">
        <v>0</v>
      </c>
      <c r="N269">
        <v>1</v>
      </c>
      <c r="O269">
        <v>69</v>
      </c>
      <c r="P269">
        <v>4</v>
      </c>
      <c r="Q269">
        <v>3</v>
      </c>
      <c r="R269">
        <v>2</v>
      </c>
      <c r="S269">
        <v>2</v>
      </c>
      <c r="T269">
        <v>7</v>
      </c>
      <c r="U269">
        <v>1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3</v>
      </c>
      <c r="AB269">
        <v>11</v>
      </c>
      <c r="AC269">
        <v>1</v>
      </c>
      <c r="AD269" t="str">
        <f t="shared" si="52"/>
        <v>Ok</v>
      </c>
      <c r="AE269" t="str">
        <f>IF(AND(Audit_Data[[#This Row],[Year_Birth]]&gt;=1900,Audit_Data[[#This Row],[Year_Birth]]&lt;=2010),"OK","Invalid")</f>
        <v>OK</v>
      </c>
      <c r="AF269" t="str">
        <f t="shared" si="53"/>
        <v>Valid</v>
      </c>
      <c r="AG269" t="str">
        <f t="shared" si="54"/>
        <v>Valid</v>
      </c>
      <c r="AH269" t="str">
        <f t="shared" si="55"/>
        <v>Valid</v>
      </c>
      <c r="AI269" t="str">
        <f t="shared" si="56"/>
        <v>Valid</v>
      </c>
      <c r="AJ269" t="str">
        <f t="shared" si="57"/>
        <v>Valid</v>
      </c>
      <c r="AK269" t="str">
        <f t="shared" si="64"/>
        <v xml:space="preserve">Valid </v>
      </c>
      <c r="AL269" t="str">
        <f>IF(AND(Audit_Data[[#This Row],[Recency]]&gt;=0,Audit_Data[[#This Row],[Recency]]&lt;=100),"Valid","Invalid")</f>
        <v>Valid</v>
      </c>
      <c r="AM269" t="str">
        <f t="shared" si="58"/>
        <v>Valid</v>
      </c>
      <c r="AN269" t="str">
        <f t="shared" si="59"/>
        <v>Valid</v>
      </c>
      <c r="AO269" t="str">
        <f t="shared" si="60"/>
        <v>Valid</v>
      </c>
      <c r="AP269" t="str">
        <f t="shared" si="61"/>
        <v>Valid</v>
      </c>
      <c r="AQ269" t="str">
        <f>IF(Audit_Data[[#This Row],[Z_CostContact]]=3,"Valid","Invalid")</f>
        <v>Valid</v>
      </c>
      <c r="AR269" t="str">
        <f t="shared" si="62"/>
        <v>Valid</v>
      </c>
      <c r="AS269" t="str">
        <f t="shared" si="63"/>
        <v>Valid</v>
      </c>
    </row>
    <row r="270" spans="1:45" x14ac:dyDescent="0.3">
      <c r="A270">
        <v>291</v>
      </c>
      <c r="B270">
        <v>1970</v>
      </c>
      <c r="C270" t="s">
        <v>29</v>
      </c>
      <c r="D270" t="s">
        <v>33</v>
      </c>
      <c r="E270">
        <v>72940</v>
      </c>
      <c r="F270">
        <v>0</v>
      </c>
      <c r="G270">
        <v>0</v>
      </c>
      <c r="H270" s="1">
        <v>41444</v>
      </c>
      <c r="I270">
        <v>13</v>
      </c>
      <c r="J270">
        <v>182</v>
      </c>
      <c r="K270">
        <v>74</v>
      </c>
      <c r="L270">
        <v>298</v>
      </c>
      <c r="M270">
        <v>162</v>
      </c>
      <c r="N270">
        <v>149</v>
      </c>
      <c r="O270">
        <v>116</v>
      </c>
      <c r="P270">
        <v>1</v>
      </c>
      <c r="Q270">
        <v>3</v>
      </c>
      <c r="R270">
        <v>3</v>
      </c>
      <c r="S270">
        <v>6</v>
      </c>
      <c r="T270">
        <v>1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3</v>
      </c>
      <c r="AB270">
        <v>11</v>
      </c>
      <c r="AC270">
        <v>0</v>
      </c>
      <c r="AD270" t="str">
        <f t="shared" si="52"/>
        <v>Ok</v>
      </c>
      <c r="AE270" t="str">
        <f>IF(AND(Audit_Data[[#This Row],[Year_Birth]]&gt;=1900,Audit_Data[[#This Row],[Year_Birth]]&lt;=2010),"OK","Invalid")</f>
        <v>OK</v>
      </c>
      <c r="AF270" t="str">
        <f t="shared" si="53"/>
        <v>Valid</v>
      </c>
      <c r="AG270" t="str">
        <f t="shared" si="54"/>
        <v>Valid</v>
      </c>
      <c r="AH270" t="str">
        <f t="shared" si="55"/>
        <v>Valid</v>
      </c>
      <c r="AI270" t="str">
        <f t="shared" si="56"/>
        <v>Valid</v>
      </c>
      <c r="AJ270" t="str">
        <f t="shared" si="57"/>
        <v>Valid</v>
      </c>
      <c r="AK270" t="str">
        <f t="shared" si="64"/>
        <v xml:space="preserve">Valid </v>
      </c>
      <c r="AL270" t="str">
        <f>IF(AND(Audit_Data[[#This Row],[Recency]]&gt;=0,Audit_Data[[#This Row],[Recency]]&lt;=100),"Valid","Invalid")</f>
        <v>Valid</v>
      </c>
      <c r="AM270" t="str">
        <f t="shared" si="58"/>
        <v>Valid</v>
      </c>
      <c r="AN270" t="str">
        <f t="shared" si="59"/>
        <v>Valid</v>
      </c>
      <c r="AO270" t="str">
        <f t="shared" si="60"/>
        <v>Valid</v>
      </c>
      <c r="AP270" t="str">
        <f t="shared" si="61"/>
        <v>Valid</v>
      </c>
      <c r="AQ270" t="str">
        <f>IF(Audit_Data[[#This Row],[Z_CostContact]]=3,"Valid","Invalid")</f>
        <v>Valid</v>
      </c>
      <c r="AR270" t="str">
        <f t="shared" si="62"/>
        <v>Valid</v>
      </c>
      <c r="AS270" t="str">
        <f t="shared" si="63"/>
        <v>Valid</v>
      </c>
    </row>
    <row r="271" spans="1:45" x14ac:dyDescent="0.3">
      <c r="A271">
        <v>4557</v>
      </c>
      <c r="B271">
        <v>1970</v>
      </c>
      <c r="C271" t="s">
        <v>29</v>
      </c>
      <c r="D271" t="s">
        <v>31</v>
      </c>
      <c r="E271">
        <v>22070</v>
      </c>
      <c r="F271">
        <v>1</v>
      </c>
      <c r="G271">
        <v>0</v>
      </c>
      <c r="H271" s="1">
        <v>41551</v>
      </c>
      <c r="I271">
        <v>11</v>
      </c>
      <c r="J271">
        <v>10</v>
      </c>
      <c r="K271">
        <v>7</v>
      </c>
      <c r="L271">
        <v>19</v>
      </c>
      <c r="M271">
        <v>8</v>
      </c>
      <c r="N271">
        <v>2</v>
      </c>
      <c r="O271">
        <v>21</v>
      </c>
      <c r="P271">
        <v>2</v>
      </c>
      <c r="Q271">
        <v>2</v>
      </c>
      <c r="R271">
        <v>2</v>
      </c>
      <c r="S271">
        <v>2</v>
      </c>
      <c r="T271">
        <v>6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3</v>
      </c>
      <c r="AB271">
        <v>11</v>
      </c>
      <c r="AC271">
        <v>0</v>
      </c>
      <c r="AD271" t="str">
        <f t="shared" si="52"/>
        <v>Ok</v>
      </c>
      <c r="AE271" t="str">
        <f>IF(AND(Audit_Data[[#This Row],[Year_Birth]]&gt;=1900,Audit_Data[[#This Row],[Year_Birth]]&lt;=2010),"OK","Invalid")</f>
        <v>OK</v>
      </c>
      <c r="AF271" t="str">
        <f t="shared" si="53"/>
        <v>Valid</v>
      </c>
      <c r="AG271" t="str">
        <f t="shared" si="54"/>
        <v>Valid</v>
      </c>
      <c r="AH271" t="str">
        <f t="shared" si="55"/>
        <v>Valid</v>
      </c>
      <c r="AI271" t="str">
        <f t="shared" si="56"/>
        <v>Valid</v>
      </c>
      <c r="AJ271" t="str">
        <f t="shared" si="57"/>
        <v>Valid</v>
      </c>
      <c r="AK271" t="str">
        <f t="shared" si="64"/>
        <v xml:space="preserve">Valid </v>
      </c>
      <c r="AL271" t="str">
        <f>IF(AND(Audit_Data[[#This Row],[Recency]]&gt;=0,Audit_Data[[#This Row],[Recency]]&lt;=100),"Valid","Invalid")</f>
        <v>Valid</v>
      </c>
      <c r="AM271" t="str">
        <f t="shared" si="58"/>
        <v>Valid</v>
      </c>
      <c r="AN271" t="str">
        <f t="shared" si="59"/>
        <v>Valid</v>
      </c>
      <c r="AO271" t="str">
        <f t="shared" si="60"/>
        <v>Valid</v>
      </c>
      <c r="AP271" t="str">
        <f t="shared" si="61"/>
        <v>Valid</v>
      </c>
      <c r="AQ271" t="str">
        <f>IF(Audit_Data[[#This Row],[Z_CostContact]]=3,"Valid","Invalid")</f>
        <v>Valid</v>
      </c>
      <c r="AR271" t="str">
        <f t="shared" si="62"/>
        <v>Valid</v>
      </c>
      <c r="AS271" t="str">
        <f t="shared" si="63"/>
        <v>Valid</v>
      </c>
    </row>
    <row r="272" spans="1:45" x14ac:dyDescent="0.3">
      <c r="A272">
        <v>2379</v>
      </c>
      <c r="B272">
        <v>1953</v>
      </c>
      <c r="C272" t="s">
        <v>29</v>
      </c>
      <c r="D272" t="s">
        <v>30</v>
      </c>
      <c r="E272">
        <v>69267</v>
      </c>
      <c r="F272">
        <v>0</v>
      </c>
      <c r="G272">
        <v>0</v>
      </c>
      <c r="H272" s="1">
        <v>41174</v>
      </c>
      <c r="I272">
        <v>31</v>
      </c>
      <c r="J272">
        <v>778</v>
      </c>
      <c r="K272">
        <v>44</v>
      </c>
      <c r="L272">
        <v>499</v>
      </c>
      <c r="M272">
        <v>95</v>
      </c>
      <c r="N272">
        <v>73</v>
      </c>
      <c r="O272">
        <v>146</v>
      </c>
      <c r="P272">
        <v>2</v>
      </c>
      <c r="Q272">
        <v>3</v>
      </c>
      <c r="R272">
        <v>4</v>
      </c>
      <c r="S272">
        <v>5</v>
      </c>
      <c r="T272">
        <v>7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3</v>
      </c>
      <c r="AB272">
        <v>11</v>
      </c>
      <c r="AC272">
        <v>1</v>
      </c>
      <c r="AD272" t="str">
        <f t="shared" si="52"/>
        <v>Ok</v>
      </c>
      <c r="AE272" t="str">
        <f>IF(AND(Audit_Data[[#This Row],[Year_Birth]]&gt;=1900,Audit_Data[[#This Row],[Year_Birth]]&lt;=2010),"OK","Invalid")</f>
        <v>OK</v>
      </c>
      <c r="AF272" t="str">
        <f t="shared" si="53"/>
        <v>Valid</v>
      </c>
      <c r="AG272" t="str">
        <f t="shared" si="54"/>
        <v>Valid</v>
      </c>
      <c r="AH272" t="str">
        <f t="shared" si="55"/>
        <v>Valid</v>
      </c>
      <c r="AI272" t="str">
        <f t="shared" si="56"/>
        <v>Valid</v>
      </c>
      <c r="AJ272" t="str">
        <f t="shared" si="57"/>
        <v>Valid</v>
      </c>
      <c r="AK272" t="str">
        <f t="shared" si="64"/>
        <v xml:space="preserve">Valid </v>
      </c>
      <c r="AL272" t="str">
        <f>IF(AND(Audit_Data[[#This Row],[Recency]]&gt;=0,Audit_Data[[#This Row],[Recency]]&lt;=100),"Valid","Invalid")</f>
        <v>Valid</v>
      </c>
      <c r="AM272" t="str">
        <f t="shared" si="58"/>
        <v>Valid</v>
      </c>
      <c r="AN272" t="str">
        <f t="shared" si="59"/>
        <v>Valid</v>
      </c>
      <c r="AO272" t="str">
        <f t="shared" si="60"/>
        <v>Valid</v>
      </c>
      <c r="AP272" t="str">
        <f t="shared" si="61"/>
        <v>Valid</v>
      </c>
      <c r="AQ272" t="str">
        <f>IF(Audit_Data[[#This Row],[Z_CostContact]]=3,"Valid","Invalid")</f>
        <v>Valid</v>
      </c>
      <c r="AR272" t="str">
        <f t="shared" si="62"/>
        <v>Valid</v>
      </c>
      <c r="AS272" t="str">
        <f t="shared" si="63"/>
        <v>Valid</v>
      </c>
    </row>
    <row r="273" spans="1:45" x14ac:dyDescent="0.3">
      <c r="A273">
        <v>5726</v>
      </c>
      <c r="B273">
        <v>1983</v>
      </c>
      <c r="C273" t="s">
        <v>34</v>
      </c>
      <c r="D273" t="s">
        <v>30</v>
      </c>
      <c r="E273">
        <v>31788</v>
      </c>
      <c r="F273">
        <v>1</v>
      </c>
      <c r="G273">
        <v>0</v>
      </c>
      <c r="H273" s="1">
        <v>41718</v>
      </c>
      <c r="I273">
        <v>15</v>
      </c>
      <c r="J273">
        <v>16</v>
      </c>
      <c r="K273">
        <v>7</v>
      </c>
      <c r="L273">
        <v>23</v>
      </c>
      <c r="M273">
        <v>0</v>
      </c>
      <c r="N273">
        <v>8</v>
      </c>
      <c r="O273">
        <v>6</v>
      </c>
      <c r="P273">
        <v>3</v>
      </c>
      <c r="Q273">
        <v>3</v>
      </c>
      <c r="R273">
        <v>0</v>
      </c>
      <c r="S273">
        <v>4</v>
      </c>
      <c r="T273">
        <v>5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3</v>
      </c>
      <c r="AB273">
        <v>11</v>
      </c>
      <c r="AC273">
        <v>0</v>
      </c>
      <c r="AD273" t="str">
        <f t="shared" si="52"/>
        <v>Ok</v>
      </c>
      <c r="AE273" t="str">
        <f>IF(AND(Audit_Data[[#This Row],[Year_Birth]]&gt;=1900,Audit_Data[[#This Row],[Year_Birth]]&lt;=2010),"OK","Invalid")</f>
        <v>OK</v>
      </c>
      <c r="AF273" t="str">
        <f t="shared" si="53"/>
        <v>Valid</v>
      </c>
      <c r="AG273" t="str">
        <f t="shared" si="54"/>
        <v>Valid</v>
      </c>
      <c r="AH273" t="str">
        <f t="shared" si="55"/>
        <v>Valid</v>
      </c>
      <c r="AI273" t="str">
        <f t="shared" si="56"/>
        <v>Valid</v>
      </c>
      <c r="AJ273" t="str">
        <f t="shared" si="57"/>
        <v>Valid</v>
      </c>
      <c r="AK273" t="str">
        <f t="shared" si="64"/>
        <v xml:space="preserve">Valid </v>
      </c>
      <c r="AL273" t="str">
        <f>IF(AND(Audit_Data[[#This Row],[Recency]]&gt;=0,Audit_Data[[#This Row],[Recency]]&lt;=100),"Valid","Invalid")</f>
        <v>Valid</v>
      </c>
      <c r="AM273" t="str">
        <f t="shared" si="58"/>
        <v>Valid</v>
      </c>
      <c r="AN273" t="str">
        <f t="shared" si="59"/>
        <v>Valid</v>
      </c>
      <c r="AO273" t="str">
        <f t="shared" si="60"/>
        <v>Valid</v>
      </c>
      <c r="AP273" t="str">
        <f t="shared" si="61"/>
        <v>Valid</v>
      </c>
      <c r="AQ273" t="str">
        <f>IF(Audit_Data[[#This Row],[Z_CostContact]]=3,"Valid","Invalid")</f>
        <v>Valid</v>
      </c>
      <c r="AR273" t="str">
        <f t="shared" si="62"/>
        <v>Valid</v>
      </c>
      <c r="AS273" t="str">
        <f t="shared" si="63"/>
        <v>Valid</v>
      </c>
    </row>
    <row r="274" spans="1:45" x14ac:dyDescent="0.3">
      <c r="A274">
        <v>3066</v>
      </c>
      <c r="B274">
        <v>1975</v>
      </c>
      <c r="C274" t="s">
        <v>32</v>
      </c>
      <c r="D274" t="s">
        <v>31</v>
      </c>
      <c r="E274">
        <v>61905</v>
      </c>
      <c r="F274">
        <v>0</v>
      </c>
      <c r="G274">
        <v>1</v>
      </c>
      <c r="H274" s="1">
        <v>41674</v>
      </c>
      <c r="I274">
        <v>2</v>
      </c>
      <c r="J274">
        <v>167</v>
      </c>
      <c r="K274">
        <v>0</v>
      </c>
      <c r="L274">
        <v>43</v>
      </c>
      <c r="M274">
        <v>6</v>
      </c>
      <c r="N274">
        <v>2</v>
      </c>
      <c r="O274">
        <v>13</v>
      </c>
      <c r="P274">
        <v>2</v>
      </c>
      <c r="Q274">
        <v>4</v>
      </c>
      <c r="R274">
        <v>2</v>
      </c>
      <c r="S274">
        <v>4</v>
      </c>
      <c r="T274">
        <v>5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3</v>
      </c>
      <c r="AB274">
        <v>11</v>
      </c>
      <c r="AC274">
        <v>0</v>
      </c>
      <c r="AD274" t="str">
        <f t="shared" si="52"/>
        <v>Ok</v>
      </c>
      <c r="AE274" t="str">
        <f>IF(AND(Audit_Data[[#This Row],[Year_Birth]]&gt;=1900,Audit_Data[[#This Row],[Year_Birth]]&lt;=2010),"OK","Invalid")</f>
        <v>OK</v>
      </c>
      <c r="AF274" t="str">
        <f t="shared" si="53"/>
        <v>Valid</v>
      </c>
      <c r="AG274" t="str">
        <f t="shared" si="54"/>
        <v>Valid</v>
      </c>
      <c r="AH274" t="str">
        <f t="shared" si="55"/>
        <v>Valid</v>
      </c>
      <c r="AI274" t="str">
        <f t="shared" si="56"/>
        <v>Valid</v>
      </c>
      <c r="AJ274" t="str">
        <f t="shared" si="57"/>
        <v>Valid</v>
      </c>
      <c r="AK274" t="str">
        <f t="shared" si="64"/>
        <v xml:space="preserve">Valid </v>
      </c>
      <c r="AL274" t="str">
        <f>IF(AND(Audit_Data[[#This Row],[Recency]]&gt;=0,Audit_Data[[#This Row],[Recency]]&lt;=100),"Valid","Invalid")</f>
        <v>Valid</v>
      </c>
      <c r="AM274" t="str">
        <f t="shared" si="58"/>
        <v>Valid</v>
      </c>
      <c r="AN274" t="str">
        <f t="shared" si="59"/>
        <v>Valid</v>
      </c>
      <c r="AO274" t="str">
        <f t="shared" si="60"/>
        <v>Valid</v>
      </c>
      <c r="AP274" t="str">
        <f t="shared" si="61"/>
        <v>Valid</v>
      </c>
      <c r="AQ274" t="str">
        <f>IF(Audit_Data[[#This Row],[Z_CostContact]]=3,"Valid","Invalid")</f>
        <v>Valid</v>
      </c>
      <c r="AR274" t="str">
        <f t="shared" si="62"/>
        <v>Valid</v>
      </c>
      <c r="AS274" t="str">
        <f t="shared" si="63"/>
        <v>Valid</v>
      </c>
    </row>
    <row r="275" spans="1:45" x14ac:dyDescent="0.3">
      <c r="A275">
        <v>6336</v>
      </c>
      <c r="B275">
        <v>1960</v>
      </c>
      <c r="C275" t="s">
        <v>29</v>
      </c>
      <c r="D275" t="s">
        <v>33</v>
      </c>
      <c r="E275">
        <v>29315</v>
      </c>
      <c r="F275">
        <v>1</v>
      </c>
      <c r="G275">
        <v>1</v>
      </c>
      <c r="H275" s="1">
        <v>41735</v>
      </c>
      <c r="I275">
        <v>55</v>
      </c>
      <c r="J275">
        <v>13</v>
      </c>
      <c r="K275">
        <v>2</v>
      </c>
      <c r="L275">
        <v>14</v>
      </c>
      <c r="M275">
        <v>8</v>
      </c>
      <c r="N275">
        <v>7</v>
      </c>
      <c r="O275">
        <v>4</v>
      </c>
      <c r="P275">
        <v>4</v>
      </c>
      <c r="Q275">
        <v>2</v>
      </c>
      <c r="R275">
        <v>0</v>
      </c>
      <c r="S275">
        <v>4</v>
      </c>
      <c r="T275">
        <v>6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3</v>
      </c>
      <c r="AB275">
        <v>11</v>
      </c>
      <c r="AC275">
        <v>0</v>
      </c>
      <c r="AD275" t="str">
        <f t="shared" si="52"/>
        <v>Ok</v>
      </c>
      <c r="AE275" t="str">
        <f>IF(AND(Audit_Data[[#This Row],[Year_Birth]]&gt;=1900,Audit_Data[[#This Row],[Year_Birth]]&lt;=2010),"OK","Invalid")</f>
        <v>OK</v>
      </c>
      <c r="AF275" t="str">
        <f t="shared" si="53"/>
        <v>Valid</v>
      </c>
      <c r="AG275" t="str">
        <f t="shared" si="54"/>
        <v>Valid</v>
      </c>
      <c r="AH275" t="str">
        <f t="shared" si="55"/>
        <v>Valid</v>
      </c>
      <c r="AI275" t="str">
        <f t="shared" si="56"/>
        <v>Valid</v>
      </c>
      <c r="AJ275" t="str">
        <f t="shared" si="57"/>
        <v>Valid</v>
      </c>
      <c r="AK275" t="str">
        <f t="shared" si="64"/>
        <v xml:space="preserve">Valid </v>
      </c>
      <c r="AL275" t="str">
        <f>IF(AND(Audit_Data[[#This Row],[Recency]]&gt;=0,Audit_Data[[#This Row],[Recency]]&lt;=100),"Valid","Invalid")</f>
        <v>Valid</v>
      </c>
      <c r="AM275" t="str">
        <f t="shared" si="58"/>
        <v>Valid</v>
      </c>
      <c r="AN275" t="str">
        <f t="shared" si="59"/>
        <v>Valid</v>
      </c>
      <c r="AO275" t="str">
        <f t="shared" si="60"/>
        <v>Valid</v>
      </c>
      <c r="AP275" t="str">
        <f t="shared" si="61"/>
        <v>Valid</v>
      </c>
      <c r="AQ275" t="str">
        <f>IF(Audit_Data[[#This Row],[Z_CostContact]]=3,"Valid","Invalid")</f>
        <v>Valid</v>
      </c>
      <c r="AR275" t="str">
        <f t="shared" si="62"/>
        <v>Valid</v>
      </c>
      <c r="AS275" t="str">
        <f t="shared" si="63"/>
        <v>Valid</v>
      </c>
    </row>
    <row r="276" spans="1:45" x14ac:dyDescent="0.3">
      <c r="A276">
        <v>10967</v>
      </c>
      <c r="B276">
        <v>1963</v>
      </c>
      <c r="C276" t="s">
        <v>29</v>
      </c>
      <c r="D276" t="s">
        <v>35</v>
      </c>
      <c r="E276">
        <v>33378</v>
      </c>
      <c r="F276">
        <v>1</v>
      </c>
      <c r="G276">
        <v>1</v>
      </c>
      <c r="H276" s="1">
        <v>41311</v>
      </c>
      <c r="I276">
        <v>38</v>
      </c>
      <c r="J276">
        <v>33</v>
      </c>
      <c r="K276">
        <v>6</v>
      </c>
      <c r="L276">
        <v>40</v>
      </c>
      <c r="M276">
        <v>3</v>
      </c>
      <c r="N276">
        <v>7</v>
      </c>
      <c r="O276">
        <v>10</v>
      </c>
      <c r="P276">
        <v>3</v>
      </c>
      <c r="Q276">
        <v>2</v>
      </c>
      <c r="R276">
        <v>0</v>
      </c>
      <c r="S276">
        <v>4</v>
      </c>
      <c r="T276">
        <v>7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3</v>
      </c>
      <c r="AB276">
        <v>11</v>
      </c>
      <c r="AC276">
        <v>0</v>
      </c>
      <c r="AD276" t="str">
        <f t="shared" si="52"/>
        <v>Ok</v>
      </c>
      <c r="AE276" t="str">
        <f>IF(AND(Audit_Data[[#This Row],[Year_Birth]]&gt;=1900,Audit_Data[[#This Row],[Year_Birth]]&lt;=2010),"OK","Invalid")</f>
        <v>OK</v>
      </c>
      <c r="AF276" t="str">
        <f t="shared" si="53"/>
        <v>Valid</v>
      </c>
      <c r="AG276" t="str">
        <f t="shared" si="54"/>
        <v>Valid</v>
      </c>
      <c r="AH276" t="str">
        <f t="shared" si="55"/>
        <v>Valid</v>
      </c>
      <c r="AI276" t="str">
        <f t="shared" si="56"/>
        <v>Valid</v>
      </c>
      <c r="AJ276" t="str">
        <f t="shared" si="57"/>
        <v>Valid</v>
      </c>
      <c r="AK276" t="str">
        <f t="shared" si="64"/>
        <v xml:space="preserve">Valid </v>
      </c>
      <c r="AL276" t="str">
        <f>IF(AND(Audit_Data[[#This Row],[Recency]]&gt;=0,Audit_Data[[#This Row],[Recency]]&lt;=100),"Valid","Invalid")</f>
        <v>Valid</v>
      </c>
      <c r="AM276" t="str">
        <f t="shared" si="58"/>
        <v>Valid</v>
      </c>
      <c r="AN276" t="str">
        <f t="shared" si="59"/>
        <v>Valid</v>
      </c>
      <c r="AO276" t="str">
        <f t="shared" si="60"/>
        <v>Valid</v>
      </c>
      <c r="AP276" t="str">
        <f t="shared" si="61"/>
        <v>Valid</v>
      </c>
      <c r="AQ276" t="str">
        <f>IF(Audit_Data[[#This Row],[Z_CostContact]]=3,"Valid","Invalid")</f>
        <v>Valid</v>
      </c>
      <c r="AR276" t="str">
        <f t="shared" si="62"/>
        <v>Valid</v>
      </c>
      <c r="AS276" t="str">
        <f t="shared" si="63"/>
        <v>Valid</v>
      </c>
    </row>
    <row r="277" spans="1:45" x14ac:dyDescent="0.3">
      <c r="A277">
        <v>2304</v>
      </c>
      <c r="B277">
        <v>1963</v>
      </c>
      <c r="C277" t="s">
        <v>32</v>
      </c>
      <c r="D277" t="s">
        <v>31</v>
      </c>
      <c r="E277">
        <v>66313</v>
      </c>
      <c r="F277">
        <v>0</v>
      </c>
      <c r="G277">
        <v>1</v>
      </c>
      <c r="H277" s="1">
        <v>41533</v>
      </c>
      <c r="I277">
        <v>86</v>
      </c>
      <c r="J277">
        <v>625</v>
      </c>
      <c r="K277">
        <v>7</v>
      </c>
      <c r="L277">
        <v>99</v>
      </c>
      <c r="M277">
        <v>10</v>
      </c>
      <c r="N277">
        <v>22</v>
      </c>
      <c r="O277">
        <v>7</v>
      </c>
      <c r="P277">
        <v>2</v>
      </c>
      <c r="Q277">
        <v>6</v>
      </c>
      <c r="R277">
        <v>3</v>
      </c>
      <c r="S277">
        <v>12</v>
      </c>
      <c r="T277">
        <v>4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3</v>
      </c>
      <c r="AB277">
        <v>11</v>
      </c>
      <c r="AC277">
        <v>0</v>
      </c>
      <c r="AD277" t="str">
        <f t="shared" si="52"/>
        <v>Ok</v>
      </c>
      <c r="AE277" t="str">
        <f>IF(AND(Audit_Data[[#This Row],[Year_Birth]]&gt;=1900,Audit_Data[[#This Row],[Year_Birth]]&lt;=2010),"OK","Invalid")</f>
        <v>OK</v>
      </c>
      <c r="AF277" t="str">
        <f t="shared" si="53"/>
        <v>Valid</v>
      </c>
      <c r="AG277" t="str">
        <f t="shared" si="54"/>
        <v>Valid</v>
      </c>
      <c r="AH277" t="str">
        <f t="shared" si="55"/>
        <v>Valid</v>
      </c>
      <c r="AI277" t="str">
        <f t="shared" si="56"/>
        <v>Valid</v>
      </c>
      <c r="AJ277" t="str">
        <f t="shared" si="57"/>
        <v>Valid</v>
      </c>
      <c r="AK277" t="str">
        <f t="shared" si="64"/>
        <v xml:space="preserve">Valid </v>
      </c>
      <c r="AL277" t="str">
        <f>IF(AND(Audit_Data[[#This Row],[Recency]]&gt;=0,Audit_Data[[#This Row],[Recency]]&lt;=100),"Valid","Invalid")</f>
        <v>Valid</v>
      </c>
      <c r="AM277" t="str">
        <f t="shared" si="58"/>
        <v>Valid</v>
      </c>
      <c r="AN277" t="str">
        <f t="shared" si="59"/>
        <v>Valid</v>
      </c>
      <c r="AO277" t="str">
        <f t="shared" si="60"/>
        <v>Valid</v>
      </c>
      <c r="AP277" t="str">
        <f t="shared" si="61"/>
        <v>Valid</v>
      </c>
      <c r="AQ277" t="str">
        <f>IF(Audit_Data[[#This Row],[Z_CostContact]]=3,"Valid","Invalid")</f>
        <v>Valid</v>
      </c>
      <c r="AR277" t="str">
        <f t="shared" si="62"/>
        <v>Valid</v>
      </c>
      <c r="AS277" t="str">
        <f t="shared" si="63"/>
        <v>Valid</v>
      </c>
    </row>
    <row r="278" spans="1:45" x14ac:dyDescent="0.3">
      <c r="A278">
        <v>3445</v>
      </c>
      <c r="B278">
        <v>1956</v>
      </c>
      <c r="C278" t="s">
        <v>29</v>
      </c>
      <c r="D278" t="s">
        <v>30</v>
      </c>
      <c r="E278">
        <v>60714</v>
      </c>
      <c r="F278">
        <v>0</v>
      </c>
      <c r="G278">
        <v>0</v>
      </c>
      <c r="H278" s="1">
        <v>41291</v>
      </c>
      <c r="I278">
        <v>56</v>
      </c>
      <c r="J278">
        <v>216</v>
      </c>
      <c r="K278">
        <v>162</v>
      </c>
      <c r="L278">
        <v>224</v>
      </c>
      <c r="M278">
        <v>101</v>
      </c>
      <c r="N278">
        <v>92</v>
      </c>
      <c r="O278">
        <v>162</v>
      </c>
      <c r="P278">
        <v>2</v>
      </c>
      <c r="Q278">
        <v>7</v>
      </c>
      <c r="R278">
        <v>4</v>
      </c>
      <c r="S278">
        <v>10</v>
      </c>
      <c r="T278">
        <v>5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3</v>
      </c>
      <c r="AB278">
        <v>11</v>
      </c>
      <c r="AC278">
        <v>1</v>
      </c>
      <c r="AD278" t="str">
        <f t="shared" si="52"/>
        <v>Ok</v>
      </c>
      <c r="AE278" t="str">
        <f>IF(AND(Audit_Data[[#This Row],[Year_Birth]]&gt;=1900,Audit_Data[[#This Row],[Year_Birth]]&lt;=2010),"OK","Invalid")</f>
        <v>OK</v>
      </c>
      <c r="AF278" t="str">
        <f t="shared" si="53"/>
        <v>Valid</v>
      </c>
      <c r="AG278" t="str">
        <f t="shared" si="54"/>
        <v>Valid</v>
      </c>
      <c r="AH278" t="str">
        <f t="shared" si="55"/>
        <v>Valid</v>
      </c>
      <c r="AI278" t="str">
        <f t="shared" si="56"/>
        <v>Valid</v>
      </c>
      <c r="AJ278" t="str">
        <f t="shared" si="57"/>
        <v>Valid</v>
      </c>
      <c r="AK278" t="str">
        <f t="shared" si="64"/>
        <v xml:space="preserve">Valid </v>
      </c>
      <c r="AL278" t="str">
        <f>IF(AND(Audit_Data[[#This Row],[Recency]]&gt;=0,Audit_Data[[#This Row],[Recency]]&lt;=100),"Valid","Invalid")</f>
        <v>Valid</v>
      </c>
      <c r="AM278" t="str">
        <f t="shared" si="58"/>
        <v>Valid</v>
      </c>
      <c r="AN278" t="str">
        <f t="shared" si="59"/>
        <v>Valid</v>
      </c>
      <c r="AO278" t="str">
        <f t="shared" si="60"/>
        <v>Valid</v>
      </c>
      <c r="AP278" t="str">
        <f t="shared" si="61"/>
        <v>Valid</v>
      </c>
      <c r="AQ278" t="str">
        <f>IF(Audit_Data[[#This Row],[Z_CostContact]]=3,"Valid","Invalid")</f>
        <v>Valid</v>
      </c>
      <c r="AR278" t="str">
        <f t="shared" si="62"/>
        <v>Valid</v>
      </c>
      <c r="AS278" t="str">
        <f t="shared" si="63"/>
        <v>Valid</v>
      </c>
    </row>
    <row r="279" spans="1:45" x14ac:dyDescent="0.3">
      <c r="A279">
        <v>7828</v>
      </c>
      <c r="B279">
        <v>1981</v>
      </c>
      <c r="C279" t="s">
        <v>34</v>
      </c>
      <c r="D279" t="s">
        <v>31</v>
      </c>
      <c r="E279">
        <v>77882</v>
      </c>
      <c r="F279">
        <v>0</v>
      </c>
      <c r="G279">
        <v>0</v>
      </c>
      <c r="H279" s="1">
        <v>41759</v>
      </c>
      <c r="I279">
        <v>29</v>
      </c>
      <c r="J279">
        <v>68</v>
      </c>
      <c r="K279">
        <v>129</v>
      </c>
      <c r="L279">
        <v>396</v>
      </c>
      <c r="M279">
        <v>188</v>
      </c>
      <c r="N279">
        <v>22</v>
      </c>
      <c r="O279">
        <v>15</v>
      </c>
      <c r="P279">
        <v>1</v>
      </c>
      <c r="Q279">
        <v>3</v>
      </c>
      <c r="R279">
        <v>3</v>
      </c>
      <c r="S279">
        <v>5</v>
      </c>
      <c r="T279">
        <v>1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3</v>
      </c>
      <c r="AB279">
        <v>11</v>
      </c>
      <c r="AC279">
        <v>0</v>
      </c>
      <c r="AD279" t="str">
        <f t="shared" si="52"/>
        <v>Ok</v>
      </c>
      <c r="AE279" t="str">
        <f>IF(AND(Audit_Data[[#This Row],[Year_Birth]]&gt;=1900,Audit_Data[[#This Row],[Year_Birth]]&lt;=2010),"OK","Invalid")</f>
        <v>OK</v>
      </c>
      <c r="AF279" t="str">
        <f t="shared" si="53"/>
        <v>Valid</v>
      </c>
      <c r="AG279" t="str">
        <f t="shared" si="54"/>
        <v>Valid</v>
      </c>
      <c r="AH279" t="str">
        <f t="shared" si="55"/>
        <v>Valid</v>
      </c>
      <c r="AI279" t="str">
        <f t="shared" si="56"/>
        <v>Valid</v>
      </c>
      <c r="AJ279" t="str">
        <f t="shared" si="57"/>
        <v>Valid</v>
      </c>
      <c r="AK279" t="str">
        <f t="shared" si="64"/>
        <v xml:space="preserve">Valid </v>
      </c>
      <c r="AL279" t="str">
        <f>IF(AND(Audit_Data[[#This Row],[Recency]]&gt;=0,Audit_Data[[#This Row],[Recency]]&lt;=100),"Valid","Invalid")</f>
        <v>Valid</v>
      </c>
      <c r="AM279" t="str">
        <f t="shared" si="58"/>
        <v>Valid</v>
      </c>
      <c r="AN279" t="str">
        <f t="shared" si="59"/>
        <v>Valid</v>
      </c>
      <c r="AO279" t="str">
        <f t="shared" si="60"/>
        <v>Valid</v>
      </c>
      <c r="AP279" t="str">
        <f t="shared" si="61"/>
        <v>Valid</v>
      </c>
      <c r="AQ279" t="str">
        <f>IF(Audit_Data[[#This Row],[Z_CostContact]]=3,"Valid","Invalid")</f>
        <v>Valid</v>
      </c>
      <c r="AR279" t="str">
        <f t="shared" si="62"/>
        <v>Valid</v>
      </c>
      <c r="AS279" t="str">
        <f t="shared" si="63"/>
        <v>Valid</v>
      </c>
    </row>
    <row r="280" spans="1:45" x14ac:dyDescent="0.3">
      <c r="A280">
        <v>3762</v>
      </c>
      <c r="B280">
        <v>1986</v>
      </c>
      <c r="C280" t="s">
        <v>32</v>
      </c>
      <c r="D280" t="s">
        <v>30</v>
      </c>
      <c r="E280">
        <v>69867</v>
      </c>
      <c r="F280">
        <v>0</v>
      </c>
      <c r="G280">
        <v>0</v>
      </c>
      <c r="H280" s="1">
        <v>41366</v>
      </c>
      <c r="I280">
        <v>30</v>
      </c>
      <c r="J280">
        <v>196</v>
      </c>
      <c r="K280">
        <v>0</v>
      </c>
      <c r="L280">
        <v>512</v>
      </c>
      <c r="M280">
        <v>33</v>
      </c>
      <c r="N280">
        <v>130</v>
      </c>
      <c r="O280">
        <v>54</v>
      </c>
      <c r="P280">
        <v>1</v>
      </c>
      <c r="Q280">
        <v>3</v>
      </c>
      <c r="R280">
        <v>5</v>
      </c>
      <c r="S280">
        <v>8</v>
      </c>
      <c r="T280">
        <v>1</v>
      </c>
      <c r="U280">
        <v>0</v>
      </c>
      <c r="V280">
        <v>0</v>
      </c>
      <c r="W280">
        <v>0</v>
      </c>
      <c r="X280">
        <v>1</v>
      </c>
      <c r="Y280">
        <v>0</v>
      </c>
      <c r="Z280">
        <v>0</v>
      </c>
      <c r="AA280">
        <v>3</v>
      </c>
      <c r="AB280">
        <v>11</v>
      </c>
      <c r="AC280">
        <v>1</v>
      </c>
      <c r="AD280" t="str">
        <f t="shared" si="52"/>
        <v>Ok</v>
      </c>
      <c r="AE280" t="str">
        <f>IF(AND(Audit_Data[[#This Row],[Year_Birth]]&gt;=1900,Audit_Data[[#This Row],[Year_Birth]]&lt;=2010),"OK","Invalid")</f>
        <v>OK</v>
      </c>
      <c r="AF280" t="str">
        <f t="shared" si="53"/>
        <v>Valid</v>
      </c>
      <c r="AG280" t="str">
        <f t="shared" si="54"/>
        <v>Valid</v>
      </c>
      <c r="AH280" t="str">
        <f t="shared" si="55"/>
        <v>Valid</v>
      </c>
      <c r="AI280" t="str">
        <f t="shared" si="56"/>
        <v>Valid</v>
      </c>
      <c r="AJ280" t="str">
        <f t="shared" si="57"/>
        <v>Valid</v>
      </c>
      <c r="AK280" t="str">
        <f t="shared" si="64"/>
        <v xml:space="preserve">Valid </v>
      </c>
      <c r="AL280" t="str">
        <f>IF(AND(Audit_Data[[#This Row],[Recency]]&gt;=0,Audit_Data[[#This Row],[Recency]]&lt;=100),"Valid","Invalid")</f>
        <v>Valid</v>
      </c>
      <c r="AM280" t="str">
        <f t="shared" si="58"/>
        <v>Valid</v>
      </c>
      <c r="AN280" t="str">
        <f t="shared" si="59"/>
        <v>Valid</v>
      </c>
      <c r="AO280" t="str">
        <f t="shared" si="60"/>
        <v>Valid</v>
      </c>
      <c r="AP280" t="str">
        <f t="shared" si="61"/>
        <v>Valid</v>
      </c>
      <c r="AQ280" t="str">
        <f>IF(Audit_Data[[#This Row],[Z_CostContact]]=3,"Valid","Invalid")</f>
        <v>Valid</v>
      </c>
      <c r="AR280" t="str">
        <f t="shared" si="62"/>
        <v>Valid</v>
      </c>
      <c r="AS280" t="str">
        <f t="shared" si="63"/>
        <v>Valid</v>
      </c>
    </row>
    <row r="281" spans="1:45" x14ac:dyDescent="0.3">
      <c r="A281">
        <v>4391</v>
      </c>
      <c r="B281">
        <v>1968</v>
      </c>
      <c r="C281" t="s">
        <v>34</v>
      </c>
      <c r="D281" t="s">
        <v>35</v>
      </c>
      <c r="E281">
        <v>63841</v>
      </c>
      <c r="F281">
        <v>0</v>
      </c>
      <c r="G281">
        <v>1</v>
      </c>
      <c r="H281" s="1">
        <v>41385</v>
      </c>
      <c r="I281">
        <v>64</v>
      </c>
      <c r="J281">
        <v>635</v>
      </c>
      <c r="K281">
        <v>15</v>
      </c>
      <c r="L281">
        <v>100</v>
      </c>
      <c r="M281">
        <v>20</v>
      </c>
      <c r="N281">
        <v>7</v>
      </c>
      <c r="O281">
        <v>131</v>
      </c>
      <c r="P281">
        <v>1</v>
      </c>
      <c r="Q281">
        <v>9</v>
      </c>
      <c r="R281">
        <v>3</v>
      </c>
      <c r="S281">
        <v>9</v>
      </c>
      <c r="T281">
        <v>6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3</v>
      </c>
      <c r="AB281">
        <v>11</v>
      </c>
      <c r="AC281">
        <v>0</v>
      </c>
      <c r="AD281" t="str">
        <f t="shared" si="52"/>
        <v>Ok</v>
      </c>
      <c r="AE281" t="str">
        <f>IF(AND(Audit_Data[[#This Row],[Year_Birth]]&gt;=1900,Audit_Data[[#This Row],[Year_Birth]]&lt;=2010),"OK","Invalid")</f>
        <v>OK</v>
      </c>
      <c r="AF281" t="str">
        <f t="shared" si="53"/>
        <v>Valid</v>
      </c>
      <c r="AG281" t="str">
        <f t="shared" si="54"/>
        <v>Valid</v>
      </c>
      <c r="AH281" t="str">
        <f t="shared" si="55"/>
        <v>Valid</v>
      </c>
      <c r="AI281" t="str">
        <f t="shared" si="56"/>
        <v>Valid</v>
      </c>
      <c r="AJ281" t="str">
        <f t="shared" si="57"/>
        <v>Valid</v>
      </c>
      <c r="AK281" t="str">
        <f t="shared" si="64"/>
        <v xml:space="preserve">Valid </v>
      </c>
      <c r="AL281" t="str">
        <f>IF(AND(Audit_Data[[#This Row],[Recency]]&gt;=0,Audit_Data[[#This Row],[Recency]]&lt;=100),"Valid","Invalid")</f>
        <v>Valid</v>
      </c>
      <c r="AM281" t="str">
        <f t="shared" si="58"/>
        <v>Valid</v>
      </c>
      <c r="AN281" t="str">
        <f t="shared" si="59"/>
        <v>Valid</v>
      </c>
      <c r="AO281" t="str">
        <f t="shared" si="60"/>
        <v>Valid</v>
      </c>
      <c r="AP281" t="str">
        <f t="shared" si="61"/>
        <v>Valid</v>
      </c>
      <c r="AQ281" t="str">
        <f>IF(Audit_Data[[#This Row],[Z_CostContact]]=3,"Valid","Invalid")</f>
        <v>Valid</v>
      </c>
      <c r="AR281" t="str">
        <f t="shared" si="62"/>
        <v>Valid</v>
      </c>
      <c r="AS281" t="str">
        <f t="shared" si="63"/>
        <v>Valid</v>
      </c>
    </row>
    <row r="282" spans="1:45" x14ac:dyDescent="0.3">
      <c r="A282">
        <v>4669</v>
      </c>
      <c r="B282">
        <v>1981</v>
      </c>
      <c r="C282" t="s">
        <v>36</v>
      </c>
      <c r="D282" t="s">
        <v>33</v>
      </c>
      <c r="E282">
        <v>24480</v>
      </c>
      <c r="F282">
        <v>1</v>
      </c>
      <c r="G282">
        <v>0</v>
      </c>
      <c r="H282" s="1">
        <v>41316</v>
      </c>
      <c r="I282">
        <v>46</v>
      </c>
      <c r="J282">
        <v>4</v>
      </c>
      <c r="K282">
        <v>19</v>
      </c>
      <c r="L282">
        <v>9</v>
      </c>
      <c r="M282">
        <v>28</v>
      </c>
      <c r="N282">
        <v>25</v>
      </c>
      <c r="O282">
        <v>17</v>
      </c>
      <c r="P282">
        <v>3</v>
      </c>
      <c r="Q282">
        <v>3</v>
      </c>
      <c r="R282">
        <v>0</v>
      </c>
      <c r="S282">
        <v>4</v>
      </c>
      <c r="T282">
        <v>7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3</v>
      </c>
      <c r="AB282">
        <v>11</v>
      </c>
      <c r="AC282">
        <v>0</v>
      </c>
      <c r="AD282" t="str">
        <f t="shared" si="52"/>
        <v>Ok</v>
      </c>
      <c r="AE282" t="str">
        <f>IF(AND(Audit_Data[[#This Row],[Year_Birth]]&gt;=1900,Audit_Data[[#This Row],[Year_Birth]]&lt;=2010),"OK","Invalid")</f>
        <v>OK</v>
      </c>
      <c r="AF282" t="str">
        <f t="shared" si="53"/>
        <v>Valid</v>
      </c>
      <c r="AG282" t="str">
        <f t="shared" si="54"/>
        <v>Valid</v>
      </c>
      <c r="AH282" t="str">
        <f t="shared" si="55"/>
        <v>Valid</v>
      </c>
      <c r="AI282" t="str">
        <f t="shared" si="56"/>
        <v>Valid</v>
      </c>
      <c r="AJ282" t="str">
        <f t="shared" si="57"/>
        <v>Valid</v>
      </c>
      <c r="AK282" t="str">
        <f t="shared" si="64"/>
        <v xml:space="preserve">Valid </v>
      </c>
      <c r="AL282" t="str">
        <f>IF(AND(Audit_Data[[#This Row],[Recency]]&gt;=0,Audit_Data[[#This Row],[Recency]]&lt;=100),"Valid","Invalid")</f>
        <v>Valid</v>
      </c>
      <c r="AM282" t="str">
        <f t="shared" si="58"/>
        <v>Valid</v>
      </c>
      <c r="AN282" t="str">
        <f t="shared" si="59"/>
        <v>Valid</v>
      </c>
      <c r="AO282" t="str">
        <f t="shared" si="60"/>
        <v>Valid</v>
      </c>
      <c r="AP282" t="str">
        <f t="shared" si="61"/>
        <v>Valid</v>
      </c>
      <c r="AQ282" t="str">
        <f>IF(Audit_Data[[#This Row],[Z_CostContact]]=3,"Valid","Invalid")</f>
        <v>Valid</v>
      </c>
      <c r="AR282" t="str">
        <f t="shared" si="62"/>
        <v>Valid</v>
      </c>
      <c r="AS282" t="str">
        <f t="shared" si="63"/>
        <v>Valid</v>
      </c>
    </row>
    <row r="283" spans="1:45" x14ac:dyDescent="0.3">
      <c r="A283">
        <v>10144</v>
      </c>
      <c r="B283">
        <v>1976</v>
      </c>
      <c r="C283" t="s">
        <v>29</v>
      </c>
      <c r="D283" t="s">
        <v>31</v>
      </c>
      <c r="E283">
        <v>51369</v>
      </c>
      <c r="F283">
        <v>0</v>
      </c>
      <c r="G283">
        <v>1</v>
      </c>
      <c r="H283" s="1">
        <v>41207</v>
      </c>
      <c r="I283">
        <v>84</v>
      </c>
      <c r="J283">
        <v>297</v>
      </c>
      <c r="K283">
        <v>7</v>
      </c>
      <c r="L283">
        <v>79</v>
      </c>
      <c r="M283">
        <v>0</v>
      </c>
      <c r="N283">
        <v>11</v>
      </c>
      <c r="O283">
        <v>182</v>
      </c>
      <c r="P283">
        <v>2</v>
      </c>
      <c r="Q283">
        <v>8</v>
      </c>
      <c r="R283">
        <v>2</v>
      </c>
      <c r="S283">
        <v>4</v>
      </c>
      <c r="T283">
        <v>8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3</v>
      </c>
      <c r="AB283">
        <v>11</v>
      </c>
      <c r="AC283">
        <v>0</v>
      </c>
      <c r="AD283" t="str">
        <f t="shared" si="52"/>
        <v>Ok</v>
      </c>
      <c r="AE283" t="str">
        <f>IF(AND(Audit_Data[[#This Row],[Year_Birth]]&gt;=1900,Audit_Data[[#This Row],[Year_Birth]]&lt;=2010),"OK","Invalid")</f>
        <v>OK</v>
      </c>
      <c r="AF283" t="str">
        <f t="shared" si="53"/>
        <v>Valid</v>
      </c>
      <c r="AG283" t="str">
        <f t="shared" si="54"/>
        <v>Valid</v>
      </c>
      <c r="AH283" t="str">
        <f t="shared" si="55"/>
        <v>Valid</v>
      </c>
      <c r="AI283" t="str">
        <f t="shared" si="56"/>
        <v>Valid</v>
      </c>
      <c r="AJ283" t="str">
        <f t="shared" si="57"/>
        <v>Valid</v>
      </c>
      <c r="AK283" t="str">
        <f t="shared" si="64"/>
        <v xml:space="preserve">Valid </v>
      </c>
      <c r="AL283" t="str">
        <f>IF(AND(Audit_Data[[#This Row],[Recency]]&gt;=0,Audit_Data[[#This Row],[Recency]]&lt;=100),"Valid","Invalid")</f>
        <v>Valid</v>
      </c>
      <c r="AM283" t="str">
        <f t="shared" si="58"/>
        <v>Valid</v>
      </c>
      <c r="AN283" t="str">
        <f t="shared" si="59"/>
        <v>Valid</v>
      </c>
      <c r="AO283" t="str">
        <f t="shared" si="60"/>
        <v>Valid</v>
      </c>
      <c r="AP283" t="str">
        <f t="shared" si="61"/>
        <v>Valid</v>
      </c>
      <c r="AQ283" t="str">
        <f>IF(Audit_Data[[#This Row],[Z_CostContact]]=3,"Valid","Invalid")</f>
        <v>Valid</v>
      </c>
      <c r="AR283" t="str">
        <f t="shared" si="62"/>
        <v>Valid</v>
      </c>
      <c r="AS283" t="str">
        <f t="shared" si="63"/>
        <v>Valid</v>
      </c>
    </row>
    <row r="284" spans="1:45" x14ac:dyDescent="0.3">
      <c r="A284">
        <v>8652</v>
      </c>
      <c r="B284">
        <v>1946</v>
      </c>
      <c r="C284" t="s">
        <v>29</v>
      </c>
      <c r="D284" t="s">
        <v>31</v>
      </c>
      <c r="E284">
        <v>37760</v>
      </c>
      <c r="F284">
        <v>0</v>
      </c>
      <c r="G284">
        <v>0</v>
      </c>
      <c r="H284" s="1">
        <v>41152</v>
      </c>
      <c r="I284">
        <v>20</v>
      </c>
      <c r="J284">
        <v>84</v>
      </c>
      <c r="K284">
        <v>5</v>
      </c>
      <c r="L284">
        <v>38</v>
      </c>
      <c r="M284">
        <v>150</v>
      </c>
      <c r="N284">
        <v>12</v>
      </c>
      <c r="O284">
        <v>28</v>
      </c>
      <c r="P284">
        <v>2</v>
      </c>
      <c r="Q284">
        <v>4</v>
      </c>
      <c r="R284">
        <v>1</v>
      </c>
      <c r="S284">
        <v>6</v>
      </c>
      <c r="T284">
        <v>7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3</v>
      </c>
      <c r="AB284">
        <v>11</v>
      </c>
      <c r="AC284">
        <v>0</v>
      </c>
      <c r="AD284" t="str">
        <f t="shared" si="52"/>
        <v>Ok</v>
      </c>
      <c r="AE284" t="str">
        <f>IF(AND(Audit_Data[[#This Row],[Year_Birth]]&gt;=1900,Audit_Data[[#This Row],[Year_Birth]]&lt;=2010),"OK","Invalid")</f>
        <v>OK</v>
      </c>
      <c r="AF284" t="str">
        <f t="shared" si="53"/>
        <v>Valid</v>
      </c>
      <c r="AG284" t="str">
        <f t="shared" si="54"/>
        <v>Valid</v>
      </c>
      <c r="AH284" t="str">
        <f t="shared" si="55"/>
        <v>Valid</v>
      </c>
      <c r="AI284" t="str">
        <f t="shared" si="56"/>
        <v>Valid</v>
      </c>
      <c r="AJ284" t="str">
        <f t="shared" si="57"/>
        <v>Valid</v>
      </c>
      <c r="AK284" t="str">
        <f t="shared" si="64"/>
        <v xml:space="preserve">Valid </v>
      </c>
      <c r="AL284" t="str">
        <f>IF(AND(Audit_Data[[#This Row],[Recency]]&gt;=0,Audit_Data[[#This Row],[Recency]]&lt;=100),"Valid","Invalid")</f>
        <v>Valid</v>
      </c>
      <c r="AM284" t="str">
        <f t="shared" si="58"/>
        <v>Valid</v>
      </c>
      <c r="AN284" t="str">
        <f t="shared" si="59"/>
        <v>Valid</v>
      </c>
      <c r="AO284" t="str">
        <f t="shared" si="60"/>
        <v>Valid</v>
      </c>
      <c r="AP284" t="str">
        <f t="shared" si="61"/>
        <v>Valid</v>
      </c>
      <c r="AQ284" t="str">
        <f>IF(Audit_Data[[#This Row],[Z_CostContact]]=3,"Valid","Invalid")</f>
        <v>Valid</v>
      </c>
      <c r="AR284" t="str">
        <f t="shared" si="62"/>
        <v>Valid</v>
      </c>
      <c r="AS284" t="str">
        <f t="shared" si="63"/>
        <v>Valid</v>
      </c>
    </row>
    <row r="285" spans="1:45" x14ac:dyDescent="0.3">
      <c r="A285">
        <v>1672</v>
      </c>
      <c r="B285">
        <v>1974</v>
      </c>
      <c r="C285" t="s">
        <v>32</v>
      </c>
      <c r="D285" t="s">
        <v>31</v>
      </c>
      <c r="E285">
        <v>65640</v>
      </c>
      <c r="F285">
        <v>0</v>
      </c>
      <c r="G285">
        <v>1</v>
      </c>
      <c r="H285" s="1">
        <v>41699</v>
      </c>
      <c r="I285">
        <v>74</v>
      </c>
      <c r="J285">
        <v>204</v>
      </c>
      <c r="K285">
        <v>7</v>
      </c>
      <c r="L285">
        <v>149</v>
      </c>
      <c r="M285">
        <v>20</v>
      </c>
      <c r="N285">
        <v>15</v>
      </c>
      <c r="O285">
        <v>66</v>
      </c>
      <c r="P285">
        <v>1</v>
      </c>
      <c r="Q285">
        <v>5</v>
      </c>
      <c r="R285">
        <v>1</v>
      </c>
      <c r="S285">
        <v>8</v>
      </c>
      <c r="T285">
        <v>2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3</v>
      </c>
      <c r="AB285">
        <v>11</v>
      </c>
      <c r="AC285">
        <v>0</v>
      </c>
      <c r="AD285" t="str">
        <f t="shared" si="52"/>
        <v>Ok</v>
      </c>
      <c r="AE285" t="str">
        <f>IF(AND(Audit_Data[[#This Row],[Year_Birth]]&gt;=1900,Audit_Data[[#This Row],[Year_Birth]]&lt;=2010),"OK","Invalid")</f>
        <v>OK</v>
      </c>
      <c r="AF285" t="str">
        <f t="shared" si="53"/>
        <v>Valid</v>
      </c>
      <c r="AG285" t="str">
        <f t="shared" si="54"/>
        <v>Valid</v>
      </c>
      <c r="AH285" t="str">
        <f t="shared" si="55"/>
        <v>Valid</v>
      </c>
      <c r="AI285" t="str">
        <f t="shared" si="56"/>
        <v>Valid</v>
      </c>
      <c r="AJ285" t="str">
        <f t="shared" si="57"/>
        <v>Valid</v>
      </c>
      <c r="AK285" t="str">
        <f t="shared" si="64"/>
        <v xml:space="preserve">Valid </v>
      </c>
      <c r="AL285" t="str">
        <f>IF(AND(Audit_Data[[#This Row],[Recency]]&gt;=0,Audit_Data[[#This Row],[Recency]]&lt;=100),"Valid","Invalid")</f>
        <v>Valid</v>
      </c>
      <c r="AM285" t="str">
        <f t="shared" si="58"/>
        <v>Valid</v>
      </c>
      <c r="AN285" t="str">
        <f t="shared" si="59"/>
        <v>Valid</v>
      </c>
      <c r="AO285" t="str">
        <f t="shared" si="60"/>
        <v>Valid</v>
      </c>
      <c r="AP285" t="str">
        <f t="shared" si="61"/>
        <v>Valid</v>
      </c>
      <c r="AQ285" t="str">
        <f>IF(Audit_Data[[#This Row],[Z_CostContact]]=3,"Valid","Invalid")</f>
        <v>Valid</v>
      </c>
      <c r="AR285" t="str">
        <f t="shared" si="62"/>
        <v>Valid</v>
      </c>
      <c r="AS285" t="str">
        <f t="shared" si="63"/>
        <v>Valid</v>
      </c>
    </row>
    <row r="286" spans="1:45" x14ac:dyDescent="0.3">
      <c r="A286">
        <v>8962</v>
      </c>
      <c r="B286">
        <v>1975</v>
      </c>
      <c r="C286" t="s">
        <v>34</v>
      </c>
      <c r="D286" t="s">
        <v>33</v>
      </c>
      <c r="E286">
        <v>44319</v>
      </c>
      <c r="F286">
        <v>1</v>
      </c>
      <c r="G286">
        <v>1</v>
      </c>
      <c r="H286" s="1">
        <v>41746</v>
      </c>
      <c r="I286">
        <v>18</v>
      </c>
      <c r="J286">
        <v>26</v>
      </c>
      <c r="K286">
        <v>0</v>
      </c>
      <c r="L286">
        <v>8</v>
      </c>
      <c r="M286">
        <v>0</v>
      </c>
      <c r="N286">
        <v>0</v>
      </c>
      <c r="O286">
        <v>3</v>
      </c>
      <c r="P286">
        <v>2</v>
      </c>
      <c r="Q286">
        <v>2</v>
      </c>
      <c r="R286">
        <v>0</v>
      </c>
      <c r="S286">
        <v>3</v>
      </c>
      <c r="T286">
        <v>5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3</v>
      </c>
      <c r="AB286">
        <v>11</v>
      </c>
      <c r="AC286">
        <v>0</v>
      </c>
      <c r="AD286" t="str">
        <f t="shared" si="52"/>
        <v>Ok</v>
      </c>
      <c r="AE286" t="str">
        <f>IF(AND(Audit_Data[[#This Row],[Year_Birth]]&gt;=1900,Audit_Data[[#This Row],[Year_Birth]]&lt;=2010),"OK","Invalid")</f>
        <v>OK</v>
      </c>
      <c r="AF286" t="str">
        <f t="shared" si="53"/>
        <v>Valid</v>
      </c>
      <c r="AG286" t="str">
        <f t="shared" si="54"/>
        <v>Valid</v>
      </c>
      <c r="AH286" t="str">
        <f t="shared" si="55"/>
        <v>Valid</v>
      </c>
      <c r="AI286" t="str">
        <f t="shared" si="56"/>
        <v>Valid</v>
      </c>
      <c r="AJ286" t="str">
        <f t="shared" si="57"/>
        <v>Valid</v>
      </c>
      <c r="AK286" t="str">
        <f t="shared" si="64"/>
        <v xml:space="preserve">Valid </v>
      </c>
      <c r="AL286" t="str">
        <f>IF(AND(Audit_Data[[#This Row],[Recency]]&gt;=0,Audit_Data[[#This Row],[Recency]]&lt;=100),"Valid","Invalid")</f>
        <v>Valid</v>
      </c>
      <c r="AM286" t="str">
        <f t="shared" si="58"/>
        <v>Valid</v>
      </c>
      <c r="AN286" t="str">
        <f t="shared" si="59"/>
        <v>Valid</v>
      </c>
      <c r="AO286" t="str">
        <f t="shared" si="60"/>
        <v>Valid</v>
      </c>
      <c r="AP286" t="str">
        <f t="shared" si="61"/>
        <v>Valid</v>
      </c>
      <c r="AQ286" t="str">
        <f>IF(Audit_Data[[#This Row],[Z_CostContact]]=3,"Valid","Invalid")</f>
        <v>Valid</v>
      </c>
      <c r="AR286" t="str">
        <f t="shared" si="62"/>
        <v>Valid</v>
      </c>
      <c r="AS286" t="str">
        <f t="shared" si="63"/>
        <v>Valid</v>
      </c>
    </row>
    <row r="287" spans="1:45" x14ac:dyDescent="0.3">
      <c r="A287">
        <v>9974</v>
      </c>
      <c r="B287">
        <v>1974</v>
      </c>
      <c r="C287" t="s">
        <v>29</v>
      </c>
      <c r="D287" t="s">
        <v>33</v>
      </c>
      <c r="E287">
        <v>30631</v>
      </c>
      <c r="F287">
        <v>1</v>
      </c>
      <c r="G287">
        <v>0</v>
      </c>
      <c r="H287" s="1">
        <v>41467</v>
      </c>
      <c r="I287">
        <v>75</v>
      </c>
      <c r="J287">
        <v>15</v>
      </c>
      <c r="K287">
        <v>6</v>
      </c>
      <c r="L287">
        <v>20</v>
      </c>
      <c r="M287">
        <v>4</v>
      </c>
      <c r="N287">
        <v>5</v>
      </c>
      <c r="O287">
        <v>20</v>
      </c>
      <c r="P287">
        <v>1</v>
      </c>
      <c r="Q287">
        <v>3</v>
      </c>
      <c r="R287">
        <v>1</v>
      </c>
      <c r="S287">
        <v>2</v>
      </c>
      <c r="T287">
        <v>7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3</v>
      </c>
      <c r="AB287">
        <v>11</v>
      </c>
      <c r="AC287">
        <v>0</v>
      </c>
      <c r="AD287" t="str">
        <f t="shared" si="52"/>
        <v>Ok</v>
      </c>
      <c r="AE287" t="str">
        <f>IF(AND(Audit_Data[[#This Row],[Year_Birth]]&gt;=1900,Audit_Data[[#This Row],[Year_Birth]]&lt;=2010),"OK","Invalid")</f>
        <v>OK</v>
      </c>
      <c r="AF287" t="str">
        <f t="shared" si="53"/>
        <v>Valid</v>
      </c>
      <c r="AG287" t="str">
        <f t="shared" si="54"/>
        <v>Valid</v>
      </c>
      <c r="AH287" t="str">
        <f t="shared" si="55"/>
        <v>Valid</v>
      </c>
      <c r="AI287" t="str">
        <f t="shared" si="56"/>
        <v>Valid</v>
      </c>
      <c r="AJ287" t="str">
        <f t="shared" si="57"/>
        <v>Valid</v>
      </c>
      <c r="AK287" t="str">
        <f t="shared" si="64"/>
        <v xml:space="preserve">Valid </v>
      </c>
      <c r="AL287" t="str">
        <f>IF(AND(Audit_Data[[#This Row],[Recency]]&gt;=0,Audit_Data[[#This Row],[Recency]]&lt;=100),"Valid","Invalid")</f>
        <v>Valid</v>
      </c>
      <c r="AM287" t="str">
        <f t="shared" si="58"/>
        <v>Valid</v>
      </c>
      <c r="AN287" t="str">
        <f t="shared" si="59"/>
        <v>Valid</v>
      </c>
      <c r="AO287" t="str">
        <f t="shared" si="60"/>
        <v>Valid</v>
      </c>
      <c r="AP287" t="str">
        <f t="shared" si="61"/>
        <v>Valid</v>
      </c>
      <c r="AQ287" t="str">
        <f>IF(Audit_Data[[#This Row],[Z_CostContact]]=3,"Valid","Invalid")</f>
        <v>Valid</v>
      </c>
      <c r="AR287" t="str">
        <f t="shared" si="62"/>
        <v>Valid</v>
      </c>
      <c r="AS287" t="str">
        <f t="shared" si="63"/>
        <v>Valid</v>
      </c>
    </row>
    <row r="288" spans="1:45" x14ac:dyDescent="0.3">
      <c r="A288">
        <v>10983</v>
      </c>
      <c r="B288">
        <v>1952</v>
      </c>
      <c r="C288" t="s">
        <v>29</v>
      </c>
      <c r="D288" t="s">
        <v>31</v>
      </c>
      <c r="E288">
        <v>75278</v>
      </c>
      <c r="F288">
        <v>0</v>
      </c>
      <c r="G288">
        <v>0</v>
      </c>
      <c r="H288" s="1">
        <v>41303</v>
      </c>
      <c r="I288">
        <v>17</v>
      </c>
      <c r="J288">
        <v>304</v>
      </c>
      <c r="K288">
        <v>98</v>
      </c>
      <c r="L288">
        <v>230</v>
      </c>
      <c r="M288">
        <v>150</v>
      </c>
      <c r="N288">
        <v>74</v>
      </c>
      <c r="O288">
        <v>74</v>
      </c>
      <c r="P288">
        <v>1</v>
      </c>
      <c r="Q288">
        <v>6</v>
      </c>
      <c r="R288">
        <v>3</v>
      </c>
      <c r="S288">
        <v>13</v>
      </c>
      <c r="T288">
        <v>3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3</v>
      </c>
      <c r="AB288">
        <v>11</v>
      </c>
      <c r="AC288">
        <v>0</v>
      </c>
      <c r="AD288" t="str">
        <f t="shared" si="52"/>
        <v>Ok</v>
      </c>
      <c r="AE288" t="str">
        <f>IF(AND(Audit_Data[[#This Row],[Year_Birth]]&gt;=1900,Audit_Data[[#This Row],[Year_Birth]]&lt;=2010),"OK","Invalid")</f>
        <v>OK</v>
      </c>
      <c r="AF288" t="str">
        <f t="shared" si="53"/>
        <v>Valid</v>
      </c>
      <c r="AG288" t="str">
        <f t="shared" si="54"/>
        <v>Valid</v>
      </c>
      <c r="AH288" t="str">
        <f t="shared" si="55"/>
        <v>Valid</v>
      </c>
      <c r="AI288" t="str">
        <f t="shared" si="56"/>
        <v>Valid</v>
      </c>
      <c r="AJ288" t="str">
        <f t="shared" si="57"/>
        <v>Valid</v>
      </c>
      <c r="AK288" t="str">
        <f t="shared" si="64"/>
        <v xml:space="preserve">Valid </v>
      </c>
      <c r="AL288" t="str">
        <f>IF(AND(Audit_Data[[#This Row],[Recency]]&gt;=0,Audit_Data[[#This Row],[Recency]]&lt;=100),"Valid","Invalid")</f>
        <v>Valid</v>
      </c>
      <c r="AM288" t="str">
        <f t="shared" si="58"/>
        <v>Valid</v>
      </c>
      <c r="AN288" t="str">
        <f t="shared" si="59"/>
        <v>Valid</v>
      </c>
      <c r="AO288" t="str">
        <f t="shared" si="60"/>
        <v>Valid</v>
      </c>
      <c r="AP288" t="str">
        <f t="shared" si="61"/>
        <v>Valid</v>
      </c>
      <c r="AQ288" t="str">
        <f>IF(Audit_Data[[#This Row],[Z_CostContact]]=3,"Valid","Invalid")</f>
        <v>Valid</v>
      </c>
      <c r="AR288" t="str">
        <f t="shared" si="62"/>
        <v>Valid</v>
      </c>
      <c r="AS288" t="str">
        <f t="shared" si="63"/>
        <v>Valid</v>
      </c>
    </row>
    <row r="289" spans="1:45" x14ac:dyDescent="0.3">
      <c r="A289">
        <v>8148</v>
      </c>
      <c r="B289">
        <v>1956</v>
      </c>
      <c r="C289" t="s">
        <v>34</v>
      </c>
      <c r="D289" t="s">
        <v>31</v>
      </c>
      <c r="E289">
        <v>50898</v>
      </c>
      <c r="F289">
        <v>1</v>
      </c>
      <c r="G289">
        <v>1</v>
      </c>
      <c r="H289" s="1">
        <v>41282</v>
      </c>
      <c r="I289">
        <v>88</v>
      </c>
      <c r="J289">
        <v>285</v>
      </c>
      <c r="K289">
        <v>28</v>
      </c>
      <c r="L289">
        <v>242</v>
      </c>
      <c r="M289">
        <v>55</v>
      </c>
      <c r="N289">
        <v>114</v>
      </c>
      <c r="O289">
        <v>135</v>
      </c>
      <c r="P289">
        <v>13</v>
      </c>
      <c r="Q289">
        <v>6</v>
      </c>
      <c r="R289">
        <v>2</v>
      </c>
      <c r="S289">
        <v>12</v>
      </c>
      <c r="T289">
        <v>5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3</v>
      </c>
      <c r="AB289">
        <v>11</v>
      </c>
      <c r="AC289">
        <v>0</v>
      </c>
      <c r="AD289" t="str">
        <f t="shared" si="52"/>
        <v>Ok</v>
      </c>
      <c r="AE289" t="str">
        <f>IF(AND(Audit_Data[[#This Row],[Year_Birth]]&gt;=1900,Audit_Data[[#This Row],[Year_Birth]]&lt;=2010),"OK","Invalid")</f>
        <v>OK</v>
      </c>
      <c r="AF289" t="str">
        <f t="shared" si="53"/>
        <v>Valid</v>
      </c>
      <c r="AG289" t="str">
        <f t="shared" si="54"/>
        <v>Valid</v>
      </c>
      <c r="AH289" t="str">
        <f t="shared" si="55"/>
        <v>Valid</v>
      </c>
      <c r="AI289" t="str">
        <f t="shared" si="56"/>
        <v>Valid</v>
      </c>
      <c r="AJ289" t="str">
        <f t="shared" si="57"/>
        <v>Valid</v>
      </c>
      <c r="AK289" t="str">
        <f t="shared" si="64"/>
        <v xml:space="preserve">Valid </v>
      </c>
      <c r="AL289" t="str">
        <f>IF(AND(Audit_Data[[#This Row],[Recency]]&gt;=0,Audit_Data[[#This Row],[Recency]]&lt;=100),"Valid","Invalid")</f>
        <v>Valid</v>
      </c>
      <c r="AM289" t="str">
        <f t="shared" si="58"/>
        <v>Valid</v>
      </c>
      <c r="AN289" t="str">
        <f t="shared" si="59"/>
        <v>Valid</v>
      </c>
      <c r="AO289" t="str">
        <f t="shared" si="60"/>
        <v>Valid</v>
      </c>
      <c r="AP289" t="str">
        <f t="shared" si="61"/>
        <v>Valid</v>
      </c>
      <c r="AQ289" t="str">
        <f>IF(Audit_Data[[#This Row],[Z_CostContact]]=3,"Valid","Invalid")</f>
        <v>Valid</v>
      </c>
      <c r="AR289" t="str">
        <f t="shared" si="62"/>
        <v>Valid</v>
      </c>
      <c r="AS289" t="str">
        <f t="shared" si="63"/>
        <v>Valid</v>
      </c>
    </row>
    <row r="290" spans="1:45" x14ac:dyDescent="0.3">
      <c r="A290">
        <v>10102</v>
      </c>
      <c r="B290">
        <v>1966</v>
      </c>
      <c r="C290" t="s">
        <v>29</v>
      </c>
      <c r="D290" t="s">
        <v>38</v>
      </c>
      <c r="E290">
        <v>79946</v>
      </c>
      <c r="F290">
        <v>0</v>
      </c>
      <c r="G290">
        <v>0</v>
      </c>
      <c r="H290" s="1">
        <v>41771</v>
      </c>
      <c r="I290">
        <v>19</v>
      </c>
      <c r="J290">
        <v>395</v>
      </c>
      <c r="K290">
        <v>183</v>
      </c>
      <c r="L290">
        <v>565</v>
      </c>
      <c r="M290">
        <v>166</v>
      </c>
      <c r="N290">
        <v>141</v>
      </c>
      <c r="O290">
        <v>28</v>
      </c>
      <c r="P290">
        <v>1</v>
      </c>
      <c r="Q290">
        <v>5</v>
      </c>
      <c r="R290">
        <v>11</v>
      </c>
      <c r="S290">
        <v>5</v>
      </c>
      <c r="T290">
        <v>3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3</v>
      </c>
      <c r="AB290">
        <v>11</v>
      </c>
      <c r="AC290">
        <v>0</v>
      </c>
      <c r="AD290" t="str">
        <f t="shared" si="52"/>
        <v>Ok</v>
      </c>
      <c r="AE290" t="str">
        <f>IF(AND(Audit_Data[[#This Row],[Year_Birth]]&gt;=1900,Audit_Data[[#This Row],[Year_Birth]]&lt;=2010),"OK","Invalid")</f>
        <v>OK</v>
      </c>
      <c r="AF290" t="str">
        <f t="shared" si="53"/>
        <v>Valid</v>
      </c>
      <c r="AG290" t="str">
        <f t="shared" si="54"/>
        <v>Valid</v>
      </c>
      <c r="AH290" t="str">
        <f t="shared" si="55"/>
        <v>Valid</v>
      </c>
      <c r="AI290" t="str">
        <f t="shared" si="56"/>
        <v>Valid</v>
      </c>
      <c r="AJ290" t="str">
        <f t="shared" si="57"/>
        <v>Valid</v>
      </c>
      <c r="AK290" t="str">
        <f t="shared" si="64"/>
        <v xml:space="preserve">Valid </v>
      </c>
      <c r="AL290" t="str">
        <f>IF(AND(Audit_Data[[#This Row],[Recency]]&gt;=0,Audit_Data[[#This Row],[Recency]]&lt;=100),"Valid","Invalid")</f>
        <v>Valid</v>
      </c>
      <c r="AM290" t="str">
        <f t="shared" si="58"/>
        <v>Valid</v>
      </c>
      <c r="AN290" t="str">
        <f t="shared" si="59"/>
        <v>Valid</v>
      </c>
      <c r="AO290" t="str">
        <f t="shared" si="60"/>
        <v>Valid</v>
      </c>
      <c r="AP290" t="str">
        <f t="shared" si="61"/>
        <v>Valid</v>
      </c>
      <c r="AQ290" t="str">
        <f>IF(Audit_Data[[#This Row],[Z_CostContact]]=3,"Valid","Invalid")</f>
        <v>Valid</v>
      </c>
      <c r="AR290" t="str">
        <f t="shared" si="62"/>
        <v>Valid</v>
      </c>
      <c r="AS290" t="str">
        <f t="shared" si="63"/>
        <v>Valid</v>
      </c>
    </row>
    <row r="291" spans="1:45" x14ac:dyDescent="0.3">
      <c r="A291">
        <v>4697</v>
      </c>
      <c r="B291">
        <v>1949</v>
      </c>
      <c r="C291" t="s">
        <v>34</v>
      </c>
      <c r="D291" t="s">
        <v>35</v>
      </c>
      <c r="E291">
        <v>35416</v>
      </c>
      <c r="F291">
        <v>0</v>
      </c>
      <c r="G291">
        <v>0</v>
      </c>
      <c r="H291" s="1">
        <v>41438</v>
      </c>
      <c r="I291">
        <v>62</v>
      </c>
      <c r="J291">
        <v>248</v>
      </c>
      <c r="K291">
        <v>3</v>
      </c>
      <c r="L291">
        <v>81</v>
      </c>
      <c r="M291">
        <v>4</v>
      </c>
      <c r="N291">
        <v>3</v>
      </c>
      <c r="O291">
        <v>51</v>
      </c>
      <c r="P291">
        <v>3</v>
      </c>
      <c r="Q291">
        <v>7</v>
      </c>
      <c r="R291">
        <v>1</v>
      </c>
      <c r="S291">
        <v>5</v>
      </c>
      <c r="T291">
        <v>8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3</v>
      </c>
      <c r="AB291">
        <v>11</v>
      </c>
      <c r="AC291">
        <v>0</v>
      </c>
      <c r="AD291" t="str">
        <f t="shared" si="52"/>
        <v>Ok</v>
      </c>
      <c r="AE291" t="str">
        <f>IF(AND(Audit_Data[[#This Row],[Year_Birth]]&gt;=1900,Audit_Data[[#This Row],[Year_Birth]]&lt;=2010),"OK","Invalid")</f>
        <v>OK</v>
      </c>
      <c r="AF291" t="str">
        <f t="shared" si="53"/>
        <v>Valid</v>
      </c>
      <c r="AG291" t="str">
        <f t="shared" si="54"/>
        <v>Valid</v>
      </c>
      <c r="AH291" t="str">
        <f t="shared" si="55"/>
        <v>Valid</v>
      </c>
      <c r="AI291" t="str">
        <f t="shared" si="56"/>
        <v>Valid</v>
      </c>
      <c r="AJ291" t="str">
        <f t="shared" si="57"/>
        <v>Valid</v>
      </c>
      <c r="AK291" t="str">
        <f t="shared" si="64"/>
        <v xml:space="preserve">Valid </v>
      </c>
      <c r="AL291" t="str">
        <f>IF(AND(Audit_Data[[#This Row],[Recency]]&gt;=0,Audit_Data[[#This Row],[Recency]]&lt;=100),"Valid","Invalid")</f>
        <v>Valid</v>
      </c>
      <c r="AM291" t="str">
        <f t="shared" si="58"/>
        <v>Valid</v>
      </c>
      <c r="AN291" t="str">
        <f t="shared" si="59"/>
        <v>Valid</v>
      </c>
      <c r="AO291" t="str">
        <f t="shared" si="60"/>
        <v>Valid</v>
      </c>
      <c r="AP291" t="str">
        <f t="shared" si="61"/>
        <v>Valid</v>
      </c>
      <c r="AQ291" t="str">
        <f>IF(Audit_Data[[#This Row],[Z_CostContact]]=3,"Valid","Invalid")</f>
        <v>Valid</v>
      </c>
      <c r="AR291" t="str">
        <f t="shared" si="62"/>
        <v>Valid</v>
      </c>
      <c r="AS291" t="str">
        <f t="shared" si="63"/>
        <v>Valid</v>
      </c>
    </row>
    <row r="292" spans="1:45" x14ac:dyDescent="0.3">
      <c r="A292">
        <v>9262</v>
      </c>
      <c r="B292">
        <v>1984</v>
      </c>
      <c r="C292" t="s">
        <v>37</v>
      </c>
      <c r="D292" t="s">
        <v>31</v>
      </c>
      <c r="E292">
        <v>32414</v>
      </c>
      <c r="F292">
        <v>0</v>
      </c>
      <c r="G292">
        <v>0</v>
      </c>
      <c r="H292" s="1">
        <v>41459</v>
      </c>
      <c r="I292">
        <v>11</v>
      </c>
      <c r="J292">
        <v>20</v>
      </c>
      <c r="K292">
        <v>6</v>
      </c>
      <c r="L292">
        <v>5</v>
      </c>
      <c r="M292">
        <v>0</v>
      </c>
      <c r="N292">
        <v>9</v>
      </c>
      <c r="O292">
        <v>12</v>
      </c>
      <c r="P292">
        <v>1</v>
      </c>
      <c r="Q292">
        <v>1</v>
      </c>
      <c r="R292">
        <v>0</v>
      </c>
      <c r="S292">
        <v>3</v>
      </c>
      <c r="T292">
        <v>7</v>
      </c>
      <c r="U292">
        <v>1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3</v>
      </c>
      <c r="AB292">
        <v>11</v>
      </c>
      <c r="AC292">
        <v>0</v>
      </c>
      <c r="AD292" t="str">
        <f t="shared" si="52"/>
        <v>Ok</v>
      </c>
      <c r="AE292" t="str">
        <f>IF(AND(Audit_Data[[#This Row],[Year_Birth]]&gt;=1900,Audit_Data[[#This Row],[Year_Birth]]&lt;=2010),"OK","Invalid")</f>
        <v>OK</v>
      </c>
      <c r="AF292" t="str">
        <f t="shared" si="53"/>
        <v>Valid</v>
      </c>
      <c r="AG292" t="str">
        <f t="shared" si="54"/>
        <v>Valid</v>
      </c>
      <c r="AH292" t="str">
        <f t="shared" si="55"/>
        <v>Valid</v>
      </c>
      <c r="AI292" t="str">
        <f t="shared" si="56"/>
        <v>Valid</v>
      </c>
      <c r="AJ292" t="str">
        <f t="shared" si="57"/>
        <v>Valid</v>
      </c>
      <c r="AK292" t="str">
        <f t="shared" si="64"/>
        <v xml:space="preserve">Valid </v>
      </c>
      <c r="AL292" t="str">
        <f>IF(AND(Audit_Data[[#This Row],[Recency]]&gt;=0,Audit_Data[[#This Row],[Recency]]&lt;=100),"Valid","Invalid")</f>
        <v>Valid</v>
      </c>
      <c r="AM292" t="str">
        <f t="shared" si="58"/>
        <v>Valid</v>
      </c>
      <c r="AN292" t="str">
        <f t="shared" si="59"/>
        <v>Valid</v>
      </c>
      <c r="AO292" t="str">
        <f t="shared" si="60"/>
        <v>Valid</v>
      </c>
      <c r="AP292" t="str">
        <f t="shared" si="61"/>
        <v>Valid</v>
      </c>
      <c r="AQ292" t="str">
        <f>IF(Audit_Data[[#This Row],[Z_CostContact]]=3,"Valid","Invalid")</f>
        <v>Valid</v>
      </c>
      <c r="AR292" t="str">
        <f t="shared" si="62"/>
        <v>Valid</v>
      </c>
      <c r="AS292" t="str">
        <f t="shared" si="63"/>
        <v>Valid</v>
      </c>
    </row>
    <row r="293" spans="1:45" x14ac:dyDescent="0.3">
      <c r="A293">
        <v>7254</v>
      </c>
      <c r="B293">
        <v>1969</v>
      </c>
      <c r="C293" t="s">
        <v>29</v>
      </c>
      <c r="D293" t="s">
        <v>31</v>
      </c>
      <c r="E293">
        <v>38361</v>
      </c>
      <c r="F293">
        <v>1</v>
      </c>
      <c r="G293">
        <v>0</v>
      </c>
      <c r="H293" s="1">
        <v>41635</v>
      </c>
      <c r="I293">
        <v>74</v>
      </c>
      <c r="J293">
        <v>39</v>
      </c>
      <c r="K293">
        <v>0</v>
      </c>
      <c r="L293">
        <v>56</v>
      </c>
      <c r="M293">
        <v>20</v>
      </c>
      <c r="N293">
        <v>8</v>
      </c>
      <c r="O293">
        <v>14</v>
      </c>
      <c r="P293">
        <v>3</v>
      </c>
      <c r="Q293">
        <v>3</v>
      </c>
      <c r="R293">
        <v>1</v>
      </c>
      <c r="S293">
        <v>3</v>
      </c>
      <c r="T293">
        <v>7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3</v>
      </c>
      <c r="AB293">
        <v>11</v>
      </c>
      <c r="AC293">
        <v>0</v>
      </c>
      <c r="AD293" t="str">
        <f t="shared" si="52"/>
        <v>Ok</v>
      </c>
      <c r="AE293" t="str">
        <f>IF(AND(Audit_Data[[#This Row],[Year_Birth]]&gt;=1900,Audit_Data[[#This Row],[Year_Birth]]&lt;=2010),"OK","Invalid")</f>
        <v>OK</v>
      </c>
      <c r="AF293" t="str">
        <f t="shared" si="53"/>
        <v>Valid</v>
      </c>
      <c r="AG293" t="str">
        <f t="shared" si="54"/>
        <v>Valid</v>
      </c>
      <c r="AH293" t="str">
        <f t="shared" si="55"/>
        <v>Valid</v>
      </c>
      <c r="AI293" t="str">
        <f t="shared" si="56"/>
        <v>Valid</v>
      </c>
      <c r="AJ293" t="str">
        <f t="shared" si="57"/>
        <v>Valid</v>
      </c>
      <c r="AK293" t="str">
        <f t="shared" si="64"/>
        <v xml:space="preserve">Valid </v>
      </c>
      <c r="AL293" t="str">
        <f>IF(AND(Audit_Data[[#This Row],[Recency]]&gt;=0,Audit_Data[[#This Row],[Recency]]&lt;=100),"Valid","Invalid")</f>
        <v>Valid</v>
      </c>
      <c r="AM293" t="str">
        <f t="shared" si="58"/>
        <v>Valid</v>
      </c>
      <c r="AN293" t="str">
        <f t="shared" si="59"/>
        <v>Valid</v>
      </c>
      <c r="AO293" t="str">
        <f t="shared" si="60"/>
        <v>Valid</v>
      </c>
      <c r="AP293" t="str">
        <f t="shared" si="61"/>
        <v>Valid</v>
      </c>
      <c r="AQ293" t="str">
        <f>IF(Audit_Data[[#This Row],[Z_CostContact]]=3,"Valid","Invalid")</f>
        <v>Valid</v>
      </c>
      <c r="AR293" t="str">
        <f t="shared" si="62"/>
        <v>Valid</v>
      </c>
      <c r="AS293" t="str">
        <f t="shared" si="63"/>
        <v>Valid</v>
      </c>
    </row>
    <row r="294" spans="1:45" x14ac:dyDescent="0.3">
      <c r="A294">
        <v>4543</v>
      </c>
      <c r="B294">
        <v>1980</v>
      </c>
      <c r="C294" t="s">
        <v>29</v>
      </c>
      <c r="D294" t="s">
        <v>33</v>
      </c>
      <c r="E294">
        <v>82497</v>
      </c>
      <c r="F294">
        <v>0</v>
      </c>
      <c r="G294">
        <v>0</v>
      </c>
      <c r="H294" s="1">
        <v>41213</v>
      </c>
      <c r="I294">
        <v>32</v>
      </c>
      <c r="J294">
        <v>777</v>
      </c>
      <c r="K294">
        <v>129</v>
      </c>
      <c r="L294">
        <v>573</v>
      </c>
      <c r="M294">
        <v>216</v>
      </c>
      <c r="N294">
        <v>21</v>
      </c>
      <c r="O294">
        <v>203</v>
      </c>
      <c r="P294">
        <v>1</v>
      </c>
      <c r="Q294">
        <v>2</v>
      </c>
      <c r="R294">
        <v>7</v>
      </c>
      <c r="S294">
        <v>9</v>
      </c>
      <c r="T294">
        <v>4</v>
      </c>
      <c r="U294">
        <v>0</v>
      </c>
      <c r="V294">
        <v>0</v>
      </c>
      <c r="W294">
        <v>1</v>
      </c>
      <c r="X294">
        <v>0</v>
      </c>
      <c r="Y294">
        <v>0</v>
      </c>
      <c r="Z294">
        <v>0</v>
      </c>
      <c r="AA294">
        <v>3</v>
      </c>
      <c r="AB294">
        <v>11</v>
      </c>
      <c r="AC294">
        <v>0</v>
      </c>
      <c r="AD294" t="str">
        <f t="shared" si="52"/>
        <v>Ok</v>
      </c>
      <c r="AE294" t="str">
        <f>IF(AND(Audit_Data[[#This Row],[Year_Birth]]&gt;=1900,Audit_Data[[#This Row],[Year_Birth]]&lt;=2010),"OK","Invalid")</f>
        <v>OK</v>
      </c>
      <c r="AF294" t="str">
        <f t="shared" si="53"/>
        <v>Valid</v>
      </c>
      <c r="AG294" t="str">
        <f t="shared" si="54"/>
        <v>Valid</v>
      </c>
      <c r="AH294" t="str">
        <f t="shared" si="55"/>
        <v>Valid</v>
      </c>
      <c r="AI294" t="str">
        <f t="shared" si="56"/>
        <v>Valid</v>
      </c>
      <c r="AJ294" t="str">
        <f t="shared" si="57"/>
        <v>Valid</v>
      </c>
      <c r="AK294" t="str">
        <f t="shared" si="64"/>
        <v xml:space="preserve">Valid </v>
      </c>
      <c r="AL294" t="str">
        <f>IF(AND(Audit_Data[[#This Row],[Recency]]&gt;=0,Audit_Data[[#This Row],[Recency]]&lt;=100),"Valid","Invalid")</f>
        <v>Valid</v>
      </c>
      <c r="AM294" t="str">
        <f t="shared" si="58"/>
        <v>Valid</v>
      </c>
      <c r="AN294" t="str">
        <f t="shared" si="59"/>
        <v>Valid</v>
      </c>
      <c r="AO294" t="str">
        <f t="shared" si="60"/>
        <v>Valid</v>
      </c>
      <c r="AP294" t="str">
        <f t="shared" si="61"/>
        <v>Valid</v>
      </c>
      <c r="AQ294" t="str">
        <f>IF(Audit_Data[[#This Row],[Z_CostContact]]=3,"Valid","Invalid")</f>
        <v>Valid</v>
      </c>
      <c r="AR294" t="str">
        <f t="shared" si="62"/>
        <v>Valid</v>
      </c>
      <c r="AS294" t="str">
        <f t="shared" si="63"/>
        <v>Valid</v>
      </c>
    </row>
    <row r="295" spans="1:45" x14ac:dyDescent="0.3">
      <c r="A295">
        <v>4927</v>
      </c>
      <c r="B295">
        <v>1971</v>
      </c>
      <c r="C295" t="s">
        <v>29</v>
      </c>
      <c r="D295" t="s">
        <v>31</v>
      </c>
      <c r="E295">
        <v>16626</v>
      </c>
      <c r="F295">
        <v>2</v>
      </c>
      <c r="G295">
        <v>0</v>
      </c>
      <c r="H295" s="1">
        <v>41654</v>
      </c>
      <c r="I295">
        <v>76</v>
      </c>
      <c r="J295">
        <v>8</v>
      </c>
      <c r="K295">
        <v>3</v>
      </c>
      <c r="L295">
        <v>22</v>
      </c>
      <c r="M295">
        <v>21</v>
      </c>
      <c r="N295">
        <v>1</v>
      </c>
      <c r="O295">
        <v>13</v>
      </c>
      <c r="P295">
        <v>3</v>
      </c>
      <c r="Q295">
        <v>3</v>
      </c>
      <c r="R295">
        <v>0</v>
      </c>
      <c r="S295">
        <v>3</v>
      </c>
      <c r="T295">
        <v>9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3</v>
      </c>
      <c r="AB295">
        <v>11</v>
      </c>
      <c r="AC295">
        <v>0</v>
      </c>
      <c r="AD295" t="str">
        <f t="shared" si="52"/>
        <v>Ok</v>
      </c>
      <c r="AE295" t="str">
        <f>IF(AND(Audit_Data[[#This Row],[Year_Birth]]&gt;=1900,Audit_Data[[#This Row],[Year_Birth]]&lt;=2010),"OK","Invalid")</f>
        <v>OK</v>
      </c>
      <c r="AF295" t="str">
        <f t="shared" si="53"/>
        <v>Valid</v>
      </c>
      <c r="AG295" t="str">
        <f t="shared" si="54"/>
        <v>Valid</v>
      </c>
      <c r="AH295" t="str">
        <f t="shared" si="55"/>
        <v>Valid</v>
      </c>
      <c r="AI295" t="str">
        <f t="shared" si="56"/>
        <v>Valid</v>
      </c>
      <c r="AJ295" t="str">
        <f t="shared" si="57"/>
        <v>Valid</v>
      </c>
      <c r="AK295" t="str">
        <f t="shared" si="64"/>
        <v xml:space="preserve">Valid </v>
      </c>
      <c r="AL295" t="str">
        <f>IF(AND(Audit_Data[[#This Row],[Recency]]&gt;=0,Audit_Data[[#This Row],[Recency]]&lt;=100),"Valid","Invalid")</f>
        <v>Valid</v>
      </c>
      <c r="AM295" t="str">
        <f t="shared" si="58"/>
        <v>Valid</v>
      </c>
      <c r="AN295" t="str">
        <f t="shared" si="59"/>
        <v>Valid</v>
      </c>
      <c r="AO295" t="str">
        <f t="shared" si="60"/>
        <v>Valid</v>
      </c>
      <c r="AP295" t="str">
        <f t="shared" si="61"/>
        <v>Valid</v>
      </c>
      <c r="AQ295" t="str">
        <f>IF(Audit_Data[[#This Row],[Z_CostContact]]=3,"Valid","Invalid")</f>
        <v>Valid</v>
      </c>
      <c r="AR295" t="str">
        <f t="shared" si="62"/>
        <v>Valid</v>
      </c>
      <c r="AS295" t="str">
        <f t="shared" si="63"/>
        <v>Valid</v>
      </c>
    </row>
    <row r="296" spans="1:45" x14ac:dyDescent="0.3">
      <c r="A296">
        <v>10451</v>
      </c>
      <c r="B296">
        <v>1965</v>
      </c>
      <c r="C296" t="s">
        <v>29</v>
      </c>
      <c r="D296" t="s">
        <v>31</v>
      </c>
      <c r="E296">
        <v>29672</v>
      </c>
      <c r="F296">
        <v>1</v>
      </c>
      <c r="G296">
        <v>1</v>
      </c>
      <c r="H296" s="1">
        <v>41345</v>
      </c>
      <c r="I296">
        <v>6</v>
      </c>
      <c r="J296">
        <v>9</v>
      </c>
      <c r="K296">
        <v>1</v>
      </c>
      <c r="L296">
        <v>3</v>
      </c>
      <c r="M296">
        <v>0</v>
      </c>
      <c r="N296">
        <v>4</v>
      </c>
      <c r="O296">
        <v>8</v>
      </c>
      <c r="P296">
        <v>1</v>
      </c>
      <c r="Q296">
        <v>0</v>
      </c>
      <c r="R296">
        <v>0</v>
      </c>
      <c r="S296">
        <v>3</v>
      </c>
      <c r="T296">
        <v>6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3</v>
      </c>
      <c r="AB296">
        <v>11</v>
      </c>
      <c r="AC296">
        <v>0</v>
      </c>
      <c r="AD296" t="str">
        <f t="shared" si="52"/>
        <v>Ok</v>
      </c>
      <c r="AE296" t="str">
        <f>IF(AND(Audit_Data[[#This Row],[Year_Birth]]&gt;=1900,Audit_Data[[#This Row],[Year_Birth]]&lt;=2010),"OK","Invalid")</f>
        <v>OK</v>
      </c>
      <c r="AF296" t="str">
        <f t="shared" si="53"/>
        <v>Valid</v>
      </c>
      <c r="AG296" t="str">
        <f t="shared" si="54"/>
        <v>Valid</v>
      </c>
      <c r="AH296" t="str">
        <f t="shared" si="55"/>
        <v>Valid</v>
      </c>
      <c r="AI296" t="str">
        <f t="shared" si="56"/>
        <v>Valid</v>
      </c>
      <c r="AJ296" t="str">
        <f t="shared" si="57"/>
        <v>Valid</v>
      </c>
      <c r="AK296" t="str">
        <f t="shared" si="64"/>
        <v xml:space="preserve">Valid </v>
      </c>
      <c r="AL296" t="str">
        <f>IF(AND(Audit_Data[[#This Row],[Recency]]&gt;=0,Audit_Data[[#This Row],[Recency]]&lt;=100),"Valid","Invalid")</f>
        <v>Valid</v>
      </c>
      <c r="AM296" t="str">
        <f t="shared" si="58"/>
        <v>Valid</v>
      </c>
      <c r="AN296" t="str">
        <f t="shared" si="59"/>
        <v>Valid</v>
      </c>
      <c r="AO296" t="str">
        <f t="shared" si="60"/>
        <v>Valid</v>
      </c>
      <c r="AP296" t="str">
        <f t="shared" si="61"/>
        <v>Valid</v>
      </c>
      <c r="AQ296" t="str">
        <f>IF(Audit_Data[[#This Row],[Z_CostContact]]=3,"Valid","Invalid")</f>
        <v>Valid</v>
      </c>
      <c r="AR296" t="str">
        <f t="shared" si="62"/>
        <v>Valid</v>
      </c>
      <c r="AS296" t="str">
        <f t="shared" si="63"/>
        <v>Valid</v>
      </c>
    </row>
    <row r="297" spans="1:45" x14ac:dyDescent="0.3">
      <c r="A297">
        <v>2926</v>
      </c>
      <c r="B297">
        <v>1952</v>
      </c>
      <c r="C297" t="s">
        <v>34</v>
      </c>
      <c r="D297" t="s">
        <v>31</v>
      </c>
      <c r="E297">
        <v>55951</v>
      </c>
      <c r="F297">
        <v>0</v>
      </c>
      <c r="G297">
        <v>1</v>
      </c>
      <c r="H297" s="1">
        <v>41144</v>
      </c>
      <c r="I297">
        <v>62</v>
      </c>
      <c r="J297">
        <v>1241</v>
      </c>
      <c r="K297">
        <v>0</v>
      </c>
      <c r="L297">
        <v>80</v>
      </c>
      <c r="M297">
        <v>0</v>
      </c>
      <c r="N297">
        <v>13</v>
      </c>
      <c r="O297">
        <v>40</v>
      </c>
      <c r="P297">
        <v>3</v>
      </c>
      <c r="Q297">
        <v>3</v>
      </c>
      <c r="R297">
        <v>6</v>
      </c>
      <c r="S297">
        <v>11</v>
      </c>
      <c r="T297">
        <v>8</v>
      </c>
      <c r="U297">
        <v>0</v>
      </c>
      <c r="V297">
        <v>1</v>
      </c>
      <c r="W297">
        <v>0</v>
      </c>
      <c r="X297">
        <v>0</v>
      </c>
      <c r="Y297">
        <v>1</v>
      </c>
      <c r="Z297">
        <v>0</v>
      </c>
      <c r="AA297">
        <v>3</v>
      </c>
      <c r="AB297">
        <v>11</v>
      </c>
      <c r="AC297">
        <v>0</v>
      </c>
      <c r="AD297" t="str">
        <f t="shared" si="52"/>
        <v>Ok</v>
      </c>
      <c r="AE297" t="str">
        <f>IF(AND(Audit_Data[[#This Row],[Year_Birth]]&gt;=1900,Audit_Data[[#This Row],[Year_Birth]]&lt;=2010),"OK","Invalid")</f>
        <v>OK</v>
      </c>
      <c r="AF297" t="str">
        <f t="shared" si="53"/>
        <v>Valid</v>
      </c>
      <c r="AG297" t="str">
        <f t="shared" si="54"/>
        <v>Valid</v>
      </c>
      <c r="AH297" t="str">
        <f t="shared" si="55"/>
        <v>Valid</v>
      </c>
      <c r="AI297" t="str">
        <f t="shared" si="56"/>
        <v>Valid</v>
      </c>
      <c r="AJ297" t="str">
        <f t="shared" si="57"/>
        <v>Valid</v>
      </c>
      <c r="AK297" t="str">
        <f t="shared" si="64"/>
        <v xml:space="preserve">Valid </v>
      </c>
      <c r="AL297" t="str">
        <f>IF(AND(Audit_Data[[#This Row],[Recency]]&gt;=0,Audit_Data[[#This Row],[Recency]]&lt;=100),"Valid","Invalid")</f>
        <v>Valid</v>
      </c>
      <c r="AM297" t="str">
        <f t="shared" si="58"/>
        <v>Valid</v>
      </c>
      <c r="AN297" t="str">
        <f t="shared" si="59"/>
        <v>Valid</v>
      </c>
      <c r="AO297" t="str">
        <f t="shared" si="60"/>
        <v>Valid</v>
      </c>
      <c r="AP297" t="str">
        <f t="shared" si="61"/>
        <v>Valid</v>
      </c>
      <c r="AQ297" t="str">
        <f>IF(Audit_Data[[#This Row],[Z_CostContact]]=3,"Valid","Invalid")</f>
        <v>Valid</v>
      </c>
      <c r="AR297" t="str">
        <f t="shared" si="62"/>
        <v>Valid</v>
      </c>
      <c r="AS297" t="str">
        <f t="shared" si="63"/>
        <v>Valid</v>
      </c>
    </row>
    <row r="298" spans="1:45" x14ac:dyDescent="0.3">
      <c r="A298">
        <v>2874</v>
      </c>
      <c r="B298">
        <v>1988</v>
      </c>
      <c r="C298" t="s">
        <v>37</v>
      </c>
      <c r="D298" t="s">
        <v>35</v>
      </c>
      <c r="E298">
        <v>35388</v>
      </c>
      <c r="F298">
        <v>1</v>
      </c>
      <c r="G298">
        <v>0</v>
      </c>
      <c r="H298" s="1">
        <v>41340</v>
      </c>
      <c r="I298">
        <v>20</v>
      </c>
      <c r="J298">
        <v>6</v>
      </c>
      <c r="K298">
        <v>4</v>
      </c>
      <c r="L298">
        <v>7</v>
      </c>
      <c r="M298">
        <v>4</v>
      </c>
      <c r="N298">
        <v>3</v>
      </c>
      <c r="O298">
        <v>8</v>
      </c>
      <c r="P298">
        <v>1</v>
      </c>
      <c r="Q298">
        <v>1</v>
      </c>
      <c r="R298">
        <v>0</v>
      </c>
      <c r="S298">
        <v>3</v>
      </c>
      <c r="T298">
        <v>7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3</v>
      </c>
      <c r="AB298">
        <v>11</v>
      </c>
      <c r="AC298">
        <v>0</v>
      </c>
      <c r="AD298" t="str">
        <f t="shared" si="52"/>
        <v>Ok</v>
      </c>
      <c r="AE298" t="str">
        <f>IF(AND(Audit_Data[[#This Row],[Year_Birth]]&gt;=1900,Audit_Data[[#This Row],[Year_Birth]]&lt;=2010),"OK","Invalid")</f>
        <v>OK</v>
      </c>
      <c r="AF298" t="str">
        <f t="shared" si="53"/>
        <v>Valid</v>
      </c>
      <c r="AG298" t="str">
        <f t="shared" si="54"/>
        <v>Valid</v>
      </c>
      <c r="AH298" t="str">
        <f t="shared" si="55"/>
        <v>Valid</v>
      </c>
      <c r="AI298" t="str">
        <f t="shared" si="56"/>
        <v>Valid</v>
      </c>
      <c r="AJ298" t="str">
        <f t="shared" si="57"/>
        <v>Valid</v>
      </c>
      <c r="AK298" t="str">
        <f t="shared" si="64"/>
        <v xml:space="preserve">Valid </v>
      </c>
      <c r="AL298" t="str">
        <f>IF(AND(Audit_Data[[#This Row],[Recency]]&gt;=0,Audit_Data[[#This Row],[Recency]]&lt;=100),"Valid","Invalid")</f>
        <v>Valid</v>
      </c>
      <c r="AM298" t="str">
        <f t="shared" si="58"/>
        <v>Valid</v>
      </c>
      <c r="AN298" t="str">
        <f t="shared" si="59"/>
        <v>Valid</v>
      </c>
      <c r="AO298" t="str">
        <f t="shared" si="60"/>
        <v>Valid</v>
      </c>
      <c r="AP298" t="str">
        <f t="shared" si="61"/>
        <v>Valid</v>
      </c>
      <c r="AQ298" t="str">
        <f>IF(Audit_Data[[#This Row],[Z_CostContact]]=3,"Valid","Invalid")</f>
        <v>Valid</v>
      </c>
      <c r="AR298" t="str">
        <f t="shared" si="62"/>
        <v>Valid</v>
      </c>
      <c r="AS298" t="str">
        <f t="shared" si="63"/>
        <v>Valid</v>
      </c>
    </row>
    <row r="299" spans="1:45" x14ac:dyDescent="0.3">
      <c r="A299">
        <v>9738</v>
      </c>
      <c r="B299">
        <v>1986</v>
      </c>
      <c r="C299" t="s">
        <v>34</v>
      </c>
      <c r="D299" t="s">
        <v>31</v>
      </c>
      <c r="E299">
        <v>42386</v>
      </c>
      <c r="F299">
        <v>1</v>
      </c>
      <c r="G299">
        <v>0</v>
      </c>
      <c r="H299" s="1">
        <v>41287</v>
      </c>
      <c r="I299">
        <v>43</v>
      </c>
      <c r="J299">
        <v>65</v>
      </c>
      <c r="K299">
        <v>4</v>
      </c>
      <c r="L299">
        <v>16</v>
      </c>
      <c r="M299">
        <v>0</v>
      </c>
      <c r="N299">
        <v>4</v>
      </c>
      <c r="O299">
        <v>11</v>
      </c>
      <c r="P299">
        <v>1</v>
      </c>
      <c r="Q299">
        <v>3</v>
      </c>
      <c r="R299">
        <v>0</v>
      </c>
      <c r="S299">
        <v>3</v>
      </c>
      <c r="T299">
        <v>8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3</v>
      </c>
      <c r="AB299">
        <v>11</v>
      </c>
      <c r="AC299">
        <v>0</v>
      </c>
      <c r="AD299" t="str">
        <f t="shared" si="52"/>
        <v>Ok</v>
      </c>
      <c r="AE299" t="str">
        <f>IF(AND(Audit_Data[[#This Row],[Year_Birth]]&gt;=1900,Audit_Data[[#This Row],[Year_Birth]]&lt;=2010),"OK","Invalid")</f>
        <v>OK</v>
      </c>
      <c r="AF299" t="str">
        <f t="shared" si="53"/>
        <v>Valid</v>
      </c>
      <c r="AG299" t="str">
        <f t="shared" si="54"/>
        <v>Valid</v>
      </c>
      <c r="AH299" t="str">
        <f t="shared" si="55"/>
        <v>Valid</v>
      </c>
      <c r="AI299" t="str">
        <f t="shared" si="56"/>
        <v>Valid</v>
      </c>
      <c r="AJ299" t="str">
        <f t="shared" si="57"/>
        <v>Valid</v>
      </c>
      <c r="AK299" t="str">
        <f t="shared" si="64"/>
        <v xml:space="preserve">Valid </v>
      </c>
      <c r="AL299" t="str">
        <f>IF(AND(Audit_Data[[#This Row],[Recency]]&gt;=0,Audit_Data[[#This Row],[Recency]]&lt;=100),"Valid","Invalid")</f>
        <v>Valid</v>
      </c>
      <c r="AM299" t="str">
        <f t="shared" si="58"/>
        <v>Valid</v>
      </c>
      <c r="AN299" t="str">
        <f t="shared" si="59"/>
        <v>Valid</v>
      </c>
      <c r="AO299" t="str">
        <f t="shared" si="60"/>
        <v>Valid</v>
      </c>
      <c r="AP299" t="str">
        <f t="shared" si="61"/>
        <v>Valid</v>
      </c>
      <c r="AQ299" t="str">
        <f>IF(Audit_Data[[#This Row],[Z_CostContact]]=3,"Valid","Invalid")</f>
        <v>Valid</v>
      </c>
      <c r="AR299" t="str">
        <f t="shared" si="62"/>
        <v>Valid</v>
      </c>
      <c r="AS299" t="str">
        <f t="shared" si="63"/>
        <v>Valid</v>
      </c>
    </row>
    <row r="300" spans="1:45" x14ac:dyDescent="0.3">
      <c r="A300">
        <v>7119</v>
      </c>
      <c r="B300">
        <v>1982</v>
      </c>
      <c r="C300" t="s">
        <v>29</v>
      </c>
      <c r="D300" t="s">
        <v>30</v>
      </c>
      <c r="E300">
        <v>68627</v>
      </c>
      <c r="F300">
        <v>0</v>
      </c>
      <c r="G300">
        <v>0</v>
      </c>
      <c r="H300" s="1">
        <v>41286</v>
      </c>
      <c r="I300">
        <v>45</v>
      </c>
      <c r="J300">
        <v>395</v>
      </c>
      <c r="K300">
        <v>15</v>
      </c>
      <c r="L300">
        <v>263</v>
      </c>
      <c r="M300">
        <v>60</v>
      </c>
      <c r="N300">
        <v>54</v>
      </c>
      <c r="O300">
        <v>38</v>
      </c>
      <c r="P300">
        <v>1</v>
      </c>
      <c r="Q300">
        <v>2</v>
      </c>
      <c r="R300">
        <v>3</v>
      </c>
      <c r="S300">
        <v>6</v>
      </c>
      <c r="T300">
        <v>1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3</v>
      </c>
      <c r="AB300">
        <v>11</v>
      </c>
      <c r="AC300">
        <v>0</v>
      </c>
      <c r="AD300" t="str">
        <f t="shared" si="52"/>
        <v>Ok</v>
      </c>
      <c r="AE300" t="str">
        <f>IF(AND(Audit_Data[[#This Row],[Year_Birth]]&gt;=1900,Audit_Data[[#This Row],[Year_Birth]]&lt;=2010),"OK","Invalid")</f>
        <v>OK</v>
      </c>
      <c r="AF300" t="str">
        <f t="shared" si="53"/>
        <v>Valid</v>
      </c>
      <c r="AG300" t="str">
        <f t="shared" si="54"/>
        <v>Valid</v>
      </c>
      <c r="AH300" t="str">
        <f t="shared" si="55"/>
        <v>Valid</v>
      </c>
      <c r="AI300" t="str">
        <f t="shared" si="56"/>
        <v>Valid</v>
      </c>
      <c r="AJ300" t="str">
        <f t="shared" si="57"/>
        <v>Valid</v>
      </c>
      <c r="AK300" t="str">
        <f t="shared" si="64"/>
        <v xml:space="preserve">Valid </v>
      </c>
      <c r="AL300" t="str">
        <f>IF(AND(Audit_Data[[#This Row],[Recency]]&gt;=0,Audit_Data[[#This Row],[Recency]]&lt;=100),"Valid","Invalid")</f>
        <v>Valid</v>
      </c>
      <c r="AM300" t="str">
        <f t="shared" si="58"/>
        <v>Valid</v>
      </c>
      <c r="AN300" t="str">
        <f t="shared" si="59"/>
        <v>Valid</v>
      </c>
      <c r="AO300" t="str">
        <f t="shared" si="60"/>
        <v>Valid</v>
      </c>
      <c r="AP300" t="str">
        <f t="shared" si="61"/>
        <v>Valid</v>
      </c>
      <c r="AQ300" t="str">
        <f>IF(Audit_Data[[#This Row],[Z_CostContact]]=3,"Valid","Invalid")</f>
        <v>Valid</v>
      </c>
      <c r="AR300" t="str">
        <f t="shared" si="62"/>
        <v>Valid</v>
      </c>
      <c r="AS300" t="str">
        <f t="shared" si="63"/>
        <v>Valid</v>
      </c>
    </row>
    <row r="301" spans="1:45" x14ac:dyDescent="0.3">
      <c r="A301">
        <v>3924</v>
      </c>
      <c r="B301">
        <v>1965</v>
      </c>
      <c r="C301" t="s">
        <v>32</v>
      </c>
      <c r="D301" t="s">
        <v>35</v>
      </c>
      <c r="E301">
        <v>57912</v>
      </c>
      <c r="F301">
        <v>0</v>
      </c>
      <c r="G301">
        <v>1</v>
      </c>
      <c r="H301" s="1">
        <v>41715</v>
      </c>
      <c r="I301">
        <v>34</v>
      </c>
      <c r="J301">
        <v>801</v>
      </c>
      <c r="K301">
        <v>0</v>
      </c>
      <c r="L301">
        <v>80</v>
      </c>
      <c r="M301">
        <v>0</v>
      </c>
      <c r="N301">
        <v>0</v>
      </c>
      <c r="O301">
        <v>35</v>
      </c>
      <c r="P301">
        <v>5</v>
      </c>
      <c r="Q301">
        <v>8</v>
      </c>
      <c r="R301">
        <v>3</v>
      </c>
      <c r="S301">
        <v>12</v>
      </c>
      <c r="T301">
        <v>5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3</v>
      </c>
      <c r="AB301">
        <v>11</v>
      </c>
      <c r="AC301">
        <v>0</v>
      </c>
      <c r="AD301" t="str">
        <f t="shared" si="52"/>
        <v>Ok</v>
      </c>
      <c r="AE301" t="str">
        <f>IF(AND(Audit_Data[[#This Row],[Year_Birth]]&gt;=1900,Audit_Data[[#This Row],[Year_Birth]]&lt;=2010),"OK","Invalid")</f>
        <v>OK</v>
      </c>
      <c r="AF301" t="str">
        <f t="shared" si="53"/>
        <v>Valid</v>
      </c>
      <c r="AG301" t="str">
        <f t="shared" si="54"/>
        <v>Valid</v>
      </c>
      <c r="AH301" t="str">
        <f t="shared" si="55"/>
        <v>Valid</v>
      </c>
      <c r="AI301" t="str">
        <f t="shared" si="56"/>
        <v>Valid</v>
      </c>
      <c r="AJ301" t="str">
        <f t="shared" si="57"/>
        <v>Valid</v>
      </c>
      <c r="AK301" t="str">
        <f t="shared" si="64"/>
        <v xml:space="preserve">Valid </v>
      </c>
      <c r="AL301" t="str">
        <f>IF(AND(Audit_Data[[#This Row],[Recency]]&gt;=0,Audit_Data[[#This Row],[Recency]]&lt;=100),"Valid","Invalid")</f>
        <v>Valid</v>
      </c>
      <c r="AM301" t="str">
        <f t="shared" si="58"/>
        <v>Valid</v>
      </c>
      <c r="AN301" t="str">
        <f t="shared" si="59"/>
        <v>Valid</v>
      </c>
      <c r="AO301" t="str">
        <f t="shared" si="60"/>
        <v>Valid</v>
      </c>
      <c r="AP301" t="str">
        <f t="shared" si="61"/>
        <v>Valid</v>
      </c>
      <c r="AQ301" t="str">
        <f>IF(Audit_Data[[#This Row],[Z_CostContact]]=3,"Valid","Invalid")</f>
        <v>Valid</v>
      </c>
      <c r="AR301" t="str">
        <f t="shared" si="62"/>
        <v>Valid</v>
      </c>
      <c r="AS301" t="str">
        <f t="shared" si="63"/>
        <v>Valid</v>
      </c>
    </row>
    <row r="302" spans="1:45" x14ac:dyDescent="0.3">
      <c r="A302">
        <v>5827</v>
      </c>
      <c r="B302">
        <v>1958</v>
      </c>
      <c r="C302" t="s">
        <v>29</v>
      </c>
      <c r="D302" t="s">
        <v>35</v>
      </c>
      <c r="E302">
        <v>35246</v>
      </c>
      <c r="F302">
        <v>1</v>
      </c>
      <c r="G302">
        <v>1</v>
      </c>
      <c r="H302" s="1">
        <v>41745</v>
      </c>
      <c r="I302">
        <v>53</v>
      </c>
      <c r="J302">
        <v>36</v>
      </c>
      <c r="K302">
        <v>0</v>
      </c>
      <c r="L302">
        <v>12</v>
      </c>
      <c r="M302">
        <v>2</v>
      </c>
      <c r="N302">
        <v>2</v>
      </c>
      <c r="O302">
        <v>10</v>
      </c>
      <c r="P302">
        <v>4</v>
      </c>
      <c r="Q302">
        <v>3</v>
      </c>
      <c r="R302">
        <v>1</v>
      </c>
      <c r="S302">
        <v>3</v>
      </c>
      <c r="T302">
        <v>5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3</v>
      </c>
      <c r="AB302">
        <v>11</v>
      </c>
      <c r="AC302">
        <v>0</v>
      </c>
      <c r="AD302" t="str">
        <f t="shared" si="52"/>
        <v>Ok</v>
      </c>
      <c r="AE302" t="str">
        <f>IF(AND(Audit_Data[[#This Row],[Year_Birth]]&gt;=1900,Audit_Data[[#This Row],[Year_Birth]]&lt;=2010),"OK","Invalid")</f>
        <v>OK</v>
      </c>
      <c r="AF302" t="str">
        <f t="shared" si="53"/>
        <v>Valid</v>
      </c>
      <c r="AG302" t="str">
        <f t="shared" si="54"/>
        <v>Valid</v>
      </c>
      <c r="AH302" t="str">
        <f t="shared" si="55"/>
        <v>Valid</v>
      </c>
      <c r="AI302" t="str">
        <f t="shared" si="56"/>
        <v>Valid</v>
      </c>
      <c r="AJ302" t="str">
        <f t="shared" si="57"/>
        <v>Valid</v>
      </c>
      <c r="AK302" t="str">
        <f t="shared" si="64"/>
        <v xml:space="preserve">Valid </v>
      </c>
      <c r="AL302" t="str">
        <f>IF(AND(Audit_Data[[#This Row],[Recency]]&gt;=0,Audit_Data[[#This Row],[Recency]]&lt;=100),"Valid","Invalid")</f>
        <v>Valid</v>
      </c>
      <c r="AM302" t="str">
        <f t="shared" si="58"/>
        <v>Valid</v>
      </c>
      <c r="AN302" t="str">
        <f t="shared" si="59"/>
        <v>Valid</v>
      </c>
      <c r="AO302" t="str">
        <f t="shared" si="60"/>
        <v>Valid</v>
      </c>
      <c r="AP302" t="str">
        <f t="shared" si="61"/>
        <v>Valid</v>
      </c>
      <c r="AQ302" t="str">
        <f>IF(Audit_Data[[#This Row],[Z_CostContact]]=3,"Valid","Invalid")</f>
        <v>Valid</v>
      </c>
      <c r="AR302" t="str">
        <f t="shared" si="62"/>
        <v>Valid</v>
      </c>
      <c r="AS302" t="str">
        <f t="shared" si="63"/>
        <v>Valid</v>
      </c>
    </row>
    <row r="303" spans="1:45" x14ac:dyDescent="0.3">
      <c r="A303">
        <v>5596</v>
      </c>
      <c r="B303">
        <v>1956</v>
      </c>
      <c r="C303" t="s">
        <v>37</v>
      </c>
      <c r="D303" t="s">
        <v>31</v>
      </c>
      <c r="E303">
        <v>58821</v>
      </c>
      <c r="F303">
        <v>0</v>
      </c>
      <c r="G303">
        <v>1</v>
      </c>
      <c r="H303" s="1">
        <v>41559</v>
      </c>
      <c r="I303">
        <v>44</v>
      </c>
      <c r="J303">
        <v>513</v>
      </c>
      <c r="K303">
        <v>14</v>
      </c>
      <c r="L303">
        <v>154</v>
      </c>
      <c r="M303">
        <v>19</v>
      </c>
      <c r="N303">
        <v>0</v>
      </c>
      <c r="O303">
        <v>28</v>
      </c>
      <c r="P303">
        <v>1</v>
      </c>
      <c r="Q303">
        <v>9</v>
      </c>
      <c r="R303">
        <v>2</v>
      </c>
      <c r="S303">
        <v>9</v>
      </c>
      <c r="T303">
        <v>6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3</v>
      </c>
      <c r="AB303">
        <v>11</v>
      </c>
      <c r="AC303">
        <v>0</v>
      </c>
      <c r="AD303" t="str">
        <f t="shared" si="52"/>
        <v>Ok</v>
      </c>
      <c r="AE303" t="str">
        <f>IF(AND(Audit_Data[[#This Row],[Year_Birth]]&gt;=1900,Audit_Data[[#This Row],[Year_Birth]]&lt;=2010),"OK","Invalid")</f>
        <v>OK</v>
      </c>
      <c r="AF303" t="str">
        <f t="shared" si="53"/>
        <v>Valid</v>
      </c>
      <c r="AG303" t="str">
        <f t="shared" si="54"/>
        <v>Valid</v>
      </c>
      <c r="AH303" t="str">
        <f t="shared" si="55"/>
        <v>Valid</v>
      </c>
      <c r="AI303" t="str">
        <f t="shared" si="56"/>
        <v>Valid</v>
      </c>
      <c r="AJ303" t="str">
        <f t="shared" si="57"/>
        <v>Valid</v>
      </c>
      <c r="AK303" t="str">
        <f t="shared" si="64"/>
        <v xml:space="preserve">Valid </v>
      </c>
      <c r="AL303" t="str">
        <f>IF(AND(Audit_Data[[#This Row],[Recency]]&gt;=0,Audit_Data[[#This Row],[Recency]]&lt;=100),"Valid","Invalid")</f>
        <v>Valid</v>
      </c>
      <c r="AM303" t="str">
        <f t="shared" si="58"/>
        <v>Valid</v>
      </c>
      <c r="AN303" t="str">
        <f t="shared" si="59"/>
        <v>Valid</v>
      </c>
      <c r="AO303" t="str">
        <f t="shared" si="60"/>
        <v>Valid</v>
      </c>
      <c r="AP303" t="str">
        <f t="shared" si="61"/>
        <v>Valid</v>
      </c>
      <c r="AQ303" t="str">
        <f>IF(Audit_Data[[#This Row],[Z_CostContact]]=3,"Valid","Invalid")</f>
        <v>Valid</v>
      </c>
      <c r="AR303" t="str">
        <f t="shared" si="62"/>
        <v>Valid</v>
      </c>
      <c r="AS303" t="str">
        <f t="shared" si="63"/>
        <v>Valid</v>
      </c>
    </row>
    <row r="304" spans="1:45" x14ac:dyDescent="0.3">
      <c r="A304">
        <v>10812</v>
      </c>
      <c r="B304">
        <v>1978</v>
      </c>
      <c r="C304" t="s">
        <v>32</v>
      </c>
      <c r="D304" t="s">
        <v>33</v>
      </c>
      <c r="E304">
        <v>46377</v>
      </c>
      <c r="F304">
        <v>1</v>
      </c>
      <c r="G304">
        <v>0</v>
      </c>
      <c r="H304" s="1">
        <v>41699</v>
      </c>
      <c r="I304">
        <v>89</v>
      </c>
      <c r="J304">
        <v>37</v>
      </c>
      <c r="K304">
        <v>0</v>
      </c>
      <c r="L304">
        <v>46</v>
      </c>
      <c r="M304">
        <v>4</v>
      </c>
      <c r="N304">
        <v>3</v>
      </c>
      <c r="O304">
        <v>0</v>
      </c>
      <c r="P304">
        <v>1</v>
      </c>
      <c r="Q304">
        <v>2</v>
      </c>
      <c r="R304">
        <v>1</v>
      </c>
      <c r="S304">
        <v>3</v>
      </c>
      <c r="T304">
        <v>4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3</v>
      </c>
      <c r="AB304">
        <v>11</v>
      </c>
      <c r="AC304">
        <v>0</v>
      </c>
      <c r="AD304" t="str">
        <f t="shared" si="52"/>
        <v>Ok</v>
      </c>
      <c r="AE304" t="str">
        <f>IF(AND(Audit_Data[[#This Row],[Year_Birth]]&gt;=1900,Audit_Data[[#This Row],[Year_Birth]]&lt;=2010),"OK","Invalid")</f>
        <v>OK</v>
      </c>
      <c r="AF304" t="str">
        <f t="shared" si="53"/>
        <v>Valid</v>
      </c>
      <c r="AG304" t="str">
        <f t="shared" si="54"/>
        <v>Valid</v>
      </c>
      <c r="AH304" t="str">
        <f t="shared" si="55"/>
        <v>Valid</v>
      </c>
      <c r="AI304" t="str">
        <f t="shared" si="56"/>
        <v>Valid</v>
      </c>
      <c r="AJ304" t="str">
        <f t="shared" si="57"/>
        <v>Valid</v>
      </c>
      <c r="AK304" t="str">
        <f t="shared" si="64"/>
        <v xml:space="preserve">Valid </v>
      </c>
      <c r="AL304" t="str">
        <f>IF(AND(Audit_Data[[#This Row],[Recency]]&gt;=0,Audit_Data[[#This Row],[Recency]]&lt;=100),"Valid","Invalid")</f>
        <v>Valid</v>
      </c>
      <c r="AM304" t="str">
        <f t="shared" si="58"/>
        <v>Valid</v>
      </c>
      <c r="AN304" t="str">
        <f t="shared" si="59"/>
        <v>Valid</v>
      </c>
      <c r="AO304" t="str">
        <f t="shared" si="60"/>
        <v>Valid</v>
      </c>
      <c r="AP304" t="str">
        <f t="shared" si="61"/>
        <v>Valid</v>
      </c>
      <c r="AQ304" t="str">
        <f>IF(Audit_Data[[#This Row],[Z_CostContact]]=3,"Valid","Invalid")</f>
        <v>Valid</v>
      </c>
      <c r="AR304" t="str">
        <f t="shared" si="62"/>
        <v>Valid</v>
      </c>
      <c r="AS304" t="str">
        <f t="shared" si="63"/>
        <v>Valid</v>
      </c>
    </row>
    <row r="305" spans="1:45" x14ac:dyDescent="0.3">
      <c r="A305">
        <v>1717</v>
      </c>
      <c r="B305">
        <v>1988</v>
      </c>
      <c r="C305" t="s">
        <v>29</v>
      </c>
      <c r="D305" t="s">
        <v>30</v>
      </c>
      <c r="E305">
        <v>39747</v>
      </c>
      <c r="F305">
        <v>1</v>
      </c>
      <c r="G305">
        <v>0</v>
      </c>
      <c r="H305" s="1">
        <v>41742</v>
      </c>
      <c r="I305">
        <v>43</v>
      </c>
      <c r="J305">
        <v>80</v>
      </c>
      <c r="K305">
        <v>15</v>
      </c>
      <c r="L305">
        <v>93</v>
      </c>
      <c r="M305">
        <v>20</v>
      </c>
      <c r="N305">
        <v>13</v>
      </c>
      <c r="O305">
        <v>52</v>
      </c>
      <c r="P305">
        <v>3</v>
      </c>
      <c r="Q305">
        <v>5</v>
      </c>
      <c r="R305">
        <v>1</v>
      </c>
      <c r="S305">
        <v>4</v>
      </c>
      <c r="T305">
        <v>8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3</v>
      </c>
      <c r="AB305">
        <v>11</v>
      </c>
      <c r="AC305">
        <v>0</v>
      </c>
      <c r="AD305" t="str">
        <f t="shared" si="52"/>
        <v>Ok</v>
      </c>
      <c r="AE305" t="str">
        <f>IF(AND(Audit_Data[[#This Row],[Year_Birth]]&gt;=1900,Audit_Data[[#This Row],[Year_Birth]]&lt;=2010),"OK","Invalid")</f>
        <v>OK</v>
      </c>
      <c r="AF305" t="str">
        <f t="shared" si="53"/>
        <v>Valid</v>
      </c>
      <c r="AG305" t="str">
        <f t="shared" si="54"/>
        <v>Valid</v>
      </c>
      <c r="AH305" t="str">
        <f t="shared" si="55"/>
        <v>Valid</v>
      </c>
      <c r="AI305" t="str">
        <f t="shared" si="56"/>
        <v>Valid</v>
      </c>
      <c r="AJ305" t="str">
        <f t="shared" si="57"/>
        <v>Valid</v>
      </c>
      <c r="AK305" t="str">
        <f t="shared" si="64"/>
        <v xml:space="preserve">Valid </v>
      </c>
      <c r="AL305" t="str">
        <f>IF(AND(Audit_Data[[#This Row],[Recency]]&gt;=0,Audit_Data[[#This Row],[Recency]]&lt;=100),"Valid","Invalid")</f>
        <v>Valid</v>
      </c>
      <c r="AM305" t="str">
        <f t="shared" si="58"/>
        <v>Valid</v>
      </c>
      <c r="AN305" t="str">
        <f t="shared" si="59"/>
        <v>Valid</v>
      </c>
      <c r="AO305" t="str">
        <f t="shared" si="60"/>
        <v>Valid</v>
      </c>
      <c r="AP305" t="str">
        <f t="shared" si="61"/>
        <v>Valid</v>
      </c>
      <c r="AQ305" t="str">
        <f>IF(Audit_Data[[#This Row],[Z_CostContact]]=3,"Valid","Invalid")</f>
        <v>Valid</v>
      </c>
      <c r="AR305" t="str">
        <f t="shared" si="62"/>
        <v>Valid</v>
      </c>
      <c r="AS305" t="str">
        <f t="shared" si="63"/>
        <v>Valid</v>
      </c>
    </row>
    <row r="306" spans="1:45" x14ac:dyDescent="0.3">
      <c r="A306">
        <v>9491</v>
      </c>
      <c r="B306">
        <v>1984</v>
      </c>
      <c r="C306" t="s">
        <v>29</v>
      </c>
      <c r="D306" t="s">
        <v>31</v>
      </c>
      <c r="E306">
        <v>23976</v>
      </c>
      <c r="F306">
        <v>1</v>
      </c>
      <c r="G306">
        <v>0</v>
      </c>
      <c r="H306" s="1">
        <v>41635</v>
      </c>
      <c r="I306">
        <v>68</v>
      </c>
      <c r="J306">
        <v>14</v>
      </c>
      <c r="K306">
        <v>1</v>
      </c>
      <c r="L306">
        <v>21</v>
      </c>
      <c r="M306">
        <v>2</v>
      </c>
      <c r="N306">
        <v>3</v>
      </c>
      <c r="O306">
        <v>25</v>
      </c>
      <c r="P306">
        <v>3</v>
      </c>
      <c r="Q306">
        <v>3</v>
      </c>
      <c r="R306">
        <v>1</v>
      </c>
      <c r="S306">
        <v>3</v>
      </c>
      <c r="T306">
        <v>7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3</v>
      </c>
      <c r="AB306">
        <v>11</v>
      </c>
      <c r="AC306">
        <v>0</v>
      </c>
      <c r="AD306" t="str">
        <f t="shared" si="52"/>
        <v>Ok</v>
      </c>
      <c r="AE306" t="str">
        <f>IF(AND(Audit_Data[[#This Row],[Year_Birth]]&gt;=1900,Audit_Data[[#This Row],[Year_Birth]]&lt;=2010),"OK","Invalid")</f>
        <v>OK</v>
      </c>
      <c r="AF306" t="str">
        <f t="shared" si="53"/>
        <v>Valid</v>
      </c>
      <c r="AG306" t="str">
        <f t="shared" si="54"/>
        <v>Valid</v>
      </c>
      <c r="AH306" t="str">
        <f t="shared" si="55"/>
        <v>Valid</v>
      </c>
      <c r="AI306" t="str">
        <f t="shared" si="56"/>
        <v>Valid</v>
      </c>
      <c r="AJ306" t="str">
        <f t="shared" si="57"/>
        <v>Valid</v>
      </c>
      <c r="AK306" t="str">
        <f t="shared" si="64"/>
        <v xml:space="preserve">Valid </v>
      </c>
      <c r="AL306" t="str">
        <f>IF(AND(Audit_Data[[#This Row],[Recency]]&gt;=0,Audit_Data[[#This Row],[Recency]]&lt;=100),"Valid","Invalid")</f>
        <v>Valid</v>
      </c>
      <c r="AM306" t="str">
        <f t="shared" si="58"/>
        <v>Valid</v>
      </c>
      <c r="AN306" t="str">
        <f t="shared" si="59"/>
        <v>Valid</v>
      </c>
      <c r="AO306" t="str">
        <f t="shared" si="60"/>
        <v>Valid</v>
      </c>
      <c r="AP306" t="str">
        <f t="shared" si="61"/>
        <v>Valid</v>
      </c>
      <c r="AQ306" t="str">
        <f>IF(Audit_Data[[#This Row],[Z_CostContact]]=3,"Valid","Invalid")</f>
        <v>Valid</v>
      </c>
      <c r="AR306" t="str">
        <f t="shared" si="62"/>
        <v>Valid</v>
      </c>
      <c r="AS306" t="str">
        <f t="shared" si="63"/>
        <v>Valid</v>
      </c>
    </row>
    <row r="307" spans="1:45" x14ac:dyDescent="0.3">
      <c r="A307">
        <v>9274</v>
      </c>
      <c r="B307">
        <v>1961</v>
      </c>
      <c r="C307" t="s">
        <v>34</v>
      </c>
      <c r="D307" t="s">
        <v>33</v>
      </c>
      <c r="E307">
        <v>80950</v>
      </c>
      <c r="F307">
        <v>0</v>
      </c>
      <c r="G307">
        <v>0</v>
      </c>
      <c r="H307" s="1">
        <v>41361</v>
      </c>
      <c r="I307">
        <v>44</v>
      </c>
      <c r="J307">
        <v>525</v>
      </c>
      <c r="K307">
        <v>147</v>
      </c>
      <c r="L307">
        <v>112</v>
      </c>
      <c r="M307">
        <v>219</v>
      </c>
      <c r="N307">
        <v>147</v>
      </c>
      <c r="O307">
        <v>63</v>
      </c>
      <c r="P307">
        <v>1</v>
      </c>
      <c r="Q307">
        <v>6</v>
      </c>
      <c r="R307">
        <v>7</v>
      </c>
      <c r="S307">
        <v>9</v>
      </c>
      <c r="T307">
        <v>2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v>3</v>
      </c>
      <c r="AB307">
        <v>11</v>
      </c>
      <c r="AC307">
        <v>0</v>
      </c>
      <c r="AD307" t="str">
        <f t="shared" si="52"/>
        <v>Ok</v>
      </c>
      <c r="AE307" t="str">
        <f>IF(AND(Audit_Data[[#This Row],[Year_Birth]]&gt;=1900,Audit_Data[[#This Row],[Year_Birth]]&lt;=2010),"OK","Invalid")</f>
        <v>OK</v>
      </c>
      <c r="AF307" t="str">
        <f t="shared" si="53"/>
        <v>Valid</v>
      </c>
      <c r="AG307" t="str">
        <f t="shared" si="54"/>
        <v>Valid</v>
      </c>
      <c r="AH307" t="str">
        <f t="shared" si="55"/>
        <v>Valid</v>
      </c>
      <c r="AI307" t="str">
        <f t="shared" si="56"/>
        <v>Valid</v>
      </c>
      <c r="AJ307" t="str">
        <f t="shared" si="57"/>
        <v>Valid</v>
      </c>
      <c r="AK307" t="str">
        <f t="shared" si="64"/>
        <v xml:space="preserve">Valid </v>
      </c>
      <c r="AL307" t="str">
        <f>IF(AND(Audit_Data[[#This Row],[Recency]]&gt;=0,Audit_Data[[#This Row],[Recency]]&lt;=100),"Valid","Invalid")</f>
        <v>Valid</v>
      </c>
      <c r="AM307" t="str">
        <f t="shared" si="58"/>
        <v>Valid</v>
      </c>
      <c r="AN307" t="str">
        <f t="shared" si="59"/>
        <v>Valid</v>
      </c>
      <c r="AO307" t="str">
        <f t="shared" si="60"/>
        <v>Valid</v>
      </c>
      <c r="AP307" t="str">
        <f t="shared" si="61"/>
        <v>Valid</v>
      </c>
      <c r="AQ307" t="str">
        <f>IF(Audit_Data[[#This Row],[Z_CostContact]]=3,"Valid","Invalid")</f>
        <v>Valid</v>
      </c>
      <c r="AR307" t="str">
        <f t="shared" si="62"/>
        <v>Valid</v>
      </c>
      <c r="AS307" t="str">
        <f t="shared" si="63"/>
        <v>Valid</v>
      </c>
    </row>
    <row r="308" spans="1:45" x14ac:dyDescent="0.3">
      <c r="A308">
        <v>6609</v>
      </c>
      <c r="B308">
        <v>1966</v>
      </c>
      <c r="C308" t="s">
        <v>29</v>
      </c>
      <c r="D308" t="s">
        <v>38</v>
      </c>
      <c r="E308">
        <v>27038</v>
      </c>
      <c r="F308">
        <v>0</v>
      </c>
      <c r="G308">
        <v>0</v>
      </c>
      <c r="H308" s="1">
        <v>41170</v>
      </c>
      <c r="I308">
        <v>64</v>
      </c>
      <c r="J308">
        <v>1</v>
      </c>
      <c r="K308">
        <v>26</v>
      </c>
      <c r="L308">
        <v>25</v>
      </c>
      <c r="M308">
        <v>17</v>
      </c>
      <c r="N308">
        <v>23</v>
      </c>
      <c r="O308">
        <v>15</v>
      </c>
      <c r="P308">
        <v>1</v>
      </c>
      <c r="Q308">
        <v>3</v>
      </c>
      <c r="R308">
        <v>0</v>
      </c>
      <c r="S308">
        <v>3</v>
      </c>
      <c r="T308">
        <v>9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3</v>
      </c>
      <c r="AB308">
        <v>11</v>
      </c>
      <c r="AC308">
        <v>1</v>
      </c>
      <c r="AD308" t="str">
        <f t="shared" si="52"/>
        <v>Ok</v>
      </c>
      <c r="AE308" t="str">
        <f>IF(AND(Audit_Data[[#This Row],[Year_Birth]]&gt;=1900,Audit_Data[[#This Row],[Year_Birth]]&lt;=2010),"OK","Invalid")</f>
        <v>OK</v>
      </c>
      <c r="AF308" t="str">
        <f t="shared" si="53"/>
        <v>Valid</v>
      </c>
      <c r="AG308" t="str">
        <f t="shared" si="54"/>
        <v>Valid</v>
      </c>
      <c r="AH308" t="str">
        <f t="shared" si="55"/>
        <v>Valid</v>
      </c>
      <c r="AI308" t="str">
        <f t="shared" si="56"/>
        <v>Valid</v>
      </c>
      <c r="AJ308" t="str">
        <f t="shared" si="57"/>
        <v>Valid</v>
      </c>
      <c r="AK308" t="str">
        <f t="shared" si="64"/>
        <v xml:space="preserve">Valid </v>
      </c>
      <c r="AL308" t="str">
        <f>IF(AND(Audit_Data[[#This Row],[Recency]]&gt;=0,Audit_Data[[#This Row],[Recency]]&lt;=100),"Valid","Invalid")</f>
        <v>Valid</v>
      </c>
      <c r="AM308" t="str">
        <f t="shared" si="58"/>
        <v>Valid</v>
      </c>
      <c r="AN308" t="str">
        <f t="shared" si="59"/>
        <v>Valid</v>
      </c>
      <c r="AO308" t="str">
        <f t="shared" si="60"/>
        <v>Valid</v>
      </c>
      <c r="AP308" t="str">
        <f t="shared" si="61"/>
        <v>Valid</v>
      </c>
      <c r="AQ308" t="str">
        <f>IF(Audit_Data[[#This Row],[Z_CostContact]]=3,"Valid","Invalid")</f>
        <v>Valid</v>
      </c>
      <c r="AR308" t="str">
        <f t="shared" si="62"/>
        <v>Valid</v>
      </c>
      <c r="AS308" t="str">
        <f t="shared" si="63"/>
        <v>Valid</v>
      </c>
    </row>
    <row r="309" spans="1:45" x14ac:dyDescent="0.3">
      <c r="A309">
        <v>6963</v>
      </c>
      <c r="B309">
        <v>1947</v>
      </c>
      <c r="C309" t="s">
        <v>29</v>
      </c>
      <c r="D309" t="s">
        <v>30</v>
      </c>
      <c r="E309">
        <v>77457</v>
      </c>
      <c r="F309">
        <v>0</v>
      </c>
      <c r="G309">
        <v>0</v>
      </c>
      <c r="H309" s="1">
        <v>41703</v>
      </c>
      <c r="I309">
        <v>85</v>
      </c>
      <c r="J309">
        <v>675</v>
      </c>
      <c r="K309">
        <v>11</v>
      </c>
      <c r="L309">
        <v>400</v>
      </c>
      <c r="M309">
        <v>15</v>
      </c>
      <c r="N309">
        <v>45</v>
      </c>
      <c r="O309">
        <v>11</v>
      </c>
      <c r="P309">
        <v>1</v>
      </c>
      <c r="Q309">
        <v>2</v>
      </c>
      <c r="R309">
        <v>5</v>
      </c>
      <c r="S309">
        <v>10</v>
      </c>
      <c r="T309">
        <v>1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3</v>
      </c>
      <c r="AB309">
        <v>11</v>
      </c>
      <c r="AC309">
        <v>0</v>
      </c>
      <c r="AD309" t="str">
        <f t="shared" si="52"/>
        <v>Ok</v>
      </c>
      <c r="AE309" t="str">
        <f>IF(AND(Audit_Data[[#This Row],[Year_Birth]]&gt;=1900,Audit_Data[[#This Row],[Year_Birth]]&lt;=2010),"OK","Invalid")</f>
        <v>OK</v>
      </c>
      <c r="AF309" t="str">
        <f t="shared" si="53"/>
        <v>Valid</v>
      </c>
      <c r="AG309" t="str">
        <f t="shared" si="54"/>
        <v>Valid</v>
      </c>
      <c r="AH309" t="str">
        <f t="shared" si="55"/>
        <v>Valid</v>
      </c>
      <c r="AI309" t="str">
        <f t="shared" si="56"/>
        <v>Valid</v>
      </c>
      <c r="AJ309" t="str">
        <f t="shared" si="57"/>
        <v>Valid</v>
      </c>
      <c r="AK309" t="str">
        <f t="shared" si="64"/>
        <v xml:space="preserve">Valid </v>
      </c>
      <c r="AL309" t="str">
        <f>IF(AND(Audit_Data[[#This Row],[Recency]]&gt;=0,Audit_Data[[#This Row],[Recency]]&lt;=100),"Valid","Invalid")</f>
        <v>Valid</v>
      </c>
      <c r="AM309" t="str">
        <f t="shared" si="58"/>
        <v>Valid</v>
      </c>
      <c r="AN309" t="str">
        <f t="shared" si="59"/>
        <v>Valid</v>
      </c>
      <c r="AO309" t="str">
        <f t="shared" si="60"/>
        <v>Valid</v>
      </c>
      <c r="AP309" t="str">
        <f t="shared" si="61"/>
        <v>Valid</v>
      </c>
      <c r="AQ309" t="str">
        <f>IF(Audit_Data[[#This Row],[Z_CostContact]]=3,"Valid","Invalid")</f>
        <v>Valid</v>
      </c>
      <c r="AR309" t="str">
        <f t="shared" si="62"/>
        <v>Valid</v>
      </c>
      <c r="AS309" t="str">
        <f t="shared" si="63"/>
        <v>Valid</v>
      </c>
    </row>
    <row r="310" spans="1:45" x14ac:dyDescent="0.3">
      <c r="A310">
        <v>4440</v>
      </c>
      <c r="B310">
        <v>1964</v>
      </c>
      <c r="C310" t="s">
        <v>34</v>
      </c>
      <c r="D310" t="s">
        <v>33</v>
      </c>
      <c r="E310">
        <v>64100</v>
      </c>
      <c r="F310">
        <v>0</v>
      </c>
      <c r="G310">
        <v>1</v>
      </c>
      <c r="H310" s="1">
        <v>41527</v>
      </c>
      <c r="I310">
        <v>93</v>
      </c>
      <c r="J310">
        <v>509</v>
      </c>
      <c r="K310">
        <v>0</v>
      </c>
      <c r="L310">
        <v>27</v>
      </c>
      <c r="M310">
        <v>0</v>
      </c>
      <c r="N310">
        <v>0</v>
      </c>
      <c r="O310">
        <v>10</v>
      </c>
      <c r="P310">
        <v>1</v>
      </c>
      <c r="Q310">
        <v>8</v>
      </c>
      <c r="R310">
        <v>3</v>
      </c>
      <c r="S310">
        <v>6</v>
      </c>
      <c r="T310">
        <v>7</v>
      </c>
      <c r="U310">
        <v>0</v>
      </c>
      <c r="V310">
        <v>1</v>
      </c>
      <c r="W310">
        <v>0</v>
      </c>
      <c r="X310">
        <v>0</v>
      </c>
      <c r="Y310">
        <v>0</v>
      </c>
      <c r="Z310">
        <v>0</v>
      </c>
      <c r="AA310">
        <v>3</v>
      </c>
      <c r="AB310">
        <v>11</v>
      </c>
      <c r="AC310">
        <v>0</v>
      </c>
      <c r="AD310" t="str">
        <f t="shared" si="52"/>
        <v>Ok</v>
      </c>
      <c r="AE310" t="str">
        <f>IF(AND(Audit_Data[[#This Row],[Year_Birth]]&gt;=1900,Audit_Data[[#This Row],[Year_Birth]]&lt;=2010),"OK","Invalid")</f>
        <v>OK</v>
      </c>
      <c r="AF310" t="str">
        <f t="shared" si="53"/>
        <v>Valid</v>
      </c>
      <c r="AG310" t="str">
        <f t="shared" si="54"/>
        <v>Valid</v>
      </c>
      <c r="AH310" t="str">
        <f t="shared" si="55"/>
        <v>Valid</v>
      </c>
      <c r="AI310" t="str">
        <f t="shared" si="56"/>
        <v>Valid</v>
      </c>
      <c r="AJ310" t="str">
        <f t="shared" si="57"/>
        <v>Valid</v>
      </c>
      <c r="AK310" t="str">
        <f t="shared" si="64"/>
        <v xml:space="preserve">Valid </v>
      </c>
      <c r="AL310" t="str">
        <f>IF(AND(Audit_Data[[#This Row],[Recency]]&gt;=0,Audit_Data[[#This Row],[Recency]]&lt;=100),"Valid","Invalid")</f>
        <v>Valid</v>
      </c>
      <c r="AM310" t="str">
        <f t="shared" si="58"/>
        <v>Valid</v>
      </c>
      <c r="AN310" t="str">
        <f t="shared" si="59"/>
        <v>Valid</v>
      </c>
      <c r="AO310" t="str">
        <f t="shared" si="60"/>
        <v>Valid</v>
      </c>
      <c r="AP310" t="str">
        <f t="shared" si="61"/>
        <v>Valid</v>
      </c>
      <c r="AQ310" t="str">
        <f>IF(Audit_Data[[#This Row],[Z_CostContact]]=3,"Valid","Invalid")</f>
        <v>Valid</v>
      </c>
      <c r="AR310" t="str">
        <f t="shared" si="62"/>
        <v>Valid</v>
      </c>
      <c r="AS310" t="str">
        <f t="shared" si="63"/>
        <v>Valid</v>
      </c>
    </row>
    <row r="311" spans="1:45" x14ac:dyDescent="0.3">
      <c r="A311">
        <v>1379</v>
      </c>
      <c r="B311">
        <v>1992</v>
      </c>
      <c r="C311" t="s">
        <v>34</v>
      </c>
      <c r="D311" t="s">
        <v>31</v>
      </c>
      <c r="E311">
        <v>42670</v>
      </c>
      <c r="F311">
        <v>0</v>
      </c>
      <c r="G311">
        <v>0</v>
      </c>
      <c r="H311" s="1">
        <v>41391</v>
      </c>
      <c r="I311">
        <v>12</v>
      </c>
      <c r="J311">
        <v>154</v>
      </c>
      <c r="K311">
        <v>2</v>
      </c>
      <c r="L311">
        <v>46</v>
      </c>
      <c r="M311">
        <v>20</v>
      </c>
      <c r="N311">
        <v>4</v>
      </c>
      <c r="O311">
        <v>15</v>
      </c>
      <c r="P311">
        <v>1</v>
      </c>
      <c r="Q311">
        <v>4</v>
      </c>
      <c r="R311">
        <v>2</v>
      </c>
      <c r="S311">
        <v>4</v>
      </c>
      <c r="T311">
        <v>4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3</v>
      </c>
      <c r="AB311">
        <v>11</v>
      </c>
      <c r="AC311">
        <v>0</v>
      </c>
      <c r="AD311" t="str">
        <f t="shared" si="52"/>
        <v>Ok</v>
      </c>
      <c r="AE311" t="str">
        <f>IF(AND(Audit_Data[[#This Row],[Year_Birth]]&gt;=1900,Audit_Data[[#This Row],[Year_Birth]]&lt;=2010),"OK","Invalid")</f>
        <v>OK</v>
      </c>
      <c r="AF311" t="str">
        <f t="shared" si="53"/>
        <v>Valid</v>
      </c>
      <c r="AG311" t="str">
        <f t="shared" si="54"/>
        <v>Valid</v>
      </c>
      <c r="AH311" t="str">
        <f t="shared" si="55"/>
        <v>Valid</v>
      </c>
      <c r="AI311" t="str">
        <f t="shared" si="56"/>
        <v>Valid</v>
      </c>
      <c r="AJ311" t="str">
        <f t="shared" si="57"/>
        <v>Valid</v>
      </c>
      <c r="AK311" t="str">
        <f t="shared" si="64"/>
        <v xml:space="preserve">Valid </v>
      </c>
      <c r="AL311" t="str">
        <f>IF(AND(Audit_Data[[#This Row],[Recency]]&gt;=0,Audit_Data[[#This Row],[Recency]]&lt;=100),"Valid","Invalid")</f>
        <v>Valid</v>
      </c>
      <c r="AM311" t="str">
        <f t="shared" si="58"/>
        <v>Valid</v>
      </c>
      <c r="AN311" t="str">
        <f t="shared" si="59"/>
        <v>Valid</v>
      </c>
      <c r="AO311" t="str">
        <f t="shared" si="60"/>
        <v>Valid</v>
      </c>
      <c r="AP311" t="str">
        <f t="shared" si="61"/>
        <v>Valid</v>
      </c>
      <c r="AQ311" t="str">
        <f>IF(Audit_Data[[#This Row],[Z_CostContact]]=3,"Valid","Invalid")</f>
        <v>Valid</v>
      </c>
      <c r="AR311" t="str">
        <f t="shared" si="62"/>
        <v>Valid</v>
      </c>
      <c r="AS311" t="str">
        <f t="shared" si="63"/>
        <v>Valid</v>
      </c>
    </row>
    <row r="312" spans="1:45" x14ac:dyDescent="0.3">
      <c r="A312">
        <v>10032</v>
      </c>
      <c r="B312">
        <v>1976</v>
      </c>
      <c r="C312" t="s">
        <v>29</v>
      </c>
      <c r="D312" t="s">
        <v>35</v>
      </c>
      <c r="E312">
        <v>12571</v>
      </c>
      <c r="F312">
        <v>1</v>
      </c>
      <c r="G312">
        <v>0</v>
      </c>
      <c r="H312" s="1">
        <v>41657</v>
      </c>
      <c r="I312">
        <v>86</v>
      </c>
      <c r="J312">
        <v>3</v>
      </c>
      <c r="K312">
        <v>5</v>
      </c>
      <c r="L312">
        <v>14</v>
      </c>
      <c r="M312">
        <v>2</v>
      </c>
      <c r="N312">
        <v>12</v>
      </c>
      <c r="O312">
        <v>17</v>
      </c>
      <c r="P312">
        <v>4</v>
      </c>
      <c r="Q312">
        <v>3</v>
      </c>
      <c r="R312">
        <v>1</v>
      </c>
      <c r="S312">
        <v>3</v>
      </c>
      <c r="T312">
        <v>6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3</v>
      </c>
      <c r="AB312">
        <v>11</v>
      </c>
      <c r="AC312">
        <v>0</v>
      </c>
      <c r="AD312" t="str">
        <f t="shared" si="52"/>
        <v>Ok</v>
      </c>
      <c r="AE312" t="str">
        <f>IF(AND(Audit_Data[[#This Row],[Year_Birth]]&gt;=1900,Audit_Data[[#This Row],[Year_Birth]]&lt;=2010),"OK","Invalid")</f>
        <v>OK</v>
      </c>
      <c r="AF312" t="str">
        <f t="shared" si="53"/>
        <v>Valid</v>
      </c>
      <c r="AG312" t="str">
        <f t="shared" si="54"/>
        <v>Valid</v>
      </c>
      <c r="AH312" t="str">
        <f t="shared" si="55"/>
        <v>Valid</v>
      </c>
      <c r="AI312" t="str">
        <f t="shared" si="56"/>
        <v>Valid</v>
      </c>
      <c r="AJ312" t="str">
        <f t="shared" si="57"/>
        <v>Valid</v>
      </c>
      <c r="AK312" t="str">
        <f t="shared" si="64"/>
        <v xml:space="preserve">Valid </v>
      </c>
      <c r="AL312" t="str">
        <f>IF(AND(Audit_Data[[#This Row],[Recency]]&gt;=0,Audit_Data[[#This Row],[Recency]]&lt;=100),"Valid","Invalid")</f>
        <v>Valid</v>
      </c>
      <c r="AM312" t="str">
        <f t="shared" si="58"/>
        <v>Valid</v>
      </c>
      <c r="AN312" t="str">
        <f t="shared" si="59"/>
        <v>Valid</v>
      </c>
      <c r="AO312" t="str">
        <f t="shared" si="60"/>
        <v>Valid</v>
      </c>
      <c r="AP312" t="str">
        <f t="shared" si="61"/>
        <v>Valid</v>
      </c>
      <c r="AQ312" t="str">
        <f>IF(Audit_Data[[#This Row],[Z_CostContact]]=3,"Valid","Invalid")</f>
        <v>Valid</v>
      </c>
      <c r="AR312" t="str">
        <f t="shared" si="62"/>
        <v>Valid</v>
      </c>
      <c r="AS312" t="str">
        <f t="shared" si="63"/>
        <v>Valid</v>
      </c>
    </row>
    <row r="313" spans="1:45" x14ac:dyDescent="0.3">
      <c r="A313">
        <v>2826</v>
      </c>
      <c r="B313">
        <v>1967</v>
      </c>
      <c r="C313" t="s">
        <v>29</v>
      </c>
      <c r="D313" t="s">
        <v>33</v>
      </c>
      <c r="E313">
        <v>22574</v>
      </c>
      <c r="F313">
        <v>2</v>
      </c>
      <c r="G313">
        <v>1</v>
      </c>
      <c r="H313" s="1">
        <v>41575</v>
      </c>
      <c r="I313">
        <v>28</v>
      </c>
      <c r="J313">
        <v>25</v>
      </c>
      <c r="K313">
        <v>0</v>
      </c>
      <c r="L313">
        <v>8</v>
      </c>
      <c r="M313">
        <v>2</v>
      </c>
      <c r="N313">
        <v>0</v>
      </c>
      <c r="O313">
        <v>2</v>
      </c>
      <c r="P313">
        <v>2</v>
      </c>
      <c r="Q313">
        <v>2</v>
      </c>
      <c r="R313">
        <v>0</v>
      </c>
      <c r="S313">
        <v>3</v>
      </c>
      <c r="T313">
        <v>7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3</v>
      </c>
      <c r="AB313">
        <v>11</v>
      </c>
      <c r="AC313">
        <v>0</v>
      </c>
      <c r="AD313" t="str">
        <f t="shared" si="52"/>
        <v>Ok</v>
      </c>
      <c r="AE313" t="str">
        <f>IF(AND(Audit_Data[[#This Row],[Year_Birth]]&gt;=1900,Audit_Data[[#This Row],[Year_Birth]]&lt;=2010),"OK","Invalid")</f>
        <v>OK</v>
      </c>
      <c r="AF313" t="str">
        <f t="shared" si="53"/>
        <v>Valid</v>
      </c>
      <c r="AG313" t="str">
        <f t="shared" si="54"/>
        <v>Valid</v>
      </c>
      <c r="AH313" t="str">
        <f t="shared" si="55"/>
        <v>Valid</v>
      </c>
      <c r="AI313" t="str">
        <f t="shared" si="56"/>
        <v>Valid</v>
      </c>
      <c r="AJ313" t="str">
        <f t="shared" si="57"/>
        <v>Valid</v>
      </c>
      <c r="AK313" t="str">
        <f t="shared" si="64"/>
        <v xml:space="preserve">Valid </v>
      </c>
      <c r="AL313" t="str">
        <f>IF(AND(Audit_Data[[#This Row],[Recency]]&gt;=0,Audit_Data[[#This Row],[Recency]]&lt;=100),"Valid","Invalid")</f>
        <v>Valid</v>
      </c>
      <c r="AM313" t="str">
        <f t="shared" si="58"/>
        <v>Valid</v>
      </c>
      <c r="AN313" t="str">
        <f t="shared" si="59"/>
        <v>Valid</v>
      </c>
      <c r="AO313" t="str">
        <f t="shared" si="60"/>
        <v>Valid</v>
      </c>
      <c r="AP313" t="str">
        <f t="shared" si="61"/>
        <v>Valid</v>
      </c>
      <c r="AQ313" t="str">
        <f>IF(Audit_Data[[#This Row],[Z_CostContact]]=3,"Valid","Invalid")</f>
        <v>Valid</v>
      </c>
      <c r="AR313" t="str">
        <f t="shared" si="62"/>
        <v>Valid</v>
      </c>
      <c r="AS313" t="str">
        <f t="shared" si="63"/>
        <v>Valid</v>
      </c>
    </row>
    <row r="314" spans="1:45" x14ac:dyDescent="0.3">
      <c r="A314">
        <v>2437</v>
      </c>
      <c r="B314">
        <v>1989</v>
      </c>
      <c r="C314" t="s">
        <v>29</v>
      </c>
      <c r="D314" t="s">
        <v>33</v>
      </c>
      <c r="F314">
        <v>0</v>
      </c>
      <c r="G314">
        <v>0</v>
      </c>
      <c r="H314" s="1">
        <v>41428</v>
      </c>
      <c r="I314">
        <v>69</v>
      </c>
      <c r="J314">
        <v>861</v>
      </c>
      <c r="K314">
        <v>138</v>
      </c>
      <c r="L314">
        <v>461</v>
      </c>
      <c r="M314">
        <v>60</v>
      </c>
      <c r="N314">
        <v>30</v>
      </c>
      <c r="O314">
        <v>61</v>
      </c>
      <c r="P314">
        <v>1</v>
      </c>
      <c r="Q314">
        <v>6</v>
      </c>
      <c r="R314">
        <v>5</v>
      </c>
      <c r="S314">
        <v>12</v>
      </c>
      <c r="T314">
        <v>3</v>
      </c>
      <c r="U314">
        <v>0</v>
      </c>
      <c r="V314">
        <v>1</v>
      </c>
      <c r="W314">
        <v>0</v>
      </c>
      <c r="X314">
        <v>1</v>
      </c>
      <c r="Y314">
        <v>0</v>
      </c>
      <c r="Z314">
        <v>0</v>
      </c>
      <c r="AA314">
        <v>3</v>
      </c>
      <c r="AB314">
        <v>11</v>
      </c>
      <c r="AC314">
        <v>0</v>
      </c>
      <c r="AD314" t="str">
        <f t="shared" si="52"/>
        <v>Ok</v>
      </c>
      <c r="AE314" t="str">
        <f>IF(AND(Audit_Data[[#This Row],[Year_Birth]]&gt;=1900,Audit_Data[[#This Row],[Year_Birth]]&lt;=2010),"OK","Invalid")</f>
        <v>OK</v>
      </c>
      <c r="AF314" t="str">
        <f t="shared" si="53"/>
        <v>Valid</v>
      </c>
      <c r="AG314" t="str">
        <f t="shared" si="54"/>
        <v>Valid</v>
      </c>
      <c r="AH314" t="str">
        <f t="shared" si="55"/>
        <v>Invalid</v>
      </c>
      <c r="AI314" t="str">
        <f t="shared" si="56"/>
        <v>Valid</v>
      </c>
      <c r="AJ314" t="str">
        <f t="shared" si="57"/>
        <v>Valid</v>
      </c>
      <c r="AK314" t="str">
        <f t="shared" si="64"/>
        <v xml:space="preserve">Valid </v>
      </c>
      <c r="AL314" t="str">
        <f>IF(AND(Audit_Data[[#This Row],[Recency]]&gt;=0,Audit_Data[[#This Row],[Recency]]&lt;=100),"Valid","Invalid")</f>
        <v>Valid</v>
      </c>
      <c r="AM314" t="str">
        <f t="shared" si="58"/>
        <v>Valid</v>
      </c>
      <c r="AN314" t="str">
        <f t="shared" si="59"/>
        <v>Valid</v>
      </c>
      <c r="AO314" t="str">
        <f t="shared" si="60"/>
        <v>Valid</v>
      </c>
      <c r="AP314" t="str">
        <f t="shared" si="61"/>
        <v>Valid</v>
      </c>
      <c r="AQ314" t="str">
        <f>IF(Audit_Data[[#This Row],[Z_CostContact]]=3,"Valid","Invalid")</f>
        <v>Valid</v>
      </c>
      <c r="AR314" t="str">
        <f t="shared" si="62"/>
        <v>Valid</v>
      </c>
      <c r="AS314" t="str">
        <f t="shared" si="63"/>
        <v>Valid</v>
      </c>
    </row>
    <row r="315" spans="1:45" x14ac:dyDescent="0.3">
      <c r="A315">
        <v>6320</v>
      </c>
      <c r="B315">
        <v>1976</v>
      </c>
      <c r="C315" t="s">
        <v>34</v>
      </c>
      <c r="D315" t="s">
        <v>30</v>
      </c>
      <c r="E315">
        <v>70893</v>
      </c>
      <c r="F315">
        <v>0</v>
      </c>
      <c r="G315">
        <v>0</v>
      </c>
      <c r="H315" s="1">
        <v>41311</v>
      </c>
      <c r="I315">
        <v>42</v>
      </c>
      <c r="J315">
        <v>768</v>
      </c>
      <c r="K315">
        <v>44</v>
      </c>
      <c r="L315">
        <v>561</v>
      </c>
      <c r="M315">
        <v>77</v>
      </c>
      <c r="N315">
        <v>44</v>
      </c>
      <c r="O315">
        <v>14</v>
      </c>
      <c r="P315">
        <v>1</v>
      </c>
      <c r="Q315">
        <v>6</v>
      </c>
      <c r="R315">
        <v>6</v>
      </c>
      <c r="S315">
        <v>10</v>
      </c>
      <c r="T315">
        <v>3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3</v>
      </c>
      <c r="AB315">
        <v>11</v>
      </c>
      <c r="AC315">
        <v>0</v>
      </c>
      <c r="AD315" t="str">
        <f t="shared" si="52"/>
        <v>Ok</v>
      </c>
      <c r="AE315" t="str">
        <f>IF(AND(Audit_Data[[#This Row],[Year_Birth]]&gt;=1900,Audit_Data[[#This Row],[Year_Birth]]&lt;=2010),"OK","Invalid")</f>
        <v>OK</v>
      </c>
      <c r="AF315" t="str">
        <f t="shared" si="53"/>
        <v>Valid</v>
      </c>
      <c r="AG315" t="str">
        <f t="shared" si="54"/>
        <v>Valid</v>
      </c>
      <c r="AH315" t="str">
        <f t="shared" si="55"/>
        <v>Valid</v>
      </c>
      <c r="AI315" t="str">
        <f t="shared" si="56"/>
        <v>Valid</v>
      </c>
      <c r="AJ315" t="str">
        <f t="shared" si="57"/>
        <v>Valid</v>
      </c>
      <c r="AK315" t="str">
        <f t="shared" si="64"/>
        <v xml:space="preserve">Valid </v>
      </c>
      <c r="AL315" t="str">
        <f>IF(AND(Audit_Data[[#This Row],[Recency]]&gt;=0,Audit_Data[[#This Row],[Recency]]&lt;=100),"Valid","Invalid")</f>
        <v>Valid</v>
      </c>
      <c r="AM315" t="str">
        <f t="shared" si="58"/>
        <v>Valid</v>
      </c>
      <c r="AN315" t="str">
        <f t="shared" si="59"/>
        <v>Valid</v>
      </c>
      <c r="AO315" t="str">
        <f t="shared" si="60"/>
        <v>Valid</v>
      </c>
      <c r="AP315" t="str">
        <f t="shared" si="61"/>
        <v>Valid</v>
      </c>
      <c r="AQ315" t="str">
        <f>IF(Audit_Data[[#This Row],[Z_CostContact]]=3,"Valid","Invalid")</f>
        <v>Valid</v>
      </c>
      <c r="AR315" t="str">
        <f t="shared" si="62"/>
        <v>Valid</v>
      </c>
      <c r="AS315" t="str">
        <f t="shared" si="63"/>
        <v>Valid</v>
      </c>
    </row>
    <row r="316" spans="1:45" x14ac:dyDescent="0.3">
      <c r="A316">
        <v>3050</v>
      </c>
      <c r="B316">
        <v>1966</v>
      </c>
      <c r="C316" t="s">
        <v>29</v>
      </c>
      <c r="D316" t="s">
        <v>33</v>
      </c>
      <c r="E316">
        <v>54198</v>
      </c>
      <c r="F316">
        <v>1</v>
      </c>
      <c r="G316">
        <v>1</v>
      </c>
      <c r="H316" s="1">
        <v>41625</v>
      </c>
      <c r="I316">
        <v>13</v>
      </c>
      <c r="J316">
        <v>185</v>
      </c>
      <c r="K316">
        <v>0</v>
      </c>
      <c r="L316">
        <v>28</v>
      </c>
      <c r="M316">
        <v>3</v>
      </c>
      <c r="N316">
        <v>2</v>
      </c>
      <c r="O316">
        <v>17</v>
      </c>
      <c r="P316">
        <v>6</v>
      </c>
      <c r="Q316">
        <v>3</v>
      </c>
      <c r="R316">
        <v>1</v>
      </c>
      <c r="S316">
        <v>6</v>
      </c>
      <c r="T316">
        <v>4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3</v>
      </c>
      <c r="AB316">
        <v>11</v>
      </c>
      <c r="AC316">
        <v>0</v>
      </c>
      <c r="AD316" t="str">
        <f t="shared" si="52"/>
        <v>Ok</v>
      </c>
      <c r="AE316" t="str">
        <f>IF(AND(Audit_Data[[#This Row],[Year_Birth]]&gt;=1900,Audit_Data[[#This Row],[Year_Birth]]&lt;=2010),"OK","Invalid")</f>
        <v>OK</v>
      </c>
      <c r="AF316" t="str">
        <f t="shared" si="53"/>
        <v>Valid</v>
      </c>
      <c r="AG316" t="str">
        <f t="shared" si="54"/>
        <v>Valid</v>
      </c>
      <c r="AH316" t="str">
        <f t="shared" si="55"/>
        <v>Valid</v>
      </c>
      <c r="AI316" t="str">
        <f t="shared" si="56"/>
        <v>Valid</v>
      </c>
      <c r="AJ316" t="str">
        <f t="shared" si="57"/>
        <v>Valid</v>
      </c>
      <c r="AK316" t="str">
        <f t="shared" si="64"/>
        <v xml:space="preserve">Valid </v>
      </c>
      <c r="AL316" t="str">
        <f>IF(AND(Audit_Data[[#This Row],[Recency]]&gt;=0,Audit_Data[[#This Row],[Recency]]&lt;=100),"Valid","Invalid")</f>
        <v>Valid</v>
      </c>
      <c r="AM316" t="str">
        <f t="shared" si="58"/>
        <v>Valid</v>
      </c>
      <c r="AN316" t="str">
        <f t="shared" si="59"/>
        <v>Valid</v>
      </c>
      <c r="AO316" t="str">
        <f t="shared" si="60"/>
        <v>Valid</v>
      </c>
      <c r="AP316" t="str">
        <f t="shared" si="61"/>
        <v>Valid</v>
      </c>
      <c r="AQ316" t="str">
        <f>IF(Audit_Data[[#This Row],[Z_CostContact]]=3,"Valid","Invalid")</f>
        <v>Valid</v>
      </c>
      <c r="AR316" t="str">
        <f t="shared" si="62"/>
        <v>Valid</v>
      </c>
      <c r="AS316" t="str">
        <f t="shared" si="63"/>
        <v>Valid</v>
      </c>
    </row>
    <row r="317" spans="1:45" x14ac:dyDescent="0.3">
      <c r="A317">
        <v>231</v>
      </c>
      <c r="B317">
        <v>1956</v>
      </c>
      <c r="C317" t="s">
        <v>34</v>
      </c>
      <c r="D317" t="s">
        <v>31</v>
      </c>
      <c r="E317">
        <v>28839</v>
      </c>
      <c r="F317">
        <v>1</v>
      </c>
      <c r="G317">
        <v>1</v>
      </c>
      <c r="H317" s="1">
        <v>41709</v>
      </c>
      <c r="I317">
        <v>86</v>
      </c>
      <c r="J317">
        <v>24</v>
      </c>
      <c r="K317">
        <v>0</v>
      </c>
      <c r="L317">
        <v>7</v>
      </c>
      <c r="M317">
        <v>0</v>
      </c>
      <c r="N317">
        <v>0</v>
      </c>
      <c r="O317">
        <v>1</v>
      </c>
      <c r="P317">
        <v>2</v>
      </c>
      <c r="Q317">
        <v>2</v>
      </c>
      <c r="R317">
        <v>0</v>
      </c>
      <c r="S317">
        <v>3</v>
      </c>
      <c r="T317">
        <v>5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3</v>
      </c>
      <c r="AB317">
        <v>11</v>
      </c>
      <c r="AC317">
        <v>0</v>
      </c>
      <c r="AD317" t="str">
        <f t="shared" si="52"/>
        <v>Ok</v>
      </c>
      <c r="AE317" t="str">
        <f>IF(AND(Audit_Data[[#This Row],[Year_Birth]]&gt;=1900,Audit_Data[[#This Row],[Year_Birth]]&lt;=2010),"OK","Invalid")</f>
        <v>OK</v>
      </c>
      <c r="AF317" t="str">
        <f t="shared" si="53"/>
        <v>Valid</v>
      </c>
      <c r="AG317" t="str">
        <f t="shared" si="54"/>
        <v>Valid</v>
      </c>
      <c r="AH317" t="str">
        <f t="shared" si="55"/>
        <v>Valid</v>
      </c>
      <c r="AI317" t="str">
        <f t="shared" si="56"/>
        <v>Valid</v>
      </c>
      <c r="AJ317" t="str">
        <f t="shared" si="57"/>
        <v>Valid</v>
      </c>
      <c r="AK317" t="str">
        <f t="shared" si="64"/>
        <v xml:space="preserve">Valid </v>
      </c>
      <c r="AL317" t="str">
        <f>IF(AND(Audit_Data[[#This Row],[Recency]]&gt;=0,Audit_Data[[#This Row],[Recency]]&lt;=100),"Valid","Invalid")</f>
        <v>Valid</v>
      </c>
      <c r="AM317" t="str">
        <f t="shared" si="58"/>
        <v>Valid</v>
      </c>
      <c r="AN317" t="str">
        <f t="shared" si="59"/>
        <v>Valid</v>
      </c>
      <c r="AO317" t="str">
        <f t="shared" si="60"/>
        <v>Valid</v>
      </c>
      <c r="AP317" t="str">
        <f t="shared" si="61"/>
        <v>Valid</v>
      </c>
      <c r="AQ317" t="str">
        <f>IF(Audit_Data[[#This Row],[Z_CostContact]]=3,"Valid","Invalid")</f>
        <v>Valid</v>
      </c>
      <c r="AR317" t="str">
        <f t="shared" si="62"/>
        <v>Valid</v>
      </c>
      <c r="AS317" t="str">
        <f t="shared" si="63"/>
        <v>Valid</v>
      </c>
    </row>
    <row r="318" spans="1:45" x14ac:dyDescent="0.3">
      <c r="A318">
        <v>2392</v>
      </c>
      <c r="B318">
        <v>1972</v>
      </c>
      <c r="C318" t="s">
        <v>29</v>
      </c>
      <c r="D318" t="s">
        <v>33</v>
      </c>
      <c r="E318">
        <v>40321</v>
      </c>
      <c r="F318">
        <v>1</v>
      </c>
      <c r="G318">
        <v>1</v>
      </c>
      <c r="H318" s="1">
        <v>41484</v>
      </c>
      <c r="I318">
        <v>59</v>
      </c>
      <c r="J318">
        <v>44</v>
      </c>
      <c r="K318">
        <v>4</v>
      </c>
      <c r="L318">
        <v>21</v>
      </c>
      <c r="M318">
        <v>6</v>
      </c>
      <c r="N318">
        <v>0</v>
      </c>
      <c r="O318">
        <v>27</v>
      </c>
      <c r="P318">
        <v>2</v>
      </c>
      <c r="Q318">
        <v>3</v>
      </c>
      <c r="R318">
        <v>0</v>
      </c>
      <c r="S318">
        <v>3</v>
      </c>
      <c r="T318">
        <v>7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3</v>
      </c>
      <c r="AB318">
        <v>11</v>
      </c>
      <c r="AC318">
        <v>0</v>
      </c>
      <c r="AD318" t="str">
        <f t="shared" si="52"/>
        <v>Ok</v>
      </c>
      <c r="AE318" t="str">
        <f>IF(AND(Audit_Data[[#This Row],[Year_Birth]]&gt;=1900,Audit_Data[[#This Row],[Year_Birth]]&lt;=2010),"OK","Invalid")</f>
        <v>OK</v>
      </c>
      <c r="AF318" t="str">
        <f t="shared" si="53"/>
        <v>Valid</v>
      </c>
      <c r="AG318" t="str">
        <f t="shared" si="54"/>
        <v>Valid</v>
      </c>
      <c r="AH318" t="str">
        <f t="shared" si="55"/>
        <v>Valid</v>
      </c>
      <c r="AI318" t="str">
        <f t="shared" si="56"/>
        <v>Valid</v>
      </c>
      <c r="AJ318" t="str">
        <f t="shared" si="57"/>
        <v>Valid</v>
      </c>
      <c r="AK318" t="str">
        <f t="shared" si="64"/>
        <v xml:space="preserve">Valid </v>
      </c>
      <c r="AL318" t="str">
        <f>IF(AND(Audit_Data[[#This Row],[Recency]]&gt;=0,Audit_Data[[#This Row],[Recency]]&lt;=100),"Valid","Invalid")</f>
        <v>Valid</v>
      </c>
      <c r="AM318" t="str">
        <f t="shared" si="58"/>
        <v>Valid</v>
      </c>
      <c r="AN318" t="str">
        <f t="shared" si="59"/>
        <v>Valid</v>
      </c>
      <c r="AO318" t="str">
        <f t="shared" si="60"/>
        <v>Valid</v>
      </c>
      <c r="AP318" t="str">
        <f t="shared" si="61"/>
        <v>Valid</v>
      </c>
      <c r="AQ318" t="str">
        <f>IF(Audit_Data[[#This Row],[Z_CostContact]]=3,"Valid","Invalid")</f>
        <v>Valid</v>
      </c>
      <c r="AR318" t="str">
        <f t="shared" si="62"/>
        <v>Valid</v>
      </c>
      <c r="AS318" t="str">
        <f t="shared" si="63"/>
        <v>Valid</v>
      </c>
    </row>
    <row r="319" spans="1:45" x14ac:dyDescent="0.3">
      <c r="A319">
        <v>9478</v>
      </c>
      <c r="B319">
        <v>1985</v>
      </c>
      <c r="C319" t="s">
        <v>29</v>
      </c>
      <c r="D319" t="s">
        <v>30</v>
      </c>
      <c r="E319">
        <v>66503</v>
      </c>
      <c r="F319">
        <v>1</v>
      </c>
      <c r="G319">
        <v>0</v>
      </c>
      <c r="H319" s="1">
        <v>41135</v>
      </c>
      <c r="I319">
        <v>30</v>
      </c>
      <c r="J319">
        <v>91</v>
      </c>
      <c r="K319">
        <v>64</v>
      </c>
      <c r="L319">
        <v>128</v>
      </c>
      <c r="M319">
        <v>65</v>
      </c>
      <c r="N319">
        <v>3</v>
      </c>
      <c r="O319">
        <v>50</v>
      </c>
      <c r="P319">
        <v>2</v>
      </c>
      <c r="Q319">
        <v>4</v>
      </c>
      <c r="R319">
        <v>3</v>
      </c>
      <c r="S319">
        <v>6</v>
      </c>
      <c r="T319">
        <v>3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3</v>
      </c>
      <c r="AB319">
        <v>11</v>
      </c>
      <c r="AC319">
        <v>0</v>
      </c>
      <c r="AD319" t="str">
        <f t="shared" si="52"/>
        <v>Ok</v>
      </c>
      <c r="AE319" t="str">
        <f>IF(AND(Audit_Data[[#This Row],[Year_Birth]]&gt;=1900,Audit_Data[[#This Row],[Year_Birth]]&lt;=2010),"OK","Invalid")</f>
        <v>OK</v>
      </c>
      <c r="AF319" t="str">
        <f t="shared" si="53"/>
        <v>Valid</v>
      </c>
      <c r="AG319" t="str">
        <f t="shared" si="54"/>
        <v>Valid</v>
      </c>
      <c r="AH319" t="str">
        <f t="shared" si="55"/>
        <v>Valid</v>
      </c>
      <c r="AI319" t="str">
        <f t="shared" si="56"/>
        <v>Valid</v>
      </c>
      <c r="AJ319" t="str">
        <f t="shared" si="57"/>
        <v>Valid</v>
      </c>
      <c r="AK319" t="str">
        <f t="shared" si="64"/>
        <v xml:space="preserve">Valid </v>
      </c>
      <c r="AL319" t="str">
        <f>IF(AND(Audit_Data[[#This Row],[Recency]]&gt;=0,Audit_Data[[#This Row],[Recency]]&lt;=100),"Valid","Invalid")</f>
        <v>Valid</v>
      </c>
      <c r="AM319" t="str">
        <f t="shared" si="58"/>
        <v>Valid</v>
      </c>
      <c r="AN319" t="str">
        <f t="shared" si="59"/>
        <v>Valid</v>
      </c>
      <c r="AO319" t="str">
        <f t="shared" si="60"/>
        <v>Valid</v>
      </c>
      <c r="AP319" t="str">
        <f t="shared" si="61"/>
        <v>Valid</v>
      </c>
      <c r="AQ319" t="str">
        <f>IF(Audit_Data[[#This Row],[Z_CostContact]]=3,"Valid","Invalid")</f>
        <v>Valid</v>
      </c>
      <c r="AR319" t="str">
        <f t="shared" si="62"/>
        <v>Valid</v>
      </c>
      <c r="AS319" t="str">
        <f t="shared" si="63"/>
        <v>Valid</v>
      </c>
    </row>
    <row r="320" spans="1:45" x14ac:dyDescent="0.3">
      <c r="A320">
        <v>113</v>
      </c>
      <c r="B320">
        <v>1951</v>
      </c>
      <c r="C320" t="s">
        <v>29</v>
      </c>
      <c r="D320" t="s">
        <v>33</v>
      </c>
      <c r="E320">
        <v>30833</v>
      </c>
      <c r="F320">
        <v>1</v>
      </c>
      <c r="G320">
        <v>1</v>
      </c>
      <c r="H320" s="1">
        <v>41471</v>
      </c>
      <c r="I320">
        <v>33</v>
      </c>
      <c r="J320">
        <v>11</v>
      </c>
      <c r="K320">
        <v>0</v>
      </c>
      <c r="L320">
        <v>7</v>
      </c>
      <c r="M320">
        <v>3</v>
      </c>
      <c r="N320">
        <v>1</v>
      </c>
      <c r="O320">
        <v>6</v>
      </c>
      <c r="P320">
        <v>2</v>
      </c>
      <c r="Q320">
        <v>1</v>
      </c>
      <c r="R320">
        <v>0</v>
      </c>
      <c r="S320">
        <v>3</v>
      </c>
      <c r="T320">
        <v>5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3</v>
      </c>
      <c r="AB320">
        <v>11</v>
      </c>
      <c r="AC320">
        <v>0</v>
      </c>
      <c r="AD320" t="str">
        <f t="shared" si="52"/>
        <v>Ok</v>
      </c>
      <c r="AE320" t="str">
        <f>IF(AND(Audit_Data[[#This Row],[Year_Birth]]&gt;=1900,Audit_Data[[#This Row],[Year_Birth]]&lt;=2010),"OK","Invalid")</f>
        <v>OK</v>
      </c>
      <c r="AF320" t="str">
        <f t="shared" si="53"/>
        <v>Valid</v>
      </c>
      <c r="AG320" t="str">
        <f t="shared" si="54"/>
        <v>Valid</v>
      </c>
      <c r="AH320" t="str">
        <f t="shared" si="55"/>
        <v>Valid</v>
      </c>
      <c r="AI320" t="str">
        <f t="shared" si="56"/>
        <v>Valid</v>
      </c>
      <c r="AJ320" t="str">
        <f t="shared" si="57"/>
        <v>Valid</v>
      </c>
      <c r="AK320" t="str">
        <f t="shared" si="64"/>
        <v xml:space="preserve">Valid </v>
      </c>
      <c r="AL320" t="str">
        <f>IF(AND(Audit_Data[[#This Row],[Recency]]&gt;=0,Audit_Data[[#This Row],[Recency]]&lt;=100),"Valid","Invalid")</f>
        <v>Valid</v>
      </c>
      <c r="AM320" t="str">
        <f t="shared" si="58"/>
        <v>Valid</v>
      </c>
      <c r="AN320" t="str">
        <f t="shared" si="59"/>
        <v>Valid</v>
      </c>
      <c r="AO320" t="str">
        <f t="shared" si="60"/>
        <v>Valid</v>
      </c>
      <c r="AP320" t="str">
        <f t="shared" si="61"/>
        <v>Valid</v>
      </c>
      <c r="AQ320" t="str">
        <f>IF(Audit_Data[[#This Row],[Z_CostContact]]=3,"Valid","Invalid")</f>
        <v>Valid</v>
      </c>
      <c r="AR320" t="str">
        <f t="shared" si="62"/>
        <v>Valid</v>
      </c>
      <c r="AS320" t="str">
        <f t="shared" si="63"/>
        <v>Valid</v>
      </c>
    </row>
    <row r="321" spans="1:45" x14ac:dyDescent="0.3">
      <c r="A321">
        <v>2863</v>
      </c>
      <c r="B321">
        <v>1970</v>
      </c>
      <c r="C321" t="s">
        <v>29</v>
      </c>
      <c r="D321" t="s">
        <v>30</v>
      </c>
      <c r="F321">
        <v>1</v>
      </c>
      <c r="G321">
        <v>2</v>
      </c>
      <c r="H321" s="1">
        <v>41509</v>
      </c>
      <c r="I321">
        <v>67</v>
      </c>
      <c r="J321">
        <v>738</v>
      </c>
      <c r="K321">
        <v>20</v>
      </c>
      <c r="L321">
        <v>172</v>
      </c>
      <c r="M321">
        <v>52</v>
      </c>
      <c r="N321">
        <v>50</v>
      </c>
      <c r="O321">
        <v>20</v>
      </c>
      <c r="P321">
        <v>6</v>
      </c>
      <c r="Q321">
        <v>2</v>
      </c>
      <c r="R321">
        <v>3</v>
      </c>
      <c r="S321">
        <v>10</v>
      </c>
      <c r="T321">
        <v>7</v>
      </c>
      <c r="U321">
        <v>0</v>
      </c>
      <c r="V321">
        <v>1</v>
      </c>
      <c r="W321">
        <v>0</v>
      </c>
      <c r="X321">
        <v>1</v>
      </c>
      <c r="Y321">
        <v>0</v>
      </c>
      <c r="Z321">
        <v>0</v>
      </c>
      <c r="AA321">
        <v>3</v>
      </c>
      <c r="AB321">
        <v>11</v>
      </c>
      <c r="AC321">
        <v>0</v>
      </c>
      <c r="AD321" t="str">
        <f t="shared" si="52"/>
        <v>Ok</v>
      </c>
      <c r="AE321" t="str">
        <f>IF(AND(Audit_Data[[#This Row],[Year_Birth]]&gt;=1900,Audit_Data[[#This Row],[Year_Birth]]&lt;=2010),"OK","Invalid")</f>
        <v>OK</v>
      </c>
      <c r="AF321" t="str">
        <f t="shared" si="53"/>
        <v>Valid</v>
      </c>
      <c r="AG321" t="str">
        <f t="shared" si="54"/>
        <v>Valid</v>
      </c>
      <c r="AH321" t="str">
        <f t="shared" si="55"/>
        <v>Invalid</v>
      </c>
      <c r="AI321" t="str">
        <f t="shared" si="56"/>
        <v>Valid</v>
      </c>
      <c r="AJ321" t="str">
        <f t="shared" si="57"/>
        <v>Valid</v>
      </c>
      <c r="AK321" t="str">
        <f t="shared" si="64"/>
        <v xml:space="preserve">Valid </v>
      </c>
      <c r="AL321" t="str">
        <f>IF(AND(Audit_Data[[#This Row],[Recency]]&gt;=0,Audit_Data[[#This Row],[Recency]]&lt;=100),"Valid","Invalid")</f>
        <v>Valid</v>
      </c>
      <c r="AM321" t="str">
        <f t="shared" si="58"/>
        <v>Valid</v>
      </c>
      <c r="AN321" t="str">
        <f t="shared" si="59"/>
        <v>Valid</v>
      </c>
      <c r="AO321" t="str">
        <f t="shared" si="60"/>
        <v>Valid</v>
      </c>
      <c r="AP321" t="str">
        <f t="shared" si="61"/>
        <v>Valid</v>
      </c>
      <c r="AQ321" t="str">
        <f>IF(Audit_Data[[#This Row],[Z_CostContact]]=3,"Valid","Invalid")</f>
        <v>Valid</v>
      </c>
      <c r="AR321" t="str">
        <f t="shared" si="62"/>
        <v>Valid</v>
      </c>
      <c r="AS321" t="str">
        <f t="shared" si="63"/>
        <v>Valid</v>
      </c>
    </row>
    <row r="322" spans="1:45" x14ac:dyDescent="0.3">
      <c r="A322">
        <v>1802</v>
      </c>
      <c r="B322">
        <v>1971</v>
      </c>
      <c r="C322" t="s">
        <v>29</v>
      </c>
      <c r="D322" t="s">
        <v>33</v>
      </c>
      <c r="E322">
        <v>64795</v>
      </c>
      <c r="F322">
        <v>0</v>
      </c>
      <c r="G322">
        <v>1</v>
      </c>
      <c r="H322" s="1">
        <v>41291</v>
      </c>
      <c r="I322">
        <v>23</v>
      </c>
      <c r="J322">
        <v>412</v>
      </c>
      <c r="K322">
        <v>5</v>
      </c>
      <c r="L322">
        <v>119</v>
      </c>
      <c r="M322">
        <v>38</v>
      </c>
      <c r="N322">
        <v>29</v>
      </c>
      <c r="O322">
        <v>77</v>
      </c>
      <c r="P322">
        <v>3</v>
      </c>
      <c r="Q322">
        <v>3</v>
      </c>
      <c r="R322">
        <v>3</v>
      </c>
      <c r="S322">
        <v>12</v>
      </c>
      <c r="T322">
        <v>2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3</v>
      </c>
      <c r="AB322">
        <v>11</v>
      </c>
      <c r="AC322">
        <v>0</v>
      </c>
      <c r="AD322" t="str">
        <f t="shared" ref="AD322:AD385" si="65">IF(COUNTIF(A:A,A322)&gt;1,"Duplicate","Ok")</f>
        <v>Ok</v>
      </c>
      <c r="AE322" t="str">
        <f>IF(AND(Audit_Data[[#This Row],[Year_Birth]]&gt;=1900,Audit_Data[[#This Row],[Year_Birth]]&lt;=2010),"OK","Invalid")</f>
        <v>OK</v>
      </c>
      <c r="AF322" t="str">
        <f t="shared" ref="AF322:AF385" si="66">IF(OR(C322="Graduation",C322="phD",C322="Master",C322="Basic",C322="2n Cycle"),"Valid","Invalid")</f>
        <v>Valid</v>
      </c>
      <c r="AG322" t="str">
        <f t="shared" ref="AG322:AG385" si="67">IF(OR(D322="Single",D322="Married",D322="Divorced",D322="Together",D322="Widow",D322="Alone"),"Valid","Invalid")</f>
        <v>Valid</v>
      </c>
      <c r="AH322" t="str">
        <f t="shared" ref="AH322:AH385" si="68">IF(AND(ISNUMBER(E322),E322&lt;&gt;""),"Valid","Invalid")</f>
        <v>Valid</v>
      </c>
      <c r="AI322" t="str">
        <f t="shared" ref="AI322:AI385" si="69">IF(AND(F322&gt;=0,F322&lt;=2),"Valid","Invalid")</f>
        <v>Valid</v>
      </c>
      <c r="AJ322" t="str">
        <f t="shared" ref="AJ322:AJ385" si="70">IF(AND(G322&gt;=0,G322&lt;=2),"Valid","Invalid")</f>
        <v>Valid</v>
      </c>
      <c r="AK322" t="str">
        <f t="shared" si="64"/>
        <v xml:space="preserve">Valid </v>
      </c>
      <c r="AL322" t="str">
        <f>IF(AND(Audit_Data[[#This Row],[Recency]]&gt;=0,Audit_Data[[#This Row],[Recency]]&lt;=100),"Valid","Invalid")</f>
        <v>Valid</v>
      </c>
      <c r="AM322" t="str">
        <f t="shared" ref="AM322:AM385" si="71">IF(AND(ISNUMBER(J322),J322&gt;=0,ISNUMBER(K322),K322&gt;=0,ISNUMBER(L322),L322&gt;=0,ISNUMBER(M322),M322&gt;=0,ISNUMBER(N322),N322&gt;=0,ISNUMBER(O322),O322&gt;=0),"Valid","Invalid")</f>
        <v>Valid</v>
      </c>
      <c r="AN322" t="str">
        <f t="shared" ref="AN322:AN385" si="72">IF(AND(ISNUMBER(P322),P322&gt;=0,ISNUMBER(Q322),Q322&gt;=0,ISNUMBER(R322),R322&gt;=0,ISNUMBER(S322),S322&gt;=0,ISNUMBER(T322),T322&gt;=0),"Valid","Invalid")</f>
        <v>Valid</v>
      </c>
      <c r="AO322" t="str">
        <f t="shared" ref="AO322:AO385" si="73">IF(AND(U322&lt;=1,V322&lt;=1,W322&lt;=1,X322&lt;=1,Y322&lt;=1),"Valid","Invalid")</f>
        <v>Valid</v>
      </c>
      <c r="AP322" t="str">
        <f t="shared" ref="AP322:AP385" si="74">IF(OR(Z322=0,Z322=1),"Valid","Invalid")</f>
        <v>Valid</v>
      </c>
      <c r="AQ322" t="str">
        <f>IF(Audit_Data[[#This Row],[Z_CostContact]]=3,"Valid","Invalid")</f>
        <v>Valid</v>
      </c>
      <c r="AR322" t="str">
        <f t="shared" ref="AR322:AR385" si="75">IF(AB322=11,"Valid","Invalid")</f>
        <v>Valid</v>
      </c>
      <c r="AS322" t="str">
        <f t="shared" ref="AS322:AS385" si="76">IF(OR(AC322=0,AC322=1),"Valid","Invalid")</f>
        <v>Valid</v>
      </c>
    </row>
    <row r="323" spans="1:45" x14ac:dyDescent="0.3">
      <c r="A323">
        <v>520</v>
      </c>
      <c r="B323">
        <v>1974</v>
      </c>
      <c r="C323" t="s">
        <v>29</v>
      </c>
      <c r="D323" t="s">
        <v>33</v>
      </c>
      <c r="E323">
        <v>34421</v>
      </c>
      <c r="F323">
        <v>1</v>
      </c>
      <c r="G323">
        <v>0</v>
      </c>
      <c r="H323" s="1">
        <v>41456</v>
      </c>
      <c r="I323">
        <v>81</v>
      </c>
      <c r="J323">
        <v>3</v>
      </c>
      <c r="K323">
        <v>3</v>
      </c>
      <c r="L323">
        <v>7</v>
      </c>
      <c r="M323">
        <v>6</v>
      </c>
      <c r="N323">
        <v>2</v>
      </c>
      <c r="O323">
        <v>9</v>
      </c>
      <c r="P323">
        <v>1</v>
      </c>
      <c r="Q323">
        <v>1</v>
      </c>
      <c r="R323">
        <v>0</v>
      </c>
      <c r="S323">
        <v>2</v>
      </c>
      <c r="T323">
        <v>7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3</v>
      </c>
      <c r="AB323">
        <v>11</v>
      </c>
      <c r="AC323">
        <v>0</v>
      </c>
      <c r="AD323" t="str">
        <f t="shared" si="65"/>
        <v>Ok</v>
      </c>
      <c r="AE323" t="str">
        <f>IF(AND(Audit_Data[[#This Row],[Year_Birth]]&gt;=1900,Audit_Data[[#This Row],[Year_Birth]]&lt;=2010),"OK","Invalid")</f>
        <v>OK</v>
      </c>
      <c r="AF323" t="str">
        <f t="shared" si="66"/>
        <v>Valid</v>
      </c>
      <c r="AG323" t="str">
        <f t="shared" si="67"/>
        <v>Valid</v>
      </c>
      <c r="AH323" t="str">
        <f t="shared" si="68"/>
        <v>Valid</v>
      </c>
      <c r="AI323" t="str">
        <f t="shared" si="69"/>
        <v>Valid</v>
      </c>
      <c r="AJ323" t="str">
        <f t="shared" si="70"/>
        <v>Valid</v>
      </c>
      <c r="AK323" t="str">
        <f t="shared" ref="AK323:AK386" si="77">IF(AND(ISNUMBER(H323),H323&gt;=DATE(2012,1,1),H323&lt;=DATE(2014,12,31)),"Valid ","Invalid")</f>
        <v xml:space="preserve">Valid </v>
      </c>
      <c r="AL323" t="str">
        <f>IF(AND(Audit_Data[[#This Row],[Recency]]&gt;=0,Audit_Data[[#This Row],[Recency]]&lt;=100),"Valid","Invalid")</f>
        <v>Valid</v>
      </c>
      <c r="AM323" t="str">
        <f t="shared" si="71"/>
        <v>Valid</v>
      </c>
      <c r="AN323" t="str">
        <f t="shared" si="72"/>
        <v>Valid</v>
      </c>
      <c r="AO323" t="str">
        <f t="shared" si="73"/>
        <v>Valid</v>
      </c>
      <c r="AP323" t="str">
        <f t="shared" si="74"/>
        <v>Valid</v>
      </c>
      <c r="AQ323" t="str">
        <f>IF(Audit_Data[[#This Row],[Z_CostContact]]=3,"Valid","Invalid")</f>
        <v>Valid</v>
      </c>
      <c r="AR323" t="str">
        <f t="shared" si="75"/>
        <v>Valid</v>
      </c>
      <c r="AS323" t="str">
        <f t="shared" si="76"/>
        <v>Valid</v>
      </c>
    </row>
    <row r="324" spans="1:45" x14ac:dyDescent="0.3">
      <c r="A324">
        <v>8275</v>
      </c>
      <c r="B324">
        <v>1965</v>
      </c>
      <c r="C324" t="s">
        <v>32</v>
      </c>
      <c r="D324" t="s">
        <v>35</v>
      </c>
      <c r="E324">
        <v>47025</v>
      </c>
      <c r="F324">
        <v>1</v>
      </c>
      <c r="G324">
        <v>1</v>
      </c>
      <c r="H324" s="1">
        <v>41679</v>
      </c>
      <c r="I324">
        <v>6</v>
      </c>
      <c r="J324">
        <v>16</v>
      </c>
      <c r="K324">
        <v>0</v>
      </c>
      <c r="L324">
        <v>3</v>
      </c>
      <c r="M324">
        <v>0</v>
      </c>
      <c r="N324">
        <v>0</v>
      </c>
      <c r="O324">
        <v>1</v>
      </c>
      <c r="P324">
        <v>1</v>
      </c>
      <c r="Q324">
        <v>1</v>
      </c>
      <c r="R324">
        <v>0</v>
      </c>
      <c r="S324">
        <v>2</v>
      </c>
      <c r="T324">
        <v>7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3</v>
      </c>
      <c r="AB324">
        <v>11</v>
      </c>
      <c r="AC324">
        <v>0</v>
      </c>
      <c r="AD324" t="str">
        <f t="shared" si="65"/>
        <v>Ok</v>
      </c>
      <c r="AE324" t="str">
        <f>IF(AND(Audit_Data[[#This Row],[Year_Birth]]&gt;=1900,Audit_Data[[#This Row],[Year_Birth]]&lt;=2010),"OK","Invalid")</f>
        <v>OK</v>
      </c>
      <c r="AF324" t="str">
        <f t="shared" si="66"/>
        <v>Valid</v>
      </c>
      <c r="AG324" t="str">
        <f t="shared" si="67"/>
        <v>Valid</v>
      </c>
      <c r="AH324" t="str">
        <f t="shared" si="68"/>
        <v>Valid</v>
      </c>
      <c r="AI324" t="str">
        <f t="shared" si="69"/>
        <v>Valid</v>
      </c>
      <c r="AJ324" t="str">
        <f t="shared" si="70"/>
        <v>Valid</v>
      </c>
      <c r="AK324" t="str">
        <f t="shared" si="77"/>
        <v xml:space="preserve">Valid </v>
      </c>
      <c r="AL324" t="str">
        <f>IF(AND(Audit_Data[[#This Row],[Recency]]&gt;=0,Audit_Data[[#This Row],[Recency]]&lt;=100),"Valid","Invalid")</f>
        <v>Valid</v>
      </c>
      <c r="AM324" t="str">
        <f t="shared" si="71"/>
        <v>Valid</v>
      </c>
      <c r="AN324" t="str">
        <f t="shared" si="72"/>
        <v>Valid</v>
      </c>
      <c r="AO324" t="str">
        <f t="shared" si="73"/>
        <v>Valid</v>
      </c>
      <c r="AP324" t="str">
        <f t="shared" si="74"/>
        <v>Valid</v>
      </c>
      <c r="AQ324" t="str">
        <f>IF(Audit_Data[[#This Row],[Z_CostContact]]=3,"Valid","Invalid")</f>
        <v>Valid</v>
      </c>
      <c r="AR324" t="str">
        <f t="shared" si="75"/>
        <v>Valid</v>
      </c>
      <c r="AS324" t="str">
        <f t="shared" si="76"/>
        <v>Valid</v>
      </c>
    </row>
    <row r="325" spans="1:45" x14ac:dyDescent="0.3">
      <c r="A325">
        <v>9750</v>
      </c>
      <c r="B325">
        <v>1961</v>
      </c>
      <c r="C325" t="s">
        <v>32</v>
      </c>
      <c r="D325" t="s">
        <v>35</v>
      </c>
      <c r="E325">
        <v>64325</v>
      </c>
      <c r="F325">
        <v>0</v>
      </c>
      <c r="G325">
        <v>1</v>
      </c>
      <c r="H325" s="1">
        <v>41312</v>
      </c>
      <c r="I325">
        <v>41</v>
      </c>
      <c r="J325">
        <v>731</v>
      </c>
      <c r="K325">
        <v>60</v>
      </c>
      <c r="L325">
        <v>353</v>
      </c>
      <c r="M325">
        <v>78</v>
      </c>
      <c r="N325">
        <v>12</v>
      </c>
      <c r="O325">
        <v>73</v>
      </c>
      <c r="P325">
        <v>5</v>
      </c>
      <c r="Q325">
        <v>10</v>
      </c>
      <c r="R325">
        <v>3</v>
      </c>
      <c r="S325">
        <v>5</v>
      </c>
      <c r="T325">
        <v>7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3</v>
      </c>
      <c r="AB325">
        <v>11</v>
      </c>
      <c r="AC325">
        <v>0</v>
      </c>
      <c r="AD325" t="str">
        <f t="shared" si="65"/>
        <v>Ok</v>
      </c>
      <c r="AE325" t="str">
        <f>IF(AND(Audit_Data[[#This Row],[Year_Birth]]&gt;=1900,Audit_Data[[#This Row],[Year_Birth]]&lt;=2010),"OK","Invalid")</f>
        <v>OK</v>
      </c>
      <c r="AF325" t="str">
        <f t="shared" si="66"/>
        <v>Valid</v>
      </c>
      <c r="AG325" t="str">
        <f t="shared" si="67"/>
        <v>Valid</v>
      </c>
      <c r="AH325" t="str">
        <f t="shared" si="68"/>
        <v>Valid</v>
      </c>
      <c r="AI325" t="str">
        <f t="shared" si="69"/>
        <v>Valid</v>
      </c>
      <c r="AJ325" t="str">
        <f t="shared" si="70"/>
        <v>Valid</v>
      </c>
      <c r="AK325" t="str">
        <f t="shared" si="77"/>
        <v xml:space="preserve">Valid </v>
      </c>
      <c r="AL325" t="str">
        <f>IF(AND(Audit_Data[[#This Row],[Recency]]&gt;=0,Audit_Data[[#This Row],[Recency]]&lt;=100),"Valid","Invalid")</f>
        <v>Valid</v>
      </c>
      <c r="AM325" t="str">
        <f t="shared" si="71"/>
        <v>Valid</v>
      </c>
      <c r="AN325" t="str">
        <f t="shared" si="72"/>
        <v>Valid</v>
      </c>
      <c r="AO325" t="str">
        <f t="shared" si="73"/>
        <v>Valid</v>
      </c>
      <c r="AP325" t="str">
        <f t="shared" si="74"/>
        <v>Valid</v>
      </c>
      <c r="AQ325" t="str">
        <f>IF(Audit_Data[[#This Row],[Z_CostContact]]=3,"Valid","Invalid")</f>
        <v>Valid</v>
      </c>
      <c r="AR325" t="str">
        <f t="shared" si="75"/>
        <v>Valid</v>
      </c>
      <c r="AS325" t="str">
        <f t="shared" si="76"/>
        <v>Valid</v>
      </c>
    </row>
    <row r="326" spans="1:45" x14ac:dyDescent="0.3">
      <c r="A326">
        <v>2607</v>
      </c>
      <c r="B326">
        <v>1953</v>
      </c>
      <c r="C326" t="s">
        <v>29</v>
      </c>
      <c r="D326" t="s">
        <v>30</v>
      </c>
      <c r="E326">
        <v>40464</v>
      </c>
      <c r="F326">
        <v>0</v>
      </c>
      <c r="G326">
        <v>1</v>
      </c>
      <c r="H326" s="1">
        <v>41285</v>
      </c>
      <c r="I326">
        <v>78</v>
      </c>
      <c r="J326">
        <v>424</v>
      </c>
      <c r="K326">
        <v>17</v>
      </c>
      <c r="L326">
        <v>118</v>
      </c>
      <c r="M326">
        <v>7</v>
      </c>
      <c r="N326">
        <v>23</v>
      </c>
      <c r="O326">
        <v>41</v>
      </c>
      <c r="P326">
        <v>6</v>
      </c>
      <c r="Q326">
        <v>8</v>
      </c>
      <c r="R326">
        <v>2</v>
      </c>
      <c r="S326">
        <v>8</v>
      </c>
      <c r="T326">
        <v>8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3</v>
      </c>
      <c r="AB326">
        <v>11</v>
      </c>
      <c r="AC326">
        <v>0</v>
      </c>
      <c r="AD326" t="str">
        <f t="shared" si="65"/>
        <v>Ok</v>
      </c>
      <c r="AE326" t="str">
        <f>IF(AND(Audit_Data[[#This Row],[Year_Birth]]&gt;=1900,Audit_Data[[#This Row],[Year_Birth]]&lt;=2010),"OK","Invalid")</f>
        <v>OK</v>
      </c>
      <c r="AF326" t="str">
        <f t="shared" si="66"/>
        <v>Valid</v>
      </c>
      <c r="AG326" t="str">
        <f t="shared" si="67"/>
        <v>Valid</v>
      </c>
      <c r="AH326" t="str">
        <f t="shared" si="68"/>
        <v>Valid</v>
      </c>
      <c r="AI326" t="str">
        <f t="shared" si="69"/>
        <v>Valid</v>
      </c>
      <c r="AJ326" t="str">
        <f t="shared" si="70"/>
        <v>Valid</v>
      </c>
      <c r="AK326" t="str">
        <f t="shared" si="77"/>
        <v xml:space="preserve">Valid </v>
      </c>
      <c r="AL326" t="str">
        <f>IF(AND(Audit_Data[[#This Row],[Recency]]&gt;=0,Audit_Data[[#This Row],[Recency]]&lt;=100),"Valid","Invalid")</f>
        <v>Valid</v>
      </c>
      <c r="AM326" t="str">
        <f t="shared" si="71"/>
        <v>Valid</v>
      </c>
      <c r="AN326" t="str">
        <f t="shared" si="72"/>
        <v>Valid</v>
      </c>
      <c r="AO326" t="str">
        <f t="shared" si="73"/>
        <v>Valid</v>
      </c>
      <c r="AP326" t="str">
        <f t="shared" si="74"/>
        <v>Valid</v>
      </c>
      <c r="AQ326" t="str">
        <f>IF(Audit_Data[[#This Row],[Z_CostContact]]=3,"Valid","Invalid")</f>
        <v>Valid</v>
      </c>
      <c r="AR326" t="str">
        <f t="shared" si="75"/>
        <v>Valid</v>
      </c>
      <c r="AS326" t="str">
        <f t="shared" si="76"/>
        <v>Valid</v>
      </c>
    </row>
    <row r="327" spans="1:45" x14ac:dyDescent="0.3">
      <c r="A327">
        <v>7214</v>
      </c>
      <c r="B327">
        <v>1957</v>
      </c>
      <c r="C327" t="s">
        <v>29</v>
      </c>
      <c r="D327" t="s">
        <v>33</v>
      </c>
      <c r="E327">
        <v>62187</v>
      </c>
      <c r="F327">
        <v>0</v>
      </c>
      <c r="G327">
        <v>0</v>
      </c>
      <c r="H327" s="1">
        <v>41460</v>
      </c>
      <c r="I327">
        <v>49</v>
      </c>
      <c r="J327">
        <v>792</v>
      </c>
      <c r="K327">
        <v>0</v>
      </c>
      <c r="L327">
        <v>275</v>
      </c>
      <c r="M327">
        <v>45</v>
      </c>
      <c r="N327">
        <v>45</v>
      </c>
      <c r="O327">
        <v>126</v>
      </c>
      <c r="P327">
        <v>1</v>
      </c>
      <c r="Q327">
        <v>4</v>
      </c>
      <c r="R327">
        <v>8</v>
      </c>
      <c r="S327">
        <v>5</v>
      </c>
      <c r="T327">
        <v>3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3</v>
      </c>
      <c r="AB327">
        <v>11</v>
      </c>
      <c r="AC327">
        <v>0</v>
      </c>
      <c r="AD327" t="str">
        <f t="shared" si="65"/>
        <v>Ok</v>
      </c>
      <c r="AE327" t="str">
        <f>IF(AND(Audit_Data[[#This Row],[Year_Birth]]&gt;=1900,Audit_Data[[#This Row],[Year_Birth]]&lt;=2010),"OK","Invalid")</f>
        <v>OK</v>
      </c>
      <c r="AF327" t="str">
        <f t="shared" si="66"/>
        <v>Valid</v>
      </c>
      <c r="AG327" t="str">
        <f t="shared" si="67"/>
        <v>Valid</v>
      </c>
      <c r="AH327" t="str">
        <f t="shared" si="68"/>
        <v>Valid</v>
      </c>
      <c r="AI327" t="str">
        <f t="shared" si="69"/>
        <v>Valid</v>
      </c>
      <c r="AJ327" t="str">
        <f t="shared" si="70"/>
        <v>Valid</v>
      </c>
      <c r="AK327" t="str">
        <f t="shared" si="77"/>
        <v xml:space="preserve">Valid </v>
      </c>
      <c r="AL327" t="str">
        <f>IF(AND(Audit_Data[[#This Row],[Recency]]&gt;=0,Audit_Data[[#This Row],[Recency]]&lt;=100),"Valid","Invalid")</f>
        <v>Valid</v>
      </c>
      <c r="AM327" t="str">
        <f t="shared" si="71"/>
        <v>Valid</v>
      </c>
      <c r="AN327" t="str">
        <f t="shared" si="72"/>
        <v>Valid</v>
      </c>
      <c r="AO327" t="str">
        <f t="shared" si="73"/>
        <v>Valid</v>
      </c>
      <c r="AP327" t="str">
        <f t="shared" si="74"/>
        <v>Valid</v>
      </c>
      <c r="AQ327" t="str">
        <f>IF(Audit_Data[[#This Row],[Z_CostContact]]=3,"Valid","Invalid")</f>
        <v>Valid</v>
      </c>
      <c r="AR327" t="str">
        <f t="shared" si="75"/>
        <v>Valid</v>
      </c>
      <c r="AS327" t="str">
        <f t="shared" si="76"/>
        <v>Valid</v>
      </c>
    </row>
    <row r="328" spans="1:45" x14ac:dyDescent="0.3">
      <c r="A328">
        <v>5835</v>
      </c>
      <c r="B328">
        <v>1976</v>
      </c>
      <c r="C328" t="s">
        <v>32</v>
      </c>
      <c r="D328" t="s">
        <v>35</v>
      </c>
      <c r="E328">
        <v>14849</v>
      </c>
      <c r="F328">
        <v>1</v>
      </c>
      <c r="G328">
        <v>0</v>
      </c>
      <c r="H328" s="1">
        <v>41457</v>
      </c>
      <c r="I328">
        <v>39</v>
      </c>
      <c r="J328">
        <v>21</v>
      </c>
      <c r="K328">
        <v>2</v>
      </c>
      <c r="L328">
        <v>28</v>
      </c>
      <c r="M328">
        <v>3</v>
      </c>
      <c r="N328">
        <v>2</v>
      </c>
      <c r="O328">
        <v>9</v>
      </c>
      <c r="P328">
        <v>3</v>
      </c>
      <c r="Q328">
        <v>2</v>
      </c>
      <c r="R328">
        <v>0</v>
      </c>
      <c r="S328">
        <v>4</v>
      </c>
      <c r="T328">
        <v>8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3</v>
      </c>
      <c r="AB328">
        <v>11</v>
      </c>
      <c r="AC328">
        <v>0</v>
      </c>
      <c r="AD328" t="str">
        <f t="shared" si="65"/>
        <v>Ok</v>
      </c>
      <c r="AE328" t="str">
        <f>IF(AND(Audit_Data[[#This Row],[Year_Birth]]&gt;=1900,Audit_Data[[#This Row],[Year_Birth]]&lt;=2010),"OK","Invalid")</f>
        <v>OK</v>
      </c>
      <c r="AF328" t="str">
        <f t="shared" si="66"/>
        <v>Valid</v>
      </c>
      <c r="AG328" t="str">
        <f t="shared" si="67"/>
        <v>Valid</v>
      </c>
      <c r="AH328" t="str">
        <f t="shared" si="68"/>
        <v>Valid</v>
      </c>
      <c r="AI328" t="str">
        <f t="shared" si="69"/>
        <v>Valid</v>
      </c>
      <c r="AJ328" t="str">
        <f t="shared" si="70"/>
        <v>Valid</v>
      </c>
      <c r="AK328" t="str">
        <f t="shared" si="77"/>
        <v xml:space="preserve">Valid </v>
      </c>
      <c r="AL328" t="str">
        <f>IF(AND(Audit_Data[[#This Row],[Recency]]&gt;=0,Audit_Data[[#This Row],[Recency]]&lt;=100),"Valid","Invalid")</f>
        <v>Valid</v>
      </c>
      <c r="AM328" t="str">
        <f t="shared" si="71"/>
        <v>Valid</v>
      </c>
      <c r="AN328" t="str">
        <f t="shared" si="72"/>
        <v>Valid</v>
      </c>
      <c r="AO328" t="str">
        <f t="shared" si="73"/>
        <v>Valid</v>
      </c>
      <c r="AP328" t="str">
        <f t="shared" si="74"/>
        <v>Valid</v>
      </c>
      <c r="AQ328" t="str">
        <f>IF(Audit_Data[[#This Row],[Z_CostContact]]=3,"Valid","Invalid")</f>
        <v>Valid</v>
      </c>
      <c r="AR328" t="str">
        <f t="shared" si="75"/>
        <v>Valid</v>
      </c>
      <c r="AS328" t="str">
        <f t="shared" si="76"/>
        <v>Valid</v>
      </c>
    </row>
    <row r="329" spans="1:45" x14ac:dyDescent="0.3">
      <c r="A329">
        <v>3896</v>
      </c>
      <c r="B329">
        <v>1984</v>
      </c>
      <c r="C329" t="s">
        <v>29</v>
      </c>
      <c r="D329" t="s">
        <v>33</v>
      </c>
      <c r="E329">
        <v>27255</v>
      </c>
      <c r="F329">
        <v>1</v>
      </c>
      <c r="G329">
        <v>0</v>
      </c>
      <c r="H329" s="1">
        <v>41585</v>
      </c>
      <c r="I329">
        <v>3</v>
      </c>
      <c r="J329">
        <v>22</v>
      </c>
      <c r="K329">
        <v>1</v>
      </c>
      <c r="L329">
        <v>11</v>
      </c>
      <c r="M329">
        <v>0</v>
      </c>
      <c r="N329">
        <v>1</v>
      </c>
      <c r="O329">
        <v>2</v>
      </c>
      <c r="P329">
        <v>1</v>
      </c>
      <c r="Q329">
        <v>1</v>
      </c>
      <c r="R329">
        <v>0</v>
      </c>
      <c r="S329">
        <v>3</v>
      </c>
      <c r="T329">
        <v>7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3</v>
      </c>
      <c r="AB329">
        <v>11</v>
      </c>
      <c r="AC329">
        <v>0</v>
      </c>
      <c r="AD329" t="str">
        <f t="shared" si="65"/>
        <v>Ok</v>
      </c>
      <c r="AE329" t="str">
        <f>IF(AND(Audit_Data[[#This Row],[Year_Birth]]&gt;=1900,Audit_Data[[#This Row],[Year_Birth]]&lt;=2010),"OK","Invalid")</f>
        <v>OK</v>
      </c>
      <c r="AF329" t="str">
        <f t="shared" si="66"/>
        <v>Valid</v>
      </c>
      <c r="AG329" t="str">
        <f t="shared" si="67"/>
        <v>Valid</v>
      </c>
      <c r="AH329" t="str">
        <f t="shared" si="68"/>
        <v>Valid</v>
      </c>
      <c r="AI329" t="str">
        <f t="shared" si="69"/>
        <v>Valid</v>
      </c>
      <c r="AJ329" t="str">
        <f t="shared" si="70"/>
        <v>Valid</v>
      </c>
      <c r="AK329" t="str">
        <f t="shared" si="77"/>
        <v xml:space="preserve">Valid </v>
      </c>
      <c r="AL329" t="str">
        <f>IF(AND(Audit_Data[[#This Row],[Recency]]&gt;=0,Audit_Data[[#This Row],[Recency]]&lt;=100),"Valid","Invalid")</f>
        <v>Valid</v>
      </c>
      <c r="AM329" t="str">
        <f t="shared" si="71"/>
        <v>Valid</v>
      </c>
      <c r="AN329" t="str">
        <f t="shared" si="72"/>
        <v>Valid</v>
      </c>
      <c r="AO329" t="str">
        <f t="shared" si="73"/>
        <v>Valid</v>
      </c>
      <c r="AP329" t="str">
        <f t="shared" si="74"/>
        <v>Valid</v>
      </c>
      <c r="AQ329" t="str">
        <f>IF(Audit_Data[[#This Row],[Z_CostContact]]=3,"Valid","Invalid")</f>
        <v>Valid</v>
      </c>
      <c r="AR329" t="str">
        <f t="shared" si="75"/>
        <v>Valid</v>
      </c>
      <c r="AS329" t="str">
        <f t="shared" si="76"/>
        <v>Valid</v>
      </c>
    </row>
    <row r="330" spans="1:45" x14ac:dyDescent="0.3">
      <c r="A330">
        <v>10350</v>
      </c>
      <c r="B330">
        <v>1950</v>
      </c>
      <c r="C330" t="s">
        <v>32</v>
      </c>
      <c r="D330" t="s">
        <v>33</v>
      </c>
      <c r="E330">
        <v>54432</v>
      </c>
      <c r="F330">
        <v>2</v>
      </c>
      <c r="G330">
        <v>1</v>
      </c>
      <c r="H330" s="1">
        <v>41403</v>
      </c>
      <c r="I330">
        <v>37</v>
      </c>
      <c r="J330">
        <v>33</v>
      </c>
      <c r="K330">
        <v>0</v>
      </c>
      <c r="L330">
        <v>5</v>
      </c>
      <c r="M330">
        <v>0</v>
      </c>
      <c r="N330">
        <v>0</v>
      </c>
      <c r="O330">
        <v>0</v>
      </c>
      <c r="P330">
        <v>1</v>
      </c>
      <c r="Q330">
        <v>1</v>
      </c>
      <c r="R330">
        <v>0</v>
      </c>
      <c r="S330">
        <v>3</v>
      </c>
      <c r="T330">
        <v>4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3</v>
      </c>
      <c r="AB330">
        <v>11</v>
      </c>
      <c r="AC330">
        <v>0</v>
      </c>
      <c r="AD330" t="str">
        <f t="shared" si="65"/>
        <v>Ok</v>
      </c>
      <c r="AE330" t="str">
        <f>IF(AND(Audit_Data[[#This Row],[Year_Birth]]&gt;=1900,Audit_Data[[#This Row],[Year_Birth]]&lt;=2010),"OK","Invalid")</f>
        <v>OK</v>
      </c>
      <c r="AF330" t="str">
        <f t="shared" si="66"/>
        <v>Valid</v>
      </c>
      <c r="AG330" t="str">
        <f t="shared" si="67"/>
        <v>Valid</v>
      </c>
      <c r="AH330" t="str">
        <f t="shared" si="68"/>
        <v>Valid</v>
      </c>
      <c r="AI330" t="str">
        <f t="shared" si="69"/>
        <v>Valid</v>
      </c>
      <c r="AJ330" t="str">
        <f t="shared" si="70"/>
        <v>Valid</v>
      </c>
      <c r="AK330" t="str">
        <f t="shared" si="77"/>
        <v xml:space="preserve">Valid </v>
      </c>
      <c r="AL330" t="str">
        <f>IF(AND(Audit_Data[[#This Row],[Recency]]&gt;=0,Audit_Data[[#This Row],[Recency]]&lt;=100),"Valid","Invalid")</f>
        <v>Valid</v>
      </c>
      <c r="AM330" t="str">
        <f t="shared" si="71"/>
        <v>Valid</v>
      </c>
      <c r="AN330" t="str">
        <f t="shared" si="72"/>
        <v>Valid</v>
      </c>
      <c r="AO330" t="str">
        <f t="shared" si="73"/>
        <v>Valid</v>
      </c>
      <c r="AP330" t="str">
        <f t="shared" si="74"/>
        <v>Valid</v>
      </c>
      <c r="AQ330" t="str">
        <f>IF(Audit_Data[[#This Row],[Z_CostContact]]=3,"Valid","Invalid")</f>
        <v>Valid</v>
      </c>
      <c r="AR330" t="str">
        <f t="shared" si="75"/>
        <v>Valid</v>
      </c>
      <c r="AS330" t="str">
        <f t="shared" si="76"/>
        <v>Valid</v>
      </c>
    </row>
    <row r="331" spans="1:45" x14ac:dyDescent="0.3">
      <c r="A331">
        <v>7786</v>
      </c>
      <c r="B331">
        <v>1986</v>
      </c>
      <c r="C331" t="s">
        <v>32</v>
      </c>
      <c r="D331" t="s">
        <v>30</v>
      </c>
      <c r="E331">
        <v>29999</v>
      </c>
      <c r="F331">
        <v>1</v>
      </c>
      <c r="G331">
        <v>0</v>
      </c>
      <c r="H331" s="1">
        <v>41318</v>
      </c>
      <c r="I331">
        <v>22</v>
      </c>
      <c r="J331">
        <v>68</v>
      </c>
      <c r="K331">
        <v>7</v>
      </c>
      <c r="L331">
        <v>59</v>
      </c>
      <c r="M331">
        <v>10</v>
      </c>
      <c r="N331">
        <v>5</v>
      </c>
      <c r="O331">
        <v>11</v>
      </c>
      <c r="P331">
        <v>4</v>
      </c>
      <c r="Q331">
        <v>3</v>
      </c>
      <c r="R331">
        <v>1</v>
      </c>
      <c r="S331">
        <v>4</v>
      </c>
      <c r="T331">
        <v>8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3</v>
      </c>
      <c r="AB331">
        <v>11</v>
      </c>
      <c r="AC331">
        <v>0</v>
      </c>
      <c r="AD331" t="str">
        <f t="shared" si="65"/>
        <v>Ok</v>
      </c>
      <c r="AE331" t="str">
        <f>IF(AND(Audit_Data[[#This Row],[Year_Birth]]&gt;=1900,Audit_Data[[#This Row],[Year_Birth]]&lt;=2010),"OK","Invalid")</f>
        <v>OK</v>
      </c>
      <c r="AF331" t="str">
        <f t="shared" si="66"/>
        <v>Valid</v>
      </c>
      <c r="AG331" t="str">
        <f t="shared" si="67"/>
        <v>Valid</v>
      </c>
      <c r="AH331" t="str">
        <f t="shared" si="68"/>
        <v>Valid</v>
      </c>
      <c r="AI331" t="str">
        <f t="shared" si="69"/>
        <v>Valid</v>
      </c>
      <c r="AJ331" t="str">
        <f t="shared" si="70"/>
        <v>Valid</v>
      </c>
      <c r="AK331" t="str">
        <f t="shared" si="77"/>
        <v xml:space="preserve">Valid </v>
      </c>
      <c r="AL331" t="str">
        <f>IF(AND(Audit_Data[[#This Row],[Recency]]&gt;=0,Audit_Data[[#This Row],[Recency]]&lt;=100),"Valid","Invalid")</f>
        <v>Valid</v>
      </c>
      <c r="AM331" t="str">
        <f t="shared" si="71"/>
        <v>Valid</v>
      </c>
      <c r="AN331" t="str">
        <f t="shared" si="72"/>
        <v>Valid</v>
      </c>
      <c r="AO331" t="str">
        <f t="shared" si="73"/>
        <v>Valid</v>
      </c>
      <c r="AP331" t="str">
        <f t="shared" si="74"/>
        <v>Valid</v>
      </c>
      <c r="AQ331" t="str">
        <f>IF(Audit_Data[[#This Row],[Z_CostContact]]=3,"Valid","Invalid")</f>
        <v>Valid</v>
      </c>
      <c r="AR331" t="str">
        <f t="shared" si="75"/>
        <v>Valid</v>
      </c>
      <c r="AS331" t="str">
        <f t="shared" si="76"/>
        <v>Valid</v>
      </c>
    </row>
    <row r="332" spans="1:45" x14ac:dyDescent="0.3">
      <c r="A332">
        <v>2861</v>
      </c>
      <c r="B332">
        <v>1983</v>
      </c>
      <c r="C332" t="s">
        <v>29</v>
      </c>
      <c r="D332" t="s">
        <v>30</v>
      </c>
      <c r="E332">
        <v>24072</v>
      </c>
      <c r="F332">
        <v>1</v>
      </c>
      <c r="G332">
        <v>0</v>
      </c>
      <c r="H332" s="1">
        <v>41380</v>
      </c>
      <c r="I332">
        <v>79</v>
      </c>
      <c r="J332">
        <v>9</v>
      </c>
      <c r="K332">
        <v>1</v>
      </c>
      <c r="L332">
        <v>6</v>
      </c>
      <c r="M332">
        <v>3</v>
      </c>
      <c r="N332">
        <v>0</v>
      </c>
      <c r="O332">
        <v>4</v>
      </c>
      <c r="P332">
        <v>1</v>
      </c>
      <c r="Q332">
        <v>1</v>
      </c>
      <c r="R332">
        <v>0</v>
      </c>
      <c r="S332">
        <v>2</v>
      </c>
      <c r="T332">
        <v>8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3</v>
      </c>
      <c r="AB332">
        <v>11</v>
      </c>
      <c r="AC332">
        <v>0</v>
      </c>
      <c r="AD332" t="str">
        <f t="shared" si="65"/>
        <v>Ok</v>
      </c>
      <c r="AE332" t="str">
        <f>IF(AND(Audit_Data[[#This Row],[Year_Birth]]&gt;=1900,Audit_Data[[#This Row],[Year_Birth]]&lt;=2010),"OK","Invalid")</f>
        <v>OK</v>
      </c>
      <c r="AF332" t="str">
        <f t="shared" si="66"/>
        <v>Valid</v>
      </c>
      <c r="AG332" t="str">
        <f t="shared" si="67"/>
        <v>Valid</v>
      </c>
      <c r="AH332" t="str">
        <f t="shared" si="68"/>
        <v>Valid</v>
      </c>
      <c r="AI332" t="str">
        <f t="shared" si="69"/>
        <v>Valid</v>
      </c>
      <c r="AJ332" t="str">
        <f t="shared" si="70"/>
        <v>Valid</v>
      </c>
      <c r="AK332" t="str">
        <f t="shared" si="77"/>
        <v xml:space="preserve">Valid </v>
      </c>
      <c r="AL332" t="str">
        <f>IF(AND(Audit_Data[[#This Row],[Recency]]&gt;=0,Audit_Data[[#This Row],[Recency]]&lt;=100),"Valid","Invalid")</f>
        <v>Valid</v>
      </c>
      <c r="AM332" t="str">
        <f t="shared" si="71"/>
        <v>Valid</v>
      </c>
      <c r="AN332" t="str">
        <f t="shared" si="72"/>
        <v>Valid</v>
      </c>
      <c r="AO332" t="str">
        <f t="shared" si="73"/>
        <v>Valid</v>
      </c>
      <c r="AP332" t="str">
        <f t="shared" si="74"/>
        <v>Valid</v>
      </c>
      <c r="AQ332" t="str">
        <f>IF(Audit_Data[[#This Row],[Z_CostContact]]=3,"Valid","Invalid")</f>
        <v>Valid</v>
      </c>
      <c r="AR332" t="str">
        <f t="shared" si="75"/>
        <v>Valid</v>
      </c>
      <c r="AS332" t="str">
        <f t="shared" si="76"/>
        <v>Valid</v>
      </c>
    </row>
    <row r="333" spans="1:45" x14ac:dyDescent="0.3">
      <c r="A333">
        <v>663</v>
      </c>
      <c r="B333">
        <v>1989</v>
      </c>
      <c r="C333" t="s">
        <v>32</v>
      </c>
      <c r="D333" t="s">
        <v>30</v>
      </c>
      <c r="E333">
        <v>33996</v>
      </c>
      <c r="F333">
        <v>0</v>
      </c>
      <c r="G333">
        <v>0</v>
      </c>
      <c r="H333" s="1">
        <v>41528</v>
      </c>
      <c r="I333">
        <v>46</v>
      </c>
      <c r="J333">
        <v>40</v>
      </c>
      <c r="K333">
        <v>2</v>
      </c>
      <c r="L333">
        <v>15</v>
      </c>
      <c r="M333">
        <v>8</v>
      </c>
      <c r="N333">
        <v>0</v>
      </c>
      <c r="O333">
        <v>6</v>
      </c>
      <c r="P333">
        <v>1</v>
      </c>
      <c r="Q333">
        <v>1</v>
      </c>
      <c r="R333">
        <v>1</v>
      </c>
      <c r="S333">
        <v>3</v>
      </c>
      <c r="T333">
        <v>4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3</v>
      </c>
      <c r="AB333">
        <v>11</v>
      </c>
      <c r="AC333">
        <v>0</v>
      </c>
      <c r="AD333" t="str">
        <f t="shared" si="65"/>
        <v>Ok</v>
      </c>
      <c r="AE333" t="str">
        <f>IF(AND(Audit_Data[[#This Row],[Year_Birth]]&gt;=1900,Audit_Data[[#This Row],[Year_Birth]]&lt;=2010),"OK","Invalid")</f>
        <v>OK</v>
      </c>
      <c r="AF333" t="str">
        <f t="shared" si="66"/>
        <v>Valid</v>
      </c>
      <c r="AG333" t="str">
        <f t="shared" si="67"/>
        <v>Valid</v>
      </c>
      <c r="AH333" t="str">
        <f t="shared" si="68"/>
        <v>Valid</v>
      </c>
      <c r="AI333" t="str">
        <f t="shared" si="69"/>
        <v>Valid</v>
      </c>
      <c r="AJ333" t="str">
        <f t="shared" si="70"/>
        <v>Valid</v>
      </c>
      <c r="AK333" t="str">
        <f t="shared" si="77"/>
        <v xml:space="preserve">Valid </v>
      </c>
      <c r="AL333" t="str">
        <f>IF(AND(Audit_Data[[#This Row],[Recency]]&gt;=0,Audit_Data[[#This Row],[Recency]]&lt;=100),"Valid","Invalid")</f>
        <v>Valid</v>
      </c>
      <c r="AM333" t="str">
        <f t="shared" si="71"/>
        <v>Valid</v>
      </c>
      <c r="AN333" t="str">
        <f t="shared" si="72"/>
        <v>Valid</v>
      </c>
      <c r="AO333" t="str">
        <f t="shared" si="73"/>
        <v>Valid</v>
      </c>
      <c r="AP333" t="str">
        <f t="shared" si="74"/>
        <v>Valid</v>
      </c>
      <c r="AQ333" t="str">
        <f>IF(Audit_Data[[#This Row],[Z_CostContact]]=3,"Valid","Invalid")</f>
        <v>Valid</v>
      </c>
      <c r="AR333" t="str">
        <f t="shared" si="75"/>
        <v>Valid</v>
      </c>
      <c r="AS333" t="str">
        <f t="shared" si="76"/>
        <v>Valid</v>
      </c>
    </row>
    <row r="334" spans="1:45" x14ac:dyDescent="0.3">
      <c r="A334">
        <v>10675</v>
      </c>
      <c r="B334">
        <v>1956</v>
      </c>
      <c r="C334" t="s">
        <v>32</v>
      </c>
      <c r="D334" t="s">
        <v>33</v>
      </c>
      <c r="E334">
        <v>66334</v>
      </c>
      <c r="F334">
        <v>0</v>
      </c>
      <c r="G334">
        <v>1</v>
      </c>
      <c r="H334" s="1">
        <v>41367</v>
      </c>
      <c r="I334">
        <v>82</v>
      </c>
      <c r="J334">
        <v>909</v>
      </c>
      <c r="K334">
        <v>11</v>
      </c>
      <c r="L334">
        <v>218</v>
      </c>
      <c r="M334">
        <v>0</v>
      </c>
      <c r="N334">
        <v>0</v>
      </c>
      <c r="O334">
        <v>23</v>
      </c>
      <c r="P334">
        <v>2</v>
      </c>
      <c r="Q334">
        <v>9</v>
      </c>
      <c r="R334">
        <v>3</v>
      </c>
      <c r="S334">
        <v>5</v>
      </c>
      <c r="T334">
        <v>5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3</v>
      </c>
      <c r="AB334">
        <v>11</v>
      </c>
      <c r="AC334">
        <v>1</v>
      </c>
      <c r="AD334" t="str">
        <f t="shared" si="65"/>
        <v>Ok</v>
      </c>
      <c r="AE334" t="str">
        <f>IF(AND(Audit_Data[[#This Row],[Year_Birth]]&gt;=1900,Audit_Data[[#This Row],[Year_Birth]]&lt;=2010),"OK","Invalid")</f>
        <v>OK</v>
      </c>
      <c r="AF334" t="str">
        <f t="shared" si="66"/>
        <v>Valid</v>
      </c>
      <c r="AG334" t="str">
        <f t="shared" si="67"/>
        <v>Valid</v>
      </c>
      <c r="AH334" t="str">
        <f t="shared" si="68"/>
        <v>Valid</v>
      </c>
      <c r="AI334" t="str">
        <f t="shared" si="69"/>
        <v>Valid</v>
      </c>
      <c r="AJ334" t="str">
        <f t="shared" si="70"/>
        <v>Valid</v>
      </c>
      <c r="AK334" t="str">
        <f t="shared" si="77"/>
        <v xml:space="preserve">Valid </v>
      </c>
      <c r="AL334" t="str">
        <f>IF(AND(Audit_Data[[#This Row],[Recency]]&gt;=0,Audit_Data[[#This Row],[Recency]]&lt;=100),"Valid","Invalid")</f>
        <v>Valid</v>
      </c>
      <c r="AM334" t="str">
        <f t="shared" si="71"/>
        <v>Valid</v>
      </c>
      <c r="AN334" t="str">
        <f t="shared" si="72"/>
        <v>Valid</v>
      </c>
      <c r="AO334" t="str">
        <f t="shared" si="73"/>
        <v>Valid</v>
      </c>
      <c r="AP334" t="str">
        <f t="shared" si="74"/>
        <v>Valid</v>
      </c>
      <c r="AQ334" t="str">
        <f>IF(Audit_Data[[#This Row],[Z_CostContact]]=3,"Valid","Invalid")</f>
        <v>Valid</v>
      </c>
      <c r="AR334" t="str">
        <f t="shared" si="75"/>
        <v>Valid</v>
      </c>
      <c r="AS334" t="str">
        <f t="shared" si="76"/>
        <v>Valid</v>
      </c>
    </row>
    <row r="335" spans="1:45" x14ac:dyDescent="0.3">
      <c r="A335">
        <v>2521</v>
      </c>
      <c r="B335">
        <v>1971</v>
      </c>
      <c r="C335" t="s">
        <v>34</v>
      </c>
      <c r="D335" t="s">
        <v>33</v>
      </c>
      <c r="E335">
        <v>35178</v>
      </c>
      <c r="F335">
        <v>1</v>
      </c>
      <c r="G335">
        <v>0</v>
      </c>
      <c r="H335" s="1">
        <v>41284</v>
      </c>
      <c r="I335">
        <v>10</v>
      </c>
      <c r="J335">
        <v>23</v>
      </c>
      <c r="K335">
        <v>1</v>
      </c>
      <c r="L335">
        <v>13</v>
      </c>
      <c r="M335">
        <v>2</v>
      </c>
      <c r="N335">
        <v>2</v>
      </c>
      <c r="O335">
        <v>18</v>
      </c>
      <c r="P335">
        <v>1</v>
      </c>
      <c r="Q335">
        <v>1</v>
      </c>
      <c r="R335">
        <v>1</v>
      </c>
      <c r="S335">
        <v>2</v>
      </c>
      <c r="T335">
        <v>7</v>
      </c>
      <c r="U335">
        <v>1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3</v>
      </c>
      <c r="AB335">
        <v>11</v>
      </c>
      <c r="AC335">
        <v>1</v>
      </c>
      <c r="AD335" t="str">
        <f t="shared" si="65"/>
        <v>Ok</v>
      </c>
      <c r="AE335" t="str">
        <f>IF(AND(Audit_Data[[#This Row],[Year_Birth]]&gt;=1900,Audit_Data[[#This Row],[Year_Birth]]&lt;=2010),"OK","Invalid")</f>
        <v>OK</v>
      </c>
      <c r="AF335" t="str">
        <f t="shared" si="66"/>
        <v>Valid</v>
      </c>
      <c r="AG335" t="str">
        <f t="shared" si="67"/>
        <v>Valid</v>
      </c>
      <c r="AH335" t="str">
        <f t="shared" si="68"/>
        <v>Valid</v>
      </c>
      <c r="AI335" t="str">
        <f t="shared" si="69"/>
        <v>Valid</v>
      </c>
      <c r="AJ335" t="str">
        <f t="shared" si="70"/>
        <v>Valid</v>
      </c>
      <c r="AK335" t="str">
        <f t="shared" si="77"/>
        <v xml:space="preserve">Valid </v>
      </c>
      <c r="AL335" t="str">
        <f>IF(AND(Audit_Data[[#This Row],[Recency]]&gt;=0,Audit_Data[[#This Row],[Recency]]&lt;=100),"Valid","Invalid")</f>
        <v>Valid</v>
      </c>
      <c r="AM335" t="str">
        <f t="shared" si="71"/>
        <v>Valid</v>
      </c>
      <c r="AN335" t="str">
        <f t="shared" si="72"/>
        <v>Valid</v>
      </c>
      <c r="AO335" t="str">
        <f t="shared" si="73"/>
        <v>Valid</v>
      </c>
      <c r="AP335" t="str">
        <f t="shared" si="74"/>
        <v>Valid</v>
      </c>
      <c r="AQ335" t="str">
        <f>IF(Audit_Data[[#This Row],[Z_CostContact]]=3,"Valid","Invalid")</f>
        <v>Valid</v>
      </c>
      <c r="AR335" t="str">
        <f t="shared" si="75"/>
        <v>Valid</v>
      </c>
      <c r="AS335" t="str">
        <f t="shared" si="76"/>
        <v>Valid</v>
      </c>
    </row>
    <row r="336" spans="1:45" x14ac:dyDescent="0.3">
      <c r="A336">
        <v>9592</v>
      </c>
      <c r="B336">
        <v>1983</v>
      </c>
      <c r="C336" t="s">
        <v>29</v>
      </c>
      <c r="D336" t="s">
        <v>31</v>
      </c>
      <c r="E336">
        <v>22010</v>
      </c>
      <c r="F336">
        <v>1</v>
      </c>
      <c r="G336">
        <v>0</v>
      </c>
      <c r="H336" s="1">
        <v>41455</v>
      </c>
      <c r="I336">
        <v>51</v>
      </c>
      <c r="J336">
        <v>11</v>
      </c>
      <c r="K336">
        <v>2</v>
      </c>
      <c r="L336">
        <v>9</v>
      </c>
      <c r="M336">
        <v>3</v>
      </c>
      <c r="N336">
        <v>0</v>
      </c>
      <c r="O336">
        <v>8</v>
      </c>
      <c r="P336">
        <v>2</v>
      </c>
      <c r="Q336">
        <v>2</v>
      </c>
      <c r="R336">
        <v>0</v>
      </c>
      <c r="S336">
        <v>3</v>
      </c>
      <c r="T336">
        <v>8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3</v>
      </c>
      <c r="AB336">
        <v>11</v>
      </c>
      <c r="AC336">
        <v>0</v>
      </c>
      <c r="AD336" t="str">
        <f t="shared" si="65"/>
        <v>Ok</v>
      </c>
      <c r="AE336" t="str">
        <f>IF(AND(Audit_Data[[#This Row],[Year_Birth]]&gt;=1900,Audit_Data[[#This Row],[Year_Birth]]&lt;=2010),"OK","Invalid")</f>
        <v>OK</v>
      </c>
      <c r="AF336" t="str">
        <f t="shared" si="66"/>
        <v>Valid</v>
      </c>
      <c r="AG336" t="str">
        <f t="shared" si="67"/>
        <v>Valid</v>
      </c>
      <c r="AH336" t="str">
        <f t="shared" si="68"/>
        <v>Valid</v>
      </c>
      <c r="AI336" t="str">
        <f t="shared" si="69"/>
        <v>Valid</v>
      </c>
      <c r="AJ336" t="str">
        <f t="shared" si="70"/>
        <v>Valid</v>
      </c>
      <c r="AK336" t="str">
        <f t="shared" si="77"/>
        <v xml:space="preserve">Valid </v>
      </c>
      <c r="AL336" t="str">
        <f>IF(AND(Audit_Data[[#This Row],[Recency]]&gt;=0,Audit_Data[[#This Row],[Recency]]&lt;=100),"Valid","Invalid")</f>
        <v>Valid</v>
      </c>
      <c r="AM336" t="str">
        <f t="shared" si="71"/>
        <v>Valid</v>
      </c>
      <c r="AN336" t="str">
        <f t="shared" si="72"/>
        <v>Valid</v>
      </c>
      <c r="AO336" t="str">
        <f t="shared" si="73"/>
        <v>Valid</v>
      </c>
      <c r="AP336" t="str">
        <f t="shared" si="74"/>
        <v>Valid</v>
      </c>
      <c r="AQ336" t="str">
        <f>IF(Audit_Data[[#This Row],[Z_CostContact]]=3,"Valid","Invalid")</f>
        <v>Valid</v>
      </c>
      <c r="AR336" t="str">
        <f t="shared" si="75"/>
        <v>Valid</v>
      </c>
      <c r="AS336" t="str">
        <f t="shared" si="76"/>
        <v>Valid</v>
      </c>
    </row>
    <row r="337" spans="1:45" x14ac:dyDescent="0.3">
      <c r="A337">
        <v>10151</v>
      </c>
      <c r="B337">
        <v>1960</v>
      </c>
      <c r="C337" t="s">
        <v>29</v>
      </c>
      <c r="D337" t="s">
        <v>35</v>
      </c>
      <c r="E337">
        <v>62204</v>
      </c>
      <c r="F337">
        <v>0</v>
      </c>
      <c r="G337">
        <v>2</v>
      </c>
      <c r="H337" s="1">
        <v>41164</v>
      </c>
      <c r="I337">
        <v>38</v>
      </c>
      <c r="J337">
        <v>317</v>
      </c>
      <c r="K337">
        <v>46</v>
      </c>
      <c r="L337">
        <v>247</v>
      </c>
      <c r="M337">
        <v>151</v>
      </c>
      <c r="N337">
        <v>46</v>
      </c>
      <c r="O337">
        <v>139</v>
      </c>
      <c r="P337">
        <v>1</v>
      </c>
      <c r="Q337">
        <v>4</v>
      </c>
      <c r="R337">
        <v>5</v>
      </c>
      <c r="S337">
        <v>12</v>
      </c>
      <c r="T337">
        <v>3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3</v>
      </c>
      <c r="AB337">
        <v>11</v>
      </c>
      <c r="AC337">
        <v>0</v>
      </c>
      <c r="AD337" t="str">
        <f t="shared" si="65"/>
        <v>Ok</v>
      </c>
      <c r="AE337" t="str">
        <f>IF(AND(Audit_Data[[#This Row],[Year_Birth]]&gt;=1900,Audit_Data[[#This Row],[Year_Birth]]&lt;=2010),"OK","Invalid")</f>
        <v>OK</v>
      </c>
      <c r="AF337" t="str">
        <f t="shared" si="66"/>
        <v>Valid</v>
      </c>
      <c r="AG337" t="str">
        <f t="shared" si="67"/>
        <v>Valid</v>
      </c>
      <c r="AH337" t="str">
        <f t="shared" si="68"/>
        <v>Valid</v>
      </c>
      <c r="AI337" t="str">
        <f t="shared" si="69"/>
        <v>Valid</v>
      </c>
      <c r="AJ337" t="str">
        <f t="shared" si="70"/>
        <v>Valid</v>
      </c>
      <c r="AK337" t="str">
        <f t="shared" si="77"/>
        <v xml:space="preserve">Valid </v>
      </c>
      <c r="AL337" t="str">
        <f>IF(AND(Audit_Data[[#This Row],[Recency]]&gt;=0,Audit_Data[[#This Row],[Recency]]&lt;=100),"Valid","Invalid")</f>
        <v>Valid</v>
      </c>
      <c r="AM337" t="str">
        <f t="shared" si="71"/>
        <v>Valid</v>
      </c>
      <c r="AN337" t="str">
        <f t="shared" si="72"/>
        <v>Valid</v>
      </c>
      <c r="AO337" t="str">
        <f t="shared" si="73"/>
        <v>Valid</v>
      </c>
      <c r="AP337" t="str">
        <f t="shared" si="74"/>
        <v>Valid</v>
      </c>
      <c r="AQ337" t="str">
        <f>IF(Audit_Data[[#This Row],[Z_CostContact]]=3,"Valid","Invalid")</f>
        <v>Valid</v>
      </c>
      <c r="AR337" t="str">
        <f t="shared" si="75"/>
        <v>Valid</v>
      </c>
      <c r="AS337" t="str">
        <f t="shared" si="76"/>
        <v>Valid</v>
      </c>
    </row>
    <row r="338" spans="1:45" x14ac:dyDescent="0.3">
      <c r="A338">
        <v>7381</v>
      </c>
      <c r="B338">
        <v>1968</v>
      </c>
      <c r="C338" t="s">
        <v>29</v>
      </c>
      <c r="D338" t="s">
        <v>35</v>
      </c>
      <c r="E338">
        <v>75693</v>
      </c>
      <c r="F338">
        <v>0</v>
      </c>
      <c r="G338">
        <v>0</v>
      </c>
      <c r="H338" s="1">
        <v>41249</v>
      </c>
      <c r="I338">
        <v>10</v>
      </c>
      <c r="J338">
        <v>797</v>
      </c>
      <c r="K338">
        <v>153</v>
      </c>
      <c r="L338">
        <v>293</v>
      </c>
      <c r="M338">
        <v>72</v>
      </c>
      <c r="N338">
        <v>97</v>
      </c>
      <c r="O338">
        <v>30</v>
      </c>
      <c r="P338">
        <v>1</v>
      </c>
      <c r="Q338">
        <v>11</v>
      </c>
      <c r="R338">
        <v>4</v>
      </c>
      <c r="S338">
        <v>6</v>
      </c>
      <c r="T338">
        <v>4</v>
      </c>
      <c r="U338">
        <v>0</v>
      </c>
      <c r="V338">
        <v>1</v>
      </c>
      <c r="W338">
        <v>1</v>
      </c>
      <c r="X338">
        <v>1</v>
      </c>
      <c r="Y338">
        <v>0</v>
      </c>
      <c r="Z338">
        <v>0</v>
      </c>
      <c r="AA338">
        <v>3</v>
      </c>
      <c r="AB338">
        <v>11</v>
      </c>
      <c r="AC338">
        <v>1</v>
      </c>
      <c r="AD338" t="str">
        <f t="shared" si="65"/>
        <v>Ok</v>
      </c>
      <c r="AE338" t="str">
        <f>IF(AND(Audit_Data[[#This Row],[Year_Birth]]&gt;=1900,Audit_Data[[#This Row],[Year_Birth]]&lt;=2010),"OK","Invalid")</f>
        <v>OK</v>
      </c>
      <c r="AF338" t="str">
        <f t="shared" si="66"/>
        <v>Valid</v>
      </c>
      <c r="AG338" t="str">
        <f t="shared" si="67"/>
        <v>Valid</v>
      </c>
      <c r="AH338" t="str">
        <f t="shared" si="68"/>
        <v>Valid</v>
      </c>
      <c r="AI338" t="str">
        <f t="shared" si="69"/>
        <v>Valid</v>
      </c>
      <c r="AJ338" t="str">
        <f t="shared" si="70"/>
        <v>Valid</v>
      </c>
      <c r="AK338" t="str">
        <f t="shared" si="77"/>
        <v xml:space="preserve">Valid </v>
      </c>
      <c r="AL338" t="str">
        <f>IF(AND(Audit_Data[[#This Row],[Recency]]&gt;=0,Audit_Data[[#This Row],[Recency]]&lt;=100),"Valid","Invalid")</f>
        <v>Valid</v>
      </c>
      <c r="AM338" t="str">
        <f t="shared" si="71"/>
        <v>Valid</v>
      </c>
      <c r="AN338" t="str">
        <f t="shared" si="72"/>
        <v>Valid</v>
      </c>
      <c r="AO338" t="str">
        <f t="shared" si="73"/>
        <v>Valid</v>
      </c>
      <c r="AP338" t="str">
        <f t="shared" si="74"/>
        <v>Valid</v>
      </c>
      <c r="AQ338" t="str">
        <f>IF(Audit_Data[[#This Row],[Z_CostContact]]=3,"Valid","Invalid")</f>
        <v>Valid</v>
      </c>
      <c r="AR338" t="str">
        <f t="shared" si="75"/>
        <v>Valid</v>
      </c>
      <c r="AS338" t="str">
        <f t="shared" si="76"/>
        <v>Valid</v>
      </c>
    </row>
    <row r="339" spans="1:45" x14ac:dyDescent="0.3">
      <c r="A339">
        <v>4099</v>
      </c>
      <c r="B339">
        <v>1972</v>
      </c>
      <c r="C339" t="s">
        <v>29</v>
      </c>
      <c r="D339" t="s">
        <v>33</v>
      </c>
      <c r="E339">
        <v>30675</v>
      </c>
      <c r="F339">
        <v>1</v>
      </c>
      <c r="G339">
        <v>0</v>
      </c>
      <c r="H339" s="1">
        <v>41225</v>
      </c>
      <c r="I339">
        <v>14</v>
      </c>
      <c r="J339">
        <v>10</v>
      </c>
      <c r="K339">
        <v>2</v>
      </c>
      <c r="L339">
        <v>16</v>
      </c>
      <c r="M339">
        <v>11</v>
      </c>
      <c r="N339">
        <v>2</v>
      </c>
      <c r="O339">
        <v>21</v>
      </c>
      <c r="P339">
        <v>1</v>
      </c>
      <c r="Q339">
        <v>1</v>
      </c>
      <c r="R339">
        <v>0</v>
      </c>
      <c r="S339">
        <v>3</v>
      </c>
      <c r="T339">
        <v>8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3</v>
      </c>
      <c r="AB339">
        <v>11</v>
      </c>
      <c r="AC339">
        <v>0</v>
      </c>
      <c r="AD339" t="str">
        <f t="shared" si="65"/>
        <v>Ok</v>
      </c>
      <c r="AE339" t="str">
        <f>IF(AND(Audit_Data[[#This Row],[Year_Birth]]&gt;=1900,Audit_Data[[#This Row],[Year_Birth]]&lt;=2010),"OK","Invalid")</f>
        <v>OK</v>
      </c>
      <c r="AF339" t="str">
        <f t="shared" si="66"/>
        <v>Valid</v>
      </c>
      <c r="AG339" t="str">
        <f t="shared" si="67"/>
        <v>Valid</v>
      </c>
      <c r="AH339" t="str">
        <f t="shared" si="68"/>
        <v>Valid</v>
      </c>
      <c r="AI339" t="str">
        <f t="shared" si="69"/>
        <v>Valid</v>
      </c>
      <c r="AJ339" t="str">
        <f t="shared" si="70"/>
        <v>Valid</v>
      </c>
      <c r="AK339" t="str">
        <f t="shared" si="77"/>
        <v xml:space="preserve">Valid </v>
      </c>
      <c r="AL339" t="str">
        <f>IF(AND(Audit_Data[[#This Row],[Recency]]&gt;=0,Audit_Data[[#This Row],[Recency]]&lt;=100),"Valid","Invalid")</f>
        <v>Valid</v>
      </c>
      <c r="AM339" t="str">
        <f t="shared" si="71"/>
        <v>Valid</v>
      </c>
      <c r="AN339" t="str">
        <f t="shared" si="72"/>
        <v>Valid</v>
      </c>
      <c r="AO339" t="str">
        <f t="shared" si="73"/>
        <v>Valid</v>
      </c>
      <c r="AP339" t="str">
        <f t="shared" si="74"/>
        <v>Valid</v>
      </c>
      <c r="AQ339" t="str">
        <f>IF(Audit_Data[[#This Row],[Z_CostContact]]=3,"Valid","Invalid")</f>
        <v>Valid</v>
      </c>
      <c r="AR339" t="str">
        <f t="shared" si="75"/>
        <v>Valid</v>
      </c>
      <c r="AS339" t="str">
        <f t="shared" si="76"/>
        <v>Valid</v>
      </c>
    </row>
    <row r="340" spans="1:45" x14ac:dyDescent="0.3">
      <c r="A340">
        <v>9560</v>
      </c>
      <c r="B340">
        <v>1965</v>
      </c>
      <c r="C340" t="s">
        <v>29</v>
      </c>
      <c r="D340" t="s">
        <v>31</v>
      </c>
      <c r="E340">
        <v>83003</v>
      </c>
      <c r="F340">
        <v>0</v>
      </c>
      <c r="G340">
        <v>0</v>
      </c>
      <c r="H340" s="1">
        <v>41336</v>
      </c>
      <c r="I340">
        <v>18</v>
      </c>
      <c r="J340">
        <v>856</v>
      </c>
      <c r="K340">
        <v>61</v>
      </c>
      <c r="L340">
        <v>570</v>
      </c>
      <c r="M340">
        <v>40</v>
      </c>
      <c r="N340">
        <v>25</v>
      </c>
      <c r="O340">
        <v>122</v>
      </c>
      <c r="P340">
        <v>1</v>
      </c>
      <c r="Q340">
        <v>7</v>
      </c>
      <c r="R340">
        <v>6</v>
      </c>
      <c r="S340">
        <v>8</v>
      </c>
      <c r="T340">
        <v>3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>
        <v>3</v>
      </c>
      <c r="AB340">
        <v>11</v>
      </c>
      <c r="AC340">
        <v>1</v>
      </c>
      <c r="AD340" t="str">
        <f t="shared" si="65"/>
        <v>Ok</v>
      </c>
      <c r="AE340" t="str">
        <f>IF(AND(Audit_Data[[#This Row],[Year_Birth]]&gt;=1900,Audit_Data[[#This Row],[Year_Birth]]&lt;=2010),"OK","Invalid")</f>
        <v>OK</v>
      </c>
      <c r="AF340" t="str">
        <f t="shared" si="66"/>
        <v>Valid</v>
      </c>
      <c r="AG340" t="str">
        <f t="shared" si="67"/>
        <v>Valid</v>
      </c>
      <c r="AH340" t="str">
        <f t="shared" si="68"/>
        <v>Valid</v>
      </c>
      <c r="AI340" t="str">
        <f t="shared" si="69"/>
        <v>Valid</v>
      </c>
      <c r="AJ340" t="str">
        <f t="shared" si="70"/>
        <v>Valid</v>
      </c>
      <c r="AK340" t="str">
        <f t="shared" si="77"/>
        <v xml:space="preserve">Valid </v>
      </c>
      <c r="AL340" t="str">
        <f>IF(AND(Audit_Data[[#This Row],[Recency]]&gt;=0,Audit_Data[[#This Row],[Recency]]&lt;=100),"Valid","Invalid")</f>
        <v>Valid</v>
      </c>
      <c r="AM340" t="str">
        <f t="shared" si="71"/>
        <v>Valid</v>
      </c>
      <c r="AN340" t="str">
        <f t="shared" si="72"/>
        <v>Valid</v>
      </c>
      <c r="AO340" t="str">
        <f t="shared" si="73"/>
        <v>Valid</v>
      </c>
      <c r="AP340" t="str">
        <f t="shared" si="74"/>
        <v>Valid</v>
      </c>
      <c r="AQ340" t="str">
        <f>IF(Audit_Data[[#This Row],[Z_CostContact]]=3,"Valid","Invalid")</f>
        <v>Valid</v>
      </c>
      <c r="AR340" t="str">
        <f t="shared" si="75"/>
        <v>Valid</v>
      </c>
      <c r="AS340" t="str">
        <f t="shared" si="76"/>
        <v>Valid</v>
      </c>
    </row>
    <row r="341" spans="1:45" x14ac:dyDescent="0.3">
      <c r="A341">
        <v>1150</v>
      </c>
      <c r="B341">
        <v>1899</v>
      </c>
      <c r="C341" t="s">
        <v>32</v>
      </c>
      <c r="D341" t="s">
        <v>31</v>
      </c>
      <c r="E341">
        <v>83532</v>
      </c>
      <c r="F341">
        <v>0</v>
      </c>
      <c r="G341">
        <v>0</v>
      </c>
      <c r="H341" s="1">
        <v>41543</v>
      </c>
      <c r="I341">
        <v>36</v>
      </c>
      <c r="J341">
        <v>755</v>
      </c>
      <c r="K341">
        <v>144</v>
      </c>
      <c r="L341">
        <v>562</v>
      </c>
      <c r="M341">
        <v>104</v>
      </c>
      <c r="N341">
        <v>64</v>
      </c>
      <c r="O341">
        <v>224</v>
      </c>
      <c r="P341">
        <v>1</v>
      </c>
      <c r="Q341">
        <v>4</v>
      </c>
      <c r="R341">
        <v>6</v>
      </c>
      <c r="S341">
        <v>4</v>
      </c>
      <c r="T341">
        <v>1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>
        <v>3</v>
      </c>
      <c r="AB341">
        <v>11</v>
      </c>
      <c r="AC341">
        <v>0</v>
      </c>
      <c r="AD341" t="str">
        <f t="shared" si="65"/>
        <v>Ok</v>
      </c>
      <c r="AE341" t="str">
        <f>IF(AND(Audit_Data[[#This Row],[Year_Birth]]&gt;=1900,Audit_Data[[#This Row],[Year_Birth]]&lt;=2010),"OK","Invalid")</f>
        <v>Invalid</v>
      </c>
      <c r="AF341" t="str">
        <f t="shared" si="66"/>
        <v>Valid</v>
      </c>
      <c r="AG341" t="str">
        <f t="shared" si="67"/>
        <v>Valid</v>
      </c>
      <c r="AH341" t="str">
        <f t="shared" si="68"/>
        <v>Valid</v>
      </c>
      <c r="AI341" t="str">
        <f t="shared" si="69"/>
        <v>Valid</v>
      </c>
      <c r="AJ341" t="str">
        <f t="shared" si="70"/>
        <v>Valid</v>
      </c>
      <c r="AK341" t="str">
        <f t="shared" si="77"/>
        <v xml:space="preserve">Valid </v>
      </c>
      <c r="AL341" t="str">
        <f>IF(AND(Audit_Data[[#This Row],[Recency]]&gt;=0,Audit_Data[[#This Row],[Recency]]&lt;=100),"Valid","Invalid")</f>
        <v>Valid</v>
      </c>
      <c r="AM341" t="str">
        <f t="shared" si="71"/>
        <v>Valid</v>
      </c>
      <c r="AN341" t="str">
        <f t="shared" si="72"/>
        <v>Valid</v>
      </c>
      <c r="AO341" t="str">
        <f t="shared" si="73"/>
        <v>Valid</v>
      </c>
      <c r="AP341" t="str">
        <f t="shared" si="74"/>
        <v>Valid</v>
      </c>
      <c r="AQ341" t="str">
        <f>IF(Audit_Data[[#This Row],[Z_CostContact]]=3,"Valid","Invalid")</f>
        <v>Valid</v>
      </c>
      <c r="AR341" t="str">
        <f t="shared" si="75"/>
        <v>Valid</v>
      </c>
      <c r="AS341" t="str">
        <f t="shared" si="76"/>
        <v>Valid</v>
      </c>
    </row>
    <row r="342" spans="1:45" x14ac:dyDescent="0.3">
      <c r="A342">
        <v>10172</v>
      </c>
      <c r="B342">
        <v>1988</v>
      </c>
      <c r="C342" t="s">
        <v>29</v>
      </c>
      <c r="D342" t="s">
        <v>30</v>
      </c>
      <c r="E342">
        <v>68655</v>
      </c>
      <c r="F342">
        <v>0</v>
      </c>
      <c r="G342">
        <v>0</v>
      </c>
      <c r="H342" s="1">
        <v>41131</v>
      </c>
      <c r="I342">
        <v>95</v>
      </c>
      <c r="J342">
        <v>456</v>
      </c>
      <c r="K342">
        <v>19</v>
      </c>
      <c r="L342">
        <v>832</v>
      </c>
      <c r="M342">
        <v>75</v>
      </c>
      <c r="N342">
        <v>118</v>
      </c>
      <c r="O342">
        <v>38</v>
      </c>
      <c r="P342">
        <v>1</v>
      </c>
      <c r="Q342">
        <v>4</v>
      </c>
      <c r="R342">
        <v>5</v>
      </c>
      <c r="S342">
        <v>11</v>
      </c>
      <c r="T342">
        <v>3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3</v>
      </c>
      <c r="AB342">
        <v>11</v>
      </c>
      <c r="AC342">
        <v>0</v>
      </c>
      <c r="AD342" t="str">
        <f t="shared" si="65"/>
        <v>Ok</v>
      </c>
      <c r="AE342" t="str">
        <f>IF(AND(Audit_Data[[#This Row],[Year_Birth]]&gt;=1900,Audit_Data[[#This Row],[Year_Birth]]&lt;=2010),"OK","Invalid")</f>
        <v>OK</v>
      </c>
      <c r="AF342" t="str">
        <f t="shared" si="66"/>
        <v>Valid</v>
      </c>
      <c r="AG342" t="str">
        <f t="shared" si="67"/>
        <v>Valid</v>
      </c>
      <c r="AH342" t="str">
        <f t="shared" si="68"/>
        <v>Valid</v>
      </c>
      <c r="AI342" t="str">
        <f t="shared" si="69"/>
        <v>Valid</v>
      </c>
      <c r="AJ342" t="str">
        <f t="shared" si="70"/>
        <v>Valid</v>
      </c>
      <c r="AK342" t="str">
        <f t="shared" si="77"/>
        <v xml:space="preserve">Valid </v>
      </c>
      <c r="AL342" t="str">
        <f>IF(AND(Audit_Data[[#This Row],[Recency]]&gt;=0,Audit_Data[[#This Row],[Recency]]&lt;=100),"Valid","Invalid")</f>
        <v>Valid</v>
      </c>
      <c r="AM342" t="str">
        <f t="shared" si="71"/>
        <v>Valid</v>
      </c>
      <c r="AN342" t="str">
        <f t="shared" si="72"/>
        <v>Valid</v>
      </c>
      <c r="AO342" t="str">
        <f t="shared" si="73"/>
        <v>Valid</v>
      </c>
      <c r="AP342" t="str">
        <f t="shared" si="74"/>
        <v>Valid</v>
      </c>
      <c r="AQ342" t="str">
        <f>IF(Audit_Data[[#This Row],[Z_CostContact]]=3,"Valid","Invalid")</f>
        <v>Valid</v>
      </c>
      <c r="AR342" t="str">
        <f t="shared" si="75"/>
        <v>Valid</v>
      </c>
      <c r="AS342" t="str">
        <f t="shared" si="76"/>
        <v>Valid</v>
      </c>
    </row>
    <row r="343" spans="1:45" x14ac:dyDescent="0.3">
      <c r="A343">
        <v>11191</v>
      </c>
      <c r="B343">
        <v>1986</v>
      </c>
      <c r="C343" t="s">
        <v>29</v>
      </c>
      <c r="D343" t="s">
        <v>35</v>
      </c>
      <c r="E343">
        <v>41411</v>
      </c>
      <c r="F343">
        <v>0</v>
      </c>
      <c r="G343">
        <v>0</v>
      </c>
      <c r="H343" s="1">
        <v>41615</v>
      </c>
      <c r="I343">
        <v>11</v>
      </c>
      <c r="J343">
        <v>37</v>
      </c>
      <c r="K343">
        <v>32</v>
      </c>
      <c r="L343">
        <v>38</v>
      </c>
      <c r="M343">
        <v>11</v>
      </c>
      <c r="N343">
        <v>3</v>
      </c>
      <c r="O343">
        <v>18</v>
      </c>
      <c r="P343">
        <v>1</v>
      </c>
      <c r="Q343">
        <v>2</v>
      </c>
      <c r="R343">
        <v>1</v>
      </c>
      <c r="S343">
        <v>4</v>
      </c>
      <c r="T343">
        <v>6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3</v>
      </c>
      <c r="AB343">
        <v>11</v>
      </c>
      <c r="AC343">
        <v>0</v>
      </c>
      <c r="AD343" t="str">
        <f t="shared" si="65"/>
        <v>Ok</v>
      </c>
      <c r="AE343" t="str">
        <f>IF(AND(Audit_Data[[#This Row],[Year_Birth]]&gt;=1900,Audit_Data[[#This Row],[Year_Birth]]&lt;=2010),"OK","Invalid")</f>
        <v>OK</v>
      </c>
      <c r="AF343" t="str">
        <f t="shared" si="66"/>
        <v>Valid</v>
      </c>
      <c r="AG343" t="str">
        <f t="shared" si="67"/>
        <v>Valid</v>
      </c>
      <c r="AH343" t="str">
        <f t="shared" si="68"/>
        <v>Valid</v>
      </c>
      <c r="AI343" t="str">
        <f t="shared" si="69"/>
        <v>Valid</v>
      </c>
      <c r="AJ343" t="str">
        <f t="shared" si="70"/>
        <v>Valid</v>
      </c>
      <c r="AK343" t="str">
        <f t="shared" si="77"/>
        <v xml:space="preserve">Valid </v>
      </c>
      <c r="AL343" t="str">
        <f>IF(AND(Audit_Data[[#This Row],[Recency]]&gt;=0,Audit_Data[[#This Row],[Recency]]&lt;=100),"Valid","Invalid")</f>
        <v>Valid</v>
      </c>
      <c r="AM343" t="str">
        <f t="shared" si="71"/>
        <v>Valid</v>
      </c>
      <c r="AN343" t="str">
        <f t="shared" si="72"/>
        <v>Valid</v>
      </c>
      <c r="AO343" t="str">
        <f t="shared" si="73"/>
        <v>Valid</v>
      </c>
      <c r="AP343" t="str">
        <f t="shared" si="74"/>
        <v>Valid</v>
      </c>
      <c r="AQ343" t="str">
        <f>IF(Audit_Data[[#This Row],[Z_CostContact]]=3,"Valid","Invalid")</f>
        <v>Valid</v>
      </c>
      <c r="AR343" t="str">
        <f t="shared" si="75"/>
        <v>Valid</v>
      </c>
      <c r="AS343" t="str">
        <f t="shared" si="76"/>
        <v>Valid</v>
      </c>
    </row>
    <row r="344" spans="1:45" x14ac:dyDescent="0.3">
      <c r="A344">
        <v>9707</v>
      </c>
      <c r="B344">
        <v>1969</v>
      </c>
      <c r="C344" t="s">
        <v>32</v>
      </c>
      <c r="D344" t="s">
        <v>33</v>
      </c>
      <c r="E344">
        <v>55212</v>
      </c>
      <c r="F344">
        <v>0</v>
      </c>
      <c r="G344">
        <v>1</v>
      </c>
      <c r="H344" s="1">
        <v>41236</v>
      </c>
      <c r="I344">
        <v>65</v>
      </c>
      <c r="J344">
        <v>1103</v>
      </c>
      <c r="K344">
        <v>0</v>
      </c>
      <c r="L344">
        <v>45</v>
      </c>
      <c r="M344">
        <v>0</v>
      </c>
      <c r="N344">
        <v>0</v>
      </c>
      <c r="O344">
        <v>34</v>
      </c>
      <c r="P344">
        <v>3</v>
      </c>
      <c r="Q344">
        <v>4</v>
      </c>
      <c r="R344">
        <v>2</v>
      </c>
      <c r="S344">
        <v>11</v>
      </c>
      <c r="T344">
        <v>8</v>
      </c>
      <c r="U344">
        <v>0</v>
      </c>
      <c r="V344">
        <v>1</v>
      </c>
      <c r="W344">
        <v>0</v>
      </c>
      <c r="X344">
        <v>0</v>
      </c>
      <c r="Y344">
        <v>1</v>
      </c>
      <c r="Z344">
        <v>0</v>
      </c>
      <c r="AA344">
        <v>3</v>
      </c>
      <c r="AB344">
        <v>11</v>
      </c>
      <c r="AC344">
        <v>0</v>
      </c>
      <c r="AD344" t="str">
        <f t="shared" si="65"/>
        <v>Ok</v>
      </c>
      <c r="AE344" t="str">
        <f>IF(AND(Audit_Data[[#This Row],[Year_Birth]]&gt;=1900,Audit_Data[[#This Row],[Year_Birth]]&lt;=2010),"OK","Invalid")</f>
        <v>OK</v>
      </c>
      <c r="AF344" t="str">
        <f t="shared" si="66"/>
        <v>Valid</v>
      </c>
      <c r="AG344" t="str">
        <f t="shared" si="67"/>
        <v>Valid</v>
      </c>
      <c r="AH344" t="str">
        <f t="shared" si="68"/>
        <v>Valid</v>
      </c>
      <c r="AI344" t="str">
        <f t="shared" si="69"/>
        <v>Valid</v>
      </c>
      <c r="AJ344" t="str">
        <f t="shared" si="70"/>
        <v>Valid</v>
      </c>
      <c r="AK344" t="str">
        <f t="shared" si="77"/>
        <v xml:space="preserve">Valid </v>
      </c>
      <c r="AL344" t="str">
        <f>IF(AND(Audit_Data[[#This Row],[Recency]]&gt;=0,Audit_Data[[#This Row],[Recency]]&lt;=100),"Valid","Invalid")</f>
        <v>Valid</v>
      </c>
      <c r="AM344" t="str">
        <f t="shared" si="71"/>
        <v>Valid</v>
      </c>
      <c r="AN344" t="str">
        <f t="shared" si="72"/>
        <v>Valid</v>
      </c>
      <c r="AO344" t="str">
        <f t="shared" si="73"/>
        <v>Valid</v>
      </c>
      <c r="AP344" t="str">
        <f t="shared" si="74"/>
        <v>Valid</v>
      </c>
      <c r="AQ344" t="str">
        <f>IF(Audit_Data[[#This Row],[Z_CostContact]]=3,"Valid","Invalid")</f>
        <v>Valid</v>
      </c>
      <c r="AR344" t="str">
        <f t="shared" si="75"/>
        <v>Valid</v>
      </c>
      <c r="AS344" t="str">
        <f t="shared" si="76"/>
        <v>Valid</v>
      </c>
    </row>
    <row r="345" spans="1:45" x14ac:dyDescent="0.3">
      <c r="A345">
        <v>6245</v>
      </c>
      <c r="B345">
        <v>1950</v>
      </c>
      <c r="C345" t="s">
        <v>32</v>
      </c>
      <c r="D345" t="s">
        <v>31</v>
      </c>
      <c r="E345">
        <v>59292</v>
      </c>
      <c r="F345">
        <v>0</v>
      </c>
      <c r="G345">
        <v>1</v>
      </c>
      <c r="H345" s="1">
        <v>41438</v>
      </c>
      <c r="I345">
        <v>71</v>
      </c>
      <c r="J345">
        <v>378</v>
      </c>
      <c r="K345">
        <v>14</v>
      </c>
      <c r="L345">
        <v>68</v>
      </c>
      <c r="M345">
        <v>19</v>
      </c>
      <c r="N345">
        <v>14</v>
      </c>
      <c r="O345">
        <v>14</v>
      </c>
      <c r="P345">
        <v>2</v>
      </c>
      <c r="Q345">
        <v>3</v>
      </c>
      <c r="R345">
        <v>5</v>
      </c>
      <c r="S345">
        <v>8</v>
      </c>
      <c r="T345">
        <v>3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3</v>
      </c>
      <c r="AB345">
        <v>11</v>
      </c>
      <c r="AC345">
        <v>0</v>
      </c>
      <c r="AD345" t="str">
        <f t="shared" si="65"/>
        <v>Ok</v>
      </c>
      <c r="AE345" t="str">
        <f>IF(AND(Audit_Data[[#This Row],[Year_Birth]]&gt;=1900,Audit_Data[[#This Row],[Year_Birth]]&lt;=2010),"OK","Invalid")</f>
        <v>OK</v>
      </c>
      <c r="AF345" t="str">
        <f t="shared" si="66"/>
        <v>Valid</v>
      </c>
      <c r="AG345" t="str">
        <f t="shared" si="67"/>
        <v>Valid</v>
      </c>
      <c r="AH345" t="str">
        <f t="shared" si="68"/>
        <v>Valid</v>
      </c>
      <c r="AI345" t="str">
        <f t="shared" si="69"/>
        <v>Valid</v>
      </c>
      <c r="AJ345" t="str">
        <f t="shared" si="70"/>
        <v>Valid</v>
      </c>
      <c r="AK345" t="str">
        <f t="shared" si="77"/>
        <v xml:space="preserve">Valid </v>
      </c>
      <c r="AL345" t="str">
        <f>IF(AND(Audit_Data[[#This Row],[Recency]]&gt;=0,Audit_Data[[#This Row],[Recency]]&lt;=100),"Valid","Invalid")</f>
        <v>Valid</v>
      </c>
      <c r="AM345" t="str">
        <f t="shared" si="71"/>
        <v>Valid</v>
      </c>
      <c r="AN345" t="str">
        <f t="shared" si="72"/>
        <v>Valid</v>
      </c>
      <c r="AO345" t="str">
        <f t="shared" si="73"/>
        <v>Valid</v>
      </c>
      <c r="AP345" t="str">
        <f t="shared" si="74"/>
        <v>Valid</v>
      </c>
      <c r="AQ345" t="str">
        <f>IF(Audit_Data[[#This Row],[Z_CostContact]]=3,"Valid","Invalid")</f>
        <v>Valid</v>
      </c>
      <c r="AR345" t="str">
        <f t="shared" si="75"/>
        <v>Valid</v>
      </c>
      <c r="AS345" t="str">
        <f t="shared" si="76"/>
        <v>Valid</v>
      </c>
    </row>
    <row r="346" spans="1:45" x14ac:dyDescent="0.3">
      <c r="A346">
        <v>8234</v>
      </c>
      <c r="B346">
        <v>1973</v>
      </c>
      <c r="C346" t="s">
        <v>36</v>
      </c>
      <c r="D346" t="s">
        <v>31</v>
      </c>
      <c r="E346">
        <v>27190</v>
      </c>
      <c r="F346">
        <v>1</v>
      </c>
      <c r="G346">
        <v>0</v>
      </c>
      <c r="H346" s="1">
        <v>41501</v>
      </c>
      <c r="I346">
        <v>13</v>
      </c>
      <c r="J346">
        <v>1</v>
      </c>
      <c r="K346">
        <v>6</v>
      </c>
      <c r="L346">
        <v>7</v>
      </c>
      <c r="M346">
        <v>0</v>
      </c>
      <c r="N346">
        <v>1</v>
      </c>
      <c r="O346">
        <v>3</v>
      </c>
      <c r="P346">
        <v>1</v>
      </c>
      <c r="Q346">
        <v>1</v>
      </c>
      <c r="R346">
        <v>0</v>
      </c>
      <c r="S346">
        <v>2</v>
      </c>
      <c r="T346">
        <v>8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3</v>
      </c>
      <c r="AB346">
        <v>11</v>
      </c>
      <c r="AC346">
        <v>1</v>
      </c>
      <c r="AD346" t="str">
        <f t="shared" si="65"/>
        <v>Ok</v>
      </c>
      <c r="AE346" t="str">
        <f>IF(AND(Audit_Data[[#This Row],[Year_Birth]]&gt;=1900,Audit_Data[[#This Row],[Year_Birth]]&lt;=2010),"OK","Invalid")</f>
        <v>OK</v>
      </c>
      <c r="AF346" t="str">
        <f t="shared" si="66"/>
        <v>Valid</v>
      </c>
      <c r="AG346" t="str">
        <f t="shared" si="67"/>
        <v>Valid</v>
      </c>
      <c r="AH346" t="str">
        <f t="shared" si="68"/>
        <v>Valid</v>
      </c>
      <c r="AI346" t="str">
        <f t="shared" si="69"/>
        <v>Valid</v>
      </c>
      <c r="AJ346" t="str">
        <f t="shared" si="70"/>
        <v>Valid</v>
      </c>
      <c r="AK346" t="str">
        <f t="shared" si="77"/>
        <v xml:space="preserve">Valid </v>
      </c>
      <c r="AL346" t="str">
        <f>IF(AND(Audit_Data[[#This Row],[Recency]]&gt;=0,Audit_Data[[#This Row],[Recency]]&lt;=100),"Valid","Invalid")</f>
        <v>Valid</v>
      </c>
      <c r="AM346" t="str">
        <f t="shared" si="71"/>
        <v>Valid</v>
      </c>
      <c r="AN346" t="str">
        <f t="shared" si="72"/>
        <v>Valid</v>
      </c>
      <c r="AO346" t="str">
        <f t="shared" si="73"/>
        <v>Valid</v>
      </c>
      <c r="AP346" t="str">
        <f t="shared" si="74"/>
        <v>Valid</v>
      </c>
      <c r="AQ346" t="str">
        <f>IF(Audit_Data[[#This Row],[Z_CostContact]]=3,"Valid","Invalid")</f>
        <v>Valid</v>
      </c>
      <c r="AR346" t="str">
        <f t="shared" si="75"/>
        <v>Valid</v>
      </c>
      <c r="AS346" t="str">
        <f t="shared" si="76"/>
        <v>Valid</v>
      </c>
    </row>
    <row r="347" spans="1:45" x14ac:dyDescent="0.3">
      <c r="A347">
        <v>1411</v>
      </c>
      <c r="B347">
        <v>1952</v>
      </c>
      <c r="C347" t="s">
        <v>29</v>
      </c>
      <c r="D347" t="s">
        <v>35</v>
      </c>
      <c r="E347">
        <v>82623</v>
      </c>
      <c r="F347">
        <v>0</v>
      </c>
      <c r="G347">
        <v>0</v>
      </c>
      <c r="H347" s="1">
        <v>41588</v>
      </c>
      <c r="I347">
        <v>58</v>
      </c>
      <c r="J347">
        <v>204</v>
      </c>
      <c r="K347">
        <v>34</v>
      </c>
      <c r="L347">
        <v>204</v>
      </c>
      <c r="M347">
        <v>172</v>
      </c>
      <c r="N347">
        <v>153</v>
      </c>
      <c r="O347">
        <v>173</v>
      </c>
      <c r="P347">
        <v>1</v>
      </c>
      <c r="Q347">
        <v>2</v>
      </c>
      <c r="R347">
        <v>9</v>
      </c>
      <c r="S347">
        <v>4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3</v>
      </c>
      <c r="AB347">
        <v>11</v>
      </c>
      <c r="AC347">
        <v>0</v>
      </c>
      <c r="AD347" t="str">
        <f t="shared" si="65"/>
        <v>Ok</v>
      </c>
      <c r="AE347" t="str">
        <f>IF(AND(Audit_Data[[#This Row],[Year_Birth]]&gt;=1900,Audit_Data[[#This Row],[Year_Birth]]&lt;=2010),"OK","Invalid")</f>
        <v>OK</v>
      </c>
      <c r="AF347" t="str">
        <f t="shared" si="66"/>
        <v>Valid</v>
      </c>
      <c r="AG347" t="str">
        <f t="shared" si="67"/>
        <v>Valid</v>
      </c>
      <c r="AH347" t="str">
        <f t="shared" si="68"/>
        <v>Valid</v>
      </c>
      <c r="AI347" t="str">
        <f t="shared" si="69"/>
        <v>Valid</v>
      </c>
      <c r="AJ347" t="str">
        <f t="shared" si="70"/>
        <v>Valid</v>
      </c>
      <c r="AK347" t="str">
        <f t="shared" si="77"/>
        <v xml:space="preserve">Valid </v>
      </c>
      <c r="AL347" t="str">
        <f>IF(AND(Audit_Data[[#This Row],[Recency]]&gt;=0,Audit_Data[[#This Row],[Recency]]&lt;=100),"Valid","Invalid")</f>
        <v>Valid</v>
      </c>
      <c r="AM347" t="str">
        <f t="shared" si="71"/>
        <v>Valid</v>
      </c>
      <c r="AN347" t="str">
        <f t="shared" si="72"/>
        <v>Valid</v>
      </c>
      <c r="AO347" t="str">
        <f t="shared" si="73"/>
        <v>Valid</v>
      </c>
      <c r="AP347" t="str">
        <f t="shared" si="74"/>
        <v>Valid</v>
      </c>
      <c r="AQ347" t="str">
        <f>IF(Audit_Data[[#This Row],[Z_CostContact]]=3,"Valid","Invalid")</f>
        <v>Valid</v>
      </c>
      <c r="AR347" t="str">
        <f t="shared" si="75"/>
        <v>Valid</v>
      </c>
      <c r="AS347" t="str">
        <f t="shared" si="76"/>
        <v>Valid</v>
      </c>
    </row>
    <row r="348" spans="1:45" x14ac:dyDescent="0.3">
      <c r="A348">
        <v>8553</v>
      </c>
      <c r="B348">
        <v>1965</v>
      </c>
      <c r="C348" t="s">
        <v>29</v>
      </c>
      <c r="D348" t="s">
        <v>33</v>
      </c>
      <c r="E348">
        <v>44300</v>
      </c>
      <c r="F348">
        <v>1</v>
      </c>
      <c r="G348">
        <v>1</v>
      </c>
      <c r="H348" s="1">
        <v>41448</v>
      </c>
      <c r="I348">
        <v>65</v>
      </c>
      <c r="J348">
        <v>30</v>
      </c>
      <c r="K348">
        <v>0</v>
      </c>
      <c r="L348">
        <v>9</v>
      </c>
      <c r="M348">
        <v>0</v>
      </c>
      <c r="N348">
        <v>0</v>
      </c>
      <c r="O348">
        <v>3</v>
      </c>
      <c r="P348">
        <v>2</v>
      </c>
      <c r="Q348">
        <v>1</v>
      </c>
      <c r="R348">
        <v>0</v>
      </c>
      <c r="S348">
        <v>3</v>
      </c>
      <c r="T348">
        <v>6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3</v>
      </c>
      <c r="AB348">
        <v>11</v>
      </c>
      <c r="AC348">
        <v>0</v>
      </c>
      <c r="AD348" t="str">
        <f t="shared" si="65"/>
        <v>Ok</v>
      </c>
      <c r="AE348" t="str">
        <f>IF(AND(Audit_Data[[#This Row],[Year_Birth]]&gt;=1900,Audit_Data[[#This Row],[Year_Birth]]&lt;=2010),"OK","Invalid")</f>
        <v>OK</v>
      </c>
      <c r="AF348" t="str">
        <f t="shared" si="66"/>
        <v>Valid</v>
      </c>
      <c r="AG348" t="str">
        <f t="shared" si="67"/>
        <v>Valid</v>
      </c>
      <c r="AH348" t="str">
        <f t="shared" si="68"/>
        <v>Valid</v>
      </c>
      <c r="AI348" t="str">
        <f t="shared" si="69"/>
        <v>Valid</v>
      </c>
      <c r="AJ348" t="str">
        <f t="shared" si="70"/>
        <v>Valid</v>
      </c>
      <c r="AK348" t="str">
        <f t="shared" si="77"/>
        <v xml:space="preserve">Valid </v>
      </c>
      <c r="AL348" t="str">
        <f>IF(AND(Audit_Data[[#This Row],[Recency]]&gt;=0,Audit_Data[[#This Row],[Recency]]&lt;=100),"Valid","Invalid")</f>
        <v>Valid</v>
      </c>
      <c r="AM348" t="str">
        <f t="shared" si="71"/>
        <v>Valid</v>
      </c>
      <c r="AN348" t="str">
        <f t="shared" si="72"/>
        <v>Valid</v>
      </c>
      <c r="AO348" t="str">
        <f t="shared" si="73"/>
        <v>Valid</v>
      </c>
      <c r="AP348" t="str">
        <f t="shared" si="74"/>
        <v>Valid</v>
      </c>
      <c r="AQ348" t="str">
        <f>IF(Audit_Data[[#This Row],[Z_CostContact]]=3,"Valid","Invalid")</f>
        <v>Valid</v>
      </c>
      <c r="AR348" t="str">
        <f t="shared" si="75"/>
        <v>Valid</v>
      </c>
      <c r="AS348" t="str">
        <f t="shared" si="76"/>
        <v>Valid</v>
      </c>
    </row>
    <row r="349" spans="1:45" x14ac:dyDescent="0.3">
      <c r="A349">
        <v>1826</v>
      </c>
      <c r="B349">
        <v>1970</v>
      </c>
      <c r="C349" t="s">
        <v>29</v>
      </c>
      <c r="D349" t="s">
        <v>35</v>
      </c>
      <c r="E349">
        <v>84835</v>
      </c>
      <c r="F349">
        <v>0</v>
      </c>
      <c r="G349">
        <v>0</v>
      </c>
      <c r="H349" s="1">
        <v>41806</v>
      </c>
      <c r="I349">
        <v>0</v>
      </c>
      <c r="J349">
        <v>189</v>
      </c>
      <c r="K349">
        <v>104</v>
      </c>
      <c r="L349">
        <v>379</v>
      </c>
      <c r="M349">
        <v>111</v>
      </c>
      <c r="N349">
        <v>189</v>
      </c>
      <c r="O349">
        <v>218</v>
      </c>
      <c r="P349">
        <v>1</v>
      </c>
      <c r="Q349">
        <v>4</v>
      </c>
      <c r="R349">
        <v>4</v>
      </c>
      <c r="S349">
        <v>6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3</v>
      </c>
      <c r="AB349">
        <v>11</v>
      </c>
      <c r="AC349">
        <v>1</v>
      </c>
      <c r="AD349" t="str">
        <f t="shared" si="65"/>
        <v>Ok</v>
      </c>
      <c r="AE349" t="str">
        <f>IF(AND(Audit_Data[[#This Row],[Year_Birth]]&gt;=1900,Audit_Data[[#This Row],[Year_Birth]]&lt;=2010),"OK","Invalid")</f>
        <v>OK</v>
      </c>
      <c r="AF349" t="str">
        <f t="shared" si="66"/>
        <v>Valid</v>
      </c>
      <c r="AG349" t="str">
        <f t="shared" si="67"/>
        <v>Valid</v>
      </c>
      <c r="AH349" t="str">
        <f t="shared" si="68"/>
        <v>Valid</v>
      </c>
      <c r="AI349" t="str">
        <f t="shared" si="69"/>
        <v>Valid</v>
      </c>
      <c r="AJ349" t="str">
        <f t="shared" si="70"/>
        <v>Valid</v>
      </c>
      <c r="AK349" t="str">
        <f t="shared" si="77"/>
        <v xml:space="preserve">Valid </v>
      </c>
      <c r="AL349" t="str">
        <f>IF(AND(Audit_Data[[#This Row],[Recency]]&gt;=0,Audit_Data[[#This Row],[Recency]]&lt;=100),"Valid","Invalid")</f>
        <v>Valid</v>
      </c>
      <c r="AM349" t="str">
        <f t="shared" si="71"/>
        <v>Valid</v>
      </c>
      <c r="AN349" t="str">
        <f t="shared" si="72"/>
        <v>Valid</v>
      </c>
      <c r="AO349" t="str">
        <f t="shared" si="73"/>
        <v>Valid</v>
      </c>
      <c r="AP349" t="str">
        <f t="shared" si="74"/>
        <v>Valid</v>
      </c>
      <c r="AQ349" t="str">
        <f>IF(Audit_Data[[#This Row],[Z_CostContact]]=3,"Valid","Invalid")</f>
        <v>Valid</v>
      </c>
      <c r="AR349" t="str">
        <f t="shared" si="75"/>
        <v>Valid</v>
      </c>
      <c r="AS349" t="str">
        <f t="shared" si="76"/>
        <v>Valid</v>
      </c>
    </row>
    <row r="350" spans="1:45" x14ac:dyDescent="0.3">
      <c r="A350">
        <v>8842</v>
      </c>
      <c r="B350">
        <v>1971</v>
      </c>
      <c r="C350" t="s">
        <v>29</v>
      </c>
      <c r="D350" t="s">
        <v>38</v>
      </c>
      <c r="E350">
        <v>30372</v>
      </c>
      <c r="F350">
        <v>1</v>
      </c>
      <c r="G350">
        <v>1</v>
      </c>
      <c r="H350" s="1">
        <v>41268</v>
      </c>
      <c r="I350">
        <v>33</v>
      </c>
      <c r="J350">
        <v>15</v>
      </c>
      <c r="K350">
        <v>0</v>
      </c>
      <c r="L350">
        <v>12</v>
      </c>
      <c r="M350">
        <v>7</v>
      </c>
      <c r="N350">
        <v>3</v>
      </c>
      <c r="O350">
        <v>7</v>
      </c>
      <c r="P350">
        <v>3</v>
      </c>
      <c r="Q350">
        <v>2</v>
      </c>
      <c r="R350">
        <v>0</v>
      </c>
      <c r="S350">
        <v>3</v>
      </c>
      <c r="T350">
        <v>7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3</v>
      </c>
      <c r="AB350">
        <v>11</v>
      </c>
      <c r="AC350">
        <v>0</v>
      </c>
      <c r="AD350" t="str">
        <f t="shared" si="65"/>
        <v>Ok</v>
      </c>
      <c r="AE350" t="str">
        <f>IF(AND(Audit_Data[[#This Row],[Year_Birth]]&gt;=1900,Audit_Data[[#This Row],[Year_Birth]]&lt;=2010),"OK","Invalid")</f>
        <v>OK</v>
      </c>
      <c r="AF350" t="str">
        <f t="shared" si="66"/>
        <v>Valid</v>
      </c>
      <c r="AG350" t="str">
        <f t="shared" si="67"/>
        <v>Valid</v>
      </c>
      <c r="AH350" t="str">
        <f t="shared" si="68"/>
        <v>Valid</v>
      </c>
      <c r="AI350" t="str">
        <f t="shared" si="69"/>
        <v>Valid</v>
      </c>
      <c r="AJ350" t="str">
        <f t="shared" si="70"/>
        <v>Valid</v>
      </c>
      <c r="AK350" t="str">
        <f t="shared" si="77"/>
        <v xml:space="preserve">Valid </v>
      </c>
      <c r="AL350" t="str">
        <f>IF(AND(Audit_Data[[#This Row],[Recency]]&gt;=0,Audit_Data[[#This Row],[Recency]]&lt;=100),"Valid","Invalid")</f>
        <v>Valid</v>
      </c>
      <c r="AM350" t="str">
        <f t="shared" si="71"/>
        <v>Valid</v>
      </c>
      <c r="AN350" t="str">
        <f t="shared" si="72"/>
        <v>Valid</v>
      </c>
      <c r="AO350" t="str">
        <f t="shared" si="73"/>
        <v>Valid</v>
      </c>
      <c r="AP350" t="str">
        <f t="shared" si="74"/>
        <v>Valid</v>
      </c>
      <c r="AQ350" t="str">
        <f>IF(Audit_Data[[#This Row],[Z_CostContact]]=3,"Valid","Invalid")</f>
        <v>Valid</v>
      </c>
      <c r="AR350" t="str">
        <f t="shared" si="75"/>
        <v>Valid</v>
      </c>
      <c r="AS350" t="str">
        <f t="shared" si="76"/>
        <v>Valid</v>
      </c>
    </row>
    <row r="351" spans="1:45" x14ac:dyDescent="0.3">
      <c r="A351">
        <v>11030</v>
      </c>
      <c r="B351">
        <v>1976</v>
      </c>
      <c r="C351" t="s">
        <v>34</v>
      </c>
      <c r="D351" t="s">
        <v>33</v>
      </c>
      <c r="E351">
        <v>33181</v>
      </c>
      <c r="F351">
        <v>1</v>
      </c>
      <c r="G351">
        <v>0</v>
      </c>
      <c r="H351" s="1">
        <v>41642</v>
      </c>
      <c r="I351">
        <v>90</v>
      </c>
      <c r="J351">
        <v>9</v>
      </c>
      <c r="K351">
        <v>0</v>
      </c>
      <c r="L351">
        <v>3</v>
      </c>
      <c r="M351">
        <v>0</v>
      </c>
      <c r="N351">
        <v>0</v>
      </c>
      <c r="O351">
        <v>4</v>
      </c>
      <c r="P351">
        <v>1</v>
      </c>
      <c r="Q351">
        <v>1</v>
      </c>
      <c r="R351">
        <v>0</v>
      </c>
      <c r="S351">
        <v>2</v>
      </c>
      <c r="T351">
        <v>6</v>
      </c>
      <c r="U351">
        <v>1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3</v>
      </c>
      <c r="AB351">
        <v>11</v>
      </c>
      <c r="AC351">
        <v>0</v>
      </c>
      <c r="AD351" t="str">
        <f t="shared" si="65"/>
        <v>Ok</v>
      </c>
      <c r="AE351" t="str">
        <f>IF(AND(Audit_Data[[#This Row],[Year_Birth]]&gt;=1900,Audit_Data[[#This Row],[Year_Birth]]&lt;=2010),"OK","Invalid")</f>
        <v>OK</v>
      </c>
      <c r="AF351" t="str">
        <f t="shared" si="66"/>
        <v>Valid</v>
      </c>
      <c r="AG351" t="str">
        <f t="shared" si="67"/>
        <v>Valid</v>
      </c>
      <c r="AH351" t="str">
        <f t="shared" si="68"/>
        <v>Valid</v>
      </c>
      <c r="AI351" t="str">
        <f t="shared" si="69"/>
        <v>Valid</v>
      </c>
      <c r="AJ351" t="str">
        <f t="shared" si="70"/>
        <v>Valid</v>
      </c>
      <c r="AK351" t="str">
        <f t="shared" si="77"/>
        <v xml:space="preserve">Valid </v>
      </c>
      <c r="AL351" t="str">
        <f>IF(AND(Audit_Data[[#This Row],[Recency]]&gt;=0,Audit_Data[[#This Row],[Recency]]&lt;=100),"Valid","Invalid")</f>
        <v>Valid</v>
      </c>
      <c r="AM351" t="str">
        <f t="shared" si="71"/>
        <v>Valid</v>
      </c>
      <c r="AN351" t="str">
        <f t="shared" si="72"/>
        <v>Valid</v>
      </c>
      <c r="AO351" t="str">
        <f t="shared" si="73"/>
        <v>Valid</v>
      </c>
      <c r="AP351" t="str">
        <f t="shared" si="74"/>
        <v>Valid</v>
      </c>
      <c r="AQ351" t="str">
        <f>IF(Audit_Data[[#This Row],[Z_CostContact]]=3,"Valid","Invalid")</f>
        <v>Valid</v>
      </c>
      <c r="AR351" t="str">
        <f t="shared" si="75"/>
        <v>Valid</v>
      </c>
      <c r="AS351" t="str">
        <f t="shared" si="76"/>
        <v>Valid</v>
      </c>
    </row>
    <row r="352" spans="1:45" x14ac:dyDescent="0.3">
      <c r="A352">
        <v>2579</v>
      </c>
      <c r="B352">
        <v>1957</v>
      </c>
      <c r="C352" t="s">
        <v>29</v>
      </c>
      <c r="D352" t="s">
        <v>33</v>
      </c>
      <c r="E352">
        <v>71113</v>
      </c>
      <c r="F352">
        <v>0</v>
      </c>
      <c r="G352">
        <v>1</v>
      </c>
      <c r="H352" s="1">
        <v>41625</v>
      </c>
      <c r="I352">
        <v>95</v>
      </c>
      <c r="J352">
        <v>495</v>
      </c>
      <c r="K352">
        <v>33</v>
      </c>
      <c r="L352">
        <v>255</v>
      </c>
      <c r="M352">
        <v>11</v>
      </c>
      <c r="N352">
        <v>33</v>
      </c>
      <c r="O352">
        <v>8</v>
      </c>
      <c r="P352">
        <v>4</v>
      </c>
      <c r="Q352">
        <v>6</v>
      </c>
      <c r="R352">
        <v>7</v>
      </c>
      <c r="S352">
        <v>9</v>
      </c>
      <c r="T352">
        <v>4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3</v>
      </c>
      <c r="AB352">
        <v>11</v>
      </c>
      <c r="AC352">
        <v>0</v>
      </c>
      <c r="AD352" t="str">
        <f t="shared" si="65"/>
        <v>Ok</v>
      </c>
      <c r="AE352" t="str">
        <f>IF(AND(Audit_Data[[#This Row],[Year_Birth]]&gt;=1900,Audit_Data[[#This Row],[Year_Birth]]&lt;=2010),"OK","Invalid")</f>
        <v>OK</v>
      </c>
      <c r="AF352" t="str">
        <f t="shared" si="66"/>
        <v>Valid</v>
      </c>
      <c r="AG352" t="str">
        <f t="shared" si="67"/>
        <v>Valid</v>
      </c>
      <c r="AH352" t="str">
        <f t="shared" si="68"/>
        <v>Valid</v>
      </c>
      <c r="AI352" t="str">
        <f t="shared" si="69"/>
        <v>Valid</v>
      </c>
      <c r="AJ352" t="str">
        <f t="shared" si="70"/>
        <v>Valid</v>
      </c>
      <c r="AK352" t="str">
        <f t="shared" si="77"/>
        <v xml:space="preserve">Valid </v>
      </c>
      <c r="AL352" t="str">
        <f>IF(AND(Audit_Data[[#This Row],[Recency]]&gt;=0,Audit_Data[[#This Row],[Recency]]&lt;=100),"Valid","Invalid")</f>
        <v>Valid</v>
      </c>
      <c r="AM352" t="str">
        <f t="shared" si="71"/>
        <v>Valid</v>
      </c>
      <c r="AN352" t="str">
        <f t="shared" si="72"/>
        <v>Valid</v>
      </c>
      <c r="AO352" t="str">
        <f t="shared" si="73"/>
        <v>Valid</v>
      </c>
      <c r="AP352" t="str">
        <f t="shared" si="74"/>
        <v>Valid</v>
      </c>
      <c r="AQ352" t="str">
        <f>IF(Audit_Data[[#This Row],[Z_CostContact]]=3,"Valid","Invalid")</f>
        <v>Valid</v>
      </c>
      <c r="AR352" t="str">
        <f t="shared" si="75"/>
        <v>Valid</v>
      </c>
      <c r="AS352" t="str">
        <f t="shared" si="76"/>
        <v>Valid</v>
      </c>
    </row>
    <row r="353" spans="1:45" x14ac:dyDescent="0.3">
      <c r="A353">
        <v>175</v>
      </c>
      <c r="B353">
        <v>1986</v>
      </c>
      <c r="C353" t="s">
        <v>29</v>
      </c>
      <c r="D353" t="s">
        <v>33</v>
      </c>
      <c r="E353">
        <v>71952</v>
      </c>
      <c r="F353">
        <v>1</v>
      </c>
      <c r="G353">
        <v>0</v>
      </c>
      <c r="H353" s="1">
        <v>41284</v>
      </c>
      <c r="I353">
        <v>93</v>
      </c>
      <c r="J353">
        <v>656</v>
      </c>
      <c r="K353">
        <v>80</v>
      </c>
      <c r="L353">
        <v>455</v>
      </c>
      <c r="M353">
        <v>52</v>
      </c>
      <c r="N353">
        <v>107</v>
      </c>
      <c r="O353">
        <v>93</v>
      </c>
      <c r="P353">
        <v>2</v>
      </c>
      <c r="Q353">
        <v>8</v>
      </c>
      <c r="R353">
        <v>4</v>
      </c>
      <c r="S353">
        <v>8</v>
      </c>
      <c r="T353">
        <v>4</v>
      </c>
      <c r="U353">
        <v>1</v>
      </c>
      <c r="V353">
        <v>0</v>
      </c>
      <c r="W353">
        <v>1</v>
      </c>
      <c r="X353">
        <v>0</v>
      </c>
      <c r="Y353">
        <v>0</v>
      </c>
      <c r="Z353">
        <v>0</v>
      </c>
      <c r="AA353">
        <v>3</v>
      </c>
      <c r="AB353">
        <v>11</v>
      </c>
      <c r="AC353">
        <v>0</v>
      </c>
      <c r="AD353" t="str">
        <f t="shared" si="65"/>
        <v>Ok</v>
      </c>
      <c r="AE353" t="str">
        <f>IF(AND(Audit_Data[[#This Row],[Year_Birth]]&gt;=1900,Audit_Data[[#This Row],[Year_Birth]]&lt;=2010),"OK","Invalid")</f>
        <v>OK</v>
      </c>
      <c r="AF353" t="str">
        <f t="shared" si="66"/>
        <v>Valid</v>
      </c>
      <c r="AG353" t="str">
        <f t="shared" si="67"/>
        <v>Valid</v>
      </c>
      <c r="AH353" t="str">
        <f t="shared" si="68"/>
        <v>Valid</v>
      </c>
      <c r="AI353" t="str">
        <f t="shared" si="69"/>
        <v>Valid</v>
      </c>
      <c r="AJ353" t="str">
        <f t="shared" si="70"/>
        <v>Valid</v>
      </c>
      <c r="AK353" t="str">
        <f t="shared" si="77"/>
        <v xml:space="preserve">Valid </v>
      </c>
      <c r="AL353" t="str">
        <f>IF(AND(Audit_Data[[#This Row],[Recency]]&gt;=0,Audit_Data[[#This Row],[Recency]]&lt;=100),"Valid","Invalid")</f>
        <v>Valid</v>
      </c>
      <c r="AM353" t="str">
        <f t="shared" si="71"/>
        <v>Valid</v>
      </c>
      <c r="AN353" t="str">
        <f t="shared" si="72"/>
        <v>Valid</v>
      </c>
      <c r="AO353" t="str">
        <f t="shared" si="73"/>
        <v>Valid</v>
      </c>
      <c r="AP353" t="str">
        <f t="shared" si="74"/>
        <v>Valid</v>
      </c>
      <c r="AQ353" t="str">
        <f>IF(Audit_Data[[#This Row],[Z_CostContact]]=3,"Valid","Invalid")</f>
        <v>Valid</v>
      </c>
      <c r="AR353" t="str">
        <f t="shared" si="75"/>
        <v>Valid</v>
      </c>
      <c r="AS353" t="str">
        <f t="shared" si="76"/>
        <v>Valid</v>
      </c>
    </row>
    <row r="354" spans="1:45" x14ac:dyDescent="0.3">
      <c r="A354">
        <v>9185</v>
      </c>
      <c r="B354">
        <v>1966</v>
      </c>
      <c r="C354" t="s">
        <v>32</v>
      </c>
      <c r="D354" t="s">
        <v>30</v>
      </c>
      <c r="E354">
        <v>69759</v>
      </c>
      <c r="F354">
        <v>0</v>
      </c>
      <c r="G354">
        <v>0</v>
      </c>
      <c r="H354" s="1">
        <v>41575</v>
      </c>
      <c r="I354">
        <v>38</v>
      </c>
      <c r="J354">
        <v>452</v>
      </c>
      <c r="K354">
        <v>20</v>
      </c>
      <c r="L354">
        <v>514</v>
      </c>
      <c r="M354">
        <v>13</v>
      </c>
      <c r="N354">
        <v>30</v>
      </c>
      <c r="O354">
        <v>0</v>
      </c>
      <c r="P354">
        <v>3</v>
      </c>
      <c r="Q354">
        <v>4</v>
      </c>
      <c r="R354">
        <v>6</v>
      </c>
      <c r="S354">
        <v>5</v>
      </c>
      <c r="T354">
        <v>3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3</v>
      </c>
      <c r="AB354">
        <v>11</v>
      </c>
      <c r="AC354">
        <v>1</v>
      </c>
      <c r="AD354" t="str">
        <f t="shared" si="65"/>
        <v>Ok</v>
      </c>
      <c r="AE354" t="str">
        <f>IF(AND(Audit_Data[[#This Row],[Year_Birth]]&gt;=1900,Audit_Data[[#This Row],[Year_Birth]]&lt;=2010),"OK","Invalid")</f>
        <v>OK</v>
      </c>
      <c r="AF354" t="str">
        <f t="shared" si="66"/>
        <v>Valid</v>
      </c>
      <c r="AG354" t="str">
        <f t="shared" si="67"/>
        <v>Valid</v>
      </c>
      <c r="AH354" t="str">
        <f t="shared" si="68"/>
        <v>Valid</v>
      </c>
      <c r="AI354" t="str">
        <f t="shared" si="69"/>
        <v>Valid</v>
      </c>
      <c r="AJ354" t="str">
        <f t="shared" si="70"/>
        <v>Valid</v>
      </c>
      <c r="AK354" t="str">
        <f t="shared" si="77"/>
        <v xml:space="preserve">Valid </v>
      </c>
      <c r="AL354" t="str">
        <f>IF(AND(Audit_Data[[#This Row],[Recency]]&gt;=0,Audit_Data[[#This Row],[Recency]]&lt;=100),"Valid","Invalid")</f>
        <v>Valid</v>
      </c>
      <c r="AM354" t="str">
        <f t="shared" si="71"/>
        <v>Valid</v>
      </c>
      <c r="AN354" t="str">
        <f t="shared" si="72"/>
        <v>Valid</v>
      </c>
      <c r="AO354" t="str">
        <f t="shared" si="73"/>
        <v>Valid</v>
      </c>
      <c r="AP354" t="str">
        <f t="shared" si="74"/>
        <v>Valid</v>
      </c>
      <c r="AQ354" t="str">
        <f>IF(Audit_Data[[#This Row],[Z_CostContact]]=3,"Valid","Invalid")</f>
        <v>Valid</v>
      </c>
      <c r="AR354" t="str">
        <f t="shared" si="75"/>
        <v>Valid</v>
      </c>
      <c r="AS354" t="str">
        <f t="shared" si="76"/>
        <v>Valid</v>
      </c>
    </row>
    <row r="355" spans="1:45" x14ac:dyDescent="0.3">
      <c r="A355">
        <v>11056</v>
      </c>
      <c r="B355">
        <v>1974</v>
      </c>
      <c r="C355" t="s">
        <v>29</v>
      </c>
      <c r="D355" t="s">
        <v>33</v>
      </c>
      <c r="E355">
        <v>72099</v>
      </c>
      <c r="F355">
        <v>0</v>
      </c>
      <c r="G355">
        <v>0</v>
      </c>
      <c r="H355" s="1">
        <v>41209</v>
      </c>
      <c r="I355">
        <v>18</v>
      </c>
      <c r="J355">
        <v>546</v>
      </c>
      <c r="K355">
        <v>91</v>
      </c>
      <c r="L355">
        <v>410</v>
      </c>
      <c r="M355">
        <v>119</v>
      </c>
      <c r="N355">
        <v>0</v>
      </c>
      <c r="O355">
        <v>22</v>
      </c>
      <c r="P355">
        <v>1</v>
      </c>
      <c r="Q355">
        <v>3</v>
      </c>
      <c r="R355">
        <v>4</v>
      </c>
      <c r="S355">
        <v>10</v>
      </c>
      <c r="T355">
        <v>1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3</v>
      </c>
      <c r="AB355">
        <v>11</v>
      </c>
      <c r="AC355">
        <v>0</v>
      </c>
      <c r="AD355" t="str">
        <f t="shared" si="65"/>
        <v>Ok</v>
      </c>
      <c r="AE355" t="str">
        <f>IF(AND(Audit_Data[[#This Row],[Year_Birth]]&gt;=1900,Audit_Data[[#This Row],[Year_Birth]]&lt;=2010),"OK","Invalid")</f>
        <v>OK</v>
      </c>
      <c r="AF355" t="str">
        <f t="shared" si="66"/>
        <v>Valid</v>
      </c>
      <c r="AG355" t="str">
        <f t="shared" si="67"/>
        <v>Valid</v>
      </c>
      <c r="AH355" t="str">
        <f t="shared" si="68"/>
        <v>Valid</v>
      </c>
      <c r="AI355" t="str">
        <f t="shared" si="69"/>
        <v>Valid</v>
      </c>
      <c r="AJ355" t="str">
        <f t="shared" si="70"/>
        <v>Valid</v>
      </c>
      <c r="AK355" t="str">
        <f t="shared" si="77"/>
        <v xml:space="preserve">Valid </v>
      </c>
      <c r="AL355" t="str">
        <f>IF(AND(Audit_Data[[#This Row],[Recency]]&gt;=0,Audit_Data[[#This Row],[Recency]]&lt;=100),"Valid","Invalid")</f>
        <v>Valid</v>
      </c>
      <c r="AM355" t="str">
        <f t="shared" si="71"/>
        <v>Valid</v>
      </c>
      <c r="AN355" t="str">
        <f t="shared" si="72"/>
        <v>Valid</v>
      </c>
      <c r="AO355" t="str">
        <f t="shared" si="73"/>
        <v>Valid</v>
      </c>
      <c r="AP355" t="str">
        <f t="shared" si="74"/>
        <v>Valid</v>
      </c>
      <c r="AQ355" t="str">
        <f>IF(Audit_Data[[#This Row],[Z_CostContact]]=3,"Valid","Invalid")</f>
        <v>Valid</v>
      </c>
      <c r="AR355" t="str">
        <f t="shared" si="75"/>
        <v>Valid</v>
      </c>
      <c r="AS355" t="str">
        <f t="shared" si="76"/>
        <v>Valid</v>
      </c>
    </row>
    <row r="356" spans="1:45" x14ac:dyDescent="0.3">
      <c r="A356">
        <v>9365</v>
      </c>
      <c r="B356">
        <v>1976</v>
      </c>
      <c r="C356" t="s">
        <v>32</v>
      </c>
      <c r="D356" t="s">
        <v>30</v>
      </c>
      <c r="E356">
        <v>60000</v>
      </c>
      <c r="F356">
        <v>0</v>
      </c>
      <c r="G356">
        <v>1</v>
      </c>
      <c r="H356" s="1">
        <v>41265</v>
      </c>
      <c r="I356">
        <v>57</v>
      </c>
      <c r="J356">
        <v>1048</v>
      </c>
      <c r="K356">
        <v>0</v>
      </c>
      <c r="L356">
        <v>217</v>
      </c>
      <c r="M356">
        <v>0</v>
      </c>
      <c r="N356">
        <v>0</v>
      </c>
      <c r="O356">
        <v>12</v>
      </c>
      <c r="P356">
        <v>5</v>
      </c>
      <c r="Q356">
        <v>11</v>
      </c>
      <c r="R356">
        <v>3</v>
      </c>
      <c r="S356">
        <v>5</v>
      </c>
      <c r="T356">
        <v>6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3</v>
      </c>
      <c r="AB356">
        <v>11</v>
      </c>
      <c r="AC356">
        <v>0</v>
      </c>
      <c r="AD356" t="str">
        <f t="shared" si="65"/>
        <v>Ok</v>
      </c>
      <c r="AE356" t="str">
        <f>IF(AND(Audit_Data[[#This Row],[Year_Birth]]&gt;=1900,Audit_Data[[#This Row],[Year_Birth]]&lt;=2010),"OK","Invalid")</f>
        <v>OK</v>
      </c>
      <c r="AF356" t="str">
        <f t="shared" si="66"/>
        <v>Valid</v>
      </c>
      <c r="AG356" t="str">
        <f t="shared" si="67"/>
        <v>Valid</v>
      </c>
      <c r="AH356" t="str">
        <f t="shared" si="68"/>
        <v>Valid</v>
      </c>
      <c r="AI356" t="str">
        <f t="shared" si="69"/>
        <v>Valid</v>
      </c>
      <c r="AJ356" t="str">
        <f t="shared" si="70"/>
        <v>Valid</v>
      </c>
      <c r="AK356" t="str">
        <f t="shared" si="77"/>
        <v xml:space="preserve">Valid </v>
      </c>
      <c r="AL356" t="str">
        <f>IF(AND(Audit_Data[[#This Row],[Recency]]&gt;=0,Audit_Data[[#This Row],[Recency]]&lt;=100),"Valid","Invalid")</f>
        <v>Valid</v>
      </c>
      <c r="AM356" t="str">
        <f t="shared" si="71"/>
        <v>Valid</v>
      </c>
      <c r="AN356" t="str">
        <f t="shared" si="72"/>
        <v>Valid</v>
      </c>
      <c r="AO356" t="str">
        <f t="shared" si="73"/>
        <v>Valid</v>
      </c>
      <c r="AP356" t="str">
        <f t="shared" si="74"/>
        <v>Valid</v>
      </c>
      <c r="AQ356" t="str">
        <f>IF(Audit_Data[[#This Row],[Z_CostContact]]=3,"Valid","Invalid")</f>
        <v>Valid</v>
      </c>
      <c r="AR356" t="str">
        <f t="shared" si="75"/>
        <v>Valid</v>
      </c>
      <c r="AS356" t="str">
        <f t="shared" si="76"/>
        <v>Valid</v>
      </c>
    </row>
    <row r="357" spans="1:45" x14ac:dyDescent="0.3">
      <c r="A357">
        <v>6201</v>
      </c>
      <c r="B357">
        <v>1978</v>
      </c>
      <c r="C357" t="s">
        <v>29</v>
      </c>
      <c r="D357" t="s">
        <v>30</v>
      </c>
      <c r="E357">
        <v>38643</v>
      </c>
      <c r="F357">
        <v>1</v>
      </c>
      <c r="G357">
        <v>1</v>
      </c>
      <c r="H357" s="1">
        <v>41607</v>
      </c>
      <c r="I357">
        <v>45</v>
      </c>
      <c r="J357">
        <v>22</v>
      </c>
      <c r="K357">
        <v>2</v>
      </c>
      <c r="L357">
        <v>14</v>
      </c>
      <c r="M357">
        <v>0</v>
      </c>
      <c r="N357">
        <v>1</v>
      </c>
      <c r="O357">
        <v>10</v>
      </c>
      <c r="P357">
        <v>2</v>
      </c>
      <c r="Q357">
        <v>2</v>
      </c>
      <c r="R357">
        <v>0</v>
      </c>
      <c r="S357">
        <v>3</v>
      </c>
      <c r="T357">
        <v>7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3</v>
      </c>
      <c r="AB357">
        <v>11</v>
      </c>
      <c r="AC357">
        <v>0</v>
      </c>
      <c r="AD357" t="str">
        <f t="shared" si="65"/>
        <v>Ok</v>
      </c>
      <c r="AE357" t="str">
        <f>IF(AND(Audit_Data[[#This Row],[Year_Birth]]&gt;=1900,Audit_Data[[#This Row],[Year_Birth]]&lt;=2010),"OK","Invalid")</f>
        <v>OK</v>
      </c>
      <c r="AF357" t="str">
        <f t="shared" si="66"/>
        <v>Valid</v>
      </c>
      <c r="AG357" t="str">
        <f t="shared" si="67"/>
        <v>Valid</v>
      </c>
      <c r="AH357" t="str">
        <f t="shared" si="68"/>
        <v>Valid</v>
      </c>
      <c r="AI357" t="str">
        <f t="shared" si="69"/>
        <v>Valid</v>
      </c>
      <c r="AJ357" t="str">
        <f t="shared" si="70"/>
        <v>Valid</v>
      </c>
      <c r="AK357" t="str">
        <f t="shared" si="77"/>
        <v xml:space="preserve">Valid </v>
      </c>
      <c r="AL357" t="str">
        <f>IF(AND(Audit_Data[[#This Row],[Recency]]&gt;=0,Audit_Data[[#This Row],[Recency]]&lt;=100),"Valid","Invalid")</f>
        <v>Valid</v>
      </c>
      <c r="AM357" t="str">
        <f t="shared" si="71"/>
        <v>Valid</v>
      </c>
      <c r="AN357" t="str">
        <f t="shared" si="72"/>
        <v>Valid</v>
      </c>
      <c r="AO357" t="str">
        <f t="shared" si="73"/>
        <v>Valid</v>
      </c>
      <c r="AP357" t="str">
        <f t="shared" si="74"/>
        <v>Valid</v>
      </c>
      <c r="AQ357" t="str">
        <f>IF(Audit_Data[[#This Row],[Z_CostContact]]=3,"Valid","Invalid")</f>
        <v>Valid</v>
      </c>
      <c r="AR357" t="str">
        <f t="shared" si="75"/>
        <v>Valid</v>
      </c>
      <c r="AS357" t="str">
        <f t="shared" si="76"/>
        <v>Valid</v>
      </c>
    </row>
    <row r="358" spans="1:45" x14ac:dyDescent="0.3">
      <c r="A358">
        <v>2061</v>
      </c>
      <c r="B358">
        <v>1955</v>
      </c>
      <c r="C358" t="s">
        <v>29</v>
      </c>
      <c r="D358" t="s">
        <v>33</v>
      </c>
      <c r="E358">
        <v>50737</v>
      </c>
      <c r="F358">
        <v>0</v>
      </c>
      <c r="G358">
        <v>1</v>
      </c>
      <c r="H358" s="1">
        <v>41405</v>
      </c>
      <c r="I358">
        <v>61</v>
      </c>
      <c r="J358">
        <v>78</v>
      </c>
      <c r="K358">
        <v>0</v>
      </c>
      <c r="L358">
        <v>11</v>
      </c>
      <c r="M358">
        <v>0</v>
      </c>
      <c r="N358">
        <v>0</v>
      </c>
      <c r="O358">
        <v>10</v>
      </c>
      <c r="P358">
        <v>1</v>
      </c>
      <c r="Q358">
        <v>2</v>
      </c>
      <c r="R358">
        <v>0</v>
      </c>
      <c r="S358">
        <v>4</v>
      </c>
      <c r="T358">
        <v>6</v>
      </c>
      <c r="U358">
        <v>0</v>
      </c>
      <c r="V358">
        <v>1</v>
      </c>
      <c r="W358">
        <v>0</v>
      </c>
      <c r="X358">
        <v>0</v>
      </c>
      <c r="Y358">
        <v>0</v>
      </c>
      <c r="Z358">
        <v>0</v>
      </c>
      <c r="AA358">
        <v>3</v>
      </c>
      <c r="AB358">
        <v>11</v>
      </c>
      <c r="AC358">
        <v>0</v>
      </c>
      <c r="AD358" t="str">
        <f t="shared" si="65"/>
        <v>Ok</v>
      </c>
      <c r="AE358" t="str">
        <f>IF(AND(Audit_Data[[#This Row],[Year_Birth]]&gt;=1900,Audit_Data[[#This Row],[Year_Birth]]&lt;=2010),"OK","Invalid")</f>
        <v>OK</v>
      </c>
      <c r="AF358" t="str">
        <f t="shared" si="66"/>
        <v>Valid</v>
      </c>
      <c r="AG358" t="str">
        <f t="shared" si="67"/>
        <v>Valid</v>
      </c>
      <c r="AH358" t="str">
        <f t="shared" si="68"/>
        <v>Valid</v>
      </c>
      <c r="AI358" t="str">
        <f t="shared" si="69"/>
        <v>Valid</v>
      </c>
      <c r="AJ358" t="str">
        <f t="shared" si="70"/>
        <v>Valid</v>
      </c>
      <c r="AK358" t="str">
        <f t="shared" si="77"/>
        <v xml:space="preserve">Valid </v>
      </c>
      <c r="AL358" t="str">
        <f>IF(AND(Audit_Data[[#This Row],[Recency]]&gt;=0,Audit_Data[[#This Row],[Recency]]&lt;=100),"Valid","Invalid")</f>
        <v>Valid</v>
      </c>
      <c r="AM358" t="str">
        <f t="shared" si="71"/>
        <v>Valid</v>
      </c>
      <c r="AN358" t="str">
        <f t="shared" si="72"/>
        <v>Valid</v>
      </c>
      <c r="AO358" t="str">
        <f t="shared" si="73"/>
        <v>Valid</v>
      </c>
      <c r="AP358" t="str">
        <f t="shared" si="74"/>
        <v>Valid</v>
      </c>
      <c r="AQ358" t="str">
        <f>IF(Audit_Data[[#This Row],[Z_CostContact]]=3,"Valid","Invalid")</f>
        <v>Valid</v>
      </c>
      <c r="AR358" t="str">
        <f t="shared" si="75"/>
        <v>Valid</v>
      </c>
      <c r="AS358" t="str">
        <f t="shared" si="76"/>
        <v>Valid</v>
      </c>
    </row>
    <row r="359" spans="1:45" x14ac:dyDescent="0.3">
      <c r="A359">
        <v>6184</v>
      </c>
      <c r="B359">
        <v>1969</v>
      </c>
      <c r="C359" t="s">
        <v>32</v>
      </c>
      <c r="D359" t="s">
        <v>33</v>
      </c>
      <c r="E359">
        <v>68462</v>
      </c>
      <c r="F359">
        <v>0</v>
      </c>
      <c r="G359">
        <v>0</v>
      </c>
      <c r="H359" s="1">
        <v>41255</v>
      </c>
      <c r="I359">
        <v>6</v>
      </c>
      <c r="J359">
        <v>561</v>
      </c>
      <c r="K359">
        <v>64</v>
      </c>
      <c r="L359">
        <v>785</v>
      </c>
      <c r="M359">
        <v>84</v>
      </c>
      <c r="N359">
        <v>128</v>
      </c>
      <c r="O359">
        <v>48</v>
      </c>
      <c r="P359">
        <v>1</v>
      </c>
      <c r="Q359">
        <v>3</v>
      </c>
      <c r="R359">
        <v>3</v>
      </c>
      <c r="S359">
        <v>8</v>
      </c>
      <c r="T359">
        <v>1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3</v>
      </c>
      <c r="AB359">
        <v>11</v>
      </c>
      <c r="AC359">
        <v>0</v>
      </c>
      <c r="AD359" t="str">
        <f t="shared" si="65"/>
        <v>Ok</v>
      </c>
      <c r="AE359" t="str">
        <f>IF(AND(Audit_Data[[#This Row],[Year_Birth]]&gt;=1900,Audit_Data[[#This Row],[Year_Birth]]&lt;=2010),"OK","Invalid")</f>
        <v>OK</v>
      </c>
      <c r="AF359" t="str">
        <f t="shared" si="66"/>
        <v>Valid</v>
      </c>
      <c r="AG359" t="str">
        <f t="shared" si="67"/>
        <v>Valid</v>
      </c>
      <c r="AH359" t="str">
        <f t="shared" si="68"/>
        <v>Valid</v>
      </c>
      <c r="AI359" t="str">
        <f t="shared" si="69"/>
        <v>Valid</v>
      </c>
      <c r="AJ359" t="str">
        <f t="shared" si="70"/>
        <v>Valid</v>
      </c>
      <c r="AK359" t="str">
        <f t="shared" si="77"/>
        <v xml:space="preserve">Valid </v>
      </c>
      <c r="AL359" t="str">
        <f>IF(AND(Audit_Data[[#This Row],[Recency]]&gt;=0,Audit_Data[[#This Row],[Recency]]&lt;=100),"Valid","Invalid")</f>
        <v>Valid</v>
      </c>
      <c r="AM359" t="str">
        <f t="shared" si="71"/>
        <v>Valid</v>
      </c>
      <c r="AN359" t="str">
        <f t="shared" si="72"/>
        <v>Valid</v>
      </c>
      <c r="AO359" t="str">
        <f t="shared" si="73"/>
        <v>Valid</v>
      </c>
      <c r="AP359" t="str">
        <f t="shared" si="74"/>
        <v>Valid</v>
      </c>
      <c r="AQ359" t="str">
        <f>IF(Audit_Data[[#This Row],[Z_CostContact]]=3,"Valid","Invalid")</f>
        <v>Valid</v>
      </c>
      <c r="AR359" t="str">
        <f t="shared" si="75"/>
        <v>Valid</v>
      </c>
      <c r="AS359" t="str">
        <f t="shared" si="76"/>
        <v>Valid</v>
      </c>
    </row>
    <row r="360" spans="1:45" x14ac:dyDescent="0.3">
      <c r="A360">
        <v>6142</v>
      </c>
      <c r="B360">
        <v>1943</v>
      </c>
      <c r="C360" t="s">
        <v>34</v>
      </c>
      <c r="D360" t="s">
        <v>33</v>
      </c>
      <c r="E360">
        <v>65073</v>
      </c>
      <c r="F360">
        <v>0</v>
      </c>
      <c r="G360">
        <v>0</v>
      </c>
      <c r="H360" s="1">
        <v>41506</v>
      </c>
      <c r="I360">
        <v>65</v>
      </c>
      <c r="J360">
        <v>629</v>
      </c>
      <c r="K360">
        <v>17</v>
      </c>
      <c r="L360">
        <v>177</v>
      </c>
      <c r="M360">
        <v>69</v>
      </c>
      <c r="N360">
        <v>0</v>
      </c>
      <c r="O360">
        <v>8</v>
      </c>
      <c r="P360">
        <v>1</v>
      </c>
      <c r="Q360">
        <v>5</v>
      </c>
      <c r="R360">
        <v>3</v>
      </c>
      <c r="S360">
        <v>5</v>
      </c>
      <c r="T360">
        <v>2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v>3</v>
      </c>
      <c r="AB360">
        <v>11</v>
      </c>
      <c r="AC360">
        <v>0</v>
      </c>
      <c r="AD360" t="str">
        <f t="shared" si="65"/>
        <v>Ok</v>
      </c>
      <c r="AE360" t="str">
        <f>IF(AND(Audit_Data[[#This Row],[Year_Birth]]&gt;=1900,Audit_Data[[#This Row],[Year_Birth]]&lt;=2010),"OK","Invalid")</f>
        <v>OK</v>
      </c>
      <c r="AF360" t="str">
        <f t="shared" si="66"/>
        <v>Valid</v>
      </c>
      <c r="AG360" t="str">
        <f t="shared" si="67"/>
        <v>Valid</v>
      </c>
      <c r="AH360" t="str">
        <f t="shared" si="68"/>
        <v>Valid</v>
      </c>
      <c r="AI360" t="str">
        <f t="shared" si="69"/>
        <v>Valid</v>
      </c>
      <c r="AJ360" t="str">
        <f t="shared" si="70"/>
        <v>Valid</v>
      </c>
      <c r="AK360" t="str">
        <f t="shared" si="77"/>
        <v xml:space="preserve">Valid </v>
      </c>
      <c r="AL360" t="str">
        <f>IF(AND(Audit_Data[[#This Row],[Recency]]&gt;=0,Audit_Data[[#This Row],[Recency]]&lt;=100),"Valid","Invalid")</f>
        <v>Valid</v>
      </c>
      <c r="AM360" t="str">
        <f t="shared" si="71"/>
        <v>Valid</v>
      </c>
      <c r="AN360" t="str">
        <f t="shared" si="72"/>
        <v>Valid</v>
      </c>
      <c r="AO360" t="str">
        <f t="shared" si="73"/>
        <v>Valid</v>
      </c>
      <c r="AP360" t="str">
        <f t="shared" si="74"/>
        <v>Valid</v>
      </c>
      <c r="AQ360" t="str">
        <f>IF(Audit_Data[[#This Row],[Z_CostContact]]=3,"Valid","Invalid")</f>
        <v>Valid</v>
      </c>
      <c r="AR360" t="str">
        <f t="shared" si="75"/>
        <v>Valid</v>
      </c>
      <c r="AS360" t="str">
        <f t="shared" si="76"/>
        <v>Valid</v>
      </c>
    </row>
    <row r="361" spans="1:45" x14ac:dyDescent="0.3">
      <c r="A361">
        <v>4107</v>
      </c>
      <c r="B361">
        <v>1948</v>
      </c>
      <c r="C361" t="s">
        <v>32</v>
      </c>
      <c r="D361" t="s">
        <v>31</v>
      </c>
      <c r="E361">
        <v>46681</v>
      </c>
      <c r="F361">
        <v>0</v>
      </c>
      <c r="G361">
        <v>2</v>
      </c>
      <c r="H361" s="1">
        <v>41555</v>
      </c>
      <c r="I361">
        <v>52</v>
      </c>
      <c r="J361">
        <v>269</v>
      </c>
      <c r="K361">
        <v>15</v>
      </c>
      <c r="L361">
        <v>69</v>
      </c>
      <c r="M361">
        <v>15</v>
      </c>
      <c r="N361">
        <v>19</v>
      </c>
      <c r="O361">
        <v>38</v>
      </c>
      <c r="P361">
        <v>2</v>
      </c>
      <c r="Q361">
        <v>4</v>
      </c>
      <c r="R361">
        <v>6</v>
      </c>
      <c r="S361">
        <v>4</v>
      </c>
      <c r="T361">
        <v>5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3</v>
      </c>
      <c r="AB361">
        <v>11</v>
      </c>
      <c r="AC361">
        <v>0</v>
      </c>
      <c r="AD361" t="str">
        <f t="shared" si="65"/>
        <v>Ok</v>
      </c>
      <c r="AE361" t="str">
        <f>IF(AND(Audit_Data[[#This Row],[Year_Birth]]&gt;=1900,Audit_Data[[#This Row],[Year_Birth]]&lt;=2010),"OK","Invalid")</f>
        <v>OK</v>
      </c>
      <c r="AF361" t="str">
        <f t="shared" si="66"/>
        <v>Valid</v>
      </c>
      <c r="AG361" t="str">
        <f t="shared" si="67"/>
        <v>Valid</v>
      </c>
      <c r="AH361" t="str">
        <f t="shared" si="68"/>
        <v>Valid</v>
      </c>
      <c r="AI361" t="str">
        <f t="shared" si="69"/>
        <v>Valid</v>
      </c>
      <c r="AJ361" t="str">
        <f t="shared" si="70"/>
        <v>Valid</v>
      </c>
      <c r="AK361" t="str">
        <f t="shared" si="77"/>
        <v xml:space="preserve">Valid </v>
      </c>
      <c r="AL361" t="str">
        <f>IF(AND(Audit_Data[[#This Row],[Recency]]&gt;=0,Audit_Data[[#This Row],[Recency]]&lt;=100),"Valid","Invalid")</f>
        <v>Valid</v>
      </c>
      <c r="AM361" t="str">
        <f t="shared" si="71"/>
        <v>Valid</v>
      </c>
      <c r="AN361" t="str">
        <f t="shared" si="72"/>
        <v>Valid</v>
      </c>
      <c r="AO361" t="str">
        <f t="shared" si="73"/>
        <v>Valid</v>
      </c>
      <c r="AP361" t="str">
        <f t="shared" si="74"/>
        <v>Valid</v>
      </c>
      <c r="AQ361" t="str">
        <f>IF(Audit_Data[[#This Row],[Z_CostContact]]=3,"Valid","Invalid")</f>
        <v>Valid</v>
      </c>
      <c r="AR361" t="str">
        <f t="shared" si="75"/>
        <v>Valid</v>
      </c>
      <c r="AS361" t="str">
        <f t="shared" si="76"/>
        <v>Valid</v>
      </c>
    </row>
    <row r="362" spans="1:45" x14ac:dyDescent="0.3">
      <c r="A362">
        <v>7274</v>
      </c>
      <c r="B362">
        <v>1957</v>
      </c>
      <c r="C362" t="s">
        <v>29</v>
      </c>
      <c r="D362" t="s">
        <v>33</v>
      </c>
      <c r="E362">
        <v>78618</v>
      </c>
      <c r="F362">
        <v>0</v>
      </c>
      <c r="G362">
        <v>0</v>
      </c>
      <c r="H362" s="1">
        <v>41180</v>
      </c>
      <c r="I362">
        <v>87</v>
      </c>
      <c r="J362">
        <v>736</v>
      </c>
      <c r="K362">
        <v>163</v>
      </c>
      <c r="L362">
        <v>818</v>
      </c>
      <c r="M362">
        <v>212</v>
      </c>
      <c r="N362">
        <v>163</v>
      </c>
      <c r="O362">
        <v>61</v>
      </c>
      <c r="P362">
        <v>1</v>
      </c>
      <c r="Q362">
        <v>4</v>
      </c>
      <c r="R362">
        <v>7</v>
      </c>
      <c r="S362">
        <v>10</v>
      </c>
      <c r="T362">
        <v>2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3</v>
      </c>
      <c r="AB362">
        <v>11</v>
      </c>
      <c r="AC362">
        <v>0</v>
      </c>
      <c r="AD362" t="str">
        <f t="shared" si="65"/>
        <v>Ok</v>
      </c>
      <c r="AE362" t="str">
        <f>IF(AND(Audit_Data[[#This Row],[Year_Birth]]&gt;=1900,Audit_Data[[#This Row],[Year_Birth]]&lt;=2010),"OK","Invalid")</f>
        <v>OK</v>
      </c>
      <c r="AF362" t="str">
        <f t="shared" si="66"/>
        <v>Valid</v>
      </c>
      <c r="AG362" t="str">
        <f t="shared" si="67"/>
        <v>Valid</v>
      </c>
      <c r="AH362" t="str">
        <f t="shared" si="68"/>
        <v>Valid</v>
      </c>
      <c r="AI362" t="str">
        <f t="shared" si="69"/>
        <v>Valid</v>
      </c>
      <c r="AJ362" t="str">
        <f t="shared" si="70"/>
        <v>Valid</v>
      </c>
      <c r="AK362" t="str">
        <f t="shared" si="77"/>
        <v xml:space="preserve">Valid </v>
      </c>
      <c r="AL362" t="str">
        <f>IF(AND(Audit_Data[[#This Row],[Recency]]&gt;=0,Audit_Data[[#This Row],[Recency]]&lt;=100),"Valid","Invalid")</f>
        <v>Valid</v>
      </c>
      <c r="AM362" t="str">
        <f t="shared" si="71"/>
        <v>Valid</v>
      </c>
      <c r="AN362" t="str">
        <f t="shared" si="72"/>
        <v>Valid</v>
      </c>
      <c r="AO362" t="str">
        <f t="shared" si="73"/>
        <v>Valid</v>
      </c>
      <c r="AP362" t="str">
        <f t="shared" si="74"/>
        <v>Valid</v>
      </c>
      <c r="AQ362" t="str">
        <f>IF(Audit_Data[[#This Row],[Z_CostContact]]=3,"Valid","Invalid")</f>
        <v>Valid</v>
      </c>
      <c r="AR362" t="str">
        <f t="shared" si="75"/>
        <v>Valid</v>
      </c>
      <c r="AS362" t="str">
        <f t="shared" si="76"/>
        <v>Valid</v>
      </c>
    </row>
    <row r="363" spans="1:45" x14ac:dyDescent="0.3">
      <c r="A363">
        <v>9336</v>
      </c>
      <c r="B363">
        <v>1969</v>
      </c>
      <c r="C363" t="s">
        <v>32</v>
      </c>
      <c r="D363" t="s">
        <v>38</v>
      </c>
      <c r="E363">
        <v>62187</v>
      </c>
      <c r="F363">
        <v>0</v>
      </c>
      <c r="G363">
        <v>1</v>
      </c>
      <c r="H363" s="1">
        <v>41720</v>
      </c>
      <c r="I363">
        <v>38</v>
      </c>
      <c r="J363">
        <v>512</v>
      </c>
      <c r="K363">
        <v>0</v>
      </c>
      <c r="L363">
        <v>83</v>
      </c>
      <c r="M363">
        <v>0</v>
      </c>
      <c r="N363">
        <v>0</v>
      </c>
      <c r="O363">
        <v>41</v>
      </c>
      <c r="P363">
        <v>3</v>
      </c>
      <c r="Q363">
        <v>6</v>
      </c>
      <c r="R363">
        <v>2</v>
      </c>
      <c r="S363">
        <v>10</v>
      </c>
      <c r="T363">
        <v>4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3</v>
      </c>
      <c r="AB363">
        <v>11</v>
      </c>
      <c r="AC363">
        <v>0</v>
      </c>
      <c r="AD363" t="str">
        <f t="shared" si="65"/>
        <v>Ok</v>
      </c>
      <c r="AE363" t="str">
        <f>IF(AND(Audit_Data[[#This Row],[Year_Birth]]&gt;=1900,Audit_Data[[#This Row],[Year_Birth]]&lt;=2010),"OK","Invalid")</f>
        <v>OK</v>
      </c>
      <c r="AF363" t="str">
        <f t="shared" si="66"/>
        <v>Valid</v>
      </c>
      <c r="AG363" t="str">
        <f t="shared" si="67"/>
        <v>Valid</v>
      </c>
      <c r="AH363" t="str">
        <f t="shared" si="68"/>
        <v>Valid</v>
      </c>
      <c r="AI363" t="str">
        <f t="shared" si="69"/>
        <v>Valid</v>
      </c>
      <c r="AJ363" t="str">
        <f t="shared" si="70"/>
        <v>Valid</v>
      </c>
      <c r="AK363" t="str">
        <f t="shared" si="77"/>
        <v xml:space="preserve">Valid </v>
      </c>
      <c r="AL363" t="str">
        <f>IF(AND(Audit_Data[[#This Row],[Recency]]&gt;=0,Audit_Data[[#This Row],[Recency]]&lt;=100),"Valid","Invalid")</f>
        <v>Valid</v>
      </c>
      <c r="AM363" t="str">
        <f t="shared" si="71"/>
        <v>Valid</v>
      </c>
      <c r="AN363" t="str">
        <f t="shared" si="72"/>
        <v>Valid</v>
      </c>
      <c r="AO363" t="str">
        <f t="shared" si="73"/>
        <v>Valid</v>
      </c>
      <c r="AP363" t="str">
        <f t="shared" si="74"/>
        <v>Valid</v>
      </c>
      <c r="AQ363" t="str">
        <f>IF(Audit_Data[[#This Row],[Z_CostContact]]=3,"Valid","Invalid")</f>
        <v>Valid</v>
      </c>
      <c r="AR363" t="str">
        <f t="shared" si="75"/>
        <v>Valid</v>
      </c>
      <c r="AS363" t="str">
        <f t="shared" si="76"/>
        <v>Valid</v>
      </c>
    </row>
    <row r="364" spans="1:45" x14ac:dyDescent="0.3">
      <c r="A364">
        <v>2958</v>
      </c>
      <c r="B364">
        <v>1978</v>
      </c>
      <c r="C364" t="s">
        <v>29</v>
      </c>
      <c r="D364" t="s">
        <v>33</v>
      </c>
      <c r="E364">
        <v>28442</v>
      </c>
      <c r="F364">
        <v>2</v>
      </c>
      <c r="G364">
        <v>0</v>
      </c>
      <c r="H364" s="1">
        <v>41694</v>
      </c>
      <c r="I364">
        <v>53</v>
      </c>
      <c r="J364">
        <v>19</v>
      </c>
      <c r="K364">
        <v>3</v>
      </c>
      <c r="L364">
        <v>10</v>
      </c>
      <c r="M364">
        <v>11</v>
      </c>
      <c r="N364">
        <v>8</v>
      </c>
      <c r="O364">
        <v>6</v>
      </c>
      <c r="P364">
        <v>3</v>
      </c>
      <c r="Q364">
        <v>2</v>
      </c>
      <c r="R364">
        <v>1</v>
      </c>
      <c r="S364">
        <v>4</v>
      </c>
      <c r="T364">
        <v>4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3</v>
      </c>
      <c r="AB364">
        <v>11</v>
      </c>
      <c r="AC364">
        <v>0</v>
      </c>
      <c r="AD364" t="str">
        <f t="shared" si="65"/>
        <v>Ok</v>
      </c>
      <c r="AE364" t="str">
        <f>IF(AND(Audit_Data[[#This Row],[Year_Birth]]&gt;=1900,Audit_Data[[#This Row],[Year_Birth]]&lt;=2010),"OK","Invalid")</f>
        <v>OK</v>
      </c>
      <c r="AF364" t="str">
        <f t="shared" si="66"/>
        <v>Valid</v>
      </c>
      <c r="AG364" t="str">
        <f t="shared" si="67"/>
        <v>Valid</v>
      </c>
      <c r="AH364" t="str">
        <f t="shared" si="68"/>
        <v>Valid</v>
      </c>
      <c r="AI364" t="str">
        <f t="shared" si="69"/>
        <v>Valid</v>
      </c>
      <c r="AJ364" t="str">
        <f t="shared" si="70"/>
        <v>Valid</v>
      </c>
      <c r="AK364" t="str">
        <f t="shared" si="77"/>
        <v xml:space="preserve">Valid </v>
      </c>
      <c r="AL364" t="str">
        <f>IF(AND(Audit_Data[[#This Row],[Recency]]&gt;=0,Audit_Data[[#This Row],[Recency]]&lt;=100),"Valid","Invalid")</f>
        <v>Valid</v>
      </c>
      <c r="AM364" t="str">
        <f t="shared" si="71"/>
        <v>Valid</v>
      </c>
      <c r="AN364" t="str">
        <f t="shared" si="72"/>
        <v>Valid</v>
      </c>
      <c r="AO364" t="str">
        <f t="shared" si="73"/>
        <v>Valid</v>
      </c>
      <c r="AP364" t="str">
        <f t="shared" si="74"/>
        <v>Valid</v>
      </c>
      <c r="AQ364" t="str">
        <f>IF(Audit_Data[[#This Row],[Z_CostContact]]=3,"Valid","Invalid")</f>
        <v>Valid</v>
      </c>
      <c r="AR364" t="str">
        <f t="shared" si="75"/>
        <v>Valid</v>
      </c>
      <c r="AS364" t="str">
        <f t="shared" si="76"/>
        <v>Valid</v>
      </c>
    </row>
    <row r="365" spans="1:45" x14ac:dyDescent="0.3">
      <c r="A365">
        <v>933</v>
      </c>
      <c r="B365">
        <v>1978</v>
      </c>
      <c r="C365" t="s">
        <v>32</v>
      </c>
      <c r="D365" t="s">
        <v>33</v>
      </c>
      <c r="E365">
        <v>37717</v>
      </c>
      <c r="F365">
        <v>1</v>
      </c>
      <c r="G365">
        <v>0</v>
      </c>
      <c r="H365" s="1">
        <v>41236</v>
      </c>
      <c r="I365">
        <v>31</v>
      </c>
      <c r="J365">
        <v>9</v>
      </c>
      <c r="K365">
        <v>0</v>
      </c>
      <c r="L365">
        <v>6</v>
      </c>
      <c r="M365">
        <v>4</v>
      </c>
      <c r="N365">
        <v>1</v>
      </c>
      <c r="O365">
        <v>5</v>
      </c>
      <c r="P365">
        <v>1</v>
      </c>
      <c r="Q365">
        <v>1</v>
      </c>
      <c r="R365">
        <v>0</v>
      </c>
      <c r="S365">
        <v>2</v>
      </c>
      <c r="T365">
        <v>9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3</v>
      </c>
      <c r="AB365">
        <v>11</v>
      </c>
      <c r="AC365">
        <v>0</v>
      </c>
      <c r="AD365" t="str">
        <f t="shared" si="65"/>
        <v>Ok</v>
      </c>
      <c r="AE365" t="str">
        <f>IF(AND(Audit_Data[[#This Row],[Year_Birth]]&gt;=1900,Audit_Data[[#This Row],[Year_Birth]]&lt;=2010),"OK","Invalid")</f>
        <v>OK</v>
      </c>
      <c r="AF365" t="str">
        <f t="shared" si="66"/>
        <v>Valid</v>
      </c>
      <c r="AG365" t="str">
        <f t="shared" si="67"/>
        <v>Valid</v>
      </c>
      <c r="AH365" t="str">
        <f t="shared" si="68"/>
        <v>Valid</v>
      </c>
      <c r="AI365" t="str">
        <f t="shared" si="69"/>
        <v>Valid</v>
      </c>
      <c r="AJ365" t="str">
        <f t="shared" si="70"/>
        <v>Valid</v>
      </c>
      <c r="AK365" t="str">
        <f t="shared" si="77"/>
        <v xml:space="preserve">Valid </v>
      </c>
      <c r="AL365" t="str">
        <f>IF(AND(Audit_Data[[#This Row],[Recency]]&gt;=0,Audit_Data[[#This Row],[Recency]]&lt;=100),"Valid","Invalid")</f>
        <v>Valid</v>
      </c>
      <c r="AM365" t="str">
        <f t="shared" si="71"/>
        <v>Valid</v>
      </c>
      <c r="AN365" t="str">
        <f t="shared" si="72"/>
        <v>Valid</v>
      </c>
      <c r="AO365" t="str">
        <f t="shared" si="73"/>
        <v>Valid</v>
      </c>
      <c r="AP365" t="str">
        <f t="shared" si="74"/>
        <v>Valid</v>
      </c>
      <c r="AQ365" t="str">
        <f>IF(Audit_Data[[#This Row],[Z_CostContact]]=3,"Valid","Invalid")</f>
        <v>Valid</v>
      </c>
      <c r="AR365" t="str">
        <f t="shared" si="75"/>
        <v>Valid</v>
      </c>
      <c r="AS365" t="str">
        <f t="shared" si="76"/>
        <v>Valid</v>
      </c>
    </row>
    <row r="366" spans="1:45" x14ac:dyDescent="0.3">
      <c r="A366">
        <v>5837</v>
      </c>
      <c r="B366">
        <v>1967</v>
      </c>
      <c r="C366" t="s">
        <v>29</v>
      </c>
      <c r="D366" t="s">
        <v>33</v>
      </c>
      <c r="E366">
        <v>51479</v>
      </c>
      <c r="F366">
        <v>1</v>
      </c>
      <c r="G366">
        <v>1</v>
      </c>
      <c r="H366" s="1">
        <v>41271</v>
      </c>
      <c r="I366">
        <v>67</v>
      </c>
      <c r="J366">
        <v>247</v>
      </c>
      <c r="K366">
        <v>8</v>
      </c>
      <c r="L366">
        <v>160</v>
      </c>
      <c r="M366">
        <v>6</v>
      </c>
      <c r="N366">
        <v>8</v>
      </c>
      <c r="O366">
        <v>65</v>
      </c>
      <c r="P366">
        <v>7</v>
      </c>
      <c r="Q366">
        <v>6</v>
      </c>
      <c r="R366">
        <v>3</v>
      </c>
      <c r="S366">
        <v>6</v>
      </c>
      <c r="T366">
        <v>7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3</v>
      </c>
      <c r="AB366">
        <v>11</v>
      </c>
      <c r="AC366">
        <v>0</v>
      </c>
      <c r="AD366" t="str">
        <f t="shared" si="65"/>
        <v>Ok</v>
      </c>
      <c r="AE366" t="str">
        <f>IF(AND(Audit_Data[[#This Row],[Year_Birth]]&gt;=1900,Audit_Data[[#This Row],[Year_Birth]]&lt;=2010),"OK","Invalid")</f>
        <v>OK</v>
      </c>
      <c r="AF366" t="str">
        <f t="shared" si="66"/>
        <v>Valid</v>
      </c>
      <c r="AG366" t="str">
        <f t="shared" si="67"/>
        <v>Valid</v>
      </c>
      <c r="AH366" t="str">
        <f t="shared" si="68"/>
        <v>Valid</v>
      </c>
      <c r="AI366" t="str">
        <f t="shared" si="69"/>
        <v>Valid</v>
      </c>
      <c r="AJ366" t="str">
        <f t="shared" si="70"/>
        <v>Valid</v>
      </c>
      <c r="AK366" t="str">
        <f t="shared" si="77"/>
        <v xml:space="preserve">Valid </v>
      </c>
      <c r="AL366" t="str">
        <f>IF(AND(Audit_Data[[#This Row],[Recency]]&gt;=0,Audit_Data[[#This Row],[Recency]]&lt;=100),"Valid","Invalid")</f>
        <v>Valid</v>
      </c>
      <c r="AM366" t="str">
        <f t="shared" si="71"/>
        <v>Valid</v>
      </c>
      <c r="AN366" t="str">
        <f t="shared" si="72"/>
        <v>Valid</v>
      </c>
      <c r="AO366" t="str">
        <f t="shared" si="73"/>
        <v>Valid</v>
      </c>
      <c r="AP366" t="str">
        <f t="shared" si="74"/>
        <v>Valid</v>
      </c>
      <c r="AQ366" t="str">
        <f>IF(Audit_Data[[#This Row],[Z_CostContact]]=3,"Valid","Invalid")</f>
        <v>Valid</v>
      </c>
      <c r="AR366" t="str">
        <f t="shared" si="75"/>
        <v>Valid</v>
      </c>
      <c r="AS366" t="str">
        <f t="shared" si="76"/>
        <v>Valid</v>
      </c>
    </row>
    <row r="367" spans="1:45" x14ac:dyDescent="0.3">
      <c r="A367">
        <v>10704</v>
      </c>
      <c r="B367">
        <v>1969</v>
      </c>
      <c r="C367" t="s">
        <v>29</v>
      </c>
      <c r="D367" t="s">
        <v>30</v>
      </c>
      <c r="E367">
        <v>54803</v>
      </c>
      <c r="F367">
        <v>0</v>
      </c>
      <c r="G367">
        <v>1</v>
      </c>
      <c r="H367" s="1">
        <v>41142</v>
      </c>
      <c r="I367">
        <v>65</v>
      </c>
      <c r="J367">
        <v>404</v>
      </c>
      <c r="K367">
        <v>0</v>
      </c>
      <c r="L367">
        <v>92</v>
      </c>
      <c r="M367">
        <v>28</v>
      </c>
      <c r="N367">
        <v>27</v>
      </c>
      <c r="O367">
        <v>142</v>
      </c>
      <c r="P367">
        <v>2</v>
      </c>
      <c r="Q367">
        <v>6</v>
      </c>
      <c r="R367">
        <v>2</v>
      </c>
      <c r="S367">
        <v>9</v>
      </c>
      <c r="T367">
        <v>4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3</v>
      </c>
      <c r="AB367">
        <v>11</v>
      </c>
      <c r="AC367">
        <v>0</v>
      </c>
      <c r="AD367" t="str">
        <f t="shared" si="65"/>
        <v>Ok</v>
      </c>
      <c r="AE367" t="str">
        <f>IF(AND(Audit_Data[[#This Row],[Year_Birth]]&gt;=1900,Audit_Data[[#This Row],[Year_Birth]]&lt;=2010),"OK","Invalid")</f>
        <v>OK</v>
      </c>
      <c r="AF367" t="str">
        <f t="shared" si="66"/>
        <v>Valid</v>
      </c>
      <c r="AG367" t="str">
        <f t="shared" si="67"/>
        <v>Valid</v>
      </c>
      <c r="AH367" t="str">
        <f t="shared" si="68"/>
        <v>Valid</v>
      </c>
      <c r="AI367" t="str">
        <f t="shared" si="69"/>
        <v>Valid</v>
      </c>
      <c r="AJ367" t="str">
        <f t="shared" si="70"/>
        <v>Valid</v>
      </c>
      <c r="AK367" t="str">
        <f t="shared" si="77"/>
        <v xml:space="preserve">Valid </v>
      </c>
      <c r="AL367" t="str">
        <f>IF(AND(Audit_Data[[#This Row],[Recency]]&gt;=0,Audit_Data[[#This Row],[Recency]]&lt;=100),"Valid","Invalid")</f>
        <v>Valid</v>
      </c>
      <c r="AM367" t="str">
        <f t="shared" si="71"/>
        <v>Valid</v>
      </c>
      <c r="AN367" t="str">
        <f t="shared" si="72"/>
        <v>Valid</v>
      </c>
      <c r="AO367" t="str">
        <f t="shared" si="73"/>
        <v>Valid</v>
      </c>
      <c r="AP367" t="str">
        <f t="shared" si="74"/>
        <v>Valid</v>
      </c>
      <c r="AQ367" t="str">
        <f>IF(Audit_Data[[#This Row],[Z_CostContact]]=3,"Valid","Invalid")</f>
        <v>Valid</v>
      </c>
      <c r="AR367" t="str">
        <f t="shared" si="75"/>
        <v>Valid</v>
      </c>
      <c r="AS367" t="str">
        <f t="shared" si="76"/>
        <v>Valid</v>
      </c>
    </row>
    <row r="368" spans="1:45" x14ac:dyDescent="0.3">
      <c r="A368">
        <v>5125</v>
      </c>
      <c r="B368">
        <v>1960</v>
      </c>
      <c r="C368" t="s">
        <v>29</v>
      </c>
      <c r="D368" t="s">
        <v>33</v>
      </c>
      <c r="E368">
        <v>79530</v>
      </c>
      <c r="F368">
        <v>0</v>
      </c>
      <c r="G368">
        <v>0</v>
      </c>
      <c r="H368" s="1">
        <v>41411</v>
      </c>
      <c r="I368">
        <v>64</v>
      </c>
      <c r="J368">
        <v>333</v>
      </c>
      <c r="K368">
        <v>0</v>
      </c>
      <c r="L368">
        <v>815</v>
      </c>
      <c r="M368">
        <v>129</v>
      </c>
      <c r="N368">
        <v>42</v>
      </c>
      <c r="O368">
        <v>29</v>
      </c>
      <c r="P368">
        <v>1</v>
      </c>
      <c r="Q368">
        <v>4</v>
      </c>
      <c r="R368">
        <v>10</v>
      </c>
      <c r="S368">
        <v>11</v>
      </c>
      <c r="T368">
        <v>2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3</v>
      </c>
      <c r="AB368">
        <v>11</v>
      </c>
      <c r="AC368">
        <v>0</v>
      </c>
      <c r="AD368" t="str">
        <f t="shared" si="65"/>
        <v>Ok</v>
      </c>
      <c r="AE368" t="str">
        <f>IF(AND(Audit_Data[[#This Row],[Year_Birth]]&gt;=1900,Audit_Data[[#This Row],[Year_Birth]]&lt;=2010),"OK","Invalid")</f>
        <v>OK</v>
      </c>
      <c r="AF368" t="str">
        <f t="shared" si="66"/>
        <v>Valid</v>
      </c>
      <c r="AG368" t="str">
        <f t="shared" si="67"/>
        <v>Valid</v>
      </c>
      <c r="AH368" t="str">
        <f t="shared" si="68"/>
        <v>Valid</v>
      </c>
      <c r="AI368" t="str">
        <f t="shared" si="69"/>
        <v>Valid</v>
      </c>
      <c r="AJ368" t="str">
        <f t="shared" si="70"/>
        <v>Valid</v>
      </c>
      <c r="AK368" t="str">
        <f t="shared" si="77"/>
        <v xml:space="preserve">Valid </v>
      </c>
      <c r="AL368" t="str">
        <f>IF(AND(Audit_Data[[#This Row],[Recency]]&gt;=0,Audit_Data[[#This Row],[Recency]]&lt;=100),"Valid","Invalid")</f>
        <v>Valid</v>
      </c>
      <c r="AM368" t="str">
        <f t="shared" si="71"/>
        <v>Valid</v>
      </c>
      <c r="AN368" t="str">
        <f t="shared" si="72"/>
        <v>Valid</v>
      </c>
      <c r="AO368" t="str">
        <f t="shared" si="73"/>
        <v>Valid</v>
      </c>
      <c r="AP368" t="str">
        <f t="shared" si="74"/>
        <v>Valid</v>
      </c>
      <c r="AQ368" t="str">
        <f>IF(Audit_Data[[#This Row],[Z_CostContact]]=3,"Valid","Invalid")</f>
        <v>Valid</v>
      </c>
      <c r="AR368" t="str">
        <f t="shared" si="75"/>
        <v>Valid</v>
      </c>
      <c r="AS368" t="str">
        <f t="shared" si="76"/>
        <v>Valid</v>
      </c>
    </row>
    <row r="369" spans="1:45" x14ac:dyDescent="0.3">
      <c r="A369">
        <v>4432</v>
      </c>
      <c r="B369">
        <v>1976</v>
      </c>
      <c r="C369" t="s">
        <v>29</v>
      </c>
      <c r="D369" t="s">
        <v>35</v>
      </c>
      <c r="E369">
        <v>31615</v>
      </c>
      <c r="F369">
        <v>1</v>
      </c>
      <c r="G369">
        <v>0</v>
      </c>
      <c r="H369" s="1">
        <v>41349</v>
      </c>
      <c r="I369">
        <v>82</v>
      </c>
      <c r="J369">
        <v>2</v>
      </c>
      <c r="K369">
        <v>3</v>
      </c>
      <c r="L369">
        <v>20</v>
      </c>
      <c r="M369">
        <v>6</v>
      </c>
      <c r="N369">
        <v>11</v>
      </c>
      <c r="O369">
        <v>9</v>
      </c>
      <c r="P369">
        <v>2</v>
      </c>
      <c r="Q369">
        <v>2</v>
      </c>
      <c r="R369">
        <v>0</v>
      </c>
      <c r="S369">
        <v>3</v>
      </c>
      <c r="T369">
        <v>7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3</v>
      </c>
      <c r="AB369">
        <v>11</v>
      </c>
      <c r="AC369">
        <v>0</v>
      </c>
      <c r="AD369" t="str">
        <f t="shared" si="65"/>
        <v>Ok</v>
      </c>
      <c r="AE369" t="str">
        <f>IF(AND(Audit_Data[[#This Row],[Year_Birth]]&gt;=1900,Audit_Data[[#This Row],[Year_Birth]]&lt;=2010),"OK","Invalid")</f>
        <v>OK</v>
      </c>
      <c r="AF369" t="str">
        <f t="shared" si="66"/>
        <v>Valid</v>
      </c>
      <c r="AG369" t="str">
        <f t="shared" si="67"/>
        <v>Valid</v>
      </c>
      <c r="AH369" t="str">
        <f t="shared" si="68"/>
        <v>Valid</v>
      </c>
      <c r="AI369" t="str">
        <f t="shared" si="69"/>
        <v>Valid</v>
      </c>
      <c r="AJ369" t="str">
        <f t="shared" si="70"/>
        <v>Valid</v>
      </c>
      <c r="AK369" t="str">
        <f t="shared" si="77"/>
        <v xml:space="preserve">Valid </v>
      </c>
      <c r="AL369" t="str">
        <f>IF(AND(Audit_Data[[#This Row],[Recency]]&gt;=0,Audit_Data[[#This Row],[Recency]]&lt;=100),"Valid","Invalid")</f>
        <v>Valid</v>
      </c>
      <c r="AM369" t="str">
        <f t="shared" si="71"/>
        <v>Valid</v>
      </c>
      <c r="AN369" t="str">
        <f t="shared" si="72"/>
        <v>Valid</v>
      </c>
      <c r="AO369" t="str">
        <f t="shared" si="73"/>
        <v>Valid</v>
      </c>
      <c r="AP369" t="str">
        <f t="shared" si="74"/>
        <v>Valid</v>
      </c>
      <c r="AQ369" t="str">
        <f>IF(Audit_Data[[#This Row],[Z_CostContact]]=3,"Valid","Invalid")</f>
        <v>Valid</v>
      </c>
      <c r="AR369" t="str">
        <f t="shared" si="75"/>
        <v>Valid</v>
      </c>
      <c r="AS369" t="str">
        <f t="shared" si="76"/>
        <v>Valid</v>
      </c>
    </row>
    <row r="370" spans="1:45" x14ac:dyDescent="0.3">
      <c r="A370">
        <v>5955</v>
      </c>
      <c r="B370">
        <v>1962</v>
      </c>
      <c r="C370" t="s">
        <v>29</v>
      </c>
      <c r="D370" t="s">
        <v>31</v>
      </c>
      <c r="E370">
        <v>72025</v>
      </c>
      <c r="F370">
        <v>0</v>
      </c>
      <c r="G370">
        <v>0</v>
      </c>
      <c r="H370" s="1">
        <v>41230</v>
      </c>
      <c r="I370">
        <v>27</v>
      </c>
      <c r="J370">
        <v>833</v>
      </c>
      <c r="K370">
        <v>33</v>
      </c>
      <c r="L370">
        <v>549</v>
      </c>
      <c r="M370">
        <v>151</v>
      </c>
      <c r="N370">
        <v>133</v>
      </c>
      <c r="O370">
        <v>233</v>
      </c>
      <c r="P370">
        <v>1</v>
      </c>
      <c r="Q370">
        <v>4</v>
      </c>
      <c r="R370">
        <v>3</v>
      </c>
      <c r="S370">
        <v>8</v>
      </c>
      <c r="T370">
        <v>3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3</v>
      </c>
      <c r="AB370">
        <v>11</v>
      </c>
      <c r="AC370">
        <v>0</v>
      </c>
      <c r="AD370" t="str">
        <f t="shared" si="65"/>
        <v>Ok</v>
      </c>
      <c r="AE370" t="str">
        <f>IF(AND(Audit_Data[[#This Row],[Year_Birth]]&gt;=1900,Audit_Data[[#This Row],[Year_Birth]]&lt;=2010),"OK","Invalid")</f>
        <v>OK</v>
      </c>
      <c r="AF370" t="str">
        <f t="shared" si="66"/>
        <v>Valid</v>
      </c>
      <c r="AG370" t="str">
        <f t="shared" si="67"/>
        <v>Valid</v>
      </c>
      <c r="AH370" t="str">
        <f t="shared" si="68"/>
        <v>Valid</v>
      </c>
      <c r="AI370" t="str">
        <f t="shared" si="69"/>
        <v>Valid</v>
      </c>
      <c r="AJ370" t="str">
        <f t="shared" si="70"/>
        <v>Valid</v>
      </c>
      <c r="AK370" t="str">
        <f t="shared" si="77"/>
        <v xml:space="preserve">Valid </v>
      </c>
      <c r="AL370" t="str">
        <f>IF(AND(Audit_Data[[#This Row],[Recency]]&gt;=0,Audit_Data[[#This Row],[Recency]]&lt;=100),"Valid","Invalid")</f>
        <v>Valid</v>
      </c>
      <c r="AM370" t="str">
        <f t="shared" si="71"/>
        <v>Valid</v>
      </c>
      <c r="AN370" t="str">
        <f t="shared" si="72"/>
        <v>Valid</v>
      </c>
      <c r="AO370" t="str">
        <f t="shared" si="73"/>
        <v>Valid</v>
      </c>
      <c r="AP370" t="str">
        <f t="shared" si="74"/>
        <v>Valid</v>
      </c>
      <c r="AQ370" t="str">
        <f>IF(Audit_Data[[#This Row],[Z_CostContact]]=3,"Valid","Invalid")</f>
        <v>Valid</v>
      </c>
      <c r="AR370" t="str">
        <f t="shared" si="75"/>
        <v>Valid</v>
      </c>
      <c r="AS370" t="str">
        <f t="shared" si="76"/>
        <v>Valid</v>
      </c>
    </row>
    <row r="371" spans="1:45" x14ac:dyDescent="0.3">
      <c r="A371">
        <v>2928</v>
      </c>
      <c r="B371">
        <v>1975</v>
      </c>
      <c r="C371" t="s">
        <v>32</v>
      </c>
      <c r="D371" t="s">
        <v>30</v>
      </c>
      <c r="E371">
        <v>52614</v>
      </c>
      <c r="F371">
        <v>0</v>
      </c>
      <c r="G371">
        <v>1</v>
      </c>
      <c r="H371" s="1">
        <v>41244</v>
      </c>
      <c r="I371">
        <v>63</v>
      </c>
      <c r="J371">
        <v>789</v>
      </c>
      <c r="K371">
        <v>0</v>
      </c>
      <c r="L371">
        <v>142</v>
      </c>
      <c r="M371">
        <v>12</v>
      </c>
      <c r="N371">
        <v>9</v>
      </c>
      <c r="O371">
        <v>38</v>
      </c>
      <c r="P371">
        <v>2</v>
      </c>
      <c r="Q371">
        <v>2</v>
      </c>
      <c r="R371">
        <v>4</v>
      </c>
      <c r="S371">
        <v>8</v>
      </c>
      <c r="T371">
        <v>8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3</v>
      </c>
      <c r="AB371">
        <v>11</v>
      </c>
      <c r="AC371">
        <v>0</v>
      </c>
      <c r="AD371" t="str">
        <f t="shared" si="65"/>
        <v>Ok</v>
      </c>
      <c r="AE371" t="str">
        <f>IF(AND(Audit_Data[[#This Row],[Year_Birth]]&gt;=1900,Audit_Data[[#This Row],[Year_Birth]]&lt;=2010),"OK","Invalid")</f>
        <v>OK</v>
      </c>
      <c r="AF371" t="str">
        <f t="shared" si="66"/>
        <v>Valid</v>
      </c>
      <c r="AG371" t="str">
        <f t="shared" si="67"/>
        <v>Valid</v>
      </c>
      <c r="AH371" t="str">
        <f t="shared" si="68"/>
        <v>Valid</v>
      </c>
      <c r="AI371" t="str">
        <f t="shared" si="69"/>
        <v>Valid</v>
      </c>
      <c r="AJ371" t="str">
        <f t="shared" si="70"/>
        <v>Valid</v>
      </c>
      <c r="AK371" t="str">
        <f t="shared" si="77"/>
        <v xml:space="preserve">Valid </v>
      </c>
      <c r="AL371" t="str">
        <f>IF(AND(Audit_Data[[#This Row],[Recency]]&gt;=0,Audit_Data[[#This Row],[Recency]]&lt;=100),"Valid","Invalid")</f>
        <v>Valid</v>
      </c>
      <c r="AM371" t="str">
        <f t="shared" si="71"/>
        <v>Valid</v>
      </c>
      <c r="AN371" t="str">
        <f t="shared" si="72"/>
        <v>Valid</v>
      </c>
      <c r="AO371" t="str">
        <f t="shared" si="73"/>
        <v>Valid</v>
      </c>
      <c r="AP371" t="str">
        <f t="shared" si="74"/>
        <v>Valid</v>
      </c>
      <c r="AQ371" t="str">
        <f>IF(Audit_Data[[#This Row],[Z_CostContact]]=3,"Valid","Invalid")</f>
        <v>Valid</v>
      </c>
      <c r="AR371" t="str">
        <f t="shared" si="75"/>
        <v>Valid</v>
      </c>
      <c r="AS371" t="str">
        <f t="shared" si="76"/>
        <v>Valid</v>
      </c>
    </row>
    <row r="372" spans="1:45" x14ac:dyDescent="0.3">
      <c r="A372">
        <v>5680</v>
      </c>
      <c r="B372">
        <v>1984</v>
      </c>
      <c r="C372" t="s">
        <v>37</v>
      </c>
      <c r="D372" t="s">
        <v>33</v>
      </c>
      <c r="E372">
        <v>35684</v>
      </c>
      <c r="F372">
        <v>1</v>
      </c>
      <c r="G372">
        <v>0</v>
      </c>
      <c r="H372" s="1">
        <v>41751</v>
      </c>
      <c r="I372">
        <v>66</v>
      </c>
      <c r="J372">
        <v>10</v>
      </c>
      <c r="K372">
        <v>4</v>
      </c>
      <c r="L372">
        <v>7</v>
      </c>
      <c r="M372">
        <v>0</v>
      </c>
      <c r="N372">
        <v>6</v>
      </c>
      <c r="O372">
        <v>3</v>
      </c>
      <c r="P372">
        <v>1</v>
      </c>
      <c r="Q372">
        <v>1</v>
      </c>
      <c r="R372">
        <v>0</v>
      </c>
      <c r="S372">
        <v>3</v>
      </c>
      <c r="T372">
        <v>6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3</v>
      </c>
      <c r="AB372">
        <v>11</v>
      </c>
      <c r="AC372">
        <v>0</v>
      </c>
      <c r="AD372" t="str">
        <f t="shared" si="65"/>
        <v>Ok</v>
      </c>
      <c r="AE372" t="str">
        <f>IF(AND(Audit_Data[[#This Row],[Year_Birth]]&gt;=1900,Audit_Data[[#This Row],[Year_Birth]]&lt;=2010),"OK","Invalid")</f>
        <v>OK</v>
      </c>
      <c r="AF372" t="str">
        <f t="shared" si="66"/>
        <v>Valid</v>
      </c>
      <c r="AG372" t="str">
        <f t="shared" si="67"/>
        <v>Valid</v>
      </c>
      <c r="AH372" t="str">
        <f t="shared" si="68"/>
        <v>Valid</v>
      </c>
      <c r="AI372" t="str">
        <f t="shared" si="69"/>
        <v>Valid</v>
      </c>
      <c r="AJ372" t="str">
        <f t="shared" si="70"/>
        <v>Valid</v>
      </c>
      <c r="AK372" t="str">
        <f t="shared" si="77"/>
        <v xml:space="preserve">Valid </v>
      </c>
      <c r="AL372" t="str">
        <f>IF(AND(Audit_Data[[#This Row],[Recency]]&gt;=0,Audit_Data[[#This Row],[Recency]]&lt;=100),"Valid","Invalid")</f>
        <v>Valid</v>
      </c>
      <c r="AM372" t="str">
        <f t="shared" si="71"/>
        <v>Valid</v>
      </c>
      <c r="AN372" t="str">
        <f t="shared" si="72"/>
        <v>Valid</v>
      </c>
      <c r="AO372" t="str">
        <f t="shared" si="73"/>
        <v>Valid</v>
      </c>
      <c r="AP372" t="str">
        <f t="shared" si="74"/>
        <v>Valid</v>
      </c>
      <c r="AQ372" t="str">
        <f>IF(Audit_Data[[#This Row],[Z_CostContact]]=3,"Valid","Invalid")</f>
        <v>Valid</v>
      </c>
      <c r="AR372" t="str">
        <f t="shared" si="75"/>
        <v>Valid</v>
      </c>
      <c r="AS372" t="str">
        <f t="shared" si="76"/>
        <v>Valid</v>
      </c>
    </row>
    <row r="373" spans="1:45" x14ac:dyDescent="0.3">
      <c r="A373">
        <v>10313</v>
      </c>
      <c r="B373">
        <v>1975</v>
      </c>
      <c r="C373" t="s">
        <v>29</v>
      </c>
      <c r="D373" t="s">
        <v>33</v>
      </c>
      <c r="E373">
        <v>48178</v>
      </c>
      <c r="F373">
        <v>1</v>
      </c>
      <c r="G373">
        <v>1</v>
      </c>
      <c r="H373" s="1">
        <v>41210</v>
      </c>
      <c r="I373">
        <v>69</v>
      </c>
      <c r="J373">
        <v>159</v>
      </c>
      <c r="K373">
        <v>4</v>
      </c>
      <c r="L373">
        <v>45</v>
      </c>
      <c r="M373">
        <v>6</v>
      </c>
      <c r="N373">
        <v>2</v>
      </c>
      <c r="O373">
        <v>38</v>
      </c>
      <c r="P373">
        <v>6</v>
      </c>
      <c r="Q373">
        <v>5</v>
      </c>
      <c r="R373">
        <v>1</v>
      </c>
      <c r="S373">
        <v>4</v>
      </c>
      <c r="T373">
        <v>8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3</v>
      </c>
      <c r="AB373">
        <v>11</v>
      </c>
      <c r="AC373">
        <v>0</v>
      </c>
      <c r="AD373" t="str">
        <f t="shared" si="65"/>
        <v>Ok</v>
      </c>
      <c r="AE373" t="str">
        <f>IF(AND(Audit_Data[[#This Row],[Year_Birth]]&gt;=1900,Audit_Data[[#This Row],[Year_Birth]]&lt;=2010),"OK","Invalid")</f>
        <v>OK</v>
      </c>
      <c r="AF373" t="str">
        <f t="shared" si="66"/>
        <v>Valid</v>
      </c>
      <c r="AG373" t="str">
        <f t="shared" si="67"/>
        <v>Valid</v>
      </c>
      <c r="AH373" t="str">
        <f t="shared" si="68"/>
        <v>Valid</v>
      </c>
      <c r="AI373" t="str">
        <f t="shared" si="69"/>
        <v>Valid</v>
      </c>
      <c r="AJ373" t="str">
        <f t="shared" si="70"/>
        <v>Valid</v>
      </c>
      <c r="AK373" t="str">
        <f t="shared" si="77"/>
        <v xml:space="preserve">Valid </v>
      </c>
      <c r="AL373" t="str">
        <f>IF(AND(Audit_Data[[#This Row],[Recency]]&gt;=0,Audit_Data[[#This Row],[Recency]]&lt;=100),"Valid","Invalid")</f>
        <v>Valid</v>
      </c>
      <c r="AM373" t="str">
        <f t="shared" si="71"/>
        <v>Valid</v>
      </c>
      <c r="AN373" t="str">
        <f t="shared" si="72"/>
        <v>Valid</v>
      </c>
      <c r="AO373" t="str">
        <f t="shared" si="73"/>
        <v>Valid</v>
      </c>
      <c r="AP373" t="str">
        <f t="shared" si="74"/>
        <v>Valid</v>
      </c>
      <c r="AQ373" t="str">
        <f>IF(Audit_Data[[#This Row],[Z_CostContact]]=3,"Valid","Invalid")</f>
        <v>Valid</v>
      </c>
      <c r="AR373" t="str">
        <f t="shared" si="75"/>
        <v>Valid</v>
      </c>
      <c r="AS373" t="str">
        <f t="shared" si="76"/>
        <v>Valid</v>
      </c>
    </row>
    <row r="374" spans="1:45" x14ac:dyDescent="0.3">
      <c r="A374">
        <v>2557</v>
      </c>
      <c r="B374">
        <v>1970</v>
      </c>
      <c r="C374" t="s">
        <v>34</v>
      </c>
      <c r="D374" t="s">
        <v>30</v>
      </c>
      <c r="E374">
        <v>29548</v>
      </c>
      <c r="F374">
        <v>1</v>
      </c>
      <c r="G374">
        <v>0</v>
      </c>
      <c r="H374" s="1">
        <v>41515</v>
      </c>
      <c r="I374">
        <v>52</v>
      </c>
      <c r="J374">
        <v>7</v>
      </c>
      <c r="K374">
        <v>1</v>
      </c>
      <c r="L374">
        <v>6</v>
      </c>
      <c r="M374">
        <v>3</v>
      </c>
      <c r="N374">
        <v>1</v>
      </c>
      <c r="O374">
        <v>11</v>
      </c>
      <c r="P374">
        <v>1</v>
      </c>
      <c r="Q374">
        <v>1</v>
      </c>
      <c r="R374">
        <v>1</v>
      </c>
      <c r="S374">
        <v>2</v>
      </c>
      <c r="T374">
        <v>4</v>
      </c>
      <c r="U374">
        <v>1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3</v>
      </c>
      <c r="AB374">
        <v>11</v>
      </c>
      <c r="AC374">
        <v>0</v>
      </c>
      <c r="AD374" t="str">
        <f t="shared" si="65"/>
        <v>Ok</v>
      </c>
      <c r="AE374" t="str">
        <f>IF(AND(Audit_Data[[#This Row],[Year_Birth]]&gt;=1900,Audit_Data[[#This Row],[Year_Birth]]&lt;=2010),"OK","Invalid")</f>
        <v>OK</v>
      </c>
      <c r="AF374" t="str">
        <f t="shared" si="66"/>
        <v>Valid</v>
      </c>
      <c r="AG374" t="str">
        <f t="shared" si="67"/>
        <v>Valid</v>
      </c>
      <c r="AH374" t="str">
        <f t="shared" si="68"/>
        <v>Valid</v>
      </c>
      <c r="AI374" t="str">
        <f t="shared" si="69"/>
        <v>Valid</v>
      </c>
      <c r="AJ374" t="str">
        <f t="shared" si="70"/>
        <v>Valid</v>
      </c>
      <c r="AK374" t="str">
        <f t="shared" si="77"/>
        <v xml:space="preserve">Valid </v>
      </c>
      <c r="AL374" t="str">
        <f>IF(AND(Audit_Data[[#This Row],[Recency]]&gt;=0,Audit_Data[[#This Row],[Recency]]&lt;=100),"Valid","Invalid")</f>
        <v>Valid</v>
      </c>
      <c r="AM374" t="str">
        <f t="shared" si="71"/>
        <v>Valid</v>
      </c>
      <c r="AN374" t="str">
        <f t="shared" si="72"/>
        <v>Valid</v>
      </c>
      <c r="AO374" t="str">
        <f t="shared" si="73"/>
        <v>Valid</v>
      </c>
      <c r="AP374" t="str">
        <f t="shared" si="74"/>
        <v>Valid</v>
      </c>
      <c r="AQ374" t="str">
        <f>IF(Audit_Data[[#This Row],[Z_CostContact]]=3,"Valid","Invalid")</f>
        <v>Valid</v>
      </c>
      <c r="AR374" t="str">
        <f t="shared" si="75"/>
        <v>Valid</v>
      </c>
      <c r="AS374" t="str">
        <f t="shared" si="76"/>
        <v>Valid</v>
      </c>
    </row>
    <row r="375" spans="1:45" x14ac:dyDescent="0.3">
      <c r="A375">
        <v>1245</v>
      </c>
      <c r="B375">
        <v>1966</v>
      </c>
      <c r="C375" t="s">
        <v>29</v>
      </c>
      <c r="D375" t="s">
        <v>30</v>
      </c>
      <c r="E375">
        <v>63810</v>
      </c>
      <c r="F375">
        <v>0</v>
      </c>
      <c r="G375">
        <v>1</v>
      </c>
      <c r="H375" s="1">
        <v>41224</v>
      </c>
      <c r="I375">
        <v>45</v>
      </c>
      <c r="J375">
        <v>977</v>
      </c>
      <c r="K375">
        <v>12</v>
      </c>
      <c r="L375">
        <v>253</v>
      </c>
      <c r="M375">
        <v>16</v>
      </c>
      <c r="N375">
        <v>12</v>
      </c>
      <c r="O375">
        <v>101</v>
      </c>
      <c r="P375">
        <v>4</v>
      </c>
      <c r="Q375">
        <v>4</v>
      </c>
      <c r="R375">
        <v>3</v>
      </c>
      <c r="S375">
        <v>12</v>
      </c>
      <c r="T375">
        <v>8</v>
      </c>
      <c r="U375">
        <v>0</v>
      </c>
      <c r="V375">
        <v>1</v>
      </c>
      <c r="W375">
        <v>0</v>
      </c>
      <c r="X375">
        <v>0</v>
      </c>
      <c r="Y375">
        <v>0</v>
      </c>
      <c r="Z375">
        <v>0</v>
      </c>
      <c r="AA375">
        <v>3</v>
      </c>
      <c r="AB375">
        <v>11</v>
      </c>
      <c r="AC375">
        <v>0</v>
      </c>
      <c r="AD375" t="str">
        <f t="shared" si="65"/>
        <v>Ok</v>
      </c>
      <c r="AE375" t="str">
        <f>IF(AND(Audit_Data[[#This Row],[Year_Birth]]&gt;=1900,Audit_Data[[#This Row],[Year_Birth]]&lt;=2010),"OK","Invalid")</f>
        <v>OK</v>
      </c>
      <c r="AF375" t="str">
        <f t="shared" si="66"/>
        <v>Valid</v>
      </c>
      <c r="AG375" t="str">
        <f t="shared" si="67"/>
        <v>Valid</v>
      </c>
      <c r="AH375" t="str">
        <f t="shared" si="68"/>
        <v>Valid</v>
      </c>
      <c r="AI375" t="str">
        <f t="shared" si="69"/>
        <v>Valid</v>
      </c>
      <c r="AJ375" t="str">
        <f t="shared" si="70"/>
        <v>Valid</v>
      </c>
      <c r="AK375" t="str">
        <f t="shared" si="77"/>
        <v xml:space="preserve">Valid </v>
      </c>
      <c r="AL375" t="str">
        <f>IF(AND(Audit_Data[[#This Row],[Recency]]&gt;=0,Audit_Data[[#This Row],[Recency]]&lt;=100),"Valid","Invalid")</f>
        <v>Valid</v>
      </c>
      <c r="AM375" t="str">
        <f t="shared" si="71"/>
        <v>Valid</v>
      </c>
      <c r="AN375" t="str">
        <f t="shared" si="72"/>
        <v>Valid</v>
      </c>
      <c r="AO375" t="str">
        <f t="shared" si="73"/>
        <v>Valid</v>
      </c>
      <c r="AP375" t="str">
        <f t="shared" si="74"/>
        <v>Valid</v>
      </c>
      <c r="AQ375" t="str">
        <f>IF(Audit_Data[[#This Row],[Z_CostContact]]=3,"Valid","Invalid")</f>
        <v>Valid</v>
      </c>
      <c r="AR375" t="str">
        <f t="shared" si="75"/>
        <v>Valid</v>
      </c>
      <c r="AS375" t="str">
        <f t="shared" si="76"/>
        <v>Valid</v>
      </c>
    </row>
    <row r="376" spans="1:45" x14ac:dyDescent="0.3">
      <c r="A376">
        <v>1519</v>
      </c>
      <c r="B376">
        <v>1972</v>
      </c>
      <c r="C376" t="s">
        <v>32</v>
      </c>
      <c r="D376" t="s">
        <v>30</v>
      </c>
      <c r="E376">
        <v>38578</v>
      </c>
      <c r="F376">
        <v>1</v>
      </c>
      <c r="G376">
        <v>1</v>
      </c>
      <c r="H376" s="1">
        <v>41447</v>
      </c>
      <c r="I376">
        <v>2</v>
      </c>
      <c r="J376">
        <v>38</v>
      </c>
      <c r="K376">
        <v>4</v>
      </c>
      <c r="L376">
        <v>22</v>
      </c>
      <c r="M376">
        <v>3</v>
      </c>
      <c r="N376">
        <v>3</v>
      </c>
      <c r="O376">
        <v>3</v>
      </c>
      <c r="P376">
        <v>3</v>
      </c>
      <c r="Q376">
        <v>3</v>
      </c>
      <c r="R376">
        <v>0</v>
      </c>
      <c r="S376">
        <v>3</v>
      </c>
      <c r="T376">
        <v>8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3</v>
      </c>
      <c r="AB376">
        <v>11</v>
      </c>
      <c r="AC376">
        <v>1</v>
      </c>
      <c r="AD376" t="str">
        <f t="shared" si="65"/>
        <v>Ok</v>
      </c>
      <c r="AE376" t="str">
        <f>IF(AND(Audit_Data[[#This Row],[Year_Birth]]&gt;=1900,Audit_Data[[#This Row],[Year_Birth]]&lt;=2010),"OK","Invalid")</f>
        <v>OK</v>
      </c>
      <c r="AF376" t="str">
        <f t="shared" si="66"/>
        <v>Valid</v>
      </c>
      <c r="AG376" t="str">
        <f t="shared" si="67"/>
        <v>Valid</v>
      </c>
      <c r="AH376" t="str">
        <f t="shared" si="68"/>
        <v>Valid</v>
      </c>
      <c r="AI376" t="str">
        <f t="shared" si="69"/>
        <v>Valid</v>
      </c>
      <c r="AJ376" t="str">
        <f t="shared" si="70"/>
        <v>Valid</v>
      </c>
      <c r="AK376" t="str">
        <f t="shared" si="77"/>
        <v xml:space="preserve">Valid </v>
      </c>
      <c r="AL376" t="str">
        <f>IF(AND(Audit_Data[[#This Row],[Recency]]&gt;=0,Audit_Data[[#This Row],[Recency]]&lt;=100),"Valid","Invalid")</f>
        <v>Valid</v>
      </c>
      <c r="AM376" t="str">
        <f t="shared" si="71"/>
        <v>Valid</v>
      </c>
      <c r="AN376" t="str">
        <f t="shared" si="72"/>
        <v>Valid</v>
      </c>
      <c r="AO376" t="str">
        <f t="shared" si="73"/>
        <v>Valid</v>
      </c>
      <c r="AP376" t="str">
        <f t="shared" si="74"/>
        <v>Valid</v>
      </c>
      <c r="AQ376" t="str">
        <f>IF(Audit_Data[[#This Row],[Z_CostContact]]=3,"Valid","Invalid")</f>
        <v>Valid</v>
      </c>
      <c r="AR376" t="str">
        <f t="shared" si="75"/>
        <v>Valid</v>
      </c>
      <c r="AS376" t="str">
        <f t="shared" si="76"/>
        <v>Valid</v>
      </c>
    </row>
    <row r="377" spans="1:45" x14ac:dyDescent="0.3">
      <c r="A377">
        <v>10703</v>
      </c>
      <c r="B377">
        <v>1975</v>
      </c>
      <c r="C377" t="s">
        <v>34</v>
      </c>
      <c r="D377" t="s">
        <v>30</v>
      </c>
      <c r="E377">
        <v>46098</v>
      </c>
      <c r="F377">
        <v>1</v>
      </c>
      <c r="G377">
        <v>1</v>
      </c>
      <c r="H377" s="1">
        <v>41139</v>
      </c>
      <c r="I377">
        <v>86</v>
      </c>
      <c r="J377">
        <v>57</v>
      </c>
      <c r="K377">
        <v>0</v>
      </c>
      <c r="L377">
        <v>27</v>
      </c>
      <c r="M377">
        <v>0</v>
      </c>
      <c r="N377">
        <v>0</v>
      </c>
      <c r="O377">
        <v>36</v>
      </c>
      <c r="P377">
        <v>4</v>
      </c>
      <c r="Q377">
        <v>3</v>
      </c>
      <c r="R377">
        <v>2</v>
      </c>
      <c r="S377">
        <v>2</v>
      </c>
      <c r="T377">
        <v>8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3</v>
      </c>
      <c r="AB377">
        <v>11</v>
      </c>
      <c r="AC377">
        <v>0</v>
      </c>
      <c r="AD377" t="str">
        <f t="shared" si="65"/>
        <v>Ok</v>
      </c>
      <c r="AE377" t="str">
        <f>IF(AND(Audit_Data[[#This Row],[Year_Birth]]&gt;=1900,Audit_Data[[#This Row],[Year_Birth]]&lt;=2010),"OK","Invalid")</f>
        <v>OK</v>
      </c>
      <c r="AF377" t="str">
        <f t="shared" si="66"/>
        <v>Valid</v>
      </c>
      <c r="AG377" t="str">
        <f t="shared" si="67"/>
        <v>Valid</v>
      </c>
      <c r="AH377" t="str">
        <f t="shared" si="68"/>
        <v>Valid</v>
      </c>
      <c r="AI377" t="str">
        <f t="shared" si="69"/>
        <v>Valid</v>
      </c>
      <c r="AJ377" t="str">
        <f t="shared" si="70"/>
        <v>Valid</v>
      </c>
      <c r="AK377" t="str">
        <f t="shared" si="77"/>
        <v xml:space="preserve">Valid </v>
      </c>
      <c r="AL377" t="str">
        <f>IF(AND(Audit_Data[[#This Row],[Recency]]&gt;=0,Audit_Data[[#This Row],[Recency]]&lt;=100),"Valid","Invalid")</f>
        <v>Valid</v>
      </c>
      <c r="AM377" t="str">
        <f t="shared" si="71"/>
        <v>Valid</v>
      </c>
      <c r="AN377" t="str">
        <f t="shared" si="72"/>
        <v>Valid</v>
      </c>
      <c r="AO377" t="str">
        <f t="shared" si="73"/>
        <v>Valid</v>
      </c>
      <c r="AP377" t="str">
        <f t="shared" si="74"/>
        <v>Valid</v>
      </c>
      <c r="AQ377" t="str">
        <f>IF(Audit_Data[[#This Row],[Z_CostContact]]=3,"Valid","Invalid")</f>
        <v>Valid</v>
      </c>
      <c r="AR377" t="str">
        <f t="shared" si="75"/>
        <v>Valid</v>
      </c>
      <c r="AS377" t="str">
        <f t="shared" si="76"/>
        <v>Valid</v>
      </c>
    </row>
    <row r="378" spans="1:45" x14ac:dyDescent="0.3">
      <c r="A378">
        <v>1726</v>
      </c>
      <c r="B378">
        <v>1970</v>
      </c>
      <c r="C378" t="s">
        <v>29</v>
      </c>
      <c r="D378" t="s">
        <v>30</v>
      </c>
      <c r="E378">
        <v>22585</v>
      </c>
      <c r="F378">
        <v>0</v>
      </c>
      <c r="G378">
        <v>0</v>
      </c>
      <c r="H378" s="1">
        <v>41351</v>
      </c>
      <c r="I378">
        <v>23</v>
      </c>
      <c r="J378">
        <v>3</v>
      </c>
      <c r="K378">
        <v>9</v>
      </c>
      <c r="L378">
        <v>15</v>
      </c>
      <c r="M378">
        <v>13</v>
      </c>
      <c r="N378">
        <v>2</v>
      </c>
      <c r="O378">
        <v>39</v>
      </c>
      <c r="P378">
        <v>1</v>
      </c>
      <c r="Q378">
        <v>1</v>
      </c>
      <c r="R378">
        <v>1</v>
      </c>
      <c r="S378">
        <v>2</v>
      </c>
      <c r="T378">
        <v>9</v>
      </c>
      <c r="U378">
        <v>1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3</v>
      </c>
      <c r="AB378">
        <v>11</v>
      </c>
      <c r="AC378">
        <v>1</v>
      </c>
      <c r="AD378" t="str">
        <f t="shared" si="65"/>
        <v>Ok</v>
      </c>
      <c r="AE378" t="str">
        <f>IF(AND(Audit_Data[[#This Row],[Year_Birth]]&gt;=1900,Audit_Data[[#This Row],[Year_Birth]]&lt;=2010),"OK","Invalid")</f>
        <v>OK</v>
      </c>
      <c r="AF378" t="str">
        <f t="shared" si="66"/>
        <v>Valid</v>
      </c>
      <c r="AG378" t="str">
        <f t="shared" si="67"/>
        <v>Valid</v>
      </c>
      <c r="AH378" t="str">
        <f t="shared" si="68"/>
        <v>Valid</v>
      </c>
      <c r="AI378" t="str">
        <f t="shared" si="69"/>
        <v>Valid</v>
      </c>
      <c r="AJ378" t="str">
        <f t="shared" si="70"/>
        <v>Valid</v>
      </c>
      <c r="AK378" t="str">
        <f t="shared" si="77"/>
        <v xml:space="preserve">Valid </v>
      </c>
      <c r="AL378" t="str">
        <f>IF(AND(Audit_Data[[#This Row],[Recency]]&gt;=0,Audit_Data[[#This Row],[Recency]]&lt;=100),"Valid","Invalid")</f>
        <v>Valid</v>
      </c>
      <c r="AM378" t="str">
        <f t="shared" si="71"/>
        <v>Valid</v>
      </c>
      <c r="AN378" t="str">
        <f t="shared" si="72"/>
        <v>Valid</v>
      </c>
      <c r="AO378" t="str">
        <f t="shared" si="73"/>
        <v>Valid</v>
      </c>
      <c r="AP378" t="str">
        <f t="shared" si="74"/>
        <v>Valid</v>
      </c>
      <c r="AQ378" t="str">
        <f>IF(Audit_Data[[#This Row],[Z_CostContact]]=3,"Valid","Invalid")</f>
        <v>Valid</v>
      </c>
      <c r="AR378" t="str">
        <f t="shared" si="75"/>
        <v>Valid</v>
      </c>
      <c r="AS378" t="str">
        <f t="shared" si="76"/>
        <v>Valid</v>
      </c>
    </row>
    <row r="379" spans="1:45" x14ac:dyDescent="0.3">
      <c r="A379">
        <v>4459</v>
      </c>
      <c r="B379">
        <v>1989</v>
      </c>
      <c r="C379" t="s">
        <v>29</v>
      </c>
      <c r="D379" t="s">
        <v>30</v>
      </c>
      <c r="E379">
        <v>30279</v>
      </c>
      <c r="F379">
        <v>1</v>
      </c>
      <c r="G379">
        <v>0</v>
      </c>
      <c r="H379" s="1">
        <v>41273</v>
      </c>
      <c r="I379">
        <v>13</v>
      </c>
      <c r="J379">
        <v>10</v>
      </c>
      <c r="K379">
        <v>4</v>
      </c>
      <c r="L379">
        <v>14</v>
      </c>
      <c r="M379">
        <v>4</v>
      </c>
      <c r="N379">
        <v>4</v>
      </c>
      <c r="O379">
        <v>1</v>
      </c>
      <c r="P379">
        <v>1</v>
      </c>
      <c r="Q379">
        <v>1</v>
      </c>
      <c r="R379">
        <v>0</v>
      </c>
      <c r="S379">
        <v>3</v>
      </c>
      <c r="T379">
        <v>8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3</v>
      </c>
      <c r="AB379">
        <v>11</v>
      </c>
      <c r="AC379">
        <v>0</v>
      </c>
      <c r="AD379" t="str">
        <f t="shared" si="65"/>
        <v>Ok</v>
      </c>
      <c r="AE379" t="str">
        <f>IF(AND(Audit_Data[[#This Row],[Year_Birth]]&gt;=1900,Audit_Data[[#This Row],[Year_Birth]]&lt;=2010),"OK","Invalid")</f>
        <v>OK</v>
      </c>
      <c r="AF379" t="str">
        <f t="shared" si="66"/>
        <v>Valid</v>
      </c>
      <c r="AG379" t="str">
        <f t="shared" si="67"/>
        <v>Valid</v>
      </c>
      <c r="AH379" t="str">
        <f t="shared" si="68"/>
        <v>Valid</v>
      </c>
      <c r="AI379" t="str">
        <f t="shared" si="69"/>
        <v>Valid</v>
      </c>
      <c r="AJ379" t="str">
        <f t="shared" si="70"/>
        <v>Valid</v>
      </c>
      <c r="AK379" t="str">
        <f t="shared" si="77"/>
        <v xml:space="preserve">Valid </v>
      </c>
      <c r="AL379" t="str">
        <f>IF(AND(Audit_Data[[#This Row],[Recency]]&gt;=0,Audit_Data[[#This Row],[Recency]]&lt;=100),"Valid","Invalid")</f>
        <v>Valid</v>
      </c>
      <c r="AM379" t="str">
        <f t="shared" si="71"/>
        <v>Valid</v>
      </c>
      <c r="AN379" t="str">
        <f t="shared" si="72"/>
        <v>Valid</v>
      </c>
      <c r="AO379" t="str">
        <f t="shared" si="73"/>
        <v>Valid</v>
      </c>
      <c r="AP379" t="str">
        <f t="shared" si="74"/>
        <v>Valid</v>
      </c>
      <c r="AQ379" t="str">
        <f>IF(Audit_Data[[#This Row],[Z_CostContact]]=3,"Valid","Invalid")</f>
        <v>Valid</v>
      </c>
      <c r="AR379" t="str">
        <f t="shared" si="75"/>
        <v>Valid</v>
      </c>
      <c r="AS379" t="str">
        <f t="shared" si="76"/>
        <v>Valid</v>
      </c>
    </row>
    <row r="380" spans="1:45" x14ac:dyDescent="0.3">
      <c r="A380">
        <v>1729</v>
      </c>
      <c r="B380">
        <v>1961</v>
      </c>
      <c r="C380" t="s">
        <v>32</v>
      </c>
      <c r="D380" t="s">
        <v>31</v>
      </c>
      <c r="E380">
        <v>66426</v>
      </c>
      <c r="F380">
        <v>0</v>
      </c>
      <c r="G380">
        <v>1</v>
      </c>
      <c r="H380" s="1">
        <v>41549</v>
      </c>
      <c r="I380">
        <v>14</v>
      </c>
      <c r="J380">
        <v>1043</v>
      </c>
      <c r="K380">
        <v>24</v>
      </c>
      <c r="L380">
        <v>97</v>
      </c>
      <c r="M380">
        <v>32</v>
      </c>
      <c r="N380">
        <v>24</v>
      </c>
      <c r="O380">
        <v>157</v>
      </c>
      <c r="P380">
        <v>2</v>
      </c>
      <c r="Q380">
        <v>3</v>
      </c>
      <c r="R380">
        <v>5</v>
      </c>
      <c r="S380">
        <v>10</v>
      </c>
      <c r="T380">
        <v>6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3</v>
      </c>
      <c r="AB380">
        <v>11</v>
      </c>
      <c r="AC380">
        <v>0</v>
      </c>
      <c r="AD380" t="str">
        <f t="shared" si="65"/>
        <v>Ok</v>
      </c>
      <c r="AE380" t="str">
        <f>IF(AND(Audit_Data[[#This Row],[Year_Birth]]&gt;=1900,Audit_Data[[#This Row],[Year_Birth]]&lt;=2010),"OK","Invalid")</f>
        <v>OK</v>
      </c>
      <c r="AF380" t="str">
        <f t="shared" si="66"/>
        <v>Valid</v>
      </c>
      <c r="AG380" t="str">
        <f t="shared" si="67"/>
        <v>Valid</v>
      </c>
      <c r="AH380" t="str">
        <f t="shared" si="68"/>
        <v>Valid</v>
      </c>
      <c r="AI380" t="str">
        <f t="shared" si="69"/>
        <v>Valid</v>
      </c>
      <c r="AJ380" t="str">
        <f t="shared" si="70"/>
        <v>Valid</v>
      </c>
      <c r="AK380" t="str">
        <f t="shared" si="77"/>
        <v xml:space="preserve">Valid </v>
      </c>
      <c r="AL380" t="str">
        <f>IF(AND(Audit_Data[[#This Row],[Recency]]&gt;=0,Audit_Data[[#This Row],[Recency]]&lt;=100),"Valid","Invalid")</f>
        <v>Valid</v>
      </c>
      <c r="AM380" t="str">
        <f t="shared" si="71"/>
        <v>Valid</v>
      </c>
      <c r="AN380" t="str">
        <f t="shared" si="72"/>
        <v>Valid</v>
      </c>
      <c r="AO380" t="str">
        <f t="shared" si="73"/>
        <v>Valid</v>
      </c>
      <c r="AP380" t="str">
        <f t="shared" si="74"/>
        <v>Valid</v>
      </c>
      <c r="AQ380" t="str">
        <f>IF(Audit_Data[[#This Row],[Z_CostContact]]=3,"Valid","Invalid")</f>
        <v>Valid</v>
      </c>
      <c r="AR380" t="str">
        <f t="shared" si="75"/>
        <v>Valid</v>
      </c>
      <c r="AS380" t="str">
        <f t="shared" si="76"/>
        <v>Valid</v>
      </c>
    </row>
    <row r="381" spans="1:45" x14ac:dyDescent="0.3">
      <c r="A381">
        <v>1517</v>
      </c>
      <c r="B381">
        <v>1969</v>
      </c>
      <c r="C381" t="s">
        <v>29</v>
      </c>
      <c r="D381" t="s">
        <v>30</v>
      </c>
      <c r="E381">
        <v>30822</v>
      </c>
      <c r="F381">
        <v>1</v>
      </c>
      <c r="G381">
        <v>0</v>
      </c>
      <c r="H381" s="1">
        <v>41439</v>
      </c>
      <c r="I381">
        <v>92</v>
      </c>
      <c r="J381">
        <v>3</v>
      </c>
      <c r="K381">
        <v>9</v>
      </c>
      <c r="L381">
        <v>13</v>
      </c>
      <c r="M381">
        <v>2</v>
      </c>
      <c r="N381">
        <v>12</v>
      </c>
      <c r="O381">
        <v>12</v>
      </c>
      <c r="P381">
        <v>1</v>
      </c>
      <c r="Q381">
        <v>1</v>
      </c>
      <c r="R381">
        <v>0</v>
      </c>
      <c r="S381">
        <v>3</v>
      </c>
      <c r="T381">
        <v>7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3</v>
      </c>
      <c r="AB381">
        <v>11</v>
      </c>
      <c r="AC381">
        <v>0</v>
      </c>
      <c r="AD381" t="str">
        <f t="shared" si="65"/>
        <v>Ok</v>
      </c>
      <c r="AE381" t="str">
        <f>IF(AND(Audit_Data[[#This Row],[Year_Birth]]&gt;=1900,Audit_Data[[#This Row],[Year_Birth]]&lt;=2010),"OK","Invalid")</f>
        <v>OK</v>
      </c>
      <c r="AF381" t="str">
        <f t="shared" si="66"/>
        <v>Valid</v>
      </c>
      <c r="AG381" t="str">
        <f t="shared" si="67"/>
        <v>Valid</v>
      </c>
      <c r="AH381" t="str">
        <f t="shared" si="68"/>
        <v>Valid</v>
      </c>
      <c r="AI381" t="str">
        <f t="shared" si="69"/>
        <v>Valid</v>
      </c>
      <c r="AJ381" t="str">
        <f t="shared" si="70"/>
        <v>Valid</v>
      </c>
      <c r="AK381" t="str">
        <f t="shared" si="77"/>
        <v xml:space="preserve">Valid </v>
      </c>
      <c r="AL381" t="str">
        <f>IF(AND(Audit_Data[[#This Row],[Recency]]&gt;=0,Audit_Data[[#This Row],[Recency]]&lt;=100),"Valid","Invalid")</f>
        <v>Valid</v>
      </c>
      <c r="AM381" t="str">
        <f t="shared" si="71"/>
        <v>Valid</v>
      </c>
      <c r="AN381" t="str">
        <f t="shared" si="72"/>
        <v>Valid</v>
      </c>
      <c r="AO381" t="str">
        <f t="shared" si="73"/>
        <v>Valid</v>
      </c>
      <c r="AP381" t="str">
        <f t="shared" si="74"/>
        <v>Valid</v>
      </c>
      <c r="AQ381" t="str">
        <f>IF(Audit_Data[[#This Row],[Z_CostContact]]=3,"Valid","Invalid")</f>
        <v>Valid</v>
      </c>
      <c r="AR381" t="str">
        <f t="shared" si="75"/>
        <v>Valid</v>
      </c>
      <c r="AS381" t="str">
        <f t="shared" si="76"/>
        <v>Valid</v>
      </c>
    </row>
    <row r="382" spans="1:45" x14ac:dyDescent="0.3">
      <c r="A382">
        <v>2098</v>
      </c>
      <c r="B382">
        <v>1969</v>
      </c>
      <c r="C382" t="s">
        <v>32</v>
      </c>
      <c r="D382" t="s">
        <v>33</v>
      </c>
      <c r="E382">
        <v>33581</v>
      </c>
      <c r="F382">
        <v>2</v>
      </c>
      <c r="G382">
        <v>0</v>
      </c>
      <c r="H382" s="1">
        <v>41282</v>
      </c>
      <c r="I382">
        <v>38</v>
      </c>
      <c r="J382">
        <v>11</v>
      </c>
      <c r="K382">
        <v>0</v>
      </c>
      <c r="L382">
        <v>5</v>
      </c>
      <c r="M382">
        <v>0</v>
      </c>
      <c r="N382">
        <v>0</v>
      </c>
      <c r="O382">
        <v>1</v>
      </c>
      <c r="P382">
        <v>1</v>
      </c>
      <c r="Q382">
        <v>1</v>
      </c>
      <c r="R382">
        <v>0</v>
      </c>
      <c r="S382">
        <v>2</v>
      </c>
      <c r="T382">
        <v>8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3</v>
      </c>
      <c r="AB382">
        <v>11</v>
      </c>
      <c r="AC382">
        <v>0</v>
      </c>
      <c r="AD382" t="str">
        <f t="shared" si="65"/>
        <v>Ok</v>
      </c>
      <c r="AE382" t="str">
        <f>IF(AND(Audit_Data[[#This Row],[Year_Birth]]&gt;=1900,Audit_Data[[#This Row],[Year_Birth]]&lt;=2010),"OK","Invalid")</f>
        <v>OK</v>
      </c>
      <c r="AF382" t="str">
        <f t="shared" si="66"/>
        <v>Valid</v>
      </c>
      <c r="AG382" t="str">
        <f t="shared" si="67"/>
        <v>Valid</v>
      </c>
      <c r="AH382" t="str">
        <f t="shared" si="68"/>
        <v>Valid</v>
      </c>
      <c r="AI382" t="str">
        <f t="shared" si="69"/>
        <v>Valid</v>
      </c>
      <c r="AJ382" t="str">
        <f t="shared" si="70"/>
        <v>Valid</v>
      </c>
      <c r="AK382" t="str">
        <f t="shared" si="77"/>
        <v xml:space="preserve">Valid </v>
      </c>
      <c r="AL382" t="str">
        <f>IF(AND(Audit_Data[[#This Row],[Recency]]&gt;=0,Audit_Data[[#This Row],[Recency]]&lt;=100),"Valid","Invalid")</f>
        <v>Valid</v>
      </c>
      <c r="AM382" t="str">
        <f t="shared" si="71"/>
        <v>Valid</v>
      </c>
      <c r="AN382" t="str">
        <f t="shared" si="72"/>
        <v>Valid</v>
      </c>
      <c r="AO382" t="str">
        <f t="shared" si="73"/>
        <v>Valid</v>
      </c>
      <c r="AP382" t="str">
        <f t="shared" si="74"/>
        <v>Valid</v>
      </c>
      <c r="AQ382" t="str">
        <f>IF(Audit_Data[[#This Row],[Z_CostContact]]=3,"Valid","Invalid")</f>
        <v>Valid</v>
      </c>
      <c r="AR382" t="str">
        <f t="shared" si="75"/>
        <v>Valid</v>
      </c>
      <c r="AS382" t="str">
        <f t="shared" si="76"/>
        <v>Valid</v>
      </c>
    </row>
    <row r="383" spans="1:45" x14ac:dyDescent="0.3">
      <c r="A383">
        <v>9543</v>
      </c>
      <c r="B383">
        <v>1985</v>
      </c>
      <c r="C383" t="s">
        <v>29</v>
      </c>
      <c r="D383" t="s">
        <v>33</v>
      </c>
      <c r="E383">
        <v>19986</v>
      </c>
      <c r="F383">
        <v>1</v>
      </c>
      <c r="G383">
        <v>0</v>
      </c>
      <c r="H383" s="1">
        <v>41592</v>
      </c>
      <c r="I383">
        <v>74</v>
      </c>
      <c r="J383">
        <v>3</v>
      </c>
      <c r="K383">
        <v>6</v>
      </c>
      <c r="L383">
        <v>5</v>
      </c>
      <c r="M383">
        <v>0</v>
      </c>
      <c r="N383">
        <v>2</v>
      </c>
      <c r="O383">
        <v>6</v>
      </c>
      <c r="P383">
        <v>1</v>
      </c>
      <c r="Q383">
        <v>0</v>
      </c>
      <c r="R383">
        <v>0</v>
      </c>
      <c r="S383">
        <v>3</v>
      </c>
      <c r="T383">
        <v>7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3</v>
      </c>
      <c r="AB383">
        <v>11</v>
      </c>
      <c r="AC383">
        <v>0</v>
      </c>
      <c r="AD383" t="str">
        <f t="shared" si="65"/>
        <v>Ok</v>
      </c>
      <c r="AE383" t="str">
        <f>IF(AND(Audit_Data[[#This Row],[Year_Birth]]&gt;=1900,Audit_Data[[#This Row],[Year_Birth]]&lt;=2010),"OK","Invalid")</f>
        <v>OK</v>
      </c>
      <c r="AF383" t="str">
        <f t="shared" si="66"/>
        <v>Valid</v>
      </c>
      <c r="AG383" t="str">
        <f t="shared" si="67"/>
        <v>Valid</v>
      </c>
      <c r="AH383" t="str">
        <f t="shared" si="68"/>
        <v>Valid</v>
      </c>
      <c r="AI383" t="str">
        <f t="shared" si="69"/>
        <v>Valid</v>
      </c>
      <c r="AJ383" t="str">
        <f t="shared" si="70"/>
        <v>Valid</v>
      </c>
      <c r="AK383" t="str">
        <f t="shared" si="77"/>
        <v xml:space="preserve">Valid </v>
      </c>
      <c r="AL383" t="str">
        <f>IF(AND(Audit_Data[[#This Row],[Recency]]&gt;=0,Audit_Data[[#This Row],[Recency]]&lt;=100),"Valid","Invalid")</f>
        <v>Valid</v>
      </c>
      <c r="AM383" t="str">
        <f t="shared" si="71"/>
        <v>Valid</v>
      </c>
      <c r="AN383" t="str">
        <f t="shared" si="72"/>
        <v>Valid</v>
      </c>
      <c r="AO383" t="str">
        <f t="shared" si="73"/>
        <v>Valid</v>
      </c>
      <c r="AP383" t="str">
        <f t="shared" si="74"/>
        <v>Valid</v>
      </c>
      <c r="AQ383" t="str">
        <f>IF(Audit_Data[[#This Row],[Z_CostContact]]=3,"Valid","Invalid")</f>
        <v>Valid</v>
      </c>
      <c r="AR383" t="str">
        <f t="shared" si="75"/>
        <v>Valid</v>
      </c>
      <c r="AS383" t="str">
        <f t="shared" si="76"/>
        <v>Valid</v>
      </c>
    </row>
    <row r="384" spans="1:45" x14ac:dyDescent="0.3">
      <c r="A384">
        <v>6878</v>
      </c>
      <c r="B384">
        <v>1954</v>
      </c>
      <c r="C384" t="s">
        <v>29</v>
      </c>
      <c r="D384" t="s">
        <v>38</v>
      </c>
      <c r="E384">
        <v>27421</v>
      </c>
      <c r="F384">
        <v>0</v>
      </c>
      <c r="G384">
        <v>0</v>
      </c>
      <c r="H384" s="1">
        <v>41255</v>
      </c>
      <c r="I384">
        <v>14</v>
      </c>
      <c r="J384">
        <v>43</v>
      </c>
      <c r="K384">
        <v>12</v>
      </c>
      <c r="L384">
        <v>96</v>
      </c>
      <c r="M384">
        <v>78</v>
      </c>
      <c r="N384">
        <v>40</v>
      </c>
      <c r="O384">
        <v>55</v>
      </c>
      <c r="P384">
        <v>3</v>
      </c>
      <c r="Q384">
        <v>4</v>
      </c>
      <c r="R384">
        <v>1</v>
      </c>
      <c r="S384">
        <v>6</v>
      </c>
      <c r="T384">
        <v>7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3</v>
      </c>
      <c r="AB384">
        <v>11</v>
      </c>
      <c r="AC384">
        <v>0</v>
      </c>
      <c r="AD384" t="str">
        <f t="shared" si="65"/>
        <v>Ok</v>
      </c>
      <c r="AE384" t="str">
        <f>IF(AND(Audit_Data[[#This Row],[Year_Birth]]&gt;=1900,Audit_Data[[#This Row],[Year_Birth]]&lt;=2010),"OK","Invalid")</f>
        <v>OK</v>
      </c>
      <c r="AF384" t="str">
        <f t="shared" si="66"/>
        <v>Valid</v>
      </c>
      <c r="AG384" t="str">
        <f t="shared" si="67"/>
        <v>Valid</v>
      </c>
      <c r="AH384" t="str">
        <f t="shared" si="68"/>
        <v>Valid</v>
      </c>
      <c r="AI384" t="str">
        <f t="shared" si="69"/>
        <v>Valid</v>
      </c>
      <c r="AJ384" t="str">
        <f t="shared" si="70"/>
        <v>Valid</v>
      </c>
      <c r="AK384" t="str">
        <f t="shared" si="77"/>
        <v xml:space="preserve">Valid </v>
      </c>
      <c r="AL384" t="str">
        <f>IF(AND(Audit_Data[[#This Row],[Recency]]&gt;=0,Audit_Data[[#This Row],[Recency]]&lt;=100),"Valid","Invalid")</f>
        <v>Valid</v>
      </c>
      <c r="AM384" t="str">
        <f t="shared" si="71"/>
        <v>Valid</v>
      </c>
      <c r="AN384" t="str">
        <f t="shared" si="72"/>
        <v>Valid</v>
      </c>
      <c r="AO384" t="str">
        <f t="shared" si="73"/>
        <v>Valid</v>
      </c>
      <c r="AP384" t="str">
        <f t="shared" si="74"/>
        <v>Valid</v>
      </c>
      <c r="AQ384" t="str">
        <f>IF(Audit_Data[[#This Row],[Z_CostContact]]=3,"Valid","Invalid")</f>
        <v>Valid</v>
      </c>
      <c r="AR384" t="str">
        <f t="shared" si="75"/>
        <v>Valid</v>
      </c>
      <c r="AS384" t="str">
        <f t="shared" si="76"/>
        <v>Valid</v>
      </c>
    </row>
    <row r="385" spans="1:45" x14ac:dyDescent="0.3">
      <c r="A385">
        <v>3310</v>
      </c>
      <c r="B385">
        <v>1973</v>
      </c>
      <c r="C385" t="s">
        <v>37</v>
      </c>
      <c r="D385" t="s">
        <v>33</v>
      </c>
      <c r="E385">
        <v>35688</v>
      </c>
      <c r="F385">
        <v>2</v>
      </c>
      <c r="G385">
        <v>1</v>
      </c>
      <c r="H385" s="1">
        <v>41143</v>
      </c>
      <c r="I385">
        <v>94</v>
      </c>
      <c r="J385">
        <v>73</v>
      </c>
      <c r="K385">
        <v>3</v>
      </c>
      <c r="L385">
        <v>90</v>
      </c>
      <c r="M385">
        <v>12</v>
      </c>
      <c r="N385">
        <v>1</v>
      </c>
      <c r="O385">
        <v>32</v>
      </c>
      <c r="P385">
        <v>7</v>
      </c>
      <c r="Q385">
        <v>4</v>
      </c>
      <c r="R385">
        <v>1</v>
      </c>
      <c r="S385">
        <v>4</v>
      </c>
      <c r="T385">
        <v>8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3</v>
      </c>
      <c r="AB385">
        <v>11</v>
      </c>
      <c r="AC385">
        <v>0</v>
      </c>
      <c r="AD385" t="str">
        <f t="shared" si="65"/>
        <v>Ok</v>
      </c>
      <c r="AE385" t="str">
        <f>IF(AND(Audit_Data[[#This Row],[Year_Birth]]&gt;=1900,Audit_Data[[#This Row],[Year_Birth]]&lt;=2010),"OK","Invalid")</f>
        <v>OK</v>
      </c>
      <c r="AF385" t="str">
        <f t="shared" si="66"/>
        <v>Valid</v>
      </c>
      <c r="AG385" t="str">
        <f t="shared" si="67"/>
        <v>Valid</v>
      </c>
      <c r="AH385" t="str">
        <f t="shared" si="68"/>
        <v>Valid</v>
      </c>
      <c r="AI385" t="str">
        <f t="shared" si="69"/>
        <v>Valid</v>
      </c>
      <c r="AJ385" t="str">
        <f t="shared" si="70"/>
        <v>Valid</v>
      </c>
      <c r="AK385" t="str">
        <f t="shared" si="77"/>
        <v xml:space="preserve">Valid </v>
      </c>
      <c r="AL385" t="str">
        <f>IF(AND(Audit_Data[[#This Row],[Recency]]&gt;=0,Audit_Data[[#This Row],[Recency]]&lt;=100),"Valid","Invalid")</f>
        <v>Valid</v>
      </c>
      <c r="AM385" t="str">
        <f t="shared" si="71"/>
        <v>Valid</v>
      </c>
      <c r="AN385" t="str">
        <f t="shared" si="72"/>
        <v>Valid</v>
      </c>
      <c r="AO385" t="str">
        <f t="shared" si="73"/>
        <v>Valid</v>
      </c>
      <c r="AP385" t="str">
        <f t="shared" si="74"/>
        <v>Valid</v>
      </c>
      <c r="AQ385" t="str">
        <f>IF(Audit_Data[[#This Row],[Z_CostContact]]=3,"Valid","Invalid")</f>
        <v>Valid</v>
      </c>
      <c r="AR385" t="str">
        <f t="shared" si="75"/>
        <v>Valid</v>
      </c>
      <c r="AS385" t="str">
        <f t="shared" si="76"/>
        <v>Valid</v>
      </c>
    </row>
    <row r="386" spans="1:45" x14ac:dyDescent="0.3">
      <c r="A386">
        <v>2724</v>
      </c>
      <c r="B386">
        <v>1981</v>
      </c>
      <c r="C386" t="s">
        <v>34</v>
      </c>
      <c r="D386" t="s">
        <v>30</v>
      </c>
      <c r="E386">
        <v>36143</v>
      </c>
      <c r="F386">
        <v>1</v>
      </c>
      <c r="G386">
        <v>0</v>
      </c>
      <c r="H386" s="1">
        <v>41728</v>
      </c>
      <c r="I386">
        <v>33</v>
      </c>
      <c r="J386">
        <v>12</v>
      </c>
      <c r="K386">
        <v>0</v>
      </c>
      <c r="L386">
        <v>1</v>
      </c>
      <c r="M386">
        <v>0</v>
      </c>
      <c r="N386">
        <v>0</v>
      </c>
      <c r="O386">
        <v>6</v>
      </c>
      <c r="P386">
        <v>1</v>
      </c>
      <c r="Q386">
        <v>0</v>
      </c>
      <c r="R386">
        <v>1</v>
      </c>
      <c r="S386">
        <v>2</v>
      </c>
      <c r="T386">
        <v>3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3</v>
      </c>
      <c r="AB386">
        <v>11</v>
      </c>
      <c r="AC386">
        <v>0</v>
      </c>
      <c r="AD386" t="str">
        <f t="shared" ref="AD386:AD449" si="78">IF(COUNTIF(A:A,A386)&gt;1,"Duplicate","Ok")</f>
        <v>Ok</v>
      </c>
      <c r="AE386" t="str">
        <f>IF(AND(Audit_Data[[#This Row],[Year_Birth]]&gt;=1900,Audit_Data[[#This Row],[Year_Birth]]&lt;=2010),"OK","Invalid")</f>
        <v>OK</v>
      </c>
      <c r="AF386" t="str">
        <f t="shared" ref="AF386:AF449" si="79">IF(OR(C386="Graduation",C386="phD",C386="Master",C386="Basic",C386="2n Cycle"),"Valid","Invalid")</f>
        <v>Valid</v>
      </c>
      <c r="AG386" t="str">
        <f t="shared" ref="AG386:AG449" si="80">IF(OR(D386="Single",D386="Married",D386="Divorced",D386="Together",D386="Widow",D386="Alone"),"Valid","Invalid")</f>
        <v>Valid</v>
      </c>
      <c r="AH386" t="str">
        <f t="shared" ref="AH386:AH449" si="81">IF(AND(ISNUMBER(E386),E386&lt;&gt;""),"Valid","Invalid")</f>
        <v>Valid</v>
      </c>
      <c r="AI386" t="str">
        <f t="shared" ref="AI386:AI449" si="82">IF(AND(F386&gt;=0,F386&lt;=2),"Valid","Invalid")</f>
        <v>Valid</v>
      </c>
      <c r="AJ386" t="str">
        <f t="shared" ref="AJ386:AJ449" si="83">IF(AND(G386&gt;=0,G386&lt;=2),"Valid","Invalid")</f>
        <v>Valid</v>
      </c>
      <c r="AK386" t="str">
        <f t="shared" si="77"/>
        <v xml:space="preserve">Valid </v>
      </c>
      <c r="AL386" t="str">
        <f>IF(AND(Audit_Data[[#This Row],[Recency]]&gt;=0,Audit_Data[[#This Row],[Recency]]&lt;=100),"Valid","Invalid")</f>
        <v>Valid</v>
      </c>
      <c r="AM386" t="str">
        <f t="shared" ref="AM386:AM449" si="84">IF(AND(ISNUMBER(J386),J386&gt;=0,ISNUMBER(K386),K386&gt;=0,ISNUMBER(L386),L386&gt;=0,ISNUMBER(M386),M386&gt;=0,ISNUMBER(N386),N386&gt;=0,ISNUMBER(O386),O386&gt;=0),"Valid","Invalid")</f>
        <v>Valid</v>
      </c>
      <c r="AN386" t="str">
        <f t="shared" ref="AN386:AN449" si="85">IF(AND(ISNUMBER(P386),P386&gt;=0,ISNUMBER(Q386),Q386&gt;=0,ISNUMBER(R386),R386&gt;=0,ISNUMBER(S386),S386&gt;=0,ISNUMBER(T386),T386&gt;=0),"Valid","Invalid")</f>
        <v>Valid</v>
      </c>
      <c r="AO386" t="str">
        <f t="shared" ref="AO386:AO449" si="86">IF(AND(U386&lt;=1,V386&lt;=1,W386&lt;=1,X386&lt;=1,Y386&lt;=1),"Valid","Invalid")</f>
        <v>Valid</v>
      </c>
      <c r="AP386" t="str">
        <f t="shared" ref="AP386:AP449" si="87">IF(OR(Z386=0,Z386=1),"Valid","Invalid")</f>
        <v>Valid</v>
      </c>
      <c r="AQ386" t="str">
        <f>IF(Audit_Data[[#This Row],[Z_CostContact]]=3,"Valid","Invalid")</f>
        <v>Valid</v>
      </c>
      <c r="AR386" t="str">
        <f t="shared" ref="AR386:AR449" si="88">IF(AB386=11,"Valid","Invalid")</f>
        <v>Valid</v>
      </c>
      <c r="AS386" t="str">
        <f t="shared" ref="AS386:AS449" si="89">IF(OR(AC386=0,AC386=1),"Valid","Invalid")</f>
        <v>Valid</v>
      </c>
    </row>
    <row r="387" spans="1:45" x14ac:dyDescent="0.3">
      <c r="A387">
        <v>948</v>
      </c>
      <c r="B387">
        <v>1971</v>
      </c>
      <c r="C387" t="s">
        <v>29</v>
      </c>
      <c r="D387" t="s">
        <v>30</v>
      </c>
      <c r="E387">
        <v>10245</v>
      </c>
      <c r="F387">
        <v>1</v>
      </c>
      <c r="G387">
        <v>0</v>
      </c>
      <c r="H387" s="1">
        <v>41409</v>
      </c>
      <c r="I387">
        <v>32</v>
      </c>
      <c r="J387">
        <v>4</v>
      </c>
      <c r="K387">
        <v>7</v>
      </c>
      <c r="L387">
        <v>7</v>
      </c>
      <c r="M387">
        <v>6</v>
      </c>
      <c r="N387">
        <v>4</v>
      </c>
      <c r="O387">
        <v>13</v>
      </c>
      <c r="P387">
        <v>3</v>
      </c>
      <c r="Q387">
        <v>1</v>
      </c>
      <c r="R387">
        <v>2</v>
      </c>
      <c r="S387">
        <v>2</v>
      </c>
      <c r="T387">
        <v>5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3</v>
      </c>
      <c r="AB387">
        <v>11</v>
      </c>
      <c r="AC387">
        <v>0</v>
      </c>
      <c r="AD387" t="str">
        <f t="shared" si="78"/>
        <v>Ok</v>
      </c>
      <c r="AE387" t="str">
        <f>IF(AND(Audit_Data[[#This Row],[Year_Birth]]&gt;=1900,Audit_Data[[#This Row],[Year_Birth]]&lt;=2010),"OK","Invalid")</f>
        <v>OK</v>
      </c>
      <c r="AF387" t="str">
        <f t="shared" si="79"/>
        <v>Valid</v>
      </c>
      <c r="AG387" t="str">
        <f t="shared" si="80"/>
        <v>Valid</v>
      </c>
      <c r="AH387" t="str">
        <f t="shared" si="81"/>
        <v>Valid</v>
      </c>
      <c r="AI387" t="str">
        <f t="shared" si="82"/>
        <v>Valid</v>
      </c>
      <c r="AJ387" t="str">
        <f t="shared" si="83"/>
        <v>Valid</v>
      </c>
      <c r="AK387" t="str">
        <f t="shared" ref="AK387:AK450" si="90">IF(AND(ISNUMBER(H387),H387&gt;=DATE(2012,1,1),H387&lt;=DATE(2014,12,31)),"Valid ","Invalid")</f>
        <v xml:space="preserve">Valid </v>
      </c>
      <c r="AL387" t="str">
        <f>IF(AND(Audit_Data[[#This Row],[Recency]]&gt;=0,Audit_Data[[#This Row],[Recency]]&lt;=100),"Valid","Invalid")</f>
        <v>Valid</v>
      </c>
      <c r="AM387" t="str">
        <f t="shared" si="84"/>
        <v>Valid</v>
      </c>
      <c r="AN387" t="str">
        <f t="shared" si="85"/>
        <v>Valid</v>
      </c>
      <c r="AO387" t="str">
        <f t="shared" si="86"/>
        <v>Valid</v>
      </c>
      <c r="AP387" t="str">
        <f t="shared" si="87"/>
        <v>Valid</v>
      </c>
      <c r="AQ387" t="str">
        <f>IF(Audit_Data[[#This Row],[Z_CostContact]]=3,"Valid","Invalid")</f>
        <v>Valid</v>
      </c>
      <c r="AR387" t="str">
        <f t="shared" si="88"/>
        <v>Valid</v>
      </c>
      <c r="AS387" t="str">
        <f t="shared" si="89"/>
        <v>Valid</v>
      </c>
    </row>
    <row r="388" spans="1:45" x14ac:dyDescent="0.3">
      <c r="A388">
        <v>6720</v>
      </c>
      <c r="B388">
        <v>1968</v>
      </c>
      <c r="C388" t="s">
        <v>34</v>
      </c>
      <c r="D388" t="s">
        <v>31</v>
      </c>
      <c r="E388">
        <v>43795</v>
      </c>
      <c r="F388">
        <v>0</v>
      </c>
      <c r="G388">
        <v>1</v>
      </c>
      <c r="H388" s="1">
        <v>41563</v>
      </c>
      <c r="I388">
        <v>11</v>
      </c>
      <c r="J388">
        <v>314</v>
      </c>
      <c r="K388">
        <v>11</v>
      </c>
      <c r="L388">
        <v>53</v>
      </c>
      <c r="M388">
        <v>4</v>
      </c>
      <c r="N388">
        <v>3</v>
      </c>
      <c r="O388">
        <v>107</v>
      </c>
      <c r="P388">
        <v>3</v>
      </c>
      <c r="Q388">
        <v>7</v>
      </c>
      <c r="R388">
        <v>3</v>
      </c>
      <c r="S388">
        <v>4</v>
      </c>
      <c r="T388">
        <v>7</v>
      </c>
      <c r="U388">
        <v>0</v>
      </c>
      <c r="V388">
        <v>1</v>
      </c>
      <c r="W388">
        <v>0</v>
      </c>
      <c r="X388">
        <v>0</v>
      </c>
      <c r="Y388">
        <v>0</v>
      </c>
      <c r="Z388">
        <v>0</v>
      </c>
      <c r="AA388">
        <v>3</v>
      </c>
      <c r="AB388">
        <v>11</v>
      </c>
      <c r="AC388">
        <v>1</v>
      </c>
      <c r="AD388" t="str">
        <f t="shared" si="78"/>
        <v>Ok</v>
      </c>
      <c r="AE388" t="str">
        <f>IF(AND(Audit_Data[[#This Row],[Year_Birth]]&gt;=1900,Audit_Data[[#This Row],[Year_Birth]]&lt;=2010),"OK","Invalid")</f>
        <v>OK</v>
      </c>
      <c r="AF388" t="str">
        <f t="shared" si="79"/>
        <v>Valid</v>
      </c>
      <c r="AG388" t="str">
        <f t="shared" si="80"/>
        <v>Valid</v>
      </c>
      <c r="AH388" t="str">
        <f t="shared" si="81"/>
        <v>Valid</v>
      </c>
      <c r="AI388" t="str">
        <f t="shared" si="82"/>
        <v>Valid</v>
      </c>
      <c r="AJ388" t="str">
        <f t="shared" si="83"/>
        <v>Valid</v>
      </c>
      <c r="AK388" t="str">
        <f t="shared" si="90"/>
        <v xml:space="preserve">Valid </v>
      </c>
      <c r="AL388" t="str">
        <f>IF(AND(Audit_Data[[#This Row],[Recency]]&gt;=0,Audit_Data[[#This Row],[Recency]]&lt;=100),"Valid","Invalid")</f>
        <v>Valid</v>
      </c>
      <c r="AM388" t="str">
        <f t="shared" si="84"/>
        <v>Valid</v>
      </c>
      <c r="AN388" t="str">
        <f t="shared" si="85"/>
        <v>Valid</v>
      </c>
      <c r="AO388" t="str">
        <f t="shared" si="86"/>
        <v>Valid</v>
      </c>
      <c r="AP388" t="str">
        <f t="shared" si="87"/>
        <v>Valid</v>
      </c>
      <c r="AQ388" t="str">
        <f>IF(Audit_Data[[#This Row],[Z_CostContact]]=3,"Valid","Invalid")</f>
        <v>Valid</v>
      </c>
      <c r="AR388" t="str">
        <f t="shared" si="88"/>
        <v>Valid</v>
      </c>
      <c r="AS388" t="str">
        <f t="shared" si="89"/>
        <v>Valid</v>
      </c>
    </row>
    <row r="389" spans="1:45" x14ac:dyDescent="0.3">
      <c r="A389">
        <v>6202</v>
      </c>
      <c r="B389">
        <v>1960</v>
      </c>
      <c r="C389" t="s">
        <v>29</v>
      </c>
      <c r="D389" t="s">
        <v>31</v>
      </c>
      <c r="E389">
        <v>63381</v>
      </c>
      <c r="F389">
        <v>0</v>
      </c>
      <c r="G389">
        <v>1</v>
      </c>
      <c r="H389" s="1">
        <v>41187</v>
      </c>
      <c r="I389">
        <v>78</v>
      </c>
      <c r="J389">
        <v>571</v>
      </c>
      <c r="K389">
        <v>50</v>
      </c>
      <c r="L389">
        <v>142</v>
      </c>
      <c r="M389">
        <v>33</v>
      </c>
      <c r="N389">
        <v>50</v>
      </c>
      <c r="O389">
        <v>159</v>
      </c>
      <c r="P389">
        <v>4</v>
      </c>
      <c r="Q389">
        <v>4</v>
      </c>
      <c r="R389">
        <v>5</v>
      </c>
      <c r="S389">
        <v>13</v>
      </c>
      <c r="T389">
        <v>2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3</v>
      </c>
      <c r="AB389">
        <v>11</v>
      </c>
      <c r="AC389">
        <v>0</v>
      </c>
      <c r="AD389" t="str">
        <f t="shared" si="78"/>
        <v>Ok</v>
      </c>
      <c r="AE389" t="str">
        <f>IF(AND(Audit_Data[[#This Row],[Year_Birth]]&gt;=1900,Audit_Data[[#This Row],[Year_Birth]]&lt;=2010),"OK","Invalid")</f>
        <v>OK</v>
      </c>
      <c r="AF389" t="str">
        <f t="shared" si="79"/>
        <v>Valid</v>
      </c>
      <c r="AG389" t="str">
        <f t="shared" si="80"/>
        <v>Valid</v>
      </c>
      <c r="AH389" t="str">
        <f t="shared" si="81"/>
        <v>Valid</v>
      </c>
      <c r="AI389" t="str">
        <f t="shared" si="82"/>
        <v>Valid</v>
      </c>
      <c r="AJ389" t="str">
        <f t="shared" si="83"/>
        <v>Valid</v>
      </c>
      <c r="AK389" t="str">
        <f t="shared" si="90"/>
        <v xml:space="preserve">Valid </v>
      </c>
      <c r="AL389" t="str">
        <f>IF(AND(Audit_Data[[#This Row],[Recency]]&gt;=0,Audit_Data[[#This Row],[Recency]]&lt;=100),"Valid","Invalid")</f>
        <v>Valid</v>
      </c>
      <c r="AM389" t="str">
        <f t="shared" si="84"/>
        <v>Valid</v>
      </c>
      <c r="AN389" t="str">
        <f t="shared" si="85"/>
        <v>Valid</v>
      </c>
      <c r="AO389" t="str">
        <f t="shared" si="86"/>
        <v>Valid</v>
      </c>
      <c r="AP389" t="str">
        <f t="shared" si="87"/>
        <v>Valid</v>
      </c>
      <c r="AQ389" t="str">
        <f>IF(Audit_Data[[#This Row],[Z_CostContact]]=3,"Valid","Invalid")</f>
        <v>Valid</v>
      </c>
      <c r="AR389" t="str">
        <f t="shared" si="88"/>
        <v>Valid</v>
      </c>
      <c r="AS389" t="str">
        <f t="shared" si="89"/>
        <v>Valid</v>
      </c>
    </row>
    <row r="390" spans="1:45" x14ac:dyDescent="0.3">
      <c r="A390">
        <v>2066</v>
      </c>
      <c r="B390">
        <v>1949</v>
      </c>
      <c r="C390" t="s">
        <v>29</v>
      </c>
      <c r="D390" t="s">
        <v>31</v>
      </c>
      <c r="E390">
        <v>38823</v>
      </c>
      <c r="F390">
        <v>0</v>
      </c>
      <c r="G390">
        <v>1</v>
      </c>
      <c r="H390" s="1">
        <v>41151</v>
      </c>
      <c r="I390">
        <v>56</v>
      </c>
      <c r="J390">
        <v>70</v>
      </c>
      <c r="K390">
        <v>0</v>
      </c>
      <c r="L390">
        <v>11</v>
      </c>
      <c r="M390">
        <v>2</v>
      </c>
      <c r="N390">
        <v>8</v>
      </c>
      <c r="O390">
        <v>23</v>
      </c>
      <c r="P390">
        <v>1</v>
      </c>
      <c r="Q390">
        <v>2</v>
      </c>
      <c r="R390">
        <v>1</v>
      </c>
      <c r="S390">
        <v>3</v>
      </c>
      <c r="T390">
        <v>6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3</v>
      </c>
      <c r="AB390">
        <v>11</v>
      </c>
      <c r="AC390">
        <v>0</v>
      </c>
      <c r="AD390" t="str">
        <f t="shared" si="78"/>
        <v>Ok</v>
      </c>
      <c r="AE390" t="str">
        <f>IF(AND(Audit_Data[[#This Row],[Year_Birth]]&gt;=1900,Audit_Data[[#This Row],[Year_Birth]]&lt;=2010),"OK","Invalid")</f>
        <v>OK</v>
      </c>
      <c r="AF390" t="str">
        <f t="shared" si="79"/>
        <v>Valid</v>
      </c>
      <c r="AG390" t="str">
        <f t="shared" si="80"/>
        <v>Valid</v>
      </c>
      <c r="AH390" t="str">
        <f t="shared" si="81"/>
        <v>Valid</v>
      </c>
      <c r="AI390" t="str">
        <f t="shared" si="82"/>
        <v>Valid</v>
      </c>
      <c r="AJ390" t="str">
        <f t="shared" si="83"/>
        <v>Valid</v>
      </c>
      <c r="AK390" t="str">
        <f t="shared" si="90"/>
        <v xml:space="preserve">Valid </v>
      </c>
      <c r="AL390" t="str">
        <f>IF(AND(Audit_Data[[#This Row],[Recency]]&gt;=0,Audit_Data[[#This Row],[Recency]]&lt;=100),"Valid","Invalid")</f>
        <v>Valid</v>
      </c>
      <c r="AM390" t="str">
        <f t="shared" si="84"/>
        <v>Valid</v>
      </c>
      <c r="AN390" t="str">
        <f t="shared" si="85"/>
        <v>Valid</v>
      </c>
      <c r="AO390" t="str">
        <f t="shared" si="86"/>
        <v>Valid</v>
      </c>
      <c r="AP390" t="str">
        <f t="shared" si="87"/>
        <v>Valid</v>
      </c>
      <c r="AQ390" t="str">
        <f>IF(Audit_Data[[#This Row],[Z_CostContact]]=3,"Valid","Invalid")</f>
        <v>Valid</v>
      </c>
      <c r="AR390" t="str">
        <f t="shared" si="88"/>
        <v>Valid</v>
      </c>
      <c r="AS390" t="str">
        <f t="shared" si="89"/>
        <v>Valid</v>
      </c>
    </row>
    <row r="391" spans="1:45" x14ac:dyDescent="0.3">
      <c r="A391">
        <v>9799</v>
      </c>
      <c r="B391">
        <v>1968</v>
      </c>
      <c r="C391" t="s">
        <v>32</v>
      </c>
      <c r="D391" t="s">
        <v>35</v>
      </c>
      <c r="E391">
        <v>83664</v>
      </c>
      <c r="F391">
        <v>1</v>
      </c>
      <c r="G391">
        <v>1</v>
      </c>
      <c r="H391" s="1">
        <v>41402</v>
      </c>
      <c r="I391">
        <v>57</v>
      </c>
      <c r="J391">
        <v>866</v>
      </c>
      <c r="K391">
        <v>21</v>
      </c>
      <c r="L391">
        <v>151</v>
      </c>
      <c r="M391">
        <v>28</v>
      </c>
      <c r="N391">
        <v>21</v>
      </c>
      <c r="O391">
        <v>86</v>
      </c>
      <c r="P391">
        <v>3</v>
      </c>
      <c r="Q391">
        <v>2</v>
      </c>
      <c r="R391">
        <v>2</v>
      </c>
      <c r="S391">
        <v>12</v>
      </c>
      <c r="T391">
        <v>5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3</v>
      </c>
      <c r="AB391">
        <v>11</v>
      </c>
      <c r="AC391">
        <v>0</v>
      </c>
      <c r="AD391" t="str">
        <f t="shared" si="78"/>
        <v>Ok</v>
      </c>
      <c r="AE391" t="str">
        <f>IF(AND(Audit_Data[[#This Row],[Year_Birth]]&gt;=1900,Audit_Data[[#This Row],[Year_Birth]]&lt;=2010),"OK","Invalid")</f>
        <v>OK</v>
      </c>
      <c r="AF391" t="str">
        <f t="shared" si="79"/>
        <v>Valid</v>
      </c>
      <c r="AG391" t="str">
        <f t="shared" si="80"/>
        <v>Valid</v>
      </c>
      <c r="AH391" t="str">
        <f t="shared" si="81"/>
        <v>Valid</v>
      </c>
      <c r="AI391" t="str">
        <f t="shared" si="82"/>
        <v>Valid</v>
      </c>
      <c r="AJ391" t="str">
        <f t="shared" si="83"/>
        <v>Valid</v>
      </c>
      <c r="AK391" t="str">
        <f t="shared" si="90"/>
        <v xml:space="preserve">Valid </v>
      </c>
      <c r="AL391" t="str">
        <f>IF(AND(Audit_Data[[#This Row],[Recency]]&gt;=0,Audit_Data[[#This Row],[Recency]]&lt;=100),"Valid","Invalid")</f>
        <v>Valid</v>
      </c>
      <c r="AM391" t="str">
        <f t="shared" si="84"/>
        <v>Valid</v>
      </c>
      <c r="AN391" t="str">
        <f t="shared" si="85"/>
        <v>Valid</v>
      </c>
      <c r="AO391" t="str">
        <f t="shared" si="86"/>
        <v>Valid</v>
      </c>
      <c r="AP391" t="str">
        <f t="shared" si="87"/>
        <v>Valid</v>
      </c>
      <c r="AQ391" t="str">
        <f>IF(Audit_Data[[#This Row],[Z_CostContact]]=3,"Valid","Invalid")</f>
        <v>Valid</v>
      </c>
      <c r="AR391" t="str">
        <f t="shared" si="88"/>
        <v>Valid</v>
      </c>
      <c r="AS391" t="str">
        <f t="shared" si="89"/>
        <v>Valid</v>
      </c>
    </row>
    <row r="392" spans="1:45" x14ac:dyDescent="0.3">
      <c r="A392">
        <v>8318</v>
      </c>
      <c r="B392">
        <v>1979</v>
      </c>
      <c r="C392" t="s">
        <v>29</v>
      </c>
      <c r="D392" t="s">
        <v>31</v>
      </c>
      <c r="E392">
        <v>90300</v>
      </c>
      <c r="F392">
        <v>0</v>
      </c>
      <c r="G392">
        <v>0</v>
      </c>
      <c r="H392" s="1">
        <v>41642</v>
      </c>
      <c r="I392">
        <v>7</v>
      </c>
      <c r="J392">
        <v>594</v>
      </c>
      <c r="K392">
        <v>134</v>
      </c>
      <c r="L392">
        <v>786</v>
      </c>
      <c r="M392">
        <v>33</v>
      </c>
      <c r="N392">
        <v>134</v>
      </c>
      <c r="O392">
        <v>57</v>
      </c>
      <c r="P392">
        <v>0</v>
      </c>
      <c r="Q392">
        <v>5</v>
      </c>
      <c r="R392">
        <v>6</v>
      </c>
      <c r="S392">
        <v>8</v>
      </c>
      <c r="T392">
        <v>1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>
        <v>3</v>
      </c>
      <c r="AB392">
        <v>11</v>
      </c>
      <c r="AC392">
        <v>0</v>
      </c>
      <c r="AD392" t="str">
        <f t="shared" si="78"/>
        <v>Ok</v>
      </c>
      <c r="AE392" t="str">
        <f>IF(AND(Audit_Data[[#This Row],[Year_Birth]]&gt;=1900,Audit_Data[[#This Row],[Year_Birth]]&lt;=2010),"OK","Invalid")</f>
        <v>OK</v>
      </c>
      <c r="AF392" t="str">
        <f t="shared" si="79"/>
        <v>Valid</v>
      </c>
      <c r="AG392" t="str">
        <f t="shared" si="80"/>
        <v>Valid</v>
      </c>
      <c r="AH392" t="str">
        <f t="shared" si="81"/>
        <v>Valid</v>
      </c>
      <c r="AI392" t="str">
        <f t="shared" si="82"/>
        <v>Valid</v>
      </c>
      <c r="AJ392" t="str">
        <f t="shared" si="83"/>
        <v>Valid</v>
      </c>
      <c r="AK392" t="str">
        <f t="shared" si="90"/>
        <v xml:space="preserve">Valid </v>
      </c>
      <c r="AL392" t="str">
        <f>IF(AND(Audit_Data[[#This Row],[Recency]]&gt;=0,Audit_Data[[#This Row],[Recency]]&lt;=100),"Valid","Invalid")</f>
        <v>Valid</v>
      </c>
      <c r="AM392" t="str">
        <f t="shared" si="84"/>
        <v>Valid</v>
      </c>
      <c r="AN392" t="str">
        <f t="shared" si="85"/>
        <v>Valid</v>
      </c>
      <c r="AO392" t="str">
        <f t="shared" si="86"/>
        <v>Valid</v>
      </c>
      <c r="AP392" t="str">
        <f t="shared" si="87"/>
        <v>Valid</v>
      </c>
      <c r="AQ392" t="str">
        <f>IF(Audit_Data[[#This Row],[Z_CostContact]]=3,"Valid","Invalid")</f>
        <v>Valid</v>
      </c>
      <c r="AR392" t="str">
        <f t="shared" si="88"/>
        <v>Valid</v>
      </c>
      <c r="AS392" t="str">
        <f t="shared" si="89"/>
        <v>Valid</v>
      </c>
    </row>
    <row r="393" spans="1:45" x14ac:dyDescent="0.3">
      <c r="A393">
        <v>5642</v>
      </c>
      <c r="B393">
        <v>1979</v>
      </c>
      <c r="C393" t="s">
        <v>34</v>
      </c>
      <c r="D393" t="s">
        <v>31</v>
      </c>
      <c r="E393">
        <v>62499</v>
      </c>
      <c r="F393">
        <v>1</v>
      </c>
      <c r="G393">
        <v>0</v>
      </c>
      <c r="H393" s="1">
        <v>41617</v>
      </c>
      <c r="I393">
        <v>0</v>
      </c>
      <c r="J393">
        <v>140</v>
      </c>
      <c r="K393">
        <v>4</v>
      </c>
      <c r="L393">
        <v>61</v>
      </c>
      <c r="M393">
        <v>0</v>
      </c>
      <c r="N393">
        <v>13</v>
      </c>
      <c r="O393">
        <v>4</v>
      </c>
      <c r="P393">
        <v>2</v>
      </c>
      <c r="Q393">
        <v>3</v>
      </c>
      <c r="R393">
        <v>1</v>
      </c>
      <c r="S393">
        <v>6</v>
      </c>
      <c r="T393">
        <v>4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3</v>
      </c>
      <c r="AB393">
        <v>11</v>
      </c>
      <c r="AC393">
        <v>0</v>
      </c>
      <c r="AD393" t="str">
        <f t="shared" si="78"/>
        <v>Ok</v>
      </c>
      <c r="AE393" t="str">
        <f>IF(AND(Audit_Data[[#This Row],[Year_Birth]]&gt;=1900,Audit_Data[[#This Row],[Year_Birth]]&lt;=2010),"OK","Invalid")</f>
        <v>OK</v>
      </c>
      <c r="AF393" t="str">
        <f t="shared" si="79"/>
        <v>Valid</v>
      </c>
      <c r="AG393" t="str">
        <f t="shared" si="80"/>
        <v>Valid</v>
      </c>
      <c r="AH393" t="str">
        <f t="shared" si="81"/>
        <v>Valid</v>
      </c>
      <c r="AI393" t="str">
        <f t="shared" si="82"/>
        <v>Valid</v>
      </c>
      <c r="AJ393" t="str">
        <f t="shared" si="83"/>
        <v>Valid</v>
      </c>
      <c r="AK393" t="str">
        <f t="shared" si="90"/>
        <v xml:space="preserve">Valid </v>
      </c>
      <c r="AL393" t="str">
        <f>IF(AND(Audit_Data[[#This Row],[Recency]]&gt;=0,Audit_Data[[#This Row],[Recency]]&lt;=100),"Valid","Invalid")</f>
        <v>Valid</v>
      </c>
      <c r="AM393" t="str">
        <f t="shared" si="84"/>
        <v>Valid</v>
      </c>
      <c r="AN393" t="str">
        <f t="shared" si="85"/>
        <v>Valid</v>
      </c>
      <c r="AO393" t="str">
        <f t="shared" si="86"/>
        <v>Valid</v>
      </c>
      <c r="AP393" t="str">
        <f t="shared" si="87"/>
        <v>Valid</v>
      </c>
      <c r="AQ393" t="str">
        <f>IF(Audit_Data[[#This Row],[Z_CostContact]]=3,"Valid","Invalid")</f>
        <v>Valid</v>
      </c>
      <c r="AR393" t="str">
        <f t="shared" si="88"/>
        <v>Valid</v>
      </c>
      <c r="AS393" t="str">
        <f t="shared" si="89"/>
        <v>Valid</v>
      </c>
    </row>
    <row r="394" spans="1:45" x14ac:dyDescent="0.3">
      <c r="A394">
        <v>2669</v>
      </c>
      <c r="B394">
        <v>1993</v>
      </c>
      <c r="C394" t="s">
        <v>29</v>
      </c>
      <c r="D394" t="s">
        <v>30</v>
      </c>
      <c r="E394">
        <v>74293</v>
      </c>
      <c r="F394">
        <v>0</v>
      </c>
      <c r="G394">
        <v>0</v>
      </c>
      <c r="H394" s="1">
        <v>41763</v>
      </c>
      <c r="I394">
        <v>66</v>
      </c>
      <c r="J394">
        <v>375</v>
      </c>
      <c r="K394">
        <v>152</v>
      </c>
      <c r="L394">
        <v>335</v>
      </c>
      <c r="M394">
        <v>93</v>
      </c>
      <c r="N394">
        <v>91</v>
      </c>
      <c r="O394">
        <v>81</v>
      </c>
      <c r="P394">
        <v>1</v>
      </c>
      <c r="Q394">
        <v>5</v>
      </c>
      <c r="R394">
        <v>4</v>
      </c>
      <c r="S394">
        <v>6</v>
      </c>
      <c r="T394">
        <v>2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3</v>
      </c>
      <c r="AB394">
        <v>11</v>
      </c>
      <c r="AC394">
        <v>0</v>
      </c>
      <c r="AD394" t="str">
        <f t="shared" si="78"/>
        <v>Ok</v>
      </c>
      <c r="AE394" t="str">
        <f>IF(AND(Audit_Data[[#This Row],[Year_Birth]]&gt;=1900,Audit_Data[[#This Row],[Year_Birth]]&lt;=2010),"OK","Invalid")</f>
        <v>OK</v>
      </c>
      <c r="AF394" t="str">
        <f t="shared" si="79"/>
        <v>Valid</v>
      </c>
      <c r="AG394" t="str">
        <f t="shared" si="80"/>
        <v>Valid</v>
      </c>
      <c r="AH394" t="str">
        <f t="shared" si="81"/>
        <v>Valid</v>
      </c>
      <c r="AI394" t="str">
        <f t="shared" si="82"/>
        <v>Valid</v>
      </c>
      <c r="AJ394" t="str">
        <f t="shared" si="83"/>
        <v>Valid</v>
      </c>
      <c r="AK394" t="str">
        <f t="shared" si="90"/>
        <v xml:space="preserve">Valid </v>
      </c>
      <c r="AL394" t="str">
        <f>IF(AND(Audit_Data[[#This Row],[Recency]]&gt;=0,Audit_Data[[#This Row],[Recency]]&lt;=100),"Valid","Invalid")</f>
        <v>Valid</v>
      </c>
      <c r="AM394" t="str">
        <f t="shared" si="84"/>
        <v>Valid</v>
      </c>
      <c r="AN394" t="str">
        <f t="shared" si="85"/>
        <v>Valid</v>
      </c>
      <c r="AO394" t="str">
        <f t="shared" si="86"/>
        <v>Valid</v>
      </c>
      <c r="AP394" t="str">
        <f t="shared" si="87"/>
        <v>Valid</v>
      </c>
      <c r="AQ394" t="str">
        <f>IF(Audit_Data[[#This Row],[Z_CostContact]]=3,"Valid","Invalid")</f>
        <v>Valid</v>
      </c>
      <c r="AR394" t="str">
        <f t="shared" si="88"/>
        <v>Valid</v>
      </c>
      <c r="AS394" t="str">
        <f t="shared" si="89"/>
        <v>Valid</v>
      </c>
    </row>
    <row r="395" spans="1:45" x14ac:dyDescent="0.3">
      <c r="A395">
        <v>455</v>
      </c>
      <c r="B395">
        <v>1946</v>
      </c>
      <c r="C395" t="s">
        <v>32</v>
      </c>
      <c r="D395" t="s">
        <v>33</v>
      </c>
      <c r="E395">
        <v>51012</v>
      </c>
      <c r="F395">
        <v>0</v>
      </c>
      <c r="G395">
        <v>0</v>
      </c>
      <c r="H395" s="1">
        <v>41382</v>
      </c>
      <c r="I395">
        <v>86</v>
      </c>
      <c r="J395">
        <v>102</v>
      </c>
      <c r="K395">
        <v>9</v>
      </c>
      <c r="L395">
        <v>63</v>
      </c>
      <c r="M395">
        <v>2</v>
      </c>
      <c r="N395">
        <v>9</v>
      </c>
      <c r="O395">
        <v>24</v>
      </c>
      <c r="P395">
        <v>1</v>
      </c>
      <c r="Q395">
        <v>4</v>
      </c>
      <c r="R395">
        <v>1</v>
      </c>
      <c r="S395">
        <v>4</v>
      </c>
      <c r="T395">
        <v>6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3</v>
      </c>
      <c r="AB395">
        <v>11</v>
      </c>
      <c r="AC395">
        <v>0</v>
      </c>
      <c r="AD395" t="str">
        <f t="shared" si="78"/>
        <v>Ok</v>
      </c>
      <c r="AE395" t="str">
        <f>IF(AND(Audit_Data[[#This Row],[Year_Birth]]&gt;=1900,Audit_Data[[#This Row],[Year_Birth]]&lt;=2010),"OK","Invalid")</f>
        <v>OK</v>
      </c>
      <c r="AF395" t="str">
        <f t="shared" si="79"/>
        <v>Valid</v>
      </c>
      <c r="AG395" t="str">
        <f t="shared" si="80"/>
        <v>Valid</v>
      </c>
      <c r="AH395" t="str">
        <f t="shared" si="81"/>
        <v>Valid</v>
      </c>
      <c r="AI395" t="str">
        <f t="shared" si="82"/>
        <v>Valid</v>
      </c>
      <c r="AJ395" t="str">
        <f t="shared" si="83"/>
        <v>Valid</v>
      </c>
      <c r="AK395" t="str">
        <f t="shared" si="90"/>
        <v xml:space="preserve">Valid </v>
      </c>
      <c r="AL395" t="str">
        <f>IF(AND(Audit_Data[[#This Row],[Recency]]&gt;=0,Audit_Data[[#This Row],[Recency]]&lt;=100),"Valid","Invalid")</f>
        <v>Valid</v>
      </c>
      <c r="AM395" t="str">
        <f t="shared" si="84"/>
        <v>Valid</v>
      </c>
      <c r="AN395" t="str">
        <f t="shared" si="85"/>
        <v>Valid</v>
      </c>
      <c r="AO395" t="str">
        <f t="shared" si="86"/>
        <v>Valid</v>
      </c>
      <c r="AP395" t="str">
        <f t="shared" si="87"/>
        <v>Valid</v>
      </c>
      <c r="AQ395" t="str">
        <f>IF(Audit_Data[[#This Row],[Z_CostContact]]=3,"Valid","Invalid")</f>
        <v>Valid</v>
      </c>
      <c r="AR395" t="str">
        <f t="shared" si="88"/>
        <v>Valid</v>
      </c>
      <c r="AS395" t="str">
        <f t="shared" si="89"/>
        <v>Valid</v>
      </c>
    </row>
    <row r="396" spans="1:45" x14ac:dyDescent="0.3">
      <c r="A396">
        <v>7683</v>
      </c>
      <c r="B396">
        <v>1968</v>
      </c>
      <c r="C396" t="s">
        <v>34</v>
      </c>
      <c r="D396" t="s">
        <v>33</v>
      </c>
      <c r="E396">
        <v>70777</v>
      </c>
      <c r="F396">
        <v>0</v>
      </c>
      <c r="G396">
        <v>1</v>
      </c>
      <c r="H396" s="1">
        <v>41695</v>
      </c>
      <c r="I396">
        <v>80</v>
      </c>
      <c r="J396">
        <v>554</v>
      </c>
      <c r="K396">
        <v>35</v>
      </c>
      <c r="L396">
        <v>113</v>
      </c>
      <c r="M396">
        <v>0</v>
      </c>
      <c r="N396">
        <v>7</v>
      </c>
      <c r="O396">
        <v>78</v>
      </c>
      <c r="P396">
        <v>3</v>
      </c>
      <c r="Q396">
        <v>5</v>
      </c>
      <c r="R396">
        <v>3</v>
      </c>
      <c r="S396">
        <v>12</v>
      </c>
      <c r="T396">
        <v>3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3</v>
      </c>
      <c r="AB396">
        <v>11</v>
      </c>
      <c r="AC396">
        <v>0</v>
      </c>
      <c r="AD396" t="str">
        <f t="shared" si="78"/>
        <v>Ok</v>
      </c>
      <c r="AE396" t="str">
        <f>IF(AND(Audit_Data[[#This Row],[Year_Birth]]&gt;=1900,Audit_Data[[#This Row],[Year_Birth]]&lt;=2010),"OK","Invalid")</f>
        <v>OK</v>
      </c>
      <c r="AF396" t="str">
        <f t="shared" si="79"/>
        <v>Valid</v>
      </c>
      <c r="AG396" t="str">
        <f t="shared" si="80"/>
        <v>Valid</v>
      </c>
      <c r="AH396" t="str">
        <f t="shared" si="81"/>
        <v>Valid</v>
      </c>
      <c r="AI396" t="str">
        <f t="shared" si="82"/>
        <v>Valid</v>
      </c>
      <c r="AJ396" t="str">
        <f t="shared" si="83"/>
        <v>Valid</v>
      </c>
      <c r="AK396" t="str">
        <f t="shared" si="90"/>
        <v xml:space="preserve">Valid </v>
      </c>
      <c r="AL396" t="str">
        <f>IF(AND(Audit_Data[[#This Row],[Recency]]&gt;=0,Audit_Data[[#This Row],[Recency]]&lt;=100),"Valid","Invalid")</f>
        <v>Valid</v>
      </c>
      <c r="AM396" t="str">
        <f t="shared" si="84"/>
        <v>Valid</v>
      </c>
      <c r="AN396" t="str">
        <f t="shared" si="85"/>
        <v>Valid</v>
      </c>
      <c r="AO396" t="str">
        <f t="shared" si="86"/>
        <v>Valid</v>
      </c>
      <c r="AP396" t="str">
        <f t="shared" si="87"/>
        <v>Valid</v>
      </c>
      <c r="AQ396" t="str">
        <f>IF(Audit_Data[[#This Row],[Z_CostContact]]=3,"Valid","Invalid")</f>
        <v>Valid</v>
      </c>
      <c r="AR396" t="str">
        <f t="shared" si="88"/>
        <v>Valid</v>
      </c>
      <c r="AS396" t="str">
        <f t="shared" si="89"/>
        <v>Valid</v>
      </c>
    </row>
    <row r="397" spans="1:45" x14ac:dyDescent="0.3">
      <c r="A397">
        <v>3428</v>
      </c>
      <c r="B397">
        <v>1991</v>
      </c>
      <c r="C397" t="s">
        <v>32</v>
      </c>
      <c r="D397" t="s">
        <v>31</v>
      </c>
      <c r="E397">
        <v>68682</v>
      </c>
      <c r="F397">
        <v>0</v>
      </c>
      <c r="G397">
        <v>0</v>
      </c>
      <c r="H397" s="1">
        <v>41553</v>
      </c>
      <c r="I397">
        <v>56</v>
      </c>
      <c r="J397">
        <v>919</v>
      </c>
      <c r="K397">
        <v>0</v>
      </c>
      <c r="L397">
        <v>505</v>
      </c>
      <c r="M397">
        <v>99</v>
      </c>
      <c r="N397">
        <v>30</v>
      </c>
      <c r="O397">
        <v>45</v>
      </c>
      <c r="P397">
        <v>1</v>
      </c>
      <c r="Q397">
        <v>4</v>
      </c>
      <c r="R397">
        <v>9</v>
      </c>
      <c r="S397">
        <v>10</v>
      </c>
      <c r="T397">
        <v>2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3</v>
      </c>
      <c r="AB397">
        <v>11</v>
      </c>
      <c r="AC397">
        <v>0</v>
      </c>
      <c r="AD397" t="str">
        <f t="shared" si="78"/>
        <v>Ok</v>
      </c>
      <c r="AE397" t="str">
        <f>IF(AND(Audit_Data[[#This Row],[Year_Birth]]&gt;=1900,Audit_Data[[#This Row],[Year_Birth]]&lt;=2010),"OK","Invalid")</f>
        <v>OK</v>
      </c>
      <c r="AF397" t="str">
        <f t="shared" si="79"/>
        <v>Valid</v>
      </c>
      <c r="AG397" t="str">
        <f t="shared" si="80"/>
        <v>Valid</v>
      </c>
      <c r="AH397" t="str">
        <f t="shared" si="81"/>
        <v>Valid</v>
      </c>
      <c r="AI397" t="str">
        <f t="shared" si="82"/>
        <v>Valid</v>
      </c>
      <c r="AJ397" t="str">
        <f t="shared" si="83"/>
        <v>Valid</v>
      </c>
      <c r="AK397" t="str">
        <f t="shared" si="90"/>
        <v xml:space="preserve">Valid </v>
      </c>
      <c r="AL397" t="str">
        <f>IF(AND(Audit_Data[[#This Row],[Recency]]&gt;=0,Audit_Data[[#This Row],[Recency]]&lt;=100),"Valid","Invalid")</f>
        <v>Valid</v>
      </c>
      <c r="AM397" t="str">
        <f t="shared" si="84"/>
        <v>Valid</v>
      </c>
      <c r="AN397" t="str">
        <f t="shared" si="85"/>
        <v>Valid</v>
      </c>
      <c r="AO397" t="str">
        <f t="shared" si="86"/>
        <v>Valid</v>
      </c>
      <c r="AP397" t="str">
        <f t="shared" si="87"/>
        <v>Valid</v>
      </c>
      <c r="AQ397" t="str">
        <f>IF(Audit_Data[[#This Row],[Z_CostContact]]=3,"Valid","Invalid")</f>
        <v>Valid</v>
      </c>
      <c r="AR397" t="str">
        <f t="shared" si="88"/>
        <v>Valid</v>
      </c>
      <c r="AS397" t="str">
        <f t="shared" si="89"/>
        <v>Valid</v>
      </c>
    </row>
    <row r="398" spans="1:45" x14ac:dyDescent="0.3">
      <c r="A398">
        <v>7414</v>
      </c>
      <c r="B398">
        <v>1971</v>
      </c>
      <c r="C398" t="s">
        <v>29</v>
      </c>
      <c r="D398" t="s">
        <v>33</v>
      </c>
      <c r="E398">
        <v>43824</v>
      </c>
      <c r="F398">
        <v>1</v>
      </c>
      <c r="G398">
        <v>1</v>
      </c>
      <c r="H398" s="1">
        <v>41167</v>
      </c>
      <c r="I398">
        <v>18</v>
      </c>
      <c r="J398">
        <v>96</v>
      </c>
      <c r="K398">
        <v>1</v>
      </c>
      <c r="L398">
        <v>42</v>
      </c>
      <c r="M398">
        <v>12</v>
      </c>
      <c r="N398">
        <v>3</v>
      </c>
      <c r="O398">
        <v>32</v>
      </c>
      <c r="P398">
        <v>4</v>
      </c>
      <c r="Q398">
        <v>3</v>
      </c>
      <c r="R398">
        <v>1</v>
      </c>
      <c r="S398">
        <v>4</v>
      </c>
      <c r="T398">
        <v>8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3</v>
      </c>
      <c r="AB398">
        <v>11</v>
      </c>
      <c r="AC398">
        <v>0</v>
      </c>
      <c r="AD398" t="str">
        <f t="shared" si="78"/>
        <v>Ok</v>
      </c>
      <c r="AE398" t="str">
        <f>IF(AND(Audit_Data[[#This Row],[Year_Birth]]&gt;=1900,Audit_Data[[#This Row],[Year_Birth]]&lt;=2010),"OK","Invalid")</f>
        <v>OK</v>
      </c>
      <c r="AF398" t="str">
        <f t="shared" si="79"/>
        <v>Valid</v>
      </c>
      <c r="AG398" t="str">
        <f t="shared" si="80"/>
        <v>Valid</v>
      </c>
      <c r="AH398" t="str">
        <f t="shared" si="81"/>
        <v>Valid</v>
      </c>
      <c r="AI398" t="str">
        <f t="shared" si="82"/>
        <v>Valid</v>
      </c>
      <c r="AJ398" t="str">
        <f t="shared" si="83"/>
        <v>Valid</v>
      </c>
      <c r="AK398" t="str">
        <f t="shared" si="90"/>
        <v xml:space="preserve">Valid </v>
      </c>
      <c r="AL398" t="str">
        <f>IF(AND(Audit_Data[[#This Row],[Recency]]&gt;=0,Audit_Data[[#This Row],[Recency]]&lt;=100),"Valid","Invalid")</f>
        <v>Valid</v>
      </c>
      <c r="AM398" t="str">
        <f t="shared" si="84"/>
        <v>Valid</v>
      </c>
      <c r="AN398" t="str">
        <f t="shared" si="85"/>
        <v>Valid</v>
      </c>
      <c r="AO398" t="str">
        <f t="shared" si="86"/>
        <v>Valid</v>
      </c>
      <c r="AP398" t="str">
        <f t="shared" si="87"/>
        <v>Valid</v>
      </c>
      <c r="AQ398" t="str">
        <f>IF(Audit_Data[[#This Row],[Z_CostContact]]=3,"Valid","Invalid")</f>
        <v>Valid</v>
      </c>
      <c r="AR398" t="str">
        <f t="shared" si="88"/>
        <v>Valid</v>
      </c>
      <c r="AS398" t="str">
        <f t="shared" si="89"/>
        <v>Valid</v>
      </c>
    </row>
    <row r="399" spans="1:45" x14ac:dyDescent="0.3">
      <c r="A399">
        <v>6354</v>
      </c>
      <c r="B399">
        <v>1984</v>
      </c>
      <c r="C399" t="s">
        <v>29</v>
      </c>
      <c r="D399" t="s">
        <v>31</v>
      </c>
      <c r="E399">
        <v>15345</v>
      </c>
      <c r="F399">
        <v>1</v>
      </c>
      <c r="G399">
        <v>0</v>
      </c>
      <c r="H399" s="1">
        <v>41152</v>
      </c>
      <c r="I399">
        <v>51</v>
      </c>
      <c r="J399">
        <v>5</v>
      </c>
      <c r="K399">
        <v>2</v>
      </c>
      <c r="L399">
        <v>16</v>
      </c>
      <c r="M399">
        <v>3</v>
      </c>
      <c r="N399">
        <v>2</v>
      </c>
      <c r="O399">
        <v>19</v>
      </c>
      <c r="P399">
        <v>2</v>
      </c>
      <c r="Q399">
        <v>1</v>
      </c>
      <c r="R399">
        <v>1</v>
      </c>
      <c r="S399">
        <v>2</v>
      </c>
      <c r="T399">
        <v>8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3</v>
      </c>
      <c r="AB399">
        <v>11</v>
      </c>
      <c r="AC399">
        <v>1</v>
      </c>
      <c r="AD399" t="str">
        <f t="shared" si="78"/>
        <v>Ok</v>
      </c>
      <c r="AE399" t="str">
        <f>IF(AND(Audit_Data[[#This Row],[Year_Birth]]&gt;=1900,Audit_Data[[#This Row],[Year_Birth]]&lt;=2010),"OK","Invalid")</f>
        <v>OK</v>
      </c>
      <c r="AF399" t="str">
        <f t="shared" si="79"/>
        <v>Valid</v>
      </c>
      <c r="AG399" t="str">
        <f t="shared" si="80"/>
        <v>Valid</v>
      </c>
      <c r="AH399" t="str">
        <f t="shared" si="81"/>
        <v>Valid</v>
      </c>
      <c r="AI399" t="str">
        <f t="shared" si="82"/>
        <v>Valid</v>
      </c>
      <c r="AJ399" t="str">
        <f t="shared" si="83"/>
        <v>Valid</v>
      </c>
      <c r="AK399" t="str">
        <f t="shared" si="90"/>
        <v xml:space="preserve">Valid </v>
      </c>
      <c r="AL399" t="str">
        <f>IF(AND(Audit_Data[[#This Row],[Recency]]&gt;=0,Audit_Data[[#This Row],[Recency]]&lt;=100),"Valid","Invalid")</f>
        <v>Valid</v>
      </c>
      <c r="AM399" t="str">
        <f t="shared" si="84"/>
        <v>Valid</v>
      </c>
      <c r="AN399" t="str">
        <f t="shared" si="85"/>
        <v>Valid</v>
      </c>
      <c r="AO399" t="str">
        <f t="shared" si="86"/>
        <v>Valid</v>
      </c>
      <c r="AP399" t="str">
        <f t="shared" si="87"/>
        <v>Valid</v>
      </c>
      <c r="AQ399" t="str">
        <f>IF(Audit_Data[[#This Row],[Z_CostContact]]=3,"Valid","Invalid")</f>
        <v>Valid</v>
      </c>
      <c r="AR399" t="str">
        <f t="shared" si="88"/>
        <v>Valid</v>
      </c>
      <c r="AS399" t="str">
        <f t="shared" si="89"/>
        <v>Valid</v>
      </c>
    </row>
    <row r="400" spans="1:45" x14ac:dyDescent="0.3">
      <c r="A400">
        <v>798</v>
      </c>
      <c r="B400">
        <v>1987</v>
      </c>
      <c r="C400" t="s">
        <v>29</v>
      </c>
      <c r="D400" t="s">
        <v>30</v>
      </c>
      <c r="E400">
        <v>23442</v>
      </c>
      <c r="F400">
        <v>1</v>
      </c>
      <c r="G400">
        <v>0</v>
      </c>
      <c r="H400" s="1">
        <v>41267</v>
      </c>
      <c r="I400">
        <v>71</v>
      </c>
      <c r="J400">
        <v>2</v>
      </c>
      <c r="K400">
        <v>0</v>
      </c>
      <c r="L400">
        <v>6</v>
      </c>
      <c r="M400">
        <v>8</v>
      </c>
      <c r="N400">
        <v>6</v>
      </c>
      <c r="O400">
        <v>5</v>
      </c>
      <c r="P400">
        <v>1</v>
      </c>
      <c r="Q400">
        <v>1</v>
      </c>
      <c r="R400">
        <v>0</v>
      </c>
      <c r="S400">
        <v>3</v>
      </c>
      <c r="T400">
        <v>7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3</v>
      </c>
      <c r="AB400">
        <v>11</v>
      </c>
      <c r="AC400">
        <v>0</v>
      </c>
      <c r="AD400" t="str">
        <f t="shared" si="78"/>
        <v>Ok</v>
      </c>
      <c r="AE400" t="str">
        <f>IF(AND(Audit_Data[[#This Row],[Year_Birth]]&gt;=1900,Audit_Data[[#This Row],[Year_Birth]]&lt;=2010),"OK","Invalid")</f>
        <v>OK</v>
      </c>
      <c r="AF400" t="str">
        <f t="shared" si="79"/>
        <v>Valid</v>
      </c>
      <c r="AG400" t="str">
        <f t="shared" si="80"/>
        <v>Valid</v>
      </c>
      <c r="AH400" t="str">
        <f t="shared" si="81"/>
        <v>Valid</v>
      </c>
      <c r="AI400" t="str">
        <f t="shared" si="82"/>
        <v>Valid</v>
      </c>
      <c r="AJ400" t="str">
        <f t="shared" si="83"/>
        <v>Valid</v>
      </c>
      <c r="AK400" t="str">
        <f t="shared" si="90"/>
        <v xml:space="preserve">Valid </v>
      </c>
      <c r="AL400" t="str">
        <f>IF(AND(Audit_Data[[#This Row],[Recency]]&gt;=0,Audit_Data[[#This Row],[Recency]]&lt;=100),"Valid","Invalid")</f>
        <v>Valid</v>
      </c>
      <c r="AM400" t="str">
        <f t="shared" si="84"/>
        <v>Valid</v>
      </c>
      <c r="AN400" t="str">
        <f t="shared" si="85"/>
        <v>Valid</v>
      </c>
      <c r="AO400" t="str">
        <f t="shared" si="86"/>
        <v>Valid</v>
      </c>
      <c r="AP400" t="str">
        <f t="shared" si="87"/>
        <v>Valid</v>
      </c>
      <c r="AQ400" t="str">
        <f>IF(Audit_Data[[#This Row],[Z_CostContact]]=3,"Valid","Invalid")</f>
        <v>Valid</v>
      </c>
      <c r="AR400" t="str">
        <f t="shared" si="88"/>
        <v>Valid</v>
      </c>
      <c r="AS400" t="str">
        <f t="shared" si="89"/>
        <v>Valid</v>
      </c>
    </row>
    <row r="401" spans="1:45" x14ac:dyDescent="0.3">
      <c r="A401">
        <v>8213</v>
      </c>
      <c r="B401">
        <v>1980</v>
      </c>
      <c r="C401" t="s">
        <v>37</v>
      </c>
      <c r="D401" t="s">
        <v>31</v>
      </c>
      <c r="E401">
        <v>14515</v>
      </c>
      <c r="F401">
        <v>1</v>
      </c>
      <c r="G401">
        <v>0</v>
      </c>
      <c r="H401" s="1">
        <v>41222</v>
      </c>
      <c r="I401">
        <v>71</v>
      </c>
      <c r="J401">
        <v>6</v>
      </c>
      <c r="K401">
        <v>4</v>
      </c>
      <c r="L401">
        <v>9</v>
      </c>
      <c r="M401">
        <v>6</v>
      </c>
      <c r="N401">
        <v>36</v>
      </c>
      <c r="O401">
        <v>35</v>
      </c>
      <c r="P401">
        <v>4</v>
      </c>
      <c r="Q401">
        <v>2</v>
      </c>
      <c r="R401">
        <v>2</v>
      </c>
      <c r="S401">
        <v>3</v>
      </c>
      <c r="T401">
        <v>7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3</v>
      </c>
      <c r="AB401">
        <v>11</v>
      </c>
      <c r="AC401">
        <v>1</v>
      </c>
      <c r="AD401" t="str">
        <f t="shared" si="78"/>
        <v>Ok</v>
      </c>
      <c r="AE401" t="str">
        <f>IF(AND(Audit_Data[[#This Row],[Year_Birth]]&gt;=1900,Audit_Data[[#This Row],[Year_Birth]]&lt;=2010),"OK","Invalid")</f>
        <v>OK</v>
      </c>
      <c r="AF401" t="str">
        <f t="shared" si="79"/>
        <v>Valid</v>
      </c>
      <c r="AG401" t="str">
        <f t="shared" si="80"/>
        <v>Valid</v>
      </c>
      <c r="AH401" t="str">
        <f t="shared" si="81"/>
        <v>Valid</v>
      </c>
      <c r="AI401" t="str">
        <f t="shared" si="82"/>
        <v>Valid</v>
      </c>
      <c r="AJ401" t="str">
        <f t="shared" si="83"/>
        <v>Valid</v>
      </c>
      <c r="AK401" t="str">
        <f t="shared" si="90"/>
        <v xml:space="preserve">Valid </v>
      </c>
      <c r="AL401" t="str">
        <f>IF(AND(Audit_Data[[#This Row],[Recency]]&gt;=0,Audit_Data[[#This Row],[Recency]]&lt;=100),"Valid","Invalid")</f>
        <v>Valid</v>
      </c>
      <c r="AM401" t="str">
        <f t="shared" si="84"/>
        <v>Valid</v>
      </c>
      <c r="AN401" t="str">
        <f t="shared" si="85"/>
        <v>Valid</v>
      </c>
      <c r="AO401" t="str">
        <f t="shared" si="86"/>
        <v>Valid</v>
      </c>
      <c r="AP401" t="str">
        <f t="shared" si="87"/>
        <v>Valid</v>
      </c>
      <c r="AQ401" t="str">
        <f>IF(Audit_Data[[#This Row],[Z_CostContact]]=3,"Valid","Invalid")</f>
        <v>Valid</v>
      </c>
      <c r="AR401" t="str">
        <f t="shared" si="88"/>
        <v>Valid</v>
      </c>
      <c r="AS401" t="str">
        <f t="shared" si="89"/>
        <v>Valid</v>
      </c>
    </row>
    <row r="402" spans="1:45" x14ac:dyDescent="0.3">
      <c r="A402">
        <v>2488</v>
      </c>
      <c r="B402">
        <v>1956</v>
      </c>
      <c r="C402" t="s">
        <v>37</v>
      </c>
      <c r="D402" t="s">
        <v>35</v>
      </c>
      <c r="E402">
        <v>31395</v>
      </c>
      <c r="F402">
        <v>1</v>
      </c>
      <c r="G402">
        <v>1</v>
      </c>
      <c r="H402" s="1">
        <v>41356</v>
      </c>
      <c r="I402">
        <v>80</v>
      </c>
      <c r="J402">
        <v>23</v>
      </c>
      <c r="K402">
        <v>1</v>
      </c>
      <c r="L402">
        <v>25</v>
      </c>
      <c r="M402">
        <v>0</v>
      </c>
      <c r="N402">
        <v>8</v>
      </c>
      <c r="O402">
        <v>7</v>
      </c>
      <c r="P402">
        <v>4</v>
      </c>
      <c r="Q402">
        <v>2</v>
      </c>
      <c r="R402">
        <v>1</v>
      </c>
      <c r="S402">
        <v>3</v>
      </c>
      <c r="T402">
        <v>6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3</v>
      </c>
      <c r="AB402">
        <v>11</v>
      </c>
      <c r="AC402">
        <v>0</v>
      </c>
      <c r="AD402" t="str">
        <f t="shared" si="78"/>
        <v>Ok</v>
      </c>
      <c r="AE402" t="str">
        <f>IF(AND(Audit_Data[[#This Row],[Year_Birth]]&gt;=1900,Audit_Data[[#This Row],[Year_Birth]]&lt;=2010),"OK","Invalid")</f>
        <v>OK</v>
      </c>
      <c r="AF402" t="str">
        <f t="shared" si="79"/>
        <v>Valid</v>
      </c>
      <c r="AG402" t="str">
        <f t="shared" si="80"/>
        <v>Valid</v>
      </c>
      <c r="AH402" t="str">
        <f t="shared" si="81"/>
        <v>Valid</v>
      </c>
      <c r="AI402" t="str">
        <f t="shared" si="82"/>
        <v>Valid</v>
      </c>
      <c r="AJ402" t="str">
        <f t="shared" si="83"/>
        <v>Valid</v>
      </c>
      <c r="AK402" t="str">
        <f t="shared" si="90"/>
        <v xml:space="preserve">Valid </v>
      </c>
      <c r="AL402" t="str">
        <f>IF(AND(Audit_Data[[#This Row],[Recency]]&gt;=0,Audit_Data[[#This Row],[Recency]]&lt;=100),"Valid","Invalid")</f>
        <v>Valid</v>
      </c>
      <c r="AM402" t="str">
        <f t="shared" si="84"/>
        <v>Valid</v>
      </c>
      <c r="AN402" t="str">
        <f t="shared" si="85"/>
        <v>Valid</v>
      </c>
      <c r="AO402" t="str">
        <f t="shared" si="86"/>
        <v>Valid</v>
      </c>
      <c r="AP402" t="str">
        <f t="shared" si="87"/>
        <v>Valid</v>
      </c>
      <c r="AQ402" t="str">
        <f>IF(Audit_Data[[#This Row],[Z_CostContact]]=3,"Valid","Invalid")</f>
        <v>Valid</v>
      </c>
      <c r="AR402" t="str">
        <f t="shared" si="88"/>
        <v>Valid</v>
      </c>
      <c r="AS402" t="str">
        <f t="shared" si="89"/>
        <v>Valid</v>
      </c>
    </row>
    <row r="403" spans="1:45" x14ac:dyDescent="0.3">
      <c r="A403">
        <v>9999</v>
      </c>
      <c r="B403">
        <v>1965</v>
      </c>
      <c r="C403" t="s">
        <v>29</v>
      </c>
      <c r="D403" t="s">
        <v>31</v>
      </c>
      <c r="E403">
        <v>75276</v>
      </c>
      <c r="F403">
        <v>0</v>
      </c>
      <c r="G403">
        <v>0</v>
      </c>
      <c r="H403" s="1">
        <v>41179</v>
      </c>
      <c r="I403">
        <v>2</v>
      </c>
      <c r="J403">
        <v>610</v>
      </c>
      <c r="K403">
        <v>105</v>
      </c>
      <c r="L403">
        <v>125</v>
      </c>
      <c r="M403">
        <v>137</v>
      </c>
      <c r="N403">
        <v>42</v>
      </c>
      <c r="O403">
        <v>21</v>
      </c>
      <c r="P403">
        <v>1</v>
      </c>
      <c r="Q403">
        <v>9</v>
      </c>
      <c r="R403">
        <v>4</v>
      </c>
      <c r="S403">
        <v>9</v>
      </c>
      <c r="T403">
        <v>5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3</v>
      </c>
      <c r="AB403">
        <v>11</v>
      </c>
      <c r="AC403">
        <v>0</v>
      </c>
      <c r="AD403" t="str">
        <f t="shared" si="78"/>
        <v>Ok</v>
      </c>
      <c r="AE403" t="str">
        <f>IF(AND(Audit_Data[[#This Row],[Year_Birth]]&gt;=1900,Audit_Data[[#This Row],[Year_Birth]]&lt;=2010),"OK","Invalid")</f>
        <v>OK</v>
      </c>
      <c r="AF403" t="str">
        <f t="shared" si="79"/>
        <v>Valid</v>
      </c>
      <c r="AG403" t="str">
        <f t="shared" si="80"/>
        <v>Valid</v>
      </c>
      <c r="AH403" t="str">
        <f t="shared" si="81"/>
        <v>Valid</v>
      </c>
      <c r="AI403" t="str">
        <f t="shared" si="82"/>
        <v>Valid</v>
      </c>
      <c r="AJ403" t="str">
        <f t="shared" si="83"/>
        <v>Valid</v>
      </c>
      <c r="AK403" t="str">
        <f t="shared" si="90"/>
        <v xml:space="preserve">Valid </v>
      </c>
      <c r="AL403" t="str">
        <f>IF(AND(Audit_Data[[#This Row],[Recency]]&gt;=0,Audit_Data[[#This Row],[Recency]]&lt;=100),"Valid","Invalid")</f>
        <v>Valid</v>
      </c>
      <c r="AM403" t="str">
        <f t="shared" si="84"/>
        <v>Valid</v>
      </c>
      <c r="AN403" t="str">
        <f t="shared" si="85"/>
        <v>Valid</v>
      </c>
      <c r="AO403" t="str">
        <f t="shared" si="86"/>
        <v>Valid</v>
      </c>
      <c r="AP403" t="str">
        <f t="shared" si="87"/>
        <v>Valid</v>
      </c>
      <c r="AQ403" t="str">
        <f>IF(Audit_Data[[#This Row],[Z_CostContact]]=3,"Valid","Invalid")</f>
        <v>Valid</v>
      </c>
      <c r="AR403" t="str">
        <f t="shared" si="88"/>
        <v>Valid</v>
      </c>
      <c r="AS403" t="str">
        <f t="shared" si="89"/>
        <v>Valid</v>
      </c>
    </row>
    <row r="404" spans="1:45" x14ac:dyDescent="0.3">
      <c r="A404">
        <v>7617</v>
      </c>
      <c r="B404">
        <v>1974</v>
      </c>
      <c r="C404" t="s">
        <v>29</v>
      </c>
      <c r="D404" t="s">
        <v>30</v>
      </c>
      <c r="E404">
        <v>42373</v>
      </c>
      <c r="F404">
        <v>1</v>
      </c>
      <c r="G404">
        <v>1</v>
      </c>
      <c r="H404" s="1">
        <v>41501</v>
      </c>
      <c r="I404">
        <v>83</v>
      </c>
      <c r="J404">
        <v>67</v>
      </c>
      <c r="K404">
        <v>5</v>
      </c>
      <c r="L404">
        <v>61</v>
      </c>
      <c r="M404">
        <v>3</v>
      </c>
      <c r="N404">
        <v>8</v>
      </c>
      <c r="O404">
        <v>19</v>
      </c>
      <c r="P404">
        <v>5</v>
      </c>
      <c r="Q404">
        <v>2</v>
      </c>
      <c r="R404">
        <v>1</v>
      </c>
      <c r="S404">
        <v>5</v>
      </c>
      <c r="T404">
        <v>5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3</v>
      </c>
      <c r="AB404">
        <v>11</v>
      </c>
      <c r="AC404">
        <v>0</v>
      </c>
      <c r="AD404" t="str">
        <f t="shared" si="78"/>
        <v>Ok</v>
      </c>
      <c r="AE404" t="str">
        <f>IF(AND(Audit_Data[[#This Row],[Year_Birth]]&gt;=1900,Audit_Data[[#This Row],[Year_Birth]]&lt;=2010),"OK","Invalid")</f>
        <v>OK</v>
      </c>
      <c r="AF404" t="str">
        <f t="shared" si="79"/>
        <v>Valid</v>
      </c>
      <c r="AG404" t="str">
        <f t="shared" si="80"/>
        <v>Valid</v>
      </c>
      <c r="AH404" t="str">
        <f t="shared" si="81"/>
        <v>Valid</v>
      </c>
      <c r="AI404" t="str">
        <f t="shared" si="82"/>
        <v>Valid</v>
      </c>
      <c r="AJ404" t="str">
        <f t="shared" si="83"/>
        <v>Valid</v>
      </c>
      <c r="AK404" t="str">
        <f t="shared" si="90"/>
        <v xml:space="preserve">Valid </v>
      </c>
      <c r="AL404" t="str">
        <f>IF(AND(Audit_Data[[#This Row],[Recency]]&gt;=0,Audit_Data[[#This Row],[Recency]]&lt;=100),"Valid","Invalid")</f>
        <v>Valid</v>
      </c>
      <c r="AM404" t="str">
        <f t="shared" si="84"/>
        <v>Valid</v>
      </c>
      <c r="AN404" t="str">
        <f t="shared" si="85"/>
        <v>Valid</v>
      </c>
      <c r="AO404" t="str">
        <f t="shared" si="86"/>
        <v>Valid</v>
      </c>
      <c r="AP404" t="str">
        <f t="shared" si="87"/>
        <v>Valid</v>
      </c>
      <c r="AQ404" t="str">
        <f>IF(Audit_Data[[#This Row],[Z_CostContact]]=3,"Valid","Invalid")</f>
        <v>Valid</v>
      </c>
      <c r="AR404" t="str">
        <f t="shared" si="88"/>
        <v>Valid</v>
      </c>
      <c r="AS404" t="str">
        <f t="shared" si="89"/>
        <v>Valid</v>
      </c>
    </row>
    <row r="405" spans="1:45" x14ac:dyDescent="0.3">
      <c r="A405">
        <v>615</v>
      </c>
      <c r="B405">
        <v>1960</v>
      </c>
      <c r="C405" t="s">
        <v>29</v>
      </c>
      <c r="D405" t="s">
        <v>31</v>
      </c>
      <c r="E405">
        <v>30507</v>
      </c>
      <c r="F405">
        <v>0</v>
      </c>
      <c r="G405">
        <v>0</v>
      </c>
      <c r="H405" s="1">
        <v>41344</v>
      </c>
      <c r="I405">
        <v>29</v>
      </c>
      <c r="J405">
        <v>65</v>
      </c>
      <c r="K405">
        <v>36</v>
      </c>
      <c r="L405">
        <v>74</v>
      </c>
      <c r="M405">
        <v>38</v>
      </c>
      <c r="N405">
        <v>20</v>
      </c>
      <c r="O405">
        <v>110</v>
      </c>
      <c r="P405">
        <v>1</v>
      </c>
      <c r="Q405">
        <v>5</v>
      </c>
      <c r="R405">
        <v>1</v>
      </c>
      <c r="S405">
        <v>4</v>
      </c>
      <c r="T405">
        <v>7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3</v>
      </c>
      <c r="AB405">
        <v>11</v>
      </c>
      <c r="AC405">
        <v>0</v>
      </c>
      <c r="AD405" t="str">
        <f t="shared" si="78"/>
        <v>Ok</v>
      </c>
      <c r="AE405" t="str">
        <f>IF(AND(Audit_Data[[#This Row],[Year_Birth]]&gt;=1900,Audit_Data[[#This Row],[Year_Birth]]&lt;=2010),"OK","Invalid")</f>
        <v>OK</v>
      </c>
      <c r="AF405" t="str">
        <f t="shared" si="79"/>
        <v>Valid</v>
      </c>
      <c r="AG405" t="str">
        <f t="shared" si="80"/>
        <v>Valid</v>
      </c>
      <c r="AH405" t="str">
        <f t="shared" si="81"/>
        <v>Valid</v>
      </c>
      <c r="AI405" t="str">
        <f t="shared" si="82"/>
        <v>Valid</v>
      </c>
      <c r="AJ405" t="str">
        <f t="shared" si="83"/>
        <v>Valid</v>
      </c>
      <c r="AK405" t="str">
        <f t="shared" si="90"/>
        <v xml:space="preserve">Valid </v>
      </c>
      <c r="AL405" t="str">
        <f>IF(AND(Audit_Data[[#This Row],[Recency]]&gt;=0,Audit_Data[[#This Row],[Recency]]&lt;=100),"Valid","Invalid")</f>
        <v>Valid</v>
      </c>
      <c r="AM405" t="str">
        <f t="shared" si="84"/>
        <v>Valid</v>
      </c>
      <c r="AN405" t="str">
        <f t="shared" si="85"/>
        <v>Valid</v>
      </c>
      <c r="AO405" t="str">
        <f t="shared" si="86"/>
        <v>Valid</v>
      </c>
      <c r="AP405" t="str">
        <f t="shared" si="87"/>
        <v>Valid</v>
      </c>
      <c r="AQ405" t="str">
        <f>IF(Audit_Data[[#This Row],[Z_CostContact]]=3,"Valid","Invalid")</f>
        <v>Valid</v>
      </c>
      <c r="AR405" t="str">
        <f t="shared" si="88"/>
        <v>Valid</v>
      </c>
      <c r="AS405" t="str">
        <f t="shared" si="89"/>
        <v>Valid</v>
      </c>
    </row>
    <row r="406" spans="1:45" x14ac:dyDescent="0.3">
      <c r="A406">
        <v>2552</v>
      </c>
      <c r="B406">
        <v>1955</v>
      </c>
      <c r="C406" t="s">
        <v>32</v>
      </c>
      <c r="D406" t="s">
        <v>30</v>
      </c>
      <c r="E406">
        <v>55521</v>
      </c>
      <c r="F406">
        <v>1</v>
      </c>
      <c r="G406">
        <v>2</v>
      </c>
      <c r="H406" s="1">
        <v>41569</v>
      </c>
      <c r="I406">
        <v>11</v>
      </c>
      <c r="J406">
        <v>416</v>
      </c>
      <c r="K406">
        <v>0</v>
      </c>
      <c r="L406">
        <v>26</v>
      </c>
      <c r="M406">
        <v>0</v>
      </c>
      <c r="N406">
        <v>0</v>
      </c>
      <c r="O406">
        <v>4</v>
      </c>
      <c r="P406">
        <v>9</v>
      </c>
      <c r="Q406">
        <v>6</v>
      </c>
      <c r="R406">
        <v>3</v>
      </c>
      <c r="S406">
        <v>6</v>
      </c>
      <c r="T406">
        <v>7</v>
      </c>
      <c r="U406">
        <v>0</v>
      </c>
      <c r="V406">
        <v>1</v>
      </c>
      <c r="W406">
        <v>0</v>
      </c>
      <c r="X406">
        <v>0</v>
      </c>
      <c r="Y406">
        <v>0</v>
      </c>
      <c r="Z406">
        <v>0</v>
      </c>
      <c r="AA406">
        <v>3</v>
      </c>
      <c r="AB406">
        <v>11</v>
      </c>
      <c r="AC406">
        <v>1</v>
      </c>
      <c r="AD406" t="str">
        <f t="shared" si="78"/>
        <v>Ok</v>
      </c>
      <c r="AE406" t="str">
        <f>IF(AND(Audit_Data[[#This Row],[Year_Birth]]&gt;=1900,Audit_Data[[#This Row],[Year_Birth]]&lt;=2010),"OK","Invalid")</f>
        <v>OK</v>
      </c>
      <c r="AF406" t="str">
        <f t="shared" si="79"/>
        <v>Valid</v>
      </c>
      <c r="AG406" t="str">
        <f t="shared" si="80"/>
        <v>Valid</v>
      </c>
      <c r="AH406" t="str">
        <f t="shared" si="81"/>
        <v>Valid</v>
      </c>
      <c r="AI406" t="str">
        <f t="shared" si="82"/>
        <v>Valid</v>
      </c>
      <c r="AJ406" t="str">
        <f t="shared" si="83"/>
        <v>Valid</v>
      </c>
      <c r="AK406" t="str">
        <f t="shared" si="90"/>
        <v xml:space="preserve">Valid </v>
      </c>
      <c r="AL406" t="str">
        <f>IF(AND(Audit_Data[[#This Row],[Recency]]&gt;=0,Audit_Data[[#This Row],[Recency]]&lt;=100),"Valid","Invalid")</f>
        <v>Valid</v>
      </c>
      <c r="AM406" t="str">
        <f t="shared" si="84"/>
        <v>Valid</v>
      </c>
      <c r="AN406" t="str">
        <f t="shared" si="85"/>
        <v>Valid</v>
      </c>
      <c r="AO406" t="str">
        <f t="shared" si="86"/>
        <v>Valid</v>
      </c>
      <c r="AP406" t="str">
        <f t="shared" si="87"/>
        <v>Valid</v>
      </c>
      <c r="AQ406" t="str">
        <f>IF(Audit_Data[[#This Row],[Z_CostContact]]=3,"Valid","Invalid")</f>
        <v>Valid</v>
      </c>
      <c r="AR406" t="str">
        <f t="shared" si="88"/>
        <v>Valid</v>
      </c>
      <c r="AS406" t="str">
        <f t="shared" si="89"/>
        <v>Valid</v>
      </c>
    </row>
    <row r="407" spans="1:45" x14ac:dyDescent="0.3">
      <c r="A407">
        <v>194</v>
      </c>
      <c r="B407">
        <v>1965</v>
      </c>
      <c r="C407" t="s">
        <v>29</v>
      </c>
      <c r="D407" t="s">
        <v>33</v>
      </c>
      <c r="E407">
        <v>48006</v>
      </c>
      <c r="F407">
        <v>1</v>
      </c>
      <c r="G407">
        <v>1</v>
      </c>
      <c r="H407" s="1">
        <v>41799</v>
      </c>
      <c r="I407">
        <v>55</v>
      </c>
      <c r="J407">
        <v>23</v>
      </c>
      <c r="K407">
        <v>0</v>
      </c>
      <c r="L407">
        <v>11</v>
      </c>
      <c r="M407">
        <v>3</v>
      </c>
      <c r="N407">
        <v>2</v>
      </c>
      <c r="O407">
        <v>2</v>
      </c>
      <c r="P407">
        <v>1</v>
      </c>
      <c r="Q407">
        <v>1</v>
      </c>
      <c r="R407">
        <v>0</v>
      </c>
      <c r="S407">
        <v>3</v>
      </c>
      <c r="T407">
        <v>6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3</v>
      </c>
      <c r="AB407">
        <v>11</v>
      </c>
      <c r="AC407">
        <v>0</v>
      </c>
      <c r="AD407" t="str">
        <f t="shared" si="78"/>
        <v>Ok</v>
      </c>
      <c r="AE407" t="str">
        <f>IF(AND(Audit_Data[[#This Row],[Year_Birth]]&gt;=1900,Audit_Data[[#This Row],[Year_Birth]]&lt;=2010),"OK","Invalid")</f>
        <v>OK</v>
      </c>
      <c r="AF407" t="str">
        <f t="shared" si="79"/>
        <v>Valid</v>
      </c>
      <c r="AG407" t="str">
        <f t="shared" si="80"/>
        <v>Valid</v>
      </c>
      <c r="AH407" t="str">
        <f t="shared" si="81"/>
        <v>Valid</v>
      </c>
      <c r="AI407" t="str">
        <f t="shared" si="82"/>
        <v>Valid</v>
      </c>
      <c r="AJ407" t="str">
        <f t="shared" si="83"/>
        <v>Valid</v>
      </c>
      <c r="AK407" t="str">
        <f t="shared" si="90"/>
        <v xml:space="preserve">Valid </v>
      </c>
      <c r="AL407" t="str">
        <f>IF(AND(Audit_Data[[#This Row],[Recency]]&gt;=0,Audit_Data[[#This Row],[Recency]]&lt;=100),"Valid","Invalid")</f>
        <v>Valid</v>
      </c>
      <c r="AM407" t="str">
        <f t="shared" si="84"/>
        <v>Valid</v>
      </c>
      <c r="AN407" t="str">
        <f t="shared" si="85"/>
        <v>Valid</v>
      </c>
      <c r="AO407" t="str">
        <f t="shared" si="86"/>
        <v>Valid</v>
      </c>
      <c r="AP407" t="str">
        <f t="shared" si="87"/>
        <v>Valid</v>
      </c>
      <c r="AQ407" t="str">
        <f>IF(Audit_Data[[#This Row],[Z_CostContact]]=3,"Valid","Invalid")</f>
        <v>Valid</v>
      </c>
      <c r="AR407" t="str">
        <f t="shared" si="88"/>
        <v>Valid</v>
      </c>
      <c r="AS407" t="str">
        <f t="shared" si="89"/>
        <v>Valid</v>
      </c>
    </row>
    <row r="408" spans="1:45" x14ac:dyDescent="0.3">
      <c r="A408">
        <v>3645</v>
      </c>
      <c r="B408">
        <v>1972</v>
      </c>
      <c r="C408" t="s">
        <v>32</v>
      </c>
      <c r="D408" t="s">
        <v>30</v>
      </c>
      <c r="E408">
        <v>27213</v>
      </c>
      <c r="F408">
        <v>1</v>
      </c>
      <c r="G408">
        <v>0</v>
      </c>
      <c r="H408" s="1">
        <v>41151</v>
      </c>
      <c r="I408">
        <v>19</v>
      </c>
      <c r="J408">
        <v>19</v>
      </c>
      <c r="K408">
        <v>3</v>
      </c>
      <c r="L408">
        <v>26</v>
      </c>
      <c r="M408">
        <v>10</v>
      </c>
      <c r="N408">
        <v>9</v>
      </c>
      <c r="O408">
        <v>3</v>
      </c>
      <c r="P408">
        <v>3</v>
      </c>
      <c r="Q408">
        <v>2</v>
      </c>
      <c r="R408">
        <v>0</v>
      </c>
      <c r="S408">
        <v>4</v>
      </c>
      <c r="T408">
        <v>8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3</v>
      </c>
      <c r="AB408">
        <v>11</v>
      </c>
      <c r="AC408">
        <v>1</v>
      </c>
      <c r="AD408" t="str">
        <f t="shared" si="78"/>
        <v>Ok</v>
      </c>
      <c r="AE408" t="str">
        <f>IF(AND(Audit_Data[[#This Row],[Year_Birth]]&gt;=1900,Audit_Data[[#This Row],[Year_Birth]]&lt;=2010),"OK","Invalid")</f>
        <v>OK</v>
      </c>
      <c r="AF408" t="str">
        <f t="shared" si="79"/>
        <v>Valid</v>
      </c>
      <c r="AG408" t="str">
        <f t="shared" si="80"/>
        <v>Valid</v>
      </c>
      <c r="AH408" t="str">
        <f t="shared" si="81"/>
        <v>Valid</v>
      </c>
      <c r="AI408" t="str">
        <f t="shared" si="82"/>
        <v>Valid</v>
      </c>
      <c r="AJ408" t="str">
        <f t="shared" si="83"/>
        <v>Valid</v>
      </c>
      <c r="AK408" t="str">
        <f t="shared" si="90"/>
        <v xml:space="preserve">Valid </v>
      </c>
      <c r="AL408" t="str">
        <f>IF(AND(Audit_Data[[#This Row],[Recency]]&gt;=0,Audit_Data[[#This Row],[Recency]]&lt;=100),"Valid","Invalid")</f>
        <v>Valid</v>
      </c>
      <c r="AM408" t="str">
        <f t="shared" si="84"/>
        <v>Valid</v>
      </c>
      <c r="AN408" t="str">
        <f t="shared" si="85"/>
        <v>Valid</v>
      </c>
      <c r="AO408" t="str">
        <f t="shared" si="86"/>
        <v>Valid</v>
      </c>
      <c r="AP408" t="str">
        <f t="shared" si="87"/>
        <v>Valid</v>
      </c>
      <c r="AQ408" t="str">
        <f>IF(Audit_Data[[#This Row],[Z_CostContact]]=3,"Valid","Invalid")</f>
        <v>Valid</v>
      </c>
      <c r="AR408" t="str">
        <f t="shared" si="88"/>
        <v>Valid</v>
      </c>
      <c r="AS408" t="str">
        <f t="shared" si="89"/>
        <v>Valid</v>
      </c>
    </row>
    <row r="409" spans="1:45" x14ac:dyDescent="0.3">
      <c r="A409">
        <v>8890</v>
      </c>
      <c r="B409">
        <v>1971</v>
      </c>
      <c r="C409" t="s">
        <v>32</v>
      </c>
      <c r="D409" t="s">
        <v>35</v>
      </c>
      <c r="E409">
        <v>65808</v>
      </c>
      <c r="F409">
        <v>1</v>
      </c>
      <c r="G409">
        <v>1</v>
      </c>
      <c r="H409" s="1">
        <v>41789</v>
      </c>
      <c r="I409">
        <v>1</v>
      </c>
      <c r="J409">
        <v>155</v>
      </c>
      <c r="K409">
        <v>7</v>
      </c>
      <c r="L409">
        <v>80</v>
      </c>
      <c r="M409">
        <v>13</v>
      </c>
      <c r="N409">
        <v>7</v>
      </c>
      <c r="O409">
        <v>10</v>
      </c>
      <c r="P409">
        <v>3</v>
      </c>
      <c r="Q409">
        <v>5</v>
      </c>
      <c r="R409">
        <v>1</v>
      </c>
      <c r="S409">
        <v>5</v>
      </c>
      <c r="T409">
        <v>6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3</v>
      </c>
      <c r="AB409">
        <v>11</v>
      </c>
      <c r="AC409">
        <v>0</v>
      </c>
      <c r="AD409" t="str">
        <f t="shared" si="78"/>
        <v>Ok</v>
      </c>
      <c r="AE409" t="str">
        <f>IF(AND(Audit_Data[[#This Row],[Year_Birth]]&gt;=1900,Audit_Data[[#This Row],[Year_Birth]]&lt;=2010),"OK","Invalid")</f>
        <v>OK</v>
      </c>
      <c r="AF409" t="str">
        <f t="shared" si="79"/>
        <v>Valid</v>
      </c>
      <c r="AG409" t="str">
        <f t="shared" si="80"/>
        <v>Valid</v>
      </c>
      <c r="AH409" t="str">
        <f t="shared" si="81"/>
        <v>Valid</v>
      </c>
      <c r="AI409" t="str">
        <f t="shared" si="82"/>
        <v>Valid</v>
      </c>
      <c r="AJ409" t="str">
        <f t="shared" si="83"/>
        <v>Valid</v>
      </c>
      <c r="AK409" t="str">
        <f t="shared" si="90"/>
        <v xml:space="preserve">Valid </v>
      </c>
      <c r="AL409" t="str">
        <f>IF(AND(Audit_Data[[#This Row],[Recency]]&gt;=0,Audit_Data[[#This Row],[Recency]]&lt;=100),"Valid","Invalid")</f>
        <v>Valid</v>
      </c>
      <c r="AM409" t="str">
        <f t="shared" si="84"/>
        <v>Valid</v>
      </c>
      <c r="AN409" t="str">
        <f t="shared" si="85"/>
        <v>Valid</v>
      </c>
      <c r="AO409" t="str">
        <f t="shared" si="86"/>
        <v>Valid</v>
      </c>
      <c r="AP409" t="str">
        <f t="shared" si="87"/>
        <v>Valid</v>
      </c>
      <c r="AQ409" t="str">
        <f>IF(Audit_Data[[#This Row],[Z_CostContact]]=3,"Valid","Invalid")</f>
        <v>Valid</v>
      </c>
      <c r="AR409" t="str">
        <f t="shared" si="88"/>
        <v>Valid</v>
      </c>
      <c r="AS409" t="str">
        <f t="shared" si="89"/>
        <v>Valid</v>
      </c>
    </row>
    <row r="410" spans="1:45" x14ac:dyDescent="0.3">
      <c r="A410">
        <v>5049</v>
      </c>
      <c r="B410">
        <v>1974</v>
      </c>
      <c r="C410" t="s">
        <v>32</v>
      </c>
      <c r="D410" t="s">
        <v>31</v>
      </c>
      <c r="E410">
        <v>30351</v>
      </c>
      <c r="F410">
        <v>1</v>
      </c>
      <c r="G410">
        <v>0</v>
      </c>
      <c r="H410" s="1">
        <v>41431</v>
      </c>
      <c r="I410">
        <v>19</v>
      </c>
      <c r="J410">
        <v>14</v>
      </c>
      <c r="K410">
        <v>0</v>
      </c>
      <c r="L410">
        <v>24</v>
      </c>
      <c r="M410">
        <v>3</v>
      </c>
      <c r="N410">
        <v>3</v>
      </c>
      <c r="O410">
        <v>2</v>
      </c>
      <c r="P410">
        <v>1</v>
      </c>
      <c r="Q410">
        <v>3</v>
      </c>
      <c r="R410">
        <v>0</v>
      </c>
      <c r="S410">
        <v>2</v>
      </c>
      <c r="T410">
        <v>9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3</v>
      </c>
      <c r="AB410">
        <v>11</v>
      </c>
      <c r="AC410">
        <v>0</v>
      </c>
      <c r="AD410" t="str">
        <f t="shared" si="78"/>
        <v>Ok</v>
      </c>
      <c r="AE410" t="str">
        <f>IF(AND(Audit_Data[[#This Row],[Year_Birth]]&gt;=1900,Audit_Data[[#This Row],[Year_Birth]]&lt;=2010),"OK","Invalid")</f>
        <v>OK</v>
      </c>
      <c r="AF410" t="str">
        <f t="shared" si="79"/>
        <v>Valid</v>
      </c>
      <c r="AG410" t="str">
        <f t="shared" si="80"/>
        <v>Valid</v>
      </c>
      <c r="AH410" t="str">
        <f t="shared" si="81"/>
        <v>Valid</v>
      </c>
      <c r="AI410" t="str">
        <f t="shared" si="82"/>
        <v>Valid</v>
      </c>
      <c r="AJ410" t="str">
        <f t="shared" si="83"/>
        <v>Valid</v>
      </c>
      <c r="AK410" t="str">
        <f t="shared" si="90"/>
        <v xml:space="preserve">Valid </v>
      </c>
      <c r="AL410" t="str">
        <f>IF(AND(Audit_Data[[#This Row],[Recency]]&gt;=0,Audit_Data[[#This Row],[Recency]]&lt;=100),"Valid","Invalid")</f>
        <v>Valid</v>
      </c>
      <c r="AM410" t="str">
        <f t="shared" si="84"/>
        <v>Valid</v>
      </c>
      <c r="AN410" t="str">
        <f t="shared" si="85"/>
        <v>Valid</v>
      </c>
      <c r="AO410" t="str">
        <f t="shared" si="86"/>
        <v>Valid</v>
      </c>
      <c r="AP410" t="str">
        <f t="shared" si="87"/>
        <v>Valid</v>
      </c>
      <c r="AQ410" t="str">
        <f>IF(Audit_Data[[#This Row],[Z_CostContact]]=3,"Valid","Invalid")</f>
        <v>Valid</v>
      </c>
      <c r="AR410" t="str">
        <f t="shared" si="88"/>
        <v>Valid</v>
      </c>
      <c r="AS410" t="str">
        <f t="shared" si="89"/>
        <v>Valid</v>
      </c>
    </row>
    <row r="411" spans="1:45" x14ac:dyDescent="0.3">
      <c r="A411">
        <v>9973</v>
      </c>
      <c r="B411">
        <v>1963</v>
      </c>
      <c r="C411" t="s">
        <v>29</v>
      </c>
      <c r="D411" t="s">
        <v>33</v>
      </c>
      <c r="E411">
        <v>50437</v>
      </c>
      <c r="F411">
        <v>0</v>
      </c>
      <c r="G411">
        <v>2</v>
      </c>
      <c r="H411" s="1">
        <v>41199</v>
      </c>
      <c r="I411">
        <v>28</v>
      </c>
      <c r="J411">
        <v>370</v>
      </c>
      <c r="K411">
        <v>9</v>
      </c>
      <c r="L411">
        <v>92</v>
      </c>
      <c r="M411">
        <v>6</v>
      </c>
      <c r="N411">
        <v>9</v>
      </c>
      <c r="O411">
        <v>4</v>
      </c>
      <c r="P411">
        <v>3</v>
      </c>
      <c r="Q411">
        <v>7</v>
      </c>
      <c r="R411">
        <v>1</v>
      </c>
      <c r="S411">
        <v>8</v>
      </c>
      <c r="T411">
        <v>7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3</v>
      </c>
      <c r="AB411">
        <v>11</v>
      </c>
      <c r="AC411">
        <v>0</v>
      </c>
      <c r="AD411" t="str">
        <f t="shared" si="78"/>
        <v>Ok</v>
      </c>
      <c r="AE411" t="str">
        <f>IF(AND(Audit_Data[[#This Row],[Year_Birth]]&gt;=1900,Audit_Data[[#This Row],[Year_Birth]]&lt;=2010),"OK","Invalid")</f>
        <v>OK</v>
      </c>
      <c r="AF411" t="str">
        <f t="shared" si="79"/>
        <v>Valid</v>
      </c>
      <c r="AG411" t="str">
        <f t="shared" si="80"/>
        <v>Valid</v>
      </c>
      <c r="AH411" t="str">
        <f t="shared" si="81"/>
        <v>Valid</v>
      </c>
      <c r="AI411" t="str">
        <f t="shared" si="82"/>
        <v>Valid</v>
      </c>
      <c r="AJ411" t="str">
        <f t="shared" si="83"/>
        <v>Valid</v>
      </c>
      <c r="AK411" t="str">
        <f t="shared" si="90"/>
        <v xml:space="preserve">Valid </v>
      </c>
      <c r="AL411" t="str">
        <f>IF(AND(Audit_Data[[#This Row],[Recency]]&gt;=0,Audit_Data[[#This Row],[Recency]]&lt;=100),"Valid","Invalid")</f>
        <v>Valid</v>
      </c>
      <c r="AM411" t="str">
        <f t="shared" si="84"/>
        <v>Valid</v>
      </c>
      <c r="AN411" t="str">
        <f t="shared" si="85"/>
        <v>Valid</v>
      </c>
      <c r="AO411" t="str">
        <f t="shared" si="86"/>
        <v>Valid</v>
      </c>
      <c r="AP411" t="str">
        <f t="shared" si="87"/>
        <v>Valid</v>
      </c>
      <c r="AQ411" t="str">
        <f>IF(Audit_Data[[#This Row],[Z_CostContact]]=3,"Valid","Invalid")</f>
        <v>Valid</v>
      </c>
      <c r="AR411" t="str">
        <f t="shared" si="88"/>
        <v>Valid</v>
      </c>
      <c r="AS411" t="str">
        <f t="shared" si="89"/>
        <v>Valid</v>
      </c>
    </row>
    <row r="412" spans="1:45" x14ac:dyDescent="0.3">
      <c r="A412">
        <v>7301</v>
      </c>
      <c r="B412">
        <v>1982</v>
      </c>
      <c r="C412" t="s">
        <v>37</v>
      </c>
      <c r="D412" t="s">
        <v>30</v>
      </c>
      <c r="E412">
        <v>23616</v>
      </c>
      <c r="F412">
        <v>1</v>
      </c>
      <c r="G412">
        <v>0</v>
      </c>
      <c r="H412" s="1">
        <v>41230</v>
      </c>
      <c r="I412">
        <v>76</v>
      </c>
      <c r="J412">
        <v>4</v>
      </c>
      <c r="K412">
        <v>22</v>
      </c>
      <c r="L412">
        <v>11</v>
      </c>
      <c r="M412">
        <v>3</v>
      </c>
      <c r="N412">
        <v>7</v>
      </c>
      <c r="O412">
        <v>32</v>
      </c>
      <c r="P412">
        <v>2</v>
      </c>
      <c r="Q412">
        <v>3</v>
      </c>
      <c r="R412">
        <v>0</v>
      </c>
      <c r="S412">
        <v>3</v>
      </c>
      <c r="T412">
        <v>8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3</v>
      </c>
      <c r="AB412">
        <v>11</v>
      </c>
      <c r="AC412">
        <v>1</v>
      </c>
      <c r="AD412" t="str">
        <f t="shared" si="78"/>
        <v>Ok</v>
      </c>
      <c r="AE412" t="str">
        <f>IF(AND(Audit_Data[[#This Row],[Year_Birth]]&gt;=1900,Audit_Data[[#This Row],[Year_Birth]]&lt;=2010),"OK","Invalid")</f>
        <v>OK</v>
      </c>
      <c r="AF412" t="str">
        <f t="shared" si="79"/>
        <v>Valid</v>
      </c>
      <c r="AG412" t="str">
        <f t="shared" si="80"/>
        <v>Valid</v>
      </c>
      <c r="AH412" t="str">
        <f t="shared" si="81"/>
        <v>Valid</v>
      </c>
      <c r="AI412" t="str">
        <f t="shared" si="82"/>
        <v>Valid</v>
      </c>
      <c r="AJ412" t="str">
        <f t="shared" si="83"/>
        <v>Valid</v>
      </c>
      <c r="AK412" t="str">
        <f t="shared" si="90"/>
        <v xml:space="preserve">Valid </v>
      </c>
      <c r="AL412" t="str">
        <f>IF(AND(Audit_Data[[#This Row],[Recency]]&gt;=0,Audit_Data[[#This Row],[Recency]]&lt;=100),"Valid","Invalid")</f>
        <v>Valid</v>
      </c>
      <c r="AM412" t="str">
        <f t="shared" si="84"/>
        <v>Valid</v>
      </c>
      <c r="AN412" t="str">
        <f t="shared" si="85"/>
        <v>Valid</v>
      </c>
      <c r="AO412" t="str">
        <f t="shared" si="86"/>
        <v>Valid</v>
      </c>
      <c r="AP412" t="str">
        <f t="shared" si="87"/>
        <v>Valid</v>
      </c>
      <c r="AQ412" t="str">
        <f>IF(Audit_Data[[#This Row],[Z_CostContact]]=3,"Valid","Invalid")</f>
        <v>Valid</v>
      </c>
      <c r="AR412" t="str">
        <f t="shared" si="88"/>
        <v>Valid</v>
      </c>
      <c r="AS412" t="str">
        <f t="shared" si="89"/>
        <v>Valid</v>
      </c>
    </row>
    <row r="413" spans="1:45" x14ac:dyDescent="0.3">
      <c r="A413">
        <v>10882</v>
      </c>
      <c r="B413">
        <v>1976</v>
      </c>
      <c r="C413" t="s">
        <v>29</v>
      </c>
      <c r="D413" t="s">
        <v>33</v>
      </c>
      <c r="E413">
        <v>53858</v>
      </c>
      <c r="F413">
        <v>0</v>
      </c>
      <c r="G413">
        <v>1</v>
      </c>
      <c r="H413" s="1">
        <v>41222</v>
      </c>
      <c r="I413">
        <v>50</v>
      </c>
      <c r="J413">
        <v>407</v>
      </c>
      <c r="K413">
        <v>53</v>
      </c>
      <c r="L413">
        <v>221</v>
      </c>
      <c r="M413">
        <v>58</v>
      </c>
      <c r="N413">
        <v>150</v>
      </c>
      <c r="O413">
        <v>26</v>
      </c>
      <c r="P413">
        <v>4</v>
      </c>
      <c r="Q413">
        <v>4</v>
      </c>
      <c r="R413">
        <v>3</v>
      </c>
      <c r="S413">
        <v>6</v>
      </c>
      <c r="T413">
        <v>4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3</v>
      </c>
      <c r="AB413">
        <v>11</v>
      </c>
      <c r="AC413">
        <v>0</v>
      </c>
      <c r="AD413" t="str">
        <f t="shared" si="78"/>
        <v>Ok</v>
      </c>
      <c r="AE413" t="str">
        <f>IF(AND(Audit_Data[[#This Row],[Year_Birth]]&gt;=1900,Audit_Data[[#This Row],[Year_Birth]]&lt;=2010),"OK","Invalid")</f>
        <v>OK</v>
      </c>
      <c r="AF413" t="str">
        <f t="shared" si="79"/>
        <v>Valid</v>
      </c>
      <c r="AG413" t="str">
        <f t="shared" si="80"/>
        <v>Valid</v>
      </c>
      <c r="AH413" t="str">
        <f t="shared" si="81"/>
        <v>Valid</v>
      </c>
      <c r="AI413" t="str">
        <f t="shared" si="82"/>
        <v>Valid</v>
      </c>
      <c r="AJ413" t="str">
        <f t="shared" si="83"/>
        <v>Valid</v>
      </c>
      <c r="AK413" t="str">
        <f t="shared" si="90"/>
        <v xml:space="preserve">Valid </v>
      </c>
      <c r="AL413" t="str">
        <f>IF(AND(Audit_Data[[#This Row],[Recency]]&gt;=0,Audit_Data[[#This Row],[Recency]]&lt;=100),"Valid","Invalid")</f>
        <v>Valid</v>
      </c>
      <c r="AM413" t="str">
        <f t="shared" si="84"/>
        <v>Valid</v>
      </c>
      <c r="AN413" t="str">
        <f t="shared" si="85"/>
        <v>Valid</v>
      </c>
      <c r="AO413" t="str">
        <f t="shared" si="86"/>
        <v>Valid</v>
      </c>
      <c r="AP413" t="str">
        <f t="shared" si="87"/>
        <v>Valid</v>
      </c>
      <c r="AQ413" t="str">
        <f>IF(Audit_Data[[#This Row],[Z_CostContact]]=3,"Valid","Invalid")</f>
        <v>Valid</v>
      </c>
      <c r="AR413" t="str">
        <f t="shared" si="88"/>
        <v>Valid</v>
      </c>
      <c r="AS413" t="str">
        <f t="shared" si="89"/>
        <v>Valid</v>
      </c>
    </row>
    <row r="414" spans="1:45" x14ac:dyDescent="0.3">
      <c r="A414">
        <v>7030</v>
      </c>
      <c r="B414">
        <v>1955</v>
      </c>
      <c r="C414" t="s">
        <v>32</v>
      </c>
      <c r="D414" t="s">
        <v>33</v>
      </c>
      <c r="E414">
        <v>66465</v>
      </c>
      <c r="F414">
        <v>0</v>
      </c>
      <c r="G414">
        <v>1</v>
      </c>
      <c r="H414" s="1">
        <v>41363</v>
      </c>
      <c r="I414">
        <v>1</v>
      </c>
      <c r="J414">
        <v>1200</v>
      </c>
      <c r="K414">
        <v>0</v>
      </c>
      <c r="L414">
        <v>204</v>
      </c>
      <c r="M414">
        <v>38</v>
      </c>
      <c r="N414">
        <v>29</v>
      </c>
      <c r="O414">
        <v>14</v>
      </c>
      <c r="P414">
        <v>3</v>
      </c>
      <c r="Q414">
        <v>11</v>
      </c>
      <c r="R414">
        <v>9</v>
      </c>
      <c r="S414">
        <v>12</v>
      </c>
      <c r="T414">
        <v>6</v>
      </c>
      <c r="U414">
        <v>0</v>
      </c>
      <c r="V414">
        <v>0</v>
      </c>
      <c r="W414">
        <v>0</v>
      </c>
      <c r="X414">
        <v>1</v>
      </c>
      <c r="Y414">
        <v>0</v>
      </c>
      <c r="Z414">
        <v>0</v>
      </c>
      <c r="AA414">
        <v>3</v>
      </c>
      <c r="AB414">
        <v>11</v>
      </c>
      <c r="AC414">
        <v>0</v>
      </c>
      <c r="AD414" t="str">
        <f t="shared" si="78"/>
        <v>Ok</v>
      </c>
      <c r="AE414" t="str">
        <f>IF(AND(Audit_Data[[#This Row],[Year_Birth]]&gt;=1900,Audit_Data[[#This Row],[Year_Birth]]&lt;=2010),"OK","Invalid")</f>
        <v>OK</v>
      </c>
      <c r="AF414" t="str">
        <f t="shared" si="79"/>
        <v>Valid</v>
      </c>
      <c r="AG414" t="str">
        <f t="shared" si="80"/>
        <v>Valid</v>
      </c>
      <c r="AH414" t="str">
        <f t="shared" si="81"/>
        <v>Valid</v>
      </c>
      <c r="AI414" t="str">
        <f t="shared" si="82"/>
        <v>Valid</v>
      </c>
      <c r="AJ414" t="str">
        <f t="shared" si="83"/>
        <v>Valid</v>
      </c>
      <c r="AK414" t="str">
        <f t="shared" si="90"/>
        <v xml:space="preserve">Valid </v>
      </c>
      <c r="AL414" t="str">
        <f>IF(AND(Audit_Data[[#This Row],[Recency]]&gt;=0,Audit_Data[[#This Row],[Recency]]&lt;=100),"Valid","Invalid")</f>
        <v>Valid</v>
      </c>
      <c r="AM414" t="str">
        <f t="shared" si="84"/>
        <v>Valid</v>
      </c>
      <c r="AN414" t="str">
        <f t="shared" si="85"/>
        <v>Valid</v>
      </c>
      <c r="AO414" t="str">
        <f t="shared" si="86"/>
        <v>Valid</v>
      </c>
      <c r="AP414" t="str">
        <f t="shared" si="87"/>
        <v>Valid</v>
      </c>
      <c r="AQ414" t="str">
        <f>IF(Audit_Data[[#This Row],[Z_CostContact]]=3,"Valid","Invalid")</f>
        <v>Valid</v>
      </c>
      <c r="AR414" t="str">
        <f t="shared" si="88"/>
        <v>Valid</v>
      </c>
      <c r="AS414" t="str">
        <f t="shared" si="89"/>
        <v>Valid</v>
      </c>
    </row>
    <row r="415" spans="1:45" x14ac:dyDescent="0.3">
      <c r="A415">
        <v>7422</v>
      </c>
      <c r="B415">
        <v>1987</v>
      </c>
      <c r="C415" t="s">
        <v>29</v>
      </c>
      <c r="D415" t="s">
        <v>30</v>
      </c>
      <c r="E415">
        <v>46923</v>
      </c>
      <c r="F415">
        <v>1</v>
      </c>
      <c r="G415">
        <v>0</v>
      </c>
      <c r="H415" s="1">
        <v>41143</v>
      </c>
      <c r="I415">
        <v>90</v>
      </c>
      <c r="J415">
        <v>85</v>
      </c>
      <c r="K415">
        <v>44</v>
      </c>
      <c r="L415">
        <v>54</v>
      </c>
      <c r="M415">
        <v>102</v>
      </c>
      <c r="N415">
        <v>78</v>
      </c>
      <c r="O415">
        <v>6</v>
      </c>
      <c r="P415">
        <v>3</v>
      </c>
      <c r="Q415">
        <v>5</v>
      </c>
      <c r="R415">
        <v>1</v>
      </c>
      <c r="S415">
        <v>7</v>
      </c>
      <c r="T415">
        <v>7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3</v>
      </c>
      <c r="AB415">
        <v>11</v>
      </c>
      <c r="AC415">
        <v>0</v>
      </c>
      <c r="AD415" t="str">
        <f t="shared" si="78"/>
        <v>Ok</v>
      </c>
      <c r="AE415" t="str">
        <f>IF(AND(Audit_Data[[#This Row],[Year_Birth]]&gt;=1900,Audit_Data[[#This Row],[Year_Birth]]&lt;=2010),"OK","Invalid")</f>
        <v>OK</v>
      </c>
      <c r="AF415" t="str">
        <f t="shared" si="79"/>
        <v>Valid</v>
      </c>
      <c r="AG415" t="str">
        <f t="shared" si="80"/>
        <v>Valid</v>
      </c>
      <c r="AH415" t="str">
        <f t="shared" si="81"/>
        <v>Valid</v>
      </c>
      <c r="AI415" t="str">
        <f t="shared" si="82"/>
        <v>Valid</v>
      </c>
      <c r="AJ415" t="str">
        <f t="shared" si="83"/>
        <v>Valid</v>
      </c>
      <c r="AK415" t="str">
        <f t="shared" si="90"/>
        <v xml:space="preserve">Valid </v>
      </c>
      <c r="AL415" t="str">
        <f>IF(AND(Audit_Data[[#This Row],[Recency]]&gt;=0,Audit_Data[[#This Row],[Recency]]&lt;=100),"Valid","Invalid")</f>
        <v>Valid</v>
      </c>
      <c r="AM415" t="str">
        <f t="shared" si="84"/>
        <v>Valid</v>
      </c>
      <c r="AN415" t="str">
        <f t="shared" si="85"/>
        <v>Valid</v>
      </c>
      <c r="AO415" t="str">
        <f t="shared" si="86"/>
        <v>Valid</v>
      </c>
      <c r="AP415" t="str">
        <f t="shared" si="87"/>
        <v>Valid</v>
      </c>
      <c r="AQ415" t="str">
        <f>IF(Audit_Data[[#This Row],[Z_CostContact]]=3,"Valid","Invalid")</f>
        <v>Valid</v>
      </c>
      <c r="AR415" t="str">
        <f t="shared" si="88"/>
        <v>Valid</v>
      </c>
      <c r="AS415" t="str">
        <f t="shared" si="89"/>
        <v>Valid</v>
      </c>
    </row>
    <row r="416" spans="1:45" x14ac:dyDescent="0.3">
      <c r="A416">
        <v>3523</v>
      </c>
      <c r="B416">
        <v>1962</v>
      </c>
      <c r="C416" t="s">
        <v>29</v>
      </c>
      <c r="D416" t="s">
        <v>31</v>
      </c>
      <c r="E416">
        <v>75072</v>
      </c>
      <c r="F416">
        <v>0</v>
      </c>
      <c r="G416">
        <v>1</v>
      </c>
      <c r="H416" s="1">
        <v>41297</v>
      </c>
      <c r="I416">
        <v>83</v>
      </c>
      <c r="J416">
        <v>583</v>
      </c>
      <c r="K416">
        <v>34</v>
      </c>
      <c r="L416">
        <v>309</v>
      </c>
      <c r="M416">
        <v>0</v>
      </c>
      <c r="N416">
        <v>22</v>
      </c>
      <c r="O416">
        <v>125</v>
      </c>
      <c r="P416">
        <v>2</v>
      </c>
      <c r="Q416">
        <v>5</v>
      </c>
      <c r="R416">
        <v>4</v>
      </c>
      <c r="S416">
        <v>8</v>
      </c>
      <c r="T416">
        <v>3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3</v>
      </c>
      <c r="AB416">
        <v>11</v>
      </c>
      <c r="AC416">
        <v>0</v>
      </c>
      <c r="AD416" t="str">
        <f t="shared" si="78"/>
        <v>Ok</v>
      </c>
      <c r="AE416" t="str">
        <f>IF(AND(Audit_Data[[#This Row],[Year_Birth]]&gt;=1900,Audit_Data[[#This Row],[Year_Birth]]&lt;=2010),"OK","Invalid")</f>
        <v>OK</v>
      </c>
      <c r="AF416" t="str">
        <f t="shared" si="79"/>
        <v>Valid</v>
      </c>
      <c r="AG416" t="str">
        <f t="shared" si="80"/>
        <v>Valid</v>
      </c>
      <c r="AH416" t="str">
        <f t="shared" si="81"/>
        <v>Valid</v>
      </c>
      <c r="AI416" t="str">
        <f t="shared" si="82"/>
        <v>Valid</v>
      </c>
      <c r="AJ416" t="str">
        <f t="shared" si="83"/>
        <v>Valid</v>
      </c>
      <c r="AK416" t="str">
        <f t="shared" si="90"/>
        <v xml:space="preserve">Valid </v>
      </c>
      <c r="AL416" t="str">
        <f>IF(AND(Audit_Data[[#This Row],[Recency]]&gt;=0,Audit_Data[[#This Row],[Recency]]&lt;=100),"Valid","Invalid")</f>
        <v>Valid</v>
      </c>
      <c r="AM416" t="str">
        <f t="shared" si="84"/>
        <v>Valid</v>
      </c>
      <c r="AN416" t="str">
        <f t="shared" si="85"/>
        <v>Valid</v>
      </c>
      <c r="AO416" t="str">
        <f t="shared" si="86"/>
        <v>Valid</v>
      </c>
      <c r="AP416" t="str">
        <f t="shared" si="87"/>
        <v>Valid</v>
      </c>
      <c r="AQ416" t="str">
        <f>IF(Audit_Data[[#This Row],[Z_CostContact]]=3,"Valid","Invalid")</f>
        <v>Valid</v>
      </c>
      <c r="AR416" t="str">
        <f t="shared" si="88"/>
        <v>Valid</v>
      </c>
      <c r="AS416" t="str">
        <f t="shared" si="89"/>
        <v>Valid</v>
      </c>
    </row>
    <row r="417" spans="1:45" x14ac:dyDescent="0.3">
      <c r="A417">
        <v>7106</v>
      </c>
      <c r="B417">
        <v>1943</v>
      </c>
      <c r="C417" t="s">
        <v>32</v>
      </c>
      <c r="D417" t="s">
        <v>33</v>
      </c>
      <c r="E417">
        <v>75865</v>
      </c>
      <c r="F417">
        <v>0</v>
      </c>
      <c r="G417">
        <v>0</v>
      </c>
      <c r="H417" s="1">
        <v>41729</v>
      </c>
      <c r="I417">
        <v>73</v>
      </c>
      <c r="J417">
        <v>483</v>
      </c>
      <c r="K417">
        <v>0</v>
      </c>
      <c r="L417">
        <v>591</v>
      </c>
      <c r="M417">
        <v>156</v>
      </c>
      <c r="N417">
        <v>0</v>
      </c>
      <c r="O417">
        <v>12</v>
      </c>
      <c r="P417">
        <v>1</v>
      </c>
      <c r="Q417">
        <v>3</v>
      </c>
      <c r="R417">
        <v>5</v>
      </c>
      <c r="S417">
        <v>10</v>
      </c>
      <c r="T417">
        <v>1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3</v>
      </c>
      <c r="AB417">
        <v>11</v>
      </c>
      <c r="AC417">
        <v>0</v>
      </c>
      <c r="AD417" t="str">
        <f t="shared" si="78"/>
        <v>Ok</v>
      </c>
      <c r="AE417" t="str">
        <f>IF(AND(Audit_Data[[#This Row],[Year_Birth]]&gt;=1900,Audit_Data[[#This Row],[Year_Birth]]&lt;=2010),"OK","Invalid")</f>
        <v>OK</v>
      </c>
      <c r="AF417" t="str">
        <f t="shared" si="79"/>
        <v>Valid</v>
      </c>
      <c r="AG417" t="str">
        <f t="shared" si="80"/>
        <v>Valid</v>
      </c>
      <c r="AH417" t="str">
        <f t="shared" si="81"/>
        <v>Valid</v>
      </c>
      <c r="AI417" t="str">
        <f t="shared" si="82"/>
        <v>Valid</v>
      </c>
      <c r="AJ417" t="str">
        <f t="shared" si="83"/>
        <v>Valid</v>
      </c>
      <c r="AK417" t="str">
        <f t="shared" si="90"/>
        <v xml:space="preserve">Valid </v>
      </c>
      <c r="AL417" t="str">
        <f>IF(AND(Audit_Data[[#This Row],[Recency]]&gt;=0,Audit_Data[[#This Row],[Recency]]&lt;=100),"Valid","Invalid")</f>
        <v>Valid</v>
      </c>
      <c r="AM417" t="str">
        <f t="shared" si="84"/>
        <v>Valid</v>
      </c>
      <c r="AN417" t="str">
        <f t="shared" si="85"/>
        <v>Valid</v>
      </c>
      <c r="AO417" t="str">
        <f t="shared" si="86"/>
        <v>Valid</v>
      </c>
      <c r="AP417" t="str">
        <f t="shared" si="87"/>
        <v>Valid</v>
      </c>
      <c r="AQ417" t="str">
        <f>IF(Audit_Data[[#This Row],[Z_CostContact]]=3,"Valid","Invalid")</f>
        <v>Valid</v>
      </c>
      <c r="AR417" t="str">
        <f t="shared" si="88"/>
        <v>Valid</v>
      </c>
      <c r="AS417" t="str">
        <f t="shared" si="89"/>
        <v>Valid</v>
      </c>
    </row>
    <row r="418" spans="1:45" x14ac:dyDescent="0.3">
      <c r="A418">
        <v>6504</v>
      </c>
      <c r="B418">
        <v>1975</v>
      </c>
      <c r="C418" t="s">
        <v>37</v>
      </c>
      <c r="D418" t="s">
        <v>31</v>
      </c>
      <c r="E418">
        <v>19789</v>
      </c>
      <c r="F418">
        <v>1</v>
      </c>
      <c r="G418">
        <v>0</v>
      </c>
      <c r="H418" s="1">
        <v>41598</v>
      </c>
      <c r="I418">
        <v>24</v>
      </c>
      <c r="J418">
        <v>2</v>
      </c>
      <c r="K418">
        <v>5</v>
      </c>
      <c r="L418">
        <v>9</v>
      </c>
      <c r="M418">
        <v>28</v>
      </c>
      <c r="N418">
        <v>6</v>
      </c>
      <c r="O418">
        <v>28</v>
      </c>
      <c r="P418">
        <v>3</v>
      </c>
      <c r="Q418">
        <v>2</v>
      </c>
      <c r="R418">
        <v>1</v>
      </c>
      <c r="S418">
        <v>3</v>
      </c>
      <c r="T418">
        <v>5</v>
      </c>
      <c r="U418">
        <v>1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3</v>
      </c>
      <c r="AB418">
        <v>11</v>
      </c>
      <c r="AC418">
        <v>0</v>
      </c>
      <c r="AD418" t="str">
        <f t="shared" si="78"/>
        <v>Ok</v>
      </c>
      <c r="AE418" t="str">
        <f>IF(AND(Audit_Data[[#This Row],[Year_Birth]]&gt;=1900,Audit_Data[[#This Row],[Year_Birth]]&lt;=2010),"OK","Invalid")</f>
        <v>OK</v>
      </c>
      <c r="AF418" t="str">
        <f t="shared" si="79"/>
        <v>Valid</v>
      </c>
      <c r="AG418" t="str">
        <f t="shared" si="80"/>
        <v>Valid</v>
      </c>
      <c r="AH418" t="str">
        <f t="shared" si="81"/>
        <v>Valid</v>
      </c>
      <c r="AI418" t="str">
        <f t="shared" si="82"/>
        <v>Valid</v>
      </c>
      <c r="AJ418" t="str">
        <f t="shared" si="83"/>
        <v>Valid</v>
      </c>
      <c r="AK418" t="str">
        <f t="shared" si="90"/>
        <v xml:space="preserve">Valid </v>
      </c>
      <c r="AL418" t="str">
        <f>IF(AND(Audit_Data[[#This Row],[Recency]]&gt;=0,Audit_Data[[#This Row],[Recency]]&lt;=100),"Valid","Invalid")</f>
        <v>Valid</v>
      </c>
      <c r="AM418" t="str">
        <f t="shared" si="84"/>
        <v>Valid</v>
      </c>
      <c r="AN418" t="str">
        <f t="shared" si="85"/>
        <v>Valid</v>
      </c>
      <c r="AO418" t="str">
        <f t="shared" si="86"/>
        <v>Valid</v>
      </c>
      <c r="AP418" t="str">
        <f t="shared" si="87"/>
        <v>Valid</v>
      </c>
      <c r="AQ418" t="str">
        <f>IF(Audit_Data[[#This Row],[Z_CostContact]]=3,"Valid","Invalid")</f>
        <v>Valid</v>
      </c>
      <c r="AR418" t="str">
        <f t="shared" si="88"/>
        <v>Valid</v>
      </c>
      <c r="AS418" t="str">
        <f t="shared" si="89"/>
        <v>Valid</v>
      </c>
    </row>
    <row r="419" spans="1:45" x14ac:dyDescent="0.3">
      <c r="A419">
        <v>5067</v>
      </c>
      <c r="B419">
        <v>1994</v>
      </c>
      <c r="C419" t="s">
        <v>29</v>
      </c>
      <c r="D419" t="s">
        <v>31</v>
      </c>
      <c r="E419">
        <v>80134</v>
      </c>
      <c r="F419">
        <v>0</v>
      </c>
      <c r="G419">
        <v>0</v>
      </c>
      <c r="H419" s="1">
        <v>41684</v>
      </c>
      <c r="I419">
        <v>11</v>
      </c>
      <c r="J419">
        <v>966</v>
      </c>
      <c r="K419">
        <v>26</v>
      </c>
      <c r="L419">
        <v>282</v>
      </c>
      <c r="M419">
        <v>52</v>
      </c>
      <c r="N419">
        <v>26</v>
      </c>
      <c r="O419">
        <v>26</v>
      </c>
      <c r="P419">
        <v>1</v>
      </c>
      <c r="Q419">
        <v>2</v>
      </c>
      <c r="R419">
        <v>7</v>
      </c>
      <c r="S419">
        <v>11</v>
      </c>
      <c r="T419">
        <v>5</v>
      </c>
      <c r="U419">
        <v>0</v>
      </c>
      <c r="V419">
        <v>1</v>
      </c>
      <c r="W419">
        <v>1</v>
      </c>
      <c r="X419">
        <v>1</v>
      </c>
      <c r="Y419">
        <v>1</v>
      </c>
      <c r="Z419">
        <v>0</v>
      </c>
      <c r="AA419">
        <v>3</v>
      </c>
      <c r="AB419">
        <v>11</v>
      </c>
      <c r="AC419">
        <v>0</v>
      </c>
      <c r="AD419" t="str">
        <f t="shared" si="78"/>
        <v>Ok</v>
      </c>
      <c r="AE419" t="str">
        <f>IF(AND(Audit_Data[[#This Row],[Year_Birth]]&gt;=1900,Audit_Data[[#This Row],[Year_Birth]]&lt;=2010),"OK","Invalid")</f>
        <v>OK</v>
      </c>
      <c r="AF419" t="str">
        <f t="shared" si="79"/>
        <v>Valid</v>
      </c>
      <c r="AG419" t="str">
        <f t="shared" si="80"/>
        <v>Valid</v>
      </c>
      <c r="AH419" t="str">
        <f t="shared" si="81"/>
        <v>Valid</v>
      </c>
      <c r="AI419" t="str">
        <f t="shared" si="82"/>
        <v>Valid</v>
      </c>
      <c r="AJ419" t="str">
        <f t="shared" si="83"/>
        <v>Valid</v>
      </c>
      <c r="AK419" t="str">
        <f t="shared" si="90"/>
        <v xml:space="preserve">Valid </v>
      </c>
      <c r="AL419" t="str">
        <f>IF(AND(Audit_Data[[#This Row],[Recency]]&gt;=0,Audit_Data[[#This Row],[Recency]]&lt;=100),"Valid","Invalid")</f>
        <v>Valid</v>
      </c>
      <c r="AM419" t="str">
        <f t="shared" si="84"/>
        <v>Valid</v>
      </c>
      <c r="AN419" t="str">
        <f t="shared" si="85"/>
        <v>Valid</v>
      </c>
      <c r="AO419" t="str">
        <f t="shared" si="86"/>
        <v>Valid</v>
      </c>
      <c r="AP419" t="str">
        <f t="shared" si="87"/>
        <v>Valid</v>
      </c>
      <c r="AQ419" t="str">
        <f>IF(Audit_Data[[#This Row],[Z_CostContact]]=3,"Valid","Invalid")</f>
        <v>Valid</v>
      </c>
      <c r="AR419" t="str">
        <f t="shared" si="88"/>
        <v>Valid</v>
      </c>
      <c r="AS419" t="str">
        <f t="shared" si="89"/>
        <v>Valid</v>
      </c>
    </row>
    <row r="420" spans="1:45" x14ac:dyDescent="0.3">
      <c r="A420">
        <v>4216</v>
      </c>
      <c r="B420">
        <v>1981</v>
      </c>
      <c r="C420" t="s">
        <v>29</v>
      </c>
      <c r="D420" t="s">
        <v>30</v>
      </c>
      <c r="E420">
        <v>91065</v>
      </c>
      <c r="F420">
        <v>0</v>
      </c>
      <c r="G420">
        <v>0</v>
      </c>
      <c r="H420" s="1">
        <v>41327</v>
      </c>
      <c r="I420">
        <v>33</v>
      </c>
      <c r="J420">
        <v>822</v>
      </c>
      <c r="K420">
        <v>114</v>
      </c>
      <c r="L420">
        <v>108</v>
      </c>
      <c r="M420">
        <v>179</v>
      </c>
      <c r="N420">
        <v>137</v>
      </c>
      <c r="O420">
        <v>114</v>
      </c>
      <c r="P420">
        <v>1</v>
      </c>
      <c r="Q420">
        <v>7</v>
      </c>
      <c r="R420">
        <v>9</v>
      </c>
      <c r="S420">
        <v>9</v>
      </c>
      <c r="T420">
        <v>3</v>
      </c>
      <c r="U420">
        <v>0</v>
      </c>
      <c r="V420">
        <v>0</v>
      </c>
      <c r="W420">
        <v>1</v>
      </c>
      <c r="X420">
        <v>1</v>
      </c>
      <c r="Y420">
        <v>0</v>
      </c>
      <c r="Z420">
        <v>0</v>
      </c>
      <c r="AA420">
        <v>3</v>
      </c>
      <c r="AB420">
        <v>11</v>
      </c>
      <c r="AC420">
        <v>1</v>
      </c>
      <c r="AD420" t="str">
        <f t="shared" si="78"/>
        <v>Ok</v>
      </c>
      <c r="AE420" t="str">
        <f>IF(AND(Audit_Data[[#This Row],[Year_Birth]]&gt;=1900,Audit_Data[[#This Row],[Year_Birth]]&lt;=2010),"OK","Invalid")</f>
        <v>OK</v>
      </c>
      <c r="AF420" t="str">
        <f t="shared" si="79"/>
        <v>Valid</v>
      </c>
      <c r="AG420" t="str">
        <f t="shared" si="80"/>
        <v>Valid</v>
      </c>
      <c r="AH420" t="str">
        <f t="shared" si="81"/>
        <v>Valid</v>
      </c>
      <c r="AI420" t="str">
        <f t="shared" si="82"/>
        <v>Valid</v>
      </c>
      <c r="AJ420" t="str">
        <f t="shared" si="83"/>
        <v>Valid</v>
      </c>
      <c r="AK420" t="str">
        <f t="shared" si="90"/>
        <v xml:space="preserve">Valid </v>
      </c>
      <c r="AL420" t="str">
        <f>IF(AND(Audit_Data[[#This Row],[Recency]]&gt;=0,Audit_Data[[#This Row],[Recency]]&lt;=100),"Valid","Invalid")</f>
        <v>Valid</v>
      </c>
      <c r="AM420" t="str">
        <f t="shared" si="84"/>
        <v>Valid</v>
      </c>
      <c r="AN420" t="str">
        <f t="shared" si="85"/>
        <v>Valid</v>
      </c>
      <c r="AO420" t="str">
        <f t="shared" si="86"/>
        <v>Valid</v>
      </c>
      <c r="AP420" t="str">
        <f t="shared" si="87"/>
        <v>Valid</v>
      </c>
      <c r="AQ420" t="str">
        <f>IF(Audit_Data[[#This Row],[Z_CostContact]]=3,"Valid","Invalid")</f>
        <v>Valid</v>
      </c>
      <c r="AR420" t="str">
        <f t="shared" si="88"/>
        <v>Valid</v>
      </c>
      <c r="AS420" t="str">
        <f t="shared" si="89"/>
        <v>Valid</v>
      </c>
    </row>
    <row r="421" spans="1:45" x14ac:dyDescent="0.3">
      <c r="A421">
        <v>8581</v>
      </c>
      <c r="B421">
        <v>1971</v>
      </c>
      <c r="C421" t="s">
        <v>34</v>
      </c>
      <c r="D421" t="s">
        <v>33</v>
      </c>
      <c r="E421">
        <v>49505</v>
      </c>
      <c r="F421">
        <v>1</v>
      </c>
      <c r="G421">
        <v>1</v>
      </c>
      <c r="H421" s="1">
        <v>41338</v>
      </c>
      <c r="I421">
        <v>4</v>
      </c>
      <c r="J421">
        <v>604</v>
      </c>
      <c r="K421">
        <v>0</v>
      </c>
      <c r="L421">
        <v>100</v>
      </c>
      <c r="M421">
        <v>19</v>
      </c>
      <c r="N421">
        <v>0</v>
      </c>
      <c r="O421">
        <v>28</v>
      </c>
      <c r="P421">
        <v>9</v>
      </c>
      <c r="Q421">
        <v>10</v>
      </c>
      <c r="R421">
        <v>2</v>
      </c>
      <c r="S421">
        <v>8</v>
      </c>
      <c r="T421">
        <v>8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3</v>
      </c>
      <c r="AB421">
        <v>11</v>
      </c>
      <c r="AC421">
        <v>0</v>
      </c>
      <c r="AD421" t="str">
        <f t="shared" si="78"/>
        <v>Ok</v>
      </c>
      <c r="AE421" t="str">
        <f>IF(AND(Audit_Data[[#This Row],[Year_Birth]]&gt;=1900,Audit_Data[[#This Row],[Year_Birth]]&lt;=2010),"OK","Invalid")</f>
        <v>OK</v>
      </c>
      <c r="AF421" t="str">
        <f t="shared" si="79"/>
        <v>Valid</v>
      </c>
      <c r="AG421" t="str">
        <f t="shared" si="80"/>
        <v>Valid</v>
      </c>
      <c r="AH421" t="str">
        <f t="shared" si="81"/>
        <v>Valid</v>
      </c>
      <c r="AI421" t="str">
        <f t="shared" si="82"/>
        <v>Valid</v>
      </c>
      <c r="AJ421" t="str">
        <f t="shared" si="83"/>
        <v>Valid</v>
      </c>
      <c r="AK421" t="str">
        <f t="shared" si="90"/>
        <v xml:space="preserve">Valid </v>
      </c>
      <c r="AL421" t="str">
        <f>IF(AND(Audit_Data[[#This Row],[Recency]]&gt;=0,Audit_Data[[#This Row],[Recency]]&lt;=100),"Valid","Invalid")</f>
        <v>Valid</v>
      </c>
      <c r="AM421" t="str">
        <f t="shared" si="84"/>
        <v>Valid</v>
      </c>
      <c r="AN421" t="str">
        <f t="shared" si="85"/>
        <v>Valid</v>
      </c>
      <c r="AO421" t="str">
        <f t="shared" si="86"/>
        <v>Valid</v>
      </c>
      <c r="AP421" t="str">
        <f t="shared" si="87"/>
        <v>Valid</v>
      </c>
      <c r="AQ421" t="str">
        <f>IF(Audit_Data[[#This Row],[Z_CostContact]]=3,"Valid","Invalid")</f>
        <v>Valid</v>
      </c>
      <c r="AR421" t="str">
        <f t="shared" si="88"/>
        <v>Valid</v>
      </c>
      <c r="AS421" t="str">
        <f t="shared" si="89"/>
        <v>Valid</v>
      </c>
    </row>
    <row r="422" spans="1:45" x14ac:dyDescent="0.3">
      <c r="A422">
        <v>5929</v>
      </c>
      <c r="B422">
        <v>1973</v>
      </c>
      <c r="C422" t="s">
        <v>32</v>
      </c>
      <c r="D422" t="s">
        <v>33</v>
      </c>
      <c r="E422">
        <v>37401</v>
      </c>
      <c r="F422">
        <v>1</v>
      </c>
      <c r="G422">
        <v>0</v>
      </c>
      <c r="H422" s="1">
        <v>41765</v>
      </c>
      <c r="I422">
        <v>14</v>
      </c>
      <c r="J422">
        <v>19</v>
      </c>
      <c r="K422">
        <v>3</v>
      </c>
      <c r="L422">
        <v>19</v>
      </c>
      <c r="M422">
        <v>3</v>
      </c>
      <c r="N422">
        <v>1</v>
      </c>
      <c r="O422">
        <v>3</v>
      </c>
      <c r="P422">
        <v>2</v>
      </c>
      <c r="Q422">
        <v>2</v>
      </c>
      <c r="R422">
        <v>0</v>
      </c>
      <c r="S422">
        <v>3</v>
      </c>
      <c r="T422">
        <v>7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3</v>
      </c>
      <c r="AB422">
        <v>11</v>
      </c>
      <c r="AC422">
        <v>0</v>
      </c>
      <c r="AD422" t="str">
        <f t="shared" si="78"/>
        <v>Ok</v>
      </c>
      <c r="AE422" t="str">
        <f>IF(AND(Audit_Data[[#This Row],[Year_Birth]]&gt;=1900,Audit_Data[[#This Row],[Year_Birth]]&lt;=2010),"OK","Invalid")</f>
        <v>OK</v>
      </c>
      <c r="AF422" t="str">
        <f t="shared" si="79"/>
        <v>Valid</v>
      </c>
      <c r="AG422" t="str">
        <f t="shared" si="80"/>
        <v>Valid</v>
      </c>
      <c r="AH422" t="str">
        <f t="shared" si="81"/>
        <v>Valid</v>
      </c>
      <c r="AI422" t="str">
        <f t="shared" si="82"/>
        <v>Valid</v>
      </c>
      <c r="AJ422" t="str">
        <f t="shared" si="83"/>
        <v>Valid</v>
      </c>
      <c r="AK422" t="str">
        <f t="shared" si="90"/>
        <v xml:space="preserve">Valid </v>
      </c>
      <c r="AL422" t="str">
        <f>IF(AND(Audit_Data[[#This Row],[Recency]]&gt;=0,Audit_Data[[#This Row],[Recency]]&lt;=100),"Valid","Invalid")</f>
        <v>Valid</v>
      </c>
      <c r="AM422" t="str">
        <f t="shared" si="84"/>
        <v>Valid</v>
      </c>
      <c r="AN422" t="str">
        <f t="shared" si="85"/>
        <v>Valid</v>
      </c>
      <c r="AO422" t="str">
        <f t="shared" si="86"/>
        <v>Valid</v>
      </c>
      <c r="AP422" t="str">
        <f t="shared" si="87"/>
        <v>Valid</v>
      </c>
      <c r="AQ422" t="str">
        <f>IF(Audit_Data[[#This Row],[Z_CostContact]]=3,"Valid","Invalid")</f>
        <v>Valid</v>
      </c>
      <c r="AR422" t="str">
        <f t="shared" si="88"/>
        <v>Valid</v>
      </c>
      <c r="AS422" t="str">
        <f t="shared" si="89"/>
        <v>Valid</v>
      </c>
    </row>
    <row r="423" spans="1:45" x14ac:dyDescent="0.3">
      <c r="A423">
        <v>3129</v>
      </c>
      <c r="B423">
        <v>1983</v>
      </c>
      <c r="C423" t="s">
        <v>29</v>
      </c>
      <c r="D423" t="s">
        <v>33</v>
      </c>
      <c r="E423">
        <v>30096</v>
      </c>
      <c r="F423">
        <v>1</v>
      </c>
      <c r="G423">
        <v>0</v>
      </c>
      <c r="H423" s="1">
        <v>41781</v>
      </c>
      <c r="I423">
        <v>30</v>
      </c>
      <c r="J423">
        <v>5</v>
      </c>
      <c r="K423">
        <v>3</v>
      </c>
      <c r="L423">
        <v>11</v>
      </c>
      <c r="M423">
        <v>12</v>
      </c>
      <c r="N423">
        <v>5</v>
      </c>
      <c r="O423">
        <v>9</v>
      </c>
      <c r="P423">
        <v>1</v>
      </c>
      <c r="Q423">
        <v>2</v>
      </c>
      <c r="R423">
        <v>0</v>
      </c>
      <c r="S423">
        <v>3</v>
      </c>
      <c r="T423">
        <v>6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3</v>
      </c>
      <c r="AB423">
        <v>11</v>
      </c>
      <c r="AC423">
        <v>0</v>
      </c>
      <c r="AD423" t="str">
        <f t="shared" si="78"/>
        <v>Ok</v>
      </c>
      <c r="AE423" t="str">
        <f>IF(AND(Audit_Data[[#This Row],[Year_Birth]]&gt;=1900,Audit_Data[[#This Row],[Year_Birth]]&lt;=2010),"OK","Invalid")</f>
        <v>OK</v>
      </c>
      <c r="AF423" t="str">
        <f t="shared" si="79"/>
        <v>Valid</v>
      </c>
      <c r="AG423" t="str">
        <f t="shared" si="80"/>
        <v>Valid</v>
      </c>
      <c r="AH423" t="str">
        <f t="shared" si="81"/>
        <v>Valid</v>
      </c>
      <c r="AI423" t="str">
        <f t="shared" si="82"/>
        <v>Valid</v>
      </c>
      <c r="AJ423" t="str">
        <f t="shared" si="83"/>
        <v>Valid</v>
      </c>
      <c r="AK423" t="str">
        <f t="shared" si="90"/>
        <v xml:space="preserve">Valid </v>
      </c>
      <c r="AL423" t="str">
        <f>IF(AND(Audit_Data[[#This Row],[Recency]]&gt;=0,Audit_Data[[#This Row],[Recency]]&lt;=100),"Valid","Invalid")</f>
        <v>Valid</v>
      </c>
      <c r="AM423" t="str">
        <f t="shared" si="84"/>
        <v>Valid</v>
      </c>
      <c r="AN423" t="str">
        <f t="shared" si="85"/>
        <v>Valid</v>
      </c>
      <c r="AO423" t="str">
        <f t="shared" si="86"/>
        <v>Valid</v>
      </c>
      <c r="AP423" t="str">
        <f t="shared" si="87"/>
        <v>Valid</v>
      </c>
      <c r="AQ423" t="str">
        <f>IF(Audit_Data[[#This Row],[Z_CostContact]]=3,"Valid","Invalid")</f>
        <v>Valid</v>
      </c>
      <c r="AR423" t="str">
        <f t="shared" si="88"/>
        <v>Valid</v>
      </c>
      <c r="AS423" t="str">
        <f t="shared" si="89"/>
        <v>Valid</v>
      </c>
    </row>
    <row r="424" spans="1:45" x14ac:dyDescent="0.3">
      <c r="A424">
        <v>6528</v>
      </c>
      <c r="B424">
        <v>1982</v>
      </c>
      <c r="C424" t="s">
        <v>34</v>
      </c>
      <c r="D424" t="s">
        <v>31</v>
      </c>
      <c r="E424">
        <v>18492</v>
      </c>
      <c r="F424">
        <v>1</v>
      </c>
      <c r="G424">
        <v>0</v>
      </c>
      <c r="H424" s="1">
        <v>41795</v>
      </c>
      <c r="I424">
        <v>75</v>
      </c>
      <c r="J424">
        <v>2</v>
      </c>
      <c r="K424">
        <v>2</v>
      </c>
      <c r="L424">
        <v>2</v>
      </c>
      <c r="M424">
        <v>2</v>
      </c>
      <c r="N424">
        <v>1</v>
      </c>
      <c r="O424">
        <v>1</v>
      </c>
      <c r="P424">
        <v>1</v>
      </c>
      <c r="Q424">
        <v>1</v>
      </c>
      <c r="R424">
        <v>0</v>
      </c>
      <c r="S424">
        <v>2</v>
      </c>
      <c r="T424">
        <v>8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3</v>
      </c>
      <c r="AB424">
        <v>11</v>
      </c>
      <c r="AC424">
        <v>0</v>
      </c>
      <c r="AD424" t="str">
        <f t="shared" si="78"/>
        <v>Ok</v>
      </c>
      <c r="AE424" t="str">
        <f>IF(AND(Audit_Data[[#This Row],[Year_Birth]]&gt;=1900,Audit_Data[[#This Row],[Year_Birth]]&lt;=2010),"OK","Invalid")</f>
        <v>OK</v>
      </c>
      <c r="AF424" t="str">
        <f t="shared" si="79"/>
        <v>Valid</v>
      </c>
      <c r="AG424" t="str">
        <f t="shared" si="80"/>
        <v>Valid</v>
      </c>
      <c r="AH424" t="str">
        <f t="shared" si="81"/>
        <v>Valid</v>
      </c>
      <c r="AI424" t="str">
        <f t="shared" si="82"/>
        <v>Valid</v>
      </c>
      <c r="AJ424" t="str">
        <f t="shared" si="83"/>
        <v>Valid</v>
      </c>
      <c r="AK424" t="str">
        <f t="shared" si="90"/>
        <v xml:space="preserve">Valid </v>
      </c>
      <c r="AL424" t="str">
        <f>IF(AND(Audit_Data[[#This Row],[Recency]]&gt;=0,Audit_Data[[#This Row],[Recency]]&lt;=100),"Valid","Invalid")</f>
        <v>Valid</v>
      </c>
      <c r="AM424" t="str">
        <f t="shared" si="84"/>
        <v>Valid</v>
      </c>
      <c r="AN424" t="str">
        <f t="shared" si="85"/>
        <v>Valid</v>
      </c>
      <c r="AO424" t="str">
        <f t="shared" si="86"/>
        <v>Valid</v>
      </c>
      <c r="AP424" t="str">
        <f t="shared" si="87"/>
        <v>Valid</v>
      </c>
      <c r="AQ424" t="str">
        <f>IF(Audit_Data[[#This Row],[Z_CostContact]]=3,"Valid","Invalid")</f>
        <v>Valid</v>
      </c>
      <c r="AR424" t="str">
        <f t="shared" si="88"/>
        <v>Valid</v>
      </c>
      <c r="AS424" t="str">
        <f t="shared" si="89"/>
        <v>Valid</v>
      </c>
    </row>
    <row r="425" spans="1:45" x14ac:dyDescent="0.3">
      <c r="A425">
        <v>1361</v>
      </c>
      <c r="B425">
        <v>1974</v>
      </c>
      <c r="C425" t="s">
        <v>34</v>
      </c>
      <c r="D425" t="s">
        <v>33</v>
      </c>
      <c r="E425">
        <v>82584</v>
      </c>
      <c r="F425">
        <v>0</v>
      </c>
      <c r="G425">
        <v>0</v>
      </c>
      <c r="H425" s="1">
        <v>41429</v>
      </c>
      <c r="I425">
        <v>26</v>
      </c>
      <c r="J425">
        <v>1076</v>
      </c>
      <c r="K425">
        <v>68</v>
      </c>
      <c r="L425">
        <v>103</v>
      </c>
      <c r="M425">
        <v>29</v>
      </c>
      <c r="N425">
        <v>91</v>
      </c>
      <c r="O425">
        <v>68</v>
      </c>
      <c r="P425">
        <v>1</v>
      </c>
      <c r="Q425">
        <v>3</v>
      </c>
      <c r="R425">
        <v>4</v>
      </c>
      <c r="S425">
        <v>8</v>
      </c>
      <c r="T425">
        <v>1</v>
      </c>
      <c r="U425">
        <v>0</v>
      </c>
      <c r="V425">
        <v>1</v>
      </c>
      <c r="W425">
        <v>1</v>
      </c>
      <c r="X425">
        <v>0</v>
      </c>
      <c r="Y425">
        <v>0</v>
      </c>
      <c r="Z425">
        <v>0</v>
      </c>
      <c r="AA425">
        <v>3</v>
      </c>
      <c r="AB425">
        <v>11</v>
      </c>
      <c r="AC425">
        <v>1</v>
      </c>
      <c r="AD425" t="str">
        <f t="shared" si="78"/>
        <v>Ok</v>
      </c>
      <c r="AE425" t="str">
        <f>IF(AND(Audit_Data[[#This Row],[Year_Birth]]&gt;=1900,Audit_Data[[#This Row],[Year_Birth]]&lt;=2010),"OK","Invalid")</f>
        <v>OK</v>
      </c>
      <c r="AF425" t="str">
        <f t="shared" si="79"/>
        <v>Valid</v>
      </c>
      <c r="AG425" t="str">
        <f t="shared" si="80"/>
        <v>Valid</v>
      </c>
      <c r="AH425" t="str">
        <f t="shared" si="81"/>
        <v>Valid</v>
      </c>
      <c r="AI425" t="str">
        <f t="shared" si="82"/>
        <v>Valid</v>
      </c>
      <c r="AJ425" t="str">
        <f t="shared" si="83"/>
        <v>Valid</v>
      </c>
      <c r="AK425" t="str">
        <f t="shared" si="90"/>
        <v xml:space="preserve">Valid </v>
      </c>
      <c r="AL425" t="str">
        <f>IF(AND(Audit_Data[[#This Row],[Recency]]&gt;=0,Audit_Data[[#This Row],[Recency]]&lt;=100),"Valid","Invalid")</f>
        <v>Valid</v>
      </c>
      <c r="AM425" t="str">
        <f t="shared" si="84"/>
        <v>Valid</v>
      </c>
      <c r="AN425" t="str">
        <f t="shared" si="85"/>
        <v>Valid</v>
      </c>
      <c r="AO425" t="str">
        <f t="shared" si="86"/>
        <v>Valid</v>
      </c>
      <c r="AP425" t="str">
        <f t="shared" si="87"/>
        <v>Valid</v>
      </c>
      <c r="AQ425" t="str">
        <f>IF(Audit_Data[[#This Row],[Z_CostContact]]=3,"Valid","Invalid")</f>
        <v>Valid</v>
      </c>
      <c r="AR425" t="str">
        <f t="shared" si="88"/>
        <v>Valid</v>
      </c>
      <c r="AS425" t="str">
        <f t="shared" si="89"/>
        <v>Valid</v>
      </c>
    </row>
    <row r="426" spans="1:45" x14ac:dyDescent="0.3">
      <c r="A426">
        <v>6932</v>
      </c>
      <c r="B426">
        <v>1941</v>
      </c>
      <c r="C426" t="s">
        <v>32</v>
      </c>
      <c r="D426" t="s">
        <v>33</v>
      </c>
      <c r="E426">
        <v>93027</v>
      </c>
      <c r="F426">
        <v>0</v>
      </c>
      <c r="G426">
        <v>0</v>
      </c>
      <c r="H426" s="1">
        <v>41377</v>
      </c>
      <c r="I426">
        <v>77</v>
      </c>
      <c r="J426">
        <v>1285</v>
      </c>
      <c r="K426">
        <v>42</v>
      </c>
      <c r="L426">
        <v>716</v>
      </c>
      <c r="M426">
        <v>55</v>
      </c>
      <c r="N426">
        <v>0</v>
      </c>
      <c r="O426">
        <v>21</v>
      </c>
      <c r="P426">
        <v>0</v>
      </c>
      <c r="Q426">
        <v>7</v>
      </c>
      <c r="R426">
        <v>10</v>
      </c>
      <c r="S426">
        <v>5</v>
      </c>
      <c r="T426">
        <v>2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>
        <v>3</v>
      </c>
      <c r="AB426">
        <v>11</v>
      </c>
      <c r="AC426">
        <v>0</v>
      </c>
      <c r="AD426" t="str">
        <f t="shared" si="78"/>
        <v>Ok</v>
      </c>
      <c r="AE426" t="str">
        <f>IF(AND(Audit_Data[[#This Row],[Year_Birth]]&gt;=1900,Audit_Data[[#This Row],[Year_Birth]]&lt;=2010),"OK","Invalid")</f>
        <v>OK</v>
      </c>
      <c r="AF426" t="str">
        <f t="shared" si="79"/>
        <v>Valid</v>
      </c>
      <c r="AG426" t="str">
        <f t="shared" si="80"/>
        <v>Valid</v>
      </c>
      <c r="AH426" t="str">
        <f t="shared" si="81"/>
        <v>Valid</v>
      </c>
      <c r="AI426" t="str">
        <f t="shared" si="82"/>
        <v>Valid</v>
      </c>
      <c r="AJ426" t="str">
        <f t="shared" si="83"/>
        <v>Valid</v>
      </c>
      <c r="AK426" t="str">
        <f t="shared" si="90"/>
        <v xml:space="preserve">Valid </v>
      </c>
      <c r="AL426" t="str">
        <f>IF(AND(Audit_Data[[#This Row],[Recency]]&gt;=0,Audit_Data[[#This Row],[Recency]]&lt;=100),"Valid","Invalid")</f>
        <v>Valid</v>
      </c>
      <c r="AM426" t="str">
        <f t="shared" si="84"/>
        <v>Valid</v>
      </c>
      <c r="AN426" t="str">
        <f t="shared" si="85"/>
        <v>Valid</v>
      </c>
      <c r="AO426" t="str">
        <f t="shared" si="86"/>
        <v>Valid</v>
      </c>
      <c r="AP426" t="str">
        <f t="shared" si="87"/>
        <v>Valid</v>
      </c>
      <c r="AQ426" t="str">
        <f>IF(Audit_Data[[#This Row],[Z_CostContact]]=3,"Valid","Invalid")</f>
        <v>Valid</v>
      </c>
      <c r="AR426" t="str">
        <f t="shared" si="88"/>
        <v>Valid</v>
      </c>
      <c r="AS426" t="str">
        <f t="shared" si="89"/>
        <v>Valid</v>
      </c>
    </row>
    <row r="427" spans="1:45" x14ac:dyDescent="0.3">
      <c r="A427">
        <v>7284</v>
      </c>
      <c r="B427">
        <v>1953</v>
      </c>
      <c r="C427" t="s">
        <v>29</v>
      </c>
      <c r="D427" t="s">
        <v>33</v>
      </c>
      <c r="E427">
        <v>48686</v>
      </c>
      <c r="F427">
        <v>1</v>
      </c>
      <c r="G427">
        <v>2</v>
      </c>
      <c r="H427" s="1">
        <v>41612</v>
      </c>
      <c r="I427">
        <v>8</v>
      </c>
      <c r="J427">
        <v>10</v>
      </c>
      <c r="K427">
        <v>0</v>
      </c>
      <c r="L427">
        <v>7</v>
      </c>
      <c r="M427">
        <v>2</v>
      </c>
      <c r="N427">
        <v>0</v>
      </c>
      <c r="O427">
        <v>1</v>
      </c>
      <c r="P427">
        <v>1</v>
      </c>
      <c r="Q427">
        <v>1</v>
      </c>
      <c r="R427">
        <v>0</v>
      </c>
      <c r="S427">
        <v>2</v>
      </c>
      <c r="T427">
        <v>8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3</v>
      </c>
      <c r="AB427">
        <v>11</v>
      </c>
      <c r="AC427">
        <v>0</v>
      </c>
      <c r="AD427" t="str">
        <f t="shared" si="78"/>
        <v>Ok</v>
      </c>
      <c r="AE427" t="str">
        <f>IF(AND(Audit_Data[[#This Row],[Year_Birth]]&gt;=1900,Audit_Data[[#This Row],[Year_Birth]]&lt;=2010),"OK","Invalid")</f>
        <v>OK</v>
      </c>
      <c r="AF427" t="str">
        <f t="shared" si="79"/>
        <v>Valid</v>
      </c>
      <c r="AG427" t="str">
        <f t="shared" si="80"/>
        <v>Valid</v>
      </c>
      <c r="AH427" t="str">
        <f t="shared" si="81"/>
        <v>Valid</v>
      </c>
      <c r="AI427" t="str">
        <f t="shared" si="82"/>
        <v>Valid</v>
      </c>
      <c r="AJ427" t="str">
        <f t="shared" si="83"/>
        <v>Valid</v>
      </c>
      <c r="AK427" t="str">
        <f t="shared" si="90"/>
        <v xml:space="preserve">Valid </v>
      </c>
      <c r="AL427" t="str">
        <f>IF(AND(Audit_Data[[#This Row],[Recency]]&gt;=0,Audit_Data[[#This Row],[Recency]]&lt;=100),"Valid","Invalid")</f>
        <v>Valid</v>
      </c>
      <c r="AM427" t="str">
        <f t="shared" si="84"/>
        <v>Valid</v>
      </c>
      <c r="AN427" t="str">
        <f t="shared" si="85"/>
        <v>Valid</v>
      </c>
      <c r="AO427" t="str">
        <f t="shared" si="86"/>
        <v>Valid</v>
      </c>
      <c r="AP427" t="str">
        <f t="shared" si="87"/>
        <v>Valid</v>
      </c>
      <c r="AQ427" t="str">
        <f>IF(Audit_Data[[#This Row],[Z_CostContact]]=3,"Valid","Invalid")</f>
        <v>Valid</v>
      </c>
      <c r="AR427" t="str">
        <f t="shared" si="88"/>
        <v>Valid</v>
      </c>
      <c r="AS427" t="str">
        <f t="shared" si="89"/>
        <v>Valid</v>
      </c>
    </row>
    <row r="428" spans="1:45" x14ac:dyDescent="0.3">
      <c r="A428">
        <v>1340</v>
      </c>
      <c r="B428">
        <v>1986</v>
      </c>
      <c r="C428" t="s">
        <v>29</v>
      </c>
      <c r="D428" t="s">
        <v>33</v>
      </c>
      <c r="E428">
        <v>92910</v>
      </c>
      <c r="F428">
        <v>0</v>
      </c>
      <c r="G428">
        <v>0</v>
      </c>
      <c r="H428" s="1">
        <v>41753</v>
      </c>
      <c r="I428">
        <v>42</v>
      </c>
      <c r="J428">
        <v>551</v>
      </c>
      <c r="K428">
        <v>137</v>
      </c>
      <c r="L428">
        <v>792</v>
      </c>
      <c r="M428">
        <v>179</v>
      </c>
      <c r="N428">
        <v>103</v>
      </c>
      <c r="O428">
        <v>33</v>
      </c>
      <c r="P428">
        <v>1</v>
      </c>
      <c r="Q428">
        <v>6</v>
      </c>
      <c r="R428">
        <v>7</v>
      </c>
      <c r="S428">
        <v>13</v>
      </c>
      <c r="T428">
        <v>1</v>
      </c>
      <c r="U428">
        <v>0</v>
      </c>
      <c r="V428">
        <v>1</v>
      </c>
      <c r="W428">
        <v>1</v>
      </c>
      <c r="X428">
        <v>1</v>
      </c>
      <c r="Y428">
        <v>0</v>
      </c>
      <c r="Z428">
        <v>0</v>
      </c>
      <c r="AA428">
        <v>3</v>
      </c>
      <c r="AB428">
        <v>11</v>
      </c>
      <c r="AC428">
        <v>0</v>
      </c>
      <c r="AD428" t="str">
        <f t="shared" si="78"/>
        <v>Ok</v>
      </c>
      <c r="AE428" t="str">
        <f>IF(AND(Audit_Data[[#This Row],[Year_Birth]]&gt;=1900,Audit_Data[[#This Row],[Year_Birth]]&lt;=2010),"OK","Invalid")</f>
        <v>OK</v>
      </c>
      <c r="AF428" t="str">
        <f t="shared" si="79"/>
        <v>Valid</v>
      </c>
      <c r="AG428" t="str">
        <f t="shared" si="80"/>
        <v>Valid</v>
      </c>
      <c r="AH428" t="str">
        <f t="shared" si="81"/>
        <v>Valid</v>
      </c>
      <c r="AI428" t="str">
        <f t="shared" si="82"/>
        <v>Valid</v>
      </c>
      <c r="AJ428" t="str">
        <f t="shared" si="83"/>
        <v>Valid</v>
      </c>
      <c r="AK428" t="str">
        <f t="shared" si="90"/>
        <v xml:space="preserve">Valid </v>
      </c>
      <c r="AL428" t="str">
        <f>IF(AND(Audit_Data[[#This Row],[Recency]]&gt;=0,Audit_Data[[#This Row],[Recency]]&lt;=100),"Valid","Invalid")</f>
        <v>Valid</v>
      </c>
      <c r="AM428" t="str">
        <f t="shared" si="84"/>
        <v>Valid</v>
      </c>
      <c r="AN428" t="str">
        <f t="shared" si="85"/>
        <v>Valid</v>
      </c>
      <c r="AO428" t="str">
        <f t="shared" si="86"/>
        <v>Valid</v>
      </c>
      <c r="AP428" t="str">
        <f t="shared" si="87"/>
        <v>Valid</v>
      </c>
      <c r="AQ428" t="str">
        <f>IF(Audit_Data[[#This Row],[Z_CostContact]]=3,"Valid","Invalid")</f>
        <v>Valid</v>
      </c>
      <c r="AR428" t="str">
        <f t="shared" si="88"/>
        <v>Valid</v>
      </c>
      <c r="AS428" t="str">
        <f t="shared" si="89"/>
        <v>Valid</v>
      </c>
    </row>
    <row r="429" spans="1:45" x14ac:dyDescent="0.3">
      <c r="A429">
        <v>8746</v>
      </c>
      <c r="B429">
        <v>1989</v>
      </c>
      <c r="C429" t="s">
        <v>29</v>
      </c>
      <c r="D429" t="s">
        <v>33</v>
      </c>
      <c r="E429">
        <v>75433</v>
      </c>
      <c r="F429">
        <v>1</v>
      </c>
      <c r="G429">
        <v>0</v>
      </c>
      <c r="H429" s="1">
        <v>41734</v>
      </c>
      <c r="I429">
        <v>28</v>
      </c>
      <c r="J429">
        <v>800</v>
      </c>
      <c r="K429">
        <v>0</v>
      </c>
      <c r="L429">
        <v>297</v>
      </c>
      <c r="M429">
        <v>0</v>
      </c>
      <c r="N429">
        <v>34</v>
      </c>
      <c r="O429">
        <v>57</v>
      </c>
      <c r="P429">
        <v>2</v>
      </c>
      <c r="Q429">
        <v>2</v>
      </c>
      <c r="R429">
        <v>5</v>
      </c>
      <c r="S429">
        <v>10</v>
      </c>
      <c r="T429">
        <v>6</v>
      </c>
      <c r="U429">
        <v>0</v>
      </c>
      <c r="V429">
        <v>1</v>
      </c>
      <c r="W429">
        <v>0</v>
      </c>
      <c r="X429">
        <v>1</v>
      </c>
      <c r="Y429">
        <v>0</v>
      </c>
      <c r="Z429">
        <v>0</v>
      </c>
      <c r="AA429">
        <v>3</v>
      </c>
      <c r="AB429">
        <v>11</v>
      </c>
      <c r="AC429">
        <v>0</v>
      </c>
      <c r="AD429" t="str">
        <f t="shared" si="78"/>
        <v>Ok</v>
      </c>
      <c r="AE429" t="str">
        <f>IF(AND(Audit_Data[[#This Row],[Year_Birth]]&gt;=1900,Audit_Data[[#This Row],[Year_Birth]]&lt;=2010),"OK","Invalid")</f>
        <v>OK</v>
      </c>
      <c r="AF429" t="str">
        <f t="shared" si="79"/>
        <v>Valid</v>
      </c>
      <c r="AG429" t="str">
        <f t="shared" si="80"/>
        <v>Valid</v>
      </c>
      <c r="AH429" t="str">
        <f t="shared" si="81"/>
        <v>Valid</v>
      </c>
      <c r="AI429" t="str">
        <f t="shared" si="82"/>
        <v>Valid</v>
      </c>
      <c r="AJ429" t="str">
        <f t="shared" si="83"/>
        <v>Valid</v>
      </c>
      <c r="AK429" t="str">
        <f t="shared" si="90"/>
        <v xml:space="preserve">Valid </v>
      </c>
      <c r="AL429" t="str">
        <f>IF(AND(Audit_Data[[#This Row],[Recency]]&gt;=0,Audit_Data[[#This Row],[Recency]]&lt;=100),"Valid","Invalid")</f>
        <v>Valid</v>
      </c>
      <c r="AM429" t="str">
        <f t="shared" si="84"/>
        <v>Valid</v>
      </c>
      <c r="AN429" t="str">
        <f t="shared" si="85"/>
        <v>Valid</v>
      </c>
      <c r="AO429" t="str">
        <f t="shared" si="86"/>
        <v>Valid</v>
      </c>
      <c r="AP429" t="str">
        <f t="shared" si="87"/>
        <v>Valid</v>
      </c>
      <c r="AQ429" t="str">
        <f>IF(Audit_Data[[#This Row],[Z_CostContact]]=3,"Valid","Invalid")</f>
        <v>Valid</v>
      </c>
      <c r="AR429" t="str">
        <f t="shared" si="88"/>
        <v>Valid</v>
      </c>
      <c r="AS429" t="str">
        <f t="shared" si="89"/>
        <v>Valid</v>
      </c>
    </row>
    <row r="430" spans="1:45" x14ac:dyDescent="0.3">
      <c r="A430">
        <v>5987</v>
      </c>
      <c r="B430">
        <v>1989</v>
      </c>
      <c r="C430" t="s">
        <v>37</v>
      </c>
      <c r="D430" t="s">
        <v>31</v>
      </c>
      <c r="E430">
        <v>10404</v>
      </c>
      <c r="F430">
        <v>1</v>
      </c>
      <c r="G430">
        <v>0</v>
      </c>
      <c r="H430" s="1">
        <v>41763</v>
      </c>
      <c r="I430">
        <v>52</v>
      </c>
      <c r="J430">
        <v>2</v>
      </c>
      <c r="K430">
        <v>2</v>
      </c>
      <c r="L430">
        <v>11</v>
      </c>
      <c r="M430">
        <v>10</v>
      </c>
      <c r="N430">
        <v>6</v>
      </c>
      <c r="O430">
        <v>12</v>
      </c>
      <c r="P430">
        <v>2</v>
      </c>
      <c r="Q430">
        <v>1</v>
      </c>
      <c r="R430">
        <v>0</v>
      </c>
      <c r="S430">
        <v>4</v>
      </c>
      <c r="T430">
        <v>5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3</v>
      </c>
      <c r="AB430">
        <v>11</v>
      </c>
      <c r="AC430">
        <v>0</v>
      </c>
      <c r="AD430" t="str">
        <f t="shared" si="78"/>
        <v>Ok</v>
      </c>
      <c r="AE430" t="str">
        <f>IF(AND(Audit_Data[[#This Row],[Year_Birth]]&gt;=1900,Audit_Data[[#This Row],[Year_Birth]]&lt;=2010),"OK","Invalid")</f>
        <v>OK</v>
      </c>
      <c r="AF430" t="str">
        <f t="shared" si="79"/>
        <v>Valid</v>
      </c>
      <c r="AG430" t="str">
        <f t="shared" si="80"/>
        <v>Valid</v>
      </c>
      <c r="AH430" t="str">
        <f t="shared" si="81"/>
        <v>Valid</v>
      </c>
      <c r="AI430" t="str">
        <f t="shared" si="82"/>
        <v>Valid</v>
      </c>
      <c r="AJ430" t="str">
        <f t="shared" si="83"/>
        <v>Valid</v>
      </c>
      <c r="AK430" t="str">
        <f t="shared" si="90"/>
        <v xml:space="preserve">Valid </v>
      </c>
      <c r="AL430" t="str">
        <f>IF(AND(Audit_Data[[#This Row],[Recency]]&gt;=0,Audit_Data[[#This Row],[Recency]]&lt;=100),"Valid","Invalid")</f>
        <v>Valid</v>
      </c>
      <c r="AM430" t="str">
        <f t="shared" si="84"/>
        <v>Valid</v>
      </c>
      <c r="AN430" t="str">
        <f t="shared" si="85"/>
        <v>Valid</v>
      </c>
      <c r="AO430" t="str">
        <f t="shared" si="86"/>
        <v>Valid</v>
      </c>
      <c r="AP430" t="str">
        <f t="shared" si="87"/>
        <v>Valid</v>
      </c>
      <c r="AQ430" t="str">
        <f>IF(Audit_Data[[#This Row],[Z_CostContact]]=3,"Valid","Invalid")</f>
        <v>Valid</v>
      </c>
      <c r="AR430" t="str">
        <f t="shared" si="88"/>
        <v>Valid</v>
      </c>
      <c r="AS430" t="str">
        <f t="shared" si="89"/>
        <v>Valid</v>
      </c>
    </row>
    <row r="431" spans="1:45" x14ac:dyDescent="0.3">
      <c r="A431">
        <v>3767</v>
      </c>
      <c r="B431">
        <v>1968</v>
      </c>
      <c r="C431" t="s">
        <v>29</v>
      </c>
      <c r="D431" t="s">
        <v>33</v>
      </c>
      <c r="E431">
        <v>61314</v>
      </c>
      <c r="F431">
        <v>0</v>
      </c>
      <c r="G431">
        <v>1</v>
      </c>
      <c r="H431" s="1">
        <v>41389</v>
      </c>
      <c r="I431">
        <v>1</v>
      </c>
      <c r="J431">
        <v>378</v>
      </c>
      <c r="K431">
        <v>0</v>
      </c>
      <c r="L431">
        <v>189</v>
      </c>
      <c r="M431">
        <v>97</v>
      </c>
      <c r="N431">
        <v>172</v>
      </c>
      <c r="O431">
        <v>172</v>
      </c>
      <c r="P431">
        <v>2</v>
      </c>
      <c r="Q431">
        <v>5</v>
      </c>
      <c r="R431">
        <v>5</v>
      </c>
      <c r="S431">
        <v>12</v>
      </c>
      <c r="T431">
        <v>3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3</v>
      </c>
      <c r="AB431">
        <v>11</v>
      </c>
      <c r="AC431">
        <v>0</v>
      </c>
      <c r="AD431" t="str">
        <f t="shared" si="78"/>
        <v>Ok</v>
      </c>
      <c r="AE431" t="str">
        <f>IF(AND(Audit_Data[[#This Row],[Year_Birth]]&gt;=1900,Audit_Data[[#This Row],[Year_Birth]]&lt;=2010),"OK","Invalid")</f>
        <v>OK</v>
      </c>
      <c r="AF431" t="str">
        <f t="shared" si="79"/>
        <v>Valid</v>
      </c>
      <c r="AG431" t="str">
        <f t="shared" si="80"/>
        <v>Valid</v>
      </c>
      <c r="AH431" t="str">
        <f t="shared" si="81"/>
        <v>Valid</v>
      </c>
      <c r="AI431" t="str">
        <f t="shared" si="82"/>
        <v>Valid</v>
      </c>
      <c r="AJ431" t="str">
        <f t="shared" si="83"/>
        <v>Valid</v>
      </c>
      <c r="AK431" t="str">
        <f t="shared" si="90"/>
        <v xml:space="preserve">Valid </v>
      </c>
      <c r="AL431" t="str">
        <f>IF(AND(Audit_Data[[#This Row],[Recency]]&gt;=0,Audit_Data[[#This Row],[Recency]]&lt;=100),"Valid","Invalid")</f>
        <v>Valid</v>
      </c>
      <c r="AM431" t="str">
        <f t="shared" si="84"/>
        <v>Valid</v>
      </c>
      <c r="AN431" t="str">
        <f t="shared" si="85"/>
        <v>Valid</v>
      </c>
      <c r="AO431" t="str">
        <f t="shared" si="86"/>
        <v>Valid</v>
      </c>
      <c r="AP431" t="str">
        <f t="shared" si="87"/>
        <v>Valid</v>
      </c>
      <c r="AQ431" t="str">
        <f>IF(Audit_Data[[#This Row],[Z_CostContact]]=3,"Valid","Invalid")</f>
        <v>Valid</v>
      </c>
      <c r="AR431" t="str">
        <f t="shared" si="88"/>
        <v>Valid</v>
      </c>
      <c r="AS431" t="str">
        <f t="shared" si="89"/>
        <v>Valid</v>
      </c>
    </row>
    <row r="432" spans="1:45" x14ac:dyDescent="0.3">
      <c r="A432">
        <v>3725</v>
      </c>
      <c r="B432">
        <v>1961</v>
      </c>
      <c r="C432" t="s">
        <v>32</v>
      </c>
      <c r="D432" t="s">
        <v>30</v>
      </c>
      <c r="E432">
        <v>84865</v>
      </c>
      <c r="F432">
        <v>0</v>
      </c>
      <c r="G432">
        <v>0</v>
      </c>
      <c r="H432" s="1">
        <v>41403</v>
      </c>
      <c r="I432">
        <v>1</v>
      </c>
      <c r="J432">
        <v>1248</v>
      </c>
      <c r="K432">
        <v>16</v>
      </c>
      <c r="L432">
        <v>349</v>
      </c>
      <c r="M432">
        <v>43</v>
      </c>
      <c r="N432">
        <v>16</v>
      </c>
      <c r="O432">
        <v>16</v>
      </c>
      <c r="P432">
        <v>1</v>
      </c>
      <c r="Q432">
        <v>2</v>
      </c>
      <c r="R432">
        <v>4</v>
      </c>
      <c r="S432">
        <v>9</v>
      </c>
      <c r="T432">
        <v>4</v>
      </c>
      <c r="U432">
        <v>0</v>
      </c>
      <c r="V432">
        <v>1</v>
      </c>
      <c r="W432">
        <v>1</v>
      </c>
      <c r="X432">
        <v>1</v>
      </c>
      <c r="Y432">
        <v>1</v>
      </c>
      <c r="Z432">
        <v>0</v>
      </c>
      <c r="AA432">
        <v>3</v>
      </c>
      <c r="AB432">
        <v>11</v>
      </c>
      <c r="AC432">
        <v>1</v>
      </c>
      <c r="AD432" t="str">
        <f t="shared" si="78"/>
        <v>Ok</v>
      </c>
      <c r="AE432" t="str">
        <f>IF(AND(Audit_Data[[#This Row],[Year_Birth]]&gt;=1900,Audit_Data[[#This Row],[Year_Birth]]&lt;=2010),"OK","Invalid")</f>
        <v>OK</v>
      </c>
      <c r="AF432" t="str">
        <f t="shared" si="79"/>
        <v>Valid</v>
      </c>
      <c r="AG432" t="str">
        <f t="shared" si="80"/>
        <v>Valid</v>
      </c>
      <c r="AH432" t="str">
        <f t="shared" si="81"/>
        <v>Valid</v>
      </c>
      <c r="AI432" t="str">
        <f t="shared" si="82"/>
        <v>Valid</v>
      </c>
      <c r="AJ432" t="str">
        <f t="shared" si="83"/>
        <v>Valid</v>
      </c>
      <c r="AK432" t="str">
        <f t="shared" si="90"/>
        <v xml:space="preserve">Valid </v>
      </c>
      <c r="AL432" t="str">
        <f>IF(AND(Audit_Data[[#This Row],[Recency]]&gt;=0,Audit_Data[[#This Row],[Recency]]&lt;=100),"Valid","Invalid")</f>
        <v>Valid</v>
      </c>
      <c r="AM432" t="str">
        <f t="shared" si="84"/>
        <v>Valid</v>
      </c>
      <c r="AN432" t="str">
        <f t="shared" si="85"/>
        <v>Valid</v>
      </c>
      <c r="AO432" t="str">
        <f t="shared" si="86"/>
        <v>Valid</v>
      </c>
      <c r="AP432" t="str">
        <f t="shared" si="87"/>
        <v>Valid</v>
      </c>
      <c r="AQ432" t="str">
        <f>IF(Audit_Data[[#This Row],[Z_CostContact]]=3,"Valid","Invalid")</f>
        <v>Valid</v>
      </c>
      <c r="AR432" t="str">
        <f t="shared" si="88"/>
        <v>Valid</v>
      </c>
      <c r="AS432" t="str">
        <f t="shared" si="89"/>
        <v>Valid</v>
      </c>
    </row>
    <row r="433" spans="1:45" x14ac:dyDescent="0.3">
      <c r="A433">
        <v>4324</v>
      </c>
      <c r="B433">
        <v>1989</v>
      </c>
      <c r="C433" t="s">
        <v>29</v>
      </c>
      <c r="D433" t="s">
        <v>33</v>
      </c>
      <c r="E433">
        <v>42387</v>
      </c>
      <c r="F433">
        <v>1</v>
      </c>
      <c r="G433">
        <v>0</v>
      </c>
      <c r="H433" s="1">
        <v>41211</v>
      </c>
      <c r="I433">
        <v>42</v>
      </c>
      <c r="J433">
        <v>235</v>
      </c>
      <c r="K433">
        <v>0</v>
      </c>
      <c r="L433">
        <v>235</v>
      </c>
      <c r="M433">
        <v>19</v>
      </c>
      <c r="N433">
        <v>4</v>
      </c>
      <c r="O433">
        <v>191</v>
      </c>
      <c r="P433">
        <v>5</v>
      </c>
      <c r="Q433">
        <v>8</v>
      </c>
      <c r="R433">
        <v>1</v>
      </c>
      <c r="S433">
        <v>7</v>
      </c>
      <c r="T433">
        <v>8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3</v>
      </c>
      <c r="AB433">
        <v>11</v>
      </c>
      <c r="AC433">
        <v>0</v>
      </c>
      <c r="AD433" t="str">
        <f t="shared" si="78"/>
        <v>Ok</v>
      </c>
      <c r="AE433" t="str">
        <f>IF(AND(Audit_Data[[#This Row],[Year_Birth]]&gt;=1900,Audit_Data[[#This Row],[Year_Birth]]&lt;=2010),"OK","Invalid")</f>
        <v>OK</v>
      </c>
      <c r="AF433" t="str">
        <f t="shared" si="79"/>
        <v>Valid</v>
      </c>
      <c r="AG433" t="str">
        <f t="shared" si="80"/>
        <v>Valid</v>
      </c>
      <c r="AH433" t="str">
        <f t="shared" si="81"/>
        <v>Valid</v>
      </c>
      <c r="AI433" t="str">
        <f t="shared" si="82"/>
        <v>Valid</v>
      </c>
      <c r="AJ433" t="str">
        <f t="shared" si="83"/>
        <v>Valid</v>
      </c>
      <c r="AK433" t="str">
        <f t="shared" si="90"/>
        <v xml:space="preserve">Valid </v>
      </c>
      <c r="AL433" t="str">
        <f>IF(AND(Audit_Data[[#This Row],[Recency]]&gt;=0,Audit_Data[[#This Row],[Recency]]&lt;=100),"Valid","Invalid")</f>
        <v>Valid</v>
      </c>
      <c r="AM433" t="str">
        <f t="shared" si="84"/>
        <v>Valid</v>
      </c>
      <c r="AN433" t="str">
        <f t="shared" si="85"/>
        <v>Valid</v>
      </c>
      <c r="AO433" t="str">
        <f t="shared" si="86"/>
        <v>Valid</v>
      </c>
      <c r="AP433" t="str">
        <f t="shared" si="87"/>
        <v>Valid</v>
      </c>
      <c r="AQ433" t="str">
        <f>IF(Audit_Data[[#This Row],[Z_CostContact]]=3,"Valid","Invalid")</f>
        <v>Valid</v>
      </c>
      <c r="AR433" t="str">
        <f t="shared" si="88"/>
        <v>Valid</v>
      </c>
      <c r="AS433" t="str">
        <f t="shared" si="89"/>
        <v>Valid</v>
      </c>
    </row>
    <row r="434" spans="1:45" x14ac:dyDescent="0.3">
      <c r="A434">
        <v>238</v>
      </c>
      <c r="B434">
        <v>1967</v>
      </c>
      <c r="C434" t="s">
        <v>37</v>
      </c>
      <c r="D434" t="s">
        <v>31</v>
      </c>
      <c r="E434">
        <v>67309</v>
      </c>
      <c r="F434">
        <v>1</v>
      </c>
      <c r="G434">
        <v>1</v>
      </c>
      <c r="H434" s="1">
        <v>41297</v>
      </c>
      <c r="I434">
        <v>76</v>
      </c>
      <c r="J434">
        <v>515</v>
      </c>
      <c r="K434">
        <v>47</v>
      </c>
      <c r="L434">
        <v>181</v>
      </c>
      <c r="M434">
        <v>149</v>
      </c>
      <c r="N434">
        <v>95</v>
      </c>
      <c r="O434">
        <v>95</v>
      </c>
      <c r="P434">
        <v>15</v>
      </c>
      <c r="Q434">
        <v>9</v>
      </c>
      <c r="R434">
        <v>6</v>
      </c>
      <c r="S434">
        <v>9</v>
      </c>
      <c r="T434">
        <v>7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3</v>
      </c>
      <c r="AB434">
        <v>11</v>
      </c>
      <c r="AC434">
        <v>0</v>
      </c>
      <c r="AD434" t="str">
        <f t="shared" si="78"/>
        <v>Ok</v>
      </c>
      <c r="AE434" t="str">
        <f>IF(AND(Audit_Data[[#This Row],[Year_Birth]]&gt;=1900,Audit_Data[[#This Row],[Year_Birth]]&lt;=2010),"OK","Invalid")</f>
        <v>OK</v>
      </c>
      <c r="AF434" t="str">
        <f t="shared" si="79"/>
        <v>Valid</v>
      </c>
      <c r="AG434" t="str">
        <f t="shared" si="80"/>
        <v>Valid</v>
      </c>
      <c r="AH434" t="str">
        <f t="shared" si="81"/>
        <v>Valid</v>
      </c>
      <c r="AI434" t="str">
        <f t="shared" si="82"/>
        <v>Valid</v>
      </c>
      <c r="AJ434" t="str">
        <f t="shared" si="83"/>
        <v>Valid</v>
      </c>
      <c r="AK434" t="str">
        <f t="shared" si="90"/>
        <v xml:space="preserve">Valid </v>
      </c>
      <c r="AL434" t="str">
        <f>IF(AND(Audit_Data[[#This Row],[Recency]]&gt;=0,Audit_Data[[#This Row],[Recency]]&lt;=100),"Valid","Invalid")</f>
        <v>Valid</v>
      </c>
      <c r="AM434" t="str">
        <f t="shared" si="84"/>
        <v>Valid</v>
      </c>
      <c r="AN434" t="str">
        <f t="shared" si="85"/>
        <v>Valid</v>
      </c>
      <c r="AO434" t="str">
        <f t="shared" si="86"/>
        <v>Valid</v>
      </c>
      <c r="AP434" t="str">
        <f t="shared" si="87"/>
        <v>Valid</v>
      </c>
      <c r="AQ434" t="str">
        <f>IF(Audit_Data[[#This Row],[Z_CostContact]]=3,"Valid","Invalid")</f>
        <v>Valid</v>
      </c>
      <c r="AR434" t="str">
        <f t="shared" si="88"/>
        <v>Valid</v>
      </c>
      <c r="AS434" t="str">
        <f t="shared" si="89"/>
        <v>Valid</v>
      </c>
    </row>
    <row r="435" spans="1:45" x14ac:dyDescent="0.3">
      <c r="A435">
        <v>6694</v>
      </c>
      <c r="B435">
        <v>1964</v>
      </c>
      <c r="C435" t="s">
        <v>29</v>
      </c>
      <c r="D435" t="s">
        <v>33</v>
      </c>
      <c r="E435">
        <v>75236</v>
      </c>
      <c r="F435">
        <v>0</v>
      </c>
      <c r="G435">
        <v>1</v>
      </c>
      <c r="H435" s="1">
        <v>41603</v>
      </c>
      <c r="I435">
        <v>27</v>
      </c>
      <c r="J435">
        <v>438</v>
      </c>
      <c r="K435">
        <v>66</v>
      </c>
      <c r="L435">
        <v>400</v>
      </c>
      <c r="M435">
        <v>12</v>
      </c>
      <c r="N435">
        <v>38</v>
      </c>
      <c r="O435">
        <v>114</v>
      </c>
      <c r="P435">
        <v>1</v>
      </c>
      <c r="Q435">
        <v>8</v>
      </c>
      <c r="R435">
        <v>3</v>
      </c>
      <c r="S435">
        <v>13</v>
      </c>
      <c r="T435">
        <v>4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3</v>
      </c>
      <c r="AB435">
        <v>11</v>
      </c>
      <c r="AC435">
        <v>0</v>
      </c>
      <c r="AD435" t="str">
        <f t="shared" si="78"/>
        <v>Ok</v>
      </c>
      <c r="AE435" t="str">
        <f>IF(AND(Audit_Data[[#This Row],[Year_Birth]]&gt;=1900,Audit_Data[[#This Row],[Year_Birth]]&lt;=2010),"OK","Invalid")</f>
        <v>OK</v>
      </c>
      <c r="AF435" t="str">
        <f t="shared" si="79"/>
        <v>Valid</v>
      </c>
      <c r="AG435" t="str">
        <f t="shared" si="80"/>
        <v>Valid</v>
      </c>
      <c r="AH435" t="str">
        <f t="shared" si="81"/>
        <v>Valid</v>
      </c>
      <c r="AI435" t="str">
        <f t="shared" si="82"/>
        <v>Valid</v>
      </c>
      <c r="AJ435" t="str">
        <f t="shared" si="83"/>
        <v>Valid</v>
      </c>
      <c r="AK435" t="str">
        <f t="shared" si="90"/>
        <v xml:space="preserve">Valid </v>
      </c>
      <c r="AL435" t="str">
        <f>IF(AND(Audit_Data[[#This Row],[Recency]]&gt;=0,Audit_Data[[#This Row],[Recency]]&lt;=100),"Valid","Invalid")</f>
        <v>Valid</v>
      </c>
      <c r="AM435" t="str">
        <f t="shared" si="84"/>
        <v>Valid</v>
      </c>
      <c r="AN435" t="str">
        <f t="shared" si="85"/>
        <v>Valid</v>
      </c>
      <c r="AO435" t="str">
        <f t="shared" si="86"/>
        <v>Valid</v>
      </c>
      <c r="AP435" t="str">
        <f t="shared" si="87"/>
        <v>Valid</v>
      </c>
      <c r="AQ435" t="str">
        <f>IF(Audit_Data[[#This Row],[Z_CostContact]]=3,"Valid","Invalid")</f>
        <v>Valid</v>
      </c>
      <c r="AR435" t="str">
        <f t="shared" si="88"/>
        <v>Valid</v>
      </c>
      <c r="AS435" t="str">
        <f t="shared" si="89"/>
        <v>Valid</v>
      </c>
    </row>
    <row r="436" spans="1:45" x14ac:dyDescent="0.3">
      <c r="A436">
        <v>498</v>
      </c>
      <c r="B436">
        <v>1970</v>
      </c>
      <c r="C436" t="s">
        <v>29</v>
      </c>
      <c r="D436" t="s">
        <v>30</v>
      </c>
      <c r="E436">
        <v>30015</v>
      </c>
      <c r="F436">
        <v>1</v>
      </c>
      <c r="G436">
        <v>0</v>
      </c>
      <c r="H436" s="1">
        <v>41672</v>
      </c>
      <c r="I436">
        <v>28</v>
      </c>
      <c r="J436">
        <v>25</v>
      </c>
      <c r="K436">
        <v>0</v>
      </c>
      <c r="L436">
        <v>22</v>
      </c>
      <c r="M436">
        <v>2</v>
      </c>
      <c r="N436">
        <v>3</v>
      </c>
      <c r="O436">
        <v>5</v>
      </c>
      <c r="P436">
        <v>2</v>
      </c>
      <c r="Q436">
        <v>1</v>
      </c>
      <c r="R436">
        <v>0</v>
      </c>
      <c r="S436">
        <v>4</v>
      </c>
      <c r="T436">
        <v>5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3</v>
      </c>
      <c r="AB436">
        <v>11</v>
      </c>
      <c r="AC436">
        <v>0</v>
      </c>
      <c r="AD436" t="str">
        <f t="shared" si="78"/>
        <v>Ok</v>
      </c>
      <c r="AE436" t="str">
        <f>IF(AND(Audit_Data[[#This Row],[Year_Birth]]&gt;=1900,Audit_Data[[#This Row],[Year_Birth]]&lt;=2010),"OK","Invalid")</f>
        <v>OK</v>
      </c>
      <c r="AF436" t="str">
        <f t="shared" si="79"/>
        <v>Valid</v>
      </c>
      <c r="AG436" t="str">
        <f t="shared" si="80"/>
        <v>Valid</v>
      </c>
      <c r="AH436" t="str">
        <f t="shared" si="81"/>
        <v>Valid</v>
      </c>
      <c r="AI436" t="str">
        <f t="shared" si="82"/>
        <v>Valid</v>
      </c>
      <c r="AJ436" t="str">
        <f t="shared" si="83"/>
        <v>Valid</v>
      </c>
      <c r="AK436" t="str">
        <f t="shared" si="90"/>
        <v xml:space="preserve">Valid </v>
      </c>
      <c r="AL436" t="str">
        <f>IF(AND(Audit_Data[[#This Row],[Recency]]&gt;=0,Audit_Data[[#This Row],[Recency]]&lt;=100),"Valid","Invalid")</f>
        <v>Valid</v>
      </c>
      <c r="AM436" t="str">
        <f t="shared" si="84"/>
        <v>Valid</v>
      </c>
      <c r="AN436" t="str">
        <f t="shared" si="85"/>
        <v>Valid</v>
      </c>
      <c r="AO436" t="str">
        <f t="shared" si="86"/>
        <v>Valid</v>
      </c>
      <c r="AP436" t="str">
        <f t="shared" si="87"/>
        <v>Valid</v>
      </c>
      <c r="AQ436" t="str">
        <f>IF(Audit_Data[[#This Row],[Z_CostContact]]=3,"Valid","Invalid")</f>
        <v>Valid</v>
      </c>
      <c r="AR436" t="str">
        <f t="shared" si="88"/>
        <v>Valid</v>
      </c>
      <c r="AS436" t="str">
        <f t="shared" si="89"/>
        <v>Valid</v>
      </c>
    </row>
    <row r="437" spans="1:45" x14ac:dyDescent="0.3">
      <c r="A437">
        <v>9347</v>
      </c>
      <c r="B437">
        <v>1956</v>
      </c>
      <c r="C437" t="s">
        <v>34</v>
      </c>
      <c r="D437" t="s">
        <v>31</v>
      </c>
      <c r="E437">
        <v>50943</v>
      </c>
      <c r="F437">
        <v>0</v>
      </c>
      <c r="G437">
        <v>1</v>
      </c>
      <c r="H437" s="1">
        <v>41446</v>
      </c>
      <c r="I437">
        <v>49</v>
      </c>
      <c r="J437">
        <v>31</v>
      </c>
      <c r="K437">
        <v>0</v>
      </c>
      <c r="L437">
        <v>7</v>
      </c>
      <c r="M437">
        <v>2</v>
      </c>
      <c r="N437">
        <v>0</v>
      </c>
      <c r="O437">
        <v>6</v>
      </c>
      <c r="P437">
        <v>1</v>
      </c>
      <c r="Q437">
        <v>1</v>
      </c>
      <c r="R437">
        <v>0</v>
      </c>
      <c r="S437">
        <v>3</v>
      </c>
      <c r="T437">
        <v>5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3</v>
      </c>
      <c r="AB437">
        <v>11</v>
      </c>
      <c r="AC437">
        <v>0</v>
      </c>
      <c r="AD437" t="str">
        <f t="shared" si="78"/>
        <v>Ok</v>
      </c>
      <c r="AE437" t="str">
        <f>IF(AND(Audit_Data[[#This Row],[Year_Birth]]&gt;=1900,Audit_Data[[#This Row],[Year_Birth]]&lt;=2010),"OK","Invalid")</f>
        <v>OK</v>
      </c>
      <c r="AF437" t="str">
        <f t="shared" si="79"/>
        <v>Valid</v>
      </c>
      <c r="AG437" t="str">
        <f t="shared" si="80"/>
        <v>Valid</v>
      </c>
      <c r="AH437" t="str">
        <f t="shared" si="81"/>
        <v>Valid</v>
      </c>
      <c r="AI437" t="str">
        <f t="shared" si="82"/>
        <v>Valid</v>
      </c>
      <c r="AJ437" t="str">
        <f t="shared" si="83"/>
        <v>Valid</v>
      </c>
      <c r="AK437" t="str">
        <f t="shared" si="90"/>
        <v xml:space="preserve">Valid </v>
      </c>
      <c r="AL437" t="str">
        <f>IF(AND(Audit_Data[[#This Row],[Recency]]&gt;=0,Audit_Data[[#This Row],[Recency]]&lt;=100),"Valid","Invalid")</f>
        <v>Valid</v>
      </c>
      <c r="AM437" t="str">
        <f t="shared" si="84"/>
        <v>Valid</v>
      </c>
      <c r="AN437" t="str">
        <f t="shared" si="85"/>
        <v>Valid</v>
      </c>
      <c r="AO437" t="str">
        <f t="shared" si="86"/>
        <v>Valid</v>
      </c>
      <c r="AP437" t="str">
        <f t="shared" si="87"/>
        <v>Valid</v>
      </c>
      <c r="AQ437" t="str">
        <f>IF(Audit_Data[[#This Row],[Z_CostContact]]=3,"Valid","Invalid")</f>
        <v>Valid</v>
      </c>
      <c r="AR437" t="str">
        <f t="shared" si="88"/>
        <v>Valid</v>
      </c>
      <c r="AS437" t="str">
        <f t="shared" si="89"/>
        <v>Valid</v>
      </c>
    </row>
    <row r="438" spans="1:45" x14ac:dyDescent="0.3">
      <c r="A438">
        <v>9699</v>
      </c>
      <c r="B438">
        <v>1966</v>
      </c>
      <c r="C438" t="s">
        <v>29</v>
      </c>
      <c r="D438" t="s">
        <v>35</v>
      </c>
      <c r="E438">
        <v>67272</v>
      </c>
      <c r="F438">
        <v>0</v>
      </c>
      <c r="G438">
        <v>1</v>
      </c>
      <c r="H438" s="1">
        <v>41629</v>
      </c>
      <c r="I438">
        <v>12</v>
      </c>
      <c r="J438">
        <v>357</v>
      </c>
      <c r="K438">
        <v>35</v>
      </c>
      <c r="L438">
        <v>271</v>
      </c>
      <c r="M438">
        <v>28</v>
      </c>
      <c r="N438">
        <v>28</v>
      </c>
      <c r="O438">
        <v>14</v>
      </c>
      <c r="P438">
        <v>3</v>
      </c>
      <c r="Q438">
        <v>6</v>
      </c>
      <c r="R438">
        <v>2</v>
      </c>
      <c r="S438">
        <v>12</v>
      </c>
      <c r="T438">
        <v>5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3</v>
      </c>
      <c r="AB438">
        <v>11</v>
      </c>
      <c r="AC438">
        <v>0</v>
      </c>
      <c r="AD438" t="str">
        <f t="shared" si="78"/>
        <v>Ok</v>
      </c>
      <c r="AE438" t="str">
        <f>IF(AND(Audit_Data[[#This Row],[Year_Birth]]&gt;=1900,Audit_Data[[#This Row],[Year_Birth]]&lt;=2010),"OK","Invalid")</f>
        <v>OK</v>
      </c>
      <c r="AF438" t="str">
        <f t="shared" si="79"/>
        <v>Valid</v>
      </c>
      <c r="AG438" t="str">
        <f t="shared" si="80"/>
        <v>Valid</v>
      </c>
      <c r="AH438" t="str">
        <f t="shared" si="81"/>
        <v>Valid</v>
      </c>
      <c r="AI438" t="str">
        <f t="shared" si="82"/>
        <v>Valid</v>
      </c>
      <c r="AJ438" t="str">
        <f t="shared" si="83"/>
        <v>Valid</v>
      </c>
      <c r="AK438" t="str">
        <f t="shared" si="90"/>
        <v xml:space="preserve">Valid </v>
      </c>
      <c r="AL438" t="str">
        <f>IF(AND(Audit_Data[[#This Row],[Recency]]&gt;=0,Audit_Data[[#This Row],[Recency]]&lt;=100),"Valid","Invalid")</f>
        <v>Valid</v>
      </c>
      <c r="AM438" t="str">
        <f t="shared" si="84"/>
        <v>Valid</v>
      </c>
      <c r="AN438" t="str">
        <f t="shared" si="85"/>
        <v>Valid</v>
      </c>
      <c r="AO438" t="str">
        <f t="shared" si="86"/>
        <v>Valid</v>
      </c>
      <c r="AP438" t="str">
        <f t="shared" si="87"/>
        <v>Valid</v>
      </c>
      <c r="AQ438" t="str">
        <f>IF(Audit_Data[[#This Row],[Z_CostContact]]=3,"Valid","Invalid")</f>
        <v>Valid</v>
      </c>
      <c r="AR438" t="str">
        <f t="shared" si="88"/>
        <v>Valid</v>
      </c>
      <c r="AS438" t="str">
        <f t="shared" si="89"/>
        <v>Valid</v>
      </c>
    </row>
    <row r="439" spans="1:45" x14ac:dyDescent="0.3">
      <c r="A439">
        <v>10664</v>
      </c>
      <c r="B439">
        <v>1949</v>
      </c>
      <c r="C439" t="s">
        <v>34</v>
      </c>
      <c r="D439" t="s">
        <v>38</v>
      </c>
      <c r="E439">
        <v>51529</v>
      </c>
      <c r="F439">
        <v>0</v>
      </c>
      <c r="G439">
        <v>1</v>
      </c>
      <c r="H439" s="1">
        <v>41524</v>
      </c>
      <c r="I439">
        <v>14</v>
      </c>
      <c r="J439">
        <v>400</v>
      </c>
      <c r="K439">
        <v>4</v>
      </c>
      <c r="L439">
        <v>35</v>
      </c>
      <c r="M439">
        <v>6</v>
      </c>
      <c r="N439">
        <v>0</v>
      </c>
      <c r="O439">
        <v>22</v>
      </c>
      <c r="P439">
        <v>2</v>
      </c>
      <c r="Q439">
        <v>9</v>
      </c>
      <c r="R439">
        <v>1</v>
      </c>
      <c r="S439">
        <v>5</v>
      </c>
      <c r="T439">
        <v>8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3</v>
      </c>
      <c r="AB439">
        <v>11</v>
      </c>
      <c r="AC439">
        <v>0</v>
      </c>
      <c r="AD439" t="str">
        <f t="shared" si="78"/>
        <v>Ok</v>
      </c>
      <c r="AE439" t="str">
        <f>IF(AND(Audit_Data[[#This Row],[Year_Birth]]&gt;=1900,Audit_Data[[#This Row],[Year_Birth]]&lt;=2010),"OK","Invalid")</f>
        <v>OK</v>
      </c>
      <c r="AF439" t="str">
        <f t="shared" si="79"/>
        <v>Valid</v>
      </c>
      <c r="AG439" t="str">
        <f t="shared" si="80"/>
        <v>Valid</v>
      </c>
      <c r="AH439" t="str">
        <f t="shared" si="81"/>
        <v>Valid</v>
      </c>
      <c r="AI439" t="str">
        <f t="shared" si="82"/>
        <v>Valid</v>
      </c>
      <c r="AJ439" t="str">
        <f t="shared" si="83"/>
        <v>Valid</v>
      </c>
      <c r="AK439" t="str">
        <f t="shared" si="90"/>
        <v xml:space="preserve">Valid </v>
      </c>
      <c r="AL439" t="str">
        <f>IF(AND(Audit_Data[[#This Row],[Recency]]&gt;=0,Audit_Data[[#This Row],[Recency]]&lt;=100),"Valid","Invalid")</f>
        <v>Valid</v>
      </c>
      <c r="AM439" t="str">
        <f t="shared" si="84"/>
        <v>Valid</v>
      </c>
      <c r="AN439" t="str">
        <f t="shared" si="85"/>
        <v>Valid</v>
      </c>
      <c r="AO439" t="str">
        <f t="shared" si="86"/>
        <v>Valid</v>
      </c>
      <c r="AP439" t="str">
        <f t="shared" si="87"/>
        <v>Valid</v>
      </c>
      <c r="AQ439" t="str">
        <f>IF(Audit_Data[[#This Row],[Z_CostContact]]=3,"Valid","Invalid")</f>
        <v>Valid</v>
      </c>
      <c r="AR439" t="str">
        <f t="shared" si="88"/>
        <v>Valid</v>
      </c>
      <c r="AS439" t="str">
        <f t="shared" si="89"/>
        <v>Valid</v>
      </c>
    </row>
    <row r="440" spans="1:45" x14ac:dyDescent="0.3">
      <c r="A440">
        <v>5455</v>
      </c>
      <c r="B440">
        <v>1971</v>
      </c>
      <c r="C440" t="s">
        <v>32</v>
      </c>
      <c r="D440" t="s">
        <v>33</v>
      </c>
      <c r="E440">
        <v>32011</v>
      </c>
      <c r="F440">
        <v>1</v>
      </c>
      <c r="G440">
        <v>0</v>
      </c>
      <c r="H440" s="1">
        <v>41508</v>
      </c>
      <c r="I440">
        <v>89</v>
      </c>
      <c r="J440">
        <v>99</v>
      </c>
      <c r="K440">
        <v>0</v>
      </c>
      <c r="L440">
        <v>15</v>
      </c>
      <c r="M440">
        <v>2</v>
      </c>
      <c r="N440">
        <v>1</v>
      </c>
      <c r="O440">
        <v>5</v>
      </c>
      <c r="P440">
        <v>3</v>
      </c>
      <c r="Q440">
        <v>2</v>
      </c>
      <c r="R440">
        <v>1</v>
      </c>
      <c r="S440">
        <v>4</v>
      </c>
      <c r="T440">
        <v>7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3</v>
      </c>
      <c r="AB440">
        <v>11</v>
      </c>
      <c r="AC440">
        <v>0</v>
      </c>
      <c r="AD440" t="str">
        <f t="shared" si="78"/>
        <v>Ok</v>
      </c>
      <c r="AE440" t="str">
        <f>IF(AND(Audit_Data[[#This Row],[Year_Birth]]&gt;=1900,Audit_Data[[#This Row],[Year_Birth]]&lt;=2010),"OK","Invalid")</f>
        <v>OK</v>
      </c>
      <c r="AF440" t="str">
        <f t="shared" si="79"/>
        <v>Valid</v>
      </c>
      <c r="AG440" t="str">
        <f t="shared" si="80"/>
        <v>Valid</v>
      </c>
      <c r="AH440" t="str">
        <f t="shared" si="81"/>
        <v>Valid</v>
      </c>
      <c r="AI440" t="str">
        <f t="shared" si="82"/>
        <v>Valid</v>
      </c>
      <c r="AJ440" t="str">
        <f t="shared" si="83"/>
        <v>Valid</v>
      </c>
      <c r="AK440" t="str">
        <f t="shared" si="90"/>
        <v xml:space="preserve">Valid </v>
      </c>
      <c r="AL440" t="str">
        <f>IF(AND(Audit_Data[[#This Row],[Recency]]&gt;=0,Audit_Data[[#This Row],[Recency]]&lt;=100),"Valid","Invalid")</f>
        <v>Valid</v>
      </c>
      <c r="AM440" t="str">
        <f t="shared" si="84"/>
        <v>Valid</v>
      </c>
      <c r="AN440" t="str">
        <f t="shared" si="85"/>
        <v>Valid</v>
      </c>
      <c r="AO440" t="str">
        <f t="shared" si="86"/>
        <v>Valid</v>
      </c>
      <c r="AP440" t="str">
        <f t="shared" si="87"/>
        <v>Valid</v>
      </c>
      <c r="AQ440" t="str">
        <f>IF(Audit_Data[[#This Row],[Z_CostContact]]=3,"Valid","Invalid")</f>
        <v>Valid</v>
      </c>
      <c r="AR440" t="str">
        <f t="shared" si="88"/>
        <v>Valid</v>
      </c>
      <c r="AS440" t="str">
        <f t="shared" si="89"/>
        <v>Valid</v>
      </c>
    </row>
    <row r="441" spans="1:45" x14ac:dyDescent="0.3">
      <c r="A441">
        <v>456</v>
      </c>
      <c r="B441">
        <v>1986</v>
      </c>
      <c r="C441" t="s">
        <v>37</v>
      </c>
      <c r="D441" t="s">
        <v>33</v>
      </c>
      <c r="E441">
        <v>7500</v>
      </c>
      <c r="F441">
        <v>1</v>
      </c>
      <c r="G441">
        <v>0</v>
      </c>
      <c r="H441" s="1">
        <v>41312</v>
      </c>
      <c r="I441">
        <v>96</v>
      </c>
      <c r="J441">
        <v>1</v>
      </c>
      <c r="K441">
        <v>11</v>
      </c>
      <c r="L441">
        <v>5</v>
      </c>
      <c r="M441">
        <v>4</v>
      </c>
      <c r="N441">
        <v>6</v>
      </c>
      <c r="O441">
        <v>9</v>
      </c>
      <c r="P441">
        <v>2</v>
      </c>
      <c r="Q441">
        <v>2</v>
      </c>
      <c r="R441">
        <v>0</v>
      </c>
      <c r="S441">
        <v>3</v>
      </c>
      <c r="T441">
        <v>8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3</v>
      </c>
      <c r="AB441">
        <v>11</v>
      </c>
      <c r="AC441">
        <v>0</v>
      </c>
      <c r="AD441" t="str">
        <f t="shared" si="78"/>
        <v>Ok</v>
      </c>
      <c r="AE441" t="str">
        <f>IF(AND(Audit_Data[[#This Row],[Year_Birth]]&gt;=1900,Audit_Data[[#This Row],[Year_Birth]]&lt;=2010),"OK","Invalid")</f>
        <v>OK</v>
      </c>
      <c r="AF441" t="str">
        <f t="shared" si="79"/>
        <v>Valid</v>
      </c>
      <c r="AG441" t="str">
        <f t="shared" si="80"/>
        <v>Valid</v>
      </c>
      <c r="AH441" t="str">
        <f t="shared" si="81"/>
        <v>Valid</v>
      </c>
      <c r="AI441" t="str">
        <f t="shared" si="82"/>
        <v>Valid</v>
      </c>
      <c r="AJ441" t="str">
        <f t="shared" si="83"/>
        <v>Valid</v>
      </c>
      <c r="AK441" t="str">
        <f t="shared" si="90"/>
        <v xml:space="preserve">Valid </v>
      </c>
      <c r="AL441" t="str">
        <f>IF(AND(Audit_Data[[#This Row],[Recency]]&gt;=0,Audit_Data[[#This Row],[Recency]]&lt;=100),"Valid","Invalid")</f>
        <v>Valid</v>
      </c>
      <c r="AM441" t="str">
        <f t="shared" si="84"/>
        <v>Valid</v>
      </c>
      <c r="AN441" t="str">
        <f t="shared" si="85"/>
        <v>Valid</v>
      </c>
      <c r="AO441" t="str">
        <f t="shared" si="86"/>
        <v>Valid</v>
      </c>
      <c r="AP441" t="str">
        <f t="shared" si="87"/>
        <v>Valid</v>
      </c>
      <c r="AQ441" t="str">
        <f>IF(Audit_Data[[#This Row],[Z_CostContact]]=3,"Valid","Invalid")</f>
        <v>Valid</v>
      </c>
      <c r="AR441" t="str">
        <f t="shared" si="88"/>
        <v>Valid</v>
      </c>
      <c r="AS441" t="str">
        <f t="shared" si="89"/>
        <v>Valid</v>
      </c>
    </row>
    <row r="442" spans="1:45" x14ac:dyDescent="0.3">
      <c r="A442">
        <v>5012</v>
      </c>
      <c r="B442">
        <v>1989</v>
      </c>
      <c r="C442" t="s">
        <v>29</v>
      </c>
      <c r="D442" t="s">
        <v>33</v>
      </c>
      <c r="E442">
        <v>28691</v>
      </c>
      <c r="F442">
        <v>1</v>
      </c>
      <c r="G442">
        <v>0</v>
      </c>
      <c r="H442" s="1">
        <v>41459</v>
      </c>
      <c r="I442">
        <v>56</v>
      </c>
      <c r="J442">
        <v>5</v>
      </c>
      <c r="K442">
        <v>4</v>
      </c>
      <c r="L442">
        <v>13</v>
      </c>
      <c r="M442">
        <v>8</v>
      </c>
      <c r="N442">
        <v>0</v>
      </c>
      <c r="O442">
        <v>4</v>
      </c>
      <c r="P442">
        <v>1</v>
      </c>
      <c r="Q442">
        <v>1</v>
      </c>
      <c r="R442">
        <v>0</v>
      </c>
      <c r="S442">
        <v>3</v>
      </c>
      <c r="T442">
        <v>8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3</v>
      </c>
      <c r="AB442">
        <v>11</v>
      </c>
      <c r="AC442">
        <v>0</v>
      </c>
      <c r="AD442" t="str">
        <f t="shared" si="78"/>
        <v>Ok</v>
      </c>
      <c r="AE442" t="str">
        <f>IF(AND(Audit_Data[[#This Row],[Year_Birth]]&gt;=1900,Audit_Data[[#This Row],[Year_Birth]]&lt;=2010),"OK","Invalid")</f>
        <v>OK</v>
      </c>
      <c r="AF442" t="str">
        <f t="shared" si="79"/>
        <v>Valid</v>
      </c>
      <c r="AG442" t="str">
        <f t="shared" si="80"/>
        <v>Valid</v>
      </c>
      <c r="AH442" t="str">
        <f t="shared" si="81"/>
        <v>Valid</v>
      </c>
      <c r="AI442" t="str">
        <f t="shared" si="82"/>
        <v>Valid</v>
      </c>
      <c r="AJ442" t="str">
        <f t="shared" si="83"/>
        <v>Valid</v>
      </c>
      <c r="AK442" t="str">
        <f t="shared" si="90"/>
        <v xml:space="preserve">Valid </v>
      </c>
      <c r="AL442" t="str">
        <f>IF(AND(Audit_Data[[#This Row],[Recency]]&gt;=0,Audit_Data[[#This Row],[Recency]]&lt;=100),"Valid","Invalid")</f>
        <v>Valid</v>
      </c>
      <c r="AM442" t="str">
        <f t="shared" si="84"/>
        <v>Valid</v>
      </c>
      <c r="AN442" t="str">
        <f t="shared" si="85"/>
        <v>Valid</v>
      </c>
      <c r="AO442" t="str">
        <f t="shared" si="86"/>
        <v>Valid</v>
      </c>
      <c r="AP442" t="str">
        <f t="shared" si="87"/>
        <v>Valid</v>
      </c>
      <c r="AQ442" t="str">
        <f>IF(Audit_Data[[#This Row],[Z_CostContact]]=3,"Valid","Invalid")</f>
        <v>Valid</v>
      </c>
      <c r="AR442" t="str">
        <f t="shared" si="88"/>
        <v>Valid</v>
      </c>
      <c r="AS442" t="str">
        <f t="shared" si="89"/>
        <v>Valid</v>
      </c>
    </row>
    <row r="443" spans="1:45" x14ac:dyDescent="0.3">
      <c r="A443">
        <v>7495</v>
      </c>
      <c r="B443">
        <v>1948</v>
      </c>
      <c r="C443" t="s">
        <v>32</v>
      </c>
      <c r="D443" t="s">
        <v>33</v>
      </c>
      <c r="E443">
        <v>56223</v>
      </c>
      <c r="F443">
        <v>0</v>
      </c>
      <c r="G443">
        <v>1</v>
      </c>
      <c r="H443" s="1">
        <v>41628</v>
      </c>
      <c r="I443">
        <v>72</v>
      </c>
      <c r="J443">
        <v>77</v>
      </c>
      <c r="K443">
        <v>28</v>
      </c>
      <c r="L443">
        <v>31</v>
      </c>
      <c r="M443">
        <v>16</v>
      </c>
      <c r="N443">
        <v>0</v>
      </c>
      <c r="O443">
        <v>4</v>
      </c>
      <c r="P443">
        <v>2</v>
      </c>
      <c r="Q443">
        <v>2</v>
      </c>
      <c r="R443">
        <v>1</v>
      </c>
      <c r="S443">
        <v>5</v>
      </c>
      <c r="T443">
        <v>4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3</v>
      </c>
      <c r="AB443">
        <v>11</v>
      </c>
      <c r="AC443">
        <v>0</v>
      </c>
      <c r="AD443" t="str">
        <f t="shared" si="78"/>
        <v>Ok</v>
      </c>
      <c r="AE443" t="str">
        <f>IF(AND(Audit_Data[[#This Row],[Year_Birth]]&gt;=1900,Audit_Data[[#This Row],[Year_Birth]]&lt;=2010),"OK","Invalid")</f>
        <v>OK</v>
      </c>
      <c r="AF443" t="str">
        <f t="shared" si="79"/>
        <v>Valid</v>
      </c>
      <c r="AG443" t="str">
        <f t="shared" si="80"/>
        <v>Valid</v>
      </c>
      <c r="AH443" t="str">
        <f t="shared" si="81"/>
        <v>Valid</v>
      </c>
      <c r="AI443" t="str">
        <f t="shared" si="82"/>
        <v>Valid</v>
      </c>
      <c r="AJ443" t="str">
        <f t="shared" si="83"/>
        <v>Valid</v>
      </c>
      <c r="AK443" t="str">
        <f t="shared" si="90"/>
        <v xml:space="preserve">Valid </v>
      </c>
      <c r="AL443" t="str">
        <f>IF(AND(Audit_Data[[#This Row],[Recency]]&gt;=0,Audit_Data[[#This Row],[Recency]]&lt;=100),"Valid","Invalid")</f>
        <v>Valid</v>
      </c>
      <c r="AM443" t="str">
        <f t="shared" si="84"/>
        <v>Valid</v>
      </c>
      <c r="AN443" t="str">
        <f t="shared" si="85"/>
        <v>Valid</v>
      </c>
      <c r="AO443" t="str">
        <f t="shared" si="86"/>
        <v>Valid</v>
      </c>
      <c r="AP443" t="str">
        <f t="shared" si="87"/>
        <v>Valid</v>
      </c>
      <c r="AQ443" t="str">
        <f>IF(Audit_Data[[#This Row],[Z_CostContact]]=3,"Valid","Invalid")</f>
        <v>Valid</v>
      </c>
      <c r="AR443" t="str">
        <f t="shared" si="88"/>
        <v>Valid</v>
      </c>
      <c r="AS443" t="str">
        <f t="shared" si="89"/>
        <v>Valid</v>
      </c>
    </row>
    <row r="444" spans="1:45" x14ac:dyDescent="0.3">
      <c r="A444">
        <v>5029</v>
      </c>
      <c r="B444">
        <v>1946</v>
      </c>
      <c r="C444" t="s">
        <v>29</v>
      </c>
      <c r="D444" t="s">
        <v>33</v>
      </c>
      <c r="E444">
        <v>18100</v>
      </c>
      <c r="F444">
        <v>0</v>
      </c>
      <c r="G444">
        <v>0</v>
      </c>
      <c r="H444" s="1">
        <v>41492</v>
      </c>
      <c r="I444">
        <v>14</v>
      </c>
      <c r="J444">
        <v>3</v>
      </c>
      <c r="K444">
        <v>1</v>
      </c>
      <c r="L444">
        <v>2</v>
      </c>
      <c r="M444">
        <v>4</v>
      </c>
      <c r="N444">
        <v>3</v>
      </c>
      <c r="O444">
        <v>1</v>
      </c>
      <c r="P444">
        <v>1</v>
      </c>
      <c r="Q444">
        <v>0</v>
      </c>
      <c r="R444">
        <v>0</v>
      </c>
      <c r="S444">
        <v>3</v>
      </c>
      <c r="T444">
        <v>5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3</v>
      </c>
      <c r="AB444">
        <v>11</v>
      </c>
      <c r="AC444">
        <v>0</v>
      </c>
      <c r="AD444" t="str">
        <f t="shared" si="78"/>
        <v>Ok</v>
      </c>
      <c r="AE444" t="str">
        <f>IF(AND(Audit_Data[[#This Row],[Year_Birth]]&gt;=1900,Audit_Data[[#This Row],[Year_Birth]]&lt;=2010),"OK","Invalid")</f>
        <v>OK</v>
      </c>
      <c r="AF444" t="str">
        <f t="shared" si="79"/>
        <v>Valid</v>
      </c>
      <c r="AG444" t="str">
        <f t="shared" si="80"/>
        <v>Valid</v>
      </c>
      <c r="AH444" t="str">
        <f t="shared" si="81"/>
        <v>Valid</v>
      </c>
      <c r="AI444" t="str">
        <f t="shared" si="82"/>
        <v>Valid</v>
      </c>
      <c r="AJ444" t="str">
        <f t="shared" si="83"/>
        <v>Valid</v>
      </c>
      <c r="AK444" t="str">
        <f t="shared" si="90"/>
        <v xml:space="preserve">Valid </v>
      </c>
      <c r="AL444" t="str">
        <f>IF(AND(Audit_Data[[#This Row],[Recency]]&gt;=0,Audit_Data[[#This Row],[Recency]]&lt;=100),"Valid","Invalid")</f>
        <v>Valid</v>
      </c>
      <c r="AM444" t="str">
        <f t="shared" si="84"/>
        <v>Valid</v>
      </c>
      <c r="AN444" t="str">
        <f t="shared" si="85"/>
        <v>Valid</v>
      </c>
      <c r="AO444" t="str">
        <f t="shared" si="86"/>
        <v>Valid</v>
      </c>
      <c r="AP444" t="str">
        <f t="shared" si="87"/>
        <v>Valid</v>
      </c>
      <c r="AQ444" t="str">
        <f>IF(Audit_Data[[#This Row],[Z_CostContact]]=3,"Valid","Invalid")</f>
        <v>Valid</v>
      </c>
      <c r="AR444" t="str">
        <f t="shared" si="88"/>
        <v>Valid</v>
      </c>
      <c r="AS444" t="str">
        <f t="shared" si="89"/>
        <v>Valid</v>
      </c>
    </row>
    <row r="445" spans="1:45" x14ac:dyDescent="0.3">
      <c r="A445">
        <v>10642</v>
      </c>
      <c r="B445">
        <v>1989</v>
      </c>
      <c r="C445" t="s">
        <v>29</v>
      </c>
      <c r="D445" t="s">
        <v>30</v>
      </c>
      <c r="E445">
        <v>30279</v>
      </c>
      <c r="F445">
        <v>1</v>
      </c>
      <c r="G445">
        <v>0</v>
      </c>
      <c r="H445" s="1">
        <v>41273</v>
      </c>
      <c r="I445">
        <v>13</v>
      </c>
      <c r="J445">
        <v>10</v>
      </c>
      <c r="K445">
        <v>4</v>
      </c>
      <c r="L445">
        <v>14</v>
      </c>
      <c r="M445">
        <v>4</v>
      </c>
      <c r="N445">
        <v>4</v>
      </c>
      <c r="O445">
        <v>1</v>
      </c>
      <c r="P445">
        <v>1</v>
      </c>
      <c r="Q445">
        <v>1</v>
      </c>
      <c r="R445">
        <v>0</v>
      </c>
      <c r="S445">
        <v>3</v>
      </c>
      <c r="T445">
        <v>8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3</v>
      </c>
      <c r="AB445">
        <v>11</v>
      </c>
      <c r="AC445">
        <v>0</v>
      </c>
      <c r="AD445" t="str">
        <f t="shared" si="78"/>
        <v>Ok</v>
      </c>
      <c r="AE445" t="str">
        <f>IF(AND(Audit_Data[[#This Row],[Year_Birth]]&gt;=1900,Audit_Data[[#This Row],[Year_Birth]]&lt;=2010),"OK","Invalid")</f>
        <v>OK</v>
      </c>
      <c r="AF445" t="str">
        <f t="shared" si="79"/>
        <v>Valid</v>
      </c>
      <c r="AG445" t="str">
        <f t="shared" si="80"/>
        <v>Valid</v>
      </c>
      <c r="AH445" t="str">
        <f t="shared" si="81"/>
        <v>Valid</v>
      </c>
      <c r="AI445" t="str">
        <f t="shared" si="82"/>
        <v>Valid</v>
      </c>
      <c r="AJ445" t="str">
        <f t="shared" si="83"/>
        <v>Valid</v>
      </c>
      <c r="AK445" t="str">
        <f t="shared" si="90"/>
        <v xml:space="preserve">Valid </v>
      </c>
      <c r="AL445" t="str">
        <f>IF(AND(Audit_Data[[#This Row],[Recency]]&gt;=0,Audit_Data[[#This Row],[Recency]]&lt;=100),"Valid","Invalid")</f>
        <v>Valid</v>
      </c>
      <c r="AM445" t="str">
        <f t="shared" si="84"/>
        <v>Valid</v>
      </c>
      <c r="AN445" t="str">
        <f t="shared" si="85"/>
        <v>Valid</v>
      </c>
      <c r="AO445" t="str">
        <f t="shared" si="86"/>
        <v>Valid</v>
      </c>
      <c r="AP445" t="str">
        <f t="shared" si="87"/>
        <v>Valid</v>
      </c>
      <c r="AQ445" t="str">
        <f>IF(Audit_Data[[#This Row],[Z_CostContact]]=3,"Valid","Invalid")</f>
        <v>Valid</v>
      </c>
      <c r="AR445" t="str">
        <f t="shared" si="88"/>
        <v>Valid</v>
      </c>
      <c r="AS445" t="str">
        <f t="shared" si="89"/>
        <v>Valid</v>
      </c>
    </row>
    <row r="446" spans="1:45" x14ac:dyDescent="0.3">
      <c r="A446">
        <v>2106</v>
      </c>
      <c r="B446">
        <v>1974</v>
      </c>
      <c r="C446" t="s">
        <v>37</v>
      </c>
      <c r="D446" t="s">
        <v>33</v>
      </c>
      <c r="E446">
        <v>20130</v>
      </c>
      <c r="F446">
        <v>0</v>
      </c>
      <c r="G446">
        <v>0</v>
      </c>
      <c r="H446" s="1">
        <v>41715</v>
      </c>
      <c r="I446">
        <v>99</v>
      </c>
      <c r="J446">
        <v>0</v>
      </c>
      <c r="K446">
        <v>6</v>
      </c>
      <c r="L446">
        <v>3</v>
      </c>
      <c r="M446">
        <v>7</v>
      </c>
      <c r="N446">
        <v>6</v>
      </c>
      <c r="O446">
        <v>12</v>
      </c>
      <c r="P446">
        <v>1</v>
      </c>
      <c r="Q446">
        <v>1</v>
      </c>
      <c r="R446">
        <v>0</v>
      </c>
      <c r="S446">
        <v>3</v>
      </c>
      <c r="T446">
        <v>8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3</v>
      </c>
      <c r="AB446">
        <v>11</v>
      </c>
      <c r="AC446">
        <v>0</v>
      </c>
      <c r="AD446" t="str">
        <f t="shared" si="78"/>
        <v>Ok</v>
      </c>
      <c r="AE446" t="str">
        <f>IF(AND(Audit_Data[[#This Row],[Year_Birth]]&gt;=1900,Audit_Data[[#This Row],[Year_Birth]]&lt;=2010),"OK","Invalid")</f>
        <v>OK</v>
      </c>
      <c r="AF446" t="str">
        <f t="shared" si="79"/>
        <v>Valid</v>
      </c>
      <c r="AG446" t="str">
        <f t="shared" si="80"/>
        <v>Valid</v>
      </c>
      <c r="AH446" t="str">
        <f t="shared" si="81"/>
        <v>Valid</v>
      </c>
      <c r="AI446" t="str">
        <f t="shared" si="82"/>
        <v>Valid</v>
      </c>
      <c r="AJ446" t="str">
        <f t="shared" si="83"/>
        <v>Valid</v>
      </c>
      <c r="AK446" t="str">
        <f t="shared" si="90"/>
        <v xml:space="preserve">Valid </v>
      </c>
      <c r="AL446" t="str">
        <f>IF(AND(Audit_Data[[#This Row],[Recency]]&gt;=0,Audit_Data[[#This Row],[Recency]]&lt;=100),"Valid","Invalid")</f>
        <v>Valid</v>
      </c>
      <c r="AM446" t="str">
        <f t="shared" si="84"/>
        <v>Valid</v>
      </c>
      <c r="AN446" t="str">
        <f t="shared" si="85"/>
        <v>Valid</v>
      </c>
      <c r="AO446" t="str">
        <f t="shared" si="86"/>
        <v>Valid</v>
      </c>
      <c r="AP446" t="str">
        <f t="shared" si="87"/>
        <v>Valid</v>
      </c>
      <c r="AQ446" t="str">
        <f>IF(Audit_Data[[#This Row],[Z_CostContact]]=3,"Valid","Invalid")</f>
        <v>Valid</v>
      </c>
      <c r="AR446" t="str">
        <f t="shared" si="88"/>
        <v>Valid</v>
      </c>
      <c r="AS446" t="str">
        <f t="shared" si="89"/>
        <v>Valid</v>
      </c>
    </row>
    <row r="447" spans="1:45" x14ac:dyDescent="0.3">
      <c r="A447">
        <v>10364</v>
      </c>
      <c r="B447">
        <v>1959</v>
      </c>
      <c r="C447" t="s">
        <v>29</v>
      </c>
      <c r="D447" t="s">
        <v>35</v>
      </c>
      <c r="E447">
        <v>23295</v>
      </c>
      <c r="F447">
        <v>0</v>
      </c>
      <c r="G447">
        <v>0</v>
      </c>
      <c r="H447" s="1">
        <v>41468</v>
      </c>
      <c r="I447">
        <v>72</v>
      </c>
      <c r="J447">
        <v>0</v>
      </c>
      <c r="K447">
        <v>0</v>
      </c>
      <c r="L447">
        <v>1</v>
      </c>
      <c r="M447">
        <v>2</v>
      </c>
      <c r="N447">
        <v>12</v>
      </c>
      <c r="O447">
        <v>5</v>
      </c>
      <c r="P447">
        <v>1</v>
      </c>
      <c r="Q447">
        <v>1</v>
      </c>
      <c r="R447">
        <v>0</v>
      </c>
      <c r="S447">
        <v>2</v>
      </c>
      <c r="T447">
        <v>8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3</v>
      </c>
      <c r="AB447">
        <v>11</v>
      </c>
      <c r="AC447">
        <v>0</v>
      </c>
      <c r="AD447" t="str">
        <f t="shared" si="78"/>
        <v>Ok</v>
      </c>
      <c r="AE447" t="str">
        <f>IF(AND(Audit_Data[[#This Row],[Year_Birth]]&gt;=1900,Audit_Data[[#This Row],[Year_Birth]]&lt;=2010),"OK","Invalid")</f>
        <v>OK</v>
      </c>
      <c r="AF447" t="str">
        <f t="shared" si="79"/>
        <v>Valid</v>
      </c>
      <c r="AG447" t="str">
        <f t="shared" si="80"/>
        <v>Valid</v>
      </c>
      <c r="AH447" t="str">
        <f t="shared" si="81"/>
        <v>Valid</v>
      </c>
      <c r="AI447" t="str">
        <f t="shared" si="82"/>
        <v>Valid</v>
      </c>
      <c r="AJ447" t="str">
        <f t="shared" si="83"/>
        <v>Valid</v>
      </c>
      <c r="AK447" t="str">
        <f t="shared" si="90"/>
        <v xml:space="preserve">Valid </v>
      </c>
      <c r="AL447" t="str">
        <f>IF(AND(Audit_Data[[#This Row],[Recency]]&gt;=0,Audit_Data[[#This Row],[Recency]]&lt;=100),"Valid","Invalid")</f>
        <v>Valid</v>
      </c>
      <c r="AM447" t="str">
        <f t="shared" si="84"/>
        <v>Valid</v>
      </c>
      <c r="AN447" t="str">
        <f t="shared" si="85"/>
        <v>Valid</v>
      </c>
      <c r="AO447" t="str">
        <f t="shared" si="86"/>
        <v>Valid</v>
      </c>
      <c r="AP447" t="str">
        <f t="shared" si="87"/>
        <v>Valid</v>
      </c>
      <c r="AQ447" t="str">
        <f>IF(Audit_Data[[#This Row],[Z_CostContact]]=3,"Valid","Invalid")</f>
        <v>Valid</v>
      </c>
      <c r="AR447" t="str">
        <f t="shared" si="88"/>
        <v>Valid</v>
      </c>
      <c r="AS447" t="str">
        <f t="shared" si="89"/>
        <v>Valid</v>
      </c>
    </row>
    <row r="448" spans="1:45" x14ac:dyDescent="0.3">
      <c r="A448">
        <v>5954</v>
      </c>
      <c r="B448">
        <v>1972</v>
      </c>
      <c r="C448" t="s">
        <v>34</v>
      </c>
      <c r="D448" t="s">
        <v>35</v>
      </c>
      <c r="E448">
        <v>42618</v>
      </c>
      <c r="F448">
        <v>1</v>
      </c>
      <c r="G448">
        <v>0</v>
      </c>
      <c r="H448" s="1">
        <v>41556</v>
      </c>
      <c r="I448">
        <v>92</v>
      </c>
      <c r="J448">
        <v>76</v>
      </c>
      <c r="K448">
        <v>14</v>
      </c>
      <c r="L448">
        <v>74</v>
      </c>
      <c r="M448">
        <v>13</v>
      </c>
      <c r="N448">
        <v>5</v>
      </c>
      <c r="O448">
        <v>10</v>
      </c>
      <c r="P448">
        <v>2</v>
      </c>
      <c r="Q448">
        <v>5</v>
      </c>
      <c r="R448">
        <v>0</v>
      </c>
      <c r="S448">
        <v>4</v>
      </c>
      <c r="T448">
        <v>8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3</v>
      </c>
      <c r="AB448">
        <v>11</v>
      </c>
      <c r="AC448">
        <v>0</v>
      </c>
      <c r="AD448" t="str">
        <f t="shared" si="78"/>
        <v>Ok</v>
      </c>
      <c r="AE448" t="str">
        <f>IF(AND(Audit_Data[[#This Row],[Year_Birth]]&gt;=1900,Audit_Data[[#This Row],[Year_Birth]]&lt;=2010),"OK","Invalid")</f>
        <v>OK</v>
      </c>
      <c r="AF448" t="str">
        <f t="shared" si="79"/>
        <v>Valid</v>
      </c>
      <c r="AG448" t="str">
        <f t="shared" si="80"/>
        <v>Valid</v>
      </c>
      <c r="AH448" t="str">
        <f t="shared" si="81"/>
        <v>Valid</v>
      </c>
      <c r="AI448" t="str">
        <f t="shared" si="82"/>
        <v>Valid</v>
      </c>
      <c r="AJ448" t="str">
        <f t="shared" si="83"/>
        <v>Valid</v>
      </c>
      <c r="AK448" t="str">
        <f t="shared" si="90"/>
        <v xml:space="preserve">Valid </v>
      </c>
      <c r="AL448" t="str">
        <f>IF(AND(Audit_Data[[#This Row],[Recency]]&gt;=0,Audit_Data[[#This Row],[Recency]]&lt;=100),"Valid","Invalid")</f>
        <v>Valid</v>
      </c>
      <c r="AM448" t="str">
        <f t="shared" si="84"/>
        <v>Valid</v>
      </c>
      <c r="AN448" t="str">
        <f t="shared" si="85"/>
        <v>Valid</v>
      </c>
      <c r="AO448" t="str">
        <f t="shared" si="86"/>
        <v>Valid</v>
      </c>
      <c r="AP448" t="str">
        <f t="shared" si="87"/>
        <v>Valid</v>
      </c>
      <c r="AQ448" t="str">
        <f>IF(Audit_Data[[#This Row],[Z_CostContact]]=3,"Valid","Invalid")</f>
        <v>Valid</v>
      </c>
      <c r="AR448" t="str">
        <f t="shared" si="88"/>
        <v>Valid</v>
      </c>
      <c r="AS448" t="str">
        <f t="shared" si="89"/>
        <v>Valid</v>
      </c>
    </row>
    <row r="449" spans="1:45" x14ac:dyDescent="0.3">
      <c r="A449">
        <v>1137</v>
      </c>
      <c r="B449">
        <v>1964</v>
      </c>
      <c r="C449" t="s">
        <v>29</v>
      </c>
      <c r="D449" t="s">
        <v>30</v>
      </c>
      <c r="E449">
        <v>81246</v>
      </c>
      <c r="F449">
        <v>0</v>
      </c>
      <c r="G449">
        <v>0</v>
      </c>
      <c r="H449" s="1">
        <v>41637</v>
      </c>
      <c r="I449">
        <v>87</v>
      </c>
      <c r="J449">
        <v>398</v>
      </c>
      <c r="K449">
        <v>190</v>
      </c>
      <c r="L449">
        <v>537</v>
      </c>
      <c r="M449">
        <v>61</v>
      </c>
      <c r="N449">
        <v>156</v>
      </c>
      <c r="O449">
        <v>37</v>
      </c>
      <c r="P449">
        <v>1</v>
      </c>
      <c r="Q449">
        <v>4</v>
      </c>
      <c r="R449">
        <v>5</v>
      </c>
      <c r="S449">
        <v>7</v>
      </c>
      <c r="T449">
        <v>1</v>
      </c>
      <c r="U449">
        <v>1</v>
      </c>
      <c r="V449">
        <v>0</v>
      </c>
      <c r="W449">
        <v>0</v>
      </c>
      <c r="X449">
        <v>1</v>
      </c>
      <c r="Y449">
        <v>0</v>
      </c>
      <c r="Z449">
        <v>0</v>
      </c>
      <c r="AA449">
        <v>3</v>
      </c>
      <c r="AB449">
        <v>11</v>
      </c>
      <c r="AC449">
        <v>0</v>
      </c>
      <c r="AD449" t="str">
        <f t="shared" si="78"/>
        <v>Ok</v>
      </c>
      <c r="AE449" t="str">
        <f>IF(AND(Audit_Data[[#This Row],[Year_Birth]]&gt;=1900,Audit_Data[[#This Row],[Year_Birth]]&lt;=2010),"OK","Invalid")</f>
        <v>OK</v>
      </c>
      <c r="AF449" t="str">
        <f t="shared" si="79"/>
        <v>Valid</v>
      </c>
      <c r="AG449" t="str">
        <f t="shared" si="80"/>
        <v>Valid</v>
      </c>
      <c r="AH449" t="str">
        <f t="shared" si="81"/>
        <v>Valid</v>
      </c>
      <c r="AI449" t="str">
        <f t="shared" si="82"/>
        <v>Valid</v>
      </c>
      <c r="AJ449" t="str">
        <f t="shared" si="83"/>
        <v>Valid</v>
      </c>
      <c r="AK449" t="str">
        <f t="shared" si="90"/>
        <v xml:space="preserve">Valid </v>
      </c>
      <c r="AL449" t="str">
        <f>IF(AND(Audit_Data[[#This Row],[Recency]]&gt;=0,Audit_Data[[#This Row],[Recency]]&lt;=100),"Valid","Invalid")</f>
        <v>Valid</v>
      </c>
      <c r="AM449" t="str">
        <f t="shared" si="84"/>
        <v>Valid</v>
      </c>
      <c r="AN449" t="str">
        <f t="shared" si="85"/>
        <v>Valid</v>
      </c>
      <c r="AO449" t="str">
        <f t="shared" si="86"/>
        <v>Valid</v>
      </c>
      <c r="AP449" t="str">
        <f t="shared" si="87"/>
        <v>Valid</v>
      </c>
      <c r="AQ449" t="str">
        <f>IF(Audit_Data[[#This Row],[Z_CostContact]]=3,"Valid","Invalid")</f>
        <v>Valid</v>
      </c>
      <c r="AR449" t="str">
        <f t="shared" si="88"/>
        <v>Valid</v>
      </c>
      <c r="AS449" t="str">
        <f t="shared" si="89"/>
        <v>Valid</v>
      </c>
    </row>
    <row r="450" spans="1:45" x14ac:dyDescent="0.3">
      <c r="A450">
        <v>2541</v>
      </c>
      <c r="B450">
        <v>1976</v>
      </c>
      <c r="C450" t="s">
        <v>29</v>
      </c>
      <c r="D450" t="s">
        <v>33</v>
      </c>
      <c r="E450">
        <v>24027</v>
      </c>
      <c r="F450">
        <v>1</v>
      </c>
      <c r="G450">
        <v>0</v>
      </c>
      <c r="H450" s="1">
        <v>41434</v>
      </c>
      <c r="I450">
        <v>7</v>
      </c>
      <c r="J450">
        <v>14</v>
      </c>
      <c r="K450">
        <v>7</v>
      </c>
      <c r="L450">
        <v>11</v>
      </c>
      <c r="M450">
        <v>11</v>
      </c>
      <c r="N450">
        <v>0</v>
      </c>
      <c r="O450">
        <v>5</v>
      </c>
      <c r="P450">
        <v>2</v>
      </c>
      <c r="Q450">
        <v>2</v>
      </c>
      <c r="R450">
        <v>0</v>
      </c>
      <c r="S450">
        <v>3</v>
      </c>
      <c r="T450">
        <v>8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3</v>
      </c>
      <c r="AB450">
        <v>11</v>
      </c>
      <c r="AC450">
        <v>0</v>
      </c>
      <c r="AD450" t="str">
        <f t="shared" ref="AD450:AD513" si="91">IF(COUNTIF(A:A,A450)&gt;1,"Duplicate","Ok")</f>
        <v>Ok</v>
      </c>
      <c r="AE450" t="str">
        <f>IF(AND(Audit_Data[[#This Row],[Year_Birth]]&gt;=1900,Audit_Data[[#This Row],[Year_Birth]]&lt;=2010),"OK","Invalid")</f>
        <v>OK</v>
      </c>
      <c r="AF450" t="str">
        <f t="shared" ref="AF450:AF513" si="92">IF(OR(C450="Graduation",C450="phD",C450="Master",C450="Basic",C450="2n Cycle"),"Valid","Invalid")</f>
        <v>Valid</v>
      </c>
      <c r="AG450" t="str">
        <f t="shared" ref="AG450:AG513" si="93">IF(OR(D450="Single",D450="Married",D450="Divorced",D450="Together",D450="Widow",D450="Alone"),"Valid","Invalid")</f>
        <v>Valid</v>
      </c>
      <c r="AH450" t="str">
        <f t="shared" ref="AH450:AH513" si="94">IF(AND(ISNUMBER(E450),E450&lt;&gt;""),"Valid","Invalid")</f>
        <v>Valid</v>
      </c>
      <c r="AI450" t="str">
        <f t="shared" ref="AI450:AI513" si="95">IF(AND(F450&gt;=0,F450&lt;=2),"Valid","Invalid")</f>
        <v>Valid</v>
      </c>
      <c r="AJ450" t="str">
        <f t="shared" ref="AJ450:AJ513" si="96">IF(AND(G450&gt;=0,G450&lt;=2),"Valid","Invalid")</f>
        <v>Valid</v>
      </c>
      <c r="AK450" t="str">
        <f t="shared" si="90"/>
        <v xml:space="preserve">Valid </v>
      </c>
      <c r="AL450" t="str">
        <f>IF(AND(Audit_Data[[#This Row],[Recency]]&gt;=0,Audit_Data[[#This Row],[Recency]]&lt;=100),"Valid","Invalid")</f>
        <v>Valid</v>
      </c>
      <c r="AM450" t="str">
        <f t="shared" ref="AM450:AM513" si="97">IF(AND(ISNUMBER(J450),J450&gt;=0,ISNUMBER(K450),K450&gt;=0,ISNUMBER(L450),L450&gt;=0,ISNUMBER(M450),M450&gt;=0,ISNUMBER(N450),N450&gt;=0,ISNUMBER(O450),O450&gt;=0),"Valid","Invalid")</f>
        <v>Valid</v>
      </c>
      <c r="AN450" t="str">
        <f t="shared" ref="AN450:AN513" si="98">IF(AND(ISNUMBER(P450),P450&gt;=0,ISNUMBER(Q450),Q450&gt;=0,ISNUMBER(R450),R450&gt;=0,ISNUMBER(S450),S450&gt;=0,ISNUMBER(T450),T450&gt;=0),"Valid","Invalid")</f>
        <v>Valid</v>
      </c>
      <c r="AO450" t="str">
        <f t="shared" ref="AO450:AO513" si="99">IF(AND(U450&lt;=1,V450&lt;=1,W450&lt;=1,X450&lt;=1,Y450&lt;=1),"Valid","Invalid")</f>
        <v>Valid</v>
      </c>
      <c r="AP450" t="str">
        <f t="shared" ref="AP450:AP513" si="100">IF(OR(Z450=0,Z450=1),"Valid","Invalid")</f>
        <v>Valid</v>
      </c>
      <c r="AQ450" t="str">
        <f>IF(Audit_Data[[#This Row],[Z_CostContact]]=3,"Valid","Invalid")</f>
        <v>Valid</v>
      </c>
      <c r="AR450" t="str">
        <f t="shared" ref="AR450:AR513" si="101">IF(AB450=11,"Valid","Invalid")</f>
        <v>Valid</v>
      </c>
      <c r="AS450" t="str">
        <f t="shared" ref="AS450:AS513" si="102">IF(OR(AC450=0,AC450=1),"Valid","Invalid")</f>
        <v>Valid</v>
      </c>
    </row>
    <row r="451" spans="1:45" x14ac:dyDescent="0.3">
      <c r="A451">
        <v>1142</v>
      </c>
      <c r="B451">
        <v>1953</v>
      </c>
      <c r="C451" t="s">
        <v>32</v>
      </c>
      <c r="D451" t="s">
        <v>33</v>
      </c>
      <c r="E451">
        <v>55707</v>
      </c>
      <c r="F451">
        <v>0</v>
      </c>
      <c r="G451">
        <v>1</v>
      </c>
      <c r="H451" s="1">
        <v>41630</v>
      </c>
      <c r="I451">
        <v>91</v>
      </c>
      <c r="J451">
        <v>208</v>
      </c>
      <c r="K451">
        <v>7</v>
      </c>
      <c r="L451">
        <v>82</v>
      </c>
      <c r="M451">
        <v>30</v>
      </c>
      <c r="N451">
        <v>66</v>
      </c>
      <c r="O451">
        <v>35</v>
      </c>
      <c r="P451">
        <v>2</v>
      </c>
      <c r="Q451">
        <v>3</v>
      </c>
      <c r="R451">
        <v>2</v>
      </c>
      <c r="S451">
        <v>9</v>
      </c>
      <c r="T451">
        <v>3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3</v>
      </c>
      <c r="AB451">
        <v>11</v>
      </c>
      <c r="AC451">
        <v>0</v>
      </c>
      <c r="AD451" t="str">
        <f t="shared" si="91"/>
        <v>Ok</v>
      </c>
      <c r="AE451" t="str">
        <f>IF(AND(Audit_Data[[#This Row],[Year_Birth]]&gt;=1900,Audit_Data[[#This Row],[Year_Birth]]&lt;=2010),"OK","Invalid")</f>
        <v>OK</v>
      </c>
      <c r="AF451" t="str">
        <f t="shared" si="92"/>
        <v>Valid</v>
      </c>
      <c r="AG451" t="str">
        <f t="shared" si="93"/>
        <v>Valid</v>
      </c>
      <c r="AH451" t="str">
        <f t="shared" si="94"/>
        <v>Valid</v>
      </c>
      <c r="AI451" t="str">
        <f t="shared" si="95"/>
        <v>Valid</v>
      </c>
      <c r="AJ451" t="str">
        <f t="shared" si="96"/>
        <v>Valid</v>
      </c>
      <c r="AK451" t="str">
        <f t="shared" ref="AK451:AK514" si="103">IF(AND(ISNUMBER(H451),H451&gt;=DATE(2012,1,1),H451&lt;=DATE(2014,12,31)),"Valid ","Invalid")</f>
        <v xml:space="preserve">Valid </v>
      </c>
      <c r="AL451" t="str">
        <f>IF(AND(Audit_Data[[#This Row],[Recency]]&gt;=0,Audit_Data[[#This Row],[Recency]]&lt;=100),"Valid","Invalid")</f>
        <v>Valid</v>
      </c>
      <c r="AM451" t="str">
        <f t="shared" si="97"/>
        <v>Valid</v>
      </c>
      <c r="AN451" t="str">
        <f t="shared" si="98"/>
        <v>Valid</v>
      </c>
      <c r="AO451" t="str">
        <f t="shared" si="99"/>
        <v>Valid</v>
      </c>
      <c r="AP451" t="str">
        <f t="shared" si="100"/>
        <v>Valid</v>
      </c>
      <c r="AQ451" t="str">
        <f>IF(Audit_Data[[#This Row],[Z_CostContact]]=3,"Valid","Invalid")</f>
        <v>Valid</v>
      </c>
      <c r="AR451" t="str">
        <f t="shared" si="101"/>
        <v>Valid</v>
      </c>
      <c r="AS451" t="str">
        <f t="shared" si="102"/>
        <v>Valid</v>
      </c>
    </row>
    <row r="452" spans="1:45" x14ac:dyDescent="0.3">
      <c r="A452">
        <v>2276</v>
      </c>
      <c r="B452">
        <v>1955</v>
      </c>
      <c r="C452" t="s">
        <v>29</v>
      </c>
      <c r="D452" t="s">
        <v>30</v>
      </c>
      <c r="E452">
        <v>57959</v>
      </c>
      <c r="F452">
        <v>0</v>
      </c>
      <c r="G452">
        <v>1</v>
      </c>
      <c r="H452" s="1">
        <v>41396</v>
      </c>
      <c r="I452">
        <v>71</v>
      </c>
      <c r="J452">
        <v>430</v>
      </c>
      <c r="K452">
        <v>16</v>
      </c>
      <c r="L452">
        <v>322</v>
      </c>
      <c r="M452">
        <v>43</v>
      </c>
      <c r="N452">
        <v>24</v>
      </c>
      <c r="O452">
        <v>33</v>
      </c>
      <c r="P452">
        <v>5</v>
      </c>
      <c r="Q452">
        <v>4</v>
      </c>
      <c r="R452">
        <v>7</v>
      </c>
      <c r="S452">
        <v>11</v>
      </c>
      <c r="T452">
        <v>3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3</v>
      </c>
      <c r="AB452">
        <v>11</v>
      </c>
      <c r="AC452">
        <v>0</v>
      </c>
      <c r="AD452" t="str">
        <f t="shared" si="91"/>
        <v>Ok</v>
      </c>
      <c r="AE452" t="str">
        <f>IF(AND(Audit_Data[[#This Row],[Year_Birth]]&gt;=1900,Audit_Data[[#This Row],[Year_Birth]]&lt;=2010),"OK","Invalid")</f>
        <v>OK</v>
      </c>
      <c r="AF452" t="str">
        <f t="shared" si="92"/>
        <v>Valid</v>
      </c>
      <c r="AG452" t="str">
        <f t="shared" si="93"/>
        <v>Valid</v>
      </c>
      <c r="AH452" t="str">
        <f t="shared" si="94"/>
        <v>Valid</v>
      </c>
      <c r="AI452" t="str">
        <f t="shared" si="95"/>
        <v>Valid</v>
      </c>
      <c r="AJ452" t="str">
        <f t="shared" si="96"/>
        <v>Valid</v>
      </c>
      <c r="AK452" t="str">
        <f t="shared" si="103"/>
        <v xml:space="preserve">Valid </v>
      </c>
      <c r="AL452" t="str">
        <f>IF(AND(Audit_Data[[#This Row],[Recency]]&gt;=0,Audit_Data[[#This Row],[Recency]]&lt;=100),"Valid","Invalid")</f>
        <v>Valid</v>
      </c>
      <c r="AM452" t="str">
        <f t="shared" si="97"/>
        <v>Valid</v>
      </c>
      <c r="AN452" t="str">
        <f t="shared" si="98"/>
        <v>Valid</v>
      </c>
      <c r="AO452" t="str">
        <f t="shared" si="99"/>
        <v>Valid</v>
      </c>
      <c r="AP452" t="str">
        <f t="shared" si="100"/>
        <v>Valid</v>
      </c>
      <c r="AQ452" t="str">
        <f>IF(Audit_Data[[#This Row],[Z_CostContact]]=3,"Valid","Invalid")</f>
        <v>Valid</v>
      </c>
      <c r="AR452" t="str">
        <f t="shared" si="101"/>
        <v>Valid</v>
      </c>
      <c r="AS452" t="str">
        <f t="shared" si="102"/>
        <v>Valid</v>
      </c>
    </row>
    <row r="453" spans="1:45" x14ac:dyDescent="0.3">
      <c r="A453">
        <v>2807</v>
      </c>
      <c r="B453">
        <v>1969</v>
      </c>
      <c r="C453" t="s">
        <v>29</v>
      </c>
      <c r="D453" t="s">
        <v>33</v>
      </c>
      <c r="E453">
        <v>56796</v>
      </c>
      <c r="F453">
        <v>0</v>
      </c>
      <c r="G453">
        <v>1</v>
      </c>
      <c r="H453" s="1">
        <v>41321</v>
      </c>
      <c r="I453">
        <v>24</v>
      </c>
      <c r="J453">
        <v>656</v>
      </c>
      <c r="K453">
        <v>38</v>
      </c>
      <c r="L453">
        <v>161</v>
      </c>
      <c r="M453">
        <v>62</v>
      </c>
      <c r="N453">
        <v>47</v>
      </c>
      <c r="O453">
        <v>37</v>
      </c>
      <c r="P453">
        <v>3</v>
      </c>
      <c r="Q453">
        <v>8</v>
      </c>
      <c r="R453">
        <v>9</v>
      </c>
      <c r="S453">
        <v>7</v>
      </c>
      <c r="T453">
        <v>7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3</v>
      </c>
      <c r="AB453">
        <v>11</v>
      </c>
      <c r="AC453">
        <v>0</v>
      </c>
      <c r="AD453" t="str">
        <f t="shared" si="91"/>
        <v>Ok</v>
      </c>
      <c r="AE453" t="str">
        <f>IF(AND(Audit_Data[[#This Row],[Year_Birth]]&gt;=1900,Audit_Data[[#This Row],[Year_Birth]]&lt;=2010),"OK","Invalid")</f>
        <v>OK</v>
      </c>
      <c r="AF453" t="str">
        <f t="shared" si="92"/>
        <v>Valid</v>
      </c>
      <c r="AG453" t="str">
        <f t="shared" si="93"/>
        <v>Valid</v>
      </c>
      <c r="AH453" t="str">
        <f t="shared" si="94"/>
        <v>Valid</v>
      </c>
      <c r="AI453" t="str">
        <f t="shared" si="95"/>
        <v>Valid</v>
      </c>
      <c r="AJ453" t="str">
        <f t="shared" si="96"/>
        <v>Valid</v>
      </c>
      <c r="AK453" t="str">
        <f t="shared" si="103"/>
        <v xml:space="preserve">Valid </v>
      </c>
      <c r="AL453" t="str">
        <f>IF(AND(Audit_Data[[#This Row],[Recency]]&gt;=0,Audit_Data[[#This Row],[Recency]]&lt;=100),"Valid","Invalid")</f>
        <v>Valid</v>
      </c>
      <c r="AM453" t="str">
        <f t="shared" si="97"/>
        <v>Valid</v>
      </c>
      <c r="AN453" t="str">
        <f t="shared" si="98"/>
        <v>Valid</v>
      </c>
      <c r="AO453" t="str">
        <f t="shared" si="99"/>
        <v>Valid</v>
      </c>
      <c r="AP453" t="str">
        <f t="shared" si="100"/>
        <v>Valid</v>
      </c>
      <c r="AQ453" t="str">
        <f>IF(Audit_Data[[#This Row],[Z_CostContact]]=3,"Valid","Invalid")</f>
        <v>Valid</v>
      </c>
      <c r="AR453" t="str">
        <f t="shared" si="101"/>
        <v>Valid</v>
      </c>
      <c r="AS453" t="str">
        <f t="shared" si="102"/>
        <v>Valid</v>
      </c>
    </row>
    <row r="454" spans="1:45" x14ac:dyDescent="0.3">
      <c r="A454">
        <v>6471</v>
      </c>
      <c r="B454">
        <v>1971</v>
      </c>
      <c r="C454" t="s">
        <v>34</v>
      </c>
      <c r="D454" t="s">
        <v>30</v>
      </c>
      <c r="E454">
        <v>36230</v>
      </c>
      <c r="F454">
        <v>1</v>
      </c>
      <c r="G454">
        <v>0</v>
      </c>
      <c r="H454" s="1">
        <v>41564</v>
      </c>
      <c r="I454">
        <v>17</v>
      </c>
      <c r="J454">
        <v>14</v>
      </c>
      <c r="K454">
        <v>2</v>
      </c>
      <c r="L454">
        <v>30</v>
      </c>
      <c r="M454">
        <v>8</v>
      </c>
      <c r="N454">
        <v>2</v>
      </c>
      <c r="O454">
        <v>3</v>
      </c>
      <c r="P454">
        <v>1</v>
      </c>
      <c r="Q454">
        <v>2</v>
      </c>
      <c r="R454">
        <v>0</v>
      </c>
      <c r="S454">
        <v>4</v>
      </c>
      <c r="T454">
        <v>5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3</v>
      </c>
      <c r="AB454">
        <v>11</v>
      </c>
      <c r="AC454">
        <v>0</v>
      </c>
      <c r="AD454" t="str">
        <f t="shared" si="91"/>
        <v>Ok</v>
      </c>
      <c r="AE454" t="str">
        <f>IF(AND(Audit_Data[[#This Row],[Year_Birth]]&gt;=1900,Audit_Data[[#This Row],[Year_Birth]]&lt;=2010),"OK","Invalid")</f>
        <v>OK</v>
      </c>
      <c r="AF454" t="str">
        <f t="shared" si="92"/>
        <v>Valid</v>
      </c>
      <c r="AG454" t="str">
        <f t="shared" si="93"/>
        <v>Valid</v>
      </c>
      <c r="AH454" t="str">
        <f t="shared" si="94"/>
        <v>Valid</v>
      </c>
      <c r="AI454" t="str">
        <f t="shared" si="95"/>
        <v>Valid</v>
      </c>
      <c r="AJ454" t="str">
        <f t="shared" si="96"/>
        <v>Valid</v>
      </c>
      <c r="AK454" t="str">
        <f t="shared" si="103"/>
        <v xml:space="preserve">Valid </v>
      </c>
      <c r="AL454" t="str">
        <f>IF(AND(Audit_Data[[#This Row],[Recency]]&gt;=0,Audit_Data[[#This Row],[Recency]]&lt;=100),"Valid","Invalid")</f>
        <v>Valid</v>
      </c>
      <c r="AM454" t="str">
        <f t="shared" si="97"/>
        <v>Valid</v>
      </c>
      <c r="AN454" t="str">
        <f t="shared" si="98"/>
        <v>Valid</v>
      </c>
      <c r="AO454" t="str">
        <f t="shared" si="99"/>
        <v>Valid</v>
      </c>
      <c r="AP454" t="str">
        <f t="shared" si="100"/>
        <v>Valid</v>
      </c>
      <c r="AQ454" t="str">
        <f>IF(Audit_Data[[#This Row],[Z_CostContact]]=3,"Valid","Invalid")</f>
        <v>Valid</v>
      </c>
      <c r="AR454" t="str">
        <f t="shared" si="101"/>
        <v>Valid</v>
      </c>
      <c r="AS454" t="str">
        <f t="shared" si="102"/>
        <v>Valid</v>
      </c>
    </row>
    <row r="455" spans="1:45" x14ac:dyDescent="0.3">
      <c r="A455">
        <v>6131</v>
      </c>
      <c r="B455">
        <v>1980</v>
      </c>
      <c r="C455" t="s">
        <v>37</v>
      </c>
      <c r="D455" t="s">
        <v>33</v>
      </c>
      <c r="E455">
        <v>70829</v>
      </c>
      <c r="F455">
        <v>1</v>
      </c>
      <c r="G455">
        <v>1</v>
      </c>
      <c r="H455" s="1">
        <v>41609</v>
      </c>
      <c r="I455">
        <v>87</v>
      </c>
      <c r="J455">
        <v>141</v>
      </c>
      <c r="K455">
        <v>70</v>
      </c>
      <c r="L455">
        <v>106</v>
      </c>
      <c r="M455">
        <v>72</v>
      </c>
      <c r="N455">
        <v>19</v>
      </c>
      <c r="O455">
        <v>23</v>
      </c>
      <c r="P455">
        <v>2</v>
      </c>
      <c r="Q455">
        <v>4</v>
      </c>
      <c r="R455">
        <v>2</v>
      </c>
      <c r="S455">
        <v>8</v>
      </c>
      <c r="T455">
        <v>3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3</v>
      </c>
      <c r="AB455">
        <v>11</v>
      </c>
      <c r="AC455">
        <v>0</v>
      </c>
      <c r="AD455" t="str">
        <f t="shared" si="91"/>
        <v>Ok</v>
      </c>
      <c r="AE455" t="str">
        <f>IF(AND(Audit_Data[[#This Row],[Year_Birth]]&gt;=1900,Audit_Data[[#This Row],[Year_Birth]]&lt;=2010),"OK","Invalid")</f>
        <v>OK</v>
      </c>
      <c r="AF455" t="str">
        <f t="shared" si="92"/>
        <v>Valid</v>
      </c>
      <c r="AG455" t="str">
        <f t="shared" si="93"/>
        <v>Valid</v>
      </c>
      <c r="AH455" t="str">
        <f t="shared" si="94"/>
        <v>Valid</v>
      </c>
      <c r="AI455" t="str">
        <f t="shared" si="95"/>
        <v>Valid</v>
      </c>
      <c r="AJ455" t="str">
        <f t="shared" si="96"/>
        <v>Valid</v>
      </c>
      <c r="AK455" t="str">
        <f t="shared" si="103"/>
        <v xml:space="preserve">Valid </v>
      </c>
      <c r="AL455" t="str">
        <f>IF(AND(Audit_Data[[#This Row],[Recency]]&gt;=0,Audit_Data[[#This Row],[Recency]]&lt;=100),"Valid","Invalid")</f>
        <v>Valid</v>
      </c>
      <c r="AM455" t="str">
        <f t="shared" si="97"/>
        <v>Valid</v>
      </c>
      <c r="AN455" t="str">
        <f t="shared" si="98"/>
        <v>Valid</v>
      </c>
      <c r="AO455" t="str">
        <f t="shared" si="99"/>
        <v>Valid</v>
      </c>
      <c r="AP455" t="str">
        <f t="shared" si="100"/>
        <v>Valid</v>
      </c>
      <c r="AQ455" t="str">
        <f>IF(Audit_Data[[#This Row],[Z_CostContact]]=3,"Valid","Invalid")</f>
        <v>Valid</v>
      </c>
      <c r="AR455" t="str">
        <f t="shared" si="101"/>
        <v>Valid</v>
      </c>
      <c r="AS455" t="str">
        <f t="shared" si="102"/>
        <v>Valid</v>
      </c>
    </row>
    <row r="456" spans="1:45" x14ac:dyDescent="0.3">
      <c r="A456">
        <v>6233</v>
      </c>
      <c r="B456">
        <v>1976</v>
      </c>
      <c r="C456" t="s">
        <v>29</v>
      </c>
      <c r="D456" t="s">
        <v>33</v>
      </c>
      <c r="E456">
        <v>65991</v>
      </c>
      <c r="F456">
        <v>0</v>
      </c>
      <c r="G456">
        <v>1</v>
      </c>
      <c r="H456" s="1">
        <v>41159</v>
      </c>
      <c r="I456">
        <v>21</v>
      </c>
      <c r="J456">
        <v>507</v>
      </c>
      <c r="K456">
        <v>19</v>
      </c>
      <c r="L456">
        <v>364</v>
      </c>
      <c r="M456">
        <v>25</v>
      </c>
      <c r="N456">
        <v>47</v>
      </c>
      <c r="O456">
        <v>9</v>
      </c>
      <c r="P456">
        <v>3</v>
      </c>
      <c r="Q456">
        <v>9</v>
      </c>
      <c r="R456">
        <v>5</v>
      </c>
      <c r="S456">
        <v>10</v>
      </c>
      <c r="T456">
        <v>7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3</v>
      </c>
      <c r="AB456">
        <v>11</v>
      </c>
      <c r="AC456">
        <v>0</v>
      </c>
      <c r="AD456" t="str">
        <f t="shared" si="91"/>
        <v>Ok</v>
      </c>
      <c r="AE456" t="str">
        <f>IF(AND(Audit_Data[[#This Row],[Year_Birth]]&gt;=1900,Audit_Data[[#This Row],[Year_Birth]]&lt;=2010),"OK","Invalid")</f>
        <v>OK</v>
      </c>
      <c r="AF456" t="str">
        <f t="shared" si="92"/>
        <v>Valid</v>
      </c>
      <c r="AG456" t="str">
        <f t="shared" si="93"/>
        <v>Valid</v>
      </c>
      <c r="AH456" t="str">
        <f t="shared" si="94"/>
        <v>Valid</v>
      </c>
      <c r="AI456" t="str">
        <f t="shared" si="95"/>
        <v>Valid</v>
      </c>
      <c r="AJ456" t="str">
        <f t="shared" si="96"/>
        <v>Valid</v>
      </c>
      <c r="AK456" t="str">
        <f t="shared" si="103"/>
        <v xml:space="preserve">Valid </v>
      </c>
      <c r="AL456" t="str">
        <f>IF(AND(Audit_Data[[#This Row],[Recency]]&gt;=0,Audit_Data[[#This Row],[Recency]]&lt;=100),"Valid","Invalid")</f>
        <v>Valid</v>
      </c>
      <c r="AM456" t="str">
        <f t="shared" si="97"/>
        <v>Valid</v>
      </c>
      <c r="AN456" t="str">
        <f t="shared" si="98"/>
        <v>Valid</v>
      </c>
      <c r="AO456" t="str">
        <f t="shared" si="99"/>
        <v>Valid</v>
      </c>
      <c r="AP456" t="str">
        <f t="shared" si="100"/>
        <v>Valid</v>
      </c>
      <c r="AQ456" t="str">
        <f>IF(Audit_Data[[#This Row],[Z_CostContact]]=3,"Valid","Invalid")</f>
        <v>Valid</v>
      </c>
      <c r="AR456" t="str">
        <f t="shared" si="101"/>
        <v>Valid</v>
      </c>
      <c r="AS456" t="str">
        <f t="shared" si="102"/>
        <v>Valid</v>
      </c>
    </row>
    <row r="457" spans="1:45" x14ac:dyDescent="0.3">
      <c r="A457">
        <v>4148</v>
      </c>
      <c r="B457">
        <v>1972</v>
      </c>
      <c r="C457" t="s">
        <v>29</v>
      </c>
      <c r="D457" t="s">
        <v>33</v>
      </c>
      <c r="E457">
        <v>38988</v>
      </c>
      <c r="F457">
        <v>1</v>
      </c>
      <c r="G457">
        <v>2</v>
      </c>
      <c r="H457" s="1">
        <v>41141</v>
      </c>
      <c r="I457">
        <v>90</v>
      </c>
      <c r="J457">
        <v>164</v>
      </c>
      <c r="K457">
        <v>24</v>
      </c>
      <c r="L457">
        <v>103</v>
      </c>
      <c r="M457">
        <v>12</v>
      </c>
      <c r="N457">
        <v>3</v>
      </c>
      <c r="O457">
        <v>42</v>
      </c>
      <c r="P457">
        <v>7</v>
      </c>
      <c r="Q457">
        <v>5</v>
      </c>
      <c r="R457">
        <v>1</v>
      </c>
      <c r="S457">
        <v>6</v>
      </c>
      <c r="T457">
        <v>8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3</v>
      </c>
      <c r="AB457">
        <v>11</v>
      </c>
      <c r="AC457">
        <v>0</v>
      </c>
      <c r="AD457" t="str">
        <f t="shared" si="91"/>
        <v>Ok</v>
      </c>
      <c r="AE457" t="str">
        <f>IF(AND(Audit_Data[[#This Row],[Year_Birth]]&gt;=1900,Audit_Data[[#This Row],[Year_Birth]]&lt;=2010),"OK","Invalid")</f>
        <v>OK</v>
      </c>
      <c r="AF457" t="str">
        <f t="shared" si="92"/>
        <v>Valid</v>
      </c>
      <c r="AG457" t="str">
        <f t="shared" si="93"/>
        <v>Valid</v>
      </c>
      <c r="AH457" t="str">
        <f t="shared" si="94"/>
        <v>Valid</v>
      </c>
      <c r="AI457" t="str">
        <f t="shared" si="95"/>
        <v>Valid</v>
      </c>
      <c r="AJ457" t="str">
        <f t="shared" si="96"/>
        <v>Valid</v>
      </c>
      <c r="AK457" t="str">
        <f t="shared" si="103"/>
        <v xml:space="preserve">Valid </v>
      </c>
      <c r="AL457" t="str">
        <f>IF(AND(Audit_Data[[#This Row],[Recency]]&gt;=0,Audit_Data[[#This Row],[Recency]]&lt;=100),"Valid","Invalid")</f>
        <v>Valid</v>
      </c>
      <c r="AM457" t="str">
        <f t="shared" si="97"/>
        <v>Valid</v>
      </c>
      <c r="AN457" t="str">
        <f t="shared" si="98"/>
        <v>Valid</v>
      </c>
      <c r="AO457" t="str">
        <f t="shared" si="99"/>
        <v>Valid</v>
      </c>
      <c r="AP457" t="str">
        <f t="shared" si="100"/>
        <v>Valid</v>
      </c>
      <c r="AQ457" t="str">
        <f>IF(Audit_Data[[#This Row],[Z_CostContact]]=3,"Valid","Invalid")</f>
        <v>Valid</v>
      </c>
      <c r="AR457" t="str">
        <f t="shared" si="101"/>
        <v>Valid</v>
      </c>
      <c r="AS457" t="str">
        <f t="shared" si="102"/>
        <v>Valid</v>
      </c>
    </row>
    <row r="458" spans="1:45" x14ac:dyDescent="0.3">
      <c r="A458">
        <v>4947</v>
      </c>
      <c r="B458">
        <v>1966</v>
      </c>
      <c r="C458" t="s">
        <v>37</v>
      </c>
      <c r="D458" t="s">
        <v>30</v>
      </c>
      <c r="E458">
        <v>89572</v>
      </c>
      <c r="F458">
        <v>0</v>
      </c>
      <c r="G458">
        <v>0</v>
      </c>
      <c r="H458" s="1">
        <v>41167</v>
      </c>
      <c r="I458">
        <v>44</v>
      </c>
      <c r="J458">
        <v>606</v>
      </c>
      <c r="K458">
        <v>24</v>
      </c>
      <c r="L458">
        <v>974</v>
      </c>
      <c r="M458">
        <v>197</v>
      </c>
      <c r="N458">
        <v>194</v>
      </c>
      <c r="O458">
        <v>64</v>
      </c>
      <c r="P458">
        <v>1</v>
      </c>
      <c r="Q458">
        <v>7</v>
      </c>
      <c r="R458">
        <v>7</v>
      </c>
      <c r="S458">
        <v>9</v>
      </c>
      <c r="T458">
        <v>4</v>
      </c>
      <c r="U458">
        <v>0</v>
      </c>
      <c r="V458">
        <v>1</v>
      </c>
      <c r="W458">
        <v>0</v>
      </c>
      <c r="X458">
        <v>1</v>
      </c>
      <c r="Y458">
        <v>0</v>
      </c>
      <c r="Z458">
        <v>0</v>
      </c>
      <c r="AA458">
        <v>3</v>
      </c>
      <c r="AB458">
        <v>11</v>
      </c>
      <c r="AC458">
        <v>1</v>
      </c>
      <c r="AD458" t="str">
        <f t="shared" si="91"/>
        <v>Ok</v>
      </c>
      <c r="AE458" t="str">
        <f>IF(AND(Audit_Data[[#This Row],[Year_Birth]]&gt;=1900,Audit_Data[[#This Row],[Year_Birth]]&lt;=2010),"OK","Invalid")</f>
        <v>OK</v>
      </c>
      <c r="AF458" t="str">
        <f t="shared" si="92"/>
        <v>Valid</v>
      </c>
      <c r="AG458" t="str">
        <f t="shared" si="93"/>
        <v>Valid</v>
      </c>
      <c r="AH458" t="str">
        <f t="shared" si="94"/>
        <v>Valid</v>
      </c>
      <c r="AI458" t="str">
        <f t="shared" si="95"/>
        <v>Valid</v>
      </c>
      <c r="AJ458" t="str">
        <f t="shared" si="96"/>
        <v>Valid</v>
      </c>
      <c r="AK458" t="str">
        <f t="shared" si="103"/>
        <v xml:space="preserve">Valid </v>
      </c>
      <c r="AL458" t="str">
        <f>IF(AND(Audit_Data[[#This Row],[Recency]]&gt;=0,Audit_Data[[#This Row],[Recency]]&lt;=100),"Valid","Invalid")</f>
        <v>Valid</v>
      </c>
      <c r="AM458" t="str">
        <f t="shared" si="97"/>
        <v>Valid</v>
      </c>
      <c r="AN458" t="str">
        <f t="shared" si="98"/>
        <v>Valid</v>
      </c>
      <c r="AO458" t="str">
        <f t="shared" si="99"/>
        <v>Valid</v>
      </c>
      <c r="AP458" t="str">
        <f t="shared" si="100"/>
        <v>Valid</v>
      </c>
      <c r="AQ458" t="str">
        <f>IF(Audit_Data[[#This Row],[Z_CostContact]]=3,"Valid","Invalid")</f>
        <v>Valid</v>
      </c>
      <c r="AR458" t="str">
        <f t="shared" si="101"/>
        <v>Valid</v>
      </c>
      <c r="AS458" t="str">
        <f t="shared" si="102"/>
        <v>Valid</v>
      </c>
    </row>
    <row r="459" spans="1:45" x14ac:dyDescent="0.3">
      <c r="A459">
        <v>3225</v>
      </c>
      <c r="B459">
        <v>1984</v>
      </c>
      <c r="C459" t="s">
        <v>34</v>
      </c>
      <c r="D459" t="s">
        <v>33</v>
      </c>
      <c r="E459">
        <v>42207</v>
      </c>
      <c r="F459">
        <v>1</v>
      </c>
      <c r="G459">
        <v>0</v>
      </c>
      <c r="H459" s="1">
        <v>41365</v>
      </c>
      <c r="I459">
        <v>71</v>
      </c>
      <c r="J459">
        <v>116</v>
      </c>
      <c r="K459">
        <v>11</v>
      </c>
      <c r="L459">
        <v>72</v>
      </c>
      <c r="M459">
        <v>3</v>
      </c>
      <c r="N459">
        <v>17</v>
      </c>
      <c r="O459">
        <v>46</v>
      </c>
      <c r="P459">
        <v>4</v>
      </c>
      <c r="Q459">
        <v>4</v>
      </c>
      <c r="R459">
        <v>1</v>
      </c>
      <c r="S459">
        <v>5</v>
      </c>
      <c r="T459">
        <v>6</v>
      </c>
      <c r="U459">
        <v>1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3</v>
      </c>
      <c r="AB459">
        <v>11</v>
      </c>
      <c r="AC459">
        <v>1</v>
      </c>
      <c r="AD459" t="str">
        <f t="shared" si="91"/>
        <v>Ok</v>
      </c>
      <c r="AE459" t="str">
        <f>IF(AND(Audit_Data[[#This Row],[Year_Birth]]&gt;=1900,Audit_Data[[#This Row],[Year_Birth]]&lt;=2010),"OK","Invalid")</f>
        <v>OK</v>
      </c>
      <c r="AF459" t="str">
        <f t="shared" si="92"/>
        <v>Valid</v>
      </c>
      <c r="AG459" t="str">
        <f t="shared" si="93"/>
        <v>Valid</v>
      </c>
      <c r="AH459" t="str">
        <f t="shared" si="94"/>
        <v>Valid</v>
      </c>
      <c r="AI459" t="str">
        <f t="shared" si="95"/>
        <v>Valid</v>
      </c>
      <c r="AJ459" t="str">
        <f t="shared" si="96"/>
        <v>Valid</v>
      </c>
      <c r="AK459" t="str">
        <f t="shared" si="103"/>
        <v xml:space="preserve">Valid </v>
      </c>
      <c r="AL459" t="str">
        <f>IF(AND(Audit_Data[[#This Row],[Recency]]&gt;=0,Audit_Data[[#This Row],[Recency]]&lt;=100),"Valid","Invalid")</f>
        <v>Valid</v>
      </c>
      <c r="AM459" t="str">
        <f t="shared" si="97"/>
        <v>Valid</v>
      </c>
      <c r="AN459" t="str">
        <f t="shared" si="98"/>
        <v>Valid</v>
      </c>
      <c r="AO459" t="str">
        <f t="shared" si="99"/>
        <v>Valid</v>
      </c>
      <c r="AP459" t="str">
        <f t="shared" si="100"/>
        <v>Valid</v>
      </c>
      <c r="AQ459" t="str">
        <f>IF(Audit_Data[[#This Row],[Z_CostContact]]=3,"Valid","Invalid")</f>
        <v>Valid</v>
      </c>
      <c r="AR459" t="str">
        <f t="shared" si="101"/>
        <v>Valid</v>
      </c>
      <c r="AS459" t="str">
        <f t="shared" si="102"/>
        <v>Valid</v>
      </c>
    </row>
    <row r="460" spans="1:45" x14ac:dyDescent="0.3">
      <c r="A460">
        <v>7540</v>
      </c>
      <c r="B460">
        <v>1952</v>
      </c>
      <c r="C460" t="s">
        <v>29</v>
      </c>
      <c r="D460" t="s">
        <v>33</v>
      </c>
      <c r="E460">
        <v>50300</v>
      </c>
      <c r="F460">
        <v>0</v>
      </c>
      <c r="G460">
        <v>1</v>
      </c>
      <c r="H460" s="1">
        <v>41784</v>
      </c>
      <c r="I460">
        <v>52</v>
      </c>
      <c r="J460">
        <v>143</v>
      </c>
      <c r="K460">
        <v>15</v>
      </c>
      <c r="L460">
        <v>60</v>
      </c>
      <c r="M460">
        <v>24</v>
      </c>
      <c r="N460">
        <v>23</v>
      </c>
      <c r="O460">
        <v>5</v>
      </c>
      <c r="P460">
        <v>2</v>
      </c>
      <c r="Q460">
        <v>2</v>
      </c>
      <c r="R460">
        <v>1</v>
      </c>
      <c r="S460">
        <v>8</v>
      </c>
      <c r="T460">
        <v>2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3</v>
      </c>
      <c r="AB460">
        <v>11</v>
      </c>
      <c r="AC460">
        <v>0</v>
      </c>
      <c r="AD460" t="str">
        <f t="shared" si="91"/>
        <v>Ok</v>
      </c>
      <c r="AE460" t="str">
        <f>IF(AND(Audit_Data[[#This Row],[Year_Birth]]&gt;=1900,Audit_Data[[#This Row],[Year_Birth]]&lt;=2010),"OK","Invalid")</f>
        <v>OK</v>
      </c>
      <c r="AF460" t="str">
        <f t="shared" si="92"/>
        <v>Valid</v>
      </c>
      <c r="AG460" t="str">
        <f t="shared" si="93"/>
        <v>Valid</v>
      </c>
      <c r="AH460" t="str">
        <f t="shared" si="94"/>
        <v>Valid</v>
      </c>
      <c r="AI460" t="str">
        <f t="shared" si="95"/>
        <v>Valid</v>
      </c>
      <c r="AJ460" t="str">
        <f t="shared" si="96"/>
        <v>Valid</v>
      </c>
      <c r="AK460" t="str">
        <f t="shared" si="103"/>
        <v xml:space="preserve">Valid </v>
      </c>
      <c r="AL460" t="str">
        <f>IF(AND(Audit_Data[[#This Row],[Recency]]&gt;=0,Audit_Data[[#This Row],[Recency]]&lt;=100),"Valid","Invalid")</f>
        <v>Valid</v>
      </c>
      <c r="AM460" t="str">
        <f t="shared" si="97"/>
        <v>Valid</v>
      </c>
      <c r="AN460" t="str">
        <f t="shared" si="98"/>
        <v>Valid</v>
      </c>
      <c r="AO460" t="str">
        <f t="shared" si="99"/>
        <v>Valid</v>
      </c>
      <c r="AP460" t="str">
        <f t="shared" si="100"/>
        <v>Valid</v>
      </c>
      <c r="AQ460" t="str">
        <f>IF(Audit_Data[[#This Row],[Z_CostContact]]=3,"Valid","Invalid")</f>
        <v>Valid</v>
      </c>
      <c r="AR460" t="str">
        <f t="shared" si="101"/>
        <v>Valid</v>
      </c>
      <c r="AS460" t="str">
        <f t="shared" si="102"/>
        <v>Valid</v>
      </c>
    </row>
    <row r="461" spans="1:45" x14ac:dyDescent="0.3">
      <c r="A461">
        <v>10648</v>
      </c>
      <c r="B461">
        <v>1982</v>
      </c>
      <c r="C461" t="s">
        <v>37</v>
      </c>
      <c r="D461" t="s">
        <v>31</v>
      </c>
      <c r="E461">
        <v>66664</v>
      </c>
      <c r="F461">
        <v>0</v>
      </c>
      <c r="G461">
        <v>0</v>
      </c>
      <c r="H461" s="1">
        <v>41177</v>
      </c>
      <c r="I461">
        <v>78</v>
      </c>
      <c r="J461">
        <v>398</v>
      </c>
      <c r="K461">
        <v>96</v>
      </c>
      <c r="L461">
        <v>447</v>
      </c>
      <c r="M461">
        <v>220</v>
      </c>
      <c r="N461">
        <v>96</v>
      </c>
      <c r="O461">
        <v>32</v>
      </c>
      <c r="P461">
        <v>1</v>
      </c>
      <c r="Q461">
        <v>5</v>
      </c>
      <c r="R461">
        <v>7</v>
      </c>
      <c r="S461">
        <v>6</v>
      </c>
      <c r="T461">
        <v>3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3</v>
      </c>
      <c r="AB461">
        <v>11</v>
      </c>
      <c r="AC461">
        <v>0</v>
      </c>
      <c r="AD461" t="str">
        <f t="shared" si="91"/>
        <v>Ok</v>
      </c>
      <c r="AE461" t="str">
        <f>IF(AND(Audit_Data[[#This Row],[Year_Birth]]&gt;=1900,Audit_Data[[#This Row],[Year_Birth]]&lt;=2010),"OK","Invalid")</f>
        <v>OK</v>
      </c>
      <c r="AF461" t="str">
        <f t="shared" si="92"/>
        <v>Valid</v>
      </c>
      <c r="AG461" t="str">
        <f t="shared" si="93"/>
        <v>Valid</v>
      </c>
      <c r="AH461" t="str">
        <f t="shared" si="94"/>
        <v>Valid</v>
      </c>
      <c r="AI461" t="str">
        <f t="shared" si="95"/>
        <v>Valid</v>
      </c>
      <c r="AJ461" t="str">
        <f t="shared" si="96"/>
        <v>Valid</v>
      </c>
      <c r="AK461" t="str">
        <f t="shared" si="103"/>
        <v xml:space="preserve">Valid </v>
      </c>
      <c r="AL461" t="str">
        <f>IF(AND(Audit_Data[[#This Row],[Recency]]&gt;=0,Audit_Data[[#This Row],[Recency]]&lt;=100),"Valid","Invalid")</f>
        <v>Valid</v>
      </c>
      <c r="AM461" t="str">
        <f t="shared" si="97"/>
        <v>Valid</v>
      </c>
      <c r="AN461" t="str">
        <f t="shared" si="98"/>
        <v>Valid</v>
      </c>
      <c r="AO461" t="str">
        <f t="shared" si="99"/>
        <v>Valid</v>
      </c>
      <c r="AP461" t="str">
        <f t="shared" si="100"/>
        <v>Valid</v>
      </c>
      <c r="AQ461" t="str">
        <f>IF(Audit_Data[[#This Row],[Z_CostContact]]=3,"Valid","Invalid")</f>
        <v>Valid</v>
      </c>
      <c r="AR461" t="str">
        <f t="shared" si="101"/>
        <v>Valid</v>
      </c>
      <c r="AS461" t="str">
        <f t="shared" si="102"/>
        <v>Valid</v>
      </c>
    </row>
    <row r="462" spans="1:45" x14ac:dyDescent="0.3">
      <c r="A462">
        <v>1992</v>
      </c>
      <c r="B462">
        <v>1964</v>
      </c>
      <c r="C462" t="s">
        <v>29</v>
      </c>
      <c r="D462" t="s">
        <v>33</v>
      </c>
      <c r="E462">
        <v>60597</v>
      </c>
      <c r="F462">
        <v>0</v>
      </c>
      <c r="G462">
        <v>1</v>
      </c>
      <c r="H462" s="1">
        <v>41640</v>
      </c>
      <c r="I462">
        <v>2</v>
      </c>
      <c r="J462">
        <v>522</v>
      </c>
      <c r="K462">
        <v>0</v>
      </c>
      <c r="L462">
        <v>257</v>
      </c>
      <c r="M462">
        <v>32</v>
      </c>
      <c r="N462">
        <v>16</v>
      </c>
      <c r="O462">
        <v>66</v>
      </c>
      <c r="P462">
        <v>4</v>
      </c>
      <c r="Q462">
        <v>2</v>
      </c>
      <c r="R462">
        <v>2</v>
      </c>
      <c r="S462">
        <v>8</v>
      </c>
      <c r="T462">
        <v>7</v>
      </c>
      <c r="U462">
        <v>0</v>
      </c>
      <c r="V462">
        <v>0</v>
      </c>
      <c r="W462">
        <v>0</v>
      </c>
      <c r="X462">
        <v>1</v>
      </c>
      <c r="Y462">
        <v>0</v>
      </c>
      <c r="Z462">
        <v>0</v>
      </c>
      <c r="AA462">
        <v>3</v>
      </c>
      <c r="AB462">
        <v>11</v>
      </c>
      <c r="AC462">
        <v>1</v>
      </c>
      <c r="AD462" t="str">
        <f t="shared" si="91"/>
        <v>Ok</v>
      </c>
      <c r="AE462" t="str">
        <f>IF(AND(Audit_Data[[#This Row],[Year_Birth]]&gt;=1900,Audit_Data[[#This Row],[Year_Birth]]&lt;=2010),"OK","Invalid")</f>
        <v>OK</v>
      </c>
      <c r="AF462" t="str">
        <f t="shared" si="92"/>
        <v>Valid</v>
      </c>
      <c r="AG462" t="str">
        <f t="shared" si="93"/>
        <v>Valid</v>
      </c>
      <c r="AH462" t="str">
        <f t="shared" si="94"/>
        <v>Valid</v>
      </c>
      <c r="AI462" t="str">
        <f t="shared" si="95"/>
        <v>Valid</v>
      </c>
      <c r="AJ462" t="str">
        <f t="shared" si="96"/>
        <v>Valid</v>
      </c>
      <c r="AK462" t="str">
        <f t="shared" si="103"/>
        <v xml:space="preserve">Valid </v>
      </c>
      <c r="AL462" t="str">
        <f>IF(AND(Audit_Data[[#This Row],[Recency]]&gt;=0,Audit_Data[[#This Row],[Recency]]&lt;=100),"Valid","Invalid")</f>
        <v>Valid</v>
      </c>
      <c r="AM462" t="str">
        <f t="shared" si="97"/>
        <v>Valid</v>
      </c>
      <c r="AN462" t="str">
        <f t="shared" si="98"/>
        <v>Valid</v>
      </c>
      <c r="AO462" t="str">
        <f t="shared" si="99"/>
        <v>Valid</v>
      </c>
      <c r="AP462" t="str">
        <f t="shared" si="100"/>
        <v>Valid</v>
      </c>
      <c r="AQ462" t="str">
        <f>IF(Audit_Data[[#This Row],[Z_CostContact]]=3,"Valid","Invalid")</f>
        <v>Valid</v>
      </c>
      <c r="AR462" t="str">
        <f t="shared" si="101"/>
        <v>Valid</v>
      </c>
      <c r="AS462" t="str">
        <f t="shared" si="102"/>
        <v>Valid</v>
      </c>
    </row>
    <row r="463" spans="1:45" x14ac:dyDescent="0.3">
      <c r="A463">
        <v>7851</v>
      </c>
      <c r="B463">
        <v>1949</v>
      </c>
      <c r="C463" t="s">
        <v>29</v>
      </c>
      <c r="D463" t="s">
        <v>38</v>
      </c>
      <c r="E463">
        <v>70165</v>
      </c>
      <c r="F463">
        <v>0</v>
      </c>
      <c r="G463">
        <v>0</v>
      </c>
      <c r="H463" s="1">
        <v>41539</v>
      </c>
      <c r="I463">
        <v>60</v>
      </c>
      <c r="J463">
        <v>161</v>
      </c>
      <c r="K463">
        <v>0</v>
      </c>
      <c r="L463">
        <v>253</v>
      </c>
      <c r="M463">
        <v>199</v>
      </c>
      <c r="N463">
        <v>191</v>
      </c>
      <c r="O463">
        <v>122</v>
      </c>
      <c r="P463">
        <v>1</v>
      </c>
      <c r="Q463">
        <v>3</v>
      </c>
      <c r="R463">
        <v>7</v>
      </c>
      <c r="S463">
        <v>11</v>
      </c>
      <c r="T463">
        <v>1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3</v>
      </c>
      <c r="AB463">
        <v>11</v>
      </c>
      <c r="AC463">
        <v>0</v>
      </c>
      <c r="AD463" t="str">
        <f t="shared" si="91"/>
        <v>Ok</v>
      </c>
      <c r="AE463" t="str">
        <f>IF(AND(Audit_Data[[#This Row],[Year_Birth]]&gt;=1900,Audit_Data[[#This Row],[Year_Birth]]&lt;=2010),"OK","Invalid")</f>
        <v>OK</v>
      </c>
      <c r="AF463" t="str">
        <f t="shared" si="92"/>
        <v>Valid</v>
      </c>
      <c r="AG463" t="str">
        <f t="shared" si="93"/>
        <v>Valid</v>
      </c>
      <c r="AH463" t="str">
        <f t="shared" si="94"/>
        <v>Valid</v>
      </c>
      <c r="AI463" t="str">
        <f t="shared" si="95"/>
        <v>Valid</v>
      </c>
      <c r="AJ463" t="str">
        <f t="shared" si="96"/>
        <v>Valid</v>
      </c>
      <c r="AK463" t="str">
        <f t="shared" si="103"/>
        <v xml:space="preserve">Valid </v>
      </c>
      <c r="AL463" t="str">
        <f>IF(AND(Audit_Data[[#This Row],[Recency]]&gt;=0,Audit_Data[[#This Row],[Recency]]&lt;=100),"Valid","Invalid")</f>
        <v>Valid</v>
      </c>
      <c r="AM463" t="str">
        <f t="shared" si="97"/>
        <v>Valid</v>
      </c>
      <c r="AN463" t="str">
        <f t="shared" si="98"/>
        <v>Valid</v>
      </c>
      <c r="AO463" t="str">
        <f t="shared" si="99"/>
        <v>Valid</v>
      </c>
      <c r="AP463" t="str">
        <f t="shared" si="100"/>
        <v>Valid</v>
      </c>
      <c r="AQ463" t="str">
        <f>IF(Audit_Data[[#This Row],[Z_CostContact]]=3,"Valid","Invalid")</f>
        <v>Valid</v>
      </c>
      <c r="AR463" t="str">
        <f t="shared" si="101"/>
        <v>Valid</v>
      </c>
      <c r="AS463" t="str">
        <f t="shared" si="102"/>
        <v>Valid</v>
      </c>
    </row>
    <row r="464" spans="1:45" x14ac:dyDescent="0.3">
      <c r="A464">
        <v>8594</v>
      </c>
      <c r="B464">
        <v>1958</v>
      </c>
      <c r="C464" t="s">
        <v>32</v>
      </c>
      <c r="D464" t="s">
        <v>38</v>
      </c>
      <c r="E464">
        <v>50520</v>
      </c>
      <c r="F464">
        <v>0</v>
      </c>
      <c r="G464">
        <v>1</v>
      </c>
      <c r="H464" s="1">
        <v>41667</v>
      </c>
      <c r="I464">
        <v>25</v>
      </c>
      <c r="J464">
        <v>112</v>
      </c>
      <c r="K464">
        <v>0</v>
      </c>
      <c r="L464">
        <v>6</v>
      </c>
      <c r="M464">
        <v>2</v>
      </c>
      <c r="N464">
        <v>1</v>
      </c>
      <c r="O464">
        <v>14</v>
      </c>
      <c r="P464">
        <v>2</v>
      </c>
      <c r="Q464">
        <v>3</v>
      </c>
      <c r="R464">
        <v>1</v>
      </c>
      <c r="S464">
        <v>3</v>
      </c>
      <c r="T464">
        <v>6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3</v>
      </c>
      <c r="AB464">
        <v>11</v>
      </c>
      <c r="AC464">
        <v>0</v>
      </c>
      <c r="AD464" t="str">
        <f t="shared" si="91"/>
        <v>Ok</v>
      </c>
      <c r="AE464" t="str">
        <f>IF(AND(Audit_Data[[#This Row],[Year_Birth]]&gt;=1900,Audit_Data[[#This Row],[Year_Birth]]&lt;=2010),"OK","Invalid")</f>
        <v>OK</v>
      </c>
      <c r="AF464" t="str">
        <f t="shared" si="92"/>
        <v>Valid</v>
      </c>
      <c r="AG464" t="str">
        <f t="shared" si="93"/>
        <v>Valid</v>
      </c>
      <c r="AH464" t="str">
        <f t="shared" si="94"/>
        <v>Valid</v>
      </c>
      <c r="AI464" t="str">
        <f t="shared" si="95"/>
        <v>Valid</v>
      </c>
      <c r="AJ464" t="str">
        <f t="shared" si="96"/>
        <v>Valid</v>
      </c>
      <c r="AK464" t="str">
        <f t="shared" si="103"/>
        <v xml:space="preserve">Valid </v>
      </c>
      <c r="AL464" t="str">
        <f>IF(AND(Audit_Data[[#This Row],[Recency]]&gt;=0,Audit_Data[[#This Row],[Recency]]&lt;=100),"Valid","Invalid")</f>
        <v>Valid</v>
      </c>
      <c r="AM464" t="str">
        <f t="shared" si="97"/>
        <v>Valid</v>
      </c>
      <c r="AN464" t="str">
        <f t="shared" si="98"/>
        <v>Valid</v>
      </c>
      <c r="AO464" t="str">
        <f t="shared" si="99"/>
        <v>Valid</v>
      </c>
      <c r="AP464" t="str">
        <f t="shared" si="100"/>
        <v>Valid</v>
      </c>
      <c r="AQ464" t="str">
        <f>IF(Audit_Data[[#This Row],[Z_CostContact]]=3,"Valid","Invalid")</f>
        <v>Valid</v>
      </c>
      <c r="AR464" t="str">
        <f t="shared" si="101"/>
        <v>Valid</v>
      </c>
      <c r="AS464" t="str">
        <f t="shared" si="102"/>
        <v>Valid</v>
      </c>
    </row>
    <row r="465" spans="1:45" x14ac:dyDescent="0.3">
      <c r="A465">
        <v>7059</v>
      </c>
      <c r="B465">
        <v>1963</v>
      </c>
      <c r="C465" t="s">
        <v>29</v>
      </c>
      <c r="D465" t="s">
        <v>33</v>
      </c>
      <c r="E465">
        <v>80124</v>
      </c>
      <c r="F465">
        <v>0</v>
      </c>
      <c r="G465">
        <v>0</v>
      </c>
      <c r="H465" s="1">
        <v>41816</v>
      </c>
      <c r="I465">
        <v>47</v>
      </c>
      <c r="J465">
        <v>483</v>
      </c>
      <c r="K465">
        <v>84</v>
      </c>
      <c r="L465">
        <v>398</v>
      </c>
      <c r="M465">
        <v>205</v>
      </c>
      <c r="N465">
        <v>84</v>
      </c>
      <c r="O465">
        <v>241</v>
      </c>
      <c r="P465">
        <v>1</v>
      </c>
      <c r="Q465">
        <v>3</v>
      </c>
      <c r="R465">
        <v>7</v>
      </c>
      <c r="S465">
        <v>8</v>
      </c>
      <c r="T465">
        <v>1</v>
      </c>
      <c r="U465">
        <v>1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3</v>
      </c>
      <c r="AB465">
        <v>11</v>
      </c>
      <c r="AC465">
        <v>0</v>
      </c>
      <c r="AD465" t="str">
        <f t="shared" si="91"/>
        <v>Ok</v>
      </c>
      <c r="AE465" t="str">
        <f>IF(AND(Audit_Data[[#This Row],[Year_Birth]]&gt;=1900,Audit_Data[[#This Row],[Year_Birth]]&lt;=2010),"OK","Invalid")</f>
        <v>OK</v>
      </c>
      <c r="AF465" t="str">
        <f t="shared" si="92"/>
        <v>Valid</v>
      </c>
      <c r="AG465" t="str">
        <f t="shared" si="93"/>
        <v>Valid</v>
      </c>
      <c r="AH465" t="str">
        <f t="shared" si="94"/>
        <v>Valid</v>
      </c>
      <c r="AI465" t="str">
        <f t="shared" si="95"/>
        <v>Valid</v>
      </c>
      <c r="AJ465" t="str">
        <f t="shared" si="96"/>
        <v>Valid</v>
      </c>
      <c r="AK465" t="str">
        <f t="shared" si="103"/>
        <v xml:space="preserve">Valid </v>
      </c>
      <c r="AL465" t="str">
        <f>IF(AND(Audit_Data[[#This Row],[Recency]]&gt;=0,Audit_Data[[#This Row],[Recency]]&lt;=100),"Valid","Invalid")</f>
        <v>Valid</v>
      </c>
      <c r="AM465" t="str">
        <f t="shared" si="97"/>
        <v>Valid</v>
      </c>
      <c r="AN465" t="str">
        <f t="shared" si="98"/>
        <v>Valid</v>
      </c>
      <c r="AO465" t="str">
        <f t="shared" si="99"/>
        <v>Valid</v>
      </c>
      <c r="AP465" t="str">
        <f t="shared" si="100"/>
        <v>Valid</v>
      </c>
      <c r="AQ465" t="str">
        <f>IF(Audit_Data[[#This Row],[Z_CostContact]]=3,"Valid","Invalid")</f>
        <v>Valid</v>
      </c>
      <c r="AR465" t="str">
        <f t="shared" si="101"/>
        <v>Valid</v>
      </c>
      <c r="AS465" t="str">
        <f t="shared" si="102"/>
        <v>Valid</v>
      </c>
    </row>
    <row r="466" spans="1:45" x14ac:dyDescent="0.3">
      <c r="A466">
        <v>2815</v>
      </c>
      <c r="B466">
        <v>1975</v>
      </c>
      <c r="C466" t="s">
        <v>29</v>
      </c>
      <c r="D466" t="s">
        <v>33</v>
      </c>
      <c r="E466">
        <v>33183</v>
      </c>
      <c r="F466">
        <v>1</v>
      </c>
      <c r="G466">
        <v>0</v>
      </c>
      <c r="H466" s="1">
        <v>41694</v>
      </c>
      <c r="I466">
        <v>46</v>
      </c>
      <c r="J466">
        <v>7</v>
      </c>
      <c r="K466">
        <v>5</v>
      </c>
      <c r="L466">
        <v>39</v>
      </c>
      <c r="M466">
        <v>17</v>
      </c>
      <c r="N466">
        <v>15</v>
      </c>
      <c r="O466">
        <v>37</v>
      </c>
      <c r="P466">
        <v>2</v>
      </c>
      <c r="Q466">
        <v>4</v>
      </c>
      <c r="R466">
        <v>0</v>
      </c>
      <c r="S466">
        <v>3</v>
      </c>
      <c r="T466">
        <v>7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3</v>
      </c>
      <c r="AB466">
        <v>11</v>
      </c>
      <c r="AC466">
        <v>0</v>
      </c>
      <c r="AD466" t="str">
        <f t="shared" si="91"/>
        <v>Ok</v>
      </c>
      <c r="AE466" t="str">
        <f>IF(AND(Audit_Data[[#This Row],[Year_Birth]]&gt;=1900,Audit_Data[[#This Row],[Year_Birth]]&lt;=2010),"OK","Invalid")</f>
        <v>OK</v>
      </c>
      <c r="AF466" t="str">
        <f t="shared" si="92"/>
        <v>Valid</v>
      </c>
      <c r="AG466" t="str">
        <f t="shared" si="93"/>
        <v>Valid</v>
      </c>
      <c r="AH466" t="str">
        <f t="shared" si="94"/>
        <v>Valid</v>
      </c>
      <c r="AI466" t="str">
        <f t="shared" si="95"/>
        <v>Valid</v>
      </c>
      <c r="AJ466" t="str">
        <f t="shared" si="96"/>
        <v>Valid</v>
      </c>
      <c r="AK466" t="str">
        <f t="shared" si="103"/>
        <v xml:space="preserve">Valid </v>
      </c>
      <c r="AL466" t="str">
        <f>IF(AND(Audit_Data[[#This Row],[Recency]]&gt;=0,Audit_Data[[#This Row],[Recency]]&lt;=100),"Valid","Invalid")</f>
        <v>Valid</v>
      </c>
      <c r="AM466" t="str">
        <f t="shared" si="97"/>
        <v>Valid</v>
      </c>
      <c r="AN466" t="str">
        <f t="shared" si="98"/>
        <v>Valid</v>
      </c>
      <c r="AO466" t="str">
        <f t="shared" si="99"/>
        <v>Valid</v>
      </c>
      <c r="AP466" t="str">
        <f t="shared" si="100"/>
        <v>Valid</v>
      </c>
      <c r="AQ466" t="str">
        <f>IF(Audit_Data[[#This Row],[Z_CostContact]]=3,"Valid","Invalid")</f>
        <v>Valid</v>
      </c>
      <c r="AR466" t="str">
        <f t="shared" si="101"/>
        <v>Valid</v>
      </c>
      <c r="AS466" t="str">
        <f t="shared" si="102"/>
        <v>Valid</v>
      </c>
    </row>
    <row r="467" spans="1:45" x14ac:dyDescent="0.3">
      <c r="A467">
        <v>2416</v>
      </c>
      <c r="B467">
        <v>1969</v>
      </c>
      <c r="C467" t="s">
        <v>32</v>
      </c>
      <c r="D467" t="s">
        <v>30</v>
      </c>
      <c r="E467">
        <v>66582</v>
      </c>
      <c r="F467">
        <v>0</v>
      </c>
      <c r="G467">
        <v>0</v>
      </c>
      <c r="H467" s="1">
        <v>41701</v>
      </c>
      <c r="I467">
        <v>83</v>
      </c>
      <c r="J467">
        <v>789</v>
      </c>
      <c r="K467">
        <v>25</v>
      </c>
      <c r="L467">
        <v>420</v>
      </c>
      <c r="M467">
        <v>16</v>
      </c>
      <c r="N467">
        <v>38</v>
      </c>
      <c r="O467">
        <v>0</v>
      </c>
      <c r="P467">
        <v>1</v>
      </c>
      <c r="Q467">
        <v>2</v>
      </c>
      <c r="R467">
        <v>8</v>
      </c>
      <c r="S467">
        <v>9</v>
      </c>
      <c r="T467">
        <v>1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3</v>
      </c>
      <c r="AB467">
        <v>11</v>
      </c>
      <c r="AC467">
        <v>0</v>
      </c>
      <c r="AD467" t="str">
        <f t="shared" si="91"/>
        <v>Ok</v>
      </c>
      <c r="AE467" t="str">
        <f>IF(AND(Audit_Data[[#This Row],[Year_Birth]]&gt;=1900,Audit_Data[[#This Row],[Year_Birth]]&lt;=2010),"OK","Invalid")</f>
        <v>OK</v>
      </c>
      <c r="AF467" t="str">
        <f t="shared" si="92"/>
        <v>Valid</v>
      </c>
      <c r="AG467" t="str">
        <f t="shared" si="93"/>
        <v>Valid</v>
      </c>
      <c r="AH467" t="str">
        <f t="shared" si="94"/>
        <v>Valid</v>
      </c>
      <c r="AI467" t="str">
        <f t="shared" si="95"/>
        <v>Valid</v>
      </c>
      <c r="AJ467" t="str">
        <f t="shared" si="96"/>
        <v>Valid</v>
      </c>
      <c r="AK467" t="str">
        <f t="shared" si="103"/>
        <v xml:space="preserve">Valid </v>
      </c>
      <c r="AL467" t="str">
        <f>IF(AND(Audit_Data[[#This Row],[Recency]]&gt;=0,Audit_Data[[#This Row],[Recency]]&lt;=100),"Valid","Invalid")</f>
        <v>Valid</v>
      </c>
      <c r="AM467" t="str">
        <f t="shared" si="97"/>
        <v>Valid</v>
      </c>
      <c r="AN467" t="str">
        <f t="shared" si="98"/>
        <v>Valid</v>
      </c>
      <c r="AO467" t="str">
        <f t="shared" si="99"/>
        <v>Valid</v>
      </c>
      <c r="AP467" t="str">
        <f t="shared" si="100"/>
        <v>Valid</v>
      </c>
      <c r="AQ467" t="str">
        <f>IF(Audit_Data[[#This Row],[Z_CostContact]]=3,"Valid","Invalid")</f>
        <v>Valid</v>
      </c>
      <c r="AR467" t="str">
        <f t="shared" si="101"/>
        <v>Valid</v>
      </c>
      <c r="AS467" t="str">
        <f t="shared" si="102"/>
        <v>Valid</v>
      </c>
    </row>
    <row r="468" spans="1:45" x14ac:dyDescent="0.3">
      <c r="A468">
        <v>7999</v>
      </c>
      <c r="B468">
        <v>1955</v>
      </c>
      <c r="C468" t="s">
        <v>32</v>
      </c>
      <c r="D468" t="s">
        <v>31</v>
      </c>
      <c r="E468">
        <v>75261</v>
      </c>
      <c r="F468">
        <v>0</v>
      </c>
      <c r="G468">
        <v>0</v>
      </c>
      <c r="H468" s="1">
        <v>41387</v>
      </c>
      <c r="I468">
        <v>17</v>
      </c>
      <c r="J468">
        <v>1239</v>
      </c>
      <c r="K468">
        <v>17</v>
      </c>
      <c r="L468">
        <v>413</v>
      </c>
      <c r="M468">
        <v>23</v>
      </c>
      <c r="N468">
        <v>34</v>
      </c>
      <c r="O468">
        <v>17</v>
      </c>
      <c r="P468">
        <v>1</v>
      </c>
      <c r="Q468">
        <v>5</v>
      </c>
      <c r="R468">
        <v>6</v>
      </c>
      <c r="S468">
        <v>5</v>
      </c>
      <c r="T468">
        <v>2</v>
      </c>
      <c r="U468">
        <v>0</v>
      </c>
      <c r="V468">
        <v>1</v>
      </c>
      <c r="W468">
        <v>1</v>
      </c>
      <c r="X468">
        <v>0</v>
      </c>
      <c r="Y468">
        <v>0</v>
      </c>
      <c r="Z468">
        <v>0</v>
      </c>
      <c r="AA468">
        <v>3</v>
      </c>
      <c r="AB468">
        <v>11</v>
      </c>
      <c r="AC468">
        <v>1</v>
      </c>
      <c r="AD468" t="str">
        <f t="shared" si="91"/>
        <v>Ok</v>
      </c>
      <c r="AE468" t="str">
        <f>IF(AND(Audit_Data[[#This Row],[Year_Birth]]&gt;=1900,Audit_Data[[#This Row],[Year_Birth]]&lt;=2010),"OK","Invalid")</f>
        <v>OK</v>
      </c>
      <c r="AF468" t="str">
        <f t="shared" si="92"/>
        <v>Valid</v>
      </c>
      <c r="AG468" t="str">
        <f t="shared" si="93"/>
        <v>Valid</v>
      </c>
      <c r="AH468" t="str">
        <f t="shared" si="94"/>
        <v>Valid</v>
      </c>
      <c r="AI468" t="str">
        <f t="shared" si="95"/>
        <v>Valid</v>
      </c>
      <c r="AJ468" t="str">
        <f t="shared" si="96"/>
        <v>Valid</v>
      </c>
      <c r="AK468" t="str">
        <f t="shared" si="103"/>
        <v xml:space="preserve">Valid </v>
      </c>
      <c r="AL468" t="str">
        <f>IF(AND(Audit_Data[[#This Row],[Recency]]&gt;=0,Audit_Data[[#This Row],[Recency]]&lt;=100),"Valid","Invalid")</f>
        <v>Valid</v>
      </c>
      <c r="AM468" t="str">
        <f t="shared" si="97"/>
        <v>Valid</v>
      </c>
      <c r="AN468" t="str">
        <f t="shared" si="98"/>
        <v>Valid</v>
      </c>
      <c r="AO468" t="str">
        <f t="shared" si="99"/>
        <v>Valid</v>
      </c>
      <c r="AP468" t="str">
        <f t="shared" si="100"/>
        <v>Valid</v>
      </c>
      <c r="AQ468" t="str">
        <f>IF(Audit_Data[[#This Row],[Z_CostContact]]=3,"Valid","Invalid")</f>
        <v>Valid</v>
      </c>
      <c r="AR468" t="str">
        <f t="shared" si="101"/>
        <v>Valid</v>
      </c>
      <c r="AS468" t="str">
        <f t="shared" si="102"/>
        <v>Valid</v>
      </c>
    </row>
    <row r="469" spans="1:45" x14ac:dyDescent="0.3">
      <c r="A469">
        <v>9213</v>
      </c>
      <c r="B469">
        <v>1970</v>
      </c>
      <c r="C469" t="s">
        <v>29</v>
      </c>
      <c r="D469" t="s">
        <v>38</v>
      </c>
      <c r="E469">
        <v>31880</v>
      </c>
      <c r="F469">
        <v>1</v>
      </c>
      <c r="G469">
        <v>0</v>
      </c>
      <c r="H469" s="1">
        <v>41213</v>
      </c>
      <c r="I469">
        <v>13</v>
      </c>
      <c r="J469">
        <v>4</v>
      </c>
      <c r="K469">
        <v>1</v>
      </c>
      <c r="L469">
        <v>5</v>
      </c>
      <c r="M469">
        <v>2</v>
      </c>
      <c r="N469">
        <v>0</v>
      </c>
      <c r="O469">
        <v>3</v>
      </c>
      <c r="P469">
        <v>1</v>
      </c>
      <c r="Q469">
        <v>1</v>
      </c>
      <c r="R469">
        <v>0</v>
      </c>
      <c r="S469">
        <v>2</v>
      </c>
      <c r="T469">
        <v>8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3</v>
      </c>
      <c r="AB469">
        <v>11</v>
      </c>
      <c r="AC469">
        <v>0</v>
      </c>
      <c r="AD469" t="str">
        <f t="shared" si="91"/>
        <v>Ok</v>
      </c>
      <c r="AE469" t="str">
        <f>IF(AND(Audit_Data[[#This Row],[Year_Birth]]&gt;=1900,Audit_Data[[#This Row],[Year_Birth]]&lt;=2010),"OK","Invalid")</f>
        <v>OK</v>
      </c>
      <c r="AF469" t="str">
        <f t="shared" si="92"/>
        <v>Valid</v>
      </c>
      <c r="AG469" t="str">
        <f t="shared" si="93"/>
        <v>Valid</v>
      </c>
      <c r="AH469" t="str">
        <f t="shared" si="94"/>
        <v>Valid</v>
      </c>
      <c r="AI469" t="str">
        <f t="shared" si="95"/>
        <v>Valid</v>
      </c>
      <c r="AJ469" t="str">
        <f t="shared" si="96"/>
        <v>Valid</v>
      </c>
      <c r="AK469" t="str">
        <f t="shared" si="103"/>
        <v xml:space="preserve">Valid </v>
      </c>
      <c r="AL469" t="str">
        <f>IF(AND(Audit_Data[[#This Row],[Recency]]&gt;=0,Audit_Data[[#This Row],[Recency]]&lt;=100),"Valid","Invalid")</f>
        <v>Valid</v>
      </c>
      <c r="AM469" t="str">
        <f t="shared" si="97"/>
        <v>Valid</v>
      </c>
      <c r="AN469" t="str">
        <f t="shared" si="98"/>
        <v>Valid</v>
      </c>
      <c r="AO469" t="str">
        <f t="shared" si="99"/>
        <v>Valid</v>
      </c>
      <c r="AP469" t="str">
        <f t="shared" si="100"/>
        <v>Valid</v>
      </c>
      <c r="AQ469" t="str">
        <f>IF(Audit_Data[[#This Row],[Z_CostContact]]=3,"Valid","Invalid")</f>
        <v>Valid</v>
      </c>
      <c r="AR469" t="str">
        <f t="shared" si="101"/>
        <v>Valid</v>
      </c>
      <c r="AS469" t="str">
        <f t="shared" si="102"/>
        <v>Valid</v>
      </c>
    </row>
    <row r="470" spans="1:45" x14ac:dyDescent="0.3">
      <c r="A470">
        <v>9697</v>
      </c>
      <c r="B470">
        <v>1951</v>
      </c>
      <c r="C470" t="s">
        <v>29</v>
      </c>
      <c r="D470" t="s">
        <v>33</v>
      </c>
      <c r="E470">
        <v>53790</v>
      </c>
      <c r="F470">
        <v>0</v>
      </c>
      <c r="G470">
        <v>2</v>
      </c>
      <c r="H470" s="1">
        <v>41704</v>
      </c>
      <c r="I470">
        <v>86</v>
      </c>
      <c r="J470">
        <v>335</v>
      </c>
      <c r="K470">
        <v>42</v>
      </c>
      <c r="L470">
        <v>127</v>
      </c>
      <c r="M470">
        <v>28</v>
      </c>
      <c r="N470">
        <v>5</v>
      </c>
      <c r="O470">
        <v>5</v>
      </c>
      <c r="P470">
        <v>3</v>
      </c>
      <c r="Q470">
        <v>7</v>
      </c>
      <c r="R470">
        <v>2</v>
      </c>
      <c r="S470">
        <v>8</v>
      </c>
      <c r="T470">
        <v>6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3</v>
      </c>
      <c r="AB470">
        <v>11</v>
      </c>
      <c r="AC470">
        <v>0</v>
      </c>
      <c r="AD470" t="str">
        <f t="shared" si="91"/>
        <v>Ok</v>
      </c>
      <c r="AE470" t="str">
        <f>IF(AND(Audit_Data[[#This Row],[Year_Birth]]&gt;=1900,Audit_Data[[#This Row],[Year_Birth]]&lt;=2010),"OK","Invalid")</f>
        <v>OK</v>
      </c>
      <c r="AF470" t="str">
        <f t="shared" si="92"/>
        <v>Valid</v>
      </c>
      <c r="AG470" t="str">
        <f t="shared" si="93"/>
        <v>Valid</v>
      </c>
      <c r="AH470" t="str">
        <f t="shared" si="94"/>
        <v>Valid</v>
      </c>
      <c r="AI470" t="str">
        <f t="shared" si="95"/>
        <v>Valid</v>
      </c>
      <c r="AJ470" t="str">
        <f t="shared" si="96"/>
        <v>Valid</v>
      </c>
      <c r="AK470" t="str">
        <f t="shared" si="103"/>
        <v xml:space="preserve">Valid </v>
      </c>
      <c r="AL470" t="str">
        <f>IF(AND(Audit_Data[[#This Row],[Recency]]&gt;=0,Audit_Data[[#This Row],[Recency]]&lt;=100),"Valid","Invalid")</f>
        <v>Valid</v>
      </c>
      <c r="AM470" t="str">
        <f t="shared" si="97"/>
        <v>Valid</v>
      </c>
      <c r="AN470" t="str">
        <f t="shared" si="98"/>
        <v>Valid</v>
      </c>
      <c r="AO470" t="str">
        <f t="shared" si="99"/>
        <v>Valid</v>
      </c>
      <c r="AP470" t="str">
        <f t="shared" si="100"/>
        <v>Valid</v>
      </c>
      <c r="AQ470" t="str">
        <f>IF(Audit_Data[[#This Row],[Z_CostContact]]=3,"Valid","Invalid")</f>
        <v>Valid</v>
      </c>
      <c r="AR470" t="str">
        <f t="shared" si="101"/>
        <v>Valid</v>
      </c>
      <c r="AS470" t="str">
        <f t="shared" si="102"/>
        <v>Valid</v>
      </c>
    </row>
    <row r="471" spans="1:45" x14ac:dyDescent="0.3">
      <c r="A471">
        <v>3916</v>
      </c>
      <c r="B471">
        <v>1971</v>
      </c>
      <c r="C471" t="s">
        <v>32</v>
      </c>
      <c r="D471" t="s">
        <v>31</v>
      </c>
      <c r="E471">
        <v>49269</v>
      </c>
      <c r="F471">
        <v>1</v>
      </c>
      <c r="G471">
        <v>0</v>
      </c>
      <c r="H471" s="1">
        <v>41136</v>
      </c>
      <c r="I471">
        <v>92</v>
      </c>
      <c r="J471">
        <v>639</v>
      </c>
      <c r="K471">
        <v>8</v>
      </c>
      <c r="L471">
        <v>166</v>
      </c>
      <c r="M471">
        <v>11</v>
      </c>
      <c r="N471">
        <v>8</v>
      </c>
      <c r="O471">
        <v>58</v>
      </c>
      <c r="P471">
        <v>3</v>
      </c>
      <c r="Q471">
        <v>7</v>
      </c>
      <c r="R471">
        <v>3</v>
      </c>
      <c r="S471">
        <v>12</v>
      </c>
      <c r="T471">
        <v>7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3</v>
      </c>
      <c r="AB471">
        <v>11</v>
      </c>
      <c r="AC471">
        <v>0</v>
      </c>
      <c r="AD471" t="str">
        <f t="shared" si="91"/>
        <v>Ok</v>
      </c>
      <c r="AE471" t="str">
        <f>IF(AND(Audit_Data[[#This Row],[Year_Birth]]&gt;=1900,Audit_Data[[#This Row],[Year_Birth]]&lt;=2010),"OK","Invalid")</f>
        <v>OK</v>
      </c>
      <c r="AF471" t="str">
        <f t="shared" si="92"/>
        <v>Valid</v>
      </c>
      <c r="AG471" t="str">
        <f t="shared" si="93"/>
        <v>Valid</v>
      </c>
      <c r="AH471" t="str">
        <f t="shared" si="94"/>
        <v>Valid</v>
      </c>
      <c r="AI471" t="str">
        <f t="shared" si="95"/>
        <v>Valid</v>
      </c>
      <c r="AJ471" t="str">
        <f t="shared" si="96"/>
        <v>Valid</v>
      </c>
      <c r="AK471" t="str">
        <f t="shared" si="103"/>
        <v xml:space="preserve">Valid </v>
      </c>
      <c r="AL471" t="str">
        <f>IF(AND(Audit_Data[[#This Row],[Recency]]&gt;=0,Audit_Data[[#This Row],[Recency]]&lt;=100),"Valid","Invalid")</f>
        <v>Valid</v>
      </c>
      <c r="AM471" t="str">
        <f t="shared" si="97"/>
        <v>Valid</v>
      </c>
      <c r="AN471" t="str">
        <f t="shared" si="98"/>
        <v>Valid</v>
      </c>
      <c r="AO471" t="str">
        <f t="shared" si="99"/>
        <v>Valid</v>
      </c>
      <c r="AP471" t="str">
        <f t="shared" si="100"/>
        <v>Valid</v>
      </c>
      <c r="AQ471" t="str">
        <f>IF(Audit_Data[[#This Row],[Z_CostContact]]=3,"Valid","Invalid")</f>
        <v>Valid</v>
      </c>
      <c r="AR471" t="str">
        <f t="shared" si="101"/>
        <v>Valid</v>
      </c>
      <c r="AS471" t="str">
        <f t="shared" si="102"/>
        <v>Valid</v>
      </c>
    </row>
    <row r="472" spans="1:45" x14ac:dyDescent="0.3">
      <c r="A472">
        <v>2021</v>
      </c>
      <c r="B472">
        <v>1975</v>
      </c>
      <c r="C472" t="s">
        <v>29</v>
      </c>
      <c r="D472" t="s">
        <v>33</v>
      </c>
      <c r="E472">
        <v>61456</v>
      </c>
      <c r="F472">
        <v>0</v>
      </c>
      <c r="G472">
        <v>1</v>
      </c>
      <c r="H472" s="1">
        <v>41360</v>
      </c>
      <c r="I472">
        <v>47</v>
      </c>
      <c r="J472">
        <v>563</v>
      </c>
      <c r="K472">
        <v>76</v>
      </c>
      <c r="L472">
        <v>384</v>
      </c>
      <c r="M472">
        <v>84</v>
      </c>
      <c r="N472">
        <v>192</v>
      </c>
      <c r="O472">
        <v>89</v>
      </c>
      <c r="P472">
        <v>4</v>
      </c>
      <c r="Q472">
        <v>6</v>
      </c>
      <c r="R472">
        <v>10</v>
      </c>
      <c r="S472">
        <v>13</v>
      </c>
      <c r="T472">
        <v>4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3</v>
      </c>
      <c r="AB472">
        <v>11</v>
      </c>
      <c r="AC472">
        <v>0</v>
      </c>
      <c r="AD472" t="str">
        <f t="shared" si="91"/>
        <v>Ok</v>
      </c>
      <c r="AE472" t="str">
        <f>IF(AND(Audit_Data[[#This Row],[Year_Birth]]&gt;=1900,Audit_Data[[#This Row],[Year_Birth]]&lt;=2010),"OK","Invalid")</f>
        <v>OK</v>
      </c>
      <c r="AF472" t="str">
        <f t="shared" si="92"/>
        <v>Valid</v>
      </c>
      <c r="AG472" t="str">
        <f t="shared" si="93"/>
        <v>Valid</v>
      </c>
      <c r="AH472" t="str">
        <f t="shared" si="94"/>
        <v>Valid</v>
      </c>
      <c r="AI472" t="str">
        <f t="shared" si="95"/>
        <v>Valid</v>
      </c>
      <c r="AJ472" t="str">
        <f t="shared" si="96"/>
        <v>Valid</v>
      </c>
      <c r="AK472" t="str">
        <f t="shared" si="103"/>
        <v xml:space="preserve">Valid </v>
      </c>
      <c r="AL472" t="str">
        <f>IF(AND(Audit_Data[[#This Row],[Recency]]&gt;=0,Audit_Data[[#This Row],[Recency]]&lt;=100),"Valid","Invalid")</f>
        <v>Valid</v>
      </c>
      <c r="AM472" t="str">
        <f t="shared" si="97"/>
        <v>Valid</v>
      </c>
      <c r="AN472" t="str">
        <f t="shared" si="98"/>
        <v>Valid</v>
      </c>
      <c r="AO472" t="str">
        <f t="shared" si="99"/>
        <v>Valid</v>
      </c>
      <c r="AP472" t="str">
        <f t="shared" si="100"/>
        <v>Valid</v>
      </c>
      <c r="AQ472" t="str">
        <f>IF(Audit_Data[[#This Row],[Z_CostContact]]=3,"Valid","Invalid")</f>
        <v>Valid</v>
      </c>
      <c r="AR472" t="str">
        <f t="shared" si="101"/>
        <v>Valid</v>
      </c>
      <c r="AS472" t="str">
        <f t="shared" si="102"/>
        <v>Valid</v>
      </c>
    </row>
    <row r="473" spans="1:45" x14ac:dyDescent="0.3">
      <c r="A473">
        <v>1581</v>
      </c>
      <c r="B473">
        <v>1980</v>
      </c>
      <c r="C473" t="s">
        <v>29</v>
      </c>
      <c r="D473" t="s">
        <v>33</v>
      </c>
      <c r="E473">
        <v>37406</v>
      </c>
      <c r="F473">
        <v>1</v>
      </c>
      <c r="G473">
        <v>0</v>
      </c>
      <c r="H473" s="1">
        <v>41557</v>
      </c>
      <c r="I473">
        <v>18</v>
      </c>
      <c r="J473">
        <v>2</v>
      </c>
      <c r="K473">
        <v>0</v>
      </c>
      <c r="L473">
        <v>8</v>
      </c>
      <c r="M473">
        <v>2</v>
      </c>
      <c r="N473">
        <v>2</v>
      </c>
      <c r="O473">
        <v>3</v>
      </c>
      <c r="P473">
        <v>1</v>
      </c>
      <c r="Q473">
        <v>1</v>
      </c>
      <c r="R473">
        <v>0</v>
      </c>
      <c r="S473">
        <v>2</v>
      </c>
      <c r="T473">
        <v>8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3</v>
      </c>
      <c r="AB473">
        <v>11</v>
      </c>
      <c r="AC473">
        <v>1</v>
      </c>
      <c r="AD473" t="str">
        <f t="shared" si="91"/>
        <v>Ok</v>
      </c>
      <c r="AE473" t="str">
        <f>IF(AND(Audit_Data[[#This Row],[Year_Birth]]&gt;=1900,Audit_Data[[#This Row],[Year_Birth]]&lt;=2010),"OK","Invalid")</f>
        <v>OK</v>
      </c>
      <c r="AF473" t="str">
        <f t="shared" si="92"/>
        <v>Valid</v>
      </c>
      <c r="AG473" t="str">
        <f t="shared" si="93"/>
        <v>Valid</v>
      </c>
      <c r="AH473" t="str">
        <f t="shared" si="94"/>
        <v>Valid</v>
      </c>
      <c r="AI473" t="str">
        <f t="shared" si="95"/>
        <v>Valid</v>
      </c>
      <c r="AJ473" t="str">
        <f t="shared" si="96"/>
        <v>Valid</v>
      </c>
      <c r="AK473" t="str">
        <f t="shared" si="103"/>
        <v xml:space="preserve">Valid </v>
      </c>
      <c r="AL473" t="str">
        <f>IF(AND(Audit_Data[[#This Row],[Recency]]&gt;=0,Audit_Data[[#This Row],[Recency]]&lt;=100),"Valid","Invalid")</f>
        <v>Valid</v>
      </c>
      <c r="AM473" t="str">
        <f t="shared" si="97"/>
        <v>Valid</v>
      </c>
      <c r="AN473" t="str">
        <f t="shared" si="98"/>
        <v>Valid</v>
      </c>
      <c r="AO473" t="str">
        <f t="shared" si="99"/>
        <v>Valid</v>
      </c>
      <c r="AP473" t="str">
        <f t="shared" si="100"/>
        <v>Valid</v>
      </c>
      <c r="AQ473" t="str">
        <f>IF(Audit_Data[[#This Row],[Z_CostContact]]=3,"Valid","Invalid")</f>
        <v>Valid</v>
      </c>
      <c r="AR473" t="str">
        <f t="shared" si="101"/>
        <v>Valid</v>
      </c>
      <c r="AS473" t="str">
        <f t="shared" si="102"/>
        <v>Valid</v>
      </c>
    </row>
    <row r="474" spans="1:45" x14ac:dyDescent="0.3">
      <c r="A474">
        <v>564</v>
      </c>
      <c r="B474">
        <v>1981</v>
      </c>
      <c r="C474" t="s">
        <v>32</v>
      </c>
      <c r="D474" t="s">
        <v>31</v>
      </c>
      <c r="E474">
        <v>56937</v>
      </c>
      <c r="F474">
        <v>1</v>
      </c>
      <c r="G474">
        <v>0</v>
      </c>
      <c r="H474" s="1">
        <v>41125</v>
      </c>
      <c r="I474">
        <v>81</v>
      </c>
      <c r="J474">
        <v>746</v>
      </c>
      <c r="K474">
        <v>8</v>
      </c>
      <c r="L474">
        <v>125</v>
      </c>
      <c r="M474">
        <v>11</v>
      </c>
      <c r="N474">
        <v>8</v>
      </c>
      <c r="O474">
        <v>8</v>
      </c>
      <c r="P474">
        <v>7</v>
      </c>
      <c r="Q474">
        <v>8</v>
      </c>
      <c r="R474">
        <v>6</v>
      </c>
      <c r="S474">
        <v>9</v>
      </c>
      <c r="T474">
        <v>6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3</v>
      </c>
      <c r="AB474">
        <v>11</v>
      </c>
      <c r="AC474">
        <v>1</v>
      </c>
      <c r="AD474" t="str">
        <f t="shared" si="91"/>
        <v>Ok</v>
      </c>
      <c r="AE474" t="str">
        <f>IF(AND(Audit_Data[[#This Row],[Year_Birth]]&gt;=1900,Audit_Data[[#This Row],[Year_Birth]]&lt;=2010),"OK","Invalid")</f>
        <v>OK</v>
      </c>
      <c r="AF474" t="str">
        <f t="shared" si="92"/>
        <v>Valid</v>
      </c>
      <c r="AG474" t="str">
        <f t="shared" si="93"/>
        <v>Valid</v>
      </c>
      <c r="AH474" t="str">
        <f t="shared" si="94"/>
        <v>Valid</v>
      </c>
      <c r="AI474" t="str">
        <f t="shared" si="95"/>
        <v>Valid</v>
      </c>
      <c r="AJ474" t="str">
        <f t="shared" si="96"/>
        <v>Valid</v>
      </c>
      <c r="AK474" t="str">
        <f t="shared" si="103"/>
        <v xml:space="preserve">Valid </v>
      </c>
      <c r="AL474" t="str">
        <f>IF(AND(Audit_Data[[#This Row],[Recency]]&gt;=0,Audit_Data[[#This Row],[Recency]]&lt;=100),"Valid","Invalid")</f>
        <v>Valid</v>
      </c>
      <c r="AM474" t="str">
        <f t="shared" si="97"/>
        <v>Valid</v>
      </c>
      <c r="AN474" t="str">
        <f t="shared" si="98"/>
        <v>Valid</v>
      </c>
      <c r="AO474" t="str">
        <f t="shared" si="99"/>
        <v>Valid</v>
      </c>
      <c r="AP474" t="str">
        <f t="shared" si="100"/>
        <v>Valid</v>
      </c>
      <c r="AQ474" t="str">
        <f>IF(Audit_Data[[#This Row],[Z_CostContact]]=3,"Valid","Invalid")</f>
        <v>Valid</v>
      </c>
      <c r="AR474" t="str">
        <f t="shared" si="101"/>
        <v>Valid</v>
      </c>
      <c r="AS474" t="str">
        <f t="shared" si="102"/>
        <v>Valid</v>
      </c>
    </row>
    <row r="475" spans="1:45" x14ac:dyDescent="0.3">
      <c r="A475">
        <v>6619</v>
      </c>
      <c r="B475">
        <v>1978</v>
      </c>
      <c r="C475" t="s">
        <v>29</v>
      </c>
      <c r="D475" t="s">
        <v>33</v>
      </c>
      <c r="E475">
        <v>38415</v>
      </c>
      <c r="F475">
        <v>1</v>
      </c>
      <c r="G475">
        <v>1</v>
      </c>
      <c r="H475" s="1">
        <v>41276</v>
      </c>
      <c r="I475">
        <v>91</v>
      </c>
      <c r="J475">
        <v>22</v>
      </c>
      <c r="K475">
        <v>1</v>
      </c>
      <c r="L475">
        <v>13</v>
      </c>
      <c r="M475">
        <v>4</v>
      </c>
      <c r="N475">
        <v>0</v>
      </c>
      <c r="O475">
        <v>4</v>
      </c>
      <c r="P475">
        <v>2</v>
      </c>
      <c r="Q475">
        <v>1</v>
      </c>
      <c r="R475">
        <v>0</v>
      </c>
      <c r="S475">
        <v>3</v>
      </c>
      <c r="T475">
        <v>7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3</v>
      </c>
      <c r="AB475">
        <v>11</v>
      </c>
      <c r="AC475">
        <v>0</v>
      </c>
      <c r="AD475" t="str">
        <f t="shared" si="91"/>
        <v>Ok</v>
      </c>
      <c r="AE475" t="str">
        <f>IF(AND(Audit_Data[[#This Row],[Year_Birth]]&gt;=1900,Audit_Data[[#This Row],[Year_Birth]]&lt;=2010),"OK","Invalid")</f>
        <v>OK</v>
      </c>
      <c r="AF475" t="str">
        <f t="shared" si="92"/>
        <v>Valid</v>
      </c>
      <c r="AG475" t="str">
        <f t="shared" si="93"/>
        <v>Valid</v>
      </c>
      <c r="AH475" t="str">
        <f t="shared" si="94"/>
        <v>Valid</v>
      </c>
      <c r="AI475" t="str">
        <f t="shared" si="95"/>
        <v>Valid</v>
      </c>
      <c r="AJ475" t="str">
        <f t="shared" si="96"/>
        <v>Valid</v>
      </c>
      <c r="AK475" t="str">
        <f t="shared" si="103"/>
        <v xml:space="preserve">Valid </v>
      </c>
      <c r="AL475" t="str">
        <f>IF(AND(Audit_Data[[#This Row],[Recency]]&gt;=0,Audit_Data[[#This Row],[Recency]]&lt;=100),"Valid","Invalid")</f>
        <v>Valid</v>
      </c>
      <c r="AM475" t="str">
        <f t="shared" si="97"/>
        <v>Valid</v>
      </c>
      <c r="AN475" t="str">
        <f t="shared" si="98"/>
        <v>Valid</v>
      </c>
      <c r="AO475" t="str">
        <f t="shared" si="99"/>
        <v>Valid</v>
      </c>
      <c r="AP475" t="str">
        <f t="shared" si="100"/>
        <v>Valid</v>
      </c>
      <c r="AQ475" t="str">
        <f>IF(Audit_Data[[#This Row],[Z_CostContact]]=3,"Valid","Invalid")</f>
        <v>Valid</v>
      </c>
      <c r="AR475" t="str">
        <f t="shared" si="101"/>
        <v>Valid</v>
      </c>
      <c r="AS475" t="str">
        <f t="shared" si="102"/>
        <v>Valid</v>
      </c>
    </row>
    <row r="476" spans="1:45" x14ac:dyDescent="0.3">
      <c r="A476">
        <v>9081</v>
      </c>
      <c r="B476">
        <v>1988</v>
      </c>
      <c r="C476" t="s">
        <v>29</v>
      </c>
      <c r="D476" t="s">
        <v>30</v>
      </c>
      <c r="E476">
        <v>20518</v>
      </c>
      <c r="F476">
        <v>1</v>
      </c>
      <c r="G476">
        <v>0</v>
      </c>
      <c r="H476" s="1">
        <v>41777</v>
      </c>
      <c r="I476">
        <v>58</v>
      </c>
      <c r="J476">
        <v>4</v>
      </c>
      <c r="K476">
        <v>1</v>
      </c>
      <c r="L476">
        <v>6</v>
      </c>
      <c r="M476">
        <v>4</v>
      </c>
      <c r="N476">
        <v>1</v>
      </c>
      <c r="O476">
        <v>9</v>
      </c>
      <c r="P476">
        <v>1</v>
      </c>
      <c r="Q476">
        <v>1</v>
      </c>
      <c r="R476">
        <v>1</v>
      </c>
      <c r="S476">
        <v>2</v>
      </c>
      <c r="T476">
        <v>5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3</v>
      </c>
      <c r="AB476">
        <v>11</v>
      </c>
      <c r="AC476">
        <v>0</v>
      </c>
      <c r="AD476" t="str">
        <f t="shared" si="91"/>
        <v>Ok</v>
      </c>
      <c r="AE476" t="str">
        <f>IF(AND(Audit_Data[[#This Row],[Year_Birth]]&gt;=1900,Audit_Data[[#This Row],[Year_Birth]]&lt;=2010),"OK","Invalid")</f>
        <v>OK</v>
      </c>
      <c r="AF476" t="str">
        <f t="shared" si="92"/>
        <v>Valid</v>
      </c>
      <c r="AG476" t="str">
        <f t="shared" si="93"/>
        <v>Valid</v>
      </c>
      <c r="AH476" t="str">
        <f t="shared" si="94"/>
        <v>Valid</v>
      </c>
      <c r="AI476" t="str">
        <f t="shared" si="95"/>
        <v>Valid</v>
      </c>
      <c r="AJ476" t="str">
        <f t="shared" si="96"/>
        <v>Valid</v>
      </c>
      <c r="AK476" t="str">
        <f t="shared" si="103"/>
        <v xml:space="preserve">Valid </v>
      </c>
      <c r="AL476" t="str">
        <f>IF(AND(Audit_Data[[#This Row],[Recency]]&gt;=0,Audit_Data[[#This Row],[Recency]]&lt;=100),"Valid","Invalid")</f>
        <v>Valid</v>
      </c>
      <c r="AM476" t="str">
        <f t="shared" si="97"/>
        <v>Valid</v>
      </c>
      <c r="AN476" t="str">
        <f t="shared" si="98"/>
        <v>Valid</v>
      </c>
      <c r="AO476" t="str">
        <f t="shared" si="99"/>
        <v>Valid</v>
      </c>
      <c r="AP476" t="str">
        <f t="shared" si="100"/>
        <v>Valid</v>
      </c>
      <c r="AQ476" t="str">
        <f>IF(Audit_Data[[#This Row],[Z_CostContact]]=3,"Valid","Invalid")</f>
        <v>Valid</v>
      </c>
      <c r="AR476" t="str">
        <f t="shared" si="101"/>
        <v>Valid</v>
      </c>
      <c r="AS476" t="str">
        <f t="shared" si="102"/>
        <v>Valid</v>
      </c>
    </row>
    <row r="477" spans="1:45" x14ac:dyDescent="0.3">
      <c r="A477">
        <v>178</v>
      </c>
      <c r="B477">
        <v>1956</v>
      </c>
      <c r="C477" t="s">
        <v>29</v>
      </c>
      <c r="D477" t="s">
        <v>33</v>
      </c>
      <c r="E477">
        <v>62503</v>
      </c>
      <c r="F477">
        <v>0</v>
      </c>
      <c r="G477">
        <v>1</v>
      </c>
      <c r="H477" s="1">
        <v>41323</v>
      </c>
      <c r="I477">
        <v>40</v>
      </c>
      <c r="J477">
        <v>478</v>
      </c>
      <c r="K477">
        <v>0</v>
      </c>
      <c r="L477">
        <v>193</v>
      </c>
      <c r="M477">
        <v>110</v>
      </c>
      <c r="N477">
        <v>75</v>
      </c>
      <c r="O477">
        <v>117</v>
      </c>
      <c r="P477">
        <v>4</v>
      </c>
      <c r="Q477">
        <v>8</v>
      </c>
      <c r="R477">
        <v>3</v>
      </c>
      <c r="S477">
        <v>11</v>
      </c>
      <c r="T477">
        <v>5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3</v>
      </c>
      <c r="AB477">
        <v>11</v>
      </c>
      <c r="AC477">
        <v>0</v>
      </c>
      <c r="AD477" t="str">
        <f t="shared" si="91"/>
        <v>Ok</v>
      </c>
      <c r="AE477" t="str">
        <f>IF(AND(Audit_Data[[#This Row],[Year_Birth]]&gt;=1900,Audit_Data[[#This Row],[Year_Birth]]&lt;=2010),"OK","Invalid")</f>
        <v>OK</v>
      </c>
      <c r="AF477" t="str">
        <f t="shared" si="92"/>
        <v>Valid</v>
      </c>
      <c r="AG477" t="str">
        <f t="shared" si="93"/>
        <v>Valid</v>
      </c>
      <c r="AH477" t="str">
        <f t="shared" si="94"/>
        <v>Valid</v>
      </c>
      <c r="AI477" t="str">
        <f t="shared" si="95"/>
        <v>Valid</v>
      </c>
      <c r="AJ477" t="str">
        <f t="shared" si="96"/>
        <v>Valid</v>
      </c>
      <c r="AK477" t="str">
        <f t="shared" si="103"/>
        <v xml:space="preserve">Valid </v>
      </c>
      <c r="AL477" t="str">
        <f>IF(AND(Audit_Data[[#This Row],[Recency]]&gt;=0,Audit_Data[[#This Row],[Recency]]&lt;=100),"Valid","Invalid")</f>
        <v>Valid</v>
      </c>
      <c r="AM477" t="str">
        <f t="shared" si="97"/>
        <v>Valid</v>
      </c>
      <c r="AN477" t="str">
        <f t="shared" si="98"/>
        <v>Valid</v>
      </c>
      <c r="AO477" t="str">
        <f t="shared" si="99"/>
        <v>Valid</v>
      </c>
      <c r="AP477" t="str">
        <f t="shared" si="100"/>
        <v>Valid</v>
      </c>
      <c r="AQ477" t="str">
        <f>IF(Audit_Data[[#This Row],[Z_CostContact]]=3,"Valid","Invalid")</f>
        <v>Valid</v>
      </c>
      <c r="AR477" t="str">
        <f t="shared" si="101"/>
        <v>Valid</v>
      </c>
      <c r="AS477" t="str">
        <f t="shared" si="102"/>
        <v>Valid</v>
      </c>
    </row>
    <row r="478" spans="1:45" x14ac:dyDescent="0.3">
      <c r="A478">
        <v>916</v>
      </c>
      <c r="B478">
        <v>1972</v>
      </c>
      <c r="C478" t="s">
        <v>32</v>
      </c>
      <c r="D478" t="s">
        <v>30</v>
      </c>
      <c r="E478">
        <v>41644</v>
      </c>
      <c r="F478">
        <v>1</v>
      </c>
      <c r="G478">
        <v>1</v>
      </c>
      <c r="H478" s="1">
        <v>41768</v>
      </c>
      <c r="I478">
        <v>67</v>
      </c>
      <c r="J478">
        <v>20</v>
      </c>
      <c r="K478">
        <v>3</v>
      </c>
      <c r="L478">
        <v>4</v>
      </c>
      <c r="M478">
        <v>2</v>
      </c>
      <c r="N478">
        <v>0</v>
      </c>
      <c r="O478">
        <v>2</v>
      </c>
      <c r="P478">
        <v>2</v>
      </c>
      <c r="Q478">
        <v>1</v>
      </c>
      <c r="R478">
        <v>0</v>
      </c>
      <c r="S478">
        <v>3</v>
      </c>
      <c r="T478">
        <v>3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3</v>
      </c>
      <c r="AB478">
        <v>11</v>
      </c>
      <c r="AC478">
        <v>0</v>
      </c>
      <c r="AD478" t="str">
        <f t="shared" si="91"/>
        <v>Ok</v>
      </c>
      <c r="AE478" t="str">
        <f>IF(AND(Audit_Data[[#This Row],[Year_Birth]]&gt;=1900,Audit_Data[[#This Row],[Year_Birth]]&lt;=2010),"OK","Invalid")</f>
        <v>OK</v>
      </c>
      <c r="AF478" t="str">
        <f t="shared" si="92"/>
        <v>Valid</v>
      </c>
      <c r="AG478" t="str">
        <f t="shared" si="93"/>
        <v>Valid</v>
      </c>
      <c r="AH478" t="str">
        <f t="shared" si="94"/>
        <v>Valid</v>
      </c>
      <c r="AI478" t="str">
        <f t="shared" si="95"/>
        <v>Valid</v>
      </c>
      <c r="AJ478" t="str">
        <f t="shared" si="96"/>
        <v>Valid</v>
      </c>
      <c r="AK478" t="str">
        <f t="shared" si="103"/>
        <v xml:space="preserve">Valid </v>
      </c>
      <c r="AL478" t="str">
        <f>IF(AND(Audit_Data[[#This Row],[Recency]]&gt;=0,Audit_Data[[#This Row],[Recency]]&lt;=100),"Valid","Invalid")</f>
        <v>Valid</v>
      </c>
      <c r="AM478" t="str">
        <f t="shared" si="97"/>
        <v>Valid</v>
      </c>
      <c r="AN478" t="str">
        <f t="shared" si="98"/>
        <v>Valid</v>
      </c>
      <c r="AO478" t="str">
        <f t="shared" si="99"/>
        <v>Valid</v>
      </c>
      <c r="AP478" t="str">
        <f t="shared" si="100"/>
        <v>Valid</v>
      </c>
      <c r="AQ478" t="str">
        <f>IF(Audit_Data[[#This Row],[Z_CostContact]]=3,"Valid","Invalid")</f>
        <v>Valid</v>
      </c>
      <c r="AR478" t="str">
        <f t="shared" si="101"/>
        <v>Valid</v>
      </c>
      <c r="AS478" t="str">
        <f t="shared" si="102"/>
        <v>Valid</v>
      </c>
    </row>
    <row r="479" spans="1:45" x14ac:dyDescent="0.3">
      <c r="A479">
        <v>5512</v>
      </c>
      <c r="B479">
        <v>1977</v>
      </c>
      <c r="C479" t="s">
        <v>34</v>
      </c>
      <c r="D479" t="s">
        <v>33</v>
      </c>
      <c r="E479">
        <v>55842</v>
      </c>
      <c r="F479">
        <v>0</v>
      </c>
      <c r="G479">
        <v>1</v>
      </c>
      <c r="H479" s="1">
        <v>41782</v>
      </c>
      <c r="I479">
        <v>19</v>
      </c>
      <c r="J479">
        <v>451</v>
      </c>
      <c r="K479">
        <v>0</v>
      </c>
      <c r="L479">
        <v>39</v>
      </c>
      <c r="M479">
        <v>0</v>
      </c>
      <c r="N479">
        <v>4</v>
      </c>
      <c r="O479">
        <v>24</v>
      </c>
      <c r="P479">
        <v>1</v>
      </c>
      <c r="Q479">
        <v>7</v>
      </c>
      <c r="R479">
        <v>1</v>
      </c>
      <c r="S479">
        <v>8</v>
      </c>
      <c r="T479">
        <v>5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3</v>
      </c>
      <c r="AB479">
        <v>11</v>
      </c>
      <c r="AC479">
        <v>0</v>
      </c>
      <c r="AD479" t="str">
        <f t="shared" si="91"/>
        <v>Ok</v>
      </c>
      <c r="AE479" t="str">
        <f>IF(AND(Audit_Data[[#This Row],[Year_Birth]]&gt;=1900,Audit_Data[[#This Row],[Year_Birth]]&lt;=2010),"OK","Invalid")</f>
        <v>OK</v>
      </c>
      <c r="AF479" t="str">
        <f t="shared" si="92"/>
        <v>Valid</v>
      </c>
      <c r="AG479" t="str">
        <f t="shared" si="93"/>
        <v>Valid</v>
      </c>
      <c r="AH479" t="str">
        <f t="shared" si="94"/>
        <v>Valid</v>
      </c>
      <c r="AI479" t="str">
        <f t="shared" si="95"/>
        <v>Valid</v>
      </c>
      <c r="AJ479" t="str">
        <f t="shared" si="96"/>
        <v>Valid</v>
      </c>
      <c r="AK479" t="str">
        <f t="shared" si="103"/>
        <v xml:space="preserve">Valid </v>
      </c>
      <c r="AL479" t="str">
        <f>IF(AND(Audit_Data[[#This Row],[Recency]]&gt;=0,Audit_Data[[#This Row],[Recency]]&lt;=100),"Valid","Invalid")</f>
        <v>Valid</v>
      </c>
      <c r="AM479" t="str">
        <f t="shared" si="97"/>
        <v>Valid</v>
      </c>
      <c r="AN479" t="str">
        <f t="shared" si="98"/>
        <v>Valid</v>
      </c>
      <c r="AO479" t="str">
        <f t="shared" si="99"/>
        <v>Valid</v>
      </c>
      <c r="AP479" t="str">
        <f t="shared" si="100"/>
        <v>Valid</v>
      </c>
      <c r="AQ479" t="str">
        <f>IF(Audit_Data[[#This Row],[Z_CostContact]]=3,"Valid","Invalid")</f>
        <v>Valid</v>
      </c>
      <c r="AR479" t="str">
        <f t="shared" si="101"/>
        <v>Valid</v>
      </c>
      <c r="AS479" t="str">
        <f t="shared" si="102"/>
        <v>Valid</v>
      </c>
    </row>
    <row r="480" spans="1:45" x14ac:dyDescent="0.3">
      <c r="A480">
        <v>8970</v>
      </c>
      <c r="B480">
        <v>1972</v>
      </c>
      <c r="C480" t="s">
        <v>32</v>
      </c>
      <c r="D480" t="s">
        <v>33</v>
      </c>
      <c r="E480">
        <v>62010</v>
      </c>
      <c r="F480">
        <v>0</v>
      </c>
      <c r="G480">
        <v>1</v>
      </c>
      <c r="H480" s="1">
        <v>41205</v>
      </c>
      <c r="I480">
        <v>93</v>
      </c>
      <c r="J480">
        <v>371</v>
      </c>
      <c r="K480">
        <v>22</v>
      </c>
      <c r="L480">
        <v>39</v>
      </c>
      <c r="M480">
        <v>6</v>
      </c>
      <c r="N480">
        <v>0</v>
      </c>
      <c r="O480">
        <v>92</v>
      </c>
      <c r="P480">
        <v>4</v>
      </c>
      <c r="Q480">
        <v>6</v>
      </c>
      <c r="R480">
        <v>2</v>
      </c>
      <c r="S480">
        <v>7</v>
      </c>
      <c r="T480">
        <v>5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3</v>
      </c>
      <c r="AB480">
        <v>11</v>
      </c>
      <c r="AC480">
        <v>0</v>
      </c>
      <c r="AD480" t="str">
        <f t="shared" si="91"/>
        <v>Ok</v>
      </c>
      <c r="AE480" t="str">
        <f>IF(AND(Audit_Data[[#This Row],[Year_Birth]]&gt;=1900,Audit_Data[[#This Row],[Year_Birth]]&lt;=2010),"OK","Invalid")</f>
        <v>OK</v>
      </c>
      <c r="AF480" t="str">
        <f t="shared" si="92"/>
        <v>Valid</v>
      </c>
      <c r="AG480" t="str">
        <f t="shared" si="93"/>
        <v>Valid</v>
      </c>
      <c r="AH480" t="str">
        <f t="shared" si="94"/>
        <v>Valid</v>
      </c>
      <c r="AI480" t="str">
        <f t="shared" si="95"/>
        <v>Valid</v>
      </c>
      <c r="AJ480" t="str">
        <f t="shared" si="96"/>
        <v>Valid</v>
      </c>
      <c r="AK480" t="str">
        <f t="shared" si="103"/>
        <v xml:space="preserve">Valid </v>
      </c>
      <c r="AL480" t="str">
        <f>IF(AND(Audit_Data[[#This Row],[Recency]]&gt;=0,Audit_Data[[#This Row],[Recency]]&lt;=100),"Valid","Invalid")</f>
        <v>Valid</v>
      </c>
      <c r="AM480" t="str">
        <f t="shared" si="97"/>
        <v>Valid</v>
      </c>
      <c r="AN480" t="str">
        <f t="shared" si="98"/>
        <v>Valid</v>
      </c>
      <c r="AO480" t="str">
        <f t="shared" si="99"/>
        <v>Valid</v>
      </c>
      <c r="AP480" t="str">
        <f t="shared" si="100"/>
        <v>Valid</v>
      </c>
      <c r="AQ480" t="str">
        <f>IF(Audit_Data[[#This Row],[Z_CostContact]]=3,"Valid","Invalid")</f>
        <v>Valid</v>
      </c>
      <c r="AR480" t="str">
        <f t="shared" si="101"/>
        <v>Valid</v>
      </c>
      <c r="AS480" t="str">
        <f t="shared" si="102"/>
        <v>Valid</v>
      </c>
    </row>
    <row r="481" spans="1:45" x14ac:dyDescent="0.3">
      <c r="A481">
        <v>10581</v>
      </c>
      <c r="B481">
        <v>1977</v>
      </c>
      <c r="C481" t="s">
        <v>29</v>
      </c>
      <c r="D481" t="s">
        <v>33</v>
      </c>
      <c r="E481">
        <v>41124</v>
      </c>
      <c r="F481">
        <v>1</v>
      </c>
      <c r="G481">
        <v>0</v>
      </c>
      <c r="H481" s="1">
        <v>41213</v>
      </c>
      <c r="I481">
        <v>41</v>
      </c>
      <c r="J481">
        <v>281</v>
      </c>
      <c r="K481">
        <v>7</v>
      </c>
      <c r="L481">
        <v>84</v>
      </c>
      <c r="M481">
        <v>15</v>
      </c>
      <c r="N481">
        <v>0</v>
      </c>
      <c r="O481">
        <v>119</v>
      </c>
      <c r="P481">
        <v>7</v>
      </c>
      <c r="Q481">
        <v>7</v>
      </c>
      <c r="R481">
        <v>3</v>
      </c>
      <c r="S481">
        <v>4</v>
      </c>
      <c r="T481">
        <v>8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3</v>
      </c>
      <c r="AB481">
        <v>11</v>
      </c>
      <c r="AC481">
        <v>0</v>
      </c>
      <c r="AD481" t="str">
        <f t="shared" si="91"/>
        <v>Ok</v>
      </c>
      <c r="AE481" t="str">
        <f>IF(AND(Audit_Data[[#This Row],[Year_Birth]]&gt;=1900,Audit_Data[[#This Row],[Year_Birth]]&lt;=2010),"OK","Invalid")</f>
        <v>OK</v>
      </c>
      <c r="AF481" t="str">
        <f t="shared" si="92"/>
        <v>Valid</v>
      </c>
      <c r="AG481" t="str">
        <f t="shared" si="93"/>
        <v>Valid</v>
      </c>
      <c r="AH481" t="str">
        <f t="shared" si="94"/>
        <v>Valid</v>
      </c>
      <c r="AI481" t="str">
        <f t="shared" si="95"/>
        <v>Valid</v>
      </c>
      <c r="AJ481" t="str">
        <f t="shared" si="96"/>
        <v>Valid</v>
      </c>
      <c r="AK481" t="str">
        <f t="shared" si="103"/>
        <v xml:space="preserve">Valid </v>
      </c>
      <c r="AL481" t="str">
        <f>IF(AND(Audit_Data[[#This Row],[Recency]]&gt;=0,Audit_Data[[#This Row],[Recency]]&lt;=100),"Valid","Invalid")</f>
        <v>Valid</v>
      </c>
      <c r="AM481" t="str">
        <f t="shared" si="97"/>
        <v>Valid</v>
      </c>
      <c r="AN481" t="str">
        <f t="shared" si="98"/>
        <v>Valid</v>
      </c>
      <c r="AO481" t="str">
        <f t="shared" si="99"/>
        <v>Valid</v>
      </c>
      <c r="AP481" t="str">
        <f t="shared" si="100"/>
        <v>Valid</v>
      </c>
      <c r="AQ481" t="str">
        <f>IF(Audit_Data[[#This Row],[Z_CostContact]]=3,"Valid","Invalid")</f>
        <v>Valid</v>
      </c>
      <c r="AR481" t="str">
        <f t="shared" si="101"/>
        <v>Valid</v>
      </c>
      <c r="AS481" t="str">
        <f t="shared" si="102"/>
        <v>Valid</v>
      </c>
    </row>
    <row r="482" spans="1:45" x14ac:dyDescent="0.3">
      <c r="A482">
        <v>5300</v>
      </c>
      <c r="B482">
        <v>1973</v>
      </c>
      <c r="C482" t="s">
        <v>34</v>
      </c>
      <c r="D482" t="s">
        <v>33</v>
      </c>
      <c r="E482">
        <v>38961</v>
      </c>
      <c r="F482">
        <v>1</v>
      </c>
      <c r="G482">
        <v>0</v>
      </c>
      <c r="H482" s="1">
        <v>41638</v>
      </c>
      <c r="I482">
        <v>60</v>
      </c>
      <c r="J482">
        <v>19</v>
      </c>
      <c r="K482">
        <v>7</v>
      </c>
      <c r="L482">
        <v>19</v>
      </c>
      <c r="M482">
        <v>0</v>
      </c>
      <c r="N482">
        <v>1</v>
      </c>
      <c r="O482">
        <v>24</v>
      </c>
      <c r="P482">
        <v>1</v>
      </c>
      <c r="Q482">
        <v>2</v>
      </c>
      <c r="R482">
        <v>1</v>
      </c>
      <c r="S482">
        <v>2</v>
      </c>
      <c r="T482">
        <v>7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3</v>
      </c>
      <c r="AB482">
        <v>11</v>
      </c>
      <c r="AC482">
        <v>0</v>
      </c>
      <c r="AD482" t="str">
        <f t="shared" si="91"/>
        <v>Ok</v>
      </c>
      <c r="AE482" t="str">
        <f>IF(AND(Audit_Data[[#This Row],[Year_Birth]]&gt;=1900,Audit_Data[[#This Row],[Year_Birth]]&lt;=2010),"OK","Invalid")</f>
        <v>OK</v>
      </c>
      <c r="AF482" t="str">
        <f t="shared" si="92"/>
        <v>Valid</v>
      </c>
      <c r="AG482" t="str">
        <f t="shared" si="93"/>
        <v>Valid</v>
      </c>
      <c r="AH482" t="str">
        <f t="shared" si="94"/>
        <v>Valid</v>
      </c>
      <c r="AI482" t="str">
        <f t="shared" si="95"/>
        <v>Valid</v>
      </c>
      <c r="AJ482" t="str">
        <f t="shared" si="96"/>
        <v>Valid</v>
      </c>
      <c r="AK482" t="str">
        <f t="shared" si="103"/>
        <v xml:space="preserve">Valid </v>
      </c>
      <c r="AL482" t="str">
        <f>IF(AND(Audit_Data[[#This Row],[Recency]]&gt;=0,Audit_Data[[#This Row],[Recency]]&lt;=100),"Valid","Invalid")</f>
        <v>Valid</v>
      </c>
      <c r="AM482" t="str">
        <f t="shared" si="97"/>
        <v>Valid</v>
      </c>
      <c r="AN482" t="str">
        <f t="shared" si="98"/>
        <v>Valid</v>
      </c>
      <c r="AO482" t="str">
        <f t="shared" si="99"/>
        <v>Valid</v>
      </c>
      <c r="AP482" t="str">
        <f t="shared" si="100"/>
        <v>Valid</v>
      </c>
      <c r="AQ482" t="str">
        <f>IF(Audit_Data[[#This Row],[Z_CostContact]]=3,"Valid","Invalid")</f>
        <v>Valid</v>
      </c>
      <c r="AR482" t="str">
        <f t="shared" si="101"/>
        <v>Valid</v>
      </c>
      <c r="AS482" t="str">
        <f t="shared" si="102"/>
        <v>Valid</v>
      </c>
    </row>
    <row r="483" spans="1:45" x14ac:dyDescent="0.3">
      <c r="A483">
        <v>5154</v>
      </c>
      <c r="B483">
        <v>1972</v>
      </c>
      <c r="C483" t="s">
        <v>34</v>
      </c>
      <c r="D483" t="s">
        <v>35</v>
      </c>
      <c r="E483">
        <v>37760</v>
      </c>
      <c r="F483">
        <v>1</v>
      </c>
      <c r="G483">
        <v>0</v>
      </c>
      <c r="H483" s="1">
        <v>41497</v>
      </c>
      <c r="I483">
        <v>54</v>
      </c>
      <c r="J483">
        <v>26</v>
      </c>
      <c r="K483">
        <v>3</v>
      </c>
      <c r="L483">
        <v>13</v>
      </c>
      <c r="M483">
        <v>2</v>
      </c>
      <c r="N483">
        <v>10</v>
      </c>
      <c r="O483">
        <v>0</v>
      </c>
      <c r="P483">
        <v>1</v>
      </c>
      <c r="Q483">
        <v>2</v>
      </c>
      <c r="R483">
        <v>0</v>
      </c>
      <c r="S483">
        <v>3</v>
      </c>
      <c r="T483">
        <v>6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3</v>
      </c>
      <c r="AB483">
        <v>11</v>
      </c>
      <c r="AC483">
        <v>0</v>
      </c>
      <c r="AD483" t="str">
        <f t="shared" si="91"/>
        <v>Ok</v>
      </c>
      <c r="AE483" t="str">
        <f>IF(AND(Audit_Data[[#This Row],[Year_Birth]]&gt;=1900,Audit_Data[[#This Row],[Year_Birth]]&lt;=2010),"OK","Invalid")</f>
        <v>OK</v>
      </c>
      <c r="AF483" t="str">
        <f t="shared" si="92"/>
        <v>Valid</v>
      </c>
      <c r="AG483" t="str">
        <f t="shared" si="93"/>
        <v>Valid</v>
      </c>
      <c r="AH483" t="str">
        <f t="shared" si="94"/>
        <v>Valid</v>
      </c>
      <c r="AI483" t="str">
        <f t="shared" si="95"/>
        <v>Valid</v>
      </c>
      <c r="AJ483" t="str">
        <f t="shared" si="96"/>
        <v>Valid</v>
      </c>
      <c r="AK483" t="str">
        <f t="shared" si="103"/>
        <v xml:space="preserve">Valid </v>
      </c>
      <c r="AL483" t="str">
        <f>IF(AND(Audit_Data[[#This Row],[Recency]]&gt;=0,Audit_Data[[#This Row],[Recency]]&lt;=100),"Valid","Invalid")</f>
        <v>Valid</v>
      </c>
      <c r="AM483" t="str">
        <f t="shared" si="97"/>
        <v>Valid</v>
      </c>
      <c r="AN483" t="str">
        <f t="shared" si="98"/>
        <v>Valid</v>
      </c>
      <c r="AO483" t="str">
        <f t="shared" si="99"/>
        <v>Valid</v>
      </c>
      <c r="AP483" t="str">
        <f t="shared" si="100"/>
        <v>Valid</v>
      </c>
      <c r="AQ483" t="str">
        <f>IF(Audit_Data[[#This Row],[Z_CostContact]]=3,"Valid","Invalid")</f>
        <v>Valid</v>
      </c>
      <c r="AR483" t="str">
        <f t="shared" si="101"/>
        <v>Valid</v>
      </c>
      <c r="AS483" t="str">
        <f t="shared" si="102"/>
        <v>Valid</v>
      </c>
    </row>
    <row r="484" spans="1:45" x14ac:dyDescent="0.3">
      <c r="A484">
        <v>8346</v>
      </c>
      <c r="B484">
        <v>1974</v>
      </c>
      <c r="C484" t="s">
        <v>29</v>
      </c>
      <c r="D484" t="s">
        <v>30</v>
      </c>
      <c r="E484">
        <v>32233</v>
      </c>
      <c r="F484">
        <v>1</v>
      </c>
      <c r="G484">
        <v>0</v>
      </c>
      <c r="H484" s="1">
        <v>41140</v>
      </c>
      <c r="I484">
        <v>26</v>
      </c>
      <c r="J484">
        <v>138</v>
      </c>
      <c r="K484">
        <v>15</v>
      </c>
      <c r="L484">
        <v>35</v>
      </c>
      <c r="M484">
        <v>25</v>
      </c>
      <c r="N484">
        <v>11</v>
      </c>
      <c r="O484">
        <v>72</v>
      </c>
      <c r="P484">
        <v>2</v>
      </c>
      <c r="Q484">
        <v>6</v>
      </c>
      <c r="R484">
        <v>2</v>
      </c>
      <c r="S484">
        <v>2</v>
      </c>
      <c r="T484">
        <v>9</v>
      </c>
      <c r="U484">
        <v>1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3</v>
      </c>
      <c r="AB484">
        <v>11</v>
      </c>
      <c r="AC484">
        <v>1</v>
      </c>
      <c r="AD484" t="str">
        <f t="shared" si="91"/>
        <v>Ok</v>
      </c>
      <c r="AE484" t="str">
        <f>IF(AND(Audit_Data[[#This Row],[Year_Birth]]&gt;=1900,Audit_Data[[#This Row],[Year_Birth]]&lt;=2010),"OK","Invalid")</f>
        <v>OK</v>
      </c>
      <c r="AF484" t="str">
        <f t="shared" si="92"/>
        <v>Valid</v>
      </c>
      <c r="AG484" t="str">
        <f t="shared" si="93"/>
        <v>Valid</v>
      </c>
      <c r="AH484" t="str">
        <f t="shared" si="94"/>
        <v>Valid</v>
      </c>
      <c r="AI484" t="str">
        <f t="shared" si="95"/>
        <v>Valid</v>
      </c>
      <c r="AJ484" t="str">
        <f t="shared" si="96"/>
        <v>Valid</v>
      </c>
      <c r="AK484" t="str">
        <f t="shared" si="103"/>
        <v xml:space="preserve">Valid </v>
      </c>
      <c r="AL484" t="str">
        <f>IF(AND(Audit_Data[[#This Row],[Recency]]&gt;=0,Audit_Data[[#This Row],[Recency]]&lt;=100),"Valid","Invalid")</f>
        <v>Valid</v>
      </c>
      <c r="AM484" t="str">
        <f t="shared" si="97"/>
        <v>Valid</v>
      </c>
      <c r="AN484" t="str">
        <f t="shared" si="98"/>
        <v>Valid</v>
      </c>
      <c r="AO484" t="str">
        <f t="shared" si="99"/>
        <v>Valid</v>
      </c>
      <c r="AP484" t="str">
        <f t="shared" si="100"/>
        <v>Valid</v>
      </c>
      <c r="AQ484" t="str">
        <f>IF(Audit_Data[[#This Row],[Z_CostContact]]=3,"Valid","Invalid")</f>
        <v>Valid</v>
      </c>
      <c r="AR484" t="str">
        <f t="shared" si="101"/>
        <v>Valid</v>
      </c>
      <c r="AS484" t="str">
        <f t="shared" si="102"/>
        <v>Valid</v>
      </c>
    </row>
    <row r="485" spans="1:45" x14ac:dyDescent="0.3">
      <c r="A485">
        <v>1676</v>
      </c>
      <c r="B485">
        <v>1975</v>
      </c>
      <c r="C485" t="s">
        <v>29</v>
      </c>
      <c r="D485" t="s">
        <v>33</v>
      </c>
      <c r="E485">
        <v>43057</v>
      </c>
      <c r="F485">
        <v>0</v>
      </c>
      <c r="G485">
        <v>1</v>
      </c>
      <c r="H485" s="1">
        <v>41577</v>
      </c>
      <c r="I485">
        <v>30</v>
      </c>
      <c r="J485">
        <v>213</v>
      </c>
      <c r="K485">
        <v>2</v>
      </c>
      <c r="L485">
        <v>44</v>
      </c>
      <c r="M485">
        <v>0</v>
      </c>
      <c r="N485">
        <v>2</v>
      </c>
      <c r="O485">
        <v>5</v>
      </c>
      <c r="P485">
        <v>4</v>
      </c>
      <c r="Q485">
        <v>4</v>
      </c>
      <c r="R485">
        <v>2</v>
      </c>
      <c r="S485">
        <v>5</v>
      </c>
      <c r="T485">
        <v>5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3</v>
      </c>
      <c r="AB485">
        <v>11</v>
      </c>
      <c r="AC485">
        <v>0</v>
      </c>
      <c r="AD485" t="str">
        <f t="shared" si="91"/>
        <v>Ok</v>
      </c>
      <c r="AE485" t="str">
        <f>IF(AND(Audit_Data[[#This Row],[Year_Birth]]&gt;=1900,Audit_Data[[#This Row],[Year_Birth]]&lt;=2010),"OK","Invalid")</f>
        <v>OK</v>
      </c>
      <c r="AF485" t="str">
        <f t="shared" si="92"/>
        <v>Valid</v>
      </c>
      <c r="AG485" t="str">
        <f t="shared" si="93"/>
        <v>Valid</v>
      </c>
      <c r="AH485" t="str">
        <f t="shared" si="94"/>
        <v>Valid</v>
      </c>
      <c r="AI485" t="str">
        <f t="shared" si="95"/>
        <v>Valid</v>
      </c>
      <c r="AJ485" t="str">
        <f t="shared" si="96"/>
        <v>Valid</v>
      </c>
      <c r="AK485" t="str">
        <f t="shared" si="103"/>
        <v xml:space="preserve">Valid </v>
      </c>
      <c r="AL485" t="str">
        <f>IF(AND(Audit_Data[[#This Row],[Recency]]&gt;=0,Audit_Data[[#This Row],[Recency]]&lt;=100),"Valid","Invalid")</f>
        <v>Valid</v>
      </c>
      <c r="AM485" t="str">
        <f t="shared" si="97"/>
        <v>Valid</v>
      </c>
      <c r="AN485" t="str">
        <f t="shared" si="98"/>
        <v>Valid</v>
      </c>
      <c r="AO485" t="str">
        <f t="shared" si="99"/>
        <v>Valid</v>
      </c>
      <c r="AP485" t="str">
        <f t="shared" si="100"/>
        <v>Valid</v>
      </c>
      <c r="AQ485" t="str">
        <f>IF(Audit_Data[[#This Row],[Z_CostContact]]=3,"Valid","Invalid")</f>
        <v>Valid</v>
      </c>
      <c r="AR485" t="str">
        <f t="shared" si="101"/>
        <v>Valid</v>
      </c>
      <c r="AS485" t="str">
        <f t="shared" si="102"/>
        <v>Valid</v>
      </c>
    </row>
    <row r="486" spans="1:45" x14ac:dyDescent="0.3">
      <c r="A486">
        <v>9286</v>
      </c>
      <c r="B486">
        <v>1960</v>
      </c>
      <c r="C486" t="s">
        <v>34</v>
      </c>
      <c r="D486" t="s">
        <v>31</v>
      </c>
      <c r="E486">
        <v>83151</v>
      </c>
      <c r="F486">
        <v>0</v>
      </c>
      <c r="G486">
        <v>0</v>
      </c>
      <c r="H486" s="1">
        <v>41192</v>
      </c>
      <c r="I486">
        <v>93</v>
      </c>
      <c r="J486">
        <v>407</v>
      </c>
      <c r="K486">
        <v>28</v>
      </c>
      <c r="L486">
        <v>100</v>
      </c>
      <c r="M486">
        <v>120</v>
      </c>
      <c r="N486">
        <v>74</v>
      </c>
      <c r="O486">
        <v>18</v>
      </c>
      <c r="P486">
        <v>1</v>
      </c>
      <c r="Q486">
        <v>5</v>
      </c>
      <c r="R486">
        <v>9</v>
      </c>
      <c r="S486">
        <v>4</v>
      </c>
      <c r="T486">
        <v>3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3</v>
      </c>
      <c r="AB486">
        <v>11</v>
      </c>
      <c r="AC486">
        <v>0</v>
      </c>
      <c r="AD486" t="str">
        <f t="shared" si="91"/>
        <v>Ok</v>
      </c>
      <c r="AE486" t="str">
        <f>IF(AND(Audit_Data[[#This Row],[Year_Birth]]&gt;=1900,Audit_Data[[#This Row],[Year_Birth]]&lt;=2010),"OK","Invalid")</f>
        <v>OK</v>
      </c>
      <c r="AF486" t="str">
        <f t="shared" si="92"/>
        <v>Valid</v>
      </c>
      <c r="AG486" t="str">
        <f t="shared" si="93"/>
        <v>Valid</v>
      </c>
      <c r="AH486" t="str">
        <f t="shared" si="94"/>
        <v>Valid</v>
      </c>
      <c r="AI486" t="str">
        <f t="shared" si="95"/>
        <v>Valid</v>
      </c>
      <c r="AJ486" t="str">
        <f t="shared" si="96"/>
        <v>Valid</v>
      </c>
      <c r="AK486" t="str">
        <f t="shared" si="103"/>
        <v xml:space="preserve">Valid </v>
      </c>
      <c r="AL486" t="str">
        <f>IF(AND(Audit_Data[[#This Row],[Recency]]&gt;=0,Audit_Data[[#This Row],[Recency]]&lt;=100),"Valid","Invalid")</f>
        <v>Valid</v>
      </c>
      <c r="AM486" t="str">
        <f t="shared" si="97"/>
        <v>Valid</v>
      </c>
      <c r="AN486" t="str">
        <f t="shared" si="98"/>
        <v>Valid</v>
      </c>
      <c r="AO486" t="str">
        <f t="shared" si="99"/>
        <v>Valid</v>
      </c>
      <c r="AP486" t="str">
        <f t="shared" si="100"/>
        <v>Valid</v>
      </c>
      <c r="AQ486" t="str">
        <f>IF(Audit_Data[[#This Row],[Z_CostContact]]=3,"Valid","Invalid")</f>
        <v>Valid</v>
      </c>
      <c r="AR486" t="str">
        <f t="shared" si="101"/>
        <v>Valid</v>
      </c>
      <c r="AS486" t="str">
        <f t="shared" si="102"/>
        <v>Valid</v>
      </c>
    </row>
    <row r="487" spans="1:45" x14ac:dyDescent="0.3">
      <c r="A487">
        <v>2426</v>
      </c>
      <c r="B487">
        <v>1964</v>
      </c>
      <c r="C487" t="s">
        <v>32</v>
      </c>
      <c r="D487" t="s">
        <v>35</v>
      </c>
      <c r="E487">
        <v>78825</v>
      </c>
      <c r="F487">
        <v>0</v>
      </c>
      <c r="G487">
        <v>0</v>
      </c>
      <c r="H487" s="1">
        <v>41166</v>
      </c>
      <c r="I487">
        <v>35</v>
      </c>
      <c r="J487">
        <v>483</v>
      </c>
      <c r="K487">
        <v>74</v>
      </c>
      <c r="L487">
        <v>114</v>
      </c>
      <c r="M487">
        <v>169</v>
      </c>
      <c r="N487">
        <v>37</v>
      </c>
      <c r="O487">
        <v>18</v>
      </c>
      <c r="P487">
        <v>1</v>
      </c>
      <c r="Q487">
        <v>5</v>
      </c>
      <c r="R487">
        <v>10</v>
      </c>
      <c r="S487">
        <v>13</v>
      </c>
      <c r="T487">
        <v>3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3</v>
      </c>
      <c r="AB487">
        <v>11</v>
      </c>
      <c r="AC487">
        <v>1</v>
      </c>
      <c r="AD487" t="str">
        <f t="shared" si="91"/>
        <v>Ok</v>
      </c>
      <c r="AE487" t="str">
        <f>IF(AND(Audit_Data[[#This Row],[Year_Birth]]&gt;=1900,Audit_Data[[#This Row],[Year_Birth]]&lt;=2010),"OK","Invalid")</f>
        <v>OK</v>
      </c>
      <c r="AF487" t="str">
        <f t="shared" si="92"/>
        <v>Valid</v>
      </c>
      <c r="AG487" t="str">
        <f t="shared" si="93"/>
        <v>Valid</v>
      </c>
      <c r="AH487" t="str">
        <f t="shared" si="94"/>
        <v>Valid</v>
      </c>
      <c r="AI487" t="str">
        <f t="shared" si="95"/>
        <v>Valid</v>
      </c>
      <c r="AJ487" t="str">
        <f t="shared" si="96"/>
        <v>Valid</v>
      </c>
      <c r="AK487" t="str">
        <f t="shared" si="103"/>
        <v xml:space="preserve">Valid </v>
      </c>
      <c r="AL487" t="str">
        <f>IF(AND(Audit_Data[[#This Row],[Recency]]&gt;=0,Audit_Data[[#This Row],[Recency]]&lt;=100),"Valid","Invalid")</f>
        <v>Valid</v>
      </c>
      <c r="AM487" t="str">
        <f t="shared" si="97"/>
        <v>Valid</v>
      </c>
      <c r="AN487" t="str">
        <f t="shared" si="98"/>
        <v>Valid</v>
      </c>
      <c r="AO487" t="str">
        <f t="shared" si="99"/>
        <v>Valid</v>
      </c>
      <c r="AP487" t="str">
        <f t="shared" si="100"/>
        <v>Valid</v>
      </c>
      <c r="AQ487" t="str">
        <f>IF(Audit_Data[[#This Row],[Z_CostContact]]=3,"Valid","Invalid")</f>
        <v>Valid</v>
      </c>
      <c r="AR487" t="str">
        <f t="shared" si="101"/>
        <v>Valid</v>
      </c>
      <c r="AS487" t="str">
        <f t="shared" si="102"/>
        <v>Valid</v>
      </c>
    </row>
    <row r="488" spans="1:45" x14ac:dyDescent="0.3">
      <c r="A488">
        <v>5172</v>
      </c>
      <c r="B488">
        <v>1976</v>
      </c>
      <c r="C488" t="s">
        <v>34</v>
      </c>
      <c r="D488" t="s">
        <v>31</v>
      </c>
      <c r="E488">
        <v>65104</v>
      </c>
      <c r="F488">
        <v>0</v>
      </c>
      <c r="G488">
        <v>1</v>
      </c>
      <c r="H488" s="1">
        <v>41592</v>
      </c>
      <c r="I488">
        <v>4</v>
      </c>
      <c r="J488">
        <v>738</v>
      </c>
      <c r="K488">
        <v>0</v>
      </c>
      <c r="L488">
        <v>232</v>
      </c>
      <c r="M488">
        <v>13</v>
      </c>
      <c r="N488">
        <v>20</v>
      </c>
      <c r="O488">
        <v>50</v>
      </c>
      <c r="P488">
        <v>2</v>
      </c>
      <c r="Q488">
        <v>3</v>
      </c>
      <c r="R488">
        <v>5</v>
      </c>
      <c r="S488">
        <v>7</v>
      </c>
      <c r="T488">
        <v>7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3</v>
      </c>
      <c r="AB488">
        <v>11</v>
      </c>
      <c r="AC488">
        <v>0</v>
      </c>
      <c r="AD488" t="str">
        <f t="shared" si="91"/>
        <v>Ok</v>
      </c>
      <c r="AE488" t="str">
        <f>IF(AND(Audit_Data[[#This Row],[Year_Birth]]&gt;=1900,Audit_Data[[#This Row],[Year_Birth]]&lt;=2010),"OK","Invalid")</f>
        <v>OK</v>
      </c>
      <c r="AF488" t="str">
        <f t="shared" si="92"/>
        <v>Valid</v>
      </c>
      <c r="AG488" t="str">
        <f t="shared" si="93"/>
        <v>Valid</v>
      </c>
      <c r="AH488" t="str">
        <f t="shared" si="94"/>
        <v>Valid</v>
      </c>
      <c r="AI488" t="str">
        <f t="shared" si="95"/>
        <v>Valid</v>
      </c>
      <c r="AJ488" t="str">
        <f t="shared" si="96"/>
        <v>Valid</v>
      </c>
      <c r="AK488" t="str">
        <f t="shared" si="103"/>
        <v xml:space="preserve">Valid </v>
      </c>
      <c r="AL488" t="str">
        <f>IF(AND(Audit_Data[[#This Row],[Recency]]&gt;=0,Audit_Data[[#This Row],[Recency]]&lt;=100),"Valid","Invalid")</f>
        <v>Valid</v>
      </c>
      <c r="AM488" t="str">
        <f t="shared" si="97"/>
        <v>Valid</v>
      </c>
      <c r="AN488" t="str">
        <f t="shared" si="98"/>
        <v>Valid</v>
      </c>
      <c r="AO488" t="str">
        <f t="shared" si="99"/>
        <v>Valid</v>
      </c>
      <c r="AP488" t="str">
        <f t="shared" si="100"/>
        <v>Valid</v>
      </c>
      <c r="AQ488" t="str">
        <f>IF(Audit_Data[[#This Row],[Z_CostContact]]=3,"Valid","Invalid")</f>
        <v>Valid</v>
      </c>
      <c r="AR488" t="str">
        <f t="shared" si="101"/>
        <v>Valid</v>
      </c>
      <c r="AS488" t="str">
        <f t="shared" si="102"/>
        <v>Valid</v>
      </c>
    </row>
    <row r="489" spans="1:45" x14ac:dyDescent="0.3">
      <c r="A489">
        <v>5562</v>
      </c>
      <c r="B489">
        <v>1974</v>
      </c>
      <c r="C489" t="s">
        <v>29</v>
      </c>
      <c r="D489" t="s">
        <v>33</v>
      </c>
      <c r="E489">
        <v>60093</v>
      </c>
      <c r="F489">
        <v>0</v>
      </c>
      <c r="G489">
        <v>1</v>
      </c>
      <c r="H489" s="1">
        <v>41451</v>
      </c>
      <c r="I489">
        <v>92</v>
      </c>
      <c r="J489">
        <v>502</v>
      </c>
      <c r="K489">
        <v>12</v>
      </c>
      <c r="L489">
        <v>109</v>
      </c>
      <c r="M489">
        <v>16</v>
      </c>
      <c r="N489">
        <v>6</v>
      </c>
      <c r="O489">
        <v>90</v>
      </c>
      <c r="P489">
        <v>2</v>
      </c>
      <c r="Q489">
        <v>7</v>
      </c>
      <c r="R489">
        <v>2</v>
      </c>
      <c r="S489">
        <v>10</v>
      </c>
      <c r="T489">
        <v>6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3</v>
      </c>
      <c r="AB489">
        <v>11</v>
      </c>
      <c r="AC489">
        <v>0</v>
      </c>
      <c r="AD489" t="str">
        <f t="shared" si="91"/>
        <v>Ok</v>
      </c>
      <c r="AE489" t="str">
        <f>IF(AND(Audit_Data[[#This Row],[Year_Birth]]&gt;=1900,Audit_Data[[#This Row],[Year_Birth]]&lt;=2010),"OK","Invalid")</f>
        <v>OK</v>
      </c>
      <c r="AF489" t="str">
        <f t="shared" si="92"/>
        <v>Valid</v>
      </c>
      <c r="AG489" t="str">
        <f t="shared" si="93"/>
        <v>Valid</v>
      </c>
      <c r="AH489" t="str">
        <f t="shared" si="94"/>
        <v>Valid</v>
      </c>
      <c r="AI489" t="str">
        <f t="shared" si="95"/>
        <v>Valid</v>
      </c>
      <c r="AJ489" t="str">
        <f t="shared" si="96"/>
        <v>Valid</v>
      </c>
      <c r="AK489" t="str">
        <f t="shared" si="103"/>
        <v xml:space="preserve">Valid </v>
      </c>
      <c r="AL489" t="str">
        <f>IF(AND(Audit_Data[[#This Row],[Recency]]&gt;=0,Audit_Data[[#This Row],[Recency]]&lt;=100),"Valid","Invalid")</f>
        <v>Valid</v>
      </c>
      <c r="AM489" t="str">
        <f t="shared" si="97"/>
        <v>Valid</v>
      </c>
      <c r="AN489" t="str">
        <f t="shared" si="98"/>
        <v>Valid</v>
      </c>
      <c r="AO489" t="str">
        <f t="shared" si="99"/>
        <v>Valid</v>
      </c>
      <c r="AP489" t="str">
        <f t="shared" si="100"/>
        <v>Valid</v>
      </c>
      <c r="AQ489" t="str">
        <f>IF(Audit_Data[[#This Row],[Z_CostContact]]=3,"Valid","Invalid")</f>
        <v>Valid</v>
      </c>
      <c r="AR489" t="str">
        <f t="shared" si="101"/>
        <v>Valid</v>
      </c>
      <c r="AS489" t="str">
        <f t="shared" si="102"/>
        <v>Valid</v>
      </c>
    </row>
    <row r="490" spans="1:45" x14ac:dyDescent="0.3">
      <c r="A490">
        <v>3436</v>
      </c>
      <c r="B490">
        <v>1969</v>
      </c>
      <c r="C490" t="s">
        <v>29</v>
      </c>
      <c r="D490" t="s">
        <v>33</v>
      </c>
      <c r="E490">
        <v>14045</v>
      </c>
      <c r="F490">
        <v>1</v>
      </c>
      <c r="G490">
        <v>0</v>
      </c>
      <c r="H490" s="1">
        <v>41665</v>
      </c>
      <c r="I490">
        <v>24</v>
      </c>
      <c r="J490">
        <v>11</v>
      </c>
      <c r="K490">
        <v>0</v>
      </c>
      <c r="L490">
        <v>5</v>
      </c>
      <c r="M490">
        <v>2</v>
      </c>
      <c r="N490">
        <v>1</v>
      </c>
      <c r="O490">
        <v>1</v>
      </c>
      <c r="P490">
        <v>1</v>
      </c>
      <c r="Q490">
        <v>1</v>
      </c>
      <c r="R490">
        <v>0</v>
      </c>
      <c r="S490">
        <v>3</v>
      </c>
      <c r="T490">
        <v>7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3</v>
      </c>
      <c r="AB490">
        <v>11</v>
      </c>
      <c r="AC490">
        <v>0</v>
      </c>
      <c r="AD490" t="str">
        <f t="shared" si="91"/>
        <v>Ok</v>
      </c>
      <c r="AE490" t="str">
        <f>IF(AND(Audit_Data[[#This Row],[Year_Birth]]&gt;=1900,Audit_Data[[#This Row],[Year_Birth]]&lt;=2010),"OK","Invalid")</f>
        <v>OK</v>
      </c>
      <c r="AF490" t="str">
        <f t="shared" si="92"/>
        <v>Valid</v>
      </c>
      <c r="AG490" t="str">
        <f t="shared" si="93"/>
        <v>Valid</v>
      </c>
      <c r="AH490" t="str">
        <f t="shared" si="94"/>
        <v>Valid</v>
      </c>
      <c r="AI490" t="str">
        <f t="shared" si="95"/>
        <v>Valid</v>
      </c>
      <c r="AJ490" t="str">
        <f t="shared" si="96"/>
        <v>Valid</v>
      </c>
      <c r="AK490" t="str">
        <f t="shared" si="103"/>
        <v xml:space="preserve">Valid </v>
      </c>
      <c r="AL490" t="str">
        <f>IF(AND(Audit_Data[[#This Row],[Recency]]&gt;=0,Audit_Data[[#This Row],[Recency]]&lt;=100),"Valid","Invalid")</f>
        <v>Valid</v>
      </c>
      <c r="AM490" t="str">
        <f t="shared" si="97"/>
        <v>Valid</v>
      </c>
      <c r="AN490" t="str">
        <f t="shared" si="98"/>
        <v>Valid</v>
      </c>
      <c r="AO490" t="str">
        <f t="shared" si="99"/>
        <v>Valid</v>
      </c>
      <c r="AP490" t="str">
        <f t="shared" si="100"/>
        <v>Valid</v>
      </c>
      <c r="AQ490" t="str">
        <f>IF(Audit_Data[[#This Row],[Z_CostContact]]=3,"Valid","Invalid")</f>
        <v>Valid</v>
      </c>
      <c r="AR490" t="str">
        <f t="shared" si="101"/>
        <v>Valid</v>
      </c>
      <c r="AS490" t="str">
        <f t="shared" si="102"/>
        <v>Valid</v>
      </c>
    </row>
    <row r="491" spans="1:45" x14ac:dyDescent="0.3">
      <c r="A491">
        <v>3921</v>
      </c>
      <c r="B491">
        <v>1952</v>
      </c>
      <c r="C491" t="s">
        <v>37</v>
      </c>
      <c r="D491" t="s">
        <v>38</v>
      </c>
      <c r="E491">
        <v>28457</v>
      </c>
      <c r="F491">
        <v>0</v>
      </c>
      <c r="G491">
        <v>0</v>
      </c>
      <c r="H491" s="1">
        <v>41210</v>
      </c>
      <c r="I491">
        <v>96</v>
      </c>
      <c r="J491">
        <v>24</v>
      </c>
      <c r="K491">
        <v>1</v>
      </c>
      <c r="L491">
        <v>108</v>
      </c>
      <c r="M491">
        <v>29</v>
      </c>
      <c r="N491">
        <v>29</v>
      </c>
      <c r="O491">
        <v>14</v>
      </c>
      <c r="P491">
        <v>1</v>
      </c>
      <c r="Q491">
        <v>4</v>
      </c>
      <c r="R491">
        <v>1</v>
      </c>
      <c r="S491">
        <v>4</v>
      </c>
      <c r="T491">
        <v>8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3</v>
      </c>
      <c r="AB491">
        <v>11</v>
      </c>
      <c r="AC491">
        <v>0</v>
      </c>
      <c r="AD491" t="str">
        <f t="shared" si="91"/>
        <v>Ok</v>
      </c>
      <c r="AE491" t="str">
        <f>IF(AND(Audit_Data[[#This Row],[Year_Birth]]&gt;=1900,Audit_Data[[#This Row],[Year_Birth]]&lt;=2010),"OK","Invalid")</f>
        <v>OK</v>
      </c>
      <c r="AF491" t="str">
        <f t="shared" si="92"/>
        <v>Valid</v>
      </c>
      <c r="AG491" t="str">
        <f t="shared" si="93"/>
        <v>Valid</v>
      </c>
      <c r="AH491" t="str">
        <f t="shared" si="94"/>
        <v>Valid</v>
      </c>
      <c r="AI491" t="str">
        <f t="shared" si="95"/>
        <v>Valid</v>
      </c>
      <c r="AJ491" t="str">
        <f t="shared" si="96"/>
        <v>Valid</v>
      </c>
      <c r="AK491" t="str">
        <f t="shared" si="103"/>
        <v xml:space="preserve">Valid </v>
      </c>
      <c r="AL491" t="str">
        <f>IF(AND(Audit_Data[[#This Row],[Recency]]&gt;=0,Audit_Data[[#This Row],[Recency]]&lt;=100),"Valid","Invalid")</f>
        <v>Valid</v>
      </c>
      <c r="AM491" t="str">
        <f t="shared" si="97"/>
        <v>Valid</v>
      </c>
      <c r="AN491" t="str">
        <f t="shared" si="98"/>
        <v>Valid</v>
      </c>
      <c r="AO491" t="str">
        <f t="shared" si="99"/>
        <v>Valid</v>
      </c>
      <c r="AP491" t="str">
        <f t="shared" si="100"/>
        <v>Valid</v>
      </c>
      <c r="AQ491" t="str">
        <f>IF(Audit_Data[[#This Row],[Z_CostContact]]=3,"Valid","Invalid")</f>
        <v>Valid</v>
      </c>
      <c r="AR491" t="str">
        <f t="shared" si="101"/>
        <v>Valid</v>
      </c>
      <c r="AS491" t="str">
        <f t="shared" si="102"/>
        <v>Valid</v>
      </c>
    </row>
    <row r="492" spans="1:45" x14ac:dyDescent="0.3">
      <c r="A492">
        <v>3403</v>
      </c>
      <c r="B492">
        <v>1958</v>
      </c>
      <c r="C492" t="s">
        <v>32</v>
      </c>
      <c r="D492" t="s">
        <v>31</v>
      </c>
      <c r="E492">
        <v>78952</v>
      </c>
      <c r="F492">
        <v>0</v>
      </c>
      <c r="G492">
        <v>1</v>
      </c>
      <c r="H492" s="1">
        <v>41176</v>
      </c>
      <c r="I492">
        <v>11</v>
      </c>
      <c r="J492">
        <v>1170</v>
      </c>
      <c r="K492">
        <v>19</v>
      </c>
      <c r="L492">
        <v>594</v>
      </c>
      <c r="M492">
        <v>99</v>
      </c>
      <c r="N492">
        <v>76</v>
      </c>
      <c r="O492">
        <v>134</v>
      </c>
      <c r="P492">
        <v>2</v>
      </c>
      <c r="Q492">
        <v>2</v>
      </c>
      <c r="R492">
        <v>5</v>
      </c>
      <c r="S492">
        <v>12</v>
      </c>
      <c r="T492">
        <v>6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3</v>
      </c>
      <c r="AB492">
        <v>11</v>
      </c>
      <c r="AC492">
        <v>0</v>
      </c>
      <c r="AD492" t="str">
        <f t="shared" si="91"/>
        <v>Ok</v>
      </c>
      <c r="AE492" t="str">
        <f>IF(AND(Audit_Data[[#This Row],[Year_Birth]]&gt;=1900,Audit_Data[[#This Row],[Year_Birth]]&lt;=2010),"OK","Invalid")</f>
        <v>OK</v>
      </c>
      <c r="AF492" t="str">
        <f t="shared" si="92"/>
        <v>Valid</v>
      </c>
      <c r="AG492" t="str">
        <f t="shared" si="93"/>
        <v>Valid</v>
      </c>
      <c r="AH492" t="str">
        <f t="shared" si="94"/>
        <v>Valid</v>
      </c>
      <c r="AI492" t="str">
        <f t="shared" si="95"/>
        <v>Valid</v>
      </c>
      <c r="AJ492" t="str">
        <f t="shared" si="96"/>
        <v>Valid</v>
      </c>
      <c r="AK492" t="str">
        <f t="shared" si="103"/>
        <v xml:space="preserve">Valid </v>
      </c>
      <c r="AL492" t="str">
        <f>IF(AND(Audit_Data[[#This Row],[Recency]]&gt;=0,Audit_Data[[#This Row],[Recency]]&lt;=100),"Valid","Invalid")</f>
        <v>Valid</v>
      </c>
      <c r="AM492" t="str">
        <f t="shared" si="97"/>
        <v>Valid</v>
      </c>
      <c r="AN492" t="str">
        <f t="shared" si="98"/>
        <v>Valid</v>
      </c>
      <c r="AO492" t="str">
        <f t="shared" si="99"/>
        <v>Valid</v>
      </c>
      <c r="AP492" t="str">
        <f t="shared" si="100"/>
        <v>Valid</v>
      </c>
      <c r="AQ492" t="str">
        <f>IF(Audit_Data[[#This Row],[Z_CostContact]]=3,"Valid","Invalid")</f>
        <v>Valid</v>
      </c>
      <c r="AR492" t="str">
        <f t="shared" si="101"/>
        <v>Valid</v>
      </c>
      <c r="AS492" t="str">
        <f t="shared" si="102"/>
        <v>Valid</v>
      </c>
    </row>
    <row r="493" spans="1:45" x14ac:dyDescent="0.3">
      <c r="A493">
        <v>22</v>
      </c>
      <c r="B493">
        <v>1976</v>
      </c>
      <c r="C493" t="s">
        <v>29</v>
      </c>
      <c r="D493" t="s">
        <v>35</v>
      </c>
      <c r="E493">
        <v>46310</v>
      </c>
      <c r="F493">
        <v>1</v>
      </c>
      <c r="G493">
        <v>0</v>
      </c>
      <c r="H493" s="1">
        <v>41246</v>
      </c>
      <c r="I493">
        <v>99</v>
      </c>
      <c r="J493">
        <v>185</v>
      </c>
      <c r="K493">
        <v>2</v>
      </c>
      <c r="L493">
        <v>88</v>
      </c>
      <c r="M493">
        <v>15</v>
      </c>
      <c r="N493">
        <v>5</v>
      </c>
      <c r="O493">
        <v>14</v>
      </c>
      <c r="P493">
        <v>2</v>
      </c>
      <c r="Q493">
        <v>6</v>
      </c>
      <c r="R493">
        <v>1</v>
      </c>
      <c r="S493">
        <v>5</v>
      </c>
      <c r="T493">
        <v>8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3</v>
      </c>
      <c r="AB493">
        <v>11</v>
      </c>
      <c r="AC493">
        <v>0</v>
      </c>
      <c r="AD493" t="str">
        <f t="shared" si="91"/>
        <v>Ok</v>
      </c>
      <c r="AE493" t="str">
        <f>IF(AND(Audit_Data[[#This Row],[Year_Birth]]&gt;=1900,Audit_Data[[#This Row],[Year_Birth]]&lt;=2010),"OK","Invalid")</f>
        <v>OK</v>
      </c>
      <c r="AF493" t="str">
        <f t="shared" si="92"/>
        <v>Valid</v>
      </c>
      <c r="AG493" t="str">
        <f t="shared" si="93"/>
        <v>Valid</v>
      </c>
      <c r="AH493" t="str">
        <f t="shared" si="94"/>
        <v>Valid</v>
      </c>
      <c r="AI493" t="str">
        <f t="shared" si="95"/>
        <v>Valid</v>
      </c>
      <c r="AJ493" t="str">
        <f t="shared" si="96"/>
        <v>Valid</v>
      </c>
      <c r="AK493" t="str">
        <f t="shared" si="103"/>
        <v xml:space="preserve">Valid </v>
      </c>
      <c r="AL493" t="str">
        <f>IF(AND(Audit_Data[[#This Row],[Recency]]&gt;=0,Audit_Data[[#This Row],[Recency]]&lt;=100),"Valid","Invalid")</f>
        <v>Valid</v>
      </c>
      <c r="AM493" t="str">
        <f t="shared" si="97"/>
        <v>Valid</v>
      </c>
      <c r="AN493" t="str">
        <f t="shared" si="98"/>
        <v>Valid</v>
      </c>
      <c r="AO493" t="str">
        <f t="shared" si="99"/>
        <v>Valid</v>
      </c>
      <c r="AP493" t="str">
        <f t="shared" si="100"/>
        <v>Valid</v>
      </c>
      <c r="AQ493" t="str">
        <f>IF(Audit_Data[[#This Row],[Z_CostContact]]=3,"Valid","Invalid")</f>
        <v>Valid</v>
      </c>
      <c r="AR493" t="str">
        <f t="shared" si="101"/>
        <v>Valid</v>
      </c>
      <c r="AS493" t="str">
        <f t="shared" si="102"/>
        <v>Valid</v>
      </c>
    </row>
    <row r="494" spans="1:45" x14ac:dyDescent="0.3">
      <c r="A494">
        <v>10965</v>
      </c>
      <c r="B494">
        <v>1955</v>
      </c>
      <c r="C494" t="s">
        <v>29</v>
      </c>
      <c r="D494" t="s">
        <v>31</v>
      </c>
      <c r="E494">
        <v>76005</v>
      </c>
      <c r="F494">
        <v>0</v>
      </c>
      <c r="G494">
        <v>0</v>
      </c>
      <c r="H494" s="1">
        <v>41327</v>
      </c>
      <c r="I494">
        <v>72</v>
      </c>
      <c r="J494">
        <v>983</v>
      </c>
      <c r="K494">
        <v>20</v>
      </c>
      <c r="L494">
        <v>389</v>
      </c>
      <c r="M494">
        <v>240</v>
      </c>
      <c r="N494">
        <v>50</v>
      </c>
      <c r="O494">
        <v>40</v>
      </c>
      <c r="P494">
        <v>1</v>
      </c>
      <c r="Q494">
        <v>3</v>
      </c>
      <c r="R494">
        <v>5</v>
      </c>
      <c r="S494">
        <v>13</v>
      </c>
      <c r="T494">
        <v>6</v>
      </c>
      <c r="U494">
        <v>0</v>
      </c>
      <c r="V494">
        <v>0</v>
      </c>
      <c r="W494">
        <v>0</v>
      </c>
      <c r="X494">
        <v>1</v>
      </c>
      <c r="Y494">
        <v>0</v>
      </c>
      <c r="Z494">
        <v>0</v>
      </c>
      <c r="AA494">
        <v>3</v>
      </c>
      <c r="AB494">
        <v>11</v>
      </c>
      <c r="AC494">
        <v>0</v>
      </c>
      <c r="AD494" t="str">
        <f t="shared" si="91"/>
        <v>Ok</v>
      </c>
      <c r="AE494" t="str">
        <f>IF(AND(Audit_Data[[#This Row],[Year_Birth]]&gt;=1900,Audit_Data[[#This Row],[Year_Birth]]&lt;=2010),"OK","Invalid")</f>
        <v>OK</v>
      </c>
      <c r="AF494" t="str">
        <f t="shared" si="92"/>
        <v>Valid</v>
      </c>
      <c r="AG494" t="str">
        <f t="shared" si="93"/>
        <v>Valid</v>
      </c>
      <c r="AH494" t="str">
        <f t="shared" si="94"/>
        <v>Valid</v>
      </c>
      <c r="AI494" t="str">
        <f t="shared" si="95"/>
        <v>Valid</v>
      </c>
      <c r="AJ494" t="str">
        <f t="shared" si="96"/>
        <v>Valid</v>
      </c>
      <c r="AK494" t="str">
        <f t="shared" si="103"/>
        <v xml:space="preserve">Valid </v>
      </c>
      <c r="AL494" t="str">
        <f>IF(AND(Audit_Data[[#This Row],[Recency]]&gt;=0,Audit_Data[[#This Row],[Recency]]&lt;=100),"Valid","Invalid")</f>
        <v>Valid</v>
      </c>
      <c r="AM494" t="str">
        <f t="shared" si="97"/>
        <v>Valid</v>
      </c>
      <c r="AN494" t="str">
        <f t="shared" si="98"/>
        <v>Valid</v>
      </c>
      <c r="AO494" t="str">
        <f t="shared" si="99"/>
        <v>Valid</v>
      </c>
      <c r="AP494" t="str">
        <f t="shared" si="100"/>
        <v>Valid</v>
      </c>
      <c r="AQ494" t="str">
        <f>IF(Audit_Data[[#This Row],[Z_CostContact]]=3,"Valid","Invalid")</f>
        <v>Valid</v>
      </c>
      <c r="AR494" t="str">
        <f t="shared" si="101"/>
        <v>Valid</v>
      </c>
      <c r="AS494" t="str">
        <f t="shared" si="102"/>
        <v>Valid</v>
      </c>
    </row>
    <row r="495" spans="1:45" x14ac:dyDescent="0.3">
      <c r="A495">
        <v>9426</v>
      </c>
      <c r="B495">
        <v>1964</v>
      </c>
      <c r="C495" t="s">
        <v>34</v>
      </c>
      <c r="D495" t="s">
        <v>30</v>
      </c>
      <c r="E495">
        <v>58308</v>
      </c>
      <c r="F495">
        <v>0</v>
      </c>
      <c r="G495">
        <v>1</v>
      </c>
      <c r="H495" s="1">
        <v>41286</v>
      </c>
      <c r="I495">
        <v>77</v>
      </c>
      <c r="J495">
        <v>691</v>
      </c>
      <c r="K495">
        <v>0</v>
      </c>
      <c r="L495">
        <v>69</v>
      </c>
      <c r="M495">
        <v>10</v>
      </c>
      <c r="N495">
        <v>0</v>
      </c>
      <c r="O495">
        <v>130</v>
      </c>
      <c r="P495">
        <v>4</v>
      </c>
      <c r="Q495">
        <v>2</v>
      </c>
      <c r="R495">
        <v>6</v>
      </c>
      <c r="S495">
        <v>3</v>
      </c>
      <c r="T495">
        <v>8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3</v>
      </c>
      <c r="AB495">
        <v>11</v>
      </c>
      <c r="AC495">
        <v>0</v>
      </c>
      <c r="AD495" t="str">
        <f t="shared" si="91"/>
        <v>Ok</v>
      </c>
      <c r="AE495" t="str">
        <f>IF(AND(Audit_Data[[#This Row],[Year_Birth]]&gt;=1900,Audit_Data[[#This Row],[Year_Birth]]&lt;=2010),"OK","Invalid")</f>
        <v>OK</v>
      </c>
      <c r="AF495" t="str">
        <f t="shared" si="92"/>
        <v>Valid</v>
      </c>
      <c r="AG495" t="str">
        <f t="shared" si="93"/>
        <v>Valid</v>
      </c>
      <c r="AH495" t="str">
        <f t="shared" si="94"/>
        <v>Valid</v>
      </c>
      <c r="AI495" t="str">
        <f t="shared" si="95"/>
        <v>Valid</v>
      </c>
      <c r="AJ495" t="str">
        <f t="shared" si="96"/>
        <v>Valid</v>
      </c>
      <c r="AK495" t="str">
        <f t="shared" si="103"/>
        <v xml:space="preserve">Valid </v>
      </c>
      <c r="AL495" t="str">
        <f>IF(AND(Audit_Data[[#This Row],[Recency]]&gt;=0,Audit_Data[[#This Row],[Recency]]&lt;=100),"Valid","Invalid")</f>
        <v>Valid</v>
      </c>
      <c r="AM495" t="str">
        <f t="shared" si="97"/>
        <v>Valid</v>
      </c>
      <c r="AN495" t="str">
        <f t="shared" si="98"/>
        <v>Valid</v>
      </c>
      <c r="AO495" t="str">
        <f t="shared" si="99"/>
        <v>Valid</v>
      </c>
      <c r="AP495" t="str">
        <f t="shared" si="100"/>
        <v>Valid</v>
      </c>
      <c r="AQ495" t="str">
        <f>IF(Audit_Data[[#This Row],[Z_CostContact]]=3,"Valid","Invalid")</f>
        <v>Valid</v>
      </c>
      <c r="AR495" t="str">
        <f t="shared" si="101"/>
        <v>Valid</v>
      </c>
      <c r="AS495" t="str">
        <f t="shared" si="102"/>
        <v>Valid</v>
      </c>
    </row>
    <row r="496" spans="1:45" x14ac:dyDescent="0.3">
      <c r="A496">
        <v>6605</v>
      </c>
      <c r="B496">
        <v>1944</v>
      </c>
      <c r="C496" t="s">
        <v>32</v>
      </c>
      <c r="D496" t="s">
        <v>35</v>
      </c>
      <c r="E496">
        <v>55614</v>
      </c>
      <c r="F496">
        <v>0</v>
      </c>
      <c r="G496">
        <v>0</v>
      </c>
      <c r="H496" s="1">
        <v>41605</v>
      </c>
      <c r="I496">
        <v>85</v>
      </c>
      <c r="J496">
        <v>504</v>
      </c>
      <c r="K496">
        <v>13</v>
      </c>
      <c r="L496">
        <v>131</v>
      </c>
      <c r="M496">
        <v>8</v>
      </c>
      <c r="N496">
        <v>0</v>
      </c>
      <c r="O496">
        <v>26</v>
      </c>
      <c r="P496">
        <v>1</v>
      </c>
      <c r="Q496">
        <v>9</v>
      </c>
      <c r="R496">
        <v>4</v>
      </c>
      <c r="S496">
        <v>6</v>
      </c>
      <c r="T496">
        <v>7</v>
      </c>
      <c r="U496">
        <v>0</v>
      </c>
      <c r="V496">
        <v>1</v>
      </c>
      <c r="W496">
        <v>0</v>
      </c>
      <c r="X496">
        <v>0</v>
      </c>
      <c r="Y496">
        <v>0</v>
      </c>
      <c r="Z496">
        <v>0</v>
      </c>
      <c r="AA496">
        <v>3</v>
      </c>
      <c r="AB496">
        <v>11</v>
      </c>
      <c r="AC496">
        <v>0</v>
      </c>
      <c r="AD496" t="str">
        <f t="shared" si="91"/>
        <v>Ok</v>
      </c>
      <c r="AE496" t="str">
        <f>IF(AND(Audit_Data[[#This Row],[Year_Birth]]&gt;=1900,Audit_Data[[#This Row],[Year_Birth]]&lt;=2010),"OK","Invalid")</f>
        <v>OK</v>
      </c>
      <c r="AF496" t="str">
        <f t="shared" si="92"/>
        <v>Valid</v>
      </c>
      <c r="AG496" t="str">
        <f t="shared" si="93"/>
        <v>Valid</v>
      </c>
      <c r="AH496" t="str">
        <f t="shared" si="94"/>
        <v>Valid</v>
      </c>
      <c r="AI496" t="str">
        <f t="shared" si="95"/>
        <v>Valid</v>
      </c>
      <c r="AJ496" t="str">
        <f t="shared" si="96"/>
        <v>Valid</v>
      </c>
      <c r="AK496" t="str">
        <f t="shared" si="103"/>
        <v xml:space="preserve">Valid </v>
      </c>
      <c r="AL496" t="str">
        <f>IF(AND(Audit_Data[[#This Row],[Recency]]&gt;=0,Audit_Data[[#This Row],[Recency]]&lt;=100),"Valid","Invalid")</f>
        <v>Valid</v>
      </c>
      <c r="AM496" t="str">
        <f t="shared" si="97"/>
        <v>Valid</v>
      </c>
      <c r="AN496" t="str">
        <f t="shared" si="98"/>
        <v>Valid</v>
      </c>
      <c r="AO496" t="str">
        <f t="shared" si="99"/>
        <v>Valid</v>
      </c>
      <c r="AP496" t="str">
        <f t="shared" si="100"/>
        <v>Valid</v>
      </c>
      <c r="AQ496" t="str">
        <f>IF(Audit_Data[[#This Row],[Z_CostContact]]=3,"Valid","Invalid")</f>
        <v>Valid</v>
      </c>
      <c r="AR496" t="str">
        <f t="shared" si="101"/>
        <v>Valid</v>
      </c>
      <c r="AS496" t="str">
        <f t="shared" si="102"/>
        <v>Valid</v>
      </c>
    </row>
    <row r="497" spans="1:45" x14ac:dyDescent="0.3">
      <c r="A497">
        <v>3136</v>
      </c>
      <c r="B497">
        <v>1962</v>
      </c>
      <c r="C497" t="s">
        <v>34</v>
      </c>
      <c r="D497" t="s">
        <v>35</v>
      </c>
      <c r="E497">
        <v>59432</v>
      </c>
      <c r="F497">
        <v>0</v>
      </c>
      <c r="G497">
        <v>1</v>
      </c>
      <c r="H497" s="1">
        <v>41377</v>
      </c>
      <c r="I497">
        <v>88</v>
      </c>
      <c r="J497">
        <v>317</v>
      </c>
      <c r="K497">
        <v>25</v>
      </c>
      <c r="L497">
        <v>265</v>
      </c>
      <c r="M497">
        <v>25</v>
      </c>
      <c r="N497">
        <v>19</v>
      </c>
      <c r="O497">
        <v>12</v>
      </c>
      <c r="P497">
        <v>3</v>
      </c>
      <c r="Q497">
        <v>5</v>
      </c>
      <c r="R497">
        <v>3</v>
      </c>
      <c r="S497">
        <v>11</v>
      </c>
      <c r="T497">
        <v>5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3</v>
      </c>
      <c r="AB497">
        <v>11</v>
      </c>
      <c r="AC497">
        <v>0</v>
      </c>
      <c r="AD497" t="str">
        <f t="shared" si="91"/>
        <v>Ok</v>
      </c>
      <c r="AE497" t="str">
        <f>IF(AND(Audit_Data[[#This Row],[Year_Birth]]&gt;=1900,Audit_Data[[#This Row],[Year_Birth]]&lt;=2010),"OK","Invalid")</f>
        <v>OK</v>
      </c>
      <c r="AF497" t="str">
        <f t="shared" si="92"/>
        <v>Valid</v>
      </c>
      <c r="AG497" t="str">
        <f t="shared" si="93"/>
        <v>Valid</v>
      </c>
      <c r="AH497" t="str">
        <f t="shared" si="94"/>
        <v>Valid</v>
      </c>
      <c r="AI497" t="str">
        <f t="shared" si="95"/>
        <v>Valid</v>
      </c>
      <c r="AJ497" t="str">
        <f t="shared" si="96"/>
        <v>Valid</v>
      </c>
      <c r="AK497" t="str">
        <f t="shared" si="103"/>
        <v xml:space="preserve">Valid </v>
      </c>
      <c r="AL497" t="str">
        <f>IF(AND(Audit_Data[[#This Row],[Recency]]&gt;=0,Audit_Data[[#This Row],[Recency]]&lt;=100),"Valid","Invalid")</f>
        <v>Valid</v>
      </c>
      <c r="AM497" t="str">
        <f t="shared" si="97"/>
        <v>Valid</v>
      </c>
      <c r="AN497" t="str">
        <f t="shared" si="98"/>
        <v>Valid</v>
      </c>
      <c r="AO497" t="str">
        <f t="shared" si="99"/>
        <v>Valid</v>
      </c>
      <c r="AP497" t="str">
        <f t="shared" si="100"/>
        <v>Valid</v>
      </c>
      <c r="AQ497" t="str">
        <f>IF(Audit_Data[[#This Row],[Z_CostContact]]=3,"Valid","Invalid")</f>
        <v>Valid</v>
      </c>
      <c r="AR497" t="str">
        <f t="shared" si="101"/>
        <v>Valid</v>
      </c>
      <c r="AS497" t="str">
        <f t="shared" si="102"/>
        <v>Valid</v>
      </c>
    </row>
    <row r="498" spans="1:45" x14ac:dyDescent="0.3">
      <c r="A498">
        <v>8737</v>
      </c>
      <c r="B498">
        <v>1978</v>
      </c>
      <c r="C498" t="s">
        <v>29</v>
      </c>
      <c r="D498" t="s">
        <v>35</v>
      </c>
      <c r="E498">
        <v>55563</v>
      </c>
      <c r="F498">
        <v>0</v>
      </c>
      <c r="G498">
        <v>1</v>
      </c>
      <c r="H498" s="1">
        <v>41734</v>
      </c>
      <c r="I498">
        <v>22</v>
      </c>
      <c r="J498">
        <v>29</v>
      </c>
      <c r="K498">
        <v>1</v>
      </c>
      <c r="L498">
        <v>9</v>
      </c>
      <c r="M498">
        <v>2</v>
      </c>
      <c r="N498">
        <v>0</v>
      </c>
      <c r="O498">
        <v>2</v>
      </c>
      <c r="P498">
        <v>1</v>
      </c>
      <c r="Q498">
        <v>2</v>
      </c>
      <c r="R498">
        <v>0</v>
      </c>
      <c r="S498">
        <v>3</v>
      </c>
      <c r="T498">
        <v>3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3</v>
      </c>
      <c r="AB498">
        <v>11</v>
      </c>
      <c r="AC498">
        <v>0</v>
      </c>
      <c r="AD498" t="str">
        <f t="shared" si="91"/>
        <v>Ok</v>
      </c>
      <c r="AE498" t="str">
        <f>IF(AND(Audit_Data[[#This Row],[Year_Birth]]&gt;=1900,Audit_Data[[#This Row],[Year_Birth]]&lt;=2010),"OK","Invalid")</f>
        <v>OK</v>
      </c>
      <c r="AF498" t="str">
        <f t="shared" si="92"/>
        <v>Valid</v>
      </c>
      <c r="AG498" t="str">
        <f t="shared" si="93"/>
        <v>Valid</v>
      </c>
      <c r="AH498" t="str">
        <f t="shared" si="94"/>
        <v>Valid</v>
      </c>
      <c r="AI498" t="str">
        <f t="shared" si="95"/>
        <v>Valid</v>
      </c>
      <c r="AJ498" t="str">
        <f t="shared" si="96"/>
        <v>Valid</v>
      </c>
      <c r="AK498" t="str">
        <f t="shared" si="103"/>
        <v xml:space="preserve">Valid </v>
      </c>
      <c r="AL498" t="str">
        <f>IF(AND(Audit_Data[[#This Row],[Recency]]&gt;=0,Audit_Data[[#This Row],[Recency]]&lt;=100),"Valid","Invalid")</f>
        <v>Valid</v>
      </c>
      <c r="AM498" t="str">
        <f t="shared" si="97"/>
        <v>Valid</v>
      </c>
      <c r="AN498" t="str">
        <f t="shared" si="98"/>
        <v>Valid</v>
      </c>
      <c r="AO498" t="str">
        <f t="shared" si="99"/>
        <v>Valid</v>
      </c>
      <c r="AP498" t="str">
        <f t="shared" si="100"/>
        <v>Valid</v>
      </c>
      <c r="AQ498" t="str">
        <f>IF(Audit_Data[[#This Row],[Z_CostContact]]=3,"Valid","Invalid")</f>
        <v>Valid</v>
      </c>
      <c r="AR498" t="str">
        <f t="shared" si="101"/>
        <v>Valid</v>
      </c>
      <c r="AS498" t="str">
        <f t="shared" si="102"/>
        <v>Valid</v>
      </c>
    </row>
    <row r="499" spans="1:45" x14ac:dyDescent="0.3">
      <c r="A499">
        <v>11088</v>
      </c>
      <c r="B499">
        <v>1971</v>
      </c>
      <c r="C499" t="s">
        <v>32</v>
      </c>
      <c r="D499" t="s">
        <v>31</v>
      </c>
      <c r="E499">
        <v>78642</v>
      </c>
      <c r="F499">
        <v>0</v>
      </c>
      <c r="G499">
        <v>1</v>
      </c>
      <c r="H499" s="1">
        <v>41385</v>
      </c>
      <c r="I499">
        <v>83</v>
      </c>
      <c r="J499">
        <v>1396</v>
      </c>
      <c r="K499">
        <v>0</v>
      </c>
      <c r="L499">
        <v>322</v>
      </c>
      <c r="M499">
        <v>46</v>
      </c>
      <c r="N499">
        <v>35</v>
      </c>
      <c r="O499">
        <v>17</v>
      </c>
      <c r="P499">
        <v>1</v>
      </c>
      <c r="Q499">
        <v>4</v>
      </c>
      <c r="R499">
        <v>9</v>
      </c>
      <c r="S499">
        <v>4</v>
      </c>
      <c r="T499">
        <v>6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3</v>
      </c>
      <c r="AB499">
        <v>11</v>
      </c>
      <c r="AC499">
        <v>0</v>
      </c>
      <c r="AD499" t="str">
        <f t="shared" si="91"/>
        <v>Ok</v>
      </c>
      <c r="AE499" t="str">
        <f>IF(AND(Audit_Data[[#This Row],[Year_Birth]]&gt;=1900,Audit_Data[[#This Row],[Year_Birth]]&lt;=2010),"OK","Invalid")</f>
        <v>OK</v>
      </c>
      <c r="AF499" t="str">
        <f t="shared" si="92"/>
        <v>Valid</v>
      </c>
      <c r="AG499" t="str">
        <f t="shared" si="93"/>
        <v>Valid</v>
      </c>
      <c r="AH499" t="str">
        <f t="shared" si="94"/>
        <v>Valid</v>
      </c>
      <c r="AI499" t="str">
        <f t="shared" si="95"/>
        <v>Valid</v>
      </c>
      <c r="AJ499" t="str">
        <f t="shared" si="96"/>
        <v>Valid</v>
      </c>
      <c r="AK499" t="str">
        <f t="shared" si="103"/>
        <v xml:space="preserve">Valid </v>
      </c>
      <c r="AL499" t="str">
        <f>IF(AND(Audit_Data[[#This Row],[Recency]]&gt;=0,Audit_Data[[#This Row],[Recency]]&lt;=100),"Valid","Invalid")</f>
        <v>Valid</v>
      </c>
      <c r="AM499" t="str">
        <f t="shared" si="97"/>
        <v>Valid</v>
      </c>
      <c r="AN499" t="str">
        <f t="shared" si="98"/>
        <v>Valid</v>
      </c>
      <c r="AO499" t="str">
        <f t="shared" si="99"/>
        <v>Valid</v>
      </c>
      <c r="AP499" t="str">
        <f t="shared" si="100"/>
        <v>Valid</v>
      </c>
      <c r="AQ499" t="str">
        <f>IF(Audit_Data[[#This Row],[Z_CostContact]]=3,"Valid","Invalid")</f>
        <v>Valid</v>
      </c>
      <c r="AR499" t="str">
        <f t="shared" si="101"/>
        <v>Valid</v>
      </c>
      <c r="AS499" t="str">
        <f t="shared" si="102"/>
        <v>Valid</v>
      </c>
    </row>
    <row r="500" spans="1:45" x14ac:dyDescent="0.3">
      <c r="A500">
        <v>716</v>
      </c>
      <c r="B500">
        <v>1949</v>
      </c>
      <c r="C500" t="s">
        <v>32</v>
      </c>
      <c r="D500" t="s">
        <v>31</v>
      </c>
      <c r="E500">
        <v>67911</v>
      </c>
      <c r="F500">
        <v>0</v>
      </c>
      <c r="G500">
        <v>1</v>
      </c>
      <c r="H500" s="1">
        <v>41781</v>
      </c>
      <c r="I500">
        <v>63</v>
      </c>
      <c r="J500">
        <v>529</v>
      </c>
      <c r="K500">
        <v>0</v>
      </c>
      <c r="L500">
        <v>356</v>
      </c>
      <c r="M500">
        <v>63</v>
      </c>
      <c r="N500">
        <v>28</v>
      </c>
      <c r="O500">
        <v>0</v>
      </c>
      <c r="P500">
        <v>3</v>
      </c>
      <c r="Q500">
        <v>6</v>
      </c>
      <c r="R500">
        <v>7</v>
      </c>
      <c r="S500">
        <v>11</v>
      </c>
      <c r="T500">
        <v>3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3</v>
      </c>
      <c r="AB500">
        <v>11</v>
      </c>
      <c r="AC500">
        <v>0</v>
      </c>
      <c r="AD500" t="str">
        <f t="shared" si="91"/>
        <v>Ok</v>
      </c>
      <c r="AE500" t="str">
        <f>IF(AND(Audit_Data[[#This Row],[Year_Birth]]&gt;=1900,Audit_Data[[#This Row],[Year_Birth]]&lt;=2010),"OK","Invalid")</f>
        <v>OK</v>
      </c>
      <c r="AF500" t="str">
        <f t="shared" si="92"/>
        <v>Valid</v>
      </c>
      <c r="AG500" t="str">
        <f t="shared" si="93"/>
        <v>Valid</v>
      </c>
      <c r="AH500" t="str">
        <f t="shared" si="94"/>
        <v>Valid</v>
      </c>
      <c r="AI500" t="str">
        <f t="shared" si="95"/>
        <v>Valid</v>
      </c>
      <c r="AJ500" t="str">
        <f t="shared" si="96"/>
        <v>Valid</v>
      </c>
      <c r="AK500" t="str">
        <f t="shared" si="103"/>
        <v xml:space="preserve">Valid </v>
      </c>
      <c r="AL500" t="str">
        <f>IF(AND(Audit_Data[[#This Row],[Recency]]&gt;=0,Audit_Data[[#This Row],[Recency]]&lt;=100),"Valid","Invalid")</f>
        <v>Valid</v>
      </c>
      <c r="AM500" t="str">
        <f t="shared" si="97"/>
        <v>Valid</v>
      </c>
      <c r="AN500" t="str">
        <f t="shared" si="98"/>
        <v>Valid</v>
      </c>
      <c r="AO500" t="str">
        <f t="shared" si="99"/>
        <v>Valid</v>
      </c>
      <c r="AP500" t="str">
        <f t="shared" si="100"/>
        <v>Valid</v>
      </c>
      <c r="AQ500" t="str">
        <f>IF(Audit_Data[[#This Row],[Z_CostContact]]=3,"Valid","Invalid")</f>
        <v>Valid</v>
      </c>
      <c r="AR500" t="str">
        <f t="shared" si="101"/>
        <v>Valid</v>
      </c>
      <c r="AS500" t="str">
        <f t="shared" si="102"/>
        <v>Valid</v>
      </c>
    </row>
    <row r="501" spans="1:45" x14ac:dyDescent="0.3">
      <c r="A501">
        <v>466</v>
      </c>
      <c r="B501">
        <v>1944</v>
      </c>
      <c r="C501" t="s">
        <v>29</v>
      </c>
      <c r="D501" t="s">
        <v>33</v>
      </c>
      <c r="E501">
        <v>65275</v>
      </c>
      <c r="F501">
        <v>0</v>
      </c>
      <c r="G501">
        <v>0</v>
      </c>
      <c r="H501" s="1">
        <v>41367</v>
      </c>
      <c r="I501">
        <v>9</v>
      </c>
      <c r="J501">
        <v>388</v>
      </c>
      <c r="K501">
        <v>14</v>
      </c>
      <c r="L501">
        <v>218</v>
      </c>
      <c r="M501">
        <v>91</v>
      </c>
      <c r="N501">
        <v>14</v>
      </c>
      <c r="O501">
        <v>21</v>
      </c>
      <c r="P501">
        <v>1</v>
      </c>
      <c r="Q501">
        <v>4</v>
      </c>
      <c r="R501">
        <v>3</v>
      </c>
      <c r="S501">
        <v>13</v>
      </c>
      <c r="T501">
        <v>2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3</v>
      </c>
      <c r="AB501">
        <v>11</v>
      </c>
      <c r="AC501">
        <v>0</v>
      </c>
      <c r="AD501" t="str">
        <f t="shared" si="91"/>
        <v>Ok</v>
      </c>
      <c r="AE501" t="str">
        <f>IF(AND(Audit_Data[[#This Row],[Year_Birth]]&gt;=1900,Audit_Data[[#This Row],[Year_Birth]]&lt;=2010),"OK","Invalid")</f>
        <v>OK</v>
      </c>
      <c r="AF501" t="str">
        <f t="shared" si="92"/>
        <v>Valid</v>
      </c>
      <c r="AG501" t="str">
        <f t="shared" si="93"/>
        <v>Valid</v>
      </c>
      <c r="AH501" t="str">
        <f t="shared" si="94"/>
        <v>Valid</v>
      </c>
      <c r="AI501" t="str">
        <f t="shared" si="95"/>
        <v>Valid</v>
      </c>
      <c r="AJ501" t="str">
        <f t="shared" si="96"/>
        <v>Valid</v>
      </c>
      <c r="AK501" t="str">
        <f t="shared" si="103"/>
        <v xml:space="preserve">Valid </v>
      </c>
      <c r="AL501" t="str">
        <f>IF(AND(Audit_Data[[#This Row],[Recency]]&gt;=0,Audit_Data[[#This Row],[Recency]]&lt;=100),"Valid","Invalid")</f>
        <v>Valid</v>
      </c>
      <c r="AM501" t="str">
        <f t="shared" si="97"/>
        <v>Valid</v>
      </c>
      <c r="AN501" t="str">
        <f t="shared" si="98"/>
        <v>Valid</v>
      </c>
      <c r="AO501" t="str">
        <f t="shared" si="99"/>
        <v>Valid</v>
      </c>
      <c r="AP501" t="str">
        <f t="shared" si="100"/>
        <v>Valid</v>
      </c>
      <c r="AQ501" t="str">
        <f>IF(Audit_Data[[#This Row],[Z_CostContact]]=3,"Valid","Invalid")</f>
        <v>Valid</v>
      </c>
      <c r="AR501" t="str">
        <f t="shared" si="101"/>
        <v>Valid</v>
      </c>
      <c r="AS501" t="str">
        <f t="shared" si="102"/>
        <v>Valid</v>
      </c>
    </row>
    <row r="502" spans="1:45" x14ac:dyDescent="0.3">
      <c r="A502">
        <v>9135</v>
      </c>
      <c r="B502">
        <v>1950</v>
      </c>
      <c r="C502" t="s">
        <v>29</v>
      </c>
      <c r="D502" t="s">
        <v>31</v>
      </c>
      <c r="E502">
        <v>27203</v>
      </c>
      <c r="F502">
        <v>1</v>
      </c>
      <c r="G502">
        <v>1</v>
      </c>
      <c r="H502" s="1">
        <v>41127</v>
      </c>
      <c r="I502">
        <v>92</v>
      </c>
      <c r="J502">
        <v>13</v>
      </c>
      <c r="K502">
        <v>2</v>
      </c>
      <c r="L502">
        <v>21</v>
      </c>
      <c r="M502">
        <v>4</v>
      </c>
      <c r="N502">
        <v>0</v>
      </c>
      <c r="O502">
        <v>24</v>
      </c>
      <c r="P502">
        <v>2</v>
      </c>
      <c r="Q502">
        <v>1</v>
      </c>
      <c r="R502">
        <v>1</v>
      </c>
      <c r="S502">
        <v>2</v>
      </c>
      <c r="T502">
        <v>8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3</v>
      </c>
      <c r="AB502">
        <v>11</v>
      </c>
      <c r="AC502">
        <v>0</v>
      </c>
      <c r="AD502" t="str">
        <f t="shared" si="91"/>
        <v>Ok</v>
      </c>
      <c r="AE502" t="str">
        <f>IF(AND(Audit_Data[[#This Row],[Year_Birth]]&gt;=1900,Audit_Data[[#This Row],[Year_Birth]]&lt;=2010),"OK","Invalid")</f>
        <v>OK</v>
      </c>
      <c r="AF502" t="str">
        <f t="shared" si="92"/>
        <v>Valid</v>
      </c>
      <c r="AG502" t="str">
        <f t="shared" si="93"/>
        <v>Valid</v>
      </c>
      <c r="AH502" t="str">
        <f t="shared" si="94"/>
        <v>Valid</v>
      </c>
      <c r="AI502" t="str">
        <f t="shared" si="95"/>
        <v>Valid</v>
      </c>
      <c r="AJ502" t="str">
        <f t="shared" si="96"/>
        <v>Valid</v>
      </c>
      <c r="AK502" t="str">
        <f t="shared" si="103"/>
        <v xml:space="preserve">Valid </v>
      </c>
      <c r="AL502" t="str">
        <f>IF(AND(Audit_Data[[#This Row],[Recency]]&gt;=0,Audit_Data[[#This Row],[Recency]]&lt;=100),"Valid","Invalid")</f>
        <v>Valid</v>
      </c>
      <c r="AM502" t="str">
        <f t="shared" si="97"/>
        <v>Valid</v>
      </c>
      <c r="AN502" t="str">
        <f t="shared" si="98"/>
        <v>Valid</v>
      </c>
      <c r="AO502" t="str">
        <f t="shared" si="99"/>
        <v>Valid</v>
      </c>
      <c r="AP502" t="str">
        <f t="shared" si="100"/>
        <v>Valid</v>
      </c>
      <c r="AQ502" t="str">
        <f>IF(Audit_Data[[#This Row],[Z_CostContact]]=3,"Valid","Invalid")</f>
        <v>Valid</v>
      </c>
      <c r="AR502" t="str">
        <f t="shared" si="101"/>
        <v>Valid</v>
      </c>
      <c r="AS502" t="str">
        <f t="shared" si="102"/>
        <v>Valid</v>
      </c>
    </row>
    <row r="503" spans="1:45" x14ac:dyDescent="0.3">
      <c r="A503">
        <v>10623</v>
      </c>
      <c r="B503">
        <v>1961</v>
      </c>
      <c r="C503" t="s">
        <v>34</v>
      </c>
      <c r="D503" t="s">
        <v>31</v>
      </c>
      <c r="E503">
        <v>48330</v>
      </c>
      <c r="F503">
        <v>0</v>
      </c>
      <c r="G503">
        <v>1</v>
      </c>
      <c r="H503" s="1">
        <v>41593</v>
      </c>
      <c r="I503">
        <v>2</v>
      </c>
      <c r="J503">
        <v>28</v>
      </c>
      <c r="K503">
        <v>0</v>
      </c>
      <c r="L503">
        <v>4</v>
      </c>
      <c r="M503">
        <v>0</v>
      </c>
      <c r="N503">
        <v>0</v>
      </c>
      <c r="O503">
        <v>0</v>
      </c>
      <c r="P503">
        <v>1</v>
      </c>
      <c r="Q503">
        <v>1</v>
      </c>
      <c r="R503">
        <v>0</v>
      </c>
      <c r="S503">
        <v>3</v>
      </c>
      <c r="T503">
        <v>5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3</v>
      </c>
      <c r="AB503">
        <v>11</v>
      </c>
      <c r="AC503">
        <v>0</v>
      </c>
      <c r="AD503" t="str">
        <f t="shared" si="91"/>
        <v>Ok</v>
      </c>
      <c r="AE503" t="str">
        <f>IF(AND(Audit_Data[[#This Row],[Year_Birth]]&gt;=1900,Audit_Data[[#This Row],[Year_Birth]]&lt;=2010),"OK","Invalid")</f>
        <v>OK</v>
      </c>
      <c r="AF503" t="str">
        <f t="shared" si="92"/>
        <v>Valid</v>
      </c>
      <c r="AG503" t="str">
        <f t="shared" si="93"/>
        <v>Valid</v>
      </c>
      <c r="AH503" t="str">
        <f t="shared" si="94"/>
        <v>Valid</v>
      </c>
      <c r="AI503" t="str">
        <f t="shared" si="95"/>
        <v>Valid</v>
      </c>
      <c r="AJ503" t="str">
        <f t="shared" si="96"/>
        <v>Valid</v>
      </c>
      <c r="AK503" t="str">
        <f t="shared" si="103"/>
        <v xml:space="preserve">Valid </v>
      </c>
      <c r="AL503" t="str">
        <f>IF(AND(Audit_Data[[#This Row],[Recency]]&gt;=0,Audit_Data[[#This Row],[Recency]]&lt;=100),"Valid","Invalid")</f>
        <v>Valid</v>
      </c>
      <c r="AM503" t="str">
        <f t="shared" si="97"/>
        <v>Valid</v>
      </c>
      <c r="AN503" t="str">
        <f t="shared" si="98"/>
        <v>Valid</v>
      </c>
      <c r="AO503" t="str">
        <f t="shared" si="99"/>
        <v>Valid</v>
      </c>
      <c r="AP503" t="str">
        <f t="shared" si="100"/>
        <v>Valid</v>
      </c>
      <c r="AQ503" t="str">
        <f>IF(Audit_Data[[#This Row],[Z_CostContact]]=3,"Valid","Invalid")</f>
        <v>Valid</v>
      </c>
      <c r="AR503" t="str">
        <f t="shared" si="101"/>
        <v>Valid</v>
      </c>
      <c r="AS503" t="str">
        <f t="shared" si="102"/>
        <v>Valid</v>
      </c>
    </row>
    <row r="504" spans="1:45" x14ac:dyDescent="0.3">
      <c r="A504">
        <v>8151</v>
      </c>
      <c r="B504">
        <v>1990</v>
      </c>
      <c r="C504" t="s">
        <v>36</v>
      </c>
      <c r="D504" t="s">
        <v>33</v>
      </c>
      <c r="E504">
        <v>24279</v>
      </c>
      <c r="F504">
        <v>0</v>
      </c>
      <c r="G504">
        <v>0</v>
      </c>
      <c r="H504" s="1">
        <v>41272</v>
      </c>
      <c r="I504">
        <v>6</v>
      </c>
      <c r="J504">
        <v>16</v>
      </c>
      <c r="K504">
        <v>36</v>
      </c>
      <c r="L504">
        <v>21</v>
      </c>
      <c r="M504">
        <v>20</v>
      </c>
      <c r="N504">
        <v>62</v>
      </c>
      <c r="O504">
        <v>108</v>
      </c>
      <c r="P504">
        <v>1</v>
      </c>
      <c r="Q504">
        <v>4</v>
      </c>
      <c r="R504">
        <v>1</v>
      </c>
      <c r="S504">
        <v>3</v>
      </c>
      <c r="T504">
        <v>8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3</v>
      </c>
      <c r="AB504">
        <v>11</v>
      </c>
      <c r="AC504">
        <v>0</v>
      </c>
      <c r="AD504" t="str">
        <f t="shared" si="91"/>
        <v>Ok</v>
      </c>
      <c r="AE504" t="str">
        <f>IF(AND(Audit_Data[[#This Row],[Year_Birth]]&gt;=1900,Audit_Data[[#This Row],[Year_Birth]]&lt;=2010),"OK","Invalid")</f>
        <v>OK</v>
      </c>
      <c r="AF504" t="str">
        <f t="shared" si="92"/>
        <v>Valid</v>
      </c>
      <c r="AG504" t="str">
        <f t="shared" si="93"/>
        <v>Valid</v>
      </c>
      <c r="AH504" t="str">
        <f t="shared" si="94"/>
        <v>Valid</v>
      </c>
      <c r="AI504" t="str">
        <f t="shared" si="95"/>
        <v>Valid</v>
      </c>
      <c r="AJ504" t="str">
        <f t="shared" si="96"/>
        <v>Valid</v>
      </c>
      <c r="AK504" t="str">
        <f t="shared" si="103"/>
        <v xml:space="preserve">Valid </v>
      </c>
      <c r="AL504" t="str">
        <f>IF(AND(Audit_Data[[#This Row],[Recency]]&gt;=0,Audit_Data[[#This Row],[Recency]]&lt;=100),"Valid","Invalid")</f>
        <v>Valid</v>
      </c>
      <c r="AM504" t="str">
        <f t="shared" si="97"/>
        <v>Valid</v>
      </c>
      <c r="AN504" t="str">
        <f t="shared" si="98"/>
        <v>Valid</v>
      </c>
      <c r="AO504" t="str">
        <f t="shared" si="99"/>
        <v>Valid</v>
      </c>
      <c r="AP504" t="str">
        <f t="shared" si="100"/>
        <v>Valid</v>
      </c>
      <c r="AQ504" t="str">
        <f>IF(Audit_Data[[#This Row],[Z_CostContact]]=3,"Valid","Invalid")</f>
        <v>Valid</v>
      </c>
      <c r="AR504" t="str">
        <f t="shared" si="101"/>
        <v>Valid</v>
      </c>
      <c r="AS504" t="str">
        <f t="shared" si="102"/>
        <v>Valid</v>
      </c>
    </row>
    <row r="505" spans="1:45" x14ac:dyDescent="0.3">
      <c r="A505">
        <v>5140</v>
      </c>
      <c r="B505">
        <v>1985</v>
      </c>
      <c r="C505" t="s">
        <v>32</v>
      </c>
      <c r="D505" t="s">
        <v>33</v>
      </c>
      <c r="E505">
        <v>64355</v>
      </c>
      <c r="F505">
        <v>1</v>
      </c>
      <c r="G505">
        <v>0</v>
      </c>
      <c r="H505" s="1">
        <v>41145</v>
      </c>
      <c r="I505">
        <v>66</v>
      </c>
      <c r="J505">
        <v>1047</v>
      </c>
      <c r="K505">
        <v>0</v>
      </c>
      <c r="L505">
        <v>140</v>
      </c>
      <c r="M505">
        <v>67</v>
      </c>
      <c r="N505">
        <v>38</v>
      </c>
      <c r="O505">
        <v>153</v>
      </c>
      <c r="P505">
        <v>2</v>
      </c>
      <c r="Q505">
        <v>4</v>
      </c>
      <c r="R505">
        <v>3</v>
      </c>
      <c r="S505">
        <v>12</v>
      </c>
      <c r="T505">
        <v>8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3</v>
      </c>
      <c r="AB505">
        <v>11</v>
      </c>
      <c r="AC505">
        <v>0</v>
      </c>
      <c r="AD505" t="str">
        <f t="shared" si="91"/>
        <v>Ok</v>
      </c>
      <c r="AE505" t="str">
        <f>IF(AND(Audit_Data[[#This Row],[Year_Birth]]&gt;=1900,Audit_Data[[#This Row],[Year_Birth]]&lt;=2010),"OK","Invalid")</f>
        <v>OK</v>
      </c>
      <c r="AF505" t="str">
        <f t="shared" si="92"/>
        <v>Valid</v>
      </c>
      <c r="AG505" t="str">
        <f t="shared" si="93"/>
        <v>Valid</v>
      </c>
      <c r="AH505" t="str">
        <f t="shared" si="94"/>
        <v>Valid</v>
      </c>
      <c r="AI505" t="str">
        <f t="shared" si="95"/>
        <v>Valid</v>
      </c>
      <c r="AJ505" t="str">
        <f t="shared" si="96"/>
        <v>Valid</v>
      </c>
      <c r="AK505" t="str">
        <f t="shared" si="103"/>
        <v xml:space="preserve">Valid </v>
      </c>
      <c r="AL505" t="str">
        <f>IF(AND(Audit_Data[[#This Row],[Recency]]&gt;=0,Audit_Data[[#This Row],[Recency]]&lt;=100),"Valid","Invalid")</f>
        <v>Valid</v>
      </c>
      <c r="AM505" t="str">
        <f t="shared" si="97"/>
        <v>Valid</v>
      </c>
      <c r="AN505" t="str">
        <f t="shared" si="98"/>
        <v>Valid</v>
      </c>
      <c r="AO505" t="str">
        <f t="shared" si="99"/>
        <v>Valid</v>
      </c>
      <c r="AP505" t="str">
        <f t="shared" si="100"/>
        <v>Valid</v>
      </c>
      <c r="AQ505" t="str">
        <f>IF(Audit_Data[[#This Row],[Z_CostContact]]=3,"Valid","Invalid")</f>
        <v>Valid</v>
      </c>
      <c r="AR505" t="str">
        <f t="shared" si="101"/>
        <v>Valid</v>
      </c>
      <c r="AS505" t="str">
        <f t="shared" si="102"/>
        <v>Valid</v>
      </c>
    </row>
    <row r="506" spans="1:45" x14ac:dyDescent="0.3">
      <c r="A506">
        <v>10160</v>
      </c>
      <c r="B506">
        <v>1956</v>
      </c>
      <c r="C506" t="s">
        <v>34</v>
      </c>
      <c r="D506" t="s">
        <v>31</v>
      </c>
      <c r="E506">
        <v>50943</v>
      </c>
      <c r="F506">
        <v>0</v>
      </c>
      <c r="G506">
        <v>1</v>
      </c>
      <c r="H506" s="1">
        <v>41446</v>
      </c>
      <c r="I506">
        <v>49</v>
      </c>
      <c r="J506">
        <v>31</v>
      </c>
      <c r="K506">
        <v>0</v>
      </c>
      <c r="L506">
        <v>7</v>
      </c>
      <c r="M506">
        <v>2</v>
      </c>
      <c r="N506">
        <v>0</v>
      </c>
      <c r="O506">
        <v>6</v>
      </c>
      <c r="P506">
        <v>1</v>
      </c>
      <c r="Q506">
        <v>1</v>
      </c>
      <c r="R506">
        <v>0</v>
      </c>
      <c r="S506">
        <v>3</v>
      </c>
      <c r="T506">
        <v>5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3</v>
      </c>
      <c r="AB506">
        <v>11</v>
      </c>
      <c r="AC506">
        <v>0</v>
      </c>
      <c r="AD506" t="str">
        <f t="shared" si="91"/>
        <v>Ok</v>
      </c>
      <c r="AE506" t="str">
        <f>IF(AND(Audit_Data[[#This Row],[Year_Birth]]&gt;=1900,Audit_Data[[#This Row],[Year_Birth]]&lt;=2010),"OK","Invalid")</f>
        <v>OK</v>
      </c>
      <c r="AF506" t="str">
        <f t="shared" si="92"/>
        <v>Valid</v>
      </c>
      <c r="AG506" t="str">
        <f t="shared" si="93"/>
        <v>Valid</v>
      </c>
      <c r="AH506" t="str">
        <f t="shared" si="94"/>
        <v>Valid</v>
      </c>
      <c r="AI506" t="str">
        <f t="shared" si="95"/>
        <v>Valid</v>
      </c>
      <c r="AJ506" t="str">
        <f t="shared" si="96"/>
        <v>Valid</v>
      </c>
      <c r="AK506" t="str">
        <f t="shared" si="103"/>
        <v xml:space="preserve">Valid </v>
      </c>
      <c r="AL506" t="str">
        <f>IF(AND(Audit_Data[[#This Row],[Recency]]&gt;=0,Audit_Data[[#This Row],[Recency]]&lt;=100),"Valid","Invalid")</f>
        <v>Valid</v>
      </c>
      <c r="AM506" t="str">
        <f t="shared" si="97"/>
        <v>Valid</v>
      </c>
      <c r="AN506" t="str">
        <f t="shared" si="98"/>
        <v>Valid</v>
      </c>
      <c r="AO506" t="str">
        <f t="shared" si="99"/>
        <v>Valid</v>
      </c>
      <c r="AP506" t="str">
        <f t="shared" si="100"/>
        <v>Valid</v>
      </c>
      <c r="AQ506" t="str">
        <f>IF(Audit_Data[[#This Row],[Z_CostContact]]=3,"Valid","Invalid")</f>
        <v>Valid</v>
      </c>
      <c r="AR506" t="str">
        <f t="shared" si="101"/>
        <v>Valid</v>
      </c>
      <c r="AS506" t="str">
        <f t="shared" si="102"/>
        <v>Valid</v>
      </c>
    </row>
    <row r="507" spans="1:45" x14ac:dyDescent="0.3">
      <c r="A507">
        <v>4945</v>
      </c>
      <c r="B507">
        <v>1953</v>
      </c>
      <c r="C507" t="s">
        <v>29</v>
      </c>
      <c r="D507" t="s">
        <v>38</v>
      </c>
      <c r="E507">
        <v>53653</v>
      </c>
      <c r="F507">
        <v>0</v>
      </c>
      <c r="G507">
        <v>0</v>
      </c>
      <c r="H507" s="1">
        <v>41220</v>
      </c>
      <c r="I507">
        <v>29</v>
      </c>
      <c r="J507">
        <v>815</v>
      </c>
      <c r="K507">
        <v>10</v>
      </c>
      <c r="L507">
        <v>239</v>
      </c>
      <c r="M507">
        <v>28</v>
      </c>
      <c r="N507">
        <v>10</v>
      </c>
      <c r="O507">
        <v>108</v>
      </c>
      <c r="P507">
        <v>2</v>
      </c>
      <c r="Q507">
        <v>10</v>
      </c>
      <c r="R507">
        <v>4</v>
      </c>
      <c r="S507">
        <v>12</v>
      </c>
      <c r="T507">
        <v>6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3</v>
      </c>
      <c r="AB507">
        <v>11</v>
      </c>
      <c r="AC507">
        <v>0</v>
      </c>
      <c r="AD507" t="str">
        <f t="shared" si="91"/>
        <v>Ok</v>
      </c>
      <c r="AE507" t="str">
        <f>IF(AND(Audit_Data[[#This Row],[Year_Birth]]&gt;=1900,Audit_Data[[#This Row],[Year_Birth]]&lt;=2010),"OK","Invalid")</f>
        <v>OK</v>
      </c>
      <c r="AF507" t="str">
        <f t="shared" si="92"/>
        <v>Valid</v>
      </c>
      <c r="AG507" t="str">
        <f t="shared" si="93"/>
        <v>Valid</v>
      </c>
      <c r="AH507" t="str">
        <f t="shared" si="94"/>
        <v>Valid</v>
      </c>
      <c r="AI507" t="str">
        <f t="shared" si="95"/>
        <v>Valid</v>
      </c>
      <c r="AJ507" t="str">
        <f t="shared" si="96"/>
        <v>Valid</v>
      </c>
      <c r="AK507" t="str">
        <f t="shared" si="103"/>
        <v xml:space="preserve">Valid </v>
      </c>
      <c r="AL507" t="str">
        <f>IF(AND(Audit_Data[[#This Row],[Recency]]&gt;=0,Audit_Data[[#This Row],[Recency]]&lt;=100),"Valid","Invalid")</f>
        <v>Valid</v>
      </c>
      <c r="AM507" t="str">
        <f t="shared" si="97"/>
        <v>Valid</v>
      </c>
      <c r="AN507" t="str">
        <f t="shared" si="98"/>
        <v>Valid</v>
      </c>
      <c r="AO507" t="str">
        <f t="shared" si="99"/>
        <v>Valid</v>
      </c>
      <c r="AP507" t="str">
        <f t="shared" si="100"/>
        <v>Valid</v>
      </c>
      <c r="AQ507" t="str">
        <f>IF(Audit_Data[[#This Row],[Z_CostContact]]=3,"Valid","Invalid")</f>
        <v>Valid</v>
      </c>
      <c r="AR507" t="str">
        <f t="shared" si="101"/>
        <v>Valid</v>
      </c>
      <c r="AS507" t="str">
        <f t="shared" si="102"/>
        <v>Valid</v>
      </c>
    </row>
    <row r="508" spans="1:45" x14ac:dyDescent="0.3">
      <c r="A508">
        <v>10584</v>
      </c>
      <c r="B508">
        <v>1976</v>
      </c>
      <c r="C508" t="s">
        <v>29</v>
      </c>
      <c r="D508" t="s">
        <v>33</v>
      </c>
      <c r="E508">
        <v>65665</v>
      </c>
      <c r="F508">
        <v>0</v>
      </c>
      <c r="G508">
        <v>1</v>
      </c>
      <c r="H508" s="1">
        <v>41610</v>
      </c>
      <c r="I508">
        <v>77</v>
      </c>
      <c r="J508">
        <v>225</v>
      </c>
      <c r="K508">
        <v>162</v>
      </c>
      <c r="L508">
        <v>387</v>
      </c>
      <c r="M508">
        <v>106</v>
      </c>
      <c r="N508">
        <v>36</v>
      </c>
      <c r="O508">
        <v>29</v>
      </c>
      <c r="P508">
        <v>1</v>
      </c>
      <c r="Q508">
        <v>5</v>
      </c>
      <c r="R508">
        <v>10</v>
      </c>
      <c r="S508">
        <v>8</v>
      </c>
      <c r="T508">
        <v>3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3</v>
      </c>
      <c r="AB508">
        <v>11</v>
      </c>
      <c r="AC508">
        <v>0</v>
      </c>
      <c r="AD508" t="str">
        <f t="shared" si="91"/>
        <v>Ok</v>
      </c>
      <c r="AE508" t="str">
        <f>IF(AND(Audit_Data[[#This Row],[Year_Birth]]&gt;=1900,Audit_Data[[#This Row],[Year_Birth]]&lt;=2010),"OK","Invalid")</f>
        <v>OK</v>
      </c>
      <c r="AF508" t="str">
        <f t="shared" si="92"/>
        <v>Valid</v>
      </c>
      <c r="AG508" t="str">
        <f t="shared" si="93"/>
        <v>Valid</v>
      </c>
      <c r="AH508" t="str">
        <f t="shared" si="94"/>
        <v>Valid</v>
      </c>
      <c r="AI508" t="str">
        <f t="shared" si="95"/>
        <v>Valid</v>
      </c>
      <c r="AJ508" t="str">
        <f t="shared" si="96"/>
        <v>Valid</v>
      </c>
      <c r="AK508" t="str">
        <f t="shared" si="103"/>
        <v xml:space="preserve">Valid </v>
      </c>
      <c r="AL508" t="str">
        <f>IF(AND(Audit_Data[[#This Row],[Recency]]&gt;=0,Audit_Data[[#This Row],[Recency]]&lt;=100),"Valid","Invalid")</f>
        <v>Valid</v>
      </c>
      <c r="AM508" t="str">
        <f t="shared" si="97"/>
        <v>Valid</v>
      </c>
      <c r="AN508" t="str">
        <f t="shared" si="98"/>
        <v>Valid</v>
      </c>
      <c r="AO508" t="str">
        <f t="shared" si="99"/>
        <v>Valid</v>
      </c>
      <c r="AP508" t="str">
        <f t="shared" si="100"/>
        <v>Valid</v>
      </c>
      <c r="AQ508" t="str">
        <f>IF(Audit_Data[[#This Row],[Z_CostContact]]=3,"Valid","Invalid")</f>
        <v>Valid</v>
      </c>
      <c r="AR508" t="str">
        <f t="shared" si="101"/>
        <v>Valid</v>
      </c>
      <c r="AS508" t="str">
        <f t="shared" si="102"/>
        <v>Valid</v>
      </c>
    </row>
    <row r="509" spans="1:45" x14ac:dyDescent="0.3">
      <c r="A509">
        <v>6071</v>
      </c>
      <c r="B509">
        <v>1989</v>
      </c>
      <c r="C509" t="s">
        <v>29</v>
      </c>
      <c r="D509" t="s">
        <v>30</v>
      </c>
      <c r="E509">
        <v>81217</v>
      </c>
      <c r="F509">
        <v>0</v>
      </c>
      <c r="G509">
        <v>0</v>
      </c>
      <c r="H509" s="1">
        <v>41474</v>
      </c>
      <c r="I509">
        <v>77</v>
      </c>
      <c r="J509">
        <v>493</v>
      </c>
      <c r="K509">
        <v>70</v>
      </c>
      <c r="L509">
        <v>324</v>
      </c>
      <c r="M509">
        <v>146</v>
      </c>
      <c r="N509">
        <v>40</v>
      </c>
      <c r="O509">
        <v>84</v>
      </c>
      <c r="P509">
        <v>1</v>
      </c>
      <c r="Q509">
        <v>3</v>
      </c>
      <c r="R509">
        <v>7</v>
      </c>
      <c r="S509">
        <v>11</v>
      </c>
      <c r="T509">
        <v>1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3</v>
      </c>
      <c r="AB509">
        <v>11</v>
      </c>
      <c r="AC509">
        <v>0</v>
      </c>
      <c r="AD509" t="str">
        <f t="shared" si="91"/>
        <v>Ok</v>
      </c>
      <c r="AE509" t="str">
        <f>IF(AND(Audit_Data[[#This Row],[Year_Birth]]&gt;=1900,Audit_Data[[#This Row],[Year_Birth]]&lt;=2010),"OK","Invalid")</f>
        <v>OK</v>
      </c>
      <c r="AF509" t="str">
        <f t="shared" si="92"/>
        <v>Valid</v>
      </c>
      <c r="AG509" t="str">
        <f t="shared" si="93"/>
        <v>Valid</v>
      </c>
      <c r="AH509" t="str">
        <f t="shared" si="94"/>
        <v>Valid</v>
      </c>
      <c r="AI509" t="str">
        <f t="shared" si="95"/>
        <v>Valid</v>
      </c>
      <c r="AJ509" t="str">
        <f t="shared" si="96"/>
        <v>Valid</v>
      </c>
      <c r="AK509" t="str">
        <f t="shared" si="103"/>
        <v xml:space="preserve">Valid </v>
      </c>
      <c r="AL509" t="str">
        <f>IF(AND(Audit_Data[[#This Row],[Recency]]&gt;=0,Audit_Data[[#This Row],[Recency]]&lt;=100),"Valid","Invalid")</f>
        <v>Valid</v>
      </c>
      <c r="AM509" t="str">
        <f t="shared" si="97"/>
        <v>Valid</v>
      </c>
      <c r="AN509" t="str">
        <f t="shared" si="98"/>
        <v>Valid</v>
      </c>
      <c r="AO509" t="str">
        <f t="shared" si="99"/>
        <v>Valid</v>
      </c>
      <c r="AP509" t="str">
        <f t="shared" si="100"/>
        <v>Valid</v>
      </c>
      <c r="AQ509" t="str">
        <f>IF(Audit_Data[[#This Row],[Z_CostContact]]=3,"Valid","Invalid")</f>
        <v>Valid</v>
      </c>
      <c r="AR509" t="str">
        <f t="shared" si="101"/>
        <v>Valid</v>
      </c>
      <c r="AS509" t="str">
        <f t="shared" si="102"/>
        <v>Valid</v>
      </c>
    </row>
    <row r="510" spans="1:45" x14ac:dyDescent="0.3">
      <c r="A510">
        <v>3386</v>
      </c>
      <c r="B510">
        <v>1992</v>
      </c>
      <c r="C510" t="s">
        <v>29</v>
      </c>
      <c r="D510" t="s">
        <v>33</v>
      </c>
      <c r="E510">
        <v>34935</v>
      </c>
      <c r="F510">
        <v>0</v>
      </c>
      <c r="G510">
        <v>0</v>
      </c>
      <c r="H510" s="1">
        <v>41446</v>
      </c>
      <c r="I510">
        <v>71</v>
      </c>
      <c r="J510">
        <v>34</v>
      </c>
      <c r="K510">
        <v>4</v>
      </c>
      <c r="L510">
        <v>66</v>
      </c>
      <c r="M510">
        <v>3</v>
      </c>
      <c r="N510">
        <v>10</v>
      </c>
      <c r="O510">
        <v>20</v>
      </c>
      <c r="P510">
        <v>1</v>
      </c>
      <c r="Q510">
        <v>2</v>
      </c>
      <c r="R510">
        <v>1</v>
      </c>
      <c r="S510">
        <v>4</v>
      </c>
      <c r="T510">
        <v>7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3</v>
      </c>
      <c r="AB510">
        <v>11</v>
      </c>
      <c r="AC510">
        <v>0</v>
      </c>
      <c r="AD510" t="str">
        <f t="shared" si="91"/>
        <v>Ok</v>
      </c>
      <c r="AE510" t="str">
        <f>IF(AND(Audit_Data[[#This Row],[Year_Birth]]&gt;=1900,Audit_Data[[#This Row],[Year_Birth]]&lt;=2010),"OK","Invalid")</f>
        <v>OK</v>
      </c>
      <c r="AF510" t="str">
        <f t="shared" si="92"/>
        <v>Valid</v>
      </c>
      <c r="AG510" t="str">
        <f t="shared" si="93"/>
        <v>Valid</v>
      </c>
      <c r="AH510" t="str">
        <f t="shared" si="94"/>
        <v>Valid</v>
      </c>
      <c r="AI510" t="str">
        <f t="shared" si="95"/>
        <v>Valid</v>
      </c>
      <c r="AJ510" t="str">
        <f t="shared" si="96"/>
        <v>Valid</v>
      </c>
      <c r="AK510" t="str">
        <f t="shared" si="103"/>
        <v xml:space="preserve">Valid </v>
      </c>
      <c r="AL510" t="str">
        <f>IF(AND(Audit_Data[[#This Row],[Recency]]&gt;=0,Audit_Data[[#This Row],[Recency]]&lt;=100),"Valid","Invalid")</f>
        <v>Valid</v>
      </c>
      <c r="AM510" t="str">
        <f t="shared" si="97"/>
        <v>Valid</v>
      </c>
      <c r="AN510" t="str">
        <f t="shared" si="98"/>
        <v>Valid</v>
      </c>
      <c r="AO510" t="str">
        <f t="shared" si="99"/>
        <v>Valid</v>
      </c>
      <c r="AP510" t="str">
        <f t="shared" si="100"/>
        <v>Valid</v>
      </c>
      <c r="AQ510" t="str">
        <f>IF(Audit_Data[[#This Row],[Z_CostContact]]=3,"Valid","Invalid")</f>
        <v>Valid</v>
      </c>
      <c r="AR510" t="str">
        <f t="shared" si="101"/>
        <v>Valid</v>
      </c>
      <c r="AS510" t="str">
        <f t="shared" si="102"/>
        <v>Valid</v>
      </c>
    </row>
    <row r="511" spans="1:45" x14ac:dyDescent="0.3">
      <c r="A511">
        <v>8939</v>
      </c>
      <c r="B511">
        <v>1959</v>
      </c>
      <c r="C511" t="s">
        <v>29</v>
      </c>
      <c r="D511" t="s">
        <v>35</v>
      </c>
      <c r="E511">
        <v>61250</v>
      </c>
      <c r="F511">
        <v>0</v>
      </c>
      <c r="G511">
        <v>1</v>
      </c>
      <c r="H511" s="1">
        <v>41259</v>
      </c>
      <c r="I511">
        <v>49</v>
      </c>
      <c r="J511">
        <v>382</v>
      </c>
      <c r="K511">
        <v>138</v>
      </c>
      <c r="L511">
        <v>65</v>
      </c>
      <c r="M511">
        <v>60</v>
      </c>
      <c r="N511">
        <v>26</v>
      </c>
      <c r="O511">
        <v>59</v>
      </c>
      <c r="P511">
        <v>6</v>
      </c>
      <c r="Q511">
        <v>5</v>
      </c>
      <c r="R511">
        <v>2</v>
      </c>
      <c r="S511">
        <v>12</v>
      </c>
      <c r="T511">
        <v>5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3</v>
      </c>
      <c r="AB511">
        <v>11</v>
      </c>
      <c r="AC511">
        <v>0</v>
      </c>
      <c r="AD511" t="str">
        <f t="shared" si="91"/>
        <v>Ok</v>
      </c>
      <c r="AE511" t="str">
        <f>IF(AND(Audit_Data[[#This Row],[Year_Birth]]&gt;=1900,Audit_Data[[#This Row],[Year_Birth]]&lt;=2010),"OK","Invalid")</f>
        <v>OK</v>
      </c>
      <c r="AF511" t="str">
        <f t="shared" si="92"/>
        <v>Valid</v>
      </c>
      <c r="AG511" t="str">
        <f t="shared" si="93"/>
        <v>Valid</v>
      </c>
      <c r="AH511" t="str">
        <f t="shared" si="94"/>
        <v>Valid</v>
      </c>
      <c r="AI511" t="str">
        <f t="shared" si="95"/>
        <v>Valid</v>
      </c>
      <c r="AJ511" t="str">
        <f t="shared" si="96"/>
        <v>Valid</v>
      </c>
      <c r="AK511" t="str">
        <f t="shared" si="103"/>
        <v xml:space="preserve">Valid </v>
      </c>
      <c r="AL511" t="str">
        <f>IF(AND(Audit_Data[[#This Row],[Recency]]&gt;=0,Audit_Data[[#This Row],[Recency]]&lt;=100),"Valid","Invalid")</f>
        <v>Valid</v>
      </c>
      <c r="AM511" t="str">
        <f t="shared" si="97"/>
        <v>Valid</v>
      </c>
      <c r="AN511" t="str">
        <f t="shared" si="98"/>
        <v>Valid</v>
      </c>
      <c r="AO511" t="str">
        <f t="shared" si="99"/>
        <v>Valid</v>
      </c>
      <c r="AP511" t="str">
        <f t="shared" si="100"/>
        <v>Valid</v>
      </c>
      <c r="AQ511" t="str">
        <f>IF(Audit_Data[[#This Row],[Z_CostContact]]=3,"Valid","Invalid")</f>
        <v>Valid</v>
      </c>
      <c r="AR511" t="str">
        <f t="shared" si="101"/>
        <v>Valid</v>
      </c>
      <c r="AS511" t="str">
        <f t="shared" si="102"/>
        <v>Valid</v>
      </c>
    </row>
    <row r="512" spans="1:45" x14ac:dyDescent="0.3">
      <c r="A512">
        <v>9925</v>
      </c>
      <c r="B512">
        <v>1981</v>
      </c>
      <c r="C512" t="s">
        <v>32</v>
      </c>
      <c r="D512" t="s">
        <v>31</v>
      </c>
      <c r="E512">
        <v>39665</v>
      </c>
      <c r="F512">
        <v>1</v>
      </c>
      <c r="G512">
        <v>0</v>
      </c>
      <c r="H512" s="1">
        <v>41419</v>
      </c>
      <c r="I512">
        <v>97</v>
      </c>
      <c r="J512">
        <v>127</v>
      </c>
      <c r="K512">
        <v>1</v>
      </c>
      <c r="L512">
        <v>56</v>
      </c>
      <c r="M512">
        <v>0</v>
      </c>
      <c r="N512">
        <v>1</v>
      </c>
      <c r="O512">
        <v>31</v>
      </c>
      <c r="P512">
        <v>3</v>
      </c>
      <c r="Q512">
        <v>4</v>
      </c>
      <c r="R512">
        <v>2</v>
      </c>
      <c r="S512">
        <v>3</v>
      </c>
      <c r="T512">
        <v>7</v>
      </c>
      <c r="U512">
        <v>1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3</v>
      </c>
      <c r="AB512">
        <v>11</v>
      </c>
      <c r="AC512">
        <v>0</v>
      </c>
      <c r="AD512" t="str">
        <f t="shared" si="91"/>
        <v>Ok</v>
      </c>
      <c r="AE512" t="str">
        <f>IF(AND(Audit_Data[[#This Row],[Year_Birth]]&gt;=1900,Audit_Data[[#This Row],[Year_Birth]]&lt;=2010),"OK","Invalid")</f>
        <v>OK</v>
      </c>
      <c r="AF512" t="str">
        <f t="shared" si="92"/>
        <v>Valid</v>
      </c>
      <c r="AG512" t="str">
        <f t="shared" si="93"/>
        <v>Valid</v>
      </c>
      <c r="AH512" t="str">
        <f t="shared" si="94"/>
        <v>Valid</v>
      </c>
      <c r="AI512" t="str">
        <f t="shared" si="95"/>
        <v>Valid</v>
      </c>
      <c r="AJ512" t="str">
        <f t="shared" si="96"/>
        <v>Valid</v>
      </c>
      <c r="AK512" t="str">
        <f t="shared" si="103"/>
        <v xml:space="preserve">Valid </v>
      </c>
      <c r="AL512" t="str">
        <f>IF(AND(Audit_Data[[#This Row],[Recency]]&gt;=0,Audit_Data[[#This Row],[Recency]]&lt;=100),"Valid","Invalid")</f>
        <v>Valid</v>
      </c>
      <c r="AM512" t="str">
        <f t="shared" si="97"/>
        <v>Valid</v>
      </c>
      <c r="AN512" t="str">
        <f t="shared" si="98"/>
        <v>Valid</v>
      </c>
      <c r="AO512" t="str">
        <f t="shared" si="99"/>
        <v>Valid</v>
      </c>
      <c r="AP512" t="str">
        <f t="shared" si="100"/>
        <v>Valid</v>
      </c>
      <c r="AQ512" t="str">
        <f>IF(Audit_Data[[#This Row],[Z_CostContact]]=3,"Valid","Invalid")</f>
        <v>Valid</v>
      </c>
      <c r="AR512" t="str">
        <f t="shared" si="101"/>
        <v>Valid</v>
      </c>
      <c r="AS512" t="str">
        <f t="shared" si="102"/>
        <v>Valid</v>
      </c>
    </row>
    <row r="513" spans="1:45" x14ac:dyDescent="0.3">
      <c r="A513">
        <v>4320</v>
      </c>
      <c r="B513">
        <v>1979</v>
      </c>
      <c r="C513" t="s">
        <v>29</v>
      </c>
      <c r="D513" t="s">
        <v>30</v>
      </c>
      <c r="E513">
        <v>60152</v>
      </c>
      <c r="F513">
        <v>0</v>
      </c>
      <c r="G513">
        <v>1</v>
      </c>
      <c r="H513" s="1">
        <v>41361</v>
      </c>
      <c r="I513">
        <v>6</v>
      </c>
      <c r="J513">
        <v>325</v>
      </c>
      <c r="K513">
        <v>83</v>
      </c>
      <c r="L513">
        <v>300</v>
      </c>
      <c r="M513">
        <v>86</v>
      </c>
      <c r="N513">
        <v>58</v>
      </c>
      <c r="O513">
        <v>91</v>
      </c>
      <c r="P513">
        <v>1</v>
      </c>
      <c r="Q513">
        <v>6</v>
      </c>
      <c r="R513">
        <v>4</v>
      </c>
      <c r="S513">
        <v>12</v>
      </c>
      <c r="T513">
        <v>3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3</v>
      </c>
      <c r="AB513">
        <v>11</v>
      </c>
      <c r="AC513">
        <v>0</v>
      </c>
      <c r="AD513" t="str">
        <f t="shared" si="91"/>
        <v>Ok</v>
      </c>
      <c r="AE513" t="str">
        <f>IF(AND(Audit_Data[[#This Row],[Year_Birth]]&gt;=1900,Audit_Data[[#This Row],[Year_Birth]]&lt;=2010),"OK","Invalid")</f>
        <v>OK</v>
      </c>
      <c r="AF513" t="str">
        <f t="shared" si="92"/>
        <v>Valid</v>
      </c>
      <c r="AG513" t="str">
        <f t="shared" si="93"/>
        <v>Valid</v>
      </c>
      <c r="AH513" t="str">
        <f t="shared" si="94"/>
        <v>Valid</v>
      </c>
      <c r="AI513" t="str">
        <f t="shared" si="95"/>
        <v>Valid</v>
      </c>
      <c r="AJ513" t="str">
        <f t="shared" si="96"/>
        <v>Valid</v>
      </c>
      <c r="AK513" t="str">
        <f t="shared" si="103"/>
        <v xml:space="preserve">Valid </v>
      </c>
      <c r="AL513" t="str">
        <f>IF(AND(Audit_Data[[#This Row],[Recency]]&gt;=0,Audit_Data[[#This Row],[Recency]]&lt;=100),"Valid","Invalid")</f>
        <v>Valid</v>
      </c>
      <c r="AM513" t="str">
        <f t="shared" si="97"/>
        <v>Valid</v>
      </c>
      <c r="AN513" t="str">
        <f t="shared" si="98"/>
        <v>Valid</v>
      </c>
      <c r="AO513" t="str">
        <f t="shared" si="99"/>
        <v>Valid</v>
      </c>
      <c r="AP513" t="str">
        <f t="shared" si="100"/>
        <v>Valid</v>
      </c>
      <c r="AQ513" t="str">
        <f>IF(Audit_Data[[#This Row],[Z_CostContact]]=3,"Valid","Invalid")</f>
        <v>Valid</v>
      </c>
      <c r="AR513" t="str">
        <f t="shared" si="101"/>
        <v>Valid</v>
      </c>
      <c r="AS513" t="str">
        <f t="shared" si="102"/>
        <v>Valid</v>
      </c>
    </row>
    <row r="514" spans="1:45" x14ac:dyDescent="0.3">
      <c r="A514">
        <v>5389</v>
      </c>
      <c r="B514">
        <v>1964</v>
      </c>
      <c r="C514" t="s">
        <v>29</v>
      </c>
      <c r="D514" t="s">
        <v>33</v>
      </c>
      <c r="E514">
        <v>48920</v>
      </c>
      <c r="F514">
        <v>0</v>
      </c>
      <c r="G514">
        <v>2</v>
      </c>
      <c r="H514" s="1">
        <v>41567</v>
      </c>
      <c r="I514">
        <v>93</v>
      </c>
      <c r="J514">
        <v>238</v>
      </c>
      <c r="K514">
        <v>17</v>
      </c>
      <c r="L514">
        <v>68</v>
      </c>
      <c r="M514">
        <v>8</v>
      </c>
      <c r="N514">
        <v>10</v>
      </c>
      <c r="O514">
        <v>6</v>
      </c>
      <c r="P514">
        <v>3</v>
      </c>
      <c r="Q514">
        <v>6</v>
      </c>
      <c r="R514">
        <v>2</v>
      </c>
      <c r="S514">
        <v>5</v>
      </c>
      <c r="T514">
        <v>7</v>
      </c>
      <c r="U514">
        <v>0</v>
      </c>
      <c r="V514">
        <v>1</v>
      </c>
      <c r="W514">
        <v>0</v>
      </c>
      <c r="X514">
        <v>0</v>
      </c>
      <c r="Y514">
        <v>0</v>
      </c>
      <c r="Z514">
        <v>0</v>
      </c>
      <c r="AA514">
        <v>3</v>
      </c>
      <c r="AB514">
        <v>11</v>
      </c>
      <c r="AC514">
        <v>0</v>
      </c>
      <c r="AD514" t="str">
        <f t="shared" ref="AD514:AD577" si="104">IF(COUNTIF(A:A,A514)&gt;1,"Duplicate","Ok")</f>
        <v>Ok</v>
      </c>
      <c r="AE514" t="str">
        <f>IF(AND(Audit_Data[[#This Row],[Year_Birth]]&gt;=1900,Audit_Data[[#This Row],[Year_Birth]]&lt;=2010),"OK","Invalid")</f>
        <v>OK</v>
      </c>
      <c r="AF514" t="str">
        <f t="shared" ref="AF514:AF577" si="105">IF(OR(C514="Graduation",C514="phD",C514="Master",C514="Basic",C514="2n Cycle"),"Valid","Invalid")</f>
        <v>Valid</v>
      </c>
      <c r="AG514" t="str">
        <f t="shared" ref="AG514:AG577" si="106">IF(OR(D514="Single",D514="Married",D514="Divorced",D514="Together",D514="Widow",D514="Alone"),"Valid","Invalid")</f>
        <v>Valid</v>
      </c>
      <c r="AH514" t="str">
        <f t="shared" ref="AH514:AH577" si="107">IF(AND(ISNUMBER(E514),E514&lt;&gt;""),"Valid","Invalid")</f>
        <v>Valid</v>
      </c>
      <c r="AI514" t="str">
        <f t="shared" ref="AI514:AI577" si="108">IF(AND(F514&gt;=0,F514&lt;=2),"Valid","Invalid")</f>
        <v>Valid</v>
      </c>
      <c r="AJ514" t="str">
        <f t="shared" ref="AJ514:AJ577" si="109">IF(AND(G514&gt;=0,G514&lt;=2),"Valid","Invalid")</f>
        <v>Valid</v>
      </c>
      <c r="AK514" t="str">
        <f t="shared" si="103"/>
        <v xml:space="preserve">Valid </v>
      </c>
      <c r="AL514" t="str">
        <f>IF(AND(Audit_Data[[#This Row],[Recency]]&gt;=0,Audit_Data[[#This Row],[Recency]]&lt;=100),"Valid","Invalid")</f>
        <v>Valid</v>
      </c>
      <c r="AM514" t="str">
        <f t="shared" ref="AM514:AM577" si="110">IF(AND(ISNUMBER(J514),J514&gt;=0,ISNUMBER(K514),K514&gt;=0,ISNUMBER(L514),L514&gt;=0,ISNUMBER(M514),M514&gt;=0,ISNUMBER(N514),N514&gt;=0,ISNUMBER(O514),O514&gt;=0),"Valid","Invalid")</f>
        <v>Valid</v>
      </c>
      <c r="AN514" t="str">
        <f t="shared" ref="AN514:AN577" si="111">IF(AND(ISNUMBER(P514),P514&gt;=0,ISNUMBER(Q514),Q514&gt;=0,ISNUMBER(R514),R514&gt;=0,ISNUMBER(S514),S514&gt;=0,ISNUMBER(T514),T514&gt;=0),"Valid","Invalid")</f>
        <v>Valid</v>
      </c>
      <c r="AO514" t="str">
        <f t="shared" ref="AO514:AO577" si="112">IF(AND(U514&lt;=1,V514&lt;=1,W514&lt;=1,X514&lt;=1,Y514&lt;=1),"Valid","Invalid")</f>
        <v>Valid</v>
      </c>
      <c r="AP514" t="str">
        <f t="shared" ref="AP514:AP577" si="113">IF(OR(Z514=0,Z514=1),"Valid","Invalid")</f>
        <v>Valid</v>
      </c>
      <c r="AQ514" t="str">
        <f>IF(Audit_Data[[#This Row],[Z_CostContact]]=3,"Valid","Invalid")</f>
        <v>Valid</v>
      </c>
      <c r="AR514" t="str">
        <f t="shared" ref="AR514:AR577" si="114">IF(AB514=11,"Valid","Invalid")</f>
        <v>Valid</v>
      </c>
      <c r="AS514" t="str">
        <f t="shared" ref="AS514:AS577" si="115">IF(OR(AC514=0,AC514=1),"Valid","Invalid")</f>
        <v>Valid</v>
      </c>
    </row>
    <row r="515" spans="1:45" x14ac:dyDescent="0.3">
      <c r="A515">
        <v>6036</v>
      </c>
      <c r="B515">
        <v>1959</v>
      </c>
      <c r="C515" t="s">
        <v>34</v>
      </c>
      <c r="D515" t="s">
        <v>31</v>
      </c>
      <c r="E515">
        <v>89120</v>
      </c>
      <c r="F515">
        <v>0</v>
      </c>
      <c r="G515">
        <v>0</v>
      </c>
      <c r="H515" s="1">
        <v>41715</v>
      </c>
      <c r="I515">
        <v>78</v>
      </c>
      <c r="J515">
        <v>1168</v>
      </c>
      <c r="K515">
        <v>92</v>
      </c>
      <c r="L515">
        <v>408</v>
      </c>
      <c r="M515">
        <v>72</v>
      </c>
      <c r="N515">
        <v>129</v>
      </c>
      <c r="O515">
        <v>55</v>
      </c>
      <c r="P515">
        <v>1</v>
      </c>
      <c r="Q515">
        <v>5</v>
      </c>
      <c r="R515">
        <v>6</v>
      </c>
      <c r="S515">
        <v>7</v>
      </c>
      <c r="T515">
        <v>1</v>
      </c>
      <c r="U515">
        <v>0</v>
      </c>
      <c r="V515">
        <v>0</v>
      </c>
      <c r="W515">
        <v>1</v>
      </c>
      <c r="X515">
        <v>0</v>
      </c>
      <c r="Y515">
        <v>0</v>
      </c>
      <c r="Z515">
        <v>0</v>
      </c>
      <c r="AA515">
        <v>3</v>
      </c>
      <c r="AB515">
        <v>11</v>
      </c>
      <c r="AC515">
        <v>0</v>
      </c>
      <c r="AD515" t="str">
        <f t="shared" si="104"/>
        <v>Ok</v>
      </c>
      <c r="AE515" t="str">
        <f>IF(AND(Audit_Data[[#This Row],[Year_Birth]]&gt;=1900,Audit_Data[[#This Row],[Year_Birth]]&lt;=2010),"OK","Invalid")</f>
        <v>OK</v>
      </c>
      <c r="AF515" t="str">
        <f t="shared" si="105"/>
        <v>Valid</v>
      </c>
      <c r="AG515" t="str">
        <f t="shared" si="106"/>
        <v>Valid</v>
      </c>
      <c r="AH515" t="str">
        <f t="shared" si="107"/>
        <v>Valid</v>
      </c>
      <c r="AI515" t="str">
        <f t="shared" si="108"/>
        <v>Valid</v>
      </c>
      <c r="AJ515" t="str">
        <f t="shared" si="109"/>
        <v>Valid</v>
      </c>
      <c r="AK515" t="str">
        <f t="shared" ref="AK515:AK578" si="116">IF(AND(ISNUMBER(H515),H515&gt;=DATE(2012,1,1),H515&lt;=DATE(2014,12,31)),"Valid ","Invalid")</f>
        <v xml:space="preserve">Valid </v>
      </c>
      <c r="AL515" t="str">
        <f>IF(AND(Audit_Data[[#This Row],[Recency]]&gt;=0,Audit_Data[[#This Row],[Recency]]&lt;=100),"Valid","Invalid")</f>
        <v>Valid</v>
      </c>
      <c r="AM515" t="str">
        <f t="shared" si="110"/>
        <v>Valid</v>
      </c>
      <c r="AN515" t="str">
        <f t="shared" si="111"/>
        <v>Valid</v>
      </c>
      <c r="AO515" t="str">
        <f t="shared" si="112"/>
        <v>Valid</v>
      </c>
      <c r="AP515" t="str">
        <f t="shared" si="113"/>
        <v>Valid</v>
      </c>
      <c r="AQ515" t="str">
        <f>IF(Audit_Data[[#This Row],[Z_CostContact]]=3,"Valid","Invalid")</f>
        <v>Valid</v>
      </c>
      <c r="AR515" t="str">
        <f t="shared" si="114"/>
        <v>Valid</v>
      </c>
      <c r="AS515" t="str">
        <f t="shared" si="115"/>
        <v>Valid</v>
      </c>
    </row>
    <row r="516" spans="1:45" x14ac:dyDescent="0.3">
      <c r="A516">
        <v>182</v>
      </c>
      <c r="B516">
        <v>1946</v>
      </c>
      <c r="C516" t="s">
        <v>32</v>
      </c>
      <c r="D516" t="s">
        <v>31</v>
      </c>
      <c r="E516">
        <v>44124</v>
      </c>
      <c r="F516">
        <v>0</v>
      </c>
      <c r="G516">
        <v>1</v>
      </c>
      <c r="H516" s="1">
        <v>41405</v>
      </c>
      <c r="I516">
        <v>62</v>
      </c>
      <c r="J516">
        <v>284</v>
      </c>
      <c r="K516">
        <v>0</v>
      </c>
      <c r="L516">
        <v>55</v>
      </c>
      <c r="M516">
        <v>0</v>
      </c>
      <c r="N516">
        <v>6</v>
      </c>
      <c r="O516">
        <v>52</v>
      </c>
      <c r="P516">
        <v>4</v>
      </c>
      <c r="Q516">
        <v>6</v>
      </c>
      <c r="R516">
        <v>2</v>
      </c>
      <c r="S516">
        <v>5</v>
      </c>
      <c r="T516">
        <v>8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3</v>
      </c>
      <c r="AB516">
        <v>11</v>
      </c>
      <c r="AC516">
        <v>0</v>
      </c>
      <c r="AD516" t="str">
        <f t="shared" si="104"/>
        <v>Ok</v>
      </c>
      <c r="AE516" t="str">
        <f>IF(AND(Audit_Data[[#This Row],[Year_Birth]]&gt;=1900,Audit_Data[[#This Row],[Year_Birth]]&lt;=2010),"OK","Invalid")</f>
        <v>OK</v>
      </c>
      <c r="AF516" t="str">
        <f t="shared" si="105"/>
        <v>Valid</v>
      </c>
      <c r="AG516" t="str">
        <f t="shared" si="106"/>
        <v>Valid</v>
      </c>
      <c r="AH516" t="str">
        <f t="shared" si="107"/>
        <v>Valid</v>
      </c>
      <c r="AI516" t="str">
        <f t="shared" si="108"/>
        <v>Valid</v>
      </c>
      <c r="AJ516" t="str">
        <f t="shared" si="109"/>
        <v>Valid</v>
      </c>
      <c r="AK516" t="str">
        <f t="shared" si="116"/>
        <v xml:space="preserve">Valid </v>
      </c>
      <c r="AL516" t="str">
        <f>IF(AND(Audit_Data[[#This Row],[Recency]]&gt;=0,Audit_Data[[#This Row],[Recency]]&lt;=100),"Valid","Invalid")</f>
        <v>Valid</v>
      </c>
      <c r="AM516" t="str">
        <f t="shared" si="110"/>
        <v>Valid</v>
      </c>
      <c r="AN516" t="str">
        <f t="shared" si="111"/>
        <v>Valid</v>
      </c>
      <c r="AO516" t="str">
        <f t="shared" si="112"/>
        <v>Valid</v>
      </c>
      <c r="AP516" t="str">
        <f t="shared" si="113"/>
        <v>Valid</v>
      </c>
      <c r="AQ516" t="str">
        <f>IF(Audit_Data[[#This Row],[Z_CostContact]]=3,"Valid","Invalid")</f>
        <v>Valid</v>
      </c>
      <c r="AR516" t="str">
        <f t="shared" si="114"/>
        <v>Valid</v>
      </c>
      <c r="AS516" t="str">
        <f t="shared" si="115"/>
        <v>Valid</v>
      </c>
    </row>
    <row r="517" spans="1:45" x14ac:dyDescent="0.3">
      <c r="A517">
        <v>203</v>
      </c>
      <c r="B517">
        <v>1975</v>
      </c>
      <c r="C517" t="s">
        <v>34</v>
      </c>
      <c r="D517" t="s">
        <v>30</v>
      </c>
      <c r="E517">
        <v>81169</v>
      </c>
      <c r="F517">
        <v>0</v>
      </c>
      <c r="G517">
        <v>0</v>
      </c>
      <c r="H517" s="1">
        <v>41378</v>
      </c>
      <c r="I517">
        <v>47</v>
      </c>
      <c r="J517">
        <v>1288</v>
      </c>
      <c r="K517">
        <v>20</v>
      </c>
      <c r="L517">
        <v>613</v>
      </c>
      <c r="M517">
        <v>80</v>
      </c>
      <c r="N517">
        <v>61</v>
      </c>
      <c r="O517">
        <v>27</v>
      </c>
      <c r="P517">
        <v>1</v>
      </c>
      <c r="Q517">
        <v>5</v>
      </c>
      <c r="R517">
        <v>7</v>
      </c>
      <c r="S517">
        <v>9</v>
      </c>
      <c r="T517">
        <v>2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3</v>
      </c>
      <c r="AB517">
        <v>11</v>
      </c>
      <c r="AC517">
        <v>0</v>
      </c>
      <c r="AD517" t="str">
        <f t="shared" si="104"/>
        <v>Ok</v>
      </c>
      <c r="AE517" t="str">
        <f>IF(AND(Audit_Data[[#This Row],[Year_Birth]]&gt;=1900,Audit_Data[[#This Row],[Year_Birth]]&lt;=2010),"OK","Invalid")</f>
        <v>OK</v>
      </c>
      <c r="AF517" t="str">
        <f t="shared" si="105"/>
        <v>Valid</v>
      </c>
      <c r="AG517" t="str">
        <f t="shared" si="106"/>
        <v>Valid</v>
      </c>
      <c r="AH517" t="str">
        <f t="shared" si="107"/>
        <v>Valid</v>
      </c>
      <c r="AI517" t="str">
        <f t="shared" si="108"/>
        <v>Valid</v>
      </c>
      <c r="AJ517" t="str">
        <f t="shared" si="109"/>
        <v>Valid</v>
      </c>
      <c r="AK517" t="str">
        <f t="shared" si="116"/>
        <v xml:space="preserve">Valid </v>
      </c>
      <c r="AL517" t="str">
        <f>IF(AND(Audit_Data[[#This Row],[Recency]]&gt;=0,Audit_Data[[#This Row],[Recency]]&lt;=100),"Valid","Invalid")</f>
        <v>Valid</v>
      </c>
      <c r="AM517" t="str">
        <f t="shared" si="110"/>
        <v>Valid</v>
      </c>
      <c r="AN517" t="str">
        <f t="shared" si="111"/>
        <v>Valid</v>
      </c>
      <c r="AO517" t="str">
        <f t="shared" si="112"/>
        <v>Valid</v>
      </c>
      <c r="AP517" t="str">
        <f t="shared" si="113"/>
        <v>Valid</v>
      </c>
      <c r="AQ517" t="str">
        <f>IF(Audit_Data[[#This Row],[Z_CostContact]]=3,"Valid","Invalid")</f>
        <v>Valid</v>
      </c>
      <c r="AR517" t="str">
        <f t="shared" si="114"/>
        <v>Valid</v>
      </c>
      <c r="AS517" t="str">
        <f t="shared" si="115"/>
        <v>Valid</v>
      </c>
    </row>
    <row r="518" spans="1:45" x14ac:dyDescent="0.3">
      <c r="A518">
        <v>11025</v>
      </c>
      <c r="B518">
        <v>1961</v>
      </c>
      <c r="C518" t="s">
        <v>29</v>
      </c>
      <c r="D518" t="s">
        <v>33</v>
      </c>
      <c r="E518">
        <v>36443</v>
      </c>
      <c r="F518">
        <v>1</v>
      </c>
      <c r="G518">
        <v>1</v>
      </c>
      <c r="H518" s="1">
        <v>41308</v>
      </c>
      <c r="I518">
        <v>9</v>
      </c>
      <c r="J518">
        <v>65</v>
      </c>
      <c r="K518">
        <v>0</v>
      </c>
      <c r="L518">
        <v>46</v>
      </c>
      <c r="M518">
        <v>4</v>
      </c>
      <c r="N518">
        <v>3</v>
      </c>
      <c r="O518">
        <v>20</v>
      </c>
      <c r="P518">
        <v>4</v>
      </c>
      <c r="Q518">
        <v>3</v>
      </c>
      <c r="R518">
        <v>1</v>
      </c>
      <c r="S518">
        <v>3</v>
      </c>
      <c r="T518">
        <v>8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3</v>
      </c>
      <c r="AB518">
        <v>11</v>
      </c>
      <c r="AC518">
        <v>0</v>
      </c>
      <c r="AD518" t="str">
        <f t="shared" si="104"/>
        <v>Ok</v>
      </c>
      <c r="AE518" t="str">
        <f>IF(AND(Audit_Data[[#This Row],[Year_Birth]]&gt;=1900,Audit_Data[[#This Row],[Year_Birth]]&lt;=2010),"OK","Invalid")</f>
        <v>OK</v>
      </c>
      <c r="AF518" t="str">
        <f t="shared" si="105"/>
        <v>Valid</v>
      </c>
      <c r="AG518" t="str">
        <f t="shared" si="106"/>
        <v>Valid</v>
      </c>
      <c r="AH518" t="str">
        <f t="shared" si="107"/>
        <v>Valid</v>
      </c>
      <c r="AI518" t="str">
        <f t="shared" si="108"/>
        <v>Valid</v>
      </c>
      <c r="AJ518" t="str">
        <f t="shared" si="109"/>
        <v>Valid</v>
      </c>
      <c r="AK518" t="str">
        <f t="shared" si="116"/>
        <v xml:space="preserve">Valid </v>
      </c>
      <c r="AL518" t="str">
        <f>IF(AND(Audit_Data[[#This Row],[Recency]]&gt;=0,Audit_Data[[#This Row],[Recency]]&lt;=100),"Valid","Invalid")</f>
        <v>Valid</v>
      </c>
      <c r="AM518" t="str">
        <f t="shared" si="110"/>
        <v>Valid</v>
      </c>
      <c r="AN518" t="str">
        <f t="shared" si="111"/>
        <v>Valid</v>
      </c>
      <c r="AO518" t="str">
        <f t="shared" si="112"/>
        <v>Valid</v>
      </c>
      <c r="AP518" t="str">
        <f t="shared" si="113"/>
        <v>Valid</v>
      </c>
      <c r="AQ518" t="str">
        <f>IF(Audit_Data[[#This Row],[Z_CostContact]]=3,"Valid","Invalid")</f>
        <v>Valid</v>
      </c>
      <c r="AR518" t="str">
        <f t="shared" si="114"/>
        <v>Valid</v>
      </c>
      <c r="AS518" t="str">
        <f t="shared" si="115"/>
        <v>Valid</v>
      </c>
    </row>
    <row r="519" spans="1:45" x14ac:dyDescent="0.3">
      <c r="A519">
        <v>10203</v>
      </c>
      <c r="B519">
        <v>1990</v>
      </c>
      <c r="C519" t="s">
        <v>29</v>
      </c>
      <c r="D519" t="s">
        <v>30</v>
      </c>
      <c r="E519">
        <v>26095</v>
      </c>
      <c r="F519">
        <v>1</v>
      </c>
      <c r="G519">
        <v>0</v>
      </c>
      <c r="H519" s="1">
        <v>41455</v>
      </c>
      <c r="I519">
        <v>77</v>
      </c>
      <c r="J519">
        <v>11</v>
      </c>
      <c r="K519">
        <v>7</v>
      </c>
      <c r="L519">
        <v>9</v>
      </c>
      <c r="M519">
        <v>3</v>
      </c>
      <c r="N519">
        <v>1</v>
      </c>
      <c r="O519">
        <v>11</v>
      </c>
      <c r="P519">
        <v>1</v>
      </c>
      <c r="Q519">
        <v>1</v>
      </c>
      <c r="R519">
        <v>0</v>
      </c>
      <c r="S519">
        <v>3</v>
      </c>
      <c r="T519">
        <v>7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3</v>
      </c>
      <c r="AB519">
        <v>11</v>
      </c>
      <c r="AC519">
        <v>0</v>
      </c>
      <c r="AD519" t="str">
        <f t="shared" si="104"/>
        <v>Ok</v>
      </c>
      <c r="AE519" t="str">
        <f>IF(AND(Audit_Data[[#This Row],[Year_Birth]]&gt;=1900,Audit_Data[[#This Row],[Year_Birth]]&lt;=2010),"OK","Invalid")</f>
        <v>OK</v>
      </c>
      <c r="AF519" t="str">
        <f t="shared" si="105"/>
        <v>Valid</v>
      </c>
      <c r="AG519" t="str">
        <f t="shared" si="106"/>
        <v>Valid</v>
      </c>
      <c r="AH519" t="str">
        <f t="shared" si="107"/>
        <v>Valid</v>
      </c>
      <c r="AI519" t="str">
        <f t="shared" si="108"/>
        <v>Valid</v>
      </c>
      <c r="AJ519" t="str">
        <f t="shared" si="109"/>
        <v>Valid</v>
      </c>
      <c r="AK519" t="str">
        <f t="shared" si="116"/>
        <v xml:space="preserve">Valid </v>
      </c>
      <c r="AL519" t="str">
        <f>IF(AND(Audit_Data[[#This Row],[Recency]]&gt;=0,Audit_Data[[#This Row],[Recency]]&lt;=100),"Valid","Invalid")</f>
        <v>Valid</v>
      </c>
      <c r="AM519" t="str">
        <f t="shared" si="110"/>
        <v>Valid</v>
      </c>
      <c r="AN519" t="str">
        <f t="shared" si="111"/>
        <v>Valid</v>
      </c>
      <c r="AO519" t="str">
        <f t="shared" si="112"/>
        <v>Valid</v>
      </c>
      <c r="AP519" t="str">
        <f t="shared" si="113"/>
        <v>Valid</v>
      </c>
      <c r="AQ519" t="str">
        <f>IF(Audit_Data[[#This Row],[Z_CostContact]]=3,"Valid","Invalid")</f>
        <v>Valid</v>
      </c>
      <c r="AR519" t="str">
        <f t="shared" si="114"/>
        <v>Valid</v>
      </c>
      <c r="AS519" t="str">
        <f t="shared" si="115"/>
        <v>Valid</v>
      </c>
    </row>
    <row r="520" spans="1:45" x14ac:dyDescent="0.3">
      <c r="A520">
        <v>4607</v>
      </c>
      <c r="B520">
        <v>1959</v>
      </c>
      <c r="C520" t="s">
        <v>29</v>
      </c>
      <c r="D520" t="s">
        <v>31</v>
      </c>
      <c r="E520">
        <v>71367</v>
      </c>
      <c r="F520">
        <v>0</v>
      </c>
      <c r="G520">
        <v>0</v>
      </c>
      <c r="H520" s="1">
        <v>41509</v>
      </c>
      <c r="I520">
        <v>24</v>
      </c>
      <c r="J520">
        <v>227</v>
      </c>
      <c r="K520">
        <v>23</v>
      </c>
      <c r="L520">
        <v>389</v>
      </c>
      <c r="M520">
        <v>42</v>
      </c>
      <c r="N520">
        <v>21</v>
      </c>
      <c r="O520">
        <v>75</v>
      </c>
      <c r="P520">
        <v>1</v>
      </c>
      <c r="Q520">
        <v>4</v>
      </c>
      <c r="R520">
        <v>5</v>
      </c>
      <c r="S520">
        <v>7</v>
      </c>
      <c r="T520">
        <v>2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3</v>
      </c>
      <c r="AB520">
        <v>11</v>
      </c>
      <c r="AC520">
        <v>0</v>
      </c>
      <c r="AD520" t="str">
        <f t="shared" si="104"/>
        <v>Ok</v>
      </c>
      <c r="AE520" t="str">
        <f>IF(AND(Audit_Data[[#This Row],[Year_Birth]]&gt;=1900,Audit_Data[[#This Row],[Year_Birth]]&lt;=2010),"OK","Invalid")</f>
        <v>OK</v>
      </c>
      <c r="AF520" t="str">
        <f t="shared" si="105"/>
        <v>Valid</v>
      </c>
      <c r="AG520" t="str">
        <f t="shared" si="106"/>
        <v>Valid</v>
      </c>
      <c r="AH520" t="str">
        <f t="shared" si="107"/>
        <v>Valid</v>
      </c>
      <c r="AI520" t="str">
        <f t="shared" si="108"/>
        <v>Valid</v>
      </c>
      <c r="AJ520" t="str">
        <f t="shared" si="109"/>
        <v>Valid</v>
      </c>
      <c r="AK520" t="str">
        <f t="shared" si="116"/>
        <v xml:space="preserve">Valid </v>
      </c>
      <c r="AL520" t="str">
        <f>IF(AND(Audit_Data[[#This Row],[Recency]]&gt;=0,Audit_Data[[#This Row],[Recency]]&lt;=100),"Valid","Invalid")</f>
        <v>Valid</v>
      </c>
      <c r="AM520" t="str">
        <f t="shared" si="110"/>
        <v>Valid</v>
      </c>
      <c r="AN520" t="str">
        <f t="shared" si="111"/>
        <v>Valid</v>
      </c>
      <c r="AO520" t="str">
        <f t="shared" si="112"/>
        <v>Valid</v>
      </c>
      <c r="AP520" t="str">
        <f t="shared" si="113"/>
        <v>Valid</v>
      </c>
      <c r="AQ520" t="str">
        <f>IF(Audit_Data[[#This Row],[Z_CostContact]]=3,"Valid","Invalid")</f>
        <v>Valid</v>
      </c>
      <c r="AR520" t="str">
        <f t="shared" si="114"/>
        <v>Valid</v>
      </c>
      <c r="AS520" t="str">
        <f t="shared" si="115"/>
        <v>Valid</v>
      </c>
    </row>
    <row r="521" spans="1:45" x14ac:dyDescent="0.3">
      <c r="A521">
        <v>3711</v>
      </c>
      <c r="B521">
        <v>1944</v>
      </c>
      <c r="C521" t="s">
        <v>34</v>
      </c>
      <c r="D521" t="s">
        <v>33</v>
      </c>
      <c r="E521">
        <v>80184</v>
      </c>
      <c r="F521">
        <v>0</v>
      </c>
      <c r="G521">
        <v>0</v>
      </c>
      <c r="H521" s="1">
        <v>41699</v>
      </c>
      <c r="I521">
        <v>19</v>
      </c>
      <c r="J521">
        <v>1035</v>
      </c>
      <c r="K521">
        <v>134</v>
      </c>
      <c r="L521">
        <v>670</v>
      </c>
      <c r="M521">
        <v>25</v>
      </c>
      <c r="N521">
        <v>38</v>
      </c>
      <c r="O521">
        <v>0</v>
      </c>
      <c r="P521">
        <v>1</v>
      </c>
      <c r="Q521">
        <v>6</v>
      </c>
      <c r="R521">
        <v>3</v>
      </c>
      <c r="S521">
        <v>10</v>
      </c>
      <c r="T521">
        <v>3</v>
      </c>
      <c r="U521">
        <v>0</v>
      </c>
      <c r="V521">
        <v>0</v>
      </c>
      <c r="W521">
        <v>1</v>
      </c>
      <c r="X521">
        <v>1</v>
      </c>
      <c r="Y521">
        <v>0</v>
      </c>
      <c r="Z521">
        <v>0</v>
      </c>
      <c r="AA521">
        <v>3</v>
      </c>
      <c r="AB521">
        <v>11</v>
      </c>
      <c r="AC521">
        <v>0</v>
      </c>
      <c r="AD521" t="str">
        <f t="shared" si="104"/>
        <v>Ok</v>
      </c>
      <c r="AE521" t="str">
        <f>IF(AND(Audit_Data[[#This Row],[Year_Birth]]&gt;=1900,Audit_Data[[#This Row],[Year_Birth]]&lt;=2010),"OK","Invalid")</f>
        <v>OK</v>
      </c>
      <c r="AF521" t="str">
        <f t="shared" si="105"/>
        <v>Valid</v>
      </c>
      <c r="AG521" t="str">
        <f t="shared" si="106"/>
        <v>Valid</v>
      </c>
      <c r="AH521" t="str">
        <f t="shared" si="107"/>
        <v>Valid</v>
      </c>
      <c r="AI521" t="str">
        <f t="shared" si="108"/>
        <v>Valid</v>
      </c>
      <c r="AJ521" t="str">
        <f t="shared" si="109"/>
        <v>Valid</v>
      </c>
      <c r="AK521" t="str">
        <f t="shared" si="116"/>
        <v xml:space="preserve">Valid </v>
      </c>
      <c r="AL521" t="str">
        <f>IF(AND(Audit_Data[[#This Row],[Recency]]&gt;=0,Audit_Data[[#This Row],[Recency]]&lt;=100),"Valid","Invalid")</f>
        <v>Valid</v>
      </c>
      <c r="AM521" t="str">
        <f t="shared" si="110"/>
        <v>Valid</v>
      </c>
      <c r="AN521" t="str">
        <f t="shared" si="111"/>
        <v>Valid</v>
      </c>
      <c r="AO521" t="str">
        <f t="shared" si="112"/>
        <v>Valid</v>
      </c>
      <c r="AP521" t="str">
        <f t="shared" si="113"/>
        <v>Valid</v>
      </c>
      <c r="AQ521" t="str">
        <f>IF(Audit_Data[[#This Row],[Z_CostContact]]=3,"Valid","Invalid")</f>
        <v>Valid</v>
      </c>
      <c r="AR521" t="str">
        <f t="shared" si="114"/>
        <v>Valid</v>
      </c>
      <c r="AS521" t="str">
        <f t="shared" si="115"/>
        <v>Valid</v>
      </c>
    </row>
    <row r="522" spans="1:45" x14ac:dyDescent="0.3">
      <c r="A522">
        <v>3696</v>
      </c>
      <c r="B522">
        <v>1965</v>
      </c>
      <c r="C522" t="s">
        <v>29</v>
      </c>
      <c r="D522" t="s">
        <v>35</v>
      </c>
      <c r="E522">
        <v>30630</v>
      </c>
      <c r="F522">
        <v>1</v>
      </c>
      <c r="G522">
        <v>1</v>
      </c>
      <c r="H522" s="1">
        <v>41666</v>
      </c>
      <c r="I522">
        <v>67</v>
      </c>
      <c r="J522">
        <v>27</v>
      </c>
      <c r="K522">
        <v>1</v>
      </c>
      <c r="L522">
        <v>12</v>
      </c>
      <c r="M522">
        <v>2</v>
      </c>
      <c r="N522">
        <v>0</v>
      </c>
      <c r="O522">
        <v>10</v>
      </c>
      <c r="P522">
        <v>2</v>
      </c>
      <c r="Q522">
        <v>2</v>
      </c>
      <c r="R522">
        <v>0</v>
      </c>
      <c r="S522">
        <v>3</v>
      </c>
      <c r="T522">
        <v>7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3</v>
      </c>
      <c r="AB522">
        <v>11</v>
      </c>
      <c r="AC522">
        <v>0</v>
      </c>
      <c r="AD522" t="str">
        <f t="shared" si="104"/>
        <v>Ok</v>
      </c>
      <c r="AE522" t="str">
        <f>IF(AND(Audit_Data[[#This Row],[Year_Birth]]&gt;=1900,Audit_Data[[#This Row],[Year_Birth]]&lt;=2010),"OK","Invalid")</f>
        <v>OK</v>
      </c>
      <c r="AF522" t="str">
        <f t="shared" si="105"/>
        <v>Valid</v>
      </c>
      <c r="AG522" t="str">
        <f t="shared" si="106"/>
        <v>Valid</v>
      </c>
      <c r="AH522" t="str">
        <f t="shared" si="107"/>
        <v>Valid</v>
      </c>
      <c r="AI522" t="str">
        <f t="shared" si="108"/>
        <v>Valid</v>
      </c>
      <c r="AJ522" t="str">
        <f t="shared" si="109"/>
        <v>Valid</v>
      </c>
      <c r="AK522" t="str">
        <f t="shared" si="116"/>
        <v xml:space="preserve">Valid </v>
      </c>
      <c r="AL522" t="str">
        <f>IF(AND(Audit_Data[[#This Row],[Recency]]&gt;=0,Audit_Data[[#This Row],[Recency]]&lt;=100),"Valid","Invalid")</f>
        <v>Valid</v>
      </c>
      <c r="AM522" t="str">
        <f t="shared" si="110"/>
        <v>Valid</v>
      </c>
      <c r="AN522" t="str">
        <f t="shared" si="111"/>
        <v>Valid</v>
      </c>
      <c r="AO522" t="str">
        <f t="shared" si="112"/>
        <v>Valid</v>
      </c>
      <c r="AP522" t="str">
        <f t="shared" si="113"/>
        <v>Valid</v>
      </c>
      <c r="AQ522" t="str">
        <f>IF(Audit_Data[[#This Row],[Z_CostContact]]=3,"Valid","Invalid")</f>
        <v>Valid</v>
      </c>
      <c r="AR522" t="str">
        <f t="shared" si="114"/>
        <v>Valid</v>
      </c>
      <c r="AS522" t="str">
        <f t="shared" si="115"/>
        <v>Valid</v>
      </c>
    </row>
    <row r="523" spans="1:45" x14ac:dyDescent="0.3">
      <c r="A523">
        <v>2532</v>
      </c>
      <c r="B523">
        <v>1987</v>
      </c>
      <c r="C523" t="s">
        <v>34</v>
      </c>
      <c r="D523" t="s">
        <v>30</v>
      </c>
      <c r="E523">
        <v>73454</v>
      </c>
      <c r="F523">
        <v>0</v>
      </c>
      <c r="G523">
        <v>0</v>
      </c>
      <c r="H523" s="1">
        <v>41699</v>
      </c>
      <c r="I523">
        <v>95</v>
      </c>
      <c r="J523">
        <v>982</v>
      </c>
      <c r="K523">
        <v>73</v>
      </c>
      <c r="L523">
        <v>351</v>
      </c>
      <c r="M523">
        <v>56</v>
      </c>
      <c r="N523">
        <v>14</v>
      </c>
      <c r="O523">
        <v>175</v>
      </c>
      <c r="P523">
        <v>1</v>
      </c>
      <c r="Q523">
        <v>2</v>
      </c>
      <c r="R523">
        <v>4</v>
      </c>
      <c r="S523">
        <v>6</v>
      </c>
      <c r="T523">
        <v>5</v>
      </c>
      <c r="U523">
        <v>1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3</v>
      </c>
      <c r="AB523">
        <v>11</v>
      </c>
      <c r="AC523">
        <v>0</v>
      </c>
      <c r="AD523" t="str">
        <f t="shared" si="104"/>
        <v>Ok</v>
      </c>
      <c r="AE523" t="str">
        <f>IF(AND(Audit_Data[[#This Row],[Year_Birth]]&gt;=1900,Audit_Data[[#This Row],[Year_Birth]]&lt;=2010),"OK","Invalid")</f>
        <v>OK</v>
      </c>
      <c r="AF523" t="str">
        <f t="shared" si="105"/>
        <v>Valid</v>
      </c>
      <c r="AG523" t="str">
        <f t="shared" si="106"/>
        <v>Valid</v>
      </c>
      <c r="AH523" t="str">
        <f t="shared" si="107"/>
        <v>Valid</v>
      </c>
      <c r="AI523" t="str">
        <f t="shared" si="108"/>
        <v>Valid</v>
      </c>
      <c r="AJ523" t="str">
        <f t="shared" si="109"/>
        <v>Valid</v>
      </c>
      <c r="AK523" t="str">
        <f t="shared" si="116"/>
        <v xml:space="preserve">Valid </v>
      </c>
      <c r="AL523" t="str">
        <f>IF(AND(Audit_Data[[#This Row],[Recency]]&gt;=0,Audit_Data[[#This Row],[Recency]]&lt;=100),"Valid","Invalid")</f>
        <v>Valid</v>
      </c>
      <c r="AM523" t="str">
        <f t="shared" si="110"/>
        <v>Valid</v>
      </c>
      <c r="AN523" t="str">
        <f t="shared" si="111"/>
        <v>Valid</v>
      </c>
      <c r="AO523" t="str">
        <f t="shared" si="112"/>
        <v>Valid</v>
      </c>
      <c r="AP523" t="str">
        <f t="shared" si="113"/>
        <v>Valid</v>
      </c>
      <c r="AQ523" t="str">
        <f>IF(Audit_Data[[#This Row],[Z_CostContact]]=3,"Valid","Invalid")</f>
        <v>Valid</v>
      </c>
      <c r="AR523" t="str">
        <f t="shared" si="114"/>
        <v>Valid</v>
      </c>
      <c r="AS523" t="str">
        <f t="shared" si="115"/>
        <v>Valid</v>
      </c>
    </row>
    <row r="524" spans="1:45" x14ac:dyDescent="0.3">
      <c r="A524">
        <v>9214</v>
      </c>
      <c r="B524">
        <v>1991</v>
      </c>
      <c r="C524" t="s">
        <v>29</v>
      </c>
      <c r="D524" t="s">
        <v>33</v>
      </c>
      <c r="E524">
        <v>42691</v>
      </c>
      <c r="F524">
        <v>0</v>
      </c>
      <c r="G524">
        <v>0</v>
      </c>
      <c r="H524" s="1">
        <v>41502</v>
      </c>
      <c r="I524">
        <v>48</v>
      </c>
      <c r="J524">
        <v>179</v>
      </c>
      <c r="K524">
        <v>2</v>
      </c>
      <c r="L524">
        <v>64</v>
      </c>
      <c r="M524">
        <v>38</v>
      </c>
      <c r="N524">
        <v>17</v>
      </c>
      <c r="O524">
        <v>58</v>
      </c>
      <c r="P524">
        <v>1</v>
      </c>
      <c r="Q524">
        <v>5</v>
      </c>
      <c r="R524">
        <v>1</v>
      </c>
      <c r="S524">
        <v>6</v>
      </c>
      <c r="T524">
        <v>5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3</v>
      </c>
      <c r="AB524">
        <v>11</v>
      </c>
      <c r="AC524">
        <v>0</v>
      </c>
      <c r="AD524" t="str">
        <f t="shared" si="104"/>
        <v>Ok</v>
      </c>
      <c r="AE524" t="str">
        <f>IF(AND(Audit_Data[[#This Row],[Year_Birth]]&gt;=1900,Audit_Data[[#This Row],[Year_Birth]]&lt;=2010),"OK","Invalid")</f>
        <v>OK</v>
      </c>
      <c r="AF524" t="str">
        <f t="shared" si="105"/>
        <v>Valid</v>
      </c>
      <c r="AG524" t="str">
        <f t="shared" si="106"/>
        <v>Valid</v>
      </c>
      <c r="AH524" t="str">
        <f t="shared" si="107"/>
        <v>Valid</v>
      </c>
      <c r="AI524" t="str">
        <f t="shared" si="108"/>
        <v>Valid</v>
      </c>
      <c r="AJ524" t="str">
        <f t="shared" si="109"/>
        <v>Valid</v>
      </c>
      <c r="AK524" t="str">
        <f t="shared" si="116"/>
        <v xml:space="preserve">Valid </v>
      </c>
      <c r="AL524" t="str">
        <f>IF(AND(Audit_Data[[#This Row],[Recency]]&gt;=0,Audit_Data[[#This Row],[Recency]]&lt;=100),"Valid","Invalid")</f>
        <v>Valid</v>
      </c>
      <c r="AM524" t="str">
        <f t="shared" si="110"/>
        <v>Valid</v>
      </c>
      <c r="AN524" t="str">
        <f t="shared" si="111"/>
        <v>Valid</v>
      </c>
      <c r="AO524" t="str">
        <f t="shared" si="112"/>
        <v>Valid</v>
      </c>
      <c r="AP524" t="str">
        <f t="shared" si="113"/>
        <v>Valid</v>
      </c>
      <c r="AQ524" t="str">
        <f>IF(Audit_Data[[#This Row],[Z_CostContact]]=3,"Valid","Invalid")</f>
        <v>Valid</v>
      </c>
      <c r="AR524" t="str">
        <f t="shared" si="114"/>
        <v>Valid</v>
      </c>
      <c r="AS524" t="str">
        <f t="shared" si="115"/>
        <v>Valid</v>
      </c>
    </row>
    <row r="525" spans="1:45" x14ac:dyDescent="0.3">
      <c r="A525">
        <v>4943</v>
      </c>
      <c r="B525">
        <v>1953</v>
      </c>
      <c r="C525" t="s">
        <v>29</v>
      </c>
      <c r="D525" t="s">
        <v>33</v>
      </c>
      <c r="E525">
        <v>70503</v>
      </c>
      <c r="F525">
        <v>0</v>
      </c>
      <c r="G525">
        <v>0</v>
      </c>
      <c r="H525" s="1">
        <v>41182</v>
      </c>
      <c r="I525">
        <v>73</v>
      </c>
      <c r="J525">
        <v>1379</v>
      </c>
      <c r="K525">
        <v>33</v>
      </c>
      <c r="L525">
        <v>216</v>
      </c>
      <c r="M525">
        <v>0</v>
      </c>
      <c r="N525">
        <v>33</v>
      </c>
      <c r="O525">
        <v>66</v>
      </c>
      <c r="P525">
        <v>1</v>
      </c>
      <c r="Q525">
        <v>2</v>
      </c>
      <c r="R525">
        <v>4</v>
      </c>
      <c r="S525">
        <v>9</v>
      </c>
      <c r="T525">
        <v>6</v>
      </c>
      <c r="U525">
        <v>0</v>
      </c>
      <c r="V525">
        <v>1</v>
      </c>
      <c r="W525">
        <v>1</v>
      </c>
      <c r="X525">
        <v>0</v>
      </c>
      <c r="Y525">
        <v>0</v>
      </c>
      <c r="Z525">
        <v>0</v>
      </c>
      <c r="AA525">
        <v>3</v>
      </c>
      <c r="AB525">
        <v>11</v>
      </c>
      <c r="AC525">
        <v>0</v>
      </c>
      <c r="AD525" t="str">
        <f t="shared" si="104"/>
        <v>Ok</v>
      </c>
      <c r="AE525" t="str">
        <f>IF(AND(Audit_Data[[#This Row],[Year_Birth]]&gt;=1900,Audit_Data[[#This Row],[Year_Birth]]&lt;=2010),"OK","Invalid")</f>
        <v>OK</v>
      </c>
      <c r="AF525" t="str">
        <f t="shared" si="105"/>
        <v>Valid</v>
      </c>
      <c r="AG525" t="str">
        <f t="shared" si="106"/>
        <v>Valid</v>
      </c>
      <c r="AH525" t="str">
        <f t="shared" si="107"/>
        <v>Valid</v>
      </c>
      <c r="AI525" t="str">
        <f t="shared" si="108"/>
        <v>Valid</v>
      </c>
      <c r="AJ525" t="str">
        <f t="shared" si="109"/>
        <v>Valid</v>
      </c>
      <c r="AK525" t="str">
        <f t="shared" si="116"/>
        <v xml:space="preserve">Valid </v>
      </c>
      <c r="AL525" t="str">
        <f>IF(AND(Audit_Data[[#This Row],[Recency]]&gt;=0,Audit_Data[[#This Row],[Recency]]&lt;=100),"Valid","Invalid")</f>
        <v>Valid</v>
      </c>
      <c r="AM525" t="str">
        <f t="shared" si="110"/>
        <v>Valid</v>
      </c>
      <c r="AN525" t="str">
        <f t="shared" si="111"/>
        <v>Valid</v>
      </c>
      <c r="AO525" t="str">
        <f t="shared" si="112"/>
        <v>Valid</v>
      </c>
      <c r="AP525" t="str">
        <f t="shared" si="113"/>
        <v>Valid</v>
      </c>
      <c r="AQ525" t="str">
        <f>IF(Audit_Data[[#This Row],[Z_CostContact]]=3,"Valid","Invalid")</f>
        <v>Valid</v>
      </c>
      <c r="AR525" t="str">
        <f t="shared" si="114"/>
        <v>Valid</v>
      </c>
      <c r="AS525" t="str">
        <f t="shared" si="115"/>
        <v>Valid</v>
      </c>
    </row>
    <row r="526" spans="1:45" x14ac:dyDescent="0.3">
      <c r="A526">
        <v>35</v>
      </c>
      <c r="B526">
        <v>1987</v>
      </c>
      <c r="C526" t="s">
        <v>29</v>
      </c>
      <c r="D526" t="s">
        <v>33</v>
      </c>
      <c r="E526">
        <v>25545</v>
      </c>
      <c r="F526">
        <v>1</v>
      </c>
      <c r="G526">
        <v>0</v>
      </c>
      <c r="H526" s="1">
        <v>41160</v>
      </c>
      <c r="I526">
        <v>35</v>
      </c>
      <c r="J526">
        <v>32</v>
      </c>
      <c r="K526">
        <v>1</v>
      </c>
      <c r="L526">
        <v>64</v>
      </c>
      <c r="M526">
        <v>16</v>
      </c>
      <c r="N526">
        <v>12</v>
      </c>
      <c r="O526">
        <v>85</v>
      </c>
      <c r="P526">
        <v>3</v>
      </c>
      <c r="Q526">
        <v>2</v>
      </c>
      <c r="R526">
        <v>2</v>
      </c>
      <c r="S526">
        <v>3</v>
      </c>
      <c r="T526">
        <v>6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3</v>
      </c>
      <c r="AB526">
        <v>11</v>
      </c>
      <c r="AC526">
        <v>1</v>
      </c>
      <c r="AD526" t="str">
        <f t="shared" si="104"/>
        <v>Ok</v>
      </c>
      <c r="AE526" t="str">
        <f>IF(AND(Audit_Data[[#This Row],[Year_Birth]]&gt;=1900,Audit_Data[[#This Row],[Year_Birth]]&lt;=2010),"OK","Invalid")</f>
        <v>OK</v>
      </c>
      <c r="AF526" t="str">
        <f t="shared" si="105"/>
        <v>Valid</v>
      </c>
      <c r="AG526" t="str">
        <f t="shared" si="106"/>
        <v>Valid</v>
      </c>
      <c r="AH526" t="str">
        <f t="shared" si="107"/>
        <v>Valid</v>
      </c>
      <c r="AI526" t="str">
        <f t="shared" si="108"/>
        <v>Valid</v>
      </c>
      <c r="AJ526" t="str">
        <f t="shared" si="109"/>
        <v>Valid</v>
      </c>
      <c r="AK526" t="str">
        <f t="shared" si="116"/>
        <v xml:space="preserve">Valid </v>
      </c>
      <c r="AL526" t="str">
        <f>IF(AND(Audit_Data[[#This Row],[Recency]]&gt;=0,Audit_Data[[#This Row],[Recency]]&lt;=100),"Valid","Invalid")</f>
        <v>Valid</v>
      </c>
      <c r="AM526" t="str">
        <f t="shared" si="110"/>
        <v>Valid</v>
      </c>
      <c r="AN526" t="str">
        <f t="shared" si="111"/>
        <v>Valid</v>
      </c>
      <c r="AO526" t="str">
        <f t="shared" si="112"/>
        <v>Valid</v>
      </c>
      <c r="AP526" t="str">
        <f t="shared" si="113"/>
        <v>Valid</v>
      </c>
      <c r="AQ526" t="str">
        <f>IF(Audit_Data[[#This Row],[Z_CostContact]]=3,"Valid","Invalid")</f>
        <v>Valid</v>
      </c>
      <c r="AR526" t="str">
        <f t="shared" si="114"/>
        <v>Valid</v>
      </c>
      <c r="AS526" t="str">
        <f t="shared" si="115"/>
        <v>Valid</v>
      </c>
    </row>
    <row r="527" spans="1:45" x14ac:dyDescent="0.3">
      <c r="A527">
        <v>2258</v>
      </c>
      <c r="B527">
        <v>1986</v>
      </c>
      <c r="C527" t="s">
        <v>29</v>
      </c>
      <c r="D527" t="s">
        <v>33</v>
      </c>
      <c r="E527">
        <v>32880</v>
      </c>
      <c r="F527">
        <v>1</v>
      </c>
      <c r="G527">
        <v>0</v>
      </c>
      <c r="H527" s="1">
        <v>41247</v>
      </c>
      <c r="I527">
        <v>76</v>
      </c>
      <c r="J527">
        <v>8</v>
      </c>
      <c r="K527">
        <v>4</v>
      </c>
      <c r="L527">
        <v>15</v>
      </c>
      <c r="M527">
        <v>7</v>
      </c>
      <c r="N527">
        <v>6</v>
      </c>
      <c r="O527">
        <v>2</v>
      </c>
      <c r="P527">
        <v>1</v>
      </c>
      <c r="Q527">
        <v>1</v>
      </c>
      <c r="R527">
        <v>0</v>
      </c>
      <c r="S527">
        <v>3</v>
      </c>
      <c r="T527">
        <v>8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3</v>
      </c>
      <c r="AB527">
        <v>11</v>
      </c>
      <c r="AC527">
        <v>0</v>
      </c>
      <c r="AD527" t="str">
        <f t="shared" si="104"/>
        <v>Ok</v>
      </c>
      <c r="AE527" t="str">
        <f>IF(AND(Audit_Data[[#This Row],[Year_Birth]]&gt;=1900,Audit_Data[[#This Row],[Year_Birth]]&lt;=2010),"OK","Invalid")</f>
        <v>OK</v>
      </c>
      <c r="AF527" t="str">
        <f t="shared" si="105"/>
        <v>Valid</v>
      </c>
      <c r="AG527" t="str">
        <f t="shared" si="106"/>
        <v>Valid</v>
      </c>
      <c r="AH527" t="str">
        <f t="shared" si="107"/>
        <v>Valid</v>
      </c>
      <c r="AI527" t="str">
        <f t="shared" si="108"/>
        <v>Valid</v>
      </c>
      <c r="AJ527" t="str">
        <f t="shared" si="109"/>
        <v>Valid</v>
      </c>
      <c r="AK527" t="str">
        <f t="shared" si="116"/>
        <v xml:space="preserve">Valid </v>
      </c>
      <c r="AL527" t="str">
        <f>IF(AND(Audit_Data[[#This Row],[Recency]]&gt;=0,Audit_Data[[#This Row],[Recency]]&lt;=100),"Valid","Invalid")</f>
        <v>Valid</v>
      </c>
      <c r="AM527" t="str">
        <f t="shared" si="110"/>
        <v>Valid</v>
      </c>
      <c r="AN527" t="str">
        <f t="shared" si="111"/>
        <v>Valid</v>
      </c>
      <c r="AO527" t="str">
        <f t="shared" si="112"/>
        <v>Valid</v>
      </c>
      <c r="AP527" t="str">
        <f t="shared" si="113"/>
        <v>Valid</v>
      </c>
      <c r="AQ527" t="str">
        <f>IF(Audit_Data[[#This Row],[Z_CostContact]]=3,"Valid","Invalid")</f>
        <v>Valid</v>
      </c>
      <c r="AR527" t="str">
        <f t="shared" si="114"/>
        <v>Valid</v>
      </c>
      <c r="AS527" t="str">
        <f t="shared" si="115"/>
        <v>Valid</v>
      </c>
    </row>
    <row r="528" spans="1:45" x14ac:dyDescent="0.3">
      <c r="A528">
        <v>4322</v>
      </c>
      <c r="B528">
        <v>1958</v>
      </c>
      <c r="C528" t="s">
        <v>32</v>
      </c>
      <c r="D528" t="s">
        <v>31</v>
      </c>
      <c r="E528">
        <v>77863</v>
      </c>
      <c r="F528">
        <v>0</v>
      </c>
      <c r="G528">
        <v>0</v>
      </c>
      <c r="H528" s="1">
        <v>41605</v>
      </c>
      <c r="I528">
        <v>20</v>
      </c>
      <c r="J528">
        <v>881</v>
      </c>
      <c r="K528">
        <v>38</v>
      </c>
      <c r="L528">
        <v>319</v>
      </c>
      <c r="M528">
        <v>16</v>
      </c>
      <c r="N528">
        <v>25</v>
      </c>
      <c r="O528">
        <v>12</v>
      </c>
      <c r="P528">
        <v>1</v>
      </c>
      <c r="Q528">
        <v>4</v>
      </c>
      <c r="R528">
        <v>5</v>
      </c>
      <c r="S528">
        <v>10</v>
      </c>
      <c r="T528">
        <v>2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3</v>
      </c>
      <c r="AB528">
        <v>11</v>
      </c>
      <c r="AC528">
        <v>0</v>
      </c>
      <c r="AD528" t="str">
        <f t="shared" si="104"/>
        <v>Ok</v>
      </c>
      <c r="AE528" t="str">
        <f>IF(AND(Audit_Data[[#This Row],[Year_Birth]]&gt;=1900,Audit_Data[[#This Row],[Year_Birth]]&lt;=2010),"OK","Invalid")</f>
        <v>OK</v>
      </c>
      <c r="AF528" t="str">
        <f t="shared" si="105"/>
        <v>Valid</v>
      </c>
      <c r="AG528" t="str">
        <f t="shared" si="106"/>
        <v>Valid</v>
      </c>
      <c r="AH528" t="str">
        <f t="shared" si="107"/>
        <v>Valid</v>
      </c>
      <c r="AI528" t="str">
        <f t="shared" si="108"/>
        <v>Valid</v>
      </c>
      <c r="AJ528" t="str">
        <f t="shared" si="109"/>
        <v>Valid</v>
      </c>
      <c r="AK528" t="str">
        <f t="shared" si="116"/>
        <v xml:space="preserve">Valid </v>
      </c>
      <c r="AL528" t="str">
        <f>IF(AND(Audit_Data[[#This Row],[Recency]]&gt;=0,Audit_Data[[#This Row],[Recency]]&lt;=100),"Valid","Invalid")</f>
        <v>Valid</v>
      </c>
      <c r="AM528" t="str">
        <f t="shared" si="110"/>
        <v>Valid</v>
      </c>
      <c r="AN528" t="str">
        <f t="shared" si="111"/>
        <v>Valid</v>
      </c>
      <c r="AO528" t="str">
        <f t="shared" si="112"/>
        <v>Valid</v>
      </c>
      <c r="AP528" t="str">
        <f t="shared" si="113"/>
        <v>Valid</v>
      </c>
      <c r="AQ528" t="str">
        <f>IF(Audit_Data[[#This Row],[Z_CostContact]]=3,"Valid","Invalid")</f>
        <v>Valid</v>
      </c>
      <c r="AR528" t="str">
        <f t="shared" si="114"/>
        <v>Valid</v>
      </c>
      <c r="AS528" t="str">
        <f t="shared" si="115"/>
        <v>Valid</v>
      </c>
    </row>
    <row r="529" spans="1:45" x14ac:dyDescent="0.3">
      <c r="A529">
        <v>713</v>
      </c>
      <c r="B529">
        <v>1977</v>
      </c>
      <c r="C529" t="s">
        <v>34</v>
      </c>
      <c r="D529" t="s">
        <v>33</v>
      </c>
      <c r="E529">
        <v>50353</v>
      </c>
      <c r="F529">
        <v>0</v>
      </c>
      <c r="G529">
        <v>0</v>
      </c>
      <c r="H529" s="1">
        <v>41798</v>
      </c>
      <c r="I529">
        <v>72</v>
      </c>
      <c r="J529">
        <v>141</v>
      </c>
      <c r="K529">
        <v>15</v>
      </c>
      <c r="L529">
        <v>153</v>
      </c>
      <c r="M529">
        <v>67</v>
      </c>
      <c r="N529">
        <v>31</v>
      </c>
      <c r="O529">
        <v>35</v>
      </c>
      <c r="P529">
        <v>1</v>
      </c>
      <c r="Q529">
        <v>4</v>
      </c>
      <c r="R529">
        <v>4</v>
      </c>
      <c r="S529">
        <v>6</v>
      </c>
      <c r="T529">
        <v>3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3</v>
      </c>
      <c r="AB529">
        <v>11</v>
      </c>
      <c r="AC529">
        <v>0</v>
      </c>
      <c r="AD529" t="str">
        <f t="shared" si="104"/>
        <v>Ok</v>
      </c>
      <c r="AE529" t="str">
        <f>IF(AND(Audit_Data[[#This Row],[Year_Birth]]&gt;=1900,Audit_Data[[#This Row],[Year_Birth]]&lt;=2010),"OK","Invalid")</f>
        <v>OK</v>
      </c>
      <c r="AF529" t="str">
        <f t="shared" si="105"/>
        <v>Valid</v>
      </c>
      <c r="AG529" t="str">
        <f t="shared" si="106"/>
        <v>Valid</v>
      </c>
      <c r="AH529" t="str">
        <f t="shared" si="107"/>
        <v>Valid</v>
      </c>
      <c r="AI529" t="str">
        <f t="shared" si="108"/>
        <v>Valid</v>
      </c>
      <c r="AJ529" t="str">
        <f t="shared" si="109"/>
        <v>Valid</v>
      </c>
      <c r="AK529" t="str">
        <f t="shared" si="116"/>
        <v xml:space="preserve">Valid </v>
      </c>
      <c r="AL529" t="str">
        <f>IF(AND(Audit_Data[[#This Row],[Recency]]&gt;=0,Audit_Data[[#This Row],[Recency]]&lt;=100),"Valid","Invalid")</f>
        <v>Valid</v>
      </c>
      <c r="AM529" t="str">
        <f t="shared" si="110"/>
        <v>Valid</v>
      </c>
      <c r="AN529" t="str">
        <f t="shared" si="111"/>
        <v>Valid</v>
      </c>
      <c r="AO529" t="str">
        <f t="shared" si="112"/>
        <v>Valid</v>
      </c>
      <c r="AP529" t="str">
        <f t="shared" si="113"/>
        <v>Valid</v>
      </c>
      <c r="AQ529" t="str">
        <f>IF(Audit_Data[[#This Row],[Z_CostContact]]=3,"Valid","Invalid")</f>
        <v>Valid</v>
      </c>
      <c r="AR529" t="str">
        <f t="shared" si="114"/>
        <v>Valid</v>
      </c>
      <c r="AS529" t="str">
        <f t="shared" si="115"/>
        <v>Valid</v>
      </c>
    </row>
    <row r="530" spans="1:45" x14ac:dyDescent="0.3">
      <c r="A530">
        <v>4702</v>
      </c>
      <c r="B530">
        <v>1964</v>
      </c>
      <c r="C530" t="s">
        <v>29</v>
      </c>
      <c r="D530" t="s">
        <v>30</v>
      </c>
      <c r="E530">
        <v>61839</v>
      </c>
      <c r="F530">
        <v>0</v>
      </c>
      <c r="G530">
        <v>0</v>
      </c>
      <c r="H530" s="1">
        <v>41133</v>
      </c>
      <c r="I530">
        <v>20</v>
      </c>
      <c r="J530">
        <v>1000</v>
      </c>
      <c r="K530">
        <v>155</v>
      </c>
      <c r="L530">
        <v>379</v>
      </c>
      <c r="M530">
        <v>224</v>
      </c>
      <c r="N530">
        <v>17</v>
      </c>
      <c r="O530">
        <v>120</v>
      </c>
      <c r="P530">
        <v>1</v>
      </c>
      <c r="Q530">
        <v>4</v>
      </c>
      <c r="R530">
        <v>8</v>
      </c>
      <c r="S530">
        <v>4</v>
      </c>
      <c r="T530">
        <v>8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3</v>
      </c>
      <c r="AB530">
        <v>11</v>
      </c>
      <c r="AC530">
        <v>0</v>
      </c>
      <c r="AD530" t="str">
        <f t="shared" si="104"/>
        <v>Ok</v>
      </c>
      <c r="AE530" t="str">
        <f>IF(AND(Audit_Data[[#This Row],[Year_Birth]]&gt;=1900,Audit_Data[[#This Row],[Year_Birth]]&lt;=2010),"OK","Invalid")</f>
        <v>OK</v>
      </c>
      <c r="AF530" t="str">
        <f t="shared" si="105"/>
        <v>Valid</v>
      </c>
      <c r="AG530" t="str">
        <f t="shared" si="106"/>
        <v>Valid</v>
      </c>
      <c r="AH530" t="str">
        <f t="shared" si="107"/>
        <v>Valid</v>
      </c>
      <c r="AI530" t="str">
        <f t="shared" si="108"/>
        <v>Valid</v>
      </c>
      <c r="AJ530" t="str">
        <f t="shared" si="109"/>
        <v>Valid</v>
      </c>
      <c r="AK530" t="str">
        <f t="shared" si="116"/>
        <v xml:space="preserve">Valid </v>
      </c>
      <c r="AL530" t="str">
        <f>IF(AND(Audit_Data[[#This Row],[Recency]]&gt;=0,Audit_Data[[#This Row],[Recency]]&lt;=100),"Valid","Invalid")</f>
        <v>Valid</v>
      </c>
      <c r="AM530" t="str">
        <f t="shared" si="110"/>
        <v>Valid</v>
      </c>
      <c r="AN530" t="str">
        <f t="shared" si="111"/>
        <v>Valid</v>
      </c>
      <c r="AO530" t="str">
        <f t="shared" si="112"/>
        <v>Valid</v>
      </c>
      <c r="AP530" t="str">
        <f t="shared" si="113"/>
        <v>Valid</v>
      </c>
      <c r="AQ530" t="str">
        <f>IF(Audit_Data[[#This Row],[Z_CostContact]]=3,"Valid","Invalid")</f>
        <v>Valid</v>
      </c>
      <c r="AR530" t="str">
        <f t="shared" si="114"/>
        <v>Valid</v>
      </c>
      <c r="AS530" t="str">
        <f t="shared" si="115"/>
        <v>Valid</v>
      </c>
    </row>
    <row r="531" spans="1:45" x14ac:dyDescent="0.3">
      <c r="A531">
        <v>3281</v>
      </c>
      <c r="B531">
        <v>1960</v>
      </c>
      <c r="C531" t="s">
        <v>32</v>
      </c>
      <c r="D531" t="s">
        <v>33</v>
      </c>
      <c r="E531">
        <v>49154</v>
      </c>
      <c r="F531">
        <v>1</v>
      </c>
      <c r="G531">
        <v>1</v>
      </c>
      <c r="H531" s="1">
        <v>41581</v>
      </c>
      <c r="I531">
        <v>69</v>
      </c>
      <c r="J531">
        <v>206</v>
      </c>
      <c r="K531">
        <v>10</v>
      </c>
      <c r="L531">
        <v>67</v>
      </c>
      <c r="M531">
        <v>30</v>
      </c>
      <c r="N531">
        <v>27</v>
      </c>
      <c r="O531">
        <v>71</v>
      </c>
      <c r="P531">
        <v>6</v>
      </c>
      <c r="Q531">
        <v>4</v>
      </c>
      <c r="R531">
        <v>1</v>
      </c>
      <c r="S531">
        <v>8</v>
      </c>
      <c r="T531">
        <v>6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3</v>
      </c>
      <c r="AB531">
        <v>11</v>
      </c>
      <c r="AC531">
        <v>0</v>
      </c>
      <c r="AD531" t="str">
        <f t="shared" si="104"/>
        <v>Ok</v>
      </c>
      <c r="AE531" t="str">
        <f>IF(AND(Audit_Data[[#This Row],[Year_Birth]]&gt;=1900,Audit_Data[[#This Row],[Year_Birth]]&lt;=2010),"OK","Invalid")</f>
        <v>OK</v>
      </c>
      <c r="AF531" t="str">
        <f t="shared" si="105"/>
        <v>Valid</v>
      </c>
      <c r="AG531" t="str">
        <f t="shared" si="106"/>
        <v>Valid</v>
      </c>
      <c r="AH531" t="str">
        <f t="shared" si="107"/>
        <v>Valid</v>
      </c>
      <c r="AI531" t="str">
        <f t="shared" si="108"/>
        <v>Valid</v>
      </c>
      <c r="AJ531" t="str">
        <f t="shared" si="109"/>
        <v>Valid</v>
      </c>
      <c r="AK531" t="str">
        <f t="shared" si="116"/>
        <v xml:space="preserve">Valid </v>
      </c>
      <c r="AL531" t="str">
        <f>IF(AND(Audit_Data[[#This Row],[Recency]]&gt;=0,Audit_Data[[#This Row],[Recency]]&lt;=100),"Valid","Invalid")</f>
        <v>Valid</v>
      </c>
      <c r="AM531" t="str">
        <f t="shared" si="110"/>
        <v>Valid</v>
      </c>
      <c r="AN531" t="str">
        <f t="shared" si="111"/>
        <v>Valid</v>
      </c>
      <c r="AO531" t="str">
        <f t="shared" si="112"/>
        <v>Valid</v>
      </c>
      <c r="AP531" t="str">
        <f t="shared" si="113"/>
        <v>Valid</v>
      </c>
      <c r="AQ531" t="str">
        <f>IF(Audit_Data[[#This Row],[Z_CostContact]]=3,"Valid","Invalid")</f>
        <v>Valid</v>
      </c>
      <c r="AR531" t="str">
        <f t="shared" si="114"/>
        <v>Valid</v>
      </c>
      <c r="AS531" t="str">
        <f t="shared" si="115"/>
        <v>Valid</v>
      </c>
    </row>
    <row r="532" spans="1:45" x14ac:dyDescent="0.3">
      <c r="A532">
        <v>702</v>
      </c>
      <c r="B532">
        <v>1975</v>
      </c>
      <c r="C532" t="s">
        <v>37</v>
      </c>
      <c r="D532" t="s">
        <v>38</v>
      </c>
      <c r="E532">
        <v>47682</v>
      </c>
      <c r="F532">
        <v>0</v>
      </c>
      <c r="G532">
        <v>1</v>
      </c>
      <c r="H532" s="1">
        <v>41320</v>
      </c>
      <c r="I532">
        <v>80</v>
      </c>
      <c r="J532">
        <v>162</v>
      </c>
      <c r="K532">
        <v>61</v>
      </c>
      <c r="L532">
        <v>83</v>
      </c>
      <c r="M532">
        <v>97</v>
      </c>
      <c r="N532">
        <v>57</v>
      </c>
      <c r="O532">
        <v>61</v>
      </c>
      <c r="P532">
        <v>4</v>
      </c>
      <c r="Q532">
        <v>4</v>
      </c>
      <c r="R532">
        <v>3</v>
      </c>
      <c r="S532">
        <v>8</v>
      </c>
      <c r="T532">
        <v>5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3</v>
      </c>
      <c r="AB532">
        <v>11</v>
      </c>
      <c r="AC532">
        <v>0</v>
      </c>
      <c r="AD532" t="str">
        <f t="shared" si="104"/>
        <v>Ok</v>
      </c>
      <c r="AE532" t="str">
        <f>IF(AND(Audit_Data[[#This Row],[Year_Birth]]&gt;=1900,Audit_Data[[#This Row],[Year_Birth]]&lt;=2010),"OK","Invalid")</f>
        <v>OK</v>
      </c>
      <c r="AF532" t="str">
        <f t="shared" si="105"/>
        <v>Valid</v>
      </c>
      <c r="AG532" t="str">
        <f t="shared" si="106"/>
        <v>Valid</v>
      </c>
      <c r="AH532" t="str">
        <f t="shared" si="107"/>
        <v>Valid</v>
      </c>
      <c r="AI532" t="str">
        <f t="shared" si="108"/>
        <v>Valid</v>
      </c>
      <c r="AJ532" t="str">
        <f t="shared" si="109"/>
        <v>Valid</v>
      </c>
      <c r="AK532" t="str">
        <f t="shared" si="116"/>
        <v xml:space="preserve">Valid </v>
      </c>
      <c r="AL532" t="str">
        <f>IF(AND(Audit_Data[[#This Row],[Recency]]&gt;=0,Audit_Data[[#This Row],[Recency]]&lt;=100),"Valid","Invalid")</f>
        <v>Valid</v>
      </c>
      <c r="AM532" t="str">
        <f t="shared" si="110"/>
        <v>Valid</v>
      </c>
      <c r="AN532" t="str">
        <f t="shared" si="111"/>
        <v>Valid</v>
      </c>
      <c r="AO532" t="str">
        <f t="shared" si="112"/>
        <v>Valid</v>
      </c>
      <c r="AP532" t="str">
        <f t="shared" si="113"/>
        <v>Valid</v>
      </c>
      <c r="AQ532" t="str">
        <f>IF(Audit_Data[[#This Row],[Z_CostContact]]=3,"Valid","Invalid")</f>
        <v>Valid</v>
      </c>
      <c r="AR532" t="str">
        <f t="shared" si="114"/>
        <v>Valid</v>
      </c>
      <c r="AS532" t="str">
        <f t="shared" si="115"/>
        <v>Valid</v>
      </c>
    </row>
    <row r="533" spans="1:45" x14ac:dyDescent="0.3">
      <c r="A533">
        <v>2004</v>
      </c>
      <c r="B533">
        <v>1969</v>
      </c>
      <c r="C533" t="s">
        <v>29</v>
      </c>
      <c r="D533" t="s">
        <v>30</v>
      </c>
      <c r="E533">
        <v>72679</v>
      </c>
      <c r="F533">
        <v>0</v>
      </c>
      <c r="G533">
        <v>1</v>
      </c>
      <c r="H533" s="1">
        <v>41535</v>
      </c>
      <c r="I533">
        <v>65</v>
      </c>
      <c r="J533">
        <v>619</v>
      </c>
      <c r="K533">
        <v>54</v>
      </c>
      <c r="L533">
        <v>260</v>
      </c>
      <c r="M533">
        <v>127</v>
      </c>
      <c r="N533">
        <v>54</v>
      </c>
      <c r="O533">
        <v>54</v>
      </c>
      <c r="P533">
        <v>1</v>
      </c>
      <c r="Q533">
        <v>4</v>
      </c>
      <c r="R533">
        <v>7</v>
      </c>
      <c r="S533">
        <v>5</v>
      </c>
      <c r="T533">
        <v>1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3</v>
      </c>
      <c r="AB533">
        <v>11</v>
      </c>
      <c r="AC533">
        <v>0</v>
      </c>
      <c r="AD533" t="str">
        <f t="shared" si="104"/>
        <v>Ok</v>
      </c>
      <c r="AE533" t="str">
        <f>IF(AND(Audit_Data[[#This Row],[Year_Birth]]&gt;=1900,Audit_Data[[#This Row],[Year_Birth]]&lt;=2010),"OK","Invalid")</f>
        <v>OK</v>
      </c>
      <c r="AF533" t="str">
        <f t="shared" si="105"/>
        <v>Valid</v>
      </c>
      <c r="AG533" t="str">
        <f t="shared" si="106"/>
        <v>Valid</v>
      </c>
      <c r="AH533" t="str">
        <f t="shared" si="107"/>
        <v>Valid</v>
      </c>
      <c r="AI533" t="str">
        <f t="shared" si="108"/>
        <v>Valid</v>
      </c>
      <c r="AJ533" t="str">
        <f t="shared" si="109"/>
        <v>Valid</v>
      </c>
      <c r="AK533" t="str">
        <f t="shared" si="116"/>
        <v xml:space="preserve">Valid </v>
      </c>
      <c r="AL533" t="str">
        <f>IF(AND(Audit_Data[[#This Row],[Recency]]&gt;=0,Audit_Data[[#This Row],[Recency]]&lt;=100),"Valid","Invalid")</f>
        <v>Valid</v>
      </c>
      <c r="AM533" t="str">
        <f t="shared" si="110"/>
        <v>Valid</v>
      </c>
      <c r="AN533" t="str">
        <f t="shared" si="111"/>
        <v>Valid</v>
      </c>
      <c r="AO533" t="str">
        <f t="shared" si="112"/>
        <v>Valid</v>
      </c>
      <c r="AP533" t="str">
        <f t="shared" si="113"/>
        <v>Valid</v>
      </c>
      <c r="AQ533" t="str">
        <f>IF(Audit_Data[[#This Row],[Z_CostContact]]=3,"Valid","Invalid")</f>
        <v>Valid</v>
      </c>
      <c r="AR533" t="str">
        <f t="shared" si="114"/>
        <v>Valid</v>
      </c>
      <c r="AS533" t="str">
        <f t="shared" si="115"/>
        <v>Valid</v>
      </c>
    </row>
    <row r="534" spans="1:45" x14ac:dyDescent="0.3">
      <c r="A534">
        <v>4769</v>
      </c>
      <c r="B534">
        <v>1977</v>
      </c>
      <c r="C534" t="s">
        <v>34</v>
      </c>
      <c r="D534" t="s">
        <v>31</v>
      </c>
      <c r="E534">
        <v>57954</v>
      </c>
      <c r="F534">
        <v>1</v>
      </c>
      <c r="G534">
        <v>1</v>
      </c>
      <c r="H534" s="1">
        <v>41808</v>
      </c>
      <c r="I534">
        <v>52</v>
      </c>
      <c r="J534">
        <v>456</v>
      </c>
      <c r="K534">
        <v>4</v>
      </c>
      <c r="L534">
        <v>24</v>
      </c>
      <c r="M534">
        <v>0</v>
      </c>
      <c r="N534">
        <v>0</v>
      </c>
      <c r="O534">
        <v>9</v>
      </c>
      <c r="P534">
        <v>7</v>
      </c>
      <c r="Q534">
        <v>8</v>
      </c>
      <c r="R534">
        <v>2</v>
      </c>
      <c r="S534">
        <v>6</v>
      </c>
      <c r="T534">
        <v>7</v>
      </c>
      <c r="U534">
        <v>0</v>
      </c>
      <c r="V534">
        <v>1</v>
      </c>
      <c r="W534">
        <v>0</v>
      </c>
      <c r="X534">
        <v>0</v>
      </c>
      <c r="Y534">
        <v>0</v>
      </c>
      <c r="Z534">
        <v>0</v>
      </c>
      <c r="AA534">
        <v>3</v>
      </c>
      <c r="AB534">
        <v>11</v>
      </c>
      <c r="AC534">
        <v>0</v>
      </c>
      <c r="AD534" t="str">
        <f t="shared" si="104"/>
        <v>Ok</v>
      </c>
      <c r="AE534" t="str">
        <f>IF(AND(Audit_Data[[#This Row],[Year_Birth]]&gt;=1900,Audit_Data[[#This Row],[Year_Birth]]&lt;=2010),"OK","Invalid")</f>
        <v>OK</v>
      </c>
      <c r="AF534" t="str">
        <f t="shared" si="105"/>
        <v>Valid</v>
      </c>
      <c r="AG534" t="str">
        <f t="shared" si="106"/>
        <v>Valid</v>
      </c>
      <c r="AH534" t="str">
        <f t="shared" si="107"/>
        <v>Valid</v>
      </c>
      <c r="AI534" t="str">
        <f t="shared" si="108"/>
        <v>Valid</v>
      </c>
      <c r="AJ534" t="str">
        <f t="shared" si="109"/>
        <v>Valid</v>
      </c>
      <c r="AK534" t="str">
        <f t="shared" si="116"/>
        <v xml:space="preserve">Valid </v>
      </c>
      <c r="AL534" t="str">
        <f>IF(AND(Audit_Data[[#This Row],[Recency]]&gt;=0,Audit_Data[[#This Row],[Recency]]&lt;=100),"Valid","Invalid")</f>
        <v>Valid</v>
      </c>
      <c r="AM534" t="str">
        <f t="shared" si="110"/>
        <v>Valid</v>
      </c>
      <c r="AN534" t="str">
        <f t="shared" si="111"/>
        <v>Valid</v>
      </c>
      <c r="AO534" t="str">
        <f t="shared" si="112"/>
        <v>Valid</v>
      </c>
      <c r="AP534" t="str">
        <f t="shared" si="113"/>
        <v>Valid</v>
      </c>
      <c r="AQ534" t="str">
        <f>IF(Audit_Data[[#This Row],[Z_CostContact]]=3,"Valid","Invalid")</f>
        <v>Valid</v>
      </c>
      <c r="AR534" t="str">
        <f t="shared" si="114"/>
        <v>Valid</v>
      </c>
      <c r="AS534" t="str">
        <f t="shared" si="115"/>
        <v>Valid</v>
      </c>
    </row>
    <row r="535" spans="1:45" x14ac:dyDescent="0.3">
      <c r="A535">
        <v>4437</v>
      </c>
      <c r="B535">
        <v>1962</v>
      </c>
      <c r="C535" t="s">
        <v>29</v>
      </c>
      <c r="D535" t="s">
        <v>33</v>
      </c>
      <c r="E535">
        <v>65316</v>
      </c>
      <c r="F535">
        <v>1</v>
      </c>
      <c r="G535">
        <v>1</v>
      </c>
      <c r="H535" s="1">
        <v>41388</v>
      </c>
      <c r="I535">
        <v>65</v>
      </c>
      <c r="J535">
        <v>112</v>
      </c>
      <c r="K535">
        <v>6</v>
      </c>
      <c r="L535">
        <v>92</v>
      </c>
      <c r="M535">
        <v>3</v>
      </c>
      <c r="N535">
        <v>9</v>
      </c>
      <c r="O535">
        <v>38</v>
      </c>
      <c r="P535">
        <v>2</v>
      </c>
      <c r="Q535">
        <v>3</v>
      </c>
      <c r="R535">
        <v>2</v>
      </c>
      <c r="S535">
        <v>5</v>
      </c>
      <c r="T535">
        <v>4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3</v>
      </c>
      <c r="AB535">
        <v>11</v>
      </c>
      <c r="AC535">
        <v>0</v>
      </c>
      <c r="AD535" t="str">
        <f t="shared" si="104"/>
        <v>Ok</v>
      </c>
      <c r="AE535" t="str">
        <f>IF(AND(Audit_Data[[#This Row],[Year_Birth]]&gt;=1900,Audit_Data[[#This Row],[Year_Birth]]&lt;=2010),"OK","Invalid")</f>
        <v>OK</v>
      </c>
      <c r="AF535" t="str">
        <f t="shared" si="105"/>
        <v>Valid</v>
      </c>
      <c r="AG535" t="str">
        <f t="shared" si="106"/>
        <v>Valid</v>
      </c>
      <c r="AH535" t="str">
        <f t="shared" si="107"/>
        <v>Valid</v>
      </c>
      <c r="AI535" t="str">
        <f t="shared" si="108"/>
        <v>Valid</v>
      </c>
      <c r="AJ535" t="str">
        <f t="shared" si="109"/>
        <v>Valid</v>
      </c>
      <c r="AK535" t="str">
        <f t="shared" si="116"/>
        <v xml:space="preserve">Valid </v>
      </c>
      <c r="AL535" t="str">
        <f>IF(AND(Audit_Data[[#This Row],[Recency]]&gt;=0,Audit_Data[[#This Row],[Recency]]&lt;=100),"Valid","Invalid")</f>
        <v>Valid</v>
      </c>
      <c r="AM535" t="str">
        <f t="shared" si="110"/>
        <v>Valid</v>
      </c>
      <c r="AN535" t="str">
        <f t="shared" si="111"/>
        <v>Valid</v>
      </c>
      <c r="AO535" t="str">
        <f t="shared" si="112"/>
        <v>Valid</v>
      </c>
      <c r="AP535" t="str">
        <f t="shared" si="113"/>
        <v>Valid</v>
      </c>
      <c r="AQ535" t="str">
        <f>IF(Audit_Data[[#This Row],[Z_CostContact]]=3,"Valid","Invalid")</f>
        <v>Valid</v>
      </c>
      <c r="AR535" t="str">
        <f t="shared" si="114"/>
        <v>Valid</v>
      </c>
      <c r="AS535" t="str">
        <f t="shared" si="115"/>
        <v>Valid</v>
      </c>
    </row>
    <row r="536" spans="1:45" x14ac:dyDescent="0.3">
      <c r="A536">
        <v>8724</v>
      </c>
      <c r="B536">
        <v>1982</v>
      </c>
      <c r="C536" t="s">
        <v>29</v>
      </c>
      <c r="D536" t="s">
        <v>30</v>
      </c>
      <c r="E536">
        <v>28567</v>
      </c>
      <c r="F536">
        <v>1</v>
      </c>
      <c r="G536">
        <v>0</v>
      </c>
      <c r="H536" s="1">
        <v>41442</v>
      </c>
      <c r="I536">
        <v>57</v>
      </c>
      <c r="J536">
        <v>11</v>
      </c>
      <c r="K536">
        <v>3</v>
      </c>
      <c r="L536">
        <v>22</v>
      </c>
      <c r="M536">
        <v>2</v>
      </c>
      <c r="N536">
        <v>2</v>
      </c>
      <c r="O536">
        <v>6</v>
      </c>
      <c r="P536">
        <v>2</v>
      </c>
      <c r="Q536">
        <v>2</v>
      </c>
      <c r="R536">
        <v>0</v>
      </c>
      <c r="S536">
        <v>3</v>
      </c>
      <c r="T536">
        <v>6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3</v>
      </c>
      <c r="AB536">
        <v>11</v>
      </c>
      <c r="AC536">
        <v>0</v>
      </c>
      <c r="AD536" t="str">
        <f t="shared" si="104"/>
        <v>Ok</v>
      </c>
      <c r="AE536" t="str">
        <f>IF(AND(Audit_Data[[#This Row],[Year_Birth]]&gt;=1900,Audit_Data[[#This Row],[Year_Birth]]&lt;=2010),"OK","Invalid")</f>
        <v>OK</v>
      </c>
      <c r="AF536" t="str">
        <f t="shared" si="105"/>
        <v>Valid</v>
      </c>
      <c r="AG536" t="str">
        <f t="shared" si="106"/>
        <v>Valid</v>
      </c>
      <c r="AH536" t="str">
        <f t="shared" si="107"/>
        <v>Valid</v>
      </c>
      <c r="AI536" t="str">
        <f t="shared" si="108"/>
        <v>Valid</v>
      </c>
      <c r="AJ536" t="str">
        <f t="shared" si="109"/>
        <v>Valid</v>
      </c>
      <c r="AK536" t="str">
        <f t="shared" si="116"/>
        <v xml:space="preserve">Valid </v>
      </c>
      <c r="AL536" t="str">
        <f>IF(AND(Audit_Data[[#This Row],[Recency]]&gt;=0,Audit_Data[[#This Row],[Recency]]&lt;=100),"Valid","Invalid")</f>
        <v>Valid</v>
      </c>
      <c r="AM536" t="str">
        <f t="shared" si="110"/>
        <v>Valid</v>
      </c>
      <c r="AN536" t="str">
        <f t="shared" si="111"/>
        <v>Valid</v>
      </c>
      <c r="AO536" t="str">
        <f t="shared" si="112"/>
        <v>Valid</v>
      </c>
      <c r="AP536" t="str">
        <f t="shared" si="113"/>
        <v>Valid</v>
      </c>
      <c r="AQ536" t="str">
        <f>IF(Audit_Data[[#This Row],[Z_CostContact]]=3,"Valid","Invalid")</f>
        <v>Valid</v>
      </c>
      <c r="AR536" t="str">
        <f t="shared" si="114"/>
        <v>Valid</v>
      </c>
      <c r="AS536" t="str">
        <f t="shared" si="115"/>
        <v>Valid</v>
      </c>
    </row>
    <row r="537" spans="1:45" x14ac:dyDescent="0.3">
      <c r="A537">
        <v>10741</v>
      </c>
      <c r="B537">
        <v>1951</v>
      </c>
      <c r="C537" t="s">
        <v>34</v>
      </c>
      <c r="D537" t="s">
        <v>31</v>
      </c>
      <c r="E537">
        <v>47352</v>
      </c>
      <c r="F537">
        <v>0</v>
      </c>
      <c r="G537">
        <v>1</v>
      </c>
      <c r="H537" s="1">
        <v>41375</v>
      </c>
      <c r="I537">
        <v>70</v>
      </c>
      <c r="J537">
        <v>172</v>
      </c>
      <c r="K537">
        <v>12</v>
      </c>
      <c r="L537">
        <v>112</v>
      </c>
      <c r="M537">
        <v>8</v>
      </c>
      <c r="N537">
        <v>0</v>
      </c>
      <c r="O537">
        <v>15</v>
      </c>
      <c r="P537">
        <v>4</v>
      </c>
      <c r="Q537">
        <v>6</v>
      </c>
      <c r="R537">
        <v>1</v>
      </c>
      <c r="S537">
        <v>5</v>
      </c>
      <c r="T537">
        <v>7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3</v>
      </c>
      <c r="AB537">
        <v>11</v>
      </c>
      <c r="AC537">
        <v>0</v>
      </c>
      <c r="AD537" t="str">
        <f t="shared" si="104"/>
        <v>Ok</v>
      </c>
      <c r="AE537" t="str">
        <f>IF(AND(Audit_Data[[#This Row],[Year_Birth]]&gt;=1900,Audit_Data[[#This Row],[Year_Birth]]&lt;=2010),"OK","Invalid")</f>
        <v>OK</v>
      </c>
      <c r="AF537" t="str">
        <f t="shared" si="105"/>
        <v>Valid</v>
      </c>
      <c r="AG537" t="str">
        <f t="shared" si="106"/>
        <v>Valid</v>
      </c>
      <c r="AH537" t="str">
        <f t="shared" si="107"/>
        <v>Valid</v>
      </c>
      <c r="AI537" t="str">
        <f t="shared" si="108"/>
        <v>Valid</v>
      </c>
      <c r="AJ537" t="str">
        <f t="shared" si="109"/>
        <v>Valid</v>
      </c>
      <c r="AK537" t="str">
        <f t="shared" si="116"/>
        <v xml:space="preserve">Valid </v>
      </c>
      <c r="AL537" t="str">
        <f>IF(AND(Audit_Data[[#This Row],[Recency]]&gt;=0,Audit_Data[[#This Row],[Recency]]&lt;=100),"Valid","Invalid")</f>
        <v>Valid</v>
      </c>
      <c r="AM537" t="str">
        <f t="shared" si="110"/>
        <v>Valid</v>
      </c>
      <c r="AN537" t="str">
        <f t="shared" si="111"/>
        <v>Valid</v>
      </c>
      <c r="AO537" t="str">
        <f t="shared" si="112"/>
        <v>Valid</v>
      </c>
      <c r="AP537" t="str">
        <f t="shared" si="113"/>
        <v>Valid</v>
      </c>
      <c r="AQ537" t="str">
        <f>IF(Audit_Data[[#This Row],[Z_CostContact]]=3,"Valid","Invalid")</f>
        <v>Valid</v>
      </c>
      <c r="AR537" t="str">
        <f t="shared" si="114"/>
        <v>Valid</v>
      </c>
      <c r="AS537" t="str">
        <f t="shared" si="115"/>
        <v>Valid</v>
      </c>
    </row>
    <row r="538" spans="1:45" x14ac:dyDescent="0.3">
      <c r="A538">
        <v>1991</v>
      </c>
      <c r="B538">
        <v>1967</v>
      </c>
      <c r="C538" t="s">
        <v>29</v>
      </c>
      <c r="D538" t="s">
        <v>31</v>
      </c>
      <c r="E538">
        <v>44931</v>
      </c>
      <c r="F538">
        <v>0</v>
      </c>
      <c r="G538">
        <v>1</v>
      </c>
      <c r="H538" s="1">
        <v>41657</v>
      </c>
      <c r="I538">
        <v>0</v>
      </c>
      <c r="J538">
        <v>78</v>
      </c>
      <c r="K538">
        <v>0</v>
      </c>
      <c r="L538">
        <v>11</v>
      </c>
      <c r="M538">
        <v>0</v>
      </c>
      <c r="N538">
        <v>0</v>
      </c>
      <c r="O538">
        <v>7</v>
      </c>
      <c r="P538">
        <v>1</v>
      </c>
      <c r="Q538">
        <v>2</v>
      </c>
      <c r="R538">
        <v>1</v>
      </c>
      <c r="S538">
        <v>3</v>
      </c>
      <c r="T538">
        <v>5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3</v>
      </c>
      <c r="AB538">
        <v>11</v>
      </c>
      <c r="AC538">
        <v>0</v>
      </c>
      <c r="AD538" t="str">
        <f t="shared" si="104"/>
        <v>Ok</v>
      </c>
      <c r="AE538" t="str">
        <f>IF(AND(Audit_Data[[#This Row],[Year_Birth]]&gt;=1900,Audit_Data[[#This Row],[Year_Birth]]&lt;=2010),"OK","Invalid")</f>
        <v>OK</v>
      </c>
      <c r="AF538" t="str">
        <f t="shared" si="105"/>
        <v>Valid</v>
      </c>
      <c r="AG538" t="str">
        <f t="shared" si="106"/>
        <v>Valid</v>
      </c>
      <c r="AH538" t="str">
        <f t="shared" si="107"/>
        <v>Valid</v>
      </c>
      <c r="AI538" t="str">
        <f t="shared" si="108"/>
        <v>Valid</v>
      </c>
      <c r="AJ538" t="str">
        <f t="shared" si="109"/>
        <v>Valid</v>
      </c>
      <c r="AK538" t="str">
        <f t="shared" si="116"/>
        <v xml:space="preserve">Valid </v>
      </c>
      <c r="AL538" t="str">
        <f>IF(AND(Audit_Data[[#This Row],[Recency]]&gt;=0,Audit_Data[[#This Row],[Recency]]&lt;=100),"Valid","Invalid")</f>
        <v>Valid</v>
      </c>
      <c r="AM538" t="str">
        <f t="shared" si="110"/>
        <v>Valid</v>
      </c>
      <c r="AN538" t="str">
        <f t="shared" si="111"/>
        <v>Valid</v>
      </c>
      <c r="AO538" t="str">
        <f t="shared" si="112"/>
        <v>Valid</v>
      </c>
      <c r="AP538" t="str">
        <f t="shared" si="113"/>
        <v>Valid</v>
      </c>
      <c r="AQ538" t="str">
        <f>IF(Audit_Data[[#This Row],[Z_CostContact]]=3,"Valid","Invalid")</f>
        <v>Valid</v>
      </c>
      <c r="AR538" t="str">
        <f t="shared" si="114"/>
        <v>Valid</v>
      </c>
      <c r="AS538" t="str">
        <f t="shared" si="115"/>
        <v>Valid</v>
      </c>
    </row>
    <row r="539" spans="1:45" x14ac:dyDescent="0.3">
      <c r="A539">
        <v>6931</v>
      </c>
      <c r="B539">
        <v>1967</v>
      </c>
      <c r="C539" t="s">
        <v>29</v>
      </c>
      <c r="D539" t="s">
        <v>35</v>
      </c>
      <c r="E539">
        <v>76982</v>
      </c>
      <c r="F539">
        <v>0</v>
      </c>
      <c r="G539">
        <v>0</v>
      </c>
      <c r="H539" s="1">
        <v>41685</v>
      </c>
      <c r="I539">
        <v>19</v>
      </c>
      <c r="J539">
        <v>464</v>
      </c>
      <c r="K539">
        <v>151</v>
      </c>
      <c r="L539">
        <v>292</v>
      </c>
      <c r="M539">
        <v>65</v>
      </c>
      <c r="N539">
        <v>60</v>
      </c>
      <c r="O539">
        <v>30</v>
      </c>
      <c r="P539">
        <v>1</v>
      </c>
      <c r="Q539">
        <v>8</v>
      </c>
      <c r="R539">
        <v>3</v>
      </c>
      <c r="S539">
        <v>4</v>
      </c>
      <c r="T539">
        <v>4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>
        <v>3</v>
      </c>
      <c r="AB539">
        <v>11</v>
      </c>
      <c r="AC539">
        <v>1</v>
      </c>
      <c r="AD539" t="str">
        <f t="shared" si="104"/>
        <v>Ok</v>
      </c>
      <c r="AE539" t="str">
        <f>IF(AND(Audit_Data[[#This Row],[Year_Birth]]&gt;=1900,Audit_Data[[#This Row],[Year_Birth]]&lt;=2010),"OK","Invalid")</f>
        <v>OK</v>
      </c>
      <c r="AF539" t="str">
        <f t="shared" si="105"/>
        <v>Valid</v>
      </c>
      <c r="AG539" t="str">
        <f t="shared" si="106"/>
        <v>Valid</v>
      </c>
      <c r="AH539" t="str">
        <f t="shared" si="107"/>
        <v>Valid</v>
      </c>
      <c r="AI539" t="str">
        <f t="shared" si="108"/>
        <v>Valid</v>
      </c>
      <c r="AJ539" t="str">
        <f t="shared" si="109"/>
        <v>Valid</v>
      </c>
      <c r="AK539" t="str">
        <f t="shared" si="116"/>
        <v xml:space="preserve">Valid </v>
      </c>
      <c r="AL539" t="str">
        <f>IF(AND(Audit_Data[[#This Row],[Recency]]&gt;=0,Audit_Data[[#This Row],[Recency]]&lt;=100),"Valid","Invalid")</f>
        <v>Valid</v>
      </c>
      <c r="AM539" t="str">
        <f t="shared" si="110"/>
        <v>Valid</v>
      </c>
      <c r="AN539" t="str">
        <f t="shared" si="111"/>
        <v>Valid</v>
      </c>
      <c r="AO539" t="str">
        <f t="shared" si="112"/>
        <v>Valid</v>
      </c>
      <c r="AP539" t="str">
        <f t="shared" si="113"/>
        <v>Valid</v>
      </c>
      <c r="AQ539" t="str">
        <f>IF(Audit_Data[[#This Row],[Z_CostContact]]=3,"Valid","Invalid")</f>
        <v>Valid</v>
      </c>
      <c r="AR539" t="str">
        <f t="shared" si="114"/>
        <v>Valid</v>
      </c>
      <c r="AS539" t="str">
        <f t="shared" si="115"/>
        <v>Valid</v>
      </c>
    </row>
    <row r="540" spans="1:45" x14ac:dyDescent="0.3">
      <c r="A540">
        <v>11096</v>
      </c>
      <c r="B540">
        <v>1952</v>
      </c>
      <c r="C540" t="s">
        <v>37</v>
      </c>
      <c r="D540" t="s">
        <v>31</v>
      </c>
      <c r="E540">
        <v>57247</v>
      </c>
      <c r="F540">
        <v>0</v>
      </c>
      <c r="G540">
        <v>1</v>
      </c>
      <c r="H540" s="1">
        <v>41494</v>
      </c>
      <c r="I540">
        <v>50</v>
      </c>
      <c r="J540">
        <v>99</v>
      </c>
      <c r="K540">
        <v>4</v>
      </c>
      <c r="L540">
        <v>32</v>
      </c>
      <c r="M540">
        <v>37</v>
      </c>
      <c r="N540">
        <v>54</v>
      </c>
      <c r="O540">
        <v>6</v>
      </c>
      <c r="P540">
        <v>2</v>
      </c>
      <c r="Q540">
        <v>2</v>
      </c>
      <c r="R540">
        <v>1</v>
      </c>
      <c r="S540">
        <v>7</v>
      </c>
      <c r="T540">
        <v>2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3</v>
      </c>
      <c r="AB540">
        <v>11</v>
      </c>
      <c r="AC540">
        <v>0</v>
      </c>
      <c r="AD540" t="str">
        <f t="shared" si="104"/>
        <v>Ok</v>
      </c>
      <c r="AE540" t="str">
        <f>IF(AND(Audit_Data[[#This Row],[Year_Birth]]&gt;=1900,Audit_Data[[#This Row],[Year_Birth]]&lt;=2010),"OK","Invalid")</f>
        <v>OK</v>
      </c>
      <c r="AF540" t="str">
        <f t="shared" si="105"/>
        <v>Valid</v>
      </c>
      <c r="AG540" t="str">
        <f t="shared" si="106"/>
        <v>Valid</v>
      </c>
      <c r="AH540" t="str">
        <f t="shared" si="107"/>
        <v>Valid</v>
      </c>
      <c r="AI540" t="str">
        <f t="shared" si="108"/>
        <v>Valid</v>
      </c>
      <c r="AJ540" t="str">
        <f t="shared" si="109"/>
        <v>Valid</v>
      </c>
      <c r="AK540" t="str">
        <f t="shared" si="116"/>
        <v xml:space="preserve">Valid </v>
      </c>
      <c r="AL540" t="str">
        <f>IF(AND(Audit_Data[[#This Row],[Recency]]&gt;=0,Audit_Data[[#This Row],[Recency]]&lt;=100),"Valid","Invalid")</f>
        <v>Valid</v>
      </c>
      <c r="AM540" t="str">
        <f t="shared" si="110"/>
        <v>Valid</v>
      </c>
      <c r="AN540" t="str">
        <f t="shared" si="111"/>
        <v>Valid</v>
      </c>
      <c r="AO540" t="str">
        <f t="shared" si="112"/>
        <v>Valid</v>
      </c>
      <c r="AP540" t="str">
        <f t="shared" si="113"/>
        <v>Valid</v>
      </c>
      <c r="AQ540" t="str">
        <f>IF(Audit_Data[[#This Row],[Z_CostContact]]=3,"Valid","Invalid")</f>
        <v>Valid</v>
      </c>
      <c r="AR540" t="str">
        <f t="shared" si="114"/>
        <v>Valid</v>
      </c>
      <c r="AS540" t="str">
        <f t="shared" si="115"/>
        <v>Valid</v>
      </c>
    </row>
    <row r="541" spans="1:45" x14ac:dyDescent="0.3">
      <c r="A541">
        <v>304</v>
      </c>
      <c r="B541">
        <v>1981</v>
      </c>
      <c r="C541" t="s">
        <v>34</v>
      </c>
      <c r="D541" t="s">
        <v>30</v>
      </c>
      <c r="E541">
        <v>22944</v>
      </c>
      <c r="F541">
        <v>1</v>
      </c>
      <c r="G541">
        <v>0</v>
      </c>
      <c r="H541" s="1">
        <v>41631</v>
      </c>
      <c r="I541">
        <v>67</v>
      </c>
      <c r="J541">
        <v>19</v>
      </c>
      <c r="K541">
        <v>3</v>
      </c>
      <c r="L541">
        <v>19</v>
      </c>
      <c r="M541">
        <v>4</v>
      </c>
      <c r="N541">
        <v>5</v>
      </c>
      <c r="O541">
        <v>26</v>
      </c>
      <c r="P541">
        <v>3</v>
      </c>
      <c r="Q541">
        <v>3</v>
      </c>
      <c r="R541">
        <v>0</v>
      </c>
      <c r="S541">
        <v>3</v>
      </c>
      <c r="T541">
        <v>7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3</v>
      </c>
      <c r="AB541">
        <v>11</v>
      </c>
      <c r="AC541">
        <v>0</v>
      </c>
      <c r="AD541" t="str">
        <f t="shared" si="104"/>
        <v>Ok</v>
      </c>
      <c r="AE541" t="str">
        <f>IF(AND(Audit_Data[[#This Row],[Year_Birth]]&gt;=1900,Audit_Data[[#This Row],[Year_Birth]]&lt;=2010),"OK","Invalid")</f>
        <v>OK</v>
      </c>
      <c r="AF541" t="str">
        <f t="shared" si="105"/>
        <v>Valid</v>
      </c>
      <c r="AG541" t="str">
        <f t="shared" si="106"/>
        <v>Valid</v>
      </c>
      <c r="AH541" t="str">
        <f t="shared" si="107"/>
        <v>Valid</v>
      </c>
      <c r="AI541" t="str">
        <f t="shared" si="108"/>
        <v>Valid</v>
      </c>
      <c r="AJ541" t="str">
        <f t="shared" si="109"/>
        <v>Valid</v>
      </c>
      <c r="AK541" t="str">
        <f t="shared" si="116"/>
        <v xml:space="preserve">Valid </v>
      </c>
      <c r="AL541" t="str">
        <f>IF(AND(Audit_Data[[#This Row],[Recency]]&gt;=0,Audit_Data[[#This Row],[Recency]]&lt;=100),"Valid","Invalid")</f>
        <v>Valid</v>
      </c>
      <c r="AM541" t="str">
        <f t="shared" si="110"/>
        <v>Valid</v>
      </c>
      <c r="AN541" t="str">
        <f t="shared" si="111"/>
        <v>Valid</v>
      </c>
      <c r="AO541" t="str">
        <f t="shared" si="112"/>
        <v>Valid</v>
      </c>
      <c r="AP541" t="str">
        <f t="shared" si="113"/>
        <v>Valid</v>
      </c>
      <c r="AQ541" t="str">
        <f>IF(Audit_Data[[#This Row],[Z_CostContact]]=3,"Valid","Invalid")</f>
        <v>Valid</v>
      </c>
      <c r="AR541" t="str">
        <f t="shared" si="114"/>
        <v>Valid</v>
      </c>
      <c r="AS541" t="str">
        <f t="shared" si="115"/>
        <v>Valid</v>
      </c>
    </row>
    <row r="542" spans="1:45" x14ac:dyDescent="0.3">
      <c r="A542">
        <v>3665</v>
      </c>
      <c r="B542">
        <v>1977</v>
      </c>
      <c r="C542" t="s">
        <v>37</v>
      </c>
      <c r="D542" t="s">
        <v>31</v>
      </c>
      <c r="E542">
        <v>25315</v>
      </c>
      <c r="F542">
        <v>1</v>
      </c>
      <c r="G542">
        <v>0</v>
      </c>
      <c r="H542" s="1">
        <v>41585</v>
      </c>
      <c r="I542">
        <v>46</v>
      </c>
      <c r="J542">
        <v>1</v>
      </c>
      <c r="K542">
        <v>9</v>
      </c>
      <c r="L542">
        <v>8</v>
      </c>
      <c r="M542">
        <v>11</v>
      </c>
      <c r="N542">
        <v>3</v>
      </c>
      <c r="O542">
        <v>22</v>
      </c>
      <c r="P542">
        <v>3</v>
      </c>
      <c r="Q542">
        <v>3</v>
      </c>
      <c r="R542">
        <v>0</v>
      </c>
      <c r="S542">
        <v>3</v>
      </c>
      <c r="T542">
        <v>8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3</v>
      </c>
      <c r="AB542">
        <v>11</v>
      </c>
      <c r="AC542">
        <v>0</v>
      </c>
      <c r="AD542" t="str">
        <f t="shared" si="104"/>
        <v>Ok</v>
      </c>
      <c r="AE542" t="str">
        <f>IF(AND(Audit_Data[[#This Row],[Year_Birth]]&gt;=1900,Audit_Data[[#This Row],[Year_Birth]]&lt;=2010),"OK","Invalid")</f>
        <v>OK</v>
      </c>
      <c r="AF542" t="str">
        <f t="shared" si="105"/>
        <v>Valid</v>
      </c>
      <c r="AG542" t="str">
        <f t="shared" si="106"/>
        <v>Valid</v>
      </c>
      <c r="AH542" t="str">
        <f t="shared" si="107"/>
        <v>Valid</v>
      </c>
      <c r="AI542" t="str">
        <f t="shared" si="108"/>
        <v>Valid</v>
      </c>
      <c r="AJ542" t="str">
        <f t="shared" si="109"/>
        <v>Valid</v>
      </c>
      <c r="AK542" t="str">
        <f t="shared" si="116"/>
        <v xml:space="preserve">Valid </v>
      </c>
      <c r="AL542" t="str">
        <f>IF(AND(Audit_Data[[#This Row],[Recency]]&gt;=0,Audit_Data[[#This Row],[Recency]]&lt;=100),"Valid","Invalid")</f>
        <v>Valid</v>
      </c>
      <c r="AM542" t="str">
        <f t="shared" si="110"/>
        <v>Valid</v>
      </c>
      <c r="AN542" t="str">
        <f t="shared" si="111"/>
        <v>Valid</v>
      </c>
      <c r="AO542" t="str">
        <f t="shared" si="112"/>
        <v>Valid</v>
      </c>
      <c r="AP542" t="str">
        <f t="shared" si="113"/>
        <v>Valid</v>
      </c>
      <c r="AQ542" t="str">
        <f>IF(Audit_Data[[#This Row],[Z_CostContact]]=3,"Valid","Invalid")</f>
        <v>Valid</v>
      </c>
      <c r="AR542" t="str">
        <f t="shared" si="114"/>
        <v>Valid</v>
      </c>
      <c r="AS542" t="str">
        <f t="shared" si="115"/>
        <v>Valid</v>
      </c>
    </row>
    <row r="543" spans="1:45" x14ac:dyDescent="0.3">
      <c r="A543">
        <v>10591</v>
      </c>
      <c r="B543">
        <v>1969</v>
      </c>
      <c r="C543" t="s">
        <v>29</v>
      </c>
      <c r="D543" t="s">
        <v>38</v>
      </c>
      <c r="E543">
        <v>43638</v>
      </c>
      <c r="F543">
        <v>0</v>
      </c>
      <c r="G543">
        <v>1</v>
      </c>
      <c r="H543" s="1">
        <v>41127</v>
      </c>
      <c r="I543">
        <v>37</v>
      </c>
      <c r="J543">
        <v>63</v>
      </c>
      <c r="K543">
        <v>10</v>
      </c>
      <c r="L543">
        <v>83</v>
      </c>
      <c r="M543">
        <v>7</v>
      </c>
      <c r="N543">
        <v>19</v>
      </c>
      <c r="O543">
        <v>19</v>
      </c>
      <c r="P543">
        <v>2</v>
      </c>
      <c r="Q543">
        <v>4</v>
      </c>
      <c r="R543">
        <v>1</v>
      </c>
      <c r="S543">
        <v>4</v>
      </c>
      <c r="T543">
        <v>7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3</v>
      </c>
      <c r="AB543">
        <v>11</v>
      </c>
      <c r="AC543">
        <v>0</v>
      </c>
      <c r="AD543" t="str">
        <f t="shared" si="104"/>
        <v>Ok</v>
      </c>
      <c r="AE543" t="str">
        <f>IF(AND(Audit_Data[[#This Row],[Year_Birth]]&gt;=1900,Audit_Data[[#This Row],[Year_Birth]]&lt;=2010),"OK","Invalid")</f>
        <v>OK</v>
      </c>
      <c r="AF543" t="str">
        <f t="shared" si="105"/>
        <v>Valid</v>
      </c>
      <c r="AG543" t="str">
        <f t="shared" si="106"/>
        <v>Valid</v>
      </c>
      <c r="AH543" t="str">
        <f t="shared" si="107"/>
        <v>Valid</v>
      </c>
      <c r="AI543" t="str">
        <f t="shared" si="108"/>
        <v>Valid</v>
      </c>
      <c r="AJ543" t="str">
        <f t="shared" si="109"/>
        <v>Valid</v>
      </c>
      <c r="AK543" t="str">
        <f t="shared" si="116"/>
        <v xml:space="preserve">Valid </v>
      </c>
      <c r="AL543" t="str">
        <f>IF(AND(Audit_Data[[#This Row],[Recency]]&gt;=0,Audit_Data[[#This Row],[Recency]]&lt;=100),"Valid","Invalid")</f>
        <v>Valid</v>
      </c>
      <c r="AM543" t="str">
        <f t="shared" si="110"/>
        <v>Valid</v>
      </c>
      <c r="AN543" t="str">
        <f t="shared" si="111"/>
        <v>Valid</v>
      </c>
      <c r="AO543" t="str">
        <f t="shared" si="112"/>
        <v>Valid</v>
      </c>
      <c r="AP543" t="str">
        <f t="shared" si="113"/>
        <v>Valid</v>
      </c>
      <c r="AQ543" t="str">
        <f>IF(Audit_Data[[#This Row],[Z_CostContact]]=3,"Valid","Invalid")</f>
        <v>Valid</v>
      </c>
      <c r="AR543" t="str">
        <f t="shared" si="114"/>
        <v>Valid</v>
      </c>
      <c r="AS543" t="str">
        <f t="shared" si="115"/>
        <v>Valid</v>
      </c>
    </row>
    <row r="544" spans="1:45" x14ac:dyDescent="0.3">
      <c r="A544">
        <v>5036</v>
      </c>
      <c r="B544">
        <v>1984</v>
      </c>
      <c r="C544" t="s">
        <v>32</v>
      </c>
      <c r="D544" t="s">
        <v>30</v>
      </c>
      <c r="E544">
        <v>42710</v>
      </c>
      <c r="F544">
        <v>1</v>
      </c>
      <c r="G544">
        <v>0</v>
      </c>
      <c r="H544" s="1">
        <v>41241</v>
      </c>
      <c r="I544">
        <v>38</v>
      </c>
      <c r="J544">
        <v>252</v>
      </c>
      <c r="K544">
        <v>3</v>
      </c>
      <c r="L544">
        <v>42</v>
      </c>
      <c r="M544">
        <v>4</v>
      </c>
      <c r="N544">
        <v>3</v>
      </c>
      <c r="O544">
        <v>102</v>
      </c>
      <c r="P544">
        <v>2</v>
      </c>
      <c r="Q544">
        <v>4</v>
      </c>
      <c r="R544">
        <v>5</v>
      </c>
      <c r="S544">
        <v>3</v>
      </c>
      <c r="T544">
        <v>6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3</v>
      </c>
      <c r="AB544">
        <v>11</v>
      </c>
      <c r="AC544">
        <v>0</v>
      </c>
      <c r="AD544" t="str">
        <f t="shared" si="104"/>
        <v>Ok</v>
      </c>
      <c r="AE544" t="str">
        <f>IF(AND(Audit_Data[[#This Row],[Year_Birth]]&gt;=1900,Audit_Data[[#This Row],[Year_Birth]]&lt;=2010),"OK","Invalid")</f>
        <v>OK</v>
      </c>
      <c r="AF544" t="str">
        <f t="shared" si="105"/>
        <v>Valid</v>
      </c>
      <c r="AG544" t="str">
        <f t="shared" si="106"/>
        <v>Valid</v>
      </c>
      <c r="AH544" t="str">
        <f t="shared" si="107"/>
        <v>Valid</v>
      </c>
      <c r="AI544" t="str">
        <f t="shared" si="108"/>
        <v>Valid</v>
      </c>
      <c r="AJ544" t="str">
        <f t="shared" si="109"/>
        <v>Valid</v>
      </c>
      <c r="AK544" t="str">
        <f t="shared" si="116"/>
        <v xml:space="preserve">Valid </v>
      </c>
      <c r="AL544" t="str">
        <f>IF(AND(Audit_Data[[#This Row],[Recency]]&gt;=0,Audit_Data[[#This Row],[Recency]]&lt;=100),"Valid","Invalid")</f>
        <v>Valid</v>
      </c>
      <c r="AM544" t="str">
        <f t="shared" si="110"/>
        <v>Valid</v>
      </c>
      <c r="AN544" t="str">
        <f t="shared" si="111"/>
        <v>Valid</v>
      </c>
      <c r="AO544" t="str">
        <f t="shared" si="112"/>
        <v>Valid</v>
      </c>
      <c r="AP544" t="str">
        <f t="shared" si="113"/>
        <v>Valid</v>
      </c>
      <c r="AQ544" t="str">
        <f>IF(Audit_Data[[#This Row],[Z_CostContact]]=3,"Valid","Invalid")</f>
        <v>Valid</v>
      </c>
      <c r="AR544" t="str">
        <f t="shared" si="114"/>
        <v>Valid</v>
      </c>
      <c r="AS544" t="str">
        <f t="shared" si="115"/>
        <v>Valid</v>
      </c>
    </row>
    <row r="545" spans="1:45" x14ac:dyDescent="0.3">
      <c r="A545">
        <v>5547</v>
      </c>
      <c r="B545">
        <v>1982</v>
      </c>
      <c r="C545" t="s">
        <v>32</v>
      </c>
      <c r="D545" t="s">
        <v>33</v>
      </c>
      <c r="E545">
        <v>84169</v>
      </c>
      <c r="F545">
        <v>0</v>
      </c>
      <c r="G545">
        <v>0</v>
      </c>
      <c r="H545" s="1">
        <v>41493</v>
      </c>
      <c r="I545">
        <v>9</v>
      </c>
      <c r="J545">
        <v>1478</v>
      </c>
      <c r="K545">
        <v>19</v>
      </c>
      <c r="L545">
        <v>403</v>
      </c>
      <c r="M545">
        <v>0</v>
      </c>
      <c r="N545">
        <v>19</v>
      </c>
      <c r="O545">
        <v>0</v>
      </c>
      <c r="P545">
        <v>1</v>
      </c>
      <c r="Q545">
        <v>7</v>
      </c>
      <c r="R545">
        <v>6</v>
      </c>
      <c r="S545">
        <v>6</v>
      </c>
      <c r="T545">
        <v>3</v>
      </c>
      <c r="U545">
        <v>0</v>
      </c>
      <c r="V545">
        <v>1</v>
      </c>
      <c r="W545">
        <v>1</v>
      </c>
      <c r="X545">
        <v>0</v>
      </c>
      <c r="Y545">
        <v>0</v>
      </c>
      <c r="Z545">
        <v>0</v>
      </c>
      <c r="AA545">
        <v>3</v>
      </c>
      <c r="AB545">
        <v>11</v>
      </c>
      <c r="AC545">
        <v>1</v>
      </c>
      <c r="AD545" t="str">
        <f t="shared" si="104"/>
        <v>Ok</v>
      </c>
      <c r="AE545" t="str">
        <f>IF(AND(Audit_Data[[#This Row],[Year_Birth]]&gt;=1900,Audit_Data[[#This Row],[Year_Birth]]&lt;=2010),"OK","Invalid")</f>
        <v>OK</v>
      </c>
      <c r="AF545" t="str">
        <f t="shared" si="105"/>
        <v>Valid</v>
      </c>
      <c r="AG545" t="str">
        <f t="shared" si="106"/>
        <v>Valid</v>
      </c>
      <c r="AH545" t="str">
        <f t="shared" si="107"/>
        <v>Valid</v>
      </c>
      <c r="AI545" t="str">
        <f t="shared" si="108"/>
        <v>Valid</v>
      </c>
      <c r="AJ545" t="str">
        <f t="shared" si="109"/>
        <v>Valid</v>
      </c>
      <c r="AK545" t="str">
        <f t="shared" si="116"/>
        <v xml:space="preserve">Valid </v>
      </c>
      <c r="AL545" t="str">
        <f>IF(AND(Audit_Data[[#This Row],[Recency]]&gt;=0,Audit_Data[[#This Row],[Recency]]&lt;=100),"Valid","Invalid")</f>
        <v>Valid</v>
      </c>
      <c r="AM545" t="str">
        <f t="shared" si="110"/>
        <v>Valid</v>
      </c>
      <c r="AN545" t="str">
        <f t="shared" si="111"/>
        <v>Valid</v>
      </c>
      <c r="AO545" t="str">
        <f t="shared" si="112"/>
        <v>Valid</v>
      </c>
      <c r="AP545" t="str">
        <f t="shared" si="113"/>
        <v>Valid</v>
      </c>
      <c r="AQ545" t="str">
        <f>IF(Audit_Data[[#This Row],[Z_CostContact]]=3,"Valid","Invalid")</f>
        <v>Valid</v>
      </c>
      <c r="AR545" t="str">
        <f t="shared" si="114"/>
        <v>Valid</v>
      </c>
      <c r="AS545" t="str">
        <f t="shared" si="115"/>
        <v>Valid</v>
      </c>
    </row>
    <row r="546" spans="1:45" x14ac:dyDescent="0.3">
      <c r="A546">
        <v>7822</v>
      </c>
      <c r="B546">
        <v>1976</v>
      </c>
      <c r="C546" t="s">
        <v>29</v>
      </c>
      <c r="D546" t="s">
        <v>31</v>
      </c>
      <c r="E546">
        <v>54058</v>
      </c>
      <c r="F546">
        <v>0</v>
      </c>
      <c r="G546">
        <v>1</v>
      </c>
      <c r="H546" s="1">
        <v>41429</v>
      </c>
      <c r="I546">
        <v>56</v>
      </c>
      <c r="J546">
        <v>198</v>
      </c>
      <c r="K546">
        <v>18</v>
      </c>
      <c r="L546">
        <v>252</v>
      </c>
      <c r="M546">
        <v>32</v>
      </c>
      <c r="N546">
        <v>108</v>
      </c>
      <c r="O546">
        <v>54</v>
      </c>
      <c r="P546">
        <v>2</v>
      </c>
      <c r="Q546">
        <v>4</v>
      </c>
      <c r="R546">
        <v>6</v>
      </c>
      <c r="S546">
        <v>8</v>
      </c>
      <c r="T546">
        <v>3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3</v>
      </c>
      <c r="AB546">
        <v>11</v>
      </c>
      <c r="AC546">
        <v>0</v>
      </c>
      <c r="AD546" t="str">
        <f t="shared" si="104"/>
        <v>Ok</v>
      </c>
      <c r="AE546" t="str">
        <f>IF(AND(Audit_Data[[#This Row],[Year_Birth]]&gt;=1900,Audit_Data[[#This Row],[Year_Birth]]&lt;=2010),"OK","Invalid")</f>
        <v>OK</v>
      </c>
      <c r="AF546" t="str">
        <f t="shared" si="105"/>
        <v>Valid</v>
      </c>
      <c r="AG546" t="str">
        <f t="shared" si="106"/>
        <v>Valid</v>
      </c>
      <c r="AH546" t="str">
        <f t="shared" si="107"/>
        <v>Valid</v>
      </c>
      <c r="AI546" t="str">
        <f t="shared" si="108"/>
        <v>Valid</v>
      </c>
      <c r="AJ546" t="str">
        <f t="shared" si="109"/>
        <v>Valid</v>
      </c>
      <c r="AK546" t="str">
        <f t="shared" si="116"/>
        <v xml:space="preserve">Valid </v>
      </c>
      <c r="AL546" t="str">
        <f>IF(AND(Audit_Data[[#This Row],[Recency]]&gt;=0,Audit_Data[[#This Row],[Recency]]&lt;=100),"Valid","Invalid")</f>
        <v>Valid</v>
      </c>
      <c r="AM546" t="str">
        <f t="shared" si="110"/>
        <v>Valid</v>
      </c>
      <c r="AN546" t="str">
        <f t="shared" si="111"/>
        <v>Valid</v>
      </c>
      <c r="AO546" t="str">
        <f t="shared" si="112"/>
        <v>Valid</v>
      </c>
      <c r="AP546" t="str">
        <f t="shared" si="113"/>
        <v>Valid</v>
      </c>
      <c r="AQ546" t="str">
        <f>IF(Audit_Data[[#This Row],[Z_CostContact]]=3,"Valid","Invalid")</f>
        <v>Valid</v>
      </c>
      <c r="AR546" t="str">
        <f t="shared" si="114"/>
        <v>Valid</v>
      </c>
      <c r="AS546" t="str">
        <f t="shared" si="115"/>
        <v>Valid</v>
      </c>
    </row>
    <row r="547" spans="1:45" x14ac:dyDescent="0.3">
      <c r="A547">
        <v>8541</v>
      </c>
      <c r="B547">
        <v>1990</v>
      </c>
      <c r="C547" t="s">
        <v>37</v>
      </c>
      <c r="D547" t="s">
        <v>33</v>
      </c>
      <c r="E547">
        <v>24683</v>
      </c>
      <c r="F547">
        <v>1</v>
      </c>
      <c r="G547">
        <v>0</v>
      </c>
      <c r="H547" s="1">
        <v>41706</v>
      </c>
      <c r="I547">
        <v>98</v>
      </c>
      <c r="J547">
        <v>8</v>
      </c>
      <c r="K547">
        <v>4</v>
      </c>
      <c r="L547">
        <v>10</v>
      </c>
      <c r="M547">
        <v>6</v>
      </c>
      <c r="N547">
        <v>7</v>
      </c>
      <c r="O547">
        <v>6</v>
      </c>
      <c r="P547">
        <v>2</v>
      </c>
      <c r="Q547">
        <v>2</v>
      </c>
      <c r="R547">
        <v>0</v>
      </c>
      <c r="S547">
        <v>4</v>
      </c>
      <c r="T547">
        <v>5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3</v>
      </c>
      <c r="AB547">
        <v>11</v>
      </c>
      <c r="AC547">
        <v>0</v>
      </c>
      <c r="AD547" t="str">
        <f t="shared" si="104"/>
        <v>Ok</v>
      </c>
      <c r="AE547" t="str">
        <f>IF(AND(Audit_Data[[#This Row],[Year_Birth]]&gt;=1900,Audit_Data[[#This Row],[Year_Birth]]&lt;=2010),"OK","Invalid")</f>
        <v>OK</v>
      </c>
      <c r="AF547" t="str">
        <f t="shared" si="105"/>
        <v>Valid</v>
      </c>
      <c r="AG547" t="str">
        <f t="shared" si="106"/>
        <v>Valid</v>
      </c>
      <c r="AH547" t="str">
        <f t="shared" si="107"/>
        <v>Valid</v>
      </c>
      <c r="AI547" t="str">
        <f t="shared" si="108"/>
        <v>Valid</v>
      </c>
      <c r="AJ547" t="str">
        <f t="shared" si="109"/>
        <v>Valid</v>
      </c>
      <c r="AK547" t="str">
        <f t="shared" si="116"/>
        <v xml:space="preserve">Valid </v>
      </c>
      <c r="AL547" t="str">
        <f>IF(AND(Audit_Data[[#This Row],[Recency]]&gt;=0,Audit_Data[[#This Row],[Recency]]&lt;=100),"Valid","Invalid")</f>
        <v>Valid</v>
      </c>
      <c r="AM547" t="str">
        <f t="shared" si="110"/>
        <v>Valid</v>
      </c>
      <c r="AN547" t="str">
        <f t="shared" si="111"/>
        <v>Valid</v>
      </c>
      <c r="AO547" t="str">
        <f t="shared" si="112"/>
        <v>Valid</v>
      </c>
      <c r="AP547" t="str">
        <f t="shared" si="113"/>
        <v>Valid</v>
      </c>
      <c r="AQ547" t="str">
        <f>IF(Audit_Data[[#This Row],[Z_CostContact]]=3,"Valid","Invalid")</f>
        <v>Valid</v>
      </c>
      <c r="AR547" t="str">
        <f t="shared" si="114"/>
        <v>Valid</v>
      </c>
      <c r="AS547" t="str">
        <f t="shared" si="115"/>
        <v>Valid</v>
      </c>
    </row>
    <row r="548" spans="1:45" x14ac:dyDescent="0.3">
      <c r="A548">
        <v>10955</v>
      </c>
      <c r="B548">
        <v>1964</v>
      </c>
      <c r="C548" t="s">
        <v>29</v>
      </c>
      <c r="D548" t="s">
        <v>38</v>
      </c>
      <c r="E548">
        <v>85620</v>
      </c>
      <c r="F548">
        <v>0</v>
      </c>
      <c r="G548">
        <v>0</v>
      </c>
      <c r="H548" s="1">
        <v>41646</v>
      </c>
      <c r="I548">
        <v>68</v>
      </c>
      <c r="J548">
        <v>416</v>
      </c>
      <c r="K548">
        <v>46</v>
      </c>
      <c r="L548">
        <v>925</v>
      </c>
      <c r="M548">
        <v>60</v>
      </c>
      <c r="N548">
        <v>107</v>
      </c>
      <c r="O548">
        <v>46</v>
      </c>
      <c r="P548">
        <v>1</v>
      </c>
      <c r="Q548">
        <v>3</v>
      </c>
      <c r="R548">
        <v>6</v>
      </c>
      <c r="S548">
        <v>4</v>
      </c>
      <c r="T548">
        <v>1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3</v>
      </c>
      <c r="AB548">
        <v>11</v>
      </c>
      <c r="AC548">
        <v>1</v>
      </c>
      <c r="AD548" t="str">
        <f t="shared" si="104"/>
        <v>Ok</v>
      </c>
      <c r="AE548" t="str">
        <f>IF(AND(Audit_Data[[#This Row],[Year_Birth]]&gt;=1900,Audit_Data[[#This Row],[Year_Birth]]&lt;=2010),"OK","Invalid")</f>
        <v>OK</v>
      </c>
      <c r="AF548" t="str">
        <f t="shared" si="105"/>
        <v>Valid</v>
      </c>
      <c r="AG548" t="str">
        <f t="shared" si="106"/>
        <v>Valid</v>
      </c>
      <c r="AH548" t="str">
        <f t="shared" si="107"/>
        <v>Valid</v>
      </c>
      <c r="AI548" t="str">
        <f t="shared" si="108"/>
        <v>Valid</v>
      </c>
      <c r="AJ548" t="str">
        <f t="shared" si="109"/>
        <v>Valid</v>
      </c>
      <c r="AK548" t="str">
        <f t="shared" si="116"/>
        <v xml:space="preserve">Valid </v>
      </c>
      <c r="AL548" t="str">
        <f>IF(AND(Audit_Data[[#This Row],[Recency]]&gt;=0,Audit_Data[[#This Row],[Recency]]&lt;=100),"Valid","Invalid")</f>
        <v>Valid</v>
      </c>
      <c r="AM548" t="str">
        <f t="shared" si="110"/>
        <v>Valid</v>
      </c>
      <c r="AN548" t="str">
        <f t="shared" si="111"/>
        <v>Valid</v>
      </c>
      <c r="AO548" t="str">
        <f t="shared" si="112"/>
        <v>Valid</v>
      </c>
      <c r="AP548" t="str">
        <f t="shared" si="113"/>
        <v>Valid</v>
      </c>
      <c r="AQ548" t="str">
        <f>IF(Audit_Data[[#This Row],[Z_CostContact]]=3,"Valid","Invalid")</f>
        <v>Valid</v>
      </c>
      <c r="AR548" t="str">
        <f t="shared" si="114"/>
        <v>Valid</v>
      </c>
      <c r="AS548" t="str">
        <f t="shared" si="115"/>
        <v>Valid</v>
      </c>
    </row>
    <row r="549" spans="1:45" x14ac:dyDescent="0.3">
      <c r="A549">
        <v>4368</v>
      </c>
      <c r="B549">
        <v>1980</v>
      </c>
      <c r="C549" t="s">
        <v>29</v>
      </c>
      <c r="D549" t="s">
        <v>33</v>
      </c>
      <c r="E549">
        <v>47850</v>
      </c>
      <c r="F549">
        <v>1</v>
      </c>
      <c r="G549">
        <v>0</v>
      </c>
      <c r="H549" s="1">
        <v>41611</v>
      </c>
      <c r="I549">
        <v>72</v>
      </c>
      <c r="J549">
        <v>42</v>
      </c>
      <c r="K549">
        <v>7</v>
      </c>
      <c r="L549">
        <v>43</v>
      </c>
      <c r="M549">
        <v>20</v>
      </c>
      <c r="N549">
        <v>12</v>
      </c>
      <c r="O549">
        <v>10</v>
      </c>
      <c r="P549">
        <v>1</v>
      </c>
      <c r="Q549">
        <v>3</v>
      </c>
      <c r="R549">
        <v>0</v>
      </c>
      <c r="S549">
        <v>4</v>
      </c>
      <c r="T549">
        <v>6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3</v>
      </c>
      <c r="AB549">
        <v>11</v>
      </c>
      <c r="AC549">
        <v>0</v>
      </c>
      <c r="AD549" t="str">
        <f t="shared" si="104"/>
        <v>Ok</v>
      </c>
      <c r="AE549" t="str">
        <f>IF(AND(Audit_Data[[#This Row],[Year_Birth]]&gt;=1900,Audit_Data[[#This Row],[Year_Birth]]&lt;=2010),"OK","Invalid")</f>
        <v>OK</v>
      </c>
      <c r="AF549" t="str">
        <f t="shared" si="105"/>
        <v>Valid</v>
      </c>
      <c r="AG549" t="str">
        <f t="shared" si="106"/>
        <v>Valid</v>
      </c>
      <c r="AH549" t="str">
        <f t="shared" si="107"/>
        <v>Valid</v>
      </c>
      <c r="AI549" t="str">
        <f t="shared" si="108"/>
        <v>Valid</v>
      </c>
      <c r="AJ549" t="str">
        <f t="shared" si="109"/>
        <v>Valid</v>
      </c>
      <c r="AK549" t="str">
        <f t="shared" si="116"/>
        <v xml:space="preserve">Valid </v>
      </c>
      <c r="AL549" t="str">
        <f>IF(AND(Audit_Data[[#This Row],[Recency]]&gt;=0,Audit_Data[[#This Row],[Recency]]&lt;=100),"Valid","Invalid")</f>
        <v>Valid</v>
      </c>
      <c r="AM549" t="str">
        <f t="shared" si="110"/>
        <v>Valid</v>
      </c>
      <c r="AN549" t="str">
        <f t="shared" si="111"/>
        <v>Valid</v>
      </c>
      <c r="AO549" t="str">
        <f t="shared" si="112"/>
        <v>Valid</v>
      </c>
      <c r="AP549" t="str">
        <f t="shared" si="113"/>
        <v>Valid</v>
      </c>
      <c r="AQ549" t="str">
        <f>IF(Audit_Data[[#This Row],[Z_CostContact]]=3,"Valid","Invalid")</f>
        <v>Valid</v>
      </c>
      <c r="AR549" t="str">
        <f t="shared" si="114"/>
        <v>Valid</v>
      </c>
      <c r="AS549" t="str">
        <f t="shared" si="115"/>
        <v>Valid</v>
      </c>
    </row>
    <row r="550" spans="1:45" x14ac:dyDescent="0.3">
      <c r="A550">
        <v>9671</v>
      </c>
      <c r="B550">
        <v>1968</v>
      </c>
      <c r="C550" t="s">
        <v>29</v>
      </c>
      <c r="D550" t="s">
        <v>33</v>
      </c>
      <c r="E550">
        <v>19514</v>
      </c>
      <c r="F550">
        <v>1</v>
      </c>
      <c r="G550">
        <v>1</v>
      </c>
      <c r="H550" s="1">
        <v>41665</v>
      </c>
      <c r="I550">
        <v>47</v>
      </c>
      <c r="J550">
        <v>14</v>
      </c>
      <c r="K550">
        <v>3</v>
      </c>
      <c r="L550">
        <v>21</v>
      </c>
      <c r="M550">
        <v>2</v>
      </c>
      <c r="N550">
        <v>1</v>
      </c>
      <c r="O550">
        <v>28</v>
      </c>
      <c r="P550">
        <v>4</v>
      </c>
      <c r="Q550">
        <v>3</v>
      </c>
      <c r="R550">
        <v>1</v>
      </c>
      <c r="S550">
        <v>2</v>
      </c>
      <c r="T550">
        <v>8</v>
      </c>
      <c r="U550">
        <v>1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3</v>
      </c>
      <c r="AB550">
        <v>11</v>
      </c>
      <c r="AC550">
        <v>1</v>
      </c>
      <c r="AD550" t="str">
        <f t="shared" si="104"/>
        <v>Ok</v>
      </c>
      <c r="AE550" t="str">
        <f>IF(AND(Audit_Data[[#This Row],[Year_Birth]]&gt;=1900,Audit_Data[[#This Row],[Year_Birth]]&lt;=2010),"OK","Invalid")</f>
        <v>OK</v>
      </c>
      <c r="AF550" t="str">
        <f t="shared" si="105"/>
        <v>Valid</v>
      </c>
      <c r="AG550" t="str">
        <f t="shared" si="106"/>
        <v>Valid</v>
      </c>
      <c r="AH550" t="str">
        <f t="shared" si="107"/>
        <v>Valid</v>
      </c>
      <c r="AI550" t="str">
        <f t="shared" si="108"/>
        <v>Valid</v>
      </c>
      <c r="AJ550" t="str">
        <f t="shared" si="109"/>
        <v>Valid</v>
      </c>
      <c r="AK550" t="str">
        <f t="shared" si="116"/>
        <v xml:space="preserve">Valid </v>
      </c>
      <c r="AL550" t="str">
        <f>IF(AND(Audit_Data[[#This Row],[Recency]]&gt;=0,Audit_Data[[#This Row],[Recency]]&lt;=100),"Valid","Invalid")</f>
        <v>Valid</v>
      </c>
      <c r="AM550" t="str">
        <f t="shared" si="110"/>
        <v>Valid</v>
      </c>
      <c r="AN550" t="str">
        <f t="shared" si="111"/>
        <v>Valid</v>
      </c>
      <c r="AO550" t="str">
        <f t="shared" si="112"/>
        <v>Valid</v>
      </c>
      <c r="AP550" t="str">
        <f t="shared" si="113"/>
        <v>Valid</v>
      </c>
      <c r="AQ550" t="str">
        <f>IF(Audit_Data[[#This Row],[Z_CostContact]]=3,"Valid","Invalid")</f>
        <v>Valid</v>
      </c>
      <c r="AR550" t="str">
        <f t="shared" si="114"/>
        <v>Valid</v>
      </c>
      <c r="AS550" t="str">
        <f t="shared" si="115"/>
        <v>Valid</v>
      </c>
    </row>
    <row r="551" spans="1:45" x14ac:dyDescent="0.3">
      <c r="A551">
        <v>2256</v>
      </c>
      <c r="B551">
        <v>1973</v>
      </c>
      <c r="C551" t="s">
        <v>34</v>
      </c>
      <c r="D551" t="s">
        <v>33</v>
      </c>
      <c r="E551">
        <v>27159</v>
      </c>
      <c r="F551">
        <v>1</v>
      </c>
      <c r="G551">
        <v>1</v>
      </c>
      <c r="H551" s="1">
        <v>41727</v>
      </c>
      <c r="I551">
        <v>33</v>
      </c>
      <c r="J551">
        <v>17</v>
      </c>
      <c r="K551">
        <v>0</v>
      </c>
      <c r="L551">
        <v>3</v>
      </c>
      <c r="M551">
        <v>0</v>
      </c>
      <c r="N551">
        <v>0</v>
      </c>
      <c r="O551">
        <v>1</v>
      </c>
      <c r="P551">
        <v>2</v>
      </c>
      <c r="Q551">
        <v>1</v>
      </c>
      <c r="R551">
        <v>0</v>
      </c>
      <c r="S551">
        <v>3</v>
      </c>
      <c r="T551">
        <v>6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3</v>
      </c>
      <c r="AB551">
        <v>11</v>
      </c>
      <c r="AC551">
        <v>0</v>
      </c>
      <c r="AD551" t="str">
        <f t="shared" si="104"/>
        <v>Ok</v>
      </c>
      <c r="AE551" t="str">
        <f>IF(AND(Audit_Data[[#This Row],[Year_Birth]]&gt;=1900,Audit_Data[[#This Row],[Year_Birth]]&lt;=2010),"OK","Invalid")</f>
        <v>OK</v>
      </c>
      <c r="AF551" t="str">
        <f t="shared" si="105"/>
        <v>Valid</v>
      </c>
      <c r="AG551" t="str">
        <f t="shared" si="106"/>
        <v>Valid</v>
      </c>
      <c r="AH551" t="str">
        <f t="shared" si="107"/>
        <v>Valid</v>
      </c>
      <c r="AI551" t="str">
        <f t="shared" si="108"/>
        <v>Valid</v>
      </c>
      <c r="AJ551" t="str">
        <f t="shared" si="109"/>
        <v>Valid</v>
      </c>
      <c r="AK551" t="str">
        <f t="shared" si="116"/>
        <v xml:space="preserve">Valid </v>
      </c>
      <c r="AL551" t="str">
        <f>IF(AND(Audit_Data[[#This Row],[Recency]]&gt;=0,Audit_Data[[#This Row],[Recency]]&lt;=100),"Valid","Invalid")</f>
        <v>Valid</v>
      </c>
      <c r="AM551" t="str">
        <f t="shared" si="110"/>
        <v>Valid</v>
      </c>
      <c r="AN551" t="str">
        <f t="shared" si="111"/>
        <v>Valid</v>
      </c>
      <c r="AO551" t="str">
        <f t="shared" si="112"/>
        <v>Valid</v>
      </c>
      <c r="AP551" t="str">
        <f t="shared" si="113"/>
        <v>Valid</v>
      </c>
      <c r="AQ551" t="str">
        <f>IF(Audit_Data[[#This Row],[Z_CostContact]]=3,"Valid","Invalid")</f>
        <v>Valid</v>
      </c>
      <c r="AR551" t="str">
        <f t="shared" si="114"/>
        <v>Valid</v>
      </c>
      <c r="AS551" t="str">
        <f t="shared" si="115"/>
        <v>Valid</v>
      </c>
    </row>
    <row r="552" spans="1:45" x14ac:dyDescent="0.3">
      <c r="A552">
        <v>4279</v>
      </c>
      <c r="B552">
        <v>1963</v>
      </c>
      <c r="C552" t="s">
        <v>37</v>
      </c>
      <c r="D552" t="s">
        <v>30</v>
      </c>
      <c r="E552">
        <v>39548</v>
      </c>
      <c r="F552">
        <v>1</v>
      </c>
      <c r="G552">
        <v>1</v>
      </c>
      <c r="H552" s="1">
        <v>41729</v>
      </c>
      <c r="I552">
        <v>87</v>
      </c>
      <c r="J552">
        <v>15</v>
      </c>
      <c r="K552">
        <v>4</v>
      </c>
      <c r="L552">
        <v>10</v>
      </c>
      <c r="M552">
        <v>3</v>
      </c>
      <c r="N552">
        <v>4</v>
      </c>
      <c r="O552">
        <v>18</v>
      </c>
      <c r="P552">
        <v>2</v>
      </c>
      <c r="Q552">
        <v>1</v>
      </c>
      <c r="R552">
        <v>1</v>
      </c>
      <c r="S552">
        <v>3</v>
      </c>
      <c r="T552">
        <v>3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3</v>
      </c>
      <c r="AB552">
        <v>11</v>
      </c>
      <c r="AC552">
        <v>0</v>
      </c>
      <c r="AD552" t="str">
        <f t="shared" si="104"/>
        <v>Ok</v>
      </c>
      <c r="AE552" t="str">
        <f>IF(AND(Audit_Data[[#This Row],[Year_Birth]]&gt;=1900,Audit_Data[[#This Row],[Year_Birth]]&lt;=2010),"OK","Invalid")</f>
        <v>OK</v>
      </c>
      <c r="AF552" t="str">
        <f t="shared" si="105"/>
        <v>Valid</v>
      </c>
      <c r="AG552" t="str">
        <f t="shared" si="106"/>
        <v>Valid</v>
      </c>
      <c r="AH552" t="str">
        <f t="shared" si="107"/>
        <v>Valid</v>
      </c>
      <c r="AI552" t="str">
        <f t="shared" si="108"/>
        <v>Valid</v>
      </c>
      <c r="AJ552" t="str">
        <f t="shared" si="109"/>
        <v>Valid</v>
      </c>
      <c r="AK552" t="str">
        <f t="shared" si="116"/>
        <v xml:space="preserve">Valid </v>
      </c>
      <c r="AL552" t="str">
        <f>IF(AND(Audit_Data[[#This Row],[Recency]]&gt;=0,Audit_Data[[#This Row],[Recency]]&lt;=100),"Valid","Invalid")</f>
        <v>Valid</v>
      </c>
      <c r="AM552" t="str">
        <f t="shared" si="110"/>
        <v>Valid</v>
      </c>
      <c r="AN552" t="str">
        <f t="shared" si="111"/>
        <v>Valid</v>
      </c>
      <c r="AO552" t="str">
        <f t="shared" si="112"/>
        <v>Valid</v>
      </c>
      <c r="AP552" t="str">
        <f t="shared" si="113"/>
        <v>Valid</v>
      </c>
      <c r="AQ552" t="str">
        <f>IF(Audit_Data[[#This Row],[Z_CostContact]]=3,"Valid","Invalid")</f>
        <v>Valid</v>
      </c>
      <c r="AR552" t="str">
        <f t="shared" si="114"/>
        <v>Valid</v>
      </c>
      <c r="AS552" t="str">
        <f t="shared" si="115"/>
        <v>Valid</v>
      </c>
    </row>
    <row r="553" spans="1:45" x14ac:dyDescent="0.3">
      <c r="A553">
        <v>5371</v>
      </c>
      <c r="B553">
        <v>1989</v>
      </c>
      <c r="C553" t="s">
        <v>29</v>
      </c>
      <c r="D553" t="s">
        <v>30</v>
      </c>
      <c r="E553">
        <v>21474</v>
      </c>
      <c r="F553">
        <v>1</v>
      </c>
      <c r="G553">
        <v>0</v>
      </c>
      <c r="H553" s="1">
        <v>41737</v>
      </c>
      <c r="I553">
        <v>0</v>
      </c>
      <c r="J553">
        <v>6</v>
      </c>
      <c r="K553">
        <v>16</v>
      </c>
      <c r="L553">
        <v>24</v>
      </c>
      <c r="M553">
        <v>11</v>
      </c>
      <c r="N553">
        <v>0</v>
      </c>
      <c r="O553">
        <v>34</v>
      </c>
      <c r="P553">
        <v>2</v>
      </c>
      <c r="Q553">
        <v>3</v>
      </c>
      <c r="R553">
        <v>1</v>
      </c>
      <c r="S553">
        <v>2</v>
      </c>
      <c r="T553">
        <v>7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3</v>
      </c>
      <c r="AB553">
        <v>11</v>
      </c>
      <c r="AC553">
        <v>1</v>
      </c>
      <c r="AD553" t="str">
        <f t="shared" si="104"/>
        <v>Ok</v>
      </c>
      <c r="AE553" t="str">
        <f>IF(AND(Audit_Data[[#This Row],[Year_Birth]]&gt;=1900,Audit_Data[[#This Row],[Year_Birth]]&lt;=2010),"OK","Invalid")</f>
        <v>OK</v>
      </c>
      <c r="AF553" t="str">
        <f t="shared" si="105"/>
        <v>Valid</v>
      </c>
      <c r="AG553" t="str">
        <f t="shared" si="106"/>
        <v>Valid</v>
      </c>
      <c r="AH553" t="str">
        <f t="shared" si="107"/>
        <v>Valid</v>
      </c>
      <c r="AI553" t="str">
        <f t="shared" si="108"/>
        <v>Valid</v>
      </c>
      <c r="AJ553" t="str">
        <f t="shared" si="109"/>
        <v>Valid</v>
      </c>
      <c r="AK553" t="str">
        <f t="shared" si="116"/>
        <v xml:space="preserve">Valid </v>
      </c>
      <c r="AL553" t="str">
        <f>IF(AND(Audit_Data[[#This Row],[Recency]]&gt;=0,Audit_Data[[#This Row],[Recency]]&lt;=100),"Valid","Invalid")</f>
        <v>Valid</v>
      </c>
      <c r="AM553" t="str">
        <f t="shared" si="110"/>
        <v>Valid</v>
      </c>
      <c r="AN553" t="str">
        <f t="shared" si="111"/>
        <v>Valid</v>
      </c>
      <c r="AO553" t="str">
        <f t="shared" si="112"/>
        <v>Valid</v>
      </c>
      <c r="AP553" t="str">
        <f t="shared" si="113"/>
        <v>Valid</v>
      </c>
      <c r="AQ553" t="str">
        <f>IF(Audit_Data[[#This Row],[Z_CostContact]]=3,"Valid","Invalid")</f>
        <v>Valid</v>
      </c>
      <c r="AR553" t="str">
        <f t="shared" si="114"/>
        <v>Valid</v>
      </c>
      <c r="AS553" t="str">
        <f t="shared" si="115"/>
        <v>Valid</v>
      </c>
    </row>
    <row r="554" spans="1:45" x14ac:dyDescent="0.3">
      <c r="A554">
        <v>9240</v>
      </c>
      <c r="B554">
        <v>1971</v>
      </c>
      <c r="C554" t="s">
        <v>32</v>
      </c>
      <c r="D554" t="s">
        <v>30</v>
      </c>
      <c r="E554">
        <v>60504</v>
      </c>
      <c r="F554">
        <v>0</v>
      </c>
      <c r="G554">
        <v>1</v>
      </c>
      <c r="H554" s="1">
        <v>41677</v>
      </c>
      <c r="I554">
        <v>73</v>
      </c>
      <c r="J554">
        <v>458</v>
      </c>
      <c r="K554">
        <v>0</v>
      </c>
      <c r="L554">
        <v>24</v>
      </c>
      <c r="M554">
        <v>6</v>
      </c>
      <c r="N554">
        <v>4</v>
      </c>
      <c r="O554">
        <v>34</v>
      </c>
      <c r="P554">
        <v>2</v>
      </c>
      <c r="Q554">
        <v>6</v>
      </c>
      <c r="R554">
        <v>2</v>
      </c>
      <c r="S554">
        <v>8</v>
      </c>
      <c r="T554">
        <v>6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3</v>
      </c>
      <c r="AB554">
        <v>11</v>
      </c>
      <c r="AC554">
        <v>0</v>
      </c>
      <c r="AD554" t="str">
        <f t="shared" si="104"/>
        <v>Ok</v>
      </c>
      <c r="AE554" t="str">
        <f>IF(AND(Audit_Data[[#This Row],[Year_Birth]]&gt;=1900,Audit_Data[[#This Row],[Year_Birth]]&lt;=2010),"OK","Invalid")</f>
        <v>OK</v>
      </c>
      <c r="AF554" t="str">
        <f t="shared" si="105"/>
        <v>Valid</v>
      </c>
      <c r="AG554" t="str">
        <f t="shared" si="106"/>
        <v>Valid</v>
      </c>
      <c r="AH554" t="str">
        <f t="shared" si="107"/>
        <v>Valid</v>
      </c>
      <c r="AI554" t="str">
        <f t="shared" si="108"/>
        <v>Valid</v>
      </c>
      <c r="AJ554" t="str">
        <f t="shared" si="109"/>
        <v>Valid</v>
      </c>
      <c r="AK554" t="str">
        <f t="shared" si="116"/>
        <v xml:space="preserve">Valid </v>
      </c>
      <c r="AL554" t="str">
        <f>IF(AND(Audit_Data[[#This Row],[Recency]]&gt;=0,Audit_Data[[#This Row],[Recency]]&lt;=100),"Valid","Invalid")</f>
        <v>Valid</v>
      </c>
      <c r="AM554" t="str">
        <f t="shared" si="110"/>
        <v>Valid</v>
      </c>
      <c r="AN554" t="str">
        <f t="shared" si="111"/>
        <v>Valid</v>
      </c>
      <c r="AO554" t="str">
        <f t="shared" si="112"/>
        <v>Valid</v>
      </c>
      <c r="AP554" t="str">
        <f t="shared" si="113"/>
        <v>Valid</v>
      </c>
      <c r="AQ554" t="str">
        <f>IF(Audit_Data[[#This Row],[Z_CostContact]]=3,"Valid","Invalid")</f>
        <v>Valid</v>
      </c>
      <c r="AR554" t="str">
        <f t="shared" si="114"/>
        <v>Valid</v>
      </c>
      <c r="AS554" t="str">
        <f t="shared" si="115"/>
        <v>Valid</v>
      </c>
    </row>
    <row r="555" spans="1:45" x14ac:dyDescent="0.3">
      <c r="A555">
        <v>9460</v>
      </c>
      <c r="B555">
        <v>1963</v>
      </c>
      <c r="C555" t="s">
        <v>29</v>
      </c>
      <c r="D555" t="s">
        <v>33</v>
      </c>
      <c r="E555">
        <v>22419</v>
      </c>
      <c r="F555">
        <v>0</v>
      </c>
      <c r="G555">
        <v>0</v>
      </c>
      <c r="H555" s="1">
        <v>41382</v>
      </c>
      <c r="I555">
        <v>74</v>
      </c>
      <c r="J555">
        <v>30</v>
      </c>
      <c r="K555">
        <v>3</v>
      </c>
      <c r="L555">
        <v>47</v>
      </c>
      <c r="M555">
        <v>19</v>
      </c>
      <c r="N555">
        <v>21</v>
      </c>
      <c r="O555">
        <v>42</v>
      </c>
      <c r="P555">
        <v>1</v>
      </c>
      <c r="Q555">
        <v>3</v>
      </c>
      <c r="R555">
        <v>2</v>
      </c>
      <c r="S555">
        <v>2</v>
      </c>
      <c r="T555">
        <v>8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3</v>
      </c>
      <c r="AB555">
        <v>11</v>
      </c>
      <c r="AC555">
        <v>0</v>
      </c>
      <c r="AD555" t="str">
        <f t="shared" si="104"/>
        <v>Ok</v>
      </c>
      <c r="AE555" t="str">
        <f>IF(AND(Audit_Data[[#This Row],[Year_Birth]]&gt;=1900,Audit_Data[[#This Row],[Year_Birth]]&lt;=2010),"OK","Invalid")</f>
        <v>OK</v>
      </c>
      <c r="AF555" t="str">
        <f t="shared" si="105"/>
        <v>Valid</v>
      </c>
      <c r="AG555" t="str">
        <f t="shared" si="106"/>
        <v>Valid</v>
      </c>
      <c r="AH555" t="str">
        <f t="shared" si="107"/>
        <v>Valid</v>
      </c>
      <c r="AI555" t="str">
        <f t="shared" si="108"/>
        <v>Valid</v>
      </c>
      <c r="AJ555" t="str">
        <f t="shared" si="109"/>
        <v>Valid</v>
      </c>
      <c r="AK555" t="str">
        <f t="shared" si="116"/>
        <v xml:space="preserve">Valid </v>
      </c>
      <c r="AL555" t="str">
        <f>IF(AND(Audit_Data[[#This Row],[Recency]]&gt;=0,Audit_Data[[#This Row],[Recency]]&lt;=100),"Valid","Invalid")</f>
        <v>Valid</v>
      </c>
      <c r="AM555" t="str">
        <f t="shared" si="110"/>
        <v>Valid</v>
      </c>
      <c r="AN555" t="str">
        <f t="shared" si="111"/>
        <v>Valid</v>
      </c>
      <c r="AO555" t="str">
        <f t="shared" si="112"/>
        <v>Valid</v>
      </c>
      <c r="AP555" t="str">
        <f t="shared" si="113"/>
        <v>Valid</v>
      </c>
      <c r="AQ555" t="str">
        <f>IF(Audit_Data[[#This Row],[Z_CostContact]]=3,"Valid","Invalid")</f>
        <v>Valid</v>
      </c>
      <c r="AR555" t="str">
        <f t="shared" si="114"/>
        <v>Valid</v>
      </c>
      <c r="AS555" t="str">
        <f t="shared" si="115"/>
        <v>Valid</v>
      </c>
    </row>
    <row r="556" spans="1:45" x14ac:dyDescent="0.3">
      <c r="A556">
        <v>9504</v>
      </c>
      <c r="B556">
        <v>1949</v>
      </c>
      <c r="C556" t="s">
        <v>34</v>
      </c>
      <c r="D556" t="s">
        <v>33</v>
      </c>
      <c r="E556">
        <v>81698</v>
      </c>
      <c r="F556">
        <v>0</v>
      </c>
      <c r="G556">
        <v>0</v>
      </c>
      <c r="H556" s="1">
        <v>41584</v>
      </c>
      <c r="I556">
        <v>4</v>
      </c>
      <c r="J556">
        <v>179</v>
      </c>
      <c r="K556">
        <v>28</v>
      </c>
      <c r="L556">
        <v>520</v>
      </c>
      <c r="M556">
        <v>111</v>
      </c>
      <c r="N556">
        <v>123</v>
      </c>
      <c r="O556">
        <v>47</v>
      </c>
      <c r="P556">
        <v>1</v>
      </c>
      <c r="Q556">
        <v>3</v>
      </c>
      <c r="R556">
        <v>8</v>
      </c>
      <c r="S556">
        <v>13</v>
      </c>
      <c r="T556">
        <v>1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3</v>
      </c>
      <c r="AB556">
        <v>11</v>
      </c>
      <c r="AC556">
        <v>1</v>
      </c>
      <c r="AD556" t="str">
        <f t="shared" si="104"/>
        <v>Ok</v>
      </c>
      <c r="AE556" t="str">
        <f>IF(AND(Audit_Data[[#This Row],[Year_Birth]]&gt;=1900,Audit_Data[[#This Row],[Year_Birth]]&lt;=2010),"OK","Invalid")</f>
        <v>OK</v>
      </c>
      <c r="AF556" t="str">
        <f t="shared" si="105"/>
        <v>Valid</v>
      </c>
      <c r="AG556" t="str">
        <f t="shared" si="106"/>
        <v>Valid</v>
      </c>
      <c r="AH556" t="str">
        <f t="shared" si="107"/>
        <v>Valid</v>
      </c>
      <c r="AI556" t="str">
        <f t="shared" si="108"/>
        <v>Valid</v>
      </c>
      <c r="AJ556" t="str">
        <f t="shared" si="109"/>
        <v>Valid</v>
      </c>
      <c r="AK556" t="str">
        <f t="shared" si="116"/>
        <v xml:space="preserve">Valid </v>
      </c>
      <c r="AL556" t="str">
        <f>IF(AND(Audit_Data[[#This Row],[Recency]]&gt;=0,Audit_Data[[#This Row],[Recency]]&lt;=100),"Valid","Invalid")</f>
        <v>Valid</v>
      </c>
      <c r="AM556" t="str">
        <f t="shared" si="110"/>
        <v>Valid</v>
      </c>
      <c r="AN556" t="str">
        <f t="shared" si="111"/>
        <v>Valid</v>
      </c>
      <c r="AO556" t="str">
        <f t="shared" si="112"/>
        <v>Valid</v>
      </c>
      <c r="AP556" t="str">
        <f t="shared" si="113"/>
        <v>Valid</v>
      </c>
      <c r="AQ556" t="str">
        <f>IF(Audit_Data[[#This Row],[Z_CostContact]]=3,"Valid","Invalid")</f>
        <v>Valid</v>
      </c>
      <c r="AR556" t="str">
        <f t="shared" si="114"/>
        <v>Valid</v>
      </c>
      <c r="AS556" t="str">
        <f t="shared" si="115"/>
        <v>Valid</v>
      </c>
    </row>
    <row r="557" spans="1:45" x14ac:dyDescent="0.3">
      <c r="A557">
        <v>8692</v>
      </c>
      <c r="B557">
        <v>1952</v>
      </c>
      <c r="C557" t="s">
        <v>29</v>
      </c>
      <c r="D557" t="s">
        <v>31</v>
      </c>
      <c r="E557">
        <v>43462</v>
      </c>
      <c r="F557">
        <v>1</v>
      </c>
      <c r="G557">
        <v>1</v>
      </c>
      <c r="H557" s="1">
        <v>41164</v>
      </c>
      <c r="I557">
        <v>50</v>
      </c>
      <c r="J557">
        <v>90</v>
      </c>
      <c r="K557">
        <v>17</v>
      </c>
      <c r="L557">
        <v>97</v>
      </c>
      <c r="M557">
        <v>15</v>
      </c>
      <c r="N557">
        <v>6</v>
      </c>
      <c r="O557">
        <v>15</v>
      </c>
      <c r="P557">
        <v>6</v>
      </c>
      <c r="Q557">
        <v>4</v>
      </c>
      <c r="R557">
        <v>1</v>
      </c>
      <c r="S557">
        <v>5</v>
      </c>
      <c r="T557">
        <v>8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3</v>
      </c>
      <c r="AB557">
        <v>11</v>
      </c>
      <c r="AC557">
        <v>0</v>
      </c>
      <c r="AD557" t="str">
        <f t="shared" si="104"/>
        <v>Ok</v>
      </c>
      <c r="AE557" t="str">
        <f>IF(AND(Audit_Data[[#This Row],[Year_Birth]]&gt;=1900,Audit_Data[[#This Row],[Year_Birth]]&lt;=2010),"OK","Invalid")</f>
        <v>OK</v>
      </c>
      <c r="AF557" t="str">
        <f t="shared" si="105"/>
        <v>Valid</v>
      </c>
      <c r="AG557" t="str">
        <f t="shared" si="106"/>
        <v>Valid</v>
      </c>
      <c r="AH557" t="str">
        <f t="shared" si="107"/>
        <v>Valid</v>
      </c>
      <c r="AI557" t="str">
        <f t="shared" si="108"/>
        <v>Valid</v>
      </c>
      <c r="AJ557" t="str">
        <f t="shared" si="109"/>
        <v>Valid</v>
      </c>
      <c r="AK557" t="str">
        <f t="shared" si="116"/>
        <v xml:space="preserve">Valid </v>
      </c>
      <c r="AL557" t="str">
        <f>IF(AND(Audit_Data[[#This Row],[Recency]]&gt;=0,Audit_Data[[#This Row],[Recency]]&lt;=100),"Valid","Invalid")</f>
        <v>Valid</v>
      </c>
      <c r="AM557" t="str">
        <f t="shared" si="110"/>
        <v>Valid</v>
      </c>
      <c r="AN557" t="str">
        <f t="shared" si="111"/>
        <v>Valid</v>
      </c>
      <c r="AO557" t="str">
        <f t="shared" si="112"/>
        <v>Valid</v>
      </c>
      <c r="AP557" t="str">
        <f t="shared" si="113"/>
        <v>Valid</v>
      </c>
      <c r="AQ557" t="str">
        <f>IF(Audit_Data[[#This Row],[Z_CostContact]]=3,"Valid","Invalid")</f>
        <v>Valid</v>
      </c>
      <c r="AR557" t="str">
        <f t="shared" si="114"/>
        <v>Valid</v>
      </c>
      <c r="AS557" t="str">
        <f t="shared" si="115"/>
        <v>Valid</v>
      </c>
    </row>
    <row r="558" spans="1:45" x14ac:dyDescent="0.3">
      <c r="A558">
        <v>448</v>
      </c>
      <c r="B558">
        <v>1978</v>
      </c>
      <c r="C558" t="s">
        <v>32</v>
      </c>
      <c r="D558" t="s">
        <v>30</v>
      </c>
      <c r="E558">
        <v>54880</v>
      </c>
      <c r="F558">
        <v>1</v>
      </c>
      <c r="G558">
        <v>0</v>
      </c>
      <c r="H558" s="1">
        <v>41334</v>
      </c>
      <c r="I558">
        <v>57</v>
      </c>
      <c r="J558">
        <v>308</v>
      </c>
      <c r="K558">
        <v>85</v>
      </c>
      <c r="L558">
        <v>137</v>
      </c>
      <c r="M558">
        <v>102</v>
      </c>
      <c r="N558">
        <v>45</v>
      </c>
      <c r="O558">
        <v>118</v>
      </c>
      <c r="P558">
        <v>2</v>
      </c>
      <c r="Q558">
        <v>6</v>
      </c>
      <c r="R558">
        <v>2</v>
      </c>
      <c r="S558">
        <v>11</v>
      </c>
      <c r="T558">
        <v>5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3</v>
      </c>
      <c r="AB558">
        <v>11</v>
      </c>
      <c r="AC558">
        <v>0</v>
      </c>
      <c r="AD558" t="str">
        <f t="shared" si="104"/>
        <v>Ok</v>
      </c>
      <c r="AE558" t="str">
        <f>IF(AND(Audit_Data[[#This Row],[Year_Birth]]&gt;=1900,Audit_Data[[#This Row],[Year_Birth]]&lt;=2010),"OK","Invalid")</f>
        <v>OK</v>
      </c>
      <c r="AF558" t="str">
        <f t="shared" si="105"/>
        <v>Valid</v>
      </c>
      <c r="AG558" t="str">
        <f t="shared" si="106"/>
        <v>Valid</v>
      </c>
      <c r="AH558" t="str">
        <f t="shared" si="107"/>
        <v>Valid</v>
      </c>
      <c r="AI558" t="str">
        <f t="shared" si="108"/>
        <v>Valid</v>
      </c>
      <c r="AJ558" t="str">
        <f t="shared" si="109"/>
        <v>Valid</v>
      </c>
      <c r="AK558" t="str">
        <f t="shared" si="116"/>
        <v xml:space="preserve">Valid </v>
      </c>
      <c r="AL558" t="str">
        <f>IF(AND(Audit_Data[[#This Row],[Recency]]&gt;=0,Audit_Data[[#This Row],[Recency]]&lt;=100),"Valid","Invalid")</f>
        <v>Valid</v>
      </c>
      <c r="AM558" t="str">
        <f t="shared" si="110"/>
        <v>Valid</v>
      </c>
      <c r="AN558" t="str">
        <f t="shared" si="111"/>
        <v>Valid</v>
      </c>
      <c r="AO558" t="str">
        <f t="shared" si="112"/>
        <v>Valid</v>
      </c>
      <c r="AP558" t="str">
        <f t="shared" si="113"/>
        <v>Valid</v>
      </c>
      <c r="AQ558" t="str">
        <f>IF(Audit_Data[[#This Row],[Z_CostContact]]=3,"Valid","Invalid")</f>
        <v>Valid</v>
      </c>
      <c r="AR558" t="str">
        <f t="shared" si="114"/>
        <v>Valid</v>
      </c>
      <c r="AS558" t="str">
        <f t="shared" si="115"/>
        <v>Valid</v>
      </c>
    </row>
    <row r="559" spans="1:45" x14ac:dyDescent="0.3">
      <c r="A559">
        <v>8314</v>
      </c>
      <c r="B559">
        <v>1982</v>
      </c>
      <c r="C559" t="s">
        <v>29</v>
      </c>
      <c r="D559" t="s">
        <v>33</v>
      </c>
      <c r="E559">
        <v>79908</v>
      </c>
      <c r="F559">
        <v>0</v>
      </c>
      <c r="G559">
        <v>0</v>
      </c>
      <c r="H559" s="1">
        <v>41369</v>
      </c>
      <c r="I559">
        <v>30</v>
      </c>
      <c r="J559">
        <v>557</v>
      </c>
      <c r="K559">
        <v>129</v>
      </c>
      <c r="L559">
        <v>761</v>
      </c>
      <c r="M559">
        <v>29</v>
      </c>
      <c r="N559">
        <v>185</v>
      </c>
      <c r="O559">
        <v>111</v>
      </c>
      <c r="P559">
        <v>1</v>
      </c>
      <c r="Q559">
        <v>5</v>
      </c>
      <c r="R559">
        <v>6</v>
      </c>
      <c r="S559">
        <v>7</v>
      </c>
      <c r="T559">
        <v>2</v>
      </c>
      <c r="U559">
        <v>0</v>
      </c>
      <c r="V559">
        <v>0</v>
      </c>
      <c r="W559">
        <v>1</v>
      </c>
      <c r="X559">
        <v>0</v>
      </c>
      <c r="Y559">
        <v>0</v>
      </c>
      <c r="Z559">
        <v>0</v>
      </c>
      <c r="AA559">
        <v>3</v>
      </c>
      <c r="AB559">
        <v>11</v>
      </c>
      <c r="AC559">
        <v>0</v>
      </c>
      <c r="AD559" t="str">
        <f t="shared" si="104"/>
        <v>Ok</v>
      </c>
      <c r="AE559" t="str">
        <f>IF(AND(Audit_Data[[#This Row],[Year_Birth]]&gt;=1900,Audit_Data[[#This Row],[Year_Birth]]&lt;=2010),"OK","Invalid")</f>
        <v>OK</v>
      </c>
      <c r="AF559" t="str">
        <f t="shared" si="105"/>
        <v>Valid</v>
      </c>
      <c r="AG559" t="str">
        <f t="shared" si="106"/>
        <v>Valid</v>
      </c>
      <c r="AH559" t="str">
        <f t="shared" si="107"/>
        <v>Valid</v>
      </c>
      <c r="AI559" t="str">
        <f t="shared" si="108"/>
        <v>Valid</v>
      </c>
      <c r="AJ559" t="str">
        <f t="shared" si="109"/>
        <v>Valid</v>
      </c>
      <c r="AK559" t="str">
        <f t="shared" si="116"/>
        <v xml:space="preserve">Valid </v>
      </c>
      <c r="AL559" t="str">
        <f>IF(AND(Audit_Data[[#This Row],[Recency]]&gt;=0,Audit_Data[[#This Row],[Recency]]&lt;=100),"Valid","Invalid")</f>
        <v>Valid</v>
      </c>
      <c r="AM559" t="str">
        <f t="shared" si="110"/>
        <v>Valid</v>
      </c>
      <c r="AN559" t="str">
        <f t="shared" si="111"/>
        <v>Valid</v>
      </c>
      <c r="AO559" t="str">
        <f t="shared" si="112"/>
        <v>Valid</v>
      </c>
      <c r="AP559" t="str">
        <f t="shared" si="113"/>
        <v>Valid</v>
      </c>
      <c r="AQ559" t="str">
        <f>IF(Audit_Data[[#This Row],[Z_CostContact]]=3,"Valid","Invalid")</f>
        <v>Valid</v>
      </c>
      <c r="AR559" t="str">
        <f t="shared" si="114"/>
        <v>Valid</v>
      </c>
      <c r="AS559" t="str">
        <f t="shared" si="115"/>
        <v>Valid</v>
      </c>
    </row>
    <row r="560" spans="1:45" x14ac:dyDescent="0.3">
      <c r="A560">
        <v>8420</v>
      </c>
      <c r="B560">
        <v>1970</v>
      </c>
      <c r="C560" t="s">
        <v>37</v>
      </c>
      <c r="D560" t="s">
        <v>33</v>
      </c>
      <c r="E560">
        <v>15315</v>
      </c>
      <c r="F560">
        <v>0</v>
      </c>
      <c r="G560">
        <v>0</v>
      </c>
      <c r="H560" s="1">
        <v>41489</v>
      </c>
      <c r="I560">
        <v>27</v>
      </c>
      <c r="J560">
        <v>7</v>
      </c>
      <c r="K560">
        <v>4</v>
      </c>
      <c r="L560">
        <v>13</v>
      </c>
      <c r="M560">
        <v>15</v>
      </c>
      <c r="N560">
        <v>8</v>
      </c>
      <c r="O560">
        <v>17</v>
      </c>
      <c r="P560">
        <v>2</v>
      </c>
      <c r="Q560">
        <v>2</v>
      </c>
      <c r="R560">
        <v>0</v>
      </c>
      <c r="S560">
        <v>4</v>
      </c>
      <c r="T560">
        <v>5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3</v>
      </c>
      <c r="AB560">
        <v>11</v>
      </c>
      <c r="AC560">
        <v>0</v>
      </c>
      <c r="AD560" t="str">
        <f t="shared" si="104"/>
        <v>Ok</v>
      </c>
      <c r="AE560" t="str">
        <f>IF(AND(Audit_Data[[#This Row],[Year_Birth]]&gt;=1900,Audit_Data[[#This Row],[Year_Birth]]&lt;=2010),"OK","Invalid")</f>
        <v>OK</v>
      </c>
      <c r="AF560" t="str">
        <f t="shared" si="105"/>
        <v>Valid</v>
      </c>
      <c r="AG560" t="str">
        <f t="shared" si="106"/>
        <v>Valid</v>
      </c>
      <c r="AH560" t="str">
        <f t="shared" si="107"/>
        <v>Valid</v>
      </c>
      <c r="AI560" t="str">
        <f t="shared" si="108"/>
        <v>Valid</v>
      </c>
      <c r="AJ560" t="str">
        <f t="shared" si="109"/>
        <v>Valid</v>
      </c>
      <c r="AK560" t="str">
        <f t="shared" si="116"/>
        <v xml:space="preserve">Valid </v>
      </c>
      <c r="AL560" t="str">
        <f>IF(AND(Audit_Data[[#This Row],[Recency]]&gt;=0,Audit_Data[[#This Row],[Recency]]&lt;=100),"Valid","Invalid")</f>
        <v>Valid</v>
      </c>
      <c r="AM560" t="str">
        <f t="shared" si="110"/>
        <v>Valid</v>
      </c>
      <c r="AN560" t="str">
        <f t="shared" si="111"/>
        <v>Valid</v>
      </c>
      <c r="AO560" t="str">
        <f t="shared" si="112"/>
        <v>Valid</v>
      </c>
      <c r="AP560" t="str">
        <f t="shared" si="113"/>
        <v>Valid</v>
      </c>
      <c r="AQ560" t="str">
        <f>IF(Audit_Data[[#This Row],[Z_CostContact]]=3,"Valid","Invalid")</f>
        <v>Valid</v>
      </c>
      <c r="AR560" t="str">
        <f t="shared" si="114"/>
        <v>Valid</v>
      </c>
      <c r="AS560" t="str">
        <f t="shared" si="115"/>
        <v>Valid</v>
      </c>
    </row>
    <row r="561" spans="1:45" x14ac:dyDescent="0.3">
      <c r="A561">
        <v>3174</v>
      </c>
      <c r="B561">
        <v>1959</v>
      </c>
      <c r="C561" t="s">
        <v>29</v>
      </c>
      <c r="D561" t="s">
        <v>31</v>
      </c>
      <c r="E561">
        <v>87771</v>
      </c>
      <c r="F561">
        <v>0</v>
      </c>
      <c r="G561">
        <v>1</v>
      </c>
      <c r="H561" s="1">
        <v>41416</v>
      </c>
      <c r="I561">
        <v>61</v>
      </c>
      <c r="J561">
        <v>1492</v>
      </c>
      <c r="K561">
        <v>38</v>
      </c>
      <c r="L561">
        <v>287</v>
      </c>
      <c r="M561">
        <v>50</v>
      </c>
      <c r="N561">
        <v>57</v>
      </c>
      <c r="O561">
        <v>33</v>
      </c>
      <c r="P561">
        <v>1</v>
      </c>
      <c r="Q561">
        <v>5</v>
      </c>
      <c r="R561">
        <v>10</v>
      </c>
      <c r="S561">
        <v>4</v>
      </c>
      <c r="T561">
        <v>6</v>
      </c>
      <c r="U561">
        <v>0</v>
      </c>
      <c r="V561">
        <v>1</v>
      </c>
      <c r="W561">
        <v>1</v>
      </c>
      <c r="X561">
        <v>1</v>
      </c>
      <c r="Y561">
        <v>1</v>
      </c>
      <c r="Z561">
        <v>0</v>
      </c>
      <c r="AA561">
        <v>3</v>
      </c>
      <c r="AB561">
        <v>11</v>
      </c>
      <c r="AC561">
        <v>1</v>
      </c>
      <c r="AD561" t="str">
        <f t="shared" si="104"/>
        <v>Ok</v>
      </c>
      <c r="AE561" t="str">
        <f>IF(AND(Audit_Data[[#This Row],[Year_Birth]]&gt;=1900,Audit_Data[[#This Row],[Year_Birth]]&lt;=2010),"OK","Invalid")</f>
        <v>OK</v>
      </c>
      <c r="AF561" t="str">
        <f t="shared" si="105"/>
        <v>Valid</v>
      </c>
      <c r="AG561" t="str">
        <f t="shared" si="106"/>
        <v>Valid</v>
      </c>
      <c r="AH561" t="str">
        <f t="shared" si="107"/>
        <v>Valid</v>
      </c>
      <c r="AI561" t="str">
        <f t="shared" si="108"/>
        <v>Valid</v>
      </c>
      <c r="AJ561" t="str">
        <f t="shared" si="109"/>
        <v>Valid</v>
      </c>
      <c r="AK561" t="str">
        <f t="shared" si="116"/>
        <v xml:space="preserve">Valid </v>
      </c>
      <c r="AL561" t="str">
        <f>IF(AND(Audit_Data[[#This Row],[Recency]]&gt;=0,Audit_Data[[#This Row],[Recency]]&lt;=100),"Valid","Invalid")</f>
        <v>Valid</v>
      </c>
      <c r="AM561" t="str">
        <f t="shared" si="110"/>
        <v>Valid</v>
      </c>
      <c r="AN561" t="str">
        <f t="shared" si="111"/>
        <v>Valid</v>
      </c>
      <c r="AO561" t="str">
        <f t="shared" si="112"/>
        <v>Valid</v>
      </c>
      <c r="AP561" t="str">
        <f t="shared" si="113"/>
        <v>Valid</v>
      </c>
      <c r="AQ561" t="str">
        <f>IF(Audit_Data[[#This Row],[Z_CostContact]]=3,"Valid","Invalid")</f>
        <v>Valid</v>
      </c>
      <c r="AR561" t="str">
        <f t="shared" si="114"/>
        <v>Valid</v>
      </c>
      <c r="AS561" t="str">
        <f t="shared" si="115"/>
        <v>Valid</v>
      </c>
    </row>
    <row r="562" spans="1:45" x14ac:dyDescent="0.3">
      <c r="A562">
        <v>7685</v>
      </c>
      <c r="B562">
        <v>1978</v>
      </c>
      <c r="C562" t="s">
        <v>29</v>
      </c>
      <c r="D562" t="s">
        <v>33</v>
      </c>
      <c r="E562">
        <v>33039</v>
      </c>
      <c r="F562">
        <v>1</v>
      </c>
      <c r="G562">
        <v>0</v>
      </c>
      <c r="H562" s="1">
        <v>41526</v>
      </c>
      <c r="I562">
        <v>4</v>
      </c>
      <c r="J562">
        <v>30</v>
      </c>
      <c r="K562">
        <v>8</v>
      </c>
      <c r="L562">
        <v>12</v>
      </c>
      <c r="M562">
        <v>8</v>
      </c>
      <c r="N562">
        <v>8</v>
      </c>
      <c r="O562">
        <v>12</v>
      </c>
      <c r="P562">
        <v>1</v>
      </c>
      <c r="Q562">
        <v>2</v>
      </c>
      <c r="R562">
        <v>0</v>
      </c>
      <c r="S562">
        <v>4</v>
      </c>
      <c r="T562">
        <v>5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3</v>
      </c>
      <c r="AB562">
        <v>11</v>
      </c>
      <c r="AC562">
        <v>0</v>
      </c>
      <c r="AD562" t="str">
        <f t="shared" si="104"/>
        <v>Ok</v>
      </c>
      <c r="AE562" t="str">
        <f>IF(AND(Audit_Data[[#This Row],[Year_Birth]]&gt;=1900,Audit_Data[[#This Row],[Year_Birth]]&lt;=2010),"OK","Invalid")</f>
        <v>OK</v>
      </c>
      <c r="AF562" t="str">
        <f t="shared" si="105"/>
        <v>Valid</v>
      </c>
      <c r="AG562" t="str">
        <f t="shared" si="106"/>
        <v>Valid</v>
      </c>
      <c r="AH562" t="str">
        <f t="shared" si="107"/>
        <v>Valid</v>
      </c>
      <c r="AI562" t="str">
        <f t="shared" si="108"/>
        <v>Valid</v>
      </c>
      <c r="AJ562" t="str">
        <f t="shared" si="109"/>
        <v>Valid</v>
      </c>
      <c r="AK562" t="str">
        <f t="shared" si="116"/>
        <v xml:space="preserve">Valid </v>
      </c>
      <c r="AL562" t="str">
        <f>IF(AND(Audit_Data[[#This Row],[Recency]]&gt;=0,Audit_Data[[#This Row],[Recency]]&lt;=100),"Valid","Invalid")</f>
        <v>Valid</v>
      </c>
      <c r="AM562" t="str">
        <f t="shared" si="110"/>
        <v>Valid</v>
      </c>
      <c r="AN562" t="str">
        <f t="shared" si="111"/>
        <v>Valid</v>
      </c>
      <c r="AO562" t="str">
        <f t="shared" si="112"/>
        <v>Valid</v>
      </c>
      <c r="AP562" t="str">
        <f t="shared" si="113"/>
        <v>Valid</v>
      </c>
      <c r="AQ562" t="str">
        <f>IF(Audit_Data[[#This Row],[Z_CostContact]]=3,"Valid","Invalid")</f>
        <v>Valid</v>
      </c>
      <c r="AR562" t="str">
        <f t="shared" si="114"/>
        <v>Valid</v>
      </c>
      <c r="AS562" t="str">
        <f t="shared" si="115"/>
        <v>Valid</v>
      </c>
    </row>
    <row r="563" spans="1:45" x14ac:dyDescent="0.3">
      <c r="A563">
        <v>3179</v>
      </c>
      <c r="B563">
        <v>1980</v>
      </c>
      <c r="C563" t="s">
        <v>29</v>
      </c>
      <c r="D563" t="s">
        <v>30</v>
      </c>
      <c r="E563">
        <v>81741</v>
      </c>
      <c r="F563">
        <v>0</v>
      </c>
      <c r="G563">
        <v>0</v>
      </c>
      <c r="H563" s="1">
        <v>41441</v>
      </c>
      <c r="I563">
        <v>75</v>
      </c>
      <c r="J563">
        <v>249</v>
      </c>
      <c r="K563">
        <v>153</v>
      </c>
      <c r="L563">
        <v>940</v>
      </c>
      <c r="M563">
        <v>58</v>
      </c>
      <c r="N563">
        <v>134</v>
      </c>
      <c r="O563">
        <v>38</v>
      </c>
      <c r="P563">
        <v>0</v>
      </c>
      <c r="Q563">
        <v>6</v>
      </c>
      <c r="R563">
        <v>6</v>
      </c>
      <c r="S563">
        <v>7</v>
      </c>
      <c r="T563">
        <v>2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3</v>
      </c>
      <c r="AB563">
        <v>11</v>
      </c>
      <c r="AC563">
        <v>0</v>
      </c>
      <c r="AD563" t="str">
        <f t="shared" si="104"/>
        <v>Ok</v>
      </c>
      <c r="AE563" t="str">
        <f>IF(AND(Audit_Data[[#This Row],[Year_Birth]]&gt;=1900,Audit_Data[[#This Row],[Year_Birth]]&lt;=2010),"OK","Invalid")</f>
        <v>OK</v>
      </c>
      <c r="AF563" t="str">
        <f t="shared" si="105"/>
        <v>Valid</v>
      </c>
      <c r="AG563" t="str">
        <f t="shared" si="106"/>
        <v>Valid</v>
      </c>
      <c r="AH563" t="str">
        <f t="shared" si="107"/>
        <v>Valid</v>
      </c>
      <c r="AI563" t="str">
        <f t="shared" si="108"/>
        <v>Valid</v>
      </c>
      <c r="AJ563" t="str">
        <f t="shared" si="109"/>
        <v>Valid</v>
      </c>
      <c r="AK563" t="str">
        <f t="shared" si="116"/>
        <v xml:space="preserve">Valid </v>
      </c>
      <c r="AL563" t="str">
        <f>IF(AND(Audit_Data[[#This Row],[Recency]]&gt;=0,Audit_Data[[#This Row],[Recency]]&lt;=100),"Valid","Invalid")</f>
        <v>Valid</v>
      </c>
      <c r="AM563" t="str">
        <f t="shared" si="110"/>
        <v>Valid</v>
      </c>
      <c r="AN563" t="str">
        <f t="shared" si="111"/>
        <v>Valid</v>
      </c>
      <c r="AO563" t="str">
        <f t="shared" si="112"/>
        <v>Valid</v>
      </c>
      <c r="AP563" t="str">
        <f t="shared" si="113"/>
        <v>Valid</v>
      </c>
      <c r="AQ563" t="str">
        <f>IF(Audit_Data[[#This Row],[Z_CostContact]]=3,"Valid","Invalid")</f>
        <v>Valid</v>
      </c>
      <c r="AR563" t="str">
        <f t="shared" si="114"/>
        <v>Valid</v>
      </c>
      <c r="AS563" t="str">
        <f t="shared" si="115"/>
        <v>Valid</v>
      </c>
    </row>
    <row r="564" spans="1:45" x14ac:dyDescent="0.3">
      <c r="A564">
        <v>9780</v>
      </c>
      <c r="B564">
        <v>1971</v>
      </c>
      <c r="C564" t="s">
        <v>34</v>
      </c>
      <c r="D564" t="s">
        <v>31</v>
      </c>
      <c r="E564">
        <v>71499</v>
      </c>
      <c r="F564">
        <v>0</v>
      </c>
      <c r="G564">
        <v>1</v>
      </c>
      <c r="H564" s="1">
        <v>41450</v>
      </c>
      <c r="I564">
        <v>12</v>
      </c>
      <c r="J564">
        <v>465</v>
      </c>
      <c r="K564">
        <v>25</v>
      </c>
      <c r="L564">
        <v>132</v>
      </c>
      <c r="M564">
        <v>136</v>
      </c>
      <c r="N564">
        <v>0</v>
      </c>
      <c r="O564">
        <v>37</v>
      </c>
      <c r="P564">
        <v>2</v>
      </c>
      <c r="Q564">
        <v>8</v>
      </c>
      <c r="R564">
        <v>3</v>
      </c>
      <c r="S564">
        <v>13</v>
      </c>
      <c r="T564">
        <v>4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3</v>
      </c>
      <c r="AB564">
        <v>11</v>
      </c>
      <c r="AC564">
        <v>0</v>
      </c>
      <c r="AD564" t="str">
        <f t="shared" si="104"/>
        <v>Ok</v>
      </c>
      <c r="AE564" t="str">
        <f>IF(AND(Audit_Data[[#This Row],[Year_Birth]]&gt;=1900,Audit_Data[[#This Row],[Year_Birth]]&lt;=2010),"OK","Invalid")</f>
        <v>OK</v>
      </c>
      <c r="AF564" t="str">
        <f t="shared" si="105"/>
        <v>Valid</v>
      </c>
      <c r="AG564" t="str">
        <f t="shared" si="106"/>
        <v>Valid</v>
      </c>
      <c r="AH564" t="str">
        <f t="shared" si="107"/>
        <v>Valid</v>
      </c>
      <c r="AI564" t="str">
        <f t="shared" si="108"/>
        <v>Valid</v>
      </c>
      <c r="AJ564" t="str">
        <f t="shared" si="109"/>
        <v>Valid</v>
      </c>
      <c r="AK564" t="str">
        <f t="shared" si="116"/>
        <v xml:space="preserve">Valid </v>
      </c>
      <c r="AL564" t="str">
        <f>IF(AND(Audit_Data[[#This Row],[Recency]]&gt;=0,Audit_Data[[#This Row],[Recency]]&lt;=100),"Valid","Invalid")</f>
        <v>Valid</v>
      </c>
      <c r="AM564" t="str">
        <f t="shared" si="110"/>
        <v>Valid</v>
      </c>
      <c r="AN564" t="str">
        <f t="shared" si="111"/>
        <v>Valid</v>
      </c>
      <c r="AO564" t="str">
        <f t="shared" si="112"/>
        <v>Valid</v>
      </c>
      <c r="AP564" t="str">
        <f t="shared" si="113"/>
        <v>Valid</v>
      </c>
      <c r="AQ564" t="str">
        <f>IF(Audit_Data[[#This Row],[Z_CostContact]]=3,"Valid","Invalid")</f>
        <v>Valid</v>
      </c>
      <c r="AR564" t="str">
        <f t="shared" si="114"/>
        <v>Valid</v>
      </c>
      <c r="AS564" t="str">
        <f t="shared" si="115"/>
        <v>Valid</v>
      </c>
    </row>
    <row r="565" spans="1:45" x14ac:dyDescent="0.3">
      <c r="A565">
        <v>10681</v>
      </c>
      <c r="B565">
        <v>1970</v>
      </c>
      <c r="C565" t="s">
        <v>37</v>
      </c>
      <c r="D565" t="s">
        <v>33</v>
      </c>
      <c r="E565">
        <v>62466</v>
      </c>
      <c r="F565">
        <v>0</v>
      </c>
      <c r="G565">
        <v>1</v>
      </c>
      <c r="H565" s="1">
        <v>41654</v>
      </c>
      <c r="I565">
        <v>13</v>
      </c>
      <c r="J565">
        <v>129</v>
      </c>
      <c r="K565">
        <v>129</v>
      </c>
      <c r="L565">
        <v>259</v>
      </c>
      <c r="M565">
        <v>168</v>
      </c>
      <c r="N565">
        <v>121</v>
      </c>
      <c r="O565">
        <v>83</v>
      </c>
      <c r="P565">
        <v>5</v>
      </c>
      <c r="Q565">
        <v>6</v>
      </c>
      <c r="R565">
        <v>3</v>
      </c>
      <c r="S565">
        <v>12</v>
      </c>
      <c r="T565">
        <v>4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3</v>
      </c>
      <c r="AB565">
        <v>11</v>
      </c>
      <c r="AC565">
        <v>0</v>
      </c>
      <c r="AD565" t="str">
        <f t="shared" si="104"/>
        <v>Ok</v>
      </c>
      <c r="AE565" t="str">
        <f>IF(AND(Audit_Data[[#This Row],[Year_Birth]]&gt;=1900,Audit_Data[[#This Row],[Year_Birth]]&lt;=2010),"OK","Invalid")</f>
        <v>OK</v>
      </c>
      <c r="AF565" t="str">
        <f t="shared" si="105"/>
        <v>Valid</v>
      </c>
      <c r="AG565" t="str">
        <f t="shared" si="106"/>
        <v>Valid</v>
      </c>
      <c r="AH565" t="str">
        <f t="shared" si="107"/>
        <v>Valid</v>
      </c>
      <c r="AI565" t="str">
        <f t="shared" si="108"/>
        <v>Valid</v>
      </c>
      <c r="AJ565" t="str">
        <f t="shared" si="109"/>
        <v>Valid</v>
      </c>
      <c r="AK565" t="str">
        <f t="shared" si="116"/>
        <v xml:space="preserve">Valid </v>
      </c>
      <c r="AL565" t="str">
        <f>IF(AND(Audit_Data[[#This Row],[Recency]]&gt;=0,Audit_Data[[#This Row],[Recency]]&lt;=100),"Valid","Invalid")</f>
        <v>Valid</v>
      </c>
      <c r="AM565" t="str">
        <f t="shared" si="110"/>
        <v>Valid</v>
      </c>
      <c r="AN565" t="str">
        <f t="shared" si="111"/>
        <v>Valid</v>
      </c>
      <c r="AO565" t="str">
        <f t="shared" si="112"/>
        <v>Valid</v>
      </c>
      <c r="AP565" t="str">
        <f t="shared" si="113"/>
        <v>Valid</v>
      </c>
      <c r="AQ565" t="str">
        <f>IF(Audit_Data[[#This Row],[Z_CostContact]]=3,"Valid","Invalid")</f>
        <v>Valid</v>
      </c>
      <c r="AR565" t="str">
        <f t="shared" si="114"/>
        <v>Valid</v>
      </c>
      <c r="AS565" t="str">
        <f t="shared" si="115"/>
        <v>Valid</v>
      </c>
    </row>
    <row r="566" spans="1:45" x14ac:dyDescent="0.3">
      <c r="A566">
        <v>10232</v>
      </c>
      <c r="B566">
        <v>1963</v>
      </c>
      <c r="C566" t="s">
        <v>32</v>
      </c>
      <c r="D566" t="s">
        <v>35</v>
      </c>
      <c r="E566">
        <v>48799</v>
      </c>
      <c r="F566">
        <v>0</v>
      </c>
      <c r="G566">
        <v>1</v>
      </c>
      <c r="H566" s="1">
        <v>41583</v>
      </c>
      <c r="I566">
        <v>9</v>
      </c>
      <c r="J566">
        <v>174</v>
      </c>
      <c r="K566">
        <v>18</v>
      </c>
      <c r="L566">
        <v>81</v>
      </c>
      <c r="M566">
        <v>28</v>
      </c>
      <c r="N566">
        <v>6</v>
      </c>
      <c r="O566">
        <v>24</v>
      </c>
      <c r="P566">
        <v>3</v>
      </c>
      <c r="Q566">
        <v>3</v>
      </c>
      <c r="R566">
        <v>2</v>
      </c>
      <c r="S566">
        <v>7</v>
      </c>
      <c r="T566">
        <v>3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3</v>
      </c>
      <c r="AB566">
        <v>11</v>
      </c>
      <c r="AC566">
        <v>0</v>
      </c>
      <c r="AD566" t="str">
        <f t="shared" si="104"/>
        <v>Ok</v>
      </c>
      <c r="AE566" t="str">
        <f>IF(AND(Audit_Data[[#This Row],[Year_Birth]]&gt;=1900,Audit_Data[[#This Row],[Year_Birth]]&lt;=2010),"OK","Invalid")</f>
        <v>OK</v>
      </c>
      <c r="AF566" t="str">
        <f t="shared" si="105"/>
        <v>Valid</v>
      </c>
      <c r="AG566" t="str">
        <f t="shared" si="106"/>
        <v>Valid</v>
      </c>
      <c r="AH566" t="str">
        <f t="shared" si="107"/>
        <v>Valid</v>
      </c>
      <c r="AI566" t="str">
        <f t="shared" si="108"/>
        <v>Valid</v>
      </c>
      <c r="AJ566" t="str">
        <f t="shared" si="109"/>
        <v>Valid</v>
      </c>
      <c r="AK566" t="str">
        <f t="shared" si="116"/>
        <v xml:space="preserve">Valid </v>
      </c>
      <c r="AL566" t="str">
        <f>IF(AND(Audit_Data[[#This Row],[Recency]]&gt;=0,Audit_Data[[#This Row],[Recency]]&lt;=100),"Valid","Invalid")</f>
        <v>Valid</v>
      </c>
      <c r="AM566" t="str">
        <f t="shared" si="110"/>
        <v>Valid</v>
      </c>
      <c r="AN566" t="str">
        <f t="shared" si="111"/>
        <v>Valid</v>
      </c>
      <c r="AO566" t="str">
        <f t="shared" si="112"/>
        <v>Valid</v>
      </c>
      <c r="AP566" t="str">
        <f t="shared" si="113"/>
        <v>Valid</v>
      </c>
      <c r="AQ566" t="str">
        <f>IF(Audit_Data[[#This Row],[Z_CostContact]]=3,"Valid","Invalid")</f>
        <v>Valid</v>
      </c>
      <c r="AR566" t="str">
        <f t="shared" si="114"/>
        <v>Valid</v>
      </c>
      <c r="AS566" t="str">
        <f t="shared" si="115"/>
        <v>Valid</v>
      </c>
    </row>
    <row r="567" spans="1:45" x14ac:dyDescent="0.3">
      <c r="A567">
        <v>4184</v>
      </c>
      <c r="B567">
        <v>1950</v>
      </c>
      <c r="C567" t="s">
        <v>32</v>
      </c>
      <c r="D567" t="s">
        <v>31</v>
      </c>
      <c r="E567">
        <v>52157</v>
      </c>
      <c r="F567">
        <v>0</v>
      </c>
      <c r="G567">
        <v>1</v>
      </c>
      <c r="H567" s="1">
        <v>41797</v>
      </c>
      <c r="I567">
        <v>48</v>
      </c>
      <c r="J567">
        <v>189</v>
      </c>
      <c r="K567">
        <v>2</v>
      </c>
      <c r="L567">
        <v>29</v>
      </c>
      <c r="M567">
        <v>3</v>
      </c>
      <c r="N567">
        <v>2</v>
      </c>
      <c r="O567">
        <v>40</v>
      </c>
      <c r="P567">
        <v>2</v>
      </c>
      <c r="Q567">
        <v>3</v>
      </c>
      <c r="R567">
        <v>2</v>
      </c>
      <c r="S567">
        <v>5</v>
      </c>
      <c r="T567">
        <v>4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3</v>
      </c>
      <c r="AB567">
        <v>11</v>
      </c>
      <c r="AC567">
        <v>0</v>
      </c>
      <c r="AD567" t="str">
        <f t="shared" si="104"/>
        <v>Ok</v>
      </c>
      <c r="AE567" t="str">
        <f>IF(AND(Audit_Data[[#This Row],[Year_Birth]]&gt;=1900,Audit_Data[[#This Row],[Year_Birth]]&lt;=2010),"OK","Invalid")</f>
        <v>OK</v>
      </c>
      <c r="AF567" t="str">
        <f t="shared" si="105"/>
        <v>Valid</v>
      </c>
      <c r="AG567" t="str">
        <f t="shared" si="106"/>
        <v>Valid</v>
      </c>
      <c r="AH567" t="str">
        <f t="shared" si="107"/>
        <v>Valid</v>
      </c>
      <c r="AI567" t="str">
        <f t="shared" si="108"/>
        <v>Valid</v>
      </c>
      <c r="AJ567" t="str">
        <f t="shared" si="109"/>
        <v>Valid</v>
      </c>
      <c r="AK567" t="str">
        <f t="shared" si="116"/>
        <v xml:space="preserve">Valid </v>
      </c>
      <c r="AL567" t="str">
        <f>IF(AND(Audit_Data[[#This Row],[Recency]]&gt;=0,Audit_Data[[#This Row],[Recency]]&lt;=100),"Valid","Invalid")</f>
        <v>Valid</v>
      </c>
      <c r="AM567" t="str">
        <f t="shared" si="110"/>
        <v>Valid</v>
      </c>
      <c r="AN567" t="str">
        <f t="shared" si="111"/>
        <v>Valid</v>
      </c>
      <c r="AO567" t="str">
        <f t="shared" si="112"/>
        <v>Valid</v>
      </c>
      <c r="AP567" t="str">
        <f t="shared" si="113"/>
        <v>Valid</v>
      </c>
      <c r="AQ567" t="str">
        <f>IF(Audit_Data[[#This Row],[Z_CostContact]]=3,"Valid","Invalid")</f>
        <v>Valid</v>
      </c>
      <c r="AR567" t="str">
        <f t="shared" si="114"/>
        <v>Valid</v>
      </c>
      <c r="AS567" t="str">
        <f t="shared" si="115"/>
        <v>Valid</v>
      </c>
    </row>
    <row r="568" spans="1:45" x14ac:dyDescent="0.3">
      <c r="A568">
        <v>9120</v>
      </c>
      <c r="B568">
        <v>1962</v>
      </c>
      <c r="C568" t="s">
        <v>29</v>
      </c>
      <c r="D568" t="s">
        <v>30</v>
      </c>
      <c r="E568">
        <v>66565</v>
      </c>
      <c r="F568">
        <v>0</v>
      </c>
      <c r="G568">
        <v>1</v>
      </c>
      <c r="H568" s="1">
        <v>41248</v>
      </c>
      <c r="I568">
        <v>80</v>
      </c>
      <c r="J568">
        <v>747</v>
      </c>
      <c r="K568">
        <v>10</v>
      </c>
      <c r="L568">
        <v>161</v>
      </c>
      <c r="M568">
        <v>65</v>
      </c>
      <c r="N568">
        <v>40</v>
      </c>
      <c r="O568">
        <v>42</v>
      </c>
      <c r="P568">
        <v>4</v>
      </c>
      <c r="Q568">
        <v>4</v>
      </c>
      <c r="R568">
        <v>2</v>
      </c>
      <c r="S568">
        <v>9</v>
      </c>
      <c r="T568">
        <v>8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3</v>
      </c>
      <c r="AB568">
        <v>11</v>
      </c>
      <c r="AC568">
        <v>0</v>
      </c>
      <c r="AD568" t="str">
        <f t="shared" si="104"/>
        <v>Ok</v>
      </c>
      <c r="AE568" t="str">
        <f>IF(AND(Audit_Data[[#This Row],[Year_Birth]]&gt;=1900,Audit_Data[[#This Row],[Year_Birth]]&lt;=2010),"OK","Invalid")</f>
        <v>OK</v>
      </c>
      <c r="AF568" t="str">
        <f t="shared" si="105"/>
        <v>Valid</v>
      </c>
      <c r="AG568" t="str">
        <f t="shared" si="106"/>
        <v>Valid</v>
      </c>
      <c r="AH568" t="str">
        <f t="shared" si="107"/>
        <v>Valid</v>
      </c>
      <c r="AI568" t="str">
        <f t="shared" si="108"/>
        <v>Valid</v>
      </c>
      <c r="AJ568" t="str">
        <f t="shared" si="109"/>
        <v>Valid</v>
      </c>
      <c r="AK568" t="str">
        <f t="shared" si="116"/>
        <v xml:space="preserve">Valid </v>
      </c>
      <c r="AL568" t="str">
        <f>IF(AND(Audit_Data[[#This Row],[Recency]]&gt;=0,Audit_Data[[#This Row],[Recency]]&lt;=100),"Valid","Invalid")</f>
        <v>Valid</v>
      </c>
      <c r="AM568" t="str">
        <f t="shared" si="110"/>
        <v>Valid</v>
      </c>
      <c r="AN568" t="str">
        <f t="shared" si="111"/>
        <v>Valid</v>
      </c>
      <c r="AO568" t="str">
        <f t="shared" si="112"/>
        <v>Valid</v>
      </c>
      <c r="AP568" t="str">
        <f t="shared" si="113"/>
        <v>Valid</v>
      </c>
      <c r="AQ568" t="str">
        <f>IF(Audit_Data[[#This Row],[Z_CostContact]]=3,"Valid","Invalid")</f>
        <v>Valid</v>
      </c>
      <c r="AR568" t="str">
        <f t="shared" si="114"/>
        <v>Valid</v>
      </c>
      <c r="AS568" t="str">
        <f t="shared" si="115"/>
        <v>Valid</v>
      </c>
    </row>
    <row r="569" spans="1:45" x14ac:dyDescent="0.3">
      <c r="A569">
        <v>891</v>
      </c>
      <c r="B569">
        <v>1951</v>
      </c>
      <c r="C569" t="s">
        <v>34</v>
      </c>
      <c r="D569" t="s">
        <v>31</v>
      </c>
      <c r="E569">
        <v>29298</v>
      </c>
      <c r="F569">
        <v>1</v>
      </c>
      <c r="G569">
        <v>1</v>
      </c>
      <c r="H569" s="1">
        <v>41524</v>
      </c>
      <c r="I569">
        <v>60</v>
      </c>
      <c r="J569">
        <v>6</v>
      </c>
      <c r="K569">
        <v>0</v>
      </c>
      <c r="L569">
        <v>2</v>
      </c>
      <c r="M569">
        <v>2</v>
      </c>
      <c r="N569">
        <v>0</v>
      </c>
      <c r="O569">
        <v>1</v>
      </c>
      <c r="P569">
        <v>1</v>
      </c>
      <c r="Q569">
        <v>1</v>
      </c>
      <c r="R569">
        <v>0</v>
      </c>
      <c r="S569">
        <v>2</v>
      </c>
      <c r="T569">
        <v>5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3</v>
      </c>
      <c r="AB569">
        <v>11</v>
      </c>
      <c r="AC569">
        <v>0</v>
      </c>
      <c r="AD569" t="str">
        <f t="shared" si="104"/>
        <v>Ok</v>
      </c>
      <c r="AE569" t="str">
        <f>IF(AND(Audit_Data[[#This Row],[Year_Birth]]&gt;=1900,Audit_Data[[#This Row],[Year_Birth]]&lt;=2010),"OK","Invalid")</f>
        <v>OK</v>
      </c>
      <c r="AF569" t="str">
        <f t="shared" si="105"/>
        <v>Valid</v>
      </c>
      <c r="AG569" t="str">
        <f t="shared" si="106"/>
        <v>Valid</v>
      </c>
      <c r="AH569" t="str">
        <f t="shared" si="107"/>
        <v>Valid</v>
      </c>
      <c r="AI569" t="str">
        <f t="shared" si="108"/>
        <v>Valid</v>
      </c>
      <c r="AJ569" t="str">
        <f t="shared" si="109"/>
        <v>Valid</v>
      </c>
      <c r="AK569" t="str">
        <f t="shared" si="116"/>
        <v xml:space="preserve">Valid </v>
      </c>
      <c r="AL569" t="str">
        <f>IF(AND(Audit_Data[[#This Row],[Recency]]&gt;=0,Audit_Data[[#This Row],[Recency]]&lt;=100),"Valid","Invalid")</f>
        <v>Valid</v>
      </c>
      <c r="AM569" t="str">
        <f t="shared" si="110"/>
        <v>Valid</v>
      </c>
      <c r="AN569" t="str">
        <f t="shared" si="111"/>
        <v>Valid</v>
      </c>
      <c r="AO569" t="str">
        <f t="shared" si="112"/>
        <v>Valid</v>
      </c>
      <c r="AP569" t="str">
        <f t="shared" si="113"/>
        <v>Valid</v>
      </c>
      <c r="AQ569" t="str">
        <f>IF(Audit_Data[[#This Row],[Z_CostContact]]=3,"Valid","Invalid")</f>
        <v>Valid</v>
      </c>
      <c r="AR569" t="str">
        <f t="shared" si="114"/>
        <v>Valid</v>
      </c>
      <c r="AS569" t="str">
        <f t="shared" si="115"/>
        <v>Valid</v>
      </c>
    </row>
    <row r="570" spans="1:45" x14ac:dyDescent="0.3">
      <c r="A570">
        <v>10381</v>
      </c>
      <c r="B570">
        <v>1979</v>
      </c>
      <c r="C570" t="s">
        <v>29</v>
      </c>
      <c r="D570" t="s">
        <v>30</v>
      </c>
      <c r="E570">
        <v>47691</v>
      </c>
      <c r="F570">
        <v>0</v>
      </c>
      <c r="G570">
        <v>1</v>
      </c>
      <c r="H570" s="1">
        <v>41460</v>
      </c>
      <c r="I570">
        <v>43</v>
      </c>
      <c r="J570">
        <v>14</v>
      </c>
      <c r="K570">
        <v>0</v>
      </c>
      <c r="L570">
        <v>3</v>
      </c>
      <c r="M570">
        <v>0</v>
      </c>
      <c r="N570">
        <v>0</v>
      </c>
      <c r="O570">
        <v>4</v>
      </c>
      <c r="P570">
        <v>1</v>
      </c>
      <c r="Q570">
        <v>1</v>
      </c>
      <c r="R570">
        <v>0</v>
      </c>
      <c r="S570">
        <v>2</v>
      </c>
      <c r="T570">
        <v>6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3</v>
      </c>
      <c r="AB570">
        <v>11</v>
      </c>
      <c r="AC570">
        <v>0</v>
      </c>
      <c r="AD570" t="str">
        <f t="shared" si="104"/>
        <v>Ok</v>
      </c>
      <c r="AE570" t="str">
        <f>IF(AND(Audit_Data[[#This Row],[Year_Birth]]&gt;=1900,Audit_Data[[#This Row],[Year_Birth]]&lt;=2010),"OK","Invalid")</f>
        <v>OK</v>
      </c>
      <c r="AF570" t="str">
        <f t="shared" si="105"/>
        <v>Valid</v>
      </c>
      <c r="AG570" t="str">
        <f t="shared" si="106"/>
        <v>Valid</v>
      </c>
      <c r="AH570" t="str">
        <f t="shared" si="107"/>
        <v>Valid</v>
      </c>
      <c r="AI570" t="str">
        <f t="shared" si="108"/>
        <v>Valid</v>
      </c>
      <c r="AJ570" t="str">
        <f t="shared" si="109"/>
        <v>Valid</v>
      </c>
      <c r="AK570" t="str">
        <f t="shared" si="116"/>
        <v xml:space="preserve">Valid </v>
      </c>
      <c r="AL570" t="str">
        <f>IF(AND(Audit_Data[[#This Row],[Recency]]&gt;=0,Audit_Data[[#This Row],[Recency]]&lt;=100),"Valid","Invalid")</f>
        <v>Valid</v>
      </c>
      <c r="AM570" t="str">
        <f t="shared" si="110"/>
        <v>Valid</v>
      </c>
      <c r="AN570" t="str">
        <f t="shared" si="111"/>
        <v>Valid</v>
      </c>
      <c r="AO570" t="str">
        <f t="shared" si="112"/>
        <v>Valid</v>
      </c>
      <c r="AP570" t="str">
        <f t="shared" si="113"/>
        <v>Valid</v>
      </c>
      <c r="AQ570" t="str">
        <f>IF(Audit_Data[[#This Row],[Z_CostContact]]=3,"Valid","Invalid")</f>
        <v>Valid</v>
      </c>
      <c r="AR570" t="str">
        <f t="shared" si="114"/>
        <v>Valid</v>
      </c>
      <c r="AS570" t="str">
        <f t="shared" si="115"/>
        <v>Valid</v>
      </c>
    </row>
    <row r="571" spans="1:45" x14ac:dyDescent="0.3">
      <c r="A571">
        <v>3525</v>
      </c>
      <c r="B571">
        <v>1970</v>
      </c>
      <c r="C571" t="s">
        <v>29</v>
      </c>
      <c r="D571" t="s">
        <v>31</v>
      </c>
      <c r="E571">
        <v>38200</v>
      </c>
      <c r="F571">
        <v>1</v>
      </c>
      <c r="G571">
        <v>1</v>
      </c>
      <c r="H571" s="1">
        <v>41250</v>
      </c>
      <c r="I571">
        <v>19</v>
      </c>
      <c r="J571">
        <v>12</v>
      </c>
      <c r="K571">
        <v>0</v>
      </c>
      <c r="L571">
        <v>4</v>
      </c>
      <c r="M571">
        <v>0</v>
      </c>
      <c r="N571">
        <v>0</v>
      </c>
      <c r="O571">
        <v>1</v>
      </c>
      <c r="P571">
        <v>1</v>
      </c>
      <c r="Q571">
        <v>1</v>
      </c>
      <c r="R571">
        <v>0</v>
      </c>
      <c r="S571">
        <v>2</v>
      </c>
      <c r="T571">
        <v>7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3</v>
      </c>
      <c r="AB571">
        <v>11</v>
      </c>
      <c r="AC571">
        <v>0</v>
      </c>
      <c r="AD571" t="str">
        <f t="shared" si="104"/>
        <v>Ok</v>
      </c>
      <c r="AE571" t="str">
        <f>IF(AND(Audit_Data[[#This Row],[Year_Birth]]&gt;=1900,Audit_Data[[#This Row],[Year_Birth]]&lt;=2010),"OK","Invalid")</f>
        <v>OK</v>
      </c>
      <c r="AF571" t="str">
        <f t="shared" si="105"/>
        <v>Valid</v>
      </c>
      <c r="AG571" t="str">
        <f t="shared" si="106"/>
        <v>Valid</v>
      </c>
      <c r="AH571" t="str">
        <f t="shared" si="107"/>
        <v>Valid</v>
      </c>
      <c r="AI571" t="str">
        <f t="shared" si="108"/>
        <v>Valid</v>
      </c>
      <c r="AJ571" t="str">
        <f t="shared" si="109"/>
        <v>Valid</v>
      </c>
      <c r="AK571" t="str">
        <f t="shared" si="116"/>
        <v xml:space="preserve">Valid </v>
      </c>
      <c r="AL571" t="str">
        <f>IF(AND(Audit_Data[[#This Row],[Recency]]&gt;=0,Audit_Data[[#This Row],[Recency]]&lt;=100),"Valid","Invalid")</f>
        <v>Valid</v>
      </c>
      <c r="AM571" t="str">
        <f t="shared" si="110"/>
        <v>Valid</v>
      </c>
      <c r="AN571" t="str">
        <f t="shared" si="111"/>
        <v>Valid</v>
      </c>
      <c r="AO571" t="str">
        <f t="shared" si="112"/>
        <v>Valid</v>
      </c>
      <c r="AP571" t="str">
        <f t="shared" si="113"/>
        <v>Valid</v>
      </c>
      <c r="AQ571" t="str">
        <f>IF(Audit_Data[[#This Row],[Z_CostContact]]=3,"Valid","Invalid")</f>
        <v>Valid</v>
      </c>
      <c r="AR571" t="str">
        <f t="shared" si="114"/>
        <v>Valid</v>
      </c>
      <c r="AS571" t="str">
        <f t="shared" si="115"/>
        <v>Valid</v>
      </c>
    </row>
    <row r="572" spans="1:45" x14ac:dyDescent="0.3">
      <c r="A572">
        <v>6818</v>
      </c>
      <c r="B572">
        <v>1974</v>
      </c>
      <c r="C572" t="s">
        <v>29</v>
      </c>
      <c r="D572" t="s">
        <v>33</v>
      </c>
      <c r="E572">
        <v>44989</v>
      </c>
      <c r="F572">
        <v>0</v>
      </c>
      <c r="G572">
        <v>1</v>
      </c>
      <c r="H572" s="1">
        <v>41164</v>
      </c>
      <c r="I572">
        <v>26</v>
      </c>
      <c r="J572">
        <v>98</v>
      </c>
      <c r="K572">
        <v>0</v>
      </c>
      <c r="L572">
        <v>106</v>
      </c>
      <c r="M572">
        <v>49</v>
      </c>
      <c r="N572">
        <v>10</v>
      </c>
      <c r="O572">
        <v>106</v>
      </c>
      <c r="P572">
        <v>5</v>
      </c>
      <c r="Q572">
        <v>5</v>
      </c>
      <c r="R572">
        <v>1</v>
      </c>
      <c r="S572">
        <v>5</v>
      </c>
      <c r="T572">
        <v>6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3</v>
      </c>
      <c r="AB572">
        <v>11</v>
      </c>
      <c r="AC572">
        <v>0</v>
      </c>
      <c r="AD572" t="str">
        <f t="shared" si="104"/>
        <v>Ok</v>
      </c>
      <c r="AE572" t="str">
        <f>IF(AND(Audit_Data[[#This Row],[Year_Birth]]&gt;=1900,Audit_Data[[#This Row],[Year_Birth]]&lt;=2010),"OK","Invalid")</f>
        <v>OK</v>
      </c>
      <c r="AF572" t="str">
        <f t="shared" si="105"/>
        <v>Valid</v>
      </c>
      <c r="AG572" t="str">
        <f t="shared" si="106"/>
        <v>Valid</v>
      </c>
      <c r="AH572" t="str">
        <f t="shared" si="107"/>
        <v>Valid</v>
      </c>
      <c r="AI572" t="str">
        <f t="shared" si="108"/>
        <v>Valid</v>
      </c>
      <c r="AJ572" t="str">
        <f t="shared" si="109"/>
        <v>Valid</v>
      </c>
      <c r="AK572" t="str">
        <f t="shared" si="116"/>
        <v xml:space="preserve">Valid </v>
      </c>
      <c r="AL572" t="str">
        <f>IF(AND(Audit_Data[[#This Row],[Recency]]&gt;=0,Audit_Data[[#This Row],[Recency]]&lt;=100),"Valid","Invalid")</f>
        <v>Valid</v>
      </c>
      <c r="AM572" t="str">
        <f t="shared" si="110"/>
        <v>Valid</v>
      </c>
      <c r="AN572" t="str">
        <f t="shared" si="111"/>
        <v>Valid</v>
      </c>
      <c r="AO572" t="str">
        <f t="shared" si="112"/>
        <v>Valid</v>
      </c>
      <c r="AP572" t="str">
        <f t="shared" si="113"/>
        <v>Valid</v>
      </c>
      <c r="AQ572" t="str">
        <f>IF(Audit_Data[[#This Row],[Z_CostContact]]=3,"Valid","Invalid")</f>
        <v>Valid</v>
      </c>
      <c r="AR572" t="str">
        <f t="shared" si="114"/>
        <v>Valid</v>
      </c>
      <c r="AS572" t="str">
        <f t="shared" si="115"/>
        <v>Valid</v>
      </c>
    </row>
    <row r="573" spans="1:45" x14ac:dyDescent="0.3">
      <c r="A573">
        <v>3526</v>
      </c>
      <c r="B573">
        <v>1968</v>
      </c>
      <c r="C573" t="s">
        <v>32</v>
      </c>
      <c r="D573" t="s">
        <v>33</v>
      </c>
      <c r="E573">
        <v>38443</v>
      </c>
      <c r="F573">
        <v>1</v>
      </c>
      <c r="G573">
        <v>1</v>
      </c>
      <c r="H573" s="1">
        <v>41666</v>
      </c>
      <c r="I573">
        <v>58</v>
      </c>
      <c r="J573">
        <v>32</v>
      </c>
      <c r="K573">
        <v>0</v>
      </c>
      <c r="L573">
        <v>5</v>
      </c>
      <c r="M573">
        <v>0</v>
      </c>
      <c r="N573">
        <v>0</v>
      </c>
      <c r="O573">
        <v>1</v>
      </c>
      <c r="P573">
        <v>2</v>
      </c>
      <c r="Q573">
        <v>1</v>
      </c>
      <c r="R573">
        <v>0</v>
      </c>
      <c r="S573">
        <v>3</v>
      </c>
      <c r="T573">
        <v>7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3</v>
      </c>
      <c r="AB573">
        <v>11</v>
      </c>
      <c r="AC573">
        <v>0</v>
      </c>
      <c r="AD573" t="str">
        <f t="shared" si="104"/>
        <v>Ok</v>
      </c>
      <c r="AE573" t="str">
        <f>IF(AND(Audit_Data[[#This Row],[Year_Birth]]&gt;=1900,Audit_Data[[#This Row],[Year_Birth]]&lt;=2010),"OK","Invalid")</f>
        <v>OK</v>
      </c>
      <c r="AF573" t="str">
        <f t="shared" si="105"/>
        <v>Valid</v>
      </c>
      <c r="AG573" t="str">
        <f t="shared" si="106"/>
        <v>Valid</v>
      </c>
      <c r="AH573" t="str">
        <f t="shared" si="107"/>
        <v>Valid</v>
      </c>
      <c r="AI573" t="str">
        <f t="shared" si="108"/>
        <v>Valid</v>
      </c>
      <c r="AJ573" t="str">
        <f t="shared" si="109"/>
        <v>Valid</v>
      </c>
      <c r="AK573" t="str">
        <f t="shared" si="116"/>
        <v xml:space="preserve">Valid </v>
      </c>
      <c r="AL573" t="str">
        <f>IF(AND(Audit_Data[[#This Row],[Recency]]&gt;=0,Audit_Data[[#This Row],[Recency]]&lt;=100),"Valid","Invalid")</f>
        <v>Valid</v>
      </c>
      <c r="AM573" t="str">
        <f t="shared" si="110"/>
        <v>Valid</v>
      </c>
      <c r="AN573" t="str">
        <f t="shared" si="111"/>
        <v>Valid</v>
      </c>
      <c r="AO573" t="str">
        <f t="shared" si="112"/>
        <v>Valid</v>
      </c>
      <c r="AP573" t="str">
        <f t="shared" si="113"/>
        <v>Valid</v>
      </c>
      <c r="AQ573" t="str">
        <f>IF(Audit_Data[[#This Row],[Z_CostContact]]=3,"Valid","Invalid")</f>
        <v>Valid</v>
      </c>
      <c r="AR573" t="str">
        <f t="shared" si="114"/>
        <v>Valid</v>
      </c>
      <c r="AS573" t="str">
        <f t="shared" si="115"/>
        <v>Valid</v>
      </c>
    </row>
    <row r="574" spans="1:45" x14ac:dyDescent="0.3">
      <c r="A574">
        <v>8181</v>
      </c>
      <c r="B574">
        <v>1978</v>
      </c>
      <c r="C574" t="s">
        <v>37</v>
      </c>
      <c r="D574" t="s">
        <v>30</v>
      </c>
      <c r="E574">
        <v>38593</v>
      </c>
      <c r="F574">
        <v>1</v>
      </c>
      <c r="G574">
        <v>0</v>
      </c>
      <c r="H574" s="1">
        <v>41530</v>
      </c>
      <c r="I574">
        <v>42</v>
      </c>
      <c r="J574">
        <v>51</v>
      </c>
      <c r="K574">
        <v>12</v>
      </c>
      <c r="L574">
        <v>49</v>
      </c>
      <c r="M574">
        <v>17</v>
      </c>
      <c r="N574">
        <v>24</v>
      </c>
      <c r="O574">
        <v>24</v>
      </c>
      <c r="P574">
        <v>3</v>
      </c>
      <c r="Q574">
        <v>4</v>
      </c>
      <c r="R574">
        <v>1</v>
      </c>
      <c r="S574">
        <v>3</v>
      </c>
      <c r="T574">
        <v>8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3</v>
      </c>
      <c r="AB574">
        <v>11</v>
      </c>
      <c r="AC574">
        <v>0</v>
      </c>
      <c r="AD574" t="str">
        <f t="shared" si="104"/>
        <v>Ok</v>
      </c>
      <c r="AE574" t="str">
        <f>IF(AND(Audit_Data[[#This Row],[Year_Birth]]&gt;=1900,Audit_Data[[#This Row],[Year_Birth]]&lt;=2010),"OK","Invalid")</f>
        <v>OK</v>
      </c>
      <c r="AF574" t="str">
        <f t="shared" si="105"/>
        <v>Valid</v>
      </c>
      <c r="AG574" t="str">
        <f t="shared" si="106"/>
        <v>Valid</v>
      </c>
      <c r="AH574" t="str">
        <f t="shared" si="107"/>
        <v>Valid</v>
      </c>
      <c r="AI574" t="str">
        <f t="shared" si="108"/>
        <v>Valid</v>
      </c>
      <c r="AJ574" t="str">
        <f t="shared" si="109"/>
        <v>Valid</v>
      </c>
      <c r="AK574" t="str">
        <f t="shared" si="116"/>
        <v xml:space="preserve">Valid </v>
      </c>
      <c r="AL574" t="str">
        <f>IF(AND(Audit_Data[[#This Row],[Recency]]&gt;=0,Audit_Data[[#This Row],[Recency]]&lt;=100),"Valid","Invalid")</f>
        <v>Valid</v>
      </c>
      <c r="AM574" t="str">
        <f t="shared" si="110"/>
        <v>Valid</v>
      </c>
      <c r="AN574" t="str">
        <f t="shared" si="111"/>
        <v>Valid</v>
      </c>
      <c r="AO574" t="str">
        <f t="shared" si="112"/>
        <v>Valid</v>
      </c>
      <c r="AP574" t="str">
        <f t="shared" si="113"/>
        <v>Valid</v>
      </c>
      <c r="AQ574" t="str">
        <f>IF(Audit_Data[[#This Row],[Z_CostContact]]=3,"Valid","Invalid")</f>
        <v>Valid</v>
      </c>
      <c r="AR574" t="str">
        <f t="shared" si="114"/>
        <v>Valid</v>
      </c>
      <c r="AS574" t="str">
        <f t="shared" si="115"/>
        <v>Valid</v>
      </c>
    </row>
    <row r="575" spans="1:45" x14ac:dyDescent="0.3">
      <c r="A575">
        <v>1029</v>
      </c>
      <c r="B575">
        <v>1970</v>
      </c>
      <c r="C575" t="s">
        <v>32</v>
      </c>
      <c r="D575" t="s">
        <v>31</v>
      </c>
      <c r="E575">
        <v>64413</v>
      </c>
      <c r="F575">
        <v>0</v>
      </c>
      <c r="G575">
        <v>1</v>
      </c>
      <c r="H575" s="1">
        <v>41487</v>
      </c>
      <c r="I575">
        <v>27</v>
      </c>
      <c r="J575">
        <v>200</v>
      </c>
      <c r="K575">
        <v>5</v>
      </c>
      <c r="L575">
        <v>44</v>
      </c>
      <c r="M575">
        <v>0</v>
      </c>
      <c r="N575">
        <v>10</v>
      </c>
      <c r="O575">
        <v>20</v>
      </c>
      <c r="P575">
        <v>1</v>
      </c>
      <c r="Q575">
        <v>5</v>
      </c>
      <c r="R575">
        <v>1</v>
      </c>
      <c r="S575">
        <v>5</v>
      </c>
      <c r="T575">
        <v>5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3</v>
      </c>
      <c r="AB575">
        <v>11</v>
      </c>
      <c r="AC575">
        <v>0</v>
      </c>
      <c r="AD575" t="str">
        <f t="shared" si="104"/>
        <v>Ok</v>
      </c>
      <c r="AE575" t="str">
        <f>IF(AND(Audit_Data[[#This Row],[Year_Birth]]&gt;=1900,Audit_Data[[#This Row],[Year_Birth]]&lt;=2010),"OK","Invalid")</f>
        <v>OK</v>
      </c>
      <c r="AF575" t="str">
        <f t="shared" si="105"/>
        <v>Valid</v>
      </c>
      <c r="AG575" t="str">
        <f t="shared" si="106"/>
        <v>Valid</v>
      </c>
      <c r="AH575" t="str">
        <f t="shared" si="107"/>
        <v>Valid</v>
      </c>
      <c r="AI575" t="str">
        <f t="shared" si="108"/>
        <v>Valid</v>
      </c>
      <c r="AJ575" t="str">
        <f t="shared" si="109"/>
        <v>Valid</v>
      </c>
      <c r="AK575" t="str">
        <f t="shared" si="116"/>
        <v xml:space="preserve">Valid </v>
      </c>
      <c r="AL575" t="str">
        <f>IF(AND(Audit_Data[[#This Row],[Recency]]&gt;=0,Audit_Data[[#This Row],[Recency]]&lt;=100),"Valid","Invalid")</f>
        <v>Valid</v>
      </c>
      <c r="AM575" t="str">
        <f t="shared" si="110"/>
        <v>Valid</v>
      </c>
      <c r="AN575" t="str">
        <f t="shared" si="111"/>
        <v>Valid</v>
      </c>
      <c r="AO575" t="str">
        <f t="shared" si="112"/>
        <v>Valid</v>
      </c>
      <c r="AP575" t="str">
        <f t="shared" si="113"/>
        <v>Valid</v>
      </c>
      <c r="AQ575" t="str">
        <f>IF(Audit_Data[[#This Row],[Z_CostContact]]=3,"Valid","Invalid")</f>
        <v>Valid</v>
      </c>
      <c r="AR575" t="str">
        <f t="shared" si="114"/>
        <v>Valid</v>
      </c>
      <c r="AS575" t="str">
        <f t="shared" si="115"/>
        <v>Valid</v>
      </c>
    </row>
    <row r="576" spans="1:45" x14ac:dyDescent="0.3">
      <c r="A576">
        <v>7369</v>
      </c>
      <c r="B576">
        <v>1981</v>
      </c>
      <c r="C576" t="s">
        <v>34</v>
      </c>
      <c r="D576" t="s">
        <v>33</v>
      </c>
      <c r="E576">
        <v>36959</v>
      </c>
      <c r="F576">
        <v>1</v>
      </c>
      <c r="G576">
        <v>0</v>
      </c>
      <c r="H576" s="1">
        <v>41549</v>
      </c>
      <c r="I576">
        <v>56</v>
      </c>
      <c r="J576">
        <v>25</v>
      </c>
      <c r="K576">
        <v>6</v>
      </c>
      <c r="L576">
        <v>25</v>
      </c>
      <c r="M576">
        <v>6</v>
      </c>
      <c r="N576">
        <v>0</v>
      </c>
      <c r="O576">
        <v>0</v>
      </c>
      <c r="P576">
        <v>2</v>
      </c>
      <c r="Q576">
        <v>2</v>
      </c>
      <c r="R576">
        <v>0</v>
      </c>
      <c r="S576">
        <v>3</v>
      </c>
      <c r="T576">
        <v>8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3</v>
      </c>
      <c r="AB576">
        <v>11</v>
      </c>
      <c r="AC576">
        <v>0</v>
      </c>
      <c r="AD576" t="str">
        <f t="shared" si="104"/>
        <v>Ok</v>
      </c>
      <c r="AE576" t="str">
        <f>IF(AND(Audit_Data[[#This Row],[Year_Birth]]&gt;=1900,Audit_Data[[#This Row],[Year_Birth]]&lt;=2010),"OK","Invalid")</f>
        <v>OK</v>
      </c>
      <c r="AF576" t="str">
        <f t="shared" si="105"/>
        <v>Valid</v>
      </c>
      <c r="AG576" t="str">
        <f t="shared" si="106"/>
        <v>Valid</v>
      </c>
      <c r="AH576" t="str">
        <f t="shared" si="107"/>
        <v>Valid</v>
      </c>
      <c r="AI576" t="str">
        <f t="shared" si="108"/>
        <v>Valid</v>
      </c>
      <c r="AJ576" t="str">
        <f t="shared" si="109"/>
        <v>Valid</v>
      </c>
      <c r="AK576" t="str">
        <f t="shared" si="116"/>
        <v xml:space="preserve">Valid </v>
      </c>
      <c r="AL576" t="str">
        <f>IF(AND(Audit_Data[[#This Row],[Recency]]&gt;=0,Audit_Data[[#This Row],[Recency]]&lt;=100),"Valid","Invalid")</f>
        <v>Valid</v>
      </c>
      <c r="AM576" t="str">
        <f t="shared" si="110"/>
        <v>Valid</v>
      </c>
      <c r="AN576" t="str">
        <f t="shared" si="111"/>
        <v>Valid</v>
      </c>
      <c r="AO576" t="str">
        <f t="shared" si="112"/>
        <v>Valid</v>
      </c>
      <c r="AP576" t="str">
        <f t="shared" si="113"/>
        <v>Valid</v>
      </c>
      <c r="AQ576" t="str">
        <f>IF(Audit_Data[[#This Row],[Z_CostContact]]=3,"Valid","Invalid")</f>
        <v>Valid</v>
      </c>
      <c r="AR576" t="str">
        <f t="shared" si="114"/>
        <v>Valid</v>
      </c>
      <c r="AS576" t="str">
        <f t="shared" si="115"/>
        <v>Valid</v>
      </c>
    </row>
    <row r="577" spans="1:45" x14ac:dyDescent="0.3">
      <c r="A577">
        <v>2574</v>
      </c>
      <c r="B577">
        <v>1977</v>
      </c>
      <c r="C577" t="s">
        <v>32</v>
      </c>
      <c r="D577" t="s">
        <v>33</v>
      </c>
      <c r="E577">
        <v>61996</v>
      </c>
      <c r="F577">
        <v>0</v>
      </c>
      <c r="G577">
        <v>1</v>
      </c>
      <c r="H577" s="1">
        <v>41305</v>
      </c>
      <c r="I577">
        <v>27</v>
      </c>
      <c r="J577">
        <v>1050</v>
      </c>
      <c r="K577">
        <v>12</v>
      </c>
      <c r="L577">
        <v>144</v>
      </c>
      <c r="M577">
        <v>0</v>
      </c>
      <c r="N577">
        <v>0</v>
      </c>
      <c r="O577">
        <v>24</v>
      </c>
      <c r="P577">
        <v>3</v>
      </c>
      <c r="Q577">
        <v>6</v>
      </c>
      <c r="R577">
        <v>4</v>
      </c>
      <c r="S577">
        <v>8</v>
      </c>
      <c r="T577">
        <v>5</v>
      </c>
      <c r="U577">
        <v>0</v>
      </c>
      <c r="V577">
        <v>1</v>
      </c>
      <c r="W577">
        <v>0</v>
      </c>
      <c r="X577">
        <v>1</v>
      </c>
      <c r="Y577">
        <v>1</v>
      </c>
      <c r="Z577">
        <v>0</v>
      </c>
      <c r="AA577">
        <v>3</v>
      </c>
      <c r="AB577">
        <v>11</v>
      </c>
      <c r="AC577">
        <v>1</v>
      </c>
      <c r="AD577" t="str">
        <f t="shared" si="104"/>
        <v>Ok</v>
      </c>
      <c r="AE577" t="str">
        <f>IF(AND(Audit_Data[[#This Row],[Year_Birth]]&gt;=1900,Audit_Data[[#This Row],[Year_Birth]]&lt;=2010),"OK","Invalid")</f>
        <v>OK</v>
      </c>
      <c r="AF577" t="str">
        <f t="shared" si="105"/>
        <v>Valid</v>
      </c>
      <c r="AG577" t="str">
        <f t="shared" si="106"/>
        <v>Valid</v>
      </c>
      <c r="AH577" t="str">
        <f t="shared" si="107"/>
        <v>Valid</v>
      </c>
      <c r="AI577" t="str">
        <f t="shared" si="108"/>
        <v>Valid</v>
      </c>
      <c r="AJ577" t="str">
        <f t="shared" si="109"/>
        <v>Valid</v>
      </c>
      <c r="AK577" t="str">
        <f t="shared" si="116"/>
        <v xml:space="preserve">Valid </v>
      </c>
      <c r="AL577" t="str">
        <f>IF(AND(Audit_Data[[#This Row],[Recency]]&gt;=0,Audit_Data[[#This Row],[Recency]]&lt;=100),"Valid","Invalid")</f>
        <v>Valid</v>
      </c>
      <c r="AM577" t="str">
        <f t="shared" si="110"/>
        <v>Valid</v>
      </c>
      <c r="AN577" t="str">
        <f t="shared" si="111"/>
        <v>Valid</v>
      </c>
      <c r="AO577" t="str">
        <f t="shared" si="112"/>
        <v>Valid</v>
      </c>
      <c r="AP577" t="str">
        <f t="shared" si="113"/>
        <v>Valid</v>
      </c>
      <c r="AQ577" t="str">
        <f>IF(Audit_Data[[#This Row],[Z_CostContact]]=3,"Valid","Invalid")</f>
        <v>Valid</v>
      </c>
      <c r="AR577" t="str">
        <f t="shared" si="114"/>
        <v>Valid</v>
      </c>
      <c r="AS577" t="str">
        <f t="shared" si="115"/>
        <v>Valid</v>
      </c>
    </row>
    <row r="578" spans="1:45" x14ac:dyDescent="0.3">
      <c r="A578">
        <v>8159</v>
      </c>
      <c r="B578">
        <v>1968</v>
      </c>
      <c r="C578" t="s">
        <v>29</v>
      </c>
      <c r="D578" t="s">
        <v>33</v>
      </c>
      <c r="E578">
        <v>51287</v>
      </c>
      <c r="F578">
        <v>1</v>
      </c>
      <c r="G578">
        <v>1</v>
      </c>
      <c r="H578" s="1">
        <v>41730</v>
      </c>
      <c r="I578">
        <v>10</v>
      </c>
      <c r="J578">
        <v>117</v>
      </c>
      <c r="K578">
        <v>0</v>
      </c>
      <c r="L578">
        <v>22</v>
      </c>
      <c r="M578">
        <v>13</v>
      </c>
      <c r="N578">
        <v>0</v>
      </c>
      <c r="O578">
        <v>30</v>
      </c>
      <c r="P578">
        <v>3</v>
      </c>
      <c r="Q578">
        <v>4</v>
      </c>
      <c r="R578">
        <v>1</v>
      </c>
      <c r="S578">
        <v>3</v>
      </c>
      <c r="T578">
        <v>7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3</v>
      </c>
      <c r="AB578">
        <v>11</v>
      </c>
      <c r="AC578">
        <v>0</v>
      </c>
      <c r="AD578" t="str">
        <f t="shared" ref="AD578:AD641" si="117">IF(COUNTIF(A:A,A578)&gt;1,"Duplicate","Ok")</f>
        <v>Ok</v>
      </c>
      <c r="AE578" t="str">
        <f>IF(AND(Audit_Data[[#This Row],[Year_Birth]]&gt;=1900,Audit_Data[[#This Row],[Year_Birth]]&lt;=2010),"OK","Invalid")</f>
        <v>OK</v>
      </c>
      <c r="AF578" t="str">
        <f t="shared" ref="AF578:AF641" si="118">IF(OR(C578="Graduation",C578="phD",C578="Master",C578="Basic",C578="2n Cycle"),"Valid","Invalid")</f>
        <v>Valid</v>
      </c>
      <c r="AG578" t="str">
        <f t="shared" ref="AG578:AG641" si="119">IF(OR(D578="Single",D578="Married",D578="Divorced",D578="Together",D578="Widow",D578="Alone"),"Valid","Invalid")</f>
        <v>Valid</v>
      </c>
      <c r="AH578" t="str">
        <f t="shared" ref="AH578:AH641" si="120">IF(AND(ISNUMBER(E578),E578&lt;&gt;""),"Valid","Invalid")</f>
        <v>Valid</v>
      </c>
      <c r="AI578" t="str">
        <f t="shared" ref="AI578:AI641" si="121">IF(AND(F578&gt;=0,F578&lt;=2),"Valid","Invalid")</f>
        <v>Valid</v>
      </c>
      <c r="AJ578" t="str">
        <f t="shared" ref="AJ578:AJ641" si="122">IF(AND(G578&gt;=0,G578&lt;=2),"Valid","Invalid")</f>
        <v>Valid</v>
      </c>
      <c r="AK578" t="str">
        <f t="shared" si="116"/>
        <v xml:space="preserve">Valid </v>
      </c>
      <c r="AL578" t="str">
        <f>IF(AND(Audit_Data[[#This Row],[Recency]]&gt;=0,Audit_Data[[#This Row],[Recency]]&lt;=100),"Valid","Invalid")</f>
        <v>Valid</v>
      </c>
      <c r="AM578" t="str">
        <f t="shared" ref="AM578:AM641" si="123">IF(AND(ISNUMBER(J578),J578&gt;=0,ISNUMBER(K578),K578&gt;=0,ISNUMBER(L578),L578&gt;=0,ISNUMBER(M578),M578&gt;=0,ISNUMBER(N578),N578&gt;=0,ISNUMBER(O578),O578&gt;=0),"Valid","Invalid")</f>
        <v>Valid</v>
      </c>
      <c r="AN578" t="str">
        <f t="shared" ref="AN578:AN641" si="124">IF(AND(ISNUMBER(P578),P578&gt;=0,ISNUMBER(Q578),Q578&gt;=0,ISNUMBER(R578),R578&gt;=0,ISNUMBER(S578),S578&gt;=0,ISNUMBER(T578),T578&gt;=0),"Valid","Invalid")</f>
        <v>Valid</v>
      </c>
      <c r="AO578" t="str">
        <f t="shared" ref="AO578:AO641" si="125">IF(AND(U578&lt;=1,V578&lt;=1,W578&lt;=1,X578&lt;=1,Y578&lt;=1),"Valid","Invalid")</f>
        <v>Valid</v>
      </c>
      <c r="AP578" t="str">
        <f t="shared" ref="AP578:AP641" si="126">IF(OR(Z578=0,Z578=1),"Valid","Invalid")</f>
        <v>Valid</v>
      </c>
      <c r="AQ578" t="str">
        <f>IF(Audit_Data[[#This Row],[Z_CostContact]]=3,"Valid","Invalid")</f>
        <v>Valid</v>
      </c>
      <c r="AR578" t="str">
        <f t="shared" ref="AR578:AR641" si="127">IF(AB578=11,"Valid","Invalid")</f>
        <v>Valid</v>
      </c>
      <c r="AS578" t="str">
        <f t="shared" ref="AS578:AS641" si="128">IF(OR(AC578=0,AC578=1),"Valid","Invalid")</f>
        <v>Valid</v>
      </c>
    </row>
    <row r="579" spans="1:45" x14ac:dyDescent="0.3">
      <c r="A579">
        <v>1160</v>
      </c>
      <c r="B579">
        <v>1970</v>
      </c>
      <c r="C579" t="s">
        <v>29</v>
      </c>
      <c r="D579" t="s">
        <v>33</v>
      </c>
      <c r="E579">
        <v>13260</v>
      </c>
      <c r="F579">
        <v>1</v>
      </c>
      <c r="G579">
        <v>1</v>
      </c>
      <c r="H579" s="1">
        <v>41509</v>
      </c>
      <c r="I579">
        <v>48</v>
      </c>
      <c r="J579">
        <v>9</v>
      </c>
      <c r="K579">
        <v>4</v>
      </c>
      <c r="L579">
        <v>17</v>
      </c>
      <c r="M579">
        <v>10</v>
      </c>
      <c r="N579">
        <v>2</v>
      </c>
      <c r="O579">
        <v>7</v>
      </c>
      <c r="P579">
        <v>4</v>
      </c>
      <c r="Q579">
        <v>3</v>
      </c>
      <c r="R579">
        <v>0</v>
      </c>
      <c r="S579">
        <v>3</v>
      </c>
      <c r="T579">
        <v>8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3</v>
      </c>
      <c r="AB579">
        <v>11</v>
      </c>
      <c r="AC579">
        <v>0</v>
      </c>
      <c r="AD579" t="str">
        <f t="shared" si="117"/>
        <v>Ok</v>
      </c>
      <c r="AE579" t="str">
        <f>IF(AND(Audit_Data[[#This Row],[Year_Birth]]&gt;=1900,Audit_Data[[#This Row],[Year_Birth]]&lt;=2010),"OK","Invalid")</f>
        <v>OK</v>
      </c>
      <c r="AF579" t="str">
        <f t="shared" si="118"/>
        <v>Valid</v>
      </c>
      <c r="AG579" t="str">
        <f t="shared" si="119"/>
        <v>Valid</v>
      </c>
      <c r="AH579" t="str">
        <f t="shared" si="120"/>
        <v>Valid</v>
      </c>
      <c r="AI579" t="str">
        <f t="shared" si="121"/>
        <v>Valid</v>
      </c>
      <c r="AJ579" t="str">
        <f t="shared" si="122"/>
        <v>Valid</v>
      </c>
      <c r="AK579" t="str">
        <f t="shared" ref="AK579:AK642" si="129">IF(AND(ISNUMBER(H579),H579&gt;=DATE(2012,1,1),H579&lt;=DATE(2014,12,31)),"Valid ","Invalid")</f>
        <v xml:space="preserve">Valid </v>
      </c>
      <c r="AL579" t="str">
        <f>IF(AND(Audit_Data[[#This Row],[Recency]]&gt;=0,Audit_Data[[#This Row],[Recency]]&lt;=100),"Valid","Invalid")</f>
        <v>Valid</v>
      </c>
      <c r="AM579" t="str">
        <f t="shared" si="123"/>
        <v>Valid</v>
      </c>
      <c r="AN579" t="str">
        <f t="shared" si="124"/>
        <v>Valid</v>
      </c>
      <c r="AO579" t="str">
        <f t="shared" si="125"/>
        <v>Valid</v>
      </c>
      <c r="AP579" t="str">
        <f t="shared" si="126"/>
        <v>Valid</v>
      </c>
      <c r="AQ579" t="str">
        <f>IF(Audit_Data[[#This Row],[Z_CostContact]]=3,"Valid","Invalid")</f>
        <v>Valid</v>
      </c>
      <c r="AR579" t="str">
        <f t="shared" si="127"/>
        <v>Valid</v>
      </c>
      <c r="AS579" t="str">
        <f t="shared" si="128"/>
        <v>Valid</v>
      </c>
    </row>
    <row r="580" spans="1:45" x14ac:dyDescent="0.3">
      <c r="A580">
        <v>10242</v>
      </c>
      <c r="B580">
        <v>1966</v>
      </c>
      <c r="C580" t="s">
        <v>32</v>
      </c>
      <c r="D580" t="s">
        <v>31</v>
      </c>
      <c r="E580">
        <v>47472</v>
      </c>
      <c r="F580">
        <v>1</v>
      </c>
      <c r="G580">
        <v>1</v>
      </c>
      <c r="H580" s="1">
        <v>41533</v>
      </c>
      <c r="I580">
        <v>39</v>
      </c>
      <c r="J580">
        <v>56</v>
      </c>
      <c r="K580">
        <v>0</v>
      </c>
      <c r="L580">
        <v>11</v>
      </c>
      <c r="M580">
        <v>0</v>
      </c>
      <c r="N580">
        <v>0</v>
      </c>
      <c r="O580">
        <v>8</v>
      </c>
      <c r="P580">
        <v>2</v>
      </c>
      <c r="Q580">
        <v>2</v>
      </c>
      <c r="R580">
        <v>0</v>
      </c>
      <c r="S580">
        <v>4</v>
      </c>
      <c r="T580">
        <v>5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3</v>
      </c>
      <c r="AB580">
        <v>11</v>
      </c>
      <c r="AC580">
        <v>0</v>
      </c>
      <c r="AD580" t="str">
        <f t="shared" si="117"/>
        <v>Ok</v>
      </c>
      <c r="AE580" t="str">
        <f>IF(AND(Audit_Data[[#This Row],[Year_Birth]]&gt;=1900,Audit_Data[[#This Row],[Year_Birth]]&lt;=2010),"OK","Invalid")</f>
        <v>OK</v>
      </c>
      <c r="AF580" t="str">
        <f t="shared" si="118"/>
        <v>Valid</v>
      </c>
      <c r="AG580" t="str">
        <f t="shared" si="119"/>
        <v>Valid</v>
      </c>
      <c r="AH580" t="str">
        <f t="shared" si="120"/>
        <v>Valid</v>
      </c>
      <c r="AI580" t="str">
        <f t="shared" si="121"/>
        <v>Valid</v>
      </c>
      <c r="AJ580" t="str">
        <f t="shared" si="122"/>
        <v>Valid</v>
      </c>
      <c r="AK580" t="str">
        <f t="shared" si="129"/>
        <v xml:space="preserve">Valid </v>
      </c>
      <c r="AL580" t="str">
        <f>IF(AND(Audit_Data[[#This Row],[Recency]]&gt;=0,Audit_Data[[#This Row],[Recency]]&lt;=100),"Valid","Invalid")</f>
        <v>Valid</v>
      </c>
      <c r="AM580" t="str">
        <f t="shared" si="123"/>
        <v>Valid</v>
      </c>
      <c r="AN580" t="str">
        <f t="shared" si="124"/>
        <v>Valid</v>
      </c>
      <c r="AO580" t="str">
        <f t="shared" si="125"/>
        <v>Valid</v>
      </c>
      <c r="AP580" t="str">
        <f t="shared" si="126"/>
        <v>Valid</v>
      </c>
      <c r="AQ580" t="str">
        <f>IF(Audit_Data[[#This Row],[Z_CostContact]]=3,"Valid","Invalid")</f>
        <v>Valid</v>
      </c>
      <c r="AR580" t="str">
        <f t="shared" si="127"/>
        <v>Valid</v>
      </c>
      <c r="AS580" t="str">
        <f t="shared" si="128"/>
        <v>Valid</v>
      </c>
    </row>
    <row r="581" spans="1:45" x14ac:dyDescent="0.3">
      <c r="A581">
        <v>5253</v>
      </c>
      <c r="B581">
        <v>1956</v>
      </c>
      <c r="C581" t="s">
        <v>34</v>
      </c>
      <c r="D581" t="s">
        <v>31</v>
      </c>
      <c r="E581">
        <v>54603</v>
      </c>
      <c r="F581">
        <v>1</v>
      </c>
      <c r="G581">
        <v>1</v>
      </c>
      <c r="H581" s="1">
        <v>41464</v>
      </c>
      <c r="I581">
        <v>85</v>
      </c>
      <c r="J581">
        <v>145</v>
      </c>
      <c r="K581">
        <v>13</v>
      </c>
      <c r="L581">
        <v>46</v>
      </c>
      <c r="M581">
        <v>17</v>
      </c>
      <c r="N581">
        <v>2</v>
      </c>
      <c r="O581">
        <v>4</v>
      </c>
      <c r="P581">
        <v>6</v>
      </c>
      <c r="Q581">
        <v>4</v>
      </c>
      <c r="R581">
        <v>2</v>
      </c>
      <c r="S581">
        <v>4</v>
      </c>
      <c r="T581">
        <v>7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3</v>
      </c>
      <c r="AB581">
        <v>11</v>
      </c>
      <c r="AC581">
        <v>0</v>
      </c>
      <c r="AD581" t="str">
        <f t="shared" si="117"/>
        <v>Ok</v>
      </c>
      <c r="AE581" t="str">
        <f>IF(AND(Audit_Data[[#This Row],[Year_Birth]]&gt;=1900,Audit_Data[[#This Row],[Year_Birth]]&lt;=2010),"OK","Invalid")</f>
        <v>OK</v>
      </c>
      <c r="AF581" t="str">
        <f t="shared" si="118"/>
        <v>Valid</v>
      </c>
      <c r="AG581" t="str">
        <f t="shared" si="119"/>
        <v>Valid</v>
      </c>
      <c r="AH581" t="str">
        <f t="shared" si="120"/>
        <v>Valid</v>
      </c>
      <c r="AI581" t="str">
        <f t="shared" si="121"/>
        <v>Valid</v>
      </c>
      <c r="AJ581" t="str">
        <f t="shared" si="122"/>
        <v>Valid</v>
      </c>
      <c r="AK581" t="str">
        <f t="shared" si="129"/>
        <v xml:space="preserve">Valid </v>
      </c>
      <c r="AL581" t="str">
        <f>IF(AND(Audit_Data[[#This Row],[Recency]]&gt;=0,Audit_Data[[#This Row],[Recency]]&lt;=100),"Valid","Invalid")</f>
        <v>Valid</v>
      </c>
      <c r="AM581" t="str">
        <f t="shared" si="123"/>
        <v>Valid</v>
      </c>
      <c r="AN581" t="str">
        <f t="shared" si="124"/>
        <v>Valid</v>
      </c>
      <c r="AO581" t="str">
        <f t="shared" si="125"/>
        <v>Valid</v>
      </c>
      <c r="AP581" t="str">
        <f t="shared" si="126"/>
        <v>Valid</v>
      </c>
      <c r="AQ581" t="str">
        <f>IF(Audit_Data[[#This Row],[Z_CostContact]]=3,"Valid","Invalid")</f>
        <v>Valid</v>
      </c>
      <c r="AR581" t="str">
        <f t="shared" si="127"/>
        <v>Valid</v>
      </c>
      <c r="AS581" t="str">
        <f t="shared" si="128"/>
        <v>Valid</v>
      </c>
    </row>
    <row r="582" spans="1:45" x14ac:dyDescent="0.3">
      <c r="A582">
        <v>5966</v>
      </c>
      <c r="B582">
        <v>1974</v>
      </c>
      <c r="C582" t="s">
        <v>32</v>
      </c>
      <c r="D582" t="s">
        <v>33</v>
      </c>
      <c r="E582">
        <v>45207</v>
      </c>
      <c r="F582">
        <v>1</v>
      </c>
      <c r="G582">
        <v>1</v>
      </c>
      <c r="H582" s="1">
        <v>41223</v>
      </c>
      <c r="I582">
        <v>64</v>
      </c>
      <c r="J582">
        <v>203</v>
      </c>
      <c r="K582">
        <v>0</v>
      </c>
      <c r="L582">
        <v>10</v>
      </c>
      <c r="M582">
        <v>0</v>
      </c>
      <c r="N582">
        <v>0</v>
      </c>
      <c r="O582">
        <v>2</v>
      </c>
      <c r="P582">
        <v>5</v>
      </c>
      <c r="Q582">
        <v>3</v>
      </c>
      <c r="R582">
        <v>1</v>
      </c>
      <c r="S582">
        <v>6</v>
      </c>
      <c r="T582">
        <v>6</v>
      </c>
      <c r="U582">
        <v>0</v>
      </c>
      <c r="V582">
        <v>1</v>
      </c>
      <c r="W582">
        <v>0</v>
      </c>
      <c r="X582">
        <v>0</v>
      </c>
      <c r="Y582">
        <v>0</v>
      </c>
      <c r="Z582">
        <v>0</v>
      </c>
      <c r="AA582">
        <v>3</v>
      </c>
      <c r="AB582">
        <v>11</v>
      </c>
      <c r="AC582">
        <v>0</v>
      </c>
      <c r="AD582" t="str">
        <f t="shared" si="117"/>
        <v>Ok</v>
      </c>
      <c r="AE582" t="str">
        <f>IF(AND(Audit_Data[[#This Row],[Year_Birth]]&gt;=1900,Audit_Data[[#This Row],[Year_Birth]]&lt;=2010),"OK","Invalid")</f>
        <v>OK</v>
      </c>
      <c r="AF582" t="str">
        <f t="shared" si="118"/>
        <v>Valid</v>
      </c>
      <c r="AG582" t="str">
        <f t="shared" si="119"/>
        <v>Valid</v>
      </c>
      <c r="AH582" t="str">
        <f t="shared" si="120"/>
        <v>Valid</v>
      </c>
      <c r="AI582" t="str">
        <f t="shared" si="121"/>
        <v>Valid</v>
      </c>
      <c r="AJ582" t="str">
        <f t="shared" si="122"/>
        <v>Valid</v>
      </c>
      <c r="AK582" t="str">
        <f t="shared" si="129"/>
        <v xml:space="preserve">Valid </v>
      </c>
      <c r="AL582" t="str">
        <f>IF(AND(Audit_Data[[#This Row],[Recency]]&gt;=0,Audit_Data[[#This Row],[Recency]]&lt;=100),"Valid","Invalid")</f>
        <v>Valid</v>
      </c>
      <c r="AM582" t="str">
        <f t="shared" si="123"/>
        <v>Valid</v>
      </c>
      <c r="AN582" t="str">
        <f t="shared" si="124"/>
        <v>Valid</v>
      </c>
      <c r="AO582" t="str">
        <f t="shared" si="125"/>
        <v>Valid</v>
      </c>
      <c r="AP582" t="str">
        <f t="shared" si="126"/>
        <v>Valid</v>
      </c>
      <c r="AQ582" t="str">
        <f>IF(Audit_Data[[#This Row],[Z_CostContact]]=3,"Valid","Invalid")</f>
        <v>Valid</v>
      </c>
      <c r="AR582" t="str">
        <f t="shared" si="127"/>
        <v>Valid</v>
      </c>
      <c r="AS582" t="str">
        <f t="shared" si="128"/>
        <v>Valid</v>
      </c>
    </row>
    <row r="583" spans="1:45" x14ac:dyDescent="0.3">
      <c r="A583">
        <v>5314</v>
      </c>
      <c r="B583">
        <v>1951</v>
      </c>
      <c r="C583" t="s">
        <v>29</v>
      </c>
      <c r="D583" t="s">
        <v>31</v>
      </c>
      <c r="E583">
        <v>40689</v>
      </c>
      <c r="F583">
        <v>0</v>
      </c>
      <c r="G583">
        <v>1</v>
      </c>
      <c r="H583" s="1">
        <v>41351</v>
      </c>
      <c r="I583">
        <v>69</v>
      </c>
      <c r="J583">
        <v>270</v>
      </c>
      <c r="K583">
        <v>3</v>
      </c>
      <c r="L583">
        <v>27</v>
      </c>
      <c r="M583">
        <v>39</v>
      </c>
      <c r="N583">
        <v>6</v>
      </c>
      <c r="O583">
        <v>99</v>
      </c>
      <c r="P583">
        <v>7</v>
      </c>
      <c r="Q583">
        <v>7</v>
      </c>
      <c r="R583">
        <v>1</v>
      </c>
      <c r="S583">
        <v>5</v>
      </c>
      <c r="T583">
        <v>8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3</v>
      </c>
      <c r="AB583">
        <v>11</v>
      </c>
      <c r="AC583">
        <v>0</v>
      </c>
      <c r="AD583" t="str">
        <f t="shared" si="117"/>
        <v>Ok</v>
      </c>
      <c r="AE583" t="str">
        <f>IF(AND(Audit_Data[[#This Row],[Year_Birth]]&gt;=1900,Audit_Data[[#This Row],[Year_Birth]]&lt;=2010),"OK","Invalid")</f>
        <v>OK</v>
      </c>
      <c r="AF583" t="str">
        <f t="shared" si="118"/>
        <v>Valid</v>
      </c>
      <c r="AG583" t="str">
        <f t="shared" si="119"/>
        <v>Valid</v>
      </c>
      <c r="AH583" t="str">
        <f t="shared" si="120"/>
        <v>Valid</v>
      </c>
      <c r="AI583" t="str">
        <f t="shared" si="121"/>
        <v>Valid</v>
      </c>
      <c r="AJ583" t="str">
        <f t="shared" si="122"/>
        <v>Valid</v>
      </c>
      <c r="AK583" t="str">
        <f t="shared" si="129"/>
        <v xml:space="preserve">Valid </v>
      </c>
      <c r="AL583" t="str">
        <f>IF(AND(Audit_Data[[#This Row],[Recency]]&gt;=0,Audit_Data[[#This Row],[Recency]]&lt;=100),"Valid","Invalid")</f>
        <v>Valid</v>
      </c>
      <c r="AM583" t="str">
        <f t="shared" si="123"/>
        <v>Valid</v>
      </c>
      <c r="AN583" t="str">
        <f t="shared" si="124"/>
        <v>Valid</v>
      </c>
      <c r="AO583" t="str">
        <f t="shared" si="125"/>
        <v>Valid</v>
      </c>
      <c r="AP583" t="str">
        <f t="shared" si="126"/>
        <v>Valid</v>
      </c>
      <c r="AQ583" t="str">
        <f>IF(Audit_Data[[#This Row],[Z_CostContact]]=3,"Valid","Invalid")</f>
        <v>Valid</v>
      </c>
      <c r="AR583" t="str">
        <f t="shared" si="127"/>
        <v>Valid</v>
      </c>
      <c r="AS583" t="str">
        <f t="shared" si="128"/>
        <v>Valid</v>
      </c>
    </row>
    <row r="584" spans="1:45" x14ac:dyDescent="0.3">
      <c r="A584">
        <v>5081</v>
      </c>
      <c r="B584">
        <v>1967</v>
      </c>
      <c r="C584" t="s">
        <v>37</v>
      </c>
      <c r="D584" t="s">
        <v>31</v>
      </c>
      <c r="E584">
        <v>47821</v>
      </c>
      <c r="F584">
        <v>1</v>
      </c>
      <c r="G584">
        <v>1</v>
      </c>
      <c r="H584" s="1">
        <v>41567</v>
      </c>
      <c r="I584">
        <v>54</v>
      </c>
      <c r="J584">
        <v>9</v>
      </c>
      <c r="K584">
        <v>0</v>
      </c>
      <c r="L584">
        <v>16</v>
      </c>
      <c r="M584">
        <v>6</v>
      </c>
      <c r="N584">
        <v>6</v>
      </c>
      <c r="O584">
        <v>10</v>
      </c>
      <c r="P584">
        <v>1</v>
      </c>
      <c r="Q584">
        <v>1</v>
      </c>
      <c r="R584">
        <v>0</v>
      </c>
      <c r="S584">
        <v>3</v>
      </c>
      <c r="T584">
        <v>8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3</v>
      </c>
      <c r="AB584">
        <v>11</v>
      </c>
      <c r="AC584">
        <v>0</v>
      </c>
      <c r="AD584" t="str">
        <f t="shared" si="117"/>
        <v>Ok</v>
      </c>
      <c r="AE584" t="str">
        <f>IF(AND(Audit_Data[[#This Row],[Year_Birth]]&gt;=1900,Audit_Data[[#This Row],[Year_Birth]]&lt;=2010),"OK","Invalid")</f>
        <v>OK</v>
      </c>
      <c r="AF584" t="str">
        <f t="shared" si="118"/>
        <v>Valid</v>
      </c>
      <c r="AG584" t="str">
        <f t="shared" si="119"/>
        <v>Valid</v>
      </c>
      <c r="AH584" t="str">
        <f t="shared" si="120"/>
        <v>Valid</v>
      </c>
      <c r="AI584" t="str">
        <f t="shared" si="121"/>
        <v>Valid</v>
      </c>
      <c r="AJ584" t="str">
        <f t="shared" si="122"/>
        <v>Valid</v>
      </c>
      <c r="AK584" t="str">
        <f t="shared" si="129"/>
        <v xml:space="preserve">Valid </v>
      </c>
      <c r="AL584" t="str">
        <f>IF(AND(Audit_Data[[#This Row],[Recency]]&gt;=0,Audit_Data[[#This Row],[Recency]]&lt;=100),"Valid","Invalid")</f>
        <v>Valid</v>
      </c>
      <c r="AM584" t="str">
        <f t="shared" si="123"/>
        <v>Valid</v>
      </c>
      <c r="AN584" t="str">
        <f t="shared" si="124"/>
        <v>Valid</v>
      </c>
      <c r="AO584" t="str">
        <f t="shared" si="125"/>
        <v>Valid</v>
      </c>
      <c r="AP584" t="str">
        <f t="shared" si="126"/>
        <v>Valid</v>
      </c>
      <c r="AQ584" t="str">
        <f>IF(Audit_Data[[#This Row],[Z_CostContact]]=3,"Valid","Invalid")</f>
        <v>Valid</v>
      </c>
      <c r="AR584" t="str">
        <f t="shared" si="127"/>
        <v>Valid</v>
      </c>
      <c r="AS584" t="str">
        <f t="shared" si="128"/>
        <v>Valid</v>
      </c>
    </row>
    <row r="585" spans="1:45" x14ac:dyDescent="0.3">
      <c r="A585">
        <v>5123</v>
      </c>
      <c r="B585">
        <v>1951</v>
      </c>
      <c r="C585" t="s">
        <v>34</v>
      </c>
      <c r="D585" t="s">
        <v>33</v>
      </c>
      <c r="E585">
        <v>27450</v>
      </c>
      <c r="F585">
        <v>0</v>
      </c>
      <c r="G585">
        <v>0</v>
      </c>
      <c r="H585" s="1">
        <v>41379</v>
      </c>
      <c r="I585">
        <v>57</v>
      </c>
      <c r="J585">
        <v>37</v>
      </c>
      <c r="K585">
        <v>12</v>
      </c>
      <c r="L585">
        <v>23</v>
      </c>
      <c r="M585">
        <v>8</v>
      </c>
      <c r="N585">
        <v>11</v>
      </c>
      <c r="O585">
        <v>52</v>
      </c>
      <c r="P585">
        <v>1</v>
      </c>
      <c r="Q585">
        <v>2</v>
      </c>
      <c r="R585">
        <v>1</v>
      </c>
      <c r="S585">
        <v>3</v>
      </c>
      <c r="T585">
        <v>7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3</v>
      </c>
      <c r="AB585">
        <v>11</v>
      </c>
      <c r="AC585">
        <v>0</v>
      </c>
      <c r="AD585" t="str">
        <f t="shared" si="117"/>
        <v>Ok</v>
      </c>
      <c r="AE585" t="str">
        <f>IF(AND(Audit_Data[[#This Row],[Year_Birth]]&gt;=1900,Audit_Data[[#This Row],[Year_Birth]]&lt;=2010),"OK","Invalid")</f>
        <v>OK</v>
      </c>
      <c r="AF585" t="str">
        <f t="shared" si="118"/>
        <v>Valid</v>
      </c>
      <c r="AG585" t="str">
        <f t="shared" si="119"/>
        <v>Valid</v>
      </c>
      <c r="AH585" t="str">
        <f t="shared" si="120"/>
        <v>Valid</v>
      </c>
      <c r="AI585" t="str">
        <f t="shared" si="121"/>
        <v>Valid</v>
      </c>
      <c r="AJ585" t="str">
        <f t="shared" si="122"/>
        <v>Valid</v>
      </c>
      <c r="AK585" t="str">
        <f t="shared" si="129"/>
        <v xml:space="preserve">Valid </v>
      </c>
      <c r="AL585" t="str">
        <f>IF(AND(Audit_Data[[#This Row],[Recency]]&gt;=0,Audit_Data[[#This Row],[Recency]]&lt;=100),"Valid","Invalid")</f>
        <v>Valid</v>
      </c>
      <c r="AM585" t="str">
        <f t="shared" si="123"/>
        <v>Valid</v>
      </c>
      <c r="AN585" t="str">
        <f t="shared" si="124"/>
        <v>Valid</v>
      </c>
      <c r="AO585" t="str">
        <f t="shared" si="125"/>
        <v>Valid</v>
      </c>
      <c r="AP585" t="str">
        <f t="shared" si="126"/>
        <v>Valid</v>
      </c>
      <c r="AQ585" t="str">
        <f>IF(Audit_Data[[#This Row],[Z_CostContact]]=3,"Valid","Invalid")</f>
        <v>Valid</v>
      </c>
      <c r="AR585" t="str">
        <f t="shared" si="127"/>
        <v>Valid</v>
      </c>
      <c r="AS585" t="str">
        <f t="shared" si="128"/>
        <v>Valid</v>
      </c>
    </row>
    <row r="586" spans="1:45" x14ac:dyDescent="0.3">
      <c r="A586">
        <v>5756</v>
      </c>
      <c r="B586">
        <v>1983</v>
      </c>
      <c r="C586" t="s">
        <v>29</v>
      </c>
      <c r="D586" t="s">
        <v>31</v>
      </c>
      <c r="E586">
        <v>39453</v>
      </c>
      <c r="F586">
        <v>1</v>
      </c>
      <c r="G586">
        <v>0</v>
      </c>
      <c r="H586" s="1">
        <v>41732</v>
      </c>
      <c r="I586">
        <v>64</v>
      </c>
      <c r="J586">
        <v>46</v>
      </c>
      <c r="K586">
        <v>0</v>
      </c>
      <c r="L586">
        <v>7</v>
      </c>
      <c r="M586">
        <v>0</v>
      </c>
      <c r="N586">
        <v>0</v>
      </c>
      <c r="O586">
        <v>2</v>
      </c>
      <c r="P586">
        <v>2</v>
      </c>
      <c r="Q586">
        <v>2</v>
      </c>
      <c r="R586">
        <v>0</v>
      </c>
      <c r="S586">
        <v>3</v>
      </c>
      <c r="T586">
        <v>6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3</v>
      </c>
      <c r="AB586">
        <v>11</v>
      </c>
      <c r="AC586">
        <v>0</v>
      </c>
      <c r="AD586" t="str">
        <f t="shared" si="117"/>
        <v>Ok</v>
      </c>
      <c r="AE586" t="str">
        <f>IF(AND(Audit_Data[[#This Row],[Year_Birth]]&gt;=1900,Audit_Data[[#This Row],[Year_Birth]]&lt;=2010),"OK","Invalid")</f>
        <v>OK</v>
      </c>
      <c r="AF586" t="str">
        <f t="shared" si="118"/>
        <v>Valid</v>
      </c>
      <c r="AG586" t="str">
        <f t="shared" si="119"/>
        <v>Valid</v>
      </c>
      <c r="AH586" t="str">
        <f t="shared" si="120"/>
        <v>Valid</v>
      </c>
      <c r="AI586" t="str">
        <f t="shared" si="121"/>
        <v>Valid</v>
      </c>
      <c r="AJ586" t="str">
        <f t="shared" si="122"/>
        <v>Valid</v>
      </c>
      <c r="AK586" t="str">
        <f t="shared" si="129"/>
        <v xml:space="preserve">Valid </v>
      </c>
      <c r="AL586" t="str">
        <f>IF(AND(Audit_Data[[#This Row],[Recency]]&gt;=0,Audit_Data[[#This Row],[Recency]]&lt;=100),"Valid","Invalid")</f>
        <v>Valid</v>
      </c>
      <c r="AM586" t="str">
        <f t="shared" si="123"/>
        <v>Valid</v>
      </c>
      <c r="AN586" t="str">
        <f t="shared" si="124"/>
        <v>Valid</v>
      </c>
      <c r="AO586" t="str">
        <f t="shared" si="125"/>
        <v>Valid</v>
      </c>
      <c r="AP586" t="str">
        <f t="shared" si="126"/>
        <v>Valid</v>
      </c>
      <c r="AQ586" t="str">
        <f>IF(Audit_Data[[#This Row],[Z_CostContact]]=3,"Valid","Invalid")</f>
        <v>Valid</v>
      </c>
      <c r="AR586" t="str">
        <f t="shared" si="127"/>
        <v>Valid</v>
      </c>
      <c r="AS586" t="str">
        <f t="shared" si="128"/>
        <v>Valid</v>
      </c>
    </row>
    <row r="587" spans="1:45" x14ac:dyDescent="0.3">
      <c r="A587">
        <v>8036</v>
      </c>
      <c r="B587">
        <v>1971</v>
      </c>
      <c r="C587" t="s">
        <v>37</v>
      </c>
      <c r="D587" t="s">
        <v>31</v>
      </c>
      <c r="E587">
        <v>26850</v>
      </c>
      <c r="F587">
        <v>1</v>
      </c>
      <c r="G587">
        <v>1</v>
      </c>
      <c r="H587" s="1">
        <v>41747</v>
      </c>
      <c r="I587">
        <v>10</v>
      </c>
      <c r="J587">
        <v>31</v>
      </c>
      <c r="K587">
        <v>1</v>
      </c>
      <c r="L587">
        <v>13</v>
      </c>
      <c r="M587">
        <v>7</v>
      </c>
      <c r="N587">
        <v>2</v>
      </c>
      <c r="O587">
        <v>9</v>
      </c>
      <c r="P587">
        <v>4</v>
      </c>
      <c r="Q587">
        <v>2</v>
      </c>
      <c r="R587">
        <v>1</v>
      </c>
      <c r="S587">
        <v>4</v>
      </c>
      <c r="T587">
        <v>4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3</v>
      </c>
      <c r="AB587">
        <v>11</v>
      </c>
      <c r="AC587">
        <v>0</v>
      </c>
      <c r="AD587" t="str">
        <f t="shared" si="117"/>
        <v>Ok</v>
      </c>
      <c r="AE587" t="str">
        <f>IF(AND(Audit_Data[[#This Row],[Year_Birth]]&gt;=1900,Audit_Data[[#This Row],[Year_Birth]]&lt;=2010),"OK","Invalid")</f>
        <v>OK</v>
      </c>
      <c r="AF587" t="str">
        <f t="shared" si="118"/>
        <v>Valid</v>
      </c>
      <c r="AG587" t="str">
        <f t="shared" si="119"/>
        <v>Valid</v>
      </c>
      <c r="AH587" t="str">
        <f t="shared" si="120"/>
        <v>Valid</v>
      </c>
      <c r="AI587" t="str">
        <f t="shared" si="121"/>
        <v>Valid</v>
      </c>
      <c r="AJ587" t="str">
        <f t="shared" si="122"/>
        <v>Valid</v>
      </c>
      <c r="AK587" t="str">
        <f t="shared" si="129"/>
        <v xml:space="preserve">Valid </v>
      </c>
      <c r="AL587" t="str">
        <f>IF(AND(Audit_Data[[#This Row],[Recency]]&gt;=0,Audit_Data[[#This Row],[Recency]]&lt;=100),"Valid","Invalid")</f>
        <v>Valid</v>
      </c>
      <c r="AM587" t="str">
        <f t="shared" si="123"/>
        <v>Valid</v>
      </c>
      <c r="AN587" t="str">
        <f t="shared" si="124"/>
        <v>Valid</v>
      </c>
      <c r="AO587" t="str">
        <f t="shared" si="125"/>
        <v>Valid</v>
      </c>
      <c r="AP587" t="str">
        <f t="shared" si="126"/>
        <v>Valid</v>
      </c>
      <c r="AQ587" t="str">
        <f>IF(Audit_Data[[#This Row],[Z_CostContact]]=3,"Valid","Invalid")</f>
        <v>Valid</v>
      </c>
      <c r="AR587" t="str">
        <f t="shared" si="127"/>
        <v>Valid</v>
      </c>
      <c r="AS587" t="str">
        <f t="shared" si="128"/>
        <v>Valid</v>
      </c>
    </row>
    <row r="588" spans="1:45" x14ac:dyDescent="0.3">
      <c r="A588">
        <v>9058</v>
      </c>
      <c r="B588">
        <v>1955</v>
      </c>
      <c r="C588" t="s">
        <v>29</v>
      </c>
      <c r="D588" t="s">
        <v>38</v>
      </c>
      <c r="E588">
        <v>79800</v>
      </c>
      <c r="F588">
        <v>0</v>
      </c>
      <c r="G588">
        <v>0</v>
      </c>
      <c r="H588" s="1">
        <v>41175</v>
      </c>
      <c r="I588">
        <v>65</v>
      </c>
      <c r="J588">
        <v>1060</v>
      </c>
      <c r="K588">
        <v>21</v>
      </c>
      <c r="L588">
        <v>530</v>
      </c>
      <c r="M588">
        <v>32</v>
      </c>
      <c r="N588">
        <v>0</v>
      </c>
      <c r="O588">
        <v>224</v>
      </c>
      <c r="P588">
        <v>1</v>
      </c>
      <c r="Q588">
        <v>5</v>
      </c>
      <c r="R588">
        <v>11</v>
      </c>
      <c r="S588">
        <v>5</v>
      </c>
      <c r="T588">
        <v>3</v>
      </c>
      <c r="U588">
        <v>1</v>
      </c>
      <c r="V588">
        <v>0</v>
      </c>
      <c r="W588">
        <v>1</v>
      </c>
      <c r="X588">
        <v>1</v>
      </c>
      <c r="Y588">
        <v>0</v>
      </c>
      <c r="Z588">
        <v>0</v>
      </c>
      <c r="AA588">
        <v>3</v>
      </c>
      <c r="AB588">
        <v>11</v>
      </c>
      <c r="AC588">
        <v>1</v>
      </c>
      <c r="AD588" t="str">
        <f t="shared" si="117"/>
        <v>Ok</v>
      </c>
      <c r="AE588" t="str">
        <f>IF(AND(Audit_Data[[#This Row],[Year_Birth]]&gt;=1900,Audit_Data[[#This Row],[Year_Birth]]&lt;=2010),"OK","Invalid")</f>
        <v>OK</v>
      </c>
      <c r="AF588" t="str">
        <f t="shared" si="118"/>
        <v>Valid</v>
      </c>
      <c r="AG588" t="str">
        <f t="shared" si="119"/>
        <v>Valid</v>
      </c>
      <c r="AH588" t="str">
        <f t="shared" si="120"/>
        <v>Valid</v>
      </c>
      <c r="AI588" t="str">
        <f t="shared" si="121"/>
        <v>Valid</v>
      </c>
      <c r="AJ588" t="str">
        <f t="shared" si="122"/>
        <v>Valid</v>
      </c>
      <c r="AK588" t="str">
        <f t="shared" si="129"/>
        <v xml:space="preserve">Valid </v>
      </c>
      <c r="AL588" t="str">
        <f>IF(AND(Audit_Data[[#This Row],[Recency]]&gt;=0,Audit_Data[[#This Row],[Recency]]&lt;=100),"Valid","Invalid")</f>
        <v>Valid</v>
      </c>
      <c r="AM588" t="str">
        <f t="shared" si="123"/>
        <v>Valid</v>
      </c>
      <c r="AN588" t="str">
        <f t="shared" si="124"/>
        <v>Valid</v>
      </c>
      <c r="AO588" t="str">
        <f t="shared" si="125"/>
        <v>Valid</v>
      </c>
      <c r="AP588" t="str">
        <f t="shared" si="126"/>
        <v>Valid</v>
      </c>
      <c r="AQ588" t="str">
        <f>IF(Audit_Data[[#This Row],[Z_CostContact]]=3,"Valid","Invalid")</f>
        <v>Valid</v>
      </c>
      <c r="AR588" t="str">
        <f t="shared" si="127"/>
        <v>Valid</v>
      </c>
      <c r="AS588" t="str">
        <f t="shared" si="128"/>
        <v>Valid</v>
      </c>
    </row>
    <row r="589" spans="1:45" x14ac:dyDescent="0.3">
      <c r="A589">
        <v>5057</v>
      </c>
      <c r="B589">
        <v>1961</v>
      </c>
      <c r="C589" t="s">
        <v>34</v>
      </c>
      <c r="D589" t="s">
        <v>33</v>
      </c>
      <c r="E589">
        <v>61794</v>
      </c>
      <c r="F589">
        <v>0</v>
      </c>
      <c r="G589">
        <v>1</v>
      </c>
      <c r="H589" s="1">
        <v>41531</v>
      </c>
      <c r="I589">
        <v>74</v>
      </c>
      <c r="J589">
        <v>264</v>
      </c>
      <c r="K589">
        <v>47</v>
      </c>
      <c r="L589">
        <v>188</v>
      </c>
      <c r="M589">
        <v>54</v>
      </c>
      <c r="N589">
        <v>47</v>
      </c>
      <c r="O589">
        <v>11</v>
      </c>
      <c r="P589">
        <v>2</v>
      </c>
      <c r="Q589">
        <v>4</v>
      </c>
      <c r="R589">
        <v>4</v>
      </c>
      <c r="S589">
        <v>10</v>
      </c>
      <c r="T589">
        <v>2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3</v>
      </c>
      <c r="AB589">
        <v>11</v>
      </c>
      <c r="AC589">
        <v>0</v>
      </c>
      <c r="AD589" t="str">
        <f t="shared" si="117"/>
        <v>Ok</v>
      </c>
      <c r="AE589" t="str">
        <f>IF(AND(Audit_Data[[#This Row],[Year_Birth]]&gt;=1900,Audit_Data[[#This Row],[Year_Birth]]&lt;=2010),"OK","Invalid")</f>
        <v>OK</v>
      </c>
      <c r="AF589" t="str">
        <f t="shared" si="118"/>
        <v>Valid</v>
      </c>
      <c r="AG589" t="str">
        <f t="shared" si="119"/>
        <v>Valid</v>
      </c>
      <c r="AH589" t="str">
        <f t="shared" si="120"/>
        <v>Valid</v>
      </c>
      <c r="AI589" t="str">
        <f t="shared" si="121"/>
        <v>Valid</v>
      </c>
      <c r="AJ589" t="str">
        <f t="shared" si="122"/>
        <v>Valid</v>
      </c>
      <c r="AK589" t="str">
        <f t="shared" si="129"/>
        <v xml:space="preserve">Valid </v>
      </c>
      <c r="AL589" t="str">
        <f>IF(AND(Audit_Data[[#This Row],[Recency]]&gt;=0,Audit_Data[[#This Row],[Recency]]&lt;=100),"Valid","Invalid")</f>
        <v>Valid</v>
      </c>
      <c r="AM589" t="str">
        <f t="shared" si="123"/>
        <v>Valid</v>
      </c>
      <c r="AN589" t="str">
        <f t="shared" si="124"/>
        <v>Valid</v>
      </c>
      <c r="AO589" t="str">
        <f t="shared" si="125"/>
        <v>Valid</v>
      </c>
      <c r="AP589" t="str">
        <f t="shared" si="126"/>
        <v>Valid</v>
      </c>
      <c r="AQ589" t="str">
        <f>IF(Audit_Data[[#This Row],[Z_CostContact]]=3,"Valid","Invalid")</f>
        <v>Valid</v>
      </c>
      <c r="AR589" t="str">
        <f t="shared" si="127"/>
        <v>Valid</v>
      </c>
      <c r="AS589" t="str">
        <f t="shared" si="128"/>
        <v>Valid</v>
      </c>
    </row>
    <row r="590" spans="1:45" x14ac:dyDescent="0.3">
      <c r="A590">
        <v>254</v>
      </c>
      <c r="B590">
        <v>1955</v>
      </c>
      <c r="C590" t="s">
        <v>29</v>
      </c>
      <c r="D590" t="s">
        <v>31</v>
      </c>
      <c r="E590">
        <v>53863</v>
      </c>
      <c r="F590">
        <v>0</v>
      </c>
      <c r="G590">
        <v>1</v>
      </c>
      <c r="H590" s="1">
        <v>41776</v>
      </c>
      <c r="I590">
        <v>4</v>
      </c>
      <c r="J590">
        <v>399</v>
      </c>
      <c r="K590">
        <v>4</v>
      </c>
      <c r="L590">
        <v>30</v>
      </c>
      <c r="M590">
        <v>6</v>
      </c>
      <c r="N590">
        <v>4</v>
      </c>
      <c r="O590">
        <v>30</v>
      </c>
      <c r="P590">
        <v>3</v>
      </c>
      <c r="Q590">
        <v>7</v>
      </c>
      <c r="R590">
        <v>1</v>
      </c>
      <c r="S590">
        <v>7</v>
      </c>
      <c r="T590">
        <v>7</v>
      </c>
      <c r="U590">
        <v>0</v>
      </c>
      <c r="V590">
        <v>1</v>
      </c>
      <c r="W590">
        <v>0</v>
      </c>
      <c r="X590">
        <v>0</v>
      </c>
      <c r="Y590">
        <v>0</v>
      </c>
      <c r="Z590">
        <v>0</v>
      </c>
      <c r="AA590">
        <v>3</v>
      </c>
      <c r="AB590">
        <v>11</v>
      </c>
      <c r="AC590">
        <v>0</v>
      </c>
      <c r="AD590" t="str">
        <f t="shared" si="117"/>
        <v>Ok</v>
      </c>
      <c r="AE590" t="str">
        <f>IF(AND(Audit_Data[[#This Row],[Year_Birth]]&gt;=1900,Audit_Data[[#This Row],[Year_Birth]]&lt;=2010),"OK","Invalid")</f>
        <v>OK</v>
      </c>
      <c r="AF590" t="str">
        <f t="shared" si="118"/>
        <v>Valid</v>
      </c>
      <c r="AG590" t="str">
        <f t="shared" si="119"/>
        <v>Valid</v>
      </c>
      <c r="AH590" t="str">
        <f t="shared" si="120"/>
        <v>Valid</v>
      </c>
      <c r="AI590" t="str">
        <f t="shared" si="121"/>
        <v>Valid</v>
      </c>
      <c r="AJ590" t="str">
        <f t="shared" si="122"/>
        <v>Valid</v>
      </c>
      <c r="AK590" t="str">
        <f t="shared" si="129"/>
        <v xml:space="preserve">Valid </v>
      </c>
      <c r="AL590" t="str">
        <f>IF(AND(Audit_Data[[#This Row],[Recency]]&gt;=0,Audit_Data[[#This Row],[Recency]]&lt;=100),"Valid","Invalid")</f>
        <v>Valid</v>
      </c>
      <c r="AM590" t="str">
        <f t="shared" si="123"/>
        <v>Valid</v>
      </c>
      <c r="AN590" t="str">
        <f t="shared" si="124"/>
        <v>Valid</v>
      </c>
      <c r="AO590" t="str">
        <f t="shared" si="125"/>
        <v>Valid</v>
      </c>
      <c r="AP590" t="str">
        <f t="shared" si="126"/>
        <v>Valid</v>
      </c>
      <c r="AQ590" t="str">
        <f>IF(Audit_Data[[#This Row],[Z_CostContact]]=3,"Valid","Invalid")</f>
        <v>Valid</v>
      </c>
      <c r="AR590" t="str">
        <f t="shared" si="127"/>
        <v>Valid</v>
      </c>
      <c r="AS590" t="str">
        <f t="shared" si="128"/>
        <v>Valid</v>
      </c>
    </row>
    <row r="591" spans="1:45" x14ac:dyDescent="0.3">
      <c r="A591">
        <v>4179</v>
      </c>
      <c r="B591">
        <v>1959</v>
      </c>
      <c r="C591" t="s">
        <v>29</v>
      </c>
      <c r="D591" t="s">
        <v>31</v>
      </c>
      <c r="E591">
        <v>24221</v>
      </c>
      <c r="F591">
        <v>0</v>
      </c>
      <c r="G591">
        <v>0</v>
      </c>
      <c r="H591" s="1">
        <v>41506</v>
      </c>
      <c r="I591">
        <v>94</v>
      </c>
      <c r="J591">
        <v>8</v>
      </c>
      <c r="K591">
        <v>9</v>
      </c>
      <c r="L591">
        <v>9</v>
      </c>
      <c r="M591">
        <v>2</v>
      </c>
      <c r="N591">
        <v>5</v>
      </c>
      <c r="O591">
        <v>22</v>
      </c>
      <c r="P591">
        <v>1</v>
      </c>
      <c r="Q591">
        <v>1</v>
      </c>
      <c r="R591">
        <v>1</v>
      </c>
      <c r="S591">
        <v>3</v>
      </c>
      <c r="T591">
        <v>4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3</v>
      </c>
      <c r="AB591">
        <v>11</v>
      </c>
      <c r="AC591">
        <v>0</v>
      </c>
      <c r="AD591" t="str">
        <f t="shared" si="117"/>
        <v>Ok</v>
      </c>
      <c r="AE591" t="str">
        <f>IF(AND(Audit_Data[[#This Row],[Year_Birth]]&gt;=1900,Audit_Data[[#This Row],[Year_Birth]]&lt;=2010),"OK","Invalid")</f>
        <v>OK</v>
      </c>
      <c r="AF591" t="str">
        <f t="shared" si="118"/>
        <v>Valid</v>
      </c>
      <c r="AG591" t="str">
        <f t="shared" si="119"/>
        <v>Valid</v>
      </c>
      <c r="AH591" t="str">
        <f t="shared" si="120"/>
        <v>Valid</v>
      </c>
      <c r="AI591" t="str">
        <f t="shared" si="121"/>
        <v>Valid</v>
      </c>
      <c r="AJ591" t="str">
        <f t="shared" si="122"/>
        <v>Valid</v>
      </c>
      <c r="AK591" t="str">
        <f t="shared" si="129"/>
        <v xml:space="preserve">Valid </v>
      </c>
      <c r="AL591" t="str">
        <f>IF(AND(Audit_Data[[#This Row],[Recency]]&gt;=0,Audit_Data[[#This Row],[Recency]]&lt;=100),"Valid","Invalid")</f>
        <v>Valid</v>
      </c>
      <c r="AM591" t="str">
        <f t="shared" si="123"/>
        <v>Valid</v>
      </c>
      <c r="AN591" t="str">
        <f t="shared" si="124"/>
        <v>Valid</v>
      </c>
      <c r="AO591" t="str">
        <f t="shared" si="125"/>
        <v>Valid</v>
      </c>
      <c r="AP591" t="str">
        <f t="shared" si="126"/>
        <v>Valid</v>
      </c>
      <c r="AQ591" t="str">
        <f>IF(Audit_Data[[#This Row],[Z_CostContact]]=3,"Valid","Invalid")</f>
        <v>Valid</v>
      </c>
      <c r="AR591" t="str">
        <f t="shared" si="127"/>
        <v>Valid</v>
      </c>
      <c r="AS591" t="str">
        <f t="shared" si="128"/>
        <v>Valid</v>
      </c>
    </row>
    <row r="592" spans="1:45" x14ac:dyDescent="0.3">
      <c r="A592">
        <v>3710</v>
      </c>
      <c r="B592">
        <v>1984</v>
      </c>
      <c r="C592" t="s">
        <v>32</v>
      </c>
      <c r="D592" t="s">
        <v>30</v>
      </c>
      <c r="E592">
        <v>39684</v>
      </c>
      <c r="F592">
        <v>1</v>
      </c>
      <c r="G592">
        <v>0</v>
      </c>
      <c r="H592" s="1">
        <v>41194</v>
      </c>
      <c r="I592">
        <v>41</v>
      </c>
      <c r="J592">
        <v>19</v>
      </c>
      <c r="K592">
        <v>0</v>
      </c>
      <c r="L592">
        <v>35</v>
      </c>
      <c r="M592">
        <v>6</v>
      </c>
      <c r="N592">
        <v>4</v>
      </c>
      <c r="O592">
        <v>17</v>
      </c>
      <c r="P592">
        <v>2</v>
      </c>
      <c r="Q592">
        <v>2</v>
      </c>
      <c r="R592">
        <v>1</v>
      </c>
      <c r="S592">
        <v>2</v>
      </c>
      <c r="T592">
        <v>7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1</v>
      </c>
      <c r="AA592">
        <v>3</v>
      </c>
      <c r="AB592">
        <v>11</v>
      </c>
      <c r="AC592">
        <v>1</v>
      </c>
      <c r="AD592" t="str">
        <f t="shared" si="117"/>
        <v>Ok</v>
      </c>
      <c r="AE592" t="str">
        <f>IF(AND(Audit_Data[[#This Row],[Year_Birth]]&gt;=1900,Audit_Data[[#This Row],[Year_Birth]]&lt;=2010),"OK","Invalid")</f>
        <v>OK</v>
      </c>
      <c r="AF592" t="str">
        <f t="shared" si="118"/>
        <v>Valid</v>
      </c>
      <c r="AG592" t="str">
        <f t="shared" si="119"/>
        <v>Valid</v>
      </c>
      <c r="AH592" t="str">
        <f t="shared" si="120"/>
        <v>Valid</v>
      </c>
      <c r="AI592" t="str">
        <f t="shared" si="121"/>
        <v>Valid</v>
      </c>
      <c r="AJ592" t="str">
        <f t="shared" si="122"/>
        <v>Valid</v>
      </c>
      <c r="AK592" t="str">
        <f t="shared" si="129"/>
        <v xml:space="preserve">Valid </v>
      </c>
      <c r="AL592" t="str">
        <f>IF(AND(Audit_Data[[#This Row],[Recency]]&gt;=0,Audit_Data[[#This Row],[Recency]]&lt;=100),"Valid","Invalid")</f>
        <v>Valid</v>
      </c>
      <c r="AM592" t="str">
        <f t="shared" si="123"/>
        <v>Valid</v>
      </c>
      <c r="AN592" t="str">
        <f t="shared" si="124"/>
        <v>Valid</v>
      </c>
      <c r="AO592" t="str">
        <f t="shared" si="125"/>
        <v>Valid</v>
      </c>
      <c r="AP592" t="str">
        <f t="shared" si="126"/>
        <v>Valid</v>
      </c>
      <c r="AQ592" t="str">
        <f>IF(Audit_Data[[#This Row],[Z_CostContact]]=3,"Valid","Invalid")</f>
        <v>Valid</v>
      </c>
      <c r="AR592" t="str">
        <f t="shared" si="127"/>
        <v>Valid</v>
      </c>
      <c r="AS592" t="str">
        <f t="shared" si="128"/>
        <v>Valid</v>
      </c>
    </row>
    <row r="593" spans="1:45" x14ac:dyDescent="0.3">
      <c r="A593">
        <v>7627</v>
      </c>
      <c r="B593">
        <v>1975</v>
      </c>
      <c r="C593" t="s">
        <v>34</v>
      </c>
      <c r="D593" t="s">
        <v>33</v>
      </c>
      <c r="E593">
        <v>92163</v>
      </c>
      <c r="F593">
        <v>0</v>
      </c>
      <c r="G593">
        <v>0</v>
      </c>
      <c r="H593" s="1">
        <v>41255</v>
      </c>
      <c r="I593">
        <v>25</v>
      </c>
      <c r="J593">
        <v>817</v>
      </c>
      <c r="K593">
        <v>183</v>
      </c>
      <c r="L593">
        <v>797</v>
      </c>
      <c r="M593">
        <v>106</v>
      </c>
      <c r="N593">
        <v>163</v>
      </c>
      <c r="O593">
        <v>20</v>
      </c>
      <c r="P593">
        <v>0</v>
      </c>
      <c r="Q593">
        <v>5</v>
      </c>
      <c r="R593">
        <v>11</v>
      </c>
      <c r="S593">
        <v>5</v>
      </c>
      <c r="T593">
        <v>2</v>
      </c>
      <c r="U593">
        <v>0</v>
      </c>
      <c r="V593">
        <v>0</v>
      </c>
      <c r="W593">
        <v>1</v>
      </c>
      <c r="X593">
        <v>1</v>
      </c>
      <c r="Y593">
        <v>0</v>
      </c>
      <c r="Z593">
        <v>0</v>
      </c>
      <c r="AA593">
        <v>3</v>
      </c>
      <c r="AB593">
        <v>11</v>
      </c>
      <c r="AC593">
        <v>1</v>
      </c>
      <c r="AD593" t="str">
        <f t="shared" si="117"/>
        <v>Ok</v>
      </c>
      <c r="AE593" t="str">
        <f>IF(AND(Audit_Data[[#This Row],[Year_Birth]]&gt;=1900,Audit_Data[[#This Row],[Year_Birth]]&lt;=2010),"OK","Invalid")</f>
        <v>OK</v>
      </c>
      <c r="AF593" t="str">
        <f t="shared" si="118"/>
        <v>Valid</v>
      </c>
      <c r="AG593" t="str">
        <f t="shared" si="119"/>
        <v>Valid</v>
      </c>
      <c r="AH593" t="str">
        <f t="shared" si="120"/>
        <v>Valid</v>
      </c>
      <c r="AI593" t="str">
        <f t="shared" si="121"/>
        <v>Valid</v>
      </c>
      <c r="AJ593" t="str">
        <f t="shared" si="122"/>
        <v>Valid</v>
      </c>
      <c r="AK593" t="str">
        <f t="shared" si="129"/>
        <v xml:space="preserve">Valid </v>
      </c>
      <c r="AL593" t="str">
        <f>IF(AND(Audit_Data[[#This Row],[Recency]]&gt;=0,Audit_Data[[#This Row],[Recency]]&lt;=100),"Valid","Invalid")</f>
        <v>Valid</v>
      </c>
      <c r="AM593" t="str">
        <f t="shared" si="123"/>
        <v>Valid</v>
      </c>
      <c r="AN593" t="str">
        <f t="shared" si="124"/>
        <v>Valid</v>
      </c>
      <c r="AO593" t="str">
        <f t="shared" si="125"/>
        <v>Valid</v>
      </c>
      <c r="AP593" t="str">
        <f t="shared" si="126"/>
        <v>Valid</v>
      </c>
      <c r="AQ593" t="str">
        <f>IF(Audit_Data[[#This Row],[Z_CostContact]]=3,"Valid","Invalid")</f>
        <v>Valid</v>
      </c>
      <c r="AR593" t="str">
        <f t="shared" si="127"/>
        <v>Valid</v>
      </c>
      <c r="AS593" t="str">
        <f t="shared" si="128"/>
        <v>Valid</v>
      </c>
    </row>
    <row r="594" spans="1:45" x14ac:dyDescent="0.3">
      <c r="A594">
        <v>4501</v>
      </c>
      <c r="B594">
        <v>1965</v>
      </c>
      <c r="C594" t="s">
        <v>34</v>
      </c>
      <c r="D594" t="s">
        <v>30</v>
      </c>
      <c r="E594">
        <v>69882</v>
      </c>
      <c r="F594">
        <v>0</v>
      </c>
      <c r="G594">
        <v>0</v>
      </c>
      <c r="H594" s="1">
        <v>41588</v>
      </c>
      <c r="I594">
        <v>94</v>
      </c>
      <c r="J594">
        <v>292</v>
      </c>
      <c r="K594">
        <v>127</v>
      </c>
      <c r="L594">
        <v>635</v>
      </c>
      <c r="M594">
        <v>132</v>
      </c>
      <c r="N594">
        <v>127</v>
      </c>
      <c r="O594">
        <v>165</v>
      </c>
      <c r="P594">
        <v>1</v>
      </c>
      <c r="Q594">
        <v>3</v>
      </c>
      <c r="R594">
        <v>7</v>
      </c>
      <c r="S594">
        <v>9</v>
      </c>
      <c r="T594">
        <v>1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3</v>
      </c>
      <c r="AB594">
        <v>11</v>
      </c>
      <c r="AC594">
        <v>0</v>
      </c>
      <c r="AD594" t="str">
        <f t="shared" si="117"/>
        <v>Ok</v>
      </c>
      <c r="AE594" t="str">
        <f>IF(AND(Audit_Data[[#This Row],[Year_Birth]]&gt;=1900,Audit_Data[[#This Row],[Year_Birth]]&lt;=2010),"OK","Invalid")</f>
        <v>OK</v>
      </c>
      <c r="AF594" t="str">
        <f t="shared" si="118"/>
        <v>Valid</v>
      </c>
      <c r="AG594" t="str">
        <f t="shared" si="119"/>
        <v>Valid</v>
      </c>
      <c r="AH594" t="str">
        <f t="shared" si="120"/>
        <v>Valid</v>
      </c>
      <c r="AI594" t="str">
        <f t="shared" si="121"/>
        <v>Valid</v>
      </c>
      <c r="AJ594" t="str">
        <f t="shared" si="122"/>
        <v>Valid</v>
      </c>
      <c r="AK594" t="str">
        <f t="shared" si="129"/>
        <v xml:space="preserve">Valid </v>
      </c>
      <c r="AL594" t="str">
        <f>IF(AND(Audit_Data[[#This Row],[Recency]]&gt;=0,Audit_Data[[#This Row],[Recency]]&lt;=100),"Valid","Invalid")</f>
        <v>Valid</v>
      </c>
      <c r="AM594" t="str">
        <f t="shared" si="123"/>
        <v>Valid</v>
      </c>
      <c r="AN594" t="str">
        <f t="shared" si="124"/>
        <v>Valid</v>
      </c>
      <c r="AO594" t="str">
        <f t="shared" si="125"/>
        <v>Valid</v>
      </c>
      <c r="AP594" t="str">
        <f t="shared" si="126"/>
        <v>Valid</v>
      </c>
      <c r="AQ594" t="str">
        <f>IF(Audit_Data[[#This Row],[Z_CostContact]]=3,"Valid","Invalid")</f>
        <v>Valid</v>
      </c>
      <c r="AR594" t="str">
        <f t="shared" si="127"/>
        <v>Valid</v>
      </c>
      <c r="AS594" t="str">
        <f t="shared" si="128"/>
        <v>Valid</v>
      </c>
    </row>
    <row r="595" spans="1:45" x14ac:dyDescent="0.3">
      <c r="A595">
        <v>6424</v>
      </c>
      <c r="B595">
        <v>1977</v>
      </c>
      <c r="C595" t="s">
        <v>29</v>
      </c>
      <c r="D595" t="s">
        <v>31</v>
      </c>
      <c r="E595">
        <v>33178</v>
      </c>
      <c r="F595">
        <v>1</v>
      </c>
      <c r="G595">
        <v>0</v>
      </c>
      <c r="H595" s="1">
        <v>41669</v>
      </c>
      <c r="I595">
        <v>9</v>
      </c>
      <c r="J595">
        <v>12</v>
      </c>
      <c r="K595">
        <v>6</v>
      </c>
      <c r="L595">
        <v>2</v>
      </c>
      <c r="M595">
        <v>11</v>
      </c>
      <c r="N595">
        <v>2</v>
      </c>
      <c r="O595">
        <v>16</v>
      </c>
      <c r="P595">
        <v>1</v>
      </c>
      <c r="Q595">
        <v>1</v>
      </c>
      <c r="R595">
        <v>0</v>
      </c>
      <c r="S595">
        <v>3</v>
      </c>
      <c r="T595">
        <v>4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3</v>
      </c>
      <c r="AB595">
        <v>11</v>
      </c>
      <c r="AC595">
        <v>0</v>
      </c>
      <c r="AD595" t="str">
        <f t="shared" si="117"/>
        <v>Ok</v>
      </c>
      <c r="AE595" t="str">
        <f>IF(AND(Audit_Data[[#This Row],[Year_Birth]]&gt;=1900,Audit_Data[[#This Row],[Year_Birth]]&lt;=2010),"OK","Invalid")</f>
        <v>OK</v>
      </c>
      <c r="AF595" t="str">
        <f t="shared" si="118"/>
        <v>Valid</v>
      </c>
      <c r="AG595" t="str">
        <f t="shared" si="119"/>
        <v>Valid</v>
      </c>
      <c r="AH595" t="str">
        <f t="shared" si="120"/>
        <v>Valid</v>
      </c>
      <c r="AI595" t="str">
        <f t="shared" si="121"/>
        <v>Valid</v>
      </c>
      <c r="AJ595" t="str">
        <f t="shared" si="122"/>
        <v>Valid</v>
      </c>
      <c r="AK595" t="str">
        <f t="shared" si="129"/>
        <v xml:space="preserve">Valid </v>
      </c>
      <c r="AL595" t="str">
        <f>IF(AND(Audit_Data[[#This Row],[Recency]]&gt;=0,Audit_Data[[#This Row],[Recency]]&lt;=100),"Valid","Invalid")</f>
        <v>Valid</v>
      </c>
      <c r="AM595" t="str">
        <f t="shared" si="123"/>
        <v>Valid</v>
      </c>
      <c r="AN595" t="str">
        <f t="shared" si="124"/>
        <v>Valid</v>
      </c>
      <c r="AO595" t="str">
        <f t="shared" si="125"/>
        <v>Valid</v>
      </c>
      <c r="AP595" t="str">
        <f t="shared" si="126"/>
        <v>Valid</v>
      </c>
      <c r="AQ595" t="str">
        <f>IF(Audit_Data[[#This Row],[Z_CostContact]]=3,"Valid","Invalid")</f>
        <v>Valid</v>
      </c>
      <c r="AR595" t="str">
        <f t="shared" si="127"/>
        <v>Valid</v>
      </c>
      <c r="AS595" t="str">
        <f t="shared" si="128"/>
        <v>Valid</v>
      </c>
    </row>
    <row r="596" spans="1:45" x14ac:dyDescent="0.3">
      <c r="A596">
        <v>3075</v>
      </c>
      <c r="B596">
        <v>1972</v>
      </c>
      <c r="C596" t="s">
        <v>32</v>
      </c>
      <c r="D596" t="s">
        <v>33</v>
      </c>
      <c r="E596">
        <v>59973</v>
      </c>
      <c r="F596">
        <v>0</v>
      </c>
      <c r="G596">
        <v>0</v>
      </c>
      <c r="H596" s="1">
        <v>41528</v>
      </c>
      <c r="I596">
        <v>47</v>
      </c>
      <c r="J596">
        <v>130</v>
      </c>
      <c r="K596">
        <v>30</v>
      </c>
      <c r="L596">
        <v>168</v>
      </c>
      <c r="M596">
        <v>20</v>
      </c>
      <c r="N596">
        <v>34</v>
      </c>
      <c r="O596">
        <v>0</v>
      </c>
      <c r="P596">
        <v>1</v>
      </c>
      <c r="Q596">
        <v>3</v>
      </c>
      <c r="R596">
        <v>4</v>
      </c>
      <c r="S596">
        <v>7</v>
      </c>
      <c r="T596">
        <v>1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3</v>
      </c>
      <c r="AB596">
        <v>11</v>
      </c>
      <c r="AC596">
        <v>0</v>
      </c>
      <c r="AD596" t="str">
        <f t="shared" si="117"/>
        <v>Ok</v>
      </c>
      <c r="AE596" t="str">
        <f>IF(AND(Audit_Data[[#This Row],[Year_Birth]]&gt;=1900,Audit_Data[[#This Row],[Year_Birth]]&lt;=2010),"OK","Invalid")</f>
        <v>OK</v>
      </c>
      <c r="AF596" t="str">
        <f t="shared" si="118"/>
        <v>Valid</v>
      </c>
      <c r="AG596" t="str">
        <f t="shared" si="119"/>
        <v>Valid</v>
      </c>
      <c r="AH596" t="str">
        <f t="shared" si="120"/>
        <v>Valid</v>
      </c>
      <c r="AI596" t="str">
        <f t="shared" si="121"/>
        <v>Valid</v>
      </c>
      <c r="AJ596" t="str">
        <f t="shared" si="122"/>
        <v>Valid</v>
      </c>
      <c r="AK596" t="str">
        <f t="shared" si="129"/>
        <v xml:space="preserve">Valid </v>
      </c>
      <c r="AL596" t="str">
        <f>IF(AND(Audit_Data[[#This Row],[Recency]]&gt;=0,Audit_Data[[#This Row],[Recency]]&lt;=100),"Valid","Invalid")</f>
        <v>Valid</v>
      </c>
      <c r="AM596" t="str">
        <f t="shared" si="123"/>
        <v>Valid</v>
      </c>
      <c r="AN596" t="str">
        <f t="shared" si="124"/>
        <v>Valid</v>
      </c>
      <c r="AO596" t="str">
        <f t="shared" si="125"/>
        <v>Valid</v>
      </c>
      <c r="AP596" t="str">
        <f t="shared" si="126"/>
        <v>Valid</v>
      </c>
      <c r="AQ596" t="str">
        <f>IF(Audit_Data[[#This Row],[Z_CostContact]]=3,"Valid","Invalid")</f>
        <v>Valid</v>
      </c>
      <c r="AR596" t="str">
        <f t="shared" si="127"/>
        <v>Valid</v>
      </c>
      <c r="AS596" t="str">
        <f t="shared" si="128"/>
        <v>Valid</v>
      </c>
    </row>
    <row r="597" spans="1:45" x14ac:dyDescent="0.3">
      <c r="A597">
        <v>4992</v>
      </c>
      <c r="B597">
        <v>1975</v>
      </c>
      <c r="C597" t="s">
        <v>34</v>
      </c>
      <c r="D597" t="s">
        <v>31</v>
      </c>
      <c r="E597">
        <v>17459</v>
      </c>
      <c r="F597">
        <v>1</v>
      </c>
      <c r="G597">
        <v>0</v>
      </c>
      <c r="H597" s="1">
        <v>41536</v>
      </c>
      <c r="I597">
        <v>12</v>
      </c>
      <c r="J597">
        <v>6</v>
      </c>
      <c r="K597">
        <v>4</v>
      </c>
      <c r="L597">
        <v>16</v>
      </c>
      <c r="M597">
        <v>3</v>
      </c>
      <c r="N597">
        <v>10</v>
      </c>
      <c r="O597">
        <v>30</v>
      </c>
      <c r="P597">
        <v>3</v>
      </c>
      <c r="Q597">
        <v>3</v>
      </c>
      <c r="R597">
        <v>1</v>
      </c>
      <c r="S597">
        <v>2</v>
      </c>
      <c r="T597">
        <v>7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3</v>
      </c>
      <c r="AB597">
        <v>11</v>
      </c>
      <c r="AC597">
        <v>1</v>
      </c>
      <c r="AD597" t="str">
        <f t="shared" si="117"/>
        <v>Ok</v>
      </c>
      <c r="AE597" t="str">
        <f>IF(AND(Audit_Data[[#This Row],[Year_Birth]]&gt;=1900,Audit_Data[[#This Row],[Year_Birth]]&lt;=2010),"OK","Invalid")</f>
        <v>OK</v>
      </c>
      <c r="AF597" t="str">
        <f t="shared" si="118"/>
        <v>Valid</v>
      </c>
      <c r="AG597" t="str">
        <f t="shared" si="119"/>
        <v>Valid</v>
      </c>
      <c r="AH597" t="str">
        <f t="shared" si="120"/>
        <v>Valid</v>
      </c>
      <c r="AI597" t="str">
        <f t="shared" si="121"/>
        <v>Valid</v>
      </c>
      <c r="AJ597" t="str">
        <f t="shared" si="122"/>
        <v>Valid</v>
      </c>
      <c r="AK597" t="str">
        <f t="shared" si="129"/>
        <v xml:space="preserve">Valid </v>
      </c>
      <c r="AL597" t="str">
        <f>IF(AND(Audit_Data[[#This Row],[Recency]]&gt;=0,Audit_Data[[#This Row],[Recency]]&lt;=100),"Valid","Invalid")</f>
        <v>Valid</v>
      </c>
      <c r="AM597" t="str">
        <f t="shared" si="123"/>
        <v>Valid</v>
      </c>
      <c r="AN597" t="str">
        <f t="shared" si="124"/>
        <v>Valid</v>
      </c>
      <c r="AO597" t="str">
        <f t="shared" si="125"/>
        <v>Valid</v>
      </c>
      <c r="AP597" t="str">
        <f t="shared" si="126"/>
        <v>Valid</v>
      </c>
      <c r="AQ597" t="str">
        <f>IF(Audit_Data[[#This Row],[Z_CostContact]]=3,"Valid","Invalid")</f>
        <v>Valid</v>
      </c>
      <c r="AR597" t="str">
        <f t="shared" si="127"/>
        <v>Valid</v>
      </c>
      <c r="AS597" t="str">
        <f t="shared" si="128"/>
        <v>Valid</v>
      </c>
    </row>
    <row r="598" spans="1:45" x14ac:dyDescent="0.3">
      <c r="A598">
        <v>5252</v>
      </c>
      <c r="B598">
        <v>1969</v>
      </c>
      <c r="C598" t="s">
        <v>29</v>
      </c>
      <c r="D598" t="s">
        <v>35</v>
      </c>
      <c r="E598">
        <v>23910</v>
      </c>
      <c r="F598">
        <v>1</v>
      </c>
      <c r="G598">
        <v>0</v>
      </c>
      <c r="H598" s="1">
        <v>41208</v>
      </c>
      <c r="I598">
        <v>80</v>
      </c>
      <c r="J598">
        <v>16</v>
      </c>
      <c r="K598">
        <v>12</v>
      </c>
      <c r="L598">
        <v>18</v>
      </c>
      <c r="M598">
        <v>7</v>
      </c>
      <c r="N598">
        <v>1</v>
      </c>
      <c r="O598">
        <v>13</v>
      </c>
      <c r="P598">
        <v>1</v>
      </c>
      <c r="Q598">
        <v>2</v>
      </c>
      <c r="R598">
        <v>0</v>
      </c>
      <c r="S598">
        <v>3</v>
      </c>
      <c r="T598">
        <v>7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3</v>
      </c>
      <c r="AB598">
        <v>11</v>
      </c>
      <c r="AC598">
        <v>0</v>
      </c>
      <c r="AD598" t="str">
        <f t="shared" si="117"/>
        <v>Ok</v>
      </c>
      <c r="AE598" t="str">
        <f>IF(AND(Audit_Data[[#This Row],[Year_Birth]]&gt;=1900,Audit_Data[[#This Row],[Year_Birth]]&lt;=2010),"OK","Invalid")</f>
        <v>OK</v>
      </c>
      <c r="AF598" t="str">
        <f t="shared" si="118"/>
        <v>Valid</v>
      </c>
      <c r="AG598" t="str">
        <f t="shared" si="119"/>
        <v>Valid</v>
      </c>
      <c r="AH598" t="str">
        <f t="shared" si="120"/>
        <v>Valid</v>
      </c>
      <c r="AI598" t="str">
        <f t="shared" si="121"/>
        <v>Valid</v>
      </c>
      <c r="AJ598" t="str">
        <f t="shared" si="122"/>
        <v>Valid</v>
      </c>
      <c r="AK598" t="str">
        <f t="shared" si="129"/>
        <v xml:space="preserve">Valid </v>
      </c>
      <c r="AL598" t="str">
        <f>IF(AND(Audit_Data[[#This Row],[Recency]]&gt;=0,Audit_Data[[#This Row],[Recency]]&lt;=100),"Valid","Invalid")</f>
        <v>Valid</v>
      </c>
      <c r="AM598" t="str">
        <f t="shared" si="123"/>
        <v>Valid</v>
      </c>
      <c r="AN598" t="str">
        <f t="shared" si="124"/>
        <v>Valid</v>
      </c>
      <c r="AO598" t="str">
        <f t="shared" si="125"/>
        <v>Valid</v>
      </c>
      <c r="AP598" t="str">
        <f t="shared" si="126"/>
        <v>Valid</v>
      </c>
      <c r="AQ598" t="str">
        <f>IF(Audit_Data[[#This Row],[Z_CostContact]]=3,"Valid","Invalid")</f>
        <v>Valid</v>
      </c>
      <c r="AR598" t="str">
        <f t="shared" si="127"/>
        <v>Valid</v>
      </c>
      <c r="AS598" t="str">
        <f t="shared" si="128"/>
        <v>Valid</v>
      </c>
    </row>
    <row r="599" spans="1:45" x14ac:dyDescent="0.3">
      <c r="A599">
        <v>7444</v>
      </c>
      <c r="B599">
        <v>1969</v>
      </c>
      <c r="C599" t="s">
        <v>34</v>
      </c>
      <c r="D599" t="s">
        <v>33</v>
      </c>
      <c r="E599">
        <v>42169</v>
      </c>
      <c r="F599">
        <v>1</v>
      </c>
      <c r="G599">
        <v>1</v>
      </c>
      <c r="H599" s="1">
        <v>41566</v>
      </c>
      <c r="I599">
        <v>20</v>
      </c>
      <c r="J599">
        <v>19</v>
      </c>
      <c r="K599">
        <v>0</v>
      </c>
      <c r="L599">
        <v>9</v>
      </c>
      <c r="M599">
        <v>0</v>
      </c>
      <c r="N599">
        <v>0</v>
      </c>
      <c r="O599">
        <v>2</v>
      </c>
      <c r="P599">
        <v>2</v>
      </c>
      <c r="Q599">
        <v>1</v>
      </c>
      <c r="R599">
        <v>0</v>
      </c>
      <c r="S599">
        <v>3</v>
      </c>
      <c r="T599">
        <v>8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3</v>
      </c>
      <c r="AB599">
        <v>11</v>
      </c>
      <c r="AC599">
        <v>0</v>
      </c>
      <c r="AD599" t="str">
        <f t="shared" si="117"/>
        <v>Ok</v>
      </c>
      <c r="AE599" t="str">
        <f>IF(AND(Audit_Data[[#This Row],[Year_Birth]]&gt;=1900,Audit_Data[[#This Row],[Year_Birth]]&lt;=2010),"OK","Invalid")</f>
        <v>OK</v>
      </c>
      <c r="AF599" t="str">
        <f t="shared" si="118"/>
        <v>Valid</v>
      </c>
      <c r="AG599" t="str">
        <f t="shared" si="119"/>
        <v>Valid</v>
      </c>
      <c r="AH599" t="str">
        <f t="shared" si="120"/>
        <v>Valid</v>
      </c>
      <c r="AI599" t="str">
        <f t="shared" si="121"/>
        <v>Valid</v>
      </c>
      <c r="AJ599" t="str">
        <f t="shared" si="122"/>
        <v>Valid</v>
      </c>
      <c r="AK599" t="str">
        <f t="shared" si="129"/>
        <v xml:space="preserve">Valid </v>
      </c>
      <c r="AL599" t="str">
        <f>IF(AND(Audit_Data[[#This Row],[Recency]]&gt;=0,Audit_Data[[#This Row],[Recency]]&lt;=100),"Valid","Invalid")</f>
        <v>Valid</v>
      </c>
      <c r="AM599" t="str">
        <f t="shared" si="123"/>
        <v>Valid</v>
      </c>
      <c r="AN599" t="str">
        <f t="shared" si="124"/>
        <v>Valid</v>
      </c>
      <c r="AO599" t="str">
        <f t="shared" si="125"/>
        <v>Valid</v>
      </c>
      <c r="AP599" t="str">
        <f t="shared" si="126"/>
        <v>Valid</v>
      </c>
      <c r="AQ599" t="str">
        <f>IF(Audit_Data[[#This Row],[Z_CostContact]]=3,"Valid","Invalid")</f>
        <v>Valid</v>
      </c>
      <c r="AR599" t="str">
        <f t="shared" si="127"/>
        <v>Valid</v>
      </c>
      <c r="AS599" t="str">
        <f t="shared" si="128"/>
        <v>Valid</v>
      </c>
    </row>
    <row r="600" spans="1:45" x14ac:dyDescent="0.3">
      <c r="A600">
        <v>6919</v>
      </c>
      <c r="B600">
        <v>1978</v>
      </c>
      <c r="C600" t="s">
        <v>37</v>
      </c>
      <c r="D600" t="s">
        <v>33</v>
      </c>
      <c r="E600">
        <v>26224</v>
      </c>
      <c r="F600">
        <v>1</v>
      </c>
      <c r="G600">
        <v>0</v>
      </c>
      <c r="H600" s="1">
        <v>41429</v>
      </c>
      <c r="I600">
        <v>39</v>
      </c>
      <c r="J600">
        <v>4</v>
      </c>
      <c r="K600">
        <v>7</v>
      </c>
      <c r="L600">
        <v>15</v>
      </c>
      <c r="M600">
        <v>13</v>
      </c>
      <c r="N600">
        <v>9</v>
      </c>
      <c r="O600">
        <v>15</v>
      </c>
      <c r="P600">
        <v>3</v>
      </c>
      <c r="Q600">
        <v>2</v>
      </c>
      <c r="R600">
        <v>1</v>
      </c>
      <c r="S600">
        <v>3</v>
      </c>
      <c r="T600">
        <v>6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3</v>
      </c>
      <c r="AB600">
        <v>11</v>
      </c>
      <c r="AC600">
        <v>0</v>
      </c>
      <c r="AD600" t="str">
        <f t="shared" si="117"/>
        <v>Ok</v>
      </c>
      <c r="AE600" t="str">
        <f>IF(AND(Audit_Data[[#This Row],[Year_Birth]]&gt;=1900,Audit_Data[[#This Row],[Year_Birth]]&lt;=2010),"OK","Invalid")</f>
        <v>OK</v>
      </c>
      <c r="AF600" t="str">
        <f t="shared" si="118"/>
        <v>Valid</v>
      </c>
      <c r="AG600" t="str">
        <f t="shared" si="119"/>
        <v>Valid</v>
      </c>
      <c r="AH600" t="str">
        <f t="shared" si="120"/>
        <v>Valid</v>
      </c>
      <c r="AI600" t="str">
        <f t="shared" si="121"/>
        <v>Valid</v>
      </c>
      <c r="AJ600" t="str">
        <f t="shared" si="122"/>
        <v>Valid</v>
      </c>
      <c r="AK600" t="str">
        <f t="shared" si="129"/>
        <v xml:space="preserve">Valid </v>
      </c>
      <c r="AL600" t="str">
        <f>IF(AND(Audit_Data[[#This Row],[Recency]]&gt;=0,Audit_Data[[#This Row],[Recency]]&lt;=100),"Valid","Invalid")</f>
        <v>Valid</v>
      </c>
      <c r="AM600" t="str">
        <f t="shared" si="123"/>
        <v>Valid</v>
      </c>
      <c r="AN600" t="str">
        <f t="shared" si="124"/>
        <v>Valid</v>
      </c>
      <c r="AO600" t="str">
        <f t="shared" si="125"/>
        <v>Valid</v>
      </c>
      <c r="AP600" t="str">
        <f t="shared" si="126"/>
        <v>Valid</v>
      </c>
      <c r="AQ600" t="str">
        <f>IF(Audit_Data[[#This Row],[Z_CostContact]]=3,"Valid","Invalid")</f>
        <v>Valid</v>
      </c>
      <c r="AR600" t="str">
        <f t="shared" si="127"/>
        <v>Valid</v>
      </c>
      <c r="AS600" t="str">
        <f t="shared" si="128"/>
        <v>Valid</v>
      </c>
    </row>
    <row r="601" spans="1:45" x14ac:dyDescent="0.3">
      <c r="A601">
        <v>3537</v>
      </c>
      <c r="B601">
        <v>1981</v>
      </c>
      <c r="C601" t="s">
        <v>29</v>
      </c>
      <c r="D601" t="s">
        <v>31</v>
      </c>
      <c r="E601">
        <v>31089</v>
      </c>
      <c r="F601">
        <v>1</v>
      </c>
      <c r="G601">
        <v>0</v>
      </c>
      <c r="H601" s="1">
        <v>41138</v>
      </c>
      <c r="I601">
        <v>57</v>
      </c>
      <c r="J601">
        <v>31</v>
      </c>
      <c r="K601">
        <v>3</v>
      </c>
      <c r="L601">
        <v>31</v>
      </c>
      <c r="M601">
        <v>2</v>
      </c>
      <c r="N601">
        <v>8</v>
      </c>
      <c r="O601">
        <v>4</v>
      </c>
      <c r="P601">
        <v>3</v>
      </c>
      <c r="Q601">
        <v>3</v>
      </c>
      <c r="R601">
        <v>0</v>
      </c>
      <c r="S601">
        <v>4</v>
      </c>
      <c r="T601">
        <v>8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3</v>
      </c>
      <c r="AB601">
        <v>11</v>
      </c>
      <c r="AC601">
        <v>0</v>
      </c>
      <c r="AD601" t="str">
        <f t="shared" si="117"/>
        <v>Ok</v>
      </c>
      <c r="AE601" t="str">
        <f>IF(AND(Audit_Data[[#This Row],[Year_Birth]]&gt;=1900,Audit_Data[[#This Row],[Year_Birth]]&lt;=2010),"OK","Invalid")</f>
        <v>OK</v>
      </c>
      <c r="AF601" t="str">
        <f t="shared" si="118"/>
        <v>Valid</v>
      </c>
      <c r="AG601" t="str">
        <f t="shared" si="119"/>
        <v>Valid</v>
      </c>
      <c r="AH601" t="str">
        <f t="shared" si="120"/>
        <v>Valid</v>
      </c>
      <c r="AI601" t="str">
        <f t="shared" si="121"/>
        <v>Valid</v>
      </c>
      <c r="AJ601" t="str">
        <f t="shared" si="122"/>
        <v>Valid</v>
      </c>
      <c r="AK601" t="str">
        <f t="shared" si="129"/>
        <v xml:space="preserve">Valid </v>
      </c>
      <c r="AL601" t="str">
        <f>IF(AND(Audit_Data[[#This Row],[Recency]]&gt;=0,Audit_Data[[#This Row],[Recency]]&lt;=100),"Valid","Invalid")</f>
        <v>Valid</v>
      </c>
      <c r="AM601" t="str">
        <f t="shared" si="123"/>
        <v>Valid</v>
      </c>
      <c r="AN601" t="str">
        <f t="shared" si="124"/>
        <v>Valid</v>
      </c>
      <c r="AO601" t="str">
        <f t="shared" si="125"/>
        <v>Valid</v>
      </c>
      <c r="AP601" t="str">
        <f t="shared" si="126"/>
        <v>Valid</v>
      </c>
      <c r="AQ601" t="str">
        <f>IF(Audit_Data[[#This Row],[Z_CostContact]]=3,"Valid","Invalid")</f>
        <v>Valid</v>
      </c>
      <c r="AR601" t="str">
        <f t="shared" si="127"/>
        <v>Valid</v>
      </c>
      <c r="AS601" t="str">
        <f t="shared" si="128"/>
        <v>Valid</v>
      </c>
    </row>
    <row r="602" spans="1:45" x14ac:dyDescent="0.3">
      <c r="A602">
        <v>10277</v>
      </c>
      <c r="B602">
        <v>1961</v>
      </c>
      <c r="C602" t="s">
        <v>29</v>
      </c>
      <c r="D602" t="s">
        <v>30</v>
      </c>
      <c r="E602">
        <v>30081</v>
      </c>
      <c r="F602">
        <v>0</v>
      </c>
      <c r="G602">
        <v>1</v>
      </c>
      <c r="H602" s="1">
        <v>41326</v>
      </c>
      <c r="I602">
        <v>27</v>
      </c>
      <c r="J602">
        <v>36</v>
      </c>
      <c r="K602">
        <v>0</v>
      </c>
      <c r="L602">
        <v>2</v>
      </c>
      <c r="M602">
        <v>0</v>
      </c>
      <c r="N602">
        <v>0</v>
      </c>
      <c r="O602">
        <v>4</v>
      </c>
      <c r="P602">
        <v>1</v>
      </c>
      <c r="Q602">
        <v>1</v>
      </c>
      <c r="R602">
        <v>0</v>
      </c>
      <c r="S602">
        <v>3</v>
      </c>
      <c r="T602">
        <v>7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3</v>
      </c>
      <c r="AB602">
        <v>11</v>
      </c>
      <c r="AC602">
        <v>0</v>
      </c>
      <c r="AD602" t="str">
        <f t="shared" si="117"/>
        <v>Ok</v>
      </c>
      <c r="AE602" t="str">
        <f>IF(AND(Audit_Data[[#This Row],[Year_Birth]]&gt;=1900,Audit_Data[[#This Row],[Year_Birth]]&lt;=2010),"OK","Invalid")</f>
        <v>OK</v>
      </c>
      <c r="AF602" t="str">
        <f t="shared" si="118"/>
        <v>Valid</v>
      </c>
      <c r="AG602" t="str">
        <f t="shared" si="119"/>
        <v>Valid</v>
      </c>
      <c r="AH602" t="str">
        <f t="shared" si="120"/>
        <v>Valid</v>
      </c>
      <c r="AI602" t="str">
        <f t="shared" si="121"/>
        <v>Valid</v>
      </c>
      <c r="AJ602" t="str">
        <f t="shared" si="122"/>
        <v>Valid</v>
      </c>
      <c r="AK602" t="str">
        <f t="shared" si="129"/>
        <v xml:space="preserve">Valid </v>
      </c>
      <c r="AL602" t="str">
        <f>IF(AND(Audit_Data[[#This Row],[Recency]]&gt;=0,Audit_Data[[#This Row],[Recency]]&lt;=100),"Valid","Invalid")</f>
        <v>Valid</v>
      </c>
      <c r="AM602" t="str">
        <f t="shared" si="123"/>
        <v>Valid</v>
      </c>
      <c r="AN602" t="str">
        <f t="shared" si="124"/>
        <v>Valid</v>
      </c>
      <c r="AO602" t="str">
        <f t="shared" si="125"/>
        <v>Valid</v>
      </c>
      <c r="AP602" t="str">
        <f t="shared" si="126"/>
        <v>Valid</v>
      </c>
      <c r="AQ602" t="str">
        <f>IF(Audit_Data[[#This Row],[Z_CostContact]]=3,"Valid","Invalid")</f>
        <v>Valid</v>
      </c>
      <c r="AR602" t="str">
        <f t="shared" si="127"/>
        <v>Valid</v>
      </c>
      <c r="AS602" t="str">
        <f t="shared" si="128"/>
        <v>Valid</v>
      </c>
    </row>
    <row r="603" spans="1:45" x14ac:dyDescent="0.3">
      <c r="A603">
        <v>2453</v>
      </c>
      <c r="B603">
        <v>1960</v>
      </c>
      <c r="C603" t="s">
        <v>29</v>
      </c>
      <c r="D603" t="s">
        <v>31</v>
      </c>
      <c r="E603">
        <v>62807</v>
      </c>
      <c r="F603">
        <v>0</v>
      </c>
      <c r="G603">
        <v>1</v>
      </c>
      <c r="H603" s="1">
        <v>41152</v>
      </c>
      <c r="I603">
        <v>83</v>
      </c>
      <c r="J603">
        <v>526</v>
      </c>
      <c r="K603">
        <v>28</v>
      </c>
      <c r="L603">
        <v>135</v>
      </c>
      <c r="M603">
        <v>10</v>
      </c>
      <c r="N603">
        <v>21</v>
      </c>
      <c r="O603">
        <v>99</v>
      </c>
      <c r="P603">
        <v>3</v>
      </c>
      <c r="Q603">
        <v>5</v>
      </c>
      <c r="R603">
        <v>3</v>
      </c>
      <c r="S603">
        <v>12</v>
      </c>
      <c r="T603">
        <v>5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3</v>
      </c>
      <c r="AB603">
        <v>11</v>
      </c>
      <c r="AC603">
        <v>0</v>
      </c>
      <c r="AD603" t="str">
        <f t="shared" si="117"/>
        <v>Ok</v>
      </c>
      <c r="AE603" t="str">
        <f>IF(AND(Audit_Data[[#This Row],[Year_Birth]]&gt;=1900,Audit_Data[[#This Row],[Year_Birth]]&lt;=2010),"OK","Invalid")</f>
        <v>OK</v>
      </c>
      <c r="AF603" t="str">
        <f t="shared" si="118"/>
        <v>Valid</v>
      </c>
      <c r="AG603" t="str">
        <f t="shared" si="119"/>
        <v>Valid</v>
      </c>
      <c r="AH603" t="str">
        <f t="shared" si="120"/>
        <v>Valid</v>
      </c>
      <c r="AI603" t="str">
        <f t="shared" si="121"/>
        <v>Valid</v>
      </c>
      <c r="AJ603" t="str">
        <f t="shared" si="122"/>
        <v>Valid</v>
      </c>
      <c r="AK603" t="str">
        <f t="shared" si="129"/>
        <v xml:space="preserve">Valid </v>
      </c>
      <c r="AL603" t="str">
        <f>IF(AND(Audit_Data[[#This Row],[Recency]]&gt;=0,Audit_Data[[#This Row],[Recency]]&lt;=100),"Valid","Invalid")</f>
        <v>Valid</v>
      </c>
      <c r="AM603" t="str">
        <f t="shared" si="123"/>
        <v>Valid</v>
      </c>
      <c r="AN603" t="str">
        <f t="shared" si="124"/>
        <v>Valid</v>
      </c>
      <c r="AO603" t="str">
        <f t="shared" si="125"/>
        <v>Valid</v>
      </c>
      <c r="AP603" t="str">
        <f t="shared" si="126"/>
        <v>Valid</v>
      </c>
      <c r="AQ603" t="str">
        <f>IF(Audit_Data[[#This Row],[Z_CostContact]]=3,"Valid","Invalid")</f>
        <v>Valid</v>
      </c>
      <c r="AR603" t="str">
        <f t="shared" si="127"/>
        <v>Valid</v>
      </c>
      <c r="AS603" t="str">
        <f t="shared" si="128"/>
        <v>Valid</v>
      </c>
    </row>
    <row r="604" spans="1:45" x14ac:dyDescent="0.3">
      <c r="A604">
        <v>7972</v>
      </c>
      <c r="B604">
        <v>1955</v>
      </c>
      <c r="C604" t="s">
        <v>29</v>
      </c>
      <c r="D604" t="s">
        <v>30</v>
      </c>
      <c r="E604">
        <v>72906</v>
      </c>
      <c r="F604">
        <v>0</v>
      </c>
      <c r="G604">
        <v>0</v>
      </c>
      <c r="H604" s="1">
        <v>41534</v>
      </c>
      <c r="I604">
        <v>79</v>
      </c>
      <c r="J604">
        <v>400</v>
      </c>
      <c r="K604">
        <v>32</v>
      </c>
      <c r="L604">
        <v>519</v>
      </c>
      <c r="M604">
        <v>71</v>
      </c>
      <c r="N604">
        <v>75</v>
      </c>
      <c r="O604">
        <v>54</v>
      </c>
      <c r="P604">
        <v>1</v>
      </c>
      <c r="Q604">
        <v>3</v>
      </c>
      <c r="R604">
        <v>4</v>
      </c>
      <c r="S604">
        <v>9</v>
      </c>
      <c r="T604">
        <v>1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3</v>
      </c>
      <c r="AB604">
        <v>11</v>
      </c>
      <c r="AC604">
        <v>0</v>
      </c>
      <c r="AD604" t="str">
        <f t="shared" si="117"/>
        <v>Ok</v>
      </c>
      <c r="AE604" t="str">
        <f>IF(AND(Audit_Data[[#This Row],[Year_Birth]]&gt;=1900,Audit_Data[[#This Row],[Year_Birth]]&lt;=2010),"OK","Invalid")</f>
        <v>OK</v>
      </c>
      <c r="AF604" t="str">
        <f t="shared" si="118"/>
        <v>Valid</v>
      </c>
      <c r="AG604" t="str">
        <f t="shared" si="119"/>
        <v>Valid</v>
      </c>
      <c r="AH604" t="str">
        <f t="shared" si="120"/>
        <v>Valid</v>
      </c>
      <c r="AI604" t="str">
        <f t="shared" si="121"/>
        <v>Valid</v>
      </c>
      <c r="AJ604" t="str">
        <f t="shared" si="122"/>
        <v>Valid</v>
      </c>
      <c r="AK604" t="str">
        <f t="shared" si="129"/>
        <v xml:space="preserve">Valid </v>
      </c>
      <c r="AL604" t="str">
        <f>IF(AND(Audit_Data[[#This Row],[Recency]]&gt;=0,Audit_Data[[#This Row],[Recency]]&lt;=100),"Valid","Invalid")</f>
        <v>Valid</v>
      </c>
      <c r="AM604" t="str">
        <f t="shared" si="123"/>
        <v>Valid</v>
      </c>
      <c r="AN604" t="str">
        <f t="shared" si="124"/>
        <v>Valid</v>
      </c>
      <c r="AO604" t="str">
        <f t="shared" si="125"/>
        <v>Valid</v>
      </c>
      <c r="AP604" t="str">
        <f t="shared" si="126"/>
        <v>Valid</v>
      </c>
      <c r="AQ604" t="str">
        <f>IF(Audit_Data[[#This Row],[Z_CostContact]]=3,"Valid","Invalid")</f>
        <v>Valid</v>
      </c>
      <c r="AR604" t="str">
        <f t="shared" si="127"/>
        <v>Valid</v>
      </c>
      <c r="AS604" t="str">
        <f t="shared" si="128"/>
        <v>Valid</v>
      </c>
    </row>
    <row r="605" spans="1:45" x14ac:dyDescent="0.3">
      <c r="A605">
        <v>895</v>
      </c>
      <c r="B605">
        <v>1948</v>
      </c>
      <c r="C605" t="s">
        <v>32</v>
      </c>
      <c r="D605" t="s">
        <v>33</v>
      </c>
      <c r="E605">
        <v>61467</v>
      </c>
      <c r="F605">
        <v>0</v>
      </c>
      <c r="G605">
        <v>2</v>
      </c>
      <c r="H605" s="1">
        <v>41252</v>
      </c>
      <c r="I605">
        <v>69</v>
      </c>
      <c r="J605">
        <v>410</v>
      </c>
      <c r="K605">
        <v>16</v>
      </c>
      <c r="L605">
        <v>114</v>
      </c>
      <c r="M605">
        <v>0</v>
      </c>
      <c r="N605">
        <v>5</v>
      </c>
      <c r="O605">
        <v>49</v>
      </c>
      <c r="P605">
        <v>3</v>
      </c>
      <c r="Q605">
        <v>5</v>
      </c>
      <c r="R605">
        <v>2</v>
      </c>
      <c r="S605">
        <v>10</v>
      </c>
      <c r="T605">
        <v>5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3</v>
      </c>
      <c r="AB605">
        <v>11</v>
      </c>
      <c r="AC605">
        <v>0</v>
      </c>
      <c r="AD605" t="str">
        <f t="shared" si="117"/>
        <v>Ok</v>
      </c>
      <c r="AE605" t="str">
        <f>IF(AND(Audit_Data[[#This Row],[Year_Birth]]&gt;=1900,Audit_Data[[#This Row],[Year_Birth]]&lt;=2010),"OK","Invalid")</f>
        <v>OK</v>
      </c>
      <c r="AF605" t="str">
        <f t="shared" si="118"/>
        <v>Valid</v>
      </c>
      <c r="AG605" t="str">
        <f t="shared" si="119"/>
        <v>Valid</v>
      </c>
      <c r="AH605" t="str">
        <f t="shared" si="120"/>
        <v>Valid</v>
      </c>
      <c r="AI605" t="str">
        <f t="shared" si="121"/>
        <v>Valid</v>
      </c>
      <c r="AJ605" t="str">
        <f t="shared" si="122"/>
        <v>Valid</v>
      </c>
      <c r="AK605" t="str">
        <f t="shared" si="129"/>
        <v xml:space="preserve">Valid </v>
      </c>
      <c r="AL605" t="str">
        <f>IF(AND(Audit_Data[[#This Row],[Recency]]&gt;=0,Audit_Data[[#This Row],[Recency]]&lt;=100),"Valid","Invalid")</f>
        <v>Valid</v>
      </c>
      <c r="AM605" t="str">
        <f t="shared" si="123"/>
        <v>Valid</v>
      </c>
      <c r="AN605" t="str">
        <f t="shared" si="124"/>
        <v>Valid</v>
      </c>
      <c r="AO605" t="str">
        <f t="shared" si="125"/>
        <v>Valid</v>
      </c>
      <c r="AP605" t="str">
        <f t="shared" si="126"/>
        <v>Valid</v>
      </c>
      <c r="AQ605" t="str">
        <f>IF(Audit_Data[[#This Row],[Z_CostContact]]=3,"Valid","Invalid")</f>
        <v>Valid</v>
      </c>
      <c r="AR605" t="str">
        <f t="shared" si="127"/>
        <v>Valid</v>
      </c>
      <c r="AS605" t="str">
        <f t="shared" si="128"/>
        <v>Valid</v>
      </c>
    </row>
    <row r="606" spans="1:45" x14ac:dyDescent="0.3">
      <c r="A606">
        <v>1177</v>
      </c>
      <c r="B606">
        <v>1966</v>
      </c>
      <c r="C606" t="s">
        <v>34</v>
      </c>
      <c r="D606" t="s">
        <v>31</v>
      </c>
      <c r="E606">
        <v>49618</v>
      </c>
      <c r="F606">
        <v>1</v>
      </c>
      <c r="G606">
        <v>1</v>
      </c>
      <c r="H606" s="1">
        <v>41300</v>
      </c>
      <c r="I606">
        <v>77</v>
      </c>
      <c r="J606">
        <v>80</v>
      </c>
      <c r="K606">
        <v>3</v>
      </c>
      <c r="L606">
        <v>26</v>
      </c>
      <c r="M606">
        <v>4</v>
      </c>
      <c r="N606">
        <v>2</v>
      </c>
      <c r="O606">
        <v>14</v>
      </c>
      <c r="P606">
        <v>4</v>
      </c>
      <c r="Q606">
        <v>3</v>
      </c>
      <c r="R606">
        <v>1</v>
      </c>
      <c r="S606">
        <v>3</v>
      </c>
      <c r="T606">
        <v>7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3</v>
      </c>
      <c r="AB606">
        <v>11</v>
      </c>
      <c r="AC606">
        <v>0</v>
      </c>
      <c r="AD606" t="str">
        <f t="shared" si="117"/>
        <v>Ok</v>
      </c>
      <c r="AE606" t="str">
        <f>IF(AND(Audit_Data[[#This Row],[Year_Birth]]&gt;=1900,Audit_Data[[#This Row],[Year_Birth]]&lt;=2010),"OK","Invalid")</f>
        <v>OK</v>
      </c>
      <c r="AF606" t="str">
        <f t="shared" si="118"/>
        <v>Valid</v>
      </c>
      <c r="AG606" t="str">
        <f t="shared" si="119"/>
        <v>Valid</v>
      </c>
      <c r="AH606" t="str">
        <f t="shared" si="120"/>
        <v>Valid</v>
      </c>
      <c r="AI606" t="str">
        <f t="shared" si="121"/>
        <v>Valid</v>
      </c>
      <c r="AJ606" t="str">
        <f t="shared" si="122"/>
        <v>Valid</v>
      </c>
      <c r="AK606" t="str">
        <f t="shared" si="129"/>
        <v xml:space="preserve">Valid </v>
      </c>
      <c r="AL606" t="str">
        <f>IF(AND(Audit_Data[[#This Row],[Recency]]&gt;=0,Audit_Data[[#This Row],[Recency]]&lt;=100),"Valid","Invalid")</f>
        <v>Valid</v>
      </c>
      <c r="AM606" t="str">
        <f t="shared" si="123"/>
        <v>Valid</v>
      </c>
      <c r="AN606" t="str">
        <f t="shared" si="124"/>
        <v>Valid</v>
      </c>
      <c r="AO606" t="str">
        <f t="shared" si="125"/>
        <v>Valid</v>
      </c>
      <c r="AP606" t="str">
        <f t="shared" si="126"/>
        <v>Valid</v>
      </c>
      <c r="AQ606" t="str">
        <f>IF(Audit_Data[[#This Row],[Z_CostContact]]=3,"Valid","Invalid")</f>
        <v>Valid</v>
      </c>
      <c r="AR606" t="str">
        <f t="shared" si="127"/>
        <v>Valid</v>
      </c>
      <c r="AS606" t="str">
        <f t="shared" si="128"/>
        <v>Valid</v>
      </c>
    </row>
    <row r="607" spans="1:45" x14ac:dyDescent="0.3">
      <c r="A607">
        <v>7141</v>
      </c>
      <c r="B607">
        <v>1986</v>
      </c>
      <c r="C607" t="s">
        <v>34</v>
      </c>
      <c r="D607" t="s">
        <v>30</v>
      </c>
      <c r="E607">
        <v>21888</v>
      </c>
      <c r="F607">
        <v>1</v>
      </c>
      <c r="G607">
        <v>0</v>
      </c>
      <c r="H607" s="1">
        <v>41272</v>
      </c>
      <c r="I607">
        <v>15</v>
      </c>
      <c r="J607">
        <v>88</v>
      </c>
      <c r="K607">
        <v>10</v>
      </c>
      <c r="L607">
        <v>46</v>
      </c>
      <c r="M607">
        <v>2</v>
      </c>
      <c r="N607">
        <v>3</v>
      </c>
      <c r="O607">
        <v>64</v>
      </c>
      <c r="P607">
        <v>4</v>
      </c>
      <c r="Q607">
        <v>5</v>
      </c>
      <c r="R607">
        <v>1</v>
      </c>
      <c r="S607">
        <v>2</v>
      </c>
      <c r="T607">
        <v>10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3</v>
      </c>
      <c r="AB607">
        <v>11</v>
      </c>
      <c r="AC607">
        <v>1</v>
      </c>
      <c r="AD607" t="str">
        <f t="shared" si="117"/>
        <v>Ok</v>
      </c>
      <c r="AE607" t="str">
        <f>IF(AND(Audit_Data[[#This Row],[Year_Birth]]&gt;=1900,Audit_Data[[#This Row],[Year_Birth]]&lt;=2010),"OK","Invalid")</f>
        <v>OK</v>
      </c>
      <c r="AF607" t="str">
        <f t="shared" si="118"/>
        <v>Valid</v>
      </c>
      <c r="AG607" t="str">
        <f t="shared" si="119"/>
        <v>Valid</v>
      </c>
      <c r="AH607" t="str">
        <f t="shared" si="120"/>
        <v>Valid</v>
      </c>
      <c r="AI607" t="str">
        <f t="shared" si="121"/>
        <v>Valid</v>
      </c>
      <c r="AJ607" t="str">
        <f t="shared" si="122"/>
        <v>Valid</v>
      </c>
      <c r="AK607" t="str">
        <f t="shared" si="129"/>
        <v xml:space="preserve">Valid </v>
      </c>
      <c r="AL607" t="str">
        <f>IF(AND(Audit_Data[[#This Row],[Recency]]&gt;=0,Audit_Data[[#This Row],[Recency]]&lt;=100),"Valid","Invalid")</f>
        <v>Valid</v>
      </c>
      <c r="AM607" t="str">
        <f t="shared" si="123"/>
        <v>Valid</v>
      </c>
      <c r="AN607" t="str">
        <f t="shared" si="124"/>
        <v>Valid</v>
      </c>
      <c r="AO607" t="str">
        <f t="shared" si="125"/>
        <v>Valid</v>
      </c>
      <c r="AP607" t="str">
        <f t="shared" si="126"/>
        <v>Valid</v>
      </c>
      <c r="AQ607" t="str">
        <f>IF(Audit_Data[[#This Row],[Z_CostContact]]=3,"Valid","Invalid")</f>
        <v>Valid</v>
      </c>
      <c r="AR607" t="str">
        <f t="shared" si="127"/>
        <v>Valid</v>
      </c>
      <c r="AS607" t="str">
        <f t="shared" si="128"/>
        <v>Valid</v>
      </c>
    </row>
    <row r="608" spans="1:45" x14ac:dyDescent="0.3">
      <c r="A608">
        <v>7232</v>
      </c>
      <c r="B608">
        <v>1973</v>
      </c>
      <c r="C608" t="s">
        <v>29</v>
      </c>
      <c r="D608" t="s">
        <v>38</v>
      </c>
      <c r="E608">
        <v>42429</v>
      </c>
      <c r="F608">
        <v>0</v>
      </c>
      <c r="G608">
        <v>1</v>
      </c>
      <c r="H608" s="1">
        <v>41681</v>
      </c>
      <c r="I608">
        <v>99</v>
      </c>
      <c r="J608">
        <v>55</v>
      </c>
      <c r="K608">
        <v>0</v>
      </c>
      <c r="L608">
        <v>6</v>
      </c>
      <c r="M608">
        <v>2</v>
      </c>
      <c r="N608">
        <v>0</v>
      </c>
      <c r="O608">
        <v>4</v>
      </c>
      <c r="P608">
        <v>2</v>
      </c>
      <c r="Q608">
        <v>1</v>
      </c>
      <c r="R608">
        <v>1</v>
      </c>
      <c r="S608">
        <v>3</v>
      </c>
      <c r="T608">
        <v>5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3</v>
      </c>
      <c r="AB608">
        <v>11</v>
      </c>
      <c r="AC608">
        <v>0</v>
      </c>
      <c r="AD608" t="str">
        <f t="shared" si="117"/>
        <v>Ok</v>
      </c>
      <c r="AE608" t="str">
        <f>IF(AND(Audit_Data[[#This Row],[Year_Birth]]&gt;=1900,Audit_Data[[#This Row],[Year_Birth]]&lt;=2010),"OK","Invalid")</f>
        <v>OK</v>
      </c>
      <c r="AF608" t="str">
        <f t="shared" si="118"/>
        <v>Valid</v>
      </c>
      <c r="AG608" t="str">
        <f t="shared" si="119"/>
        <v>Valid</v>
      </c>
      <c r="AH608" t="str">
        <f t="shared" si="120"/>
        <v>Valid</v>
      </c>
      <c r="AI608" t="str">
        <f t="shared" si="121"/>
        <v>Valid</v>
      </c>
      <c r="AJ608" t="str">
        <f t="shared" si="122"/>
        <v>Valid</v>
      </c>
      <c r="AK608" t="str">
        <f t="shared" si="129"/>
        <v xml:space="preserve">Valid </v>
      </c>
      <c r="AL608" t="str">
        <f>IF(AND(Audit_Data[[#This Row],[Recency]]&gt;=0,Audit_Data[[#This Row],[Recency]]&lt;=100),"Valid","Invalid")</f>
        <v>Valid</v>
      </c>
      <c r="AM608" t="str">
        <f t="shared" si="123"/>
        <v>Valid</v>
      </c>
      <c r="AN608" t="str">
        <f t="shared" si="124"/>
        <v>Valid</v>
      </c>
      <c r="AO608" t="str">
        <f t="shared" si="125"/>
        <v>Valid</v>
      </c>
      <c r="AP608" t="str">
        <f t="shared" si="126"/>
        <v>Valid</v>
      </c>
      <c r="AQ608" t="str">
        <f>IF(Audit_Data[[#This Row],[Z_CostContact]]=3,"Valid","Invalid")</f>
        <v>Valid</v>
      </c>
      <c r="AR608" t="str">
        <f t="shared" si="127"/>
        <v>Valid</v>
      </c>
      <c r="AS608" t="str">
        <f t="shared" si="128"/>
        <v>Valid</v>
      </c>
    </row>
    <row r="609" spans="1:45" x14ac:dyDescent="0.3">
      <c r="A609">
        <v>8477</v>
      </c>
      <c r="B609">
        <v>1956</v>
      </c>
      <c r="C609" t="s">
        <v>29</v>
      </c>
      <c r="D609" t="s">
        <v>35</v>
      </c>
      <c r="E609">
        <v>26150</v>
      </c>
      <c r="F609">
        <v>2</v>
      </c>
      <c r="G609">
        <v>1</v>
      </c>
      <c r="H609" s="1">
        <v>41344</v>
      </c>
      <c r="I609">
        <v>61</v>
      </c>
      <c r="J609">
        <v>5</v>
      </c>
      <c r="K609">
        <v>1</v>
      </c>
      <c r="L609">
        <v>13</v>
      </c>
      <c r="M609">
        <v>3</v>
      </c>
      <c r="N609">
        <v>5</v>
      </c>
      <c r="O609">
        <v>1</v>
      </c>
      <c r="P609">
        <v>1</v>
      </c>
      <c r="Q609">
        <v>1</v>
      </c>
      <c r="R609">
        <v>0</v>
      </c>
      <c r="S609">
        <v>3</v>
      </c>
      <c r="T609">
        <v>7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3</v>
      </c>
      <c r="AB609">
        <v>11</v>
      </c>
      <c r="AC609">
        <v>0</v>
      </c>
      <c r="AD609" t="str">
        <f t="shared" si="117"/>
        <v>Ok</v>
      </c>
      <c r="AE609" t="str">
        <f>IF(AND(Audit_Data[[#This Row],[Year_Birth]]&gt;=1900,Audit_Data[[#This Row],[Year_Birth]]&lt;=2010),"OK","Invalid")</f>
        <v>OK</v>
      </c>
      <c r="AF609" t="str">
        <f t="shared" si="118"/>
        <v>Valid</v>
      </c>
      <c r="AG609" t="str">
        <f t="shared" si="119"/>
        <v>Valid</v>
      </c>
      <c r="AH609" t="str">
        <f t="shared" si="120"/>
        <v>Valid</v>
      </c>
      <c r="AI609" t="str">
        <f t="shared" si="121"/>
        <v>Valid</v>
      </c>
      <c r="AJ609" t="str">
        <f t="shared" si="122"/>
        <v>Valid</v>
      </c>
      <c r="AK609" t="str">
        <f t="shared" si="129"/>
        <v xml:space="preserve">Valid </v>
      </c>
      <c r="AL609" t="str">
        <f>IF(AND(Audit_Data[[#This Row],[Recency]]&gt;=0,Audit_Data[[#This Row],[Recency]]&lt;=100),"Valid","Invalid")</f>
        <v>Valid</v>
      </c>
      <c r="AM609" t="str">
        <f t="shared" si="123"/>
        <v>Valid</v>
      </c>
      <c r="AN609" t="str">
        <f t="shared" si="124"/>
        <v>Valid</v>
      </c>
      <c r="AO609" t="str">
        <f t="shared" si="125"/>
        <v>Valid</v>
      </c>
      <c r="AP609" t="str">
        <f t="shared" si="126"/>
        <v>Valid</v>
      </c>
      <c r="AQ609" t="str">
        <f>IF(Audit_Data[[#This Row],[Z_CostContact]]=3,"Valid","Invalid")</f>
        <v>Valid</v>
      </c>
      <c r="AR609" t="str">
        <f t="shared" si="127"/>
        <v>Valid</v>
      </c>
      <c r="AS609" t="str">
        <f t="shared" si="128"/>
        <v>Valid</v>
      </c>
    </row>
    <row r="610" spans="1:45" x14ac:dyDescent="0.3">
      <c r="A610">
        <v>2457</v>
      </c>
      <c r="B610">
        <v>1975</v>
      </c>
      <c r="C610" t="s">
        <v>36</v>
      </c>
      <c r="D610" t="s">
        <v>33</v>
      </c>
      <c r="E610">
        <v>30801</v>
      </c>
      <c r="F610">
        <v>0</v>
      </c>
      <c r="G610">
        <v>1</v>
      </c>
      <c r="H610" s="1">
        <v>41208</v>
      </c>
      <c r="I610">
        <v>23</v>
      </c>
      <c r="J610">
        <v>8</v>
      </c>
      <c r="K610">
        <v>4</v>
      </c>
      <c r="L610">
        <v>5</v>
      </c>
      <c r="M610">
        <v>15</v>
      </c>
      <c r="N610">
        <v>2</v>
      </c>
      <c r="O610">
        <v>11</v>
      </c>
      <c r="P610">
        <v>2</v>
      </c>
      <c r="Q610">
        <v>1</v>
      </c>
      <c r="R610">
        <v>0</v>
      </c>
      <c r="S610">
        <v>3</v>
      </c>
      <c r="T610">
        <v>7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3</v>
      </c>
      <c r="AB610">
        <v>11</v>
      </c>
      <c r="AC610">
        <v>0</v>
      </c>
      <c r="AD610" t="str">
        <f t="shared" si="117"/>
        <v>Ok</v>
      </c>
      <c r="AE610" t="str">
        <f>IF(AND(Audit_Data[[#This Row],[Year_Birth]]&gt;=1900,Audit_Data[[#This Row],[Year_Birth]]&lt;=2010),"OK","Invalid")</f>
        <v>OK</v>
      </c>
      <c r="AF610" t="str">
        <f t="shared" si="118"/>
        <v>Valid</v>
      </c>
      <c r="AG610" t="str">
        <f t="shared" si="119"/>
        <v>Valid</v>
      </c>
      <c r="AH610" t="str">
        <f t="shared" si="120"/>
        <v>Valid</v>
      </c>
      <c r="AI610" t="str">
        <f t="shared" si="121"/>
        <v>Valid</v>
      </c>
      <c r="AJ610" t="str">
        <f t="shared" si="122"/>
        <v>Valid</v>
      </c>
      <c r="AK610" t="str">
        <f t="shared" si="129"/>
        <v xml:space="preserve">Valid </v>
      </c>
      <c r="AL610" t="str">
        <f>IF(AND(Audit_Data[[#This Row],[Recency]]&gt;=0,Audit_Data[[#This Row],[Recency]]&lt;=100),"Valid","Invalid")</f>
        <v>Valid</v>
      </c>
      <c r="AM610" t="str">
        <f t="shared" si="123"/>
        <v>Valid</v>
      </c>
      <c r="AN610" t="str">
        <f t="shared" si="124"/>
        <v>Valid</v>
      </c>
      <c r="AO610" t="str">
        <f t="shared" si="125"/>
        <v>Valid</v>
      </c>
      <c r="AP610" t="str">
        <f t="shared" si="126"/>
        <v>Valid</v>
      </c>
      <c r="AQ610" t="str">
        <f>IF(Audit_Data[[#This Row],[Z_CostContact]]=3,"Valid","Invalid")</f>
        <v>Valid</v>
      </c>
      <c r="AR610" t="str">
        <f t="shared" si="127"/>
        <v>Valid</v>
      </c>
      <c r="AS610" t="str">
        <f t="shared" si="128"/>
        <v>Valid</v>
      </c>
    </row>
    <row r="611" spans="1:45" x14ac:dyDescent="0.3">
      <c r="A611">
        <v>988</v>
      </c>
      <c r="B611">
        <v>1965</v>
      </c>
      <c r="C611" t="s">
        <v>29</v>
      </c>
      <c r="D611" t="s">
        <v>33</v>
      </c>
      <c r="E611">
        <v>81168</v>
      </c>
      <c r="F611">
        <v>0</v>
      </c>
      <c r="G611">
        <v>0</v>
      </c>
      <c r="H611" s="1">
        <v>41766</v>
      </c>
      <c r="I611">
        <v>84</v>
      </c>
      <c r="J611">
        <v>410</v>
      </c>
      <c r="K611">
        <v>0</v>
      </c>
      <c r="L611">
        <v>592</v>
      </c>
      <c r="M611">
        <v>147</v>
      </c>
      <c r="N611">
        <v>22</v>
      </c>
      <c r="O611">
        <v>22</v>
      </c>
      <c r="P611">
        <v>1</v>
      </c>
      <c r="Q611">
        <v>6</v>
      </c>
      <c r="R611">
        <v>4</v>
      </c>
      <c r="S611">
        <v>7</v>
      </c>
      <c r="T611">
        <v>3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3</v>
      </c>
      <c r="AB611">
        <v>11</v>
      </c>
      <c r="AC611">
        <v>0</v>
      </c>
      <c r="AD611" t="str">
        <f t="shared" si="117"/>
        <v>Ok</v>
      </c>
      <c r="AE611" t="str">
        <f>IF(AND(Audit_Data[[#This Row],[Year_Birth]]&gt;=1900,Audit_Data[[#This Row],[Year_Birth]]&lt;=2010),"OK","Invalid")</f>
        <v>OK</v>
      </c>
      <c r="AF611" t="str">
        <f t="shared" si="118"/>
        <v>Valid</v>
      </c>
      <c r="AG611" t="str">
        <f t="shared" si="119"/>
        <v>Valid</v>
      </c>
      <c r="AH611" t="str">
        <f t="shared" si="120"/>
        <v>Valid</v>
      </c>
      <c r="AI611" t="str">
        <f t="shared" si="121"/>
        <v>Valid</v>
      </c>
      <c r="AJ611" t="str">
        <f t="shared" si="122"/>
        <v>Valid</v>
      </c>
      <c r="AK611" t="str">
        <f t="shared" si="129"/>
        <v xml:space="preserve">Valid </v>
      </c>
      <c r="AL611" t="str">
        <f>IF(AND(Audit_Data[[#This Row],[Recency]]&gt;=0,Audit_Data[[#This Row],[Recency]]&lt;=100),"Valid","Invalid")</f>
        <v>Valid</v>
      </c>
      <c r="AM611" t="str">
        <f t="shared" si="123"/>
        <v>Valid</v>
      </c>
      <c r="AN611" t="str">
        <f t="shared" si="124"/>
        <v>Valid</v>
      </c>
      <c r="AO611" t="str">
        <f t="shared" si="125"/>
        <v>Valid</v>
      </c>
      <c r="AP611" t="str">
        <f t="shared" si="126"/>
        <v>Valid</v>
      </c>
      <c r="AQ611" t="str">
        <f>IF(Audit_Data[[#This Row],[Z_CostContact]]=3,"Valid","Invalid")</f>
        <v>Valid</v>
      </c>
      <c r="AR611" t="str">
        <f t="shared" si="127"/>
        <v>Valid</v>
      </c>
      <c r="AS611" t="str">
        <f t="shared" si="128"/>
        <v>Valid</v>
      </c>
    </row>
    <row r="612" spans="1:45" x14ac:dyDescent="0.3">
      <c r="A612">
        <v>7930</v>
      </c>
      <c r="B612">
        <v>1969</v>
      </c>
      <c r="C612" t="s">
        <v>34</v>
      </c>
      <c r="D612" t="s">
        <v>30</v>
      </c>
      <c r="E612">
        <v>26877</v>
      </c>
      <c r="F612">
        <v>0</v>
      </c>
      <c r="G612">
        <v>0</v>
      </c>
      <c r="H612" s="1">
        <v>41505</v>
      </c>
      <c r="I612">
        <v>74</v>
      </c>
      <c r="J612">
        <v>101</v>
      </c>
      <c r="K612">
        <v>13</v>
      </c>
      <c r="L612">
        <v>76</v>
      </c>
      <c r="M612">
        <v>20</v>
      </c>
      <c r="N612">
        <v>18</v>
      </c>
      <c r="O612">
        <v>40</v>
      </c>
      <c r="P612">
        <v>2</v>
      </c>
      <c r="Q612">
        <v>3</v>
      </c>
      <c r="R612">
        <v>1</v>
      </c>
      <c r="S612">
        <v>6</v>
      </c>
      <c r="T612">
        <v>6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3</v>
      </c>
      <c r="AB612">
        <v>11</v>
      </c>
      <c r="AC612">
        <v>0</v>
      </c>
      <c r="AD612" t="str">
        <f t="shared" si="117"/>
        <v>Ok</v>
      </c>
      <c r="AE612" t="str">
        <f>IF(AND(Audit_Data[[#This Row],[Year_Birth]]&gt;=1900,Audit_Data[[#This Row],[Year_Birth]]&lt;=2010),"OK","Invalid")</f>
        <v>OK</v>
      </c>
      <c r="AF612" t="str">
        <f t="shared" si="118"/>
        <v>Valid</v>
      </c>
      <c r="AG612" t="str">
        <f t="shared" si="119"/>
        <v>Valid</v>
      </c>
      <c r="AH612" t="str">
        <f t="shared" si="120"/>
        <v>Valid</v>
      </c>
      <c r="AI612" t="str">
        <f t="shared" si="121"/>
        <v>Valid</v>
      </c>
      <c r="AJ612" t="str">
        <f t="shared" si="122"/>
        <v>Valid</v>
      </c>
      <c r="AK612" t="str">
        <f t="shared" si="129"/>
        <v xml:space="preserve">Valid </v>
      </c>
      <c r="AL612" t="str">
        <f>IF(AND(Audit_Data[[#This Row],[Recency]]&gt;=0,Audit_Data[[#This Row],[Recency]]&lt;=100),"Valid","Invalid")</f>
        <v>Valid</v>
      </c>
      <c r="AM612" t="str">
        <f t="shared" si="123"/>
        <v>Valid</v>
      </c>
      <c r="AN612" t="str">
        <f t="shared" si="124"/>
        <v>Valid</v>
      </c>
      <c r="AO612" t="str">
        <f t="shared" si="125"/>
        <v>Valid</v>
      </c>
      <c r="AP612" t="str">
        <f t="shared" si="126"/>
        <v>Valid</v>
      </c>
      <c r="AQ612" t="str">
        <f>IF(Audit_Data[[#This Row],[Z_CostContact]]=3,"Valid","Invalid")</f>
        <v>Valid</v>
      </c>
      <c r="AR612" t="str">
        <f t="shared" si="127"/>
        <v>Valid</v>
      </c>
      <c r="AS612" t="str">
        <f t="shared" si="128"/>
        <v>Valid</v>
      </c>
    </row>
    <row r="613" spans="1:45" x14ac:dyDescent="0.3">
      <c r="A613">
        <v>4587</v>
      </c>
      <c r="B613">
        <v>1944</v>
      </c>
      <c r="C613" t="s">
        <v>34</v>
      </c>
      <c r="D613" t="s">
        <v>38</v>
      </c>
      <c r="E613">
        <v>45006</v>
      </c>
      <c r="F613">
        <v>0</v>
      </c>
      <c r="G613">
        <v>0</v>
      </c>
      <c r="H613" s="1">
        <v>41473</v>
      </c>
      <c r="I613">
        <v>90</v>
      </c>
      <c r="J613">
        <v>162</v>
      </c>
      <c r="K613">
        <v>25</v>
      </c>
      <c r="L613">
        <v>53</v>
      </c>
      <c r="M613">
        <v>16</v>
      </c>
      <c r="N613">
        <v>0</v>
      </c>
      <c r="O613">
        <v>10</v>
      </c>
      <c r="P613">
        <v>1</v>
      </c>
      <c r="Q613">
        <v>3</v>
      </c>
      <c r="R613">
        <v>1</v>
      </c>
      <c r="S613">
        <v>7</v>
      </c>
      <c r="T613">
        <v>3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3</v>
      </c>
      <c r="AB613">
        <v>11</v>
      </c>
      <c r="AC613">
        <v>0</v>
      </c>
      <c r="AD613" t="str">
        <f t="shared" si="117"/>
        <v>Ok</v>
      </c>
      <c r="AE613" t="str">
        <f>IF(AND(Audit_Data[[#This Row],[Year_Birth]]&gt;=1900,Audit_Data[[#This Row],[Year_Birth]]&lt;=2010),"OK","Invalid")</f>
        <v>OK</v>
      </c>
      <c r="AF613" t="str">
        <f t="shared" si="118"/>
        <v>Valid</v>
      </c>
      <c r="AG613" t="str">
        <f t="shared" si="119"/>
        <v>Valid</v>
      </c>
      <c r="AH613" t="str">
        <f t="shared" si="120"/>
        <v>Valid</v>
      </c>
      <c r="AI613" t="str">
        <f t="shared" si="121"/>
        <v>Valid</v>
      </c>
      <c r="AJ613" t="str">
        <f t="shared" si="122"/>
        <v>Valid</v>
      </c>
      <c r="AK613" t="str">
        <f t="shared" si="129"/>
        <v xml:space="preserve">Valid </v>
      </c>
      <c r="AL613" t="str">
        <f>IF(AND(Audit_Data[[#This Row],[Recency]]&gt;=0,Audit_Data[[#This Row],[Recency]]&lt;=100),"Valid","Invalid")</f>
        <v>Valid</v>
      </c>
      <c r="AM613" t="str">
        <f t="shared" si="123"/>
        <v>Valid</v>
      </c>
      <c r="AN613" t="str">
        <f t="shared" si="124"/>
        <v>Valid</v>
      </c>
      <c r="AO613" t="str">
        <f t="shared" si="125"/>
        <v>Valid</v>
      </c>
      <c r="AP613" t="str">
        <f t="shared" si="126"/>
        <v>Valid</v>
      </c>
      <c r="AQ613" t="str">
        <f>IF(Audit_Data[[#This Row],[Z_CostContact]]=3,"Valid","Invalid")</f>
        <v>Valid</v>
      </c>
      <c r="AR613" t="str">
        <f t="shared" si="127"/>
        <v>Valid</v>
      </c>
      <c r="AS613" t="str">
        <f t="shared" si="128"/>
        <v>Valid</v>
      </c>
    </row>
    <row r="614" spans="1:45" x14ac:dyDescent="0.3">
      <c r="A614">
        <v>6682</v>
      </c>
      <c r="B614">
        <v>1973</v>
      </c>
      <c r="C614" t="s">
        <v>36</v>
      </c>
      <c r="D614" t="s">
        <v>33</v>
      </c>
      <c r="E614">
        <v>18978</v>
      </c>
      <c r="F614">
        <v>1</v>
      </c>
      <c r="G614">
        <v>0</v>
      </c>
      <c r="H614" s="1">
        <v>41254</v>
      </c>
      <c r="I614">
        <v>41</v>
      </c>
      <c r="J614">
        <v>2</v>
      </c>
      <c r="K614">
        <v>8</v>
      </c>
      <c r="L614">
        <v>1</v>
      </c>
      <c r="M614">
        <v>4</v>
      </c>
      <c r="N614">
        <v>7</v>
      </c>
      <c r="O614">
        <v>15</v>
      </c>
      <c r="P614">
        <v>1</v>
      </c>
      <c r="Q614">
        <v>1</v>
      </c>
      <c r="R614">
        <v>0</v>
      </c>
      <c r="S614">
        <v>3</v>
      </c>
      <c r="T614">
        <v>8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3</v>
      </c>
      <c r="AB614">
        <v>11</v>
      </c>
      <c r="AC614">
        <v>0</v>
      </c>
      <c r="AD614" t="str">
        <f t="shared" si="117"/>
        <v>Ok</v>
      </c>
      <c r="AE614" t="str">
        <f>IF(AND(Audit_Data[[#This Row],[Year_Birth]]&gt;=1900,Audit_Data[[#This Row],[Year_Birth]]&lt;=2010),"OK","Invalid")</f>
        <v>OK</v>
      </c>
      <c r="AF614" t="str">
        <f t="shared" si="118"/>
        <v>Valid</v>
      </c>
      <c r="AG614" t="str">
        <f t="shared" si="119"/>
        <v>Valid</v>
      </c>
      <c r="AH614" t="str">
        <f t="shared" si="120"/>
        <v>Valid</v>
      </c>
      <c r="AI614" t="str">
        <f t="shared" si="121"/>
        <v>Valid</v>
      </c>
      <c r="AJ614" t="str">
        <f t="shared" si="122"/>
        <v>Valid</v>
      </c>
      <c r="AK614" t="str">
        <f t="shared" si="129"/>
        <v xml:space="preserve">Valid </v>
      </c>
      <c r="AL614" t="str">
        <f>IF(AND(Audit_Data[[#This Row],[Recency]]&gt;=0,Audit_Data[[#This Row],[Recency]]&lt;=100),"Valid","Invalid")</f>
        <v>Valid</v>
      </c>
      <c r="AM614" t="str">
        <f t="shared" si="123"/>
        <v>Valid</v>
      </c>
      <c r="AN614" t="str">
        <f t="shared" si="124"/>
        <v>Valid</v>
      </c>
      <c r="AO614" t="str">
        <f t="shared" si="125"/>
        <v>Valid</v>
      </c>
      <c r="AP614" t="str">
        <f t="shared" si="126"/>
        <v>Valid</v>
      </c>
      <c r="AQ614" t="str">
        <f>IF(Audit_Data[[#This Row],[Z_CostContact]]=3,"Valid","Invalid")</f>
        <v>Valid</v>
      </c>
      <c r="AR614" t="str">
        <f t="shared" si="127"/>
        <v>Valid</v>
      </c>
      <c r="AS614" t="str">
        <f t="shared" si="128"/>
        <v>Valid</v>
      </c>
    </row>
    <row r="615" spans="1:45" x14ac:dyDescent="0.3">
      <c r="A615">
        <v>6222</v>
      </c>
      <c r="B615">
        <v>1967</v>
      </c>
      <c r="C615" t="s">
        <v>29</v>
      </c>
      <c r="D615" t="s">
        <v>33</v>
      </c>
      <c r="E615">
        <v>22574</v>
      </c>
      <c r="F615">
        <v>2</v>
      </c>
      <c r="G615">
        <v>1</v>
      </c>
      <c r="H615" s="1">
        <v>41575</v>
      </c>
      <c r="I615">
        <v>28</v>
      </c>
      <c r="J615">
        <v>25</v>
      </c>
      <c r="K615">
        <v>0</v>
      </c>
      <c r="L615">
        <v>8</v>
      </c>
      <c r="M615">
        <v>2</v>
      </c>
      <c r="N615">
        <v>0</v>
      </c>
      <c r="O615">
        <v>2</v>
      </c>
      <c r="P615">
        <v>2</v>
      </c>
      <c r="Q615">
        <v>2</v>
      </c>
      <c r="R615">
        <v>0</v>
      </c>
      <c r="S615">
        <v>3</v>
      </c>
      <c r="T615">
        <v>7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3</v>
      </c>
      <c r="AB615">
        <v>11</v>
      </c>
      <c r="AC615">
        <v>0</v>
      </c>
      <c r="AD615" t="str">
        <f t="shared" si="117"/>
        <v>Ok</v>
      </c>
      <c r="AE615" t="str">
        <f>IF(AND(Audit_Data[[#This Row],[Year_Birth]]&gt;=1900,Audit_Data[[#This Row],[Year_Birth]]&lt;=2010),"OK","Invalid")</f>
        <v>OK</v>
      </c>
      <c r="AF615" t="str">
        <f t="shared" si="118"/>
        <v>Valid</v>
      </c>
      <c r="AG615" t="str">
        <f t="shared" si="119"/>
        <v>Valid</v>
      </c>
      <c r="AH615" t="str">
        <f t="shared" si="120"/>
        <v>Valid</v>
      </c>
      <c r="AI615" t="str">
        <f t="shared" si="121"/>
        <v>Valid</v>
      </c>
      <c r="AJ615" t="str">
        <f t="shared" si="122"/>
        <v>Valid</v>
      </c>
      <c r="AK615" t="str">
        <f t="shared" si="129"/>
        <v xml:space="preserve">Valid </v>
      </c>
      <c r="AL615" t="str">
        <f>IF(AND(Audit_Data[[#This Row],[Recency]]&gt;=0,Audit_Data[[#This Row],[Recency]]&lt;=100),"Valid","Invalid")</f>
        <v>Valid</v>
      </c>
      <c r="AM615" t="str">
        <f t="shared" si="123"/>
        <v>Valid</v>
      </c>
      <c r="AN615" t="str">
        <f t="shared" si="124"/>
        <v>Valid</v>
      </c>
      <c r="AO615" t="str">
        <f t="shared" si="125"/>
        <v>Valid</v>
      </c>
      <c r="AP615" t="str">
        <f t="shared" si="126"/>
        <v>Valid</v>
      </c>
      <c r="AQ615" t="str">
        <f>IF(Audit_Data[[#This Row],[Z_CostContact]]=3,"Valid","Invalid")</f>
        <v>Valid</v>
      </c>
      <c r="AR615" t="str">
        <f t="shared" si="127"/>
        <v>Valid</v>
      </c>
      <c r="AS615" t="str">
        <f t="shared" si="128"/>
        <v>Valid</v>
      </c>
    </row>
    <row r="616" spans="1:45" x14ac:dyDescent="0.3">
      <c r="A616">
        <v>10299</v>
      </c>
      <c r="B616">
        <v>1969</v>
      </c>
      <c r="C616" t="s">
        <v>32</v>
      </c>
      <c r="D616" t="s">
        <v>30</v>
      </c>
      <c r="E616">
        <v>48240</v>
      </c>
      <c r="F616">
        <v>0</v>
      </c>
      <c r="G616">
        <v>0</v>
      </c>
      <c r="H616" s="1">
        <v>41222</v>
      </c>
      <c r="I616">
        <v>73</v>
      </c>
      <c r="J616">
        <v>389</v>
      </c>
      <c r="K616">
        <v>91</v>
      </c>
      <c r="L616">
        <v>248</v>
      </c>
      <c r="M616">
        <v>64</v>
      </c>
      <c r="N616">
        <v>49</v>
      </c>
      <c r="O616">
        <v>41</v>
      </c>
      <c r="P616">
        <v>3</v>
      </c>
      <c r="Q616">
        <v>6</v>
      </c>
      <c r="R616">
        <v>3</v>
      </c>
      <c r="S616">
        <v>13</v>
      </c>
      <c r="T616">
        <v>5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3</v>
      </c>
      <c r="AB616">
        <v>11</v>
      </c>
      <c r="AC616">
        <v>1</v>
      </c>
      <c r="AD616" t="str">
        <f t="shared" si="117"/>
        <v>Ok</v>
      </c>
      <c r="AE616" t="str">
        <f>IF(AND(Audit_Data[[#This Row],[Year_Birth]]&gt;=1900,Audit_Data[[#This Row],[Year_Birth]]&lt;=2010),"OK","Invalid")</f>
        <v>OK</v>
      </c>
      <c r="AF616" t="str">
        <f t="shared" si="118"/>
        <v>Valid</v>
      </c>
      <c r="AG616" t="str">
        <f t="shared" si="119"/>
        <v>Valid</v>
      </c>
      <c r="AH616" t="str">
        <f t="shared" si="120"/>
        <v>Valid</v>
      </c>
      <c r="AI616" t="str">
        <f t="shared" si="121"/>
        <v>Valid</v>
      </c>
      <c r="AJ616" t="str">
        <f t="shared" si="122"/>
        <v>Valid</v>
      </c>
      <c r="AK616" t="str">
        <f t="shared" si="129"/>
        <v xml:space="preserve">Valid </v>
      </c>
      <c r="AL616" t="str">
        <f>IF(AND(Audit_Data[[#This Row],[Recency]]&gt;=0,Audit_Data[[#This Row],[Recency]]&lt;=100),"Valid","Invalid")</f>
        <v>Valid</v>
      </c>
      <c r="AM616" t="str">
        <f t="shared" si="123"/>
        <v>Valid</v>
      </c>
      <c r="AN616" t="str">
        <f t="shared" si="124"/>
        <v>Valid</v>
      </c>
      <c r="AO616" t="str">
        <f t="shared" si="125"/>
        <v>Valid</v>
      </c>
      <c r="AP616" t="str">
        <f t="shared" si="126"/>
        <v>Valid</v>
      </c>
      <c r="AQ616" t="str">
        <f>IF(Audit_Data[[#This Row],[Z_CostContact]]=3,"Valid","Invalid")</f>
        <v>Valid</v>
      </c>
      <c r="AR616" t="str">
        <f t="shared" si="127"/>
        <v>Valid</v>
      </c>
      <c r="AS616" t="str">
        <f t="shared" si="128"/>
        <v>Valid</v>
      </c>
    </row>
    <row r="617" spans="1:45" x14ac:dyDescent="0.3">
      <c r="A617">
        <v>3083</v>
      </c>
      <c r="B617">
        <v>1974</v>
      </c>
      <c r="C617" t="s">
        <v>29</v>
      </c>
      <c r="D617" t="s">
        <v>33</v>
      </c>
      <c r="E617">
        <v>45837</v>
      </c>
      <c r="F617">
        <v>1</v>
      </c>
      <c r="G617">
        <v>1</v>
      </c>
      <c r="H617" s="1">
        <v>41481</v>
      </c>
      <c r="I617">
        <v>88</v>
      </c>
      <c r="J617">
        <v>215</v>
      </c>
      <c r="K617">
        <v>13</v>
      </c>
      <c r="L617">
        <v>87</v>
      </c>
      <c r="M617">
        <v>17</v>
      </c>
      <c r="N617">
        <v>17</v>
      </c>
      <c r="O617">
        <v>24</v>
      </c>
      <c r="P617">
        <v>5</v>
      </c>
      <c r="Q617">
        <v>6</v>
      </c>
      <c r="R617">
        <v>2</v>
      </c>
      <c r="S617">
        <v>5</v>
      </c>
      <c r="T617">
        <v>7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3</v>
      </c>
      <c r="AB617">
        <v>11</v>
      </c>
      <c r="AC617">
        <v>0</v>
      </c>
      <c r="AD617" t="str">
        <f t="shared" si="117"/>
        <v>Ok</v>
      </c>
      <c r="AE617" t="str">
        <f>IF(AND(Audit_Data[[#This Row],[Year_Birth]]&gt;=1900,Audit_Data[[#This Row],[Year_Birth]]&lt;=2010),"OK","Invalid")</f>
        <v>OK</v>
      </c>
      <c r="AF617" t="str">
        <f t="shared" si="118"/>
        <v>Valid</v>
      </c>
      <c r="AG617" t="str">
        <f t="shared" si="119"/>
        <v>Valid</v>
      </c>
      <c r="AH617" t="str">
        <f t="shared" si="120"/>
        <v>Valid</v>
      </c>
      <c r="AI617" t="str">
        <f t="shared" si="121"/>
        <v>Valid</v>
      </c>
      <c r="AJ617" t="str">
        <f t="shared" si="122"/>
        <v>Valid</v>
      </c>
      <c r="AK617" t="str">
        <f t="shared" si="129"/>
        <v xml:space="preserve">Valid </v>
      </c>
      <c r="AL617" t="str">
        <f>IF(AND(Audit_Data[[#This Row],[Recency]]&gt;=0,Audit_Data[[#This Row],[Recency]]&lt;=100),"Valid","Invalid")</f>
        <v>Valid</v>
      </c>
      <c r="AM617" t="str">
        <f t="shared" si="123"/>
        <v>Valid</v>
      </c>
      <c r="AN617" t="str">
        <f t="shared" si="124"/>
        <v>Valid</v>
      </c>
      <c r="AO617" t="str">
        <f t="shared" si="125"/>
        <v>Valid</v>
      </c>
      <c r="AP617" t="str">
        <f t="shared" si="126"/>
        <v>Valid</v>
      </c>
      <c r="AQ617" t="str">
        <f>IF(Audit_Data[[#This Row],[Z_CostContact]]=3,"Valid","Invalid")</f>
        <v>Valid</v>
      </c>
      <c r="AR617" t="str">
        <f t="shared" si="127"/>
        <v>Valid</v>
      </c>
      <c r="AS617" t="str">
        <f t="shared" si="128"/>
        <v>Valid</v>
      </c>
    </row>
    <row r="618" spans="1:45" x14ac:dyDescent="0.3">
      <c r="A618">
        <v>8953</v>
      </c>
      <c r="B618">
        <v>1965</v>
      </c>
      <c r="C618" t="s">
        <v>34</v>
      </c>
      <c r="D618" t="s">
        <v>30</v>
      </c>
      <c r="E618">
        <v>35791</v>
      </c>
      <c r="F618">
        <v>2</v>
      </c>
      <c r="G618">
        <v>1</v>
      </c>
      <c r="H618" s="1">
        <v>41400</v>
      </c>
      <c r="I618">
        <v>94</v>
      </c>
      <c r="J618">
        <v>27</v>
      </c>
      <c r="K618">
        <v>0</v>
      </c>
      <c r="L618">
        <v>5</v>
      </c>
      <c r="M618">
        <v>0</v>
      </c>
      <c r="N618">
        <v>0</v>
      </c>
      <c r="O618">
        <v>3</v>
      </c>
      <c r="P618">
        <v>2</v>
      </c>
      <c r="Q618">
        <v>1</v>
      </c>
      <c r="R618">
        <v>0</v>
      </c>
      <c r="S618">
        <v>3</v>
      </c>
      <c r="T618">
        <v>8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3</v>
      </c>
      <c r="AB618">
        <v>11</v>
      </c>
      <c r="AC618">
        <v>0</v>
      </c>
      <c r="AD618" t="str">
        <f t="shared" si="117"/>
        <v>Ok</v>
      </c>
      <c r="AE618" t="str">
        <f>IF(AND(Audit_Data[[#This Row],[Year_Birth]]&gt;=1900,Audit_Data[[#This Row],[Year_Birth]]&lt;=2010),"OK","Invalid")</f>
        <v>OK</v>
      </c>
      <c r="AF618" t="str">
        <f t="shared" si="118"/>
        <v>Valid</v>
      </c>
      <c r="AG618" t="str">
        <f t="shared" si="119"/>
        <v>Valid</v>
      </c>
      <c r="AH618" t="str">
        <f t="shared" si="120"/>
        <v>Valid</v>
      </c>
      <c r="AI618" t="str">
        <f t="shared" si="121"/>
        <v>Valid</v>
      </c>
      <c r="AJ618" t="str">
        <f t="shared" si="122"/>
        <v>Valid</v>
      </c>
      <c r="AK618" t="str">
        <f t="shared" si="129"/>
        <v xml:space="preserve">Valid </v>
      </c>
      <c r="AL618" t="str">
        <f>IF(AND(Audit_Data[[#This Row],[Recency]]&gt;=0,Audit_Data[[#This Row],[Recency]]&lt;=100),"Valid","Invalid")</f>
        <v>Valid</v>
      </c>
      <c r="AM618" t="str">
        <f t="shared" si="123"/>
        <v>Valid</v>
      </c>
      <c r="AN618" t="str">
        <f t="shared" si="124"/>
        <v>Valid</v>
      </c>
      <c r="AO618" t="str">
        <f t="shared" si="125"/>
        <v>Valid</v>
      </c>
      <c r="AP618" t="str">
        <f t="shared" si="126"/>
        <v>Valid</v>
      </c>
      <c r="AQ618" t="str">
        <f>IF(Audit_Data[[#This Row],[Z_CostContact]]=3,"Valid","Invalid")</f>
        <v>Valid</v>
      </c>
      <c r="AR618" t="str">
        <f t="shared" si="127"/>
        <v>Valid</v>
      </c>
      <c r="AS618" t="str">
        <f t="shared" si="128"/>
        <v>Valid</v>
      </c>
    </row>
    <row r="619" spans="1:45" x14ac:dyDescent="0.3">
      <c r="A619">
        <v>1503</v>
      </c>
      <c r="B619">
        <v>1976</v>
      </c>
      <c r="C619" t="s">
        <v>32</v>
      </c>
      <c r="D619" t="s">
        <v>31</v>
      </c>
      <c r="E619">
        <v>162397</v>
      </c>
      <c r="F619">
        <v>1</v>
      </c>
      <c r="G619">
        <v>1</v>
      </c>
      <c r="H619" s="1">
        <v>41428</v>
      </c>
      <c r="I619">
        <v>31</v>
      </c>
      <c r="J619">
        <v>85</v>
      </c>
      <c r="K619">
        <v>1</v>
      </c>
      <c r="L619">
        <v>16</v>
      </c>
      <c r="M619">
        <v>2</v>
      </c>
      <c r="N619">
        <v>1</v>
      </c>
      <c r="O619">
        <v>2</v>
      </c>
      <c r="P619">
        <v>0</v>
      </c>
      <c r="Q619">
        <v>0</v>
      </c>
      <c r="R619">
        <v>0</v>
      </c>
      <c r="S619">
        <v>1</v>
      </c>
      <c r="T619">
        <v>1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3</v>
      </c>
      <c r="AB619">
        <v>11</v>
      </c>
      <c r="AC619">
        <v>0</v>
      </c>
      <c r="AD619" t="str">
        <f t="shared" si="117"/>
        <v>Ok</v>
      </c>
      <c r="AE619" t="str">
        <f>IF(AND(Audit_Data[[#This Row],[Year_Birth]]&gt;=1900,Audit_Data[[#This Row],[Year_Birth]]&lt;=2010),"OK","Invalid")</f>
        <v>OK</v>
      </c>
      <c r="AF619" t="str">
        <f t="shared" si="118"/>
        <v>Valid</v>
      </c>
      <c r="AG619" t="str">
        <f t="shared" si="119"/>
        <v>Valid</v>
      </c>
      <c r="AH619" t="str">
        <f t="shared" si="120"/>
        <v>Valid</v>
      </c>
      <c r="AI619" t="str">
        <f t="shared" si="121"/>
        <v>Valid</v>
      </c>
      <c r="AJ619" t="str">
        <f t="shared" si="122"/>
        <v>Valid</v>
      </c>
      <c r="AK619" t="str">
        <f t="shared" si="129"/>
        <v xml:space="preserve">Valid </v>
      </c>
      <c r="AL619" t="str">
        <f>IF(AND(Audit_Data[[#This Row],[Recency]]&gt;=0,Audit_Data[[#This Row],[Recency]]&lt;=100),"Valid","Invalid")</f>
        <v>Valid</v>
      </c>
      <c r="AM619" t="str">
        <f t="shared" si="123"/>
        <v>Valid</v>
      </c>
      <c r="AN619" t="str">
        <f t="shared" si="124"/>
        <v>Valid</v>
      </c>
      <c r="AO619" t="str">
        <f t="shared" si="125"/>
        <v>Valid</v>
      </c>
      <c r="AP619" t="str">
        <f t="shared" si="126"/>
        <v>Valid</v>
      </c>
      <c r="AQ619" t="str">
        <f>IF(Audit_Data[[#This Row],[Z_CostContact]]=3,"Valid","Invalid")</f>
        <v>Valid</v>
      </c>
      <c r="AR619" t="str">
        <f t="shared" si="127"/>
        <v>Valid</v>
      </c>
      <c r="AS619" t="str">
        <f t="shared" si="128"/>
        <v>Valid</v>
      </c>
    </row>
    <row r="620" spans="1:45" x14ac:dyDescent="0.3">
      <c r="A620">
        <v>8650</v>
      </c>
      <c r="B620">
        <v>1978</v>
      </c>
      <c r="C620" t="s">
        <v>29</v>
      </c>
      <c r="D620" t="s">
        <v>38</v>
      </c>
      <c r="E620">
        <v>54162</v>
      </c>
      <c r="F620">
        <v>1</v>
      </c>
      <c r="G620">
        <v>1</v>
      </c>
      <c r="H620" s="1">
        <v>41351</v>
      </c>
      <c r="I620">
        <v>31</v>
      </c>
      <c r="J620">
        <v>5</v>
      </c>
      <c r="K620">
        <v>6</v>
      </c>
      <c r="L620">
        <v>10</v>
      </c>
      <c r="M620">
        <v>6</v>
      </c>
      <c r="N620">
        <v>5</v>
      </c>
      <c r="O620">
        <v>10</v>
      </c>
      <c r="P620">
        <v>1</v>
      </c>
      <c r="Q620">
        <v>1</v>
      </c>
      <c r="R620">
        <v>0</v>
      </c>
      <c r="S620">
        <v>3</v>
      </c>
      <c r="T620">
        <v>4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3</v>
      </c>
      <c r="AB620">
        <v>11</v>
      </c>
      <c r="AC620">
        <v>0</v>
      </c>
      <c r="AD620" t="str">
        <f t="shared" si="117"/>
        <v>Ok</v>
      </c>
      <c r="AE620" t="str">
        <f>IF(AND(Audit_Data[[#This Row],[Year_Birth]]&gt;=1900,Audit_Data[[#This Row],[Year_Birth]]&lt;=2010),"OK","Invalid")</f>
        <v>OK</v>
      </c>
      <c r="AF620" t="str">
        <f t="shared" si="118"/>
        <v>Valid</v>
      </c>
      <c r="AG620" t="str">
        <f t="shared" si="119"/>
        <v>Valid</v>
      </c>
      <c r="AH620" t="str">
        <f t="shared" si="120"/>
        <v>Valid</v>
      </c>
      <c r="AI620" t="str">
        <f t="shared" si="121"/>
        <v>Valid</v>
      </c>
      <c r="AJ620" t="str">
        <f t="shared" si="122"/>
        <v>Valid</v>
      </c>
      <c r="AK620" t="str">
        <f t="shared" si="129"/>
        <v xml:space="preserve">Valid </v>
      </c>
      <c r="AL620" t="str">
        <f>IF(AND(Audit_Data[[#This Row],[Recency]]&gt;=0,Audit_Data[[#This Row],[Recency]]&lt;=100),"Valid","Invalid")</f>
        <v>Valid</v>
      </c>
      <c r="AM620" t="str">
        <f t="shared" si="123"/>
        <v>Valid</v>
      </c>
      <c r="AN620" t="str">
        <f t="shared" si="124"/>
        <v>Valid</v>
      </c>
      <c r="AO620" t="str">
        <f t="shared" si="125"/>
        <v>Valid</v>
      </c>
      <c r="AP620" t="str">
        <f t="shared" si="126"/>
        <v>Valid</v>
      </c>
      <c r="AQ620" t="str">
        <f>IF(Audit_Data[[#This Row],[Z_CostContact]]=3,"Valid","Invalid")</f>
        <v>Valid</v>
      </c>
      <c r="AR620" t="str">
        <f t="shared" si="127"/>
        <v>Valid</v>
      </c>
      <c r="AS620" t="str">
        <f t="shared" si="128"/>
        <v>Valid</v>
      </c>
    </row>
    <row r="621" spans="1:45" x14ac:dyDescent="0.3">
      <c r="A621">
        <v>10862</v>
      </c>
      <c r="B621">
        <v>1960</v>
      </c>
      <c r="C621" t="s">
        <v>34</v>
      </c>
      <c r="D621" t="s">
        <v>33</v>
      </c>
      <c r="E621">
        <v>30522</v>
      </c>
      <c r="F621">
        <v>0</v>
      </c>
      <c r="G621">
        <v>1</v>
      </c>
      <c r="H621" s="1">
        <v>41138</v>
      </c>
      <c r="I621">
        <v>6</v>
      </c>
      <c r="J621">
        <v>179</v>
      </c>
      <c r="K621">
        <v>8</v>
      </c>
      <c r="L621">
        <v>83</v>
      </c>
      <c r="M621">
        <v>19</v>
      </c>
      <c r="N621">
        <v>11</v>
      </c>
      <c r="O621">
        <v>26</v>
      </c>
      <c r="P621">
        <v>5</v>
      </c>
      <c r="Q621">
        <v>1</v>
      </c>
      <c r="R621">
        <v>2</v>
      </c>
      <c r="S621">
        <v>9</v>
      </c>
      <c r="T621">
        <v>2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3</v>
      </c>
      <c r="AB621">
        <v>11</v>
      </c>
      <c r="AC621">
        <v>0</v>
      </c>
      <c r="AD621" t="str">
        <f t="shared" si="117"/>
        <v>Ok</v>
      </c>
      <c r="AE621" t="str">
        <f>IF(AND(Audit_Data[[#This Row],[Year_Birth]]&gt;=1900,Audit_Data[[#This Row],[Year_Birth]]&lt;=2010),"OK","Invalid")</f>
        <v>OK</v>
      </c>
      <c r="AF621" t="str">
        <f t="shared" si="118"/>
        <v>Valid</v>
      </c>
      <c r="AG621" t="str">
        <f t="shared" si="119"/>
        <v>Valid</v>
      </c>
      <c r="AH621" t="str">
        <f t="shared" si="120"/>
        <v>Valid</v>
      </c>
      <c r="AI621" t="str">
        <f t="shared" si="121"/>
        <v>Valid</v>
      </c>
      <c r="AJ621" t="str">
        <f t="shared" si="122"/>
        <v>Valid</v>
      </c>
      <c r="AK621" t="str">
        <f t="shared" si="129"/>
        <v xml:space="preserve">Valid </v>
      </c>
      <c r="AL621" t="str">
        <f>IF(AND(Audit_Data[[#This Row],[Recency]]&gt;=0,Audit_Data[[#This Row],[Recency]]&lt;=100),"Valid","Invalid")</f>
        <v>Valid</v>
      </c>
      <c r="AM621" t="str">
        <f t="shared" si="123"/>
        <v>Valid</v>
      </c>
      <c r="AN621" t="str">
        <f t="shared" si="124"/>
        <v>Valid</v>
      </c>
      <c r="AO621" t="str">
        <f t="shared" si="125"/>
        <v>Valid</v>
      </c>
      <c r="AP621" t="str">
        <f t="shared" si="126"/>
        <v>Valid</v>
      </c>
      <c r="AQ621" t="str">
        <f>IF(Audit_Data[[#This Row],[Z_CostContact]]=3,"Valid","Invalid")</f>
        <v>Valid</v>
      </c>
      <c r="AR621" t="str">
        <f t="shared" si="127"/>
        <v>Valid</v>
      </c>
      <c r="AS621" t="str">
        <f t="shared" si="128"/>
        <v>Valid</v>
      </c>
    </row>
    <row r="622" spans="1:45" x14ac:dyDescent="0.3">
      <c r="A622">
        <v>2782</v>
      </c>
      <c r="B622">
        <v>1961</v>
      </c>
      <c r="C622" t="s">
        <v>32</v>
      </c>
      <c r="D622" t="s">
        <v>33</v>
      </c>
      <c r="E622">
        <v>54456</v>
      </c>
      <c r="F622">
        <v>0</v>
      </c>
      <c r="G622">
        <v>1</v>
      </c>
      <c r="H622" s="1">
        <v>41466</v>
      </c>
      <c r="I622">
        <v>23</v>
      </c>
      <c r="J622">
        <v>352</v>
      </c>
      <c r="K622">
        <v>0</v>
      </c>
      <c r="L622">
        <v>27</v>
      </c>
      <c r="M622">
        <v>10</v>
      </c>
      <c r="N622">
        <v>0</v>
      </c>
      <c r="O622">
        <v>15</v>
      </c>
      <c r="P622">
        <v>3</v>
      </c>
      <c r="Q622">
        <v>6</v>
      </c>
      <c r="R622">
        <v>1</v>
      </c>
      <c r="S622">
        <v>7</v>
      </c>
      <c r="T622">
        <v>6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3</v>
      </c>
      <c r="AB622">
        <v>11</v>
      </c>
      <c r="AC622">
        <v>0</v>
      </c>
      <c r="AD622" t="str">
        <f t="shared" si="117"/>
        <v>Ok</v>
      </c>
      <c r="AE622" t="str">
        <f>IF(AND(Audit_Data[[#This Row],[Year_Birth]]&gt;=1900,Audit_Data[[#This Row],[Year_Birth]]&lt;=2010),"OK","Invalid")</f>
        <v>OK</v>
      </c>
      <c r="AF622" t="str">
        <f t="shared" si="118"/>
        <v>Valid</v>
      </c>
      <c r="AG622" t="str">
        <f t="shared" si="119"/>
        <v>Valid</v>
      </c>
      <c r="AH622" t="str">
        <f t="shared" si="120"/>
        <v>Valid</v>
      </c>
      <c r="AI622" t="str">
        <f t="shared" si="121"/>
        <v>Valid</v>
      </c>
      <c r="AJ622" t="str">
        <f t="shared" si="122"/>
        <v>Valid</v>
      </c>
      <c r="AK622" t="str">
        <f t="shared" si="129"/>
        <v xml:space="preserve">Valid </v>
      </c>
      <c r="AL622" t="str">
        <f>IF(AND(Audit_Data[[#This Row],[Recency]]&gt;=0,Audit_Data[[#This Row],[Recency]]&lt;=100),"Valid","Invalid")</f>
        <v>Valid</v>
      </c>
      <c r="AM622" t="str">
        <f t="shared" si="123"/>
        <v>Valid</v>
      </c>
      <c r="AN622" t="str">
        <f t="shared" si="124"/>
        <v>Valid</v>
      </c>
      <c r="AO622" t="str">
        <f t="shared" si="125"/>
        <v>Valid</v>
      </c>
      <c r="AP622" t="str">
        <f t="shared" si="126"/>
        <v>Valid</v>
      </c>
      <c r="AQ622" t="str">
        <f>IF(Audit_Data[[#This Row],[Z_CostContact]]=3,"Valid","Invalid")</f>
        <v>Valid</v>
      </c>
      <c r="AR622" t="str">
        <f t="shared" si="127"/>
        <v>Valid</v>
      </c>
      <c r="AS622" t="str">
        <f t="shared" si="128"/>
        <v>Valid</v>
      </c>
    </row>
    <row r="623" spans="1:45" x14ac:dyDescent="0.3">
      <c r="A623">
        <v>6941</v>
      </c>
      <c r="B623">
        <v>1971</v>
      </c>
      <c r="C623" t="s">
        <v>29</v>
      </c>
      <c r="D623" t="s">
        <v>30</v>
      </c>
      <c r="E623">
        <v>31632</v>
      </c>
      <c r="F623">
        <v>0</v>
      </c>
      <c r="G623">
        <v>0</v>
      </c>
      <c r="H623" s="1">
        <v>41469</v>
      </c>
      <c r="I623">
        <v>92</v>
      </c>
      <c r="J623">
        <v>17</v>
      </c>
      <c r="K623">
        <v>8</v>
      </c>
      <c r="L623">
        <v>12</v>
      </c>
      <c r="M623">
        <v>11</v>
      </c>
      <c r="N623">
        <v>15</v>
      </c>
      <c r="O623">
        <v>32</v>
      </c>
      <c r="P623">
        <v>1</v>
      </c>
      <c r="Q623">
        <v>2</v>
      </c>
      <c r="R623">
        <v>1</v>
      </c>
      <c r="S623">
        <v>2</v>
      </c>
      <c r="T623">
        <v>7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3</v>
      </c>
      <c r="AB623">
        <v>11</v>
      </c>
      <c r="AC623">
        <v>0</v>
      </c>
      <c r="AD623" t="str">
        <f t="shared" si="117"/>
        <v>Ok</v>
      </c>
      <c r="AE623" t="str">
        <f>IF(AND(Audit_Data[[#This Row],[Year_Birth]]&gt;=1900,Audit_Data[[#This Row],[Year_Birth]]&lt;=2010),"OK","Invalid")</f>
        <v>OK</v>
      </c>
      <c r="AF623" t="str">
        <f t="shared" si="118"/>
        <v>Valid</v>
      </c>
      <c r="AG623" t="str">
        <f t="shared" si="119"/>
        <v>Valid</v>
      </c>
      <c r="AH623" t="str">
        <f t="shared" si="120"/>
        <v>Valid</v>
      </c>
      <c r="AI623" t="str">
        <f t="shared" si="121"/>
        <v>Valid</v>
      </c>
      <c r="AJ623" t="str">
        <f t="shared" si="122"/>
        <v>Valid</v>
      </c>
      <c r="AK623" t="str">
        <f t="shared" si="129"/>
        <v xml:space="preserve">Valid </v>
      </c>
      <c r="AL623" t="str">
        <f>IF(AND(Audit_Data[[#This Row],[Recency]]&gt;=0,Audit_Data[[#This Row],[Recency]]&lt;=100),"Valid","Invalid")</f>
        <v>Valid</v>
      </c>
      <c r="AM623" t="str">
        <f t="shared" si="123"/>
        <v>Valid</v>
      </c>
      <c r="AN623" t="str">
        <f t="shared" si="124"/>
        <v>Valid</v>
      </c>
      <c r="AO623" t="str">
        <f t="shared" si="125"/>
        <v>Valid</v>
      </c>
      <c r="AP623" t="str">
        <f t="shared" si="126"/>
        <v>Valid</v>
      </c>
      <c r="AQ623" t="str">
        <f>IF(Audit_Data[[#This Row],[Z_CostContact]]=3,"Valid","Invalid")</f>
        <v>Valid</v>
      </c>
      <c r="AR623" t="str">
        <f t="shared" si="127"/>
        <v>Valid</v>
      </c>
      <c r="AS623" t="str">
        <f t="shared" si="128"/>
        <v>Valid</v>
      </c>
    </row>
    <row r="624" spans="1:45" x14ac:dyDescent="0.3">
      <c r="A624">
        <v>10972</v>
      </c>
      <c r="B624">
        <v>1949</v>
      </c>
      <c r="C624" t="s">
        <v>29</v>
      </c>
      <c r="D624" t="s">
        <v>38</v>
      </c>
      <c r="E624">
        <v>72298</v>
      </c>
      <c r="F624">
        <v>0</v>
      </c>
      <c r="G624">
        <v>0</v>
      </c>
      <c r="H624" s="1">
        <v>41708</v>
      </c>
      <c r="I624">
        <v>52</v>
      </c>
      <c r="J624">
        <v>625</v>
      </c>
      <c r="K624">
        <v>35</v>
      </c>
      <c r="L624">
        <v>169</v>
      </c>
      <c r="M624">
        <v>58</v>
      </c>
      <c r="N624">
        <v>17</v>
      </c>
      <c r="O624">
        <v>35</v>
      </c>
      <c r="P624">
        <v>1</v>
      </c>
      <c r="Q624">
        <v>4</v>
      </c>
      <c r="R624">
        <v>3</v>
      </c>
      <c r="S624">
        <v>6</v>
      </c>
      <c r="T624">
        <v>1</v>
      </c>
      <c r="U624">
        <v>0</v>
      </c>
      <c r="V624">
        <v>1</v>
      </c>
      <c r="W624">
        <v>1</v>
      </c>
      <c r="X624">
        <v>0</v>
      </c>
      <c r="Y624">
        <v>0</v>
      </c>
      <c r="Z624">
        <v>0</v>
      </c>
      <c r="AA624">
        <v>3</v>
      </c>
      <c r="AB624">
        <v>11</v>
      </c>
      <c r="AC624">
        <v>0</v>
      </c>
      <c r="AD624" t="str">
        <f t="shared" si="117"/>
        <v>Ok</v>
      </c>
      <c r="AE624" t="str">
        <f>IF(AND(Audit_Data[[#This Row],[Year_Birth]]&gt;=1900,Audit_Data[[#This Row],[Year_Birth]]&lt;=2010),"OK","Invalid")</f>
        <v>OK</v>
      </c>
      <c r="AF624" t="str">
        <f t="shared" si="118"/>
        <v>Valid</v>
      </c>
      <c r="AG624" t="str">
        <f t="shared" si="119"/>
        <v>Valid</v>
      </c>
      <c r="AH624" t="str">
        <f t="shared" si="120"/>
        <v>Valid</v>
      </c>
      <c r="AI624" t="str">
        <f t="shared" si="121"/>
        <v>Valid</v>
      </c>
      <c r="AJ624" t="str">
        <f t="shared" si="122"/>
        <v>Valid</v>
      </c>
      <c r="AK624" t="str">
        <f t="shared" si="129"/>
        <v xml:space="preserve">Valid </v>
      </c>
      <c r="AL624" t="str">
        <f>IF(AND(Audit_Data[[#This Row],[Recency]]&gt;=0,Audit_Data[[#This Row],[Recency]]&lt;=100),"Valid","Invalid")</f>
        <v>Valid</v>
      </c>
      <c r="AM624" t="str">
        <f t="shared" si="123"/>
        <v>Valid</v>
      </c>
      <c r="AN624" t="str">
        <f t="shared" si="124"/>
        <v>Valid</v>
      </c>
      <c r="AO624" t="str">
        <f t="shared" si="125"/>
        <v>Valid</v>
      </c>
      <c r="AP624" t="str">
        <f t="shared" si="126"/>
        <v>Valid</v>
      </c>
      <c r="AQ624" t="str">
        <f>IF(Audit_Data[[#This Row],[Z_CostContact]]=3,"Valid","Invalid")</f>
        <v>Valid</v>
      </c>
      <c r="AR624" t="str">
        <f t="shared" si="127"/>
        <v>Valid</v>
      </c>
      <c r="AS624" t="str">
        <f t="shared" si="128"/>
        <v>Valid</v>
      </c>
    </row>
    <row r="625" spans="1:45" x14ac:dyDescent="0.3">
      <c r="A625">
        <v>10708</v>
      </c>
      <c r="B625">
        <v>1978</v>
      </c>
      <c r="C625" t="s">
        <v>37</v>
      </c>
      <c r="D625" t="s">
        <v>30</v>
      </c>
      <c r="E625">
        <v>36975</v>
      </c>
      <c r="F625">
        <v>1</v>
      </c>
      <c r="G625">
        <v>0</v>
      </c>
      <c r="H625" s="1">
        <v>41636</v>
      </c>
      <c r="I625">
        <v>50</v>
      </c>
      <c r="J625">
        <v>10</v>
      </c>
      <c r="K625">
        <v>6</v>
      </c>
      <c r="L625">
        <v>11</v>
      </c>
      <c r="M625">
        <v>0</v>
      </c>
      <c r="N625">
        <v>4</v>
      </c>
      <c r="O625">
        <v>2</v>
      </c>
      <c r="P625">
        <v>1</v>
      </c>
      <c r="Q625">
        <v>1</v>
      </c>
      <c r="R625">
        <v>0</v>
      </c>
      <c r="S625">
        <v>3</v>
      </c>
      <c r="T625">
        <v>7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3</v>
      </c>
      <c r="AB625">
        <v>11</v>
      </c>
      <c r="AC625">
        <v>0</v>
      </c>
      <c r="AD625" t="str">
        <f t="shared" si="117"/>
        <v>Ok</v>
      </c>
      <c r="AE625" t="str">
        <f>IF(AND(Audit_Data[[#This Row],[Year_Birth]]&gt;=1900,Audit_Data[[#This Row],[Year_Birth]]&lt;=2010),"OK","Invalid")</f>
        <v>OK</v>
      </c>
      <c r="AF625" t="str">
        <f t="shared" si="118"/>
        <v>Valid</v>
      </c>
      <c r="AG625" t="str">
        <f t="shared" si="119"/>
        <v>Valid</v>
      </c>
      <c r="AH625" t="str">
        <f t="shared" si="120"/>
        <v>Valid</v>
      </c>
      <c r="AI625" t="str">
        <f t="shared" si="121"/>
        <v>Valid</v>
      </c>
      <c r="AJ625" t="str">
        <f t="shared" si="122"/>
        <v>Valid</v>
      </c>
      <c r="AK625" t="str">
        <f t="shared" si="129"/>
        <v xml:space="preserve">Valid </v>
      </c>
      <c r="AL625" t="str">
        <f>IF(AND(Audit_Data[[#This Row],[Recency]]&gt;=0,Audit_Data[[#This Row],[Recency]]&lt;=100),"Valid","Invalid")</f>
        <v>Valid</v>
      </c>
      <c r="AM625" t="str">
        <f t="shared" si="123"/>
        <v>Valid</v>
      </c>
      <c r="AN625" t="str">
        <f t="shared" si="124"/>
        <v>Valid</v>
      </c>
      <c r="AO625" t="str">
        <f t="shared" si="125"/>
        <v>Valid</v>
      </c>
      <c r="AP625" t="str">
        <f t="shared" si="126"/>
        <v>Valid</v>
      </c>
      <c r="AQ625" t="str">
        <f>IF(Audit_Data[[#This Row],[Z_CostContact]]=3,"Valid","Invalid")</f>
        <v>Valid</v>
      </c>
      <c r="AR625" t="str">
        <f t="shared" si="127"/>
        <v>Valid</v>
      </c>
      <c r="AS625" t="str">
        <f t="shared" si="128"/>
        <v>Valid</v>
      </c>
    </row>
    <row r="626" spans="1:45" x14ac:dyDescent="0.3">
      <c r="A626">
        <v>6583</v>
      </c>
      <c r="B626">
        <v>1955</v>
      </c>
      <c r="C626" t="s">
        <v>37</v>
      </c>
      <c r="D626" t="s">
        <v>33</v>
      </c>
      <c r="E626">
        <v>72635</v>
      </c>
      <c r="F626">
        <v>0</v>
      </c>
      <c r="G626">
        <v>0</v>
      </c>
      <c r="H626" s="1">
        <v>41428</v>
      </c>
      <c r="I626">
        <v>54</v>
      </c>
      <c r="J626">
        <v>390</v>
      </c>
      <c r="K626">
        <v>22</v>
      </c>
      <c r="L626">
        <v>323</v>
      </c>
      <c r="M626">
        <v>104</v>
      </c>
      <c r="N626">
        <v>35</v>
      </c>
      <c r="O626">
        <v>107</v>
      </c>
      <c r="P626">
        <v>1</v>
      </c>
      <c r="Q626">
        <v>6</v>
      </c>
      <c r="R626">
        <v>8</v>
      </c>
      <c r="S626">
        <v>6</v>
      </c>
      <c r="T626">
        <v>3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>
        <v>3</v>
      </c>
      <c r="AB626">
        <v>11</v>
      </c>
      <c r="AC626">
        <v>0</v>
      </c>
      <c r="AD626" t="str">
        <f t="shared" si="117"/>
        <v>Ok</v>
      </c>
      <c r="AE626" t="str">
        <f>IF(AND(Audit_Data[[#This Row],[Year_Birth]]&gt;=1900,Audit_Data[[#This Row],[Year_Birth]]&lt;=2010),"OK","Invalid")</f>
        <v>OK</v>
      </c>
      <c r="AF626" t="str">
        <f t="shared" si="118"/>
        <v>Valid</v>
      </c>
      <c r="AG626" t="str">
        <f t="shared" si="119"/>
        <v>Valid</v>
      </c>
      <c r="AH626" t="str">
        <f t="shared" si="120"/>
        <v>Valid</v>
      </c>
      <c r="AI626" t="str">
        <f t="shared" si="121"/>
        <v>Valid</v>
      </c>
      <c r="AJ626" t="str">
        <f t="shared" si="122"/>
        <v>Valid</v>
      </c>
      <c r="AK626" t="str">
        <f t="shared" si="129"/>
        <v xml:space="preserve">Valid </v>
      </c>
      <c r="AL626" t="str">
        <f>IF(AND(Audit_Data[[#This Row],[Recency]]&gt;=0,Audit_Data[[#This Row],[Recency]]&lt;=100),"Valid","Invalid")</f>
        <v>Valid</v>
      </c>
      <c r="AM626" t="str">
        <f t="shared" si="123"/>
        <v>Valid</v>
      </c>
      <c r="AN626" t="str">
        <f t="shared" si="124"/>
        <v>Valid</v>
      </c>
      <c r="AO626" t="str">
        <f t="shared" si="125"/>
        <v>Valid</v>
      </c>
      <c r="AP626" t="str">
        <f t="shared" si="126"/>
        <v>Valid</v>
      </c>
      <c r="AQ626" t="str">
        <f>IF(Audit_Data[[#This Row],[Z_CostContact]]=3,"Valid","Invalid")</f>
        <v>Valid</v>
      </c>
      <c r="AR626" t="str">
        <f t="shared" si="127"/>
        <v>Valid</v>
      </c>
      <c r="AS626" t="str">
        <f t="shared" si="128"/>
        <v>Valid</v>
      </c>
    </row>
    <row r="627" spans="1:45" x14ac:dyDescent="0.3">
      <c r="A627">
        <v>3641</v>
      </c>
      <c r="B627">
        <v>1976</v>
      </c>
      <c r="C627" t="s">
        <v>29</v>
      </c>
      <c r="D627" t="s">
        <v>33</v>
      </c>
      <c r="E627">
        <v>13624</v>
      </c>
      <c r="F627">
        <v>1</v>
      </c>
      <c r="G627">
        <v>0</v>
      </c>
      <c r="H627" s="1">
        <v>41294</v>
      </c>
      <c r="I627">
        <v>93</v>
      </c>
      <c r="J627">
        <v>10</v>
      </c>
      <c r="K627">
        <v>2</v>
      </c>
      <c r="L627">
        <v>15</v>
      </c>
      <c r="M627">
        <v>2</v>
      </c>
      <c r="N627">
        <v>1</v>
      </c>
      <c r="O627">
        <v>6</v>
      </c>
      <c r="P627">
        <v>2</v>
      </c>
      <c r="Q627">
        <v>2</v>
      </c>
      <c r="R627">
        <v>0</v>
      </c>
      <c r="S627">
        <v>3</v>
      </c>
      <c r="T627">
        <v>6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3</v>
      </c>
      <c r="AB627">
        <v>11</v>
      </c>
      <c r="AC627">
        <v>0</v>
      </c>
      <c r="AD627" t="str">
        <f t="shared" si="117"/>
        <v>Ok</v>
      </c>
      <c r="AE627" t="str">
        <f>IF(AND(Audit_Data[[#This Row],[Year_Birth]]&gt;=1900,Audit_Data[[#This Row],[Year_Birth]]&lt;=2010),"OK","Invalid")</f>
        <v>OK</v>
      </c>
      <c r="AF627" t="str">
        <f t="shared" si="118"/>
        <v>Valid</v>
      </c>
      <c r="AG627" t="str">
        <f t="shared" si="119"/>
        <v>Valid</v>
      </c>
      <c r="AH627" t="str">
        <f t="shared" si="120"/>
        <v>Valid</v>
      </c>
      <c r="AI627" t="str">
        <f t="shared" si="121"/>
        <v>Valid</v>
      </c>
      <c r="AJ627" t="str">
        <f t="shared" si="122"/>
        <v>Valid</v>
      </c>
      <c r="AK627" t="str">
        <f t="shared" si="129"/>
        <v xml:space="preserve">Valid </v>
      </c>
      <c r="AL627" t="str">
        <f>IF(AND(Audit_Data[[#This Row],[Recency]]&gt;=0,Audit_Data[[#This Row],[Recency]]&lt;=100),"Valid","Invalid")</f>
        <v>Valid</v>
      </c>
      <c r="AM627" t="str">
        <f t="shared" si="123"/>
        <v>Valid</v>
      </c>
      <c r="AN627" t="str">
        <f t="shared" si="124"/>
        <v>Valid</v>
      </c>
      <c r="AO627" t="str">
        <f t="shared" si="125"/>
        <v>Valid</v>
      </c>
      <c r="AP627" t="str">
        <f t="shared" si="126"/>
        <v>Valid</v>
      </c>
      <c r="AQ627" t="str">
        <f>IF(Audit_Data[[#This Row],[Z_CostContact]]=3,"Valid","Invalid")</f>
        <v>Valid</v>
      </c>
      <c r="AR627" t="str">
        <f t="shared" si="127"/>
        <v>Valid</v>
      </c>
      <c r="AS627" t="str">
        <f t="shared" si="128"/>
        <v>Valid</v>
      </c>
    </row>
    <row r="628" spans="1:45" x14ac:dyDescent="0.3">
      <c r="A628">
        <v>10156</v>
      </c>
      <c r="B628">
        <v>1975</v>
      </c>
      <c r="C628" t="s">
        <v>29</v>
      </c>
      <c r="D628" t="s">
        <v>30</v>
      </c>
      <c r="E628">
        <v>84196</v>
      </c>
      <c r="F628">
        <v>0</v>
      </c>
      <c r="G628">
        <v>1</v>
      </c>
      <c r="H628" s="1">
        <v>41428</v>
      </c>
      <c r="I628">
        <v>56</v>
      </c>
      <c r="J628">
        <v>215</v>
      </c>
      <c r="K628">
        <v>63</v>
      </c>
      <c r="L628">
        <v>507</v>
      </c>
      <c r="M628">
        <v>231</v>
      </c>
      <c r="N628">
        <v>31</v>
      </c>
      <c r="O628">
        <v>190</v>
      </c>
      <c r="P628">
        <v>1</v>
      </c>
      <c r="Q628">
        <v>8</v>
      </c>
      <c r="R628">
        <v>4</v>
      </c>
      <c r="S628">
        <v>7</v>
      </c>
      <c r="T628">
        <v>3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3</v>
      </c>
      <c r="AB628">
        <v>11</v>
      </c>
      <c r="AC628">
        <v>0</v>
      </c>
      <c r="AD628" t="str">
        <f t="shared" si="117"/>
        <v>Ok</v>
      </c>
      <c r="AE628" t="str">
        <f>IF(AND(Audit_Data[[#This Row],[Year_Birth]]&gt;=1900,Audit_Data[[#This Row],[Year_Birth]]&lt;=2010),"OK","Invalid")</f>
        <v>OK</v>
      </c>
      <c r="AF628" t="str">
        <f t="shared" si="118"/>
        <v>Valid</v>
      </c>
      <c r="AG628" t="str">
        <f t="shared" si="119"/>
        <v>Valid</v>
      </c>
      <c r="AH628" t="str">
        <f t="shared" si="120"/>
        <v>Valid</v>
      </c>
      <c r="AI628" t="str">
        <f t="shared" si="121"/>
        <v>Valid</v>
      </c>
      <c r="AJ628" t="str">
        <f t="shared" si="122"/>
        <v>Valid</v>
      </c>
      <c r="AK628" t="str">
        <f t="shared" si="129"/>
        <v xml:space="preserve">Valid </v>
      </c>
      <c r="AL628" t="str">
        <f>IF(AND(Audit_Data[[#This Row],[Recency]]&gt;=0,Audit_Data[[#This Row],[Recency]]&lt;=100),"Valid","Invalid")</f>
        <v>Valid</v>
      </c>
      <c r="AM628" t="str">
        <f t="shared" si="123"/>
        <v>Valid</v>
      </c>
      <c r="AN628" t="str">
        <f t="shared" si="124"/>
        <v>Valid</v>
      </c>
      <c r="AO628" t="str">
        <f t="shared" si="125"/>
        <v>Valid</v>
      </c>
      <c r="AP628" t="str">
        <f t="shared" si="126"/>
        <v>Valid</v>
      </c>
      <c r="AQ628" t="str">
        <f>IF(Audit_Data[[#This Row],[Z_CostContact]]=3,"Valid","Invalid")</f>
        <v>Valid</v>
      </c>
      <c r="AR628" t="str">
        <f t="shared" si="127"/>
        <v>Valid</v>
      </c>
      <c r="AS628" t="str">
        <f t="shared" si="128"/>
        <v>Valid</v>
      </c>
    </row>
    <row r="629" spans="1:45" x14ac:dyDescent="0.3">
      <c r="A629">
        <v>4299</v>
      </c>
      <c r="B629">
        <v>1960</v>
      </c>
      <c r="C629" t="s">
        <v>29</v>
      </c>
      <c r="D629" t="s">
        <v>31</v>
      </c>
      <c r="E629">
        <v>70971</v>
      </c>
      <c r="F629">
        <v>0</v>
      </c>
      <c r="G629">
        <v>1</v>
      </c>
      <c r="H629" s="1">
        <v>41173</v>
      </c>
      <c r="I629">
        <v>28</v>
      </c>
      <c r="J629">
        <v>1001</v>
      </c>
      <c r="K629">
        <v>17</v>
      </c>
      <c r="L629">
        <v>572</v>
      </c>
      <c r="M629">
        <v>93</v>
      </c>
      <c r="N629">
        <v>125</v>
      </c>
      <c r="O629">
        <v>17</v>
      </c>
      <c r="P629">
        <v>7</v>
      </c>
      <c r="Q629">
        <v>11</v>
      </c>
      <c r="R629">
        <v>11</v>
      </c>
      <c r="S629">
        <v>5</v>
      </c>
      <c r="T629">
        <v>7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3</v>
      </c>
      <c r="AB629">
        <v>11</v>
      </c>
      <c r="AC629">
        <v>1</v>
      </c>
      <c r="AD629" t="str">
        <f t="shared" si="117"/>
        <v>Ok</v>
      </c>
      <c r="AE629" t="str">
        <f>IF(AND(Audit_Data[[#This Row],[Year_Birth]]&gt;=1900,Audit_Data[[#This Row],[Year_Birth]]&lt;=2010),"OK","Invalid")</f>
        <v>OK</v>
      </c>
      <c r="AF629" t="str">
        <f t="shared" si="118"/>
        <v>Valid</v>
      </c>
      <c r="AG629" t="str">
        <f t="shared" si="119"/>
        <v>Valid</v>
      </c>
      <c r="AH629" t="str">
        <f t="shared" si="120"/>
        <v>Valid</v>
      </c>
      <c r="AI629" t="str">
        <f t="shared" si="121"/>
        <v>Valid</v>
      </c>
      <c r="AJ629" t="str">
        <f t="shared" si="122"/>
        <v>Valid</v>
      </c>
      <c r="AK629" t="str">
        <f t="shared" si="129"/>
        <v xml:space="preserve">Valid </v>
      </c>
      <c r="AL629" t="str">
        <f>IF(AND(Audit_Data[[#This Row],[Recency]]&gt;=0,Audit_Data[[#This Row],[Recency]]&lt;=100),"Valid","Invalid")</f>
        <v>Valid</v>
      </c>
      <c r="AM629" t="str">
        <f t="shared" si="123"/>
        <v>Valid</v>
      </c>
      <c r="AN629" t="str">
        <f t="shared" si="124"/>
        <v>Valid</v>
      </c>
      <c r="AO629" t="str">
        <f t="shared" si="125"/>
        <v>Valid</v>
      </c>
      <c r="AP629" t="str">
        <f t="shared" si="126"/>
        <v>Valid</v>
      </c>
      <c r="AQ629" t="str">
        <f>IF(Audit_Data[[#This Row],[Z_CostContact]]=3,"Valid","Invalid")</f>
        <v>Valid</v>
      </c>
      <c r="AR629" t="str">
        <f t="shared" si="127"/>
        <v>Valid</v>
      </c>
      <c r="AS629" t="str">
        <f t="shared" si="128"/>
        <v>Valid</v>
      </c>
    </row>
    <row r="630" spans="1:45" x14ac:dyDescent="0.3">
      <c r="A630">
        <v>3469</v>
      </c>
      <c r="B630">
        <v>1977</v>
      </c>
      <c r="C630" t="s">
        <v>32</v>
      </c>
      <c r="D630" t="s">
        <v>35</v>
      </c>
      <c r="E630">
        <v>34487</v>
      </c>
      <c r="F630">
        <v>1</v>
      </c>
      <c r="G630">
        <v>1</v>
      </c>
      <c r="H630" s="1">
        <v>41158</v>
      </c>
      <c r="I630">
        <v>94</v>
      </c>
      <c r="J630">
        <v>19</v>
      </c>
      <c r="K630">
        <v>18</v>
      </c>
      <c r="L630">
        <v>33</v>
      </c>
      <c r="M630">
        <v>24</v>
      </c>
      <c r="N630">
        <v>1</v>
      </c>
      <c r="O630">
        <v>8</v>
      </c>
      <c r="P630">
        <v>3</v>
      </c>
      <c r="Q630">
        <v>3</v>
      </c>
      <c r="R630">
        <v>0</v>
      </c>
      <c r="S630">
        <v>3</v>
      </c>
      <c r="T630">
        <v>9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3</v>
      </c>
      <c r="AB630">
        <v>11</v>
      </c>
      <c r="AC630">
        <v>0</v>
      </c>
      <c r="AD630" t="str">
        <f t="shared" si="117"/>
        <v>Ok</v>
      </c>
      <c r="AE630" t="str">
        <f>IF(AND(Audit_Data[[#This Row],[Year_Birth]]&gt;=1900,Audit_Data[[#This Row],[Year_Birth]]&lt;=2010),"OK","Invalid")</f>
        <v>OK</v>
      </c>
      <c r="AF630" t="str">
        <f t="shared" si="118"/>
        <v>Valid</v>
      </c>
      <c r="AG630" t="str">
        <f t="shared" si="119"/>
        <v>Valid</v>
      </c>
      <c r="AH630" t="str">
        <f t="shared" si="120"/>
        <v>Valid</v>
      </c>
      <c r="AI630" t="str">
        <f t="shared" si="121"/>
        <v>Valid</v>
      </c>
      <c r="AJ630" t="str">
        <f t="shared" si="122"/>
        <v>Valid</v>
      </c>
      <c r="AK630" t="str">
        <f t="shared" si="129"/>
        <v xml:space="preserve">Valid </v>
      </c>
      <c r="AL630" t="str">
        <f>IF(AND(Audit_Data[[#This Row],[Recency]]&gt;=0,Audit_Data[[#This Row],[Recency]]&lt;=100),"Valid","Invalid")</f>
        <v>Valid</v>
      </c>
      <c r="AM630" t="str">
        <f t="shared" si="123"/>
        <v>Valid</v>
      </c>
      <c r="AN630" t="str">
        <f t="shared" si="124"/>
        <v>Valid</v>
      </c>
      <c r="AO630" t="str">
        <f t="shared" si="125"/>
        <v>Valid</v>
      </c>
      <c r="AP630" t="str">
        <f t="shared" si="126"/>
        <v>Valid</v>
      </c>
      <c r="AQ630" t="str">
        <f>IF(Audit_Data[[#This Row],[Z_CostContact]]=3,"Valid","Invalid")</f>
        <v>Valid</v>
      </c>
      <c r="AR630" t="str">
        <f t="shared" si="127"/>
        <v>Valid</v>
      </c>
      <c r="AS630" t="str">
        <f t="shared" si="128"/>
        <v>Valid</v>
      </c>
    </row>
    <row r="631" spans="1:45" x14ac:dyDescent="0.3">
      <c r="A631">
        <v>5063</v>
      </c>
      <c r="B631">
        <v>1977</v>
      </c>
      <c r="C631" t="s">
        <v>29</v>
      </c>
      <c r="D631" t="s">
        <v>30</v>
      </c>
      <c r="E631">
        <v>28769</v>
      </c>
      <c r="F631">
        <v>1</v>
      </c>
      <c r="G631">
        <v>0</v>
      </c>
      <c r="H631" s="1">
        <v>41261</v>
      </c>
      <c r="I631">
        <v>76</v>
      </c>
      <c r="J631">
        <v>41</v>
      </c>
      <c r="K631">
        <v>5</v>
      </c>
      <c r="L631">
        <v>129</v>
      </c>
      <c r="M631">
        <v>10</v>
      </c>
      <c r="N631">
        <v>3</v>
      </c>
      <c r="O631">
        <v>3</v>
      </c>
      <c r="P631">
        <v>3</v>
      </c>
      <c r="Q631">
        <v>4</v>
      </c>
      <c r="R631">
        <v>1</v>
      </c>
      <c r="S631">
        <v>4</v>
      </c>
      <c r="T631">
        <v>9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3</v>
      </c>
      <c r="AB631">
        <v>11</v>
      </c>
      <c r="AC631">
        <v>0</v>
      </c>
      <c r="AD631" t="str">
        <f t="shared" si="117"/>
        <v>Ok</v>
      </c>
      <c r="AE631" t="str">
        <f>IF(AND(Audit_Data[[#This Row],[Year_Birth]]&gt;=1900,Audit_Data[[#This Row],[Year_Birth]]&lt;=2010),"OK","Invalid")</f>
        <v>OK</v>
      </c>
      <c r="AF631" t="str">
        <f t="shared" si="118"/>
        <v>Valid</v>
      </c>
      <c r="AG631" t="str">
        <f t="shared" si="119"/>
        <v>Valid</v>
      </c>
      <c r="AH631" t="str">
        <f t="shared" si="120"/>
        <v>Valid</v>
      </c>
      <c r="AI631" t="str">
        <f t="shared" si="121"/>
        <v>Valid</v>
      </c>
      <c r="AJ631" t="str">
        <f t="shared" si="122"/>
        <v>Valid</v>
      </c>
      <c r="AK631" t="str">
        <f t="shared" si="129"/>
        <v xml:space="preserve">Valid </v>
      </c>
      <c r="AL631" t="str">
        <f>IF(AND(Audit_Data[[#This Row],[Recency]]&gt;=0,Audit_Data[[#This Row],[Recency]]&lt;=100),"Valid","Invalid")</f>
        <v>Valid</v>
      </c>
      <c r="AM631" t="str">
        <f t="shared" si="123"/>
        <v>Valid</v>
      </c>
      <c r="AN631" t="str">
        <f t="shared" si="124"/>
        <v>Valid</v>
      </c>
      <c r="AO631" t="str">
        <f t="shared" si="125"/>
        <v>Valid</v>
      </c>
      <c r="AP631" t="str">
        <f t="shared" si="126"/>
        <v>Valid</v>
      </c>
      <c r="AQ631" t="str">
        <f>IF(Audit_Data[[#This Row],[Z_CostContact]]=3,"Valid","Invalid")</f>
        <v>Valid</v>
      </c>
      <c r="AR631" t="str">
        <f t="shared" si="127"/>
        <v>Valid</v>
      </c>
      <c r="AS631" t="str">
        <f t="shared" si="128"/>
        <v>Valid</v>
      </c>
    </row>
    <row r="632" spans="1:45" x14ac:dyDescent="0.3">
      <c r="A632">
        <v>10727</v>
      </c>
      <c r="B632">
        <v>1970</v>
      </c>
      <c r="C632" t="s">
        <v>32</v>
      </c>
      <c r="D632" t="s">
        <v>33</v>
      </c>
      <c r="E632">
        <v>69084</v>
      </c>
      <c r="F632">
        <v>1</v>
      </c>
      <c r="G632">
        <v>0</v>
      </c>
      <c r="H632" s="1">
        <v>41597</v>
      </c>
      <c r="I632">
        <v>43</v>
      </c>
      <c r="J632">
        <v>1181</v>
      </c>
      <c r="K632">
        <v>107</v>
      </c>
      <c r="L632">
        <v>199</v>
      </c>
      <c r="M632">
        <v>39</v>
      </c>
      <c r="N632">
        <v>30</v>
      </c>
      <c r="O632">
        <v>30</v>
      </c>
      <c r="P632">
        <v>2</v>
      </c>
      <c r="Q632">
        <v>7</v>
      </c>
      <c r="R632">
        <v>3</v>
      </c>
      <c r="S632">
        <v>13</v>
      </c>
      <c r="T632">
        <v>8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3</v>
      </c>
      <c r="AB632">
        <v>11</v>
      </c>
      <c r="AC632">
        <v>0</v>
      </c>
      <c r="AD632" t="str">
        <f t="shared" si="117"/>
        <v>Ok</v>
      </c>
      <c r="AE632" t="str">
        <f>IF(AND(Audit_Data[[#This Row],[Year_Birth]]&gt;=1900,Audit_Data[[#This Row],[Year_Birth]]&lt;=2010),"OK","Invalid")</f>
        <v>OK</v>
      </c>
      <c r="AF632" t="str">
        <f t="shared" si="118"/>
        <v>Valid</v>
      </c>
      <c r="AG632" t="str">
        <f t="shared" si="119"/>
        <v>Valid</v>
      </c>
      <c r="AH632" t="str">
        <f t="shared" si="120"/>
        <v>Valid</v>
      </c>
      <c r="AI632" t="str">
        <f t="shared" si="121"/>
        <v>Valid</v>
      </c>
      <c r="AJ632" t="str">
        <f t="shared" si="122"/>
        <v>Valid</v>
      </c>
      <c r="AK632" t="str">
        <f t="shared" si="129"/>
        <v xml:space="preserve">Valid </v>
      </c>
      <c r="AL632" t="str">
        <f>IF(AND(Audit_Data[[#This Row],[Recency]]&gt;=0,Audit_Data[[#This Row],[Recency]]&lt;=100),"Valid","Invalid")</f>
        <v>Valid</v>
      </c>
      <c r="AM632" t="str">
        <f t="shared" si="123"/>
        <v>Valid</v>
      </c>
      <c r="AN632" t="str">
        <f t="shared" si="124"/>
        <v>Valid</v>
      </c>
      <c r="AO632" t="str">
        <f t="shared" si="125"/>
        <v>Valid</v>
      </c>
      <c r="AP632" t="str">
        <f t="shared" si="126"/>
        <v>Valid</v>
      </c>
      <c r="AQ632" t="str">
        <f>IF(Audit_Data[[#This Row],[Z_CostContact]]=3,"Valid","Invalid")</f>
        <v>Valid</v>
      </c>
      <c r="AR632" t="str">
        <f t="shared" si="127"/>
        <v>Valid</v>
      </c>
      <c r="AS632" t="str">
        <f t="shared" si="128"/>
        <v>Valid</v>
      </c>
    </row>
    <row r="633" spans="1:45" x14ac:dyDescent="0.3">
      <c r="A633">
        <v>9624</v>
      </c>
      <c r="B633">
        <v>1958</v>
      </c>
      <c r="C633" t="s">
        <v>32</v>
      </c>
      <c r="D633" t="s">
        <v>31</v>
      </c>
      <c r="E633">
        <v>65488</v>
      </c>
      <c r="F633">
        <v>0</v>
      </c>
      <c r="G633">
        <v>0</v>
      </c>
      <c r="H633" s="1">
        <v>41803</v>
      </c>
      <c r="I633">
        <v>46</v>
      </c>
      <c r="J633">
        <v>603</v>
      </c>
      <c r="K633">
        <v>45</v>
      </c>
      <c r="L633">
        <v>207</v>
      </c>
      <c r="M633">
        <v>36</v>
      </c>
      <c r="N633">
        <v>18</v>
      </c>
      <c r="O633">
        <v>54</v>
      </c>
      <c r="P633">
        <v>1</v>
      </c>
      <c r="Q633">
        <v>3</v>
      </c>
      <c r="R633">
        <v>4</v>
      </c>
      <c r="S633">
        <v>6</v>
      </c>
      <c r="T633">
        <v>1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3</v>
      </c>
      <c r="AB633">
        <v>11</v>
      </c>
      <c r="AC633">
        <v>0</v>
      </c>
      <c r="AD633" t="str">
        <f t="shared" si="117"/>
        <v>Ok</v>
      </c>
      <c r="AE633" t="str">
        <f>IF(AND(Audit_Data[[#This Row],[Year_Birth]]&gt;=1900,Audit_Data[[#This Row],[Year_Birth]]&lt;=2010),"OK","Invalid")</f>
        <v>OK</v>
      </c>
      <c r="AF633" t="str">
        <f t="shared" si="118"/>
        <v>Valid</v>
      </c>
      <c r="AG633" t="str">
        <f t="shared" si="119"/>
        <v>Valid</v>
      </c>
      <c r="AH633" t="str">
        <f t="shared" si="120"/>
        <v>Valid</v>
      </c>
      <c r="AI633" t="str">
        <f t="shared" si="121"/>
        <v>Valid</v>
      </c>
      <c r="AJ633" t="str">
        <f t="shared" si="122"/>
        <v>Valid</v>
      </c>
      <c r="AK633" t="str">
        <f t="shared" si="129"/>
        <v xml:space="preserve">Valid </v>
      </c>
      <c r="AL633" t="str">
        <f>IF(AND(Audit_Data[[#This Row],[Recency]]&gt;=0,Audit_Data[[#This Row],[Recency]]&lt;=100),"Valid","Invalid")</f>
        <v>Valid</v>
      </c>
      <c r="AM633" t="str">
        <f t="shared" si="123"/>
        <v>Valid</v>
      </c>
      <c r="AN633" t="str">
        <f t="shared" si="124"/>
        <v>Valid</v>
      </c>
      <c r="AO633" t="str">
        <f t="shared" si="125"/>
        <v>Valid</v>
      </c>
      <c r="AP633" t="str">
        <f t="shared" si="126"/>
        <v>Valid</v>
      </c>
      <c r="AQ633" t="str">
        <f>IF(Audit_Data[[#This Row],[Z_CostContact]]=3,"Valid","Invalid")</f>
        <v>Valid</v>
      </c>
      <c r="AR633" t="str">
        <f t="shared" si="127"/>
        <v>Valid</v>
      </c>
      <c r="AS633" t="str">
        <f t="shared" si="128"/>
        <v>Valid</v>
      </c>
    </row>
    <row r="634" spans="1:45" x14ac:dyDescent="0.3">
      <c r="A634">
        <v>5156</v>
      </c>
      <c r="B634">
        <v>1970</v>
      </c>
      <c r="C634" t="s">
        <v>37</v>
      </c>
      <c r="D634" t="s">
        <v>33</v>
      </c>
      <c r="E634">
        <v>62466</v>
      </c>
      <c r="F634">
        <v>0</v>
      </c>
      <c r="G634">
        <v>1</v>
      </c>
      <c r="H634" s="1">
        <v>41654</v>
      </c>
      <c r="I634">
        <v>13</v>
      </c>
      <c r="J634">
        <v>129</v>
      </c>
      <c r="K634">
        <v>129</v>
      </c>
      <c r="L634">
        <v>259</v>
      </c>
      <c r="M634">
        <v>168</v>
      </c>
      <c r="N634">
        <v>121</v>
      </c>
      <c r="O634">
        <v>83</v>
      </c>
      <c r="P634">
        <v>5</v>
      </c>
      <c r="Q634">
        <v>6</v>
      </c>
      <c r="R634">
        <v>3</v>
      </c>
      <c r="S634">
        <v>12</v>
      </c>
      <c r="T634">
        <v>4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3</v>
      </c>
      <c r="AB634">
        <v>11</v>
      </c>
      <c r="AC634">
        <v>0</v>
      </c>
      <c r="AD634" t="str">
        <f t="shared" si="117"/>
        <v>Ok</v>
      </c>
      <c r="AE634" t="str">
        <f>IF(AND(Audit_Data[[#This Row],[Year_Birth]]&gt;=1900,Audit_Data[[#This Row],[Year_Birth]]&lt;=2010),"OK","Invalid")</f>
        <v>OK</v>
      </c>
      <c r="AF634" t="str">
        <f t="shared" si="118"/>
        <v>Valid</v>
      </c>
      <c r="AG634" t="str">
        <f t="shared" si="119"/>
        <v>Valid</v>
      </c>
      <c r="AH634" t="str">
        <f t="shared" si="120"/>
        <v>Valid</v>
      </c>
      <c r="AI634" t="str">
        <f t="shared" si="121"/>
        <v>Valid</v>
      </c>
      <c r="AJ634" t="str">
        <f t="shared" si="122"/>
        <v>Valid</v>
      </c>
      <c r="AK634" t="str">
        <f t="shared" si="129"/>
        <v xml:space="preserve">Valid </v>
      </c>
      <c r="AL634" t="str">
        <f>IF(AND(Audit_Data[[#This Row],[Recency]]&gt;=0,Audit_Data[[#This Row],[Recency]]&lt;=100),"Valid","Invalid")</f>
        <v>Valid</v>
      </c>
      <c r="AM634" t="str">
        <f t="shared" si="123"/>
        <v>Valid</v>
      </c>
      <c r="AN634" t="str">
        <f t="shared" si="124"/>
        <v>Valid</v>
      </c>
      <c r="AO634" t="str">
        <f t="shared" si="125"/>
        <v>Valid</v>
      </c>
      <c r="AP634" t="str">
        <f t="shared" si="126"/>
        <v>Valid</v>
      </c>
      <c r="AQ634" t="str">
        <f>IF(Audit_Data[[#This Row],[Z_CostContact]]=3,"Valid","Invalid")</f>
        <v>Valid</v>
      </c>
      <c r="AR634" t="str">
        <f t="shared" si="127"/>
        <v>Valid</v>
      </c>
      <c r="AS634" t="str">
        <f t="shared" si="128"/>
        <v>Valid</v>
      </c>
    </row>
    <row r="635" spans="1:45" x14ac:dyDescent="0.3">
      <c r="A635">
        <v>4376</v>
      </c>
      <c r="B635">
        <v>1960</v>
      </c>
      <c r="C635" t="s">
        <v>37</v>
      </c>
      <c r="D635" t="s">
        <v>30</v>
      </c>
      <c r="E635">
        <v>32218</v>
      </c>
      <c r="F635">
        <v>0</v>
      </c>
      <c r="G635">
        <v>0</v>
      </c>
      <c r="H635" s="1">
        <v>41685</v>
      </c>
      <c r="I635">
        <v>27</v>
      </c>
      <c r="J635">
        <v>10</v>
      </c>
      <c r="K635">
        <v>24</v>
      </c>
      <c r="L635">
        <v>15</v>
      </c>
      <c r="M635">
        <v>13</v>
      </c>
      <c r="N635">
        <v>1</v>
      </c>
      <c r="O635">
        <v>30</v>
      </c>
      <c r="P635">
        <v>1</v>
      </c>
      <c r="Q635">
        <v>2</v>
      </c>
      <c r="R635">
        <v>1</v>
      </c>
      <c r="S635">
        <v>3</v>
      </c>
      <c r="T635">
        <v>7</v>
      </c>
      <c r="U635">
        <v>1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3</v>
      </c>
      <c r="AB635">
        <v>11</v>
      </c>
      <c r="AC635">
        <v>1</v>
      </c>
      <c r="AD635" t="str">
        <f t="shared" si="117"/>
        <v>Ok</v>
      </c>
      <c r="AE635" t="str">
        <f>IF(AND(Audit_Data[[#This Row],[Year_Birth]]&gt;=1900,Audit_Data[[#This Row],[Year_Birth]]&lt;=2010),"OK","Invalid")</f>
        <v>OK</v>
      </c>
      <c r="AF635" t="str">
        <f t="shared" si="118"/>
        <v>Valid</v>
      </c>
      <c r="AG635" t="str">
        <f t="shared" si="119"/>
        <v>Valid</v>
      </c>
      <c r="AH635" t="str">
        <f t="shared" si="120"/>
        <v>Valid</v>
      </c>
      <c r="AI635" t="str">
        <f t="shared" si="121"/>
        <v>Valid</v>
      </c>
      <c r="AJ635" t="str">
        <f t="shared" si="122"/>
        <v>Valid</v>
      </c>
      <c r="AK635" t="str">
        <f t="shared" si="129"/>
        <v xml:space="preserve">Valid </v>
      </c>
      <c r="AL635" t="str">
        <f>IF(AND(Audit_Data[[#This Row],[Recency]]&gt;=0,Audit_Data[[#This Row],[Recency]]&lt;=100),"Valid","Invalid")</f>
        <v>Valid</v>
      </c>
      <c r="AM635" t="str">
        <f t="shared" si="123"/>
        <v>Valid</v>
      </c>
      <c r="AN635" t="str">
        <f t="shared" si="124"/>
        <v>Valid</v>
      </c>
      <c r="AO635" t="str">
        <f t="shared" si="125"/>
        <v>Valid</v>
      </c>
      <c r="AP635" t="str">
        <f t="shared" si="126"/>
        <v>Valid</v>
      </c>
      <c r="AQ635" t="str">
        <f>IF(Audit_Data[[#This Row],[Z_CostContact]]=3,"Valid","Invalid")</f>
        <v>Valid</v>
      </c>
      <c r="AR635" t="str">
        <f t="shared" si="127"/>
        <v>Valid</v>
      </c>
      <c r="AS635" t="str">
        <f t="shared" si="128"/>
        <v>Valid</v>
      </c>
    </row>
    <row r="636" spans="1:45" x14ac:dyDescent="0.3">
      <c r="A636">
        <v>8923</v>
      </c>
      <c r="B636">
        <v>1973</v>
      </c>
      <c r="C636" t="s">
        <v>29</v>
      </c>
      <c r="D636" t="s">
        <v>30</v>
      </c>
      <c r="E636">
        <v>83917</v>
      </c>
      <c r="F636">
        <v>0</v>
      </c>
      <c r="G636">
        <v>0</v>
      </c>
      <c r="H636" s="1">
        <v>41382</v>
      </c>
      <c r="I636">
        <v>12</v>
      </c>
      <c r="J636">
        <v>514</v>
      </c>
      <c r="K636">
        <v>22</v>
      </c>
      <c r="L636">
        <v>732</v>
      </c>
      <c r="M636">
        <v>42</v>
      </c>
      <c r="N636">
        <v>198</v>
      </c>
      <c r="O636">
        <v>79</v>
      </c>
      <c r="P636">
        <v>1</v>
      </c>
      <c r="Q636">
        <v>6</v>
      </c>
      <c r="R636">
        <v>7</v>
      </c>
      <c r="S636">
        <v>7</v>
      </c>
      <c r="T636">
        <v>3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3</v>
      </c>
      <c r="AB636">
        <v>11</v>
      </c>
      <c r="AC636">
        <v>1</v>
      </c>
      <c r="AD636" t="str">
        <f t="shared" si="117"/>
        <v>Ok</v>
      </c>
      <c r="AE636" t="str">
        <f>IF(AND(Audit_Data[[#This Row],[Year_Birth]]&gt;=1900,Audit_Data[[#This Row],[Year_Birth]]&lt;=2010),"OK","Invalid")</f>
        <v>OK</v>
      </c>
      <c r="AF636" t="str">
        <f t="shared" si="118"/>
        <v>Valid</v>
      </c>
      <c r="AG636" t="str">
        <f t="shared" si="119"/>
        <v>Valid</v>
      </c>
      <c r="AH636" t="str">
        <f t="shared" si="120"/>
        <v>Valid</v>
      </c>
      <c r="AI636" t="str">
        <f t="shared" si="121"/>
        <v>Valid</v>
      </c>
      <c r="AJ636" t="str">
        <f t="shared" si="122"/>
        <v>Valid</v>
      </c>
      <c r="AK636" t="str">
        <f t="shared" si="129"/>
        <v xml:space="preserve">Valid </v>
      </c>
      <c r="AL636" t="str">
        <f>IF(AND(Audit_Data[[#This Row],[Recency]]&gt;=0,Audit_Data[[#This Row],[Recency]]&lt;=100),"Valid","Invalid")</f>
        <v>Valid</v>
      </c>
      <c r="AM636" t="str">
        <f t="shared" si="123"/>
        <v>Valid</v>
      </c>
      <c r="AN636" t="str">
        <f t="shared" si="124"/>
        <v>Valid</v>
      </c>
      <c r="AO636" t="str">
        <f t="shared" si="125"/>
        <v>Valid</v>
      </c>
      <c r="AP636" t="str">
        <f t="shared" si="126"/>
        <v>Valid</v>
      </c>
      <c r="AQ636" t="str">
        <f>IF(Audit_Data[[#This Row],[Z_CostContact]]=3,"Valid","Invalid")</f>
        <v>Valid</v>
      </c>
      <c r="AR636" t="str">
        <f t="shared" si="127"/>
        <v>Valid</v>
      </c>
      <c r="AS636" t="str">
        <f t="shared" si="128"/>
        <v>Valid</v>
      </c>
    </row>
    <row r="637" spans="1:45" x14ac:dyDescent="0.3">
      <c r="A637">
        <v>8461</v>
      </c>
      <c r="B637">
        <v>1962</v>
      </c>
      <c r="C637" t="s">
        <v>29</v>
      </c>
      <c r="D637" t="s">
        <v>35</v>
      </c>
      <c r="E637">
        <v>46102</v>
      </c>
      <c r="F637">
        <v>2</v>
      </c>
      <c r="G637">
        <v>1</v>
      </c>
      <c r="H637" s="1">
        <v>41708</v>
      </c>
      <c r="I637">
        <v>3</v>
      </c>
      <c r="J637">
        <v>14</v>
      </c>
      <c r="K637">
        <v>0</v>
      </c>
      <c r="L637">
        <v>1</v>
      </c>
      <c r="M637">
        <v>0</v>
      </c>
      <c r="N637">
        <v>0</v>
      </c>
      <c r="O637">
        <v>1</v>
      </c>
      <c r="P637">
        <v>1</v>
      </c>
      <c r="Q637">
        <v>1</v>
      </c>
      <c r="R637">
        <v>0</v>
      </c>
      <c r="S637">
        <v>2</v>
      </c>
      <c r="T637">
        <v>7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3</v>
      </c>
      <c r="AB637">
        <v>11</v>
      </c>
      <c r="AC637">
        <v>0</v>
      </c>
      <c r="AD637" t="str">
        <f t="shared" si="117"/>
        <v>Ok</v>
      </c>
      <c r="AE637" t="str">
        <f>IF(AND(Audit_Data[[#This Row],[Year_Birth]]&gt;=1900,Audit_Data[[#This Row],[Year_Birth]]&lt;=2010),"OK","Invalid")</f>
        <v>OK</v>
      </c>
      <c r="AF637" t="str">
        <f t="shared" si="118"/>
        <v>Valid</v>
      </c>
      <c r="AG637" t="str">
        <f t="shared" si="119"/>
        <v>Valid</v>
      </c>
      <c r="AH637" t="str">
        <f t="shared" si="120"/>
        <v>Valid</v>
      </c>
      <c r="AI637" t="str">
        <f t="shared" si="121"/>
        <v>Valid</v>
      </c>
      <c r="AJ637" t="str">
        <f t="shared" si="122"/>
        <v>Valid</v>
      </c>
      <c r="AK637" t="str">
        <f t="shared" si="129"/>
        <v xml:space="preserve">Valid </v>
      </c>
      <c r="AL637" t="str">
        <f>IF(AND(Audit_Data[[#This Row],[Recency]]&gt;=0,Audit_Data[[#This Row],[Recency]]&lt;=100),"Valid","Invalid")</f>
        <v>Valid</v>
      </c>
      <c r="AM637" t="str">
        <f t="shared" si="123"/>
        <v>Valid</v>
      </c>
      <c r="AN637" t="str">
        <f t="shared" si="124"/>
        <v>Valid</v>
      </c>
      <c r="AO637" t="str">
        <f t="shared" si="125"/>
        <v>Valid</v>
      </c>
      <c r="AP637" t="str">
        <f t="shared" si="126"/>
        <v>Valid</v>
      </c>
      <c r="AQ637" t="str">
        <f>IF(Audit_Data[[#This Row],[Z_CostContact]]=3,"Valid","Invalid")</f>
        <v>Valid</v>
      </c>
      <c r="AR637" t="str">
        <f t="shared" si="127"/>
        <v>Valid</v>
      </c>
      <c r="AS637" t="str">
        <f t="shared" si="128"/>
        <v>Valid</v>
      </c>
    </row>
    <row r="638" spans="1:45" x14ac:dyDescent="0.3">
      <c r="A638">
        <v>6945</v>
      </c>
      <c r="B638">
        <v>1952</v>
      </c>
      <c r="C638" t="s">
        <v>29</v>
      </c>
      <c r="D638" t="s">
        <v>30</v>
      </c>
      <c r="E638">
        <v>84574</v>
      </c>
      <c r="F638">
        <v>0</v>
      </c>
      <c r="G638">
        <v>0</v>
      </c>
      <c r="H638" s="1">
        <v>41429</v>
      </c>
      <c r="I638">
        <v>72</v>
      </c>
      <c r="J638">
        <v>387</v>
      </c>
      <c r="K638">
        <v>20</v>
      </c>
      <c r="L638">
        <v>713</v>
      </c>
      <c r="M638">
        <v>38</v>
      </c>
      <c r="N638">
        <v>54</v>
      </c>
      <c r="O638">
        <v>163</v>
      </c>
      <c r="P638">
        <v>1</v>
      </c>
      <c r="Q638">
        <v>9</v>
      </c>
      <c r="R638">
        <v>11</v>
      </c>
      <c r="S638">
        <v>11</v>
      </c>
      <c r="T638">
        <v>5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3</v>
      </c>
      <c r="AB638">
        <v>11</v>
      </c>
      <c r="AC638">
        <v>0</v>
      </c>
      <c r="AD638" t="str">
        <f t="shared" si="117"/>
        <v>Ok</v>
      </c>
      <c r="AE638" t="str">
        <f>IF(AND(Audit_Data[[#This Row],[Year_Birth]]&gt;=1900,Audit_Data[[#This Row],[Year_Birth]]&lt;=2010),"OK","Invalid")</f>
        <v>OK</v>
      </c>
      <c r="AF638" t="str">
        <f t="shared" si="118"/>
        <v>Valid</v>
      </c>
      <c r="AG638" t="str">
        <f t="shared" si="119"/>
        <v>Valid</v>
      </c>
      <c r="AH638" t="str">
        <f t="shared" si="120"/>
        <v>Valid</v>
      </c>
      <c r="AI638" t="str">
        <f t="shared" si="121"/>
        <v>Valid</v>
      </c>
      <c r="AJ638" t="str">
        <f t="shared" si="122"/>
        <v>Valid</v>
      </c>
      <c r="AK638" t="str">
        <f t="shared" si="129"/>
        <v xml:space="preserve">Valid </v>
      </c>
      <c r="AL638" t="str">
        <f>IF(AND(Audit_Data[[#This Row],[Recency]]&gt;=0,Audit_Data[[#This Row],[Recency]]&lt;=100),"Valid","Invalid")</f>
        <v>Valid</v>
      </c>
      <c r="AM638" t="str">
        <f t="shared" si="123"/>
        <v>Valid</v>
      </c>
      <c r="AN638" t="str">
        <f t="shared" si="124"/>
        <v>Valid</v>
      </c>
      <c r="AO638" t="str">
        <f t="shared" si="125"/>
        <v>Valid</v>
      </c>
      <c r="AP638" t="str">
        <f t="shared" si="126"/>
        <v>Valid</v>
      </c>
      <c r="AQ638" t="str">
        <f>IF(Audit_Data[[#This Row],[Z_CostContact]]=3,"Valid","Invalid")</f>
        <v>Valid</v>
      </c>
      <c r="AR638" t="str">
        <f t="shared" si="127"/>
        <v>Valid</v>
      </c>
      <c r="AS638" t="str">
        <f t="shared" si="128"/>
        <v>Valid</v>
      </c>
    </row>
    <row r="639" spans="1:45" x14ac:dyDescent="0.3">
      <c r="A639">
        <v>944</v>
      </c>
      <c r="B639">
        <v>1962</v>
      </c>
      <c r="C639" t="s">
        <v>29</v>
      </c>
      <c r="D639" t="s">
        <v>33</v>
      </c>
      <c r="E639">
        <v>56181</v>
      </c>
      <c r="F639">
        <v>0</v>
      </c>
      <c r="G639">
        <v>1</v>
      </c>
      <c r="H639" s="1">
        <v>41282</v>
      </c>
      <c r="I639">
        <v>6</v>
      </c>
      <c r="J639">
        <v>121</v>
      </c>
      <c r="K639">
        <v>103</v>
      </c>
      <c r="L639">
        <v>69</v>
      </c>
      <c r="M639">
        <v>8</v>
      </c>
      <c r="N639">
        <v>44</v>
      </c>
      <c r="O639">
        <v>48</v>
      </c>
      <c r="P639">
        <v>1</v>
      </c>
      <c r="Q639">
        <v>4</v>
      </c>
      <c r="R639">
        <v>2</v>
      </c>
      <c r="S639">
        <v>7</v>
      </c>
      <c r="T639">
        <v>4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3</v>
      </c>
      <c r="AB639">
        <v>11</v>
      </c>
      <c r="AC639">
        <v>0</v>
      </c>
      <c r="AD639" t="str">
        <f t="shared" si="117"/>
        <v>Ok</v>
      </c>
      <c r="AE639" t="str">
        <f>IF(AND(Audit_Data[[#This Row],[Year_Birth]]&gt;=1900,Audit_Data[[#This Row],[Year_Birth]]&lt;=2010),"OK","Invalid")</f>
        <v>OK</v>
      </c>
      <c r="AF639" t="str">
        <f t="shared" si="118"/>
        <v>Valid</v>
      </c>
      <c r="AG639" t="str">
        <f t="shared" si="119"/>
        <v>Valid</v>
      </c>
      <c r="AH639" t="str">
        <f t="shared" si="120"/>
        <v>Valid</v>
      </c>
      <c r="AI639" t="str">
        <f t="shared" si="121"/>
        <v>Valid</v>
      </c>
      <c r="AJ639" t="str">
        <f t="shared" si="122"/>
        <v>Valid</v>
      </c>
      <c r="AK639" t="str">
        <f t="shared" si="129"/>
        <v xml:space="preserve">Valid </v>
      </c>
      <c r="AL639" t="str">
        <f>IF(AND(Audit_Data[[#This Row],[Recency]]&gt;=0,Audit_Data[[#This Row],[Recency]]&lt;=100),"Valid","Invalid")</f>
        <v>Valid</v>
      </c>
      <c r="AM639" t="str">
        <f t="shared" si="123"/>
        <v>Valid</v>
      </c>
      <c r="AN639" t="str">
        <f t="shared" si="124"/>
        <v>Valid</v>
      </c>
      <c r="AO639" t="str">
        <f t="shared" si="125"/>
        <v>Valid</v>
      </c>
      <c r="AP639" t="str">
        <f t="shared" si="126"/>
        <v>Valid</v>
      </c>
      <c r="AQ639" t="str">
        <f>IF(Audit_Data[[#This Row],[Z_CostContact]]=3,"Valid","Invalid")</f>
        <v>Valid</v>
      </c>
      <c r="AR639" t="str">
        <f t="shared" si="127"/>
        <v>Valid</v>
      </c>
      <c r="AS639" t="str">
        <f t="shared" si="128"/>
        <v>Valid</v>
      </c>
    </row>
    <row r="640" spans="1:45" x14ac:dyDescent="0.3">
      <c r="A640">
        <v>1907</v>
      </c>
      <c r="B640">
        <v>1950</v>
      </c>
      <c r="C640" t="s">
        <v>34</v>
      </c>
      <c r="D640" t="s">
        <v>35</v>
      </c>
      <c r="E640">
        <v>63120</v>
      </c>
      <c r="F640">
        <v>0</v>
      </c>
      <c r="G640">
        <v>1</v>
      </c>
      <c r="H640" s="1">
        <v>41180</v>
      </c>
      <c r="I640">
        <v>53</v>
      </c>
      <c r="J640">
        <v>965</v>
      </c>
      <c r="K640">
        <v>69</v>
      </c>
      <c r="L640">
        <v>279</v>
      </c>
      <c r="M640">
        <v>54</v>
      </c>
      <c r="N640">
        <v>41</v>
      </c>
      <c r="O640">
        <v>69</v>
      </c>
      <c r="P640">
        <v>5</v>
      </c>
      <c r="Q640">
        <v>8</v>
      </c>
      <c r="R640">
        <v>4</v>
      </c>
      <c r="S640">
        <v>9</v>
      </c>
      <c r="T640">
        <v>7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3</v>
      </c>
      <c r="AB640">
        <v>11</v>
      </c>
      <c r="AC640">
        <v>1</v>
      </c>
      <c r="AD640" t="str">
        <f t="shared" si="117"/>
        <v>Ok</v>
      </c>
      <c r="AE640" t="str">
        <f>IF(AND(Audit_Data[[#This Row],[Year_Birth]]&gt;=1900,Audit_Data[[#This Row],[Year_Birth]]&lt;=2010),"OK","Invalid")</f>
        <v>OK</v>
      </c>
      <c r="AF640" t="str">
        <f t="shared" si="118"/>
        <v>Valid</v>
      </c>
      <c r="AG640" t="str">
        <f t="shared" si="119"/>
        <v>Valid</v>
      </c>
      <c r="AH640" t="str">
        <f t="shared" si="120"/>
        <v>Valid</v>
      </c>
      <c r="AI640" t="str">
        <f t="shared" si="121"/>
        <v>Valid</v>
      </c>
      <c r="AJ640" t="str">
        <f t="shared" si="122"/>
        <v>Valid</v>
      </c>
      <c r="AK640" t="str">
        <f t="shared" si="129"/>
        <v xml:space="preserve">Valid </v>
      </c>
      <c r="AL640" t="str">
        <f>IF(AND(Audit_Data[[#This Row],[Recency]]&gt;=0,Audit_Data[[#This Row],[Recency]]&lt;=100),"Valid","Invalid")</f>
        <v>Valid</v>
      </c>
      <c r="AM640" t="str">
        <f t="shared" si="123"/>
        <v>Valid</v>
      </c>
      <c r="AN640" t="str">
        <f t="shared" si="124"/>
        <v>Valid</v>
      </c>
      <c r="AO640" t="str">
        <f t="shared" si="125"/>
        <v>Valid</v>
      </c>
      <c r="AP640" t="str">
        <f t="shared" si="126"/>
        <v>Valid</v>
      </c>
      <c r="AQ640" t="str">
        <f>IF(Audit_Data[[#This Row],[Z_CostContact]]=3,"Valid","Invalid")</f>
        <v>Valid</v>
      </c>
      <c r="AR640" t="str">
        <f t="shared" si="127"/>
        <v>Valid</v>
      </c>
      <c r="AS640" t="str">
        <f t="shared" si="128"/>
        <v>Valid</v>
      </c>
    </row>
    <row r="641" spans="1:45" x14ac:dyDescent="0.3">
      <c r="A641">
        <v>701</v>
      </c>
      <c r="B641">
        <v>1971</v>
      </c>
      <c r="C641" t="s">
        <v>29</v>
      </c>
      <c r="D641" t="s">
        <v>33</v>
      </c>
      <c r="E641">
        <v>73691</v>
      </c>
      <c r="F641">
        <v>0</v>
      </c>
      <c r="G641">
        <v>1</v>
      </c>
      <c r="H641" s="1">
        <v>41584</v>
      </c>
      <c r="I641">
        <v>58</v>
      </c>
      <c r="J641">
        <v>707</v>
      </c>
      <c r="K641">
        <v>21</v>
      </c>
      <c r="L641">
        <v>250</v>
      </c>
      <c r="M641">
        <v>85</v>
      </c>
      <c r="N641">
        <v>43</v>
      </c>
      <c r="O641">
        <v>73</v>
      </c>
      <c r="P641">
        <v>2</v>
      </c>
      <c r="Q641">
        <v>6</v>
      </c>
      <c r="R641">
        <v>2</v>
      </c>
      <c r="S641">
        <v>8</v>
      </c>
      <c r="T641">
        <v>2</v>
      </c>
      <c r="U641">
        <v>1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3</v>
      </c>
      <c r="AB641">
        <v>11</v>
      </c>
      <c r="AC641">
        <v>0</v>
      </c>
      <c r="AD641" t="str">
        <f t="shared" si="117"/>
        <v>Ok</v>
      </c>
      <c r="AE641" t="str">
        <f>IF(AND(Audit_Data[[#This Row],[Year_Birth]]&gt;=1900,Audit_Data[[#This Row],[Year_Birth]]&lt;=2010),"OK","Invalid")</f>
        <v>OK</v>
      </c>
      <c r="AF641" t="str">
        <f t="shared" si="118"/>
        <v>Valid</v>
      </c>
      <c r="AG641" t="str">
        <f t="shared" si="119"/>
        <v>Valid</v>
      </c>
      <c r="AH641" t="str">
        <f t="shared" si="120"/>
        <v>Valid</v>
      </c>
      <c r="AI641" t="str">
        <f t="shared" si="121"/>
        <v>Valid</v>
      </c>
      <c r="AJ641" t="str">
        <f t="shared" si="122"/>
        <v>Valid</v>
      </c>
      <c r="AK641" t="str">
        <f t="shared" si="129"/>
        <v xml:space="preserve">Valid </v>
      </c>
      <c r="AL641" t="str">
        <f>IF(AND(Audit_Data[[#This Row],[Recency]]&gt;=0,Audit_Data[[#This Row],[Recency]]&lt;=100),"Valid","Invalid")</f>
        <v>Valid</v>
      </c>
      <c r="AM641" t="str">
        <f t="shared" si="123"/>
        <v>Valid</v>
      </c>
      <c r="AN641" t="str">
        <f t="shared" si="124"/>
        <v>Valid</v>
      </c>
      <c r="AO641" t="str">
        <f t="shared" si="125"/>
        <v>Valid</v>
      </c>
      <c r="AP641" t="str">
        <f t="shared" si="126"/>
        <v>Valid</v>
      </c>
      <c r="AQ641" t="str">
        <f>IF(Audit_Data[[#This Row],[Z_CostContact]]=3,"Valid","Invalid")</f>
        <v>Valid</v>
      </c>
      <c r="AR641" t="str">
        <f t="shared" si="127"/>
        <v>Valid</v>
      </c>
      <c r="AS641" t="str">
        <f t="shared" si="128"/>
        <v>Valid</v>
      </c>
    </row>
    <row r="642" spans="1:45" x14ac:dyDescent="0.3">
      <c r="A642">
        <v>3856</v>
      </c>
      <c r="B642">
        <v>1960</v>
      </c>
      <c r="C642" t="s">
        <v>29</v>
      </c>
      <c r="D642" t="s">
        <v>31</v>
      </c>
      <c r="E642">
        <v>63381</v>
      </c>
      <c r="F642">
        <v>0</v>
      </c>
      <c r="G642">
        <v>1</v>
      </c>
      <c r="H642" s="1">
        <v>41187</v>
      </c>
      <c r="I642">
        <v>78</v>
      </c>
      <c r="J642">
        <v>571</v>
      </c>
      <c r="K642">
        <v>50</v>
      </c>
      <c r="L642">
        <v>142</v>
      </c>
      <c r="M642">
        <v>33</v>
      </c>
      <c r="N642">
        <v>50</v>
      </c>
      <c r="O642">
        <v>159</v>
      </c>
      <c r="P642">
        <v>4</v>
      </c>
      <c r="Q642">
        <v>4</v>
      </c>
      <c r="R642">
        <v>5</v>
      </c>
      <c r="S642">
        <v>13</v>
      </c>
      <c r="T642">
        <v>2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3</v>
      </c>
      <c r="AB642">
        <v>11</v>
      </c>
      <c r="AC642">
        <v>0</v>
      </c>
      <c r="AD642" t="str">
        <f t="shared" ref="AD642:AD705" si="130">IF(COUNTIF(A:A,A642)&gt;1,"Duplicate","Ok")</f>
        <v>Ok</v>
      </c>
      <c r="AE642" t="str">
        <f>IF(AND(Audit_Data[[#This Row],[Year_Birth]]&gt;=1900,Audit_Data[[#This Row],[Year_Birth]]&lt;=2010),"OK","Invalid")</f>
        <v>OK</v>
      </c>
      <c r="AF642" t="str">
        <f t="shared" ref="AF642:AF705" si="131">IF(OR(C642="Graduation",C642="phD",C642="Master",C642="Basic",C642="2n Cycle"),"Valid","Invalid")</f>
        <v>Valid</v>
      </c>
      <c r="AG642" t="str">
        <f t="shared" ref="AG642:AG705" si="132">IF(OR(D642="Single",D642="Married",D642="Divorced",D642="Together",D642="Widow",D642="Alone"),"Valid","Invalid")</f>
        <v>Valid</v>
      </c>
      <c r="AH642" t="str">
        <f t="shared" ref="AH642:AH705" si="133">IF(AND(ISNUMBER(E642),E642&lt;&gt;""),"Valid","Invalid")</f>
        <v>Valid</v>
      </c>
      <c r="AI642" t="str">
        <f t="shared" ref="AI642:AI705" si="134">IF(AND(F642&gt;=0,F642&lt;=2),"Valid","Invalid")</f>
        <v>Valid</v>
      </c>
      <c r="AJ642" t="str">
        <f t="shared" ref="AJ642:AJ705" si="135">IF(AND(G642&gt;=0,G642&lt;=2),"Valid","Invalid")</f>
        <v>Valid</v>
      </c>
      <c r="AK642" t="str">
        <f t="shared" si="129"/>
        <v xml:space="preserve">Valid </v>
      </c>
      <c r="AL642" t="str">
        <f>IF(AND(Audit_Data[[#This Row],[Recency]]&gt;=0,Audit_Data[[#This Row],[Recency]]&lt;=100),"Valid","Invalid")</f>
        <v>Valid</v>
      </c>
      <c r="AM642" t="str">
        <f t="shared" ref="AM642:AM705" si="136">IF(AND(ISNUMBER(J642),J642&gt;=0,ISNUMBER(K642),K642&gt;=0,ISNUMBER(L642),L642&gt;=0,ISNUMBER(M642),M642&gt;=0,ISNUMBER(N642),N642&gt;=0,ISNUMBER(O642),O642&gt;=0),"Valid","Invalid")</f>
        <v>Valid</v>
      </c>
      <c r="AN642" t="str">
        <f t="shared" ref="AN642:AN705" si="137">IF(AND(ISNUMBER(P642),P642&gt;=0,ISNUMBER(Q642),Q642&gt;=0,ISNUMBER(R642),R642&gt;=0,ISNUMBER(S642),S642&gt;=0,ISNUMBER(T642),T642&gt;=0),"Valid","Invalid")</f>
        <v>Valid</v>
      </c>
      <c r="AO642" t="str">
        <f t="shared" ref="AO642:AO705" si="138">IF(AND(U642&lt;=1,V642&lt;=1,W642&lt;=1,X642&lt;=1,Y642&lt;=1),"Valid","Invalid")</f>
        <v>Valid</v>
      </c>
      <c r="AP642" t="str">
        <f t="shared" ref="AP642:AP705" si="139">IF(OR(Z642=0,Z642=1),"Valid","Invalid")</f>
        <v>Valid</v>
      </c>
      <c r="AQ642" t="str">
        <f>IF(Audit_Data[[#This Row],[Z_CostContact]]=3,"Valid","Invalid")</f>
        <v>Valid</v>
      </c>
      <c r="AR642" t="str">
        <f t="shared" ref="AR642:AR705" si="140">IF(AB642=11,"Valid","Invalid")</f>
        <v>Valid</v>
      </c>
      <c r="AS642" t="str">
        <f t="shared" ref="AS642:AS705" si="141">IF(OR(AC642=0,AC642=1),"Valid","Invalid")</f>
        <v>Valid</v>
      </c>
    </row>
    <row r="643" spans="1:45" x14ac:dyDescent="0.3">
      <c r="A643">
        <v>4149</v>
      </c>
      <c r="B643">
        <v>1948</v>
      </c>
      <c r="C643" t="s">
        <v>32</v>
      </c>
      <c r="D643" t="s">
        <v>31</v>
      </c>
      <c r="E643">
        <v>76140</v>
      </c>
      <c r="F643">
        <v>0</v>
      </c>
      <c r="G643">
        <v>0</v>
      </c>
      <c r="H643" s="1">
        <v>41772</v>
      </c>
      <c r="I643">
        <v>57</v>
      </c>
      <c r="J643">
        <v>586</v>
      </c>
      <c r="K643">
        <v>66</v>
      </c>
      <c r="L643">
        <v>653</v>
      </c>
      <c r="M643">
        <v>17</v>
      </c>
      <c r="N643">
        <v>0</v>
      </c>
      <c r="O643">
        <v>26</v>
      </c>
      <c r="P643">
        <v>1</v>
      </c>
      <c r="Q643">
        <v>5</v>
      </c>
      <c r="R643">
        <v>9</v>
      </c>
      <c r="S643">
        <v>6</v>
      </c>
      <c r="T643">
        <v>2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3</v>
      </c>
      <c r="AB643">
        <v>11</v>
      </c>
      <c r="AC643">
        <v>0</v>
      </c>
      <c r="AD643" t="str">
        <f t="shared" si="130"/>
        <v>Ok</v>
      </c>
      <c r="AE643" t="str">
        <f>IF(AND(Audit_Data[[#This Row],[Year_Birth]]&gt;=1900,Audit_Data[[#This Row],[Year_Birth]]&lt;=2010),"OK","Invalid")</f>
        <v>OK</v>
      </c>
      <c r="AF643" t="str">
        <f t="shared" si="131"/>
        <v>Valid</v>
      </c>
      <c r="AG643" t="str">
        <f t="shared" si="132"/>
        <v>Valid</v>
      </c>
      <c r="AH643" t="str">
        <f t="shared" si="133"/>
        <v>Valid</v>
      </c>
      <c r="AI643" t="str">
        <f t="shared" si="134"/>
        <v>Valid</v>
      </c>
      <c r="AJ643" t="str">
        <f t="shared" si="135"/>
        <v>Valid</v>
      </c>
      <c r="AK643" t="str">
        <f t="shared" ref="AK643:AK706" si="142">IF(AND(ISNUMBER(H643),H643&gt;=DATE(2012,1,1),H643&lt;=DATE(2014,12,31)),"Valid ","Invalid")</f>
        <v xml:space="preserve">Valid </v>
      </c>
      <c r="AL643" t="str">
        <f>IF(AND(Audit_Data[[#This Row],[Recency]]&gt;=0,Audit_Data[[#This Row],[Recency]]&lt;=100),"Valid","Invalid")</f>
        <v>Valid</v>
      </c>
      <c r="AM643" t="str">
        <f t="shared" si="136"/>
        <v>Valid</v>
      </c>
      <c r="AN643" t="str">
        <f t="shared" si="137"/>
        <v>Valid</v>
      </c>
      <c r="AO643" t="str">
        <f t="shared" si="138"/>
        <v>Valid</v>
      </c>
      <c r="AP643" t="str">
        <f t="shared" si="139"/>
        <v>Valid</v>
      </c>
      <c r="AQ643" t="str">
        <f>IF(Audit_Data[[#This Row],[Z_CostContact]]=3,"Valid","Invalid")</f>
        <v>Valid</v>
      </c>
      <c r="AR643" t="str">
        <f t="shared" si="140"/>
        <v>Valid</v>
      </c>
      <c r="AS643" t="str">
        <f t="shared" si="141"/>
        <v>Valid</v>
      </c>
    </row>
    <row r="644" spans="1:45" x14ac:dyDescent="0.3">
      <c r="A644">
        <v>2131</v>
      </c>
      <c r="B644">
        <v>1959</v>
      </c>
      <c r="C644" t="s">
        <v>32</v>
      </c>
      <c r="D644" t="s">
        <v>35</v>
      </c>
      <c r="E644">
        <v>62859</v>
      </c>
      <c r="F644">
        <v>0</v>
      </c>
      <c r="G644">
        <v>1</v>
      </c>
      <c r="H644" s="1">
        <v>41273</v>
      </c>
      <c r="I644">
        <v>37</v>
      </c>
      <c r="J644">
        <v>1063</v>
      </c>
      <c r="K644">
        <v>89</v>
      </c>
      <c r="L644">
        <v>102</v>
      </c>
      <c r="M644">
        <v>16</v>
      </c>
      <c r="N644">
        <v>12</v>
      </c>
      <c r="O644">
        <v>25</v>
      </c>
      <c r="P644">
        <v>4</v>
      </c>
      <c r="Q644">
        <v>9</v>
      </c>
      <c r="R644">
        <v>4</v>
      </c>
      <c r="S644">
        <v>6</v>
      </c>
      <c r="T644">
        <v>6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3</v>
      </c>
      <c r="AB644">
        <v>11</v>
      </c>
      <c r="AC644">
        <v>0</v>
      </c>
      <c r="AD644" t="str">
        <f t="shared" si="130"/>
        <v>Ok</v>
      </c>
      <c r="AE644" t="str">
        <f>IF(AND(Audit_Data[[#This Row],[Year_Birth]]&gt;=1900,Audit_Data[[#This Row],[Year_Birth]]&lt;=2010),"OK","Invalid")</f>
        <v>OK</v>
      </c>
      <c r="AF644" t="str">
        <f t="shared" si="131"/>
        <v>Valid</v>
      </c>
      <c r="AG644" t="str">
        <f t="shared" si="132"/>
        <v>Valid</v>
      </c>
      <c r="AH644" t="str">
        <f t="shared" si="133"/>
        <v>Valid</v>
      </c>
      <c r="AI644" t="str">
        <f t="shared" si="134"/>
        <v>Valid</v>
      </c>
      <c r="AJ644" t="str">
        <f t="shared" si="135"/>
        <v>Valid</v>
      </c>
      <c r="AK644" t="str">
        <f t="shared" si="142"/>
        <v xml:space="preserve">Valid </v>
      </c>
      <c r="AL644" t="str">
        <f>IF(AND(Audit_Data[[#This Row],[Recency]]&gt;=0,Audit_Data[[#This Row],[Recency]]&lt;=100),"Valid","Invalid")</f>
        <v>Valid</v>
      </c>
      <c r="AM644" t="str">
        <f t="shared" si="136"/>
        <v>Valid</v>
      </c>
      <c r="AN644" t="str">
        <f t="shared" si="137"/>
        <v>Valid</v>
      </c>
      <c r="AO644" t="str">
        <f t="shared" si="138"/>
        <v>Valid</v>
      </c>
      <c r="AP644" t="str">
        <f t="shared" si="139"/>
        <v>Valid</v>
      </c>
      <c r="AQ644" t="str">
        <f>IF(Audit_Data[[#This Row],[Z_CostContact]]=3,"Valid","Invalid")</f>
        <v>Valid</v>
      </c>
      <c r="AR644" t="str">
        <f t="shared" si="140"/>
        <v>Valid</v>
      </c>
      <c r="AS644" t="str">
        <f t="shared" si="141"/>
        <v>Valid</v>
      </c>
    </row>
    <row r="645" spans="1:45" x14ac:dyDescent="0.3">
      <c r="A645">
        <v>2942</v>
      </c>
      <c r="B645">
        <v>1964</v>
      </c>
      <c r="C645" t="s">
        <v>29</v>
      </c>
      <c r="D645" t="s">
        <v>30</v>
      </c>
      <c r="E645">
        <v>45906</v>
      </c>
      <c r="F645">
        <v>0</v>
      </c>
      <c r="G645">
        <v>1</v>
      </c>
      <c r="H645" s="1">
        <v>41401</v>
      </c>
      <c r="I645">
        <v>20</v>
      </c>
      <c r="J645">
        <v>305</v>
      </c>
      <c r="K645">
        <v>3</v>
      </c>
      <c r="L645">
        <v>27</v>
      </c>
      <c r="M645">
        <v>4</v>
      </c>
      <c r="N645">
        <v>3</v>
      </c>
      <c r="O645">
        <v>144</v>
      </c>
      <c r="P645">
        <v>2</v>
      </c>
      <c r="Q645">
        <v>5</v>
      </c>
      <c r="R645">
        <v>4</v>
      </c>
      <c r="S645">
        <v>4</v>
      </c>
      <c r="T645">
        <v>5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3</v>
      </c>
      <c r="AB645">
        <v>11</v>
      </c>
      <c r="AC645">
        <v>0</v>
      </c>
      <c r="AD645" t="str">
        <f t="shared" si="130"/>
        <v>Ok</v>
      </c>
      <c r="AE645" t="str">
        <f>IF(AND(Audit_Data[[#This Row],[Year_Birth]]&gt;=1900,Audit_Data[[#This Row],[Year_Birth]]&lt;=2010),"OK","Invalid")</f>
        <v>OK</v>
      </c>
      <c r="AF645" t="str">
        <f t="shared" si="131"/>
        <v>Valid</v>
      </c>
      <c r="AG645" t="str">
        <f t="shared" si="132"/>
        <v>Valid</v>
      </c>
      <c r="AH645" t="str">
        <f t="shared" si="133"/>
        <v>Valid</v>
      </c>
      <c r="AI645" t="str">
        <f t="shared" si="134"/>
        <v>Valid</v>
      </c>
      <c r="AJ645" t="str">
        <f t="shared" si="135"/>
        <v>Valid</v>
      </c>
      <c r="AK645" t="str">
        <f t="shared" si="142"/>
        <v xml:space="preserve">Valid </v>
      </c>
      <c r="AL645" t="str">
        <f>IF(AND(Audit_Data[[#This Row],[Recency]]&gt;=0,Audit_Data[[#This Row],[Recency]]&lt;=100),"Valid","Invalid")</f>
        <v>Valid</v>
      </c>
      <c r="AM645" t="str">
        <f t="shared" si="136"/>
        <v>Valid</v>
      </c>
      <c r="AN645" t="str">
        <f t="shared" si="137"/>
        <v>Valid</v>
      </c>
      <c r="AO645" t="str">
        <f t="shared" si="138"/>
        <v>Valid</v>
      </c>
      <c r="AP645" t="str">
        <f t="shared" si="139"/>
        <v>Valid</v>
      </c>
      <c r="AQ645" t="str">
        <f>IF(Audit_Data[[#This Row],[Z_CostContact]]=3,"Valid","Invalid")</f>
        <v>Valid</v>
      </c>
      <c r="AR645" t="str">
        <f t="shared" si="140"/>
        <v>Valid</v>
      </c>
      <c r="AS645" t="str">
        <f t="shared" si="141"/>
        <v>Valid</v>
      </c>
    </row>
    <row r="646" spans="1:45" x14ac:dyDescent="0.3">
      <c r="A646">
        <v>1173</v>
      </c>
      <c r="B646">
        <v>1947</v>
      </c>
      <c r="C646" t="s">
        <v>34</v>
      </c>
      <c r="D646" t="s">
        <v>31</v>
      </c>
      <c r="E646">
        <v>77632</v>
      </c>
      <c r="F646">
        <v>0</v>
      </c>
      <c r="G646">
        <v>0</v>
      </c>
      <c r="H646" s="1">
        <v>41343</v>
      </c>
      <c r="I646">
        <v>73</v>
      </c>
      <c r="J646">
        <v>1200</v>
      </c>
      <c r="K646">
        <v>105</v>
      </c>
      <c r="L646">
        <v>758</v>
      </c>
      <c r="M646">
        <v>0</v>
      </c>
      <c r="N646">
        <v>42</v>
      </c>
      <c r="O646">
        <v>147</v>
      </c>
      <c r="P646">
        <v>1</v>
      </c>
      <c r="Q646">
        <v>4</v>
      </c>
      <c r="R646">
        <v>2</v>
      </c>
      <c r="S646">
        <v>6</v>
      </c>
      <c r="T646">
        <v>2</v>
      </c>
      <c r="U646">
        <v>0</v>
      </c>
      <c r="V646">
        <v>1</v>
      </c>
      <c r="W646">
        <v>1</v>
      </c>
      <c r="X646">
        <v>0</v>
      </c>
      <c r="Y646">
        <v>0</v>
      </c>
      <c r="Z646">
        <v>0</v>
      </c>
      <c r="AA646">
        <v>3</v>
      </c>
      <c r="AB646">
        <v>11</v>
      </c>
      <c r="AC646">
        <v>1</v>
      </c>
      <c r="AD646" t="str">
        <f t="shared" si="130"/>
        <v>Ok</v>
      </c>
      <c r="AE646" t="str">
        <f>IF(AND(Audit_Data[[#This Row],[Year_Birth]]&gt;=1900,Audit_Data[[#This Row],[Year_Birth]]&lt;=2010),"OK","Invalid")</f>
        <v>OK</v>
      </c>
      <c r="AF646" t="str">
        <f t="shared" si="131"/>
        <v>Valid</v>
      </c>
      <c r="AG646" t="str">
        <f t="shared" si="132"/>
        <v>Valid</v>
      </c>
      <c r="AH646" t="str">
        <f t="shared" si="133"/>
        <v>Valid</v>
      </c>
      <c r="AI646" t="str">
        <f t="shared" si="134"/>
        <v>Valid</v>
      </c>
      <c r="AJ646" t="str">
        <f t="shared" si="135"/>
        <v>Valid</v>
      </c>
      <c r="AK646" t="str">
        <f t="shared" si="142"/>
        <v xml:space="preserve">Valid </v>
      </c>
      <c r="AL646" t="str">
        <f>IF(AND(Audit_Data[[#This Row],[Recency]]&gt;=0,Audit_Data[[#This Row],[Recency]]&lt;=100),"Valid","Invalid")</f>
        <v>Valid</v>
      </c>
      <c r="AM646" t="str">
        <f t="shared" si="136"/>
        <v>Valid</v>
      </c>
      <c r="AN646" t="str">
        <f t="shared" si="137"/>
        <v>Valid</v>
      </c>
      <c r="AO646" t="str">
        <f t="shared" si="138"/>
        <v>Valid</v>
      </c>
      <c r="AP646" t="str">
        <f t="shared" si="139"/>
        <v>Valid</v>
      </c>
      <c r="AQ646" t="str">
        <f>IF(Audit_Data[[#This Row],[Z_CostContact]]=3,"Valid","Invalid")</f>
        <v>Valid</v>
      </c>
      <c r="AR646" t="str">
        <f t="shared" si="140"/>
        <v>Valid</v>
      </c>
      <c r="AS646" t="str">
        <f t="shared" si="141"/>
        <v>Valid</v>
      </c>
    </row>
    <row r="647" spans="1:45" x14ac:dyDescent="0.3">
      <c r="A647">
        <v>4381</v>
      </c>
      <c r="B647">
        <v>1971</v>
      </c>
      <c r="C647" t="s">
        <v>32</v>
      </c>
      <c r="D647" t="s">
        <v>33</v>
      </c>
      <c r="E647">
        <v>46463</v>
      </c>
      <c r="F647">
        <v>1</v>
      </c>
      <c r="G647">
        <v>1</v>
      </c>
      <c r="H647" s="1">
        <v>41504</v>
      </c>
      <c r="I647">
        <v>56</v>
      </c>
      <c r="J647">
        <v>163</v>
      </c>
      <c r="K647">
        <v>2</v>
      </c>
      <c r="L647">
        <v>40</v>
      </c>
      <c r="M647">
        <v>8</v>
      </c>
      <c r="N647">
        <v>11</v>
      </c>
      <c r="O647">
        <v>11</v>
      </c>
      <c r="P647">
        <v>7</v>
      </c>
      <c r="Q647">
        <v>3</v>
      </c>
      <c r="R647">
        <v>1</v>
      </c>
      <c r="S647">
        <v>6</v>
      </c>
      <c r="T647">
        <v>6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3</v>
      </c>
      <c r="AB647">
        <v>11</v>
      </c>
      <c r="AC647">
        <v>0</v>
      </c>
      <c r="AD647" t="str">
        <f t="shared" si="130"/>
        <v>Ok</v>
      </c>
      <c r="AE647" t="str">
        <f>IF(AND(Audit_Data[[#This Row],[Year_Birth]]&gt;=1900,Audit_Data[[#This Row],[Year_Birth]]&lt;=2010),"OK","Invalid")</f>
        <v>OK</v>
      </c>
      <c r="AF647" t="str">
        <f t="shared" si="131"/>
        <v>Valid</v>
      </c>
      <c r="AG647" t="str">
        <f t="shared" si="132"/>
        <v>Valid</v>
      </c>
      <c r="AH647" t="str">
        <f t="shared" si="133"/>
        <v>Valid</v>
      </c>
      <c r="AI647" t="str">
        <f t="shared" si="134"/>
        <v>Valid</v>
      </c>
      <c r="AJ647" t="str">
        <f t="shared" si="135"/>
        <v>Valid</v>
      </c>
      <c r="AK647" t="str">
        <f t="shared" si="142"/>
        <v xml:space="preserve">Valid </v>
      </c>
      <c r="AL647" t="str">
        <f>IF(AND(Audit_Data[[#This Row],[Recency]]&gt;=0,Audit_Data[[#This Row],[Recency]]&lt;=100),"Valid","Invalid")</f>
        <v>Valid</v>
      </c>
      <c r="AM647" t="str">
        <f t="shared" si="136"/>
        <v>Valid</v>
      </c>
      <c r="AN647" t="str">
        <f t="shared" si="137"/>
        <v>Valid</v>
      </c>
      <c r="AO647" t="str">
        <f t="shared" si="138"/>
        <v>Valid</v>
      </c>
      <c r="AP647" t="str">
        <f t="shared" si="139"/>
        <v>Valid</v>
      </c>
      <c r="AQ647" t="str">
        <f>IF(Audit_Data[[#This Row],[Z_CostContact]]=3,"Valid","Invalid")</f>
        <v>Valid</v>
      </c>
      <c r="AR647" t="str">
        <f t="shared" si="140"/>
        <v>Valid</v>
      </c>
      <c r="AS647" t="str">
        <f t="shared" si="141"/>
        <v>Valid</v>
      </c>
    </row>
    <row r="648" spans="1:45" x14ac:dyDescent="0.3">
      <c r="A648">
        <v>4611</v>
      </c>
      <c r="B648">
        <v>1970</v>
      </c>
      <c r="C648" t="s">
        <v>29</v>
      </c>
      <c r="D648" t="s">
        <v>31</v>
      </c>
      <c r="E648">
        <v>105471</v>
      </c>
      <c r="F648">
        <v>0</v>
      </c>
      <c r="G648">
        <v>0</v>
      </c>
      <c r="H648" s="1">
        <v>41295</v>
      </c>
      <c r="I648">
        <v>36</v>
      </c>
      <c r="J648">
        <v>1009</v>
      </c>
      <c r="K648">
        <v>181</v>
      </c>
      <c r="L648">
        <v>104</v>
      </c>
      <c r="M648">
        <v>202</v>
      </c>
      <c r="N648">
        <v>21</v>
      </c>
      <c r="O648">
        <v>207</v>
      </c>
      <c r="P648">
        <v>0</v>
      </c>
      <c r="Q648">
        <v>9</v>
      </c>
      <c r="R648">
        <v>8</v>
      </c>
      <c r="S648">
        <v>13</v>
      </c>
      <c r="T648">
        <v>3</v>
      </c>
      <c r="U648">
        <v>0</v>
      </c>
      <c r="V648">
        <v>0</v>
      </c>
      <c r="W648">
        <v>1</v>
      </c>
      <c r="X648">
        <v>1</v>
      </c>
      <c r="Y648">
        <v>0</v>
      </c>
      <c r="Z648">
        <v>0</v>
      </c>
      <c r="AA648">
        <v>3</v>
      </c>
      <c r="AB648">
        <v>11</v>
      </c>
      <c r="AC648">
        <v>1</v>
      </c>
      <c r="AD648" t="str">
        <f t="shared" si="130"/>
        <v>Ok</v>
      </c>
      <c r="AE648" t="str">
        <f>IF(AND(Audit_Data[[#This Row],[Year_Birth]]&gt;=1900,Audit_Data[[#This Row],[Year_Birth]]&lt;=2010),"OK","Invalid")</f>
        <v>OK</v>
      </c>
      <c r="AF648" t="str">
        <f t="shared" si="131"/>
        <v>Valid</v>
      </c>
      <c r="AG648" t="str">
        <f t="shared" si="132"/>
        <v>Valid</v>
      </c>
      <c r="AH648" t="str">
        <f t="shared" si="133"/>
        <v>Valid</v>
      </c>
      <c r="AI648" t="str">
        <f t="shared" si="134"/>
        <v>Valid</v>
      </c>
      <c r="AJ648" t="str">
        <f t="shared" si="135"/>
        <v>Valid</v>
      </c>
      <c r="AK648" t="str">
        <f t="shared" si="142"/>
        <v xml:space="preserve">Valid </v>
      </c>
      <c r="AL648" t="str">
        <f>IF(AND(Audit_Data[[#This Row],[Recency]]&gt;=0,Audit_Data[[#This Row],[Recency]]&lt;=100),"Valid","Invalid")</f>
        <v>Valid</v>
      </c>
      <c r="AM648" t="str">
        <f t="shared" si="136"/>
        <v>Valid</v>
      </c>
      <c r="AN648" t="str">
        <f t="shared" si="137"/>
        <v>Valid</v>
      </c>
      <c r="AO648" t="str">
        <f t="shared" si="138"/>
        <v>Valid</v>
      </c>
      <c r="AP648" t="str">
        <f t="shared" si="139"/>
        <v>Valid</v>
      </c>
      <c r="AQ648" t="str">
        <f>IF(Audit_Data[[#This Row],[Z_CostContact]]=3,"Valid","Invalid")</f>
        <v>Valid</v>
      </c>
      <c r="AR648" t="str">
        <f t="shared" si="140"/>
        <v>Valid</v>
      </c>
      <c r="AS648" t="str">
        <f t="shared" si="141"/>
        <v>Valid</v>
      </c>
    </row>
    <row r="649" spans="1:45" x14ac:dyDescent="0.3">
      <c r="A649">
        <v>3376</v>
      </c>
      <c r="B649">
        <v>1970</v>
      </c>
      <c r="C649" t="s">
        <v>34</v>
      </c>
      <c r="D649" t="s">
        <v>35</v>
      </c>
      <c r="E649">
        <v>55282</v>
      </c>
      <c r="F649">
        <v>1</v>
      </c>
      <c r="G649">
        <v>0</v>
      </c>
      <c r="H649" s="1">
        <v>41621</v>
      </c>
      <c r="I649">
        <v>9</v>
      </c>
      <c r="J649">
        <v>125</v>
      </c>
      <c r="K649">
        <v>6</v>
      </c>
      <c r="L649">
        <v>73</v>
      </c>
      <c r="M649">
        <v>8</v>
      </c>
      <c r="N649">
        <v>4</v>
      </c>
      <c r="O649">
        <v>19</v>
      </c>
      <c r="P649">
        <v>1</v>
      </c>
      <c r="Q649">
        <v>3</v>
      </c>
      <c r="R649">
        <v>1</v>
      </c>
      <c r="S649">
        <v>6</v>
      </c>
      <c r="T649">
        <v>4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3</v>
      </c>
      <c r="AB649">
        <v>11</v>
      </c>
      <c r="AC649">
        <v>0</v>
      </c>
      <c r="AD649" t="str">
        <f t="shared" si="130"/>
        <v>Ok</v>
      </c>
      <c r="AE649" t="str">
        <f>IF(AND(Audit_Data[[#This Row],[Year_Birth]]&gt;=1900,Audit_Data[[#This Row],[Year_Birth]]&lt;=2010),"OK","Invalid")</f>
        <v>OK</v>
      </c>
      <c r="AF649" t="str">
        <f t="shared" si="131"/>
        <v>Valid</v>
      </c>
      <c r="AG649" t="str">
        <f t="shared" si="132"/>
        <v>Valid</v>
      </c>
      <c r="AH649" t="str">
        <f t="shared" si="133"/>
        <v>Valid</v>
      </c>
      <c r="AI649" t="str">
        <f t="shared" si="134"/>
        <v>Valid</v>
      </c>
      <c r="AJ649" t="str">
        <f t="shared" si="135"/>
        <v>Valid</v>
      </c>
      <c r="AK649" t="str">
        <f t="shared" si="142"/>
        <v xml:space="preserve">Valid </v>
      </c>
      <c r="AL649" t="str">
        <f>IF(AND(Audit_Data[[#This Row],[Recency]]&gt;=0,Audit_Data[[#This Row],[Recency]]&lt;=100),"Valid","Invalid")</f>
        <v>Valid</v>
      </c>
      <c r="AM649" t="str">
        <f t="shared" si="136"/>
        <v>Valid</v>
      </c>
      <c r="AN649" t="str">
        <f t="shared" si="137"/>
        <v>Valid</v>
      </c>
      <c r="AO649" t="str">
        <f t="shared" si="138"/>
        <v>Valid</v>
      </c>
      <c r="AP649" t="str">
        <f t="shared" si="139"/>
        <v>Valid</v>
      </c>
      <c r="AQ649" t="str">
        <f>IF(Audit_Data[[#This Row],[Z_CostContact]]=3,"Valid","Invalid")</f>
        <v>Valid</v>
      </c>
      <c r="AR649" t="str">
        <f t="shared" si="140"/>
        <v>Valid</v>
      </c>
      <c r="AS649" t="str">
        <f t="shared" si="141"/>
        <v>Valid</v>
      </c>
    </row>
    <row r="650" spans="1:45" x14ac:dyDescent="0.3">
      <c r="A650">
        <v>4679</v>
      </c>
      <c r="B650">
        <v>1977</v>
      </c>
      <c r="C650" t="s">
        <v>34</v>
      </c>
      <c r="D650" t="s">
        <v>33</v>
      </c>
      <c r="E650">
        <v>78710</v>
      </c>
      <c r="F650">
        <v>0</v>
      </c>
      <c r="G650">
        <v>1</v>
      </c>
      <c r="H650" s="1">
        <v>41782</v>
      </c>
      <c r="I650">
        <v>42</v>
      </c>
      <c r="J650">
        <v>721</v>
      </c>
      <c r="K650">
        <v>0</v>
      </c>
      <c r="L650">
        <v>152</v>
      </c>
      <c r="M650">
        <v>119</v>
      </c>
      <c r="N650">
        <v>50</v>
      </c>
      <c r="O650">
        <v>50</v>
      </c>
      <c r="P650">
        <v>3</v>
      </c>
      <c r="Q650">
        <v>7</v>
      </c>
      <c r="R650">
        <v>6</v>
      </c>
      <c r="S650">
        <v>12</v>
      </c>
      <c r="T650">
        <v>4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3</v>
      </c>
      <c r="AB650">
        <v>11</v>
      </c>
      <c r="AC650">
        <v>0</v>
      </c>
      <c r="AD650" t="str">
        <f t="shared" si="130"/>
        <v>Ok</v>
      </c>
      <c r="AE650" t="str">
        <f>IF(AND(Audit_Data[[#This Row],[Year_Birth]]&gt;=1900,Audit_Data[[#This Row],[Year_Birth]]&lt;=2010),"OK","Invalid")</f>
        <v>OK</v>
      </c>
      <c r="AF650" t="str">
        <f t="shared" si="131"/>
        <v>Valid</v>
      </c>
      <c r="AG650" t="str">
        <f t="shared" si="132"/>
        <v>Valid</v>
      </c>
      <c r="AH650" t="str">
        <f t="shared" si="133"/>
        <v>Valid</v>
      </c>
      <c r="AI650" t="str">
        <f t="shared" si="134"/>
        <v>Valid</v>
      </c>
      <c r="AJ650" t="str">
        <f t="shared" si="135"/>
        <v>Valid</v>
      </c>
      <c r="AK650" t="str">
        <f t="shared" si="142"/>
        <v xml:space="preserve">Valid </v>
      </c>
      <c r="AL650" t="str">
        <f>IF(AND(Audit_Data[[#This Row],[Recency]]&gt;=0,Audit_Data[[#This Row],[Recency]]&lt;=100),"Valid","Invalid")</f>
        <v>Valid</v>
      </c>
      <c r="AM650" t="str">
        <f t="shared" si="136"/>
        <v>Valid</v>
      </c>
      <c r="AN650" t="str">
        <f t="shared" si="137"/>
        <v>Valid</v>
      </c>
      <c r="AO650" t="str">
        <f t="shared" si="138"/>
        <v>Valid</v>
      </c>
      <c r="AP650" t="str">
        <f t="shared" si="139"/>
        <v>Valid</v>
      </c>
      <c r="AQ650" t="str">
        <f>IF(Audit_Data[[#This Row],[Z_CostContact]]=3,"Valid","Invalid")</f>
        <v>Valid</v>
      </c>
      <c r="AR650" t="str">
        <f t="shared" si="140"/>
        <v>Valid</v>
      </c>
      <c r="AS650" t="str">
        <f t="shared" si="141"/>
        <v>Valid</v>
      </c>
    </row>
    <row r="651" spans="1:45" x14ac:dyDescent="0.3">
      <c r="A651">
        <v>10928</v>
      </c>
      <c r="B651">
        <v>1958</v>
      </c>
      <c r="C651" t="s">
        <v>29</v>
      </c>
      <c r="D651" t="s">
        <v>31</v>
      </c>
      <c r="E651">
        <v>66886</v>
      </c>
      <c r="F651">
        <v>0</v>
      </c>
      <c r="G651">
        <v>1</v>
      </c>
      <c r="H651" s="1">
        <v>41533</v>
      </c>
      <c r="I651">
        <v>28</v>
      </c>
      <c r="J651">
        <v>315</v>
      </c>
      <c r="K651">
        <v>4</v>
      </c>
      <c r="L651">
        <v>62</v>
      </c>
      <c r="M651">
        <v>41</v>
      </c>
      <c r="N651">
        <v>31</v>
      </c>
      <c r="O651">
        <v>146</v>
      </c>
      <c r="P651">
        <v>2</v>
      </c>
      <c r="Q651">
        <v>7</v>
      </c>
      <c r="R651">
        <v>1</v>
      </c>
      <c r="S651">
        <v>7</v>
      </c>
      <c r="T651">
        <v>5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3</v>
      </c>
      <c r="AB651">
        <v>11</v>
      </c>
      <c r="AC651">
        <v>0</v>
      </c>
      <c r="AD651" t="str">
        <f t="shared" si="130"/>
        <v>Ok</v>
      </c>
      <c r="AE651" t="str">
        <f>IF(AND(Audit_Data[[#This Row],[Year_Birth]]&gt;=1900,Audit_Data[[#This Row],[Year_Birth]]&lt;=2010),"OK","Invalid")</f>
        <v>OK</v>
      </c>
      <c r="AF651" t="str">
        <f t="shared" si="131"/>
        <v>Valid</v>
      </c>
      <c r="AG651" t="str">
        <f t="shared" si="132"/>
        <v>Valid</v>
      </c>
      <c r="AH651" t="str">
        <f t="shared" si="133"/>
        <v>Valid</v>
      </c>
      <c r="AI651" t="str">
        <f t="shared" si="134"/>
        <v>Valid</v>
      </c>
      <c r="AJ651" t="str">
        <f t="shared" si="135"/>
        <v>Valid</v>
      </c>
      <c r="AK651" t="str">
        <f t="shared" si="142"/>
        <v xml:space="preserve">Valid </v>
      </c>
      <c r="AL651" t="str">
        <f>IF(AND(Audit_Data[[#This Row],[Recency]]&gt;=0,Audit_Data[[#This Row],[Recency]]&lt;=100),"Valid","Invalid")</f>
        <v>Valid</v>
      </c>
      <c r="AM651" t="str">
        <f t="shared" si="136"/>
        <v>Valid</v>
      </c>
      <c r="AN651" t="str">
        <f t="shared" si="137"/>
        <v>Valid</v>
      </c>
      <c r="AO651" t="str">
        <f t="shared" si="138"/>
        <v>Valid</v>
      </c>
      <c r="AP651" t="str">
        <f t="shared" si="139"/>
        <v>Valid</v>
      </c>
      <c r="AQ651" t="str">
        <f>IF(Audit_Data[[#This Row],[Z_CostContact]]=3,"Valid","Invalid")</f>
        <v>Valid</v>
      </c>
      <c r="AR651" t="str">
        <f t="shared" si="140"/>
        <v>Valid</v>
      </c>
      <c r="AS651" t="str">
        <f t="shared" si="141"/>
        <v>Valid</v>
      </c>
    </row>
    <row r="652" spans="1:45" x14ac:dyDescent="0.3">
      <c r="A652">
        <v>4248</v>
      </c>
      <c r="B652">
        <v>1960</v>
      </c>
      <c r="C652" t="s">
        <v>34</v>
      </c>
      <c r="D652" t="s">
        <v>30</v>
      </c>
      <c r="E652">
        <v>98777</v>
      </c>
      <c r="F652">
        <v>0</v>
      </c>
      <c r="G652">
        <v>0</v>
      </c>
      <c r="H652" s="1">
        <v>41687</v>
      </c>
      <c r="I652">
        <v>23</v>
      </c>
      <c r="J652">
        <v>1000</v>
      </c>
      <c r="K652">
        <v>19</v>
      </c>
      <c r="L652">
        <v>711</v>
      </c>
      <c r="M652">
        <v>125</v>
      </c>
      <c r="N652">
        <v>115</v>
      </c>
      <c r="O652">
        <v>38</v>
      </c>
      <c r="P652">
        <v>0</v>
      </c>
      <c r="Q652">
        <v>4</v>
      </c>
      <c r="R652">
        <v>6</v>
      </c>
      <c r="S652">
        <v>9</v>
      </c>
      <c r="T652">
        <v>1</v>
      </c>
      <c r="U652">
        <v>0</v>
      </c>
      <c r="V652">
        <v>1</v>
      </c>
      <c r="W652">
        <v>0</v>
      </c>
      <c r="X652">
        <v>0</v>
      </c>
      <c r="Y652">
        <v>0</v>
      </c>
      <c r="Z652">
        <v>0</v>
      </c>
      <c r="AA652">
        <v>3</v>
      </c>
      <c r="AB652">
        <v>11</v>
      </c>
      <c r="AC652">
        <v>0</v>
      </c>
      <c r="AD652" t="str">
        <f t="shared" si="130"/>
        <v>Ok</v>
      </c>
      <c r="AE652" t="str">
        <f>IF(AND(Audit_Data[[#This Row],[Year_Birth]]&gt;=1900,Audit_Data[[#This Row],[Year_Birth]]&lt;=2010),"OK","Invalid")</f>
        <v>OK</v>
      </c>
      <c r="AF652" t="str">
        <f t="shared" si="131"/>
        <v>Valid</v>
      </c>
      <c r="AG652" t="str">
        <f t="shared" si="132"/>
        <v>Valid</v>
      </c>
      <c r="AH652" t="str">
        <f t="shared" si="133"/>
        <v>Valid</v>
      </c>
      <c r="AI652" t="str">
        <f t="shared" si="134"/>
        <v>Valid</v>
      </c>
      <c r="AJ652" t="str">
        <f t="shared" si="135"/>
        <v>Valid</v>
      </c>
      <c r="AK652" t="str">
        <f t="shared" si="142"/>
        <v xml:space="preserve">Valid </v>
      </c>
      <c r="AL652" t="str">
        <f>IF(AND(Audit_Data[[#This Row],[Recency]]&gt;=0,Audit_Data[[#This Row],[Recency]]&lt;=100),"Valid","Invalid")</f>
        <v>Valid</v>
      </c>
      <c r="AM652" t="str">
        <f t="shared" si="136"/>
        <v>Valid</v>
      </c>
      <c r="AN652" t="str">
        <f t="shared" si="137"/>
        <v>Valid</v>
      </c>
      <c r="AO652" t="str">
        <f t="shared" si="138"/>
        <v>Valid</v>
      </c>
      <c r="AP652" t="str">
        <f t="shared" si="139"/>
        <v>Valid</v>
      </c>
      <c r="AQ652" t="str">
        <f>IF(Audit_Data[[#This Row],[Z_CostContact]]=3,"Valid","Invalid")</f>
        <v>Valid</v>
      </c>
      <c r="AR652" t="str">
        <f t="shared" si="140"/>
        <v>Valid</v>
      </c>
      <c r="AS652" t="str">
        <f t="shared" si="141"/>
        <v>Valid</v>
      </c>
    </row>
    <row r="653" spans="1:45" x14ac:dyDescent="0.3">
      <c r="A653">
        <v>6728</v>
      </c>
      <c r="B653">
        <v>1985</v>
      </c>
      <c r="C653" t="s">
        <v>29</v>
      </c>
      <c r="D653" t="s">
        <v>31</v>
      </c>
      <c r="E653">
        <v>29103</v>
      </c>
      <c r="F653">
        <v>1</v>
      </c>
      <c r="G653">
        <v>0</v>
      </c>
      <c r="H653" s="1">
        <v>41148</v>
      </c>
      <c r="I653">
        <v>38</v>
      </c>
      <c r="J653">
        <v>16</v>
      </c>
      <c r="K653">
        <v>0</v>
      </c>
      <c r="L653">
        <v>17</v>
      </c>
      <c r="M653">
        <v>6</v>
      </c>
      <c r="N653">
        <v>3</v>
      </c>
      <c r="O653">
        <v>6</v>
      </c>
      <c r="P653">
        <v>2</v>
      </c>
      <c r="Q653">
        <v>1</v>
      </c>
      <c r="R653">
        <v>0</v>
      </c>
      <c r="S653">
        <v>3</v>
      </c>
      <c r="T653">
        <v>9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3</v>
      </c>
      <c r="AB653">
        <v>11</v>
      </c>
      <c r="AC653">
        <v>0</v>
      </c>
      <c r="AD653" t="str">
        <f t="shared" si="130"/>
        <v>Ok</v>
      </c>
      <c r="AE653" t="str">
        <f>IF(AND(Audit_Data[[#This Row],[Year_Birth]]&gt;=1900,Audit_Data[[#This Row],[Year_Birth]]&lt;=2010),"OK","Invalid")</f>
        <v>OK</v>
      </c>
      <c r="AF653" t="str">
        <f t="shared" si="131"/>
        <v>Valid</v>
      </c>
      <c r="AG653" t="str">
        <f t="shared" si="132"/>
        <v>Valid</v>
      </c>
      <c r="AH653" t="str">
        <f t="shared" si="133"/>
        <v>Valid</v>
      </c>
      <c r="AI653" t="str">
        <f t="shared" si="134"/>
        <v>Valid</v>
      </c>
      <c r="AJ653" t="str">
        <f t="shared" si="135"/>
        <v>Valid</v>
      </c>
      <c r="AK653" t="str">
        <f t="shared" si="142"/>
        <v xml:space="preserve">Valid </v>
      </c>
      <c r="AL653" t="str">
        <f>IF(AND(Audit_Data[[#This Row],[Recency]]&gt;=0,Audit_Data[[#This Row],[Recency]]&lt;=100),"Valid","Invalid")</f>
        <v>Valid</v>
      </c>
      <c r="AM653" t="str">
        <f t="shared" si="136"/>
        <v>Valid</v>
      </c>
      <c r="AN653" t="str">
        <f t="shared" si="137"/>
        <v>Valid</v>
      </c>
      <c r="AO653" t="str">
        <f t="shared" si="138"/>
        <v>Valid</v>
      </c>
      <c r="AP653" t="str">
        <f t="shared" si="139"/>
        <v>Valid</v>
      </c>
      <c r="AQ653" t="str">
        <f>IF(Audit_Data[[#This Row],[Z_CostContact]]=3,"Valid","Invalid")</f>
        <v>Valid</v>
      </c>
      <c r="AR653" t="str">
        <f t="shared" si="140"/>
        <v>Valid</v>
      </c>
      <c r="AS653" t="str">
        <f t="shared" si="141"/>
        <v>Valid</v>
      </c>
    </row>
    <row r="654" spans="1:45" x14ac:dyDescent="0.3">
      <c r="A654">
        <v>6661</v>
      </c>
      <c r="B654">
        <v>1974</v>
      </c>
      <c r="C654" t="s">
        <v>29</v>
      </c>
      <c r="D654" t="s">
        <v>33</v>
      </c>
      <c r="E654">
        <v>67445</v>
      </c>
      <c r="F654">
        <v>0</v>
      </c>
      <c r="G654">
        <v>1</v>
      </c>
      <c r="H654" s="1">
        <v>41133</v>
      </c>
      <c r="I654">
        <v>63</v>
      </c>
      <c r="J654">
        <v>757</v>
      </c>
      <c r="K654">
        <v>80</v>
      </c>
      <c r="L654">
        <v>217</v>
      </c>
      <c r="M654">
        <v>29</v>
      </c>
      <c r="N654">
        <v>80</v>
      </c>
      <c r="O654">
        <v>11</v>
      </c>
      <c r="P654">
        <v>5</v>
      </c>
      <c r="Q654">
        <v>9</v>
      </c>
      <c r="R654">
        <v>6</v>
      </c>
      <c r="S654">
        <v>12</v>
      </c>
      <c r="T654">
        <v>6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3</v>
      </c>
      <c r="AB654">
        <v>11</v>
      </c>
      <c r="AC654">
        <v>0</v>
      </c>
      <c r="AD654" t="str">
        <f t="shared" si="130"/>
        <v>Ok</v>
      </c>
      <c r="AE654" t="str">
        <f>IF(AND(Audit_Data[[#This Row],[Year_Birth]]&gt;=1900,Audit_Data[[#This Row],[Year_Birth]]&lt;=2010),"OK","Invalid")</f>
        <v>OK</v>
      </c>
      <c r="AF654" t="str">
        <f t="shared" si="131"/>
        <v>Valid</v>
      </c>
      <c r="AG654" t="str">
        <f t="shared" si="132"/>
        <v>Valid</v>
      </c>
      <c r="AH654" t="str">
        <f t="shared" si="133"/>
        <v>Valid</v>
      </c>
      <c r="AI654" t="str">
        <f t="shared" si="134"/>
        <v>Valid</v>
      </c>
      <c r="AJ654" t="str">
        <f t="shared" si="135"/>
        <v>Valid</v>
      </c>
      <c r="AK654" t="str">
        <f t="shared" si="142"/>
        <v xml:space="preserve">Valid </v>
      </c>
      <c r="AL654" t="str">
        <f>IF(AND(Audit_Data[[#This Row],[Recency]]&gt;=0,Audit_Data[[#This Row],[Recency]]&lt;=100),"Valid","Invalid")</f>
        <v>Valid</v>
      </c>
      <c r="AM654" t="str">
        <f t="shared" si="136"/>
        <v>Valid</v>
      </c>
      <c r="AN654" t="str">
        <f t="shared" si="137"/>
        <v>Valid</v>
      </c>
      <c r="AO654" t="str">
        <f t="shared" si="138"/>
        <v>Valid</v>
      </c>
      <c r="AP654" t="str">
        <f t="shared" si="139"/>
        <v>Valid</v>
      </c>
      <c r="AQ654" t="str">
        <f>IF(Audit_Data[[#This Row],[Z_CostContact]]=3,"Valid","Invalid")</f>
        <v>Valid</v>
      </c>
      <c r="AR654" t="str">
        <f t="shared" si="140"/>
        <v>Valid</v>
      </c>
      <c r="AS654" t="str">
        <f t="shared" si="141"/>
        <v>Valid</v>
      </c>
    </row>
    <row r="655" spans="1:45" x14ac:dyDescent="0.3">
      <c r="A655">
        <v>4725</v>
      </c>
      <c r="B655">
        <v>1950</v>
      </c>
      <c r="C655" t="s">
        <v>32</v>
      </c>
      <c r="D655" t="s">
        <v>31</v>
      </c>
      <c r="E655">
        <v>50616</v>
      </c>
      <c r="F655">
        <v>0</v>
      </c>
      <c r="G655">
        <v>1</v>
      </c>
      <c r="H655" s="1">
        <v>41742</v>
      </c>
      <c r="I655">
        <v>71</v>
      </c>
      <c r="J655">
        <v>30</v>
      </c>
      <c r="K655">
        <v>2</v>
      </c>
      <c r="L655">
        <v>25</v>
      </c>
      <c r="M655">
        <v>0</v>
      </c>
      <c r="N655">
        <v>1</v>
      </c>
      <c r="O655">
        <v>9</v>
      </c>
      <c r="P655">
        <v>1</v>
      </c>
      <c r="Q655">
        <v>1</v>
      </c>
      <c r="R655">
        <v>1</v>
      </c>
      <c r="S655">
        <v>4</v>
      </c>
      <c r="T655">
        <v>2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3</v>
      </c>
      <c r="AB655">
        <v>11</v>
      </c>
      <c r="AC655">
        <v>0</v>
      </c>
      <c r="AD655" t="str">
        <f t="shared" si="130"/>
        <v>Ok</v>
      </c>
      <c r="AE655" t="str">
        <f>IF(AND(Audit_Data[[#This Row],[Year_Birth]]&gt;=1900,Audit_Data[[#This Row],[Year_Birth]]&lt;=2010),"OK","Invalid")</f>
        <v>OK</v>
      </c>
      <c r="AF655" t="str">
        <f t="shared" si="131"/>
        <v>Valid</v>
      </c>
      <c r="AG655" t="str">
        <f t="shared" si="132"/>
        <v>Valid</v>
      </c>
      <c r="AH655" t="str">
        <f t="shared" si="133"/>
        <v>Valid</v>
      </c>
      <c r="AI655" t="str">
        <f t="shared" si="134"/>
        <v>Valid</v>
      </c>
      <c r="AJ655" t="str">
        <f t="shared" si="135"/>
        <v>Valid</v>
      </c>
      <c r="AK655" t="str">
        <f t="shared" si="142"/>
        <v xml:space="preserve">Valid </v>
      </c>
      <c r="AL655" t="str">
        <f>IF(AND(Audit_Data[[#This Row],[Recency]]&gt;=0,Audit_Data[[#This Row],[Recency]]&lt;=100),"Valid","Invalid")</f>
        <v>Valid</v>
      </c>
      <c r="AM655" t="str">
        <f t="shared" si="136"/>
        <v>Valid</v>
      </c>
      <c r="AN655" t="str">
        <f t="shared" si="137"/>
        <v>Valid</v>
      </c>
      <c r="AO655" t="str">
        <f t="shared" si="138"/>
        <v>Valid</v>
      </c>
      <c r="AP655" t="str">
        <f t="shared" si="139"/>
        <v>Valid</v>
      </c>
      <c r="AQ655" t="str">
        <f>IF(Audit_Data[[#This Row],[Z_CostContact]]=3,"Valid","Invalid")</f>
        <v>Valid</v>
      </c>
      <c r="AR655" t="str">
        <f t="shared" si="140"/>
        <v>Valid</v>
      </c>
      <c r="AS655" t="str">
        <f t="shared" si="141"/>
        <v>Valid</v>
      </c>
    </row>
    <row r="656" spans="1:45" x14ac:dyDescent="0.3">
      <c r="A656">
        <v>3277</v>
      </c>
      <c r="B656">
        <v>1955</v>
      </c>
      <c r="C656" t="s">
        <v>29</v>
      </c>
      <c r="D656" t="s">
        <v>35</v>
      </c>
      <c r="E656">
        <v>49431</v>
      </c>
      <c r="F656">
        <v>0</v>
      </c>
      <c r="G656">
        <v>1</v>
      </c>
      <c r="H656" s="1">
        <v>41124</v>
      </c>
      <c r="I656">
        <v>9</v>
      </c>
      <c r="J656">
        <v>219</v>
      </c>
      <c r="K656">
        <v>3</v>
      </c>
      <c r="L656">
        <v>100</v>
      </c>
      <c r="M656">
        <v>26</v>
      </c>
      <c r="N656">
        <v>0</v>
      </c>
      <c r="O656">
        <v>17</v>
      </c>
      <c r="P656">
        <v>2</v>
      </c>
      <c r="Q656">
        <v>7</v>
      </c>
      <c r="R656">
        <v>1</v>
      </c>
      <c r="S656">
        <v>5</v>
      </c>
      <c r="T656">
        <v>8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3</v>
      </c>
      <c r="AB656">
        <v>11</v>
      </c>
      <c r="AC656">
        <v>0</v>
      </c>
      <c r="AD656" t="str">
        <f t="shared" si="130"/>
        <v>Ok</v>
      </c>
      <c r="AE656" t="str">
        <f>IF(AND(Audit_Data[[#This Row],[Year_Birth]]&gt;=1900,Audit_Data[[#This Row],[Year_Birth]]&lt;=2010),"OK","Invalid")</f>
        <v>OK</v>
      </c>
      <c r="AF656" t="str">
        <f t="shared" si="131"/>
        <v>Valid</v>
      </c>
      <c r="AG656" t="str">
        <f t="shared" si="132"/>
        <v>Valid</v>
      </c>
      <c r="AH656" t="str">
        <f t="shared" si="133"/>
        <v>Valid</v>
      </c>
      <c r="AI656" t="str">
        <f t="shared" si="134"/>
        <v>Valid</v>
      </c>
      <c r="AJ656" t="str">
        <f t="shared" si="135"/>
        <v>Valid</v>
      </c>
      <c r="AK656" t="str">
        <f t="shared" si="142"/>
        <v xml:space="preserve">Valid </v>
      </c>
      <c r="AL656" t="str">
        <f>IF(AND(Audit_Data[[#This Row],[Recency]]&gt;=0,Audit_Data[[#This Row],[Recency]]&lt;=100),"Valid","Invalid")</f>
        <v>Valid</v>
      </c>
      <c r="AM656" t="str">
        <f t="shared" si="136"/>
        <v>Valid</v>
      </c>
      <c r="AN656" t="str">
        <f t="shared" si="137"/>
        <v>Valid</v>
      </c>
      <c r="AO656" t="str">
        <f t="shared" si="138"/>
        <v>Valid</v>
      </c>
      <c r="AP656" t="str">
        <f t="shared" si="139"/>
        <v>Valid</v>
      </c>
      <c r="AQ656" t="str">
        <f>IF(Audit_Data[[#This Row],[Z_CostContact]]=3,"Valid","Invalid")</f>
        <v>Valid</v>
      </c>
      <c r="AR656" t="str">
        <f t="shared" si="140"/>
        <v>Valid</v>
      </c>
      <c r="AS656" t="str">
        <f t="shared" si="141"/>
        <v>Valid</v>
      </c>
    </row>
    <row r="657" spans="1:45" x14ac:dyDescent="0.3">
      <c r="A657">
        <v>5555</v>
      </c>
      <c r="B657">
        <v>1975</v>
      </c>
      <c r="C657" t="s">
        <v>29</v>
      </c>
      <c r="D657" t="s">
        <v>35</v>
      </c>
      <c r="E657">
        <v>153924</v>
      </c>
      <c r="F657">
        <v>0</v>
      </c>
      <c r="G657">
        <v>0</v>
      </c>
      <c r="H657" s="1">
        <v>41677</v>
      </c>
      <c r="I657">
        <v>81</v>
      </c>
      <c r="J657">
        <v>1</v>
      </c>
      <c r="K657">
        <v>1</v>
      </c>
      <c r="L657">
        <v>1</v>
      </c>
      <c r="M657">
        <v>1</v>
      </c>
      <c r="N657">
        <v>1</v>
      </c>
      <c r="O657">
        <v>1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3</v>
      </c>
      <c r="AB657">
        <v>11</v>
      </c>
      <c r="AC657">
        <v>0</v>
      </c>
      <c r="AD657" t="str">
        <f t="shared" si="130"/>
        <v>Ok</v>
      </c>
      <c r="AE657" t="str">
        <f>IF(AND(Audit_Data[[#This Row],[Year_Birth]]&gt;=1900,Audit_Data[[#This Row],[Year_Birth]]&lt;=2010),"OK","Invalid")</f>
        <v>OK</v>
      </c>
      <c r="AF657" t="str">
        <f t="shared" si="131"/>
        <v>Valid</v>
      </c>
      <c r="AG657" t="str">
        <f t="shared" si="132"/>
        <v>Valid</v>
      </c>
      <c r="AH657" t="str">
        <f t="shared" si="133"/>
        <v>Valid</v>
      </c>
      <c r="AI657" t="str">
        <f t="shared" si="134"/>
        <v>Valid</v>
      </c>
      <c r="AJ657" t="str">
        <f t="shared" si="135"/>
        <v>Valid</v>
      </c>
      <c r="AK657" t="str">
        <f t="shared" si="142"/>
        <v xml:space="preserve">Valid </v>
      </c>
      <c r="AL657" t="str">
        <f>IF(AND(Audit_Data[[#This Row],[Recency]]&gt;=0,Audit_Data[[#This Row],[Recency]]&lt;=100),"Valid","Invalid")</f>
        <v>Valid</v>
      </c>
      <c r="AM657" t="str">
        <f t="shared" si="136"/>
        <v>Valid</v>
      </c>
      <c r="AN657" t="str">
        <f t="shared" si="137"/>
        <v>Valid</v>
      </c>
      <c r="AO657" t="str">
        <f t="shared" si="138"/>
        <v>Valid</v>
      </c>
      <c r="AP657" t="str">
        <f t="shared" si="139"/>
        <v>Valid</v>
      </c>
      <c r="AQ657" t="str">
        <f>IF(Audit_Data[[#This Row],[Z_CostContact]]=3,"Valid","Invalid")</f>
        <v>Valid</v>
      </c>
      <c r="AR657" t="str">
        <f t="shared" si="140"/>
        <v>Valid</v>
      </c>
      <c r="AS657" t="str">
        <f t="shared" si="141"/>
        <v>Valid</v>
      </c>
    </row>
    <row r="658" spans="1:45" x14ac:dyDescent="0.3">
      <c r="A658">
        <v>2564</v>
      </c>
      <c r="B658">
        <v>1953</v>
      </c>
      <c r="C658" t="s">
        <v>29</v>
      </c>
      <c r="D658" t="s">
        <v>31</v>
      </c>
      <c r="E658">
        <v>61278</v>
      </c>
      <c r="F658">
        <v>0</v>
      </c>
      <c r="G658">
        <v>1</v>
      </c>
      <c r="H658" s="1">
        <v>41643</v>
      </c>
      <c r="I658">
        <v>87</v>
      </c>
      <c r="J658">
        <v>111</v>
      </c>
      <c r="K658">
        <v>3</v>
      </c>
      <c r="L658">
        <v>28</v>
      </c>
      <c r="M658">
        <v>2</v>
      </c>
      <c r="N658">
        <v>6</v>
      </c>
      <c r="O658">
        <v>15</v>
      </c>
      <c r="P658">
        <v>2</v>
      </c>
      <c r="Q658">
        <v>3</v>
      </c>
      <c r="R658">
        <v>1</v>
      </c>
      <c r="S658">
        <v>4</v>
      </c>
      <c r="T658">
        <v>6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3</v>
      </c>
      <c r="AB658">
        <v>11</v>
      </c>
      <c r="AC658">
        <v>0</v>
      </c>
      <c r="AD658" t="str">
        <f t="shared" si="130"/>
        <v>Ok</v>
      </c>
      <c r="AE658" t="str">
        <f>IF(AND(Audit_Data[[#This Row],[Year_Birth]]&gt;=1900,Audit_Data[[#This Row],[Year_Birth]]&lt;=2010),"OK","Invalid")</f>
        <v>OK</v>
      </c>
      <c r="AF658" t="str">
        <f t="shared" si="131"/>
        <v>Valid</v>
      </c>
      <c r="AG658" t="str">
        <f t="shared" si="132"/>
        <v>Valid</v>
      </c>
      <c r="AH658" t="str">
        <f t="shared" si="133"/>
        <v>Valid</v>
      </c>
      <c r="AI658" t="str">
        <f t="shared" si="134"/>
        <v>Valid</v>
      </c>
      <c r="AJ658" t="str">
        <f t="shared" si="135"/>
        <v>Valid</v>
      </c>
      <c r="AK658" t="str">
        <f t="shared" si="142"/>
        <v xml:space="preserve">Valid </v>
      </c>
      <c r="AL658" t="str">
        <f>IF(AND(Audit_Data[[#This Row],[Recency]]&gt;=0,Audit_Data[[#This Row],[Recency]]&lt;=100),"Valid","Invalid")</f>
        <v>Valid</v>
      </c>
      <c r="AM658" t="str">
        <f t="shared" si="136"/>
        <v>Valid</v>
      </c>
      <c r="AN658" t="str">
        <f t="shared" si="137"/>
        <v>Valid</v>
      </c>
      <c r="AO658" t="str">
        <f t="shared" si="138"/>
        <v>Valid</v>
      </c>
      <c r="AP658" t="str">
        <f t="shared" si="139"/>
        <v>Valid</v>
      </c>
      <c r="AQ658" t="str">
        <f>IF(Audit_Data[[#This Row],[Z_CostContact]]=3,"Valid","Invalid")</f>
        <v>Valid</v>
      </c>
      <c r="AR658" t="str">
        <f t="shared" si="140"/>
        <v>Valid</v>
      </c>
      <c r="AS658" t="str">
        <f t="shared" si="141"/>
        <v>Valid</v>
      </c>
    </row>
    <row r="659" spans="1:45" x14ac:dyDescent="0.3">
      <c r="A659">
        <v>946</v>
      </c>
      <c r="B659">
        <v>1958</v>
      </c>
      <c r="C659" t="s">
        <v>37</v>
      </c>
      <c r="D659" t="s">
        <v>31</v>
      </c>
      <c r="E659">
        <v>26490</v>
      </c>
      <c r="F659">
        <v>0</v>
      </c>
      <c r="G659">
        <v>0</v>
      </c>
      <c r="H659" s="1">
        <v>41174</v>
      </c>
      <c r="I659">
        <v>92</v>
      </c>
      <c r="J659">
        <v>45</v>
      </c>
      <c r="K659">
        <v>47</v>
      </c>
      <c r="L659">
        <v>52</v>
      </c>
      <c r="M659">
        <v>21</v>
      </c>
      <c r="N659">
        <v>20</v>
      </c>
      <c r="O659">
        <v>25</v>
      </c>
      <c r="P659">
        <v>2</v>
      </c>
      <c r="Q659">
        <v>3</v>
      </c>
      <c r="R659">
        <v>1</v>
      </c>
      <c r="S659">
        <v>5</v>
      </c>
      <c r="T659">
        <v>6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3</v>
      </c>
      <c r="AB659">
        <v>11</v>
      </c>
      <c r="AC659">
        <v>0</v>
      </c>
      <c r="AD659" t="str">
        <f t="shared" si="130"/>
        <v>Ok</v>
      </c>
      <c r="AE659" t="str">
        <f>IF(AND(Audit_Data[[#This Row],[Year_Birth]]&gt;=1900,Audit_Data[[#This Row],[Year_Birth]]&lt;=2010),"OK","Invalid")</f>
        <v>OK</v>
      </c>
      <c r="AF659" t="str">
        <f t="shared" si="131"/>
        <v>Valid</v>
      </c>
      <c r="AG659" t="str">
        <f t="shared" si="132"/>
        <v>Valid</v>
      </c>
      <c r="AH659" t="str">
        <f t="shared" si="133"/>
        <v>Valid</v>
      </c>
      <c r="AI659" t="str">
        <f t="shared" si="134"/>
        <v>Valid</v>
      </c>
      <c r="AJ659" t="str">
        <f t="shared" si="135"/>
        <v>Valid</v>
      </c>
      <c r="AK659" t="str">
        <f t="shared" si="142"/>
        <v xml:space="preserve">Valid </v>
      </c>
      <c r="AL659" t="str">
        <f>IF(AND(Audit_Data[[#This Row],[Recency]]&gt;=0,Audit_Data[[#This Row],[Recency]]&lt;=100),"Valid","Invalid")</f>
        <v>Valid</v>
      </c>
      <c r="AM659" t="str">
        <f t="shared" si="136"/>
        <v>Valid</v>
      </c>
      <c r="AN659" t="str">
        <f t="shared" si="137"/>
        <v>Valid</v>
      </c>
      <c r="AO659" t="str">
        <f t="shared" si="138"/>
        <v>Valid</v>
      </c>
      <c r="AP659" t="str">
        <f t="shared" si="139"/>
        <v>Valid</v>
      </c>
      <c r="AQ659" t="str">
        <f>IF(Audit_Data[[#This Row],[Z_CostContact]]=3,"Valid","Invalid")</f>
        <v>Valid</v>
      </c>
      <c r="AR659" t="str">
        <f t="shared" si="140"/>
        <v>Valid</v>
      </c>
      <c r="AS659" t="str">
        <f t="shared" si="141"/>
        <v>Valid</v>
      </c>
    </row>
    <row r="660" spans="1:45" x14ac:dyDescent="0.3">
      <c r="A660">
        <v>3867</v>
      </c>
      <c r="B660">
        <v>1947</v>
      </c>
      <c r="C660" t="s">
        <v>32</v>
      </c>
      <c r="D660" t="s">
        <v>31</v>
      </c>
      <c r="E660">
        <v>73059</v>
      </c>
      <c r="F660">
        <v>0</v>
      </c>
      <c r="G660">
        <v>1</v>
      </c>
      <c r="H660" s="1">
        <v>41517</v>
      </c>
      <c r="I660">
        <v>36</v>
      </c>
      <c r="J660">
        <v>410</v>
      </c>
      <c r="K660">
        <v>112</v>
      </c>
      <c r="L660">
        <v>420</v>
      </c>
      <c r="M660">
        <v>0</v>
      </c>
      <c r="N660">
        <v>82</v>
      </c>
      <c r="O660">
        <v>71</v>
      </c>
      <c r="P660">
        <v>1</v>
      </c>
      <c r="Q660">
        <v>9</v>
      </c>
      <c r="R660">
        <v>3</v>
      </c>
      <c r="S660">
        <v>13</v>
      </c>
      <c r="T660">
        <v>4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3</v>
      </c>
      <c r="AB660">
        <v>11</v>
      </c>
      <c r="AC660">
        <v>0</v>
      </c>
      <c r="AD660" t="str">
        <f t="shared" si="130"/>
        <v>Ok</v>
      </c>
      <c r="AE660" t="str">
        <f>IF(AND(Audit_Data[[#This Row],[Year_Birth]]&gt;=1900,Audit_Data[[#This Row],[Year_Birth]]&lt;=2010),"OK","Invalid")</f>
        <v>OK</v>
      </c>
      <c r="AF660" t="str">
        <f t="shared" si="131"/>
        <v>Valid</v>
      </c>
      <c r="AG660" t="str">
        <f t="shared" si="132"/>
        <v>Valid</v>
      </c>
      <c r="AH660" t="str">
        <f t="shared" si="133"/>
        <v>Valid</v>
      </c>
      <c r="AI660" t="str">
        <f t="shared" si="134"/>
        <v>Valid</v>
      </c>
      <c r="AJ660" t="str">
        <f t="shared" si="135"/>
        <v>Valid</v>
      </c>
      <c r="AK660" t="str">
        <f t="shared" si="142"/>
        <v xml:space="preserve">Valid </v>
      </c>
      <c r="AL660" t="str">
        <f>IF(AND(Audit_Data[[#This Row],[Recency]]&gt;=0,Audit_Data[[#This Row],[Recency]]&lt;=100),"Valid","Invalid")</f>
        <v>Valid</v>
      </c>
      <c r="AM660" t="str">
        <f t="shared" si="136"/>
        <v>Valid</v>
      </c>
      <c r="AN660" t="str">
        <f t="shared" si="137"/>
        <v>Valid</v>
      </c>
      <c r="AO660" t="str">
        <f t="shared" si="138"/>
        <v>Valid</v>
      </c>
      <c r="AP660" t="str">
        <f t="shared" si="139"/>
        <v>Valid</v>
      </c>
      <c r="AQ660" t="str">
        <f>IF(Audit_Data[[#This Row],[Z_CostContact]]=3,"Valid","Invalid")</f>
        <v>Valid</v>
      </c>
      <c r="AR660" t="str">
        <f t="shared" si="140"/>
        <v>Valid</v>
      </c>
      <c r="AS660" t="str">
        <f t="shared" si="141"/>
        <v>Valid</v>
      </c>
    </row>
    <row r="661" spans="1:45" x14ac:dyDescent="0.3">
      <c r="A661">
        <v>6940</v>
      </c>
      <c r="B661">
        <v>1966</v>
      </c>
      <c r="C661" t="s">
        <v>32</v>
      </c>
      <c r="D661" t="s">
        <v>30</v>
      </c>
      <c r="E661">
        <v>46734</v>
      </c>
      <c r="F661">
        <v>1</v>
      </c>
      <c r="G661">
        <v>2</v>
      </c>
      <c r="H661" s="1">
        <v>41568</v>
      </c>
      <c r="I661">
        <v>86</v>
      </c>
      <c r="J661">
        <v>100</v>
      </c>
      <c r="K661">
        <v>1</v>
      </c>
      <c r="L661">
        <v>39</v>
      </c>
      <c r="M661">
        <v>6</v>
      </c>
      <c r="N661">
        <v>1</v>
      </c>
      <c r="O661">
        <v>76</v>
      </c>
      <c r="P661">
        <v>4</v>
      </c>
      <c r="Q661">
        <v>3</v>
      </c>
      <c r="R661">
        <v>2</v>
      </c>
      <c r="S661">
        <v>3</v>
      </c>
      <c r="T661">
        <v>6</v>
      </c>
      <c r="U661">
        <v>1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3</v>
      </c>
      <c r="AB661">
        <v>11</v>
      </c>
      <c r="AC661">
        <v>0</v>
      </c>
      <c r="AD661" t="str">
        <f t="shared" si="130"/>
        <v>Ok</v>
      </c>
      <c r="AE661" t="str">
        <f>IF(AND(Audit_Data[[#This Row],[Year_Birth]]&gt;=1900,Audit_Data[[#This Row],[Year_Birth]]&lt;=2010),"OK","Invalid")</f>
        <v>OK</v>
      </c>
      <c r="AF661" t="str">
        <f t="shared" si="131"/>
        <v>Valid</v>
      </c>
      <c r="AG661" t="str">
        <f t="shared" si="132"/>
        <v>Valid</v>
      </c>
      <c r="AH661" t="str">
        <f t="shared" si="133"/>
        <v>Valid</v>
      </c>
      <c r="AI661" t="str">
        <f t="shared" si="134"/>
        <v>Valid</v>
      </c>
      <c r="AJ661" t="str">
        <f t="shared" si="135"/>
        <v>Valid</v>
      </c>
      <c r="AK661" t="str">
        <f t="shared" si="142"/>
        <v xml:space="preserve">Valid </v>
      </c>
      <c r="AL661" t="str">
        <f>IF(AND(Audit_Data[[#This Row],[Recency]]&gt;=0,Audit_Data[[#This Row],[Recency]]&lt;=100),"Valid","Invalid")</f>
        <v>Valid</v>
      </c>
      <c r="AM661" t="str">
        <f t="shared" si="136"/>
        <v>Valid</v>
      </c>
      <c r="AN661" t="str">
        <f t="shared" si="137"/>
        <v>Valid</v>
      </c>
      <c r="AO661" t="str">
        <f t="shared" si="138"/>
        <v>Valid</v>
      </c>
      <c r="AP661" t="str">
        <f t="shared" si="139"/>
        <v>Valid</v>
      </c>
      <c r="AQ661" t="str">
        <f>IF(Audit_Data[[#This Row],[Z_CostContact]]=3,"Valid","Invalid")</f>
        <v>Valid</v>
      </c>
      <c r="AR661" t="str">
        <f t="shared" si="140"/>
        <v>Valid</v>
      </c>
      <c r="AS661" t="str">
        <f t="shared" si="141"/>
        <v>Valid</v>
      </c>
    </row>
    <row r="662" spans="1:45" x14ac:dyDescent="0.3">
      <c r="A662">
        <v>55</v>
      </c>
      <c r="B662">
        <v>1963</v>
      </c>
      <c r="C662" t="s">
        <v>29</v>
      </c>
      <c r="D662" t="s">
        <v>31</v>
      </c>
      <c r="E662">
        <v>56253</v>
      </c>
      <c r="F662">
        <v>0</v>
      </c>
      <c r="G662">
        <v>1</v>
      </c>
      <c r="H662" s="1">
        <v>41250</v>
      </c>
      <c r="I662">
        <v>83</v>
      </c>
      <c r="J662">
        <v>509</v>
      </c>
      <c r="K662">
        <v>0</v>
      </c>
      <c r="L662">
        <v>65</v>
      </c>
      <c r="M662">
        <v>7</v>
      </c>
      <c r="N662">
        <v>11</v>
      </c>
      <c r="O662">
        <v>5</v>
      </c>
      <c r="P662">
        <v>4</v>
      </c>
      <c r="Q662">
        <v>7</v>
      </c>
      <c r="R662">
        <v>2</v>
      </c>
      <c r="S662">
        <v>9</v>
      </c>
      <c r="T662">
        <v>6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3</v>
      </c>
      <c r="AB662">
        <v>11</v>
      </c>
      <c r="AC662">
        <v>0</v>
      </c>
      <c r="AD662" t="str">
        <f t="shared" si="130"/>
        <v>Ok</v>
      </c>
      <c r="AE662" t="str">
        <f>IF(AND(Audit_Data[[#This Row],[Year_Birth]]&gt;=1900,Audit_Data[[#This Row],[Year_Birth]]&lt;=2010),"OK","Invalid")</f>
        <v>OK</v>
      </c>
      <c r="AF662" t="str">
        <f t="shared" si="131"/>
        <v>Valid</v>
      </c>
      <c r="AG662" t="str">
        <f t="shared" si="132"/>
        <v>Valid</v>
      </c>
      <c r="AH662" t="str">
        <f t="shared" si="133"/>
        <v>Valid</v>
      </c>
      <c r="AI662" t="str">
        <f t="shared" si="134"/>
        <v>Valid</v>
      </c>
      <c r="AJ662" t="str">
        <f t="shared" si="135"/>
        <v>Valid</v>
      </c>
      <c r="AK662" t="str">
        <f t="shared" si="142"/>
        <v xml:space="preserve">Valid </v>
      </c>
      <c r="AL662" t="str">
        <f>IF(AND(Audit_Data[[#This Row],[Recency]]&gt;=0,Audit_Data[[#This Row],[Recency]]&lt;=100),"Valid","Invalid")</f>
        <v>Valid</v>
      </c>
      <c r="AM662" t="str">
        <f t="shared" si="136"/>
        <v>Valid</v>
      </c>
      <c r="AN662" t="str">
        <f t="shared" si="137"/>
        <v>Valid</v>
      </c>
      <c r="AO662" t="str">
        <f t="shared" si="138"/>
        <v>Valid</v>
      </c>
      <c r="AP662" t="str">
        <f t="shared" si="139"/>
        <v>Valid</v>
      </c>
      <c r="AQ662" t="str">
        <f>IF(Audit_Data[[#This Row],[Z_CostContact]]=3,"Valid","Invalid")</f>
        <v>Valid</v>
      </c>
      <c r="AR662" t="str">
        <f t="shared" si="140"/>
        <v>Valid</v>
      </c>
      <c r="AS662" t="str">
        <f t="shared" si="141"/>
        <v>Valid</v>
      </c>
    </row>
    <row r="663" spans="1:45" x14ac:dyDescent="0.3">
      <c r="A663">
        <v>7093</v>
      </c>
      <c r="B663">
        <v>1985</v>
      </c>
      <c r="C663" t="s">
        <v>29</v>
      </c>
      <c r="D663" t="s">
        <v>33</v>
      </c>
      <c r="E663">
        <v>19986</v>
      </c>
      <c r="F663">
        <v>1</v>
      </c>
      <c r="G663">
        <v>0</v>
      </c>
      <c r="H663" s="1">
        <v>41592</v>
      </c>
      <c r="I663">
        <v>74</v>
      </c>
      <c r="J663">
        <v>3</v>
      </c>
      <c r="K663">
        <v>6</v>
      </c>
      <c r="L663">
        <v>5</v>
      </c>
      <c r="M663">
        <v>0</v>
      </c>
      <c r="N663">
        <v>2</v>
      </c>
      <c r="O663">
        <v>6</v>
      </c>
      <c r="P663">
        <v>1</v>
      </c>
      <c r="Q663">
        <v>0</v>
      </c>
      <c r="R663">
        <v>0</v>
      </c>
      <c r="S663">
        <v>3</v>
      </c>
      <c r="T663">
        <v>7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3</v>
      </c>
      <c r="AB663">
        <v>11</v>
      </c>
      <c r="AC663">
        <v>0</v>
      </c>
      <c r="AD663" t="str">
        <f t="shared" si="130"/>
        <v>Ok</v>
      </c>
      <c r="AE663" t="str">
        <f>IF(AND(Audit_Data[[#This Row],[Year_Birth]]&gt;=1900,Audit_Data[[#This Row],[Year_Birth]]&lt;=2010),"OK","Invalid")</f>
        <v>OK</v>
      </c>
      <c r="AF663" t="str">
        <f t="shared" si="131"/>
        <v>Valid</v>
      </c>
      <c r="AG663" t="str">
        <f t="shared" si="132"/>
        <v>Valid</v>
      </c>
      <c r="AH663" t="str">
        <f t="shared" si="133"/>
        <v>Valid</v>
      </c>
      <c r="AI663" t="str">
        <f t="shared" si="134"/>
        <v>Valid</v>
      </c>
      <c r="AJ663" t="str">
        <f t="shared" si="135"/>
        <v>Valid</v>
      </c>
      <c r="AK663" t="str">
        <f t="shared" si="142"/>
        <v xml:space="preserve">Valid </v>
      </c>
      <c r="AL663" t="str">
        <f>IF(AND(Audit_Data[[#This Row],[Recency]]&gt;=0,Audit_Data[[#This Row],[Recency]]&lt;=100),"Valid","Invalid")</f>
        <v>Valid</v>
      </c>
      <c r="AM663" t="str">
        <f t="shared" si="136"/>
        <v>Valid</v>
      </c>
      <c r="AN663" t="str">
        <f t="shared" si="137"/>
        <v>Valid</v>
      </c>
      <c r="AO663" t="str">
        <f t="shared" si="138"/>
        <v>Valid</v>
      </c>
      <c r="AP663" t="str">
        <f t="shared" si="139"/>
        <v>Valid</v>
      </c>
      <c r="AQ663" t="str">
        <f>IF(Audit_Data[[#This Row],[Z_CostContact]]=3,"Valid","Invalid")</f>
        <v>Valid</v>
      </c>
      <c r="AR663" t="str">
        <f t="shared" si="140"/>
        <v>Valid</v>
      </c>
      <c r="AS663" t="str">
        <f t="shared" si="141"/>
        <v>Valid</v>
      </c>
    </row>
    <row r="664" spans="1:45" x14ac:dyDescent="0.3">
      <c r="A664">
        <v>5084</v>
      </c>
      <c r="B664">
        <v>1975</v>
      </c>
      <c r="C664" t="s">
        <v>29</v>
      </c>
      <c r="D664" t="s">
        <v>38</v>
      </c>
      <c r="E664">
        <v>58330</v>
      </c>
      <c r="F664">
        <v>0</v>
      </c>
      <c r="G664">
        <v>1</v>
      </c>
      <c r="H664" s="1">
        <v>41633</v>
      </c>
      <c r="I664">
        <v>87</v>
      </c>
      <c r="J664">
        <v>445</v>
      </c>
      <c r="K664">
        <v>53</v>
      </c>
      <c r="L664">
        <v>213</v>
      </c>
      <c r="M664">
        <v>104</v>
      </c>
      <c r="N664">
        <v>98</v>
      </c>
      <c r="O664">
        <v>151</v>
      </c>
      <c r="P664">
        <v>1</v>
      </c>
      <c r="Q664">
        <v>6</v>
      </c>
      <c r="R664">
        <v>4</v>
      </c>
      <c r="S664">
        <v>13</v>
      </c>
      <c r="T664">
        <v>4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3</v>
      </c>
      <c r="AB664">
        <v>11</v>
      </c>
      <c r="AC664">
        <v>0</v>
      </c>
      <c r="AD664" t="str">
        <f t="shared" si="130"/>
        <v>Ok</v>
      </c>
      <c r="AE664" t="str">
        <f>IF(AND(Audit_Data[[#This Row],[Year_Birth]]&gt;=1900,Audit_Data[[#This Row],[Year_Birth]]&lt;=2010),"OK","Invalid")</f>
        <v>OK</v>
      </c>
      <c r="AF664" t="str">
        <f t="shared" si="131"/>
        <v>Valid</v>
      </c>
      <c r="AG664" t="str">
        <f t="shared" si="132"/>
        <v>Valid</v>
      </c>
      <c r="AH664" t="str">
        <f t="shared" si="133"/>
        <v>Valid</v>
      </c>
      <c r="AI664" t="str">
        <f t="shared" si="134"/>
        <v>Valid</v>
      </c>
      <c r="AJ664" t="str">
        <f t="shared" si="135"/>
        <v>Valid</v>
      </c>
      <c r="AK664" t="str">
        <f t="shared" si="142"/>
        <v xml:space="preserve">Valid </v>
      </c>
      <c r="AL664" t="str">
        <f>IF(AND(Audit_Data[[#This Row],[Recency]]&gt;=0,Audit_Data[[#This Row],[Recency]]&lt;=100),"Valid","Invalid")</f>
        <v>Valid</v>
      </c>
      <c r="AM664" t="str">
        <f t="shared" si="136"/>
        <v>Valid</v>
      </c>
      <c r="AN664" t="str">
        <f t="shared" si="137"/>
        <v>Valid</v>
      </c>
      <c r="AO664" t="str">
        <f t="shared" si="138"/>
        <v>Valid</v>
      </c>
      <c r="AP664" t="str">
        <f t="shared" si="139"/>
        <v>Valid</v>
      </c>
      <c r="AQ664" t="str">
        <f>IF(Audit_Data[[#This Row],[Z_CostContact]]=3,"Valid","Invalid")</f>
        <v>Valid</v>
      </c>
      <c r="AR664" t="str">
        <f t="shared" si="140"/>
        <v>Valid</v>
      </c>
      <c r="AS664" t="str">
        <f t="shared" si="141"/>
        <v>Valid</v>
      </c>
    </row>
    <row r="665" spans="1:45" x14ac:dyDescent="0.3">
      <c r="A665">
        <v>1777</v>
      </c>
      <c r="B665">
        <v>1980</v>
      </c>
      <c r="C665" t="s">
        <v>36</v>
      </c>
      <c r="D665" t="s">
        <v>33</v>
      </c>
      <c r="E665">
        <v>25965</v>
      </c>
      <c r="F665">
        <v>0</v>
      </c>
      <c r="G665">
        <v>0</v>
      </c>
      <c r="H665" s="1">
        <v>41159</v>
      </c>
      <c r="I665">
        <v>29</v>
      </c>
      <c r="J665">
        <v>2</v>
      </c>
      <c r="K665">
        <v>2</v>
      </c>
      <c r="L665">
        <v>11</v>
      </c>
      <c r="M665">
        <v>41</v>
      </c>
      <c r="N665">
        <v>7</v>
      </c>
      <c r="O665">
        <v>11</v>
      </c>
      <c r="P665">
        <v>1</v>
      </c>
      <c r="Q665">
        <v>2</v>
      </c>
      <c r="R665">
        <v>0</v>
      </c>
      <c r="S665">
        <v>3</v>
      </c>
      <c r="T665">
        <v>8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3</v>
      </c>
      <c r="AB665">
        <v>11</v>
      </c>
      <c r="AC665">
        <v>0</v>
      </c>
      <c r="AD665" t="str">
        <f t="shared" si="130"/>
        <v>Ok</v>
      </c>
      <c r="AE665" t="str">
        <f>IF(AND(Audit_Data[[#This Row],[Year_Birth]]&gt;=1900,Audit_Data[[#This Row],[Year_Birth]]&lt;=2010),"OK","Invalid")</f>
        <v>OK</v>
      </c>
      <c r="AF665" t="str">
        <f t="shared" si="131"/>
        <v>Valid</v>
      </c>
      <c r="AG665" t="str">
        <f t="shared" si="132"/>
        <v>Valid</v>
      </c>
      <c r="AH665" t="str">
        <f t="shared" si="133"/>
        <v>Valid</v>
      </c>
      <c r="AI665" t="str">
        <f t="shared" si="134"/>
        <v>Valid</v>
      </c>
      <c r="AJ665" t="str">
        <f t="shared" si="135"/>
        <v>Valid</v>
      </c>
      <c r="AK665" t="str">
        <f t="shared" si="142"/>
        <v xml:space="preserve">Valid </v>
      </c>
      <c r="AL665" t="str">
        <f>IF(AND(Audit_Data[[#This Row],[Recency]]&gt;=0,Audit_Data[[#This Row],[Recency]]&lt;=100),"Valid","Invalid")</f>
        <v>Valid</v>
      </c>
      <c r="AM665" t="str">
        <f t="shared" si="136"/>
        <v>Valid</v>
      </c>
      <c r="AN665" t="str">
        <f t="shared" si="137"/>
        <v>Valid</v>
      </c>
      <c r="AO665" t="str">
        <f t="shared" si="138"/>
        <v>Valid</v>
      </c>
      <c r="AP665" t="str">
        <f t="shared" si="139"/>
        <v>Valid</v>
      </c>
      <c r="AQ665" t="str">
        <f>IF(Audit_Data[[#This Row],[Z_CostContact]]=3,"Valid","Invalid")</f>
        <v>Valid</v>
      </c>
      <c r="AR665" t="str">
        <f t="shared" si="140"/>
        <v>Valid</v>
      </c>
      <c r="AS665" t="str">
        <f t="shared" si="141"/>
        <v>Valid</v>
      </c>
    </row>
    <row r="666" spans="1:45" x14ac:dyDescent="0.3">
      <c r="A666">
        <v>8162</v>
      </c>
      <c r="B666">
        <v>1956</v>
      </c>
      <c r="C666" t="s">
        <v>34</v>
      </c>
      <c r="D666" t="s">
        <v>31</v>
      </c>
      <c r="E666">
        <v>14661</v>
      </c>
      <c r="F666">
        <v>0</v>
      </c>
      <c r="G666">
        <v>0</v>
      </c>
      <c r="H666" s="1">
        <v>41275</v>
      </c>
      <c r="I666">
        <v>88</v>
      </c>
      <c r="J666">
        <v>4</v>
      </c>
      <c r="K666">
        <v>1</v>
      </c>
      <c r="L666">
        <v>11</v>
      </c>
      <c r="M666">
        <v>6</v>
      </c>
      <c r="N666">
        <v>2</v>
      </c>
      <c r="O666">
        <v>2</v>
      </c>
      <c r="P666">
        <v>1</v>
      </c>
      <c r="Q666">
        <v>1</v>
      </c>
      <c r="R666">
        <v>0</v>
      </c>
      <c r="S666">
        <v>3</v>
      </c>
      <c r="T666">
        <v>6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3</v>
      </c>
      <c r="AB666">
        <v>11</v>
      </c>
      <c r="AC666">
        <v>0</v>
      </c>
      <c r="AD666" t="str">
        <f t="shared" si="130"/>
        <v>Ok</v>
      </c>
      <c r="AE666" t="str">
        <f>IF(AND(Audit_Data[[#This Row],[Year_Birth]]&gt;=1900,Audit_Data[[#This Row],[Year_Birth]]&lt;=2010),"OK","Invalid")</f>
        <v>OK</v>
      </c>
      <c r="AF666" t="str">
        <f t="shared" si="131"/>
        <v>Valid</v>
      </c>
      <c r="AG666" t="str">
        <f t="shared" si="132"/>
        <v>Valid</v>
      </c>
      <c r="AH666" t="str">
        <f t="shared" si="133"/>
        <v>Valid</v>
      </c>
      <c r="AI666" t="str">
        <f t="shared" si="134"/>
        <v>Valid</v>
      </c>
      <c r="AJ666" t="str">
        <f t="shared" si="135"/>
        <v>Valid</v>
      </c>
      <c r="AK666" t="str">
        <f t="shared" si="142"/>
        <v xml:space="preserve">Valid </v>
      </c>
      <c r="AL666" t="str">
        <f>IF(AND(Audit_Data[[#This Row],[Recency]]&gt;=0,Audit_Data[[#This Row],[Recency]]&lt;=100),"Valid","Invalid")</f>
        <v>Valid</v>
      </c>
      <c r="AM666" t="str">
        <f t="shared" si="136"/>
        <v>Valid</v>
      </c>
      <c r="AN666" t="str">
        <f t="shared" si="137"/>
        <v>Valid</v>
      </c>
      <c r="AO666" t="str">
        <f t="shared" si="138"/>
        <v>Valid</v>
      </c>
      <c r="AP666" t="str">
        <f t="shared" si="139"/>
        <v>Valid</v>
      </c>
      <c r="AQ666" t="str">
        <f>IF(Audit_Data[[#This Row],[Z_CostContact]]=3,"Valid","Invalid")</f>
        <v>Valid</v>
      </c>
      <c r="AR666" t="str">
        <f t="shared" si="140"/>
        <v>Valid</v>
      </c>
      <c r="AS666" t="str">
        <f t="shared" si="141"/>
        <v>Valid</v>
      </c>
    </row>
    <row r="667" spans="1:45" x14ac:dyDescent="0.3">
      <c r="A667">
        <v>10826</v>
      </c>
      <c r="B667">
        <v>1959</v>
      </c>
      <c r="C667" t="s">
        <v>29</v>
      </c>
      <c r="D667" t="s">
        <v>33</v>
      </c>
      <c r="E667">
        <v>18690</v>
      </c>
      <c r="F667">
        <v>0</v>
      </c>
      <c r="G667">
        <v>0</v>
      </c>
      <c r="H667" s="1">
        <v>41271</v>
      </c>
      <c r="I667">
        <v>77</v>
      </c>
      <c r="J667">
        <v>6</v>
      </c>
      <c r="K667">
        <v>1</v>
      </c>
      <c r="L667">
        <v>7</v>
      </c>
      <c r="M667">
        <v>23</v>
      </c>
      <c r="N667">
        <v>4</v>
      </c>
      <c r="O667">
        <v>19</v>
      </c>
      <c r="P667">
        <v>1</v>
      </c>
      <c r="Q667">
        <v>1</v>
      </c>
      <c r="R667">
        <v>1</v>
      </c>
      <c r="S667">
        <v>2</v>
      </c>
      <c r="T667">
        <v>8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3</v>
      </c>
      <c r="AB667">
        <v>11</v>
      </c>
      <c r="AC667">
        <v>0</v>
      </c>
      <c r="AD667" t="str">
        <f t="shared" si="130"/>
        <v>Ok</v>
      </c>
      <c r="AE667" t="str">
        <f>IF(AND(Audit_Data[[#This Row],[Year_Birth]]&gt;=1900,Audit_Data[[#This Row],[Year_Birth]]&lt;=2010),"OK","Invalid")</f>
        <v>OK</v>
      </c>
      <c r="AF667" t="str">
        <f t="shared" si="131"/>
        <v>Valid</v>
      </c>
      <c r="AG667" t="str">
        <f t="shared" si="132"/>
        <v>Valid</v>
      </c>
      <c r="AH667" t="str">
        <f t="shared" si="133"/>
        <v>Valid</v>
      </c>
      <c r="AI667" t="str">
        <f t="shared" si="134"/>
        <v>Valid</v>
      </c>
      <c r="AJ667" t="str">
        <f t="shared" si="135"/>
        <v>Valid</v>
      </c>
      <c r="AK667" t="str">
        <f t="shared" si="142"/>
        <v xml:space="preserve">Valid </v>
      </c>
      <c r="AL667" t="str">
        <f>IF(AND(Audit_Data[[#This Row],[Recency]]&gt;=0,Audit_Data[[#This Row],[Recency]]&lt;=100),"Valid","Invalid")</f>
        <v>Valid</v>
      </c>
      <c r="AM667" t="str">
        <f t="shared" si="136"/>
        <v>Valid</v>
      </c>
      <c r="AN667" t="str">
        <f t="shared" si="137"/>
        <v>Valid</v>
      </c>
      <c r="AO667" t="str">
        <f t="shared" si="138"/>
        <v>Valid</v>
      </c>
      <c r="AP667" t="str">
        <f t="shared" si="139"/>
        <v>Valid</v>
      </c>
      <c r="AQ667" t="str">
        <f>IF(Audit_Data[[#This Row],[Z_CostContact]]=3,"Valid","Invalid")</f>
        <v>Valid</v>
      </c>
      <c r="AR667" t="str">
        <f t="shared" si="140"/>
        <v>Valid</v>
      </c>
      <c r="AS667" t="str">
        <f t="shared" si="141"/>
        <v>Valid</v>
      </c>
    </row>
    <row r="668" spans="1:45" x14ac:dyDescent="0.3">
      <c r="A668">
        <v>8754</v>
      </c>
      <c r="B668">
        <v>1974</v>
      </c>
      <c r="C668" t="s">
        <v>32</v>
      </c>
      <c r="D668" t="s">
        <v>31</v>
      </c>
      <c r="E668">
        <v>45068</v>
      </c>
      <c r="F668">
        <v>0</v>
      </c>
      <c r="G668">
        <v>1</v>
      </c>
      <c r="H668" s="1">
        <v>41410</v>
      </c>
      <c r="I668">
        <v>25</v>
      </c>
      <c r="J668">
        <v>14</v>
      </c>
      <c r="K668">
        <v>0</v>
      </c>
      <c r="L668">
        <v>3</v>
      </c>
      <c r="M668">
        <v>0</v>
      </c>
      <c r="N668">
        <v>0</v>
      </c>
      <c r="O668">
        <v>3</v>
      </c>
      <c r="P668">
        <v>1</v>
      </c>
      <c r="Q668">
        <v>1</v>
      </c>
      <c r="R668">
        <v>0</v>
      </c>
      <c r="S668">
        <v>2</v>
      </c>
      <c r="T668">
        <v>7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3</v>
      </c>
      <c r="AB668">
        <v>11</v>
      </c>
      <c r="AC668">
        <v>0</v>
      </c>
      <c r="AD668" t="str">
        <f t="shared" si="130"/>
        <v>Ok</v>
      </c>
      <c r="AE668" t="str">
        <f>IF(AND(Audit_Data[[#This Row],[Year_Birth]]&gt;=1900,Audit_Data[[#This Row],[Year_Birth]]&lt;=2010),"OK","Invalid")</f>
        <v>OK</v>
      </c>
      <c r="AF668" t="str">
        <f t="shared" si="131"/>
        <v>Valid</v>
      </c>
      <c r="AG668" t="str">
        <f t="shared" si="132"/>
        <v>Valid</v>
      </c>
      <c r="AH668" t="str">
        <f t="shared" si="133"/>
        <v>Valid</v>
      </c>
      <c r="AI668" t="str">
        <f t="shared" si="134"/>
        <v>Valid</v>
      </c>
      <c r="AJ668" t="str">
        <f t="shared" si="135"/>
        <v>Valid</v>
      </c>
      <c r="AK668" t="str">
        <f t="shared" si="142"/>
        <v xml:space="preserve">Valid </v>
      </c>
      <c r="AL668" t="str">
        <f>IF(AND(Audit_Data[[#This Row],[Recency]]&gt;=0,Audit_Data[[#This Row],[Recency]]&lt;=100),"Valid","Invalid")</f>
        <v>Valid</v>
      </c>
      <c r="AM668" t="str">
        <f t="shared" si="136"/>
        <v>Valid</v>
      </c>
      <c r="AN668" t="str">
        <f t="shared" si="137"/>
        <v>Valid</v>
      </c>
      <c r="AO668" t="str">
        <f t="shared" si="138"/>
        <v>Valid</v>
      </c>
      <c r="AP668" t="str">
        <f t="shared" si="139"/>
        <v>Valid</v>
      </c>
      <c r="AQ668" t="str">
        <f>IF(Audit_Data[[#This Row],[Z_CostContact]]=3,"Valid","Invalid")</f>
        <v>Valid</v>
      </c>
      <c r="AR668" t="str">
        <f t="shared" si="140"/>
        <v>Valid</v>
      </c>
      <c r="AS668" t="str">
        <f t="shared" si="141"/>
        <v>Valid</v>
      </c>
    </row>
    <row r="669" spans="1:45" x14ac:dyDescent="0.3">
      <c r="A669">
        <v>1987</v>
      </c>
      <c r="B669">
        <v>1987</v>
      </c>
      <c r="C669" t="s">
        <v>36</v>
      </c>
      <c r="D669" t="s">
        <v>30</v>
      </c>
      <c r="E669">
        <v>21063</v>
      </c>
      <c r="F669">
        <v>1</v>
      </c>
      <c r="G669">
        <v>0</v>
      </c>
      <c r="H669" s="1">
        <v>41542</v>
      </c>
      <c r="I669">
        <v>34</v>
      </c>
      <c r="J669">
        <v>1</v>
      </c>
      <c r="K669">
        <v>10</v>
      </c>
      <c r="L669">
        <v>11</v>
      </c>
      <c r="M669">
        <v>19</v>
      </c>
      <c r="N669">
        <v>3</v>
      </c>
      <c r="O669">
        <v>15</v>
      </c>
      <c r="P669">
        <v>2</v>
      </c>
      <c r="Q669">
        <v>2</v>
      </c>
      <c r="R669">
        <v>0</v>
      </c>
      <c r="S669">
        <v>3</v>
      </c>
      <c r="T669">
        <v>6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3</v>
      </c>
      <c r="AB669">
        <v>11</v>
      </c>
      <c r="AC669">
        <v>0</v>
      </c>
      <c r="AD669" t="str">
        <f t="shared" si="130"/>
        <v>Ok</v>
      </c>
      <c r="AE669" t="str">
        <f>IF(AND(Audit_Data[[#This Row],[Year_Birth]]&gt;=1900,Audit_Data[[#This Row],[Year_Birth]]&lt;=2010),"OK","Invalid")</f>
        <v>OK</v>
      </c>
      <c r="AF669" t="str">
        <f t="shared" si="131"/>
        <v>Valid</v>
      </c>
      <c r="AG669" t="str">
        <f t="shared" si="132"/>
        <v>Valid</v>
      </c>
      <c r="AH669" t="str">
        <f t="shared" si="133"/>
        <v>Valid</v>
      </c>
      <c r="AI669" t="str">
        <f t="shared" si="134"/>
        <v>Valid</v>
      </c>
      <c r="AJ669" t="str">
        <f t="shared" si="135"/>
        <v>Valid</v>
      </c>
      <c r="AK669" t="str">
        <f t="shared" si="142"/>
        <v xml:space="preserve">Valid </v>
      </c>
      <c r="AL669" t="str">
        <f>IF(AND(Audit_Data[[#This Row],[Recency]]&gt;=0,Audit_Data[[#This Row],[Recency]]&lt;=100),"Valid","Invalid")</f>
        <v>Valid</v>
      </c>
      <c r="AM669" t="str">
        <f t="shared" si="136"/>
        <v>Valid</v>
      </c>
      <c r="AN669" t="str">
        <f t="shared" si="137"/>
        <v>Valid</v>
      </c>
      <c r="AO669" t="str">
        <f t="shared" si="138"/>
        <v>Valid</v>
      </c>
      <c r="AP669" t="str">
        <f t="shared" si="139"/>
        <v>Valid</v>
      </c>
      <c r="AQ669" t="str">
        <f>IF(Audit_Data[[#This Row],[Z_CostContact]]=3,"Valid","Invalid")</f>
        <v>Valid</v>
      </c>
      <c r="AR669" t="str">
        <f t="shared" si="140"/>
        <v>Valid</v>
      </c>
      <c r="AS669" t="str">
        <f t="shared" si="141"/>
        <v>Valid</v>
      </c>
    </row>
    <row r="670" spans="1:45" x14ac:dyDescent="0.3">
      <c r="A670">
        <v>11007</v>
      </c>
      <c r="B670">
        <v>1968</v>
      </c>
      <c r="C670" t="s">
        <v>32</v>
      </c>
      <c r="D670" t="s">
        <v>33</v>
      </c>
      <c r="E670">
        <v>29187</v>
      </c>
      <c r="F670">
        <v>1</v>
      </c>
      <c r="G670">
        <v>0</v>
      </c>
      <c r="H670" s="1">
        <v>41403</v>
      </c>
      <c r="I670">
        <v>43</v>
      </c>
      <c r="J670">
        <v>26</v>
      </c>
      <c r="K670">
        <v>0</v>
      </c>
      <c r="L670">
        <v>6</v>
      </c>
      <c r="M670">
        <v>0</v>
      </c>
      <c r="N670">
        <v>0</v>
      </c>
      <c r="O670">
        <v>2</v>
      </c>
      <c r="P670">
        <v>1</v>
      </c>
      <c r="Q670">
        <v>1</v>
      </c>
      <c r="R670">
        <v>0</v>
      </c>
      <c r="S670">
        <v>3</v>
      </c>
      <c r="T670">
        <v>8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3</v>
      </c>
      <c r="AB670">
        <v>11</v>
      </c>
      <c r="AC670">
        <v>0</v>
      </c>
      <c r="AD670" t="str">
        <f t="shared" si="130"/>
        <v>Ok</v>
      </c>
      <c r="AE670" t="str">
        <f>IF(AND(Audit_Data[[#This Row],[Year_Birth]]&gt;=1900,Audit_Data[[#This Row],[Year_Birth]]&lt;=2010),"OK","Invalid")</f>
        <v>OK</v>
      </c>
      <c r="AF670" t="str">
        <f t="shared" si="131"/>
        <v>Valid</v>
      </c>
      <c r="AG670" t="str">
        <f t="shared" si="132"/>
        <v>Valid</v>
      </c>
      <c r="AH670" t="str">
        <f t="shared" si="133"/>
        <v>Valid</v>
      </c>
      <c r="AI670" t="str">
        <f t="shared" si="134"/>
        <v>Valid</v>
      </c>
      <c r="AJ670" t="str">
        <f t="shared" si="135"/>
        <v>Valid</v>
      </c>
      <c r="AK670" t="str">
        <f t="shared" si="142"/>
        <v xml:space="preserve">Valid </v>
      </c>
      <c r="AL670" t="str">
        <f>IF(AND(Audit_Data[[#This Row],[Recency]]&gt;=0,Audit_Data[[#This Row],[Recency]]&lt;=100),"Valid","Invalid")</f>
        <v>Valid</v>
      </c>
      <c r="AM670" t="str">
        <f t="shared" si="136"/>
        <v>Valid</v>
      </c>
      <c r="AN670" t="str">
        <f t="shared" si="137"/>
        <v>Valid</v>
      </c>
      <c r="AO670" t="str">
        <f t="shared" si="138"/>
        <v>Valid</v>
      </c>
      <c r="AP670" t="str">
        <f t="shared" si="139"/>
        <v>Valid</v>
      </c>
      <c r="AQ670" t="str">
        <f>IF(Audit_Data[[#This Row],[Z_CostContact]]=3,"Valid","Invalid")</f>
        <v>Valid</v>
      </c>
      <c r="AR670" t="str">
        <f t="shared" si="140"/>
        <v>Valid</v>
      </c>
      <c r="AS670" t="str">
        <f t="shared" si="141"/>
        <v>Valid</v>
      </c>
    </row>
    <row r="671" spans="1:45" x14ac:dyDescent="0.3">
      <c r="A671">
        <v>7426</v>
      </c>
      <c r="B671">
        <v>1971</v>
      </c>
      <c r="C671" t="s">
        <v>37</v>
      </c>
      <c r="D671" t="s">
        <v>33</v>
      </c>
      <c r="E671">
        <v>54690</v>
      </c>
      <c r="F671">
        <v>1</v>
      </c>
      <c r="G671">
        <v>1</v>
      </c>
      <c r="H671" s="1">
        <v>41585</v>
      </c>
      <c r="I671">
        <v>76</v>
      </c>
      <c r="J671">
        <v>111</v>
      </c>
      <c r="K671">
        <v>16</v>
      </c>
      <c r="L671">
        <v>37</v>
      </c>
      <c r="M671">
        <v>7</v>
      </c>
      <c r="N671">
        <v>9</v>
      </c>
      <c r="O671">
        <v>18</v>
      </c>
      <c r="P671">
        <v>3</v>
      </c>
      <c r="Q671">
        <v>3</v>
      </c>
      <c r="R671">
        <v>1</v>
      </c>
      <c r="S671">
        <v>5</v>
      </c>
      <c r="T671">
        <v>3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3</v>
      </c>
      <c r="AB671">
        <v>11</v>
      </c>
      <c r="AC671">
        <v>0</v>
      </c>
      <c r="AD671" t="str">
        <f t="shared" si="130"/>
        <v>Ok</v>
      </c>
      <c r="AE671" t="str">
        <f>IF(AND(Audit_Data[[#This Row],[Year_Birth]]&gt;=1900,Audit_Data[[#This Row],[Year_Birth]]&lt;=2010),"OK","Invalid")</f>
        <v>OK</v>
      </c>
      <c r="AF671" t="str">
        <f t="shared" si="131"/>
        <v>Valid</v>
      </c>
      <c r="AG671" t="str">
        <f t="shared" si="132"/>
        <v>Valid</v>
      </c>
      <c r="AH671" t="str">
        <f t="shared" si="133"/>
        <v>Valid</v>
      </c>
      <c r="AI671" t="str">
        <f t="shared" si="134"/>
        <v>Valid</v>
      </c>
      <c r="AJ671" t="str">
        <f t="shared" si="135"/>
        <v>Valid</v>
      </c>
      <c r="AK671" t="str">
        <f t="shared" si="142"/>
        <v xml:space="preserve">Valid </v>
      </c>
      <c r="AL671" t="str">
        <f>IF(AND(Audit_Data[[#This Row],[Recency]]&gt;=0,Audit_Data[[#This Row],[Recency]]&lt;=100),"Valid","Invalid")</f>
        <v>Valid</v>
      </c>
      <c r="AM671" t="str">
        <f t="shared" si="136"/>
        <v>Valid</v>
      </c>
      <c r="AN671" t="str">
        <f t="shared" si="137"/>
        <v>Valid</v>
      </c>
      <c r="AO671" t="str">
        <f t="shared" si="138"/>
        <v>Valid</v>
      </c>
      <c r="AP671" t="str">
        <f t="shared" si="139"/>
        <v>Valid</v>
      </c>
      <c r="AQ671" t="str">
        <f>IF(Audit_Data[[#This Row],[Z_CostContact]]=3,"Valid","Invalid")</f>
        <v>Valid</v>
      </c>
      <c r="AR671" t="str">
        <f t="shared" si="140"/>
        <v>Valid</v>
      </c>
      <c r="AS671" t="str">
        <f t="shared" si="141"/>
        <v>Valid</v>
      </c>
    </row>
    <row r="672" spans="1:45" x14ac:dyDescent="0.3">
      <c r="A672">
        <v>9153</v>
      </c>
      <c r="B672">
        <v>1964</v>
      </c>
      <c r="C672" t="s">
        <v>32</v>
      </c>
      <c r="D672" t="s">
        <v>33</v>
      </c>
      <c r="E672">
        <v>59304</v>
      </c>
      <c r="F672">
        <v>0</v>
      </c>
      <c r="G672">
        <v>1</v>
      </c>
      <c r="H672" s="1">
        <v>41484</v>
      </c>
      <c r="I672">
        <v>81</v>
      </c>
      <c r="J672">
        <v>418</v>
      </c>
      <c r="K672">
        <v>61</v>
      </c>
      <c r="L672">
        <v>428</v>
      </c>
      <c r="M672">
        <v>80</v>
      </c>
      <c r="N672">
        <v>51</v>
      </c>
      <c r="O672">
        <v>10</v>
      </c>
      <c r="P672">
        <v>3</v>
      </c>
      <c r="Q672">
        <v>7</v>
      </c>
      <c r="R672">
        <v>8</v>
      </c>
      <c r="S672">
        <v>10</v>
      </c>
      <c r="T672">
        <v>5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3</v>
      </c>
      <c r="AB672">
        <v>11</v>
      </c>
      <c r="AC672">
        <v>0</v>
      </c>
      <c r="AD672" t="str">
        <f t="shared" si="130"/>
        <v>Ok</v>
      </c>
      <c r="AE672" t="str">
        <f>IF(AND(Audit_Data[[#This Row],[Year_Birth]]&gt;=1900,Audit_Data[[#This Row],[Year_Birth]]&lt;=2010),"OK","Invalid")</f>
        <v>OK</v>
      </c>
      <c r="AF672" t="str">
        <f t="shared" si="131"/>
        <v>Valid</v>
      </c>
      <c r="AG672" t="str">
        <f t="shared" si="132"/>
        <v>Valid</v>
      </c>
      <c r="AH672" t="str">
        <f t="shared" si="133"/>
        <v>Valid</v>
      </c>
      <c r="AI672" t="str">
        <f t="shared" si="134"/>
        <v>Valid</v>
      </c>
      <c r="AJ672" t="str">
        <f t="shared" si="135"/>
        <v>Valid</v>
      </c>
      <c r="AK672" t="str">
        <f t="shared" si="142"/>
        <v xml:space="preserve">Valid </v>
      </c>
      <c r="AL672" t="str">
        <f>IF(AND(Audit_Data[[#This Row],[Recency]]&gt;=0,Audit_Data[[#This Row],[Recency]]&lt;=100),"Valid","Invalid")</f>
        <v>Valid</v>
      </c>
      <c r="AM672" t="str">
        <f t="shared" si="136"/>
        <v>Valid</v>
      </c>
      <c r="AN672" t="str">
        <f t="shared" si="137"/>
        <v>Valid</v>
      </c>
      <c r="AO672" t="str">
        <f t="shared" si="138"/>
        <v>Valid</v>
      </c>
      <c r="AP672" t="str">
        <f t="shared" si="139"/>
        <v>Valid</v>
      </c>
      <c r="AQ672" t="str">
        <f>IF(Audit_Data[[#This Row],[Z_CostContact]]=3,"Valid","Invalid")</f>
        <v>Valid</v>
      </c>
      <c r="AR672" t="str">
        <f t="shared" si="140"/>
        <v>Valid</v>
      </c>
      <c r="AS672" t="str">
        <f t="shared" si="141"/>
        <v>Valid</v>
      </c>
    </row>
    <row r="673" spans="1:45" x14ac:dyDescent="0.3">
      <c r="A673">
        <v>10379</v>
      </c>
      <c r="B673">
        <v>1962</v>
      </c>
      <c r="C673" t="s">
        <v>34</v>
      </c>
      <c r="D673" t="s">
        <v>30</v>
      </c>
      <c r="E673">
        <v>59247</v>
      </c>
      <c r="F673">
        <v>0</v>
      </c>
      <c r="G673">
        <v>2</v>
      </c>
      <c r="H673" s="1">
        <v>41586</v>
      </c>
      <c r="I673">
        <v>87</v>
      </c>
      <c r="J673">
        <v>327</v>
      </c>
      <c r="K673">
        <v>9</v>
      </c>
      <c r="L673">
        <v>122</v>
      </c>
      <c r="M673">
        <v>19</v>
      </c>
      <c r="N673">
        <v>14</v>
      </c>
      <c r="O673">
        <v>83</v>
      </c>
      <c r="P673">
        <v>5</v>
      </c>
      <c r="Q673">
        <v>5</v>
      </c>
      <c r="R673">
        <v>2</v>
      </c>
      <c r="S673">
        <v>9</v>
      </c>
      <c r="T673">
        <v>6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3</v>
      </c>
      <c r="AB673">
        <v>11</v>
      </c>
      <c r="AC673">
        <v>0</v>
      </c>
      <c r="AD673" t="str">
        <f t="shared" si="130"/>
        <v>Ok</v>
      </c>
      <c r="AE673" t="str">
        <f>IF(AND(Audit_Data[[#This Row],[Year_Birth]]&gt;=1900,Audit_Data[[#This Row],[Year_Birth]]&lt;=2010),"OK","Invalid")</f>
        <v>OK</v>
      </c>
      <c r="AF673" t="str">
        <f t="shared" si="131"/>
        <v>Valid</v>
      </c>
      <c r="AG673" t="str">
        <f t="shared" si="132"/>
        <v>Valid</v>
      </c>
      <c r="AH673" t="str">
        <f t="shared" si="133"/>
        <v>Valid</v>
      </c>
      <c r="AI673" t="str">
        <f t="shared" si="134"/>
        <v>Valid</v>
      </c>
      <c r="AJ673" t="str">
        <f t="shared" si="135"/>
        <v>Valid</v>
      </c>
      <c r="AK673" t="str">
        <f t="shared" si="142"/>
        <v xml:space="preserve">Valid </v>
      </c>
      <c r="AL673" t="str">
        <f>IF(AND(Audit_Data[[#This Row],[Recency]]&gt;=0,Audit_Data[[#This Row],[Recency]]&lt;=100),"Valid","Invalid")</f>
        <v>Valid</v>
      </c>
      <c r="AM673" t="str">
        <f t="shared" si="136"/>
        <v>Valid</v>
      </c>
      <c r="AN673" t="str">
        <f t="shared" si="137"/>
        <v>Valid</v>
      </c>
      <c r="AO673" t="str">
        <f t="shared" si="138"/>
        <v>Valid</v>
      </c>
      <c r="AP673" t="str">
        <f t="shared" si="139"/>
        <v>Valid</v>
      </c>
      <c r="AQ673" t="str">
        <f>IF(Audit_Data[[#This Row],[Z_CostContact]]=3,"Valid","Invalid")</f>
        <v>Valid</v>
      </c>
      <c r="AR673" t="str">
        <f t="shared" si="140"/>
        <v>Valid</v>
      </c>
      <c r="AS673" t="str">
        <f t="shared" si="141"/>
        <v>Valid</v>
      </c>
    </row>
    <row r="674" spans="1:45" x14ac:dyDescent="0.3">
      <c r="A674">
        <v>9204</v>
      </c>
      <c r="B674">
        <v>1970</v>
      </c>
      <c r="C674" t="s">
        <v>29</v>
      </c>
      <c r="D674" t="s">
        <v>38</v>
      </c>
      <c r="E674">
        <v>66731</v>
      </c>
      <c r="F674">
        <v>0</v>
      </c>
      <c r="G674">
        <v>1</v>
      </c>
      <c r="H674" s="1">
        <v>41164</v>
      </c>
      <c r="I674">
        <v>33</v>
      </c>
      <c r="J674">
        <v>371</v>
      </c>
      <c r="K674">
        <v>159</v>
      </c>
      <c r="L674">
        <v>194</v>
      </c>
      <c r="M674">
        <v>58</v>
      </c>
      <c r="N674">
        <v>106</v>
      </c>
      <c r="O674">
        <v>141</v>
      </c>
      <c r="P674">
        <v>4</v>
      </c>
      <c r="Q674">
        <v>4</v>
      </c>
      <c r="R674">
        <v>3</v>
      </c>
      <c r="S674">
        <v>6</v>
      </c>
      <c r="T674">
        <v>3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3</v>
      </c>
      <c r="AB674">
        <v>11</v>
      </c>
      <c r="AC674">
        <v>0</v>
      </c>
      <c r="AD674" t="str">
        <f t="shared" si="130"/>
        <v>Ok</v>
      </c>
      <c r="AE674" t="str">
        <f>IF(AND(Audit_Data[[#This Row],[Year_Birth]]&gt;=1900,Audit_Data[[#This Row],[Year_Birth]]&lt;=2010),"OK","Invalid")</f>
        <v>OK</v>
      </c>
      <c r="AF674" t="str">
        <f t="shared" si="131"/>
        <v>Valid</v>
      </c>
      <c r="AG674" t="str">
        <f t="shared" si="132"/>
        <v>Valid</v>
      </c>
      <c r="AH674" t="str">
        <f t="shared" si="133"/>
        <v>Valid</v>
      </c>
      <c r="AI674" t="str">
        <f t="shared" si="134"/>
        <v>Valid</v>
      </c>
      <c r="AJ674" t="str">
        <f t="shared" si="135"/>
        <v>Valid</v>
      </c>
      <c r="AK674" t="str">
        <f t="shared" si="142"/>
        <v xml:space="preserve">Valid </v>
      </c>
      <c r="AL674" t="str">
        <f>IF(AND(Audit_Data[[#This Row],[Recency]]&gt;=0,Audit_Data[[#This Row],[Recency]]&lt;=100),"Valid","Invalid")</f>
        <v>Valid</v>
      </c>
      <c r="AM674" t="str">
        <f t="shared" si="136"/>
        <v>Valid</v>
      </c>
      <c r="AN674" t="str">
        <f t="shared" si="137"/>
        <v>Valid</v>
      </c>
      <c r="AO674" t="str">
        <f t="shared" si="138"/>
        <v>Valid</v>
      </c>
      <c r="AP674" t="str">
        <f t="shared" si="139"/>
        <v>Valid</v>
      </c>
      <c r="AQ674" t="str">
        <f>IF(Audit_Data[[#This Row],[Z_CostContact]]=3,"Valid","Invalid")</f>
        <v>Valid</v>
      </c>
      <c r="AR674" t="str">
        <f t="shared" si="140"/>
        <v>Valid</v>
      </c>
      <c r="AS674" t="str">
        <f t="shared" si="141"/>
        <v>Valid</v>
      </c>
    </row>
    <row r="675" spans="1:45" x14ac:dyDescent="0.3">
      <c r="A675">
        <v>3197</v>
      </c>
      <c r="B675">
        <v>1980</v>
      </c>
      <c r="C675" t="s">
        <v>29</v>
      </c>
      <c r="D675" t="s">
        <v>33</v>
      </c>
      <c r="E675">
        <v>77353</v>
      </c>
      <c r="F675">
        <v>0</v>
      </c>
      <c r="G675">
        <v>1</v>
      </c>
      <c r="H675" s="1">
        <v>41624</v>
      </c>
      <c r="I675">
        <v>38</v>
      </c>
      <c r="J675">
        <v>275</v>
      </c>
      <c r="K675">
        <v>59</v>
      </c>
      <c r="L675">
        <v>107</v>
      </c>
      <c r="M675">
        <v>69</v>
      </c>
      <c r="N675">
        <v>101</v>
      </c>
      <c r="O675">
        <v>59</v>
      </c>
      <c r="P675">
        <v>2</v>
      </c>
      <c r="Q675">
        <v>6</v>
      </c>
      <c r="R675">
        <v>4</v>
      </c>
      <c r="S675">
        <v>8</v>
      </c>
      <c r="T675">
        <v>4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3</v>
      </c>
      <c r="AB675">
        <v>11</v>
      </c>
      <c r="AC675">
        <v>0</v>
      </c>
      <c r="AD675" t="str">
        <f t="shared" si="130"/>
        <v>Ok</v>
      </c>
      <c r="AE675" t="str">
        <f>IF(AND(Audit_Data[[#This Row],[Year_Birth]]&gt;=1900,Audit_Data[[#This Row],[Year_Birth]]&lt;=2010),"OK","Invalid")</f>
        <v>OK</v>
      </c>
      <c r="AF675" t="str">
        <f t="shared" si="131"/>
        <v>Valid</v>
      </c>
      <c r="AG675" t="str">
        <f t="shared" si="132"/>
        <v>Valid</v>
      </c>
      <c r="AH675" t="str">
        <f t="shared" si="133"/>
        <v>Valid</v>
      </c>
      <c r="AI675" t="str">
        <f t="shared" si="134"/>
        <v>Valid</v>
      </c>
      <c r="AJ675" t="str">
        <f t="shared" si="135"/>
        <v>Valid</v>
      </c>
      <c r="AK675" t="str">
        <f t="shared" si="142"/>
        <v xml:space="preserve">Valid </v>
      </c>
      <c r="AL675" t="str">
        <f>IF(AND(Audit_Data[[#This Row],[Recency]]&gt;=0,Audit_Data[[#This Row],[Recency]]&lt;=100),"Valid","Invalid")</f>
        <v>Valid</v>
      </c>
      <c r="AM675" t="str">
        <f t="shared" si="136"/>
        <v>Valid</v>
      </c>
      <c r="AN675" t="str">
        <f t="shared" si="137"/>
        <v>Valid</v>
      </c>
      <c r="AO675" t="str">
        <f t="shared" si="138"/>
        <v>Valid</v>
      </c>
      <c r="AP675" t="str">
        <f t="shared" si="139"/>
        <v>Valid</v>
      </c>
      <c r="AQ675" t="str">
        <f>IF(Audit_Data[[#This Row],[Z_CostContact]]=3,"Valid","Invalid")</f>
        <v>Valid</v>
      </c>
      <c r="AR675" t="str">
        <f t="shared" si="140"/>
        <v>Valid</v>
      </c>
      <c r="AS675" t="str">
        <f t="shared" si="141"/>
        <v>Valid</v>
      </c>
    </row>
    <row r="676" spans="1:45" x14ac:dyDescent="0.3">
      <c r="A676">
        <v>2920</v>
      </c>
      <c r="B676">
        <v>1975</v>
      </c>
      <c r="C676" t="s">
        <v>32</v>
      </c>
      <c r="D676" t="s">
        <v>30</v>
      </c>
      <c r="E676">
        <v>52614</v>
      </c>
      <c r="F676">
        <v>0</v>
      </c>
      <c r="G676">
        <v>1</v>
      </c>
      <c r="H676" s="1">
        <v>41244</v>
      </c>
      <c r="I676">
        <v>63</v>
      </c>
      <c r="J676">
        <v>789</v>
      </c>
      <c r="K676">
        <v>0</v>
      </c>
      <c r="L676">
        <v>142</v>
      </c>
      <c r="M676">
        <v>12</v>
      </c>
      <c r="N676">
        <v>9</v>
      </c>
      <c r="O676">
        <v>38</v>
      </c>
      <c r="P676">
        <v>2</v>
      </c>
      <c r="Q676">
        <v>2</v>
      </c>
      <c r="R676">
        <v>4</v>
      </c>
      <c r="S676">
        <v>8</v>
      </c>
      <c r="T676">
        <v>8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3</v>
      </c>
      <c r="AB676">
        <v>11</v>
      </c>
      <c r="AC676">
        <v>0</v>
      </c>
      <c r="AD676" t="str">
        <f t="shared" si="130"/>
        <v>Ok</v>
      </c>
      <c r="AE676" t="str">
        <f>IF(AND(Audit_Data[[#This Row],[Year_Birth]]&gt;=1900,Audit_Data[[#This Row],[Year_Birth]]&lt;=2010),"OK","Invalid")</f>
        <v>OK</v>
      </c>
      <c r="AF676" t="str">
        <f t="shared" si="131"/>
        <v>Valid</v>
      </c>
      <c r="AG676" t="str">
        <f t="shared" si="132"/>
        <v>Valid</v>
      </c>
      <c r="AH676" t="str">
        <f t="shared" si="133"/>
        <v>Valid</v>
      </c>
      <c r="AI676" t="str">
        <f t="shared" si="134"/>
        <v>Valid</v>
      </c>
      <c r="AJ676" t="str">
        <f t="shared" si="135"/>
        <v>Valid</v>
      </c>
      <c r="AK676" t="str">
        <f t="shared" si="142"/>
        <v xml:space="preserve">Valid </v>
      </c>
      <c r="AL676" t="str">
        <f>IF(AND(Audit_Data[[#This Row],[Recency]]&gt;=0,Audit_Data[[#This Row],[Recency]]&lt;=100),"Valid","Invalid")</f>
        <v>Valid</v>
      </c>
      <c r="AM676" t="str">
        <f t="shared" si="136"/>
        <v>Valid</v>
      </c>
      <c r="AN676" t="str">
        <f t="shared" si="137"/>
        <v>Valid</v>
      </c>
      <c r="AO676" t="str">
        <f t="shared" si="138"/>
        <v>Valid</v>
      </c>
      <c r="AP676" t="str">
        <f t="shared" si="139"/>
        <v>Valid</v>
      </c>
      <c r="AQ676" t="str">
        <f>IF(Audit_Data[[#This Row],[Z_CostContact]]=3,"Valid","Invalid")</f>
        <v>Valid</v>
      </c>
      <c r="AR676" t="str">
        <f t="shared" si="140"/>
        <v>Valid</v>
      </c>
      <c r="AS676" t="str">
        <f t="shared" si="141"/>
        <v>Valid</v>
      </c>
    </row>
    <row r="677" spans="1:45" x14ac:dyDescent="0.3">
      <c r="A677">
        <v>6961</v>
      </c>
      <c r="B677">
        <v>1974</v>
      </c>
      <c r="C677" t="s">
        <v>29</v>
      </c>
      <c r="D677" t="s">
        <v>33</v>
      </c>
      <c r="E677">
        <v>26751</v>
      </c>
      <c r="F677">
        <v>2</v>
      </c>
      <c r="G677">
        <v>0</v>
      </c>
      <c r="H677" s="1">
        <v>41781</v>
      </c>
      <c r="I677">
        <v>26</v>
      </c>
      <c r="J677">
        <v>1</v>
      </c>
      <c r="K677">
        <v>1</v>
      </c>
      <c r="L677">
        <v>5</v>
      </c>
      <c r="M677">
        <v>0</v>
      </c>
      <c r="N677">
        <v>3</v>
      </c>
      <c r="O677">
        <v>1</v>
      </c>
      <c r="P677">
        <v>1</v>
      </c>
      <c r="Q677">
        <v>1</v>
      </c>
      <c r="R677">
        <v>0</v>
      </c>
      <c r="S677">
        <v>2</v>
      </c>
      <c r="T677">
        <v>8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3</v>
      </c>
      <c r="AB677">
        <v>11</v>
      </c>
      <c r="AC677">
        <v>0</v>
      </c>
      <c r="AD677" t="str">
        <f t="shared" si="130"/>
        <v>Ok</v>
      </c>
      <c r="AE677" t="str">
        <f>IF(AND(Audit_Data[[#This Row],[Year_Birth]]&gt;=1900,Audit_Data[[#This Row],[Year_Birth]]&lt;=2010),"OK","Invalid")</f>
        <v>OK</v>
      </c>
      <c r="AF677" t="str">
        <f t="shared" si="131"/>
        <v>Valid</v>
      </c>
      <c r="AG677" t="str">
        <f t="shared" si="132"/>
        <v>Valid</v>
      </c>
      <c r="AH677" t="str">
        <f t="shared" si="133"/>
        <v>Valid</v>
      </c>
      <c r="AI677" t="str">
        <f t="shared" si="134"/>
        <v>Valid</v>
      </c>
      <c r="AJ677" t="str">
        <f t="shared" si="135"/>
        <v>Valid</v>
      </c>
      <c r="AK677" t="str">
        <f t="shared" si="142"/>
        <v xml:space="preserve">Valid </v>
      </c>
      <c r="AL677" t="str">
        <f>IF(AND(Audit_Data[[#This Row],[Recency]]&gt;=0,Audit_Data[[#This Row],[Recency]]&lt;=100),"Valid","Invalid")</f>
        <v>Valid</v>
      </c>
      <c r="AM677" t="str">
        <f t="shared" si="136"/>
        <v>Valid</v>
      </c>
      <c r="AN677" t="str">
        <f t="shared" si="137"/>
        <v>Valid</v>
      </c>
      <c r="AO677" t="str">
        <f t="shared" si="138"/>
        <v>Valid</v>
      </c>
      <c r="AP677" t="str">
        <f t="shared" si="139"/>
        <v>Valid</v>
      </c>
      <c r="AQ677" t="str">
        <f>IF(Audit_Data[[#This Row],[Z_CostContact]]=3,"Valid","Invalid")</f>
        <v>Valid</v>
      </c>
      <c r="AR677" t="str">
        <f t="shared" si="140"/>
        <v>Valid</v>
      </c>
      <c r="AS677" t="str">
        <f t="shared" si="141"/>
        <v>Valid</v>
      </c>
    </row>
    <row r="678" spans="1:45" x14ac:dyDescent="0.3">
      <c r="A678">
        <v>4673</v>
      </c>
      <c r="B678">
        <v>1963</v>
      </c>
      <c r="C678" t="s">
        <v>32</v>
      </c>
      <c r="D678" t="s">
        <v>33</v>
      </c>
      <c r="E678">
        <v>81300</v>
      </c>
      <c r="F678">
        <v>0</v>
      </c>
      <c r="G678">
        <v>1</v>
      </c>
      <c r="H678" s="1">
        <v>41212</v>
      </c>
      <c r="I678">
        <v>17</v>
      </c>
      <c r="J678">
        <v>1004</v>
      </c>
      <c r="K678">
        <v>12</v>
      </c>
      <c r="L678">
        <v>145</v>
      </c>
      <c r="M678">
        <v>32</v>
      </c>
      <c r="N678">
        <v>12</v>
      </c>
      <c r="O678">
        <v>36</v>
      </c>
      <c r="P678">
        <v>3</v>
      </c>
      <c r="Q678">
        <v>10</v>
      </c>
      <c r="R678">
        <v>3</v>
      </c>
      <c r="S678">
        <v>5</v>
      </c>
      <c r="T678">
        <v>5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>
        <v>3</v>
      </c>
      <c r="AB678">
        <v>11</v>
      </c>
      <c r="AC678">
        <v>1</v>
      </c>
      <c r="AD678" t="str">
        <f t="shared" si="130"/>
        <v>Ok</v>
      </c>
      <c r="AE678" t="str">
        <f>IF(AND(Audit_Data[[#This Row],[Year_Birth]]&gt;=1900,Audit_Data[[#This Row],[Year_Birth]]&lt;=2010),"OK","Invalid")</f>
        <v>OK</v>
      </c>
      <c r="AF678" t="str">
        <f t="shared" si="131"/>
        <v>Valid</v>
      </c>
      <c r="AG678" t="str">
        <f t="shared" si="132"/>
        <v>Valid</v>
      </c>
      <c r="AH678" t="str">
        <f t="shared" si="133"/>
        <v>Valid</v>
      </c>
      <c r="AI678" t="str">
        <f t="shared" si="134"/>
        <v>Valid</v>
      </c>
      <c r="AJ678" t="str">
        <f t="shared" si="135"/>
        <v>Valid</v>
      </c>
      <c r="AK678" t="str">
        <f t="shared" si="142"/>
        <v xml:space="preserve">Valid </v>
      </c>
      <c r="AL678" t="str">
        <f>IF(AND(Audit_Data[[#This Row],[Recency]]&gt;=0,Audit_Data[[#This Row],[Recency]]&lt;=100),"Valid","Invalid")</f>
        <v>Valid</v>
      </c>
      <c r="AM678" t="str">
        <f t="shared" si="136"/>
        <v>Valid</v>
      </c>
      <c r="AN678" t="str">
        <f t="shared" si="137"/>
        <v>Valid</v>
      </c>
      <c r="AO678" t="str">
        <f t="shared" si="138"/>
        <v>Valid</v>
      </c>
      <c r="AP678" t="str">
        <f t="shared" si="139"/>
        <v>Valid</v>
      </c>
      <c r="AQ678" t="str">
        <f>IF(Audit_Data[[#This Row],[Z_CostContact]]=3,"Valid","Invalid")</f>
        <v>Valid</v>
      </c>
      <c r="AR678" t="str">
        <f t="shared" si="140"/>
        <v>Valid</v>
      </c>
      <c r="AS678" t="str">
        <f t="shared" si="141"/>
        <v>Valid</v>
      </c>
    </row>
    <row r="679" spans="1:45" x14ac:dyDescent="0.3">
      <c r="A679">
        <v>9937</v>
      </c>
      <c r="B679">
        <v>1979</v>
      </c>
      <c r="C679" t="s">
        <v>29</v>
      </c>
      <c r="D679" t="s">
        <v>30</v>
      </c>
      <c r="E679">
        <v>70337</v>
      </c>
      <c r="F679">
        <v>0</v>
      </c>
      <c r="G679">
        <v>0</v>
      </c>
      <c r="H679" s="1">
        <v>41641</v>
      </c>
      <c r="I679">
        <v>75</v>
      </c>
      <c r="J679">
        <v>187</v>
      </c>
      <c r="K679">
        <v>81</v>
      </c>
      <c r="L679">
        <v>149</v>
      </c>
      <c r="M679">
        <v>25</v>
      </c>
      <c r="N679">
        <v>43</v>
      </c>
      <c r="O679">
        <v>91</v>
      </c>
      <c r="P679">
        <v>1</v>
      </c>
      <c r="Q679">
        <v>2</v>
      </c>
      <c r="R679">
        <v>2</v>
      </c>
      <c r="S679">
        <v>12</v>
      </c>
      <c r="T679">
        <v>1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3</v>
      </c>
      <c r="AB679">
        <v>11</v>
      </c>
      <c r="AC679">
        <v>0</v>
      </c>
      <c r="AD679" t="str">
        <f t="shared" si="130"/>
        <v>Ok</v>
      </c>
      <c r="AE679" t="str">
        <f>IF(AND(Audit_Data[[#This Row],[Year_Birth]]&gt;=1900,Audit_Data[[#This Row],[Year_Birth]]&lt;=2010),"OK","Invalid")</f>
        <v>OK</v>
      </c>
      <c r="AF679" t="str">
        <f t="shared" si="131"/>
        <v>Valid</v>
      </c>
      <c r="AG679" t="str">
        <f t="shared" si="132"/>
        <v>Valid</v>
      </c>
      <c r="AH679" t="str">
        <f t="shared" si="133"/>
        <v>Valid</v>
      </c>
      <c r="AI679" t="str">
        <f t="shared" si="134"/>
        <v>Valid</v>
      </c>
      <c r="AJ679" t="str">
        <f t="shared" si="135"/>
        <v>Valid</v>
      </c>
      <c r="AK679" t="str">
        <f t="shared" si="142"/>
        <v xml:space="preserve">Valid </v>
      </c>
      <c r="AL679" t="str">
        <f>IF(AND(Audit_Data[[#This Row],[Recency]]&gt;=0,Audit_Data[[#This Row],[Recency]]&lt;=100),"Valid","Invalid")</f>
        <v>Valid</v>
      </c>
      <c r="AM679" t="str">
        <f t="shared" si="136"/>
        <v>Valid</v>
      </c>
      <c r="AN679" t="str">
        <f t="shared" si="137"/>
        <v>Valid</v>
      </c>
      <c r="AO679" t="str">
        <f t="shared" si="138"/>
        <v>Valid</v>
      </c>
      <c r="AP679" t="str">
        <f t="shared" si="139"/>
        <v>Valid</v>
      </c>
      <c r="AQ679" t="str">
        <f>IF(Audit_Data[[#This Row],[Z_CostContact]]=3,"Valid","Invalid")</f>
        <v>Valid</v>
      </c>
      <c r="AR679" t="str">
        <f t="shared" si="140"/>
        <v>Valid</v>
      </c>
      <c r="AS679" t="str">
        <f t="shared" si="141"/>
        <v>Valid</v>
      </c>
    </row>
    <row r="680" spans="1:45" x14ac:dyDescent="0.3">
      <c r="A680">
        <v>8779</v>
      </c>
      <c r="B680">
        <v>1985</v>
      </c>
      <c r="C680" t="s">
        <v>37</v>
      </c>
      <c r="D680" t="s">
        <v>33</v>
      </c>
      <c r="E680">
        <v>36145</v>
      </c>
      <c r="F680">
        <v>1</v>
      </c>
      <c r="G680">
        <v>0</v>
      </c>
      <c r="H680" s="1">
        <v>41441</v>
      </c>
      <c r="I680">
        <v>13</v>
      </c>
      <c r="J680">
        <v>56</v>
      </c>
      <c r="K680">
        <v>4</v>
      </c>
      <c r="L680">
        <v>76</v>
      </c>
      <c r="M680">
        <v>17</v>
      </c>
      <c r="N680">
        <v>1</v>
      </c>
      <c r="O680">
        <v>18</v>
      </c>
      <c r="P680">
        <v>4</v>
      </c>
      <c r="Q680">
        <v>4</v>
      </c>
      <c r="R680">
        <v>1</v>
      </c>
      <c r="S680">
        <v>3</v>
      </c>
      <c r="T680">
        <v>9</v>
      </c>
      <c r="U680">
        <v>1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3</v>
      </c>
      <c r="AB680">
        <v>11</v>
      </c>
      <c r="AC680">
        <v>1</v>
      </c>
      <c r="AD680" t="str">
        <f t="shared" si="130"/>
        <v>Ok</v>
      </c>
      <c r="AE680" t="str">
        <f>IF(AND(Audit_Data[[#This Row],[Year_Birth]]&gt;=1900,Audit_Data[[#This Row],[Year_Birth]]&lt;=2010),"OK","Invalid")</f>
        <v>OK</v>
      </c>
      <c r="AF680" t="str">
        <f t="shared" si="131"/>
        <v>Valid</v>
      </c>
      <c r="AG680" t="str">
        <f t="shared" si="132"/>
        <v>Valid</v>
      </c>
      <c r="AH680" t="str">
        <f t="shared" si="133"/>
        <v>Valid</v>
      </c>
      <c r="AI680" t="str">
        <f t="shared" si="134"/>
        <v>Valid</v>
      </c>
      <c r="AJ680" t="str">
        <f t="shared" si="135"/>
        <v>Valid</v>
      </c>
      <c r="AK680" t="str">
        <f t="shared" si="142"/>
        <v xml:space="preserve">Valid </v>
      </c>
      <c r="AL680" t="str">
        <f>IF(AND(Audit_Data[[#This Row],[Recency]]&gt;=0,Audit_Data[[#This Row],[Recency]]&lt;=100),"Valid","Invalid")</f>
        <v>Valid</v>
      </c>
      <c r="AM680" t="str">
        <f t="shared" si="136"/>
        <v>Valid</v>
      </c>
      <c r="AN680" t="str">
        <f t="shared" si="137"/>
        <v>Valid</v>
      </c>
      <c r="AO680" t="str">
        <f t="shared" si="138"/>
        <v>Valid</v>
      </c>
      <c r="AP680" t="str">
        <f t="shared" si="139"/>
        <v>Valid</v>
      </c>
      <c r="AQ680" t="str">
        <f>IF(Audit_Data[[#This Row],[Z_CostContact]]=3,"Valid","Invalid")</f>
        <v>Valid</v>
      </c>
      <c r="AR680" t="str">
        <f t="shared" si="140"/>
        <v>Valid</v>
      </c>
      <c r="AS680" t="str">
        <f t="shared" si="141"/>
        <v>Valid</v>
      </c>
    </row>
    <row r="681" spans="1:45" x14ac:dyDescent="0.3">
      <c r="A681">
        <v>9596</v>
      </c>
      <c r="B681">
        <v>1980</v>
      </c>
      <c r="C681" t="s">
        <v>32</v>
      </c>
      <c r="D681" t="s">
        <v>30</v>
      </c>
      <c r="E681">
        <v>65295</v>
      </c>
      <c r="F681">
        <v>0</v>
      </c>
      <c r="G681">
        <v>0</v>
      </c>
      <c r="H681" s="1">
        <v>41631</v>
      </c>
      <c r="I681">
        <v>19</v>
      </c>
      <c r="J681">
        <v>365</v>
      </c>
      <c r="K681">
        <v>32</v>
      </c>
      <c r="L681">
        <v>117</v>
      </c>
      <c r="M681">
        <v>34</v>
      </c>
      <c r="N681">
        <v>110</v>
      </c>
      <c r="O681">
        <v>6</v>
      </c>
      <c r="P681">
        <v>1</v>
      </c>
      <c r="Q681">
        <v>3</v>
      </c>
      <c r="R681">
        <v>3</v>
      </c>
      <c r="S681">
        <v>13</v>
      </c>
      <c r="T681">
        <v>2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3</v>
      </c>
      <c r="AB681">
        <v>11</v>
      </c>
      <c r="AC681">
        <v>0</v>
      </c>
      <c r="AD681" t="str">
        <f t="shared" si="130"/>
        <v>Ok</v>
      </c>
      <c r="AE681" t="str">
        <f>IF(AND(Audit_Data[[#This Row],[Year_Birth]]&gt;=1900,Audit_Data[[#This Row],[Year_Birth]]&lt;=2010),"OK","Invalid")</f>
        <v>OK</v>
      </c>
      <c r="AF681" t="str">
        <f t="shared" si="131"/>
        <v>Valid</v>
      </c>
      <c r="AG681" t="str">
        <f t="shared" si="132"/>
        <v>Valid</v>
      </c>
      <c r="AH681" t="str">
        <f t="shared" si="133"/>
        <v>Valid</v>
      </c>
      <c r="AI681" t="str">
        <f t="shared" si="134"/>
        <v>Valid</v>
      </c>
      <c r="AJ681" t="str">
        <f t="shared" si="135"/>
        <v>Valid</v>
      </c>
      <c r="AK681" t="str">
        <f t="shared" si="142"/>
        <v xml:space="preserve">Valid </v>
      </c>
      <c r="AL681" t="str">
        <f>IF(AND(Audit_Data[[#This Row],[Recency]]&gt;=0,Audit_Data[[#This Row],[Recency]]&lt;=100),"Valid","Invalid")</f>
        <v>Valid</v>
      </c>
      <c r="AM681" t="str">
        <f t="shared" si="136"/>
        <v>Valid</v>
      </c>
      <c r="AN681" t="str">
        <f t="shared" si="137"/>
        <v>Valid</v>
      </c>
      <c r="AO681" t="str">
        <f t="shared" si="138"/>
        <v>Valid</v>
      </c>
      <c r="AP681" t="str">
        <f t="shared" si="139"/>
        <v>Valid</v>
      </c>
      <c r="AQ681" t="str">
        <f>IF(Audit_Data[[#This Row],[Z_CostContact]]=3,"Valid","Invalid")</f>
        <v>Valid</v>
      </c>
      <c r="AR681" t="str">
        <f t="shared" si="140"/>
        <v>Valid</v>
      </c>
      <c r="AS681" t="str">
        <f t="shared" si="141"/>
        <v>Valid</v>
      </c>
    </row>
    <row r="682" spans="1:45" x14ac:dyDescent="0.3">
      <c r="A682">
        <v>2891</v>
      </c>
      <c r="B682">
        <v>1963</v>
      </c>
      <c r="C682" t="s">
        <v>29</v>
      </c>
      <c r="D682" t="s">
        <v>35</v>
      </c>
      <c r="E682">
        <v>68118</v>
      </c>
      <c r="F682">
        <v>0</v>
      </c>
      <c r="G682">
        <v>1</v>
      </c>
      <c r="H682" s="1">
        <v>41565</v>
      </c>
      <c r="I682">
        <v>51</v>
      </c>
      <c r="J682">
        <v>595</v>
      </c>
      <c r="K682">
        <v>23</v>
      </c>
      <c r="L682">
        <v>123</v>
      </c>
      <c r="M682">
        <v>10</v>
      </c>
      <c r="N682">
        <v>23</v>
      </c>
      <c r="O682">
        <v>154</v>
      </c>
      <c r="P682">
        <v>2</v>
      </c>
      <c r="Q682">
        <v>8</v>
      </c>
      <c r="R682">
        <v>9</v>
      </c>
      <c r="S682">
        <v>4</v>
      </c>
      <c r="T682">
        <v>6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3</v>
      </c>
      <c r="AB682">
        <v>11</v>
      </c>
      <c r="AC682">
        <v>0</v>
      </c>
      <c r="AD682" t="str">
        <f t="shared" si="130"/>
        <v>Ok</v>
      </c>
      <c r="AE682" t="str">
        <f>IF(AND(Audit_Data[[#This Row],[Year_Birth]]&gt;=1900,Audit_Data[[#This Row],[Year_Birth]]&lt;=2010),"OK","Invalid")</f>
        <v>OK</v>
      </c>
      <c r="AF682" t="str">
        <f t="shared" si="131"/>
        <v>Valid</v>
      </c>
      <c r="AG682" t="str">
        <f t="shared" si="132"/>
        <v>Valid</v>
      </c>
      <c r="AH682" t="str">
        <f t="shared" si="133"/>
        <v>Valid</v>
      </c>
      <c r="AI682" t="str">
        <f t="shared" si="134"/>
        <v>Valid</v>
      </c>
      <c r="AJ682" t="str">
        <f t="shared" si="135"/>
        <v>Valid</v>
      </c>
      <c r="AK682" t="str">
        <f t="shared" si="142"/>
        <v xml:space="preserve">Valid </v>
      </c>
      <c r="AL682" t="str">
        <f>IF(AND(Audit_Data[[#This Row],[Recency]]&gt;=0,Audit_Data[[#This Row],[Recency]]&lt;=100),"Valid","Invalid")</f>
        <v>Valid</v>
      </c>
      <c r="AM682" t="str">
        <f t="shared" si="136"/>
        <v>Valid</v>
      </c>
      <c r="AN682" t="str">
        <f t="shared" si="137"/>
        <v>Valid</v>
      </c>
      <c r="AO682" t="str">
        <f t="shared" si="138"/>
        <v>Valid</v>
      </c>
      <c r="AP682" t="str">
        <f t="shared" si="139"/>
        <v>Valid</v>
      </c>
      <c r="AQ682" t="str">
        <f>IF(Audit_Data[[#This Row],[Z_CostContact]]=3,"Valid","Invalid")</f>
        <v>Valid</v>
      </c>
      <c r="AR682" t="str">
        <f t="shared" si="140"/>
        <v>Valid</v>
      </c>
      <c r="AS682" t="str">
        <f t="shared" si="141"/>
        <v>Valid</v>
      </c>
    </row>
    <row r="683" spans="1:45" x14ac:dyDescent="0.3">
      <c r="A683">
        <v>4910</v>
      </c>
      <c r="B683">
        <v>1967</v>
      </c>
      <c r="C683" t="s">
        <v>29</v>
      </c>
      <c r="D683" t="s">
        <v>35</v>
      </c>
      <c r="E683">
        <v>68743</v>
      </c>
      <c r="F683">
        <v>0</v>
      </c>
      <c r="G683">
        <v>0</v>
      </c>
      <c r="H683" s="1">
        <v>41151</v>
      </c>
      <c r="I683">
        <v>81</v>
      </c>
      <c r="J683">
        <v>1132</v>
      </c>
      <c r="K683">
        <v>134</v>
      </c>
      <c r="L683">
        <v>384</v>
      </c>
      <c r="M683">
        <v>175</v>
      </c>
      <c r="N683">
        <v>134</v>
      </c>
      <c r="O683">
        <v>115</v>
      </c>
      <c r="P683">
        <v>1</v>
      </c>
      <c r="Q683">
        <v>11</v>
      </c>
      <c r="R683">
        <v>5</v>
      </c>
      <c r="S683">
        <v>13</v>
      </c>
      <c r="T683">
        <v>7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3</v>
      </c>
      <c r="AB683">
        <v>11</v>
      </c>
      <c r="AC683">
        <v>0</v>
      </c>
      <c r="AD683" t="str">
        <f t="shared" si="130"/>
        <v>Ok</v>
      </c>
      <c r="AE683" t="str">
        <f>IF(AND(Audit_Data[[#This Row],[Year_Birth]]&gt;=1900,Audit_Data[[#This Row],[Year_Birth]]&lt;=2010),"OK","Invalid")</f>
        <v>OK</v>
      </c>
      <c r="AF683" t="str">
        <f t="shared" si="131"/>
        <v>Valid</v>
      </c>
      <c r="AG683" t="str">
        <f t="shared" si="132"/>
        <v>Valid</v>
      </c>
      <c r="AH683" t="str">
        <f t="shared" si="133"/>
        <v>Valid</v>
      </c>
      <c r="AI683" t="str">
        <f t="shared" si="134"/>
        <v>Valid</v>
      </c>
      <c r="AJ683" t="str">
        <f t="shared" si="135"/>
        <v>Valid</v>
      </c>
      <c r="AK683" t="str">
        <f t="shared" si="142"/>
        <v xml:space="preserve">Valid </v>
      </c>
      <c r="AL683" t="str">
        <f>IF(AND(Audit_Data[[#This Row],[Recency]]&gt;=0,Audit_Data[[#This Row],[Recency]]&lt;=100),"Valid","Invalid")</f>
        <v>Valid</v>
      </c>
      <c r="AM683" t="str">
        <f t="shared" si="136"/>
        <v>Valid</v>
      </c>
      <c r="AN683" t="str">
        <f t="shared" si="137"/>
        <v>Valid</v>
      </c>
      <c r="AO683" t="str">
        <f t="shared" si="138"/>
        <v>Valid</v>
      </c>
      <c r="AP683" t="str">
        <f t="shared" si="139"/>
        <v>Valid</v>
      </c>
      <c r="AQ683" t="str">
        <f>IF(Audit_Data[[#This Row],[Z_CostContact]]=3,"Valid","Invalid")</f>
        <v>Valid</v>
      </c>
      <c r="AR683" t="str">
        <f t="shared" si="140"/>
        <v>Valid</v>
      </c>
      <c r="AS683" t="str">
        <f t="shared" si="141"/>
        <v>Valid</v>
      </c>
    </row>
    <row r="684" spans="1:45" x14ac:dyDescent="0.3">
      <c r="A684">
        <v>75</v>
      </c>
      <c r="B684">
        <v>1982</v>
      </c>
      <c r="C684" t="s">
        <v>37</v>
      </c>
      <c r="D684" t="s">
        <v>31</v>
      </c>
      <c r="E684">
        <v>41039</v>
      </c>
      <c r="F684">
        <v>0</v>
      </c>
      <c r="G684">
        <v>0</v>
      </c>
      <c r="H684" s="1">
        <v>41480</v>
      </c>
      <c r="I684">
        <v>32</v>
      </c>
      <c r="J684">
        <v>34</v>
      </c>
      <c r="K684">
        <v>11</v>
      </c>
      <c r="L684">
        <v>137</v>
      </c>
      <c r="M684">
        <v>179</v>
      </c>
      <c r="N684">
        <v>61</v>
      </c>
      <c r="O684">
        <v>45</v>
      </c>
      <c r="P684">
        <v>1</v>
      </c>
      <c r="Q684">
        <v>8</v>
      </c>
      <c r="R684">
        <v>1</v>
      </c>
      <c r="S684">
        <v>5</v>
      </c>
      <c r="T684">
        <v>8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3</v>
      </c>
      <c r="AB684">
        <v>11</v>
      </c>
      <c r="AC684">
        <v>0</v>
      </c>
      <c r="AD684" t="str">
        <f t="shared" si="130"/>
        <v>Ok</v>
      </c>
      <c r="AE684" t="str">
        <f>IF(AND(Audit_Data[[#This Row],[Year_Birth]]&gt;=1900,Audit_Data[[#This Row],[Year_Birth]]&lt;=2010),"OK","Invalid")</f>
        <v>OK</v>
      </c>
      <c r="AF684" t="str">
        <f t="shared" si="131"/>
        <v>Valid</v>
      </c>
      <c r="AG684" t="str">
        <f t="shared" si="132"/>
        <v>Valid</v>
      </c>
      <c r="AH684" t="str">
        <f t="shared" si="133"/>
        <v>Valid</v>
      </c>
      <c r="AI684" t="str">
        <f t="shared" si="134"/>
        <v>Valid</v>
      </c>
      <c r="AJ684" t="str">
        <f t="shared" si="135"/>
        <v>Valid</v>
      </c>
      <c r="AK684" t="str">
        <f t="shared" si="142"/>
        <v xml:space="preserve">Valid </v>
      </c>
      <c r="AL684" t="str">
        <f>IF(AND(Audit_Data[[#This Row],[Recency]]&gt;=0,Audit_Data[[#This Row],[Recency]]&lt;=100),"Valid","Invalid")</f>
        <v>Valid</v>
      </c>
      <c r="AM684" t="str">
        <f t="shared" si="136"/>
        <v>Valid</v>
      </c>
      <c r="AN684" t="str">
        <f t="shared" si="137"/>
        <v>Valid</v>
      </c>
      <c r="AO684" t="str">
        <f t="shared" si="138"/>
        <v>Valid</v>
      </c>
      <c r="AP684" t="str">
        <f t="shared" si="139"/>
        <v>Valid</v>
      </c>
      <c r="AQ684" t="str">
        <f>IF(Audit_Data[[#This Row],[Z_CostContact]]=3,"Valid","Invalid")</f>
        <v>Valid</v>
      </c>
      <c r="AR684" t="str">
        <f t="shared" si="140"/>
        <v>Valid</v>
      </c>
      <c r="AS684" t="str">
        <f t="shared" si="141"/>
        <v>Valid</v>
      </c>
    </row>
    <row r="685" spans="1:45" x14ac:dyDescent="0.3">
      <c r="A685">
        <v>10120</v>
      </c>
      <c r="B685">
        <v>1955</v>
      </c>
      <c r="C685" t="s">
        <v>29</v>
      </c>
      <c r="D685" t="s">
        <v>31</v>
      </c>
      <c r="E685">
        <v>38946</v>
      </c>
      <c r="F685">
        <v>0</v>
      </c>
      <c r="G685">
        <v>1</v>
      </c>
      <c r="H685" s="1">
        <v>41571</v>
      </c>
      <c r="I685">
        <v>84</v>
      </c>
      <c r="J685">
        <v>116</v>
      </c>
      <c r="K685">
        <v>6</v>
      </c>
      <c r="L685">
        <v>82</v>
      </c>
      <c r="M685">
        <v>6</v>
      </c>
      <c r="N685">
        <v>6</v>
      </c>
      <c r="O685">
        <v>41</v>
      </c>
      <c r="P685">
        <v>2</v>
      </c>
      <c r="Q685">
        <v>3</v>
      </c>
      <c r="R685">
        <v>1</v>
      </c>
      <c r="S685">
        <v>6</v>
      </c>
      <c r="T685">
        <v>5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3</v>
      </c>
      <c r="AB685">
        <v>11</v>
      </c>
      <c r="AC685">
        <v>0</v>
      </c>
      <c r="AD685" t="str">
        <f t="shared" si="130"/>
        <v>Ok</v>
      </c>
      <c r="AE685" t="str">
        <f>IF(AND(Audit_Data[[#This Row],[Year_Birth]]&gt;=1900,Audit_Data[[#This Row],[Year_Birth]]&lt;=2010),"OK","Invalid")</f>
        <v>OK</v>
      </c>
      <c r="AF685" t="str">
        <f t="shared" si="131"/>
        <v>Valid</v>
      </c>
      <c r="AG685" t="str">
        <f t="shared" si="132"/>
        <v>Valid</v>
      </c>
      <c r="AH685" t="str">
        <f t="shared" si="133"/>
        <v>Valid</v>
      </c>
      <c r="AI685" t="str">
        <f t="shared" si="134"/>
        <v>Valid</v>
      </c>
      <c r="AJ685" t="str">
        <f t="shared" si="135"/>
        <v>Valid</v>
      </c>
      <c r="AK685" t="str">
        <f t="shared" si="142"/>
        <v xml:space="preserve">Valid </v>
      </c>
      <c r="AL685" t="str">
        <f>IF(AND(Audit_Data[[#This Row],[Recency]]&gt;=0,Audit_Data[[#This Row],[Recency]]&lt;=100),"Valid","Invalid")</f>
        <v>Valid</v>
      </c>
      <c r="AM685" t="str">
        <f t="shared" si="136"/>
        <v>Valid</v>
      </c>
      <c r="AN685" t="str">
        <f t="shared" si="137"/>
        <v>Valid</v>
      </c>
      <c r="AO685" t="str">
        <f t="shared" si="138"/>
        <v>Valid</v>
      </c>
      <c r="AP685" t="str">
        <f t="shared" si="139"/>
        <v>Valid</v>
      </c>
      <c r="AQ685" t="str">
        <f>IF(Audit_Data[[#This Row],[Z_CostContact]]=3,"Valid","Invalid")</f>
        <v>Valid</v>
      </c>
      <c r="AR685" t="str">
        <f t="shared" si="140"/>
        <v>Valid</v>
      </c>
      <c r="AS685" t="str">
        <f t="shared" si="141"/>
        <v>Valid</v>
      </c>
    </row>
    <row r="686" spans="1:45" x14ac:dyDescent="0.3">
      <c r="A686">
        <v>6327</v>
      </c>
      <c r="B686">
        <v>1967</v>
      </c>
      <c r="C686" t="s">
        <v>29</v>
      </c>
      <c r="D686" t="s">
        <v>31</v>
      </c>
      <c r="E686">
        <v>65777</v>
      </c>
      <c r="F686">
        <v>0</v>
      </c>
      <c r="G686">
        <v>0</v>
      </c>
      <c r="H686" s="1">
        <v>41627</v>
      </c>
      <c r="I686">
        <v>87</v>
      </c>
      <c r="J686">
        <v>565</v>
      </c>
      <c r="K686">
        <v>32</v>
      </c>
      <c r="L686">
        <v>435</v>
      </c>
      <c r="M686">
        <v>28</v>
      </c>
      <c r="N686">
        <v>32</v>
      </c>
      <c r="O686">
        <v>54</v>
      </c>
      <c r="P686">
        <v>1</v>
      </c>
      <c r="Q686">
        <v>2</v>
      </c>
      <c r="R686">
        <v>8</v>
      </c>
      <c r="S686">
        <v>6</v>
      </c>
      <c r="T686">
        <v>1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3</v>
      </c>
      <c r="AB686">
        <v>11</v>
      </c>
      <c r="AC686">
        <v>0</v>
      </c>
      <c r="AD686" t="str">
        <f t="shared" si="130"/>
        <v>Ok</v>
      </c>
      <c r="AE686" t="str">
        <f>IF(AND(Audit_Data[[#This Row],[Year_Birth]]&gt;=1900,Audit_Data[[#This Row],[Year_Birth]]&lt;=2010),"OK","Invalid")</f>
        <v>OK</v>
      </c>
      <c r="AF686" t="str">
        <f t="shared" si="131"/>
        <v>Valid</v>
      </c>
      <c r="AG686" t="str">
        <f t="shared" si="132"/>
        <v>Valid</v>
      </c>
      <c r="AH686" t="str">
        <f t="shared" si="133"/>
        <v>Valid</v>
      </c>
      <c r="AI686" t="str">
        <f t="shared" si="134"/>
        <v>Valid</v>
      </c>
      <c r="AJ686" t="str">
        <f t="shared" si="135"/>
        <v>Valid</v>
      </c>
      <c r="AK686" t="str">
        <f t="shared" si="142"/>
        <v xml:space="preserve">Valid </v>
      </c>
      <c r="AL686" t="str">
        <f>IF(AND(Audit_Data[[#This Row],[Recency]]&gt;=0,Audit_Data[[#This Row],[Recency]]&lt;=100),"Valid","Invalid")</f>
        <v>Valid</v>
      </c>
      <c r="AM686" t="str">
        <f t="shared" si="136"/>
        <v>Valid</v>
      </c>
      <c r="AN686" t="str">
        <f t="shared" si="137"/>
        <v>Valid</v>
      </c>
      <c r="AO686" t="str">
        <f t="shared" si="138"/>
        <v>Valid</v>
      </c>
      <c r="AP686" t="str">
        <f t="shared" si="139"/>
        <v>Valid</v>
      </c>
      <c r="AQ686" t="str">
        <f>IF(Audit_Data[[#This Row],[Z_CostContact]]=3,"Valid","Invalid")</f>
        <v>Valid</v>
      </c>
      <c r="AR686" t="str">
        <f t="shared" si="140"/>
        <v>Valid</v>
      </c>
      <c r="AS686" t="str">
        <f t="shared" si="141"/>
        <v>Valid</v>
      </c>
    </row>
    <row r="687" spans="1:45" x14ac:dyDescent="0.3">
      <c r="A687">
        <v>10142</v>
      </c>
      <c r="B687">
        <v>1976</v>
      </c>
      <c r="C687" t="s">
        <v>32</v>
      </c>
      <c r="D687" t="s">
        <v>35</v>
      </c>
      <c r="E687">
        <v>66476</v>
      </c>
      <c r="F687">
        <v>0</v>
      </c>
      <c r="G687">
        <v>1</v>
      </c>
      <c r="H687" s="1">
        <v>41340</v>
      </c>
      <c r="I687">
        <v>99</v>
      </c>
      <c r="J687">
        <v>372</v>
      </c>
      <c r="K687">
        <v>18</v>
      </c>
      <c r="L687">
        <v>126</v>
      </c>
      <c r="M687">
        <v>47</v>
      </c>
      <c r="N687">
        <v>48</v>
      </c>
      <c r="O687">
        <v>78</v>
      </c>
      <c r="P687">
        <v>2</v>
      </c>
      <c r="Q687">
        <v>5</v>
      </c>
      <c r="R687">
        <v>2</v>
      </c>
      <c r="S687">
        <v>11</v>
      </c>
      <c r="T687">
        <v>4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3</v>
      </c>
      <c r="AB687">
        <v>11</v>
      </c>
      <c r="AC687">
        <v>0</v>
      </c>
      <c r="AD687" t="str">
        <f t="shared" si="130"/>
        <v>Ok</v>
      </c>
      <c r="AE687" t="str">
        <f>IF(AND(Audit_Data[[#This Row],[Year_Birth]]&gt;=1900,Audit_Data[[#This Row],[Year_Birth]]&lt;=2010),"OK","Invalid")</f>
        <v>OK</v>
      </c>
      <c r="AF687" t="str">
        <f t="shared" si="131"/>
        <v>Valid</v>
      </c>
      <c r="AG687" t="str">
        <f t="shared" si="132"/>
        <v>Valid</v>
      </c>
      <c r="AH687" t="str">
        <f t="shared" si="133"/>
        <v>Valid</v>
      </c>
      <c r="AI687" t="str">
        <f t="shared" si="134"/>
        <v>Valid</v>
      </c>
      <c r="AJ687" t="str">
        <f t="shared" si="135"/>
        <v>Valid</v>
      </c>
      <c r="AK687" t="str">
        <f t="shared" si="142"/>
        <v xml:space="preserve">Valid </v>
      </c>
      <c r="AL687" t="str">
        <f>IF(AND(Audit_Data[[#This Row],[Recency]]&gt;=0,Audit_Data[[#This Row],[Recency]]&lt;=100),"Valid","Invalid")</f>
        <v>Valid</v>
      </c>
      <c r="AM687" t="str">
        <f t="shared" si="136"/>
        <v>Valid</v>
      </c>
      <c r="AN687" t="str">
        <f t="shared" si="137"/>
        <v>Valid</v>
      </c>
      <c r="AO687" t="str">
        <f t="shared" si="138"/>
        <v>Valid</v>
      </c>
      <c r="AP687" t="str">
        <f t="shared" si="139"/>
        <v>Valid</v>
      </c>
      <c r="AQ687" t="str">
        <f>IF(Audit_Data[[#This Row],[Z_CostContact]]=3,"Valid","Invalid")</f>
        <v>Valid</v>
      </c>
      <c r="AR687" t="str">
        <f t="shared" si="140"/>
        <v>Valid</v>
      </c>
      <c r="AS687" t="str">
        <f t="shared" si="141"/>
        <v>Valid</v>
      </c>
    </row>
    <row r="688" spans="1:45" x14ac:dyDescent="0.3">
      <c r="A688">
        <v>9826</v>
      </c>
      <c r="B688">
        <v>1972</v>
      </c>
      <c r="C688" t="s">
        <v>32</v>
      </c>
      <c r="D688" t="s">
        <v>30</v>
      </c>
      <c r="E688">
        <v>86857</v>
      </c>
      <c r="F688">
        <v>0</v>
      </c>
      <c r="G688">
        <v>0</v>
      </c>
      <c r="H688" s="1">
        <v>41164</v>
      </c>
      <c r="I688">
        <v>96</v>
      </c>
      <c r="J688">
        <v>899</v>
      </c>
      <c r="K688">
        <v>102</v>
      </c>
      <c r="L688">
        <v>838</v>
      </c>
      <c r="M688">
        <v>133</v>
      </c>
      <c r="N688">
        <v>102</v>
      </c>
      <c r="O688">
        <v>40</v>
      </c>
      <c r="P688">
        <v>1</v>
      </c>
      <c r="Q688">
        <v>5</v>
      </c>
      <c r="R688">
        <v>6</v>
      </c>
      <c r="S688">
        <v>10</v>
      </c>
      <c r="T688">
        <v>2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3</v>
      </c>
      <c r="AB688">
        <v>11</v>
      </c>
      <c r="AC688">
        <v>1</v>
      </c>
      <c r="AD688" t="str">
        <f t="shared" si="130"/>
        <v>Ok</v>
      </c>
      <c r="AE688" t="str">
        <f>IF(AND(Audit_Data[[#This Row],[Year_Birth]]&gt;=1900,Audit_Data[[#This Row],[Year_Birth]]&lt;=2010),"OK","Invalid")</f>
        <v>OK</v>
      </c>
      <c r="AF688" t="str">
        <f t="shared" si="131"/>
        <v>Valid</v>
      </c>
      <c r="AG688" t="str">
        <f t="shared" si="132"/>
        <v>Valid</v>
      </c>
      <c r="AH688" t="str">
        <f t="shared" si="133"/>
        <v>Valid</v>
      </c>
      <c r="AI688" t="str">
        <f t="shared" si="134"/>
        <v>Valid</v>
      </c>
      <c r="AJ688" t="str">
        <f t="shared" si="135"/>
        <v>Valid</v>
      </c>
      <c r="AK688" t="str">
        <f t="shared" si="142"/>
        <v xml:space="preserve">Valid </v>
      </c>
      <c r="AL688" t="str">
        <f>IF(AND(Audit_Data[[#This Row],[Recency]]&gt;=0,Audit_Data[[#This Row],[Recency]]&lt;=100),"Valid","Invalid")</f>
        <v>Valid</v>
      </c>
      <c r="AM688" t="str">
        <f t="shared" si="136"/>
        <v>Valid</v>
      </c>
      <c r="AN688" t="str">
        <f t="shared" si="137"/>
        <v>Valid</v>
      </c>
      <c r="AO688" t="str">
        <f t="shared" si="138"/>
        <v>Valid</v>
      </c>
      <c r="AP688" t="str">
        <f t="shared" si="139"/>
        <v>Valid</v>
      </c>
      <c r="AQ688" t="str">
        <f>IF(Audit_Data[[#This Row],[Z_CostContact]]=3,"Valid","Invalid")</f>
        <v>Valid</v>
      </c>
      <c r="AR688" t="str">
        <f t="shared" si="140"/>
        <v>Valid</v>
      </c>
      <c r="AS688" t="str">
        <f t="shared" si="141"/>
        <v>Valid</v>
      </c>
    </row>
    <row r="689" spans="1:45" x14ac:dyDescent="0.3">
      <c r="A689">
        <v>1501</v>
      </c>
      <c r="B689">
        <v>1982</v>
      </c>
      <c r="C689" t="s">
        <v>32</v>
      </c>
      <c r="D689" t="s">
        <v>33</v>
      </c>
      <c r="E689">
        <v>160803</v>
      </c>
      <c r="F689">
        <v>0</v>
      </c>
      <c r="G689">
        <v>0</v>
      </c>
      <c r="H689" s="1">
        <v>41125</v>
      </c>
      <c r="I689">
        <v>21</v>
      </c>
      <c r="J689">
        <v>55</v>
      </c>
      <c r="K689">
        <v>16</v>
      </c>
      <c r="L689">
        <v>1622</v>
      </c>
      <c r="M689">
        <v>17</v>
      </c>
      <c r="N689">
        <v>3</v>
      </c>
      <c r="O689">
        <v>4</v>
      </c>
      <c r="P689">
        <v>15</v>
      </c>
      <c r="Q689">
        <v>0</v>
      </c>
      <c r="R689">
        <v>28</v>
      </c>
      <c r="S689">
        <v>1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3</v>
      </c>
      <c r="AB689">
        <v>11</v>
      </c>
      <c r="AC689">
        <v>0</v>
      </c>
      <c r="AD689" t="str">
        <f t="shared" si="130"/>
        <v>Ok</v>
      </c>
      <c r="AE689" t="str">
        <f>IF(AND(Audit_Data[[#This Row],[Year_Birth]]&gt;=1900,Audit_Data[[#This Row],[Year_Birth]]&lt;=2010),"OK","Invalid")</f>
        <v>OK</v>
      </c>
      <c r="AF689" t="str">
        <f t="shared" si="131"/>
        <v>Valid</v>
      </c>
      <c r="AG689" t="str">
        <f t="shared" si="132"/>
        <v>Valid</v>
      </c>
      <c r="AH689" t="str">
        <f t="shared" si="133"/>
        <v>Valid</v>
      </c>
      <c r="AI689" t="str">
        <f t="shared" si="134"/>
        <v>Valid</v>
      </c>
      <c r="AJ689" t="str">
        <f t="shared" si="135"/>
        <v>Valid</v>
      </c>
      <c r="AK689" t="str">
        <f t="shared" si="142"/>
        <v xml:space="preserve">Valid </v>
      </c>
      <c r="AL689" t="str">
        <f>IF(AND(Audit_Data[[#This Row],[Recency]]&gt;=0,Audit_Data[[#This Row],[Recency]]&lt;=100),"Valid","Invalid")</f>
        <v>Valid</v>
      </c>
      <c r="AM689" t="str">
        <f t="shared" si="136"/>
        <v>Valid</v>
      </c>
      <c r="AN689" t="str">
        <f t="shared" si="137"/>
        <v>Valid</v>
      </c>
      <c r="AO689" t="str">
        <f t="shared" si="138"/>
        <v>Valid</v>
      </c>
      <c r="AP689" t="str">
        <f t="shared" si="139"/>
        <v>Valid</v>
      </c>
      <c r="AQ689" t="str">
        <f>IF(Audit_Data[[#This Row],[Z_CostContact]]=3,"Valid","Invalid")</f>
        <v>Valid</v>
      </c>
      <c r="AR689" t="str">
        <f t="shared" si="140"/>
        <v>Valid</v>
      </c>
      <c r="AS689" t="str">
        <f t="shared" si="141"/>
        <v>Valid</v>
      </c>
    </row>
    <row r="690" spans="1:45" x14ac:dyDescent="0.3">
      <c r="A690">
        <v>10767</v>
      </c>
      <c r="B690">
        <v>1989</v>
      </c>
      <c r="C690" t="s">
        <v>32</v>
      </c>
      <c r="D690" t="s">
        <v>31</v>
      </c>
      <c r="E690">
        <v>77845</v>
      </c>
      <c r="F690">
        <v>0</v>
      </c>
      <c r="G690">
        <v>0</v>
      </c>
      <c r="H690" s="1">
        <v>41775</v>
      </c>
      <c r="I690">
        <v>40</v>
      </c>
      <c r="J690">
        <v>760</v>
      </c>
      <c r="K690">
        <v>40</v>
      </c>
      <c r="L690">
        <v>480</v>
      </c>
      <c r="M690">
        <v>0</v>
      </c>
      <c r="N690">
        <v>40</v>
      </c>
      <c r="O690">
        <v>26</v>
      </c>
      <c r="P690">
        <v>1</v>
      </c>
      <c r="Q690">
        <v>3</v>
      </c>
      <c r="R690">
        <v>5</v>
      </c>
      <c r="S690">
        <v>12</v>
      </c>
      <c r="T690">
        <v>1</v>
      </c>
      <c r="U690">
        <v>0</v>
      </c>
      <c r="V690">
        <v>0</v>
      </c>
      <c r="W690">
        <v>1</v>
      </c>
      <c r="X690">
        <v>1</v>
      </c>
      <c r="Y690">
        <v>0</v>
      </c>
      <c r="Z690">
        <v>0</v>
      </c>
      <c r="AA690">
        <v>3</v>
      </c>
      <c r="AB690">
        <v>11</v>
      </c>
      <c r="AC690">
        <v>0</v>
      </c>
      <c r="AD690" t="str">
        <f t="shared" si="130"/>
        <v>Ok</v>
      </c>
      <c r="AE690" t="str">
        <f>IF(AND(Audit_Data[[#This Row],[Year_Birth]]&gt;=1900,Audit_Data[[#This Row],[Year_Birth]]&lt;=2010),"OK","Invalid")</f>
        <v>OK</v>
      </c>
      <c r="AF690" t="str">
        <f t="shared" si="131"/>
        <v>Valid</v>
      </c>
      <c r="AG690" t="str">
        <f t="shared" si="132"/>
        <v>Valid</v>
      </c>
      <c r="AH690" t="str">
        <f t="shared" si="133"/>
        <v>Valid</v>
      </c>
      <c r="AI690" t="str">
        <f t="shared" si="134"/>
        <v>Valid</v>
      </c>
      <c r="AJ690" t="str">
        <f t="shared" si="135"/>
        <v>Valid</v>
      </c>
      <c r="AK690" t="str">
        <f t="shared" si="142"/>
        <v xml:space="preserve">Valid </v>
      </c>
      <c r="AL690" t="str">
        <f>IF(AND(Audit_Data[[#This Row],[Recency]]&gt;=0,Audit_Data[[#This Row],[Recency]]&lt;=100),"Valid","Invalid")</f>
        <v>Valid</v>
      </c>
      <c r="AM690" t="str">
        <f t="shared" si="136"/>
        <v>Valid</v>
      </c>
      <c r="AN690" t="str">
        <f t="shared" si="137"/>
        <v>Valid</v>
      </c>
      <c r="AO690" t="str">
        <f t="shared" si="138"/>
        <v>Valid</v>
      </c>
      <c r="AP690" t="str">
        <f t="shared" si="139"/>
        <v>Valid</v>
      </c>
      <c r="AQ690" t="str">
        <f>IF(Audit_Data[[#This Row],[Z_CostContact]]=3,"Valid","Invalid")</f>
        <v>Valid</v>
      </c>
      <c r="AR690" t="str">
        <f t="shared" si="140"/>
        <v>Valid</v>
      </c>
      <c r="AS690" t="str">
        <f t="shared" si="141"/>
        <v>Valid</v>
      </c>
    </row>
    <row r="691" spans="1:45" x14ac:dyDescent="0.3">
      <c r="A691">
        <v>7279</v>
      </c>
      <c r="B691">
        <v>1969</v>
      </c>
      <c r="C691" t="s">
        <v>32</v>
      </c>
      <c r="D691" t="s">
        <v>31</v>
      </c>
      <c r="E691">
        <v>69476</v>
      </c>
      <c r="F691">
        <v>0</v>
      </c>
      <c r="G691">
        <v>0</v>
      </c>
      <c r="H691" s="1">
        <v>41547</v>
      </c>
      <c r="I691">
        <v>3</v>
      </c>
      <c r="J691">
        <v>260</v>
      </c>
      <c r="K691">
        <v>86</v>
      </c>
      <c r="L691">
        <v>559</v>
      </c>
      <c r="M691">
        <v>63</v>
      </c>
      <c r="N691">
        <v>9</v>
      </c>
      <c r="O691">
        <v>67</v>
      </c>
      <c r="P691">
        <v>1</v>
      </c>
      <c r="Q691">
        <v>4</v>
      </c>
      <c r="R691">
        <v>6</v>
      </c>
      <c r="S691">
        <v>4</v>
      </c>
      <c r="T691">
        <v>2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3</v>
      </c>
      <c r="AB691">
        <v>11</v>
      </c>
      <c r="AC691">
        <v>0</v>
      </c>
      <c r="AD691" t="str">
        <f t="shared" si="130"/>
        <v>Ok</v>
      </c>
      <c r="AE691" t="str">
        <f>IF(AND(Audit_Data[[#This Row],[Year_Birth]]&gt;=1900,Audit_Data[[#This Row],[Year_Birth]]&lt;=2010),"OK","Invalid")</f>
        <v>OK</v>
      </c>
      <c r="AF691" t="str">
        <f t="shared" si="131"/>
        <v>Valid</v>
      </c>
      <c r="AG691" t="str">
        <f t="shared" si="132"/>
        <v>Valid</v>
      </c>
      <c r="AH691" t="str">
        <f t="shared" si="133"/>
        <v>Valid</v>
      </c>
      <c r="AI691" t="str">
        <f t="shared" si="134"/>
        <v>Valid</v>
      </c>
      <c r="AJ691" t="str">
        <f t="shared" si="135"/>
        <v>Valid</v>
      </c>
      <c r="AK691" t="str">
        <f t="shared" si="142"/>
        <v xml:space="preserve">Valid </v>
      </c>
      <c r="AL691" t="str">
        <f>IF(AND(Audit_Data[[#This Row],[Recency]]&gt;=0,Audit_Data[[#This Row],[Recency]]&lt;=100),"Valid","Invalid")</f>
        <v>Valid</v>
      </c>
      <c r="AM691" t="str">
        <f t="shared" si="136"/>
        <v>Valid</v>
      </c>
      <c r="AN691" t="str">
        <f t="shared" si="137"/>
        <v>Valid</v>
      </c>
      <c r="AO691" t="str">
        <f t="shared" si="138"/>
        <v>Valid</v>
      </c>
      <c r="AP691" t="str">
        <f t="shared" si="139"/>
        <v>Valid</v>
      </c>
      <c r="AQ691" t="str">
        <f>IF(Audit_Data[[#This Row],[Z_CostContact]]=3,"Valid","Invalid")</f>
        <v>Valid</v>
      </c>
      <c r="AR691" t="str">
        <f t="shared" si="140"/>
        <v>Valid</v>
      </c>
      <c r="AS691" t="str">
        <f t="shared" si="141"/>
        <v>Valid</v>
      </c>
    </row>
    <row r="692" spans="1:45" x14ac:dyDescent="0.3">
      <c r="A692">
        <v>7230</v>
      </c>
      <c r="B692">
        <v>1960</v>
      </c>
      <c r="C692" t="s">
        <v>32</v>
      </c>
      <c r="D692" t="s">
        <v>35</v>
      </c>
      <c r="E692">
        <v>50611</v>
      </c>
      <c r="F692">
        <v>0</v>
      </c>
      <c r="G692">
        <v>1</v>
      </c>
      <c r="H692" s="1">
        <v>41186</v>
      </c>
      <c r="I692">
        <v>98</v>
      </c>
      <c r="J692">
        <v>459</v>
      </c>
      <c r="K692">
        <v>0</v>
      </c>
      <c r="L692">
        <v>24</v>
      </c>
      <c r="M692">
        <v>6</v>
      </c>
      <c r="N692">
        <v>0</v>
      </c>
      <c r="O692">
        <v>4</v>
      </c>
      <c r="P692">
        <v>6</v>
      </c>
      <c r="Q692">
        <v>4</v>
      </c>
      <c r="R692">
        <v>5</v>
      </c>
      <c r="S692">
        <v>7</v>
      </c>
      <c r="T692">
        <v>6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0</v>
      </c>
      <c r="AA692">
        <v>3</v>
      </c>
      <c r="AB692">
        <v>11</v>
      </c>
      <c r="AC692">
        <v>1</v>
      </c>
      <c r="AD692" t="str">
        <f t="shared" si="130"/>
        <v>Ok</v>
      </c>
      <c r="AE692" t="str">
        <f>IF(AND(Audit_Data[[#This Row],[Year_Birth]]&gt;=1900,Audit_Data[[#This Row],[Year_Birth]]&lt;=2010),"OK","Invalid")</f>
        <v>OK</v>
      </c>
      <c r="AF692" t="str">
        <f t="shared" si="131"/>
        <v>Valid</v>
      </c>
      <c r="AG692" t="str">
        <f t="shared" si="132"/>
        <v>Valid</v>
      </c>
      <c r="AH692" t="str">
        <f t="shared" si="133"/>
        <v>Valid</v>
      </c>
      <c r="AI692" t="str">
        <f t="shared" si="134"/>
        <v>Valid</v>
      </c>
      <c r="AJ692" t="str">
        <f t="shared" si="135"/>
        <v>Valid</v>
      </c>
      <c r="AK692" t="str">
        <f t="shared" si="142"/>
        <v xml:space="preserve">Valid </v>
      </c>
      <c r="AL692" t="str">
        <f>IF(AND(Audit_Data[[#This Row],[Recency]]&gt;=0,Audit_Data[[#This Row],[Recency]]&lt;=100),"Valid","Invalid")</f>
        <v>Valid</v>
      </c>
      <c r="AM692" t="str">
        <f t="shared" si="136"/>
        <v>Valid</v>
      </c>
      <c r="AN692" t="str">
        <f t="shared" si="137"/>
        <v>Valid</v>
      </c>
      <c r="AO692" t="str">
        <f t="shared" si="138"/>
        <v>Valid</v>
      </c>
      <c r="AP692" t="str">
        <f t="shared" si="139"/>
        <v>Valid</v>
      </c>
      <c r="AQ692" t="str">
        <f>IF(Audit_Data[[#This Row],[Z_CostContact]]=3,"Valid","Invalid")</f>
        <v>Valid</v>
      </c>
      <c r="AR692" t="str">
        <f t="shared" si="140"/>
        <v>Valid</v>
      </c>
      <c r="AS692" t="str">
        <f t="shared" si="141"/>
        <v>Valid</v>
      </c>
    </row>
    <row r="693" spans="1:45" x14ac:dyDescent="0.3">
      <c r="A693">
        <v>143</v>
      </c>
      <c r="B693">
        <v>1970</v>
      </c>
      <c r="C693" t="s">
        <v>29</v>
      </c>
      <c r="D693" t="s">
        <v>30</v>
      </c>
      <c r="E693">
        <v>61209</v>
      </c>
      <c r="F693">
        <v>0</v>
      </c>
      <c r="G693">
        <v>0</v>
      </c>
      <c r="H693" s="1">
        <v>41511</v>
      </c>
      <c r="I693">
        <v>73</v>
      </c>
      <c r="J693">
        <v>466</v>
      </c>
      <c r="K693">
        <v>0</v>
      </c>
      <c r="L693">
        <v>224</v>
      </c>
      <c r="M693">
        <v>119</v>
      </c>
      <c r="N693">
        <v>49</v>
      </c>
      <c r="O693">
        <v>99</v>
      </c>
      <c r="P693">
        <v>1</v>
      </c>
      <c r="Q693">
        <v>5</v>
      </c>
      <c r="R693">
        <v>3</v>
      </c>
      <c r="S693">
        <v>4</v>
      </c>
      <c r="T693">
        <v>2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3</v>
      </c>
      <c r="AB693">
        <v>11</v>
      </c>
      <c r="AC693">
        <v>0</v>
      </c>
      <c r="AD693" t="str">
        <f t="shared" si="130"/>
        <v>Ok</v>
      </c>
      <c r="AE693" t="str">
        <f>IF(AND(Audit_Data[[#This Row],[Year_Birth]]&gt;=1900,Audit_Data[[#This Row],[Year_Birth]]&lt;=2010),"OK","Invalid")</f>
        <v>OK</v>
      </c>
      <c r="AF693" t="str">
        <f t="shared" si="131"/>
        <v>Valid</v>
      </c>
      <c r="AG693" t="str">
        <f t="shared" si="132"/>
        <v>Valid</v>
      </c>
      <c r="AH693" t="str">
        <f t="shared" si="133"/>
        <v>Valid</v>
      </c>
      <c r="AI693" t="str">
        <f t="shared" si="134"/>
        <v>Valid</v>
      </c>
      <c r="AJ693" t="str">
        <f t="shared" si="135"/>
        <v>Valid</v>
      </c>
      <c r="AK693" t="str">
        <f t="shared" si="142"/>
        <v xml:space="preserve">Valid </v>
      </c>
      <c r="AL693" t="str">
        <f>IF(AND(Audit_Data[[#This Row],[Recency]]&gt;=0,Audit_Data[[#This Row],[Recency]]&lt;=100),"Valid","Invalid")</f>
        <v>Valid</v>
      </c>
      <c r="AM693" t="str">
        <f t="shared" si="136"/>
        <v>Valid</v>
      </c>
      <c r="AN693" t="str">
        <f t="shared" si="137"/>
        <v>Valid</v>
      </c>
      <c r="AO693" t="str">
        <f t="shared" si="138"/>
        <v>Valid</v>
      </c>
      <c r="AP693" t="str">
        <f t="shared" si="139"/>
        <v>Valid</v>
      </c>
      <c r="AQ693" t="str">
        <f>IF(Audit_Data[[#This Row],[Z_CostContact]]=3,"Valid","Invalid")</f>
        <v>Valid</v>
      </c>
      <c r="AR693" t="str">
        <f t="shared" si="140"/>
        <v>Valid</v>
      </c>
      <c r="AS693" t="str">
        <f t="shared" si="141"/>
        <v>Valid</v>
      </c>
    </row>
    <row r="694" spans="1:45" x14ac:dyDescent="0.3">
      <c r="A694">
        <v>450</v>
      </c>
      <c r="B694">
        <v>1958</v>
      </c>
      <c r="C694" t="s">
        <v>34</v>
      </c>
      <c r="D694" t="s">
        <v>31</v>
      </c>
      <c r="E694">
        <v>42315</v>
      </c>
      <c r="F694">
        <v>0</v>
      </c>
      <c r="G694">
        <v>1</v>
      </c>
      <c r="H694" s="1">
        <v>41467</v>
      </c>
      <c r="I694">
        <v>90</v>
      </c>
      <c r="J694">
        <v>67</v>
      </c>
      <c r="K694">
        <v>15</v>
      </c>
      <c r="L694">
        <v>80</v>
      </c>
      <c r="M694">
        <v>17</v>
      </c>
      <c r="N694">
        <v>11</v>
      </c>
      <c r="O694">
        <v>80</v>
      </c>
      <c r="P694">
        <v>3</v>
      </c>
      <c r="Q694">
        <v>1</v>
      </c>
      <c r="R694">
        <v>4</v>
      </c>
      <c r="S694">
        <v>4</v>
      </c>
      <c r="T694">
        <v>3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3</v>
      </c>
      <c r="AB694">
        <v>11</v>
      </c>
      <c r="AC694">
        <v>0</v>
      </c>
      <c r="AD694" t="str">
        <f t="shared" si="130"/>
        <v>Ok</v>
      </c>
      <c r="AE694" t="str">
        <f>IF(AND(Audit_Data[[#This Row],[Year_Birth]]&gt;=1900,Audit_Data[[#This Row],[Year_Birth]]&lt;=2010),"OK","Invalid")</f>
        <v>OK</v>
      </c>
      <c r="AF694" t="str">
        <f t="shared" si="131"/>
        <v>Valid</v>
      </c>
      <c r="AG694" t="str">
        <f t="shared" si="132"/>
        <v>Valid</v>
      </c>
      <c r="AH694" t="str">
        <f t="shared" si="133"/>
        <v>Valid</v>
      </c>
      <c r="AI694" t="str">
        <f t="shared" si="134"/>
        <v>Valid</v>
      </c>
      <c r="AJ694" t="str">
        <f t="shared" si="135"/>
        <v>Valid</v>
      </c>
      <c r="AK694" t="str">
        <f t="shared" si="142"/>
        <v xml:space="preserve">Valid </v>
      </c>
      <c r="AL694" t="str">
        <f>IF(AND(Audit_Data[[#This Row],[Recency]]&gt;=0,Audit_Data[[#This Row],[Recency]]&lt;=100),"Valid","Invalid")</f>
        <v>Valid</v>
      </c>
      <c r="AM694" t="str">
        <f t="shared" si="136"/>
        <v>Valid</v>
      </c>
      <c r="AN694" t="str">
        <f t="shared" si="137"/>
        <v>Valid</v>
      </c>
      <c r="AO694" t="str">
        <f t="shared" si="138"/>
        <v>Valid</v>
      </c>
      <c r="AP694" t="str">
        <f t="shared" si="139"/>
        <v>Valid</v>
      </c>
      <c r="AQ694" t="str">
        <f>IF(Audit_Data[[#This Row],[Z_CostContact]]=3,"Valid","Invalid")</f>
        <v>Valid</v>
      </c>
      <c r="AR694" t="str">
        <f t="shared" si="140"/>
        <v>Valid</v>
      </c>
      <c r="AS694" t="str">
        <f t="shared" si="141"/>
        <v>Valid</v>
      </c>
    </row>
    <row r="695" spans="1:45" x14ac:dyDescent="0.3">
      <c r="A695">
        <v>9316</v>
      </c>
      <c r="B695">
        <v>1952</v>
      </c>
      <c r="C695" t="s">
        <v>36</v>
      </c>
      <c r="D695" t="s">
        <v>31</v>
      </c>
      <c r="E695">
        <v>13084</v>
      </c>
      <c r="F695">
        <v>0</v>
      </c>
      <c r="G695">
        <v>0</v>
      </c>
      <c r="H695" s="1">
        <v>41580</v>
      </c>
      <c r="I695">
        <v>29</v>
      </c>
      <c r="J695">
        <v>2</v>
      </c>
      <c r="K695">
        <v>0</v>
      </c>
      <c r="L695">
        <v>7</v>
      </c>
      <c r="M695">
        <v>3</v>
      </c>
      <c r="N695">
        <v>7</v>
      </c>
      <c r="O695">
        <v>10</v>
      </c>
      <c r="P695">
        <v>1</v>
      </c>
      <c r="Q695">
        <v>1</v>
      </c>
      <c r="R695">
        <v>0</v>
      </c>
      <c r="S695">
        <v>3</v>
      </c>
      <c r="T695">
        <v>6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3</v>
      </c>
      <c r="AB695">
        <v>11</v>
      </c>
      <c r="AC695">
        <v>0</v>
      </c>
      <c r="AD695" t="str">
        <f t="shared" si="130"/>
        <v>Ok</v>
      </c>
      <c r="AE695" t="str">
        <f>IF(AND(Audit_Data[[#This Row],[Year_Birth]]&gt;=1900,Audit_Data[[#This Row],[Year_Birth]]&lt;=2010),"OK","Invalid")</f>
        <v>OK</v>
      </c>
      <c r="AF695" t="str">
        <f t="shared" si="131"/>
        <v>Valid</v>
      </c>
      <c r="AG695" t="str">
        <f t="shared" si="132"/>
        <v>Valid</v>
      </c>
      <c r="AH695" t="str">
        <f t="shared" si="133"/>
        <v>Valid</v>
      </c>
      <c r="AI695" t="str">
        <f t="shared" si="134"/>
        <v>Valid</v>
      </c>
      <c r="AJ695" t="str">
        <f t="shared" si="135"/>
        <v>Valid</v>
      </c>
      <c r="AK695" t="str">
        <f t="shared" si="142"/>
        <v xml:space="preserve">Valid </v>
      </c>
      <c r="AL695" t="str">
        <f>IF(AND(Audit_Data[[#This Row],[Recency]]&gt;=0,Audit_Data[[#This Row],[Recency]]&lt;=100),"Valid","Invalid")</f>
        <v>Valid</v>
      </c>
      <c r="AM695" t="str">
        <f t="shared" si="136"/>
        <v>Valid</v>
      </c>
      <c r="AN695" t="str">
        <f t="shared" si="137"/>
        <v>Valid</v>
      </c>
      <c r="AO695" t="str">
        <f t="shared" si="138"/>
        <v>Valid</v>
      </c>
      <c r="AP695" t="str">
        <f t="shared" si="139"/>
        <v>Valid</v>
      </c>
      <c r="AQ695" t="str">
        <f>IF(Audit_Data[[#This Row],[Z_CostContact]]=3,"Valid","Invalid")</f>
        <v>Valid</v>
      </c>
      <c r="AR695" t="str">
        <f t="shared" si="140"/>
        <v>Valid</v>
      </c>
      <c r="AS695" t="str">
        <f t="shared" si="141"/>
        <v>Valid</v>
      </c>
    </row>
    <row r="696" spans="1:45" x14ac:dyDescent="0.3">
      <c r="A696">
        <v>6379</v>
      </c>
      <c r="B696">
        <v>1949</v>
      </c>
      <c r="C696" t="s">
        <v>34</v>
      </c>
      <c r="D696" t="s">
        <v>38</v>
      </c>
      <c r="E696">
        <v>47570</v>
      </c>
      <c r="F696">
        <v>1</v>
      </c>
      <c r="G696">
        <v>1</v>
      </c>
      <c r="H696" s="1">
        <v>41423</v>
      </c>
      <c r="I696">
        <v>3</v>
      </c>
      <c r="J696">
        <v>67</v>
      </c>
      <c r="K696">
        <v>1</v>
      </c>
      <c r="L696">
        <v>20</v>
      </c>
      <c r="M696">
        <v>0</v>
      </c>
      <c r="N696">
        <v>2</v>
      </c>
      <c r="O696">
        <v>31</v>
      </c>
      <c r="P696">
        <v>3</v>
      </c>
      <c r="Q696">
        <v>2</v>
      </c>
      <c r="R696">
        <v>2</v>
      </c>
      <c r="S696">
        <v>2</v>
      </c>
      <c r="T696">
        <v>7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3</v>
      </c>
      <c r="AB696">
        <v>11</v>
      </c>
      <c r="AC696">
        <v>1</v>
      </c>
      <c r="AD696" t="str">
        <f t="shared" si="130"/>
        <v>Ok</v>
      </c>
      <c r="AE696" t="str">
        <f>IF(AND(Audit_Data[[#This Row],[Year_Birth]]&gt;=1900,Audit_Data[[#This Row],[Year_Birth]]&lt;=2010),"OK","Invalid")</f>
        <v>OK</v>
      </c>
      <c r="AF696" t="str">
        <f t="shared" si="131"/>
        <v>Valid</v>
      </c>
      <c r="AG696" t="str">
        <f t="shared" si="132"/>
        <v>Valid</v>
      </c>
      <c r="AH696" t="str">
        <f t="shared" si="133"/>
        <v>Valid</v>
      </c>
      <c r="AI696" t="str">
        <f t="shared" si="134"/>
        <v>Valid</v>
      </c>
      <c r="AJ696" t="str">
        <f t="shared" si="135"/>
        <v>Valid</v>
      </c>
      <c r="AK696" t="str">
        <f t="shared" si="142"/>
        <v xml:space="preserve">Valid </v>
      </c>
      <c r="AL696" t="str">
        <f>IF(AND(Audit_Data[[#This Row],[Recency]]&gt;=0,Audit_Data[[#This Row],[Recency]]&lt;=100),"Valid","Invalid")</f>
        <v>Valid</v>
      </c>
      <c r="AM696" t="str">
        <f t="shared" si="136"/>
        <v>Valid</v>
      </c>
      <c r="AN696" t="str">
        <f t="shared" si="137"/>
        <v>Valid</v>
      </c>
      <c r="AO696" t="str">
        <f t="shared" si="138"/>
        <v>Valid</v>
      </c>
      <c r="AP696" t="str">
        <f t="shared" si="139"/>
        <v>Valid</v>
      </c>
      <c r="AQ696" t="str">
        <f>IF(Audit_Data[[#This Row],[Z_CostContact]]=3,"Valid","Invalid")</f>
        <v>Valid</v>
      </c>
      <c r="AR696" t="str">
        <f t="shared" si="140"/>
        <v>Valid</v>
      </c>
      <c r="AS696" t="str">
        <f t="shared" si="141"/>
        <v>Valid</v>
      </c>
    </row>
    <row r="697" spans="1:45" x14ac:dyDescent="0.3">
      <c r="A697">
        <v>9239</v>
      </c>
      <c r="B697">
        <v>1961</v>
      </c>
      <c r="C697" t="s">
        <v>34</v>
      </c>
      <c r="D697" t="s">
        <v>33</v>
      </c>
      <c r="E697">
        <v>61923</v>
      </c>
      <c r="F697">
        <v>0</v>
      </c>
      <c r="G697">
        <v>2</v>
      </c>
      <c r="H697" s="1">
        <v>41481</v>
      </c>
      <c r="I697">
        <v>94</v>
      </c>
      <c r="J697">
        <v>92</v>
      </c>
      <c r="K697">
        <v>4</v>
      </c>
      <c r="L697">
        <v>18</v>
      </c>
      <c r="M697">
        <v>3</v>
      </c>
      <c r="N697">
        <v>3</v>
      </c>
      <c r="O697">
        <v>6</v>
      </c>
      <c r="P697">
        <v>1</v>
      </c>
      <c r="Q697">
        <v>2</v>
      </c>
      <c r="R697">
        <v>1</v>
      </c>
      <c r="S697">
        <v>4</v>
      </c>
      <c r="T697">
        <v>3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3</v>
      </c>
      <c r="AB697">
        <v>11</v>
      </c>
      <c r="AC697">
        <v>0</v>
      </c>
      <c r="AD697" t="str">
        <f t="shared" si="130"/>
        <v>Ok</v>
      </c>
      <c r="AE697" t="str">
        <f>IF(AND(Audit_Data[[#This Row],[Year_Birth]]&gt;=1900,Audit_Data[[#This Row],[Year_Birth]]&lt;=2010),"OK","Invalid")</f>
        <v>OK</v>
      </c>
      <c r="AF697" t="str">
        <f t="shared" si="131"/>
        <v>Valid</v>
      </c>
      <c r="AG697" t="str">
        <f t="shared" si="132"/>
        <v>Valid</v>
      </c>
      <c r="AH697" t="str">
        <f t="shared" si="133"/>
        <v>Valid</v>
      </c>
      <c r="AI697" t="str">
        <f t="shared" si="134"/>
        <v>Valid</v>
      </c>
      <c r="AJ697" t="str">
        <f t="shared" si="135"/>
        <v>Valid</v>
      </c>
      <c r="AK697" t="str">
        <f t="shared" si="142"/>
        <v xml:space="preserve">Valid </v>
      </c>
      <c r="AL697" t="str">
        <f>IF(AND(Audit_Data[[#This Row],[Recency]]&gt;=0,Audit_Data[[#This Row],[Recency]]&lt;=100),"Valid","Invalid")</f>
        <v>Valid</v>
      </c>
      <c r="AM697" t="str">
        <f t="shared" si="136"/>
        <v>Valid</v>
      </c>
      <c r="AN697" t="str">
        <f t="shared" si="137"/>
        <v>Valid</v>
      </c>
      <c r="AO697" t="str">
        <f t="shared" si="138"/>
        <v>Valid</v>
      </c>
      <c r="AP697" t="str">
        <f t="shared" si="139"/>
        <v>Valid</v>
      </c>
      <c r="AQ697" t="str">
        <f>IF(Audit_Data[[#This Row],[Z_CostContact]]=3,"Valid","Invalid")</f>
        <v>Valid</v>
      </c>
      <c r="AR697" t="str">
        <f t="shared" si="140"/>
        <v>Valid</v>
      </c>
      <c r="AS697" t="str">
        <f t="shared" si="141"/>
        <v>Valid</v>
      </c>
    </row>
    <row r="698" spans="1:45" x14ac:dyDescent="0.3">
      <c r="A698">
        <v>8315</v>
      </c>
      <c r="B698">
        <v>1995</v>
      </c>
      <c r="C698" t="s">
        <v>29</v>
      </c>
      <c r="D698" t="s">
        <v>30</v>
      </c>
      <c r="E698">
        <v>34824</v>
      </c>
      <c r="F698">
        <v>0</v>
      </c>
      <c r="G698">
        <v>0</v>
      </c>
      <c r="H698" s="1">
        <v>41724</v>
      </c>
      <c r="I698">
        <v>65</v>
      </c>
      <c r="J698">
        <v>4</v>
      </c>
      <c r="K698">
        <v>2</v>
      </c>
      <c r="L698">
        <v>11</v>
      </c>
      <c r="M698">
        <v>2</v>
      </c>
      <c r="N698">
        <v>0</v>
      </c>
      <c r="O698">
        <v>4</v>
      </c>
      <c r="P698">
        <v>1</v>
      </c>
      <c r="Q698">
        <v>1</v>
      </c>
      <c r="R698">
        <v>0</v>
      </c>
      <c r="S698">
        <v>2</v>
      </c>
      <c r="T698">
        <v>6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3</v>
      </c>
      <c r="AB698">
        <v>11</v>
      </c>
      <c r="AC698">
        <v>0</v>
      </c>
      <c r="AD698" t="str">
        <f t="shared" si="130"/>
        <v>Ok</v>
      </c>
      <c r="AE698" t="str">
        <f>IF(AND(Audit_Data[[#This Row],[Year_Birth]]&gt;=1900,Audit_Data[[#This Row],[Year_Birth]]&lt;=2010),"OK","Invalid")</f>
        <v>OK</v>
      </c>
      <c r="AF698" t="str">
        <f t="shared" si="131"/>
        <v>Valid</v>
      </c>
      <c r="AG698" t="str">
        <f t="shared" si="132"/>
        <v>Valid</v>
      </c>
      <c r="AH698" t="str">
        <f t="shared" si="133"/>
        <v>Valid</v>
      </c>
      <c r="AI698" t="str">
        <f t="shared" si="134"/>
        <v>Valid</v>
      </c>
      <c r="AJ698" t="str">
        <f t="shared" si="135"/>
        <v>Valid</v>
      </c>
      <c r="AK698" t="str">
        <f t="shared" si="142"/>
        <v xml:space="preserve">Valid </v>
      </c>
      <c r="AL698" t="str">
        <f>IF(AND(Audit_Data[[#This Row],[Recency]]&gt;=0,Audit_Data[[#This Row],[Recency]]&lt;=100),"Valid","Invalid")</f>
        <v>Valid</v>
      </c>
      <c r="AM698" t="str">
        <f t="shared" si="136"/>
        <v>Valid</v>
      </c>
      <c r="AN698" t="str">
        <f t="shared" si="137"/>
        <v>Valid</v>
      </c>
      <c r="AO698" t="str">
        <f t="shared" si="138"/>
        <v>Valid</v>
      </c>
      <c r="AP698" t="str">
        <f t="shared" si="139"/>
        <v>Valid</v>
      </c>
      <c r="AQ698" t="str">
        <f>IF(Audit_Data[[#This Row],[Z_CostContact]]=3,"Valid","Invalid")</f>
        <v>Valid</v>
      </c>
      <c r="AR698" t="str">
        <f t="shared" si="140"/>
        <v>Valid</v>
      </c>
      <c r="AS698" t="str">
        <f t="shared" si="141"/>
        <v>Valid</v>
      </c>
    </row>
    <row r="699" spans="1:45" x14ac:dyDescent="0.3">
      <c r="A699">
        <v>2868</v>
      </c>
      <c r="B699">
        <v>1949</v>
      </c>
      <c r="C699" t="s">
        <v>32</v>
      </c>
      <c r="D699" t="s">
        <v>30</v>
      </c>
      <c r="E699">
        <v>26518</v>
      </c>
      <c r="F699">
        <v>1</v>
      </c>
      <c r="G699">
        <v>1</v>
      </c>
      <c r="H699" s="1">
        <v>41372</v>
      </c>
      <c r="I699">
        <v>33</v>
      </c>
      <c r="J699">
        <v>20</v>
      </c>
      <c r="K699">
        <v>1</v>
      </c>
      <c r="L699">
        <v>28</v>
      </c>
      <c r="M699">
        <v>3</v>
      </c>
      <c r="N699">
        <v>3</v>
      </c>
      <c r="O699">
        <v>2</v>
      </c>
      <c r="P699">
        <v>3</v>
      </c>
      <c r="Q699">
        <v>2</v>
      </c>
      <c r="R699">
        <v>0</v>
      </c>
      <c r="S699">
        <v>3</v>
      </c>
      <c r="T699">
        <v>8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3</v>
      </c>
      <c r="AB699">
        <v>11</v>
      </c>
      <c r="AC699">
        <v>1</v>
      </c>
      <c r="AD699" t="str">
        <f t="shared" si="130"/>
        <v>Ok</v>
      </c>
      <c r="AE699" t="str">
        <f>IF(AND(Audit_Data[[#This Row],[Year_Birth]]&gt;=1900,Audit_Data[[#This Row],[Year_Birth]]&lt;=2010),"OK","Invalid")</f>
        <v>OK</v>
      </c>
      <c r="AF699" t="str">
        <f t="shared" si="131"/>
        <v>Valid</v>
      </c>
      <c r="AG699" t="str">
        <f t="shared" si="132"/>
        <v>Valid</v>
      </c>
      <c r="AH699" t="str">
        <f t="shared" si="133"/>
        <v>Valid</v>
      </c>
      <c r="AI699" t="str">
        <f t="shared" si="134"/>
        <v>Valid</v>
      </c>
      <c r="AJ699" t="str">
        <f t="shared" si="135"/>
        <v>Valid</v>
      </c>
      <c r="AK699" t="str">
        <f t="shared" si="142"/>
        <v xml:space="preserve">Valid </v>
      </c>
      <c r="AL699" t="str">
        <f>IF(AND(Audit_Data[[#This Row],[Recency]]&gt;=0,Audit_Data[[#This Row],[Recency]]&lt;=100),"Valid","Invalid")</f>
        <v>Valid</v>
      </c>
      <c r="AM699" t="str">
        <f t="shared" si="136"/>
        <v>Valid</v>
      </c>
      <c r="AN699" t="str">
        <f t="shared" si="137"/>
        <v>Valid</v>
      </c>
      <c r="AO699" t="str">
        <f t="shared" si="138"/>
        <v>Valid</v>
      </c>
      <c r="AP699" t="str">
        <f t="shared" si="139"/>
        <v>Valid</v>
      </c>
      <c r="AQ699" t="str">
        <f>IF(Audit_Data[[#This Row],[Z_CostContact]]=3,"Valid","Invalid")</f>
        <v>Valid</v>
      </c>
      <c r="AR699" t="str">
        <f t="shared" si="140"/>
        <v>Valid</v>
      </c>
      <c r="AS699" t="str">
        <f t="shared" si="141"/>
        <v>Valid</v>
      </c>
    </row>
    <row r="700" spans="1:45" x14ac:dyDescent="0.3">
      <c r="A700">
        <v>10888</v>
      </c>
      <c r="B700">
        <v>1961</v>
      </c>
      <c r="C700" t="s">
        <v>29</v>
      </c>
      <c r="D700" t="s">
        <v>30</v>
      </c>
      <c r="E700">
        <v>45938</v>
      </c>
      <c r="F700">
        <v>0</v>
      </c>
      <c r="G700">
        <v>0</v>
      </c>
      <c r="H700" s="1">
        <v>41581</v>
      </c>
      <c r="I700">
        <v>46</v>
      </c>
      <c r="J700">
        <v>273</v>
      </c>
      <c r="K700">
        <v>11</v>
      </c>
      <c r="L700">
        <v>178</v>
      </c>
      <c r="M700">
        <v>62</v>
      </c>
      <c r="N700">
        <v>83</v>
      </c>
      <c r="O700">
        <v>29</v>
      </c>
      <c r="P700">
        <v>2</v>
      </c>
      <c r="Q700">
        <v>8</v>
      </c>
      <c r="R700">
        <v>4</v>
      </c>
      <c r="S700">
        <v>6</v>
      </c>
      <c r="T700">
        <v>6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3</v>
      </c>
      <c r="AB700">
        <v>11</v>
      </c>
      <c r="AC700">
        <v>0</v>
      </c>
      <c r="AD700" t="str">
        <f t="shared" si="130"/>
        <v>Ok</v>
      </c>
      <c r="AE700" t="str">
        <f>IF(AND(Audit_Data[[#This Row],[Year_Birth]]&gt;=1900,Audit_Data[[#This Row],[Year_Birth]]&lt;=2010),"OK","Invalid")</f>
        <v>OK</v>
      </c>
      <c r="AF700" t="str">
        <f t="shared" si="131"/>
        <v>Valid</v>
      </c>
      <c r="AG700" t="str">
        <f t="shared" si="132"/>
        <v>Valid</v>
      </c>
      <c r="AH700" t="str">
        <f t="shared" si="133"/>
        <v>Valid</v>
      </c>
      <c r="AI700" t="str">
        <f t="shared" si="134"/>
        <v>Valid</v>
      </c>
      <c r="AJ700" t="str">
        <f t="shared" si="135"/>
        <v>Valid</v>
      </c>
      <c r="AK700" t="str">
        <f t="shared" si="142"/>
        <v xml:space="preserve">Valid </v>
      </c>
      <c r="AL700" t="str">
        <f>IF(AND(Audit_Data[[#This Row],[Recency]]&gt;=0,Audit_Data[[#This Row],[Recency]]&lt;=100),"Valid","Invalid")</f>
        <v>Valid</v>
      </c>
      <c r="AM700" t="str">
        <f t="shared" si="136"/>
        <v>Valid</v>
      </c>
      <c r="AN700" t="str">
        <f t="shared" si="137"/>
        <v>Valid</v>
      </c>
      <c r="AO700" t="str">
        <f t="shared" si="138"/>
        <v>Valid</v>
      </c>
      <c r="AP700" t="str">
        <f t="shared" si="139"/>
        <v>Valid</v>
      </c>
      <c r="AQ700" t="str">
        <f>IF(Audit_Data[[#This Row],[Z_CostContact]]=3,"Valid","Invalid")</f>
        <v>Valid</v>
      </c>
      <c r="AR700" t="str">
        <f t="shared" si="140"/>
        <v>Valid</v>
      </c>
      <c r="AS700" t="str">
        <f t="shared" si="141"/>
        <v>Valid</v>
      </c>
    </row>
    <row r="701" spans="1:45" x14ac:dyDescent="0.3">
      <c r="A701">
        <v>1277</v>
      </c>
      <c r="B701">
        <v>1960</v>
      </c>
      <c r="C701" t="s">
        <v>29</v>
      </c>
      <c r="D701" t="s">
        <v>31</v>
      </c>
      <c r="E701">
        <v>78468</v>
      </c>
      <c r="F701">
        <v>0</v>
      </c>
      <c r="G701">
        <v>0</v>
      </c>
      <c r="H701" s="1">
        <v>41738</v>
      </c>
      <c r="I701">
        <v>29</v>
      </c>
      <c r="J701">
        <v>434</v>
      </c>
      <c r="K701">
        <v>22</v>
      </c>
      <c r="L701">
        <v>388</v>
      </c>
      <c r="M701">
        <v>104</v>
      </c>
      <c r="N701">
        <v>22</v>
      </c>
      <c r="O701">
        <v>34</v>
      </c>
      <c r="P701">
        <v>1</v>
      </c>
      <c r="Q701">
        <v>10</v>
      </c>
      <c r="R701">
        <v>7</v>
      </c>
      <c r="S701">
        <v>10</v>
      </c>
      <c r="T701">
        <v>4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>
        <v>3</v>
      </c>
      <c r="AB701">
        <v>11</v>
      </c>
      <c r="AC701">
        <v>0</v>
      </c>
      <c r="AD701" t="str">
        <f t="shared" si="130"/>
        <v>Ok</v>
      </c>
      <c r="AE701" t="str">
        <f>IF(AND(Audit_Data[[#This Row],[Year_Birth]]&gt;=1900,Audit_Data[[#This Row],[Year_Birth]]&lt;=2010),"OK","Invalid")</f>
        <v>OK</v>
      </c>
      <c r="AF701" t="str">
        <f t="shared" si="131"/>
        <v>Valid</v>
      </c>
      <c r="AG701" t="str">
        <f t="shared" si="132"/>
        <v>Valid</v>
      </c>
      <c r="AH701" t="str">
        <f t="shared" si="133"/>
        <v>Valid</v>
      </c>
      <c r="AI701" t="str">
        <f t="shared" si="134"/>
        <v>Valid</v>
      </c>
      <c r="AJ701" t="str">
        <f t="shared" si="135"/>
        <v>Valid</v>
      </c>
      <c r="AK701" t="str">
        <f t="shared" si="142"/>
        <v xml:space="preserve">Valid </v>
      </c>
      <c r="AL701" t="str">
        <f>IF(AND(Audit_Data[[#This Row],[Recency]]&gt;=0,Audit_Data[[#This Row],[Recency]]&lt;=100),"Valid","Invalid")</f>
        <v>Valid</v>
      </c>
      <c r="AM701" t="str">
        <f t="shared" si="136"/>
        <v>Valid</v>
      </c>
      <c r="AN701" t="str">
        <f t="shared" si="137"/>
        <v>Valid</v>
      </c>
      <c r="AO701" t="str">
        <f t="shared" si="138"/>
        <v>Valid</v>
      </c>
      <c r="AP701" t="str">
        <f t="shared" si="139"/>
        <v>Valid</v>
      </c>
      <c r="AQ701" t="str">
        <f>IF(Audit_Data[[#This Row],[Z_CostContact]]=3,"Valid","Invalid")</f>
        <v>Valid</v>
      </c>
      <c r="AR701" t="str">
        <f t="shared" si="140"/>
        <v>Valid</v>
      </c>
      <c r="AS701" t="str">
        <f t="shared" si="141"/>
        <v>Valid</v>
      </c>
    </row>
    <row r="702" spans="1:45" x14ac:dyDescent="0.3">
      <c r="A702">
        <v>9977</v>
      </c>
      <c r="B702">
        <v>1973</v>
      </c>
      <c r="C702" t="s">
        <v>29</v>
      </c>
      <c r="D702" t="s">
        <v>35</v>
      </c>
      <c r="E702">
        <v>78901</v>
      </c>
      <c r="F702">
        <v>0</v>
      </c>
      <c r="G702">
        <v>1</v>
      </c>
      <c r="H702" s="1">
        <v>41534</v>
      </c>
      <c r="I702">
        <v>99</v>
      </c>
      <c r="J702">
        <v>321</v>
      </c>
      <c r="K702">
        <v>11</v>
      </c>
      <c r="L702">
        <v>309</v>
      </c>
      <c r="M702">
        <v>33</v>
      </c>
      <c r="N702">
        <v>26</v>
      </c>
      <c r="O702">
        <v>34</v>
      </c>
      <c r="P702">
        <v>3</v>
      </c>
      <c r="Q702">
        <v>9</v>
      </c>
      <c r="R702">
        <v>3</v>
      </c>
      <c r="S702">
        <v>5</v>
      </c>
      <c r="T702">
        <v>4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3</v>
      </c>
      <c r="AB702">
        <v>11</v>
      </c>
      <c r="AC702">
        <v>0</v>
      </c>
      <c r="AD702" t="str">
        <f t="shared" si="130"/>
        <v>Ok</v>
      </c>
      <c r="AE702" t="str">
        <f>IF(AND(Audit_Data[[#This Row],[Year_Birth]]&gt;=1900,Audit_Data[[#This Row],[Year_Birth]]&lt;=2010),"OK","Invalid")</f>
        <v>OK</v>
      </c>
      <c r="AF702" t="str">
        <f t="shared" si="131"/>
        <v>Valid</v>
      </c>
      <c r="AG702" t="str">
        <f t="shared" si="132"/>
        <v>Valid</v>
      </c>
      <c r="AH702" t="str">
        <f t="shared" si="133"/>
        <v>Valid</v>
      </c>
      <c r="AI702" t="str">
        <f t="shared" si="134"/>
        <v>Valid</v>
      </c>
      <c r="AJ702" t="str">
        <f t="shared" si="135"/>
        <v>Valid</v>
      </c>
      <c r="AK702" t="str">
        <f t="shared" si="142"/>
        <v xml:space="preserve">Valid </v>
      </c>
      <c r="AL702" t="str">
        <f>IF(AND(Audit_Data[[#This Row],[Recency]]&gt;=0,Audit_Data[[#This Row],[Recency]]&lt;=100),"Valid","Invalid")</f>
        <v>Valid</v>
      </c>
      <c r="AM702" t="str">
        <f t="shared" si="136"/>
        <v>Valid</v>
      </c>
      <c r="AN702" t="str">
        <f t="shared" si="137"/>
        <v>Valid</v>
      </c>
      <c r="AO702" t="str">
        <f t="shared" si="138"/>
        <v>Valid</v>
      </c>
      <c r="AP702" t="str">
        <f t="shared" si="139"/>
        <v>Valid</v>
      </c>
      <c r="AQ702" t="str">
        <f>IF(Audit_Data[[#This Row],[Z_CostContact]]=3,"Valid","Invalid")</f>
        <v>Valid</v>
      </c>
      <c r="AR702" t="str">
        <f t="shared" si="140"/>
        <v>Valid</v>
      </c>
      <c r="AS702" t="str">
        <f t="shared" si="141"/>
        <v>Valid</v>
      </c>
    </row>
    <row r="703" spans="1:45" x14ac:dyDescent="0.3">
      <c r="A703">
        <v>10196</v>
      </c>
      <c r="B703">
        <v>1978</v>
      </c>
      <c r="C703" t="s">
        <v>29</v>
      </c>
      <c r="D703" t="s">
        <v>33</v>
      </c>
      <c r="E703">
        <v>71427</v>
      </c>
      <c r="F703">
        <v>2</v>
      </c>
      <c r="G703">
        <v>0</v>
      </c>
      <c r="H703" s="1">
        <v>41710</v>
      </c>
      <c r="I703">
        <v>26</v>
      </c>
      <c r="J703">
        <v>212</v>
      </c>
      <c r="K703">
        <v>123</v>
      </c>
      <c r="L703">
        <v>177</v>
      </c>
      <c r="M703">
        <v>15</v>
      </c>
      <c r="N703">
        <v>64</v>
      </c>
      <c r="O703">
        <v>23</v>
      </c>
      <c r="P703">
        <v>2</v>
      </c>
      <c r="Q703">
        <v>8</v>
      </c>
      <c r="R703">
        <v>2</v>
      </c>
      <c r="S703">
        <v>8</v>
      </c>
      <c r="T703">
        <v>4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3</v>
      </c>
      <c r="AB703">
        <v>11</v>
      </c>
      <c r="AC703">
        <v>0</v>
      </c>
      <c r="AD703" t="str">
        <f t="shared" si="130"/>
        <v>Ok</v>
      </c>
      <c r="AE703" t="str">
        <f>IF(AND(Audit_Data[[#This Row],[Year_Birth]]&gt;=1900,Audit_Data[[#This Row],[Year_Birth]]&lt;=2010),"OK","Invalid")</f>
        <v>OK</v>
      </c>
      <c r="AF703" t="str">
        <f t="shared" si="131"/>
        <v>Valid</v>
      </c>
      <c r="AG703" t="str">
        <f t="shared" si="132"/>
        <v>Valid</v>
      </c>
      <c r="AH703" t="str">
        <f t="shared" si="133"/>
        <v>Valid</v>
      </c>
      <c r="AI703" t="str">
        <f t="shared" si="134"/>
        <v>Valid</v>
      </c>
      <c r="AJ703" t="str">
        <f t="shared" si="135"/>
        <v>Valid</v>
      </c>
      <c r="AK703" t="str">
        <f t="shared" si="142"/>
        <v xml:space="preserve">Valid </v>
      </c>
      <c r="AL703" t="str">
        <f>IF(AND(Audit_Data[[#This Row],[Recency]]&gt;=0,Audit_Data[[#This Row],[Recency]]&lt;=100),"Valid","Invalid")</f>
        <v>Valid</v>
      </c>
      <c r="AM703" t="str">
        <f t="shared" si="136"/>
        <v>Valid</v>
      </c>
      <c r="AN703" t="str">
        <f t="shared" si="137"/>
        <v>Valid</v>
      </c>
      <c r="AO703" t="str">
        <f t="shared" si="138"/>
        <v>Valid</v>
      </c>
      <c r="AP703" t="str">
        <f t="shared" si="139"/>
        <v>Valid</v>
      </c>
      <c r="AQ703" t="str">
        <f>IF(Audit_Data[[#This Row],[Z_CostContact]]=3,"Valid","Invalid")</f>
        <v>Valid</v>
      </c>
      <c r="AR703" t="str">
        <f t="shared" si="140"/>
        <v>Valid</v>
      </c>
      <c r="AS703" t="str">
        <f t="shared" si="141"/>
        <v>Valid</v>
      </c>
    </row>
    <row r="704" spans="1:45" x14ac:dyDescent="0.3">
      <c r="A704">
        <v>6384</v>
      </c>
      <c r="B704">
        <v>1978</v>
      </c>
      <c r="C704" t="s">
        <v>29</v>
      </c>
      <c r="D704" t="s">
        <v>35</v>
      </c>
      <c r="E704">
        <v>71022</v>
      </c>
      <c r="F704">
        <v>0</v>
      </c>
      <c r="G704">
        <v>1</v>
      </c>
      <c r="H704" s="1">
        <v>41681</v>
      </c>
      <c r="I704">
        <v>30</v>
      </c>
      <c r="J704">
        <v>909</v>
      </c>
      <c r="K704">
        <v>12</v>
      </c>
      <c r="L704">
        <v>278</v>
      </c>
      <c r="M704">
        <v>0</v>
      </c>
      <c r="N704">
        <v>12</v>
      </c>
      <c r="O704">
        <v>242</v>
      </c>
      <c r="P704">
        <v>3</v>
      </c>
      <c r="Q704">
        <v>5</v>
      </c>
      <c r="R704">
        <v>2</v>
      </c>
      <c r="S704">
        <v>11</v>
      </c>
      <c r="T704">
        <v>8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3</v>
      </c>
      <c r="AB704">
        <v>11</v>
      </c>
      <c r="AC704">
        <v>0</v>
      </c>
      <c r="AD704" t="str">
        <f t="shared" si="130"/>
        <v>Ok</v>
      </c>
      <c r="AE704" t="str">
        <f>IF(AND(Audit_Data[[#This Row],[Year_Birth]]&gt;=1900,Audit_Data[[#This Row],[Year_Birth]]&lt;=2010),"OK","Invalid")</f>
        <v>OK</v>
      </c>
      <c r="AF704" t="str">
        <f t="shared" si="131"/>
        <v>Valid</v>
      </c>
      <c r="AG704" t="str">
        <f t="shared" si="132"/>
        <v>Valid</v>
      </c>
      <c r="AH704" t="str">
        <f t="shared" si="133"/>
        <v>Valid</v>
      </c>
      <c r="AI704" t="str">
        <f t="shared" si="134"/>
        <v>Valid</v>
      </c>
      <c r="AJ704" t="str">
        <f t="shared" si="135"/>
        <v>Valid</v>
      </c>
      <c r="AK704" t="str">
        <f t="shared" si="142"/>
        <v xml:space="preserve">Valid </v>
      </c>
      <c r="AL704" t="str">
        <f>IF(AND(Audit_Data[[#This Row],[Recency]]&gt;=0,Audit_Data[[#This Row],[Recency]]&lt;=100),"Valid","Invalid")</f>
        <v>Valid</v>
      </c>
      <c r="AM704" t="str">
        <f t="shared" si="136"/>
        <v>Valid</v>
      </c>
      <c r="AN704" t="str">
        <f t="shared" si="137"/>
        <v>Valid</v>
      </c>
      <c r="AO704" t="str">
        <f t="shared" si="138"/>
        <v>Valid</v>
      </c>
      <c r="AP704" t="str">
        <f t="shared" si="139"/>
        <v>Valid</v>
      </c>
      <c r="AQ704" t="str">
        <f>IF(Audit_Data[[#This Row],[Z_CostContact]]=3,"Valid","Invalid")</f>
        <v>Valid</v>
      </c>
      <c r="AR704" t="str">
        <f t="shared" si="140"/>
        <v>Valid</v>
      </c>
      <c r="AS704" t="str">
        <f t="shared" si="141"/>
        <v>Valid</v>
      </c>
    </row>
    <row r="705" spans="1:45" x14ac:dyDescent="0.3">
      <c r="A705">
        <v>8029</v>
      </c>
      <c r="B705">
        <v>1988</v>
      </c>
      <c r="C705" t="s">
        <v>34</v>
      </c>
      <c r="D705" t="s">
        <v>30</v>
      </c>
      <c r="E705">
        <v>90247</v>
      </c>
      <c r="F705">
        <v>0</v>
      </c>
      <c r="G705">
        <v>0</v>
      </c>
      <c r="H705" s="1">
        <v>41758</v>
      </c>
      <c r="I705">
        <v>27</v>
      </c>
      <c r="J705">
        <v>1184</v>
      </c>
      <c r="K705">
        <v>32</v>
      </c>
      <c r="L705">
        <v>352</v>
      </c>
      <c r="M705">
        <v>21</v>
      </c>
      <c r="N705">
        <v>16</v>
      </c>
      <c r="O705">
        <v>16</v>
      </c>
      <c r="P705">
        <v>1</v>
      </c>
      <c r="Q705">
        <v>3</v>
      </c>
      <c r="R705">
        <v>4</v>
      </c>
      <c r="S705">
        <v>7</v>
      </c>
      <c r="T705">
        <v>1</v>
      </c>
      <c r="U705">
        <v>0</v>
      </c>
      <c r="V705">
        <v>1</v>
      </c>
      <c r="W705">
        <v>1</v>
      </c>
      <c r="X705">
        <v>1</v>
      </c>
      <c r="Y705">
        <v>0</v>
      </c>
      <c r="Z705">
        <v>0</v>
      </c>
      <c r="AA705">
        <v>3</v>
      </c>
      <c r="AB705">
        <v>11</v>
      </c>
      <c r="AC705">
        <v>1</v>
      </c>
      <c r="AD705" t="str">
        <f t="shared" si="130"/>
        <v>Ok</v>
      </c>
      <c r="AE705" t="str">
        <f>IF(AND(Audit_Data[[#This Row],[Year_Birth]]&gt;=1900,Audit_Data[[#This Row],[Year_Birth]]&lt;=2010),"OK","Invalid")</f>
        <v>OK</v>
      </c>
      <c r="AF705" t="str">
        <f t="shared" si="131"/>
        <v>Valid</v>
      </c>
      <c r="AG705" t="str">
        <f t="shared" si="132"/>
        <v>Valid</v>
      </c>
      <c r="AH705" t="str">
        <f t="shared" si="133"/>
        <v>Valid</v>
      </c>
      <c r="AI705" t="str">
        <f t="shared" si="134"/>
        <v>Valid</v>
      </c>
      <c r="AJ705" t="str">
        <f t="shared" si="135"/>
        <v>Valid</v>
      </c>
      <c r="AK705" t="str">
        <f t="shared" si="142"/>
        <v xml:space="preserve">Valid </v>
      </c>
      <c r="AL705" t="str">
        <f>IF(AND(Audit_Data[[#This Row],[Recency]]&gt;=0,Audit_Data[[#This Row],[Recency]]&lt;=100),"Valid","Invalid")</f>
        <v>Valid</v>
      </c>
      <c r="AM705" t="str">
        <f t="shared" si="136"/>
        <v>Valid</v>
      </c>
      <c r="AN705" t="str">
        <f t="shared" si="137"/>
        <v>Valid</v>
      </c>
      <c r="AO705" t="str">
        <f t="shared" si="138"/>
        <v>Valid</v>
      </c>
      <c r="AP705" t="str">
        <f t="shared" si="139"/>
        <v>Valid</v>
      </c>
      <c r="AQ705" t="str">
        <f>IF(Audit_Data[[#This Row],[Z_CostContact]]=3,"Valid","Invalid")</f>
        <v>Valid</v>
      </c>
      <c r="AR705" t="str">
        <f t="shared" si="140"/>
        <v>Valid</v>
      </c>
      <c r="AS705" t="str">
        <f t="shared" si="141"/>
        <v>Valid</v>
      </c>
    </row>
    <row r="706" spans="1:45" x14ac:dyDescent="0.3">
      <c r="A706">
        <v>968</v>
      </c>
      <c r="B706">
        <v>1968</v>
      </c>
      <c r="C706" t="s">
        <v>34</v>
      </c>
      <c r="D706" t="s">
        <v>35</v>
      </c>
      <c r="E706">
        <v>41335</v>
      </c>
      <c r="F706">
        <v>1</v>
      </c>
      <c r="G706">
        <v>0</v>
      </c>
      <c r="H706" s="1">
        <v>41634</v>
      </c>
      <c r="I706">
        <v>24</v>
      </c>
      <c r="J706">
        <v>112</v>
      </c>
      <c r="K706">
        <v>19</v>
      </c>
      <c r="L706">
        <v>21</v>
      </c>
      <c r="M706">
        <v>16</v>
      </c>
      <c r="N706">
        <v>14</v>
      </c>
      <c r="O706">
        <v>5</v>
      </c>
      <c r="P706">
        <v>3</v>
      </c>
      <c r="Q706">
        <v>4</v>
      </c>
      <c r="R706">
        <v>1</v>
      </c>
      <c r="S706">
        <v>4</v>
      </c>
      <c r="T706">
        <v>7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3</v>
      </c>
      <c r="AB706">
        <v>11</v>
      </c>
      <c r="AC706">
        <v>0</v>
      </c>
      <c r="AD706" t="str">
        <f t="shared" ref="AD706:AD769" si="143">IF(COUNTIF(A:A,A706)&gt;1,"Duplicate","Ok")</f>
        <v>Ok</v>
      </c>
      <c r="AE706" t="str">
        <f>IF(AND(Audit_Data[[#This Row],[Year_Birth]]&gt;=1900,Audit_Data[[#This Row],[Year_Birth]]&lt;=2010),"OK","Invalid")</f>
        <v>OK</v>
      </c>
      <c r="AF706" t="str">
        <f t="shared" ref="AF706:AF769" si="144">IF(OR(C706="Graduation",C706="phD",C706="Master",C706="Basic",C706="2n Cycle"),"Valid","Invalid")</f>
        <v>Valid</v>
      </c>
      <c r="AG706" t="str">
        <f t="shared" ref="AG706:AG769" si="145">IF(OR(D706="Single",D706="Married",D706="Divorced",D706="Together",D706="Widow",D706="Alone"),"Valid","Invalid")</f>
        <v>Valid</v>
      </c>
      <c r="AH706" t="str">
        <f t="shared" ref="AH706:AH769" si="146">IF(AND(ISNUMBER(E706),E706&lt;&gt;""),"Valid","Invalid")</f>
        <v>Valid</v>
      </c>
      <c r="AI706" t="str">
        <f t="shared" ref="AI706:AI769" si="147">IF(AND(F706&gt;=0,F706&lt;=2),"Valid","Invalid")</f>
        <v>Valid</v>
      </c>
      <c r="AJ706" t="str">
        <f t="shared" ref="AJ706:AJ769" si="148">IF(AND(G706&gt;=0,G706&lt;=2),"Valid","Invalid")</f>
        <v>Valid</v>
      </c>
      <c r="AK706" t="str">
        <f t="shared" si="142"/>
        <v xml:space="preserve">Valid </v>
      </c>
      <c r="AL706" t="str">
        <f>IF(AND(Audit_Data[[#This Row],[Recency]]&gt;=0,Audit_Data[[#This Row],[Recency]]&lt;=100),"Valid","Invalid")</f>
        <v>Valid</v>
      </c>
      <c r="AM706" t="str">
        <f t="shared" ref="AM706:AM769" si="149">IF(AND(ISNUMBER(J706),J706&gt;=0,ISNUMBER(K706),K706&gt;=0,ISNUMBER(L706),L706&gt;=0,ISNUMBER(M706),M706&gt;=0,ISNUMBER(N706),N706&gt;=0,ISNUMBER(O706),O706&gt;=0),"Valid","Invalid")</f>
        <v>Valid</v>
      </c>
      <c r="AN706" t="str">
        <f t="shared" ref="AN706:AN769" si="150">IF(AND(ISNUMBER(P706),P706&gt;=0,ISNUMBER(Q706),Q706&gt;=0,ISNUMBER(R706),R706&gt;=0,ISNUMBER(S706),S706&gt;=0,ISNUMBER(T706),T706&gt;=0),"Valid","Invalid")</f>
        <v>Valid</v>
      </c>
      <c r="AO706" t="str">
        <f t="shared" ref="AO706:AO769" si="151">IF(AND(U706&lt;=1,V706&lt;=1,W706&lt;=1,X706&lt;=1,Y706&lt;=1),"Valid","Invalid")</f>
        <v>Valid</v>
      </c>
      <c r="AP706" t="str">
        <f t="shared" ref="AP706:AP769" si="152">IF(OR(Z706=0,Z706=1),"Valid","Invalid")</f>
        <v>Valid</v>
      </c>
      <c r="AQ706" t="str">
        <f>IF(Audit_Data[[#This Row],[Z_CostContact]]=3,"Valid","Invalid")</f>
        <v>Valid</v>
      </c>
      <c r="AR706" t="str">
        <f t="shared" ref="AR706:AR769" si="153">IF(AB706=11,"Valid","Invalid")</f>
        <v>Valid</v>
      </c>
      <c r="AS706" t="str">
        <f t="shared" ref="AS706:AS769" si="154">IF(OR(AC706=0,AC706=1),"Valid","Invalid")</f>
        <v>Valid</v>
      </c>
    </row>
    <row r="707" spans="1:45" x14ac:dyDescent="0.3">
      <c r="A707">
        <v>6988</v>
      </c>
      <c r="B707">
        <v>1986</v>
      </c>
      <c r="C707" t="s">
        <v>29</v>
      </c>
      <c r="D707" t="s">
        <v>33</v>
      </c>
      <c r="E707">
        <v>71952</v>
      </c>
      <c r="F707">
        <v>1</v>
      </c>
      <c r="G707">
        <v>0</v>
      </c>
      <c r="H707" s="1">
        <v>41284</v>
      </c>
      <c r="I707">
        <v>93</v>
      </c>
      <c r="J707">
        <v>656</v>
      </c>
      <c r="K707">
        <v>80</v>
      </c>
      <c r="L707">
        <v>455</v>
      </c>
      <c r="M707">
        <v>52</v>
      </c>
      <c r="N707">
        <v>107</v>
      </c>
      <c r="O707">
        <v>93</v>
      </c>
      <c r="P707">
        <v>2</v>
      </c>
      <c r="Q707">
        <v>8</v>
      </c>
      <c r="R707">
        <v>4</v>
      </c>
      <c r="S707">
        <v>8</v>
      </c>
      <c r="T707">
        <v>4</v>
      </c>
      <c r="U707">
        <v>1</v>
      </c>
      <c r="V707">
        <v>0</v>
      </c>
      <c r="W707">
        <v>1</v>
      </c>
      <c r="X707">
        <v>0</v>
      </c>
      <c r="Y707">
        <v>0</v>
      </c>
      <c r="Z707">
        <v>0</v>
      </c>
      <c r="AA707">
        <v>3</v>
      </c>
      <c r="AB707">
        <v>11</v>
      </c>
      <c r="AC707">
        <v>0</v>
      </c>
      <c r="AD707" t="str">
        <f t="shared" si="143"/>
        <v>Ok</v>
      </c>
      <c r="AE707" t="str">
        <f>IF(AND(Audit_Data[[#This Row],[Year_Birth]]&gt;=1900,Audit_Data[[#This Row],[Year_Birth]]&lt;=2010),"OK","Invalid")</f>
        <v>OK</v>
      </c>
      <c r="AF707" t="str">
        <f t="shared" si="144"/>
        <v>Valid</v>
      </c>
      <c r="AG707" t="str">
        <f t="shared" si="145"/>
        <v>Valid</v>
      </c>
      <c r="AH707" t="str">
        <f t="shared" si="146"/>
        <v>Valid</v>
      </c>
      <c r="AI707" t="str">
        <f t="shared" si="147"/>
        <v>Valid</v>
      </c>
      <c r="AJ707" t="str">
        <f t="shared" si="148"/>
        <v>Valid</v>
      </c>
      <c r="AK707" t="str">
        <f t="shared" ref="AK707:AK770" si="155">IF(AND(ISNUMBER(H707),H707&gt;=DATE(2012,1,1),H707&lt;=DATE(2014,12,31)),"Valid ","Invalid")</f>
        <v xml:space="preserve">Valid </v>
      </c>
      <c r="AL707" t="str">
        <f>IF(AND(Audit_Data[[#This Row],[Recency]]&gt;=0,Audit_Data[[#This Row],[Recency]]&lt;=100),"Valid","Invalid")</f>
        <v>Valid</v>
      </c>
      <c r="AM707" t="str">
        <f t="shared" si="149"/>
        <v>Valid</v>
      </c>
      <c r="AN707" t="str">
        <f t="shared" si="150"/>
        <v>Valid</v>
      </c>
      <c r="AO707" t="str">
        <f t="shared" si="151"/>
        <v>Valid</v>
      </c>
      <c r="AP707" t="str">
        <f t="shared" si="152"/>
        <v>Valid</v>
      </c>
      <c r="AQ707" t="str">
        <f>IF(Audit_Data[[#This Row],[Z_CostContact]]=3,"Valid","Invalid")</f>
        <v>Valid</v>
      </c>
      <c r="AR707" t="str">
        <f t="shared" si="153"/>
        <v>Valid</v>
      </c>
      <c r="AS707" t="str">
        <f t="shared" si="154"/>
        <v>Valid</v>
      </c>
    </row>
    <row r="708" spans="1:45" x14ac:dyDescent="0.3">
      <c r="A708">
        <v>4472</v>
      </c>
      <c r="B708">
        <v>1970</v>
      </c>
      <c r="C708" t="s">
        <v>32</v>
      </c>
      <c r="D708" t="s">
        <v>35</v>
      </c>
      <c r="E708">
        <v>35682</v>
      </c>
      <c r="F708">
        <v>1</v>
      </c>
      <c r="G708">
        <v>0</v>
      </c>
      <c r="H708" s="1">
        <v>41817</v>
      </c>
      <c r="I708">
        <v>34</v>
      </c>
      <c r="J708">
        <v>23</v>
      </c>
      <c r="K708">
        <v>0</v>
      </c>
      <c r="L708">
        <v>8</v>
      </c>
      <c r="M708">
        <v>6</v>
      </c>
      <c r="N708">
        <v>2</v>
      </c>
      <c r="O708">
        <v>18</v>
      </c>
      <c r="P708">
        <v>1</v>
      </c>
      <c r="Q708">
        <v>1</v>
      </c>
      <c r="R708">
        <v>1</v>
      </c>
      <c r="S708">
        <v>3</v>
      </c>
      <c r="T708">
        <v>2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3</v>
      </c>
      <c r="AB708">
        <v>11</v>
      </c>
      <c r="AC708">
        <v>0</v>
      </c>
      <c r="AD708" t="str">
        <f t="shared" si="143"/>
        <v>Ok</v>
      </c>
      <c r="AE708" t="str">
        <f>IF(AND(Audit_Data[[#This Row],[Year_Birth]]&gt;=1900,Audit_Data[[#This Row],[Year_Birth]]&lt;=2010),"OK","Invalid")</f>
        <v>OK</v>
      </c>
      <c r="AF708" t="str">
        <f t="shared" si="144"/>
        <v>Valid</v>
      </c>
      <c r="AG708" t="str">
        <f t="shared" si="145"/>
        <v>Valid</v>
      </c>
      <c r="AH708" t="str">
        <f t="shared" si="146"/>
        <v>Valid</v>
      </c>
      <c r="AI708" t="str">
        <f t="shared" si="147"/>
        <v>Valid</v>
      </c>
      <c r="AJ708" t="str">
        <f t="shared" si="148"/>
        <v>Valid</v>
      </c>
      <c r="AK708" t="str">
        <f t="shared" si="155"/>
        <v xml:space="preserve">Valid </v>
      </c>
      <c r="AL708" t="str">
        <f>IF(AND(Audit_Data[[#This Row],[Recency]]&gt;=0,Audit_Data[[#This Row],[Recency]]&lt;=100),"Valid","Invalid")</f>
        <v>Valid</v>
      </c>
      <c r="AM708" t="str">
        <f t="shared" si="149"/>
        <v>Valid</v>
      </c>
      <c r="AN708" t="str">
        <f t="shared" si="150"/>
        <v>Valid</v>
      </c>
      <c r="AO708" t="str">
        <f t="shared" si="151"/>
        <v>Valid</v>
      </c>
      <c r="AP708" t="str">
        <f t="shared" si="152"/>
        <v>Valid</v>
      </c>
      <c r="AQ708" t="str">
        <f>IF(Audit_Data[[#This Row],[Z_CostContact]]=3,"Valid","Invalid")</f>
        <v>Valid</v>
      </c>
      <c r="AR708" t="str">
        <f t="shared" si="153"/>
        <v>Valid</v>
      </c>
      <c r="AS708" t="str">
        <f t="shared" si="154"/>
        <v>Valid</v>
      </c>
    </row>
    <row r="709" spans="1:45" x14ac:dyDescent="0.3">
      <c r="A709">
        <v>6991</v>
      </c>
      <c r="B709">
        <v>1951</v>
      </c>
      <c r="C709" t="s">
        <v>29</v>
      </c>
      <c r="D709" t="s">
        <v>35</v>
      </c>
      <c r="E709">
        <v>43185</v>
      </c>
      <c r="F709">
        <v>0</v>
      </c>
      <c r="G709">
        <v>1</v>
      </c>
      <c r="H709" s="1">
        <v>41374</v>
      </c>
      <c r="I709">
        <v>88</v>
      </c>
      <c r="J709">
        <v>537</v>
      </c>
      <c r="K709">
        <v>6</v>
      </c>
      <c r="L709">
        <v>42</v>
      </c>
      <c r="M709">
        <v>16</v>
      </c>
      <c r="N709">
        <v>6</v>
      </c>
      <c r="O709">
        <v>30</v>
      </c>
      <c r="P709">
        <v>2</v>
      </c>
      <c r="Q709">
        <v>9</v>
      </c>
      <c r="R709">
        <v>3</v>
      </c>
      <c r="S709">
        <v>6</v>
      </c>
      <c r="T709">
        <v>8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3</v>
      </c>
      <c r="AB709">
        <v>11</v>
      </c>
      <c r="AC709">
        <v>0</v>
      </c>
      <c r="AD709" t="str">
        <f t="shared" si="143"/>
        <v>Ok</v>
      </c>
      <c r="AE709" t="str">
        <f>IF(AND(Audit_Data[[#This Row],[Year_Birth]]&gt;=1900,Audit_Data[[#This Row],[Year_Birth]]&lt;=2010),"OK","Invalid")</f>
        <v>OK</v>
      </c>
      <c r="AF709" t="str">
        <f t="shared" si="144"/>
        <v>Valid</v>
      </c>
      <c r="AG709" t="str">
        <f t="shared" si="145"/>
        <v>Valid</v>
      </c>
      <c r="AH709" t="str">
        <f t="shared" si="146"/>
        <v>Valid</v>
      </c>
      <c r="AI709" t="str">
        <f t="shared" si="147"/>
        <v>Valid</v>
      </c>
      <c r="AJ709" t="str">
        <f t="shared" si="148"/>
        <v>Valid</v>
      </c>
      <c r="AK709" t="str">
        <f t="shared" si="155"/>
        <v xml:space="preserve">Valid </v>
      </c>
      <c r="AL709" t="str">
        <f>IF(AND(Audit_Data[[#This Row],[Recency]]&gt;=0,Audit_Data[[#This Row],[Recency]]&lt;=100),"Valid","Invalid")</f>
        <v>Valid</v>
      </c>
      <c r="AM709" t="str">
        <f t="shared" si="149"/>
        <v>Valid</v>
      </c>
      <c r="AN709" t="str">
        <f t="shared" si="150"/>
        <v>Valid</v>
      </c>
      <c r="AO709" t="str">
        <f t="shared" si="151"/>
        <v>Valid</v>
      </c>
      <c r="AP709" t="str">
        <f t="shared" si="152"/>
        <v>Valid</v>
      </c>
      <c r="AQ709" t="str">
        <f>IF(Audit_Data[[#This Row],[Z_CostContact]]=3,"Valid","Invalid")</f>
        <v>Valid</v>
      </c>
      <c r="AR709" t="str">
        <f t="shared" si="153"/>
        <v>Valid</v>
      </c>
      <c r="AS709" t="str">
        <f t="shared" si="154"/>
        <v>Valid</v>
      </c>
    </row>
    <row r="710" spans="1:45" x14ac:dyDescent="0.3">
      <c r="A710">
        <v>3336</v>
      </c>
      <c r="B710">
        <v>1948</v>
      </c>
      <c r="C710" t="s">
        <v>32</v>
      </c>
      <c r="D710" t="s">
        <v>31</v>
      </c>
      <c r="E710">
        <v>66375</v>
      </c>
      <c r="F710">
        <v>0</v>
      </c>
      <c r="G710">
        <v>1</v>
      </c>
      <c r="H710" s="1">
        <v>41599</v>
      </c>
      <c r="I710">
        <v>96</v>
      </c>
      <c r="J710">
        <v>712</v>
      </c>
      <c r="K710">
        <v>0</v>
      </c>
      <c r="L710">
        <v>45</v>
      </c>
      <c r="M710">
        <v>0</v>
      </c>
      <c r="N710">
        <v>0</v>
      </c>
      <c r="O710">
        <v>191</v>
      </c>
      <c r="P710">
        <v>3</v>
      </c>
      <c r="Q710">
        <v>2</v>
      </c>
      <c r="R710">
        <v>4</v>
      </c>
      <c r="S710">
        <v>5</v>
      </c>
      <c r="T710">
        <v>7</v>
      </c>
      <c r="U710">
        <v>1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3</v>
      </c>
      <c r="AB710">
        <v>11</v>
      </c>
      <c r="AC710">
        <v>0</v>
      </c>
      <c r="AD710" t="str">
        <f t="shared" si="143"/>
        <v>Ok</v>
      </c>
      <c r="AE710" t="str">
        <f>IF(AND(Audit_Data[[#This Row],[Year_Birth]]&gt;=1900,Audit_Data[[#This Row],[Year_Birth]]&lt;=2010),"OK","Invalid")</f>
        <v>OK</v>
      </c>
      <c r="AF710" t="str">
        <f t="shared" si="144"/>
        <v>Valid</v>
      </c>
      <c r="AG710" t="str">
        <f t="shared" si="145"/>
        <v>Valid</v>
      </c>
      <c r="AH710" t="str">
        <f t="shared" si="146"/>
        <v>Valid</v>
      </c>
      <c r="AI710" t="str">
        <f t="shared" si="147"/>
        <v>Valid</v>
      </c>
      <c r="AJ710" t="str">
        <f t="shared" si="148"/>
        <v>Valid</v>
      </c>
      <c r="AK710" t="str">
        <f t="shared" si="155"/>
        <v xml:space="preserve">Valid </v>
      </c>
      <c r="AL710" t="str">
        <f>IF(AND(Audit_Data[[#This Row],[Recency]]&gt;=0,Audit_Data[[#This Row],[Recency]]&lt;=100),"Valid","Invalid")</f>
        <v>Valid</v>
      </c>
      <c r="AM710" t="str">
        <f t="shared" si="149"/>
        <v>Valid</v>
      </c>
      <c r="AN710" t="str">
        <f t="shared" si="150"/>
        <v>Valid</v>
      </c>
      <c r="AO710" t="str">
        <f t="shared" si="151"/>
        <v>Valid</v>
      </c>
      <c r="AP710" t="str">
        <f t="shared" si="152"/>
        <v>Valid</v>
      </c>
      <c r="AQ710" t="str">
        <f>IF(Audit_Data[[#This Row],[Z_CostContact]]=3,"Valid","Invalid")</f>
        <v>Valid</v>
      </c>
      <c r="AR710" t="str">
        <f t="shared" si="153"/>
        <v>Valid</v>
      </c>
      <c r="AS710" t="str">
        <f t="shared" si="154"/>
        <v>Valid</v>
      </c>
    </row>
    <row r="711" spans="1:45" x14ac:dyDescent="0.3">
      <c r="A711">
        <v>4301</v>
      </c>
      <c r="B711">
        <v>1971</v>
      </c>
      <c r="C711" t="s">
        <v>34</v>
      </c>
      <c r="D711" t="s">
        <v>33</v>
      </c>
      <c r="E711">
        <v>35178</v>
      </c>
      <c r="F711">
        <v>1</v>
      </c>
      <c r="G711">
        <v>0</v>
      </c>
      <c r="H711" s="1">
        <v>41284</v>
      </c>
      <c r="I711">
        <v>10</v>
      </c>
      <c r="J711">
        <v>23</v>
      </c>
      <c r="K711">
        <v>1</v>
      </c>
      <c r="L711">
        <v>13</v>
      </c>
      <c r="M711">
        <v>2</v>
      </c>
      <c r="N711">
        <v>2</v>
      </c>
      <c r="O711">
        <v>18</v>
      </c>
      <c r="P711">
        <v>1</v>
      </c>
      <c r="Q711">
        <v>1</v>
      </c>
      <c r="R711">
        <v>1</v>
      </c>
      <c r="S711">
        <v>2</v>
      </c>
      <c r="T711">
        <v>7</v>
      </c>
      <c r="U711">
        <v>1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3</v>
      </c>
      <c r="AB711">
        <v>11</v>
      </c>
      <c r="AC711">
        <v>1</v>
      </c>
      <c r="AD711" t="str">
        <f t="shared" si="143"/>
        <v>Ok</v>
      </c>
      <c r="AE711" t="str">
        <f>IF(AND(Audit_Data[[#This Row],[Year_Birth]]&gt;=1900,Audit_Data[[#This Row],[Year_Birth]]&lt;=2010),"OK","Invalid")</f>
        <v>OK</v>
      </c>
      <c r="AF711" t="str">
        <f t="shared" si="144"/>
        <v>Valid</v>
      </c>
      <c r="AG711" t="str">
        <f t="shared" si="145"/>
        <v>Valid</v>
      </c>
      <c r="AH711" t="str">
        <f t="shared" si="146"/>
        <v>Valid</v>
      </c>
      <c r="AI711" t="str">
        <f t="shared" si="147"/>
        <v>Valid</v>
      </c>
      <c r="AJ711" t="str">
        <f t="shared" si="148"/>
        <v>Valid</v>
      </c>
      <c r="AK711" t="str">
        <f t="shared" si="155"/>
        <v xml:space="preserve">Valid </v>
      </c>
      <c r="AL711" t="str">
        <f>IF(AND(Audit_Data[[#This Row],[Recency]]&gt;=0,Audit_Data[[#This Row],[Recency]]&lt;=100),"Valid","Invalid")</f>
        <v>Valid</v>
      </c>
      <c r="AM711" t="str">
        <f t="shared" si="149"/>
        <v>Valid</v>
      </c>
      <c r="AN711" t="str">
        <f t="shared" si="150"/>
        <v>Valid</v>
      </c>
      <c r="AO711" t="str">
        <f t="shared" si="151"/>
        <v>Valid</v>
      </c>
      <c r="AP711" t="str">
        <f t="shared" si="152"/>
        <v>Valid</v>
      </c>
      <c r="AQ711" t="str">
        <f>IF(Audit_Data[[#This Row],[Z_CostContact]]=3,"Valid","Invalid")</f>
        <v>Valid</v>
      </c>
      <c r="AR711" t="str">
        <f t="shared" si="153"/>
        <v>Valid</v>
      </c>
      <c r="AS711" t="str">
        <f t="shared" si="154"/>
        <v>Valid</v>
      </c>
    </row>
    <row r="712" spans="1:45" x14ac:dyDescent="0.3">
      <c r="A712">
        <v>1940</v>
      </c>
      <c r="B712">
        <v>1986</v>
      </c>
      <c r="C712" t="s">
        <v>29</v>
      </c>
      <c r="D712" t="s">
        <v>33</v>
      </c>
      <c r="E712">
        <v>25252</v>
      </c>
      <c r="F712">
        <v>1</v>
      </c>
      <c r="G712">
        <v>0</v>
      </c>
      <c r="H712" s="1">
        <v>41467</v>
      </c>
      <c r="I712">
        <v>26</v>
      </c>
      <c r="J712">
        <v>1</v>
      </c>
      <c r="K712">
        <v>3</v>
      </c>
      <c r="L712">
        <v>4</v>
      </c>
      <c r="M712">
        <v>2</v>
      </c>
      <c r="N712">
        <v>2</v>
      </c>
      <c r="O712">
        <v>6</v>
      </c>
      <c r="P712">
        <v>1</v>
      </c>
      <c r="Q712">
        <v>1</v>
      </c>
      <c r="R712">
        <v>0</v>
      </c>
      <c r="S712">
        <v>2</v>
      </c>
      <c r="T712">
        <v>8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3</v>
      </c>
      <c r="AB712">
        <v>11</v>
      </c>
      <c r="AC712">
        <v>0</v>
      </c>
      <c r="AD712" t="str">
        <f t="shared" si="143"/>
        <v>Ok</v>
      </c>
      <c r="AE712" t="str">
        <f>IF(AND(Audit_Data[[#This Row],[Year_Birth]]&gt;=1900,Audit_Data[[#This Row],[Year_Birth]]&lt;=2010),"OK","Invalid")</f>
        <v>OK</v>
      </c>
      <c r="AF712" t="str">
        <f t="shared" si="144"/>
        <v>Valid</v>
      </c>
      <c r="AG712" t="str">
        <f t="shared" si="145"/>
        <v>Valid</v>
      </c>
      <c r="AH712" t="str">
        <f t="shared" si="146"/>
        <v>Valid</v>
      </c>
      <c r="AI712" t="str">
        <f t="shared" si="147"/>
        <v>Valid</v>
      </c>
      <c r="AJ712" t="str">
        <f t="shared" si="148"/>
        <v>Valid</v>
      </c>
      <c r="AK712" t="str">
        <f t="shared" si="155"/>
        <v xml:space="preserve">Valid </v>
      </c>
      <c r="AL712" t="str">
        <f>IF(AND(Audit_Data[[#This Row],[Recency]]&gt;=0,Audit_Data[[#This Row],[Recency]]&lt;=100),"Valid","Invalid")</f>
        <v>Valid</v>
      </c>
      <c r="AM712" t="str">
        <f t="shared" si="149"/>
        <v>Valid</v>
      </c>
      <c r="AN712" t="str">
        <f t="shared" si="150"/>
        <v>Valid</v>
      </c>
      <c r="AO712" t="str">
        <f t="shared" si="151"/>
        <v>Valid</v>
      </c>
      <c r="AP712" t="str">
        <f t="shared" si="152"/>
        <v>Valid</v>
      </c>
      <c r="AQ712" t="str">
        <f>IF(Audit_Data[[#This Row],[Z_CostContact]]=3,"Valid","Invalid")</f>
        <v>Valid</v>
      </c>
      <c r="AR712" t="str">
        <f t="shared" si="153"/>
        <v>Valid</v>
      </c>
      <c r="AS712" t="str">
        <f t="shared" si="154"/>
        <v>Valid</v>
      </c>
    </row>
    <row r="713" spans="1:45" x14ac:dyDescent="0.3">
      <c r="A713">
        <v>1272</v>
      </c>
      <c r="B713">
        <v>1965</v>
      </c>
      <c r="C713" t="s">
        <v>34</v>
      </c>
      <c r="D713" t="s">
        <v>30</v>
      </c>
      <c r="E713">
        <v>55250</v>
      </c>
      <c r="F713">
        <v>0</v>
      </c>
      <c r="G713">
        <v>1</v>
      </c>
      <c r="H713" s="1">
        <v>41203</v>
      </c>
      <c r="I713">
        <v>49</v>
      </c>
      <c r="J713">
        <v>664</v>
      </c>
      <c r="K713">
        <v>58</v>
      </c>
      <c r="L713">
        <v>83</v>
      </c>
      <c r="M713">
        <v>32</v>
      </c>
      <c r="N713">
        <v>0</v>
      </c>
      <c r="O713">
        <v>66</v>
      </c>
      <c r="P713">
        <v>4</v>
      </c>
      <c r="Q713">
        <v>7</v>
      </c>
      <c r="R713">
        <v>5</v>
      </c>
      <c r="S713">
        <v>10</v>
      </c>
      <c r="T713">
        <v>5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3</v>
      </c>
      <c r="AB713">
        <v>11</v>
      </c>
      <c r="AC713">
        <v>0</v>
      </c>
      <c r="AD713" t="str">
        <f t="shared" si="143"/>
        <v>Ok</v>
      </c>
      <c r="AE713" t="str">
        <f>IF(AND(Audit_Data[[#This Row],[Year_Birth]]&gt;=1900,Audit_Data[[#This Row],[Year_Birth]]&lt;=2010),"OK","Invalid")</f>
        <v>OK</v>
      </c>
      <c r="AF713" t="str">
        <f t="shared" si="144"/>
        <v>Valid</v>
      </c>
      <c r="AG713" t="str">
        <f t="shared" si="145"/>
        <v>Valid</v>
      </c>
      <c r="AH713" t="str">
        <f t="shared" si="146"/>
        <v>Valid</v>
      </c>
      <c r="AI713" t="str">
        <f t="shared" si="147"/>
        <v>Valid</v>
      </c>
      <c r="AJ713" t="str">
        <f t="shared" si="148"/>
        <v>Valid</v>
      </c>
      <c r="AK713" t="str">
        <f t="shared" si="155"/>
        <v xml:space="preserve">Valid </v>
      </c>
      <c r="AL713" t="str">
        <f>IF(AND(Audit_Data[[#This Row],[Recency]]&gt;=0,Audit_Data[[#This Row],[Recency]]&lt;=100),"Valid","Invalid")</f>
        <v>Valid</v>
      </c>
      <c r="AM713" t="str">
        <f t="shared" si="149"/>
        <v>Valid</v>
      </c>
      <c r="AN713" t="str">
        <f t="shared" si="150"/>
        <v>Valid</v>
      </c>
      <c r="AO713" t="str">
        <f t="shared" si="151"/>
        <v>Valid</v>
      </c>
      <c r="AP713" t="str">
        <f t="shared" si="152"/>
        <v>Valid</v>
      </c>
      <c r="AQ713" t="str">
        <f>IF(Audit_Data[[#This Row],[Z_CostContact]]=3,"Valid","Invalid")</f>
        <v>Valid</v>
      </c>
      <c r="AR713" t="str">
        <f t="shared" si="153"/>
        <v>Valid</v>
      </c>
      <c r="AS713" t="str">
        <f t="shared" si="154"/>
        <v>Valid</v>
      </c>
    </row>
    <row r="714" spans="1:45" x14ac:dyDescent="0.3">
      <c r="A714">
        <v>1388</v>
      </c>
      <c r="B714">
        <v>1975</v>
      </c>
      <c r="C714" t="s">
        <v>29</v>
      </c>
      <c r="D714" t="s">
        <v>30</v>
      </c>
      <c r="E714">
        <v>33249</v>
      </c>
      <c r="F714">
        <v>1</v>
      </c>
      <c r="G714">
        <v>0</v>
      </c>
      <c r="H714" s="1">
        <v>41325</v>
      </c>
      <c r="I714">
        <v>11</v>
      </c>
      <c r="J714">
        <v>6</v>
      </c>
      <c r="K714">
        <v>10</v>
      </c>
      <c r="L714">
        <v>21</v>
      </c>
      <c r="M714">
        <v>19</v>
      </c>
      <c r="N714">
        <v>14</v>
      </c>
      <c r="O714">
        <v>42</v>
      </c>
      <c r="P714">
        <v>2</v>
      </c>
      <c r="Q714">
        <v>2</v>
      </c>
      <c r="R714">
        <v>1</v>
      </c>
      <c r="S714">
        <v>3</v>
      </c>
      <c r="T714">
        <v>6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3</v>
      </c>
      <c r="AB714">
        <v>11</v>
      </c>
      <c r="AC714">
        <v>0</v>
      </c>
      <c r="AD714" t="str">
        <f t="shared" si="143"/>
        <v>Ok</v>
      </c>
      <c r="AE714" t="str">
        <f>IF(AND(Audit_Data[[#This Row],[Year_Birth]]&gt;=1900,Audit_Data[[#This Row],[Year_Birth]]&lt;=2010),"OK","Invalid")</f>
        <v>OK</v>
      </c>
      <c r="AF714" t="str">
        <f t="shared" si="144"/>
        <v>Valid</v>
      </c>
      <c r="AG714" t="str">
        <f t="shared" si="145"/>
        <v>Valid</v>
      </c>
      <c r="AH714" t="str">
        <f t="shared" si="146"/>
        <v>Valid</v>
      </c>
      <c r="AI714" t="str">
        <f t="shared" si="147"/>
        <v>Valid</v>
      </c>
      <c r="AJ714" t="str">
        <f t="shared" si="148"/>
        <v>Valid</v>
      </c>
      <c r="AK714" t="str">
        <f t="shared" si="155"/>
        <v xml:space="preserve">Valid </v>
      </c>
      <c r="AL714" t="str">
        <f>IF(AND(Audit_Data[[#This Row],[Recency]]&gt;=0,Audit_Data[[#This Row],[Recency]]&lt;=100),"Valid","Invalid")</f>
        <v>Valid</v>
      </c>
      <c r="AM714" t="str">
        <f t="shared" si="149"/>
        <v>Valid</v>
      </c>
      <c r="AN714" t="str">
        <f t="shared" si="150"/>
        <v>Valid</v>
      </c>
      <c r="AO714" t="str">
        <f t="shared" si="151"/>
        <v>Valid</v>
      </c>
      <c r="AP714" t="str">
        <f t="shared" si="152"/>
        <v>Valid</v>
      </c>
      <c r="AQ714" t="str">
        <f>IF(Audit_Data[[#This Row],[Z_CostContact]]=3,"Valid","Invalid")</f>
        <v>Valid</v>
      </c>
      <c r="AR714" t="str">
        <f t="shared" si="153"/>
        <v>Valid</v>
      </c>
      <c r="AS714" t="str">
        <f t="shared" si="154"/>
        <v>Valid</v>
      </c>
    </row>
    <row r="715" spans="1:45" x14ac:dyDescent="0.3">
      <c r="A715">
        <v>1044</v>
      </c>
      <c r="B715">
        <v>1953</v>
      </c>
      <c r="C715" t="s">
        <v>29</v>
      </c>
      <c r="D715" t="s">
        <v>31</v>
      </c>
      <c r="E715">
        <v>58398</v>
      </c>
      <c r="F715">
        <v>0</v>
      </c>
      <c r="G715">
        <v>0</v>
      </c>
      <c r="H715" s="1">
        <v>41408</v>
      </c>
      <c r="I715">
        <v>44</v>
      </c>
      <c r="J715">
        <v>299</v>
      </c>
      <c r="K715">
        <v>5</v>
      </c>
      <c r="L715">
        <v>201</v>
      </c>
      <c r="M715">
        <v>21</v>
      </c>
      <c r="N715">
        <v>21</v>
      </c>
      <c r="O715">
        <v>49</v>
      </c>
      <c r="P715">
        <v>3</v>
      </c>
      <c r="Q715">
        <v>5</v>
      </c>
      <c r="R715">
        <v>4</v>
      </c>
      <c r="S715">
        <v>8</v>
      </c>
      <c r="T715">
        <v>4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3</v>
      </c>
      <c r="AB715">
        <v>11</v>
      </c>
      <c r="AC715">
        <v>0</v>
      </c>
      <c r="AD715" t="str">
        <f t="shared" si="143"/>
        <v>Ok</v>
      </c>
      <c r="AE715" t="str">
        <f>IF(AND(Audit_Data[[#This Row],[Year_Birth]]&gt;=1900,Audit_Data[[#This Row],[Year_Birth]]&lt;=2010),"OK","Invalid")</f>
        <v>OK</v>
      </c>
      <c r="AF715" t="str">
        <f t="shared" si="144"/>
        <v>Valid</v>
      </c>
      <c r="AG715" t="str">
        <f t="shared" si="145"/>
        <v>Valid</v>
      </c>
      <c r="AH715" t="str">
        <f t="shared" si="146"/>
        <v>Valid</v>
      </c>
      <c r="AI715" t="str">
        <f t="shared" si="147"/>
        <v>Valid</v>
      </c>
      <c r="AJ715" t="str">
        <f t="shared" si="148"/>
        <v>Valid</v>
      </c>
      <c r="AK715" t="str">
        <f t="shared" si="155"/>
        <v xml:space="preserve">Valid </v>
      </c>
      <c r="AL715" t="str">
        <f>IF(AND(Audit_Data[[#This Row],[Recency]]&gt;=0,Audit_Data[[#This Row],[Recency]]&lt;=100),"Valid","Invalid")</f>
        <v>Valid</v>
      </c>
      <c r="AM715" t="str">
        <f t="shared" si="149"/>
        <v>Valid</v>
      </c>
      <c r="AN715" t="str">
        <f t="shared" si="150"/>
        <v>Valid</v>
      </c>
      <c r="AO715" t="str">
        <f t="shared" si="151"/>
        <v>Valid</v>
      </c>
      <c r="AP715" t="str">
        <f t="shared" si="152"/>
        <v>Valid</v>
      </c>
      <c r="AQ715" t="str">
        <f>IF(Audit_Data[[#This Row],[Z_CostContact]]=3,"Valid","Invalid")</f>
        <v>Valid</v>
      </c>
      <c r="AR715" t="str">
        <f t="shared" si="153"/>
        <v>Valid</v>
      </c>
      <c r="AS715" t="str">
        <f t="shared" si="154"/>
        <v>Valid</v>
      </c>
    </row>
    <row r="716" spans="1:45" x14ac:dyDescent="0.3">
      <c r="A716">
        <v>6969</v>
      </c>
      <c r="B716">
        <v>1982</v>
      </c>
      <c r="C716" t="s">
        <v>29</v>
      </c>
      <c r="D716" t="s">
        <v>31</v>
      </c>
      <c r="E716">
        <v>50272</v>
      </c>
      <c r="F716">
        <v>1</v>
      </c>
      <c r="G716">
        <v>0</v>
      </c>
      <c r="H716" s="1">
        <v>41493</v>
      </c>
      <c r="I716">
        <v>75</v>
      </c>
      <c r="J716">
        <v>99</v>
      </c>
      <c r="K716">
        <v>13</v>
      </c>
      <c r="L716">
        <v>66</v>
      </c>
      <c r="M716">
        <v>43</v>
      </c>
      <c r="N716">
        <v>8</v>
      </c>
      <c r="O716">
        <v>4</v>
      </c>
      <c r="P716">
        <v>3</v>
      </c>
      <c r="Q716">
        <v>4</v>
      </c>
      <c r="R716">
        <v>1</v>
      </c>
      <c r="S716">
        <v>5</v>
      </c>
      <c r="T716">
        <v>7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3</v>
      </c>
      <c r="AB716">
        <v>11</v>
      </c>
      <c r="AC716">
        <v>0</v>
      </c>
      <c r="AD716" t="str">
        <f t="shared" si="143"/>
        <v>Ok</v>
      </c>
      <c r="AE716" t="str">
        <f>IF(AND(Audit_Data[[#This Row],[Year_Birth]]&gt;=1900,Audit_Data[[#This Row],[Year_Birth]]&lt;=2010),"OK","Invalid")</f>
        <v>OK</v>
      </c>
      <c r="AF716" t="str">
        <f t="shared" si="144"/>
        <v>Valid</v>
      </c>
      <c r="AG716" t="str">
        <f t="shared" si="145"/>
        <v>Valid</v>
      </c>
      <c r="AH716" t="str">
        <f t="shared" si="146"/>
        <v>Valid</v>
      </c>
      <c r="AI716" t="str">
        <f t="shared" si="147"/>
        <v>Valid</v>
      </c>
      <c r="AJ716" t="str">
        <f t="shared" si="148"/>
        <v>Valid</v>
      </c>
      <c r="AK716" t="str">
        <f t="shared" si="155"/>
        <v xml:space="preserve">Valid </v>
      </c>
      <c r="AL716" t="str">
        <f>IF(AND(Audit_Data[[#This Row],[Recency]]&gt;=0,Audit_Data[[#This Row],[Recency]]&lt;=100),"Valid","Invalid")</f>
        <v>Valid</v>
      </c>
      <c r="AM716" t="str">
        <f t="shared" si="149"/>
        <v>Valid</v>
      </c>
      <c r="AN716" t="str">
        <f t="shared" si="150"/>
        <v>Valid</v>
      </c>
      <c r="AO716" t="str">
        <f t="shared" si="151"/>
        <v>Valid</v>
      </c>
      <c r="AP716" t="str">
        <f t="shared" si="152"/>
        <v>Valid</v>
      </c>
      <c r="AQ716" t="str">
        <f>IF(Audit_Data[[#This Row],[Z_CostContact]]=3,"Valid","Invalid")</f>
        <v>Valid</v>
      </c>
      <c r="AR716" t="str">
        <f t="shared" si="153"/>
        <v>Valid</v>
      </c>
      <c r="AS716" t="str">
        <f t="shared" si="154"/>
        <v>Valid</v>
      </c>
    </row>
    <row r="717" spans="1:45" x14ac:dyDescent="0.3">
      <c r="A717">
        <v>10479</v>
      </c>
      <c r="B717">
        <v>1975</v>
      </c>
      <c r="C717" t="s">
        <v>32</v>
      </c>
      <c r="D717" t="s">
        <v>33</v>
      </c>
      <c r="E717">
        <v>76618</v>
      </c>
      <c r="F717">
        <v>0</v>
      </c>
      <c r="G717">
        <v>0</v>
      </c>
      <c r="H717" s="1">
        <v>41250</v>
      </c>
      <c r="I717">
        <v>64</v>
      </c>
      <c r="J717">
        <v>749</v>
      </c>
      <c r="K717">
        <v>40</v>
      </c>
      <c r="L717">
        <v>294</v>
      </c>
      <c r="M717">
        <v>121</v>
      </c>
      <c r="N717">
        <v>160</v>
      </c>
      <c r="O717">
        <v>147</v>
      </c>
      <c r="P717">
        <v>1</v>
      </c>
      <c r="Q717">
        <v>3</v>
      </c>
      <c r="R717">
        <v>2</v>
      </c>
      <c r="S717">
        <v>5</v>
      </c>
      <c r="T717">
        <v>1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3</v>
      </c>
      <c r="AB717">
        <v>11</v>
      </c>
      <c r="AC717">
        <v>0</v>
      </c>
      <c r="AD717" t="str">
        <f t="shared" si="143"/>
        <v>Ok</v>
      </c>
      <c r="AE717" t="str">
        <f>IF(AND(Audit_Data[[#This Row],[Year_Birth]]&gt;=1900,Audit_Data[[#This Row],[Year_Birth]]&lt;=2010),"OK","Invalid")</f>
        <v>OK</v>
      </c>
      <c r="AF717" t="str">
        <f t="shared" si="144"/>
        <v>Valid</v>
      </c>
      <c r="AG717" t="str">
        <f t="shared" si="145"/>
        <v>Valid</v>
      </c>
      <c r="AH717" t="str">
        <f t="shared" si="146"/>
        <v>Valid</v>
      </c>
      <c r="AI717" t="str">
        <f t="shared" si="147"/>
        <v>Valid</v>
      </c>
      <c r="AJ717" t="str">
        <f t="shared" si="148"/>
        <v>Valid</v>
      </c>
      <c r="AK717" t="str">
        <f t="shared" si="155"/>
        <v xml:space="preserve">Valid </v>
      </c>
      <c r="AL717" t="str">
        <f>IF(AND(Audit_Data[[#This Row],[Recency]]&gt;=0,Audit_Data[[#This Row],[Recency]]&lt;=100),"Valid","Invalid")</f>
        <v>Valid</v>
      </c>
      <c r="AM717" t="str">
        <f t="shared" si="149"/>
        <v>Valid</v>
      </c>
      <c r="AN717" t="str">
        <f t="shared" si="150"/>
        <v>Valid</v>
      </c>
      <c r="AO717" t="str">
        <f t="shared" si="151"/>
        <v>Valid</v>
      </c>
      <c r="AP717" t="str">
        <f t="shared" si="152"/>
        <v>Valid</v>
      </c>
      <c r="AQ717" t="str">
        <f>IF(Audit_Data[[#This Row],[Z_CostContact]]=3,"Valid","Invalid")</f>
        <v>Valid</v>
      </c>
      <c r="AR717" t="str">
        <f t="shared" si="153"/>
        <v>Valid</v>
      </c>
      <c r="AS717" t="str">
        <f t="shared" si="154"/>
        <v>Valid</v>
      </c>
    </row>
    <row r="718" spans="1:45" x14ac:dyDescent="0.3">
      <c r="A718">
        <v>3619</v>
      </c>
      <c r="B718">
        <v>1960</v>
      </c>
      <c r="C718" t="s">
        <v>37</v>
      </c>
      <c r="D718" t="s">
        <v>35</v>
      </c>
      <c r="E718">
        <v>87305</v>
      </c>
      <c r="F718">
        <v>0</v>
      </c>
      <c r="G718">
        <v>0</v>
      </c>
      <c r="H718" s="1">
        <v>41175</v>
      </c>
      <c r="I718">
        <v>19</v>
      </c>
      <c r="J718">
        <v>345</v>
      </c>
      <c r="K718">
        <v>25</v>
      </c>
      <c r="L718">
        <v>501</v>
      </c>
      <c r="M718">
        <v>63</v>
      </c>
      <c r="N718">
        <v>138</v>
      </c>
      <c r="O718">
        <v>80</v>
      </c>
      <c r="P718">
        <v>1</v>
      </c>
      <c r="Q718">
        <v>5</v>
      </c>
      <c r="R718">
        <v>3</v>
      </c>
      <c r="S718">
        <v>8</v>
      </c>
      <c r="T718">
        <v>2</v>
      </c>
      <c r="U718">
        <v>0</v>
      </c>
      <c r="V718">
        <v>0</v>
      </c>
      <c r="W718">
        <v>1</v>
      </c>
      <c r="X718">
        <v>0</v>
      </c>
      <c r="Y718">
        <v>0</v>
      </c>
      <c r="Z718">
        <v>0</v>
      </c>
      <c r="AA718">
        <v>3</v>
      </c>
      <c r="AB718">
        <v>11</v>
      </c>
      <c r="AC718">
        <v>1</v>
      </c>
      <c r="AD718" t="str">
        <f t="shared" si="143"/>
        <v>Ok</v>
      </c>
      <c r="AE718" t="str">
        <f>IF(AND(Audit_Data[[#This Row],[Year_Birth]]&gt;=1900,Audit_Data[[#This Row],[Year_Birth]]&lt;=2010),"OK","Invalid")</f>
        <v>OK</v>
      </c>
      <c r="AF718" t="str">
        <f t="shared" si="144"/>
        <v>Valid</v>
      </c>
      <c r="AG718" t="str">
        <f t="shared" si="145"/>
        <v>Valid</v>
      </c>
      <c r="AH718" t="str">
        <f t="shared" si="146"/>
        <v>Valid</v>
      </c>
      <c r="AI718" t="str">
        <f t="shared" si="147"/>
        <v>Valid</v>
      </c>
      <c r="AJ718" t="str">
        <f t="shared" si="148"/>
        <v>Valid</v>
      </c>
      <c r="AK718" t="str">
        <f t="shared" si="155"/>
        <v xml:space="preserve">Valid </v>
      </c>
      <c r="AL718" t="str">
        <f>IF(AND(Audit_Data[[#This Row],[Recency]]&gt;=0,Audit_Data[[#This Row],[Recency]]&lt;=100),"Valid","Invalid")</f>
        <v>Valid</v>
      </c>
      <c r="AM718" t="str">
        <f t="shared" si="149"/>
        <v>Valid</v>
      </c>
      <c r="AN718" t="str">
        <f t="shared" si="150"/>
        <v>Valid</v>
      </c>
      <c r="AO718" t="str">
        <f t="shared" si="151"/>
        <v>Valid</v>
      </c>
      <c r="AP718" t="str">
        <f t="shared" si="152"/>
        <v>Valid</v>
      </c>
      <c r="AQ718" t="str">
        <f>IF(Audit_Data[[#This Row],[Z_CostContact]]=3,"Valid","Invalid")</f>
        <v>Valid</v>
      </c>
      <c r="AR718" t="str">
        <f t="shared" si="153"/>
        <v>Valid</v>
      </c>
      <c r="AS718" t="str">
        <f t="shared" si="154"/>
        <v>Valid</v>
      </c>
    </row>
    <row r="719" spans="1:45" x14ac:dyDescent="0.3">
      <c r="A719">
        <v>1715</v>
      </c>
      <c r="B719">
        <v>1978</v>
      </c>
      <c r="C719" t="s">
        <v>29</v>
      </c>
      <c r="D719" t="s">
        <v>31</v>
      </c>
      <c r="E719">
        <v>25851</v>
      </c>
      <c r="F719">
        <v>1</v>
      </c>
      <c r="G719">
        <v>0</v>
      </c>
      <c r="H719" s="1">
        <v>41316</v>
      </c>
      <c r="I719">
        <v>45</v>
      </c>
      <c r="J719">
        <v>9</v>
      </c>
      <c r="K719">
        <v>4</v>
      </c>
      <c r="L719">
        <v>18</v>
      </c>
      <c r="M719">
        <v>7</v>
      </c>
      <c r="N719">
        <v>5</v>
      </c>
      <c r="O719">
        <v>5</v>
      </c>
      <c r="P719">
        <v>2</v>
      </c>
      <c r="Q719">
        <v>2</v>
      </c>
      <c r="R719">
        <v>0</v>
      </c>
      <c r="S719">
        <v>3</v>
      </c>
      <c r="T719">
        <v>7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3</v>
      </c>
      <c r="AB719">
        <v>11</v>
      </c>
      <c r="AC719">
        <v>0</v>
      </c>
      <c r="AD719" t="str">
        <f t="shared" si="143"/>
        <v>Ok</v>
      </c>
      <c r="AE719" t="str">
        <f>IF(AND(Audit_Data[[#This Row],[Year_Birth]]&gt;=1900,Audit_Data[[#This Row],[Year_Birth]]&lt;=2010),"OK","Invalid")</f>
        <v>OK</v>
      </c>
      <c r="AF719" t="str">
        <f t="shared" si="144"/>
        <v>Valid</v>
      </c>
      <c r="AG719" t="str">
        <f t="shared" si="145"/>
        <v>Valid</v>
      </c>
      <c r="AH719" t="str">
        <f t="shared" si="146"/>
        <v>Valid</v>
      </c>
      <c r="AI719" t="str">
        <f t="shared" si="147"/>
        <v>Valid</v>
      </c>
      <c r="AJ719" t="str">
        <f t="shared" si="148"/>
        <v>Valid</v>
      </c>
      <c r="AK719" t="str">
        <f t="shared" si="155"/>
        <v xml:space="preserve">Valid </v>
      </c>
      <c r="AL719" t="str">
        <f>IF(AND(Audit_Data[[#This Row],[Recency]]&gt;=0,Audit_Data[[#This Row],[Recency]]&lt;=100),"Valid","Invalid")</f>
        <v>Valid</v>
      </c>
      <c r="AM719" t="str">
        <f t="shared" si="149"/>
        <v>Valid</v>
      </c>
      <c r="AN719" t="str">
        <f t="shared" si="150"/>
        <v>Valid</v>
      </c>
      <c r="AO719" t="str">
        <f t="shared" si="151"/>
        <v>Valid</v>
      </c>
      <c r="AP719" t="str">
        <f t="shared" si="152"/>
        <v>Valid</v>
      </c>
      <c r="AQ719" t="str">
        <f>IF(Audit_Data[[#This Row],[Z_CostContact]]=3,"Valid","Invalid")</f>
        <v>Valid</v>
      </c>
      <c r="AR719" t="str">
        <f t="shared" si="153"/>
        <v>Valid</v>
      </c>
      <c r="AS719" t="str">
        <f t="shared" si="154"/>
        <v>Valid</v>
      </c>
    </row>
    <row r="720" spans="1:45" x14ac:dyDescent="0.3">
      <c r="A720">
        <v>10159</v>
      </c>
      <c r="B720">
        <v>1970</v>
      </c>
      <c r="C720" t="s">
        <v>29</v>
      </c>
      <c r="D720" t="s">
        <v>35</v>
      </c>
      <c r="E720">
        <v>58710</v>
      </c>
      <c r="F720">
        <v>0</v>
      </c>
      <c r="G720">
        <v>1</v>
      </c>
      <c r="H720" s="1">
        <v>41364</v>
      </c>
      <c r="I720">
        <v>77</v>
      </c>
      <c r="J720">
        <v>440</v>
      </c>
      <c r="K720">
        <v>81</v>
      </c>
      <c r="L720">
        <v>368</v>
      </c>
      <c r="M720">
        <v>0</v>
      </c>
      <c r="N720">
        <v>122</v>
      </c>
      <c r="O720">
        <v>174</v>
      </c>
      <c r="P720">
        <v>6</v>
      </c>
      <c r="Q720">
        <v>11</v>
      </c>
      <c r="R720">
        <v>5</v>
      </c>
      <c r="S720">
        <v>9</v>
      </c>
      <c r="T720">
        <v>6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3</v>
      </c>
      <c r="AB720">
        <v>11</v>
      </c>
      <c r="AC720">
        <v>0</v>
      </c>
      <c r="AD720" t="str">
        <f t="shared" si="143"/>
        <v>Ok</v>
      </c>
      <c r="AE720" t="str">
        <f>IF(AND(Audit_Data[[#This Row],[Year_Birth]]&gt;=1900,Audit_Data[[#This Row],[Year_Birth]]&lt;=2010),"OK","Invalid")</f>
        <v>OK</v>
      </c>
      <c r="AF720" t="str">
        <f t="shared" si="144"/>
        <v>Valid</v>
      </c>
      <c r="AG720" t="str">
        <f t="shared" si="145"/>
        <v>Valid</v>
      </c>
      <c r="AH720" t="str">
        <f t="shared" si="146"/>
        <v>Valid</v>
      </c>
      <c r="AI720" t="str">
        <f t="shared" si="147"/>
        <v>Valid</v>
      </c>
      <c r="AJ720" t="str">
        <f t="shared" si="148"/>
        <v>Valid</v>
      </c>
      <c r="AK720" t="str">
        <f t="shared" si="155"/>
        <v xml:space="preserve">Valid </v>
      </c>
      <c r="AL720" t="str">
        <f>IF(AND(Audit_Data[[#This Row],[Recency]]&gt;=0,Audit_Data[[#This Row],[Recency]]&lt;=100),"Valid","Invalid")</f>
        <v>Valid</v>
      </c>
      <c r="AM720" t="str">
        <f t="shared" si="149"/>
        <v>Valid</v>
      </c>
      <c r="AN720" t="str">
        <f t="shared" si="150"/>
        <v>Valid</v>
      </c>
      <c r="AO720" t="str">
        <f t="shared" si="151"/>
        <v>Valid</v>
      </c>
      <c r="AP720" t="str">
        <f t="shared" si="152"/>
        <v>Valid</v>
      </c>
      <c r="AQ720" t="str">
        <f>IF(Audit_Data[[#This Row],[Z_CostContact]]=3,"Valid","Invalid")</f>
        <v>Valid</v>
      </c>
      <c r="AR720" t="str">
        <f t="shared" si="153"/>
        <v>Valid</v>
      </c>
      <c r="AS720" t="str">
        <f t="shared" si="154"/>
        <v>Valid</v>
      </c>
    </row>
    <row r="721" spans="1:45" x14ac:dyDescent="0.3">
      <c r="A721">
        <v>1463</v>
      </c>
      <c r="B721">
        <v>1958</v>
      </c>
      <c r="C721" t="s">
        <v>29</v>
      </c>
      <c r="D721" t="s">
        <v>30</v>
      </c>
      <c r="E721">
        <v>45160</v>
      </c>
      <c r="F721">
        <v>1</v>
      </c>
      <c r="G721">
        <v>1</v>
      </c>
      <c r="H721" s="1">
        <v>41727</v>
      </c>
      <c r="I721">
        <v>9</v>
      </c>
      <c r="J721">
        <v>8</v>
      </c>
      <c r="K721">
        <v>2</v>
      </c>
      <c r="L721">
        <v>5</v>
      </c>
      <c r="M721">
        <v>3</v>
      </c>
      <c r="N721">
        <v>0</v>
      </c>
      <c r="O721">
        <v>3</v>
      </c>
      <c r="P721">
        <v>1</v>
      </c>
      <c r="Q721">
        <v>1</v>
      </c>
      <c r="R721">
        <v>0</v>
      </c>
      <c r="S721">
        <v>2</v>
      </c>
      <c r="T721">
        <v>7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3</v>
      </c>
      <c r="AB721">
        <v>11</v>
      </c>
      <c r="AC721">
        <v>0</v>
      </c>
      <c r="AD721" t="str">
        <f t="shared" si="143"/>
        <v>Ok</v>
      </c>
      <c r="AE721" t="str">
        <f>IF(AND(Audit_Data[[#This Row],[Year_Birth]]&gt;=1900,Audit_Data[[#This Row],[Year_Birth]]&lt;=2010),"OK","Invalid")</f>
        <v>OK</v>
      </c>
      <c r="AF721" t="str">
        <f t="shared" si="144"/>
        <v>Valid</v>
      </c>
      <c r="AG721" t="str">
        <f t="shared" si="145"/>
        <v>Valid</v>
      </c>
      <c r="AH721" t="str">
        <f t="shared" si="146"/>
        <v>Valid</v>
      </c>
      <c r="AI721" t="str">
        <f t="shared" si="147"/>
        <v>Valid</v>
      </c>
      <c r="AJ721" t="str">
        <f t="shared" si="148"/>
        <v>Valid</v>
      </c>
      <c r="AK721" t="str">
        <f t="shared" si="155"/>
        <v xml:space="preserve">Valid </v>
      </c>
      <c r="AL721" t="str">
        <f>IF(AND(Audit_Data[[#This Row],[Recency]]&gt;=0,Audit_Data[[#This Row],[Recency]]&lt;=100),"Valid","Invalid")</f>
        <v>Valid</v>
      </c>
      <c r="AM721" t="str">
        <f t="shared" si="149"/>
        <v>Valid</v>
      </c>
      <c r="AN721" t="str">
        <f t="shared" si="150"/>
        <v>Valid</v>
      </c>
      <c r="AO721" t="str">
        <f t="shared" si="151"/>
        <v>Valid</v>
      </c>
      <c r="AP721" t="str">
        <f t="shared" si="152"/>
        <v>Valid</v>
      </c>
      <c r="AQ721" t="str">
        <f>IF(Audit_Data[[#This Row],[Z_CostContact]]=3,"Valid","Invalid")</f>
        <v>Valid</v>
      </c>
      <c r="AR721" t="str">
        <f t="shared" si="153"/>
        <v>Valid</v>
      </c>
      <c r="AS721" t="str">
        <f t="shared" si="154"/>
        <v>Valid</v>
      </c>
    </row>
    <row r="722" spans="1:45" x14ac:dyDescent="0.3">
      <c r="A722">
        <v>5114</v>
      </c>
      <c r="B722">
        <v>1965</v>
      </c>
      <c r="C722" t="s">
        <v>34</v>
      </c>
      <c r="D722" t="s">
        <v>33</v>
      </c>
      <c r="E722">
        <v>74806</v>
      </c>
      <c r="F722">
        <v>0</v>
      </c>
      <c r="G722">
        <v>1</v>
      </c>
      <c r="H722" s="1">
        <v>41262</v>
      </c>
      <c r="I722">
        <v>1</v>
      </c>
      <c r="J722">
        <v>670</v>
      </c>
      <c r="K722">
        <v>9</v>
      </c>
      <c r="L722">
        <v>249</v>
      </c>
      <c r="M722">
        <v>0</v>
      </c>
      <c r="N722">
        <v>28</v>
      </c>
      <c r="O722">
        <v>9</v>
      </c>
      <c r="P722">
        <v>2</v>
      </c>
      <c r="Q722">
        <v>5</v>
      </c>
      <c r="R722">
        <v>4</v>
      </c>
      <c r="S722">
        <v>5</v>
      </c>
      <c r="T722">
        <v>4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3</v>
      </c>
      <c r="AB722">
        <v>11</v>
      </c>
      <c r="AC722">
        <v>0</v>
      </c>
      <c r="AD722" t="str">
        <f t="shared" si="143"/>
        <v>Ok</v>
      </c>
      <c r="AE722" t="str">
        <f>IF(AND(Audit_Data[[#This Row],[Year_Birth]]&gt;=1900,Audit_Data[[#This Row],[Year_Birth]]&lt;=2010),"OK","Invalid")</f>
        <v>OK</v>
      </c>
      <c r="AF722" t="str">
        <f t="shared" si="144"/>
        <v>Valid</v>
      </c>
      <c r="AG722" t="str">
        <f t="shared" si="145"/>
        <v>Valid</v>
      </c>
      <c r="AH722" t="str">
        <f t="shared" si="146"/>
        <v>Valid</v>
      </c>
      <c r="AI722" t="str">
        <f t="shared" si="147"/>
        <v>Valid</v>
      </c>
      <c r="AJ722" t="str">
        <f t="shared" si="148"/>
        <v>Valid</v>
      </c>
      <c r="AK722" t="str">
        <f t="shared" si="155"/>
        <v xml:space="preserve">Valid </v>
      </c>
      <c r="AL722" t="str">
        <f>IF(AND(Audit_Data[[#This Row],[Recency]]&gt;=0,Audit_Data[[#This Row],[Recency]]&lt;=100),"Valid","Invalid")</f>
        <v>Valid</v>
      </c>
      <c r="AM722" t="str">
        <f t="shared" si="149"/>
        <v>Valid</v>
      </c>
      <c r="AN722" t="str">
        <f t="shared" si="150"/>
        <v>Valid</v>
      </c>
      <c r="AO722" t="str">
        <f t="shared" si="151"/>
        <v>Valid</v>
      </c>
      <c r="AP722" t="str">
        <f t="shared" si="152"/>
        <v>Valid</v>
      </c>
      <c r="AQ722" t="str">
        <f>IF(Audit_Data[[#This Row],[Z_CostContact]]=3,"Valid","Invalid")</f>
        <v>Valid</v>
      </c>
      <c r="AR722" t="str">
        <f t="shared" si="153"/>
        <v>Valid</v>
      </c>
      <c r="AS722" t="str">
        <f t="shared" si="154"/>
        <v>Valid</v>
      </c>
    </row>
    <row r="723" spans="1:45" x14ac:dyDescent="0.3">
      <c r="A723">
        <v>4990</v>
      </c>
      <c r="B723">
        <v>1954</v>
      </c>
      <c r="C723" t="s">
        <v>29</v>
      </c>
      <c r="D723" t="s">
        <v>33</v>
      </c>
      <c r="E723">
        <v>59111</v>
      </c>
      <c r="F723">
        <v>0</v>
      </c>
      <c r="G723">
        <v>0</v>
      </c>
      <c r="H723" s="1">
        <v>41396</v>
      </c>
      <c r="I723">
        <v>90</v>
      </c>
      <c r="J723">
        <v>524</v>
      </c>
      <c r="K723">
        <v>0</v>
      </c>
      <c r="L723">
        <v>134</v>
      </c>
      <c r="M723">
        <v>28</v>
      </c>
      <c r="N723">
        <v>28</v>
      </c>
      <c r="O723">
        <v>155</v>
      </c>
      <c r="P723">
        <v>1</v>
      </c>
      <c r="Q723">
        <v>11</v>
      </c>
      <c r="R723">
        <v>1</v>
      </c>
      <c r="S723">
        <v>8</v>
      </c>
      <c r="T723">
        <v>7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3</v>
      </c>
      <c r="AB723">
        <v>11</v>
      </c>
      <c r="AC723">
        <v>0</v>
      </c>
      <c r="AD723" t="str">
        <f t="shared" si="143"/>
        <v>Ok</v>
      </c>
      <c r="AE723" t="str">
        <f>IF(AND(Audit_Data[[#This Row],[Year_Birth]]&gt;=1900,Audit_Data[[#This Row],[Year_Birth]]&lt;=2010),"OK","Invalid")</f>
        <v>OK</v>
      </c>
      <c r="AF723" t="str">
        <f t="shared" si="144"/>
        <v>Valid</v>
      </c>
      <c r="AG723" t="str">
        <f t="shared" si="145"/>
        <v>Valid</v>
      </c>
      <c r="AH723" t="str">
        <f t="shared" si="146"/>
        <v>Valid</v>
      </c>
      <c r="AI723" t="str">
        <f t="shared" si="147"/>
        <v>Valid</v>
      </c>
      <c r="AJ723" t="str">
        <f t="shared" si="148"/>
        <v>Valid</v>
      </c>
      <c r="AK723" t="str">
        <f t="shared" si="155"/>
        <v xml:space="preserve">Valid </v>
      </c>
      <c r="AL723" t="str">
        <f>IF(AND(Audit_Data[[#This Row],[Recency]]&gt;=0,Audit_Data[[#This Row],[Recency]]&lt;=100),"Valid","Invalid")</f>
        <v>Valid</v>
      </c>
      <c r="AM723" t="str">
        <f t="shared" si="149"/>
        <v>Valid</v>
      </c>
      <c r="AN723" t="str">
        <f t="shared" si="150"/>
        <v>Valid</v>
      </c>
      <c r="AO723" t="str">
        <f t="shared" si="151"/>
        <v>Valid</v>
      </c>
      <c r="AP723" t="str">
        <f t="shared" si="152"/>
        <v>Valid</v>
      </c>
      <c r="AQ723" t="str">
        <f>IF(Audit_Data[[#This Row],[Z_CostContact]]=3,"Valid","Invalid")</f>
        <v>Valid</v>
      </c>
      <c r="AR723" t="str">
        <f t="shared" si="153"/>
        <v>Valid</v>
      </c>
      <c r="AS723" t="str">
        <f t="shared" si="154"/>
        <v>Valid</v>
      </c>
    </row>
    <row r="724" spans="1:45" x14ac:dyDescent="0.3">
      <c r="A724">
        <v>4329</v>
      </c>
      <c r="B724">
        <v>1984</v>
      </c>
      <c r="C724" t="s">
        <v>32</v>
      </c>
      <c r="D724" t="s">
        <v>33</v>
      </c>
      <c r="E724">
        <v>18988</v>
      </c>
      <c r="F724">
        <v>1</v>
      </c>
      <c r="G724">
        <v>0</v>
      </c>
      <c r="H724" s="1">
        <v>41782</v>
      </c>
      <c r="I724">
        <v>43</v>
      </c>
      <c r="J724">
        <v>6</v>
      </c>
      <c r="K724">
        <v>0</v>
      </c>
      <c r="L724">
        <v>6</v>
      </c>
      <c r="M724">
        <v>2</v>
      </c>
      <c r="N724">
        <v>1</v>
      </c>
      <c r="O724">
        <v>1</v>
      </c>
      <c r="P724">
        <v>2</v>
      </c>
      <c r="Q724">
        <v>1</v>
      </c>
      <c r="R724">
        <v>0</v>
      </c>
      <c r="S724">
        <v>3</v>
      </c>
      <c r="T724">
        <v>7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3</v>
      </c>
      <c r="AB724">
        <v>11</v>
      </c>
      <c r="AC724">
        <v>0</v>
      </c>
      <c r="AD724" t="str">
        <f t="shared" si="143"/>
        <v>Ok</v>
      </c>
      <c r="AE724" t="str">
        <f>IF(AND(Audit_Data[[#This Row],[Year_Birth]]&gt;=1900,Audit_Data[[#This Row],[Year_Birth]]&lt;=2010),"OK","Invalid")</f>
        <v>OK</v>
      </c>
      <c r="AF724" t="str">
        <f t="shared" si="144"/>
        <v>Valid</v>
      </c>
      <c r="AG724" t="str">
        <f t="shared" si="145"/>
        <v>Valid</v>
      </c>
      <c r="AH724" t="str">
        <f t="shared" si="146"/>
        <v>Valid</v>
      </c>
      <c r="AI724" t="str">
        <f t="shared" si="147"/>
        <v>Valid</v>
      </c>
      <c r="AJ724" t="str">
        <f t="shared" si="148"/>
        <v>Valid</v>
      </c>
      <c r="AK724" t="str">
        <f t="shared" si="155"/>
        <v xml:space="preserve">Valid </v>
      </c>
      <c r="AL724" t="str">
        <f>IF(AND(Audit_Data[[#This Row],[Recency]]&gt;=0,Audit_Data[[#This Row],[Recency]]&lt;=100),"Valid","Invalid")</f>
        <v>Valid</v>
      </c>
      <c r="AM724" t="str">
        <f t="shared" si="149"/>
        <v>Valid</v>
      </c>
      <c r="AN724" t="str">
        <f t="shared" si="150"/>
        <v>Valid</v>
      </c>
      <c r="AO724" t="str">
        <f t="shared" si="151"/>
        <v>Valid</v>
      </c>
      <c r="AP724" t="str">
        <f t="shared" si="152"/>
        <v>Valid</v>
      </c>
      <c r="AQ724" t="str">
        <f>IF(Audit_Data[[#This Row],[Z_CostContact]]=3,"Valid","Invalid")</f>
        <v>Valid</v>
      </c>
      <c r="AR724" t="str">
        <f t="shared" si="153"/>
        <v>Valid</v>
      </c>
      <c r="AS724" t="str">
        <f t="shared" si="154"/>
        <v>Valid</v>
      </c>
    </row>
    <row r="725" spans="1:45" x14ac:dyDescent="0.3">
      <c r="A725">
        <v>10936</v>
      </c>
      <c r="B725">
        <v>1965</v>
      </c>
      <c r="C725" t="s">
        <v>29</v>
      </c>
      <c r="D725" t="s">
        <v>33</v>
      </c>
      <c r="E725">
        <v>72190</v>
      </c>
      <c r="F725">
        <v>0</v>
      </c>
      <c r="G725">
        <v>0</v>
      </c>
      <c r="H725" s="1">
        <v>41318</v>
      </c>
      <c r="I725">
        <v>79</v>
      </c>
      <c r="J725">
        <v>597</v>
      </c>
      <c r="K725">
        <v>166</v>
      </c>
      <c r="L725">
        <v>597</v>
      </c>
      <c r="M725">
        <v>172</v>
      </c>
      <c r="N725">
        <v>166</v>
      </c>
      <c r="O725">
        <v>249</v>
      </c>
      <c r="P725">
        <v>1</v>
      </c>
      <c r="Q725">
        <v>5</v>
      </c>
      <c r="R725">
        <v>6</v>
      </c>
      <c r="S725">
        <v>4</v>
      </c>
      <c r="T725">
        <v>3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3</v>
      </c>
      <c r="AB725">
        <v>11</v>
      </c>
      <c r="AC725">
        <v>0</v>
      </c>
      <c r="AD725" t="str">
        <f t="shared" si="143"/>
        <v>Ok</v>
      </c>
      <c r="AE725" t="str">
        <f>IF(AND(Audit_Data[[#This Row],[Year_Birth]]&gt;=1900,Audit_Data[[#This Row],[Year_Birth]]&lt;=2010),"OK","Invalid")</f>
        <v>OK</v>
      </c>
      <c r="AF725" t="str">
        <f t="shared" si="144"/>
        <v>Valid</v>
      </c>
      <c r="AG725" t="str">
        <f t="shared" si="145"/>
        <v>Valid</v>
      </c>
      <c r="AH725" t="str">
        <f t="shared" si="146"/>
        <v>Valid</v>
      </c>
      <c r="AI725" t="str">
        <f t="shared" si="147"/>
        <v>Valid</v>
      </c>
      <c r="AJ725" t="str">
        <f t="shared" si="148"/>
        <v>Valid</v>
      </c>
      <c r="AK725" t="str">
        <f t="shared" si="155"/>
        <v xml:space="preserve">Valid </v>
      </c>
      <c r="AL725" t="str">
        <f>IF(AND(Audit_Data[[#This Row],[Recency]]&gt;=0,Audit_Data[[#This Row],[Recency]]&lt;=100),"Valid","Invalid")</f>
        <v>Valid</v>
      </c>
      <c r="AM725" t="str">
        <f t="shared" si="149"/>
        <v>Valid</v>
      </c>
      <c r="AN725" t="str">
        <f t="shared" si="150"/>
        <v>Valid</v>
      </c>
      <c r="AO725" t="str">
        <f t="shared" si="151"/>
        <v>Valid</v>
      </c>
      <c r="AP725" t="str">
        <f t="shared" si="152"/>
        <v>Valid</v>
      </c>
      <c r="AQ725" t="str">
        <f>IF(Audit_Data[[#This Row],[Z_CostContact]]=3,"Valid","Invalid")</f>
        <v>Valid</v>
      </c>
      <c r="AR725" t="str">
        <f t="shared" si="153"/>
        <v>Valid</v>
      </c>
      <c r="AS725" t="str">
        <f t="shared" si="154"/>
        <v>Valid</v>
      </c>
    </row>
    <row r="726" spans="1:45" x14ac:dyDescent="0.3">
      <c r="A726">
        <v>4692</v>
      </c>
      <c r="B726">
        <v>1976</v>
      </c>
      <c r="C726" t="s">
        <v>29</v>
      </c>
      <c r="D726" t="s">
        <v>33</v>
      </c>
      <c r="E726">
        <v>7500</v>
      </c>
      <c r="F726">
        <v>1</v>
      </c>
      <c r="G726">
        <v>0</v>
      </c>
      <c r="H726" s="1">
        <v>41122</v>
      </c>
      <c r="I726">
        <v>19</v>
      </c>
      <c r="J726">
        <v>7</v>
      </c>
      <c r="K726">
        <v>0</v>
      </c>
      <c r="L726">
        <v>12</v>
      </c>
      <c r="M726">
        <v>13</v>
      </c>
      <c r="N726">
        <v>7</v>
      </c>
      <c r="O726">
        <v>32</v>
      </c>
      <c r="P726">
        <v>5</v>
      </c>
      <c r="Q726">
        <v>4</v>
      </c>
      <c r="R726">
        <v>1</v>
      </c>
      <c r="S726">
        <v>2</v>
      </c>
      <c r="T726">
        <v>9</v>
      </c>
      <c r="U726">
        <v>1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3</v>
      </c>
      <c r="AB726">
        <v>11</v>
      </c>
      <c r="AC726">
        <v>1</v>
      </c>
      <c r="AD726" t="str">
        <f t="shared" si="143"/>
        <v>Ok</v>
      </c>
      <c r="AE726" t="str">
        <f>IF(AND(Audit_Data[[#This Row],[Year_Birth]]&gt;=1900,Audit_Data[[#This Row],[Year_Birth]]&lt;=2010),"OK","Invalid")</f>
        <v>OK</v>
      </c>
      <c r="AF726" t="str">
        <f t="shared" si="144"/>
        <v>Valid</v>
      </c>
      <c r="AG726" t="str">
        <f t="shared" si="145"/>
        <v>Valid</v>
      </c>
      <c r="AH726" t="str">
        <f t="shared" si="146"/>
        <v>Valid</v>
      </c>
      <c r="AI726" t="str">
        <f t="shared" si="147"/>
        <v>Valid</v>
      </c>
      <c r="AJ726" t="str">
        <f t="shared" si="148"/>
        <v>Valid</v>
      </c>
      <c r="AK726" t="str">
        <f t="shared" si="155"/>
        <v xml:space="preserve">Valid </v>
      </c>
      <c r="AL726" t="str">
        <f>IF(AND(Audit_Data[[#This Row],[Recency]]&gt;=0,Audit_Data[[#This Row],[Recency]]&lt;=100),"Valid","Invalid")</f>
        <v>Valid</v>
      </c>
      <c r="AM726" t="str">
        <f t="shared" si="149"/>
        <v>Valid</v>
      </c>
      <c r="AN726" t="str">
        <f t="shared" si="150"/>
        <v>Valid</v>
      </c>
      <c r="AO726" t="str">
        <f t="shared" si="151"/>
        <v>Valid</v>
      </c>
      <c r="AP726" t="str">
        <f t="shared" si="152"/>
        <v>Valid</v>
      </c>
      <c r="AQ726" t="str">
        <f>IF(Audit_Data[[#This Row],[Z_CostContact]]=3,"Valid","Invalid")</f>
        <v>Valid</v>
      </c>
      <c r="AR726" t="str">
        <f t="shared" si="153"/>
        <v>Valid</v>
      </c>
      <c r="AS726" t="str">
        <f t="shared" si="154"/>
        <v>Valid</v>
      </c>
    </row>
    <row r="727" spans="1:45" x14ac:dyDescent="0.3">
      <c r="A727">
        <v>7212</v>
      </c>
      <c r="B727">
        <v>1966</v>
      </c>
      <c r="C727" t="s">
        <v>29</v>
      </c>
      <c r="D727" t="s">
        <v>33</v>
      </c>
      <c r="E727">
        <v>44794</v>
      </c>
      <c r="F727">
        <v>0</v>
      </c>
      <c r="G727">
        <v>1</v>
      </c>
      <c r="H727" s="1">
        <v>41798</v>
      </c>
      <c r="I727">
        <v>99</v>
      </c>
      <c r="J727">
        <v>54</v>
      </c>
      <c r="K727">
        <v>0</v>
      </c>
      <c r="L727">
        <v>7</v>
      </c>
      <c r="M727">
        <v>0</v>
      </c>
      <c r="N727">
        <v>0</v>
      </c>
      <c r="O727">
        <v>4</v>
      </c>
      <c r="P727">
        <v>1</v>
      </c>
      <c r="Q727">
        <v>2</v>
      </c>
      <c r="R727">
        <v>0</v>
      </c>
      <c r="S727">
        <v>3</v>
      </c>
      <c r="T727">
        <v>6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3</v>
      </c>
      <c r="AB727">
        <v>11</v>
      </c>
      <c r="AC727">
        <v>0</v>
      </c>
      <c r="AD727" t="str">
        <f t="shared" si="143"/>
        <v>Ok</v>
      </c>
      <c r="AE727" t="str">
        <f>IF(AND(Audit_Data[[#This Row],[Year_Birth]]&gt;=1900,Audit_Data[[#This Row],[Year_Birth]]&lt;=2010),"OK","Invalid")</f>
        <v>OK</v>
      </c>
      <c r="AF727" t="str">
        <f t="shared" si="144"/>
        <v>Valid</v>
      </c>
      <c r="AG727" t="str">
        <f t="shared" si="145"/>
        <v>Valid</v>
      </c>
      <c r="AH727" t="str">
        <f t="shared" si="146"/>
        <v>Valid</v>
      </c>
      <c r="AI727" t="str">
        <f t="shared" si="147"/>
        <v>Valid</v>
      </c>
      <c r="AJ727" t="str">
        <f t="shared" si="148"/>
        <v>Valid</v>
      </c>
      <c r="AK727" t="str">
        <f t="shared" si="155"/>
        <v xml:space="preserve">Valid </v>
      </c>
      <c r="AL727" t="str">
        <f>IF(AND(Audit_Data[[#This Row],[Recency]]&gt;=0,Audit_Data[[#This Row],[Recency]]&lt;=100),"Valid","Invalid")</f>
        <v>Valid</v>
      </c>
      <c r="AM727" t="str">
        <f t="shared" si="149"/>
        <v>Valid</v>
      </c>
      <c r="AN727" t="str">
        <f t="shared" si="150"/>
        <v>Valid</v>
      </c>
      <c r="AO727" t="str">
        <f t="shared" si="151"/>
        <v>Valid</v>
      </c>
      <c r="AP727" t="str">
        <f t="shared" si="152"/>
        <v>Valid</v>
      </c>
      <c r="AQ727" t="str">
        <f>IF(Audit_Data[[#This Row],[Z_CostContact]]=3,"Valid","Invalid")</f>
        <v>Valid</v>
      </c>
      <c r="AR727" t="str">
        <f t="shared" si="153"/>
        <v>Valid</v>
      </c>
      <c r="AS727" t="str">
        <f t="shared" si="154"/>
        <v>Valid</v>
      </c>
    </row>
    <row r="728" spans="1:45" x14ac:dyDescent="0.3">
      <c r="A728">
        <v>6086</v>
      </c>
      <c r="B728">
        <v>1955</v>
      </c>
      <c r="C728" t="s">
        <v>29</v>
      </c>
      <c r="D728" t="s">
        <v>33</v>
      </c>
      <c r="E728">
        <v>80395</v>
      </c>
      <c r="F728">
        <v>0</v>
      </c>
      <c r="G728">
        <v>0</v>
      </c>
      <c r="H728" s="1">
        <v>41601</v>
      </c>
      <c r="I728">
        <v>62</v>
      </c>
      <c r="J728">
        <v>445</v>
      </c>
      <c r="K728">
        <v>25</v>
      </c>
      <c r="L728">
        <v>706</v>
      </c>
      <c r="M728">
        <v>80</v>
      </c>
      <c r="N728">
        <v>76</v>
      </c>
      <c r="O728">
        <v>48</v>
      </c>
      <c r="P728">
        <v>1</v>
      </c>
      <c r="Q728">
        <v>6</v>
      </c>
      <c r="R728">
        <v>5</v>
      </c>
      <c r="S728">
        <v>12</v>
      </c>
      <c r="T728">
        <v>2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0</v>
      </c>
      <c r="AA728">
        <v>3</v>
      </c>
      <c r="AB728">
        <v>11</v>
      </c>
      <c r="AC728">
        <v>0</v>
      </c>
      <c r="AD728" t="str">
        <f t="shared" si="143"/>
        <v>Ok</v>
      </c>
      <c r="AE728" t="str">
        <f>IF(AND(Audit_Data[[#This Row],[Year_Birth]]&gt;=1900,Audit_Data[[#This Row],[Year_Birth]]&lt;=2010),"OK","Invalid")</f>
        <v>OK</v>
      </c>
      <c r="AF728" t="str">
        <f t="shared" si="144"/>
        <v>Valid</v>
      </c>
      <c r="AG728" t="str">
        <f t="shared" si="145"/>
        <v>Valid</v>
      </c>
      <c r="AH728" t="str">
        <f t="shared" si="146"/>
        <v>Valid</v>
      </c>
      <c r="AI728" t="str">
        <f t="shared" si="147"/>
        <v>Valid</v>
      </c>
      <c r="AJ728" t="str">
        <f t="shared" si="148"/>
        <v>Valid</v>
      </c>
      <c r="AK728" t="str">
        <f t="shared" si="155"/>
        <v xml:space="preserve">Valid </v>
      </c>
      <c r="AL728" t="str">
        <f>IF(AND(Audit_Data[[#This Row],[Recency]]&gt;=0,Audit_Data[[#This Row],[Recency]]&lt;=100),"Valid","Invalid")</f>
        <v>Valid</v>
      </c>
      <c r="AM728" t="str">
        <f t="shared" si="149"/>
        <v>Valid</v>
      </c>
      <c r="AN728" t="str">
        <f t="shared" si="150"/>
        <v>Valid</v>
      </c>
      <c r="AO728" t="str">
        <f t="shared" si="151"/>
        <v>Valid</v>
      </c>
      <c r="AP728" t="str">
        <f t="shared" si="152"/>
        <v>Valid</v>
      </c>
      <c r="AQ728" t="str">
        <f>IF(Audit_Data[[#This Row],[Z_CostContact]]=3,"Valid","Invalid")</f>
        <v>Valid</v>
      </c>
      <c r="AR728" t="str">
        <f t="shared" si="153"/>
        <v>Valid</v>
      </c>
      <c r="AS728" t="str">
        <f t="shared" si="154"/>
        <v>Valid</v>
      </c>
    </row>
    <row r="729" spans="1:45" x14ac:dyDescent="0.3">
      <c r="A729">
        <v>437</v>
      </c>
      <c r="B729">
        <v>1976</v>
      </c>
      <c r="C729" t="s">
        <v>34</v>
      </c>
      <c r="D729" t="s">
        <v>35</v>
      </c>
      <c r="E729">
        <v>75012</v>
      </c>
      <c r="F729">
        <v>0</v>
      </c>
      <c r="G729">
        <v>0</v>
      </c>
      <c r="H729" s="1">
        <v>41664</v>
      </c>
      <c r="I729">
        <v>41</v>
      </c>
      <c r="J729">
        <v>294</v>
      </c>
      <c r="K729">
        <v>142</v>
      </c>
      <c r="L729">
        <v>218</v>
      </c>
      <c r="M729">
        <v>164</v>
      </c>
      <c r="N729">
        <v>58</v>
      </c>
      <c r="O729">
        <v>151</v>
      </c>
      <c r="P729">
        <v>1</v>
      </c>
      <c r="Q729">
        <v>3</v>
      </c>
      <c r="R729">
        <v>8</v>
      </c>
      <c r="S729">
        <v>11</v>
      </c>
      <c r="T729">
        <v>1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3</v>
      </c>
      <c r="AB729">
        <v>11</v>
      </c>
      <c r="AC729">
        <v>0</v>
      </c>
      <c r="AD729" t="str">
        <f t="shared" si="143"/>
        <v>Ok</v>
      </c>
      <c r="AE729" t="str">
        <f>IF(AND(Audit_Data[[#This Row],[Year_Birth]]&gt;=1900,Audit_Data[[#This Row],[Year_Birth]]&lt;=2010),"OK","Invalid")</f>
        <v>OK</v>
      </c>
      <c r="AF729" t="str">
        <f t="shared" si="144"/>
        <v>Valid</v>
      </c>
      <c r="AG729" t="str">
        <f t="shared" si="145"/>
        <v>Valid</v>
      </c>
      <c r="AH729" t="str">
        <f t="shared" si="146"/>
        <v>Valid</v>
      </c>
      <c r="AI729" t="str">
        <f t="shared" si="147"/>
        <v>Valid</v>
      </c>
      <c r="AJ729" t="str">
        <f t="shared" si="148"/>
        <v>Valid</v>
      </c>
      <c r="AK729" t="str">
        <f t="shared" si="155"/>
        <v xml:space="preserve">Valid </v>
      </c>
      <c r="AL729" t="str">
        <f>IF(AND(Audit_Data[[#This Row],[Recency]]&gt;=0,Audit_Data[[#This Row],[Recency]]&lt;=100),"Valid","Invalid")</f>
        <v>Valid</v>
      </c>
      <c r="AM729" t="str">
        <f t="shared" si="149"/>
        <v>Valid</v>
      </c>
      <c r="AN729" t="str">
        <f t="shared" si="150"/>
        <v>Valid</v>
      </c>
      <c r="AO729" t="str">
        <f t="shared" si="151"/>
        <v>Valid</v>
      </c>
      <c r="AP729" t="str">
        <f t="shared" si="152"/>
        <v>Valid</v>
      </c>
      <c r="AQ729" t="str">
        <f>IF(Audit_Data[[#This Row],[Z_CostContact]]=3,"Valid","Invalid")</f>
        <v>Valid</v>
      </c>
      <c r="AR729" t="str">
        <f t="shared" si="153"/>
        <v>Valid</v>
      </c>
      <c r="AS729" t="str">
        <f t="shared" si="154"/>
        <v>Valid</v>
      </c>
    </row>
    <row r="730" spans="1:45" x14ac:dyDescent="0.3">
      <c r="A730">
        <v>11171</v>
      </c>
      <c r="B730">
        <v>1965</v>
      </c>
      <c r="C730" t="s">
        <v>34</v>
      </c>
      <c r="D730" t="s">
        <v>33</v>
      </c>
      <c r="E730">
        <v>56962</v>
      </c>
      <c r="F730">
        <v>2</v>
      </c>
      <c r="G730">
        <v>1</v>
      </c>
      <c r="H730" s="1">
        <v>41558</v>
      </c>
      <c r="I730">
        <v>60</v>
      </c>
      <c r="J730">
        <v>292</v>
      </c>
      <c r="K730">
        <v>3</v>
      </c>
      <c r="L730">
        <v>77</v>
      </c>
      <c r="M730">
        <v>10</v>
      </c>
      <c r="N730">
        <v>3</v>
      </c>
      <c r="O730">
        <v>26</v>
      </c>
      <c r="P730">
        <v>7</v>
      </c>
      <c r="Q730">
        <v>6</v>
      </c>
      <c r="R730">
        <v>3</v>
      </c>
      <c r="S730">
        <v>5</v>
      </c>
      <c r="T730">
        <v>7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3</v>
      </c>
      <c r="AB730">
        <v>11</v>
      </c>
      <c r="AC730">
        <v>0</v>
      </c>
      <c r="AD730" t="str">
        <f t="shared" si="143"/>
        <v>Ok</v>
      </c>
      <c r="AE730" t="str">
        <f>IF(AND(Audit_Data[[#This Row],[Year_Birth]]&gt;=1900,Audit_Data[[#This Row],[Year_Birth]]&lt;=2010),"OK","Invalid")</f>
        <v>OK</v>
      </c>
      <c r="AF730" t="str">
        <f t="shared" si="144"/>
        <v>Valid</v>
      </c>
      <c r="AG730" t="str">
        <f t="shared" si="145"/>
        <v>Valid</v>
      </c>
      <c r="AH730" t="str">
        <f t="shared" si="146"/>
        <v>Valid</v>
      </c>
      <c r="AI730" t="str">
        <f t="shared" si="147"/>
        <v>Valid</v>
      </c>
      <c r="AJ730" t="str">
        <f t="shared" si="148"/>
        <v>Valid</v>
      </c>
      <c r="AK730" t="str">
        <f t="shared" si="155"/>
        <v xml:space="preserve">Valid </v>
      </c>
      <c r="AL730" t="str">
        <f>IF(AND(Audit_Data[[#This Row],[Recency]]&gt;=0,Audit_Data[[#This Row],[Recency]]&lt;=100),"Valid","Invalid")</f>
        <v>Valid</v>
      </c>
      <c r="AM730" t="str">
        <f t="shared" si="149"/>
        <v>Valid</v>
      </c>
      <c r="AN730" t="str">
        <f t="shared" si="150"/>
        <v>Valid</v>
      </c>
      <c r="AO730" t="str">
        <f t="shared" si="151"/>
        <v>Valid</v>
      </c>
      <c r="AP730" t="str">
        <f t="shared" si="152"/>
        <v>Valid</v>
      </c>
      <c r="AQ730" t="str">
        <f>IF(Audit_Data[[#This Row],[Z_CostContact]]=3,"Valid","Invalid")</f>
        <v>Valid</v>
      </c>
      <c r="AR730" t="str">
        <f t="shared" si="153"/>
        <v>Valid</v>
      </c>
      <c r="AS730" t="str">
        <f t="shared" si="154"/>
        <v>Valid</v>
      </c>
    </row>
    <row r="731" spans="1:45" x14ac:dyDescent="0.3">
      <c r="A731">
        <v>11101</v>
      </c>
      <c r="B731">
        <v>1991</v>
      </c>
      <c r="C731" t="s">
        <v>29</v>
      </c>
      <c r="D731" t="s">
        <v>31</v>
      </c>
      <c r="E731">
        <v>89891</v>
      </c>
      <c r="F731">
        <v>0</v>
      </c>
      <c r="G731">
        <v>0</v>
      </c>
      <c r="H731" s="1">
        <v>41379</v>
      </c>
      <c r="I731">
        <v>17</v>
      </c>
      <c r="J731">
        <v>412</v>
      </c>
      <c r="K731">
        <v>22</v>
      </c>
      <c r="L731">
        <v>132</v>
      </c>
      <c r="M731">
        <v>59</v>
      </c>
      <c r="N731">
        <v>28</v>
      </c>
      <c r="O731">
        <v>183</v>
      </c>
      <c r="P731">
        <v>1</v>
      </c>
      <c r="Q731">
        <v>11</v>
      </c>
      <c r="R731">
        <v>6</v>
      </c>
      <c r="S731">
        <v>8</v>
      </c>
      <c r="T731">
        <v>4</v>
      </c>
      <c r="U731">
        <v>0</v>
      </c>
      <c r="V731">
        <v>0</v>
      </c>
      <c r="W731">
        <v>1</v>
      </c>
      <c r="X731">
        <v>0</v>
      </c>
      <c r="Y731">
        <v>0</v>
      </c>
      <c r="Z731">
        <v>0</v>
      </c>
      <c r="AA731">
        <v>3</v>
      </c>
      <c r="AB731">
        <v>11</v>
      </c>
      <c r="AC731">
        <v>0</v>
      </c>
      <c r="AD731" t="str">
        <f t="shared" si="143"/>
        <v>Ok</v>
      </c>
      <c r="AE731" t="str">
        <f>IF(AND(Audit_Data[[#This Row],[Year_Birth]]&gt;=1900,Audit_Data[[#This Row],[Year_Birth]]&lt;=2010),"OK","Invalid")</f>
        <v>OK</v>
      </c>
      <c r="AF731" t="str">
        <f t="shared" si="144"/>
        <v>Valid</v>
      </c>
      <c r="AG731" t="str">
        <f t="shared" si="145"/>
        <v>Valid</v>
      </c>
      <c r="AH731" t="str">
        <f t="shared" si="146"/>
        <v>Valid</v>
      </c>
      <c r="AI731" t="str">
        <f t="shared" si="147"/>
        <v>Valid</v>
      </c>
      <c r="AJ731" t="str">
        <f t="shared" si="148"/>
        <v>Valid</v>
      </c>
      <c r="AK731" t="str">
        <f t="shared" si="155"/>
        <v xml:space="preserve">Valid </v>
      </c>
      <c r="AL731" t="str">
        <f>IF(AND(Audit_Data[[#This Row],[Recency]]&gt;=0,Audit_Data[[#This Row],[Recency]]&lt;=100),"Valid","Invalid")</f>
        <v>Valid</v>
      </c>
      <c r="AM731" t="str">
        <f t="shared" si="149"/>
        <v>Valid</v>
      </c>
      <c r="AN731" t="str">
        <f t="shared" si="150"/>
        <v>Valid</v>
      </c>
      <c r="AO731" t="str">
        <f t="shared" si="151"/>
        <v>Valid</v>
      </c>
      <c r="AP731" t="str">
        <f t="shared" si="152"/>
        <v>Valid</v>
      </c>
      <c r="AQ731" t="str">
        <f>IF(Audit_Data[[#This Row],[Z_CostContact]]=3,"Valid","Invalid")</f>
        <v>Valid</v>
      </c>
      <c r="AR731" t="str">
        <f t="shared" si="153"/>
        <v>Valid</v>
      </c>
      <c r="AS731" t="str">
        <f t="shared" si="154"/>
        <v>Valid</v>
      </c>
    </row>
    <row r="732" spans="1:45" x14ac:dyDescent="0.3">
      <c r="A732">
        <v>5329</v>
      </c>
      <c r="B732">
        <v>1949</v>
      </c>
      <c r="C732" t="s">
        <v>32</v>
      </c>
      <c r="D732" t="s">
        <v>35</v>
      </c>
      <c r="E732">
        <v>35946</v>
      </c>
      <c r="F732">
        <v>1</v>
      </c>
      <c r="G732">
        <v>1</v>
      </c>
      <c r="H732" s="1">
        <v>41544</v>
      </c>
      <c r="I732">
        <v>24</v>
      </c>
      <c r="J732">
        <v>8</v>
      </c>
      <c r="K732">
        <v>0</v>
      </c>
      <c r="L732">
        <v>3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3</v>
      </c>
      <c r="T732">
        <v>5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3</v>
      </c>
      <c r="AB732">
        <v>11</v>
      </c>
      <c r="AC732">
        <v>0</v>
      </c>
      <c r="AD732" t="str">
        <f t="shared" si="143"/>
        <v>Ok</v>
      </c>
      <c r="AE732" t="str">
        <f>IF(AND(Audit_Data[[#This Row],[Year_Birth]]&gt;=1900,Audit_Data[[#This Row],[Year_Birth]]&lt;=2010),"OK","Invalid")</f>
        <v>OK</v>
      </c>
      <c r="AF732" t="str">
        <f t="shared" si="144"/>
        <v>Valid</v>
      </c>
      <c r="AG732" t="str">
        <f t="shared" si="145"/>
        <v>Valid</v>
      </c>
      <c r="AH732" t="str">
        <f t="shared" si="146"/>
        <v>Valid</v>
      </c>
      <c r="AI732" t="str">
        <f t="shared" si="147"/>
        <v>Valid</v>
      </c>
      <c r="AJ732" t="str">
        <f t="shared" si="148"/>
        <v>Valid</v>
      </c>
      <c r="AK732" t="str">
        <f t="shared" si="155"/>
        <v xml:space="preserve">Valid </v>
      </c>
      <c r="AL732" t="str">
        <f>IF(AND(Audit_Data[[#This Row],[Recency]]&gt;=0,Audit_Data[[#This Row],[Recency]]&lt;=100),"Valid","Invalid")</f>
        <v>Valid</v>
      </c>
      <c r="AM732" t="str">
        <f t="shared" si="149"/>
        <v>Valid</v>
      </c>
      <c r="AN732" t="str">
        <f t="shared" si="150"/>
        <v>Valid</v>
      </c>
      <c r="AO732" t="str">
        <f t="shared" si="151"/>
        <v>Valid</v>
      </c>
      <c r="AP732" t="str">
        <f t="shared" si="152"/>
        <v>Valid</v>
      </c>
      <c r="AQ732" t="str">
        <f>IF(Audit_Data[[#This Row],[Z_CostContact]]=3,"Valid","Invalid")</f>
        <v>Valid</v>
      </c>
      <c r="AR732" t="str">
        <f t="shared" si="153"/>
        <v>Valid</v>
      </c>
      <c r="AS732" t="str">
        <f t="shared" si="154"/>
        <v>Valid</v>
      </c>
    </row>
    <row r="733" spans="1:45" x14ac:dyDescent="0.3">
      <c r="A733">
        <v>610</v>
      </c>
      <c r="B733">
        <v>1953</v>
      </c>
      <c r="C733" t="s">
        <v>32</v>
      </c>
      <c r="D733" t="s">
        <v>31</v>
      </c>
      <c r="E733">
        <v>53593</v>
      </c>
      <c r="F733">
        <v>1</v>
      </c>
      <c r="G733">
        <v>1</v>
      </c>
      <c r="H733" s="1">
        <v>41128</v>
      </c>
      <c r="I733">
        <v>60</v>
      </c>
      <c r="J733">
        <v>349</v>
      </c>
      <c r="K733">
        <v>4</v>
      </c>
      <c r="L733">
        <v>78</v>
      </c>
      <c r="M733">
        <v>6</v>
      </c>
      <c r="N733">
        <v>0</v>
      </c>
      <c r="O733">
        <v>43</v>
      </c>
      <c r="P733">
        <v>8</v>
      </c>
      <c r="Q733">
        <v>7</v>
      </c>
      <c r="R733">
        <v>2</v>
      </c>
      <c r="S733">
        <v>6</v>
      </c>
      <c r="T733">
        <v>8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3</v>
      </c>
      <c r="AB733">
        <v>11</v>
      </c>
      <c r="AC733">
        <v>0</v>
      </c>
      <c r="AD733" t="str">
        <f t="shared" si="143"/>
        <v>Ok</v>
      </c>
      <c r="AE733" t="str">
        <f>IF(AND(Audit_Data[[#This Row],[Year_Birth]]&gt;=1900,Audit_Data[[#This Row],[Year_Birth]]&lt;=2010),"OK","Invalid")</f>
        <v>OK</v>
      </c>
      <c r="AF733" t="str">
        <f t="shared" si="144"/>
        <v>Valid</v>
      </c>
      <c r="AG733" t="str">
        <f t="shared" si="145"/>
        <v>Valid</v>
      </c>
      <c r="AH733" t="str">
        <f t="shared" si="146"/>
        <v>Valid</v>
      </c>
      <c r="AI733" t="str">
        <f t="shared" si="147"/>
        <v>Valid</v>
      </c>
      <c r="AJ733" t="str">
        <f t="shared" si="148"/>
        <v>Valid</v>
      </c>
      <c r="AK733" t="str">
        <f t="shared" si="155"/>
        <v xml:space="preserve">Valid </v>
      </c>
      <c r="AL733" t="str">
        <f>IF(AND(Audit_Data[[#This Row],[Recency]]&gt;=0,Audit_Data[[#This Row],[Recency]]&lt;=100),"Valid","Invalid")</f>
        <v>Valid</v>
      </c>
      <c r="AM733" t="str">
        <f t="shared" si="149"/>
        <v>Valid</v>
      </c>
      <c r="AN733" t="str">
        <f t="shared" si="150"/>
        <v>Valid</v>
      </c>
      <c r="AO733" t="str">
        <f t="shared" si="151"/>
        <v>Valid</v>
      </c>
      <c r="AP733" t="str">
        <f t="shared" si="152"/>
        <v>Valid</v>
      </c>
      <c r="AQ733" t="str">
        <f>IF(Audit_Data[[#This Row],[Z_CostContact]]=3,"Valid","Invalid")</f>
        <v>Valid</v>
      </c>
      <c r="AR733" t="str">
        <f t="shared" si="153"/>
        <v>Valid</v>
      </c>
      <c r="AS733" t="str">
        <f t="shared" si="154"/>
        <v>Valid</v>
      </c>
    </row>
    <row r="734" spans="1:45" x14ac:dyDescent="0.3">
      <c r="A734">
        <v>9384</v>
      </c>
      <c r="B734">
        <v>1978</v>
      </c>
      <c r="C734" t="s">
        <v>29</v>
      </c>
      <c r="D734" t="s">
        <v>33</v>
      </c>
      <c r="E734">
        <v>66373</v>
      </c>
      <c r="F734">
        <v>1</v>
      </c>
      <c r="G734">
        <v>1</v>
      </c>
      <c r="H734" s="1">
        <v>41437</v>
      </c>
      <c r="I734">
        <v>57</v>
      </c>
      <c r="J734">
        <v>328</v>
      </c>
      <c r="K734">
        <v>9</v>
      </c>
      <c r="L734">
        <v>124</v>
      </c>
      <c r="M734">
        <v>12</v>
      </c>
      <c r="N734">
        <v>24</v>
      </c>
      <c r="O734">
        <v>109</v>
      </c>
      <c r="P734">
        <v>7</v>
      </c>
      <c r="Q734">
        <v>4</v>
      </c>
      <c r="R734">
        <v>2</v>
      </c>
      <c r="S734">
        <v>10</v>
      </c>
      <c r="T734">
        <v>3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3</v>
      </c>
      <c r="AB734">
        <v>11</v>
      </c>
      <c r="AC734">
        <v>0</v>
      </c>
      <c r="AD734" t="str">
        <f t="shared" si="143"/>
        <v>Ok</v>
      </c>
      <c r="AE734" t="str">
        <f>IF(AND(Audit_Data[[#This Row],[Year_Birth]]&gt;=1900,Audit_Data[[#This Row],[Year_Birth]]&lt;=2010),"OK","Invalid")</f>
        <v>OK</v>
      </c>
      <c r="AF734" t="str">
        <f t="shared" si="144"/>
        <v>Valid</v>
      </c>
      <c r="AG734" t="str">
        <f t="shared" si="145"/>
        <v>Valid</v>
      </c>
      <c r="AH734" t="str">
        <f t="shared" si="146"/>
        <v>Valid</v>
      </c>
      <c r="AI734" t="str">
        <f t="shared" si="147"/>
        <v>Valid</v>
      </c>
      <c r="AJ734" t="str">
        <f t="shared" si="148"/>
        <v>Valid</v>
      </c>
      <c r="AK734" t="str">
        <f t="shared" si="155"/>
        <v xml:space="preserve">Valid </v>
      </c>
      <c r="AL734" t="str">
        <f>IF(AND(Audit_Data[[#This Row],[Recency]]&gt;=0,Audit_Data[[#This Row],[Recency]]&lt;=100),"Valid","Invalid")</f>
        <v>Valid</v>
      </c>
      <c r="AM734" t="str">
        <f t="shared" si="149"/>
        <v>Valid</v>
      </c>
      <c r="AN734" t="str">
        <f t="shared" si="150"/>
        <v>Valid</v>
      </c>
      <c r="AO734" t="str">
        <f t="shared" si="151"/>
        <v>Valid</v>
      </c>
      <c r="AP734" t="str">
        <f t="shared" si="152"/>
        <v>Valid</v>
      </c>
      <c r="AQ734" t="str">
        <f>IF(Audit_Data[[#This Row],[Z_CostContact]]=3,"Valid","Invalid")</f>
        <v>Valid</v>
      </c>
      <c r="AR734" t="str">
        <f t="shared" si="153"/>
        <v>Valid</v>
      </c>
      <c r="AS734" t="str">
        <f t="shared" si="154"/>
        <v>Valid</v>
      </c>
    </row>
    <row r="735" spans="1:45" x14ac:dyDescent="0.3">
      <c r="A735">
        <v>5956</v>
      </c>
      <c r="B735">
        <v>1948</v>
      </c>
      <c r="C735" t="s">
        <v>32</v>
      </c>
      <c r="D735" t="s">
        <v>35</v>
      </c>
      <c r="E735">
        <v>45072</v>
      </c>
      <c r="F735">
        <v>1</v>
      </c>
      <c r="G735">
        <v>2</v>
      </c>
      <c r="H735" s="1">
        <v>41563</v>
      </c>
      <c r="I735">
        <v>74</v>
      </c>
      <c r="J735">
        <v>144</v>
      </c>
      <c r="K735">
        <v>2</v>
      </c>
      <c r="L735">
        <v>99</v>
      </c>
      <c r="M735">
        <v>7</v>
      </c>
      <c r="N735">
        <v>2</v>
      </c>
      <c r="O735">
        <v>30</v>
      </c>
      <c r="P735">
        <v>5</v>
      </c>
      <c r="Q735">
        <v>6</v>
      </c>
      <c r="R735">
        <v>1</v>
      </c>
      <c r="S735">
        <v>4</v>
      </c>
      <c r="T735">
        <v>8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3</v>
      </c>
      <c r="AB735">
        <v>11</v>
      </c>
      <c r="AC735">
        <v>0</v>
      </c>
      <c r="AD735" t="str">
        <f t="shared" si="143"/>
        <v>Ok</v>
      </c>
      <c r="AE735" t="str">
        <f>IF(AND(Audit_Data[[#This Row],[Year_Birth]]&gt;=1900,Audit_Data[[#This Row],[Year_Birth]]&lt;=2010),"OK","Invalid")</f>
        <v>OK</v>
      </c>
      <c r="AF735" t="str">
        <f t="shared" si="144"/>
        <v>Valid</v>
      </c>
      <c r="AG735" t="str">
        <f t="shared" si="145"/>
        <v>Valid</v>
      </c>
      <c r="AH735" t="str">
        <f t="shared" si="146"/>
        <v>Valid</v>
      </c>
      <c r="AI735" t="str">
        <f t="shared" si="147"/>
        <v>Valid</v>
      </c>
      <c r="AJ735" t="str">
        <f t="shared" si="148"/>
        <v>Valid</v>
      </c>
      <c r="AK735" t="str">
        <f t="shared" si="155"/>
        <v xml:space="preserve">Valid </v>
      </c>
      <c r="AL735" t="str">
        <f>IF(AND(Audit_Data[[#This Row],[Recency]]&gt;=0,Audit_Data[[#This Row],[Recency]]&lt;=100),"Valid","Invalid")</f>
        <v>Valid</v>
      </c>
      <c r="AM735" t="str">
        <f t="shared" si="149"/>
        <v>Valid</v>
      </c>
      <c r="AN735" t="str">
        <f t="shared" si="150"/>
        <v>Valid</v>
      </c>
      <c r="AO735" t="str">
        <f t="shared" si="151"/>
        <v>Valid</v>
      </c>
      <c r="AP735" t="str">
        <f t="shared" si="152"/>
        <v>Valid</v>
      </c>
      <c r="AQ735" t="str">
        <f>IF(Audit_Data[[#This Row],[Z_CostContact]]=3,"Valid","Invalid")</f>
        <v>Valid</v>
      </c>
      <c r="AR735" t="str">
        <f t="shared" si="153"/>
        <v>Valid</v>
      </c>
      <c r="AS735" t="str">
        <f t="shared" si="154"/>
        <v>Valid</v>
      </c>
    </row>
    <row r="736" spans="1:45" x14ac:dyDescent="0.3">
      <c r="A736">
        <v>10430</v>
      </c>
      <c r="B736">
        <v>1973</v>
      </c>
      <c r="C736" t="s">
        <v>29</v>
      </c>
      <c r="D736" t="s">
        <v>35</v>
      </c>
      <c r="E736">
        <v>89694</v>
      </c>
      <c r="F736">
        <v>1</v>
      </c>
      <c r="G736">
        <v>1</v>
      </c>
      <c r="H736" s="1">
        <v>41556</v>
      </c>
      <c r="I736">
        <v>22</v>
      </c>
      <c r="J736">
        <v>1126</v>
      </c>
      <c r="K736">
        <v>28</v>
      </c>
      <c r="L736">
        <v>211</v>
      </c>
      <c r="M736">
        <v>37</v>
      </c>
      <c r="N736">
        <v>28</v>
      </c>
      <c r="O736">
        <v>42</v>
      </c>
      <c r="P736">
        <v>3</v>
      </c>
      <c r="Q736">
        <v>4</v>
      </c>
      <c r="R736">
        <v>3</v>
      </c>
      <c r="S736">
        <v>4</v>
      </c>
      <c r="T736">
        <v>5</v>
      </c>
      <c r="U736">
        <v>0</v>
      </c>
      <c r="V736">
        <v>1</v>
      </c>
      <c r="W736">
        <v>1</v>
      </c>
      <c r="X736">
        <v>1</v>
      </c>
      <c r="Y736">
        <v>0</v>
      </c>
      <c r="Z736">
        <v>0</v>
      </c>
      <c r="AA736">
        <v>3</v>
      </c>
      <c r="AB736">
        <v>11</v>
      </c>
      <c r="AC736">
        <v>0</v>
      </c>
      <c r="AD736" t="str">
        <f t="shared" si="143"/>
        <v>Ok</v>
      </c>
      <c r="AE736" t="str">
        <f>IF(AND(Audit_Data[[#This Row],[Year_Birth]]&gt;=1900,Audit_Data[[#This Row],[Year_Birth]]&lt;=2010),"OK","Invalid")</f>
        <v>OK</v>
      </c>
      <c r="AF736" t="str">
        <f t="shared" si="144"/>
        <v>Valid</v>
      </c>
      <c r="AG736" t="str">
        <f t="shared" si="145"/>
        <v>Valid</v>
      </c>
      <c r="AH736" t="str">
        <f t="shared" si="146"/>
        <v>Valid</v>
      </c>
      <c r="AI736" t="str">
        <f t="shared" si="147"/>
        <v>Valid</v>
      </c>
      <c r="AJ736" t="str">
        <f t="shared" si="148"/>
        <v>Valid</v>
      </c>
      <c r="AK736" t="str">
        <f t="shared" si="155"/>
        <v xml:space="preserve">Valid </v>
      </c>
      <c r="AL736" t="str">
        <f>IF(AND(Audit_Data[[#This Row],[Recency]]&gt;=0,Audit_Data[[#This Row],[Recency]]&lt;=100),"Valid","Invalid")</f>
        <v>Valid</v>
      </c>
      <c r="AM736" t="str">
        <f t="shared" si="149"/>
        <v>Valid</v>
      </c>
      <c r="AN736" t="str">
        <f t="shared" si="150"/>
        <v>Valid</v>
      </c>
      <c r="AO736" t="str">
        <f t="shared" si="151"/>
        <v>Valid</v>
      </c>
      <c r="AP736" t="str">
        <f t="shared" si="152"/>
        <v>Valid</v>
      </c>
      <c r="AQ736" t="str">
        <f>IF(Audit_Data[[#This Row],[Z_CostContact]]=3,"Valid","Invalid")</f>
        <v>Valid</v>
      </c>
      <c r="AR736" t="str">
        <f t="shared" si="153"/>
        <v>Valid</v>
      </c>
      <c r="AS736" t="str">
        <f t="shared" si="154"/>
        <v>Valid</v>
      </c>
    </row>
    <row r="737" spans="1:45" x14ac:dyDescent="0.3">
      <c r="A737">
        <v>7875</v>
      </c>
      <c r="B737">
        <v>1949</v>
      </c>
      <c r="C737" t="s">
        <v>29</v>
      </c>
      <c r="D737" t="s">
        <v>33</v>
      </c>
      <c r="E737">
        <v>72025</v>
      </c>
      <c r="F737">
        <v>0</v>
      </c>
      <c r="G737">
        <v>0</v>
      </c>
      <c r="H737" s="1">
        <v>41758</v>
      </c>
      <c r="I737">
        <v>46</v>
      </c>
      <c r="J737">
        <v>967</v>
      </c>
      <c r="K737">
        <v>0</v>
      </c>
      <c r="L737">
        <v>617</v>
      </c>
      <c r="M737">
        <v>43</v>
      </c>
      <c r="N737">
        <v>50</v>
      </c>
      <c r="O737">
        <v>0</v>
      </c>
      <c r="P737">
        <v>1</v>
      </c>
      <c r="Q737">
        <v>4</v>
      </c>
      <c r="R737">
        <v>8</v>
      </c>
      <c r="S737">
        <v>13</v>
      </c>
      <c r="T737">
        <v>2</v>
      </c>
      <c r="U737">
        <v>0</v>
      </c>
      <c r="V737">
        <v>1</v>
      </c>
      <c r="W737">
        <v>1</v>
      </c>
      <c r="X737">
        <v>1</v>
      </c>
      <c r="Y737">
        <v>0</v>
      </c>
      <c r="Z737">
        <v>0</v>
      </c>
      <c r="AA737">
        <v>3</v>
      </c>
      <c r="AB737">
        <v>11</v>
      </c>
      <c r="AC737">
        <v>1</v>
      </c>
      <c r="AD737" t="str">
        <f t="shared" si="143"/>
        <v>Ok</v>
      </c>
      <c r="AE737" t="str">
        <f>IF(AND(Audit_Data[[#This Row],[Year_Birth]]&gt;=1900,Audit_Data[[#This Row],[Year_Birth]]&lt;=2010),"OK","Invalid")</f>
        <v>OK</v>
      </c>
      <c r="AF737" t="str">
        <f t="shared" si="144"/>
        <v>Valid</v>
      </c>
      <c r="AG737" t="str">
        <f t="shared" si="145"/>
        <v>Valid</v>
      </c>
      <c r="AH737" t="str">
        <f t="shared" si="146"/>
        <v>Valid</v>
      </c>
      <c r="AI737" t="str">
        <f t="shared" si="147"/>
        <v>Valid</v>
      </c>
      <c r="AJ737" t="str">
        <f t="shared" si="148"/>
        <v>Valid</v>
      </c>
      <c r="AK737" t="str">
        <f t="shared" si="155"/>
        <v xml:space="preserve">Valid </v>
      </c>
      <c r="AL737" t="str">
        <f>IF(AND(Audit_Data[[#This Row],[Recency]]&gt;=0,Audit_Data[[#This Row],[Recency]]&lt;=100),"Valid","Invalid")</f>
        <v>Valid</v>
      </c>
      <c r="AM737" t="str">
        <f t="shared" si="149"/>
        <v>Valid</v>
      </c>
      <c r="AN737" t="str">
        <f t="shared" si="150"/>
        <v>Valid</v>
      </c>
      <c r="AO737" t="str">
        <f t="shared" si="151"/>
        <v>Valid</v>
      </c>
      <c r="AP737" t="str">
        <f t="shared" si="152"/>
        <v>Valid</v>
      </c>
      <c r="AQ737" t="str">
        <f>IF(Audit_Data[[#This Row],[Z_CostContact]]=3,"Valid","Invalid")</f>
        <v>Valid</v>
      </c>
      <c r="AR737" t="str">
        <f t="shared" si="153"/>
        <v>Valid</v>
      </c>
      <c r="AS737" t="str">
        <f t="shared" si="154"/>
        <v>Valid</v>
      </c>
    </row>
    <row r="738" spans="1:45" x14ac:dyDescent="0.3">
      <c r="A738">
        <v>7072</v>
      </c>
      <c r="B738">
        <v>1973</v>
      </c>
      <c r="C738" t="s">
        <v>29</v>
      </c>
      <c r="D738" t="s">
        <v>33</v>
      </c>
      <c r="E738">
        <v>67432</v>
      </c>
      <c r="F738">
        <v>0</v>
      </c>
      <c r="G738">
        <v>1</v>
      </c>
      <c r="H738" s="1">
        <v>41362</v>
      </c>
      <c r="I738">
        <v>69</v>
      </c>
      <c r="J738">
        <v>432</v>
      </c>
      <c r="K738">
        <v>79</v>
      </c>
      <c r="L738">
        <v>341</v>
      </c>
      <c r="M738">
        <v>177</v>
      </c>
      <c r="N738">
        <v>136</v>
      </c>
      <c r="O738">
        <v>170</v>
      </c>
      <c r="P738">
        <v>2</v>
      </c>
      <c r="Q738">
        <v>8</v>
      </c>
      <c r="R738">
        <v>5</v>
      </c>
      <c r="S738">
        <v>4</v>
      </c>
      <c r="T738">
        <v>4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3</v>
      </c>
      <c r="AB738">
        <v>11</v>
      </c>
      <c r="AC738">
        <v>0</v>
      </c>
      <c r="AD738" t="str">
        <f t="shared" si="143"/>
        <v>Ok</v>
      </c>
      <c r="AE738" t="str">
        <f>IF(AND(Audit_Data[[#This Row],[Year_Birth]]&gt;=1900,Audit_Data[[#This Row],[Year_Birth]]&lt;=2010),"OK","Invalid")</f>
        <v>OK</v>
      </c>
      <c r="AF738" t="str">
        <f t="shared" si="144"/>
        <v>Valid</v>
      </c>
      <c r="AG738" t="str">
        <f t="shared" si="145"/>
        <v>Valid</v>
      </c>
      <c r="AH738" t="str">
        <f t="shared" si="146"/>
        <v>Valid</v>
      </c>
      <c r="AI738" t="str">
        <f t="shared" si="147"/>
        <v>Valid</v>
      </c>
      <c r="AJ738" t="str">
        <f t="shared" si="148"/>
        <v>Valid</v>
      </c>
      <c r="AK738" t="str">
        <f t="shared" si="155"/>
        <v xml:space="preserve">Valid </v>
      </c>
      <c r="AL738" t="str">
        <f>IF(AND(Audit_Data[[#This Row],[Recency]]&gt;=0,Audit_Data[[#This Row],[Recency]]&lt;=100),"Valid","Invalid")</f>
        <v>Valid</v>
      </c>
      <c r="AM738" t="str">
        <f t="shared" si="149"/>
        <v>Valid</v>
      </c>
      <c r="AN738" t="str">
        <f t="shared" si="150"/>
        <v>Valid</v>
      </c>
      <c r="AO738" t="str">
        <f t="shared" si="151"/>
        <v>Valid</v>
      </c>
      <c r="AP738" t="str">
        <f t="shared" si="152"/>
        <v>Valid</v>
      </c>
      <c r="AQ738" t="str">
        <f>IF(Audit_Data[[#This Row],[Z_CostContact]]=3,"Valid","Invalid")</f>
        <v>Valid</v>
      </c>
      <c r="AR738" t="str">
        <f t="shared" si="153"/>
        <v>Valid</v>
      </c>
      <c r="AS738" t="str">
        <f t="shared" si="154"/>
        <v>Valid</v>
      </c>
    </row>
    <row r="739" spans="1:45" x14ac:dyDescent="0.3">
      <c r="A739">
        <v>6255</v>
      </c>
      <c r="B739">
        <v>1952</v>
      </c>
      <c r="C739" t="s">
        <v>34</v>
      </c>
      <c r="D739" t="s">
        <v>31</v>
      </c>
      <c r="E739">
        <v>70545</v>
      </c>
      <c r="F739">
        <v>0</v>
      </c>
      <c r="G739">
        <v>1</v>
      </c>
      <c r="H739" s="1">
        <v>41793</v>
      </c>
      <c r="I739">
        <v>29</v>
      </c>
      <c r="J739">
        <v>138</v>
      </c>
      <c r="K739">
        <v>39</v>
      </c>
      <c r="L739">
        <v>63</v>
      </c>
      <c r="M739">
        <v>55</v>
      </c>
      <c r="N739">
        <v>18</v>
      </c>
      <c r="O739">
        <v>21</v>
      </c>
      <c r="P739">
        <v>1</v>
      </c>
      <c r="Q739">
        <v>4</v>
      </c>
      <c r="R739">
        <v>1</v>
      </c>
      <c r="S739">
        <v>7</v>
      </c>
      <c r="T739">
        <v>2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3</v>
      </c>
      <c r="AB739">
        <v>11</v>
      </c>
      <c r="AC739">
        <v>0</v>
      </c>
      <c r="AD739" t="str">
        <f t="shared" si="143"/>
        <v>Ok</v>
      </c>
      <c r="AE739" t="str">
        <f>IF(AND(Audit_Data[[#This Row],[Year_Birth]]&gt;=1900,Audit_Data[[#This Row],[Year_Birth]]&lt;=2010),"OK","Invalid")</f>
        <v>OK</v>
      </c>
      <c r="AF739" t="str">
        <f t="shared" si="144"/>
        <v>Valid</v>
      </c>
      <c r="AG739" t="str">
        <f t="shared" si="145"/>
        <v>Valid</v>
      </c>
      <c r="AH739" t="str">
        <f t="shared" si="146"/>
        <v>Valid</v>
      </c>
      <c r="AI739" t="str">
        <f t="shared" si="147"/>
        <v>Valid</v>
      </c>
      <c r="AJ739" t="str">
        <f t="shared" si="148"/>
        <v>Valid</v>
      </c>
      <c r="AK739" t="str">
        <f t="shared" si="155"/>
        <v xml:space="preserve">Valid </v>
      </c>
      <c r="AL739" t="str">
        <f>IF(AND(Audit_Data[[#This Row],[Recency]]&gt;=0,Audit_Data[[#This Row],[Recency]]&lt;=100),"Valid","Invalid")</f>
        <v>Valid</v>
      </c>
      <c r="AM739" t="str">
        <f t="shared" si="149"/>
        <v>Valid</v>
      </c>
      <c r="AN739" t="str">
        <f t="shared" si="150"/>
        <v>Valid</v>
      </c>
      <c r="AO739" t="str">
        <f t="shared" si="151"/>
        <v>Valid</v>
      </c>
      <c r="AP739" t="str">
        <f t="shared" si="152"/>
        <v>Valid</v>
      </c>
      <c r="AQ739" t="str">
        <f>IF(Audit_Data[[#This Row],[Z_CostContact]]=3,"Valid","Invalid")</f>
        <v>Valid</v>
      </c>
      <c r="AR739" t="str">
        <f t="shared" si="153"/>
        <v>Valid</v>
      </c>
      <c r="AS739" t="str">
        <f t="shared" si="154"/>
        <v>Valid</v>
      </c>
    </row>
    <row r="740" spans="1:45" x14ac:dyDescent="0.3">
      <c r="A740">
        <v>6516</v>
      </c>
      <c r="B740">
        <v>1989</v>
      </c>
      <c r="C740" t="s">
        <v>36</v>
      </c>
      <c r="D740" t="s">
        <v>33</v>
      </c>
      <c r="E740">
        <v>17487</v>
      </c>
      <c r="F740">
        <v>1</v>
      </c>
      <c r="G740">
        <v>0</v>
      </c>
      <c r="H740" s="1">
        <v>41351</v>
      </c>
      <c r="I740">
        <v>37</v>
      </c>
      <c r="J740">
        <v>0</v>
      </c>
      <c r="K740">
        <v>0</v>
      </c>
      <c r="L740">
        <v>1</v>
      </c>
      <c r="M740">
        <v>7</v>
      </c>
      <c r="N740">
        <v>4</v>
      </c>
      <c r="O740">
        <v>6</v>
      </c>
      <c r="P740">
        <v>1</v>
      </c>
      <c r="Q740">
        <v>1</v>
      </c>
      <c r="R740">
        <v>0</v>
      </c>
      <c r="S740">
        <v>2</v>
      </c>
      <c r="T740">
        <v>7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3</v>
      </c>
      <c r="AB740">
        <v>11</v>
      </c>
      <c r="AC740">
        <v>0</v>
      </c>
      <c r="AD740" t="str">
        <f t="shared" si="143"/>
        <v>Ok</v>
      </c>
      <c r="AE740" t="str">
        <f>IF(AND(Audit_Data[[#This Row],[Year_Birth]]&gt;=1900,Audit_Data[[#This Row],[Year_Birth]]&lt;=2010),"OK","Invalid")</f>
        <v>OK</v>
      </c>
      <c r="AF740" t="str">
        <f t="shared" si="144"/>
        <v>Valid</v>
      </c>
      <c r="AG740" t="str">
        <f t="shared" si="145"/>
        <v>Valid</v>
      </c>
      <c r="AH740" t="str">
        <f t="shared" si="146"/>
        <v>Valid</v>
      </c>
      <c r="AI740" t="str">
        <f t="shared" si="147"/>
        <v>Valid</v>
      </c>
      <c r="AJ740" t="str">
        <f t="shared" si="148"/>
        <v>Valid</v>
      </c>
      <c r="AK740" t="str">
        <f t="shared" si="155"/>
        <v xml:space="preserve">Valid </v>
      </c>
      <c r="AL740" t="str">
        <f>IF(AND(Audit_Data[[#This Row],[Recency]]&gt;=0,Audit_Data[[#This Row],[Recency]]&lt;=100),"Valid","Invalid")</f>
        <v>Valid</v>
      </c>
      <c r="AM740" t="str">
        <f t="shared" si="149"/>
        <v>Valid</v>
      </c>
      <c r="AN740" t="str">
        <f t="shared" si="150"/>
        <v>Valid</v>
      </c>
      <c r="AO740" t="str">
        <f t="shared" si="151"/>
        <v>Valid</v>
      </c>
      <c r="AP740" t="str">
        <f t="shared" si="152"/>
        <v>Valid</v>
      </c>
      <c r="AQ740" t="str">
        <f>IF(Audit_Data[[#This Row],[Z_CostContact]]=3,"Valid","Invalid")</f>
        <v>Valid</v>
      </c>
      <c r="AR740" t="str">
        <f t="shared" si="153"/>
        <v>Valid</v>
      </c>
      <c r="AS740" t="str">
        <f t="shared" si="154"/>
        <v>Valid</v>
      </c>
    </row>
    <row r="741" spans="1:45" x14ac:dyDescent="0.3">
      <c r="A741">
        <v>5564</v>
      </c>
      <c r="B741">
        <v>1969</v>
      </c>
      <c r="C741" t="s">
        <v>29</v>
      </c>
      <c r="D741" t="s">
        <v>31</v>
      </c>
      <c r="E741">
        <v>62882</v>
      </c>
      <c r="F741">
        <v>0</v>
      </c>
      <c r="G741">
        <v>1</v>
      </c>
      <c r="H741" s="1">
        <v>41130</v>
      </c>
      <c r="I741">
        <v>26</v>
      </c>
      <c r="J741">
        <v>509</v>
      </c>
      <c r="K741">
        <v>133</v>
      </c>
      <c r="L741">
        <v>497</v>
      </c>
      <c r="M741">
        <v>78</v>
      </c>
      <c r="N741">
        <v>24</v>
      </c>
      <c r="O741">
        <v>97</v>
      </c>
      <c r="P741">
        <v>2</v>
      </c>
      <c r="Q741">
        <v>7</v>
      </c>
      <c r="R741">
        <v>5</v>
      </c>
      <c r="S741">
        <v>6</v>
      </c>
      <c r="T741">
        <v>4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3</v>
      </c>
      <c r="AB741">
        <v>11</v>
      </c>
      <c r="AC741">
        <v>0</v>
      </c>
      <c r="AD741" t="str">
        <f t="shared" si="143"/>
        <v>Ok</v>
      </c>
      <c r="AE741" t="str">
        <f>IF(AND(Audit_Data[[#This Row],[Year_Birth]]&gt;=1900,Audit_Data[[#This Row],[Year_Birth]]&lt;=2010),"OK","Invalid")</f>
        <v>OK</v>
      </c>
      <c r="AF741" t="str">
        <f t="shared" si="144"/>
        <v>Valid</v>
      </c>
      <c r="AG741" t="str">
        <f t="shared" si="145"/>
        <v>Valid</v>
      </c>
      <c r="AH741" t="str">
        <f t="shared" si="146"/>
        <v>Valid</v>
      </c>
      <c r="AI741" t="str">
        <f t="shared" si="147"/>
        <v>Valid</v>
      </c>
      <c r="AJ741" t="str">
        <f t="shared" si="148"/>
        <v>Valid</v>
      </c>
      <c r="AK741" t="str">
        <f t="shared" si="155"/>
        <v xml:space="preserve">Valid </v>
      </c>
      <c r="AL741" t="str">
        <f>IF(AND(Audit_Data[[#This Row],[Recency]]&gt;=0,Audit_Data[[#This Row],[Recency]]&lt;=100),"Valid","Invalid")</f>
        <v>Valid</v>
      </c>
      <c r="AM741" t="str">
        <f t="shared" si="149"/>
        <v>Valid</v>
      </c>
      <c r="AN741" t="str">
        <f t="shared" si="150"/>
        <v>Valid</v>
      </c>
      <c r="AO741" t="str">
        <f t="shared" si="151"/>
        <v>Valid</v>
      </c>
      <c r="AP741" t="str">
        <f t="shared" si="152"/>
        <v>Valid</v>
      </c>
      <c r="AQ741" t="str">
        <f>IF(Audit_Data[[#This Row],[Z_CostContact]]=3,"Valid","Invalid")</f>
        <v>Valid</v>
      </c>
      <c r="AR741" t="str">
        <f t="shared" si="153"/>
        <v>Valid</v>
      </c>
      <c r="AS741" t="str">
        <f t="shared" si="154"/>
        <v>Valid</v>
      </c>
    </row>
    <row r="742" spans="1:45" x14ac:dyDescent="0.3">
      <c r="A742">
        <v>5682</v>
      </c>
      <c r="B742">
        <v>1953</v>
      </c>
      <c r="C742" t="s">
        <v>32</v>
      </c>
      <c r="D742" t="s">
        <v>30</v>
      </c>
      <c r="E742">
        <v>64108</v>
      </c>
      <c r="F742">
        <v>0</v>
      </c>
      <c r="G742">
        <v>1</v>
      </c>
      <c r="H742" s="1">
        <v>41356</v>
      </c>
      <c r="I742">
        <v>8</v>
      </c>
      <c r="J742">
        <v>948</v>
      </c>
      <c r="K742">
        <v>10</v>
      </c>
      <c r="L742">
        <v>86</v>
      </c>
      <c r="M742">
        <v>13</v>
      </c>
      <c r="N742">
        <v>21</v>
      </c>
      <c r="O742">
        <v>21</v>
      </c>
      <c r="P742">
        <v>4</v>
      </c>
      <c r="Q742">
        <v>6</v>
      </c>
      <c r="R742">
        <v>9</v>
      </c>
      <c r="S742">
        <v>11</v>
      </c>
      <c r="T742">
        <v>5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3</v>
      </c>
      <c r="AB742">
        <v>11</v>
      </c>
      <c r="AC742">
        <v>0</v>
      </c>
      <c r="AD742" t="str">
        <f t="shared" si="143"/>
        <v>Ok</v>
      </c>
      <c r="AE742" t="str">
        <f>IF(AND(Audit_Data[[#This Row],[Year_Birth]]&gt;=1900,Audit_Data[[#This Row],[Year_Birth]]&lt;=2010),"OK","Invalid")</f>
        <v>OK</v>
      </c>
      <c r="AF742" t="str">
        <f t="shared" si="144"/>
        <v>Valid</v>
      </c>
      <c r="AG742" t="str">
        <f t="shared" si="145"/>
        <v>Valid</v>
      </c>
      <c r="AH742" t="str">
        <f t="shared" si="146"/>
        <v>Valid</v>
      </c>
      <c r="AI742" t="str">
        <f t="shared" si="147"/>
        <v>Valid</v>
      </c>
      <c r="AJ742" t="str">
        <f t="shared" si="148"/>
        <v>Valid</v>
      </c>
      <c r="AK742" t="str">
        <f t="shared" si="155"/>
        <v xml:space="preserve">Valid </v>
      </c>
      <c r="AL742" t="str">
        <f>IF(AND(Audit_Data[[#This Row],[Recency]]&gt;=0,Audit_Data[[#This Row],[Recency]]&lt;=100),"Valid","Invalid")</f>
        <v>Valid</v>
      </c>
      <c r="AM742" t="str">
        <f t="shared" si="149"/>
        <v>Valid</v>
      </c>
      <c r="AN742" t="str">
        <f t="shared" si="150"/>
        <v>Valid</v>
      </c>
      <c r="AO742" t="str">
        <f t="shared" si="151"/>
        <v>Valid</v>
      </c>
      <c r="AP742" t="str">
        <f t="shared" si="152"/>
        <v>Valid</v>
      </c>
      <c r="AQ742" t="str">
        <f>IF(Audit_Data[[#This Row],[Z_CostContact]]=3,"Valid","Invalid")</f>
        <v>Valid</v>
      </c>
      <c r="AR742" t="str">
        <f t="shared" si="153"/>
        <v>Valid</v>
      </c>
      <c r="AS742" t="str">
        <f t="shared" si="154"/>
        <v>Valid</v>
      </c>
    </row>
    <row r="743" spans="1:45" x14ac:dyDescent="0.3">
      <c r="A743">
        <v>7458</v>
      </c>
      <c r="B743">
        <v>1956</v>
      </c>
      <c r="C743" t="s">
        <v>34</v>
      </c>
      <c r="D743" t="s">
        <v>31</v>
      </c>
      <c r="E743">
        <v>34941</v>
      </c>
      <c r="F743">
        <v>1</v>
      </c>
      <c r="G743">
        <v>1</v>
      </c>
      <c r="H743" s="1">
        <v>41339</v>
      </c>
      <c r="I743">
        <v>26</v>
      </c>
      <c r="J743">
        <v>39</v>
      </c>
      <c r="K743">
        <v>2</v>
      </c>
      <c r="L743">
        <v>25</v>
      </c>
      <c r="M743">
        <v>4</v>
      </c>
      <c r="N743">
        <v>3</v>
      </c>
      <c r="O743">
        <v>24</v>
      </c>
      <c r="P743">
        <v>2</v>
      </c>
      <c r="Q743">
        <v>3</v>
      </c>
      <c r="R743">
        <v>0</v>
      </c>
      <c r="S743">
        <v>3</v>
      </c>
      <c r="T743">
        <v>8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3</v>
      </c>
      <c r="AB743">
        <v>11</v>
      </c>
      <c r="AC743">
        <v>0</v>
      </c>
      <c r="AD743" t="str">
        <f t="shared" si="143"/>
        <v>Ok</v>
      </c>
      <c r="AE743" t="str">
        <f>IF(AND(Audit_Data[[#This Row],[Year_Birth]]&gt;=1900,Audit_Data[[#This Row],[Year_Birth]]&lt;=2010),"OK","Invalid")</f>
        <v>OK</v>
      </c>
      <c r="AF743" t="str">
        <f t="shared" si="144"/>
        <v>Valid</v>
      </c>
      <c r="AG743" t="str">
        <f t="shared" si="145"/>
        <v>Valid</v>
      </c>
      <c r="AH743" t="str">
        <f t="shared" si="146"/>
        <v>Valid</v>
      </c>
      <c r="AI743" t="str">
        <f t="shared" si="147"/>
        <v>Valid</v>
      </c>
      <c r="AJ743" t="str">
        <f t="shared" si="148"/>
        <v>Valid</v>
      </c>
      <c r="AK743" t="str">
        <f t="shared" si="155"/>
        <v xml:space="preserve">Valid </v>
      </c>
      <c r="AL743" t="str">
        <f>IF(AND(Audit_Data[[#This Row],[Recency]]&gt;=0,Audit_Data[[#This Row],[Recency]]&lt;=100),"Valid","Invalid")</f>
        <v>Valid</v>
      </c>
      <c r="AM743" t="str">
        <f t="shared" si="149"/>
        <v>Valid</v>
      </c>
      <c r="AN743" t="str">
        <f t="shared" si="150"/>
        <v>Valid</v>
      </c>
      <c r="AO743" t="str">
        <f t="shared" si="151"/>
        <v>Valid</v>
      </c>
      <c r="AP743" t="str">
        <f t="shared" si="152"/>
        <v>Valid</v>
      </c>
      <c r="AQ743" t="str">
        <f>IF(Audit_Data[[#This Row],[Z_CostContact]]=3,"Valid","Invalid")</f>
        <v>Valid</v>
      </c>
      <c r="AR743" t="str">
        <f t="shared" si="153"/>
        <v>Valid</v>
      </c>
      <c r="AS743" t="str">
        <f t="shared" si="154"/>
        <v>Valid</v>
      </c>
    </row>
    <row r="744" spans="1:45" x14ac:dyDescent="0.3">
      <c r="A744">
        <v>5237</v>
      </c>
      <c r="B744">
        <v>1950</v>
      </c>
      <c r="C744" t="s">
        <v>32</v>
      </c>
      <c r="D744" t="s">
        <v>30</v>
      </c>
      <c r="E744">
        <v>48767</v>
      </c>
      <c r="F744">
        <v>1</v>
      </c>
      <c r="G744">
        <v>2</v>
      </c>
      <c r="H744" s="1">
        <v>41640</v>
      </c>
      <c r="I744">
        <v>79</v>
      </c>
      <c r="J744">
        <v>28</v>
      </c>
      <c r="K744">
        <v>1</v>
      </c>
      <c r="L744">
        <v>21</v>
      </c>
      <c r="M744">
        <v>3</v>
      </c>
      <c r="N744">
        <v>0</v>
      </c>
      <c r="O744">
        <v>10</v>
      </c>
      <c r="P744">
        <v>3</v>
      </c>
      <c r="Q744">
        <v>2</v>
      </c>
      <c r="R744">
        <v>1</v>
      </c>
      <c r="S744">
        <v>3</v>
      </c>
      <c r="T744">
        <v>5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3</v>
      </c>
      <c r="AB744">
        <v>11</v>
      </c>
      <c r="AC744">
        <v>0</v>
      </c>
      <c r="AD744" t="str">
        <f t="shared" si="143"/>
        <v>Ok</v>
      </c>
      <c r="AE744" t="str">
        <f>IF(AND(Audit_Data[[#This Row],[Year_Birth]]&gt;=1900,Audit_Data[[#This Row],[Year_Birth]]&lt;=2010),"OK","Invalid")</f>
        <v>OK</v>
      </c>
      <c r="AF744" t="str">
        <f t="shared" si="144"/>
        <v>Valid</v>
      </c>
      <c r="AG744" t="str">
        <f t="shared" si="145"/>
        <v>Valid</v>
      </c>
      <c r="AH744" t="str">
        <f t="shared" si="146"/>
        <v>Valid</v>
      </c>
      <c r="AI744" t="str">
        <f t="shared" si="147"/>
        <v>Valid</v>
      </c>
      <c r="AJ744" t="str">
        <f t="shared" si="148"/>
        <v>Valid</v>
      </c>
      <c r="AK744" t="str">
        <f t="shared" si="155"/>
        <v xml:space="preserve">Valid </v>
      </c>
      <c r="AL744" t="str">
        <f>IF(AND(Audit_Data[[#This Row],[Recency]]&gt;=0,Audit_Data[[#This Row],[Recency]]&lt;=100),"Valid","Invalid")</f>
        <v>Valid</v>
      </c>
      <c r="AM744" t="str">
        <f t="shared" si="149"/>
        <v>Valid</v>
      </c>
      <c r="AN744" t="str">
        <f t="shared" si="150"/>
        <v>Valid</v>
      </c>
      <c r="AO744" t="str">
        <f t="shared" si="151"/>
        <v>Valid</v>
      </c>
      <c r="AP744" t="str">
        <f t="shared" si="152"/>
        <v>Valid</v>
      </c>
      <c r="AQ744" t="str">
        <f>IF(Audit_Data[[#This Row],[Z_CostContact]]=3,"Valid","Invalid")</f>
        <v>Valid</v>
      </c>
      <c r="AR744" t="str">
        <f t="shared" si="153"/>
        <v>Valid</v>
      </c>
      <c r="AS744" t="str">
        <f t="shared" si="154"/>
        <v>Valid</v>
      </c>
    </row>
    <row r="745" spans="1:45" x14ac:dyDescent="0.3">
      <c r="A745">
        <v>7761</v>
      </c>
      <c r="B745">
        <v>1978</v>
      </c>
      <c r="C745" t="s">
        <v>37</v>
      </c>
      <c r="D745" t="s">
        <v>31</v>
      </c>
      <c r="E745">
        <v>38702</v>
      </c>
      <c r="F745">
        <v>1</v>
      </c>
      <c r="G745">
        <v>0</v>
      </c>
      <c r="H745" s="1">
        <v>41487</v>
      </c>
      <c r="I745">
        <v>71</v>
      </c>
      <c r="J745">
        <v>13</v>
      </c>
      <c r="K745">
        <v>11</v>
      </c>
      <c r="L745">
        <v>24</v>
      </c>
      <c r="M745">
        <v>13</v>
      </c>
      <c r="N745">
        <v>8</v>
      </c>
      <c r="O745">
        <v>40</v>
      </c>
      <c r="P745">
        <v>2</v>
      </c>
      <c r="Q745">
        <v>3</v>
      </c>
      <c r="R745">
        <v>0</v>
      </c>
      <c r="S745">
        <v>4</v>
      </c>
      <c r="T745">
        <v>6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3</v>
      </c>
      <c r="AB745">
        <v>11</v>
      </c>
      <c r="AC745">
        <v>0</v>
      </c>
      <c r="AD745" t="str">
        <f t="shared" si="143"/>
        <v>Ok</v>
      </c>
      <c r="AE745" t="str">
        <f>IF(AND(Audit_Data[[#This Row],[Year_Birth]]&gt;=1900,Audit_Data[[#This Row],[Year_Birth]]&lt;=2010),"OK","Invalid")</f>
        <v>OK</v>
      </c>
      <c r="AF745" t="str">
        <f t="shared" si="144"/>
        <v>Valid</v>
      </c>
      <c r="AG745" t="str">
        <f t="shared" si="145"/>
        <v>Valid</v>
      </c>
      <c r="AH745" t="str">
        <f t="shared" si="146"/>
        <v>Valid</v>
      </c>
      <c r="AI745" t="str">
        <f t="shared" si="147"/>
        <v>Valid</v>
      </c>
      <c r="AJ745" t="str">
        <f t="shared" si="148"/>
        <v>Valid</v>
      </c>
      <c r="AK745" t="str">
        <f t="shared" si="155"/>
        <v xml:space="preserve">Valid </v>
      </c>
      <c r="AL745" t="str">
        <f>IF(AND(Audit_Data[[#This Row],[Recency]]&gt;=0,Audit_Data[[#This Row],[Recency]]&lt;=100),"Valid","Invalid")</f>
        <v>Valid</v>
      </c>
      <c r="AM745" t="str">
        <f t="shared" si="149"/>
        <v>Valid</v>
      </c>
      <c r="AN745" t="str">
        <f t="shared" si="150"/>
        <v>Valid</v>
      </c>
      <c r="AO745" t="str">
        <f t="shared" si="151"/>
        <v>Valid</v>
      </c>
      <c r="AP745" t="str">
        <f t="shared" si="152"/>
        <v>Valid</v>
      </c>
      <c r="AQ745" t="str">
        <f>IF(Audit_Data[[#This Row],[Z_CostContact]]=3,"Valid","Invalid")</f>
        <v>Valid</v>
      </c>
      <c r="AR745" t="str">
        <f t="shared" si="153"/>
        <v>Valid</v>
      </c>
      <c r="AS745" t="str">
        <f t="shared" si="154"/>
        <v>Valid</v>
      </c>
    </row>
    <row r="746" spans="1:45" x14ac:dyDescent="0.3">
      <c r="A746">
        <v>5278</v>
      </c>
      <c r="B746">
        <v>1964</v>
      </c>
      <c r="C746" t="s">
        <v>29</v>
      </c>
      <c r="D746" t="s">
        <v>33</v>
      </c>
      <c r="E746">
        <v>82224</v>
      </c>
      <c r="F746">
        <v>0</v>
      </c>
      <c r="G746">
        <v>0</v>
      </c>
      <c r="H746" s="1">
        <v>41664</v>
      </c>
      <c r="I746">
        <v>83</v>
      </c>
      <c r="J746">
        <v>307</v>
      </c>
      <c r="K746">
        <v>26</v>
      </c>
      <c r="L746">
        <v>360</v>
      </c>
      <c r="M746">
        <v>138</v>
      </c>
      <c r="N746">
        <v>31</v>
      </c>
      <c r="O746">
        <v>40</v>
      </c>
      <c r="P746">
        <v>1</v>
      </c>
      <c r="Q746">
        <v>6</v>
      </c>
      <c r="R746">
        <v>9</v>
      </c>
      <c r="S746">
        <v>5</v>
      </c>
      <c r="T746">
        <v>3</v>
      </c>
      <c r="U746">
        <v>0</v>
      </c>
      <c r="V746">
        <v>0</v>
      </c>
      <c r="W746">
        <v>0</v>
      </c>
      <c r="X746">
        <v>1</v>
      </c>
      <c r="Y746">
        <v>0</v>
      </c>
      <c r="Z746">
        <v>0</v>
      </c>
      <c r="AA746">
        <v>3</v>
      </c>
      <c r="AB746">
        <v>11</v>
      </c>
      <c r="AC746">
        <v>0</v>
      </c>
      <c r="AD746" t="str">
        <f t="shared" si="143"/>
        <v>Ok</v>
      </c>
      <c r="AE746" t="str">
        <f>IF(AND(Audit_Data[[#This Row],[Year_Birth]]&gt;=1900,Audit_Data[[#This Row],[Year_Birth]]&lt;=2010),"OK","Invalid")</f>
        <v>OK</v>
      </c>
      <c r="AF746" t="str">
        <f t="shared" si="144"/>
        <v>Valid</v>
      </c>
      <c r="AG746" t="str">
        <f t="shared" si="145"/>
        <v>Valid</v>
      </c>
      <c r="AH746" t="str">
        <f t="shared" si="146"/>
        <v>Valid</v>
      </c>
      <c r="AI746" t="str">
        <f t="shared" si="147"/>
        <v>Valid</v>
      </c>
      <c r="AJ746" t="str">
        <f t="shared" si="148"/>
        <v>Valid</v>
      </c>
      <c r="AK746" t="str">
        <f t="shared" si="155"/>
        <v xml:space="preserve">Valid </v>
      </c>
      <c r="AL746" t="str">
        <f>IF(AND(Audit_Data[[#This Row],[Recency]]&gt;=0,Audit_Data[[#This Row],[Recency]]&lt;=100),"Valid","Invalid")</f>
        <v>Valid</v>
      </c>
      <c r="AM746" t="str">
        <f t="shared" si="149"/>
        <v>Valid</v>
      </c>
      <c r="AN746" t="str">
        <f t="shared" si="150"/>
        <v>Valid</v>
      </c>
      <c r="AO746" t="str">
        <f t="shared" si="151"/>
        <v>Valid</v>
      </c>
      <c r="AP746" t="str">
        <f t="shared" si="152"/>
        <v>Valid</v>
      </c>
      <c r="AQ746" t="str">
        <f>IF(Audit_Data[[#This Row],[Z_CostContact]]=3,"Valid","Invalid")</f>
        <v>Valid</v>
      </c>
      <c r="AR746" t="str">
        <f t="shared" si="153"/>
        <v>Valid</v>
      </c>
      <c r="AS746" t="str">
        <f t="shared" si="154"/>
        <v>Valid</v>
      </c>
    </row>
    <row r="747" spans="1:45" x14ac:dyDescent="0.3">
      <c r="A747">
        <v>3560</v>
      </c>
      <c r="B747">
        <v>1952</v>
      </c>
      <c r="C747" t="s">
        <v>29</v>
      </c>
      <c r="D747" t="s">
        <v>31</v>
      </c>
      <c r="E747">
        <v>83844</v>
      </c>
      <c r="F747">
        <v>0</v>
      </c>
      <c r="G747">
        <v>0</v>
      </c>
      <c r="H747" s="1">
        <v>41406</v>
      </c>
      <c r="I747">
        <v>57</v>
      </c>
      <c r="J747">
        <v>901</v>
      </c>
      <c r="K747">
        <v>31</v>
      </c>
      <c r="L747">
        <v>345</v>
      </c>
      <c r="M747">
        <v>75</v>
      </c>
      <c r="N747">
        <v>31</v>
      </c>
      <c r="O747">
        <v>191</v>
      </c>
      <c r="P747">
        <v>1</v>
      </c>
      <c r="Q747">
        <v>4</v>
      </c>
      <c r="R747">
        <v>4</v>
      </c>
      <c r="S747">
        <v>11</v>
      </c>
      <c r="T747">
        <v>1</v>
      </c>
      <c r="U747">
        <v>0</v>
      </c>
      <c r="V747">
        <v>0</v>
      </c>
      <c r="W747">
        <v>1</v>
      </c>
      <c r="X747">
        <v>0</v>
      </c>
      <c r="Y747">
        <v>0</v>
      </c>
      <c r="Z747">
        <v>0</v>
      </c>
      <c r="AA747">
        <v>3</v>
      </c>
      <c r="AB747">
        <v>11</v>
      </c>
      <c r="AC747">
        <v>0</v>
      </c>
      <c r="AD747" t="str">
        <f t="shared" si="143"/>
        <v>Ok</v>
      </c>
      <c r="AE747" t="str">
        <f>IF(AND(Audit_Data[[#This Row],[Year_Birth]]&gt;=1900,Audit_Data[[#This Row],[Year_Birth]]&lt;=2010),"OK","Invalid")</f>
        <v>OK</v>
      </c>
      <c r="AF747" t="str">
        <f t="shared" si="144"/>
        <v>Valid</v>
      </c>
      <c r="AG747" t="str">
        <f t="shared" si="145"/>
        <v>Valid</v>
      </c>
      <c r="AH747" t="str">
        <f t="shared" si="146"/>
        <v>Valid</v>
      </c>
      <c r="AI747" t="str">
        <f t="shared" si="147"/>
        <v>Valid</v>
      </c>
      <c r="AJ747" t="str">
        <f t="shared" si="148"/>
        <v>Valid</v>
      </c>
      <c r="AK747" t="str">
        <f t="shared" si="155"/>
        <v xml:space="preserve">Valid </v>
      </c>
      <c r="AL747" t="str">
        <f>IF(AND(Audit_Data[[#This Row],[Recency]]&gt;=0,Audit_Data[[#This Row],[Recency]]&lt;=100),"Valid","Invalid")</f>
        <v>Valid</v>
      </c>
      <c r="AM747" t="str">
        <f t="shared" si="149"/>
        <v>Valid</v>
      </c>
      <c r="AN747" t="str">
        <f t="shared" si="150"/>
        <v>Valid</v>
      </c>
      <c r="AO747" t="str">
        <f t="shared" si="151"/>
        <v>Valid</v>
      </c>
      <c r="AP747" t="str">
        <f t="shared" si="152"/>
        <v>Valid</v>
      </c>
      <c r="AQ747" t="str">
        <f>IF(Audit_Data[[#This Row],[Z_CostContact]]=3,"Valid","Invalid")</f>
        <v>Valid</v>
      </c>
      <c r="AR747" t="str">
        <f t="shared" si="153"/>
        <v>Valid</v>
      </c>
      <c r="AS747" t="str">
        <f t="shared" si="154"/>
        <v>Valid</v>
      </c>
    </row>
    <row r="748" spans="1:45" x14ac:dyDescent="0.3">
      <c r="A748">
        <v>7235</v>
      </c>
      <c r="B748">
        <v>1975</v>
      </c>
      <c r="C748" t="s">
        <v>37</v>
      </c>
      <c r="D748" t="s">
        <v>33</v>
      </c>
      <c r="E748">
        <v>17003</v>
      </c>
      <c r="F748">
        <v>1</v>
      </c>
      <c r="G748">
        <v>0</v>
      </c>
      <c r="H748" s="1">
        <v>41617</v>
      </c>
      <c r="I748">
        <v>37</v>
      </c>
      <c r="J748">
        <v>2</v>
      </c>
      <c r="K748">
        <v>5</v>
      </c>
      <c r="L748">
        <v>12</v>
      </c>
      <c r="M748">
        <v>4</v>
      </c>
      <c r="N748">
        <v>8</v>
      </c>
      <c r="O748">
        <v>7</v>
      </c>
      <c r="P748">
        <v>3</v>
      </c>
      <c r="Q748">
        <v>2</v>
      </c>
      <c r="R748">
        <v>0</v>
      </c>
      <c r="S748">
        <v>4</v>
      </c>
      <c r="T748">
        <v>5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3</v>
      </c>
      <c r="AB748">
        <v>11</v>
      </c>
      <c r="AC748">
        <v>0</v>
      </c>
      <c r="AD748" t="str">
        <f t="shared" si="143"/>
        <v>Ok</v>
      </c>
      <c r="AE748" t="str">
        <f>IF(AND(Audit_Data[[#This Row],[Year_Birth]]&gt;=1900,Audit_Data[[#This Row],[Year_Birth]]&lt;=2010),"OK","Invalid")</f>
        <v>OK</v>
      </c>
      <c r="AF748" t="str">
        <f t="shared" si="144"/>
        <v>Valid</v>
      </c>
      <c r="AG748" t="str">
        <f t="shared" si="145"/>
        <v>Valid</v>
      </c>
      <c r="AH748" t="str">
        <f t="shared" si="146"/>
        <v>Valid</v>
      </c>
      <c r="AI748" t="str">
        <f t="shared" si="147"/>
        <v>Valid</v>
      </c>
      <c r="AJ748" t="str">
        <f t="shared" si="148"/>
        <v>Valid</v>
      </c>
      <c r="AK748" t="str">
        <f t="shared" si="155"/>
        <v xml:space="preserve">Valid </v>
      </c>
      <c r="AL748" t="str">
        <f>IF(AND(Audit_Data[[#This Row],[Recency]]&gt;=0,Audit_Data[[#This Row],[Recency]]&lt;=100),"Valid","Invalid")</f>
        <v>Valid</v>
      </c>
      <c r="AM748" t="str">
        <f t="shared" si="149"/>
        <v>Valid</v>
      </c>
      <c r="AN748" t="str">
        <f t="shared" si="150"/>
        <v>Valid</v>
      </c>
      <c r="AO748" t="str">
        <f t="shared" si="151"/>
        <v>Valid</v>
      </c>
      <c r="AP748" t="str">
        <f t="shared" si="152"/>
        <v>Valid</v>
      </c>
      <c r="AQ748" t="str">
        <f>IF(Audit_Data[[#This Row],[Z_CostContact]]=3,"Valid","Invalid")</f>
        <v>Valid</v>
      </c>
      <c r="AR748" t="str">
        <f t="shared" si="153"/>
        <v>Valid</v>
      </c>
      <c r="AS748" t="str">
        <f t="shared" si="154"/>
        <v>Valid</v>
      </c>
    </row>
    <row r="749" spans="1:45" x14ac:dyDescent="0.3">
      <c r="A749">
        <v>10548</v>
      </c>
      <c r="B749">
        <v>1995</v>
      </c>
      <c r="C749" t="s">
        <v>29</v>
      </c>
      <c r="D749" t="s">
        <v>30</v>
      </c>
      <c r="E749">
        <v>71163</v>
      </c>
      <c r="F749">
        <v>0</v>
      </c>
      <c r="G749">
        <v>0</v>
      </c>
      <c r="H749" s="1">
        <v>41707</v>
      </c>
      <c r="I749">
        <v>30</v>
      </c>
      <c r="J749">
        <v>283</v>
      </c>
      <c r="K749">
        <v>17</v>
      </c>
      <c r="L749">
        <v>372</v>
      </c>
      <c r="M749">
        <v>138</v>
      </c>
      <c r="N749">
        <v>106</v>
      </c>
      <c r="O749">
        <v>44</v>
      </c>
      <c r="P749">
        <v>1</v>
      </c>
      <c r="Q749">
        <v>3</v>
      </c>
      <c r="R749">
        <v>8</v>
      </c>
      <c r="S749">
        <v>12</v>
      </c>
      <c r="T749">
        <v>1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3</v>
      </c>
      <c r="AB749">
        <v>11</v>
      </c>
      <c r="AC749">
        <v>0</v>
      </c>
      <c r="AD749" t="str">
        <f t="shared" si="143"/>
        <v>Ok</v>
      </c>
      <c r="AE749" t="str">
        <f>IF(AND(Audit_Data[[#This Row],[Year_Birth]]&gt;=1900,Audit_Data[[#This Row],[Year_Birth]]&lt;=2010),"OK","Invalid")</f>
        <v>OK</v>
      </c>
      <c r="AF749" t="str">
        <f t="shared" si="144"/>
        <v>Valid</v>
      </c>
      <c r="AG749" t="str">
        <f t="shared" si="145"/>
        <v>Valid</v>
      </c>
      <c r="AH749" t="str">
        <f t="shared" si="146"/>
        <v>Valid</v>
      </c>
      <c r="AI749" t="str">
        <f t="shared" si="147"/>
        <v>Valid</v>
      </c>
      <c r="AJ749" t="str">
        <f t="shared" si="148"/>
        <v>Valid</v>
      </c>
      <c r="AK749" t="str">
        <f t="shared" si="155"/>
        <v xml:space="preserve">Valid </v>
      </c>
      <c r="AL749" t="str">
        <f>IF(AND(Audit_Data[[#This Row],[Recency]]&gt;=0,Audit_Data[[#This Row],[Recency]]&lt;=100),"Valid","Invalid")</f>
        <v>Valid</v>
      </c>
      <c r="AM749" t="str">
        <f t="shared" si="149"/>
        <v>Valid</v>
      </c>
      <c r="AN749" t="str">
        <f t="shared" si="150"/>
        <v>Valid</v>
      </c>
      <c r="AO749" t="str">
        <f t="shared" si="151"/>
        <v>Valid</v>
      </c>
      <c r="AP749" t="str">
        <f t="shared" si="152"/>
        <v>Valid</v>
      </c>
      <c r="AQ749" t="str">
        <f>IF(Audit_Data[[#This Row],[Z_CostContact]]=3,"Valid","Invalid")</f>
        <v>Valid</v>
      </c>
      <c r="AR749" t="str">
        <f t="shared" si="153"/>
        <v>Valid</v>
      </c>
      <c r="AS749" t="str">
        <f t="shared" si="154"/>
        <v>Valid</v>
      </c>
    </row>
    <row r="750" spans="1:45" x14ac:dyDescent="0.3">
      <c r="A750">
        <v>2281</v>
      </c>
      <c r="B750">
        <v>1970</v>
      </c>
      <c r="C750" t="s">
        <v>29</v>
      </c>
      <c r="D750" t="s">
        <v>30</v>
      </c>
      <c r="E750">
        <v>33697</v>
      </c>
      <c r="F750">
        <v>1</v>
      </c>
      <c r="G750">
        <v>0</v>
      </c>
      <c r="H750" s="1">
        <v>41532</v>
      </c>
      <c r="I750">
        <v>34</v>
      </c>
      <c r="J750">
        <v>4</v>
      </c>
      <c r="K750">
        <v>3</v>
      </c>
      <c r="L750">
        <v>7</v>
      </c>
      <c r="M750">
        <v>0</v>
      </c>
      <c r="N750">
        <v>3</v>
      </c>
      <c r="O750">
        <v>11</v>
      </c>
      <c r="P750">
        <v>1</v>
      </c>
      <c r="Q750">
        <v>1</v>
      </c>
      <c r="R750">
        <v>0</v>
      </c>
      <c r="S750">
        <v>2</v>
      </c>
      <c r="T750">
        <v>7</v>
      </c>
      <c r="U750">
        <v>1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3</v>
      </c>
      <c r="AB750">
        <v>11</v>
      </c>
      <c r="AC750">
        <v>0</v>
      </c>
      <c r="AD750" t="str">
        <f t="shared" si="143"/>
        <v>Ok</v>
      </c>
      <c r="AE750" t="str">
        <f>IF(AND(Audit_Data[[#This Row],[Year_Birth]]&gt;=1900,Audit_Data[[#This Row],[Year_Birth]]&lt;=2010),"OK","Invalid")</f>
        <v>OK</v>
      </c>
      <c r="AF750" t="str">
        <f t="shared" si="144"/>
        <v>Valid</v>
      </c>
      <c r="AG750" t="str">
        <f t="shared" si="145"/>
        <v>Valid</v>
      </c>
      <c r="AH750" t="str">
        <f t="shared" si="146"/>
        <v>Valid</v>
      </c>
      <c r="AI750" t="str">
        <f t="shared" si="147"/>
        <v>Valid</v>
      </c>
      <c r="AJ750" t="str">
        <f t="shared" si="148"/>
        <v>Valid</v>
      </c>
      <c r="AK750" t="str">
        <f t="shared" si="155"/>
        <v xml:space="preserve">Valid </v>
      </c>
      <c r="AL750" t="str">
        <f>IF(AND(Audit_Data[[#This Row],[Recency]]&gt;=0,Audit_Data[[#This Row],[Recency]]&lt;=100),"Valid","Invalid")</f>
        <v>Valid</v>
      </c>
      <c r="AM750" t="str">
        <f t="shared" si="149"/>
        <v>Valid</v>
      </c>
      <c r="AN750" t="str">
        <f t="shared" si="150"/>
        <v>Valid</v>
      </c>
      <c r="AO750" t="str">
        <f t="shared" si="151"/>
        <v>Valid</v>
      </c>
      <c r="AP750" t="str">
        <f t="shared" si="152"/>
        <v>Valid</v>
      </c>
      <c r="AQ750" t="str">
        <f>IF(Audit_Data[[#This Row],[Z_CostContact]]=3,"Valid","Invalid")</f>
        <v>Valid</v>
      </c>
      <c r="AR750" t="str">
        <f t="shared" si="153"/>
        <v>Valid</v>
      </c>
      <c r="AS750" t="str">
        <f t="shared" si="154"/>
        <v>Valid</v>
      </c>
    </row>
    <row r="751" spans="1:45" x14ac:dyDescent="0.3">
      <c r="A751">
        <v>4073</v>
      </c>
      <c r="B751">
        <v>1954</v>
      </c>
      <c r="C751" t="s">
        <v>37</v>
      </c>
      <c r="D751" t="s">
        <v>33</v>
      </c>
      <c r="E751">
        <v>63564</v>
      </c>
      <c r="F751">
        <v>0</v>
      </c>
      <c r="G751">
        <v>0</v>
      </c>
      <c r="H751" s="1">
        <v>41668</v>
      </c>
      <c r="I751">
        <v>0</v>
      </c>
      <c r="J751">
        <v>769</v>
      </c>
      <c r="K751">
        <v>80</v>
      </c>
      <c r="L751">
        <v>252</v>
      </c>
      <c r="M751">
        <v>15</v>
      </c>
      <c r="N751">
        <v>34</v>
      </c>
      <c r="O751">
        <v>65</v>
      </c>
      <c r="P751">
        <v>1</v>
      </c>
      <c r="Q751">
        <v>10</v>
      </c>
      <c r="R751">
        <v>10</v>
      </c>
      <c r="S751">
        <v>7</v>
      </c>
      <c r="T751">
        <v>6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3</v>
      </c>
      <c r="AB751">
        <v>11</v>
      </c>
      <c r="AC751">
        <v>1</v>
      </c>
      <c r="AD751" t="str">
        <f t="shared" si="143"/>
        <v>Ok</v>
      </c>
      <c r="AE751" t="str">
        <f>IF(AND(Audit_Data[[#This Row],[Year_Birth]]&gt;=1900,Audit_Data[[#This Row],[Year_Birth]]&lt;=2010),"OK","Invalid")</f>
        <v>OK</v>
      </c>
      <c r="AF751" t="str">
        <f t="shared" si="144"/>
        <v>Valid</v>
      </c>
      <c r="AG751" t="str">
        <f t="shared" si="145"/>
        <v>Valid</v>
      </c>
      <c r="AH751" t="str">
        <f t="shared" si="146"/>
        <v>Valid</v>
      </c>
      <c r="AI751" t="str">
        <f t="shared" si="147"/>
        <v>Valid</v>
      </c>
      <c r="AJ751" t="str">
        <f t="shared" si="148"/>
        <v>Valid</v>
      </c>
      <c r="AK751" t="str">
        <f t="shared" si="155"/>
        <v xml:space="preserve">Valid </v>
      </c>
      <c r="AL751" t="str">
        <f>IF(AND(Audit_Data[[#This Row],[Recency]]&gt;=0,Audit_Data[[#This Row],[Recency]]&lt;=100),"Valid","Invalid")</f>
        <v>Valid</v>
      </c>
      <c r="AM751" t="str">
        <f t="shared" si="149"/>
        <v>Valid</v>
      </c>
      <c r="AN751" t="str">
        <f t="shared" si="150"/>
        <v>Valid</v>
      </c>
      <c r="AO751" t="str">
        <f t="shared" si="151"/>
        <v>Valid</v>
      </c>
      <c r="AP751" t="str">
        <f t="shared" si="152"/>
        <v>Valid</v>
      </c>
      <c r="AQ751" t="str">
        <f>IF(Audit_Data[[#This Row],[Z_CostContact]]=3,"Valid","Invalid")</f>
        <v>Valid</v>
      </c>
      <c r="AR751" t="str">
        <f t="shared" si="153"/>
        <v>Valid</v>
      </c>
      <c r="AS751" t="str">
        <f t="shared" si="154"/>
        <v>Valid</v>
      </c>
    </row>
    <row r="752" spans="1:45" x14ac:dyDescent="0.3">
      <c r="A752">
        <v>6974</v>
      </c>
      <c r="B752">
        <v>1972</v>
      </c>
      <c r="C752" t="s">
        <v>32</v>
      </c>
      <c r="D752" t="s">
        <v>31</v>
      </c>
      <c r="E752">
        <v>83443</v>
      </c>
      <c r="F752">
        <v>0</v>
      </c>
      <c r="G752">
        <v>0</v>
      </c>
      <c r="H752" s="1">
        <v>41639</v>
      </c>
      <c r="I752">
        <v>89</v>
      </c>
      <c r="J752">
        <v>518</v>
      </c>
      <c r="K752">
        <v>42</v>
      </c>
      <c r="L752">
        <v>742</v>
      </c>
      <c r="M752">
        <v>55</v>
      </c>
      <c r="N752">
        <v>56</v>
      </c>
      <c r="O752">
        <v>84</v>
      </c>
      <c r="P752">
        <v>1</v>
      </c>
      <c r="Q752">
        <v>6</v>
      </c>
      <c r="R752">
        <v>10</v>
      </c>
      <c r="S752">
        <v>5</v>
      </c>
      <c r="T752">
        <v>2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3</v>
      </c>
      <c r="AB752">
        <v>11</v>
      </c>
      <c r="AC752">
        <v>0</v>
      </c>
      <c r="AD752" t="str">
        <f t="shared" si="143"/>
        <v>Ok</v>
      </c>
      <c r="AE752" t="str">
        <f>IF(AND(Audit_Data[[#This Row],[Year_Birth]]&gt;=1900,Audit_Data[[#This Row],[Year_Birth]]&lt;=2010),"OK","Invalid")</f>
        <v>OK</v>
      </c>
      <c r="AF752" t="str">
        <f t="shared" si="144"/>
        <v>Valid</v>
      </c>
      <c r="AG752" t="str">
        <f t="shared" si="145"/>
        <v>Valid</v>
      </c>
      <c r="AH752" t="str">
        <f t="shared" si="146"/>
        <v>Valid</v>
      </c>
      <c r="AI752" t="str">
        <f t="shared" si="147"/>
        <v>Valid</v>
      </c>
      <c r="AJ752" t="str">
        <f t="shared" si="148"/>
        <v>Valid</v>
      </c>
      <c r="AK752" t="str">
        <f t="shared" si="155"/>
        <v xml:space="preserve">Valid </v>
      </c>
      <c r="AL752" t="str">
        <f>IF(AND(Audit_Data[[#This Row],[Recency]]&gt;=0,Audit_Data[[#This Row],[Recency]]&lt;=100),"Valid","Invalid")</f>
        <v>Valid</v>
      </c>
      <c r="AM752" t="str">
        <f t="shared" si="149"/>
        <v>Valid</v>
      </c>
      <c r="AN752" t="str">
        <f t="shared" si="150"/>
        <v>Valid</v>
      </c>
      <c r="AO752" t="str">
        <f t="shared" si="151"/>
        <v>Valid</v>
      </c>
      <c r="AP752" t="str">
        <f t="shared" si="152"/>
        <v>Valid</v>
      </c>
      <c r="AQ752" t="str">
        <f>IF(Audit_Data[[#This Row],[Z_CostContact]]=3,"Valid","Invalid")</f>
        <v>Valid</v>
      </c>
      <c r="AR752" t="str">
        <f t="shared" si="153"/>
        <v>Valid</v>
      </c>
      <c r="AS752" t="str">
        <f t="shared" si="154"/>
        <v>Valid</v>
      </c>
    </row>
    <row r="753" spans="1:45" x14ac:dyDescent="0.3">
      <c r="A753">
        <v>7938</v>
      </c>
      <c r="B753">
        <v>1958</v>
      </c>
      <c r="C753" t="s">
        <v>32</v>
      </c>
      <c r="D753" t="s">
        <v>31</v>
      </c>
      <c r="E753">
        <v>51518</v>
      </c>
      <c r="F753">
        <v>0</v>
      </c>
      <c r="G753">
        <v>1</v>
      </c>
      <c r="H753" s="1">
        <v>41550</v>
      </c>
      <c r="I753">
        <v>92</v>
      </c>
      <c r="J753">
        <v>350</v>
      </c>
      <c r="K753">
        <v>8</v>
      </c>
      <c r="L753">
        <v>66</v>
      </c>
      <c r="M753">
        <v>17</v>
      </c>
      <c r="N753">
        <v>4</v>
      </c>
      <c r="O753">
        <v>4</v>
      </c>
      <c r="P753">
        <v>2</v>
      </c>
      <c r="Q753">
        <v>3</v>
      </c>
      <c r="R753">
        <v>2</v>
      </c>
      <c r="S753">
        <v>10</v>
      </c>
      <c r="T753">
        <v>3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3</v>
      </c>
      <c r="AB753">
        <v>11</v>
      </c>
      <c r="AC753">
        <v>0</v>
      </c>
      <c r="AD753" t="str">
        <f t="shared" si="143"/>
        <v>Ok</v>
      </c>
      <c r="AE753" t="str">
        <f>IF(AND(Audit_Data[[#This Row],[Year_Birth]]&gt;=1900,Audit_Data[[#This Row],[Year_Birth]]&lt;=2010),"OK","Invalid")</f>
        <v>OK</v>
      </c>
      <c r="AF753" t="str">
        <f t="shared" si="144"/>
        <v>Valid</v>
      </c>
      <c r="AG753" t="str">
        <f t="shared" si="145"/>
        <v>Valid</v>
      </c>
      <c r="AH753" t="str">
        <f t="shared" si="146"/>
        <v>Valid</v>
      </c>
      <c r="AI753" t="str">
        <f t="shared" si="147"/>
        <v>Valid</v>
      </c>
      <c r="AJ753" t="str">
        <f t="shared" si="148"/>
        <v>Valid</v>
      </c>
      <c r="AK753" t="str">
        <f t="shared" si="155"/>
        <v xml:space="preserve">Valid </v>
      </c>
      <c r="AL753" t="str">
        <f>IF(AND(Audit_Data[[#This Row],[Recency]]&gt;=0,Audit_Data[[#This Row],[Recency]]&lt;=100),"Valid","Invalid")</f>
        <v>Valid</v>
      </c>
      <c r="AM753" t="str">
        <f t="shared" si="149"/>
        <v>Valid</v>
      </c>
      <c r="AN753" t="str">
        <f t="shared" si="150"/>
        <v>Valid</v>
      </c>
      <c r="AO753" t="str">
        <f t="shared" si="151"/>
        <v>Valid</v>
      </c>
      <c r="AP753" t="str">
        <f t="shared" si="152"/>
        <v>Valid</v>
      </c>
      <c r="AQ753" t="str">
        <f>IF(Audit_Data[[#This Row],[Z_CostContact]]=3,"Valid","Invalid")</f>
        <v>Valid</v>
      </c>
      <c r="AR753" t="str">
        <f t="shared" si="153"/>
        <v>Valid</v>
      </c>
      <c r="AS753" t="str">
        <f t="shared" si="154"/>
        <v>Valid</v>
      </c>
    </row>
    <row r="754" spans="1:45" x14ac:dyDescent="0.3">
      <c r="A754">
        <v>7094</v>
      </c>
      <c r="B754">
        <v>1975</v>
      </c>
      <c r="C754" t="s">
        <v>29</v>
      </c>
      <c r="D754" t="s">
        <v>38</v>
      </c>
      <c r="E754">
        <v>58330</v>
      </c>
      <c r="F754">
        <v>0</v>
      </c>
      <c r="G754">
        <v>1</v>
      </c>
      <c r="H754" s="1">
        <v>41633</v>
      </c>
      <c r="I754">
        <v>87</v>
      </c>
      <c r="J754">
        <v>445</v>
      </c>
      <c r="K754">
        <v>53</v>
      </c>
      <c r="L754">
        <v>213</v>
      </c>
      <c r="M754">
        <v>104</v>
      </c>
      <c r="N754">
        <v>98</v>
      </c>
      <c r="O754">
        <v>151</v>
      </c>
      <c r="P754">
        <v>1</v>
      </c>
      <c r="Q754">
        <v>6</v>
      </c>
      <c r="R754">
        <v>4</v>
      </c>
      <c r="S754">
        <v>13</v>
      </c>
      <c r="T754">
        <v>4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3</v>
      </c>
      <c r="AB754">
        <v>11</v>
      </c>
      <c r="AC754">
        <v>0</v>
      </c>
      <c r="AD754" t="str">
        <f t="shared" si="143"/>
        <v>Ok</v>
      </c>
      <c r="AE754" t="str">
        <f>IF(AND(Audit_Data[[#This Row],[Year_Birth]]&gt;=1900,Audit_Data[[#This Row],[Year_Birth]]&lt;=2010),"OK","Invalid")</f>
        <v>OK</v>
      </c>
      <c r="AF754" t="str">
        <f t="shared" si="144"/>
        <v>Valid</v>
      </c>
      <c r="AG754" t="str">
        <f t="shared" si="145"/>
        <v>Valid</v>
      </c>
      <c r="AH754" t="str">
        <f t="shared" si="146"/>
        <v>Valid</v>
      </c>
      <c r="AI754" t="str">
        <f t="shared" si="147"/>
        <v>Valid</v>
      </c>
      <c r="AJ754" t="str">
        <f t="shared" si="148"/>
        <v>Valid</v>
      </c>
      <c r="AK754" t="str">
        <f t="shared" si="155"/>
        <v xml:space="preserve">Valid </v>
      </c>
      <c r="AL754" t="str">
        <f>IF(AND(Audit_Data[[#This Row],[Recency]]&gt;=0,Audit_Data[[#This Row],[Recency]]&lt;=100),"Valid","Invalid")</f>
        <v>Valid</v>
      </c>
      <c r="AM754" t="str">
        <f t="shared" si="149"/>
        <v>Valid</v>
      </c>
      <c r="AN754" t="str">
        <f t="shared" si="150"/>
        <v>Valid</v>
      </c>
      <c r="AO754" t="str">
        <f t="shared" si="151"/>
        <v>Valid</v>
      </c>
      <c r="AP754" t="str">
        <f t="shared" si="152"/>
        <v>Valid</v>
      </c>
      <c r="AQ754" t="str">
        <f>IF(Audit_Data[[#This Row],[Z_CostContact]]=3,"Valid","Invalid")</f>
        <v>Valid</v>
      </c>
      <c r="AR754" t="str">
        <f t="shared" si="153"/>
        <v>Valid</v>
      </c>
      <c r="AS754" t="str">
        <f t="shared" si="154"/>
        <v>Valid</v>
      </c>
    </row>
    <row r="755" spans="1:45" x14ac:dyDescent="0.3">
      <c r="A755">
        <v>3667</v>
      </c>
      <c r="B755">
        <v>1969</v>
      </c>
      <c r="C755" t="s">
        <v>29</v>
      </c>
      <c r="D755" t="s">
        <v>33</v>
      </c>
      <c r="E755">
        <v>80952</v>
      </c>
      <c r="F755">
        <v>0</v>
      </c>
      <c r="G755">
        <v>0</v>
      </c>
      <c r="H755" s="1">
        <v>41333</v>
      </c>
      <c r="I755">
        <v>20</v>
      </c>
      <c r="J755">
        <v>778</v>
      </c>
      <c r="K755">
        <v>178</v>
      </c>
      <c r="L755">
        <v>689</v>
      </c>
      <c r="M755">
        <v>41</v>
      </c>
      <c r="N755">
        <v>27</v>
      </c>
      <c r="O755">
        <v>44</v>
      </c>
      <c r="P755">
        <v>1</v>
      </c>
      <c r="Q755">
        <v>8</v>
      </c>
      <c r="R755">
        <v>5</v>
      </c>
      <c r="S755">
        <v>11</v>
      </c>
      <c r="T755">
        <v>8</v>
      </c>
      <c r="U755">
        <v>0</v>
      </c>
      <c r="V755">
        <v>1</v>
      </c>
      <c r="W755">
        <v>1</v>
      </c>
      <c r="X755">
        <v>1</v>
      </c>
      <c r="Y755">
        <v>0</v>
      </c>
      <c r="Z755">
        <v>0</v>
      </c>
      <c r="AA755">
        <v>3</v>
      </c>
      <c r="AB755">
        <v>11</v>
      </c>
      <c r="AC755">
        <v>1</v>
      </c>
      <c r="AD755" t="str">
        <f t="shared" si="143"/>
        <v>Ok</v>
      </c>
      <c r="AE755" t="str">
        <f>IF(AND(Audit_Data[[#This Row],[Year_Birth]]&gt;=1900,Audit_Data[[#This Row],[Year_Birth]]&lt;=2010),"OK","Invalid")</f>
        <v>OK</v>
      </c>
      <c r="AF755" t="str">
        <f t="shared" si="144"/>
        <v>Valid</v>
      </c>
      <c r="AG755" t="str">
        <f t="shared" si="145"/>
        <v>Valid</v>
      </c>
      <c r="AH755" t="str">
        <f t="shared" si="146"/>
        <v>Valid</v>
      </c>
      <c r="AI755" t="str">
        <f t="shared" si="147"/>
        <v>Valid</v>
      </c>
      <c r="AJ755" t="str">
        <f t="shared" si="148"/>
        <v>Valid</v>
      </c>
      <c r="AK755" t="str">
        <f t="shared" si="155"/>
        <v xml:space="preserve">Valid </v>
      </c>
      <c r="AL755" t="str">
        <f>IF(AND(Audit_Data[[#This Row],[Recency]]&gt;=0,Audit_Data[[#This Row],[Recency]]&lt;=100),"Valid","Invalid")</f>
        <v>Valid</v>
      </c>
      <c r="AM755" t="str">
        <f t="shared" si="149"/>
        <v>Valid</v>
      </c>
      <c r="AN755" t="str">
        <f t="shared" si="150"/>
        <v>Valid</v>
      </c>
      <c r="AO755" t="str">
        <f t="shared" si="151"/>
        <v>Valid</v>
      </c>
      <c r="AP755" t="str">
        <f t="shared" si="152"/>
        <v>Valid</v>
      </c>
      <c r="AQ755" t="str">
        <f>IF(Audit_Data[[#This Row],[Z_CostContact]]=3,"Valid","Invalid")</f>
        <v>Valid</v>
      </c>
      <c r="AR755" t="str">
        <f t="shared" si="153"/>
        <v>Valid</v>
      </c>
      <c r="AS755" t="str">
        <f t="shared" si="154"/>
        <v>Valid</v>
      </c>
    </row>
    <row r="756" spans="1:45" x14ac:dyDescent="0.3">
      <c r="A756">
        <v>7723</v>
      </c>
      <c r="B756">
        <v>1979</v>
      </c>
      <c r="C756" t="s">
        <v>29</v>
      </c>
      <c r="D756" t="s">
        <v>31</v>
      </c>
      <c r="E756">
        <v>75507</v>
      </c>
      <c r="F756">
        <v>0</v>
      </c>
      <c r="G756">
        <v>0</v>
      </c>
      <c r="H756" s="1">
        <v>41761</v>
      </c>
      <c r="I756">
        <v>56</v>
      </c>
      <c r="J756">
        <v>709</v>
      </c>
      <c r="K756">
        <v>93</v>
      </c>
      <c r="L756">
        <v>374</v>
      </c>
      <c r="M756">
        <v>104</v>
      </c>
      <c r="N756">
        <v>80</v>
      </c>
      <c r="O756">
        <v>80</v>
      </c>
      <c r="P756">
        <v>1</v>
      </c>
      <c r="Q756">
        <v>8</v>
      </c>
      <c r="R756">
        <v>6</v>
      </c>
      <c r="S756">
        <v>6</v>
      </c>
      <c r="T756">
        <v>3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3</v>
      </c>
      <c r="AB756">
        <v>11</v>
      </c>
      <c r="AC756">
        <v>0</v>
      </c>
      <c r="AD756" t="str">
        <f t="shared" si="143"/>
        <v>Ok</v>
      </c>
      <c r="AE756" t="str">
        <f>IF(AND(Audit_Data[[#This Row],[Year_Birth]]&gt;=1900,Audit_Data[[#This Row],[Year_Birth]]&lt;=2010),"OK","Invalid")</f>
        <v>OK</v>
      </c>
      <c r="AF756" t="str">
        <f t="shared" si="144"/>
        <v>Valid</v>
      </c>
      <c r="AG756" t="str">
        <f t="shared" si="145"/>
        <v>Valid</v>
      </c>
      <c r="AH756" t="str">
        <f t="shared" si="146"/>
        <v>Valid</v>
      </c>
      <c r="AI756" t="str">
        <f t="shared" si="147"/>
        <v>Valid</v>
      </c>
      <c r="AJ756" t="str">
        <f t="shared" si="148"/>
        <v>Valid</v>
      </c>
      <c r="AK756" t="str">
        <f t="shared" si="155"/>
        <v xml:space="preserve">Valid </v>
      </c>
      <c r="AL756" t="str">
        <f>IF(AND(Audit_Data[[#This Row],[Recency]]&gt;=0,Audit_Data[[#This Row],[Recency]]&lt;=100),"Valid","Invalid")</f>
        <v>Valid</v>
      </c>
      <c r="AM756" t="str">
        <f t="shared" si="149"/>
        <v>Valid</v>
      </c>
      <c r="AN756" t="str">
        <f t="shared" si="150"/>
        <v>Valid</v>
      </c>
      <c r="AO756" t="str">
        <f t="shared" si="151"/>
        <v>Valid</v>
      </c>
      <c r="AP756" t="str">
        <f t="shared" si="152"/>
        <v>Valid</v>
      </c>
      <c r="AQ756" t="str">
        <f>IF(Audit_Data[[#This Row],[Z_CostContact]]=3,"Valid","Invalid")</f>
        <v>Valid</v>
      </c>
      <c r="AR756" t="str">
        <f t="shared" si="153"/>
        <v>Valid</v>
      </c>
      <c r="AS756" t="str">
        <f t="shared" si="154"/>
        <v>Valid</v>
      </c>
    </row>
    <row r="757" spans="1:45" x14ac:dyDescent="0.3">
      <c r="A757">
        <v>3870</v>
      </c>
      <c r="B757">
        <v>1978</v>
      </c>
      <c r="C757" t="s">
        <v>37</v>
      </c>
      <c r="D757" t="s">
        <v>31</v>
      </c>
      <c r="E757">
        <v>63855</v>
      </c>
      <c r="F757">
        <v>0</v>
      </c>
      <c r="G757">
        <v>0</v>
      </c>
      <c r="H757" s="1">
        <v>41314</v>
      </c>
      <c r="I757">
        <v>28</v>
      </c>
      <c r="J757">
        <v>359</v>
      </c>
      <c r="K757">
        <v>35</v>
      </c>
      <c r="L757">
        <v>314</v>
      </c>
      <c r="M757">
        <v>93</v>
      </c>
      <c r="N757">
        <v>116</v>
      </c>
      <c r="O757">
        <v>89</v>
      </c>
      <c r="P757">
        <v>1</v>
      </c>
      <c r="Q757">
        <v>7</v>
      </c>
      <c r="R757">
        <v>3</v>
      </c>
      <c r="S757">
        <v>13</v>
      </c>
      <c r="T757">
        <v>4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3</v>
      </c>
      <c r="AB757">
        <v>11</v>
      </c>
      <c r="AC757">
        <v>0</v>
      </c>
      <c r="AD757" t="str">
        <f t="shared" si="143"/>
        <v>Ok</v>
      </c>
      <c r="AE757" t="str">
        <f>IF(AND(Audit_Data[[#This Row],[Year_Birth]]&gt;=1900,Audit_Data[[#This Row],[Year_Birth]]&lt;=2010),"OK","Invalid")</f>
        <v>OK</v>
      </c>
      <c r="AF757" t="str">
        <f t="shared" si="144"/>
        <v>Valid</v>
      </c>
      <c r="AG757" t="str">
        <f t="shared" si="145"/>
        <v>Valid</v>
      </c>
      <c r="AH757" t="str">
        <f t="shared" si="146"/>
        <v>Valid</v>
      </c>
      <c r="AI757" t="str">
        <f t="shared" si="147"/>
        <v>Valid</v>
      </c>
      <c r="AJ757" t="str">
        <f t="shared" si="148"/>
        <v>Valid</v>
      </c>
      <c r="AK757" t="str">
        <f t="shared" si="155"/>
        <v xml:space="preserve">Valid </v>
      </c>
      <c r="AL757" t="str">
        <f>IF(AND(Audit_Data[[#This Row],[Recency]]&gt;=0,Audit_Data[[#This Row],[Recency]]&lt;=100),"Valid","Invalid")</f>
        <v>Valid</v>
      </c>
      <c r="AM757" t="str">
        <f t="shared" si="149"/>
        <v>Valid</v>
      </c>
      <c r="AN757" t="str">
        <f t="shared" si="150"/>
        <v>Valid</v>
      </c>
      <c r="AO757" t="str">
        <f t="shared" si="151"/>
        <v>Valid</v>
      </c>
      <c r="AP757" t="str">
        <f t="shared" si="152"/>
        <v>Valid</v>
      </c>
      <c r="AQ757" t="str">
        <f>IF(Audit_Data[[#This Row],[Z_CostContact]]=3,"Valid","Invalid")</f>
        <v>Valid</v>
      </c>
      <c r="AR757" t="str">
        <f t="shared" si="153"/>
        <v>Valid</v>
      </c>
      <c r="AS757" t="str">
        <f t="shared" si="154"/>
        <v>Valid</v>
      </c>
    </row>
    <row r="758" spans="1:45" x14ac:dyDescent="0.3">
      <c r="A758">
        <v>4012</v>
      </c>
      <c r="B758">
        <v>1972</v>
      </c>
      <c r="C758" t="s">
        <v>32</v>
      </c>
      <c r="D758" t="s">
        <v>31</v>
      </c>
      <c r="E758">
        <v>62220</v>
      </c>
      <c r="F758">
        <v>0</v>
      </c>
      <c r="G758">
        <v>1</v>
      </c>
      <c r="H758" s="1">
        <v>41132</v>
      </c>
      <c r="I758">
        <v>55</v>
      </c>
      <c r="J758">
        <v>799</v>
      </c>
      <c r="K758">
        <v>12</v>
      </c>
      <c r="L758">
        <v>375</v>
      </c>
      <c r="M758">
        <v>16</v>
      </c>
      <c r="N758">
        <v>12</v>
      </c>
      <c r="O758">
        <v>12</v>
      </c>
      <c r="P758">
        <v>5</v>
      </c>
      <c r="Q758">
        <v>7</v>
      </c>
      <c r="R758">
        <v>6</v>
      </c>
      <c r="S758">
        <v>5</v>
      </c>
      <c r="T758">
        <v>6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3</v>
      </c>
      <c r="AB758">
        <v>11</v>
      </c>
      <c r="AC758">
        <v>1</v>
      </c>
      <c r="AD758" t="str">
        <f t="shared" si="143"/>
        <v>Ok</v>
      </c>
      <c r="AE758" t="str">
        <f>IF(AND(Audit_Data[[#This Row],[Year_Birth]]&gt;=1900,Audit_Data[[#This Row],[Year_Birth]]&lt;=2010),"OK","Invalid")</f>
        <v>OK</v>
      </c>
      <c r="AF758" t="str">
        <f t="shared" si="144"/>
        <v>Valid</v>
      </c>
      <c r="AG758" t="str">
        <f t="shared" si="145"/>
        <v>Valid</v>
      </c>
      <c r="AH758" t="str">
        <f t="shared" si="146"/>
        <v>Valid</v>
      </c>
      <c r="AI758" t="str">
        <f t="shared" si="147"/>
        <v>Valid</v>
      </c>
      <c r="AJ758" t="str">
        <f t="shared" si="148"/>
        <v>Valid</v>
      </c>
      <c r="AK758" t="str">
        <f t="shared" si="155"/>
        <v xml:space="preserve">Valid </v>
      </c>
      <c r="AL758" t="str">
        <f>IF(AND(Audit_Data[[#This Row],[Recency]]&gt;=0,Audit_Data[[#This Row],[Recency]]&lt;=100),"Valid","Invalid")</f>
        <v>Valid</v>
      </c>
      <c r="AM758" t="str">
        <f t="shared" si="149"/>
        <v>Valid</v>
      </c>
      <c r="AN758" t="str">
        <f t="shared" si="150"/>
        <v>Valid</v>
      </c>
      <c r="AO758" t="str">
        <f t="shared" si="151"/>
        <v>Valid</v>
      </c>
      <c r="AP758" t="str">
        <f t="shared" si="152"/>
        <v>Valid</v>
      </c>
      <c r="AQ758" t="str">
        <f>IF(Audit_Data[[#This Row],[Z_CostContact]]=3,"Valid","Invalid")</f>
        <v>Valid</v>
      </c>
      <c r="AR758" t="str">
        <f t="shared" si="153"/>
        <v>Valid</v>
      </c>
      <c r="AS758" t="str">
        <f t="shared" si="154"/>
        <v>Valid</v>
      </c>
    </row>
    <row r="759" spans="1:45" x14ac:dyDescent="0.3">
      <c r="A759">
        <v>5909</v>
      </c>
      <c r="B759">
        <v>1964</v>
      </c>
      <c r="C759" t="s">
        <v>29</v>
      </c>
      <c r="D759" t="s">
        <v>33</v>
      </c>
      <c r="E759">
        <v>58512</v>
      </c>
      <c r="F759">
        <v>0</v>
      </c>
      <c r="G759">
        <v>1</v>
      </c>
      <c r="H759" s="1">
        <v>41536</v>
      </c>
      <c r="I759">
        <v>25</v>
      </c>
      <c r="J759">
        <v>895</v>
      </c>
      <c r="K759">
        <v>10</v>
      </c>
      <c r="L759">
        <v>101</v>
      </c>
      <c r="M759">
        <v>13</v>
      </c>
      <c r="N759">
        <v>0</v>
      </c>
      <c r="O759">
        <v>152</v>
      </c>
      <c r="P759">
        <v>5</v>
      </c>
      <c r="Q759">
        <v>3</v>
      </c>
      <c r="R759">
        <v>4</v>
      </c>
      <c r="S759">
        <v>8</v>
      </c>
      <c r="T759">
        <v>8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3</v>
      </c>
      <c r="AB759">
        <v>11</v>
      </c>
      <c r="AC759">
        <v>0</v>
      </c>
      <c r="AD759" t="str">
        <f t="shared" si="143"/>
        <v>Ok</v>
      </c>
      <c r="AE759" t="str">
        <f>IF(AND(Audit_Data[[#This Row],[Year_Birth]]&gt;=1900,Audit_Data[[#This Row],[Year_Birth]]&lt;=2010),"OK","Invalid")</f>
        <v>OK</v>
      </c>
      <c r="AF759" t="str">
        <f t="shared" si="144"/>
        <v>Valid</v>
      </c>
      <c r="AG759" t="str">
        <f t="shared" si="145"/>
        <v>Valid</v>
      </c>
      <c r="AH759" t="str">
        <f t="shared" si="146"/>
        <v>Valid</v>
      </c>
      <c r="AI759" t="str">
        <f t="shared" si="147"/>
        <v>Valid</v>
      </c>
      <c r="AJ759" t="str">
        <f t="shared" si="148"/>
        <v>Valid</v>
      </c>
      <c r="AK759" t="str">
        <f t="shared" si="155"/>
        <v xml:space="preserve">Valid </v>
      </c>
      <c r="AL759" t="str">
        <f>IF(AND(Audit_Data[[#This Row],[Recency]]&gt;=0,Audit_Data[[#This Row],[Recency]]&lt;=100),"Valid","Invalid")</f>
        <v>Valid</v>
      </c>
      <c r="AM759" t="str">
        <f t="shared" si="149"/>
        <v>Valid</v>
      </c>
      <c r="AN759" t="str">
        <f t="shared" si="150"/>
        <v>Valid</v>
      </c>
      <c r="AO759" t="str">
        <f t="shared" si="151"/>
        <v>Valid</v>
      </c>
      <c r="AP759" t="str">
        <f t="shared" si="152"/>
        <v>Valid</v>
      </c>
      <c r="AQ759" t="str">
        <f>IF(Audit_Data[[#This Row],[Z_CostContact]]=3,"Valid","Invalid")</f>
        <v>Valid</v>
      </c>
      <c r="AR759" t="str">
        <f t="shared" si="153"/>
        <v>Valid</v>
      </c>
      <c r="AS759" t="str">
        <f t="shared" si="154"/>
        <v>Valid</v>
      </c>
    </row>
    <row r="760" spans="1:45" x14ac:dyDescent="0.3">
      <c r="A760">
        <v>10470</v>
      </c>
      <c r="B760">
        <v>1979</v>
      </c>
      <c r="C760" t="s">
        <v>34</v>
      </c>
      <c r="D760" t="s">
        <v>33</v>
      </c>
      <c r="E760">
        <v>40662</v>
      </c>
      <c r="F760">
        <v>1</v>
      </c>
      <c r="G760">
        <v>0</v>
      </c>
      <c r="H760" s="1">
        <v>41348</v>
      </c>
      <c r="I760">
        <v>0</v>
      </c>
      <c r="J760">
        <v>40</v>
      </c>
      <c r="K760">
        <v>2</v>
      </c>
      <c r="L760">
        <v>23</v>
      </c>
      <c r="M760">
        <v>0</v>
      </c>
      <c r="N760">
        <v>4</v>
      </c>
      <c r="O760">
        <v>23</v>
      </c>
      <c r="P760">
        <v>2</v>
      </c>
      <c r="Q760">
        <v>2</v>
      </c>
      <c r="R760">
        <v>1</v>
      </c>
      <c r="S760">
        <v>3</v>
      </c>
      <c r="T760">
        <v>4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3</v>
      </c>
      <c r="AB760">
        <v>11</v>
      </c>
      <c r="AC760">
        <v>0</v>
      </c>
      <c r="AD760" t="str">
        <f t="shared" si="143"/>
        <v>Ok</v>
      </c>
      <c r="AE760" t="str">
        <f>IF(AND(Audit_Data[[#This Row],[Year_Birth]]&gt;=1900,Audit_Data[[#This Row],[Year_Birth]]&lt;=2010),"OK","Invalid")</f>
        <v>OK</v>
      </c>
      <c r="AF760" t="str">
        <f t="shared" si="144"/>
        <v>Valid</v>
      </c>
      <c r="AG760" t="str">
        <f t="shared" si="145"/>
        <v>Valid</v>
      </c>
      <c r="AH760" t="str">
        <f t="shared" si="146"/>
        <v>Valid</v>
      </c>
      <c r="AI760" t="str">
        <f t="shared" si="147"/>
        <v>Valid</v>
      </c>
      <c r="AJ760" t="str">
        <f t="shared" si="148"/>
        <v>Valid</v>
      </c>
      <c r="AK760" t="str">
        <f t="shared" si="155"/>
        <v xml:space="preserve">Valid </v>
      </c>
      <c r="AL760" t="str">
        <f>IF(AND(Audit_Data[[#This Row],[Recency]]&gt;=0,Audit_Data[[#This Row],[Recency]]&lt;=100),"Valid","Invalid")</f>
        <v>Valid</v>
      </c>
      <c r="AM760" t="str">
        <f t="shared" si="149"/>
        <v>Valid</v>
      </c>
      <c r="AN760" t="str">
        <f t="shared" si="150"/>
        <v>Valid</v>
      </c>
      <c r="AO760" t="str">
        <f t="shared" si="151"/>
        <v>Valid</v>
      </c>
      <c r="AP760" t="str">
        <f t="shared" si="152"/>
        <v>Valid</v>
      </c>
      <c r="AQ760" t="str">
        <f>IF(Audit_Data[[#This Row],[Z_CostContact]]=3,"Valid","Invalid")</f>
        <v>Valid</v>
      </c>
      <c r="AR760" t="str">
        <f t="shared" si="153"/>
        <v>Valid</v>
      </c>
      <c r="AS760" t="str">
        <f t="shared" si="154"/>
        <v>Valid</v>
      </c>
    </row>
    <row r="761" spans="1:45" x14ac:dyDescent="0.3">
      <c r="A761">
        <v>6488</v>
      </c>
      <c r="B761">
        <v>1959</v>
      </c>
      <c r="C761" t="s">
        <v>32</v>
      </c>
      <c r="D761" t="s">
        <v>33</v>
      </c>
      <c r="E761">
        <v>38829</v>
      </c>
      <c r="F761">
        <v>0</v>
      </c>
      <c r="G761">
        <v>1</v>
      </c>
      <c r="H761" s="1">
        <v>41735</v>
      </c>
      <c r="I761">
        <v>86</v>
      </c>
      <c r="J761">
        <v>76</v>
      </c>
      <c r="K761">
        <v>0</v>
      </c>
      <c r="L761">
        <v>7</v>
      </c>
      <c r="M761">
        <v>0</v>
      </c>
      <c r="N761">
        <v>0</v>
      </c>
      <c r="O761">
        <v>16</v>
      </c>
      <c r="P761">
        <v>1</v>
      </c>
      <c r="Q761">
        <v>3</v>
      </c>
      <c r="R761">
        <v>2</v>
      </c>
      <c r="S761">
        <v>2</v>
      </c>
      <c r="T761">
        <v>5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3</v>
      </c>
      <c r="AB761">
        <v>11</v>
      </c>
      <c r="AC761">
        <v>0</v>
      </c>
      <c r="AD761" t="str">
        <f t="shared" si="143"/>
        <v>Ok</v>
      </c>
      <c r="AE761" t="str">
        <f>IF(AND(Audit_Data[[#This Row],[Year_Birth]]&gt;=1900,Audit_Data[[#This Row],[Year_Birth]]&lt;=2010),"OK","Invalid")</f>
        <v>OK</v>
      </c>
      <c r="AF761" t="str">
        <f t="shared" si="144"/>
        <v>Valid</v>
      </c>
      <c r="AG761" t="str">
        <f t="shared" si="145"/>
        <v>Valid</v>
      </c>
      <c r="AH761" t="str">
        <f t="shared" si="146"/>
        <v>Valid</v>
      </c>
      <c r="AI761" t="str">
        <f t="shared" si="147"/>
        <v>Valid</v>
      </c>
      <c r="AJ761" t="str">
        <f t="shared" si="148"/>
        <v>Valid</v>
      </c>
      <c r="AK761" t="str">
        <f t="shared" si="155"/>
        <v xml:space="preserve">Valid </v>
      </c>
      <c r="AL761" t="str">
        <f>IF(AND(Audit_Data[[#This Row],[Recency]]&gt;=0,Audit_Data[[#This Row],[Recency]]&lt;=100),"Valid","Invalid")</f>
        <v>Valid</v>
      </c>
      <c r="AM761" t="str">
        <f t="shared" si="149"/>
        <v>Valid</v>
      </c>
      <c r="AN761" t="str">
        <f t="shared" si="150"/>
        <v>Valid</v>
      </c>
      <c r="AO761" t="str">
        <f t="shared" si="151"/>
        <v>Valid</v>
      </c>
      <c r="AP761" t="str">
        <f t="shared" si="152"/>
        <v>Valid</v>
      </c>
      <c r="AQ761" t="str">
        <f>IF(Audit_Data[[#This Row],[Z_CostContact]]=3,"Valid","Invalid")</f>
        <v>Valid</v>
      </c>
      <c r="AR761" t="str">
        <f t="shared" si="153"/>
        <v>Valid</v>
      </c>
      <c r="AS761" t="str">
        <f t="shared" si="154"/>
        <v>Valid</v>
      </c>
    </row>
    <row r="762" spans="1:45" x14ac:dyDescent="0.3">
      <c r="A762">
        <v>10270</v>
      </c>
      <c r="B762">
        <v>1981</v>
      </c>
      <c r="C762" t="s">
        <v>37</v>
      </c>
      <c r="D762" t="s">
        <v>33</v>
      </c>
      <c r="E762">
        <v>35523</v>
      </c>
      <c r="F762">
        <v>1</v>
      </c>
      <c r="G762">
        <v>0</v>
      </c>
      <c r="H762" s="1">
        <v>41550</v>
      </c>
      <c r="I762">
        <v>8</v>
      </c>
      <c r="J762">
        <v>11</v>
      </c>
      <c r="K762">
        <v>5</v>
      </c>
      <c r="L762">
        <v>22</v>
      </c>
      <c r="M762">
        <v>12</v>
      </c>
      <c r="N762">
        <v>5</v>
      </c>
      <c r="O762">
        <v>11</v>
      </c>
      <c r="P762">
        <v>2</v>
      </c>
      <c r="Q762">
        <v>3</v>
      </c>
      <c r="R762">
        <v>0</v>
      </c>
      <c r="S762">
        <v>3</v>
      </c>
      <c r="T762">
        <v>7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3</v>
      </c>
      <c r="AB762">
        <v>11</v>
      </c>
      <c r="AC762">
        <v>0</v>
      </c>
      <c r="AD762" t="str">
        <f t="shared" si="143"/>
        <v>Ok</v>
      </c>
      <c r="AE762" t="str">
        <f>IF(AND(Audit_Data[[#This Row],[Year_Birth]]&gt;=1900,Audit_Data[[#This Row],[Year_Birth]]&lt;=2010),"OK","Invalid")</f>
        <v>OK</v>
      </c>
      <c r="AF762" t="str">
        <f t="shared" si="144"/>
        <v>Valid</v>
      </c>
      <c r="AG762" t="str">
        <f t="shared" si="145"/>
        <v>Valid</v>
      </c>
      <c r="AH762" t="str">
        <f t="shared" si="146"/>
        <v>Valid</v>
      </c>
      <c r="AI762" t="str">
        <f t="shared" si="147"/>
        <v>Valid</v>
      </c>
      <c r="AJ762" t="str">
        <f t="shared" si="148"/>
        <v>Valid</v>
      </c>
      <c r="AK762" t="str">
        <f t="shared" si="155"/>
        <v xml:space="preserve">Valid </v>
      </c>
      <c r="AL762" t="str">
        <f>IF(AND(Audit_Data[[#This Row],[Recency]]&gt;=0,Audit_Data[[#This Row],[Recency]]&lt;=100),"Valid","Invalid")</f>
        <v>Valid</v>
      </c>
      <c r="AM762" t="str">
        <f t="shared" si="149"/>
        <v>Valid</v>
      </c>
      <c r="AN762" t="str">
        <f t="shared" si="150"/>
        <v>Valid</v>
      </c>
      <c r="AO762" t="str">
        <f t="shared" si="151"/>
        <v>Valid</v>
      </c>
      <c r="AP762" t="str">
        <f t="shared" si="152"/>
        <v>Valid</v>
      </c>
      <c r="AQ762" t="str">
        <f>IF(Audit_Data[[#This Row],[Z_CostContact]]=3,"Valid","Invalid")</f>
        <v>Valid</v>
      </c>
      <c r="AR762" t="str">
        <f t="shared" si="153"/>
        <v>Valid</v>
      </c>
      <c r="AS762" t="str">
        <f t="shared" si="154"/>
        <v>Valid</v>
      </c>
    </row>
    <row r="763" spans="1:45" x14ac:dyDescent="0.3">
      <c r="A763">
        <v>6887</v>
      </c>
      <c r="B763">
        <v>1967</v>
      </c>
      <c r="C763" t="s">
        <v>29</v>
      </c>
      <c r="D763" t="s">
        <v>30</v>
      </c>
      <c r="E763">
        <v>79146</v>
      </c>
      <c r="F763">
        <v>1</v>
      </c>
      <c r="G763">
        <v>1</v>
      </c>
      <c r="H763" s="1">
        <v>41753</v>
      </c>
      <c r="I763">
        <v>33</v>
      </c>
      <c r="J763">
        <v>245</v>
      </c>
      <c r="K763">
        <v>16</v>
      </c>
      <c r="L763">
        <v>223</v>
      </c>
      <c r="M763">
        <v>21</v>
      </c>
      <c r="N763">
        <v>43</v>
      </c>
      <c r="O763">
        <v>16</v>
      </c>
      <c r="P763">
        <v>2</v>
      </c>
      <c r="Q763">
        <v>8</v>
      </c>
      <c r="R763">
        <v>1</v>
      </c>
      <c r="S763">
        <v>8</v>
      </c>
      <c r="T763">
        <v>6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3</v>
      </c>
      <c r="AB763">
        <v>11</v>
      </c>
      <c r="AC763">
        <v>0</v>
      </c>
      <c r="AD763" t="str">
        <f t="shared" si="143"/>
        <v>Ok</v>
      </c>
      <c r="AE763" t="str">
        <f>IF(AND(Audit_Data[[#This Row],[Year_Birth]]&gt;=1900,Audit_Data[[#This Row],[Year_Birth]]&lt;=2010),"OK","Invalid")</f>
        <v>OK</v>
      </c>
      <c r="AF763" t="str">
        <f t="shared" si="144"/>
        <v>Valid</v>
      </c>
      <c r="AG763" t="str">
        <f t="shared" si="145"/>
        <v>Valid</v>
      </c>
      <c r="AH763" t="str">
        <f t="shared" si="146"/>
        <v>Valid</v>
      </c>
      <c r="AI763" t="str">
        <f t="shared" si="147"/>
        <v>Valid</v>
      </c>
      <c r="AJ763" t="str">
        <f t="shared" si="148"/>
        <v>Valid</v>
      </c>
      <c r="AK763" t="str">
        <f t="shared" si="155"/>
        <v xml:space="preserve">Valid </v>
      </c>
      <c r="AL763" t="str">
        <f>IF(AND(Audit_Data[[#This Row],[Recency]]&gt;=0,Audit_Data[[#This Row],[Recency]]&lt;=100),"Valid","Invalid")</f>
        <v>Valid</v>
      </c>
      <c r="AM763" t="str">
        <f t="shared" si="149"/>
        <v>Valid</v>
      </c>
      <c r="AN763" t="str">
        <f t="shared" si="150"/>
        <v>Valid</v>
      </c>
      <c r="AO763" t="str">
        <f t="shared" si="151"/>
        <v>Valid</v>
      </c>
      <c r="AP763" t="str">
        <f t="shared" si="152"/>
        <v>Valid</v>
      </c>
      <c r="AQ763" t="str">
        <f>IF(Audit_Data[[#This Row],[Z_CostContact]]=3,"Valid","Invalid")</f>
        <v>Valid</v>
      </c>
      <c r="AR763" t="str">
        <f t="shared" si="153"/>
        <v>Valid</v>
      </c>
      <c r="AS763" t="str">
        <f t="shared" si="154"/>
        <v>Valid</v>
      </c>
    </row>
    <row r="764" spans="1:45" x14ac:dyDescent="0.3">
      <c r="A764">
        <v>6406</v>
      </c>
      <c r="B764">
        <v>1988</v>
      </c>
      <c r="C764" t="s">
        <v>34</v>
      </c>
      <c r="D764" t="s">
        <v>33</v>
      </c>
      <c r="E764">
        <v>78285</v>
      </c>
      <c r="F764">
        <v>0</v>
      </c>
      <c r="G764">
        <v>0</v>
      </c>
      <c r="H764" s="1">
        <v>41575</v>
      </c>
      <c r="I764">
        <v>13</v>
      </c>
      <c r="J764">
        <v>647</v>
      </c>
      <c r="K764">
        <v>107</v>
      </c>
      <c r="L764">
        <v>391</v>
      </c>
      <c r="M764">
        <v>175</v>
      </c>
      <c r="N764">
        <v>67</v>
      </c>
      <c r="O764">
        <v>40</v>
      </c>
      <c r="P764">
        <v>1</v>
      </c>
      <c r="Q764">
        <v>6</v>
      </c>
      <c r="R764">
        <v>4</v>
      </c>
      <c r="S764">
        <v>10</v>
      </c>
      <c r="T764">
        <v>3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3</v>
      </c>
      <c r="AB764">
        <v>11</v>
      </c>
      <c r="AC764">
        <v>0</v>
      </c>
      <c r="AD764" t="str">
        <f t="shared" si="143"/>
        <v>Ok</v>
      </c>
      <c r="AE764" t="str">
        <f>IF(AND(Audit_Data[[#This Row],[Year_Birth]]&gt;=1900,Audit_Data[[#This Row],[Year_Birth]]&lt;=2010),"OK","Invalid")</f>
        <v>OK</v>
      </c>
      <c r="AF764" t="str">
        <f t="shared" si="144"/>
        <v>Valid</v>
      </c>
      <c r="AG764" t="str">
        <f t="shared" si="145"/>
        <v>Valid</v>
      </c>
      <c r="AH764" t="str">
        <f t="shared" si="146"/>
        <v>Valid</v>
      </c>
      <c r="AI764" t="str">
        <f t="shared" si="147"/>
        <v>Valid</v>
      </c>
      <c r="AJ764" t="str">
        <f t="shared" si="148"/>
        <v>Valid</v>
      </c>
      <c r="AK764" t="str">
        <f t="shared" si="155"/>
        <v xml:space="preserve">Valid </v>
      </c>
      <c r="AL764" t="str">
        <f>IF(AND(Audit_Data[[#This Row],[Recency]]&gt;=0,Audit_Data[[#This Row],[Recency]]&lt;=100),"Valid","Invalid")</f>
        <v>Valid</v>
      </c>
      <c r="AM764" t="str">
        <f t="shared" si="149"/>
        <v>Valid</v>
      </c>
      <c r="AN764" t="str">
        <f t="shared" si="150"/>
        <v>Valid</v>
      </c>
      <c r="AO764" t="str">
        <f t="shared" si="151"/>
        <v>Valid</v>
      </c>
      <c r="AP764" t="str">
        <f t="shared" si="152"/>
        <v>Valid</v>
      </c>
      <c r="AQ764" t="str">
        <f>IF(Audit_Data[[#This Row],[Z_CostContact]]=3,"Valid","Invalid")</f>
        <v>Valid</v>
      </c>
      <c r="AR764" t="str">
        <f t="shared" si="153"/>
        <v>Valid</v>
      </c>
      <c r="AS764" t="str">
        <f t="shared" si="154"/>
        <v>Valid</v>
      </c>
    </row>
    <row r="765" spans="1:45" x14ac:dyDescent="0.3">
      <c r="A765">
        <v>7573</v>
      </c>
      <c r="B765">
        <v>1978</v>
      </c>
      <c r="C765" t="s">
        <v>32</v>
      </c>
      <c r="D765" t="s">
        <v>30</v>
      </c>
      <c r="E765">
        <v>31626</v>
      </c>
      <c r="F765">
        <v>1</v>
      </c>
      <c r="G765">
        <v>0</v>
      </c>
      <c r="H765" s="1">
        <v>41404</v>
      </c>
      <c r="I765">
        <v>12</v>
      </c>
      <c r="J765">
        <v>39</v>
      </c>
      <c r="K765">
        <v>1</v>
      </c>
      <c r="L765">
        <v>9</v>
      </c>
      <c r="M765">
        <v>2</v>
      </c>
      <c r="N765">
        <v>1</v>
      </c>
      <c r="O765">
        <v>34</v>
      </c>
      <c r="P765">
        <v>1</v>
      </c>
      <c r="Q765">
        <v>2</v>
      </c>
      <c r="R765">
        <v>1</v>
      </c>
      <c r="S765">
        <v>2</v>
      </c>
      <c r="T765">
        <v>7</v>
      </c>
      <c r="U765">
        <v>1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3</v>
      </c>
      <c r="AB765">
        <v>11</v>
      </c>
      <c r="AC765">
        <v>1</v>
      </c>
      <c r="AD765" t="str">
        <f t="shared" si="143"/>
        <v>Ok</v>
      </c>
      <c r="AE765" t="str">
        <f>IF(AND(Audit_Data[[#This Row],[Year_Birth]]&gt;=1900,Audit_Data[[#This Row],[Year_Birth]]&lt;=2010),"OK","Invalid")</f>
        <v>OK</v>
      </c>
      <c r="AF765" t="str">
        <f t="shared" si="144"/>
        <v>Valid</v>
      </c>
      <c r="AG765" t="str">
        <f t="shared" si="145"/>
        <v>Valid</v>
      </c>
      <c r="AH765" t="str">
        <f t="shared" si="146"/>
        <v>Valid</v>
      </c>
      <c r="AI765" t="str">
        <f t="shared" si="147"/>
        <v>Valid</v>
      </c>
      <c r="AJ765" t="str">
        <f t="shared" si="148"/>
        <v>Valid</v>
      </c>
      <c r="AK765" t="str">
        <f t="shared" si="155"/>
        <v xml:space="preserve">Valid </v>
      </c>
      <c r="AL765" t="str">
        <f>IF(AND(Audit_Data[[#This Row],[Recency]]&gt;=0,Audit_Data[[#This Row],[Recency]]&lt;=100),"Valid","Invalid")</f>
        <v>Valid</v>
      </c>
      <c r="AM765" t="str">
        <f t="shared" si="149"/>
        <v>Valid</v>
      </c>
      <c r="AN765" t="str">
        <f t="shared" si="150"/>
        <v>Valid</v>
      </c>
      <c r="AO765" t="str">
        <f t="shared" si="151"/>
        <v>Valid</v>
      </c>
      <c r="AP765" t="str">
        <f t="shared" si="152"/>
        <v>Valid</v>
      </c>
      <c r="AQ765" t="str">
        <f>IF(Audit_Data[[#This Row],[Z_CostContact]]=3,"Valid","Invalid")</f>
        <v>Valid</v>
      </c>
      <c r="AR765" t="str">
        <f t="shared" si="153"/>
        <v>Valid</v>
      </c>
      <c r="AS765" t="str">
        <f t="shared" si="154"/>
        <v>Valid</v>
      </c>
    </row>
    <row r="766" spans="1:45" x14ac:dyDescent="0.3">
      <c r="A766">
        <v>4508</v>
      </c>
      <c r="B766">
        <v>1952</v>
      </c>
      <c r="C766" t="s">
        <v>29</v>
      </c>
      <c r="D766" t="s">
        <v>30</v>
      </c>
      <c r="E766">
        <v>75127</v>
      </c>
      <c r="F766">
        <v>0</v>
      </c>
      <c r="G766">
        <v>0</v>
      </c>
      <c r="H766" s="1">
        <v>41781</v>
      </c>
      <c r="I766">
        <v>92</v>
      </c>
      <c r="J766">
        <v>203</v>
      </c>
      <c r="K766">
        <v>35</v>
      </c>
      <c r="L766">
        <v>305</v>
      </c>
      <c r="M766">
        <v>46</v>
      </c>
      <c r="N766">
        <v>17</v>
      </c>
      <c r="O766">
        <v>227</v>
      </c>
      <c r="P766">
        <v>1</v>
      </c>
      <c r="Q766">
        <v>2</v>
      </c>
      <c r="R766">
        <v>11</v>
      </c>
      <c r="S766">
        <v>5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3</v>
      </c>
      <c r="AB766">
        <v>11</v>
      </c>
      <c r="AC766">
        <v>0</v>
      </c>
      <c r="AD766" t="str">
        <f t="shared" si="143"/>
        <v>Ok</v>
      </c>
      <c r="AE766" t="str">
        <f>IF(AND(Audit_Data[[#This Row],[Year_Birth]]&gt;=1900,Audit_Data[[#This Row],[Year_Birth]]&lt;=2010),"OK","Invalid")</f>
        <v>OK</v>
      </c>
      <c r="AF766" t="str">
        <f t="shared" si="144"/>
        <v>Valid</v>
      </c>
      <c r="AG766" t="str">
        <f t="shared" si="145"/>
        <v>Valid</v>
      </c>
      <c r="AH766" t="str">
        <f t="shared" si="146"/>
        <v>Valid</v>
      </c>
      <c r="AI766" t="str">
        <f t="shared" si="147"/>
        <v>Valid</v>
      </c>
      <c r="AJ766" t="str">
        <f t="shared" si="148"/>
        <v>Valid</v>
      </c>
      <c r="AK766" t="str">
        <f t="shared" si="155"/>
        <v xml:space="preserve">Valid </v>
      </c>
      <c r="AL766" t="str">
        <f>IF(AND(Audit_Data[[#This Row],[Recency]]&gt;=0,Audit_Data[[#This Row],[Recency]]&lt;=100),"Valid","Invalid")</f>
        <v>Valid</v>
      </c>
      <c r="AM766" t="str">
        <f t="shared" si="149"/>
        <v>Valid</v>
      </c>
      <c r="AN766" t="str">
        <f t="shared" si="150"/>
        <v>Valid</v>
      </c>
      <c r="AO766" t="str">
        <f t="shared" si="151"/>
        <v>Valid</v>
      </c>
      <c r="AP766" t="str">
        <f t="shared" si="152"/>
        <v>Valid</v>
      </c>
      <c r="AQ766" t="str">
        <f>IF(Audit_Data[[#This Row],[Z_CostContact]]=3,"Valid","Invalid")</f>
        <v>Valid</v>
      </c>
      <c r="AR766" t="str">
        <f t="shared" si="153"/>
        <v>Valid</v>
      </c>
      <c r="AS766" t="str">
        <f t="shared" si="154"/>
        <v>Valid</v>
      </c>
    </row>
    <row r="767" spans="1:45" x14ac:dyDescent="0.3">
      <c r="A767">
        <v>221</v>
      </c>
      <c r="B767">
        <v>1955</v>
      </c>
      <c r="C767" t="s">
        <v>29</v>
      </c>
      <c r="D767" t="s">
        <v>33</v>
      </c>
      <c r="E767">
        <v>48726</v>
      </c>
      <c r="F767">
        <v>0</v>
      </c>
      <c r="G767">
        <v>1</v>
      </c>
      <c r="H767" s="1">
        <v>41391</v>
      </c>
      <c r="I767">
        <v>90</v>
      </c>
      <c r="J767">
        <v>138</v>
      </c>
      <c r="K767">
        <v>3</v>
      </c>
      <c r="L767">
        <v>38</v>
      </c>
      <c r="M767">
        <v>4</v>
      </c>
      <c r="N767">
        <v>0</v>
      </c>
      <c r="O767">
        <v>59</v>
      </c>
      <c r="P767">
        <v>3</v>
      </c>
      <c r="Q767">
        <v>3</v>
      </c>
      <c r="R767">
        <v>2</v>
      </c>
      <c r="S767">
        <v>4</v>
      </c>
      <c r="T767">
        <v>6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3</v>
      </c>
      <c r="AB767">
        <v>11</v>
      </c>
      <c r="AC767">
        <v>0</v>
      </c>
      <c r="AD767" t="str">
        <f t="shared" si="143"/>
        <v>Ok</v>
      </c>
      <c r="AE767" t="str">
        <f>IF(AND(Audit_Data[[#This Row],[Year_Birth]]&gt;=1900,Audit_Data[[#This Row],[Year_Birth]]&lt;=2010),"OK","Invalid")</f>
        <v>OK</v>
      </c>
      <c r="AF767" t="str">
        <f t="shared" si="144"/>
        <v>Valid</v>
      </c>
      <c r="AG767" t="str">
        <f t="shared" si="145"/>
        <v>Valid</v>
      </c>
      <c r="AH767" t="str">
        <f t="shared" si="146"/>
        <v>Valid</v>
      </c>
      <c r="AI767" t="str">
        <f t="shared" si="147"/>
        <v>Valid</v>
      </c>
      <c r="AJ767" t="str">
        <f t="shared" si="148"/>
        <v>Valid</v>
      </c>
      <c r="AK767" t="str">
        <f t="shared" si="155"/>
        <v xml:space="preserve">Valid </v>
      </c>
      <c r="AL767" t="str">
        <f>IF(AND(Audit_Data[[#This Row],[Recency]]&gt;=0,Audit_Data[[#This Row],[Recency]]&lt;=100),"Valid","Invalid")</f>
        <v>Valid</v>
      </c>
      <c r="AM767" t="str">
        <f t="shared" si="149"/>
        <v>Valid</v>
      </c>
      <c r="AN767" t="str">
        <f t="shared" si="150"/>
        <v>Valid</v>
      </c>
      <c r="AO767" t="str">
        <f t="shared" si="151"/>
        <v>Valid</v>
      </c>
      <c r="AP767" t="str">
        <f t="shared" si="152"/>
        <v>Valid</v>
      </c>
      <c r="AQ767" t="str">
        <f>IF(Audit_Data[[#This Row],[Z_CostContact]]=3,"Valid","Invalid")</f>
        <v>Valid</v>
      </c>
      <c r="AR767" t="str">
        <f t="shared" si="153"/>
        <v>Valid</v>
      </c>
      <c r="AS767" t="str">
        <f t="shared" si="154"/>
        <v>Valid</v>
      </c>
    </row>
    <row r="768" spans="1:45" x14ac:dyDescent="0.3">
      <c r="A768">
        <v>5331</v>
      </c>
      <c r="B768">
        <v>1977</v>
      </c>
      <c r="C768" t="s">
        <v>29</v>
      </c>
      <c r="D768" t="s">
        <v>33</v>
      </c>
      <c r="E768">
        <v>74985</v>
      </c>
      <c r="F768">
        <v>0</v>
      </c>
      <c r="G768">
        <v>0</v>
      </c>
      <c r="H768" s="1">
        <v>41163</v>
      </c>
      <c r="I768">
        <v>8</v>
      </c>
      <c r="J768">
        <v>587</v>
      </c>
      <c r="K768">
        <v>51</v>
      </c>
      <c r="L768">
        <v>898</v>
      </c>
      <c r="M768">
        <v>247</v>
      </c>
      <c r="N768">
        <v>0</v>
      </c>
      <c r="O768">
        <v>86</v>
      </c>
      <c r="P768">
        <v>1</v>
      </c>
      <c r="Q768">
        <v>3</v>
      </c>
      <c r="R768">
        <v>6</v>
      </c>
      <c r="S768">
        <v>7</v>
      </c>
      <c r="T768">
        <v>2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3</v>
      </c>
      <c r="AB768">
        <v>11</v>
      </c>
      <c r="AC768">
        <v>0</v>
      </c>
      <c r="AD768" t="str">
        <f t="shared" si="143"/>
        <v>Ok</v>
      </c>
      <c r="AE768" t="str">
        <f>IF(AND(Audit_Data[[#This Row],[Year_Birth]]&gt;=1900,Audit_Data[[#This Row],[Year_Birth]]&lt;=2010),"OK","Invalid")</f>
        <v>OK</v>
      </c>
      <c r="AF768" t="str">
        <f t="shared" si="144"/>
        <v>Valid</v>
      </c>
      <c r="AG768" t="str">
        <f t="shared" si="145"/>
        <v>Valid</v>
      </c>
      <c r="AH768" t="str">
        <f t="shared" si="146"/>
        <v>Valid</v>
      </c>
      <c r="AI768" t="str">
        <f t="shared" si="147"/>
        <v>Valid</v>
      </c>
      <c r="AJ768" t="str">
        <f t="shared" si="148"/>
        <v>Valid</v>
      </c>
      <c r="AK768" t="str">
        <f t="shared" si="155"/>
        <v xml:space="preserve">Valid </v>
      </c>
      <c r="AL768" t="str">
        <f>IF(AND(Audit_Data[[#This Row],[Recency]]&gt;=0,Audit_Data[[#This Row],[Recency]]&lt;=100),"Valid","Invalid")</f>
        <v>Valid</v>
      </c>
      <c r="AM768" t="str">
        <f t="shared" si="149"/>
        <v>Valid</v>
      </c>
      <c r="AN768" t="str">
        <f t="shared" si="150"/>
        <v>Valid</v>
      </c>
      <c r="AO768" t="str">
        <f t="shared" si="151"/>
        <v>Valid</v>
      </c>
      <c r="AP768" t="str">
        <f t="shared" si="152"/>
        <v>Valid</v>
      </c>
      <c r="AQ768" t="str">
        <f>IF(Audit_Data[[#This Row],[Z_CostContact]]=3,"Valid","Invalid")</f>
        <v>Valid</v>
      </c>
      <c r="AR768" t="str">
        <f t="shared" si="153"/>
        <v>Valid</v>
      </c>
      <c r="AS768" t="str">
        <f t="shared" si="154"/>
        <v>Valid</v>
      </c>
    </row>
    <row r="769" spans="1:45" x14ac:dyDescent="0.3">
      <c r="A769">
        <v>1911</v>
      </c>
      <c r="B769">
        <v>1987</v>
      </c>
      <c r="C769" t="s">
        <v>29</v>
      </c>
      <c r="D769" t="s">
        <v>31</v>
      </c>
      <c r="E769">
        <v>67430</v>
      </c>
      <c r="F769">
        <v>0</v>
      </c>
      <c r="G769">
        <v>0</v>
      </c>
      <c r="H769" s="1">
        <v>41157</v>
      </c>
      <c r="I769">
        <v>6</v>
      </c>
      <c r="J769">
        <v>595</v>
      </c>
      <c r="K769">
        <v>97</v>
      </c>
      <c r="L769">
        <v>291</v>
      </c>
      <c r="M769">
        <v>127</v>
      </c>
      <c r="N769">
        <v>133</v>
      </c>
      <c r="O769">
        <v>121</v>
      </c>
      <c r="P769">
        <v>1</v>
      </c>
      <c r="Q769">
        <v>11</v>
      </c>
      <c r="R769">
        <v>5</v>
      </c>
      <c r="S769">
        <v>12</v>
      </c>
      <c r="T769">
        <v>6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3</v>
      </c>
      <c r="AB769">
        <v>11</v>
      </c>
      <c r="AC769">
        <v>0</v>
      </c>
      <c r="AD769" t="str">
        <f t="shared" si="143"/>
        <v>Ok</v>
      </c>
      <c r="AE769" t="str">
        <f>IF(AND(Audit_Data[[#This Row],[Year_Birth]]&gt;=1900,Audit_Data[[#This Row],[Year_Birth]]&lt;=2010),"OK","Invalid")</f>
        <v>OK</v>
      </c>
      <c r="AF769" t="str">
        <f t="shared" si="144"/>
        <v>Valid</v>
      </c>
      <c r="AG769" t="str">
        <f t="shared" si="145"/>
        <v>Valid</v>
      </c>
      <c r="AH769" t="str">
        <f t="shared" si="146"/>
        <v>Valid</v>
      </c>
      <c r="AI769" t="str">
        <f t="shared" si="147"/>
        <v>Valid</v>
      </c>
      <c r="AJ769" t="str">
        <f t="shared" si="148"/>
        <v>Valid</v>
      </c>
      <c r="AK769" t="str">
        <f t="shared" si="155"/>
        <v xml:space="preserve">Valid </v>
      </c>
      <c r="AL769" t="str">
        <f>IF(AND(Audit_Data[[#This Row],[Recency]]&gt;=0,Audit_Data[[#This Row],[Recency]]&lt;=100),"Valid","Invalid")</f>
        <v>Valid</v>
      </c>
      <c r="AM769" t="str">
        <f t="shared" si="149"/>
        <v>Valid</v>
      </c>
      <c r="AN769" t="str">
        <f t="shared" si="150"/>
        <v>Valid</v>
      </c>
      <c r="AO769" t="str">
        <f t="shared" si="151"/>
        <v>Valid</v>
      </c>
      <c r="AP769" t="str">
        <f t="shared" si="152"/>
        <v>Valid</v>
      </c>
      <c r="AQ769" t="str">
        <f>IF(Audit_Data[[#This Row],[Z_CostContact]]=3,"Valid","Invalid")</f>
        <v>Valid</v>
      </c>
      <c r="AR769" t="str">
        <f t="shared" si="153"/>
        <v>Valid</v>
      </c>
      <c r="AS769" t="str">
        <f t="shared" si="154"/>
        <v>Valid</v>
      </c>
    </row>
    <row r="770" spans="1:45" x14ac:dyDescent="0.3">
      <c r="A770">
        <v>20</v>
      </c>
      <c r="B770">
        <v>1965</v>
      </c>
      <c r="C770" t="s">
        <v>37</v>
      </c>
      <c r="D770" t="s">
        <v>33</v>
      </c>
      <c r="E770">
        <v>46891</v>
      </c>
      <c r="F770">
        <v>0</v>
      </c>
      <c r="G770">
        <v>1</v>
      </c>
      <c r="H770" s="1">
        <v>41518</v>
      </c>
      <c r="I770">
        <v>91</v>
      </c>
      <c r="J770">
        <v>43</v>
      </c>
      <c r="K770">
        <v>12</v>
      </c>
      <c r="L770">
        <v>23</v>
      </c>
      <c r="M770">
        <v>29</v>
      </c>
      <c r="N770">
        <v>15</v>
      </c>
      <c r="O770">
        <v>61</v>
      </c>
      <c r="P770">
        <v>1</v>
      </c>
      <c r="Q770">
        <v>2</v>
      </c>
      <c r="R770">
        <v>1</v>
      </c>
      <c r="S770">
        <v>4</v>
      </c>
      <c r="T770">
        <v>4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3</v>
      </c>
      <c r="AB770">
        <v>11</v>
      </c>
      <c r="AC770">
        <v>0</v>
      </c>
      <c r="AD770" t="str">
        <f t="shared" ref="AD770:AD833" si="156">IF(COUNTIF(A:A,A770)&gt;1,"Duplicate","Ok")</f>
        <v>Ok</v>
      </c>
      <c r="AE770" t="str">
        <f>IF(AND(Audit_Data[[#This Row],[Year_Birth]]&gt;=1900,Audit_Data[[#This Row],[Year_Birth]]&lt;=2010),"OK","Invalid")</f>
        <v>OK</v>
      </c>
      <c r="AF770" t="str">
        <f t="shared" ref="AF770:AF833" si="157">IF(OR(C770="Graduation",C770="phD",C770="Master",C770="Basic",C770="2n Cycle"),"Valid","Invalid")</f>
        <v>Valid</v>
      </c>
      <c r="AG770" t="str">
        <f t="shared" ref="AG770:AG833" si="158">IF(OR(D770="Single",D770="Married",D770="Divorced",D770="Together",D770="Widow",D770="Alone"),"Valid","Invalid")</f>
        <v>Valid</v>
      </c>
      <c r="AH770" t="str">
        <f t="shared" ref="AH770:AH833" si="159">IF(AND(ISNUMBER(E770),E770&lt;&gt;""),"Valid","Invalid")</f>
        <v>Valid</v>
      </c>
      <c r="AI770" t="str">
        <f t="shared" ref="AI770:AI833" si="160">IF(AND(F770&gt;=0,F770&lt;=2),"Valid","Invalid")</f>
        <v>Valid</v>
      </c>
      <c r="AJ770" t="str">
        <f t="shared" ref="AJ770:AJ833" si="161">IF(AND(G770&gt;=0,G770&lt;=2),"Valid","Invalid")</f>
        <v>Valid</v>
      </c>
      <c r="AK770" t="str">
        <f t="shared" si="155"/>
        <v xml:space="preserve">Valid </v>
      </c>
      <c r="AL770" t="str">
        <f>IF(AND(Audit_Data[[#This Row],[Recency]]&gt;=0,Audit_Data[[#This Row],[Recency]]&lt;=100),"Valid","Invalid")</f>
        <v>Valid</v>
      </c>
      <c r="AM770" t="str">
        <f t="shared" ref="AM770:AM833" si="162">IF(AND(ISNUMBER(J770),J770&gt;=0,ISNUMBER(K770),K770&gt;=0,ISNUMBER(L770),L770&gt;=0,ISNUMBER(M770),M770&gt;=0,ISNUMBER(N770),N770&gt;=0,ISNUMBER(O770),O770&gt;=0),"Valid","Invalid")</f>
        <v>Valid</v>
      </c>
      <c r="AN770" t="str">
        <f t="shared" ref="AN770:AN833" si="163">IF(AND(ISNUMBER(P770),P770&gt;=0,ISNUMBER(Q770),Q770&gt;=0,ISNUMBER(R770),R770&gt;=0,ISNUMBER(S770),S770&gt;=0,ISNUMBER(T770),T770&gt;=0),"Valid","Invalid")</f>
        <v>Valid</v>
      </c>
      <c r="AO770" t="str">
        <f t="shared" ref="AO770:AO833" si="164">IF(AND(U770&lt;=1,V770&lt;=1,W770&lt;=1,X770&lt;=1,Y770&lt;=1),"Valid","Invalid")</f>
        <v>Valid</v>
      </c>
      <c r="AP770" t="str">
        <f t="shared" ref="AP770:AP833" si="165">IF(OR(Z770=0,Z770=1),"Valid","Invalid")</f>
        <v>Valid</v>
      </c>
      <c r="AQ770" t="str">
        <f>IF(Audit_Data[[#This Row],[Z_CostContact]]=3,"Valid","Invalid")</f>
        <v>Valid</v>
      </c>
      <c r="AR770" t="str">
        <f t="shared" ref="AR770:AR833" si="166">IF(AB770=11,"Valid","Invalid")</f>
        <v>Valid</v>
      </c>
      <c r="AS770" t="str">
        <f t="shared" ref="AS770:AS833" si="167">IF(OR(AC770=0,AC770=1),"Valid","Invalid")</f>
        <v>Valid</v>
      </c>
    </row>
    <row r="771" spans="1:45" x14ac:dyDescent="0.3">
      <c r="A771">
        <v>8786</v>
      </c>
      <c r="B771">
        <v>1956</v>
      </c>
      <c r="C771" t="s">
        <v>34</v>
      </c>
      <c r="D771" t="s">
        <v>33</v>
      </c>
      <c r="E771">
        <v>62058</v>
      </c>
      <c r="F771">
        <v>0</v>
      </c>
      <c r="G771">
        <v>1</v>
      </c>
      <c r="H771" s="1">
        <v>41420</v>
      </c>
      <c r="I771">
        <v>52</v>
      </c>
      <c r="J771">
        <v>301</v>
      </c>
      <c r="K771">
        <v>7</v>
      </c>
      <c r="L771">
        <v>74</v>
      </c>
      <c r="M771">
        <v>10</v>
      </c>
      <c r="N771">
        <v>0</v>
      </c>
      <c r="O771">
        <v>58</v>
      </c>
      <c r="P771">
        <v>4</v>
      </c>
      <c r="Q771">
        <v>6</v>
      </c>
      <c r="R771">
        <v>1</v>
      </c>
      <c r="S771">
        <v>7</v>
      </c>
      <c r="T771">
        <v>6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3</v>
      </c>
      <c r="AB771">
        <v>11</v>
      </c>
      <c r="AC771">
        <v>0</v>
      </c>
      <c r="AD771" t="str">
        <f t="shared" si="156"/>
        <v>Ok</v>
      </c>
      <c r="AE771" t="str">
        <f>IF(AND(Audit_Data[[#This Row],[Year_Birth]]&gt;=1900,Audit_Data[[#This Row],[Year_Birth]]&lt;=2010),"OK","Invalid")</f>
        <v>OK</v>
      </c>
      <c r="AF771" t="str">
        <f t="shared" si="157"/>
        <v>Valid</v>
      </c>
      <c r="AG771" t="str">
        <f t="shared" si="158"/>
        <v>Valid</v>
      </c>
      <c r="AH771" t="str">
        <f t="shared" si="159"/>
        <v>Valid</v>
      </c>
      <c r="AI771" t="str">
        <f t="shared" si="160"/>
        <v>Valid</v>
      </c>
      <c r="AJ771" t="str">
        <f t="shared" si="161"/>
        <v>Valid</v>
      </c>
      <c r="AK771" t="str">
        <f t="shared" ref="AK771:AK834" si="168">IF(AND(ISNUMBER(H771),H771&gt;=DATE(2012,1,1),H771&lt;=DATE(2014,12,31)),"Valid ","Invalid")</f>
        <v xml:space="preserve">Valid </v>
      </c>
      <c r="AL771" t="str">
        <f>IF(AND(Audit_Data[[#This Row],[Recency]]&gt;=0,Audit_Data[[#This Row],[Recency]]&lt;=100),"Valid","Invalid")</f>
        <v>Valid</v>
      </c>
      <c r="AM771" t="str">
        <f t="shared" si="162"/>
        <v>Valid</v>
      </c>
      <c r="AN771" t="str">
        <f t="shared" si="163"/>
        <v>Valid</v>
      </c>
      <c r="AO771" t="str">
        <f t="shared" si="164"/>
        <v>Valid</v>
      </c>
      <c r="AP771" t="str">
        <f t="shared" si="165"/>
        <v>Valid</v>
      </c>
      <c r="AQ771" t="str">
        <f>IF(Audit_Data[[#This Row],[Z_CostContact]]=3,"Valid","Invalid")</f>
        <v>Valid</v>
      </c>
      <c r="AR771" t="str">
        <f t="shared" si="166"/>
        <v>Valid</v>
      </c>
      <c r="AS771" t="str">
        <f t="shared" si="167"/>
        <v>Valid</v>
      </c>
    </row>
    <row r="772" spans="1:45" x14ac:dyDescent="0.3">
      <c r="A772">
        <v>10582</v>
      </c>
      <c r="B772">
        <v>1979</v>
      </c>
      <c r="C772" t="s">
        <v>29</v>
      </c>
      <c r="D772" t="s">
        <v>33</v>
      </c>
      <c r="E772">
        <v>72063</v>
      </c>
      <c r="F772">
        <v>0</v>
      </c>
      <c r="G772">
        <v>1</v>
      </c>
      <c r="H772" s="1">
        <v>41458</v>
      </c>
      <c r="I772">
        <v>3</v>
      </c>
      <c r="J772">
        <v>180</v>
      </c>
      <c r="K772">
        <v>32</v>
      </c>
      <c r="L772">
        <v>348</v>
      </c>
      <c r="M772">
        <v>76</v>
      </c>
      <c r="N772">
        <v>32</v>
      </c>
      <c r="O772">
        <v>90</v>
      </c>
      <c r="P772">
        <v>2</v>
      </c>
      <c r="Q772">
        <v>5</v>
      </c>
      <c r="R772">
        <v>2</v>
      </c>
      <c r="S772">
        <v>12</v>
      </c>
      <c r="T772">
        <v>2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3</v>
      </c>
      <c r="AB772">
        <v>11</v>
      </c>
      <c r="AC772">
        <v>0</v>
      </c>
      <c r="AD772" t="str">
        <f t="shared" si="156"/>
        <v>Ok</v>
      </c>
      <c r="AE772" t="str">
        <f>IF(AND(Audit_Data[[#This Row],[Year_Birth]]&gt;=1900,Audit_Data[[#This Row],[Year_Birth]]&lt;=2010),"OK","Invalid")</f>
        <v>OK</v>
      </c>
      <c r="AF772" t="str">
        <f t="shared" si="157"/>
        <v>Valid</v>
      </c>
      <c r="AG772" t="str">
        <f t="shared" si="158"/>
        <v>Valid</v>
      </c>
      <c r="AH772" t="str">
        <f t="shared" si="159"/>
        <v>Valid</v>
      </c>
      <c r="AI772" t="str">
        <f t="shared" si="160"/>
        <v>Valid</v>
      </c>
      <c r="AJ772" t="str">
        <f t="shared" si="161"/>
        <v>Valid</v>
      </c>
      <c r="AK772" t="str">
        <f t="shared" si="168"/>
        <v xml:space="preserve">Valid </v>
      </c>
      <c r="AL772" t="str">
        <f>IF(AND(Audit_Data[[#This Row],[Recency]]&gt;=0,Audit_Data[[#This Row],[Recency]]&lt;=100),"Valid","Invalid")</f>
        <v>Valid</v>
      </c>
      <c r="AM772" t="str">
        <f t="shared" si="162"/>
        <v>Valid</v>
      </c>
      <c r="AN772" t="str">
        <f t="shared" si="163"/>
        <v>Valid</v>
      </c>
      <c r="AO772" t="str">
        <f t="shared" si="164"/>
        <v>Valid</v>
      </c>
      <c r="AP772" t="str">
        <f t="shared" si="165"/>
        <v>Valid</v>
      </c>
      <c r="AQ772" t="str">
        <f>IF(Audit_Data[[#This Row],[Z_CostContact]]=3,"Valid","Invalid")</f>
        <v>Valid</v>
      </c>
      <c r="AR772" t="str">
        <f t="shared" si="166"/>
        <v>Valid</v>
      </c>
      <c r="AS772" t="str">
        <f t="shared" si="167"/>
        <v>Valid</v>
      </c>
    </row>
    <row r="773" spans="1:45" x14ac:dyDescent="0.3">
      <c r="A773">
        <v>1915</v>
      </c>
      <c r="B773">
        <v>1951</v>
      </c>
      <c r="C773" t="s">
        <v>32</v>
      </c>
      <c r="D773" t="s">
        <v>33</v>
      </c>
      <c r="E773">
        <v>78939</v>
      </c>
      <c r="F773">
        <v>0</v>
      </c>
      <c r="G773">
        <v>0</v>
      </c>
      <c r="H773" s="1">
        <v>41620</v>
      </c>
      <c r="I773">
        <v>57</v>
      </c>
      <c r="J773">
        <v>794</v>
      </c>
      <c r="K773">
        <v>115</v>
      </c>
      <c r="L773">
        <v>243</v>
      </c>
      <c r="M773">
        <v>150</v>
      </c>
      <c r="N773">
        <v>0</v>
      </c>
      <c r="O773">
        <v>205</v>
      </c>
      <c r="P773">
        <v>1</v>
      </c>
      <c r="Q773">
        <v>8</v>
      </c>
      <c r="R773">
        <v>5</v>
      </c>
      <c r="S773">
        <v>6</v>
      </c>
      <c r="T773">
        <v>3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3</v>
      </c>
      <c r="AB773">
        <v>11</v>
      </c>
      <c r="AC773">
        <v>0</v>
      </c>
      <c r="AD773" t="str">
        <f t="shared" si="156"/>
        <v>Ok</v>
      </c>
      <c r="AE773" t="str">
        <f>IF(AND(Audit_Data[[#This Row],[Year_Birth]]&gt;=1900,Audit_Data[[#This Row],[Year_Birth]]&lt;=2010),"OK","Invalid")</f>
        <v>OK</v>
      </c>
      <c r="AF773" t="str">
        <f t="shared" si="157"/>
        <v>Valid</v>
      </c>
      <c r="AG773" t="str">
        <f t="shared" si="158"/>
        <v>Valid</v>
      </c>
      <c r="AH773" t="str">
        <f t="shared" si="159"/>
        <v>Valid</v>
      </c>
      <c r="AI773" t="str">
        <f t="shared" si="160"/>
        <v>Valid</v>
      </c>
      <c r="AJ773" t="str">
        <f t="shared" si="161"/>
        <v>Valid</v>
      </c>
      <c r="AK773" t="str">
        <f t="shared" si="168"/>
        <v xml:space="preserve">Valid </v>
      </c>
      <c r="AL773" t="str">
        <f>IF(AND(Audit_Data[[#This Row],[Recency]]&gt;=0,Audit_Data[[#This Row],[Recency]]&lt;=100),"Valid","Invalid")</f>
        <v>Valid</v>
      </c>
      <c r="AM773" t="str">
        <f t="shared" si="162"/>
        <v>Valid</v>
      </c>
      <c r="AN773" t="str">
        <f t="shared" si="163"/>
        <v>Valid</v>
      </c>
      <c r="AO773" t="str">
        <f t="shared" si="164"/>
        <v>Valid</v>
      </c>
      <c r="AP773" t="str">
        <f t="shared" si="165"/>
        <v>Valid</v>
      </c>
      <c r="AQ773" t="str">
        <f>IF(Audit_Data[[#This Row],[Z_CostContact]]=3,"Valid","Invalid")</f>
        <v>Valid</v>
      </c>
      <c r="AR773" t="str">
        <f t="shared" si="166"/>
        <v>Valid</v>
      </c>
      <c r="AS773" t="str">
        <f t="shared" si="167"/>
        <v>Valid</v>
      </c>
    </row>
    <row r="774" spans="1:45" x14ac:dyDescent="0.3">
      <c r="A774">
        <v>8897</v>
      </c>
      <c r="B774">
        <v>1965</v>
      </c>
      <c r="C774" t="s">
        <v>29</v>
      </c>
      <c r="D774" t="s">
        <v>30</v>
      </c>
      <c r="E774">
        <v>42720</v>
      </c>
      <c r="F774">
        <v>1</v>
      </c>
      <c r="G774">
        <v>1</v>
      </c>
      <c r="H774" s="1">
        <v>41388</v>
      </c>
      <c r="I774">
        <v>9</v>
      </c>
      <c r="J774">
        <v>392</v>
      </c>
      <c r="K774">
        <v>5</v>
      </c>
      <c r="L774">
        <v>91</v>
      </c>
      <c r="M774">
        <v>28</v>
      </c>
      <c r="N774">
        <v>26</v>
      </c>
      <c r="O774">
        <v>112</v>
      </c>
      <c r="P774">
        <v>8</v>
      </c>
      <c r="Q774">
        <v>7</v>
      </c>
      <c r="R774">
        <v>3</v>
      </c>
      <c r="S774">
        <v>7</v>
      </c>
      <c r="T774">
        <v>8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3</v>
      </c>
      <c r="AB774">
        <v>11</v>
      </c>
      <c r="AC774">
        <v>1</v>
      </c>
      <c r="AD774" t="str">
        <f t="shared" si="156"/>
        <v>Ok</v>
      </c>
      <c r="AE774" t="str">
        <f>IF(AND(Audit_Data[[#This Row],[Year_Birth]]&gt;=1900,Audit_Data[[#This Row],[Year_Birth]]&lt;=2010),"OK","Invalid")</f>
        <v>OK</v>
      </c>
      <c r="AF774" t="str">
        <f t="shared" si="157"/>
        <v>Valid</v>
      </c>
      <c r="AG774" t="str">
        <f t="shared" si="158"/>
        <v>Valid</v>
      </c>
      <c r="AH774" t="str">
        <f t="shared" si="159"/>
        <v>Valid</v>
      </c>
      <c r="AI774" t="str">
        <f t="shared" si="160"/>
        <v>Valid</v>
      </c>
      <c r="AJ774" t="str">
        <f t="shared" si="161"/>
        <v>Valid</v>
      </c>
      <c r="AK774" t="str">
        <f t="shared" si="168"/>
        <v xml:space="preserve">Valid </v>
      </c>
      <c r="AL774" t="str">
        <f>IF(AND(Audit_Data[[#This Row],[Recency]]&gt;=0,Audit_Data[[#This Row],[Recency]]&lt;=100),"Valid","Invalid")</f>
        <v>Valid</v>
      </c>
      <c r="AM774" t="str">
        <f t="shared" si="162"/>
        <v>Valid</v>
      </c>
      <c r="AN774" t="str">
        <f t="shared" si="163"/>
        <v>Valid</v>
      </c>
      <c r="AO774" t="str">
        <f t="shared" si="164"/>
        <v>Valid</v>
      </c>
      <c r="AP774" t="str">
        <f t="shared" si="165"/>
        <v>Valid</v>
      </c>
      <c r="AQ774" t="str">
        <f>IF(Audit_Data[[#This Row],[Z_CostContact]]=3,"Valid","Invalid")</f>
        <v>Valid</v>
      </c>
      <c r="AR774" t="str">
        <f t="shared" si="166"/>
        <v>Valid</v>
      </c>
      <c r="AS774" t="str">
        <f t="shared" si="167"/>
        <v>Valid</v>
      </c>
    </row>
    <row r="775" spans="1:45" x14ac:dyDescent="0.3">
      <c r="A775">
        <v>2371</v>
      </c>
      <c r="B775">
        <v>1972</v>
      </c>
      <c r="C775" t="s">
        <v>29</v>
      </c>
      <c r="D775" t="s">
        <v>33</v>
      </c>
      <c r="E775">
        <v>33622</v>
      </c>
      <c r="F775">
        <v>1</v>
      </c>
      <c r="G775">
        <v>1</v>
      </c>
      <c r="H775" s="1">
        <v>41377</v>
      </c>
      <c r="I775">
        <v>22</v>
      </c>
      <c r="J775">
        <v>39</v>
      </c>
      <c r="K775">
        <v>1</v>
      </c>
      <c r="L775">
        <v>22</v>
      </c>
      <c r="M775">
        <v>3</v>
      </c>
      <c r="N775">
        <v>4</v>
      </c>
      <c r="O775">
        <v>12</v>
      </c>
      <c r="P775">
        <v>3</v>
      </c>
      <c r="Q775">
        <v>2</v>
      </c>
      <c r="R775">
        <v>0</v>
      </c>
      <c r="S775">
        <v>4</v>
      </c>
      <c r="T775">
        <v>7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3</v>
      </c>
      <c r="AB775">
        <v>11</v>
      </c>
      <c r="AC775">
        <v>0</v>
      </c>
      <c r="AD775" t="str">
        <f t="shared" si="156"/>
        <v>Ok</v>
      </c>
      <c r="AE775" t="str">
        <f>IF(AND(Audit_Data[[#This Row],[Year_Birth]]&gt;=1900,Audit_Data[[#This Row],[Year_Birth]]&lt;=2010),"OK","Invalid")</f>
        <v>OK</v>
      </c>
      <c r="AF775" t="str">
        <f t="shared" si="157"/>
        <v>Valid</v>
      </c>
      <c r="AG775" t="str">
        <f t="shared" si="158"/>
        <v>Valid</v>
      </c>
      <c r="AH775" t="str">
        <f t="shared" si="159"/>
        <v>Valid</v>
      </c>
      <c r="AI775" t="str">
        <f t="shared" si="160"/>
        <v>Valid</v>
      </c>
      <c r="AJ775" t="str">
        <f t="shared" si="161"/>
        <v>Valid</v>
      </c>
      <c r="AK775" t="str">
        <f t="shared" si="168"/>
        <v xml:space="preserve">Valid </v>
      </c>
      <c r="AL775" t="str">
        <f>IF(AND(Audit_Data[[#This Row],[Recency]]&gt;=0,Audit_Data[[#This Row],[Recency]]&lt;=100),"Valid","Invalid")</f>
        <v>Valid</v>
      </c>
      <c r="AM775" t="str">
        <f t="shared" si="162"/>
        <v>Valid</v>
      </c>
      <c r="AN775" t="str">
        <f t="shared" si="163"/>
        <v>Valid</v>
      </c>
      <c r="AO775" t="str">
        <f t="shared" si="164"/>
        <v>Valid</v>
      </c>
      <c r="AP775" t="str">
        <f t="shared" si="165"/>
        <v>Valid</v>
      </c>
      <c r="AQ775" t="str">
        <f>IF(Audit_Data[[#This Row],[Z_CostContact]]=3,"Valid","Invalid")</f>
        <v>Valid</v>
      </c>
      <c r="AR775" t="str">
        <f t="shared" si="166"/>
        <v>Valid</v>
      </c>
      <c r="AS775" t="str">
        <f t="shared" si="167"/>
        <v>Valid</v>
      </c>
    </row>
    <row r="776" spans="1:45" x14ac:dyDescent="0.3">
      <c r="A776">
        <v>4303</v>
      </c>
      <c r="B776">
        <v>1957</v>
      </c>
      <c r="C776" t="s">
        <v>32</v>
      </c>
      <c r="D776" t="s">
        <v>31</v>
      </c>
      <c r="E776">
        <v>6835</v>
      </c>
      <c r="F776">
        <v>0</v>
      </c>
      <c r="G776">
        <v>1</v>
      </c>
      <c r="H776" s="1">
        <v>41251</v>
      </c>
      <c r="I776">
        <v>76</v>
      </c>
      <c r="J776">
        <v>107</v>
      </c>
      <c r="K776">
        <v>2</v>
      </c>
      <c r="L776">
        <v>12</v>
      </c>
      <c r="M776">
        <v>2</v>
      </c>
      <c r="N776">
        <v>2</v>
      </c>
      <c r="O776">
        <v>12</v>
      </c>
      <c r="P776">
        <v>0</v>
      </c>
      <c r="Q776">
        <v>0</v>
      </c>
      <c r="R776">
        <v>0</v>
      </c>
      <c r="S776">
        <v>1</v>
      </c>
      <c r="T776">
        <v>20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3</v>
      </c>
      <c r="AB776">
        <v>11</v>
      </c>
      <c r="AC776">
        <v>0</v>
      </c>
      <c r="AD776" t="str">
        <f t="shared" si="156"/>
        <v>Ok</v>
      </c>
      <c r="AE776" t="str">
        <f>IF(AND(Audit_Data[[#This Row],[Year_Birth]]&gt;=1900,Audit_Data[[#This Row],[Year_Birth]]&lt;=2010),"OK","Invalid")</f>
        <v>OK</v>
      </c>
      <c r="AF776" t="str">
        <f t="shared" si="157"/>
        <v>Valid</v>
      </c>
      <c r="AG776" t="str">
        <f t="shared" si="158"/>
        <v>Valid</v>
      </c>
      <c r="AH776" t="str">
        <f t="shared" si="159"/>
        <v>Valid</v>
      </c>
      <c r="AI776" t="str">
        <f t="shared" si="160"/>
        <v>Valid</v>
      </c>
      <c r="AJ776" t="str">
        <f t="shared" si="161"/>
        <v>Valid</v>
      </c>
      <c r="AK776" t="str">
        <f t="shared" si="168"/>
        <v xml:space="preserve">Valid </v>
      </c>
      <c r="AL776" t="str">
        <f>IF(AND(Audit_Data[[#This Row],[Recency]]&gt;=0,Audit_Data[[#This Row],[Recency]]&lt;=100),"Valid","Invalid")</f>
        <v>Valid</v>
      </c>
      <c r="AM776" t="str">
        <f t="shared" si="162"/>
        <v>Valid</v>
      </c>
      <c r="AN776" t="str">
        <f t="shared" si="163"/>
        <v>Valid</v>
      </c>
      <c r="AO776" t="str">
        <f t="shared" si="164"/>
        <v>Valid</v>
      </c>
      <c r="AP776" t="str">
        <f t="shared" si="165"/>
        <v>Valid</v>
      </c>
      <c r="AQ776" t="str">
        <f>IF(Audit_Data[[#This Row],[Z_CostContact]]=3,"Valid","Invalid")</f>
        <v>Valid</v>
      </c>
      <c r="AR776" t="str">
        <f t="shared" si="166"/>
        <v>Valid</v>
      </c>
      <c r="AS776" t="str">
        <f t="shared" si="167"/>
        <v>Valid</v>
      </c>
    </row>
    <row r="777" spans="1:45" x14ac:dyDescent="0.3">
      <c r="A777">
        <v>6825</v>
      </c>
      <c r="B777">
        <v>1953</v>
      </c>
      <c r="C777" t="s">
        <v>29</v>
      </c>
      <c r="D777" t="s">
        <v>31</v>
      </c>
      <c r="E777">
        <v>41452</v>
      </c>
      <c r="F777">
        <v>1</v>
      </c>
      <c r="G777">
        <v>1</v>
      </c>
      <c r="H777" s="1">
        <v>41339</v>
      </c>
      <c r="I777">
        <v>86</v>
      </c>
      <c r="J777">
        <v>13</v>
      </c>
      <c r="K777">
        <v>0</v>
      </c>
      <c r="L777">
        <v>3</v>
      </c>
      <c r="M777">
        <v>0</v>
      </c>
      <c r="N777">
        <v>0</v>
      </c>
      <c r="O777">
        <v>0</v>
      </c>
      <c r="P777">
        <v>1</v>
      </c>
      <c r="Q777">
        <v>1</v>
      </c>
      <c r="R777">
        <v>0</v>
      </c>
      <c r="S777">
        <v>2</v>
      </c>
      <c r="T777">
        <v>7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3</v>
      </c>
      <c r="AB777">
        <v>11</v>
      </c>
      <c r="AC777">
        <v>0</v>
      </c>
      <c r="AD777" t="str">
        <f t="shared" si="156"/>
        <v>Ok</v>
      </c>
      <c r="AE777" t="str">
        <f>IF(AND(Audit_Data[[#This Row],[Year_Birth]]&gt;=1900,Audit_Data[[#This Row],[Year_Birth]]&lt;=2010),"OK","Invalid")</f>
        <v>OK</v>
      </c>
      <c r="AF777" t="str">
        <f t="shared" si="157"/>
        <v>Valid</v>
      </c>
      <c r="AG777" t="str">
        <f t="shared" si="158"/>
        <v>Valid</v>
      </c>
      <c r="AH777" t="str">
        <f t="shared" si="159"/>
        <v>Valid</v>
      </c>
      <c r="AI777" t="str">
        <f t="shared" si="160"/>
        <v>Valid</v>
      </c>
      <c r="AJ777" t="str">
        <f t="shared" si="161"/>
        <v>Valid</v>
      </c>
      <c r="AK777" t="str">
        <f t="shared" si="168"/>
        <v xml:space="preserve">Valid </v>
      </c>
      <c r="AL777" t="str">
        <f>IF(AND(Audit_Data[[#This Row],[Recency]]&gt;=0,Audit_Data[[#This Row],[Recency]]&lt;=100),"Valid","Invalid")</f>
        <v>Valid</v>
      </c>
      <c r="AM777" t="str">
        <f t="shared" si="162"/>
        <v>Valid</v>
      </c>
      <c r="AN777" t="str">
        <f t="shared" si="163"/>
        <v>Valid</v>
      </c>
      <c r="AO777" t="str">
        <f t="shared" si="164"/>
        <v>Valid</v>
      </c>
      <c r="AP777" t="str">
        <f t="shared" si="165"/>
        <v>Valid</v>
      </c>
      <c r="AQ777" t="str">
        <f>IF(Audit_Data[[#This Row],[Z_CostContact]]=3,"Valid","Invalid")</f>
        <v>Valid</v>
      </c>
      <c r="AR777" t="str">
        <f t="shared" si="166"/>
        <v>Valid</v>
      </c>
      <c r="AS777" t="str">
        <f t="shared" si="167"/>
        <v>Valid</v>
      </c>
    </row>
    <row r="778" spans="1:45" x14ac:dyDescent="0.3">
      <c r="A778">
        <v>1072</v>
      </c>
      <c r="B778">
        <v>1965</v>
      </c>
      <c r="C778" t="s">
        <v>32</v>
      </c>
      <c r="D778" t="s">
        <v>30</v>
      </c>
      <c r="E778">
        <v>40760</v>
      </c>
      <c r="F778">
        <v>0</v>
      </c>
      <c r="G778">
        <v>1</v>
      </c>
      <c r="H778" s="1">
        <v>41516</v>
      </c>
      <c r="I778">
        <v>64</v>
      </c>
      <c r="J778">
        <v>70</v>
      </c>
      <c r="K778">
        <v>0</v>
      </c>
      <c r="L778">
        <v>17</v>
      </c>
      <c r="M778">
        <v>0</v>
      </c>
      <c r="N778">
        <v>0</v>
      </c>
      <c r="O778">
        <v>6</v>
      </c>
      <c r="P778">
        <v>2</v>
      </c>
      <c r="Q778">
        <v>2</v>
      </c>
      <c r="R778">
        <v>1</v>
      </c>
      <c r="S778">
        <v>3</v>
      </c>
      <c r="T778">
        <v>6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3</v>
      </c>
      <c r="AB778">
        <v>11</v>
      </c>
      <c r="AC778">
        <v>0</v>
      </c>
      <c r="AD778" t="str">
        <f t="shared" si="156"/>
        <v>Ok</v>
      </c>
      <c r="AE778" t="str">
        <f>IF(AND(Audit_Data[[#This Row],[Year_Birth]]&gt;=1900,Audit_Data[[#This Row],[Year_Birth]]&lt;=2010),"OK","Invalid")</f>
        <v>OK</v>
      </c>
      <c r="AF778" t="str">
        <f t="shared" si="157"/>
        <v>Valid</v>
      </c>
      <c r="AG778" t="str">
        <f t="shared" si="158"/>
        <v>Valid</v>
      </c>
      <c r="AH778" t="str">
        <f t="shared" si="159"/>
        <v>Valid</v>
      </c>
      <c r="AI778" t="str">
        <f t="shared" si="160"/>
        <v>Valid</v>
      </c>
      <c r="AJ778" t="str">
        <f t="shared" si="161"/>
        <v>Valid</v>
      </c>
      <c r="AK778" t="str">
        <f t="shared" si="168"/>
        <v xml:space="preserve">Valid </v>
      </c>
      <c r="AL778" t="str">
        <f>IF(AND(Audit_Data[[#This Row],[Recency]]&gt;=0,Audit_Data[[#This Row],[Recency]]&lt;=100),"Valid","Invalid")</f>
        <v>Valid</v>
      </c>
      <c r="AM778" t="str">
        <f t="shared" si="162"/>
        <v>Valid</v>
      </c>
      <c r="AN778" t="str">
        <f t="shared" si="163"/>
        <v>Valid</v>
      </c>
      <c r="AO778" t="str">
        <f t="shared" si="164"/>
        <v>Valid</v>
      </c>
      <c r="AP778" t="str">
        <f t="shared" si="165"/>
        <v>Valid</v>
      </c>
      <c r="AQ778" t="str">
        <f>IF(Audit_Data[[#This Row],[Z_CostContact]]=3,"Valid","Invalid")</f>
        <v>Valid</v>
      </c>
      <c r="AR778" t="str">
        <f t="shared" si="166"/>
        <v>Valid</v>
      </c>
      <c r="AS778" t="str">
        <f t="shared" si="167"/>
        <v>Valid</v>
      </c>
    </row>
    <row r="779" spans="1:45" x14ac:dyDescent="0.3">
      <c r="A779">
        <v>4964</v>
      </c>
      <c r="B779">
        <v>1958</v>
      </c>
      <c r="C779" t="s">
        <v>32</v>
      </c>
      <c r="D779" t="s">
        <v>31</v>
      </c>
      <c r="E779">
        <v>74250</v>
      </c>
      <c r="F779">
        <v>0</v>
      </c>
      <c r="G779">
        <v>0</v>
      </c>
      <c r="H779" s="1">
        <v>41665</v>
      </c>
      <c r="I779">
        <v>90</v>
      </c>
      <c r="J779">
        <v>680</v>
      </c>
      <c r="K779">
        <v>11</v>
      </c>
      <c r="L779">
        <v>392</v>
      </c>
      <c r="M779">
        <v>75</v>
      </c>
      <c r="N779">
        <v>0</v>
      </c>
      <c r="O779">
        <v>0</v>
      </c>
      <c r="P779">
        <v>1</v>
      </c>
      <c r="Q779">
        <v>2</v>
      </c>
      <c r="R779">
        <v>11</v>
      </c>
      <c r="S779">
        <v>4</v>
      </c>
      <c r="T779">
        <v>1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3</v>
      </c>
      <c r="AB779">
        <v>11</v>
      </c>
      <c r="AC779">
        <v>0</v>
      </c>
      <c r="AD779" t="str">
        <f t="shared" si="156"/>
        <v>Ok</v>
      </c>
      <c r="AE779" t="str">
        <f>IF(AND(Audit_Data[[#This Row],[Year_Birth]]&gt;=1900,Audit_Data[[#This Row],[Year_Birth]]&lt;=2010),"OK","Invalid")</f>
        <v>OK</v>
      </c>
      <c r="AF779" t="str">
        <f t="shared" si="157"/>
        <v>Valid</v>
      </c>
      <c r="AG779" t="str">
        <f t="shared" si="158"/>
        <v>Valid</v>
      </c>
      <c r="AH779" t="str">
        <f t="shared" si="159"/>
        <v>Valid</v>
      </c>
      <c r="AI779" t="str">
        <f t="shared" si="160"/>
        <v>Valid</v>
      </c>
      <c r="AJ779" t="str">
        <f t="shared" si="161"/>
        <v>Valid</v>
      </c>
      <c r="AK779" t="str">
        <f t="shared" si="168"/>
        <v xml:space="preserve">Valid </v>
      </c>
      <c r="AL779" t="str">
        <f>IF(AND(Audit_Data[[#This Row],[Recency]]&gt;=0,Audit_Data[[#This Row],[Recency]]&lt;=100),"Valid","Invalid")</f>
        <v>Valid</v>
      </c>
      <c r="AM779" t="str">
        <f t="shared" si="162"/>
        <v>Valid</v>
      </c>
      <c r="AN779" t="str">
        <f t="shared" si="163"/>
        <v>Valid</v>
      </c>
      <c r="AO779" t="str">
        <f t="shared" si="164"/>
        <v>Valid</v>
      </c>
      <c r="AP779" t="str">
        <f t="shared" si="165"/>
        <v>Valid</v>
      </c>
      <c r="AQ779" t="str">
        <f>IF(Audit_Data[[#This Row],[Z_CostContact]]=3,"Valid","Invalid")</f>
        <v>Valid</v>
      </c>
      <c r="AR779" t="str">
        <f t="shared" si="166"/>
        <v>Valid</v>
      </c>
      <c r="AS779" t="str">
        <f t="shared" si="167"/>
        <v>Valid</v>
      </c>
    </row>
    <row r="780" spans="1:45" x14ac:dyDescent="0.3">
      <c r="A780">
        <v>2461</v>
      </c>
      <c r="B780">
        <v>1955</v>
      </c>
      <c r="C780" t="s">
        <v>34</v>
      </c>
      <c r="D780" t="s">
        <v>30</v>
      </c>
      <c r="E780">
        <v>51124</v>
      </c>
      <c r="F780">
        <v>1</v>
      </c>
      <c r="G780">
        <v>1</v>
      </c>
      <c r="H780" s="1">
        <v>41626</v>
      </c>
      <c r="I780">
        <v>79</v>
      </c>
      <c r="J780">
        <v>26</v>
      </c>
      <c r="K780">
        <v>1</v>
      </c>
      <c r="L780">
        <v>11</v>
      </c>
      <c r="M780">
        <v>0</v>
      </c>
      <c r="N780">
        <v>1</v>
      </c>
      <c r="O780">
        <v>4</v>
      </c>
      <c r="P780">
        <v>2</v>
      </c>
      <c r="Q780">
        <v>1</v>
      </c>
      <c r="R780">
        <v>0</v>
      </c>
      <c r="S780">
        <v>3</v>
      </c>
      <c r="T780">
        <v>3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3</v>
      </c>
      <c r="AB780">
        <v>11</v>
      </c>
      <c r="AC780">
        <v>0</v>
      </c>
      <c r="AD780" t="str">
        <f t="shared" si="156"/>
        <v>Ok</v>
      </c>
      <c r="AE780" t="str">
        <f>IF(AND(Audit_Data[[#This Row],[Year_Birth]]&gt;=1900,Audit_Data[[#This Row],[Year_Birth]]&lt;=2010),"OK","Invalid")</f>
        <v>OK</v>
      </c>
      <c r="AF780" t="str">
        <f t="shared" si="157"/>
        <v>Valid</v>
      </c>
      <c r="AG780" t="str">
        <f t="shared" si="158"/>
        <v>Valid</v>
      </c>
      <c r="AH780" t="str">
        <f t="shared" si="159"/>
        <v>Valid</v>
      </c>
      <c r="AI780" t="str">
        <f t="shared" si="160"/>
        <v>Valid</v>
      </c>
      <c r="AJ780" t="str">
        <f t="shared" si="161"/>
        <v>Valid</v>
      </c>
      <c r="AK780" t="str">
        <f t="shared" si="168"/>
        <v xml:space="preserve">Valid </v>
      </c>
      <c r="AL780" t="str">
        <f>IF(AND(Audit_Data[[#This Row],[Recency]]&gt;=0,Audit_Data[[#This Row],[Recency]]&lt;=100),"Valid","Invalid")</f>
        <v>Valid</v>
      </c>
      <c r="AM780" t="str">
        <f t="shared" si="162"/>
        <v>Valid</v>
      </c>
      <c r="AN780" t="str">
        <f t="shared" si="163"/>
        <v>Valid</v>
      </c>
      <c r="AO780" t="str">
        <f t="shared" si="164"/>
        <v>Valid</v>
      </c>
      <c r="AP780" t="str">
        <f t="shared" si="165"/>
        <v>Valid</v>
      </c>
      <c r="AQ780" t="str">
        <f>IF(Audit_Data[[#This Row],[Z_CostContact]]=3,"Valid","Invalid")</f>
        <v>Valid</v>
      </c>
      <c r="AR780" t="str">
        <f t="shared" si="166"/>
        <v>Valid</v>
      </c>
      <c r="AS780" t="str">
        <f t="shared" si="167"/>
        <v>Valid</v>
      </c>
    </row>
    <row r="781" spans="1:45" x14ac:dyDescent="0.3">
      <c r="A781">
        <v>10736</v>
      </c>
      <c r="B781">
        <v>1971</v>
      </c>
      <c r="C781" t="s">
        <v>29</v>
      </c>
      <c r="D781" t="s">
        <v>30</v>
      </c>
      <c r="E781">
        <v>72258</v>
      </c>
      <c r="F781">
        <v>0</v>
      </c>
      <c r="G781">
        <v>1</v>
      </c>
      <c r="H781" s="1">
        <v>41529</v>
      </c>
      <c r="I781">
        <v>28</v>
      </c>
      <c r="J781">
        <v>522</v>
      </c>
      <c r="K781">
        <v>0</v>
      </c>
      <c r="L781">
        <v>522</v>
      </c>
      <c r="M781">
        <v>227</v>
      </c>
      <c r="N781">
        <v>120</v>
      </c>
      <c r="O781">
        <v>134</v>
      </c>
      <c r="P781">
        <v>2</v>
      </c>
      <c r="Q781">
        <v>6</v>
      </c>
      <c r="R781">
        <v>9</v>
      </c>
      <c r="S781">
        <v>5</v>
      </c>
      <c r="T781">
        <v>2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3</v>
      </c>
      <c r="AB781">
        <v>11</v>
      </c>
      <c r="AC781">
        <v>0</v>
      </c>
      <c r="AD781" t="str">
        <f t="shared" si="156"/>
        <v>Ok</v>
      </c>
      <c r="AE781" t="str">
        <f>IF(AND(Audit_Data[[#This Row],[Year_Birth]]&gt;=1900,Audit_Data[[#This Row],[Year_Birth]]&lt;=2010),"OK","Invalid")</f>
        <v>OK</v>
      </c>
      <c r="AF781" t="str">
        <f t="shared" si="157"/>
        <v>Valid</v>
      </c>
      <c r="AG781" t="str">
        <f t="shared" si="158"/>
        <v>Valid</v>
      </c>
      <c r="AH781" t="str">
        <f t="shared" si="159"/>
        <v>Valid</v>
      </c>
      <c r="AI781" t="str">
        <f t="shared" si="160"/>
        <v>Valid</v>
      </c>
      <c r="AJ781" t="str">
        <f t="shared" si="161"/>
        <v>Valid</v>
      </c>
      <c r="AK781" t="str">
        <f t="shared" si="168"/>
        <v xml:space="preserve">Valid </v>
      </c>
      <c r="AL781" t="str">
        <f>IF(AND(Audit_Data[[#This Row],[Recency]]&gt;=0,Audit_Data[[#This Row],[Recency]]&lt;=100),"Valid","Invalid")</f>
        <v>Valid</v>
      </c>
      <c r="AM781" t="str">
        <f t="shared" si="162"/>
        <v>Valid</v>
      </c>
      <c r="AN781" t="str">
        <f t="shared" si="163"/>
        <v>Valid</v>
      </c>
      <c r="AO781" t="str">
        <f t="shared" si="164"/>
        <v>Valid</v>
      </c>
      <c r="AP781" t="str">
        <f t="shared" si="165"/>
        <v>Valid</v>
      </c>
      <c r="AQ781" t="str">
        <f>IF(Audit_Data[[#This Row],[Z_CostContact]]=3,"Valid","Invalid")</f>
        <v>Valid</v>
      </c>
      <c r="AR781" t="str">
        <f t="shared" si="166"/>
        <v>Valid</v>
      </c>
      <c r="AS781" t="str">
        <f t="shared" si="167"/>
        <v>Valid</v>
      </c>
    </row>
    <row r="782" spans="1:45" x14ac:dyDescent="0.3">
      <c r="A782">
        <v>3194</v>
      </c>
      <c r="B782">
        <v>1974</v>
      </c>
      <c r="C782" t="s">
        <v>32</v>
      </c>
      <c r="D782" t="s">
        <v>30</v>
      </c>
      <c r="E782">
        <v>71466</v>
      </c>
      <c r="F782">
        <v>0</v>
      </c>
      <c r="G782">
        <v>0</v>
      </c>
      <c r="H782" s="1">
        <v>41734</v>
      </c>
      <c r="I782">
        <v>86</v>
      </c>
      <c r="J782">
        <v>412</v>
      </c>
      <c r="K782">
        <v>12</v>
      </c>
      <c r="L782">
        <v>546</v>
      </c>
      <c r="M782">
        <v>78</v>
      </c>
      <c r="N782">
        <v>182</v>
      </c>
      <c r="O782">
        <v>0</v>
      </c>
      <c r="P782">
        <v>1</v>
      </c>
      <c r="Q782">
        <v>4</v>
      </c>
      <c r="R782">
        <v>4</v>
      </c>
      <c r="S782">
        <v>10</v>
      </c>
      <c r="T782">
        <v>1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3</v>
      </c>
      <c r="AB782">
        <v>11</v>
      </c>
      <c r="AC782">
        <v>0</v>
      </c>
      <c r="AD782" t="str">
        <f t="shared" si="156"/>
        <v>Ok</v>
      </c>
      <c r="AE782" t="str">
        <f>IF(AND(Audit_Data[[#This Row],[Year_Birth]]&gt;=1900,Audit_Data[[#This Row],[Year_Birth]]&lt;=2010),"OK","Invalid")</f>
        <v>OK</v>
      </c>
      <c r="AF782" t="str">
        <f t="shared" si="157"/>
        <v>Valid</v>
      </c>
      <c r="AG782" t="str">
        <f t="shared" si="158"/>
        <v>Valid</v>
      </c>
      <c r="AH782" t="str">
        <f t="shared" si="159"/>
        <v>Valid</v>
      </c>
      <c r="AI782" t="str">
        <f t="shared" si="160"/>
        <v>Valid</v>
      </c>
      <c r="AJ782" t="str">
        <f t="shared" si="161"/>
        <v>Valid</v>
      </c>
      <c r="AK782" t="str">
        <f t="shared" si="168"/>
        <v xml:space="preserve">Valid </v>
      </c>
      <c r="AL782" t="str">
        <f>IF(AND(Audit_Data[[#This Row],[Recency]]&gt;=0,Audit_Data[[#This Row],[Recency]]&lt;=100),"Valid","Invalid")</f>
        <v>Valid</v>
      </c>
      <c r="AM782" t="str">
        <f t="shared" si="162"/>
        <v>Valid</v>
      </c>
      <c r="AN782" t="str">
        <f t="shared" si="163"/>
        <v>Valid</v>
      </c>
      <c r="AO782" t="str">
        <f t="shared" si="164"/>
        <v>Valid</v>
      </c>
      <c r="AP782" t="str">
        <f t="shared" si="165"/>
        <v>Valid</v>
      </c>
      <c r="AQ782" t="str">
        <f>IF(Audit_Data[[#This Row],[Z_CostContact]]=3,"Valid","Invalid")</f>
        <v>Valid</v>
      </c>
      <c r="AR782" t="str">
        <f t="shared" si="166"/>
        <v>Valid</v>
      </c>
      <c r="AS782" t="str">
        <f t="shared" si="167"/>
        <v>Valid</v>
      </c>
    </row>
    <row r="783" spans="1:45" x14ac:dyDescent="0.3">
      <c r="A783">
        <v>10839</v>
      </c>
      <c r="B783">
        <v>1976</v>
      </c>
      <c r="C783" t="s">
        <v>29</v>
      </c>
      <c r="D783" t="s">
        <v>31</v>
      </c>
      <c r="E783">
        <v>36283</v>
      </c>
      <c r="F783">
        <v>1</v>
      </c>
      <c r="G783">
        <v>1</v>
      </c>
      <c r="H783" s="1">
        <v>41743</v>
      </c>
      <c r="I783">
        <v>42</v>
      </c>
      <c r="J783">
        <v>6</v>
      </c>
      <c r="K783">
        <v>5</v>
      </c>
      <c r="L783">
        <v>5</v>
      </c>
      <c r="M783">
        <v>8</v>
      </c>
      <c r="N783">
        <v>0</v>
      </c>
      <c r="O783">
        <v>5</v>
      </c>
      <c r="P783">
        <v>2</v>
      </c>
      <c r="Q783">
        <v>1</v>
      </c>
      <c r="R783">
        <v>0</v>
      </c>
      <c r="S783">
        <v>3</v>
      </c>
      <c r="T783">
        <v>4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3</v>
      </c>
      <c r="AB783">
        <v>11</v>
      </c>
      <c r="AC783">
        <v>0</v>
      </c>
      <c r="AD783" t="str">
        <f t="shared" si="156"/>
        <v>Ok</v>
      </c>
      <c r="AE783" t="str">
        <f>IF(AND(Audit_Data[[#This Row],[Year_Birth]]&gt;=1900,Audit_Data[[#This Row],[Year_Birth]]&lt;=2010),"OK","Invalid")</f>
        <v>OK</v>
      </c>
      <c r="AF783" t="str">
        <f t="shared" si="157"/>
        <v>Valid</v>
      </c>
      <c r="AG783" t="str">
        <f t="shared" si="158"/>
        <v>Valid</v>
      </c>
      <c r="AH783" t="str">
        <f t="shared" si="159"/>
        <v>Valid</v>
      </c>
      <c r="AI783" t="str">
        <f t="shared" si="160"/>
        <v>Valid</v>
      </c>
      <c r="AJ783" t="str">
        <f t="shared" si="161"/>
        <v>Valid</v>
      </c>
      <c r="AK783" t="str">
        <f t="shared" si="168"/>
        <v xml:space="preserve">Valid </v>
      </c>
      <c r="AL783" t="str">
        <f>IF(AND(Audit_Data[[#This Row],[Recency]]&gt;=0,Audit_Data[[#This Row],[Recency]]&lt;=100),"Valid","Invalid")</f>
        <v>Valid</v>
      </c>
      <c r="AM783" t="str">
        <f t="shared" si="162"/>
        <v>Valid</v>
      </c>
      <c r="AN783" t="str">
        <f t="shared" si="163"/>
        <v>Valid</v>
      </c>
      <c r="AO783" t="str">
        <f t="shared" si="164"/>
        <v>Valid</v>
      </c>
      <c r="AP783" t="str">
        <f t="shared" si="165"/>
        <v>Valid</v>
      </c>
      <c r="AQ783" t="str">
        <f>IF(Audit_Data[[#This Row],[Z_CostContact]]=3,"Valid","Invalid")</f>
        <v>Valid</v>
      </c>
      <c r="AR783" t="str">
        <f t="shared" si="166"/>
        <v>Valid</v>
      </c>
      <c r="AS783" t="str">
        <f t="shared" si="167"/>
        <v>Valid</v>
      </c>
    </row>
    <row r="784" spans="1:45" x14ac:dyDescent="0.3">
      <c r="A784">
        <v>49</v>
      </c>
      <c r="B784">
        <v>1970</v>
      </c>
      <c r="C784" t="s">
        <v>29</v>
      </c>
      <c r="D784" t="s">
        <v>30</v>
      </c>
      <c r="E784">
        <v>20587</v>
      </c>
      <c r="F784">
        <v>1</v>
      </c>
      <c r="G784">
        <v>0</v>
      </c>
      <c r="H784" s="1">
        <v>41770</v>
      </c>
      <c r="I784">
        <v>39</v>
      </c>
      <c r="J784">
        <v>2</v>
      </c>
      <c r="K784">
        <v>3</v>
      </c>
      <c r="L784">
        <v>6</v>
      </c>
      <c r="M784">
        <v>4</v>
      </c>
      <c r="N784">
        <v>1</v>
      </c>
      <c r="O784">
        <v>9</v>
      </c>
      <c r="P784">
        <v>1</v>
      </c>
      <c r="Q784">
        <v>1</v>
      </c>
      <c r="R784">
        <v>1</v>
      </c>
      <c r="S784">
        <v>2</v>
      </c>
      <c r="T784">
        <v>7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3</v>
      </c>
      <c r="AB784">
        <v>11</v>
      </c>
      <c r="AC784">
        <v>0</v>
      </c>
      <c r="AD784" t="str">
        <f t="shared" si="156"/>
        <v>Ok</v>
      </c>
      <c r="AE784" t="str">
        <f>IF(AND(Audit_Data[[#This Row],[Year_Birth]]&gt;=1900,Audit_Data[[#This Row],[Year_Birth]]&lt;=2010),"OK","Invalid")</f>
        <v>OK</v>
      </c>
      <c r="AF784" t="str">
        <f t="shared" si="157"/>
        <v>Valid</v>
      </c>
      <c r="AG784" t="str">
        <f t="shared" si="158"/>
        <v>Valid</v>
      </c>
      <c r="AH784" t="str">
        <f t="shared" si="159"/>
        <v>Valid</v>
      </c>
      <c r="AI784" t="str">
        <f t="shared" si="160"/>
        <v>Valid</v>
      </c>
      <c r="AJ784" t="str">
        <f t="shared" si="161"/>
        <v>Valid</v>
      </c>
      <c r="AK784" t="str">
        <f t="shared" si="168"/>
        <v xml:space="preserve">Valid </v>
      </c>
      <c r="AL784" t="str">
        <f>IF(AND(Audit_Data[[#This Row],[Recency]]&gt;=0,Audit_Data[[#This Row],[Recency]]&lt;=100),"Valid","Invalid")</f>
        <v>Valid</v>
      </c>
      <c r="AM784" t="str">
        <f t="shared" si="162"/>
        <v>Valid</v>
      </c>
      <c r="AN784" t="str">
        <f t="shared" si="163"/>
        <v>Valid</v>
      </c>
      <c r="AO784" t="str">
        <f t="shared" si="164"/>
        <v>Valid</v>
      </c>
      <c r="AP784" t="str">
        <f t="shared" si="165"/>
        <v>Valid</v>
      </c>
      <c r="AQ784" t="str">
        <f>IF(Audit_Data[[#This Row],[Z_CostContact]]=3,"Valid","Invalid")</f>
        <v>Valid</v>
      </c>
      <c r="AR784" t="str">
        <f t="shared" si="166"/>
        <v>Valid</v>
      </c>
      <c r="AS784" t="str">
        <f t="shared" si="167"/>
        <v>Valid</v>
      </c>
    </row>
    <row r="785" spans="1:45" x14ac:dyDescent="0.3">
      <c r="A785">
        <v>4290</v>
      </c>
      <c r="B785">
        <v>1972</v>
      </c>
      <c r="C785" t="s">
        <v>29</v>
      </c>
      <c r="D785" t="s">
        <v>33</v>
      </c>
      <c r="E785">
        <v>30467</v>
      </c>
      <c r="F785">
        <v>1</v>
      </c>
      <c r="G785">
        <v>0</v>
      </c>
      <c r="H785" s="1">
        <v>41717</v>
      </c>
      <c r="I785">
        <v>8</v>
      </c>
      <c r="J785">
        <v>1</v>
      </c>
      <c r="K785">
        <v>3</v>
      </c>
      <c r="L785">
        <v>8</v>
      </c>
      <c r="M785">
        <v>2</v>
      </c>
      <c r="N785">
        <v>5</v>
      </c>
      <c r="O785">
        <v>5</v>
      </c>
      <c r="P785">
        <v>1</v>
      </c>
      <c r="Q785">
        <v>1</v>
      </c>
      <c r="R785">
        <v>0</v>
      </c>
      <c r="S785">
        <v>2</v>
      </c>
      <c r="T785">
        <v>7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3</v>
      </c>
      <c r="AB785">
        <v>11</v>
      </c>
      <c r="AC785">
        <v>0</v>
      </c>
      <c r="AD785" t="str">
        <f t="shared" si="156"/>
        <v>Ok</v>
      </c>
      <c r="AE785" t="str">
        <f>IF(AND(Audit_Data[[#This Row],[Year_Birth]]&gt;=1900,Audit_Data[[#This Row],[Year_Birth]]&lt;=2010),"OK","Invalid")</f>
        <v>OK</v>
      </c>
      <c r="AF785" t="str">
        <f t="shared" si="157"/>
        <v>Valid</v>
      </c>
      <c r="AG785" t="str">
        <f t="shared" si="158"/>
        <v>Valid</v>
      </c>
      <c r="AH785" t="str">
        <f t="shared" si="159"/>
        <v>Valid</v>
      </c>
      <c r="AI785" t="str">
        <f t="shared" si="160"/>
        <v>Valid</v>
      </c>
      <c r="AJ785" t="str">
        <f t="shared" si="161"/>
        <v>Valid</v>
      </c>
      <c r="AK785" t="str">
        <f t="shared" si="168"/>
        <v xml:space="preserve">Valid </v>
      </c>
      <c r="AL785" t="str">
        <f>IF(AND(Audit_Data[[#This Row],[Recency]]&gt;=0,Audit_Data[[#This Row],[Recency]]&lt;=100),"Valid","Invalid")</f>
        <v>Valid</v>
      </c>
      <c r="AM785" t="str">
        <f t="shared" si="162"/>
        <v>Valid</v>
      </c>
      <c r="AN785" t="str">
        <f t="shared" si="163"/>
        <v>Valid</v>
      </c>
      <c r="AO785" t="str">
        <f t="shared" si="164"/>
        <v>Valid</v>
      </c>
      <c r="AP785" t="str">
        <f t="shared" si="165"/>
        <v>Valid</v>
      </c>
      <c r="AQ785" t="str">
        <f>IF(Audit_Data[[#This Row],[Z_CostContact]]=3,"Valid","Invalid")</f>
        <v>Valid</v>
      </c>
      <c r="AR785" t="str">
        <f t="shared" si="166"/>
        <v>Valid</v>
      </c>
      <c r="AS785" t="str">
        <f t="shared" si="167"/>
        <v>Valid</v>
      </c>
    </row>
    <row r="786" spans="1:45" x14ac:dyDescent="0.3">
      <c r="A786">
        <v>10219</v>
      </c>
      <c r="B786">
        <v>1972</v>
      </c>
      <c r="C786" t="s">
        <v>29</v>
      </c>
      <c r="D786" t="s">
        <v>31</v>
      </c>
      <c r="E786">
        <v>31590</v>
      </c>
      <c r="F786">
        <v>1</v>
      </c>
      <c r="G786">
        <v>0</v>
      </c>
      <c r="H786" s="1">
        <v>41443</v>
      </c>
      <c r="I786">
        <v>40</v>
      </c>
      <c r="J786">
        <v>6</v>
      </c>
      <c r="K786">
        <v>2</v>
      </c>
      <c r="L786">
        <v>15</v>
      </c>
      <c r="M786">
        <v>6</v>
      </c>
      <c r="N786">
        <v>6</v>
      </c>
      <c r="O786">
        <v>3</v>
      </c>
      <c r="P786">
        <v>1</v>
      </c>
      <c r="Q786">
        <v>1</v>
      </c>
      <c r="R786">
        <v>0</v>
      </c>
      <c r="S786">
        <v>3</v>
      </c>
      <c r="T786">
        <v>8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3</v>
      </c>
      <c r="AB786">
        <v>11</v>
      </c>
      <c r="AC786">
        <v>0</v>
      </c>
      <c r="AD786" t="str">
        <f t="shared" si="156"/>
        <v>Ok</v>
      </c>
      <c r="AE786" t="str">
        <f>IF(AND(Audit_Data[[#This Row],[Year_Birth]]&gt;=1900,Audit_Data[[#This Row],[Year_Birth]]&lt;=2010),"OK","Invalid")</f>
        <v>OK</v>
      </c>
      <c r="AF786" t="str">
        <f t="shared" si="157"/>
        <v>Valid</v>
      </c>
      <c r="AG786" t="str">
        <f t="shared" si="158"/>
        <v>Valid</v>
      </c>
      <c r="AH786" t="str">
        <f t="shared" si="159"/>
        <v>Valid</v>
      </c>
      <c r="AI786" t="str">
        <f t="shared" si="160"/>
        <v>Valid</v>
      </c>
      <c r="AJ786" t="str">
        <f t="shared" si="161"/>
        <v>Valid</v>
      </c>
      <c r="AK786" t="str">
        <f t="shared" si="168"/>
        <v xml:space="preserve">Valid </v>
      </c>
      <c r="AL786" t="str">
        <f>IF(AND(Audit_Data[[#This Row],[Recency]]&gt;=0,Audit_Data[[#This Row],[Recency]]&lt;=100),"Valid","Invalid")</f>
        <v>Valid</v>
      </c>
      <c r="AM786" t="str">
        <f t="shared" si="162"/>
        <v>Valid</v>
      </c>
      <c r="AN786" t="str">
        <f t="shared" si="163"/>
        <v>Valid</v>
      </c>
      <c r="AO786" t="str">
        <f t="shared" si="164"/>
        <v>Valid</v>
      </c>
      <c r="AP786" t="str">
        <f t="shared" si="165"/>
        <v>Valid</v>
      </c>
      <c r="AQ786" t="str">
        <f>IF(Audit_Data[[#This Row],[Z_CostContact]]=3,"Valid","Invalid")</f>
        <v>Valid</v>
      </c>
      <c r="AR786" t="str">
        <f t="shared" si="166"/>
        <v>Valid</v>
      </c>
      <c r="AS786" t="str">
        <f t="shared" si="167"/>
        <v>Valid</v>
      </c>
    </row>
    <row r="787" spans="1:45" x14ac:dyDescent="0.3">
      <c r="A787">
        <v>4211</v>
      </c>
      <c r="B787">
        <v>1986</v>
      </c>
      <c r="C787" t="s">
        <v>36</v>
      </c>
      <c r="D787" t="s">
        <v>33</v>
      </c>
      <c r="E787">
        <v>20425</v>
      </c>
      <c r="F787">
        <v>1</v>
      </c>
      <c r="G787">
        <v>0</v>
      </c>
      <c r="H787" s="1">
        <v>41211</v>
      </c>
      <c r="I787">
        <v>5</v>
      </c>
      <c r="J787">
        <v>4</v>
      </c>
      <c r="K787">
        <v>12</v>
      </c>
      <c r="L787">
        <v>5</v>
      </c>
      <c r="M787">
        <v>3</v>
      </c>
      <c r="N787">
        <v>16</v>
      </c>
      <c r="O787">
        <v>17</v>
      </c>
      <c r="P787">
        <v>2</v>
      </c>
      <c r="Q787">
        <v>2</v>
      </c>
      <c r="R787">
        <v>0</v>
      </c>
      <c r="S787">
        <v>3</v>
      </c>
      <c r="T787">
        <v>7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3</v>
      </c>
      <c r="AB787">
        <v>11</v>
      </c>
      <c r="AC787">
        <v>0</v>
      </c>
      <c r="AD787" t="str">
        <f t="shared" si="156"/>
        <v>Ok</v>
      </c>
      <c r="AE787" t="str">
        <f>IF(AND(Audit_Data[[#This Row],[Year_Birth]]&gt;=1900,Audit_Data[[#This Row],[Year_Birth]]&lt;=2010),"OK","Invalid")</f>
        <v>OK</v>
      </c>
      <c r="AF787" t="str">
        <f t="shared" si="157"/>
        <v>Valid</v>
      </c>
      <c r="AG787" t="str">
        <f t="shared" si="158"/>
        <v>Valid</v>
      </c>
      <c r="AH787" t="str">
        <f t="shared" si="159"/>
        <v>Valid</v>
      </c>
      <c r="AI787" t="str">
        <f t="shared" si="160"/>
        <v>Valid</v>
      </c>
      <c r="AJ787" t="str">
        <f t="shared" si="161"/>
        <v>Valid</v>
      </c>
      <c r="AK787" t="str">
        <f t="shared" si="168"/>
        <v xml:space="preserve">Valid </v>
      </c>
      <c r="AL787" t="str">
        <f>IF(AND(Audit_Data[[#This Row],[Recency]]&gt;=0,Audit_Data[[#This Row],[Recency]]&lt;=100),"Valid","Invalid")</f>
        <v>Valid</v>
      </c>
      <c r="AM787" t="str">
        <f t="shared" si="162"/>
        <v>Valid</v>
      </c>
      <c r="AN787" t="str">
        <f t="shared" si="163"/>
        <v>Valid</v>
      </c>
      <c r="AO787" t="str">
        <f t="shared" si="164"/>
        <v>Valid</v>
      </c>
      <c r="AP787" t="str">
        <f t="shared" si="165"/>
        <v>Valid</v>
      </c>
      <c r="AQ787" t="str">
        <f>IF(Audit_Data[[#This Row],[Z_CostContact]]=3,"Valid","Invalid")</f>
        <v>Valid</v>
      </c>
      <c r="AR787" t="str">
        <f t="shared" si="166"/>
        <v>Valid</v>
      </c>
      <c r="AS787" t="str">
        <f t="shared" si="167"/>
        <v>Valid</v>
      </c>
    </row>
    <row r="788" spans="1:45" x14ac:dyDescent="0.3">
      <c r="A788">
        <v>1135</v>
      </c>
      <c r="B788">
        <v>1960</v>
      </c>
      <c r="C788" t="s">
        <v>34</v>
      </c>
      <c r="D788" t="s">
        <v>31</v>
      </c>
      <c r="E788">
        <v>17144</v>
      </c>
      <c r="F788">
        <v>1</v>
      </c>
      <c r="G788">
        <v>1</v>
      </c>
      <c r="H788" s="1">
        <v>41685</v>
      </c>
      <c r="I788">
        <v>96</v>
      </c>
      <c r="J788">
        <v>18</v>
      </c>
      <c r="K788">
        <v>2</v>
      </c>
      <c r="L788">
        <v>19</v>
      </c>
      <c r="M788">
        <v>0</v>
      </c>
      <c r="N788">
        <v>2</v>
      </c>
      <c r="O788">
        <v>6</v>
      </c>
      <c r="P788">
        <v>5</v>
      </c>
      <c r="Q788">
        <v>3</v>
      </c>
      <c r="R788">
        <v>0</v>
      </c>
      <c r="S788">
        <v>4</v>
      </c>
      <c r="T788">
        <v>7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3</v>
      </c>
      <c r="AB788">
        <v>11</v>
      </c>
      <c r="AC788">
        <v>0</v>
      </c>
      <c r="AD788" t="str">
        <f t="shared" si="156"/>
        <v>Ok</v>
      </c>
      <c r="AE788" t="str">
        <f>IF(AND(Audit_Data[[#This Row],[Year_Birth]]&gt;=1900,Audit_Data[[#This Row],[Year_Birth]]&lt;=2010),"OK","Invalid")</f>
        <v>OK</v>
      </c>
      <c r="AF788" t="str">
        <f t="shared" si="157"/>
        <v>Valid</v>
      </c>
      <c r="AG788" t="str">
        <f t="shared" si="158"/>
        <v>Valid</v>
      </c>
      <c r="AH788" t="str">
        <f t="shared" si="159"/>
        <v>Valid</v>
      </c>
      <c r="AI788" t="str">
        <f t="shared" si="160"/>
        <v>Valid</v>
      </c>
      <c r="AJ788" t="str">
        <f t="shared" si="161"/>
        <v>Valid</v>
      </c>
      <c r="AK788" t="str">
        <f t="shared" si="168"/>
        <v xml:space="preserve">Valid </v>
      </c>
      <c r="AL788" t="str">
        <f>IF(AND(Audit_Data[[#This Row],[Recency]]&gt;=0,Audit_Data[[#This Row],[Recency]]&lt;=100),"Valid","Invalid")</f>
        <v>Valid</v>
      </c>
      <c r="AM788" t="str">
        <f t="shared" si="162"/>
        <v>Valid</v>
      </c>
      <c r="AN788" t="str">
        <f t="shared" si="163"/>
        <v>Valid</v>
      </c>
      <c r="AO788" t="str">
        <f t="shared" si="164"/>
        <v>Valid</v>
      </c>
      <c r="AP788" t="str">
        <f t="shared" si="165"/>
        <v>Valid</v>
      </c>
      <c r="AQ788" t="str">
        <f>IF(Audit_Data[[#This Row],[Z_CostContact]]=3,"Valid","Invalid")</f>
        <v>Valid</v>
      </c>
      <c r="AR788" t="str">
        <f t="shared" si="166"/>
        <v>Valid</v>
      </c>
      <c r="AS788" t="str">
        <f t="shared" si="167"/>
        <v>Valid</v>
      </c>
    </row>
    <row r="789" spans="1:45" x14ac:dyDescent="0.3">
      <c r="A789">
        <v>6299</v>
      </c>
      <c r="B789">
        <v>1968</v>
      </c>
      <c r="C789" t="s">
        <v>32</v>
      </c>
      <c r="D789" t="s">
        <v>35</v>
      </c>
      <c r="E789">
        <v>42564</v>
      </c>
      <c r="F789">
        <v>0</v>
      </c>
      <c r="G789">
        <v>1</v>
      </c>
      <c r="H789" s="1">
        <v>41276</v>
      </c>
      <c r="I789">
        <v>28</v>
      </c>
      <c r="J789">
        <v>324</v>
      </c>
      <c r="K789">
        <v>48</v>
      </c>
      <c r="L789">
        <v>186</v>
      </c>
      <c r="M789">
        <v>39</v>
      </c>
      <c r="N789">
        <v>18</v>
      </c>
      <c r="O789">
        <v>198</v>
      </c>
      <c r="P789">
        <v>6</v>
      </c>
      <c r="Q789">
        <v>6</v>
      </c>
      <c r="R789">
        <v>8</v>
      </c>
      <c r="S789">
        <v>4</v>
      </c>
      <c r="T789">
        <v>7</v>
      </c>
      <c r="U789">
        <v>1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3</v>
      </c>
      <c r="AB789">
        <v>11</v>
      </c>
      <c r="AC789">
        <v>1</v>
      </c>
      <c r="AD789" t="str">
        <f t="shared" si="156"/>
        <v>Ok</v>
      </c>
      <c r="AE789" t="str">
        <f>IF(AND(Audit_Data[[#This Row],[Year_Birth]]&gt;=1900,Audit_Data[[#This Row],[Year_Birth]]&lt;=2010),"OK","Invalid")</f>
        <v>OK</v>
      </c>
      <c r="AF789" t="str">
        <f t="shared" si="157"/>
        <v>Valid</v>
      </c>
      <c r="AG789" t="str">
        <f t="shared" si="158"/>
        <v>Valid</v>
      </c>
      <c r="AH789" t="str">
        <f t="shared" si="159"/>
        <v>Valid</v>
      </c>
      <c r="AI789" t="str">
        <f t="shared" si="160"/>
        <v>Valid</v>
      </c>
      <c r="AJ789" t="str">
        <f t="shared" si="161"/>
        <v>Valid</v>
      </c>
      <c r="AK789" t="str">
        <f t="shared" si="168"/>
        <v xml:space="preserve">Valid </v>
      </c>
      <c r="AL789" t="str">
        <f>IF(AND(Audit_Data[[#This Row],[Recency]]&gt;=0,Audit_Data[[#This Row],[Recency]]&lt;=100),"Valid","Invalid")</f>
        <v>Valid</v>
      </c>
      <c r="AM789" t="str">
        <f t="shared" si="162"/>
        <v>Valid</v>
      </c>
      <c r="AN789" t="str">
        <f t="shared" si="163"/>
        <v>Valid</v>
      </c>
      <c r="AO789" t="str">
        <f t="shared" si="164"/>
        <v>Valid</v>
      </c>
      <c r="AP789" t="str">
        <f t="shared" si="165"/>
        <v>Valid</v>
      </c>
      <c r="AQ789" t="str">
        <f>IF(Audit_Data[[#This Row],[Z_CostContact]]=3,"Valid","Invalid")</f>
        <v>Valid</v>
      </c>
      <c r="AR789" t="str">
        <f t="shared" si="166"/>
        <v>Valid</v>
      </c>
      <c r="AS789" t="str">
        <f t="shared" si="167"/>
        <v>Valid</v>
      </c>
    </row>
    <row r="790" spans="1:45" x14ac:dyDescent="0.3">
      <c r="A790">
        <v>10846</v>
      </c>
      <c r="B790">
        <v>1978</v>
      </c>
      <c r="C790" t="s">
        <v>34</v>
      </c>
      <c r="D790" t="s">
        <v>33</v>
      </c>
      <c r="E790">
        <v>43783</v>
      </c>
      <c r="F790">
        <v>1</v>
      </c>
      <c r="G790">
        <v>0</v>
      </c>
      <c r="H790" s="1">
        <v>41788</v>
      </c>
      <c r="I790">
        <v>22</v>
      </c>
      <c r="J790">
        <v>327</v>
      </c>
      <c r="K790">
        <v>9</v>
      </c>
      <c r="L790">
        <v>125</v>
      </c>
      <c r="M790">
        <v>25</v>
      </c>
      <c r="N790">
        <v>4</v>
      </c>
      <c r="O790">
        <v>139</v>
      </c>
      <c r="P790">
        <v>6</v>
      </c>
      <c r="Q790">
        <v>7</v>
      </c>
      <c r="R790">
        <v>1</v>
      </c>
      <c r="S790">
        <v>8</v>
      </c>
      <c r="T790">
        <v>7</v>
      </c>
      <c r="U790">
        <v>1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3</v>
      </c>
      <c r="AB790">
        <v>11</v>
      </c>
      <c r="AC790">
        <v>0</v>
      </c>
      <c r="AD790" t="str">
        <f t="shared" si="156"/>
        <v>Ok</v>
      </c>
      <c r="AE790" t="str">
        <f>IF(AND(Audit_Data[[#This Row],[Year_Birth]]&gt;=1900,Audit_Data[[#This Row],[Year_Birth]]&lt;=2010),"OK","Invalid")</f>
        <v>OK</v>
      </c>
      <c r="AF790" t="str">
        <f t="shared" si="157"/>
        <v>Valid</v>
      </c>
      <c r="AG790" t="str">
        <f t="shared" si="158"/>
        <v>Valid</v>
      </c>
      <c r="AH790" t="str">
        <f t="shared" si="159"/>
        <v>Valid</v>
      </c>
      <c r="AI790" t="str">
        <f t="shared" si="160"/>
        <v>Valid</v>
      </c>
      <c r="AJ790" t="str">
        <f t="shared" si="161"/>
        <v>Valid</v>
      </c>
      <c r="AK790" t="str">
        <f t="shared" si="168"/>
        <v xml:space="preserve">Valid </v>
      </c>
      <c r="AL790" t="str">
        <f>IF(AND(Audit_Data[[#This Row],[Recency]]&gt;=0,Audit_Data[[#This Row],[Recency]]&lt;=100),"Valid","Invalid")</f>
        <v>Valid</v>
      </c>
      <c r="AM790" t="str">
        <f t="shared" si="162"/>
        <v>Valid</v>
      </c>
      <c r="AN790" t="str">
        <f t="shared" si="163"/>
        <v>Valid</v>
      </c>
      <c r="AO790" t="str">
        <f t="shared" si="164"/>
        <v>Valid</v>
      </c>
      <c r="AP790" t="str">
        <f t="shared" si="165"/>
        <v>Valid</v>
      </c>
      <c r="AQ790" t="str">
        <f>IF(Audit_Data[[#This Row],[Z_CostContact]]=3,"Valid","Invalid")</f>
        <v>Valid</v>
      </c>
      <c r="AR790" t="str">
        <f t="shared" si="166"/>
        <v>Valid</v>
      </c>
      <c r="AS790" t="str">
        <f t="shared" si="167"/>
        <v>Valid</v>
      </c>
    </row>
    <row r="791" spans="1:45" x14ac:dyDescent="0.3">
      <c r="A791">
        <v>347</v>
      </c>
      <c r="B791">
        <v>1976</v>
      </c>
      <c r="C791" t="s">
        <v>29</v>
      </c>
      <c r="D791" t="s">
        <v>35</v>
      </c>
      <c r="E791">
        <v>40780</v>
      </c>
      <c r="F791">
        <v>0</v>
      </c>
      <c r="G791">
        <v>1</v>
      </c>
      <c r="H791" s="1">
        <v>41160</v>
      </c>
      <c r="I791">
        <v>30</v>
      </c>
      <c r="J791">
        <v>229</v>
      </c>
      <c r="K791">
        <v>27</v>
      </c>
      <c r="L791">
        <v>71</v>
      </c>
      <c r="M791">
        <v>13</v>
      </c>
      <c r="N791">
        <v>3</v>
      </c>
      <c r="O791">
        <v>34</v>
      </c>
      <c r="P791">
        <v>4</v>
      </c>
      <c r="Q791">
        <v>7</v>
      </c>
      <c r="R791">
        <v>1</v>
      </c>
      <c r="S791">
        <v>5</v>
      </c>
      <c r="T791">
        <v>9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3</v>
      </c>
      <c r="AB791">
        <v>11</v>
      </c>
      <c r="AC791">
        <v>0</v>
      </c>
      <c r="AD791" t="str">
        <f t="shared" si="156"/>
        <v>Ok</v>
      </c>
      <c r="AE791" t="str">
        <f>IF(AND(Audit_Data[[#This Row],[Year_Birth]]&gt;=1900,Audit_Data[[#This Row],[Year_Birth]]&lt;=2010),"OK","Invalid")</f>
        <v>OK</v>
      </c>
      <c r="AF791" t="str">
        <f t="shared" si="157"/>
        <v>Valid</v>
      </c>
      <c r="AG791" t="str">
        <f t="shared" si="158"/>
        <v>Valid</v>
      </c>
      <c r="AH791" t="str">
        <f t="shared" si="159"/>
        <v>Valid</v>
      </c>
      <c r="AI791" t="str">
        <f t="shared" si="160"/>
        <v>Valid</v>
      </c>
      <c r="AJ791" t="str">
        <f t="shared" si="161"/>
        <v>Valid</v>
      </c>
      <c r="AK791" t="str">
        <f t="shared" si="168"/>
        <v xml:space="preserve">Valid </v>
      </c>
      <c r="AL791" t="str">
        <f>IF(AND(Audit_Data[[#This Row],[Recency]]&gt;=0,Audit_Data[[#This Row],[Recency]]&lt;=100),"Valid","Invalid")</f>
        <v>Valid</v>
      </c>
      <c r="AM791" t="str">
        <f t="shared" si="162"/>
        <v>Valid</v>
      </c>
      <c r="AN791" t="str">
        <f t="shared" si="163"/>
        <v>Valid</v>
      </c>
      <c r="AO791" t="str">
        <f t="shared" si="164"/>
        <v>Valid</v>
      </c>
      <c r="AP791" t="str">
        <f t="shared" si="165"/>
        <v>Valid</v>
      </c>
      <c r="AQ791" t="str">
        <f>IF(Audit_Data[[#This Row],[Z_CostContact]]=3,"Valid","Invalid")</f>
        <v>Valid</v>
      </c>
      <c r="AR791" t="str">
        <f t="shared" si="166"/>
        <v>Valid</v>
      </c>
      <c r="AS791" t="str">
        <f t="shared" si="167"/>
        <v>Valid</v>
      </c>
    </row>
    <row r="792" spans="1:45" x14ac:dyDescent="0.3">
      <c r="A792">
        <v>6543</v>
      </c>
      <c r="B792">
        <v>1945</v>
      </c>
      <c r="C792" t="s">
        <v>34</v>
      </c>
      <c r="D792" t="s">
        <v>31</v>
      </c>
      <c r="E792">
        <v>62847</v>
      </c>
      <c r="F792">
        <v>0</v>
      </c>
      <c r="G792">
        <v>0</v>
      </c>
      <c r="H792" s="1">
        <v>41289</v>
      </c>
      <c r="I792">
        <v>45</v>
      </c>
      <c r="J792">
        <v>521</v>
      </c>
      <c r="K792">
        <v>168</v>
      </c>
      <c r="L792">
        <v>706</v>
      </c>
      <c r="M792">
        <v>80</v>
      </c>
      <c r="N792">
        <v>76</v>
      </c>
      <c r="O792">
        <v>61</v>
      </c>
      <c r="P792">
        <v>1</v>
      </c>
      <c r="Q792">
        <v>3</v>
      </c>
      <c r="R792">
        <v>6</v>
      </c>
      <c r="S792">
        <v>4</v>
      </c>
      <c r="T792">
        <v>2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3</v>
      </c>
      <c r="AB792">
        <v>11</v>
      </c>
      <c r="AC792">
        <v>0</v>
      </c>
      <c r="AD792" t="str">
        <f t="shared" si="156"/>
        <v>Ok</v>
      </c>
      <c r="AE792" t="str">
        <f>IF(AND(Audit_Data[[#This Row],[Year_Birth]]&gt;=1900,Audit_Data[[#This Row],[Year_Birth]]&lt;=2010),"OK","Invalid")</f>
        <v>OK</v>
      </c>
      <c r="AF792" t="str">
        <f t="shared" si="157"/>
        <v>Valid</v>
      </c>
      <c r="AG792" t="str">
        <f t="shared" si="158"/>
        <v>Valid</v>
      </c>
      <c r="AH792" t="str">
        <f t="shared" si="159"/>
        <v>Valid</v>
      </c>
      <c r="AI792" t="str">
        <f t="shared" si="160"/>
        <v>Valid</v>
      </c>
      <c r="AJ792" t="str">
        <f t="shared" si="161"/>
        <v>Valid</v>
      </c>
      <c r="AK792" t="str">
        <f t="shared" si="168"/>
        <v xml:space="preserve">Valid </v>
      </c>
      <c r="AL792" t="str">
        <f>IF(AND(Audit_Data[[#This Row],[Recency]]&gt;=0,Audit_Data[[#This Row],[Recency]]&lt;=100),"Valid","Invalid")</f>
        <v>Valid</v>
      </c>
      <c r="AM792" t="str">
        <f t="shared" si="162"/>
        <v>Valid</v>
      </c>
      <c r="AN792" t="str">
        <f t="shared" si="163"/>
        <v>Valid</v>
      </c>
      <c r="AO792" t="str">
        <f t="shared" si="164"/>
        <v>Valid</v>
      </c>
      <c r="AP792" t="str">
        <f t="shared" si="165"/>
        <v>Valid</v>
      </c>
      <c r="AQ792" t="str">
        <f>IF(Audit_Data[[#This Row],[Z_CostContact]]=3,"Valid","Invalid")</f>
        <v>Valid</v>
      </c>
      <c r="AR792" t="str">
        <f t="shared" si="166"/>
        <v>Valid</v>
      </c>
      <c r="AS792" t="str">
        <f t="shared" si="167"/>
        <v>Valid</v>
      </c>
    </row>
    <row r="793" spans="1:45" x14ac:dyDescent="0.3">
      <c r="A793">
        <v>10446</v>
      </c>
      <c r="B793">
        <v>1957</v>
      </c>
      <c r="C793" t="s">
        <v>32</v>
      </c>
      <c r="D793" t="s">
        <v>33</v>
      </c>
      <c r="E793">
        <v>82017</v>
      </c>
      <c r="F793">
        <v>0</v>
      </c>
      <c r="G793">
        <v>0</v>
      </c>
      <c r="H793" s="1">
        <v>41220</v>
      </c>
      <c r="I793">
        <v>58</v>
      </c>
      <c r="J793">
        <v>184</v>
      </c>
      <c r="K793">
        <v>23</v>
      </c>
      <c r="L793">
        <v>446</v>
      </c>
      <c r="M793">
        <v>30</v>
      </c>
      <c r="N793">
        <v>23</v>
      </c>
      <c r="O793">
        <v>23</v>
      </c>
      <c r="P793">
        <v>1</v>
      </c>
      <c r="Q793">
        <v>5</v>
      </c>
      <c r="R793">
        <v>4</v>
      </c>
      <c r="S793">
        <v>7</v>
      </c>
      <c r="T793">
        <v>2</v>
      </c>
      <c r="U793">
        <v>0</v>
      </c>
      <c r="V793">
        <v>1</v>
      </c>
      <c r="W793">
        <v>1</v>
      </c>
      <c r="X793">
        <v>1</v>
      </c>
      <c r="Y793">
        <v>0</v>
      </c>
      <c r="Z793">
        <v>0</v>
      </c>
      <c r="AA793">
        <v>3</v>
      </c>
      <c r="AB793">
        <v>11</v>
      </c>
      <c r="AC793">
        <v>1</v>
      </c>
      <c r="AD793" t="str">
        <f t="shared" si="156"/>
        <v>Ok</v>
      </c>
      <c r="AE793" t="str">
        <f>IF(AND(Audit_Data[[#This Row],[Year_Birth]]&gt;=1900,Audit_Data[[#This Row],[Year_Birth]]&lt;=2010),"OK","Invalid")</f>
        <v>OK</v>
      </c>
      <c r="AF793" t="str">
        <f t="shared" si="157"/>
        <v>Valid</v>
      </c>
      <c r="AG793" t="str">
        <f t="shared" si="158"/>
        <v>Valid</v>
      </c>
      <c r="AH793" t="str">
        <f t="shared" si="159"/>
        <v>Valid</v>
      </c>
      <c r="AI793" t="str">
        <f t="shared" si="160"/>
        <v>Valid</v>
      </c>
      <c r="AJ793" t="str">
        <f t="shared" si="161"/>
        <v>Valid</v>
      </c>
      <c r="AK793" t="str">
        <f t="shared" si="168"/>
        <v xml:space="preserve">Valid </v>
      </c>
      <c r="AL793" t="str">
        <f>IF(AND(Audit_Data[[#This Row],[Recency]]&gt;=0,Audit_Data[[#This Row],[Recency]]&lt;=100),"Valid","Invalid")</f>
        <v>Valid</v>
      </c>
      <c r="AM793" t="str">
        <f t="shared" si="162"/>
        <v>Valid</v>
      </c>
      <c r="AN793" t="str">
        <f t="shared" si="163"/>
        <v>Valid</v>
      </c>
      <c r="AO793" t="str">
        <f t="shared" si="164"/>
        <v>Valid</v>
      </c>
      <c r="AP793" t="str">
        <f t="shared" si="165"/>
        <v>Valid</v>
      </c>
      <c r="AQ793" t="str">
        <f>IF(Audit_Data[[#This Row],[Z_CostContact]]=3,"Valid","Invalid")</f>
        <v>Valid</v>
      </c>
      <c r="AR793" t="str">
        <f t="shared" si="166"/>
        <v>Valid</v>
      </c>
      <c r="AS793" t="str">
        <f t="shared" si="167"/>
        <v>Valid</v>
      </c>
    </row>
    <row r="794" spans="1:45" x14ac:dyDescent="0.3">
      <c r="A794">
        <v>3479</v>
      </c>
      <c r="B794">
        <v>1950</v>
      </c>
      <c r="C794" t="s">
        <v>29</v>
      </c>
      <c r="D794" t="s">
        <v>30</v>
      </c>
      <c r="E794">
        <v>16813</v>
      </c>
      <c r="F794">
        <v>0</v>
      </c>
      <c r="G794">
        <v>0</v>
      </c>
      <c r="H794" s="1">
        <v>41474</v>
      </c>
      <c r="I794">
        <v>49</v>
      </c>
      <c r="J794">
        <v>4</v>
      </c>
      <c r="K794">
        <v>8</v>
      </c>
      <c r="L794">
        <v>11</v>
      </c>
      <c r="M794">
        <v>12</v>
      </c>
      <c r="N794">
        <v>2</v>
      </c>
      <c r="O794">
        <v>13</v>
      </c>
      <c r="P794">
        <v>1</v>
      </c>
      <c r="Q794">
        <v>2</v>
      </c>
      <c r="R794">
        <v>0</v>
      </c>
      <c r="S794">
        <v>3</v>
      </c>
      <c r="T794">
        <v>7</v>
      </c>
      <c r="U794">
        <v>1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3</v>
      </c>
      <c r="AB794">
        <v>11</v>
      </c>
      <c r="AC794">
        <v>0</v>
      </c>
      <c r="AD794" t="str">
        <f t="shared" si="156"/>
        <v>Ok</v>
      </c>
      <c r="AE794" t="str">
        <f>IF(AND(Audit_Data[[#This Row],[Year_Birth]]&gt;=1900,Audit_Data[[#This Row],[Year_Birth]]&lt;=2010),"OK","Invalid")</f>
        <v>OK</v>
      </c>
      <c r="AF794" t="str">
        <f t="shared" si="157"/>
        <v>Valid</v>
      </c>
      <c r="AG794" t="str">
        <f t="shared" si="158"/>
        <v>Valid</v>
      </c>
      <c r="AH794" t="str">
        <f t="shared" si="159"/>
        <v>Valid</v>
      </c>
      <c r="AI794" t="str">
        <f t="shared" si="160"/>
        <v>Valid</v>
      </c>
      <c r="AJ794" t="str">
        <f t="shared" si="161"/>
        <v>Valid</v>
      </c>
      <c r="AK794" t="str">
        <f t="shared" si="168"/>
        <v xml:space="preserve">Valid </v>
      </c>
      <c r="AL794" t="str">
        <f>IF(AND(Audit_Data[[#This Row],[Recency]]&gt;=0,Audit_Data[[#This Row],[Recency]]&lt;=100),"Valid","Invalid")</f>
        <v>Valid</v>
      </c>
      <c r="AM794" t="str">
        <f t="shared" si="162"/>
        <v>Valid</v>
      </c>
      <c r="AN794" t="str">
        <f t="shared" si="163"/>
        <v>Valid</v>
      </c>
      <c r="AO794" t="str">
        <f t="shared" si="164"/>
        <v>Valid</v>
      </c>
      <c r="AP794" t="str">
        <f t="shared" si="165"/>
        <v>Valid</v>
      </c>
      <c r="AQ794" t="str">
        <f>IF(Audit_Data[[#This Row],[Z_CostContact]]=3,"Valid","Invalid")</f>
        <v>Valid</v>
      </c>
      <c r="AR794" t="str">
        <f t="shared" si="166"/>
        <v>Valid</v>
      </c>
      <c r="AS794" t="str">
        <f t="shared" si="167"/>
        <v>Valid</v>
      </c>
    </row>
    <row r="795" spans="1:45" x14ac:dyDescent="0.3">
      <c r="A795">
        <v>11075</v>
      </c>
      <c r="B795">
        <v>1978</v>
      </c>
      <c r="C795" t="s">
        <v>29</v>
      </c>
      <c r="D795" t="s">
        <v>33</v>
      </c>
      <c r="E795">
        <v>51267</v>
      </c>
      <c r="F795">
        <v>1</v>
      </c>
      <c r="G795">
        <v>1</v>
      </c>
      <c r="H795" s="1">
        <v>41576</v>
      </c>
      <c r="I795">
        <v>37</v>
      </c>
      <c r="J795">
        <v>183</v>
      </c>
      <c r="K795">
        <v>2</v>
      </c>
      <c r="L795">
        <v>64</v>
      </c>
      <c r="M795">
        <v>7</v>
      </c>
      <c r="N795">
        <v>2</v>
      </c>
      <c r="O795">
        <v>12</v>
      </c>
      <c r="P795">
        <v>4</v>
      </c>
      <c r="Q795">
        <v>3</v>
      </c>
      <c r="R795">
        <v>3</v>
      </c>
      <c r="S795">
        <v>5</v>
      </c>
      <c r="T795">
        <v>4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3</v>
      </c>
      <c r="AB795">
        <v>11</v>
      </c>
      <c r="AC795">
        <v>0</v>
      </c>
      <c r="AD795" t="str">
        <f t="shared" si="156"/>
        <v>Ok</v>
      </c>
      <c r="AE795" t="str">
        <f>IF(AND(Audit_Data[[#This Row],[Year_Birth]]&gt;=1900,Audit_Data[[#This Row],[Year_Birth]]&lt;=2010),"OK","Invalid")</f>
        <v>OK</v>
      </c>
      <c r="AF795" t="str">
        <f t="shared" si="157"/>
        <v>Valid</v>
      </c>
      <c r="AG795" t="str">
        <f t="shared" si="158"/>
        <v>Valid</v>
      </c>
      <c r="AH795" t="str">
        <f t="shared" si="159"/>
        <v>Valid</v>
      </c>
      <c r="AI795" t="str">
        <f t="shared" si="160"/>
        <v>Valid</v>
      </c>
      <c r="AJ795" t="str">
        <f t="shared" si="161"/>
        <v>Valid</v>
      </c>
      <c r="AK795" t="str">
        <f t="shared" si="168"/>
        <v xml:space="preserve">Valid </v>
      </c>
      <c r="AL795" t="str">
        <f>IF(AND(Audit_Data[[#This Row],[Recency]]&gt;=0,Audit_Data[[#This Row],[Recency]]&lt;=100),"Valid","Invalid")</f>
        <v>Valid</v>
      </c>
      <c r="AM795" t="str">
        <f t="shared" si="162"/>
        <v>Valid</v>
      </c>
      <c r="AN795" t="str">
        <f t="shared" si="163"/>
        <v>Valid</v>
      </c>
      <c r="AO795" t="str">
        <f t="shared" si="164"/>
        <v>Valid</v>
      </c>
      <c r="AP795" t="str">
        <f t="shared" si="165"/>
        <v>Valid</v>
      </c>
      <c r="AQ795" t="str">
        <f>IF(Audit_Data[[#This Row],[Z_CostContact]]=3,"Valid","Invalid")</f>
        <v>Valid</v>
      </c>
      <c r="AR795" t="str">
        <f t="shared" si="166"/>
        <v>Valid</v>
      </c>
      <c r="AS795" t="str">
        <f t="shared" si="167"/>
        <v>Valid</v>
      </c>
    </row>
    <row r="796" spans="1:45" x14ac:dyDescent="0.3">
      <c r="A796">
        <v>4442</v>
      </c>
      <c r="B796">
        <v>1961</v>
      </c>
      <c r="C796" t="s">
        <v>29</v>
      </c>
      <c r="D796" t="s">
        <v>30</v>
      </c>
      <c r="E796">
        <v>46524</v>
      </c>
      <c r="F796">
        <v>0</v>
      </c>
      <c r="G796">
        <v>1</v>
      </c>
      <c r="H796" s="1">
        <v>41369</v>
      </c>
      <c r="I796">
        <v>70</v>
      </c>
      <c r="J796">
        <v>31</v>
      </c>
      <c r="K796">
        <v>19</v>
      </c>
      <c r="L796">
        <v>35</v>
      </c>
      <c r="M796">
        <v>26</v>
      </c>
      <c r="N796">
        <v>14</v>
      </c>
      <c r="O796">
        <v>52</v>
      </c>
      <c r="P796">
        <v>2</v>
      </c>
      <c r="Q796">
        <v>1</v>
      </c>
      <c r="R796">
        <v>1</v>
      </c>
      <c r="S796">
        <v>5</v>
      </c>
      <c r="T796">
        <v>3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3</v>
      </c>
      <c r="AB796">
        <v>11</v>
      </c>
      <c r="AC796">
        <v>0</v>
      </c>
      <c r="AD796" t="str">
        <f t="shared" si="156"/>
        <v>Ok</v>
      </c>
      <c r="AE796" t="str">
        <f>IF(AND(Audit_Data[[#This Row],[Year_Birth]]&gt;=1900,Audit_Data[[#This Row],[Year_Birth]]&lt;=2010),"OK","Invalid")</f>
        <v>OK</v>
      </c>
      <c r="AF796" t="str">
        <f t="shared" si="157"/>
        <v>Valid</v>
      </c>
      <c r="AG796" t="str">
        <f t="shared" si="158"/>
        <v>Valid</v>
      </c>
      <c r="AH796" t="str">
        <f t="shared" si="159"/>
        <v>Valid</v>
      </c>
      <c r="AI796" t="str">
        <f t="shared" si="160"/>
        <v>Valid</v>
      </c>
      <c r="AJ796" t="str">
        <f t="shared" si="161"/>
        <v>Valid</v>
      </c>
      <c r="AK796" t="str">
        <f t="shared" si="168"/>
        <v xml:space="preserve">Valid </v>
      </c>
      <c r="AL796" t="str">
        <f>IF(AND(Audit_Data[[#This Row],[Recency]]&gt;=0,Audit_Data[[#This Row],[Recency]]&lt;=100),"Valid","Invalid")</f>
        <v>Valid</v>
      </c>
      <c r="AM796" t="str">
        <f t="shared" si="162"/>
        <v>Valid</v>
      </c>
      <c r="AN796" t="str">
        <f t="shared" si="163"/>
        <v>Valid</v>
      </c>
      <c r="AO796" t="str">
        <f t="shared" si="164"/>
        <v>Valid</v>
      </c>
      <c r="AP796" t="str">
        <f t="shared" si="165"/>
        <v>Valid</v>
      </c>
      <c r="AQ796" t="str">
        <f>IF(Audit_Data[[#This Row],[Z_CostContact]]=3,"Valid","Invalid")</f>
        <v>Valid</v>
      </c>
      <c r="AR796" t="str">
        <f t="shared" si="166"/>
        <v>Valid</v>
      </c>
      <c r="AS796" t="str">
        <f t="shared" si="167"/>
        <v>Valid</v>
      </c>
    </row>
    <row r="797" spans="1:45" x14ac:dyDescent="0.3">
      <c r="A797">
        <v>199</v>
      </c>
      <c r="B797">
        <v>1962</v>
      </c>
      <c r="C797" t="s">
        <v>34</v>
      </c>
      <c r="D797" t="s">
        <v>30</v>
      </c>
      <c r="E797">
        <v>45183</v>
      </c>
      <c r="F797">
        <v>0</v>
      </c>
      <c r="G797">
        <v>0</v>
      </c>
      <c r="H797" s="1">
        <v>41294</v>
      </c>
      <c r="I797">
        <v>33</v>
      </c>
      <c r="J797">
        <v>219</v>
      </c>
      <c r="K797">
        <v>3</v>
      </c>
      <c r="L797">
        <v>60</v>
      </c>
      <c r="M797">
        <v>12</v>
      </c>
      <c r="N797">
        <v>9</v>
      </c>
      <c r="O797">
        <v>12</v>
      </c>
      <c r="P797">
        <v>1</v>
      </c>
      <c r="Q797">
        <v>4</v>
      </c>
      <c r="R797">
        <v>1</v>
      </c>
      <c r="S797">
        <v>7</v>
      </c>
      <c r="T797">
        <v>7</v>
      </c>
      <c r="U797">
        <v>0</v>
      </c>
      <c r="V797">
        <v>1</v>
      </c>
      <c r="W797">
        <v>0</v>
      </c>
      <c r="X797">
        <v>0</v>
      </c>
      <c r="Y797">
        <v>0</v>
      </c>
      <c r="Z797">
        <v>0</v>
      </c>
      <c r="AA797">
        <v>3</v>
      </c>
      <c r="AB797">
        <v>11</v>
      </c>
      <c r="AC797">
        <v>0</v>
      </c>
      <c r="AD797" t="str">
        <f t="shared" si="156"/>
        <v>Ok</v>
      </c>
      <c r="AE797" t="str">
        <f>IF(AND(Audit_Data[[#This Row],[Year_Birth]]&gt;=1900,Audit_Data[[#This Row],[Year_Birth]]&lt;=2010),"OK","Invalid")</f>
        <v>OK</v>
      </c>
      <c r="AF797" t="str">
        <f t="shared" si="157"/>
        <v>Valid</v>
      </c>
      <c r="AG797" t="str">
        <f t="shared" si="158"/>
        <v>Valid</v>
      </c>
      <c r="AH797" t="str">
        <f t="shared" si="159"/>
        <v>Valid</v>
      </c>
      <c r="AI797" t="str">
        <f t="shared" si="160"/>
        <v>Valid</v>
      </c>
      <c r="AJ797" t="str">
        <f t="shared" si="161"/>
        <v>Valid</v>
      </c>
      <c r="AK797" t="str">
        <f t="shared" si="168"/>
        <v xml:space="preserve">Valid </v>
      </c>
      <c r="AL797" t="str">
        <f>IF(AND(Audit_Data[[#This Row],[Recency]]&gt;=0,Audit_Data[[#This Row],[Recency]]&lt;=100),"Valid","Invalid")</f>
        <v>Valid</v>
      </c>
      <c r="AM797" t="str">
        <f t="shared" si="162"/>
        <v>Valid</v>
      </c>
      <c r="AN797" t="str">
        <f t="shared" si="163"/>
        <v>Valid</v>
      </c>
      <c r="AO797" t="str">
        <f t="shared" si="164"/>
        <v>Valid</v>
      </c>
      <c r="AP797" t="str">
        <f t="shared" si="165"/>
        <v>Valid</v>
      </c>
      <c r="AQ797" t="str">
        <f>IF(Audit_Data[[#This Row],[Z_CostContact]]=3,"Valid","Invalid")</f>
        <v>Valid</v>
      </c>
      <c r="AR797" t="str">
        <f t="shared" si="166"/>
        <v>Valid</v>
      </c>
      <c r="AS797" t="str">
        <f t="shared" si="167"/>
        <v>Valid</v>
      </c>
    </row>
    <row r="798" spans="1:45" x14ac:dyDescent="0.3">
      <c r="A798">
        <v>6722</v>
      </c>
      <c r="B798">
        <v>1954</v>
      </c>
      <c r="C798" t="s">
        <v>32</v>
      </c>
      <c r="D798" t="s">
        <v>33</v>
      </c>
      <c r="E798">
        <v>70421</v>
      </c>
      <c r="F798">
        <v>0</v>
      </c>
      <c r="G798">
        <v>1</v>
      </c>
      <c r="H798" s="1">
        <v>41818</v>
      </c>
      <c r="I798">
        <v>98</v>
      </c>
      <c r="J798">
        <v>479</v>
      </c>
      <c r="K798">
        <v>28</v>
      </c>
      <c r="L798">
        <v>136</v>
      </c>
      <c r="M798">
        <v>75</v>
      </c>
      <c r="N798">
        <v>14</v>
      </c>
      <c r="O798">
        <v>35</v>
      </c>
      <c r="P798">
        <v>3</v>
      </c>
      <c r="Q798">
        <v>10</v>
      </c>
      <c r="R798">
        <v>3</v>
      </c>
      <c r="S798">
        <v>7</v>
      </c>
      <c r="T798">
        <v>6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3</v>
      </c>
      <c r="AB798">
        <v>11</v>
      </c>
      <c r="AC798">
        <v>0</v>
      </c>
      <c r="AD798" t="str">
        <f t="shared" si="156"/>
        <v>Ok</v>
      </c>
      <c r="AE798" t="str">
        <f>IF(AND(Audit_Data[[#This Row],[Year_Birth]]&gt;=1900,Audit_Data[[#This Row],[Year_Birth]]&lt;=2010),"OK","Invalid")</f>
        <v>OK</v>
      </c>
      <c r="AF798" t="str">
        <f t="shared" si="157"/>
        <v>Valid</v>
      </c>
      <c r="AG798" t="str">
        <f t="shared" si="158"/>
        <v>Valid</v>
      </c>
      <c r="AH798" t="str">
        <f t="shared" si="159"/>
        <v>Valid</v>
      </c>
      <c r="AI798" t="str">
        <f t="shared" si="160"/>
        <v>Valid</v>
      </c>
      <c r="AJ798" t="str">
        <f t="shared" si="161"/>
        <v>Valid</v>
      </c>
      <c r="AK798" t="str">
        <f t="shared" si="168"/>
        <v xml:space="preserve">Valid </v>
      </c>
      <c r="AL798" t="str">
        <f>IF(AND(Audit_Data[[#This Row],[Recency]]&gt;=0,Audit_Data[[#This Row],[Recency]]&lt;=100),"Valid","Invalid")</f>
        <v>Valid</v>
      </c>
      <c r="AM798" t="str">
        <f t="shared" si="162"/>
        <v>Valid</v>
      </c>
      <c r="AN798" t="str">
        <f t="shared" si="163"/>
        <v>Valid</v>
      </c>
      <c r="AO798" t="str">
        <f t="shared" si="164"/>
        <v>Valid</v>
      </c>
      <c r="AP798" t="str">
        <f t="shared" si="165"/>
        <v>Valid</v>
      </c>
      <c r="AQ798" t="str">
        <f>IF(Audit_Data[[#This Row],[Z_CostContact]]=3,"Valid","Invalid")</f>
        <v>Valid</v>
      </c>
      <c r="AR798" t="str">
        <f t="shared" si="166"/>
        <v>Valid</v>
      </c>
      <c r="AS798" t="str">
        <f t="shared" si="167"/>
        <v>Valid</v>
      </c>
    </row>
    <row r="799" spans="1:45" x14ac:dyDescent="0.3">
      <c r="A799">
        <v>796</v>
      </c>
      <c r="B799">
        <v>1965</v>
      </c>
      <c r="C799" t="s">
        <v>37</v>
      </c>
      <c r="D799" t="s">
        <v>35</v>
      </c>
      <c r="E799">
        <v>60161</v>
      </c>
      <c r="F799">
        <v>0</v>
      </c>
      <c r="G799">
        <v>1</v>
      </c>
      <c r="H799" s="1">
        <v>41205</v>
      </c>
      <c r="I799">
        <v>17</v>
      </c>
      <c r="J799">
        <v>584</v>
      </c>
      <c r="K799">
        <v>44</v>
      </c>
      <c r="L799">
        <v>212</v>
      </c>
      <c r="M799">
        <v>46</v>
      </c>
      <c r="N799">
        <v>8</v>
      </c>
      <c r="O799">
        <v>177</v>
      </c>
      <c r="P799">
        <v>3</v>
      </c>
      <c r="Q799">
        <v>11</v>
      </c>
      <c r="R799">
        <v>4</v>
      </c>
      <c r="S799">
        <v>8</v>
      </c>
      <c r="T799">
        <v>8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3</v>
      </c>
      <c r="AB799">
        <v>11</v>
      </c>
      <c r="AC799">
        <v>0</v>
      </c>
      <c r="AD799" t="str">
        <f t="shared" si="156"/>
        <v>Ok</v>
      </c>
      <c r="AE799" t="str">
        <f>IF(AND(Audit_Data[[#This Row],[Year_Birth]]&gt;=1900,Audit_Data[[#This Row],[Year_Birth]]&lt;=2010),"OK","Invalid")</f>
        <v>OK</v>
      </c>
      <c r="AF799" t="str">
        <f t="shared" si="157"/>
        <v>Valid</v>
      </c>
      <c r="AG799" t="str">
        <f t="shared" si="158"/>
        <v>Valid</v>
      </c>
      <c r="AH799" t="str">
        <f t="shared" si="159"/>
        <v>Valid</v>
      </c>
      <c r="AI799" t="str">
        <f t="shared" si="160"/>
        <v>Valid</v>
      </c>
      <c r="AJ799" t="str">
        <f t="shared" si="161"/>
        <v>Valid</v>
      </c>
      <c r="AK799" t="str">
        <f t="shared" si="168"/>
        <v xml:space="preserve">Valid </v>
      </c>
      <c r="AL799" t="str">
        <f>IF(AND(Audit_Data[[#This Row],[Recency]]&gt;=0,Audit_Data[[#This Row],[Recency]]&lt;=100),"Valid","Invalid")</f>
        <v>Valid</v>
      </c>
      <c r="AM799" t="str">
        <f t="shared" si="162"/>
        <v>Valid</v>
      </c>
      <c r="AN799" t="str">
        <f t="shared" si="163"/>
        <v>Valid</v>
      </c>
      <c r="AO799" t="str">
        <f t="shared" si="164"/>
        <v>Valid</v>
      </c>
      <c r="AP799" t="str">
        <f t="shared" si="165"/>
        <v>Valid</v>
      </c>
      <c r="AQ799" t="str">
        <f>IF(Audit_Data[[#This Row],[Z_CostContact]]=3,"Valid","Invalid")</f>
        <v>Valid</v>
      </c>
      <c r="AR799" t="str">
        <f t="shared" si="166"/>
        <v>Valid</v>
      </c>
      <c r="AS799" t="str">
        <f t="shared" si="167"/>
        <v>Valid</v>
      </c>
    </row>
    <row r="800" spans="1:45" x14ac:dyDescent="0.3">
      <c r="A800">
        <v>3749</v>
      </c>
      <c r="B800">
        <v>1973</v>
      </c>
      <c r="C800" t="s">
        <v>29</v>
      </c>
      <c r="D800" t="s">
        <v>31</v>
      </c>
      <c r="E800">
        <v>73926</v>
      </c>
      <c r="F800">
        <v>0</v>
      </c>
      <c r="G800">
        <v>0</v>
      </c>
      <c r="H800" s="1">
        <v>41335</v>
      </c>
      <c r="I800">
        <v>54</v>
      </c>
      <c r="J800">
        <v>627</v>
      </c>
      <c r="K800">
        <v>91</v>
      </c>
      <c r="L800">
        <v>597</v>
      </c>
      <c r="M800">
        <v>159</v>
      </c>
      <c r="N800">
        <v>91</v>
      </c>
      <c r="O800">
        <v>15</v>
      </c>
      <c r="P800">
        <v>1</v>
      </c>
      <c r="Q800">
        <v>6</v>
      </c>
      <c r="R800">
        <v>5</v>
      </c>
      <c r="S800">
        <v>12</v>
      </c>
      <c r="T800">
        <v>3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3</v>
      </c>
      <c r="AB800">
        <v>11</v>
      </c>
      <c r="AC800">
        <v>0</v>
      </c>
      <c r="AD800" t="str">
        <f t="shared" si="156"/>
        <v>Ok</v>
      </c>
      <c r="AE800" t="str">
        <f>IF(AND(Audit_Data[[#This Row],[Year_Birth]]&gt;=1900,Audit_Data[[#This Row],[Year_Birth]]&lt;=2010),"OK","Invalid")</f>
        <v>OK</v>
      </c>
      <c r="AF800" t="str">
        <f t="shared" si="157"/>
        <v>Valid</v>
      </c>
      <c r="AG800" t="str">
        <f t="shared" si="158"/>
        <v>Valid</v>
      </c>
      <c r="AH800" t="str">
        <f t="shared" si="159"/>
        <v>Valid</v>
      </c>
      <c r="AI800" t="str">
        <f t="shared" si="160"/>
        <v>Valid</v>
      </c>
      <c r="AJ800" t="str">
        <f t="shared" si="161"/>
        <v>Valid</v>
      </c>
      <c r="AK800" t="str">
        <f t="shared" si="168"/>
        <v xml:space="preserve">Valid </v>
      </c>
      <c r="AL800" t="str">
        <f>IF(AND(Audit_Data[[#This Row],[Recency]]&gt;=0,Audit_Data[[#This Row],[Recency]]&lt;=100),"Valid","Invalid")</f>
        <v>Valid</v>
      </c>
      <c r="AM800" t="str">
        <f t="shared" si="162"/>
        <v>Valid</v>
      </c>
      <c r="AN800" t="str">
        <f t="shared" si="163"/>
        <v>Valid</v>
      </c>
      <c r="AO800" t="str">
        <f t="shared" si="164"/>
        <v>Valid</v>
      </c>
      <c r="AP800" t="str">
        <f t="shared" si="165"/>
        <v>Valid</v>
      </c>
      <c r="AQ800" t="str">
        <f>IF(Audit_Data[[#This Row],[Z_CostContact]]=3,"Valid","Invalid")</f>
        <v>Valid</v>
      </c>
      <c r="AR800" t="str">
        <f t="shared" si="166"/>
        <v>Valid</v>
      </c>
      <c r="AS800" t="str">
        <f t="shared" si="167"/>
        <v>Valid</v>
      </c>
    </row>
    <row r="801" spans="1:45" x14ac:dyDescent="0.3">
      <c r="A801">
        <v>8523</v>
      </c>
      <c r="B801">
        <v>1968</v>
      </c>
      <c r="C801" t="s">
        <v>29</v>
      </c>
      <c r="D801" t="s">
        <v>33</v>
      </c>
      <c r="E801">
        <v>19329</v>
      </c>
      <c r="F801">
        <v>1</v>
      </c>
      <c r="G801">
        <v>0</v>
      </c>
      <c r="H801" s="1">
        <v>41622</v>
      </c>
      <c r="I801">
        <v>39</v>
      </c>
      <c r="J801">
        <v>24</v>
      </c>
      <c r="K801">
        <v>1</v>
      </c>
      <c r="L801">
        <v>16</v>
      </c>
      <c r="M801">
        <v>12</v>
      </c>
      <c r="N801">
        <v>2</v>
      </c>
      <c r="O801">
        <v>5</v>
      </c>
      <c r="P801">
        <v>3</v>
      </c>
      <c r="Q801">
        <v>4</v>
      </c>
      <c r="R801">
        <v>0</v>
      </c>
      <c r="S801">
        <v>3</v>
      </c>
      <c r="T801">
        <v>8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3</v>
      </c>
      <c r="AB801">
        <v>11</v>
      </c>
      <c r="AC801">
        <v>0</v>
      </c>
      <c r="AD801" t="str">
        <f t="shared" si="156"/>
        <v>Ok</v>
      </c>
      <c r="AE801" t="str">
        <f>IF(AND(Audit_Data[[#This Row],[Year_Birth]]&gt;=1900,Audit_Data[[#This Row],[Year_Birth]]&lt;=2010),"OK","Invalid")</f>
        <v>OK</v>
      </c>
      <c r="AF801" t="str">
        <f t="shared" si="157"/>
        <v>Valid</v>
      </c>
      <c r="AG801" t="str">
        <f t="shared" si="158"/>
        <v>Valid</v>
      </c>
      <c r="AH801" t="str">
        <f t="shared" si="159"/>
        <v>Valid</v>
      </c>
      <c r="AI801" t="str">
        <f t="shared" si="160"/>
        <v>Valid</v>
      </c>
      <c r="AJ801" t="str">
        <f t="shared" si="161"/>
        <v>Valid</v>
      </c>
      <c r="AK801" t="str">
        <f t="shared" si="168"/>
        <v xml:space="preserve">Valid </v>
      </c>
      <c r="AL801" t="str">
        <f>IF(AND(Audit_Data[[#This Row],[Recency]]&gt;=0,Audit_Data[[#This Row],[Recency]]&lt;=100),"Valid","Invalid")</f>
        <v>Valid</v>
      </c>
      <c r="AM801" t="str">
        <f t="shared" si="162"/>
        <v>Valid</v>
      </c>
      <c r="AN801" t="str">
        <f t="shared" si="163"/>
        <v>Valid</v>
      </c>
      <c r="AO801" t="str">
        <f t="shared" si="164"/>
        <v>Valid</v>
      </c>
      <c r="AP801" t="str">
        <f t="shared" si="165"/>
        <v>Valid</v>
      </c>
      <c r="AQ801" t="str">
        <f>IF(Audit_Data[[#This Row],[Z_CostContact]]=3,"Valid","Invalid")</f>
        <v>Valid</v>
      </c>
      <c r="AR801" t="str">
        <f t="shared" si="166"/>
        <v>Valid</v>
      </c>
      <c r="AS801" t="str">
        <f t="shared" si="167"/>
        <v>Valid</v>
      </c>
    </row>
    <row r="802" spans="1:45" x14ac:dyDescent="0.3">
      <c r="A802">
        <v>310</v>
      </c>
      <c r="B802">
        <v>1970</v>
      </c>
      <c r="C802" t="s">
        <v>34</v>
      </c>
      <c r="D802" t="s">
        <v>33</v>
      </c>
      <c r="E802">
        <v>61872</v>
      </c>
      <c r="F802">
        <v>0</v>
      </c>
      <c r="G802">
        <v>1</v>
      </c>
      <c r="H802" s="1">
        <v>41621</v>
      </c>
      <c r="I802">
        <v>81</v>
      </c>
      <c r="J802">
        <v>330</v>
      </c>
      <c r="K802">
        <v>5</v>
      </c>
      <c r="L802">
        <v>159</v>
      </c>
      <c r="M802">
        <v>36</v>
      </c>
      <c r="N802">
        <v>27</v>
      </c>
      <c r="O802">
        <v>16</v>
      </c>
      <c r="P802">
        <v>4</v>
      </c>
      <c r="Q802">
        <v>4</v>
      </c>
      <c r="R802">
        <v>4</v>
      </c>
      <c r="S802">
        <v>9</v>
      </c>
      <c r="T802">
        <v>4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3</v>
      </c>
      <c r="AB802">
        <v>11</v>
      </c>
      <c r="AC802">
        <v>0</v>
      </c>
      <c r="AD802" t="str">
        <f t="shared" si="156"/>
        <v>Ok</v>
      </c>
      <c r="AE802" t="str">
        <f>IF(AND(Audit_Data[[#This Row],[Year_Birth]]&gt;=1900,Audit_Data[[#This Row],[Year_Birth]]&lt;=2010),"OK","Invalid")</f>
        <v>OK</v>
      </c>
      <c r="AF802" t="str">
        <f t="shared" si="157"/>
        <v>Valid</v>
      </c>
      <c r="AG802" t="str">
        <f t="shared" si="158"/>
        <v>Valid</v>
      </c>
      <c r="AH802" t="str">
        <f t="shared" si="159"/>
        <v>Valid</v>
      </c>
      <c r="AI802" t="str">
        <f t="shared" si="160"/>
        <v>Valid</v>
      </c>
      <c r="AJ802" t="str">
        <f t="shared" si="161"/>
        <v>Valid</v>
      </c>
      <c r="AK802" t="str">
        <f t="shared" si="168"/>
        <v xml:space="preserve">Valid </v>
      </c>
      <c r="AL802" t="str">
        <f>IF(AND(Audit_Data[[#This Row],[Recency]]&gt;=0,Audit_Data[[#This Row],[Recency]]&lt;=100),"Valid","Invalid")</f>
        <v>Valid</v>
      </c>
      <c r="AM802" t="str">
        <f t="shared" si="162"/>
        <v>Valid</v>
      </c>
      <c r="AN802" t="str">
        <f t="shared" si="163"/>
        <v>Valid</v>
      </c>
      <c r="AO802" t="str">
        <f t="shared" si="164"/>
        <v>Valid</v>
      </c>
      <c r="AP802" t="str">
        <f t="shared" si="165"/>
        <v>Valid</v>
      </c>
      <c r="AQ802" t="str">
        <f>IF(Audit_Data[[#This Row],[Z_CostContact]]=3,"Valid","Invalid")</f>
        <v>Valid</v>
      </c>
      <c r="AR802" t="str">
        <f t="shared" si="166"/>
        <v>Valid</v>
      </c>
      <c r="AS802" t="str">
        <f t="shared" si="167"/>
        <v>Valid</v>
      </c>
    </row>
    <row r="803" spans="1:45" x14ac:dyDescent="0.3">
      <c r="A803">
        <v>8629</v>
      </c>
      <c r="B803">
        <v>1956</v>
      </c>
      <c r="C803" t="s">
        <v>29</v>
      </c>
      <c r="D803" t="s">
        <v>38</v>
      </c>
      <c r="E803">
        <v>46984</v>
      </c>
      <c r="F803">
        <v>1</v>
      </c>
      <c r="G803">
        <v>1</v>
      </c>
      <c r="H803" s="1">
        <v>41359</v>
      </c>
      <c r="I803">
        <v>71</v>
      </c>
      <c r="J803">
        <v>19</v>
      </c>
      <c r="K803">
        <v>1</v>
      </c>
      <c r="L803">
        <v>10</v>
      </c>
      <c r="M803">
        <v>2</v>
      </c>
      <c r="N803">
        <v>1</v>
      </c>
      <c r="O803">
        <v>8</v>
      </c>
      <c r="P803">
        <v>1</v>
      </c>
      <c r="Q803">
        <v>1</v>
      </c>
      <c r="R803">
        <v>0</v>
      </c>
      <c r="S803">
        <v>3</v>
      </c>
      <c r="T803">
        <v>5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3</v>
      </c>
      <c r="AB803">
        <v>11</v>
      </c>
      <c r="AC803">
        <v>0</v>
      </c>
      <c r="AD803" t="str">
        <f t="shared" si="156"/>
        <v>Ok</v>
      </c>
      <c r="AE803" t="str">
        <f>IF(AND(Audit_Data[[#This Row],[Year_Birth]]&gt;=1900,Audit_Data[[#This Row],[Year_Birth]]&lt;=2010),"OK","Invalid")</f>
        <v>OK</v>
      </c>
      <c r="AF803" t="str">
        <f t="shared" si="157"/>
        <v>Valid</v>
      </c>
      <c r="AG803" t="str">
        <f t="shared" si="158"/>
        <v>Valid</v>
      </c>
      <c r="AH803" t="str">
        <f t="shared" si="159"/>
        <v>Valid</v>
      </c>
      <c r="AI803" t="str">
        <f t="shared" si="160"/>
        <v>Valid</v>
      </c>
      <c r="AJ803" t="str">
        <f t="shared" si="161"/>
        <v>Valid</v>
      </c>
      <c r="AK803" t="str">
        <f t="shared" si="168"/>
        <v xml:space="preserve">Valid </v>
      </c>
      <c r="AL803" t="str">
        <f>IF(AND(Audit_Data[[#This Row],[Recency]]&gt;=0,Audit_Data[[#This Row],[Recency]]&lt;=100),"Valid","Invalid")</f>
        <v>Valid</v>
      </c>
      <c r="AM803" t="str">
        <f t="shared" si="162"/>
        <v>Valid</v>
      </c>
      <c r="AN803" t="str">
        <f t="shared" si="163"/>
        <v>Valid</v>
      </c>
      <c r="AO803" t="str">
        <f t="shared" si="164"/>
        <v>Valid</v>
      </c>
      <c r="AP803" t="str">
        <f t="shared" si="165"/>
        <v>Valid</v>
      </c>
      <c r="AQ803" t="str">
        <f>IF(Audit_Data[[#This Row],[Z_CostContact]]=3,"Valid","Invalid")</f>
        <v>Valid</v>
      </c>
      <c r="AR803" t="str">
        <f t="shared" si="166"/>
        <v>Valid</v>
      </c>
      <c r="AS803" t="str">
        <f t="shared" si="167"/>
        <v>Valid</v>
      </c>
    </row>
    <row r="804" spans="1:45" x14ac:dyDescent="0.3">
      <c r="A804">
        <v>236</v>
      </c>
      <c r="B804">
        <v>1951</v>
      </c>
      <c r="C804" t="s">
        <v>29</v>
      </c>
      <c r="D804" t="s">
        <v>33</v>
      </c>
      <c r="E804">
        <v>34838</v>
      </c>
      <c r="F804">
        <v>1</v>
      </c>
      <c r="G804">
        <v>1</v>
      </c>
      <c r="H804" s="1">
        <v>41293</v>
      </c>
      <c r="I804">
        <v>62</v>
      </c>
      <c r="J804">
        <v>28</v>
      </c>
      <c r="K804">
        <v>23</v>
      </c>
      <c r="L804">
        <v>29</v>
      </c>
      <c r="M804">
        <v>29</v>
      </c>
      <c r="N804">
        <v>14</v>
      </c>
      <c r="O804">
        <v>47</v>
      </c>
      <c r="P804">
        <v>3</v>
      </c>
      <c r="Q804">
        <v>2</v>
      </c>
      <c r="R804">
        <v>1</v>
      </c>
      <c r="S804">
        <v>4</v>
      </c>
      <c r="T804">
        <v>6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3</v>
      </c>
      <c r="AB804">
        <v>11</v>
      </c>
      <c r="AC804">
        <v>0</v>
      </c>
      <c r="AD804" t="str">
        <f t="shared" si="156"/>
        <v>Ok</v>
      </c>
      <c r="AE804" t="str">
        <f>IF(AND(Audit_Data[[#This Row],[Year_Birth]]&gt;=1900,Audit_Data[[#This Row],[Year_Birth]]&lt;=2010),"OK","Invalid")</f>
        <v>OK</v>
      </c>
      <c r="AF804" t="str">
        <f t="shared" si="157"/>
        <v>Valid</v>
      </c>
      <c r="AG804" t="str">
        <f t="shared" si="158"/>
        <v>Valid</v>
      </c>
      <c r="AH804" t="str">
        <f t="shared" si="159"/>
        <v>Valid</v>
      </c>
      <c r="AI804" t="str">
        <f t="shared" si="160"/>
        <v>Valid</v>
      </c>
      <c r="AJ804" t="str">
        <f t="shared" si="161"/>
        <v>Valid</v>
      </c>
      <c r="AK804" t="str">
        <f t="shared" si="168"/>
        <v xml:space="preserve">Valid </v>
      </c>
      <c r="AL804" t="str">
        <f>IF(AND(Audit_Data[[#This Row],[Recency]]&gt;=0,Audit_Data[[#This Row],[Recency]]&lt;=100),"Valid","Invalid")</f>
        <v>Valid</v>
      </c>
      <c r="AM804" t="str">
        <f t="shared" si="162"/>
        <v>Valid</v>
      </c>
      <c r="AN804" t="str">
        <f t="shared" si="163"/>
        <v>Valid</v>
      </c>
      <c r="AO804" t="str">
        <f t="shared" si="164"/>
        <v>Valid</v>
      </c>
      <c r="AP804" t="str">
        <f t="shared" si="165"/>
        <v>Valid</v>
      </c>
      <c r="AQ804" t="str">
        <f>IF(Audit_Data[[#This Row],[Z_CostContact]]=3,"Valid","Invalid")</f>
        <v>Valid</v>
      </c>
      <c r="AR804" t="str">
        <f t="shared" si="166"/>
        <v>Valid</v>
      </c>
      <c r="AS804" t="str">
        <f t="shared" si="167"/>
        <v>Valid</v>
      </c>
    </row>
    <row r="805" spans="1:45" x14ac:dyDescent="0.3">
      <c r="A805">
        <v>9930</v>
      </c>
      <c r="B805">
        <v>1944</v>
      </c>
      <c r="C805" t="s">
        <v>32</v>
      </c>
      <c r="D805" t="s">
        <v>30</v>
      </c>
      <c r="E805">
        <v>82716</v>
      </c>
      <c r="F805">
        <v>0</v>
      </c>
      <c r="G805">
        <v>0</v>
      </c>
      <c r="H805" s="1">
        <v>41583</v>
      </c>
      <c r="I805">
        <v>8</v>
      </c>
      <c r="J805">
        <v>606</v>
      </c>
      <c r="K805">
        <v>148</v>
      </c>
      <c r="L805">
        <v>228</v>
      </c>
      <c r="M805">
        <v>15</v>
      </c>
      <c r="N805">
        <v>148</v>
      </c>
      <c r="O805">
        <v>22</v>
      </c>
      <c r="P805">
        <v>1</v>
      </c>
      <c r="Q805">
        <v>6</v>
      </c>
      <c r="R805">
        <v>8</v>
      </c>
      <c r="S805">
        <v>13</v>
      </c>
      <c r="T805">
        <v>2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3</v>
      </c>
      <c r="AB805">
        <v>11</v>
      </c>
      <c r="AC805">
        <v>0</v>
      </c>
      <c r="AD805" t="str">
        <f t="shared" si="156"/>
        <v>Ok</v>
      </c>
      <c r="AE805" t="str">
        <f>IF(AND(Audit_Data[[#This Row],[Year_Birth]]&gt;=1900,Audit_Data[[#This Row],[Year_Birth]]&lt;=2010),"OK","Invalid")</f>
        <v>OK</v>
      </c>
      <c r="AF805" t="str">
        <f t="shared" si="157"/>
        <v>Valid</v>
      </c>
      <c r="AG805" t="str">
        <f t="shared" si="158"/>
        <v>Valid</v>
      </c>
      <c r="AH805" t="str">
        <f t="shared" si="159"/>
        <v>Valid</v>
      </c>
      <c r="AI805" t="str">
        <f t="shared" si="160"/>
        <v>Valid</v>
      </c>
      <c r="AJ805" t="str">
        <f t="shared" si="161"/>
        <v>Valid</v>
      </c>
      <c r="AK805" t="str">
        <f t="shared" si="168"/>
        <v xml:space="preserve">Valid </v>
      </c>
      <c r="AL805" t="str">
        <f>IF(AND(Audit_Data[[#This Row],[Recency]]&gt;=0,Audit_Data[[#This Row],[Recency]]&lt;=100),"Valid","Invalid")</f>
        <v>Valid</v>
      </c>
      <c r="AM805" t="str">
        <f t="shared" si="162"/>
        <v>Valid</v>
      </c>
      <c r="AN805" t="str">
        <f t="shared" si="163"/>
        <v>Valid</v>
      </c>
      <c r="AO805" t="str">
        <f t="shared" si="164"/>
        <v>Valid</v>
      </c>
      <c r="AP805" t="str">
        <f t="shared" si="165"/>
        <v>Valid</v>
      </c>
      <c r="AQ805" t="str">
        <f>IF(Audit_Data[[#This Row],[Z_CostContact]]=3,"Valid","Invalid")</f>
        <v>Valid</v>
      </c>
      <c r="AR805" t="str">
        <f t="shared" si="166"/>
        <v>Valid</v>
      </c>
      <c r="AS805" t="str">
        <f t="shared" si="167"/>
        <v>Valid</v>
      </c>
    </row>
    <row r="806" spans="1:45" x14ac:dyDescent="0.3">
      <c r="A806">
        <v>3483</v>
      </c>
      <c r="B806">
        <v>1958</v>
      </c>
      <c r="C806" t="s">
        <v>29</v>
      </c>
      <c r="D806" t="s">
        <v>33</v>
      </c>
      <c r="E806">
        <v>48192</v>
      </c>
      <c r="F806">
        <v>0</v>
      </c>
      <c r="G806">
        <v>0</v>
      </c>
      <c r="H806" s="1">
        <v>41370</v>
      </c>
      <c r="I806">
        <v>76</v>
      </c>
      <c r="J806">
        <v>1039</v>
      </c>
      <c r="K806">
        <v>43</v>
      </c>
      <c r="L806">
        <v>204</v>
      </c>
      <c r="M806">
        <v>153</v>
      </c>
      <c r="N806">
        <v>58</v>
      </c>
      <c r="O806">
        <v>29</v>
      </c>
      <c r="P806">
        <v>3</v>
      </c>
      <c r="Q806">
        <v>2</v>
      </c>
      <c r="R806">
        <v>8</v>
      </c>
      <c r="S806">
        <v>12</v>
      </c>
      <c r="T806">
        <v>8</v>
      </c>
      <c r="U806">
        <v>0</v>
      </c>
      <c r="V806">
        <v>1</v>
      </c>
      <c r="W806">
        <v>0</v>
      </c>
      <c r="X806">
        <v>1</v>
      </c>
      <c r="Y806">
        <v>1</v>
      </c>
      <c r="Z806">
        <v>0</v>
      </c>
      <c r="AA806">
        <v>3</v>
      </c>
      <c r="AB806">
        <v>11</v>
      </c>
      <c r="AC806">
        <v>1</v>
      </c>
      <c r="AD806" t="str">
        <f t="shared" si="156"/>
        <v>Ok</v>
      </c>
      <c r="AE806" t="str">
        <f>IF(AND(Audit_Data[[#This Row],[Year_Birth]]&gt;=1900,Audit_Data[[#This Row],[Year_Birth]]&lt;=2010),"OK","Invalid")</f>
        <v>OK</v>
      </c>
      <c r="AF806" t="str">
        <f t="shared" si="157"/>
        <v>Valid</v>
      </c>
      <c r="AG806" t="str">
        <f t="shared" si="158"/>
        <v>Valid</v>
      </c>
      <c r="AH806" t="str">
        <f t="shared" si="159"/>
        <v>Valid</v>
      </c>
      <c r="AI806" t="str">
        <f t="shared" si="160"/>
        <v>Valid</v>
      </c>
      <c r="AJ806" t="str">
        <f t="shared" si="161"/>
        <v>Valid</v>
      </c>
      <c r="AK806" t="str">
        <f t="shared" si="168"/>
        <v xml:space="preserve">Valid </v>
      </c>
      <c r="AL806" t="str">
        <f>IF(AND(Audit_Data[[#This Row],[Recency]]&gt;=0,Audit_Data[[#This Row],[Recency]]&lt;=100),"Valid","Invalid")</f>
        <v>Valid</v>
      </c>
      <c r="AM806" t="str">
        <f t="shared" si="162"/>
        <v>Valid</v>
      </c>
      <c r="AN806" t="str">
        <f t="shared" si="163"/>
        <v>Valid</v>
      </c>
      <c r="AO806" t="str">
        <f t="shared" si="164"/>
        <v>Valid</v>
      </c>
      <c r="AP806" t="str">
        <f t="shared" si="165"/>
        <v>Valid</v>
      </c>
      <c r="AQ806" t="str">
        <f>IF(Audit_Data[[#This Row],[Z_CostContact]]=3,"Valid","Invalid")</f>
        <v>Valid</v>
      </c>
      <c r="AR806" t="str">
        <f t="shared" si="166"/>
        <v>Valid</v>
      </c>
      <c r="AS806" t="str">
        <f t="shared" si="167"/>
        <v>Valid</v>
      </c>
    </row>
    <row r="807" spans="1:45" x14ac:dyDescent="0.3">
      <c r="A807">
        <v>4599</v>
      </c>
      <c r="B807">
        <v>1976</v>
      </c>
      <c r="C807" t="s">
        <v>34</v>
      </c>
      <c r="D807" t="s">
        <v>33</v>
      </c>
      <c r="E807">
        <v>49681</v>
      </c>
      <c r="F807">
        <v>0</v>
      </c>
      <c r="G807">
        <v>2</v>
      </c>
      <c r="H807" s="1">
        <v>41582</v>
      </c>
      <c r="I807">
        <v>66</v>
      </c>
      <c r="J807">
        <v>411</v>
      </c>
      <c r="K807">
        <v>0</v>
      </c>
      <c r="L807">
        <v>26</v>
      </c>
      <c r="M807">
        <v>0</v>
      </c>
      <c r="N807">
        <v>0</v>
      </c>
      <c r="O807">
        <v>21</v>
      </c>
      <c r="P807">
        <v>6</v>
      </c>
      <c r="Q807">
        <v>7</v>
      </c>
      <c r="R807">
        <v>1</v>
      </c>
      <c r="S807">
        <v>7</v>
      </c>
      <c r="T807">
        <v>7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3</v>
      </c>
      <c r="AB807">
        <v>11</v>
      </c>
      <c r="AC807">
        <v>0</v>
      </c>
      <c r="AD807" t="str">
        <f t="shared" si="156"/>
        <v>Ok</v>
      </c>
      <c r="AE807" t="str">
        <f>IF(AND(Audit_Data[[#This Row],[Year_Birth]]&gt;=1900,Audit_Data[[#This Row],[Year_Birth]]&lt;=2010),"OK","Invalid")</f>
        <v>OK</v>
      </c>
      <c r="AF807" t="str">
        <f t="shared" si="157"/>
        <v>Valid</v>
      </c>
      <c r="AG807" t="str">
        <f t="shared" si="158"/>
        <v>Valid</v>
      </c>
      <c r="AH807" t="str">
        <f t="shared" si="159"/>
        <v>Valid</v>
      </c>
      <c r="AI807" t="str">
        <f t="shared" si="160"/>
        <v>Valid</v>
      </c>
      <c r="AJ807" t="str">
        <f t="shared" si="161"/>
        <v>Valid</v>
      </c>
      <c r="AK807" t="str">
        <f t="shared" si="168"/>
        <v xml:space="preserve">Valid </v>
      </c>
      <c r="AL807" t="str">
        <f>IF(AND(Audit_Data[[#This Row],[Recency]]&gt;=0,Audit_Data[[#This Row],[Recency]]&lt;=100),"Valid","Invalid")</f>
        <v>Valid</v>
      </c>
      <c r="AM807" t="str">
        <f t="shared" si="162"/>
        <v>Valid</v>
      </c>
      <c r="AN807" t="str">
        <f t="shared" si="163"/>
        <v>Valid</v>
      </c>
      <c r="AO807" t="str">
        <f t="shared" si="164"/>
        <v>Valid</v>
      </c>
      <c r="AP807" t="str">
        <f t="shared" si="165"/>
        <v>Valid</v>
      </c>
      <c r="AQ807" t="str">
        <f>IF(Audit_Data[[#This Row],[Z_CostContact]]=3,"Valid","Invalid")</f>
        <v>Valid</v>
      </c>
      <c r="AR807" t="str">
        <f t="shared" si="166"/>
        <v>Valid</v>
      </c>
      <c r="AS807" t="str">
        <f t="shared" si="167"/>
        <v>Valid</v>
      </c>
    </row>
    <row r="808" spans="1:45" x14ac:dyDescent="0.3">
      <c r="A808">
        <v>7326</v>
      </c>
      <c r="B808">
        <v>1971</v>
      </c>
      <c r="C808" t="s">
        <v>34</v>
      </c>
      <c r="D808" t="s">
        <v>33</v>
      </c>
      <c r="E808">
        <v>56850</v>
      </c>
      <c r="F808">
        <v>0</v>
      </c>
      <c r="G808">
        <v>1</v>
      </c>
      <c r="H808" s="1">
        <v>41721</v>
      </c>
      <c r="I808">
        <v>83</v>
      </c>
      <c r="J808">
        <v>34</v>
      </c>
      <c r="K808">
        <v>1</v>
      </c>
      <c r="L808">
        <v>19</v>
      </c>
      <c r="M808">
        <v>2</v>
      </c>
      <c r="N808">
        <v>7</v>
      </c>
      <c r="O808">
        <v>0</v>
      </c>
      <c r="P808">
        <v>1</v>
      </c>
      <c r="Q808">
        <v>1</v>
      </c>
      <c r="R808">
        <v>1</v>
      </c>
      <c r="S808">
        <v>3</v>
      </c>
      <c r="T808">
        <v>2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3</v>
      </c>
      <c r="AB808">
        <v>11</v>
      </c>
      <c r="AC808">
        <v>0</v>
      </c>
      <c r="AD808" t="str">
        <f t="shared" si="156"/>
        <v>Ok</v>
      </c>
      <c r="AE808" t="str">
        <f>IF(AND(Audit_Data[[#This Row],[Year_Birth]]&gt;=1900,Audit_Data[[#This Row],[Year_Birth]]&lt;=2010),"OK","Invalid")</f>
        <v>OK</v>
      </c>
      <c r="AF808" t="str">
        <f t="shared" si="157"/>
        <v>Valid</v>
      </c>
      <c r="AG808" t="str">
        <f t="shared" si="158"/>
        <v>Valid</v>
      </c>
      <c r="AH808" t="str">
        <f t="shared" si="159"/>
        <v>Valid</v>
      </c>
      <c r="AI808" t="str">
        <f t="shared" si="160"/>
        <v>Valid</v>
      </c>
      <c r="AJ808" t="str">
        <f t="shared" si="161"/>
        <v>Valid</v>
      </c>
      <c r="AK808" t="str">
        <f t="shared" si="168"/>
        <v xml:space="preserve">Valid </v>
      </c>
      <c r="AL808" t="str">
        <f>IF(AND(Audit_Data[[#This Row],[Recency]]&gt;=0,Audit_Data[[#This Row],[Recency]]&lt;=100),"Valid","Invalid")</f>
        <v>Valid</v>
      </c>
      <c r="AM808" t="str">
        <f t="shared" si="162"/>
        <v>Valid</v>
      </c>
      <c r="AN808" t="str">
        <f t="shared" si="163"/>
        <v>Valid</v>
      </c>
      <c r="AO808" t="str">
        <f t="shared" si="164"/>
        <v>Valid</v>
      </c>
      <c r="AP808" t="str">
        <f t="shared" si="165"/>
        <v>Valid</v>
      </c>
      <c r="AQ808" t="str">
        <f>IF(Audit_Data[[#This Row],[Z_CostContact]]=3,"Valid","Invalid")</f>
        <v>Valid</v>
      </c>
      <c r="AR808" t="str">
        <f t="shared" si="166"/>
        <v>Valid</v>
      </c>
      <c r="AS808" t="str">
        <f t="shared" si="167"/>
        <v>Valid</v>
      </c>
    </row>
    <row r="809" spans="1:45" x14ac:dyDescent="0.3">
      <c r="A809">
        <v>7352</v>
      </c>
      <c r="B809">
        <v>1957</v>
      </c>
      <c r="C809" t="s">
        <v>29</v>
      </c>
      <c r="D809" t="s">
        <v>33</v>
      </c>
      <c r="E809">
        <v>55267</v>
      </c>
      <c r="F809">
        <v>0</v>
      </c>
      <c r="G809">
        <v>1</v>
      </c>
      <c r="H809" s="1">
        <v>41568</v>
      </c>
      <c r="I809">
        <v>28</v>
      </c>
      <c r="J809">
        <v>161</v>
      </c>
      <c r="K809">
        <v>28</v>
      </c>
      <c r="L809">
        <v>136</v>
      </c>
      <c r="M809">
        <v>32</v>
      </c>
      <c r="N809">
        <v>3</v>
      </c>
      <c r="O809">
        <v>45</v>
      </c>
      <c r="P809">
        <v>4</v>
      </c>
      <c r="Q809">
        <v>3</v>
      </c>
      <c r="R809">
        <v>4</v>
      </c>
      <c r="S809">
        <v>6</v>
      </c>
      <c r="T809">
        <v>3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3</v>
      </c>
      <c r="AB809">
        <v>11</v>
      </c>
      <c r="AC809">
        <v>0</v>
      </c>
      <c r="AD809" t="str">
        <f t="shared" si="156"/>
        <v>Ok</v>
      </c>
      <c r="AE809" t="str">
        <f>IF(AND(Audit_Data[[#This Row],[Year_Birth]]&gt;=1900,Audit_Data[[#This Row],[Year_Birth]]&lt;=2010),"OK","Invalid")</f>
        <v>OK</v>
      </c>
      <c r="AF809" t="str">
        <f t="shared" si="157"/>
        <v>Valid</v>
      </c>
      <c r="AG809" t="str">
        <f t="shared" si="158"/>
        <v>Valid</v>
      </c>
      <c r="AH809" t="str">
        <f t="shared" si="159"/>
        <v>Valid</v>
      </c>
      <c r="AI809" t="str">
        <f t="shared" si="160"/>
        <v>Valid</v>
      </c>
      <c r="AJ809" t="str">
        <f t="shared" si="161"/>
        <v>Valid</v>
      </c>
      <c r="AK809" t="str">
        <f t="shared" si="168"/>
        <v xml:space="preserve">Valid </v>
      </c>
      <c r="AL809" t="str">
        <f>IF(AND(Audit_Data[[#This Row],[Recency]]&gt;=0,Audit_Data[[#This Row],[Recency]]&lt;=100),"Valid","Invalid")</f>
        <v>Valid</v>
      </c>
      <c r="AM809" t="str">
        <f t="shared" si="162"/>
        <v>Valid</v>
      </c>
      <c r="AN809" t="str">
        <f t="shared" si="163"/>
        <v>Valid</v>
      </c>
      <c r="AO809" t="str">
        <f t="shared" si="164"/>
        <v>Valid</v>
      </c>
      <c r="AP809" t="str">
        <f t="shared" si="165"/>
        <v>Valid</v>
      </c>
      <c r="AQ809" t="str">
        <f>IF(Audit_Data[[#This Row],[Z_CostContact]]=3,"Valid","Invalid")</f>
        <v>Valid</v>
      </c>
      <c r="AR809" t="str">
        <f t="shared" si="166"/>
        <v>Valid</v>
      </c>
      <c r="AS809" t="str">
        <f t="shared" si="167"/>
        <v>Valid</v>
      </c>
    </row>
    <row r="810" spans="1:45" x14ac:dyDescent="0.3">
      <c r="A810">
        <v>2350</v>
      </c>
      <c r="B810">
        <v>1972</v>
      </c>
      <c r="C810" t="s">
        <v>29</v>
      </c>
      <c r="D810" t="s">
        <v>33</v>
      </c>
      <c r="E810">
        <v>59666</v>
      </c>
      <c r="F810">
        <v>1</v>
      </c>
      <c r="G810">
        <v>1</v>
      </c>
      <c r="H810" s="1">
        <v>41355</v>
      </c>
      <c r="I810">
        <v>87</v>
      </c>
      <c r="J810">
        <v>623</v>
      </c>
      <c r="K810">
        <v>53</v>
      </c>
      <c r="L810">
        <v>178</v>
      </c>
      <c r="M810">
        <v>23</v>
      </c>
      <c r="N810">
        <v>17</v>
      </c>
      <c r="O810">
        <v>133</v>
      </c>
      <c r="P810">
        <v>7</v>
      </c>
      <c r="Q810">
        <v>3</v>
      </c>
      <c r="R810">
        <v>2</v>
      </c>
      <c r="S810">
        <v>8</v>
      </c>
      <c r="T810">
        <v>8</v>
      </c>
      <c r="U810">
        <v>0</v>
      </c>
      <c r="V810">
        <v>1</v>
      </c>
      <c r="W810">
        <v>0</v>
      </c>
      <c r="X810">
        <v>0</v>
      </c>
      <c r="Y810">
        <v>0</v>
      </c>
      <c r="Z810">
        <v>0</v>
      </c>
      <c r="AA810">
        <v>3</v>
      </c>
      <c r="AB810">
        <v>11</v>
      </c>
      <c r="AC810">
        <v>0</v>
      </c>
      <c r="AD810" t="str">
        <f t="shared" si="156"/>
        <v>Ok</v>
      </c>
      <c r="AE810" t="str">
        <f>IF(AND(Audit_Data[[#This Row],[Year_Birth]]&gt;=1900,Audit_Data[[#This Row],[Year_Birth]]&lt;=2010),"OK","Invalid")</f>
        <v>OK</v>
      </c>
      <c r="AF810" t="str">
        <f t="shared" si="157"/>
        <v>Valid</v>
      </c>
      <c r="AG810" t="str">
        <f t="shared" si="158"/>
        <v>Valid</v>
      </c>
      <c r="AH810" t="str">
        <f t="shared" si="159"/>
        <v>Valid</v>
      </c>
      <c r="AI810" t="str">
        <f t="shared" si="160"/>
        <v>Valid</v>
      </c>
      <c r="AJ810" t="str">
        <f t="shared" si="161"/>
        <v>Valid</v>
      </c>
      <c r="AK810" t="str">
        <f t="shared" si="168"/>
        <v xml:space="preserve">Valid </v>
      </c>
      <c r="AL810" t="str">
        <f>IF(AND(Audit_Data[[#This Row],[Recency]]&gt;=0,Audit_Data[[#This Row],[Recency]]&lt;=100),"Valid","Invalid")</f>
        <v>Valid</v>
      </c>
      <c r="AM810" t="str">
        <f t="shared" si="162"/>
        <v>Valid</v>
      </c>
      <c r="AN810" t="str">
        <f t="shared" si="163"/>
        <v>Valid</v>
      </c>
      <c r="AO810" t="str">
        <f t="shared" si="164"/>
        <v>Valid</v>
      </c>
      <c r="AP810" t="str">
        <f t="shared" si="165"/>
        <v>Valid</v>
      </c>
      <c r="AQ810" t="str">
        <f>IF(Audit_Data[[#This Row],[Z_CostContact]]=3,"Valid","Invalid")</f>
        <v>Valid</v>
      </c>
      <c r="AR810" t="str">
        <f t="shared" si="166"/>
        <v>Valid</v>
      </c>
      <c r="AS810" t="str">
        <f t="shared" si="167"/>
        <v>Valid</v>
      </c>
    </row>
    <row r="811" spans="1:45" x14ac:dyDescent="0.3">
      <c r="A811">
        <v>9145</v>
      </c>
      <c r="B811">
        <v>1972</v>
      </c>
      <c r="C811" t="s">
        <v>29</v>
      </c>
      <c r="D811" t="s">
        <v>30</v>
      </c>
      <c r="E811">
        <v>72504</v>
      </c>
      <c r="F811">
        <v>0</v>
      </c>
      <c r="G811">
        <v>1</v>
      </c>
      <c r="H811" s="1">
        <v>41370</v>
      </c>
      <c r="I811">
        <v>43</v>
      </c>
      <c r="J811">
        <v>604</v>
      </c>
      <c r="K811">
        <v>26</v>
      </c>
      <c r="L811">
        <v>470</v>
      </c>
      <c r="M811">
        <v>123</v>
      </c>
      <c r="N811">
        <v>161</v>
      </c>
      <c r="O811">
        <v>94</v>
      </c>
      <c r="P811">
        <v>2</v>
      </c>
      <c r="Q811">
        <v>5</v>
      </c>
      <c r="R811">
        <v>9</v>
      </c>
      <c r="S811">
        <v>6</v>
      </c>
      <c r="T811">
        <v>2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3</v>
      </c>
      <c r="AB811">
        <v>11</v>
      </c>
      <c r="AC811">
        <v>0</v>
      </c>
      <c r="AD811" t="str">
        <f t="shared" si="156"/>
        <v>Ok</v>
      </c>
      <c r="AE811" t="str">
        <f>IF(AND(Audit_Data[[#This Row],[Year_Birth]]&gt;=1900,Audit_Data[[#This Row],[Year_Birth]]&lt;=2010),"OK","Invalid")</f>
        <v>OK</v>
      </c>
      <c r="AF811" t="str">
        <f t="shared" si="157"/>
        <v>Valid</v>
      </c>
      <c r="AG811" t="str">
        <f t="shared" si="158"/>
        <v>Valid</v>
      </c>
      <c r="AH811" t="str">
        <f t="shared" si="159"/>
        <v>Valid</v>
      </c>
      <c r="AI811" t="str">
        <f t="shared" si="160"/>
        <v>Valid</v>
      </c>
      <c r="AJ811" t="str">
        <f t="shared" si="161"/>
        <v>Valid</v>
      </c>
      <c r="AK811" t="str">
        <f t="shared" si="168"/>
        <v xml:space="preserve">Valid </v>
      </c>
      <c r="AL811" t="str">
        <f>IF(AND(Audit_Data[[#This Row],[Recency]]&gt;=0,Audit_Data[[#This Row],[Recency]]&lt;=100),"Valid","Invalid")</f>
        <v>Valid</v>
      </c>
      <c r="AM811" t="str">
        <f t="shared" si="162"/>
        <v>Valid</v>
      </c>
      <c r="AN811" t="str">
        <f t="shared" si="163"/>
        <v>Valid</v>
      </c>
      <c r="AO811" t="str">
        <f t="shared" si="164"/>
        <v>Valid</v>
      </c>
      <c r="AP811" t="str">
        <f t="shared" si="165"/>
        <v>Valid</v>
      </c>
      <c r="AQ811" t="str">
        <f>IF(Audit_Data[[#This Row],[Z_CostContact]]=3,"Valid","Invalid")</f>
        <v>Valid</v>
      </c>
      <c r="AR811" t="str">
        <f t="shared" si="166"/>
        <v>Valid</v>
      </c>
      <c r="AS811" t="str">
        <f t="shared" si="167"/>
        <v>Valid</v>
      </c>
    </row>
    <row r="812" spans="1:45" x14ac:dyDescent="0.3">
      <c r="A812">
        <v>2964</v>
      </c>
      <c r="B812">
        <v>1981</v>
      </c>
      <c r="C812" t="s">
        <v>29</v>
      </c>
      <c r="D812" t="s">
        <v>33</v>
      </c>
      <c r="E812">
        <v>26872</v>
      </c>
      <c r="F812">
        <v>0</v>
      </c>
      <c r="G812">
        <v>0</v>
      </c>
      <c r="H812" s="1">
        <v>41563</v>
      </c>
      <c r="I812">
        <v>0</v>
      </c>
      <c r="J812">
        <v>3</v>
      </c>
      <c r="K812">
        <v>10</v>
      </c>
      <c r="L812">
        <v>8</v>
      </c>
      <c r="M812">
        <v>3</v>
      </c>
      <c r="N812">
        <v>16</v>
      </c>
      <c r="O812">
        <v>32</v>
      </c>
      <c r="P812">
        <v>1</v>
      </c>
      <c r="Q812">
        <v>1</v>
      </c>
      <c r="R812">
        <v>1</v>
      </c>
      <c r="S812">
        <v>2</v>
      </c>
      <c r="T812">
        <v>6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3</v>
      </c>
      <c r="AB812">
        <v>11</v>
      </c>
      <c r="AC812">
        <v>0</v>
      </c>
      <c r="AD812" t="str">
        <f t="shared" si="156"/>
        <v>Ok</v>
      </c>
      <c r="AE812" t="str">
        <f>IF(AND(Audit_Data[[#This Row],[Year_Birth]]&gt;=1900,Audit_Data[[#This Row],[Year_Birth]]&lt;=2010),"OK","Invalid")</f>
        <v>OK</v>
      </c>
      <c r="AF812" t="str">
        <f t="shared" si="157"/>
        <v>Valid</v>
      </c>
      <c r="AG812" t="str">
        <f t="shared" si="158"/>
        <v>Valid</v>
      </c>
      <c r="AH812" t="str">
        <f t="shared" si="159"/>
        <v>Valid</v>
      </c>
      <c r="AI812" t="str">
        <f t="shared" si="160"/>
        <v>Valid</v>
      </c>
      <c r="AJ812" t="str">
        <f t="shared" si="161"/>
        <v>Valid</v>
      </c>
      <c r="AK812" t="str">
        <f t="shared" si="168"/>
        <v xml:space="preserve">Valid </v>
      </c>
      <c r="AL812" t="str">
        <f>IF(AND(Audit_Data[[#This Row],[Recency]]&gt;=0,Audit_Data[[#This Row],[Recency]]&lt;=100),"Valid","Invalid")</f>
        <v>Valid</v>
      </c>
      <c r="AM812" t="str">
        <f t="shared" si="162"/>
        <v>Valid</v>
      </c>
      <c r="AN812" t="str">
        <f t="shared" si="163"/>
        <v>Valid</v>
      </c>
      <c r="AO812" t="str">
        <f t="shared" si="164"/>
        <v>Valid</v>
      </c>
      <c r="AP812" t="str">
        <f t="shared" si="165"/>
        <v>Valid</v>
      </c>
      <c r="AQ812" t="str">
        <f>IF(Audit_Data[[#This Row],[Z_CostContact]]=3,"Valid","Invalid")</f>
        <v>Valid</v>
      </c>
      <c r="AR812" t="str">
        <f t="shared" si="166"/>
        <v>Valid</v>
      </c>
      <c r="AS812" t="str">
        <f t="shared" si="167"/>
        <v>Valid</v>
      </c>
    </row>
    <row r="813" spans="1:45" x14ac:dyDescent="0.3">
      <c r="A813">
        <v>5585</v>
      </c>
      <c r="B813">
        <v>1972</v>
      </c>
      <c r="C813" t="s">
        <v>29</v>
      </c>
      <c r="D813" t="s">
        <v>30</v>
      </c>
      <c r="E813">
        <v>21359</v>
      </c>
      <c r="F813">
        <v>1</v>
      </c>
      <c r="G813">
        <v>0</v>
      </c>
      <c r="H813" s="1">
        <v>41384</v>
      </c>
      <c r="I813">
        <v>1</v>
      </c>
      <c r="J813">
        <v>12</v>
      </c>
      <c r="K813">
        <v>2</v>
      </c>
      <c r="L813">
        <v>17</v>
      </c>
      <c r="M813">
        <v>6</v>
      </c>
      <c r="N813">
        <v>1</v>
      </c>
      <c r="O813">
        <v>10</v>
      </c>
      <c r="P813">
        <v>2</v>
      </c>
      <c r="Q813">
        <v>2</v>
      </c>
      <c r="R813">
        <v>0</v>
      </c>
      <c r="S813">
        <v>3</v>
      </c>
      <c r="T813">
        <v>8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3</v>
      </c>
      <c r="AB813">
        <v>11</v>
      </c>
      <c r="AC813">
        <v>1</v>
      </c>
      <c r="AD813" t="str">
        <f t="shared" si="156"/>
        <v>Ok</v>
      </c>
      <c r="AE813" t="str">
        <f>IF(AND(Audit_Data[[#This Row],[Year_Birth]]&gt;=1900,Audit_Data[[#This Row],[Year_Birth]]&lt;=2010),"OK","Invalid")</f>
        <v>OK</v>
      </c>
      <c r="AF813" t="str">
        <f t="shared" si="157"/>
        <v>Valid</v>
      </c>
      <c r="AG813" t="str">
        <f t="shared" si="158"/>
        <v>Valid</v>
      </c>
      <c r="AH813" t="str">
        <f t="shared" si="159"/>
        <v>Valid</v>
      </c>
      <c r="AI813" t="str">
        <f t="shared" si="160"/>
        <v>Valid</v>
      </c>
      <c r="AJ813" t="str">
        <f t="shared" si="161"/>
        <v>Valid</v>
      </c>
      <c r="AK813" t="str">
        <f t="shared" si="168"/>
        <v xml:space="preserve">Valid </v>
      </c>
      <c r="AL813" t="str">
        <f>IF(AND(Audit_Data[[#This Row],[Recency]]&gt;=0,Audit_Data[[#This Row],[Recency]]&lt;=100),"Valid","Invalid")</f>
        <v>Valid</v>
      </c>
      <c r="AM813" t="str">
        <f t="shared" si="162"/>
        <v>Valid</v>
      </c>
      <c r="AN813" t="str">
        <f t="shared" si="163"/>
        <v>Valid</v>
      </c>
      <c r="AO813" t="str">
        <f t="shared" si="164"/>
        <v>Valid</v>
      </c>
      <c r="AP813" t="str">
        <f t="shared" si="165"/>
        <v>Valid</v>
      </c>
      <c r="AQ813" t="str">
        <f>IF(Audit_Data[[#This Row],[Z_CostContact]]=3,"Valid","Invalid")</f>
        <v>Valid</v>
      </c>
      <c r="AR813" t="str">
        <f t="shared" si="166"/>
        <v>Valid</v>
      </c>
      <c r="AS813" t="str">
        <f t="shared" si="167"/>
        <v>Valid</v>
      </c>
    </row>
    <row r="814" spans="1:45" x14ac:dyDescent="0.3">
      <c r="A814">
        <v>9687</v>
      </c>
      <c r="B814">
        <v>1975</v>
      </c>
      <c r="C814" t="s">
        <v>29</v>
      </c>
      <c r="D814" t="s">
        <v>30</v>
      </c>
      <c r="E814">
        <v>73170</v>
      </c>
      <c r="F814">
        <v>0</v>
      </c>
      <c r="G814">
        <v>0</v>
      </c>
      <c r="H814" s="1">
        <v>41790</v>
      </c>
      <c r="I814">
        <v>1</v>
      </c>
      <c r="J814">
        <v>184</v>
      </c>
      <c r="K814">
        <v>174</v>
      </c>
      <c r="L814">
        <v>256</v>
      </c>
      <c r="M814">
        <v>50</v>
      </c>
      <c r="N814">
        <v>30</v>
      </c>
      <c r="O814">
        <v>32</v>
      </c>
      <c r="P814">
        <v>1</v>
      </c>
      <c r="Q814">
        <v>5</v>
      </c>
      <c r="R814">
        <v>4</v>
      </c>
      <c r="S814">
        <v>6</v>
      </c>
      <c r="T814">
        <v>2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3</v>
      </c>
      <c r="AB814">
        <v>11</v>
      </c>
      <c r="AC814">
        <v>0</v>
      </c>
      <c r="AD814" t="str">
        <f t="shared" si="156"/>
        <v>Ok</v>
      </c>
      <c r="AE814" t="str">
        <f>IF(AND(Audit_Data[[#This Row],[Year_Birth]]&gt;=1900,Audit_Data[[#This Row],[Year_Birth]]&lt;=2010),"OK","Invalid")</f>
        <v>OK</v>
      </c>
      <c r="AF814" t="str">
        <f t="shared" si="157"/>
        <v>Valid</v>
      </c>
      <c r="AG814" t="str">
        <f t="shared" si="158"/>
        <v>Valid</v>
      </c>
      <c r="AH814" t="str">
        <f t="shared" si="159"/>
        <v>Valid</v>
      </c>
      <c r="AI814" t="str">
        <f t="shared" si="160"/>
        <v>Valid</v>
      </c>
      <c r="AJ814" t="str">
        <f t="shared" si="161"/>
        <v>Valid</v>
      </c>
      <c r="AK814" t="str">
        <f t="shared" si="168"/>
        <v xml:space="preserve">Valid </v>
      </c>
      <c r="AL814" t="str">
        <f>IF(AND(Audit_Data[[#This Row],[Recency]]&gt;=0,Audit_Data[[#This Row],[Recency]]&lt;=100),"Valid","Invalid")</f>
        <v>Valid</v>
      </c>
      <c r="AM814" t="str">
        <f t="shared" si="162"/>
        <v>Valid</v>
      </c>
      <c r="AN814" t="str">
        <f t="shared" si="163"/>
        <v>Valid</v>
      </c>
      <c r="AO814" t="str">
        <f t="shared" si="164"/>
        <v>Valid</v>
      </c>
      <c r="AP814" t="str">
        <f t="shared" si="165"/>
        <v>Valid</v>
      </c>
      <c r="AQ814" t="str">
        <f>IF(Audit_Data[[#This Row],[Z_CostContact]]=3,"Valid","Invalid")</f>
        <v>Valid</v>
      </c>
      <c r="AR814" t="str">
        <f t="shared" si="166"/>
        <v>Valid</v>
      </c>
      <c r="AS814" t="str">
        <f t="shared" si="167"/>
        <v>Valid</v>
      </c>
    </row>
    <row r="815" spans="1:45" x14ac:dyDescent="0.3">
      <c r="A815">
        <v>3732</v>
      </c>
      <c r="B815">
        <v>1955</v>
      </c>
      <c r="C815" t="s">
        <v>34</v>
      </c>
      <c r="D815" t="s">
        <v>33</v>
      </c>
      <c r="E815">
        <v>52750</v>
      </c>
      <c r="F815">
        <v>0</v>
      </c>
      <c r="G815">
        <v>1</v>
      </c>
      <c r="H815" s="1">
        <v>41309</v>
      </c>
      <c r="I815">
        <v>72</v>
      </c>
      <c r="J815">
        <v>393</v>
      </c>
      <c r="K815">
        <v>0</v>
      </c>
      <c r="L815">
        <v>239</v>
      </c>
      <c r="M815">
        <v>90</v>
      </c>
      <c r="N815">
        <v>69</v>
      </c>
      <c r="O815">
        <v>69</v>
      </c>
      <c r="P815">
        <v>6</v>
      </c>
      <c r="Q815">
        <v>5</v>
      </c>
      <c r="R815">
        <v>7</v>
      </c>
      <c r="S815">
        <v>9</v>
      </c>
      <c r="T815">
        <v>4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3</v>
      </c>
      <c r="AB815">
        <v>11</v>
      </c>
      <c r="AC815">
        <v>0</v>
      </c>
      <c r="AD815" t="str">
        <f t="shared" si="156"/>
        <v>Ok</v>
      </c>
      <c r="AE815" t="str">
        <f>IF(AND(Audit_Data[[#This Row],[Year_Birth]]&gt;=1900,Audit_Data[[#This Row],[Year_Birth]]&lt;=2010),"OK","Invalid")</f>
        <v>OK</v>
      </c>
      <c r="AF815" t="str">
        <f t="shared" si="157"/>
        <v>Valid</v>
      </c>
      <c r="AG815" t="str">
        <f t="shared" si="158"/>
        <v>Valid</v>
      </c>
      <c r="AH815" t="str">
        <f t="shared" si="159"/>
        <v>Valid</v>
      </c>
      <c r="AI815" t="str">
        <f t="shared" si="160"/>
        <v>Valid</v>
      </c>
      <c r="AJ815" t="str">
        <f t="shared" si="161"/>
        <v>Valid</v>
      </c>
      <c r="AK815" t="str">
        <f t="shared" si="168"/>
        <v xml:space="preserve">Valid </v>
      </c>
      <c r="AL815" t="str">
        <f>IF(AND(Audit_Data[[#This Row],[Recency]]&gt;=0,Audit_Data[[#This Row],[Recency]]&lt;=100),"Valid","Invalid")</f>
        <v>Valid</v>
      </c>
      <c r="AM815" t="str">
        <f t="shared" si="162"/>
        <v>Valid</v>
      </c>
      <c r="AN815" t="str">
        <f t="shared" si="163"/>
        <v>Valid</v>
      </c>
      <c r="AO815" t="str">
        <f t="shared" si="164"/>
        <v>Valid</v>
      </c>
      <c r="AP815" t="str">
        <f t="shared" si="165"/>
        <v>Valid</v>
      </c>
      <c r="AQ815" t="str">
        <f>IF(Audit_Data[[#This Row],[Z_CostContact]]=3,"Valid","Invalid")</f>
        <v>Valid</v>
      </c>
      <c r="AR815" t="str">
        <f t="shared" si="166"/>
        <v>Valid</v>
      </c>
      <c r="AS815" t="str">
        <f t="shared" si="167"/>
        <v>Valid</v>
      </c>
    </row>
    <row r="816" spans="1:45" x14ac:dyDescent="0.3">
      <c r="A816">
        <v>6303</v>
      </c>
      <c r="B816">
        <v>1986</v>
      </c>
      <c r="C816" t="s">
        <v>32</v>
      </c>
      <c r="D816" t="s">
        <v>31</v>
      </c>
      <c r="E816">
        <v>91820</v>
      </c>
      <c r="F816">
        <v>0</v>
      </c>
      <c r="G816">
        <v>0</v>
      </c>
      <c r="H816" s="1">
        <v>41601</v>
      </c>
      <c r="I816">
        <v>72</v>
      </c>
      <c r="J816">
        <v>410</v>
      </c>
      <c r="K816">
        <v>73</v>
      </c>
      <c r="L816">
        <v>747</v>
      </c>
      <c r="M816">
        <v>76</v>
      </c>
      <c r="N816">
        <v>161</v>
      </c>
      <c r="O816">
        <v>30</v>
      </c>
      <c r="P816">
        <v>0</v>
      </c>
      <c r="Q816">
        <v>5</v>
      </c>
      <c r="R816">
        <v>5</v>
      </c>
      <c r="S816">
        <v>12</v>
      </c>
      <c r="T816">
        <v>1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3</v>
      </c>
      <c r="AB816">
        <v>11</v>
      </c>
      <c r="AC816">
        <v>0</v>
      </c>
      <c r="AD816" t="str">
        <f t="shared" si="156"/>
        <v>Ok</v>
      </c>
      <c r="AE816" t="str">
        <f>IF(AND(Audit_Data[[#This Row],[Year_Birth]]&gt;=1900,Audit_Data[[#This Row],[Year_Birth]]&lt;=2010),"OK","Invalid")</f>
        <v>OK</v>
      </c>
      <c r="AF816" t="str">
        <f t="shared" si="157"/>
        <v>Valid</v>
      </c>
      <c r="AG816" t="str">
        <f t="shared" si="158"/>
        <v>Valid</v>
      </c>
      <c r="AH816" t="str">
        <f t="shared" si="159"/>
        <v>Valid</v>
      </c>
      <c r="AI816" t="str">
        <f t="shared" si="160"/>
        <v>Valid</v>
      </c>
      <c r="AJ816" t="str">
        <f t="shared" si="161"/>
        <v>Valid</v>
      </c>
      <c r="AK816" t="str">
        <f t="shared" si="168"/>
        <v xml:space="preserve">Valid </v>
      </c>
      <c r="AL816" t="str">
        <f>IF(AND(Audit_Data[[#This Row],[Recency]]&gt;=0,Audit_Data[[#This Row],[Recency]]&lt;=100),"Valid","Invalid")</f>
        <v>Valid</v>
      </c>
      <c r="AM816" t="str">
        <f t="shared" si="162"/>
        <v>Valid</v>
      </c>
      <c r="AN816" t="str">
        <f t="shared" si="163"/>
        <v>Valid</v>
      </c>
      <c r="AO816" t="str">
        <f t="shared" si="164"/>
        <v>Valid</v>
      </c>
      <c r="AP816" t="str">
        <f t="shared" si="165"/>
        <v>Valid</v>
      </c>
      <c r="AQ816" t="str">
        <f>IF(Audit_Data[[#This Row],[Z_CostContact]]=3,"Valid","Invalid")</f>
        <v>Valid</v>
      </c>
      <c r="AR816" t="str">
        <f t="shared" si="166"/>
        <v>Valid</v>
      </c>
      <c r="AS816" t="str">
        <f t="shared" si="167"/>
        <v>Valid</v>
      </c>
    </row>
    <row r="817" spans="1:45" x14ac:dyDescent="0.3">
      <c r="A817">
        <v>11176</v>
      </c>
      <c r="B817">
        <v>1970</v>
      </c>
      <c r="C817" t="s">
        <v>32</v>
      </c>
      <c r="D817" t="s">
        <v>31</v>
      </c>
      <c r="E817">
        <v>65968</v>
      </c>
      <c r="F817">
        <v>0</v>
      </c>
      <c r="G817">
        <v>1</v>
      </c>
      <c r="H817" s="1">
        <v>41771</v>
      </c>
      <c r="I817">
        <v>12</v>
      </c>
      <c r="J817">
        <v>376</v>
      </c>
      <c r="K817">
        <v>9</v>
      </c>
      <c r="L817">
        <v>83</v>
      </c>
      <c r="M817">
        <v>19</v>
      </c>
      <c r="N817">
        <v>4</v>
      </c>
      <c r="O817">
        <v>4</v>
      </c>
      <c r="P817">
        <v>2</v>
      </c>
      <c r="Q817">
        <v>5</v>
      </c>
      <c r="R817">
        <v>4</v>
      </c>
      <c r="S817">
        <v>7</v>
      </c>
      <c r="T817">
        <v>3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3</v>
      </c>
      <c r="AB817">
        <v>11</v>
      </c>
      <c r="AC817">
        <v>0</v>
      </c>
      <c r="AD817" t="str">
        <f t="shared" si="156"/>
        <v>Ok</v>
      </c>
      <c r="AE817" t="str">
        <f>IF(AND(Audit_Data[[#This Row],[Year_Birth]]&gt;=1900,Audit_Data[[#This Row],[Year_Birth]]&lt;=2010),"OK","Invalid")</f>
        <v>OK</v>
      </c>
      <c r="AF817" t="str">
        <f t="shared" si="157"/>
        <v>Valid</v>
      </c>
      <c r="AG817" t="str">
        <f t="shared" si="158"/>
        <v>Valid</v>
      </c>
      <c r="AH817" t="str">
        <f t="shared" si="159"/>
        <v>Valid</v>
      </c>
      <c r="AI817" t="str">
        <f t="shared" si="160"/>
        <v>Valid</v>
      </c>
      <c r="AJ817" t="str">
        <f t="shared" si="161"/>
        <v>Valid</v>
      </c>
      <c r="AK817" t="str">
        <f t="shared" si="168"/>
        <v xml:space="preserve">Valid </v>
      </c>
      <c r="AL817" t="str">
        <f>IF(AND(Audit_Data[[#This Row],[Recency]]&gt;=0,Audit_Data[[#This Row],[Recency]]&lt;=100),"Valid","Invalid")</f>
        <v>Valid</v>
      </c>
      <c r="AM817" t="str">
        <f t="shared" si="162"/>
        <v>Valid</v>
      </c>
      <c r="AN817" t="str">
        <f t="shared" si="163"/>
        <v>Valid</v>
      </c>
      <c r="AO817" t="str">
        <f t="shared" si="164"/>
        <v>Valid</v>
      </c>
      <c r="AP817" t="str">
        <f t="shared" si="165"/>
        <v>Valid</v>
      </c>
      <c r="AQ817" t="str">
        <f>IF(Audit_Data[[#This Row],[Z_CostContact]]=3,"Valid","Invalid")</f>
        <v>Valid</v>
      </c>
      <c r="AR817" t="str">
        <f t="shared" si="166"/>
        <v>Valid</v>
      </c>
      <c r="AS817" t="str">
        <f t="shared" si="167"/>
        <v>Valid</v>
      </c>
    </row>
    <row r="818" spans="1:45" x14ac:dyDescent="0.3">
      <c r="A818">
        <v>2986</v>
      </c>
      <c r="B818">
        <v>1976</v>
      </c>
      <c r="C818" t="s">
        <v>29</v>
      </c>
      <c r="D818" t="s">
        <v>33</v>
      </c>
      <c r="E818">
        <v>30772</v>
      </c>
      <c r="F818">
        <v>1</v>
      </c>
      <c r="G818">
        <v>1</v>
      </c>
      <c r="H818" s="1">
        <v>41710</v>
      </c>
      <c r="I818">
        <v>89</v>
      </c>
      <c r="J818">
        <v>7</v>
      </c>
      <c r="K818">
        <v>2</v>
      </c>
      <c r="L818">
        <v>4</v>
      </c>
      <c r="M818">
        <v>2</v>
      </c>
      <c r="N818">
        <v>1</v>
      </c>
      <c r="O818">
        <v>4</v>
      </c>
      <c r="P818">
        <v>1</v>
      </c>
      <c r="Q818">
        <v>1</v>
      </c>
      <c r="R818">
        <v>0</v>
      </c>
      <c r="S818">
        <v>2</v>
      </c>
      <c r="T818">
        <v>6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3</v>
      </c>
      <c r="AB818">
        <v>11</v>
      </c>
      <c r="AC818">
        <v>0</v>
      </c>
      <c r="AD818" t="str">
        <f t="shared" si="156"/>
        <v>Ok</v>
      </c>
      <c r="AE818" t="str">
        <f>IF(AND(Audit_Data[[#This Row],[Year_Birth]]&gt;=1900,Audit_Data[[#This Row],[Year_Birth]]&lt;=2010),"OK","Invalid")</f>
        <v>OK</v>
      </c>
      <c r="AF818" t="str">
        <f t="shared" si="157"/>
        <v>Valid</v>
      </c>
      <c r="AG818" t="str">
        <f t="shared" si="158"/>
        <v>Valid</v>
      </c>
      <c r="AH818" t="str">
        <f t="shared" si="159"/>
        <v>Valid</v>
      </c>
      <c r="AI818" t="str">
        <f t="shared" si="160"/>
        <v>Valid</v>
      </c>
      <c r="AJ818" t="str">
        <f t="shared" si="161"/>
        <v>Valid</v>
      </c>
      <c r="AK818" t="str">
        <f t="shared" si="168"/>
        <v xml:space="preserve">Valid </v>
      </c>
      <c r="AL818" t="str">
        <f>IF(AND(Audit_Data[[#This Row],[Recency]]&gt;=0,Audit_Data[[#This Row],[Recency]]&lt;=100),"Valid","Invalid")</f>
        <v>Valid</v>
      </c>
      <c r="AM818" t="str">
        <f t="shared" si="162"/>
        <v>Valid</v>
      </c>
      <c r="AN818" t="str">
        <f t="shared" si="163"/>
        <v>Valid</v>
      </c>
      <c r="AO818" t="str">
        <f t="shared" si="164"/>
        <v>Valid</v>
      </c>
      <c r="AP818" t="str">
        <f t="shared" si="165"/>
        <v>Valid</v>
      </c>
      <c r="AQ818" t="str">
        <f>IF(Audit_Data[[#This Row],[Z_CostContact]]=3,"Valid","Invalid")</f>
        <v>Valid</v>
      </c>
      <c r="AR818" t="str">
        <f t="shared" si="166"/>
        <v>Valid</v>
      </c>
      <c r="AS818" t="str">
        <f t="shared" si="167"/>
        <v>Valid</v>
      </c>
    </row>
    <row r="819" spans="1:45" x14ac:dyDescent="0.3">
      <c r="A819">
        <v>7462</v>
      </c>
      <c r="B819">
        <v>1954</v>
      </c>
      <c r="C819" t="s">
        <v>29</v>
      </c>
      <c r="D819" t="s">
        <v>30</v>
      </c>
      <c r="E819">
        <v>22507</v>
      </c>
      <c r="F819">
        <v>0</v>
      </c>
      <c r="G819">
        <v>0</v>
      </c>
      <c r="H819" s="1">
        <v>41237</v>
      </c>
      <c r="I819">
        <v>67</v>
      </c>
      <c r="J819">
        <v>68</v>
      </c>
      <c r="K819">
        <v>0</v>
      </c>
      <c r="L819">
        <v>226</v>
      </c>
      <c r="M819">
        <v>51</v>
      </c>
      <c r="N819">
        <v>157</v>
      </c>
      <c r="O819">
        <v>68</v>
      </c>
      <c r="P819">
        <v>3</v>
      </c>
      <c r="Q819">
        <v>10</v>
      </c>
      <c r="R819">
        <v>2</v>
      </c>
      <c r="S819">
        <v>4</v>
      </c>
      <c r="T819">
        <v>9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3</v>
      </c>
      <c r="AB819">
        <v>11</v>
      </c>
      <c r="AC819">
        <v>0</v>
      </c>
      <c r="AD819" t="str">
        <f t="shared" si="156"/>
        <v>Ok</v>
      </c>
      <c r="AE819" t="str">
        <f>IF(AND(Audit_Data[[#This Row],[Year_Birth]]&gt;=1900,Audit_Data[[#This Row],[Year_Birth]]&lt;=2010),"OK","Invalid")</f>
        <v>OK</v>
      </c>
      <c r="AF819" t="str">
        <f t="shared" si="157"/>
        <v>Valid</v>
      </c>
      <c r="AG819" t="str">
        <f t="shared" si="158"/>
        <v>Valid</v>
      </c>
      <c r="AH819" t="str">
        <f t="shared" si="159"/>
        <v>Valid</v>
      </c>
      <c r="AI819" t="str">
        <f t="shared" si="160"/>
        <v>Valid</v>
      </c>
      <c r="AJ819" t="str">
        <f t="shared" si="161"/>
        <v>Valid</v>
      </c>
      <c r="AK819" t="str">
        <f t="shared" si="168"/>
        <v xml:space="preserve">Valid </v>
      </c>
      <c r="AL819" t="str">
        <f>IF(AND(Audit_Data[[#This Row],[Recency]]&gt;=0,Audit_Data[[#This Row],[Recency]]&lt;=100),"Valid","Invalid")</f>
        <v>Valid</v>
      </c>
      <c r="AM819" t="str">
        <f t="shared" si="162"/>
        <v>Valid</v>
      </c>
      <c r="AN819" t="str">
        <f t="shared" si="163"/>
        <v>Valid</v>
      </c>
      <c r="AO819" t="str">
        <f t="shared" si="164"/>
        <v>Valid</v>
      </c>
      <c r="AP819" t="str">
        <f t="shared" si="165"/>
        <v>Valid</v>
      </c>
      <c r="AQ819" t="str">
        <f>IF(Audit_Data[[#This Row],[Z_CostContact]]=3,"Valid","Invalid")</f>
        <v>Valid</v>
      </c>
      <c r="AR819" t="str">
        <f t="shared" si="166"/>
        <v>Valid</v>
      </c>
      <c r="AS819" t="str">
        <f t="shared" si="167"/>
        <v>Valid</v>
      </c>
    </row>
    <row r="820" spans="1:45" x14ac:dyDescent="0.3">
      <c r="A820">
        <v>3900</v>
      </c>
      <c r="B820">
        <v>1972</v>
      </c>
      <c r="C820" t="s">
        <v>29</v>
      </c>
      <c r="D820" t="s">
        <v>33</v>
      </c>
      <c r="E820">
        <v>65685</v>
      </c>
      <c r="F820">
        <v>0</v>
      </c>
      <c r="G820">
        <v>1</v>
      </c>
      <c r="H820" s="1">
        <v>41727</v>
      </c>
      <c r="I820">
        <v>54</v>
      </c>
      <c r="J820">
        <v>642</v>
      </c>
      <c r="K820">
        <v>14</v>
      </c>
      <c r="L820">
        <v>49</v>
      </c>
      <c r="M820">
        <v>0</v>
      </c>
      <c r="N820">
        <v>7</v>
      </c>
      <c r="O820">
        <v>57</v>
      </c>
      <c r="P820">
        <v>1</v>
      </c>
      <c r="Q820">
        <v>9</v>
      </c>
      <c r="R820">
        <v>2</v>
      </c>
      <c r="S820">
        <v>9</v>
      </c>
      <c r="T820">
        <v>5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3</v>
      </c>
      <c r="AB820">
        <v>11</v>
      </c>
      <c r="AC820">
        <v>0</v>
      </c>
      <c r="AD820" t="str">
        <f t="shared" si="156"/>
        <v>Ok</v>
      </c>
      <c r="AE820" t="str">
        <f>IF(AND(Audit_Data[[#This Row],[Year_Birth]]&gt;=1900,Audit_Data[[#This Row],[Year_Birth]]&lt;=2010),"OK","Invalid")</f>
        <v>OK</v>
      </c>
      <c r="AF820" t="str">
        <f t="shared" si="157"/>
        <v>Valid</v>
      </c>
      <c r="AG820" t="str">
        <f t="shared" si="158"/>
        <v>Valid</v>
      </c>
      <c r="AH820" t="str">
        <f t="shared" si="159"/>
        <v>Valid</v>
      </c>
      <c r="AI820" t="str">
        <f t="shared" si="160"/>
        <v>Valid</v>
      </c>
      <c r="AJ820" t="str">
        <f t="shared" si="161"/>
        <v>Valid</v>
      </c>
      <c r="AK820" t="str">
        <f t="shared" si="168"/>
        <v xml:space="preserve">Valid </v>
      </c>
      <c r="AL820" t="str">
        <f>IF(AND(Audit_Data[[#This Row],[Recency]]&gt;=0,Audit_Data[[#This Row],[Recency]]&lt;=100),"Valid","Invalid")</f>
        <v>Valid</v>
      </c>
      <c r="AM820" t="str">
        <f t="shared" si="162"/>
        <v>Valid</v>
      </c>
      <c r="AN820" t="str">
        <f t="shared" si="163"/>
        <v>Valid</v>
      </c>
      <c r="AO820" t="str">
        <f t="shared" si="164"/>
        <v>Valid</v>
      </c>
      <c r="AP820" t="str">
        <f t="shared" si="165"/>
        <v>Valid</v>
      </c>
      <c r="AQ820" t="str">
        <f>IF(Audit_Data[[#This Row],[Z_CostContact]]=3,"Valid","Invalid")</f>
        <v>Valid</v>
      </c>
      <c r="AR820" t="str">
        <f t="shared" si="166"/>
        <v>Valid</v>
      </c>
      <c r="AS820" t="str">
        <f t="shared" si="167"/>
        <v>Valid</v>
      </c>
    </row>
    <row r="821" spans="1:45" x14ac:dyDescent="0.3">
      <c r="A821">
        <v>7034</v>
      </c>
      <c r="B821">
        <v>1978</v>
      </c>
      <c r="C821" t="s">
        <v>37</v>
      </c>
      <c r="D821" t="s">
        <v>33</v>
      </c>
      <c r="E821">
        <v>25804</v>
      </c>
      <c r="F821">
        <v>1</v>
      </c>
      <c r="G821">
        <v>0</v>
      </c>
      <c r="H821" s="1">
        <v>41518</v>
      </c>
      <c r="I821">
        <v>34</v>
      </c>
      <c r="J821">
        <v>8</v>
      </c>
      <c r="K821">
        <v>7</v>
      </c>
      <c r="L821">
        <v>9</v>
      </c>
      <c r="M821">
        <v>13</v>
      </c>
      <c r="N821">
        <v>6</v>
      </c>
      <c r="O821">
        <v>12</v>
      </c>
      <c r="P821">
        <v>2</v>
      </c>
      <c r="Q821">
        <v>2</v>
      </c>
      <c r="R821">
        <v>0</v>
      </c>
      <c r="S821">
        <v>3</v>
      </c>
      <c r="T821">
        <v>8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3</v>
      </c>
      <c r="AB821">
        <v>11</v>
      </c>
      <c r="AC821">
        <v>0</v>
      </c>
      <c r="AD821" t="str">
        <f t="shared" si="156"/>
        <v>Ok</v>
      </c>
      <c r="AE821" t="str">
        <f>IF(AND(Audit_Data[[#This Row],[Year_Birth]]&gt;=1900,Audit_Data[[#This Row],[Year_Birth]]&lt;=2010),"OK","Invalid")</f>
        <v>OK</v>
      </c>
      <c r="AF821" t="str">
        <f t="shared" si="157"/>
        <v>Valid</v>
      </c>
      <c r="AG821" t="str">
        <f t="shared" si="158"/>
        <v>Valid</v>
      </c>
      <c r="AH821" t="str">
        <f t="shared" si="159"/>
        <v>Valid</v>
      </c>
      <c r="AI821" t="str">
        <f t="shared" si="160"/>
        <v>Valid</v>
      </c>
      <c r="AJ821" t="str">
        <f t="shared" si="161"/>
        <v>Valid</v>
      </c>
      <c r="AK821" t="str">
        <f t="shared" si="168"/>
        <v xml:space="preserve">Valid </v>
      </c>
      <c r="AL821" t="str">
        <f>IF(AND(Audit_Data[[#This Row],[Recency]]&gt;=0,Audit_Data[[#This Row],[Recency]]&lt;=100),"Valid","Invalid")</f>
        <v>Valid</v>
      </c>
      <c r="AM821" t="str">
        <f t="shared" si="162"/>
        <v>Valid</v>
      </c>
      <c r="AN821" t="str">
        <f t="shared" si="163"/>
        <v>Valid</v>
      </c>
      <c r="AO821" t="str">
        <f t="shared" si="164"/>
        <v>Valid</v>
      </c>
      <c r="AP821" t="str">
        <f t="shared" si="165"/>
        <v>Valid</v>
      </c>
      <c r="AQ821" t="str">
        <f>IF(Audit_Data[[#This Row],[Z_CostContact]]=3,"Valid","Invalid")</f>
        <v>Valid</v>
      </c>
      <c r="AR821" t="str">
        <f t="shared" si="166"/>
        <v>Valid</v>
      </c>
      <c r="AS821" t="str">
        <f t="shared" si="167"/>
        <v>Valid</v>
      </c>
    </row>
    <row r="822" spans="1:45" x14ac:dyDescent="0.3">
      <c r="A822">
        <v>9493</v>
      </c>
      <c r="B822">
        <v>1980</v>
      </c>
      <c r="C822" t="s">
        <v>32</v>
      </c>
      <c r="D822" t="s">
        <v>30</v>
      </c>
      <c r="E822">
        <v>76412</v>
      </c>
      <c r="F822">
        <v>0</v>
      </c>
      <c r="G822">
        <v>0</v>
      </c>
      <c r="H822" s="1">
        <v>41399</v>
      </c>
      <c r="I822">
        <v>15</v>
      </c>
      <c r="J822">
        <v>840</v>
      </c>
      <c r="K822">
        <v>53</v>
      </c>
      <c r="L822">
        <v>804</v>
      </c>
      <c r="M822">
        <v>23</v>
      </c>
      <c r="N822">
        <v>71</v>
      </c>
      <c r="O822">
        <v>17</v>
      </c>
      <c r="P822">
        <v>1</v>
      </c>
      <c r="Q822">
        <v>5</v>
      </c>
      <c r="R822">
        <v>4</v>
      </c>
      <c r="S822">
        <v>8</v>
      </c>
      <c r="T822">
        <v>3</v>
      </c>
      <c r="U822">
        <v>0</v>
      </c>
      <c r="V822">
        <v>0</v>
      </c>
      <c r="W822">
        <v>1</v>
      </c>
      <c r="X822">
        <v>1</v>
      </c>
      <c r="Y822">
        <v>0</v>
      </c>
      <c r="Z822">
        <v>0</v>
      </c>
      <c r="AA822">
        <v>3</v>
      </c>
      <c r="AB822">
        <v>11</v>
      </c>
      <c r="AC822">
        <v>1</v>
      </c>
      <c r="AD822" t="str">
        <f t="shared" si="156"/>
        <v>Ok</v>
      </c>
      <c r="AE822" t="str">
        <f>IF(AND(Audit_Data[[#This Row],[Year_Birth]]&gt;=1900,Audit_Data[[#This Row],[Year_Birth]]&lt;=2010),"OK","Invalid")</f>
        <v>OK</v>
      </c>
      <c r="AF822" t="str">
        <f t="shared" si="157"/>
        <v>Valid</v>
      </c>
      <c r="AG822" t="str">
        <f t="shared" si="158"/>
        <v>Valid</v>
      </c>
      <c r="AH822" t="str">
        <f t="shared" si="159"/>
        <v>Valid</v>
      </c>
      <c r="AI822" t="str">
        <f t="shared" si="160"/>
        <v>Valid</v>
      </c>
      <c r="AJ822" t="str">
        <f t="shared" si="161"/>
        <v>Valid</v>
      </c>
      <c r="AK822" t="str">
        <f t="shared" si="168"/>
        <v xml:space="preserve">Valid </v>
      </c>
      <c r="AL822" t="str">
        <f>IF(AND(Audit_Data[[#This Row],[Recency]]&gt;=0,Audit_Data[[#This Row],[Recency]]&lt;=100),"Valid","Invalid")</f>
        <v>Valid</v>
      </c>
      <c r="AM822" t="str">
        <f t="shared" si="162"/>
        <v>Valid</v>
      </c>
      <c r="AN822" t="str">
        <f t="shared" si="163"/>
        <v>Valid</v>
      </c>
      <c r="AO822" t="str">
        <f t="shared" si="164"/>
        <v>Valid</v>
      </c>
      <c r="AP822" t="str">
        <f t="shared" si="165"/>
        <v>Valid</v>
      </c>
      <c r="AQ822" t="str">
        <f>IF(Audit_Data[[#This Row],[Z_CostContact]]=3,"Valid","Invalid")</f>
        <v>Valid</v>
      </c>
      <c r="AR822" t="str">
        <f t="shared" si="166"/>
        <v>Valid</v>
      </c>
      <c r="AS822" t="str">
        <f t="shared" si="167"/>
        <v>Valid</v>
      </c>
    </row>
    <row r="823" spans="1:45" x14ac:dyDescent="0.3">
      <c r="A823">
        <v>1143</v>
      </c>
      <c r="B823">
        <v>1972</v>
      </c>
      <c r="C823" t="s">
        <v>29</v>
      </c>
      <c r="D823" t="s">
        <v>33</v>
      </c>
      <c r="E823">
        <v>22063</v>
      </c>
      <c r="F823">
        <v>1</v>
      </c>
      <c r="G823">
        <v>0</v>
      </c>
      <c r="H823" s="1">
        <v>41494</v>
      </c>
      <c r="I823">
        <v>43</v>
      </c>
      <c r="J823">
        <v>7</v>
      </c>
      <c r="K823">
        <v>10</v>
      </c>
      <c r="L823">
        <v>13</v>
      </c>
      <c r="M823">
        <v>3</v>
      </c>
      <c r="N823">
        <v>11</v>
      </c>
      <c r="O823">
        <v>11</v>
      </c>
      <c r="P823">
        <v>2</v>
      </c>
      <c r="Q823">
        <v>2</v>
      </c>
      <c r="R823">
        <v>0</v>
      </c>
      <c r="S823">
        <v>3</v>
      </c>
      <c r="T823">
        <v>7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3</v>
      </c>
      <c r="AB823">
        <v>11</v>
      </c>
      <c r="AC823">
        <v>0</v>
      </c>
      <c r="AD823" t="str">
        <f t="shared" si="156"/>
        <v>Ok</v>
      </c>
      <c r="AE823" t="str">
        <f>IF(AND(Audit_Data[[#This Row],[Year_Birth]]&gt;=1900,Audit_Data[[#This Row],[Year_Birth]]&lt;=2010),"OK","Invalid")</f>
        <v>OK</v>
      </c>
      <c r="AF823" t="str">
        <f t="shared" si="157"/>
        <v>Valid</v>
      </c>
      <c r="AG823" t="str">
        <f t="shared" si="158"/>
        <v>Valid</v>
      </c>
      <c r="AH823" t="str">
        <f t="shared" si="159"/>
        <v>Valid</v>
      </c>
      <c r="AI823" t="str">
        <f t="shared" si="160"/>
        <v>Valid</v>
      </c>
      <c r="AJ823" t="str">
        <f t="shared" si="161"/>
        <v>Valid</v>
      </c>
      <c r="AK823" t="str">
        <f t="shared" si="168"/>
        <v xml:space="preserve">Valid </v>
      </c>
      <c r="AL823" t="str">
        <f>IF(AND(Audit_Data[[#This Row],[Recency]]&gt;=0,Audit_Data[[#This Row],[Recency]]&lt;=100),"Valid","Invalid")</f>
        <v>Valid</v>
      </c>
      <c r="AM823" t="str">
        <f t="shared" si="162"/>
        <v>Valid</v>
      </c>
      <c r="AN823" t="str">
        <f t="shared" si="163"/>
        <v>Valid</v>
      </c>
      <c r="AO823" t="str">
        <f t="shared" si="164"/>
        <v>Valid</v>
      </c>
      <c r="AP823" t="str">
        <f t="shared" si="165"/>
        <v>Valid</v>
      </c>
      <c r="AQ823" t="str">
        <f>IF(Audit_Data[[#This Row],[Z_CostContact]]=3,"Valid","Invalid")</f>
        <v>Valid</v>
      </c>
      <c r="AR823" t="str">
        <f t="shared" si="166"/>
        <v>Valid</v>
      </c>
      <c r="AS823" t="str">
        <f t="shared" si="167"/>
        <v>Valid</v>
      </c>
    </row>
    <row r="824" spans="1:45" x14ac:dyDescent="0.3">
      <c r="A824">
        <v>1</v>
      </c>
      <c r="B824">
        <v>1961</v>
      </c>
      <c r="C824" t="s">
        <v>29</v>
      </c>
      <c r="D824" t="s">
        <v>30</v>
      </c>
      <c r="E824">
        <v>57091</v>
      </c>
      <c r="F824">
        <v>0</v>
      </c>
      <c r="G824">
        <v>0</v>
      </c>
      <c r="H824" s="1">
        <v>41805</v>
      </c>
      <c r="I824">
        <v>0</v>
      </c>
      <c r="J824">
        <v>464</v>
      </c>
      <c r="K824">
        <v>5</v>
      </c>
      <c r="L824">
        <v>64</v>
      </c>
      <c r="M824">
        <v>7</v>
      </c>
      <c r="N824">
        <v>0</v>
      </c>
      <c r="O824">
        <v>37</v>
      </c>
      <c r="P824">
        <v>1</v>
      </c>
      <c r="Q824">
        <v>7</v>
      </c>
      <c r="R824">
        <v>3</v>
      </c>
      <c r="S824">
        <v>7</v>
      </c>
      <c r="T824">
        <v>5</v>
      </c>
      <c r="U824">
        <v>0</v>
      </c>
      <c r="V824">
        <v>0</v>
      </c>
      <c r="W824">
        <v>0</v>
      </c>
      <c r="X824">
        <v>0</v>
      </c>
      <c r="Y824">
        <v>1</v>
      </c>
      <c r="Z824">
        <v>0</v>
      </c>
      <c r="AA824">
        <v>3</v>
      </c>
      <c r="AB824">
        <v>11</v>
      </c>
      <c r="AC824">
        <v>1</v>
      </c>
      <c r="AD824" t="str">
        <f t="shared" si="156"/>
        <v>Ok</v>
      </c>
      <c r="AE824" t="str">
        <f>IF(AND(Audit_Data[[#This Row],[Year_Birth]]&gt;=1900,Audit_Data[[#This Row],[Year_Birth]]&lt;=2010),"OK","Invalid")</f>
        <v>OK</v>
      </c>
      <c r="AF824" t="str">
        <f t="shared" si="157"/>
        <v>Valid</v>
      </c>
      <c r="AG824" t="str">
        <f t="shared" si="158"/>
        <v>Valid</v>
      </c>
      <c r="AH824" t="str">
        <f t="shared" si="159"/>
        <v>Valid</v>
      </c>
      <c r="AI824" t="str">
        <f t="shared" si="160"/>
        <v>Valid</v>
      </c>
      <c r="AJ824" t="str">
        <f t="shared" si="161"/>
        <v>Valid</v>
      </c>
      <c r="AK824" t="str">
        <f t="shared" si="168"/>
        <v xml:space="preserve">Valid </v>
      </c>
      <c r="AL824" t="str">
        <f>IF(AND(Audit_Data[[#This Row],[Recency]]&gt;=0,Audit_Data[[#This Row],[Recency]]&lt;=100),"Valid","Invalid")</f>
        <v>Valid</v>
      </c>
      <c r="AM824" t="str">
        <f t="shared" si="162"/>
        <v>Valid</v>
      </c>
      <c r="AN824" t="str">
        <f t="shared" si="163"/>
        <v>Valid</v>
      </c>
      <c r="AO824" t="str">
        <f t="shared" si="164"/>
        <v>Valid</v>
      </c>
      <c r="AP824" t="str">
        <f t="shared" si="165"/>
        <v>Valid</v>
      </c>
      <c r="AQ824" t="str">
        <f>IF(Audit_Data[[#This Row],[Z_CostContact]]=3,"Valid","Invalid")</f>
        <v>Valid</v>
      </c>
      <c r="AR824" t="str">
        <f t="shared" si="166"/>
        <v>Valid</v>
      </c>
      <c r="AS824" t="str">
        <f t="shared" si="167"/>
        <v>Valid</v>
      </c>
    </row>
    <row r="825" spans="1:45" x14ac:dyDescent="0.3">
      <c r="A825">
        <v>3855</v>
      </c>
      <c r="B825">
        <v>1963</v>
      </c>
      <c r="C825" t="s">
        <v>29</v>
      </c>
      <c r="D825" t="s">
        <v>33</v>
      </c>
      <c r="E825">
        <v>22419</v>
      </c>
      <c r="F825">
        <v>0</v>
      </c>
      <c r="G825">
        <v>0</v>
      </c>
      <c r="H825" s="1">
        <v>41382</v>
      </c>
      <c r="I825">
        <v>74</v>
      </c>
      <c r="J825">
        <v>30</v>
      </c>
      <c r="K825">
        <v>3</v>
      </c>
      <c r="L825">
        <v>47</v>
      </c>
      <c r="M825">
        <v>19</v>
      </c>
      <c r="N825">
        <v>21</v>
      </c>
      <c r="O825">
        <v>42</v>
      </c>
      <c r="P825">
        <v>1</v>
      </c>
      <c r="Q825">
        <v>3</v>
      </c>
      <c r="R825">
        <v>2</v>
      </c>
      <c r="S825">
        <v>2</v>
      </c>
      <c r="T825">
        <v>8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3</v>
      </c>
      <c r="AB825">
        <v>11</v>
      </c>
      <c r="AC825">
        <v>0</v>
      </c>
      <c r="AD825" t="str">
        <f t="shared" si="156"/>
        <v>Ok</v>
      </c>
      <c r="AE825" t="str">
        <f>IF(AND(Audit_Data[[#This Row],[Year_Birth]]&gt;=1900,Audit_Data[[#This Row],[Year_Birth]]&lt;=2010),"OK","Invalid")</f>
        <v>OK</v>
      </c>
      <c r="AF825" t="str">
        <f t="shared" si="157"/>
        <v>Valid</v>
      </c>
      <c r="AG825" t="str">
        <f t="shared" si="158"/>
        <v>Valid</v>
      </c>
      <c r="AH825" t="str">
        <f t="shared" si="159"/>
        <v>Valid</v>
      </c>
      <c r="AI825" t="str">
        <f t="shared" si="160"/>
        <v>Valid</v>
      </c>
      <c r="AJ825" t="str">
        <f t="shared" si="161"/>
        <v>Valid</v>
      </c>
      <c r="AK825" t="str">
        <f t="shared" si="168"/>
        <v xml:space="preserve">Valid </v>
      </c>
      <c r="AL825" t="str">
        <f>IF(AND(Audit_Data[[#This Row],[Recency]]&gt;=0,Audit_Data[[#This Row],[Recency]]&lt;=100),"Valid","Invalid")</f>
        <v>Valid</v>
      </c>
      <c r="AM825" t="str">
        <f t="shared" si="162"/>
        <v>Valid</v>
      </c>
      <c r="AN825" t="str">
        <f t="shared" si="163"/>
        <v>Valid</v>
      </c>
      <c r="AO825" t="str">
        <f t="shared" si="164"/>
        <v>Valid</v>
      </c>
      <c r="AP825" t="str">
        <f t="shared" si="165"/>
        <v>Valid</v>
      </c>
      <c r="AQ825" t="str">
        <f>IF(Audit_Data[[#This Row],[Z_CostContact]]=3,"Valid","Invalid")</f>
        <v>Valid</v>
      </c>
      <c r="AR825" t="str">
        <f t="shared" si="166"/>
        <v>Valid</v>
      </c>
      <c r="AS825" t="str">
        <f t="shared" si="167"/>
        <v>Valid</v>
      </c>
    </row>
    <row r="826" spans="1:45" x14ac:dyDescent="0.3">
      <c r="A826">
        <v>5536</v>
      </c>
      <c r="B826">
        <v>1959</v>
      </c>
      <c r="C826" t="s">
        <v>29</v>
      </c>
      <c r="D826" t="s">
        <v>31</v>
      </c>
      <c r="E826">
        <v>87771</v>
      </c>
      <c r="F826">
        <v>0</v>
      </c>
      <c r="G826">
        <v>1</v>
      </c>
      <c r="H826" s="1">
        <v>41416</v>
      </c>
      <c r="I826">
        <v>61</v>
      </c>
      <c r="J826">
        <v>1492</v>
      </c>
      <c r="K826">
        <v>38</v>
      </c>
      <c r="L826">
        <v>287</v>
      </c>
      <c r="M826">
        <v>50</v>
      </c>
      <c r="N826">
        <v>57</v>
      </c>
      <c r="O826">
        <v>33</v>
      </c>
      <c r="P826">
        <v>1</v>
      </c>
      <c r="Q826">
        <v>5</v>
      </c>
      <c r="R826">
        <v>10</v>
      </c>
      <c r="S826">
        <v>4</v>
      </c>
      <c r="T826">
        <v>6</v>
      </c>
      <c r="U826">
        <v>0</v>
      </c>
      <c r="V826">
        <v>1</v>
      </c>
      <c r="W826">
        <v>1</v>
      </c>
      <c r="X826">
        <v>1</v>
      </c>
      <c r="Y826">
        <v>1</v>
      </c>
      <c r="Z826">
        <v>0</v>
      </c>
      <c r="AA826">
        <v>3</v>
      </c>
      <c r="AB826">
        <v>11</v>
      </c>
      <c r="AC826">
        <v>1</v>
      </c>
      <c r="AD826" t="str">
        <f t="shared" si="156"/>
        <v>Ok</v>
      </c>
      <c r="AE826" t="str">
        <f>IF(AND(Audit_Data[[#This Row],[Year_Birth]]&gt;=1900,Audit_Data[[#This Row],[Year_Birth]]&lt;=2010),"OK","Invalid")</f>
        <v>OK</v>
      </c>
      <c r="AF826" t="str">
        <f t="shared" si="157"/>
        <v>Valid</v>
      </c>
      <c r="AG826" t="str">
        <f t="shared" si="158"/>
        <v>Valid</v>
      </c>
      <c r="AH826" t="str">
        <f t="shared" si="159"/>
        <v>Valid</v>
      </c>
      <c r="AI826" t="str">
        <f t="shared" si="160"/>
        <v>Valid</v>
      </c>
      <c r="AJ826" t="str">
        <f t="shared" si="161"/>
        <v>Valid</v>
      </c>
      <c r="AK826" t="str">
        <f t="shared" si="168"/>
        <v xml:space="preserve">Valid </v>
      </c>
      <c r="AL826" t="str">
        <f>IF(AND(Audit_Data[[#This Row],[Recency]]&gt;=0,Audit_Data[[#This Row],[Recency]]&lt;=100),"Valid","Invalid")</f>
        <v>Valid</v>
      </c>
      <c r="AM826" t="str">
        <f t="shared" si="162"/>
        <v>Valid</v>
      </c>
      <c r="AN826" t="str">
        <f t="shared" si="163"/>
        <v>Valid</v>
      </c>
      <c r="AO826" t="str">
        <f t="shared" si="164"/>
        <v>Valid</v>
      </c>
      <c r="AP826" t="str">
        <f t="shared" si="165"/>
        <v>Valid</v>
      </c>
      <c r="AQ826" t="str">
        <f>IF(Audit_Data[[#This Row],[Z_CostContact]]=3,"Valid","Invalid")</f>
        <v>Valid</v>
      </c>
      <c r="AR826" t="str">
        <f t="shared" si="166"/>
        <v>Valid</v>
      </c>
      <c r="AS826" t="str">
        <f t="shared" si="167"/>
        <v>Valid</v>
      </c>
    </row>
    <row r="827" spans="1:45" x14ac:dyDescent="0.3">
      <c r="A827">
        <v>5989</v>
      </c>
      <c r="B827">
        <v>1959</v>
      </c>
      <c r="C827" t="s">
        <v>37</v>
      </c>
      <c r="D827" t="s">
        <v>35</v>
      </c>
      <c r="E827">
        <v>78353</v>
      </c>
      <c r="F827">
        <v>0</v>
      </c>
      <c r="G827">
        <v>1</v>
      </c>
      <c r="H827" s="1">
        <v>41380</v>
      </c>
      <c r="I827">
        <v>51</v>
      </c>
      <c r="J827">
        <v>752</v>
      </c>
      <c r="K827">
        <v>122</v>
      </c>
      <c r="L827">
        <v>476</v>
      </c>
      <c r="M827">
        <v>39</v>
      </c>
      <c r="N827">
        <v>153</v>
      </c>
      <c r="O827">
        <v>34</v>
      </c>
      <c r="P827">
        <v>1</v>
      </c>
      <c r="Q827">
        <v>10</v>
      </c>
      <c r="R827">
        <v>2</v>
      </c>
      <c r="S827">
        <v>11</v>
      </c>
      <c r="T827">
        <v>8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3</v>
      </c>
      <c r="AB827">
        <v>11</v>
      </c>
      <c r="AC827">
        <v>0</v>
      </c>
      <c r="AD827" t="str">
        <f t="shared" si="156"/>
        <v>Ok</v>
      </c>
      <c r="AE827" t="str">
        <f>IF(AND(Audit_Data[[#This Row],[Year_Birth]]&gt;=1900,Audit_Data[[#This Row],[Year_Birth]]&lt;=2010),"OK","Invalid")</f>
        <v>OK</v>
      </c>
      <c r="AF827" t="str">
        <f t="shared" si="157"/>
        <v>Valid</v>
      </c>
      <c r="AG827" t="str">
        <f t="shared" si="158"/>
        <v>Valid</v>
      </c>
      <c r="AH827" t="str">
        <f t="shared" si="159"/>
        <v>Valid</v>
      </c>
      <c r="AI827" t="str">
        <f t="shared" si="160"/>
        <v>Valid</v>
      </c>
      <c r="AJ827" t="str">
        <f t="shared" si="161"/>
        <v>Valid</v>
      </c>
      <c r="AK827" t="str">
        <f t="shared" si="168"/>
        <v xml:space="preserve">Valid </v>
      </c>
      <c r="AL827" t="str">
        <f>IF(AND(Audit_Data[[#This Row],[Recency]]&gt;=0,Audit_Data[[#This Row],[Recency]]&lt;=100),"Valid","Invalid")</f>
        <v>Valid</v>
      </c>
      <c r="AM827" t="str">
        <f t="shared" si="162"/>
        <v>Valid</v>
      </c>
      <c r="AN827" t="str">
        <f t="shared" si="163"/>
        <v>Valid</v>
      </c>
      <c r="AO827" t="str">
        <f t="shared" si="164"/>
        <v>Valid</v>
      </c>
      <c r="AP827" t="str">
        <f t="shared" si="165"/>
        <v>Valid</v>
      </c>
      <c r="AQ827" t="str">
        <f>IF(Audit_Data[[#This Row],[Z_CostContact]]=3,"Valid","Invalid")</f>
        <v>Valid</v>
      </c>
      <c r="AR827" t="str">
        <f t="shared" si="166"/>
        <v>Valid</v>
      </c>
      <c r="AS827" t="str">
        <f t="shared" si="167"/>
        <v>Valid</v>
      </c>
    </row>
    <row r="828" spans="1:45" x14ac:dyDescent="0.3">
      <c r="A828">
        <v>9499</v>
      </c>
      <c r="B828">
        <v>1954</v>
      </c>
      <c r="C828" t="s">
        <v>29</v>
      </c>
      <c r="D828" t="s">
        <v>33</v>
      </c>
      <c r="E828">
        <v>93404</v>
      </c>
      <c r="F828">
        <v>1</v>
      </c>
      <c r="G828">
        <v>2</v>
      </c>
      <c r="H828" s="1">
        <v>41401</v>
      </c>
      <c r="I828">
        <v>97</v>
      </c>
      <c r="J828">
        <v>1279</v>
      </c>
      <c r="K828">
        <v>15</v>
      </c>
      <c r="L828">
        <v>287</v>
      </c>
      <c r="M828">
        <v>20</v>
      </c>
      <c r="N828">
        <v>0</v>
      </c>
      <c r="O828">
        <v>15</v>
      </c>
      <c r="P828">
        <v>3</v>
      </c>
      <c r="Q828">
        <v>3</v>
      </c>
      <c r="R828">
        <v>4</v>
      </c>
      <c r="S828">
        <v>7</v>
      </c>
      <c r="T828">
        <v>5</v>
      </c>
      <c r="U828">
        <v>0</v>
      </c>
      <c r="V828">
        <v>1</v>
      </c>
      <c r="W828">
        <v>1</v>
      </c>
      <c r="X828">
        <v>0</v>
      </c>
      <c r="Y828">
        <v>0</v>
      </c>
      <c r="Z828">
        <v>0</v>
      </c>
      <c r="AA828">
        <v>3</v>
      </c>
      <c r="AB828">
        <v>11</v>
      </c>
      <c r="AC828">
        <v>0</v>
      </c>
      <c r="AD828" t="str">
        <f t="shared" si="156"/>
        <v>Ok</v>
      </c>
      <c r="AE828" t="str">
        <f>IF(AND(Audit_Data[[#This Row],[Year_Birth]]&gt;=1900,Audit_Data[[#This Row],[Year_Birth]]&lt;=2010),"OK","Invalid")</f>
        <v>OK</v>
      </c>
      <c r="AF828" t="str">
        <f t="shared" si="157"/>
        <v>Valid</v>
      </c>
      <c r="AG828" t="str">
        <f t="shared" si="158"/>
        <v>Valid</v>
      </c>
      <c r="AH828" t="str">
        <f t="shared" si="159"/>
        <v>Valid</v>
      </c>
      <c r="AI828" t="str">
        <f t="shared" si="160"/>
        <v>Valid</v>
      </c>
      <c r="AJ828" t="str">
        <f t="shared" si="161"/>
        <v>Valid</v>
      </c>
      <c r="AK828" t="str">
        <f t="shared" si="168"/>
        <v xml:space="preserve">Valid </v>
      </c>
      <c r="AL828" t="str">
        <f>IF(AND(Audit_Data[[#This Row],[Recency]]&gt;=0,Audit_Data[[#This Row],[Recency]]&lt;=100),"Valid","Invalid")</f>
        <v>Valid</v>
      </c>
      <c r="AM828" t="str">
        <f t="shared" si="162"/>
        <v>Valid</v>
      </c>
      <c r="AN828" t="str">
        <f t="shared" si="163"/>
        <v>Valid</v>
      </c>
      <c r="AO828" t="str">
        <f t="shared" si="164"/>
        <v>Valid</v>
      </c>
      <c r="AP828" t="str">
        <f t="shared" si="165"/>
        <v>Valid</v>
      </c>
      <c r="AQ828" t="str">
        <f>IF(Audit_Data[[#This Row],[Z_CostContact]]=3,"Valid","Invalid")</f>
        <v>Valid</v>
      </c>
      <c r="AR828" t="str">
        <f t="shared" si="166"/>
        <v>Valid</v>
      </c>
      <c r="AS828" t="str">
        <f t="shared" si="167"/>
        <v>Valid</v>
      </c>
    </row>
    <row r="829" spans="1:45" x14ac:dyDescent="0.3">
      <c r="A829">
        <v>6768</v>
      </c>
      <c r="B829">
        <v>1962</v>
      </c>
      <c r="C829" t="s">
        <v>29</v>
      </c>
      <c r="D829" t="s">
        <v>35</v>
      </c>
      <c r="E829">
        <v>37859</v>
      </c>
      <c r="F829">
        <v>1</v>
      </c>
      <c r="G829">
        <v>2</v>
      </c>
      <c r="H829" s="1">
        <v>41286</v>
      </c>
      <c r="I829">
        <v>75</v>
      </c>
      <c r="J829">
        <v>22</v>
      </c>
      <c r="K829">
        <v>1</v>
      </c>
      <c r="L829">
        <v>8</v>
      </c>
      <c r="M829">
        <v>2</v>
      </c>
      <c r="N829">
        <v>1</v>
      </c>
      <c r="O829">
        <v>2</v>
      </c>
      <c r="P829">
        <v>2</v>
      </c>
      <c r="Q829">
        <v>1</v>
      </c>
      <c r="R829">
        <v>0</v>
      </c>
      <c r="S829">
        <v>3</v>
      </c>
      <c r="T829">
        <v>8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3</v>
      </c>
      <c r="AB829">
        <v>11</v>
      </c>
      <c r="AC829">
        <v>0</v>
      </c>
      <c r="AD829" t="str">
        <f t="shared" si="156"/>
        <v>Ok</v>
      </c>
      <c r="AE829" t="str">
        <f>IF(AND(Audit_Data[[#This Row],[Year_Birth]]&gt;=1900,Audit_Data[[#This Row],[Year_Birth]]&lt;=2010),"OK","Invalid")</f>
        <v>OK</v>
      </c>
      <c r="AF829" t="str">
        <f t="shared" si="157"/>
        <v>Valid</v>
      </c>
      <c r="AG829" t="str">
        <f t="shared" si="158"/>
        <v>Valid</v>
      </c>
      <c r="AH829" t="str">
        <f t="shared" si="159"/>
        <v>Valid</v>
      </c>
      <c r="AI829" t="str">
        <f t="shared" si="160"/>
        <v>Valid</v>
      </c>
      <c r="AJ829" t="str">
        <f t="shared" si="161"/>
        <v>Valid</v>
      </c>
      <c r="AK829" t="str">
        <f t="shared" si="168"/>
        <v xml:space="preserve">Valid </v>
      </c>
      <c r="AL829" t="str">
        <f>IF(AND(Audit_Data[[#This Row],[Recency]]&gt;=0,Audit_Data[[#This Row],[Recency]]&lt;=100),"Valid","Invalid")</f>
        <v>Valid</v>
      </c>
      <c r="AM829" t="str">
        <f t="shared" si="162"/>
        <v>Valid</v>
      </c>
      <c r="AN829" t="str">
        <f t="shared" si="163"/>
        <v>Valid</v>
      </c>
      <c r="AO829" t="str">
        <f t="shared" si="164"/>
        <v>Valid</v>
      </c>
      <c r="AP829" t="str">
        <f t="shared" si="165"/>
        <v>Valid</v>
      </c>
      <c r="AQ829" t="str">
        <f>IF(Audit_Data[[#This Row],[Z_CostContact]]=3,"Valid","Invalid")</f>
        <v>Valid</v>
      </c>
      <c r="AR829" t="str">
        <f t="shared" si="166"/>
        <v>Valid</v>
      </c>
      <c r="AS829" t="str">
        <f t="shared" si="167"/>
        <v>Valid</v>
      </c>
    </row>
    <row r="830" spans="1:45" x14ac:dyDescent="0.3">
      <c r="A830">
        <v>2150</v>
      </c>
      <c r="B830">
        <v>1958</v>
      </c>
      <c r="C830" t="s">
        <v>32</v>
      </c>
      <c r="D830" t="s">
        <v>38</v>
      </c>
      <c r="E830">
        <v>80995</v>
      </c>
      <c r="F830">
        <v>0</v>
      </c>
      <c r="G830">
        <v>1</v>
      </c>
      <c r="H830" s="1">
        <v>41405</v>
      </c>
      <c r="I830">
        <v>83</v>
      </c>
      <c r="J830">
        <v>860</v>
      </c>
      <c r="K830">
        <v>28</v>
      </c>
      <c r="L830">
        <v>409</v>
      </c>
      <c r="M830">
        <v>73</v>
      </c>
      <c r="N830">
        <v>56</v>
      </c>
      <c r="O830">
        <v>56</v>
      </c>
      <c r="P830">
        <v>1</v>
      </c>
      <c r="Q830">
        <v>8</v>
      </c>
      <c r="R830">
        <v>9</v>
      </c>
      <c r="S830">
        <v>4</v>
      </c>
      <c r="T830">
        <v>4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3</v>
      </c>
      <c r="AB830">
        <v>11</v>
      </c>
      <c r="AC830">
        <v>0</v>
      </c>
      <c r="AD830" t="str">
        <f t="shared" si="156"/>
        <v>Ok</v>
      </c>
      <c r="AE830" t="str">
        <f>IF(AND(Audit_Data[[#This Row],[Year_Birth]]&gt;=1900,Audit_Data[[#This Row],[Year_Birth]]&lt;=2010),"OK","Invalid")</f>
        <v>OK</v>
      </c>
      <c r="AF830" t="str">
        <f t="shared" si="157"/>
        <v>Valid</v>
      </c>
      <c r="AG830" t="str">
        <f t="shared" si="158"/>
        <v>Valid</v>
      </c>
      <c r="AH830" t="str">
        <f t="shared" si="159"/>
        <v>Valid</v>
      </c>
      <c r="AI830" t="str">
        <f t="shared" si="160"/>
        <v>Valid</v>
      </c>
      <c r="AJ830" t="str">
        <f t="shared" si="161"/>
        <v>Valid</v>
      </c>
      <c r="AK830" t="str">
        <f t="shared" si="168"/>
        <v xml:space="preserve">Valid </v>
      </c>
      <c r="AL830" t="str">
        <f>IF(AND(Audit_Data[[#This Row],[Recency]]&gt;=0,Audit_Data[[#This Row],[Recency]]&lt;=100),"Valid","Invalid")</f>
        <v>Valid</v>
      </c>
      <c r="AM830" t="str">
        <f t="shared" si="162"/>
        <v>Valid</v>
      </c>
      <c r="AN830" t="str">
        <f t="shared" si="163"/>
        <v>Valid</v>
      </c>
      <c r="AO830" t="str">
        <f t="shared" si="164"/>
        <v>Valid</v>
      </c>
      <c r="AP830" t="str">
        <f t="shared" si="165"/>
        <v>Valid</v>
      </c>
      <c r="AQ830" t="str">
        <f>IF(Audit_Data[[#This Row],[Z_CostContact]]=3,"Valid","Invalid")</f>
        <v>Valid</v>
      </c>
      <c r="AR830" t="str">
        <f t="shared" si="166"/>
        <v>Valid</v>
      </c>
      <c r="AS830" t="str">
        <f t="shared" si="167"/>
        <v>Valid</v>
      </c>
    </row>
    <row r="831" spans="1:45" x14ac:dyDescent="0.3">
      <c r="A831">
        <v>6646</v>
      </c>
      <c r="B831">
        <v>1984</v>
      </c>
      <c r="C831" t="s">
        <v>29</v>
      </c>
      <c r="D831" t="s">
        <v>31</v>
      </c>
      <c r="E831">
        <v>16529</v>
      </c>
      <c r="F831">
        <v>1</v>
      </c>
      <c r="G831">
        <v>0</v>
      </c>
      <c r="H831" s="1">
        <v>41699</v>
      </c>
      <c r="I831">
        <v>23</v>
      </c>
      <c r="J831">
        <v>3</v>
      </c>
      <c r="K831">
        <v>0</v>
      </c>
      <c r="L831">
        <v>5</v>
      </c>
      <c r="M831">
        <v>13</v>
      </c>
      <c r="N831">
        <v>0</v>
      </c>
      <c r="O831">
        <v>1</v>
      </c>
      <c r="P831">
        <v>1</v>
      </c>
      <c r="Q831">
        <v>1</v>
      </c>
      <c r="R831">
        <v>0</v>
      </c>
      <c r="S831">
        <v>3</v>
      </c>
      <c r="T831">
        <v>6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3</v>
      </c>
      <c r="AB831">
        <v>11</v>
      </c>
      <c r="AC831">
        <v>0</v>
      </c>
      <c r="AD831" t="str">
        <f t="shared" si="156"/>
        <v>Ok</v>
      </c>
      <c r="AE831" t="str">
        <f>IF(AND(Audit_Data[[#This Row],[Year_Birth]]&gt;=1900,Audit_Data[[#This Row],[Year_Birth]]&lt;=2010),"OK","Invalid")</f>
        <v>OK</v>
      </c>
      <c r="AF831" t="str">
        <f t="shared" si="157"/>
        <v>Valid</v>
      </c>
      <c r="AG831" t="str">
        <f t="shared" si="158"/>
        <v>Valid</v>
      </c>
      <c r="AH831" t="str">
        <f t="shared" si="159"/>
        <v>Valid</v>
      </c>
      <c r="AI831" t="str">
        <f t="shared" si="160"/>
        <v>Valid</v>
      </c>
      <c r="AJ831" t="str">
        <f t="shared" si="161"/>
        <v>Valid</v>
      </c>
      <c r="AK831" t="str">
        <f t="shared" si="168"/>
        <v xml:space="preserve">Valid </v>
      </c>
      <c r="AL831" t="str">
        <f>IF(AND(Audit_Data[[#This Row],[Recency]]&gt;=0,Audit_Data[[#This Row],[Recency]]&lt;=100),"Valid","Invalid")</f>
        <v>Valid</v>
      </c>
      <c r="AM831" t="str">
        <f t="shared" si="162"/>
        <v>Valid</v>
      </c>
      <c r="AN831" t="str">
        <f t="shared" si="163"/>
        <v>Valid</v>
      </c>
      <c r="AO831" t="str">
        <f t="shared" si="164"/>
        <v>Valid</v>
      </c>
      <c r="AP831" t="str">
        <f t="shared" si="165"/>
        <v>Valid</v>
      </c>
      <c r="AQ831" t="str">
        <f>IF(Audit_Data[[#This Row],[Z_CostContact]]=3,"Valid","Invalid")</f>
        <v>Valid</v>
      </c>
      <c r="AR831" t="str">
        <f t="shared" si="166"/>
        <v>Valid</v>
      </c>
      <c r="AS831" t="str">
        <f t="shared" si="167"/>
        <v>Valid</v>
      </c>
    </row>
    <row r="832" spans="1:45" x14ac:dyDescent="0.3">
      <c r="A832">
        <v>4887</v>
      </c>
      <c r="B832">
        <v>1976</v>
      </c>
      <c r="C832" t="s">
        <v>32</v>
      </c>
      <c r="D832" t="s">
        <v>35</v>
      </c>
      <c r="E832">
        <v>55412</v>
      </c>
      <c r="F832">
        <v>1</v>
      </c>
      <c r="G832">
        <v>1</v>
      </c>
      <c r="H832" s="1">
        <v>41600</v>
      </c>
      <c r="I832">
        <v>65</v>
      </c>
      <c r="J832">
        <v>10</v>
      </c>
      <c r="K832">
        <v>5</v>
      </c>
      <c r="L832">
        <v>28</v>
      </c>
      <c r="M832">
        <v>11</v>
      </c>
      <c r="N832">
        <v>1</v>
      </c>
      <c r="O832">
        <v>8</v>
      </c>
      <c r="P832">
        <v>1</v>
      </c>
      <c r="Q832">
        <v>2</v>
      </c>
      <c r="R832">
        <v>0</v>
      </c>
      <c r="S832">
        <v>3</v>
      </c>
      <c r="T832">
        <v>5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3</v>
      </c>
      <c r="AB832">
        <v>11</v>
      </c>
      <c r="AC832">
        <v>0</v>
      </c>
      <c r="AD832" t="str">
        <f t="shared" si="156"/>
        <v>Ok</v>
      </c>
      <c r="AE832" t="str">
        <f>IF(AND(Audit_Data[[#This Row],[Year_Birth]]&gt;=1900,Audit_Data[[#This Row],[Year_Birth]]&lt;=2010),"OK","Invalid")</f>
        <v>OK</v>
      </c>
      <c r="AF832" t="str">
        <f t="shared" si="157"/>
        <v>Valid</v>
      </c>
      <c r="AG832" t="str">
        <f t="shared" si="158"/>
        <v>Valid</v>
      </c>
      <c r="AH832" t="str">
        <f t="shared" si="159"/>
        <v>Valid</v>
      </c>
      <c r="AI832" t="str">
        <f t="shared" si="160"/>
        <v>Valid</v>
      </c>
      <c r="AJ832" t="str">
        <f t="shared" si="161"/>
        <v>Valid</v>
      </c>
      <c r="AK832" t="str">
        <f t="shared" si="168"/>
        <v xml:space="preserve">Valid </v>
      </c>
      <c r="AL832" t="str">
        <f>IF(AND(Audit_Data[[#This Row],[Recency]]&gt;=0,Audit_Data[[#This Row],[Recency]]&lt;=100),"Valid","Invalid")</f>
        <v>Valid</v>
      </c>
      <c r="AM832" t="str">
        <f t="shared" si="162"/>
        <v>Valid</v>
      </c>
      <c r="AN832" t="str">
        <f t="shared" si="163"/>
        <v>Valid</v>
      </c>
      <c r="AO832" t="str">
        <f t="shared" si="164"/>
        <v>Valid</v>
      </c>
      <c r="AP832" t="str">
        <f t="shared" si="165"/>
        <v>Valid</v>
      </c>
      <c r="AQ832" t="str">
        <f>IF(Audit_Data[[#This Row],[Z_CostContact]]=3,"Valid","Invalid")</f>
        <v>Valid</v>
      </c>
      <c r="AR832" t="str">
        <f t="shared" si="166"/>
        <v>Valid</v>
      </c>
      <c r="AS832" t="str">
        <f t="shared" si="167"/>
        <v>Valid</v>
      </c>
    </row>
    <row r="833" spans="1:45" x14ac:dyDescent="0.3">
      <c r="A833">
        <v>8560</v>
      </c>
      <c r="B833">
        <v>1992</v>
      </c>
      <c r="C833" t="s">
        <v>29</v>
      </c>
      <c r="D833" t="s">
        <v>30</v>
      </c>
      <c r="E833">
        <v>48789</v>
      </c>
      <c r="F833">
        <v>0</v>
      </c>
      <c r="G833">
        <v>0</v>
      </c>
      <c r="H833" s="1">
        <v>41162</v>
      </c>
      <c r="I833">
        <v>94</v>
      </c>
      <c r="J833">
        <v>351</v>
      </c>
      <c r="K833">
        <v>16</v>
      </c>
      <c r="L833">
        <v>156</v>
      </c>
      <c r="M833">
        <v>7</v>
      </c>
      <c r="N833">
        <v>5</v>
      </c>
      <c r="O833">
        <v>145</v>
      </c>
      <c r="P833">
        <v>1</v>
      </c>
      <c r="Q833">
        <v>6</v>
      </c>
      <c r="R833">
        <v>4</v>
      </c>
      <c r="S833">
        <v>7</v>
      </c>
      <c r="T833">
        <v>6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3</v>
      </c>
      <c r="AB833">
        <v>11</v>
      </c>
      <c r="AC833">
        <v>0</v>
      </c>
      <c r="AD833" t="str">
        <f t="shared" si="156"/>
        <v>Ok</v>
      </c>
      <c r="AE833" t="str">
        <f>IF(AND(Audit_Data[[#This Row],[Year_Birth]]&gt;=1900,Audit_Data[[#This Row],[Year_Birth]]&lt;=2010),"OK","Invalid")</f>
        <v>OK</v>
      </c>
      <c r="AF833" t="str">
        <f t="shared" si="157"/>
        <v>Valid</v>
      </c>
      <c r="AG833" t="str">
        <f t="shared" si="158"/>
        <v>Valid</v>
      </c>
      <c r="AH833" t="str">
        <f t="shared" si="159"/>
        <v>Valid</v>
      </c>
      <c r="AI833" t="str">
        <f t="shared" si="160"/>
        <v>Valid</v>
      </c>
      <c r="AJ833" t="str">
        <f t="shared" si="161"/>
        <v>Valid</v>
      </c>
      <c r="AK833" t="str">
        <f t="shared" si="168"/>
        <v xml:space="preserve">Valid </v>
      </c>
      <c r="AL833" t="str">
        <f>IF(AND(Audit_Data[[#This Row],[Recency]]&gt;=0,Audit_Data[[#This Row],[Recency]]&lt;=100),"Valid","Invalid")</f>
        <v>Valid</v>
      </c>
      <c r="AM833" t="str">
        <f t="shared" si="162"/>
        <v>Valid</v>
      </c>
      <c r="AN833" t="str">
        <f t="shared" si="163"/>
        <v>Valid</v>
      </c>
      <c r="AO833" t="str">
        <f t="shared" si="164"/>
        <v>Valid</v>
      </c>
      <c r="AP833" t="str">
        <f t="shared" si="165"/>
        <v>Valid</v>
      </c>
      <c r="AQ833" t="str">
        <f>IF(Audit_Data[[#This Row],[Z_CostContact]]=3,"Valid","Invalid")</f>
        <v>Valid</v>
      </c>
      <c r="AR833" t="str">
        <f t="shared" si="166"/>
        <v>Valid</v>
      </c>
      <c r="AS833" t="str">
        <f t="shared" si="167"/>
        <v>Valid</v>
      </c>
    </row>
    <row r="834" spans="1:45" x14ac:dyDescent="0.3">
      <c r="A834">
        <v>3321</v>
      </c>
      <c r="B834">
        <v>1967</v>
      </c>
      <c r="C834" t="s">
        <v>32</v>
      </c>
      <c r="D834" t="s">
        <v>31</v>
      </c>
      <c r="E834">
        <v>56575</v>
      </c>
      <c r="F834">
        <v>0</v>
      </c>
      <c r="G834">
        <v>2</v>
      </c>
      <c r="H834" s="1">
        <v>41399</v>
      </c>
      <c r="I834">
        <v>42</v>
      </c>
      <c r="J834">
        <v>421</v>
      </c>
      <c r="K834">
        <v>5</v>
      </c>
      <c r="L834">
        <v>90</v>
      </c>
      <c r="M834">
        <v>0</v>
      </c>
      <c r="N834">
        <v>16</v>
      </c>
      <c r="O834">
        <v>10</v>
      </c>
      <c r="P834">
        <v>3</v>
      </c>
      <c r="Q834">
        <v>7</v>
      </c>
      <c r="R834">
        <v>3</v>
      </c>
      <c r="S834">
        <v>7</v>
      </c>
      <c r="T834">
        <v>5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3</v>
      </c>
      <c r="AB834">
        <v>11</v>
      </c>
      <c r="AC834">
        <v>0</v>
      </c>
      <c r="AD834" t="str">
        <f t="shared" ref="AD834:AD897" si="169">IF(COUNTIF(A:A,A834)&gt;1,"Duplicate","Ok")</f>
        <v>Ok</v>
      </c>
      <c r="AE834" t="str">
        <f>IF(AND(Audit_Data[[#This Row],[Year_Birth]]&gt;=1900,Audit_Data[[#This Row],[Year_Birth]]&lt;=2010),"OK","Invalid")</f>
        <v>OK</v>
      </c>
      <c r="AF834" t="str">
        <f t="shared" ref="AF834:AF897" si="170">IF(OR(C834="Graduation",C834="phD",C834="Master",C834="Basic",C834="2n Cycle"),"Valid","Invalid")</f>
        <v>Valid</v>
      </c>
      <c r="AG834" t="str">
        <f t="shared" ref="AG834:AG897" si="171">IF(OR(D834="Single",D834="Married",D834="Divorced",D834="Together",D834="Widow",D834="Alone"),"Valid","Invalid")</f>
        <v>Valid</v>
      </c>
      <c r="AH834" t="str">
        <f t="shared" ref="AH834:AH897" si="172">IF(AND(ISNUMBER(E834),E834&lt;&gt;""),"Valid","Invalid")</f>
        <v>Valid</v>
      </c>
      <c r="AI834" t="str">
        <f t="shared" ref="AI834:AI897" si="173">IF(AND(F834&gt;=0,F834&lt;=2),"Valid","Invalid")</f>
        <v>Valid</v>
      </c>
      <c r="AJ834" t="str">
        <f t="shared" ref="AJ834:AJ897" si="174">IF(AND(G834&gt;=0,G834&lt;=2),"Valid","Invalid")</f>
        <v>Valid</v>
      </c>
      <c r="AK834" t="str">
        <f t="shared" si="168"/>
        <v xml:space="preserve">Valid </v>
      </c>
      <c r="AL834" t="str">
        <f>IF(AND(Audit_Data[[#This Row],[Recency]]&gt;=0,Audit_Data[[#This Row],[Recency]]&lt;=100),"Valid","Invalid")</f>
        <v>Valid</v>
      </c>
      <c r="AM834" t="str">
        <f t="shared" ref="AM834:AM897" si="175">IF(AND(ISNUMBER(J834),J834&gt;=0,ISNUMBER(K834),K834&gt;=0,ISNUMBER(L834),L834&gt;=0,ISNUMBER(M834),M834&gt;=0,ISNUMBER(N834),N834&gt;=0,ISNUMBER(O834),O834&gt;=0),"Valid","Invalid")</f>
        <v>Valid</v>
      </c>
      <c r="AN834" t="str">
        <f t="shared" ref="AN834:AN897" si="176">IF(AND(ISNUMBER(P834),P834&gt;=0,ISNUMBER(Q834),Q834&gt;=0,ISNUMBER(R834),R834&gt;=0,ISNUMBER(S834),S834&gt;=0,ISNUMBER(T834),T834&gt;=0),"Valid","Invalid")</f>
        <v>Valid</v>
      </c>
      <c r="AO834" t="str">
        <f t="shared" ref="AO834:AO897" si="177">IF(AND(U834&lt;=1,V834&lt;=1,W834&lt;=1,X834&lt;=1,Y834&lt;=1),"Valid","Invalid")</f>
        <v>Valid</v>
      </c>
      <c r="AP834" t="str">
        <f t="shared" ref="AP834:AP897" si="178">IF(OR(Z834=0,Z834=1),"Valid","Invalid")</f>
        <v>Valid</v>
      </c>
      <c r="AQ834" t="str">
        <f>IF(Audit_Data[[#This Row],[Z_CostContact]]=3,"Valid","Invalid")</f>
        <v>Valid</v>
      </c>
      <c r="AR834" t="str">
        <f t="shared" ref="AR834:AR897" si="179">IF(AB834=11,"Valid","Invalid")</f>
        <v>Valid</v>
      </c>
      <c r="AS834" t="str">
        <f t="shared" ref="AS834:AS897" si="180">IF(OR(AC834=0,AC834=1),"Valid","Invalid")</f>
        <v>Valid</v>
      </c>
    </row>
    <row r="835" spans="1:45" x14ac:dyDescent="0.3">
      <c r="A835">
        <v>11003</v>
      </c>
      <c r="B835">
        <v>1980</v>
      </c>
      <c r="C835" t="s">
        <v>37</v>
      </c>
      <c r="D835" t="s">
        <v>31</v>
      </c>
      <c r="E835">
        <v>25130</v>
      </c>
      <c r="F835">
        <v>1</v>
      </c>
      <c r="G835">
        <v>0</v>
      </c>
      <c r="H835" s="1">
        <v>41549</v>
      </c>
      <c r="I835">
        <v>10</v>
      </c>
      <c r="J835">
        <v>2</v>
      </c>
      <c r="K835">
        <v>5</v>
      </c>
      <c r="L835">
        <v>7</v>
      </c>
      <c r="M835">
        <v>0</v>
      </c>
      <c r="N835">
        <v>18</v>
      </c>
      <c r="O835">
        <v>18</v>
      </c>
      <c r="P835">
        <v>2</v>
      </c>
      <c r="Q835">
        <v>2</v>
      </c>
      <c r="R835">
        <v>0</v>
      </c>
      <c r="S835">
        <v>3</v>
      </c>
      <c r="T835">
        <v>7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3</v>
      </c>
      <c r="AB835">
        <v>11</v>
      </c>
      <c r="AC835">
        <v>0</v>
      </c>
      <c r="AD835" t="str">
        <f t="shared" si="169"/>
        <v>Ok</v>
      </c>
      <c r="AE835" t="str">
        <f>IF(AND(Audit_Data[[#This Row],[Year_Birth]]&gt;=1900,Audit_Data[[#This Row],[Year_Birth]]&lt;=2010),"OK","Invalid")</f>
        <v>OK</v>
      </c>
      <c r="AF835" t="str">
        <f t="shared" si="170"/>
        <v>Valid</v>
      </c>
      <c r="AG835" t="str">
        <f t="shared" si="171"/>
        <v>Valid</v>
      </c>
      <c r="AH835" t="str">
        <f t="shared" si="172"/>
        <v>Valid</v>
      </c>
      <c r="AI835" t="str">
        <f t="shared" si="173"/>
        <v>Valid</v>
      </c>
      <c r="AJ835" t="str">
        <f t="shared" si="174"/>
        <v>Valid</v>
      </c>
      <c r="AK835" t="str">
        <f t="shared" ref="AK835:AK898" si="181">IF(AND(ISNUMBER(H835),H835&gt;=DATE(2012,1,1),H835&lt;=DATE(2014,12,31)),"Valid ","Invalid")</f>
        <v xml:space="preserve">Valid </v>
      </c>
      <c r="AL835" t="str">
        <f>IF(AND(Audit_Data[[#This Row],[Recency]]&gt;=0,Audit_Data[[#This Row],[Recency]]&lt;=100),"Valid","Invalid")</f>
        <v>Valid</v>
      </c>
      <c r="AM835" t="str">
        <f t="shared" si="175"/>
        <v>Valid</v>
      </c>
      <c r="AN835" t="str">
        <f t="shared" si="176"/>
        <v>Valid</v>
      </c>
      <c r="AO835" t="str">
        <f t="shared" si="177"/>
        <v>Valid</v>
      </c>
      <c r="AP835" t="str">
        <f t="shared" si="178"/>
        <v>Valid</v>
      </c>
      <c r="AQ835" t="str">
        <f>IF(Audit_Data[[#This Row],[Z_CostContact]]=3,"Valid","Invalid")</f>
        <v>Valid</v>
      </c>
      <c r="AR835" t="str">
        <f t="shared" si="179"/>
        <v>Valid</v>
      </c>
      <c r="AS835" t="str">
        <f t="shared" si="180"/>
        <v>Valid</v>
      </c>
    </row>
    <row r="836" spans="1:45" x14ac:dyDescent="0.3">
      <c r="A836">
        <v>10402</v>
      </c>
      <c r="B836">
        <v>1967</v>
      </c>
      <c r="C836" t="s">
        <v>29</v>
      </c>
      <c r="D836" t="s">
        <v>33</v>
      </c>
      <c r="E836">
        <v>35441</v>
      </c>
      <c r="F836">
        <v>1</v>
      </c>
      <c r="G836">
        <v>1</v>
      </c>
      <c r="H836" s="1">
        <v>41319</v>
      </c>
      <c r="I836">
        <v>94</v>
      </c>
      <c r="J836">
        <v>25</v>
      </c>
      <c r="K836">
        <v>1</v>
      </c>
      <c r="L836">
        <v>9</v>
      </c>
      <c r="M836">
        <v>2</v>
      </c>
      <c r="N836">
        <v>1</v>
      </c>
      <c r="O836">
        <v>1</v>
      </c>
      <c r="P836">
        <v>2</v>
      </c>
      <c r="Q836">
        <v>1</v>
      </c>
      <c r="R836">
        <v>0</v>
      </c>
      <c r="S836">
        <v>3</v>
      </c>
      <c r="T836">
        <v>8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3</v>
      </c>
      <c r="AB836">
        <v>11</v>
      </c>
      <c r="AC836">
        <v>0</v>
      </c>
      <c r="AD836" t="str">
        <f t="shared" si="169"/>
        <v>Ok</v>
      </c>
      <c r="AE836" t="str">
        <f>IF(AND(Audit_Data[[#This Row],[Year_Birth]]&gt;=1900,Audit_Data[[#This Row],[Year_Birth]]&lt;=2010),"OK","Invalid")</f>
        <v>OK</v>
      </c>
      <c r="AF836" t="str">
        <f t="shared" si="170"/>
        <v>Valid</v>
      </c>
      <c r="AG836" t="str">
        <f t="shared" si="171"/>
        <v>Valid</v>
      </c>
      <c r="AH836" t="str">
        <f t="shared" si="172"/>
        <v>Valid</v>
      </c>
      <c r="AI836" t="str">
        <f t="shared" si="173"/>
        <v>Valid</v>
      </c>
      <c r="AJ836" t="str">
        <f t="shared" si="174"/>
        <v>Valid</v>
      </c>
      <c r="AK836" t="str">
        <f t="shared" si="181"/>
        <v xml:space="preserve">Valid </v>
      </c>
      <c r="AL836" t="str">
        <f>IF(AND(Audit_Data[[#This Row],[Recency]]&gt;=0,Audit_Data[[#This Row],[Recency]]&lt;=100),"Valid","Invalid")</f>
        <v>Valid</v>
      </c>
      <c r="AM836" t="str">
        <f t="shared" si="175"/>
        <v>Valid</v>
      </c>
      <c r="AN836" t="str">
        <f t="shared" si="176"/>
        <v>Valid</v>
      </c>
      <c r="AO836" t="str">
        <f t="shared" si="177"/>
        <v>Valid</v>
      </c>
      <c r="AP836" t="str">
        <f t="shared" si="178"/>
        <v>Valid</v>
      </c>
      <c r="AQ836" t="str">
        <f>IF(Audit_Data[[#This Row],[Z_CostContact]]=3,"Valid","Invalid")</f>
        <v>Valid</v>
      </c>
      <c r="AR836" t="str">
        <f t="shared" si="179"/>
        <v>Valid</v>
      </c>
      <c r="AS836" t="str">
        <f t="shared" si="180"/>
        <v>Valid</v>
      </c>
    </row>
    <row r="837" spans="1:45" x14ac:dyDescent="0.3">
      <c r="A837">
        <v>9904</v>
      </c>
      <c r="B837">
        <v>1956</v>
      </c>
      <c r="C837" t="s">
        <v>29</v>
      </c>
      <c r="D837" t="s">
        <v>33</v>
      </c>
      <c r="E837">
        <v>71391</v>
      </c>
      <c r="F837">
        <v>0</v>
      </c>
      <c r="G837">
        <v>1</v>
      </c>
      <c r="H837" s="1">
        <v>41362</v>
      </c>
      <c r="I837">
        <v>50</v>
      </c>
      <c r="J837">
        <v>336</v>
      </c>
      <c r="K837">
        <v>123</v>
      </c>
      <c r="L837">
        <v>274</v>
      </c>
      <c r="M837">
        <v>46</v>
      </c>
      <c r="N837">
        <v>123</v>
      </c>
      <c r="O837">
        <v>141</v>
      </c>
      <c r="P837">
        <v>5</v>
      </c>
      <c r="Q837">
        <v>6</v>
      </c>
      <c r="R837">
        <v>5</v>
      </c>
      <c r="S837">
        <v>12</v>
      </c>
      <c r="T837">
        <v>3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3</v>
      </c>
      <c r="AB837">
        <v>11</v>
      </c>
      <c r="AC837">
        <v>0</v>
      </c>
      <c r="AD837" t="str">
        <f t="shared" si="169"/>
        <v>Ok</v>
      </c>
      <c r="AE837" t="str">
        <f>IF(AND(Audit_Data[[#This Row],[Year_Birth]]&gt;=1900,Audit_Data[[#This Row],[Year_Birth]]&lt;=2010),"OK","Invalid")</f>
        <v>OK</v>
      </c>
      <c r="AF837" t="str">
        <f t="shared" si="170"/>
        <v>Valid</v>
      </c>
      <c r="AG837" t="str">
        <f t="shared" si="171"/>
        <v>Valid</v>
      </c>
      <c r="AH837" t="str">
        <f t="shared" si="172"/>
        <v>Valid</v>
      </c>
      <c r="AI837" t="str">
        <f t="shared" si="173"/>
        <v>Valid</v>
      </c>
      <c r="AJ837" t="str">
        <f t="shared" si="174"/>
        <v>Valid</v>
      </c>
      <c r="AK837" t="str">
        <f t="shared" si="181"/>
        <v xml:space="preserve">Valid </v>
      </c>
      <c r="AL837" t="str">
        <f>IF(AND(Audit_Data[[#This Row],[Recency]]&gt;=0,Audit_Data[[#This Row],[Recency]]&lt;=100),"Valid","Invalid")</f>
        <v>Valid</v>
      </c>
      <c r="AM837" t="str">
        <f t="shared" si="175"/>
        <v>Valid</v>
      </c>
      <c r="AN837" t="str">
        <f t="shared" si="176"/>
        <v>Valid</v>
      </c>
      <c r="AO837" t="str">
        <f t="shared" si="177"/>
        <v>Valid</v>
      </c>
      <c r="AP837" t="str">
        <f t="shared" si="178"/>
        <v>Valid</v>
      </c>
      <c r="AQ837" t="str">
        <f>IF(Audit_Data[[#This Row],[Z_CostContact]]=3,"Valid","Invalid")</f>
        <v>Valid</v>
      </c>
      <c r="AR837" t="str">
        <f t="shared" si="179"/>
        <v>Valid</v>
      </c>
      <c r="AS837" t="str">
        <f t="shared" si="180"/>
        <v>Valid</v>
      </c>
    </row>
    <row r="838" spans="1:45" x14ac:dyDescent="0.3">
      <c r="A838">
        <v>6141</v>
      </c>
      <c r="B838">
        <v>1972</v>
      </c>
      <c r="C838" t="s">
        <v>34</v>
      </c>
      <c r="D838" t="s">
        <v>30</v>
      </c>
      <c r="E838">
        <v>49494</v>
      </c>
      <c r="F838">
        <v>1</v>
      </c>
      <c r="G838">
        <v>0</v>
      </c>
      <c r="H838" s="1">
        <v>41389</v>
      </c>
      <c r="I838">
        <v>46</v>
      </c>
      <c r="J838">
        <v>191</v>
      </c>
      <c r="K838">
        <v>9</v>
      </c>
      <c r="L838">
        <v>97</v>
      </c>
      <c r="M838">
        <v>0</v>
      </c>
      <c r="N838">
        <v>6</v>
      </c>
      <c r="O838">
        <v>82</v>
      </c>
      <c r="P838">
        <v>2</v>
      </c>
      <c r="Q838">
        <v>6</v>
      </c>
      <c r="R838">
        <v>1</v>
      </c>
      <c r="S838">
        <v>5</v>
      </c>
      <c r="T838">
        <v>7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3</v>
      </c>
      <c r="AB838">
        <v>11</v>
      </c>
      <c r="AC838">
        <v>0</v>
      </c>
      <c r="AD838" t="str">
        <f t="shared" si="169"/>
        <v>Ok</v>
      </c>
      <c r="AE838" t="str">
        <f>IF(AND(Audit_Data[[#This Row],[Year_Birth]]&gt;=1900,Audit_Data[[#This Row],[Year_Birth]]&lt;=2010),"OK","Invalid")</f>
        <v>OK</v>
      </c>
      <c r="AF838" t="str">
        <f t="shared" si="170"/>
        <v>Valid</v>
      </c>
      <c r="AG838" t="str">
        <f t="shared" si="171"/>
        <v>Valid</v>
      </c>
      <c r="AH838" t="str">
        <f t="shared" si="172"/>
        <v>Valid</v>
      </c>
      <c r="AI838" t="str">
        <f t="shared" si="173"/>
        <v>Valid</v>
      </c>
      <c r="AJ838" t="str">
        <f t="shared" si="174"/>
        <v>Valid</v>
      </c>
      <c r="AK838" t="str">
        <f t="shared" si="181"/>
        <v xml:space="preserve">Valid </v>
      </c>
      <c r="AL838" t="str">
        <f>IF(AND(Audit_Data[[#This Row],[Recency]]&gt;=0,Audit_Data[[#This Row],[Recency]]&lt;=100),"Valid","Invalid")</f>
        <v>Valid</v>
      </c>
      <c r="AM838" t="str">
        <f t="shared" si="175"/>
        <v>Valid</v>
      </c>
      <c r="AN838" t="str">
        <f t="shared" si="176"/>
        <v>Valid</v>
      </c>
      <c r="AO838" t="str">
        <f t="shared" si="177"/>
        <v>Valid</v>
      </c>
      <c r="AP838" t="str">
        <f t="shared" si="178"/>
        <v>Valid</v>
      </c>
      <c r="AQ838" t="str">
        <f>IF(Audit_Data[[#This Row],[Z_CostContact]]=3,"Valid","Invalid")</f>
        <v>Valid</v>
      </c>
      <c r="AR838" t="str">
        <f t="shared" si="179"/>
        <v>Valid</v>
      </c>
      <c r="AS838" t="str">
        <f t="shared" si="180"/>
        <v>Valid</v>
      </c>
    </row>
    <row r="839" spans="1:45" x14ac:dyDescent="0.3">
      <c r="A839">
        <v>5687</v>
      </c>
      <c r="B839">
        <v>1980</v>
      </c>
      <c r="C839" t="s">
        <v>29</v>
      </c>
      <c r="D839" t="s">
        <v>35</v>
      </c>
      <c r="E839">
        <v>81702</v>
      </c>
      <c r="F839">
        <v>0</v>
      </c>
      <c r="G839">
        <v>0</v>
      </c>
      <c r="H839" s="1">
        <v>41175</v>
      </c>
      <c r="I839">
        <v>98</v>
      </c>
      <c r="J839">
        <v>563</v>
      </c>
      <c r="K839">
        <v>50</v>
      </c>
      <c r="L839">
        <v>774</v>
      </c>
      <c r="M839">
        <v>28</v>
      </c>
      <c r="N839">
        <v>31</v>
      </c>
      <c r="O839">
        <v>187</v>
      </c>
      <c r="P839">
        <v>1</v>
      </c>
      <c r="Q839">
        <v>7</v>
      </c>
      <c r="R839">
        <v>7</v>
      </c>
      <c r="S839">
        <v>12</v>
      </c>
      <c r="T839">
        <v>3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3</v>
      </c>
      <c r="AB839">
        <v>11</v>
      </c>
      <c r="AC839">
        <v>0</v>
      </c>
      <c r="AD839" t="str">
        <f t="shared" si="169"/>
        <v>Ok</v>
      </c>
      <c r="AE839" t="str">
        <f>IF(AND(Audit_Data[[#This Row],[Year_Birth]]&gt;=1900,Audit_Data[[#This Row],[Year_Birth]]&lt;=2010),"OK","Invalid")</f>
        <v>OK</v>
      </c>
      <c r="AF839" t="str">
        <f t="shared" si="170"/>
        <v>Valid</v>
      </c>
      <c r="AG839" t="str">
        <f t="shared" si="171"/>
        <v>Valid</v>
      </c>
      <c r="AH839" t="str">
        <f t="shared" si="172"/>
        <v>Valid</v>
      </c>
      <c r="AI839" t="str">
        <f t="shared" si="173"/>
        <v>Valid</v>
      </c>
      <c r="AJ839" t="str">
        <f t="shared" si="174"/>
        <v>Valid</v>
      </c>
      <c r="AK839" t="str">
        <f t="shared" si="181"/>
        <v xml:space="preserve">Valid </v>
      </c>
      <c r="AL839" t="str">
        <f>IF(AND(Audit_Data[[#This Row],[Recency]]&gt;=0,Audit_Data[[#This Row],[Recency]]&lt;=100),"Valid","Invalid")</f>
        <v>Valid</v>
      </c>
      <c r="AM839" t="str">
        <f t="shared" si="175"/>
        <v>Valid</v>
      </c>
      <c r="AN839" t="str">
        <f t="shared" si="176"/>
        <v>Valid</v>
      </c>
      <c r="AO839" t="str">
        <f t="shared" si="177"/>
        <v>Valid</v>
      </c>
      <c r="AP839" t="str">
        <f t="shared" si="178"/>
        <v>Valid</v>
      </c>
      <c r="AQ839" t="str">
        <f>IF(Audit_Data[[#This Row],[Z_CostContact]]=3,"Valid","Invalid")</f>
        <v>Valid</v>
      </c>
      <c r="AR839" t="str">
        <f t="shared" si="179"/>
        <v>Valid</v>
      </c>
      <c r="AS839" t="str">
        <f t="shared" si="180"/>
        <v>Valid</v>
      </c>
    </row>
    <row r="840" spans="1:45" x14ac:dyDescent="0.3">
      <c r="A840">
        <v>10856</v>
      </c>
      <c r="B840">
        <v>1980</v>
      </c>
      <c r="C840" t="s">
        <v>37</v>
      </c>
      <c r="D840" t="s">
        <v>30</v>
      </c>
      <c r="E840">
        <v>45889</v>
      </c>
      <c r="F840">
        <v>0</v>
      </c>
      <c r="G840">
        <v>1</v>
      </c>
      <c r="H840" s="1">
        <v>41457</v>
      </c>
      <c r="I840">
        <v>42</v>
      </c>
      <c r="J840">
        <v>31</v>
      </c>
      <c r="K840">
        <v>0</v>
      </c>
      <c r="L840">
        <v>6</v>
      </c>
      <c r="M840">
        <v>0</v>
      </c>
      <c r="N840">
        <v>1</v>
      </c>
      <c r="O840">
        <v>8</v>
      </c>
      <c r="P840">
        <v>1</v>
      </c>
      <c r="Q840">
        <v>1</v>
      </c>
      <c r="R840">
        <v>0</v>
      </c>
      <c r="S840">
        <v>3</v>
      </c>
      <c r="T840">
        <v>6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3</v>
      </c>
      <c r="AB840">
        <v>11</v>
      </c>
      <c r="AC840">
        <v>0</v>
      </c>
      <c r="AD840" t="str">
        <f t="shared" si="169"/>
        <v>Ok</v>
      </c>
      <c r="AE840" t="str">
        <f>IF(AND(Audit_Data[[#This Row],[Year_Birth]]&gt;=1900,Audit_Data[[#This Row],[Year_Birth]]&lt;=2010),"OK","Invalid")</f>
        <v>OK</v>
      </c>
      <c r="AF840" t="str">
        <f t="shared" si="170"/>
        <v>Valid</v>
      </c>
      <c r="AG840" t="str">
        <f t="shared" si="171"/>
        <v>Valid</v>
      </c>
      <c r="AH840" t="str">
        <f t="shared" si="172"/>
        <v>Valid</v>
      </c>
      <c r="AI840" t="str">
        <f t="shared" si="173"/>
        <v>Valid</v>
      </c>
      <c r="AJ840" t="str">
        <f t="shared" si="174"/>
        <v>Valid</v>
      </c>
      <c r="AK840" t="str">
        <f t="shared" si="181"/>
        <v xml:space="preserve">Valid </v>
      </c>
      <c r="AL840" t="str">
        <f>IF(AND(Audit_Data[[#This Row],[Recency]]&gt;=0,Audit_Data[[#This Row],[Recency]]&lt;=100),"Valid","Invalid")</f>
        <v>Valid</v>
      </c>
      <c r="AM840" t="str">
        <f t="shared" si="175"/>
        <v>Valid</v>
      </c>
      <c r="AN840" t="str">
        <f t="shared" si="176"/>
        <v>Valid</v>
      </c>
      <c r="AO840" t="str">
        <f t="shared" si="177"/>
        <v>Valid</v>
      </c>
      <c r="AP840" t="str">
        <f t="shared" si="178"/>
        <v>Valid</v>
      </c>
      <c r="AQ840" t="str">
        <f>IF(Audit_Data[[#This Row],[Z_CostContact]]=3,"Valid","Invalid")</f>
        <v>Valid</v>
      </c>
      <c r="AR840" t="str">
        <f t="shared" si="179"/>
        <v>Valid</v>
      </c>
      <c r="AS840" t="str">
        <f t="shared" si="180"/>
        <v>Valid</v>
      </c>
    </row>
    <row r="841" spans="1:45" x14ac:dyDescent="0.3">
      <c r="A841">
        <v>5121</v>
      </c>
      <c r="B841">
        <v>1977</v>
      </c>
      <c r="C841" t="s">
        <v>29</v>
      </c>
      <c r="D841" t="s">
        <v>30</v>
      </c>
      <c r="E841">
        <v>56628</v>
      </c>
      <c r="F841">
        <v>0</v>
      </c>
      <c r="G841">
        <v>1</v>
      </c>
      <c r="H841" s="1">
        <v>41719</v>
      </c>
      <c r="I841">
        <v>30</v>
      </c>
      <c r="J841">
        <v>479</v>
      </c>
      <c r="K841">
        <v>5</v>
      </c>
      <c r="L841">
        <v>82</v>
      </c>
      <c r="M841">
        <v>7</v>
      </c>
      <c r="N841">
        <v>17</v>
      </c>
      <c r="O841">
        <v>171</v>
      </c>
      <c r="P841">
        <v>2</v>
      </c>
      <c r="Q841">
        <v>7</v>
      </c>
      <c r="R841">
        <v>6</v>
      </c>
      <c r="S841">
        <v>5</v>
      </c>
      <c r="T841">
        <v>5</v>
      </c>
      <c r="U841">
        <v>1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3</v>
      </c>
      <c r="AB841">
        <v>11</v>
      </c>
      <c r="AC841">
        <v>0</v>
      </c>
      <c r="AD841" t="str">
        <f t="shared" si="169"/>
        <v>Ok</v>
      </c>
      <c r="AE841" t="str">
        <f>IF(AND(Audit_Data[[#This Row],[Year_Birth]]&gt;=1900,Audit_Data[[#This Row],[Year_Birth]]&lt;=2010),"OK","Invalid")</f>
        <v>OK</v>
      </c>
      <c r="AF841" t="str">
        <f t="shared" si="170"/>
        <v>Valid</v>
      </c>
      <c r="AG841" t="str">
        <f t="shared" si="171"/>
        <v>Valid</v>
      </c>
      <c r="AH841" t="str">
        <f t="shared" si="172"/>
        <v>Valid</v>
      </c>
      <c r="AI841" t="str">
        <f t="shared" si="173"/>
        <v>Valid</v>
      </c>
      <c r="AJ841" t="str">
        <f t="shared" si="174"/>
        <v>Valid</v>
      </c>
      <c r="AK841" t="str">
        <f t="shared" si="181"/>
        <v xml:space="preserve">Valid </v>
      </c>
      <c r="AL841" t="str">
        <f>IF(AND(Audit_Data[[#This Row],[Recency]]&gt;=0,Audit_Data[[#This Row],[Recency]]&lt;=100),"Valid","Invalid")</f>
        <v>Valid</v>
      </c>
      <c r="AM841" t="str">
        <f t="shared" si="175"/>
        <v>Valid</v>
      </c>
      <c r="AN841" t="str">
        <f t="shared" si="176"/>
        <v>Valid</v>
      </c>
      <c r="AO841" t="str">
        <f t="shared" si="177"/>
        <v>Valid</v>
      </c>
      <c r="AP841" t="str">
        <f t="shared" si="178"/>
        <v>Valid</v>
      </c>
      <c r="AQ841" t="str">
        <f>IF(Audit_Data[[#This Row],[Z_CostContact]]=3,"Valid","Invalid")</f>
        <v>Valid</v>
      </c>
      <c r="AR841" t="str">
        <f t="shared" si="179"/>
        <v>Valid</v>
      </c>
      <c r="AS841" t="str">
        <f t="shared" si="180"/>
        <v>Valid</v>
      </c>
    </row>
    <row r="842" spans="1:45" x14ac:dyDescent="0.3">
      <c r="A842">
        <v>4186</v>
      </c>
      <c r="B842">
        <v>1950</v>
      </c>
      <c r="C842" t="s">
        <v>29</v>
      </c>
      <c r="D842" t="s">
        <v>31</v>
      </c>
      <c r="E842">
        <v>34026</v>
      </c>
      <c r="F842">
        <v>1</v>
      </c>
      <c r="G842">
        <v>1</v>
      </c>
      <c r="H842" s="1">
        <v>41491</v>
      </c>
      <c r="I842">
        <v>11</v>
      </c>
      <c r="J842">
        <v>18</v>
      </c>
      <c r="K842">
        <v>6</v>
      </c>
      <c r="L842">
        <v>15</v>
      </c>
      <c r="M842">
        <v>12</v>
      </c>
      <c r="N842">
        <v>8</v>
      </c>
      <c r="O842">
        <v>17</v>
      </c>
      <c r="P842">
        <v>3</v>
      </c>
      <c r="Q842">
        <v>2</v>
      </c>
      <c r="R842">
        <v>1</v>
      </c>
      <c r="S842">
        <v>3</v>
      </c>
      <c r="T842">
        <v>5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3</v>
      </c>
      <c r="AB842">
        <v>11</v>
      </c>
      <c r="AC842">
        <v>0</v>
      </c>
      <c r="AD842" t="str">
        <f t="shared" si="169"/>
        <v>Ok</v>
      </c>
      <c r="AE842" t="str">
        <f>IF(AND(Audit_Data[[#This Row],[Year_Birth]]&gt;=1900,Audit_Data[[#This Row],[Year_Birth]]&lt;=2010),"OK","Invalid")</f>
        <v>OK</v>
      </c>
      <c r="AF842" t="str">
        <f t="shared" si="170"/>
        <v>Valid</v>
      </c>
      <c r="AG842" t="str">
        <f t="shared" si="171"/>
        <v>Valid</v>
      </c>
      <c r="AH842" t="str">
        <f t="shared" si="172"/>
        <v>Valid</v>
      </c>
      <c r="AI842" t="str">
        <f t="shared" si="173"/>
        <v>Valid</v>
      </c>
      <c r="AJ842" t="str">
        <f t="shared" si="174"/>
        <v>Valid</v>
      </c>
      <c r="AK842" t="str">
        <f t="shared" si="181"/>
        <v xml:space="preserve">Valid </v>
      </c>
      <c r="AL842" t="str">
        <f>IF(AND(Audit_Data[[#This Row],[Recency]]&gt;=0,Audit_Data[[#This Row],[Recency]]&lt;=100),"Valid","Invalid")</f>
        <v>Valid</v>
      </c>
      <c r="AM842" t="str">
        <f t="shared" si="175"/>
        <v>Valid</v>
      </c>
      <c r="AN842" t="str">
        <f t="shared" si="176"/>
        <v>Valid</v>
      </c>
      <c r="AO842" t="str">
        <f t="shared" si="177"/>
        <v>Valid</v>
      </c>
      <c r="AP842" t="str">
        <f t="shared" si="178"/>
        <v>Valid</v>
      </c>
      <c r="AQ842" t="str">
        <f>IF(Audit_Data[[#This Row],[Z_CostContact]]=3,"Valid","Invalid")</f>
        <v>Valid</v>
      </c>
      <c r="AR842" t="str">
        <f t="shared" si="179"/>
        <v>Valid</v>
      </c>
      <c r="AS842" t="str">
        <f t="shared" si="180"/>
        <v>Valid</v>
      </c>
    </row>
    <row r="843" spans="1:45" x14ac:dyDescent="0.3">
      <c r="A843">
        <v>368</v>
      </c>
      <c r="B843">
        <v>1974</v>
      </c>
      <c r="C843" t="s">
        <v>29</v>
      </c>
      <c r="D843" t="s">
        <v>33</v>
      </c>
      <c r="E843">
        <v>40049</v>
      </c>
      <c r="F843">
        <v>0</v>
      </c>
      <c r="G843">
        <v>1</v>
      </c>
      <c r="H843" s="1">
        <v>41242</v>
      </c>
      <c r="I843">
        <v>61</v>
      </c>
      <c r="J843">
        <v>91</v>
      </c>
      <c r="K843">
        <v>65</v>
      </c>
      <c r="L843">
        <v>52</v>
      </c>
      <c r="M843">
        <v>10</v>
      </c>
      <c r="N843">
        <v>44</v>
      </c>
      <c r="O843">
        <v>28</v>
      </c>
      <c r="P843">
        <v>3</v>
      </c>
      <c r="Q843">
        <v>3</v>
      </c>
      <c r="R843">
        <v>2</v>
      </c>
      <c r="S843">
        <v>6</v>
      </c>
      <c r="T843">
        <v>5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3</v>
      </c>
      <c r="AB843">
        <v>11</v>
      </c>
      <c r="AC843">
        <v>0</v>
      </c>
      <c r="AD843" t="str">
        <f t="shared" si="169"/>
        <v>Ok</v>
      </c>
      <c r="AE843" t="str">
        <f>IF(AND(Audit_Data[[#This Row],[Year_Birth]]&gt;=1900,Audit_Data[[#This Row],[Year_Birth]]&lt;=2010),"OK","Invalid")</f>
        <v>OK</v>
      </c>
      <c r="AF843" t="str">
        <f t="shared" si="170"/>
        <v>Valid</v>
      </c>
      <c r="AG843" t="str">
        <f t="shared" si="171"/>
        <v>Valid</v>
      </c>
      <c r="AH843" t="str">
        <f t="shared" si="172"/>
        <v>Valid</v>
      </c>
      <c r="AI843" t="str">
        <f t="shared" si="173"/>
        <v>Valid</v>
      </c>
      <c r="AJ843" t="str">
        <f t="shared" si="174"/>
        <v>Valid</v>
      </c>
      <c r="AK843" t="str">
        <f t="shared" si="181"/>
        <v xml:space="preserve">Valid </v>
      </c>
      <c r="AL843" t="str">
        <f>IF(AND(Audit_Data[[#This Row],[Recency]]&gt;=0,Audit_Data[[#This Row],[Recency]]&lt;=100),"Valid","Invalid")</f>
        <v>Valid</v>
      </c>
      <c r="AM843" t="str">
        <f t="shared" si="175"/>
        <v>Valid</v>
      </c>
      <c r="AN843" t="str">
        <f t="shared" si="176"/>
        <v>Valid</v>
      </c>
      <c r="AO843" t="str">
        <f t="shared" si="177"/>
        <v>Valid</v>
      </c>
      <c r="AP843" t="str">
        <f t="shared" si="178"/>
        <v>Valid</v>
      </c>
      <c r="AQ843" t="str">
        <f>IF(Audit_Data[[#This Row],[Z_CostContact]]=3,"Valid","Invalid")</f>
        <v>Valid</v>
      </c>
      <c r="AR843" t="str">
        <f t="shared" si="179"/>
        <v>Valid</v>
      </c>
      <c r="AS843" t="str">
        <f t="shared" si="180"/>
        <v>Valid</v>
      </c>
    </row>
    <row r="844" spans="1:45" x14ac:dyDescent="0.3">
      <c r="A844">
        <v>3312</v>
      </c>
      <c r="B844">
        <v>1988</v>
      </c>
      <c r="C844" t="s">
        <v>29</v>
      </c>
      <c r="D844" t="s">
        <v>30</v>
      </c>
      <c r="E844">
        <v>34176</v>
      </c>
      <c r="F844">
        <v>1</v>
      </c>
      <c r="G844">
        <v>0</v>
      </c>
      <c r="H844" s="1">
        <v>41771</v>
      </c>
      <c r="I844">
        <v>12</v>
      </c>
      <c r="J844">
        <v>5</v>
      </c>
      <c r="K844">
        <v>7</v>
      </c>
      <c r="L844">
        <v>24</v>
      </c>
      <c r="M844">
        <v>19</v>
      </c>
      <c r="N844">
        <v>14</v>
      </c>
      <c r="O844">
        <v>20</v>
      </c>
      <c r="P844">
        <v>4</v>
      </c>
      <c r="Q844">
        <v>3</v>
      </c>
      <c r="R844">
        <v>0</v>
      </c>
      <c r="S844">
        <v>4</v>
      </c>
      <c r="T844">
        <v>6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3</v>
      </c>
      <c r="AB844">
        <v>11</v>
      </c>
      <c r="AC844">
        <v>0</v>
      </c>
      <c r="AD844" t="str">
        <f t="shared" si="169"/>
        <v>Ok</v>
      </c>
      <c r="AE844" t="str">
        <f>IF(AND(Audit_Data[[#This Row],[Year_Birth]]&gt;=1900,Audit_Data[[#This Row],[Year_Birth]]&lt;=2010),"OK","Invalid")</f>
        <v>OK</v>
      </c>
      <c r="AF844" t="str">
        <f t="shared" si="170"/>
        <v>Valid</v>
      </c>
      <c r="AG844" t="str">
        <f t="shared" si="171"/>
        <v>Valid</v>
      </c>
      <c r="AH844" t="str">
        <f t="shared" si="172"/>
        <v>Valid</v>
      </c>
      <c r="AI844" t="str">
        <f t="shared" si="173"/>
        <v>Valid</v>
      </c>
      <c r="AJ844" t="str">
        <f t="shared" si="174"/>
        <v>Valid</v>
      </c>
      <c r="AK844" t="str">
        <f t="shared" si="181"/>
        <v xml:space="preserve">Valid </v>
      </c>
      <c r="AL844" t="str">
        <f>IF(AND(Audit_Data[[#This Row],[Recency]]&gt;=0,Audit_Data[[#This Row],[Recency]]&lt;=100),"Valid","Invalid")</f>
        <v>Valid</v>
      </c>
      <c r="AM844" t="str">
        <f t="shared" si="175"/>
        <v>Valid</v>
      </c>
      <c r="AN844" t="str">
        <f t="shared" si="176"/>
        <v>Valid</v>
      </c>
      <c r="AO844" t="str">
        <f t="shared" si="177"/>
        <v>Valid</v>
      </c>
      <c r="AP844" t="str">
        <f t="shared" si="178"/>
        <v>Valid</v>
      </c>
      <c r="AQ844" t="str">
        <f>IF(Audit_Data[[#This Row],[Z_CostContact]]=3,"Valid","Invalid")</f>
        <v>Valid</v>
      </c>
      <c r="AR844" t="str">
        <f t="shared" si="179"/>
        <v>Valid</v>
      </c>
      <c r="AS844" t="str">
        <f t="shared" si="180"/>
        <v>Valid</v>
      </c>
    </row>
    <row r="845" spans="1:45" x14ac:dyDescent="0.3">
      <c r="A845">
        <v>11121</v>
      </c>
      <c r="B845">
        <v>1981</v>
      </c>
      <c r="C845" t="s">
        <v>29</v>
      </c>
      <c r="D845" t="s">
        <v>33</v>
      </c>
      <c r="E845">
        <v>19419</v>
      </c>
      <c r="F845">
        <v>1</v>
      </c>
      <c r="G845">
        <v>0</v>
      </c>
      <c r="H845" s="1">
        <v>41223</v>
      </c>
      <c r="I845">
        <v>76</v>
      </c>
      <c r="J845">
        <v>2</v>
      </c>
      <c r="K845">
        <v>14</v>
      </c>
      <c r="L845">
        <v>28</v>
      </c>
      <c r="M845">
        <v>16</v>
      </c>
      <c r="N845">
        <v>3</v>
      </c>
      <c r="O845">
        <v>7</v>
      </c>
      <c r="P845">
        <v>4</v>
      </c>
      <c r="Q845">
        <v>4</v>
      </c>
      <c r="R845">
        <v>0</v>
      </c>
      <c r="S845">
        <v>3</v>
      </c>
      <c r="T845">
        <v>9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3</v>
      </c>
      <c r="AB845">
        <v>11</v>
      </c>
      <c r="AC845">
        <v>0</v>
      </c>
      <c r="AD845" t="str">
        <f t="shared" si="169"/>
        <v>Ok</v>
      </c>
      <c r="AE845" t="str">
        <f>IF(AND(Audit_Data[[#This Row],[Year_Birth]]&gt;=1900,Audit_Data[[#This Row],[Year_Birth]]&lt;=2010),"OK","Invalid")</f>
        <v>OK</v>
      </c>
      <c r="AF845" t="str">
        <f t="shared" si="170"/>
        <v>Valid</v>
      </c>
      <c r="AG845" t="str">
        <f t="shared" si="171"/>
        <v>Valid</v>
      </c>
      <c r="AH845" t="str">
        <f t="shared" si="172"/>
        <v>Valid</v>
      </c>
      <c r="AI845" t="str">
        <f t="shared" si="173"/>
        <v>Valid</v>
      </c>
      <c r="AJ845" t="str">
        <f t="shared" si="174"/>
        <v>Valid</v>
      </c>
      <c r="AK845" t="str">
        <f t="shared" si="181"/>
        <v xml:space="preserve">Valid </v>
      </c>
      <c r="AL845" t="str">
        <f>IF(AND(Audit_Data[[#This Row],[Recency]]&gt;=0,Audit_Data[[#This Row],[Recency]]&lt;=100),"Valid","Invalid")</f>
        <v>Valid</v>
      </c>
      <c r="AM845" t="str">
        <f t="shared" si="175"/>
        <v>Valid</v>
      </c>
      <c r="AN845" t="str">
        <f t="shared" si="176"/>
        <v>Valid</v>
      </c>
      <c r="AO845" t="str">
        <f t="shared" si="177"/>
        <v>Valid</v>
      </c>
      <c r="AP845" t="str">
        <f t="shared" si="178"/>
        <v>Valid</v>
      </c>
      <c r="AQ845" t="str">
        <f>IF(Audit_Data[[#This Row],[Z_CostContact]]=3,"Valid","Invalid")</f>
        <v>Valid</v>
      </c>
      <c r="AR845" t="str">
        <f t="shared" si="179"/>
        <v>Valid</v>
      </c>
      <c r="AS845" t="str">
        <f t="shared" si="180"/>
        <v>Valid</v>
      </c>
    </row>
    <row r="846" spans="1:45" x14ac:dyDescent="0.3">
      <c r="A846">
        <v>5332</v>
      </c>
      <c r="B846">
        <v>1960</v>
      </c>
      <c r="C846" t="s">
        <v>37</v>
      </c>
      <c r="D846" t="s">
        <v>33</v>
      </c>
      <c r="E846">
        <v>82504</v>
      </c>
      <c r="F846">
        <v>0</v>
      </c>
      <c r="G846">
        <v>0</v>
      </c>
      <c r="H846" s="1">
        <v>41482</v>
      </c>
      <c r="I846">
        <v>2</v>
      </c>
      <c r="J846">
        <v>362</v>
      </c>
      <c r="K846">
        <v>50</v>
      </c>
      <c r="L846">
        <v>431</v>
      </c>
      <c r="M846">
        <v>134</v>
      </c>
      <c r="N846">
        <v>35</v>
      </c>
      <c r="O846">
        <v>54</v>
      </c>
      <c r="P846">
        <v>1</v>
      </c>
      <c r="Q846">
        <v>3</v>
      </c>
      <c r="R846">
        <v>6</v>
      </c>
      <c r="S846">
        <v>7</v>
      </c>
      <c r="T846">
        <v>1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3</v>
      </c>
      <c r="AB846">
        <v>11</v>
      </c>
      <c r="AC846">
        <v>0</v>
      </c>
      <c r="AD846" t="str">
        <f t="shared" si="169"/>
        <v>Ok</v>
      </c>
      <c r="AE846" t="str">
        <f>IF(AND(Audit_Data[[#This Row],[Year_Birth]]&gt;=1900,Audit_Data[[#This Row],[Year_Birth]]&lt;=2010),"OK","Invalid")</f>
        <v>OK</v>
      </c>
      <c r="AF846" t="str">
        <f t="shared" si="170"/>
        <v>Valid</v>
      </c>
      <c r="AG846" t="str">
        <f t="shared" si="171"/>
        <v>Valid</v>
      </c>
      <c r="AH846" t="str">
        <f t="shared" si="172"/>
        <v>Valid</v>
      </c>
      <c r="AI846" t="str">
        <f t="shared" si="173"/>
        <v>Valid</v>
      </c>
      <c r="AJ846" t="str">
        <f t="shared" si="174"/>
        <v>Valid</v>
      </c>
      <c r="AK846" t="str">
        <f t="shared" si="181"/>
        <v xml:space="preserve">Valid </v>
      </c>
      <c r="AL846" t="str">
        <f>IF(AND(Audit_Data[[#This Row],[Recency]]&gt;=0,Audit_Data[[#This Row],[Recency]]&lt;=100),"Valid","Invalid")</f>
        <v>Valid</v>
      </c>
      <c r="AM846" t="str">
        <f t="shared" si="175"/>
        <v>Valid</v>
      </c>
      <c r="AN846" t="str">
        <f t="shared" si="176"/>
        <v>Valid</v>
      </c>
      <c r="AO846" t="str">
        <f t="shared" si="177"/>
        <v>Valid</v>
      </c>
      <c r="AP846" t="str">
        <f t="shared" si="178"/>
        <v>Valid</v>
      </c>
      <c r="AQ846" t="str">
        <f>IF(Audit_Data[[#This Row],[Z_CostContact]]=3,"Valid","Invalid")</f>
        <v>Valid</v>
      </c>
      <c r="AR846" t="str">
        <f t="shared" si="179"/>
        <v>Valid</v>
      </c>
      <c r="AS846" t="str">
        <f t="shared" si="180"/>
        <v>Valid</v>
      </c>
    </row>
    <row r="847" spans="1:45" x14ac:dyDescent="0.3">
      <c r="A847">
        <v>5848</v>
      </c>
      <c r="B847">
        <v>1970</v>
      </c>
      <c r="C847" t="s">
        <v>29</v>
      </c>
      <c r="D847" t="s">
        <v>31</v>
      </c>
      <c r="E847">
        <v>81205</v>
      </c>
      <c r="F847">
        <v>0</v>
      </c>
      <c r="G847">
        <v>0</v>
      </c>
      <c r="H847" s="1">
        <v>41652</v>
      </c>
      <c r="I847">
        <v>43</v>
      </c>
      <c r="J847">
        <v>724</v>
      </c>
      <c r="K847">
        <v>74</v>
      </c>
      <c r="L847">
        <v>929</v>
      </c>
      <c r="M847">
        <v>97</v>
      </c>
      <c r="N847">
        <v>55</v>
      </c>
      <c r="O847">
        <v>130</v>
      </c>
      <c r="P847">
        <v>1</v>
      </c>
      <c r="Q847">
        <v>5</v>
      </c>
      <c r="R847">
        <v>6</v>
      </c>
      <c r="S847">
        <v>7</v>
      </c>
      <c r="T847">
        <v>2</v>
      </c>
      <c r="U847">
        <v>1</v>
      </c>
      <c r="V847">
        <v>0</v>
      </c>
      <c r="W847">
        <v>1</v>
      </c>
      <c r="X847">
        <v>0</v>
      </c>
      <c r="Y847">
        <v>1</v>
      </c>
      <c r="Z847">
        <v>0</v>
      </c>
      <c r="AA847">
        <v>3</v>
      </c>
      <c r="AB847">
        <v>11</v>
      </c>
      <c r="AC847">
        <v>1</v>
      </c>
      <c r="AD847" t="str">
        <f t="shared" si="169"/>
        <v>Ok</v>
      </c>
      <c r="AE847" t="str">
        <f>IF(AND(Audit_Data[[#This Row],[Year_Birth]]&gt;=1900,Audit_Data[[#This Row],[Year_Birth]]&lt;=2010),"OK","Invalid")</f>
        <v>OK</v>
      </c>
      <c r="AF847" t="str">
        <f t="shared" si="170"/>
        <v>Valid</v>
      </c>
      <c r="AG847" t="str">
        <f t="shared" si="171"/>
        <v>Valid</v>
      </c>
      <c r="AH847" t="str">
        <f t="shared" si="172"/>
        <v>Valid</v>
      </c>
      <c r="AI847" t="str">
        <f t="shared" si="173"/>
        <v>Valid</v>
      </c>
      <c r="AJ847" t="str">
        <f t="shared" si="174"/>
        <v>Valid</v>
      </c>
      <c r="AK847" t="str">
        <f t="shared" si="181"/>
        <v xml:space="preserve">Valid </v>
      </c>
      <c r="AL847" t="str">
        <f>IF(AND(Audit_Data[[#This Row],[Recency]]&gt;=0,Audit_Data[[#This Row],[Recency]]&lt;=100),"Valid","Invalid")</f>
        <v>Valid</v>
      </c>
      <c r="AM847" t="str">
        <f t="shared" si="175"/>
        <v>Valid</v>
      </c>
      <c r="AN847" t="str">
        <f t="shared" si="176"/>
        <v>Valid</v>
      </c>
      <c r="AO847" t="str">
        <f t="shared" si="177"/>
        <v>Valid</v>
      </c>
      <c r="AP847" t="str">
        <f t="shared" si="178"/>
        <v>Valid</v>
      </c>
      <c r="AQ847" t="str">
        <f>IF(Audit_Data[[#This Row],[Z_CostContact]]=3,"Valid","Invalid")</f>
        <v>Valid</v>
      </c>
      <c r="AR847" t="str">
        <f t="shared" si="179"/>
        <v>Valid</v>
      </c>
      <c r="AS847" t="str">
        <f t="shared" si="180"/>
        <v>Valid</v>
      </c>
    </row>
    <row r="848" spans="1:45" x14ac:dyDescent="0.3">
      <c r="A848">
        <v>10343</v>
      </c>
      <c r="B848">
        <v>1991</v>
      </c>
      <c r="C848" t="s">
        <v>37</v>
      </c>
      <c r="D848" t="s">
        <v>30</v>
      </c>
      <c r="E848">
        <v>61618</v>
      </c>
      <c r="F848">
        <v>0</v>
      </c>
      <c r="G848">
        <v>0</v>
      </c>
      <c r="H848" s="1">
        <v>41181</v>
      </c>
      <c r="I848">
        <v>27</v>
      </c>
      <c r="J848">
        <v>605</v>
      </c>
      <c r="K848">
        <v>91</v>
      </c>
      <c r="L848">
        <v>399</v>
      </c>
      <c r="M848">
        <v>0</v>
      </c>
      <c r="N848">
        <v>45</v>
      </c>
      <c r="O848">
        <v>205</v>
      </c>
      <c r="P848">
        <v>2</v>
      </c>
      <c r="Q848">
        <v>3</v>
      </c>
      <c r="R848">
        <v>6</v>
      </c>
      <c r="S848">
        <v>8</v>
      </c>
      <c r="T848">
        <v>3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3</v>
      </c>
      <c r="AB848">
        <v>11</v>
      </c>
      <c r="AC848">
        <v>0</v>
      </c>
      <c r="AD848" t="str">
        <f t="shared" si="169"/>
        <v>Ok</v>
      </c>
      <c r="AE848" t="str">
        <f>IF(AND(Audit_Data[[#This Row],[Year_Birth]]&gt;=1900,Audit_Data[[#This Row],[Year_Birth]]&lt;=2010),"OK","Invalid")</f>
        <v>OK</v>
      </c>
      <c r="AF848" t="str">
        <f t="shared" si="170"/>
        <v>Valid</v>
      </c>
      <c r="AG848" t="str">
        <f t="shared" si="171"/>
        <v>Valid</v>
      </c>
      <c r="AH848" t="str">
        <f t="shared" si="172"/>
        <v>Valid</v>
      </c>
      <c r="AI848" t="str">
        <f t="shared" si="173"/>
        <v>Valid</v>
      </c>
      <c r="AJ848" t="str">
        <f t="shared" si="174"/>
        <v>Valid</v>
      </c>
      <c r="AK848" t="str">
        <f t="shared" si="181"/>
        <v xml:space="preserve">Valid </v>
      </c>
      <c r="AL848" t="str">
        <f>IF(AND(Audit_Data[[#This Row],[Recency]]&gt;=0,Audit_Data[[#This Row],[Recency]]&lt;=100),"Valid","Invalid")</f>
        <v>Valid</v>
      </c>
      <c r="AM848" t="str">
        <f t="shared" si="175"/>
        <v>Valid</v>
      </c>
      <c r="AN848" t="str">
        <f t="shared" si="176"/>
        <v>Valid</v>
      </c>
      <c r="AO848" t="str">
        <f t="shared" si="177"/>
        <v>Valid</v>
      </c>
      <c r="AP848" t="str">
        <f t="shared" si="178"/>
        <v>Valid</v>
      </c>
      <c r="AQ848" t="str">
        <f>IF(Audit_Data[[#This Row],[Z_CostContact]]=3,"Valid","Invalid")</f>
        <v>Valid</v>
      </c>
      <c r="AR848" t="str">
        <f t="shared" si="179"/>
        <v>Valid</v>
      </c>
      <c r="AS848" t="str">
        <f t="shared" si="180"/>
        <v>Valid</v>
      </c>
    </row>
    <row r="849" spans="1:45" x14ac:dyDescent="0.3">
      <c r="A849">
        <v>5935</v>
      </c>
      <c r="B849">
        <v>1956</v>
      </c>
      <c r="C849" t="s">
        <v>34</v>
      </c>
      <c r="D849" t="s">
        <v>30</v>
      </c>
      <c r="E849">
        <v>55284</v>
      </c>
      <c r="F849">
        <v>0</v>
      </c>
      <c r="G849">
        <v>1</v>
      </c>
      <c r="H849" s="1">
        <v>41267</v>
      </c>
      <c r="I849">
        <v>60</v>
      </c>
      <c r="J849">
        <v>547</v>
      </c>
      <c r="K849">
        <v>7</v>
      </c>
      <c r="L849">
        <v>140</v>
      </c>
      <c r="M849">
        <v>0</v>
      </c>
      <c r="N849">
        <v>7</v>
      </c>
      <c r="O849">
        <v>63</v>
      </c>
      <c r="P849">
        <v>3</v>
      </c>
      <c r="Q849">
        <v>7</v>
      </c>
      <c r="R849">
        <v>5</v>
      </c>
      <c r="S849">
        <v>8</v>
      </c>
      <c r="T849">
        <v>5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3</v>
      </c>
      <c r="AB849">
        <v>11</v>
      </c>
      <c r="AC849">
        <v>0</v>
      </c>
      <c r="AD849" t="str">
        <f t="shared" si="169"/>
        <v>Ok</v>
      </c>
      <c r="AE849" t="str">
        <f>IF(AND(Audit_Data[[#This Row],[Year_Birth]]&gt;=1900,Audit_Data[[#This Row],[Year_Birth]]&lt;=2010),"OK","Invalid")</f>
        <v>OK</v>
      </c>
      <c r="AF849" t="str">
        <f t="shared" si="170"/>
        <v>Valid</v>
      </c>
      <c r="AG849" t="str">
        <f t="shared" si="171"/>
        <v>Valid</v>
      </c>
      <c r="AH849" t="str">
        <f t="shared" si="172"/>
        <v>Valid</v>
      </c>
      <c r="AI849" t="str">
        <f t="shared" si="173"/>
        <v>Valid</v>
      </c>
      <c r="AJ849" t="str">
        <f t="shared" si="174"/>
        <v>Valid</v>
      </c>
      <c r="AK849" t="str">
        <f t="shared" si="181"/>
        <v xml:space="preserve">Valid </v>
      </c>
      <c r="AL849" t="str">
        <f>IF(AND(Audit_Data[[#This Row],[Recency]]&gt;=0,Audit_Data[[#This Row],[Recency]]&lt;=100),"Valid","Invalid")</f>
        <v>Valid</v>
      </c>
      <c r="AM849" t="str">
        <f t="shared" si="175"/>
        <v>Valid</v>
      </c>
      <c r="AN849" t="str">
        <f t="shared" si="176"/>
        <v>Valid</v>
      </c>
      <c r="AO849" t="str">
        <f t="shared" si="177"/>
        <v>Valid</v>
      </c>
      <c r="AP849" t="str">
        <f t="shared" si="178"/>
        <v>Valid</v>
      </c>
      <c r="AQ849" t="str">
        <f>IF(Audit_Data[[#This Row],[Z_CostContact]]=3,"Valid","Invalid")</f>
        <v>Valid</v>
      </c>
      <c r="AR849" t="str">
        <f t="shared" si="179"/>
        <v>Valid</v>
      </c>
      <c r="AS849" t="str">
        <f t="shared" si="180"/>
        <v>Valid</v>
      </c>
    </row>
    <row r="850" spans="1:45" x14ac:dyDescent="0.3">
      <c r="A850">
        <v>2895</v>
      </c>
      <c r="B850">
        <v>1963</v>
      </c>
      <c r="C850" t="s">
        <v>29</v>
      </c>
      <c r="D850" t="s">
        <v>30</v>
      </c>
      <c r="E850">
        <v>49980</v>
      </c>
      <c r="F850">
        <v>0</v>
      </c>
      <c r="G850">
        <v>1</v>
      </c>
      <c r="H850" s="1">
        <v>41570</v>
      </c>
      <c r="I850">
        <v>79</v>
      </c>
      <c r="J850">
        <v>104</v>
      </c>
      <c r="K850">
        <v>1</v>
      </c>
      <c r="L850">
        <v>54</v>
      </c>
      <c r="M850">
        <v>13</v>
      </c>
      <c r="N850">
        <v>9</v>
      </c>
      <c r="O850">
        <v>14</v>
      </c>
      <c r="P850">
        <v>2</v>
      </c>
      <c r="Q850">
        <v>3</v>
      </c>
      <c r="R850">
        <v>1</v>
      </c>
      <c r="S850">
        <v>5</v>
      </c>
      <c r="T850">
        <v>5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3</v>
      </c>
      <c r="AB850">
        <v>11</v>
      </c>
      <c r="AC850">
        <v>0</v>
      </c>
      <c r="AD850" t="str">
        <f t="shared" si="169"/>
        <v>Ok</v>
      </c>
      <c r="AE850" t="str">
        <f>IF(AND(Audit_Data[[#This Row],[Year_Birth]]&gt;=1900,Audit_Data[[#This Row],[Year_Birth]]&lt;=2010),"OK","Invalid")</f>
        <v>OK</v>
      </c>
      <c r="AF850" t="str">
        <f t="shared" si="170"/>
        <v>Valid</v>
      </c>
      <c r="AG850" t="str">
        <f t="shared" si="171"/>
        <v>Valid</v>
      </c>
      <c r="AH850" t="str">
        <f t="shared" si="172"/>
        <v>Valid</v>
      </c>
      <c r="AI850" t="str">
        <f t="shared" si="173"/>
        <v>Valid</v>
      </c>
      <c r="AJ850" t="str">
        <f t="shared" si="174"/>
        <v>Valid</v>
      </c>
      <c r="AK850" t="str">
        <f t="shared" si="181"/>
        <v xml:space="preserve">Valid </v>
      </c>
      <c r="AL850" t="str">
        <f>IF(AND(Audit_Data[[#This Row],[Recency]]&gt;=0,Audit_Data[[#This Row],[Recency]]&lt;=100),"Valid","Invalid")</f>
        <v>Valid</v>
      </c>
      <c r="AM850" t="str">
        <f t="shared" si="175"/>
        <v>Valid</v>
      </c>
      <c r="AN850" t="str">
        <f t="shared" si="176"/>
        <v>Valid</v>
      </c>
      <c r="AO850" t="str">
        <f t="shared" si="177"/>
        <v>Valid</v>
      </c>
      <c r="AP850" t="str">
        <f t="shared" si="178"/>
        <v>Valid</v>
      </c>
      <c r="AQ850" t="str">
        <f>IF(Audit_Data[[#This Row],[Z_CostContact]]=3,"Valid","Invalid")</f>
        <v>Valid</v>
      </c>
      <c r="AR850" t="str">
        <f t="shared" si="179"/>
        <v>Valid</v>
      </c>
      <c r="AS850" t="str">
        <f t="shared" si="180"/>
        <v>Valid</v>
      </c>
    </row>
    <row r="851" spans="1:45" x14ac:dyDescent="0.3">
      <c r="A851">
        <v>10262</v>
      </c>
      <c r="B851">
        <v>1980</v>
      </c>
      <c r="C851" t="s">
        <v>29</v>
      </c>
      <c r="D851" t="s">
        <v>33</v>
      </c>
      <c r="E851">
        <v>15072</v>
      </c>
      <c r="F851">
        <v>2</v>
      </c>
      <c r="G851">
        <v>0</v>
      </c>
      <c r="H851" s="1">
        <v>41404</v>
      </c>
      <c r="I851">
        <v>96</v>
      </c>
      <c r="J851">
        <v>8</v>
      </c>
      <c r="K851">
        <v>2</v>
      </c>
      <c r="L851">
        <v>15</v>
      </c>
      <c r="M851">
        <v>0</v>
      </c>
      <c r="N851">
        <v>10</v>
      </c>
      <c r="O851">
        <v>18</v>
      </c>
      <c r="P851">
        <v>4</v>
      </c>
      <c r="Q851">
        <v>3</v>
      </c>
      <c r="R851">
        <v>1</v>
      </c>
      <c r="S851">
        <v>3</v>
      </c>
      <c r="T851">
        <v>5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3</v>
      </c>
      <c r="AB851">
        <v>11</v>
      </c>
      <c r="AC851">
        <v>0</v>
      </c>
      <c r="AD851" t="str">
        <f t="shared" si="169"/>
        <v>Ok</v>
      </c>
      <c r="AE851" t="str">
        <f>IF(AND(Audit_Data[[#This Row],[Year_Birth]]&gt;=1900,Audit_Data[[#This Row],[Year_Birth]]&lt;=2010),"OK","Invalid")</f>
        <v>OK</v>
      </c>
      <c r="AF851" t="str">
        <f t="shared" si="170"/>
        <v>Valid</v>
      </c>
      <c r="AG851" t="str">
        <f t="shared" si="171"/>
        <v>Valid</v>
      </c>
      <c r="AH851" t="str">
        <f t="shared" si="172"/>
        <v>Valid</v>
      </c>
      <c r="AI851" t="str">
        <f t="shared" si="173"/>
        <v>Valid</v>
      </c>
      <c r="AJ851" t="str">
        <f t="shared" si="174"/>
        <v>Valid</v>
      </c>
      <c r="AK851" t="str">
        <f t="shared" si="181"/>
        <v xml:space="preserve">Valid </v>
      </c>
      <c r="AL851" t="str">
        <f>IF(AND(Audit_Data[[#This Row],[Recency]]&gt;=0,Audit_Data[[#This Row],[Recency]]&lt;=100),"Valid","Invalid")</f>
        <v>Valid</v>
      </c>
      <c r="AM851" t="str">
        <f t="shared" si="175"/>
        <v>Valid</v>
      </c>
      <c r="AN851" t="str">
        <f t="shared" si="176"/>
        <v>Valid</v>
      </c>
      <c r="AO851" t="str">
        <f t="shared" si="177"/>
        <v>Valid</v>
      </c>
      <c r="AP851" t="str">
        <f t="shared" si="178"/>
        <v>Valid</v>
      </c>
      <c r="AQ851" t="str">
        <f>IF(Audit_Data[[#This Row],[Z_CostContact]]=3,"Valid","Invalid")</f>
        <v>Valid</v>
      </c>
      <c r="AR851" t="str">
        <f t="shared" si="179"/>
        <v>Valid</v>
      </c>
      <c r="AS851" t="str">
        <f t="shared" si="180"/>
        <v>Valid</v>
      </c>
    </row>
    <row r="852" spans="1:45" x14ac:dyDescent="0.3">
      <c r="A852">
        <v>7848</v>
      </c>
      <c r="B852">
        <v>1974</v>
      </c>
      <c r="C852" t="s">
        <v>29</v>
      </c>
      <c r="D852" t="s">
        <v>30</v>
      </c>
      <c r="E852">
        <v>49166</v>
      </c>
      <c r="F852">
        <v>0</v>
      </c>
      <c r="G852">
        <v>1</v>
      </c>
      <c r="H852" s="1">
        <v>41438</v>
      </c>
      <c r="I852">
        <v>17</v>
      </c>
      <c r="J852">
        <v>224</v>
      </c>
      <c r="K852">
        <v>2</v>
      </c>
      <c r="L852">
        <v>25</v>
      </c>
      <c r="M852">
        <v>7</v>
      </c>
      <c r="N852">
        <v>0</v>
      </c>
      <c r="O852">
        <v>110</v>
      </c>
      <c r="P852">
        <v>2</v>
      </c>
      <c r="Q852">
        <v>5</v>
      </c>
      <c r="R852">
        <v>3</v>
      </c>
      <c r="S852">
        <v>3</v>
      </c>
      <c r="T852">
        <v>6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3</v>
      </c>
      <c r="AB852">
        <v>11</v>
      </c>
      <c r="AC852">
        <v>0</v>
      </c>
      <c r="AD852" t="str">
        <f t="shared" si="169"/>
        <v>Ok</v>
      </c>
      <c r="AE852" t="str">
        <f>IF(AND(Audit_Data[[#This Row],[Year_Birth]]&gt;=1900,Audit_Data[[#This Row],[Year_Birth]]&lt;=2010),"OK","Invalid")</f>
        <v>OK</v>
      </c>
      <c r="AF852" t="str">
        <f t="shared" si="170"/>
        <v>Valid</v>
      </c>
      <c r="AG852" t="str">
        <f t="shared" si="171"/>
        <v>Valid</v>
      </c>
      <c r="AH852" t="str">
        <f t="shared" si="172"/>
        <v>Valid</v>
      </c>
      <c r="AI852" t="str">
        <f t="shared" si="173"/>
        <v>Valid</v>
      </c>
      <c r="AJ852" t="str">
        <f t="shared" si="174"/>
        <v>Valid</v>
      </c>
      <c r="AK852" t="str">
        <f t="shared" si="181"/>
        <v xml:space="preserve">Valid </v>
      </c>
      <c r="AL852" t="str">
        <f>IF(AND(Audit_Data[[#This Row],[Recency]]&gt;=0,Audit_Data[[#This Row],[Recency]]&lt;=100),"Valid","Invalid")</f>
        <v>Valid</v>
      </c>
      <c r="AM852" t="str">
        <f t="shared" si="175"/>
        <v>Valid</v>
      </c>
      <c r="AN852" t="str">
        <f t="shared" si="176"/>
        <v>Valid</v>
      </c>
      <c r="AO852" t="str">
        <f t="shared" si="177"/>
        <v>Valid</v>
      </c>
      <c r="AP852" t="str">
        <f t="shared" si="178"/>
        <v>Valid</v>
      </c>
      <c r="AQ852" t="str">
        <f>IF(Audit_Data[[#This Row],[Z_CostContact]]=3,"Valid","Invalid")</f>
        <v>Valid</v>
      </c>
      <c r="AR852" t="str">
        <f t="shared" si="179"/>
        <v>Valid</v>
      </c>
      <c r="AS852" t="str">
        <f t="shared" si="180"/>
        <v>Valid</v>
      </c>
    </row>
    <row r="853" spans="1:45" x14ac:dyDescent="0.3">
      <c r="A853">
        <v>9477</v>
      </c>
      <c r="B853">
        <v>1954</v>
      </c>
      <c r="C853" t="s">
        <v>32</v>
      </c>
      <c r="D853" t="s">
        <v>33</v>
      </c>
      <c r="E853">
        <v>65324</v>
      </c>
      <c r="F853">
        <v>0</v>
      </c>
      <c r="G853">
        <v>1</v>
      </c>
      <c r="H853" s="1">
        <v>41650</v>
      </c>
      <c r="I853">
        <v>0</v>
      </c>
      <c r="J853">
        <v>384</v>
      </c>
      <c r="K853">
        <v>0</v>
      </c>
      <c r="L853">
        <v>102</v>
      </c>
      <c r="M853">
        <v>21</v>
      </c>
      <c r="N853">
        <v>32</v>
      </c>
      <c r="O853">
        <v>5</v>
      </c>
      <c r="P853">
        <v>3</v>
      </c>
      <c r="Q853">
        <v>6</v>
      </c>
      <c r="R853">
        <v>2</v>
      </c>
      <c r="S853">
        <v>9</v>
      </c>
      <c r="T853">
        <v>4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3</v>
      </c>
      <c r="AB853">
        <v>11</v>
      </c>
      <c r="AC853">
        <v>0</v>
      </c>
      <c r="AD853" t="str">
        <f t="shared" si="169"/>
        <v>Ok</v>
      </c>
      <c r="AE853" t="str">
        <f>IF(AND(Audit_Data[[#This Row],[Year_Birth]]&gt;=1900,Audit_Data[[#This Row],[Year_Birth]]&lt;=2010),"OK","Invalid")</f>
        <v>OK</v>
      </c>
      <c r="AF853" t="str">
        <f t="shared" si="170"/>
        <v>Valid</v>
      </c>
      <c r="AG853" t="str">
        <f t="shared" si="171"/>
        <v>Valid</v>
      </c>
      <c r="AH853" t="str">
        <f t="shared" si="172"/>
        <v>Valid</v>
      </c>
      <c r="AI853" t="str">
        <f t="shared" si="173"/>
        <v>Valid</v>
      </c>
      <c r="AJ853" t="str">
        <f t="shared" si="174"/>
        <v>Valid</v>
      </c>
      <c r="AK853" t="str">
        <f t="shared" si="181"/>
        <v xml:space="preserve">Valid </v>
      </c>
      <c r="AL853" t="str">
        <f>IF(AND(Audit_Data[[#This Row],[Recency]]&gt;=0,Audit_Data[[#This Row],[Recency]]&lt;=100),"Valid","Invalid")</f>
        <v>Valid</v>
      </c>
      <c r="AM853" t="str">
        <f t="shared" si="175"/>
        <v>Valid</v>
      </c>
      <c r="AN853" t="str">
        <f t="shared" si="176"/>
        <v>Valid</v>
      </c>
      <c r="AO853" t="str">
        <f t="shared" si="177"/>
        <v>Valid</v>
      </c>
      <c r="AP853" t="str">
        <f t="shared" si="178"/>
        <v>Valid</v>
      </c>
      <c r="AQ853" t="str">
        <f>IF(Audit_Data[[#This Row],[Z_CostContact]]=3,"Valid","Invalid")</f>
        <v>Valid</v>
      </c>
      <c r="AR853" t="str">
        <f t="shared" si="179"/>
        <v>Valid</v>
      </c>
      <c r="AS853" t="str">
        <f t="shared" si="180"/>
        <v>Valid</v>
      </c>
    </row>
    <row r="854" spans="1:45" x14ac:dyDescent="0.3">
      <c r="A854">
        <v>4856</v>
      </c>
      <c r="B854">
        <v>1957</v>
      </c>
      <c r="C854" t="s">
        <v>37</v>
      </c>
      <c r="D854" t="s">
        <v>33</v>
      </c>
      <c r="E854">
        <v>82347</v>
      </c>
      <c r="F854">
        <v>0</v>
      </c>
      <c r="G854">
        <v>0</v>
      </c>
      <c r="H854" s="1">
        <v>41219</v>
      </c>
      <c r="I854">
        <v>38</v>
      </c>
      <c r="J854">
        <v>556</v>
      </c>
      <c r="K854">
        <v>54</v>
      </c>
      <c r="L854">
        <v>845</v>
      </c>
      <c r="M854">
        <v>202</v>
      </c>
      <c r="N854">
        <v>133</v>
      </c>
      <c r="O854">
        <v>63</v>
      </c>
      <c r="P854">
        <v>1</v>
      </c>
      <c r="Q854">
        <v>7</v>
      </c>
      <c r="R854">
        <v>7</v>
      </c>
      <c r="S854">
        <v>10</v>
      </c>
      <c r="T854">
        <v>3</v>
      </c>
      <c r="U854">
        <v>1</v>
      </c>
      <c r="V854">
        <v>0</v>
      </c>
      <c r="W854">
        <v>0</v>
      </c>
      <c r="X854">
        <v>1</v>
      </c>
      <c r="Y854">
        <v>0</v>
      </c>
      <c r="Z854">
        <v>0</v>
      </c>
      <c r="AA854">
        <v>3</v>
      </c>
      <c r="AB854">
        <v>11</v>
      </c>
      <c r="AC854">
        <v>0</v>
      </c>
      <c r="AD854" t="str">
        <f t="shared" si="169"/>
        <v>Ok</v>
      </c>
      <c r="AE854" t="str">
        <f>IF(AND(Audit_Data[[#This Row],[Year_Birth]]&gt;=1900,Audit_Data[[#This Row],[Year_Birth]]&lt;=2010),"OK","Invalid")</f>
        <v>OK</v>
      </c>
      <c r="AF854" t="str">
        <f t="shared" si="170"/>
        <v>Valid</v>
      </c>
      <c r="AG854" t="str">
        <f t="shared" si="171"/>
        <v>Valid</v>
      </c>
      <c r="AH854" t="str">
        <f t="shared" si="172"/>
        <v>Valid</v>
      </c>
      <c r="AI854" t="str">
        <f t="shared" si="173"/>
        <v>Valid</v>
      </c>
      <c r="AJ854" t="str">
        <f t="shared" si="174"/>
        <v>Valid</v>
      </c>
      <c r="AK854" t="str">
        <f t="shared" si="181"/>
        <v xml:space="preserve">Valid </v>
      </c>
      <c r="AL854" t="str">
        <f>IF(AND(Audit_Data[[#This Row],[Recency]]&gt;=0,Audit_Data[[#This Row],[Recency]]&lt;=100),"Valid","Invalid")</f>
        <v>Valid</v>
      </c>
      <c r="AM854" t="str">
        <f t="shared" si="175"/>
        <v>Valid</v>
      </c>
      <c r="AN854" t="str">
        <f t="shared" si="176"/>
        <v>Valid</v>
      </c>
      <c r="AO854" t="str">
        <f t="shared" si="177"/>
        <v>Valid</v>
      </c>
      <c r="AP854" t="str">
        <f t="shared" si="178"/>
        <v>Valid</v>
      </c>
      <c r="AQ854" t="str">
        <f>IF(Audit_Data[[#This Row],[Z_CostContact]]=3,"Valid","Invalid")</f>
        <v>Valid</v>
      </c>
      <c r="AR854" t="str">
        <f t="shared" si="179"/>
        <v>Valid</v>
      </c>
      <c r="AS854" t="str">
        <f t="shared" si="180"/>
        <v>Valid</v>
      </c>
    </row>
    <row r="855" spans="1:45" x14ac:dyDescent="0.3">
      <c r="A855">
        <v>7186</v>
      </c>
      <c r="B855">
        <v>1966</v>
      </c>
      <c r="C855" t="s">
        <v>32</v>
      </c>
      <c r="D855" t="s">
        <v>31</v>
      </c>
      <c r="E855">
        <v>30843</v>
      </c>
      <c r="F855">
        <v>1</v>
      </c>
      <c r="G855">
        <v>1</v>
      </c>
      <c r="H855" s="1">
        <v>41785</v>
      </c>
      <c r="I855">
        <v>43</v>
      </c>
      <c r="J855">
        <v>24</v>
      </c>
      <c r="K855">
        <v>0</v>
      </c>
      <c r="L855">
        <v>2</v>
      </c>
      <c r="M855">
        <v>0</v>
      </c>
      <c r="N855">
        <v>0</v>
      </c>
      <c r="O855">
        <v>9</v>
      </c>
      <c r="P855">
        <v>2</v>
      </c>
      <c r="Q855">
        <v>1</v>
      </c>
      <c r="R855">
        <v>1</v>
      </c>
      <c r="S855">
        <v>2</v>
      </c>
      <c r="T855">
        <v>5</v>
      </c>
      <c r="U855">
        <v>1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3</v>
      </c>
      <c r="AB855">
        <v>11</v>
      </c>
      <c r="AC855">
        <v>0</v>
      </c>
      <c r="AD855" t="str">
        <f t="shared" si="169"/>
        <v>Ok</v>
      </c>
      <c r="AE855" t="str">
        <f>IF(AND(Audit_Data[[#This Row],[Year_Birth]]&gt;=1900,Audit_Data[[#This Row],[Year_Birth]]&lt;=2010),"OK","Invalid")</f>
        <v>OK</v>
      </c>
      <c r="AF855" t="str">
        <f t="shared" si="170"/>
        <v>Valid</v>
      </c>
      <c r="AG855" t="str">
        <f t="shared" si="171"/>
        <v>Valid</v>
      </c>
      <c r="AH855" t="str">
        <f t="shared" si="172"/>
        <v>Valid</v>
      </c>
      <c r="AI855" t="str">
        <f t="shared" si="173"/>
        <v>Valid</v>
      </c>
      <c r="AJ855" t="str">
        <f t="shared" si="174"/>
        <v>Valid</v>
      </c>
      <c r="AK855" t="str">
        <f t="shared" si="181"/>
        <v xml:space="preserve">Valid </v>
      </c>
      <c r="AL855" t="str">
        <f>IF(AND(Audit_Data[[#This Row],[Recency]]&gt;=0,Audit_Data[[#This Row],[Recency]]&lt;=100),"Valid","Invalid")</f>
        <v>Valid</v>
      </c>
      <c r="AM855" t="str">
        <f t="shared" si="175"/>
        <v>Valid</v>
      </c>
      <c r="AN855" t="str">
        <f t="shared" si="176"/>
        <v>Valid</v>
      </c>
      <c r="AO855" t="str">
        <f t="shared" si="177"/>
        <v>Valid</v>
      </c>
      <c r="AP855" t="str">
        <f t="shared" si="178"/>
        <v>Valid</v>
      </c>
      <c r="AQ855" t="str">
        <f>IF(Audit_Data[[#This Row],[Z_CostContact]]=3,"Valid","Invalid")</f>
        <v>Valid</v>
      </c>
      <c r="AR855" t="str">
        <f t="shared" si="179"/>
        <v>Valid</v>
      </c>
      <c r="AS855" t="str">
        <f t="shared" si="180"/>
        <v>Valid</v>
      </c>
    </row>
    <row r="856" spans="1:45" x14ac:dyDescent="0.3">
      <c r="A856">
        <v>5794</v>
      </c>
      <c r="B856">
        <v>1974</v>
      </c>
      <c r="C856" t="s">
        <v>32</v>
      </c>
      <c r="D856" t="s">
        <v>33</v>
      </c>
      <c r="E856">
        <v>46374</v>
      </c>
      <c r="F856">
        <v>0</v>
      </c>
      <c r="G856">
        <v>1</v>
      </c>
      <c r="H856" s="1">
        <v>41715</v>
      </c>
      <c r="I856">
        <v>1</v>
      </c>
      <c r="J856">
        <v>408</v>
      </c>
      <c r="K856">
        <v>0</v>
      </c>
      <c r="L856">
        <v>21</v>
      </c>
      <c r="M856">
        <v>0</v>
      </c>
      <c r="N856">
        <v>0</v>
      </c>
      <c r="O856">
        <v>17</v>
      </c>
      <c r="P856">
        <v>3</v>
      </c>
      <c r="Q856">
        <v>7</v>
      </c>
      <c r="R856">
        <v>1</v>
      </c>
      <c r="S856">
        <v>7</v>
      </c>
      <c r="T856">
        <v>8</v>
      </c>
      <c r="U856">
        <v>0</v>
      </c>
      <c r="V856">
        <v>1</v>
      </c>
      <c r="W856">
        <v>0</v>
      </c>
      <c r="X856">
        <v>1</v>
      </c>
      <c r="Y856">
        <v>0</v>
      </c>
      <c r="Z856">
        <v>0</v>
      </c>
      <c r="AA856">
        <v>3</v>
      </c>
      <c r="AB856">
        <v>11</v>
      </c>
      <c r="AC856">
        <v>1</v>
      </c>
      <c r="AD856" t="str">
        <f t="shared" si="169"/>
        <v>Ok</v>
      </c>
      <c r="AE856" t="str">
        <f>IF(AND(Audit_Data[[#This Row],[Year_Birth]]&gt;=1900,Audit_Data[[#This Row],[Year_Birth]]&lt;=2010),"OK","Invalid")</f>
        <v>OK</v>
      </c>
      <c r="AF856" t="str">
        <f t="shared" si="170"/>
        <v>Valid</v>
      </c>
      <c r="AG856" t="str">
        <f t="shared" si="171"/>
        <v>Valid</v>
      </c>
      <c r="AH856" t="str">
        <f t="shared" si="172"/>
        <v>Valid</v>
      </c>
      <c r="AI856" t="str">
        <f t="shared" si="173"/>
        <v>Valid</v>
      </c>
      <c r="AJ856" t="str">
        <f t="shared" si="174"/>
        <v>Valid</v>
      </c>
      <c r="AK856" t="str">
        <f t="shared" si="181"/>
        <v xml:space="preserve">Valid </v>
      </c>
      <c r="AL856" t="str">
        <f>IF(AND(Audit_Data[[#This Row],[Recency]]&gt;=0,Audit_Data[[#This Row],[Recency]]&lt;=100),"Valid","Invalid")</f>
        <v>Valid</v>
      </c>
      <c r="AM856" t="str">
        <f t="shared" si="175"/>
        <v>Valid</v>
      </c>
      <c r="AN856" t="str">
        <f t="shared" si="176"/>
        <v>Valid</v>
      </c>
      <c r="AO856" t="str">
        <f t="shared" si="177"/>
        <v>Valid</v>
      </c>
      <c r="AP856" t="str">
        <f t="shared" si="178"/>
        <v>Valid</v>
      </c>
      <c r="AQ856" t="str">
        <f>IF(Audit_Data[[#This Row],[Z_CostContact]]=3,"Valid","Invalid")</f>
        <v>Valid</v>
      </c>
      <c r="AR856" t="str">
        <f t="shared" si="179"/>
        <v>Valid</v>
      </c>
      <c r="AS856" t="str">
        <f t="shared" si="180"/>
        <v>Valid</v>
      </c>
    </row>
    <row r="857" spans="1:45" x14ac:dyDescent="0.3">
      <c r="A857">
        <v>1456</v>
      </c>
      <c r="B857">
        <v>1979</v>
      </c>
      <c r="C857" t="s">
        <v>29</v>
      </c>
      <c r="D857" t="s">
        <v>30</v>
      </c>
      <c r="E857">
        <v>60474</v>
      </c>
      <c r="F857">
        <v>0</v>
      </c>
      <c r="G857">
        <v>1</v>
      </c>
      <c r="H857" s="1">
        <v>41365</v>
      </c>
      <c r="I857">
        <v>25</v>
      </c>
      <c r="J857">
        <v>265</v>
      </c>
      <c r="K857">
        <v>199</v>
      </c>
      <c r="L857">
        <v>303</v>
      </c>
      <c r="M857">
        <v>234</v>
      </c>
      <c r="N857">
        <v>9</v>
      </c>
      <c r="O857">
        <v>170</v>
      </c>
      <c r="P857">
        <v>7</v>
      </c>
      <c r="Q857">
        <v>10</v>
      </c>
      <c r="R857">
        <v>2</v>
      </c>
      <c r="S857">
        <v>12</v>
      </c>
      <c r="T857">
        <v>7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3</v>
      </c>
      <c r="AB857">
        <v>11</v>
      </c>
      <c r="AC857">
        <v>0</v>
      </c>
      <c r="AD857" t="str">
        <f t="shared" si="169"/>
        <v>Ok</v>
      </c>
      <c r="AE857" t="str">
        <f>IF(AND(Audit_Data[[#This Row],[Year_Birth]]&gt;=1900,Audit_Data[[#This Row],[Year_Birth]]&lt;=2010),"OK","Invalid")</f>
        <v>OK</v>
      </c>
      <c r="AF857" t="str">
        <f t="shared" si="170"/>
        <v>Valid</v>
      </c>
      <c r="AG857" t="str">
        <f t="shared" si="171"/>
        <v>Valid</v>
      </c>
      <c r="AH857" t="str">
        <f t="shared" si="172"/>
        <v>Valid</v>
      </c>
      <c r="AI857" t="str">
        <f t="shared" si="173"/>
        <v>Valid</v>
      </c>
      <c r="AJ857" t="str">
        <f t="shared" si="174"/>
        <v>Valid</v>
      </c>
      <c r="AK857" t="str">
        <f t="shared" si="181"/>
        <v xml:space="preserve">Valid </v>
      </c>
      <c r="AL857" t="str">
        <f>IF(AND(Audit_Data[[#This Row],[Recency]]&gt;=0,Audit_Data[[#This Row],[Recency]]&lt;=100),"Valid","Invalid")</f>
        <v>Valid</v>
      </c>
      <c r="AM857" t="str">
        <f t="shared" si="175"/>
        <v>Valid</v>
      </c>
      <c r="AN857" t="str">
        <f t="shared" si="176"/>
        <v>Valid</v>
      </c>
      <c r="AO857" t="str">
        <f t="shared" si="177"/>
        <v>Valid</v>
      </c>
      <c r="AP857" t="str">
        <f t="shared" si="178"/>
        <v>Valid</v>
      </c>
      <c r="AQ857" t="str">
        <f>IF(Audit_Data[[#This Row],[Z_CostContact]]=3,"Valid","Invalid")</f>
        <v>Valid</v>
      </c>
      <c r="AR857" t="str">
        <f t="shared" si="179"/>
        <v>Valid</v>
      </c>
      <c r="AS857" t="str">
        <f t="shared" si="180"/>
        <v>Valid</v>
      </c>
    </row>
    <row r="858" spans="1:45" x14ac:dyDescent="0.3">
      <c r="A858">
        <v>4877</v>
      </c>
      <c r="B858">
        <v>1973</v>
      </c>
      <c r="C858" t="s">
        <v>34</v>
      </c>
      <c r="D858" t="s">
        <v>33</v>
      </c>
      <c r="E858">
        <v>38576</v>
      </c>
      <c r="F858">
        <v>0</v>
      </c>
      <c r="G858">
        <v>1</v>
      </c>
      <c r="H858" s="1">
        <v>41702</v>
      </c>
      <c r="I858">
        <v>2</v>
      </c>
      <c r="J858">
        <v>34</v>
      </c>
      <c r="K858">
        <v>0</v>
      </c>
      <c r="L858">
        <v>7</v>
      </c>
      <c r="M858">
        <v>0</v>
      </c>
      <c r="N858">
        <v>0</v>
      </c>
      <c r="O858">
        <v>0</v>
      </c>
      <c r="P858">
        <v>1</v>
      </c>
      <c r="Q858">
        <v>1</v>
      </c>
      <c r="R858">
        <v>0</v>
      </c>
      <c r="S858">
        <v>3</v>
      </c>
      <c r="T858">
        <v>7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3</v>
      </c>
      <c r="AB858">
        <v>11</v>
      </c>
      <c r="AC858">
        <v>0</v>
      </c>
      <c r="AD858" t="str">
        <f t="shared" si="169"/>
        <v>Ok</v>
      </c>
      <c r="AE858" t="str">
        <f>IF(AND(Audit_Data[[#This Row],[Year_Birth]]&gt;=1900,Audit_Data[[#This Row],[Year_Birth]]&lt;=2010),"OK","Invalid")</f>
        <v>OK</v>
      </c>
      <c r="AF858" t="str">
        <f t="shared" si="170"/>
        <v>Valid</v>
      </c>
      <c r="AG858" t="str">
        <f t="shared" si="171"/>
        <v>Valid</v>
      </c>
      <c r="AH858" t="str">
        <f t="shared" si="172"/>
        <v>Valid</v>
      </c>
      <c r="AI858" t="str">
        <f t="shared" si="173"/>
        <v>Valid</v>
      </c>
      <c r="AJ858" t="str">
        <f t="shared" si="174"/>
        <v>Valid</v>
      </c>
      <c r="AK858" t="str">
        <f t="shared" si="181"/>
        <v xml:space="preserve">Valid </v>
      </c>
      <c r="AL858" t="str">
        <f>IF(AND(Audit_Data[[#This Row],[Recency]]&gt;=0,Audit_Data[[#This Row],[Recency]]&lt;=100),"Valid","Invalid")</f>
        <v>Valid</v>
      </c>
      <c r="AM858" t="str">
        <f t="shared" si="175"/>
        <v>Valid</v>
      </c>
      <c r="AN858" t="str">
        <f t="shared" si="176"/>
        <v>Valid</v>
      </c>
      <c r="AO858" t="str">
        <f t="shared" si="177"/>
        <v>Valid</v>
      </c>
      <c r="AP858" t="str">
        <f t="shared" si="178"/>
        <v>Valid</v>
      </c>
      <c r="AQ858" t="str">
        <f>IF(Audit_Data[[#This Row],[Z_CostContact]]=3,"Valid","Invalid")</f>
        <v>Valid</v>
      </c>
      <c r="AR858" t="str">
        <f t="shared" si="179"/>
        <v>Valid</v>
      </c>
      <c r="AS858" t="str">
        <f t="shared" si="180"/>
        <v>Valid</v>
      </c>
    </row>
    <row r="859" spans="1:45" x14ac:dyDescent="0.3">
      <c r="A859">
        <v>425</v>
      </c>
      <c r="B859">
        <v>1985</v>
      </c>
      <c r="C859" t="s">
        <v>29</v>
      </c>
      <c r="D859" t="s">
        <v>33</v>
      </c>
      <c r="E859">
        <v>55357</v>
      </c>
      <c r="F859">
        <v>2</v>
      </c>
      <c r="G859">
        <v>0</v>
      </c>
      <c r="H859" s="1">
        <v>41324</v>
      </c>
      <c r="I859">
        <v>66</v>
      </c>
      <c r="J859">
        <v>374</v>
      </c>
      <c r="K859">
        <v>64</v>
      </c>
      <c r="L859">
        <v>116</v>
      </c>
      <c r="M859">
        <v>84</v>
      </c>
      <c r="N859">
        <v>25</v>
      </c>
      <c r="O859">
        <v>64</v>
      </c>
      <c r="P859">
        <v>3</v>
      </c>
      <c r="Q859">
        <v>6</v>
      </c>
      <c r="R859">
        <v>2</v>
      </c>
      <c r="S859">
        <v>11</v>
      </c>
      <c r="T859">
        <v>5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3</v>
      </c>
      <c r="AB859">
        <v>11</v>
      </c>
      <c r="AC859">
        <v>0</v>
      </c>
      <c r="AD859" t="str">
        <f t="shared" si="169"/>
        <v>Ok</v>
      </c>
      <c r="AE859" t="str">
        <f>IF(AND(Audit_Data[[#This Row],[Year_Birth]]&gt;=1900,Audit_Data[[#This Row],[Year_Birth]]&lt;=2010),"OK","Invalid")</f>
        <v>OK</v>
      </c>
      <c r="AF859" t="str">
        <f t="shared" si="170"/>
        <v>Valid</v>
      </c>
      <c r="AG859" t="str">
        <f t="shared" si="171"/>
        <v>Valid</v>
      </c>
      <c r="AH859" t="str">
        <f t="shared" si="172"/>
        <v>Valid</v>
      </c>
      <c r="AI859" t="str">
        <f t="shared" si="173"/>
        <v>Valid</v>
      </c>
      <c r="AJ859" t="str">
        <f t="shared" si="174"/>
        <v>Valid</v>
      </c>
      <c r="AK859" t="str">
        <f t="shared" si="181"/>
        <v xml:space="preserve">Valid </v>
      </c>
      <c r="AL859" t="str">
        <f>IF(AND(Audit_Data[[#This Row],[Recency]]&gt;=0,Audit_Data[[#This Row],[Recency]]&lt;=100),"Valid","Invalid")</f>
        <v>Valid</v>
      </c>
      <c r="AM859" t="str">
        <f t="shared" si="175"/>
        <v>Valid</v>
      </c>
      <c r="AN859" t="str">
        <f t="shared" si="176"/>
        <v>Valid</v>
      </c>
      <c r="AO859" t="str">
        <f t="shared" si="177"/>
        <v>Valid</v>
      </c>
      <c r="AP859" t="str">
        <f t="shared" si="178"/>
        <v>Valid</v>
      </c>
      <c r="AQ859" t="str">
        <f>IF(Audit_Data[[#This Row],[Z_CostContact]]=3,"Valid","Invalid")</f>
        <v>Valid</v>
      </c>
      <c r="AR859" t="str">
        <f t="shared" si="179"/>
        <v>Valid</v>
      </c>
      <c r="AS859" t="str">
        <f t="shared" si="180"/>
        <v>Valid</v>
      </c>
    </row>
    <row r="860" spans="1:45" x14ac:dyDescent="0.3">
      <c r="A860">
        <v>3007</v>
      </c>
      <c r="B860">
        <v>1966</v>
      </c>
      <c r="C860" t="s">
        <v>29</v>
      </c>
      <c r="D860" t="s">
        <v>31</v>
      </c>
      <c r="E860">
        <v>37758</v>
      </c>
      <c r="F860">
        <v>1</v>
      </c>
      <c r="G860">
        <v>1</v>
      </c>
      <c r="H860" s="1">
        <v>41186</v>
      </c>
      <c r="I860">
        <v>49</v>
      </c>
      <c r="J860">
        <v>27</v>
      </c>
      <c r="K860">
        <v>2</v>
      </c>
      <c r="L860">
        <v>10</v>
      </c>
      <c r="M860">
        <v>0</v>
      </c>
      <c r="N860">
        <v>0</v>
      </c>
      <c r="O860">
        <v>1</v>
      </c>
      <c r="P860">
        <v>2</v>
      </c>
      <c r="Q860">
        <v>1</v>
      </c>
      <c r="R860">
        <v>0</v>
      </c>
      <c r="S860">
        <v>3</v>
      </c>
      <c r="T860">
        <v>8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3</v>
      </c>
      <c r="AB860">
        <v>11</v>
      </c>
      <c r="AC860">
        <v>0</v>
      </c>
      <c r="AD860" t="str">
        <f t="shared" si="169"/>
        <v>Ok</v>
      </c>
      <c r="AE860" t="str">
        <f>IF(AND(Audit_Data[[#This Row],[Year_Birth]]&gt;=1900,Audit_Data[[#This Row],[Year_Birth]]&lt;=2010),"OK","Invalid")</f>
        <v>OK</v>
      </c>
      <c r="AF860" t="str">
        <f t="shared" si="170"/>
        <v>Valid</v>
      </c>
      <c r="AG860" t="str">
        <f t="shared" si="171"/>
        <v>Valid</v>
      </c>
      <c r="AH860" t="str">
        <f t="shared" si="172"/>
        <v>Valid</v>
      </c>
      <c r="AI860" t="str">
        <f t="shared" si="173"/>
        <v>Valid</v>
      </c>
      <c r="AJ860" t="str">
        <f t="shared" si="174"/>
        <v>Valid</v>
      </c>
      <c r="AK860" t="str">
        <f t="shared" si="181"/>
        <v xml:space="preserve">Valid </v>
      </c>
      <c r="AL860" t="str">
        <f>IF(AND(Audit_Data[[#This Row],[Recency]]&gt;=0,Audit_Data[[#This Row],[Recency]]&lt;=100),"Valid","Invalid")</f>
        <v>Valid</v>
      </c>
      <c r="AM860" t="str">
        <f t="shared" si="175"/>
        <v>Valid</v>
      </c>
      <c r="AN860" t="str">
        <f t="shared" si="176"/>
        <v>Valid</v>
      </c>
      <c r="AO860" t="str">
        <f t="shared" si="177"/>
        <v>Valid</v>
      </c>
      <c r="AP860" t="str">
        <f t="shared" si="178"/>
        <v>Valid</v>
      </c>
      <c r="AQ860" t="str">
        <f>IF(Audit_Data[[#This Row],[Z_CostContact]]=3,"Valid","Invalid")</f>
        <v>Valid</v>
      </c>
      <c r="AR860" t="str">
        <f t="shared" si="179"/>
        <v>Valid</v>
      </c>
      <c r="AS860" t="str">
        <f t="shared" si="180"/>
        <v>Valid</v>
      </c>
    </row>
    <row r="861" spans="1:45" x14ac:dyDescent="0.3">
      <c r="A861">
        <v>1031</v>
      </c>
      <c r="B861">
        <v>1989</v>
      </c>
      <c r="C861" t="s">
        <v>37</v>
      </c>
      <c r="D861" t="s">
        <v>33</v>
      </c>
      <c r="E861">
        <v>85710</v>
      </c>
      <c r="F861">
        <v>0</v>
      </c>
      <c r="G861">
        <v>0</v>
      </c>
      <c r="H861" s="1">
        <v>41399</v>
      </c>
      <c r="I861">
        <v>5</v>
      </c>
      <c r="J861">
        <v>600</v>
      </c>
      <c r="K861">
        <v>20</v>
      </c>
      <c r="L861">
        <v>350</v>
      </c>
      <c r="M861">
        <v>29</v>
      </c>
      <c r="N861">
        <v>30</v>
      </c>
      <c r="O861">
        <v>33</v>
      </c>
      <c r="P861">
        <v>1</v>
      </c>
      <c r="Q861">
        <v>6</v>
      </c>
      <c r="R861">
        <v>9</v>
      </c>
      <c r="S861">
        <v>10</v>
      </c>
      <c r="T861">
        <v>2</v>
      </c>
      <c r="U861">
        <v>0</v>
      </c>
      <c r="V861">
        <v>0</v>
      </c>
      <c r="W861">
        <v>1</v>
      </c>
      <c r="X861">
        <v>0</v>
      </c>
      <c r="Y861">
        <v>0</v>
      </c>
      <c r="Z861">
        <v>0</v>
      </c>
      <c r="AA861">
        <v>3</v>
      </c>
      <c r="AB861">
        <v>11</v>
      </c>
      <c r="AC861">
        <v>0</v>
      </c>
      <c r="AD861" t="str">
        <f t="shared" si="169"/>
        <v>Ok</v>
      </c>
      <c r="AE861" t="str">
        <f>IF(AND(Audit_Data[[#This Row],[Year_Birth]]&gt;=1900,Audit_Data[[#This Row],[Year_Birth]]&lt;=2010),"OK","Invalid")</f>
        <v>OK</v>
      </c>
      <c r="AF861" t="str">
        <f t="shared" si="170"/>
        <v>Valid</v>
      </c>
      <c r="AG861" t="str">
        <f t="shared" si="171"/>
        <v>Valid</v>
      </c>
      <c r="AH861" t="str">
        <f t="shared" si="172"/>
        <v>Valid</v>
      </c>
      <c r="AI861" t="str">
        <f t="shared" si="173"/>
        <v>Valid</v>
      </c>
      <c r="AJ861" t="str">
        <f t="shared" si="174"/>
        <v>Valid</v>
      </c>
      <c r="AK861" t="str">
        <f t="shared" si="181"/>
        <v xml:space="preserve">Valid </v>
      </c>
      <c r="AL861" t="str">
        <f>IF(AND(Audit_Data[[#This Row],[Recency]]&gt;=0,Audit_Data[[#This Row],[Recency]]&lt;=100),"Valid","Invalid")</f>
        <v>Valid</v>
      </c>
      <c r="AM861" t="str">
        <f t="shared" si="175"/>
        <v>Valid</v>
      </c>
      <c r="AN861" t="str">
        <f t="shared" si="176"/>
        <v>Valid</v>
      </c>
      <c r="AO861" t="str">
        <f t="shared" si="177"/>
        <v>Valid</v>
      </c>
      <c r="AP861" t="str">
        <f t="shared" si="178"/>
        <v>Valid</v>
      </c>
      <c r="AQ861" t="str">
        <f>IF(Audit_Data[[#This Row],[Z_CostContact]]=3,"Valid","Invalid")</f>
        <v>Valid</v>
      </c>
      <c r="AR861" t="str">
        <f t="shared" si="179"/>
        <v>Valid</v>
      </c>
      <c r="AS861" t="str">
        <f t="shared" si="180"/>
        <v>Valid</v>
      </c>
    </row>
    <row r="862" spans="1:45" x14ac:dyDescent="0.3">
      <c r="A862">
        <v>4297</v>
      </c>
      <c r="B862">
        <v>1969</v>
      </c>
      <c r="C862" t="s">
        <v>29</v>
      </c>
      <c r="D862" t="s">
        <v>31</v>
      </c>
      <c r="E862">
        <v>23228</v>
      </c>
      <c r="F862">
        <v>1</v>
      </c>
      <c r="G862">
        <v>0</v>
      </c>
      <c r="H862" s="1">
        <v>41665</v>
      </c>
      <c r="I862">
        <v>71</v>
      </c>
      <c r="J862">
        <v>13</v>
      </c>
      <c r="K862">
        <v>2</v>
      </c>
      <c r="L862">
        <v>18</v>
      </c>
      <c r="M862">
        <v>6</v>
      </c>
      <c r="N862">
        <v>1</v>
      </c>
      <c r="O862">
        <v>0</v>
      </c>
      <c r="P862">
        <v>2</v>
      </c>
      <c r="Q862">
        <v>2</v>
      </c>
      <c r="R862">
        <v>0</v>
      </c>
      <c r="S862">
        <v>3</v>
      </c>
      <c r="T862">
        <v>8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3</v>
      </c>
      <c r="AB862">
        <v>11</v>
      </c>
      <c r="AC862">
        <v>0</v>
      </c>
      <c r="AD862" t="str">
        <f t="shared" si="169"/>
        <v>Ok</v>
      </c>
      <c r="AE862" t="str">
        <f>IF(AND(Audit_Data[[#This Row],[Year_Birth]]&gt;=1900,Audit_Data[[#This Row],[Year_Birth]]&lt;=2010),"OK","Invalid")</f>
        <v>OK</v>
      </c>
      <c r="AF862" t="str">
        <f t="shared" si="170"/>
        <v>Valid</v>
      </c>
      <c r="AG862" t="str">
        <f t="shared" si="171"/>
        <v>Valid</v>
      </c>
      <c r="AH862" t="str">
        <f t="shared" si="172"/>
        <v>Valid</v>
      </c>
      <c r="AI862" t="str">
        <f t="shared" si="173"/>
        <v>Valid</v>
      </c>
      <c r="AJ862" t="str">
        <f t="shared" si="174"/>
        <v>Valid</v>
      </c>
      <c r="AK862" t="str">
        <f t="shared" si="181"/>
        <v xml:space="preserve">Valid </v>
      </c>
      <c r="AL862" t="str">
        <f>IF(AND(Audit_Data[[#This Row],[Recency]]&gt;=0,Audit_Data[[#This Row],[Recency]]&lt;=100),"Valid","Invalid")</f>
        <v>Valid</v>
      </c>
      <c r="AM862" t="str">
        <f t="shared" si="175"/>
        <v>Valid</v>
      </c>
      <c r="AN862" t="str">
        <f t="shared" si="176"/>
        <v>Valid</v>
      </c>
      <c r="AO862" t="str">
        <f t="shared" si="177"/>
        <v>Valid</v>
      </c>
      <c r="AP862" t="str">
        <f t="shared" si="178"/>
        <v>Valid</v>
      </c>
      <c r="AQ862" t="str">
        <f>IF(Audit_Data[[#This Row],[Z_CostContact]]=3,"Valid","Invalid")</f>
        <v>Valid</v>
      </c>
      <c r="AR862" t="str">
        <f t="shared" si="179"/>
        <v>Valid</v>
      </c>
      <c r="AS862" t="str">
        <f t="shared" si="180"/>
        <v>Valid</v>
      </c>
    </row>
    <row r="863" spans="1:45" x14ac:dyDescent="0.3">
      <c r="A863">
        <v>807</v>
      </c>
      <c r="B863">
        <v>1969</v>
      </c>
      <c r="C863" t="s">
        <v>34</v>
      </c>
      <c r="D863" t="s">
        <v>31</v>
      </c>
      <c r="E863">
        <v>44602</v>
      </c>
      <c r="F863">
        <v>1</v>
      </c>
      <c r="G863">
        <v>1</v>
      </c>
      <c r="H863" s="1">
        <v>41685</v>
      </c>
      <c r="I863">
        <v>35</v>
      </c>
      <c r="J863">
        <v>167</v>
      </c>
      <c r="K863">
        <v>2</v>
      </c>
      <c r="L863">
        <v>89</v>
      </c>
      <c r="M863">
        <v>0</v>
      </c>
      <c r="N863">
        <v>0</v>
      </c>
      <c r="O863">
        <v>34</v>
      </c>
      <c r="P863">
        <v>6</v>
      </c>
      <c r="Q863">
        <v>6</v>
      </c>
      <c r="R863">
        <v>1</v>
      </c>
      <c r="S863">
        <v>4</v>
      </c>
      <c r="T863">
        <v>8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3</v>
      </c>
      <c r="AB863">
        <v>11</v>
      </c>
      <c r="AC863">
        <v>0</v>
      </c>
      <c r="AD863" t="str">
        <f t="shared" si="169"/>
        <v>Ok</v>
      </c>
      <c r="AE863" t="str">
        <f>IF(AND(Audit_Data[[#This Row],[Year_Birth]]&gt;=1900,Audit_Data[[#This Row],[Year_Birth]]&lt;=2010),"OK","Invalid")</f>
        <v>OK</v>
      </c>
      <c r="AF863" t="str">
        <f t="shared" si="170"/>
        <v>Valid</v>
      </c>
      <c r="AG863" t="str">
        <f t="shared" si="171"/>
        <v>Valid</v>
      </c>
      <c r="AH863" t="str">
        <f t="shared" si="172"/>
        <v>Valid</v>
      </c>
      <c r="AI863" t="str">
        <f t="shared" si="173"/>
        <v>Valid</v>
      </c>
      <c r="AJ863" t="str">
        <f t="shared" si="174"/>
        <v>Valid</v>
      </c>
      <c r="AK863" t="str">
        <f t="shared" si="181"/>
        <v xml:space="preserve">Valid </v>
      </c>
      <c r="AL863" t="str">
        <f>IF(AND(Audit_Data[[#This Row],[Recency]]&gt;=0,Audit_Data[[#This Row],[Recency]]&lt;=100),"Valid","Invalid")</f>
        <v>Valid</v>
      </c>
      <c r="AM863" t="str">
        <f t="shared" si="175"/>
        <v>Valid</v>
      </c>
      <c r="AN863" t="str">
        <f t="shared" si="176"/>
        <v>Valid</v>
      </c>
      <c r="AO863" t="str">
        <f t="shared" si="177"/>
        <v>Valid</v>
      </c>
      <c r="AP863" t="str">
        <f t="shared" si="178"/>
        <v>Valid</v>
      </c>
      <c r="AQ863" t="str">
        <f>IF(Audit_Data[[#This Row],[Z_CostContact]]=3,"Valid","Invalid")</f>
        <v>Valid</v>
      </c>
      <c r="AR863" t="str">
        <f t="shared" si="179"/>
        <v>Valid</v>
      </c>
      <c r="AS863" t="str">
        <f t="shared" si="180"/>
        <v>Valid</v>
      </c>
    </row>
    <row r="864" spans="1:45" x14ac:dyDescent="0.3">
      <c r="A864">
        <v>9553</v>
      </c>
      <c r="B864">
        <v>1987</v>
      </c>
      <c r="C864" t="s">
        <v>29</v>
      </c>
      <c r="D864" t="s">
        <v>33</v>
      </c>
      <c r="E864">
        <v>7500</v>
      </c>
      <c r="F864">
        <v>0</v>
      </c>
      <c r="G864">
        <v>0</v>
      </c>
      <c r="H864" s="1">
        <v>41283</v>
      </c>
      <c r="I864">
        <v>94</v>
      </c>
      <c r="J864">
        <v>0</v>
      </c>
      <c r="K864">
        <v>2</v>
      </c>
      <c r="L864">
        <v>3</v>
      </c>
      <c r="M864">
        <v>4</v>
      </c>
      <c r="N864">
        <v>1</v>
      </c>
      <c r="O864">
        <v>5</v>
      </c>
      <c r="P864">
        <v>1</v>
      </c>
      <c r="Q864">
        <v>0</v>
      </c>
      <c r="R864">
        <v>0</v>
      </c>
      <c r="S864">
        <v>3</v>
      </c>
      <c r="T864">
        <v>6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3</v>
      </c>
      <c r="AB864">
        <v>11</v>
      </c>
      <c r="AC864">
        <v>0</v>
      </c>
      <c r="AD864" t="str">
        <f t="shared" si="169"/>
        <v>Ok</v>
      </c>
      <c r="AE864" t="str">
        <f>IF(AND(Audit_Data[[#This Row],[Year_Birth]]&gt;=1900,Audit_Data[[#This Row],[Year_Birth]]&lt;=2010),"OK","Invalid")</f>
        <v>OK</v>
      </c>
      <c r="AF864" t="str">
        <f t="shared" si="170"/>
        <v>Valid</v>
      </c>
      <c r="AG864" t="str">
        <f t="shared" si="171"/>
        <v>Valid</v>
      </c>
      <c r="AH864" t="str">
        <f t="shared" si="172"/>
        <v>Valid</v>
      </c>
      <c r="AI864" t="str">
        <f t="shared" si="173"/>
        <v>Valid</v>
      </c>
      <c r="AJ864" t="str">
        <f t="shared" si="174"/>
        <v>Valid</v>
      </c>
      <c r="AK864" t="str">
        <f t="shared" si="181"/>
        <v xml:space="preserve">Valid </v>
      </c>
      <c r="AL864" t="str">
        <f>IF(AND(Audit_Data[[#This Row],[Recency]]&gt;=0,Audit_Data[[#This Row],[Recency]]&lt;=100),"Valid","Invalid")</f>
        <v>Valid</v>
      </c>
      <c r="AM864" t="str">
        <f t="shared" si="175"/>
        <v>Valid</v>
      </c>
      <c r="AN864" t="str">
        <f t="shared" si="176"/>
        <v>Valid</v>
      </c>
      <c r="AO864" t="str">
        <f t="shared" si="177"/>
        <v>Valid</v>
      </c>
      <c r="AP864" t="str">
        <f t="shared" si="178"/>
        <v>Valid</v>
      </c>
      <c r="AQ864" t="str">
        <f>IF(Audit_Data[[#This Row],[Z_CostContact]]=3,"Valid","Invalid")</f>
        <v>Valid</v>
      </c>
      <c r="AR864" t="str">
        <f t="shared" si="179"/>
        <v>Valid</v>
      </c>
      <c r="AS864" t="str">
        <f t="shared" si="180"/>
        <v>Valid</v>
      </c>
    </row>
    <row r="865" spans="1:45" x14ac:dyDescent="0.3">
      <c r="A865">
        <v>4271</v>
      </c>
      <c r="B865">
        <v>1989</v>
      </c>
      <c r="C865" t="s">
        <v>37</v>
      </c>
      <c r="D865" t="s">
        <v>31</v>
      </c>
      <c r="E865">
        <v>38683</v>
      </c>
      <c r="F865">
        <v>1</v>
      </c>
      <c r="G865">
        <v>0</v>
      </c>
      <c r="H865" s="1">
        <v>41186</v>
      </c>
      <c r="I865">
        <v>80</v>
      </c>
      <c r="J865">
        <v>46</v>
      </c>
      <c r="K865">
        <v>35</v>
      </c>
      <c r="L865">
        <v>69</v>
      </c>
      <c r="M865">
        <v>84</v>
      </c>
      <c r="N865">
        <v>41</v>
      </c>
      <c r="O865">
        <v>66</v>
      </c>
      <c r="P865">
        <v>6</v>
      </c>
      <c r="Q865">
        <v>4</v>
      </c>
      <c r="R865">
        <v>1</v>
      </c>
      <c r="S865">
        <v>6</v>
      </c>
      <c r="T865">
        <v>7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3</v>
      </c>
      <c r="AB865">
        <v>11</v>
      </c>
      <c r="AC865">
        <v>0</v>
      </c>
      <c r="AD865" t="str">
        <f t="shared" si="169"/>
        <v>Ok</v>
      </c>
      <c r="AE865" t="str">
        <f>IF(AND(Audit_Data[[#This Row],[Year_Birth]]&gt;=1900,Audit_Data[[#This Row],[Year_Birth]]&lt;=2010),"OK","Invalid")</f>
        <v>OK</v>
      </c>
      <c r="AF865" t="str">
        <f t="shared" si="170"/>
        <v>Valid</v>
      </c>
      <c r="AG865" t="str">
        <f t="shared" si="171"/>
        <v>Valid</v>
      </c>
      <c r="AH865" t="str">
        <f t="shared" si="172"/>
        <v>Valid</v>
      </c>
      <c r="AI865" t="str">
        <f t="shared" si="173"/>
        <v>Valid</v>
      </c>
      <c r="AJ865" t="str">
        <f t="shared" si="174"/>
        <v>Valid</v>
      </c>
      <c r="AK865" t="str">
        <f t="shared" si="181"/>
        <v xml:space="preserve">Valid </v>
      </c>
      <c r="AL865" t="str">
        <f>IF(AND(Audit_Data[[#This Row],[Recency]]&gt;=0,Audit_Data[[#This Row],[Recency]]&lt;=100),"Valid","Invalid")</f>
        <v>Valid</v>
      </c>
      <c r="AM865" t="str">
        <f t="shared" si="175"/>
        <v>Valid</v>
      </c>
      <c r="AN865" t="str">
        <f t="shared" si="176"/>
        <v>Valid</v>
      </c>
      <c r="AO865" t="str">
        <f t="shared" si="177"/>
        <v>Valid</v>
      </c>
      <c r="AP865" t="str">
        <f t="shared" si="178"/>
        <v>Valid</v>
      </c>
      <c r="AQ865" t="str">
        <f>IF(Audit_Data[[#This Row],[Z_CostContact]]=3,"Valid","Invalid")</f>
        <v>Valid</v>
      </c>
      <c r="AR865" t="str">
        <f t="shared" si="179"/>
        <v>Valid</v>
      </c>
      <c r="AS865" t="str">
        <f t="shared" si="180"/>
        <v>Valid</v>
      </c>
    </row>
    <row r="866" spans="1:45" x14ac:dyDescent="0.3">
      <c r="A866">
        <v>4120</v>
      </c>
      <c r="B866">
        <v>1975</v>
      </c>
      <c r="C866" t="s">
        <v>37</v>
      </c>
      <c r="D866" t="s">
        <v>30</v>
      </c>
      <c r="E866">
        <v>49514</v>
      </c>
      <c r="F866">
        <v>1</v>
      </c>
      <c r="G866">
        <v>0</v>
      </c>
      <c r="H866" s="1">
        <v>41625</v>
      </c>
      <c r="I866">
        <v>61</v>
      </c>
      <c r="J866">
        <v>88</v>
      </c>
      <c r="K866">
        <v>39</v>
      </c>
      <c r="L866">
        <v>78</v>
      </c>
      <c r="M866">
        <v>58</v>
      </c>
      <c r="N866">
        <v>13</v>
      </c>
      <c r="O866">
        <v>93</v>
      </c>
      <c r="P866">
        <v>2</v>
      </c>
      <c r="Q866">
        <v>6</v>
      </c>
      <c r="R866">
        <v>1</v>
      </c>
      <c r="S866">
        <v>4</v>
      </c>
      <c r="T866">
        <v>7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3</v>
      </c>
      <c r="AB866">
        <v>11</v>
      </c>
      <c r="AC866">
        <v>0</v>
      </c>
      <c r="AD866" t="str">
        <f t="shared" si="169"/>
        <v>Ok</v>
      </c>
      <c r="AE866" t="str">
        <f>IF(AND(Audit_Data[[#This Row],[Year_Birth]]&gt;=1900,Audit_Data[[#This Row],[Year_Birth]]&lt;=2010),"OK","Invalid")</f>
        <v>OK</v>
      </c>
      <c r="AF866" t="str">
        <f t="shared" si="170"/>
        <v>Valid</v>
      </c>
      <c r="AG866" t="str">
        <f t="shared" si="171"/>
        <v>Valid</v>
      </c>
      <c r="AH866" t="str">
        <f t="shared" si="172"/>
        <v>Valid</v>
      </c>
      <c r="AI866" t="str">
        <f t="shared" si="173"/>
        <v>Valid</v>
      </c>
      <c r="AJ866" t="str">
        <f t="shared" si="174"/>
        <v>Valid</v>
      </c>
      <c r="AK866" t="str">
        <f t="shared" si="181"/>
        <v xml:space="preserve">Valid </v>
      </c>
      <c r="AL866" t="str">
        <f>IF(AND(Audit_Data[[#This Row],[Recency]]&gt;=0,Audit_Data[[#This Row],[Recency]]&lt;=100),"Valid","Invalid")</f>
        <v>Valid</v>
      </c>
      <c r="AM866" t="str">
        <f t="shared" si="175"/>
        <v>Valid</v>
      </c>
      <c r="AN866" t="str">
        <f t="shared" si="176"/>
        <v>Valid</v>
      </c>
      <c r="AO866" t="str">
        <f t="shared" si="177"/>
        <v>Valid</v>
      </c>
      <c r="AP866" t="str">
        <f t="shared" si="178"/>
        <v>Valid</v>
      </c>
      <c r="AQ866" t="str">
        <f>IF(Audit_Data[[#This Row],[Z_CostContact]]=3,"Valid","Invalid")</f>
        <v>Valid</v>
      </c>
      <c r="AR866" t="str">
        <f t="shared" si="179"/>
        <v>Valid</v>
      </c>
      <c r="AS866" t="str">
        <f t="shared" si="180"/>
        <v>Valid</v>
      </c>
    </row>
    <row r="867" spans="1:45" x14ac:dyDescent="0.3">
      <c r="A867">
        <v>2036</v>
      </c>
      <c r="B867">
        <v>1973</v>
      </c>
      <c r="C867" t="s">
        <v>32</v>
      </c>
      <c r="D867" t="s">
        <v>31</v>
      </c>
      <c r="E867">
        <v>57906</v>
      </c>
      <c r="F867">
        <v>0</v>
      </c>
      <c r="G867">
        <v>1</v>
      </c>
      <c r="H867" s="1">
        <v>41436</v>
      </c>
      <c r="I867">
        <v>29</v>
      </c>
      <c r="J867">
        <v>243</v>
      </c>
      <c r="K867">
        <v>11</v>
      </c>
      <c r="L867">
        <v>119</v>
      </c>
      <c r="M867">
        <v>10</v>
      </c>
      <c r="N867">
        <v>3</v>
      </c>
      <c r="O867">
        <v>15</v>
      </c>
      <c r="P867">
        <v>3</v>
      </c>
      <c r="Q867">
        <v>4</v>
      </c>
      <c r="R867">
        <v>2</v>
      </c>
      <c r="S867">
        <v>8</v>
      </c>
      <c r="T867">
        <v>4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3</v>
      </c>
      <c r="AB867">
        <v>11</v>
      </c>
      <c r="AC867">
        <v>0</v>
      </c>
      <c r="AD867" t="str">
        <f t="shared" si="169"/>
        <v>Ok</v>
      </c>
      <c r="AE867" t="str">
        <f>IF(AND(Audit_Data[[#This Row],[Year_Birth]]&gt;=1900,Audit_Data[[#This Row],[Year_Birth]]&lt;=2010),"OK","Invalid")</f>
        <v>OK</v>
      </c>
      <c r="AF867" t="str">
        <f t="shared" si="170"/>
        <v>Valid</v>
      </c>
      <c r="AG867" t="str">
        <f t="shared" si="171"/>
        <v>Valid</v>
      </c>
      <c r="AH867" t="str">
        <f t="shared" si="172"/>
        <v>Valid</v>
      </c>
      <c r="AI867" t="str">
        <f t="shared" si="173"/>
        <v>Valid</v>
      </c>
      <c r="AJ867" t="str">
        <f t="shared" si="174"/>
        <v>Valid</v>
      </c>
      <c r="AK867" t="str">
        <f t="shared" si="181"/>
        <v xml:space="preserve">Valid </v>
      </c>
      <c r="AL867" t="str">
        <f>IF(AND(Audit_Data[[#This Row],[Recency]]&gt;=0,Audit_Data[[#This Row],[Recency]]&lt;=100),"Valid","Invalid")</f>
        <v>Valid</v>
      </c>
      <c r="AM867" t="str">
        <f t="shared" si="175"/>
        <v>Valid</v>
      </c>
      <c r="AN867" t="str">
        <f t="shared" si="176"/>
        <v>Valid</v>
      </c>
      <c r="AO867" t="str">
        <f t="shared" si="177"/>
        <v>Valid</v>
      </c>
      <c r="AP867" t="str">
        <f t="shared" si="178"/>
        <v>Valid</v>
      </c>
      <c r="AQ867" t="str">
        <f>IF(Audit_Data[[#This Row],[Z_CostContact]]=3,"Valid","Invalid")</f>
        <v>Valid</v>
      </c>
      <c r="AR867" t="str">
        <f t="shared" si="179"/>
        <v>Valid</v>
      </c>
      <c r="AS867" t="str">
        <f t="shared" si="180"/>
        <v>Valid</v>
      </c>
    </row>
    <row r="868" spans="1:45" x14ac:dyDescent="0.3">
      <c r="A868">
        <v>115</v>
      </c>
      <c r="B868">
        <v>1966</v>
      </c>
      <c r="C868" t="s">
        <v>34</v>
      </c>
      <c r="D868" t="s">
        <v>30</v>
      </c>
      <c r="E868">
        <v>43456</v>
      </c>
      <c r="F868">
        <v>0</v>
      </c>
      <c r="G868">
        <v>1</v>
      </c>
      <c r="H868" s="1">
        <v>41359</v>
      </c>
      <c r="I868">
        <v>0</v>
      </c>
      <c r="J868">
        <v>275</v>
      </c>
      <c r="K868">
        <v>11</v>
      </c>
      <c r="L868">
        <v>68</v>
      </c>
      <c r="M868">
        <v>25</v>
      </c>
      <c r="N868">
        <v>7</v>
      </c>
      <c r="O868">
        <v>7</v>
      </c>
      <c r="P868">
        <v>3</v>
      </c>
      <c r="Q868">
        <v>5</v>
      </c>
      <c r="R868">
        <v>1</v>
      </c>
      <c r="S868">
        <v>8</v>
      </c>
      <c r="T868">
        <v>5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3</v>
      </c>
      <c r="AB868">
        <v>11</v>
      </c>
      <c r="AC868">
        <v>0</v>
      </c>
      <c r="AD868" t="str">
        <f t="shared" si="169"/>
        <v>Ok</v>
      </c>
      <c r="AE868" t="str">
        <f>IF(AND(Audit_Data[[#This Row],[Year_Birth]]&gt;=1900,Audit_Data[[#This Row],[Year_Birth]]&lt;=2010),"OK","Invalid")</f>
        <v>OK</v>
      </c>
      <c r="AF868" t="str">
        <f t="shared" si="170"/>
        <v>Valid</v>
      </c>
      <c r="AG868" t="str">
        <f t="shared" si="171"/>
        <v>Valid</v>
      </c>
      <c r="AH868" t="str">
        <f t="shared" si="172"/>
        <v>Valid</v>
      </c>
      <c r="AI868" t="str">
        <f t="shared" si="173"/>
        <v>Valid</v>
      </c>
      <c r="AJ868" t="str">
        <f t="shared" si="174"/>
        <v>Valid</v>
      </c>
      <c r="AK868" t="str">
        <f t="shared" si="181"/>
        <v xml:space="preserve">Valid </v>
      </c>
      <c r="AL868" t="str">
        <f>IF(AND(Audit_Data[[#This Row],[Recency]]&gt;=0,Audit_Data[[#This Row],[Recency]]&lt;=100),"Valid","Invalid")</f>
        <v>Valid</v>
      </c>
      <c r="AM868" t="str">
        <f t="shared" si="175"/>
        <v>Valid</v>
      </c>
      <c r="AN868" t="str">
        <f t="shared" si="176"/>
        <v>Valid</v>
      </c>
      <c r="AO868" t="str">
        <f t="shared" si="177"/>
        <v>Valid</v>
      </c>
      <c r="AP868" t="str">
        <f t="shared" si="178"/>
        <v>Valid</v>
      </c>
      <c r="AQ868" t="str">
        <f>IF(Audit_Data[[#This Row],[Z_CostContact]]=3,"Valid","Invalid")</f>
        <v>Valid</v>
      </c>
      <c r="AR868" t="str">
        <f t="shared" si="179"/>
        <v>Valid</v>
      </c>
      <c r="AS868" t="str">
        <f t="shared" si="180"/>
        <v>Valid</v>
      </c>
    </row>
    <row r="869" spans="1:45" x14ac:dyDescent="0.3">
      <c r="A869">
        <v>4259</v>
      </c>
      <c r="B869">
        <v>1986</v>
      </c>
      <c r="C869" t="s">
        <v>34</v>
      </c>
      <c r="D869" t="s">
        <v>30</v>
      </c>
      <c r="E869">
        <v>19485</v>
      </c>
      <c r="F869">
        <v>2</v>
      </c>
      <c r="G869">
        <v>0</v>
      </c>
      <c r="H869" s="1">
        <v>41541</v>
      </c>
      <c r="I869">
        <v>80</v>
      </c>
      <c r="J869">
        <v>6</v>
      </c>
      <c r="K869">
        <v>0</v>
      </c>
      <c r="L869">
        <v>4</v>
      </c>
      <c r="M869">
        <v>0</v>
      </c>
      <c r="N869">
        <v>0</v>
      </c>
      <c r="O869">
        <v>0</v>
      </c>
      <c r="P869">
        <v>1</v>
      </c>
      <c r="Q869">
        <v>1</v>
      </c>
      <c r="R869">
        <v>0</v>
      </c>
      <c r="S869">
        <v>2</v>
      </c>
      <c r="T869">
        <v>7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3</v>
      </c>
      <c r="AB869">
        <v>11</v>
      </c>
      <c r="AC869">
        <v>0</v>
      </c>
      <c r="AD869" t="str">
        <f t="shared" si="169"/>
        <v>Ok</v>
      </c>
      <c r="AE869" t="str">
        <f>IF(AND(Audit_Data[[#This Row],[Year_Birth]]&gt;=1900,Audit_Data[[#This Row],[Year_Birth]]&lt;=2010),"OK","Invalid")</f>
        <v>OK</v>
      </c>
      <c r="AF869" t="str">
        <f t="shared" si="170"/>
        <v>Valid</v>
      </c>
      <c r="AG869" t="str">
        <f t="shared" si="171"/>
        <v>Valid</v>
      </c>
      <c r="AH869" t="str">
        <f t="shared" si="172"/>
        <v>Valid</v>
      </c>
      <c r="AI869" t="str">
        <f t="shared" si="173"/>
        <v>Valid</v>
      </c>
      <c r="AJ869" t="str">
        <f t="shared" si="174"/>
        <v>Valid</v>
      </c>
      <c r="AK869" t="str">
        <f t="shared" si="181"/>
        <v xml:space="preserve">Valid </v>
      </c>
      <c r="AL869" t="str">
        <f>IF(AND(Audit_Data[[#This Row],[Recency]]&gt;=0,Audit_Data[[#This Row],[Recency]]&lt;=100),"Valid","Invalid")</f>
        <v>Valid</v>
      </c>
      <c r="AM869" t="str">
        <f t="shared" si="175"/>
        <v>Valid</v>
      </c>
      <c r="AN869" t="str">
        <f t="shared" si="176"/>
        <v>Valid</v>
      </c>
      <c r="AO869" t="str">
        <f t="shared" si="177"/>
        <v>Valid</v>
      </c>
      <c r="AP869" t="str">
        <f t="shared" si="178"/>
        <v>Valid</v>
      </c>
      <c r="AQ869" t="str">
        <f>IF(Audit_Data[[#This Row],[Z_CostContact]]=3,"Valid","Invalid")</f>
        <v>Valid</v>
      </c>
      <c r="AR869" t="str">
        <f t="shared" si="179"/>
        <v>Valid</v>
      </c>
      <c r="AS869" t="str">
        <f t="shared" si="180"/>
        <v>Valid</v>
      </c>
    </row>
    <row r="870" spans="1:45" x14ac:dyDescent="0.3">
      <c r="A870">
        <v>8687</v>
      </c>
      <c r="B870">
        <v>1978</v>
      </c>
      <c r="C870" t="s">
        <v>29</v>
      </c>
      <c r="D870" t="s">
        <v>31</v>
      </c>
      <c r="E870">
        <v>53172</v>
      </c>
      <c r="F870">
        <v>0</v>
      </c>
      <c r="G870">
        <v>1</v>
      </c>
      <c r="H870" s="1">
        <v>41400</v>
      </c>
      <c r="I870">
        <v>54</v>
      </c>
      <c r="J870">
        <v>121</v>
      </c>
      <c r="K870">
        <v>62</v>
      </c>
      <c r="L870">
        <v>90</v>
      </c>
      <c r="M870">
        <v>68</v>
      </c>
      <c r="N870">
        <v>20</v>
      </c>
      <c r="O870">
        <v>125</v>
      </c>
      <c r="P870">
        <v>3</v>
      </c>
      <c r="Q870">
        <v>2</v>
      </c>
      <c r="R870">
        <v>3</v>
      </c>
      <c r="S870">
        <v>8</v>
      </c>
      <c r="T870">
        <v>3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3</v>
      </c>
      <c r="AB870">
        <v>11</v>
      </c>
      <c r="AC870">
        <v>0</v>
      </c>
      <c r="AD870" t="str">
        <f t="shared" si="169"/>
        <v>Ok</v>
      </c>
      <c r="AE870" t="str">
        <f>IF(AND(Audit_Data[[#This Row],[Year_Birth]]&gt;=1900,Audit_Data[[#This Row],[Year_Birth]]&lt;=2010),"OK","Invalid")</f>
        <v>OK</v>
      </c>
      <c r="AF870" t="str">
        <f t="shared" si="170"/>
        <v>Valid</v>
      </c>
      <c r="AG870" t="str">
        <f t="shared" si="171"/>
        <v>Valid</v>
      </c>
      <c r="AH870" t="str">
        <f t="shared" si="172"/>
        <v>Valid</v>
      </c>
      <c r="AI870" t="str">
        <f t="shared" si="173"/>
        <v>Valid</v>
      </c>
      <c r="AJ870" t="str">
        <f t="shared" si="174"/>
        <v>Valid</v>
      </c>
      <c r="AK870" t="str">
        <f t="shared" si="181"/>
        <v xml:space="preserve">Valid </v>
      </c>
      <c r="AL870" t="str">
        <f>IF(AND(Audit_Data[[#This Row],[Recency]]&gt;=0,Audit_Data[[#This Row],[Recency]]&lt;=100),"Valid","Invalid")</f>
        <v>Valid</v>
      </c>
      <c r="AM870" t="str">
        <f t="shared" si="175"/>
        <v>Valid</v>
      </c>
      <c r="AN870" t="str">
        <f t="shared" si="176"/>
        <v>Valid</v>
      </c>
      <c r="AO870" t="str">
        <f t="shared" si="177"/>
        <v>Valid</v>
      </c>
      <c r="AP870" t="str">
        <f t="shared" si="178"/>
        <v>Valid</v>
      </c>
      <c r="AQ870" t="str">
        <f>IF(Audit_Data[[#This Row],[Z_CostContact]]=3,"Valid","Invalid")</f>
        <v>Valid</v>
      </c>
      <c r="AR870" t="str">
        <f t="shared" si="179"/>
        <v>Valid</v>
      </c>
      <c r="AS870" t="str">
        <f t="shared" si="180"/>
        <v>Valid</v>
      </c>
    </row>
    <row r="871" spans="1:45" x14ac:dyDescent="0.3">
      <c r="A871">
        <v>2447</v>
      </c>
      <c r="B871">
        <v>1979</v>
      </c>
      <c r="C871" t="s">
        <v>29</v>
      </c>
      <c r="D871" t="s">
        <v>31</v>
      </c>
      <c r="E871">
        <v>30545</v>
      </c>
      <c r="F871">
        <v>1</v>
      </c>
      <c r="G871">
        <v>0</v>
      </c>
      <c r="H871" s="1">
        <v>41199</v>
      </c>
      <c r="I871">
        <v>71</v>
      </c>
      <c r="J871">
        <v>4</v>
      </c>
      <c r="K871">
        <v>12</v>
      </c>
      <c r="L871">
        <v>15</v>
      </c>
      <c r="M871">
        <v>19</v>
      </c>
      <c r="N871">
        <v>7</v>
      </c>
      <c r="O871">
        <v>12</v>
      </c>
      <c r="P871">
        <v>2</v>
      </c>
      <c r="Q871">
        <v>2</v>
      </c>
      <c r="R871">
        <v>0</v>
      </c>
      <c r="S871">
        <v>3</v>
      </c>
      <c r="T871">
        <v>7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3</v>
      </c>
      <c r="AB871">
        <v>11</v>
      </c>
      <c r="AC871">
        <v>0</v>
      </c>
      <c r="AD871" t="str">
        <f t="shared" si="169"/>
        <v>Ok</v>
      </c>
      <c r="AE871" t="str">
        <f>IF(AND(Audit_Data[[#This Row],[Year_Birth]]&gt;=1900,Audit_Data[[#This Row],[Year_Birth]]&lt;=2010),"OK","Invalid")</f>
        <v>OK</v>
      </c>
      <c r="AF871" t="str">
        <f t="shared" si="170"/>
        <v>Valid</v>
      </c>
      <c r="AG871" t="str">
        <f t="shared" si="171"/>
        <v>Valid</v>
      </c>
      <c r="AH871" t="str">
        <f t="shared" si="172"/>
        <v>Valid</v>
      </c>
      <c r="AI871" t="str">
        <f t="shared" si="173"/>
        <v>Valid</v>
      </c>
      <c r="AJ871" t="str">
        <f t="shared" si="174"/>
        <v>Valid</v>
      </c>
      <c r="AK871" t="str">
        <f t="shared" si="181"/>
        <v xml:space="preserve">Valid </v>
      </c>
      <c r="AL871" t="str">
        <f>IF(AND(Audit_Data[[#This Row],[Recency]]&gt;=0,Audit_Data[[#This Row],[Recency]]&lt;=100),"Valid","Invalid")</f>
        <v>Valid</v>
      </c>
      <c r="AM871" t="str">
        <f t="shared" si="175"/>
        <v>Valid</v>
      </c>
      <c r="AN871" t="str">
        <f t="shared" si="176"/>
        <v>Valid</v>
      </c>
      <c r="AO871" t="str">
        <f t="shared" si="177"/>
        <v>Valid</v>
      </c>
      <c r="AP871" t="str">
        <f t="shared" si="178"/>
        <v>Valid</v>
      </c>
      <c r="AQ871" t="str">
        <f>IF(Audit_Data[[#This Row],[Z_CostContact]]=3,"Valid","Invalid")</f>
        <v>Valid</v>
      </c>
      <c r="AR871" t="str">
        <f t="shared" si="179"/>
        <v>Valid</v>
      </c>
      <c r="AS871" t="str">
        <f t="shared" si="180"/>
        <v>Valid</v>
      </c>
    </row>
    <row r="872" spans="1:45" x14ac:dyDescent="0.3">
      <c r="A872">
        <v>10140</v>
      </c>
      <c r="B872">
        <v>1983</v>
      </c>
      <c r="C872" t="s">
        <v>32</v>
      </c>
      <c r="D872" t="s">
        <v>31</v>
      </c>
      <c r="E872">
        <v>70123</v>
      </c>
      <c r="F872">
        <v>0</v>
      </c>
      <c r="G872">
        <v>0</v>
      </c>
      <c r="H872" s="1">
        <v>41545</v>
      </c>
      <c r="I872">
        <v>27</v>
      </c>
      <c r="J872">
        <v>1308</v>
      </c>
      <c r="K872">
        <v>0</v>
      </c>
      <c r="L872">
        <v>396</v>
      </c>
      <c r="M872">
        <v>23</v>
      </c>
      <c r="N872">
        <v>0</v>
      </c>
      <c r="O872">
        <v>0</v>
      </c>
      <c r="P872">
        <v>1</v>
      </c>
      <c r="Q872">
        <v>5</v>
      </c>
      <c r="R872">
        <v>7</v>
      </c>
      <c r="S872">
        <v>4</v>
      </c>
      <c r="T872">
        <v>3</v>
      </c>
      <c r="U872">
        <v>0</v>
      </c>
      <c r="V872">
        <v>1</v>
      </c>
      <c r="W872">
        <v>0</v>
      </c>
      <c r="X872">
        <v>0</v>
      </c>
      <c r="Y872">
        <v>1</v>
      </c>
      <c r="Z872">
        <v>0</v>
      </c>
      <c r="AA872">
        <v>3</v>
      </c>
      <c r="AB872">
        <v>11</v>
      </c>
      <c r="AC872">
        <v>0</v>
      </c>
      <c r="AD872" t="str">
        <f t="shared" si="169"/>
        <v>Ok</v>
      </c>
      <c r="AE872" t="str">
        <f>IF(AND(Audit_Data[[#This Row],[Year_Birth]]&gt;=1900,Audit_Data[[#This Row],[Year_Birth]]&lt;=2010),"OK","Invalid")</f>
        <v>OK</v>
      </c>
      <c r="AF872" t="str">
        <f t="shared" si="170"/>
        <v>Valid</v>
      </c>
      <c r="AG872" t="str">
        <f t="shared" si="171"/>
        <v>Valid</v>
      </c>
      <c r="AH872" t="str">
        <f t="shared" si="172"/>
        <v>Valid</v>
      </c>
      <c r="AI872" t="str">
        <f t="shared" si="173"/>
        <v>Valid</v>
      </c>
      <c r="AJ872" t="str">
        <f t="shared" si="174"/>
        <v>Valid</v>
      </c>
      <c r="AK872" t="str">
        <f t="shared" si="181"/>
        <v xml:space="preserve">Valid </v>
      </c>
      <c r="AL872" t="str">
        <f>IF(AND(Audit_Data[[#This Row],[Recency]]&gt;=0,Audit_Data[[#This Row],[Recency]]&lt;=100),"Valid","Invalid")</f>
        <v>Valid</v>
      </c>
      <c r="AM872" t="str">
        <f t="shared" si="175"/>
        <v>Valid</v>
      </c>
      <c r="AN872" t="str">
        <f t="shared" si="176"/>
        <v>Valid</v>
      </c>
      <c r="AO872" t="str">
        <f t="shared" si="177"/>
        <v>Valid</v>
      </c>
      <c r="AP872" t="str">
        <f t="shared" si="178"/>
        <v>Valid</v>
      </c>
      <c r="AQ872" t="str">
        <f>IF(Audit_Data[[#This Row],[Z_CostContact]]=3,"Valid","Invalid")</f>
        <v>Valid</v>
      </c>
      <c r="AR872" t="str">
        <f t="shared" si="179"/>
        <v>Valid</v>
      </c>
      <c r="AS872" t="str">
        <f t="shared" si="180"/>
        <v>Valid</v>
      </c>
    </row>
    <row r="873" spans="1:45" x14ac:dyDescent="0.3">
      <c r="A873">
        <v>9353</v>
      </c>
      <c r="B873">
        <v>1959</v>
      </c>
      <c r="C873" t="s">
        <v>29</v>
      </c>
      <c r="D873" t="s">
        <v>30</v>
      </c>
      <c r="E873">
        <v>62450</v>
      </c>
      <c r="F873">
        <v>0</v>
      </c>
      <c r="G873">
        <v>1</v>
      </c>
      <c r="H873" s="1">
        <v>41645</v>
      </c>
      <c r="I873">
        <v>61</v>
      </c>
      <c r="J873">
        <v>515</v>
      </c>
      <c r="K873">
        <v>47</v>
      </c>
      <c r="L873">
        <v>267</v>
      </c>
      <c r="M873">
        <v>62</v>
      </c>
      <c r="N873">
        <v>66</v>
      </c>
      <c r="O873">
        <v>38</v>
      </c>
      <c r="P873">
        <v>2</v>
      </c>
      <c r="Q873">
        <v>5</v>
      </c>
      <c r="R873">
        <v>5</v>
      </c>
      <c r="S873">
        <v>4</v>
      </c>
      <c r="T873">
        <v>3</v>
      </c>
      <c r="U873">
        <v>0</v>
      </c>
      <c r="V873">
        <v>1</v>
      </c>
      <c r="W873">
        <v>0</v>
      </c>
      <c r="X873">
        <v>0</v>
      </c>
      <c r="Y873">
        <v>0</v>
      </c>
      <c r="Z873">
        <v>0</v>
      </c>
      <c r="AA873">
        <v>3</v>
      </c>
      <c r="AB873">
        <v>11</v>
      </c>
      <c r="AC873">
        <v>0</v>
      </c>
      <c r="AD873" t="str">
        <f t="shared" si="169"/>
        <v>Ok</v>
      </c>
      <c r="AE873" t="str">
        <f>IF(AND(Audit_Data[[#This Row],[Year_Birth]]&gt;=1900,Audit_Data[[#This Row],[Year_Birth]]&lt;=2010),"OK","Invalid")</f>
        <v>OK</v>
      </c>
      <c r="AF873" t="str">
        <f t="shared" si="170"/>
        <v>Valid</v>
      </c>
      <c r="AG873" t="str">
        <f t="shared" si="171"/>
        <v>Valid</v>
      </c>
      <c r="AH873" t="str">
        <f t="shared" si="172"/>
        <v>Valid</v>
      </c>
      <c r="AI873" t="str">
        <f t="shared" si="173"/>
        <v>Valid</v>
      </c>
      <c r="AJ873" t="str">
        <f t="shared" si="174"/>
        <v>Valid</v>
      </c>
      <c r="AK873" t="str">
        <f t="shared" si="181"/>
        <v xml:space="preserve">Valid </v>
      </c>
      <c r="AL873" t="str">
        <f>IF(AND(Audit_Data[[#This Row],[Recency]]&gt;=0,Audit_Data[[#This Row],[Recency]]&lt;=100),"Valid","Invalid")</f>
        <v>Valid</v>
      </c>
      <c r="AM873" t="str">
        <f t="shared" si="175"/>
        <v>Valid</v>
      </c>
      <c r="AN873" t="str">
        <f t="shared" si="176"/>
        <v>Valid</v>
      </c>
      <c r="AO873" t="str">
        <f t="shared" si="177"/>
        <v>Valid</v>
      </c>
      <c r="AP873" t="str">
        <f t="shared" si="178"/>
        <v>Valid</v>
      </c>
      <c r="AQ873" t="str">
        <f>IF(Audit_Data[[#This Row],[Z_CostContact]]=3,"Valid","Invalid")</f>
        <v>Valid</v>
      </c>
      <c r="AR873" t="str">
        <f t="shared" si="179"/>
        <v>Valid</v>
      </c>
      <c r="AS873" t="str">
        <f t="shared" si="180"/>
        <v>Valid</v>
      </c>
    </row>
    <row r="874" spans="1:45" x14ac:dyDescent="0.3">
      <c r="A874">
        <v>3623</v>
      </c>
      <c r="B874">
        <v>1976</v>
      </c>
      <c r="C874" t="s">
        <v>29</v>
      </c>
      <c r="D874" t="s">
        <v>31</v>
      </c>
      <c r="E874">
        <v>21675</v>
      </c>
      <c r="F874">
        <v>1</v>
      </c>
      <c r="G874">
        <v>0</v>
      </c>
      <c r="H874" s="1">
        <v>41801</v>
      </c>
      <c r="I874">
        <v>55</v>
      </c>
      <c r="J874">
        <v>4</v>
      </c>
      <c r="K874">
        <v>0</v>
      </c>
      <c r="L874">
        <v>16</v>
      </c>
      <c r="M874">
        <v>17</v>
      </c>
      <c r="N874">
        <v>4</v>
      </c>
      <c r="O874">
        <v>4</v>
      </c>
      <c r="P874">
        <v>3</v>
      </c>
      <c r="Q874">
        <v>4</v>
      </c>
      <c r="R874">
        <v>0</v>
      </c>
      <c r="S874">
        <v>3</v>
      </c>
      <c r="T874">
        <v>7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3</v>
      </c>
      <c r="AB874">
        <v>11</v>
      </c>
      <c r="AC874">
        <v>0</v>
      </c>
      <c r="AD874" t="str">
        <f t="shared" si="169"/>
        <v>Ok</v>
      </c>
      <c r="AE874" t="str">
        <f>IF(AND(Audit_Data[[#This Row],[Year_Birth]]&gt;=1900,Audit_Data[[#This Row],[Year_Birth]]&lt;=2010),"OK","Invalid")</f>
        <v>OK</v>
      </c>
      <c r="AF874" t="str">
        <f t="shared" si="170"/>
        <v>Valid</v>
      </c>
      <c r="AG874" t="str">
        <f t="shared" si="171"/>
        <v>Valid</v>
      </c>
      <c r="AH874" t="str">
        <f t="shared" si="172"/>
        <v>Valid</v>
      </c>
      <c r="AI874" t="str">
        <f t="shared" si="173"/>
        <v>Valid</v>
      </c>
      <c r="AJ874" t="str">
        <f t="shared" si="174"/>
        <v>Valid</v>
      </c>
      <c r="AK874" t="str">
        <f t="shared" si="181"/>
        <v xml:space="preserve">Valid </v>
      </c>
      <c r="AL874" t="str">
        <f>IF(AND(Audit_Data[[#This Row],[Recency]]&gt;=0,Audit_Data[[#This Row],[Recency]]&lt;=100),"Valid","Invalid")</f>
        <v>Valid</v>
      </c>
      <c r="AM874" t="str">
        <f t="shared" si="175"/>
        <v>Valid</v>
      </c>
      <c r="AN874" t="str">
        <f t="shared" si="176"/>
        <v>Valid</v>
      </c>
      <c r="AO874" t="str">
        <f t="shared" si="177"/>
        <v>Valid</v>
      </c>
      <c r="AP874" t="str">
        <f t="shared" si="178"/>
        <v>Valid</v>
      </c>
      <c r="AQ874" t="str">
        <f>IF(Audit_Data[[#This Row],[Z_CostContact]]=3,"Valid","Invalid")</f>
        <v>Valid</v>
      </c>
      <c r="AR874" t="str">
        <f t="shared" si="179"/>
        <v>Valid</v>
      </c>
      <c r="AS874" t="str">
        <f t="shared" si="180"/>
        <v>Valid</v>
      </c>
    </row>
    <row r="875" spans="1:45" x14ac:dyDescent="0.3">
      <c r="A875">
        <v>738</v>
      </c>
      <c r="B875">
        <v>1981</v>
      </c>
      <c r="C875" t="s">
        <v>37</v>
      </c>
      <c r="D875" t="s">
        <v>30</v>
      </c>
      <c r="E875">
        <v>42395</v>
      </c>
      <c r="F875">
        <v>1</v>
      </c>
      <c r="G875">
        <v>1</v>
      </c>
      <c r="H875" s="1">
        <v>41733</v>
      </c>
      <c r="I875">
        <v>35</v>
      </c>
      <c r="J875">
        <v>48</v>
      </c>
      <c r="K875">
        <v>13</v>
      </c>
      <c r="L875">
        <v>57</v>
      </c>
      <c r="M875">
        <v>24</v>
      </c>
      <c r="N875">
        <v>15</v>
      </c>
      <c r="O875">
        <v>25</v>
      </c>
      <c r="P875">
        <v>4</v>
      </c>
      <c r="Q875">
        <v>3</v>
      </c>
      <c r="R875">
        <v>1</v>
      </c>
      <c r="S875">
        <v>4</v>
      </c>
      <c r="T875">
        <v>7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3</v>
      </c>
      <c r="AB875">
        <v>11</v>
      </c>
      <c r="AC875">
        <v>0</v>
      </c>
      <c r="AD875" t="str">
        <f t="shared" si="169"/>
        <v>Ok</v>
      </c>
      <c r="AE875" t="str">
        <f>IF(AND(Audit_Data[[#This Row],[Year_Birth]]&gt;=1900,Audit_Data[[#This Row],[Year_Birth]]&lt;=2010),"OK","Invalid")</f>
        <v>OK</v>
      </c>
      <c r="AF875" t="str">
        <f t="shared" si="170"/>
        <v>Valid</v>
      </c>
      <c r="AG875" t="str">
        <f t="shared" si="171"/>
        <v>Valid</v>
      </c>
      <c r="AH875" t="str">
        <f t="shared" si="172"/>
        <v>Valid</v>
      </c>
      <c r="AI875" t="str">
        <f t="shared" si="173"/>
        <v>Valid</v>
      </c>
      <c r="AJ875" t="str">
        <f t="shared" si="174"/>
        <v>Valid</v>
      </c>
      <c r="AK875" t="str">
        <f t="shared" si="181"/>
        <v xml:space="preserve">Valid </v>
      </c>
      <c r="AL875" t="str">
        <f>IF(AND(Audit_Data[[#This Row],[Recency]]&gt;=0,Audit_Data[[#This Row],[Recency]]&lt;=100),"Valid","Invalid")</f>
        <v>Valid</v>
      </c>
      <c r="AM875" t="str">
        <f t="shared" si="175"/>
        <v>Valid</v>
      </c>
      <c r="AN875" t="str">
        <f t="shared" si="176"/>
        <v>Valid</v>
      </c>
      <c r="AO875" t="str">
        <f t="shared" si="177"/>
        <v>Valid</v>
      </c>
      <c r="AP875" t="str">
        <f t="shared" si="178"/>
        <v>Valid</v>
      </c>
      <c r="AQ875" t="str">
        <f>IF(Audit_Data[[#This Row],[Z_CostContact]]=3,"Valid","Invalid")</f>
        <v>Valid</v>
      </c>
      <c r="AR875" t="str">
        <f t="shared" si="179"/>
        <v>Valid</v>
      </c>
      <c r="AS875" t="str">
        <f t="shared" si="180"/>
        <v>Valid</v>
      </c>
    </row>
    <row r="876" spans="1:45" x14ac:dyDescent="0.3">
      <c r="A876">
        <v>7631</v>
      </c>
      <c r="B876">
        <v>1978</v>
      </c>
      <c r="C876" t="s">
        <v>34</v>
      </c>
      <c r="D876" t="s">
        <v>31</v>
      </c>
      <c r="E876">
        <v>61346</v>
      </c>
      <c r="F876">
        <v>1</v>
      </c>
      <c r="G876">
        <v>0</v>
      </c>
      <c r="H876" s="1">
        <v>41553</v>
      </c>
      <c r="I876">
        <v>34</v>
      </c>
      <c r="J876">
        <v>562</v>
      </c>
      <c r="K876">
        <v>58</v>
      </c>
      <c r="L876">
        <v>168</v>
      </c>
      <c r="M876">
        <v>43</v>
      </c>
      <c r="N876">
        <v>16</v>
      </c>
      <c r="O876">
        <v>142</v>
      </c>
      <c r="P876">
        <v>1</v>
      </c>
      <c r="Q876">
        <v>5</v>
      </c>
      <c r="R876">
        <v>7</v>
      </c>
      <c r="S876">
        <v>10</v>
      </c>
      <c r="T876">
        <v>3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3</v>
      </c>
      <c r="AB876">
        <v>11</v>
      </c>
      <c r="AC876">
        <v>0</v>
      </c>
      <c r="AD876" t="str">
        <f t="shared" si="169"/>
        <v>Ok</v>
      </c>
      <c r="AE876" t="str">
        <f>IF(AND(Audit_Data[[#This Row],[Year_Birth]]&gt;=1900,Audit_Data[[#This Row],[Year_Birth]]&lt;=2010),"OK","Invalid")</f>
        <v>OK</v>
      </c>
      <c r="AF876" t="str">
        <f t="shared" si="170"/>
        <v>Valid</v>
      </c>
      <c r="AG876" t="str">
        <f t="shared" si="171"/>
        <v>Valid</v>
      </c>
      <c r="AH876" t="str">
        <f t="shared" si="172"/>
        <v>Valid</v>
      </c>
      <c r="AI876" t="str">
        <f t="shared" si="173"/>
        <v>Valid</v>
      </c>
      <c r="AJ876" t="str">
        <f t="shared" si="174"/>
        <v>Valid</v>
      </c>
      <c r="AK876" t="str">
        <f t="shared" si="181"/>
        <v xml:space="preserve">Valid </v>
      </c>
      <c r="AL876" t="str">
        <f>IF(AND(Audit_Data[[#This Row],[Recency]]&gt;=0,Audit_Data[[#This Row],[Recency]]&lt;=100),"Valid","Invalid")</f>
        <v>Valid</v>
      </c>
      <c r="AM876" t="str">
        <f t="shared" si="175"/>
        <v>Valid</v>
      </c>
      <c r="AN876" t="str">
        <f t="shared" si="176"/>
        <v>Valid</v>
      </c>
      <c r="AO876" t="str">
        <f t="shared" si="177"/>
        <v>Valid</v>
      </c>
      <c r="AP876" t="str">
        <f t="shared" si="178"/>
        <v>Valid</v>
      </c>
      <c r="AQ876" t="str">
        <f>IF(Audit_Data[[#This Row],[Z_CostContact]]=3,"Valid","Invalid")</f>
        <v>Valid</v>
      </c>
      <c r="AR876" t="str">
        <f t="shared" si="179"/>
        <v>Valid</v>
      </c>
      <c r="AS876" t="str">
        <f t="shared" si="180"/>
        <v>Valid</v>
      </c>
    </row>
    <row r="877" spans="1:45" x14ac:dyDescent="0.3">
      <c r="A877">
        <v>4789</v>
      </c>
      <c r="B877">
        <v>1953</v>
      </c>
      <c r="C877" t="s">
        <v>29</v>
      </c>
      <c r="D877" t="s">
        <v>31</v>
      </c>
      <c r="E877">
        <v>80812</v>
      </c>
      <c r="F877">
        <v>0</v>
      </c>
      <c r="G877">
        <v>0</v>
      </c>
      <c r="H877" s="1">
        <v>41534</v>
      </c>
      <c r="I877">
        <v>95</v>
      </c>
      <c r="J877">
        <v>769</v>
      </c>
      <c r="K877">
        <v>22</v>
      </c>
      <c r="L877">
        <v>500</v>
      </c>
      <c r="M877">
        <v>210</v>
      </c>
      <c r="N877">
        <v>143</v>
      </c>
      <c r="O877">
        <v>33</v>
      </c>
      <c r="P877">
        <v>1</v>
      </c>
      <c r="Q877">
        <v>4</v>
      </c>
      <c r="R877">
        <v>8</v>
      </c>
      <c r="S877">
        <v>5</v>
      </c>
      <c r="T877">
        <v>2</v>
      </c>
      <c r="U877">
        <v>1</v>
      </c>
      <c r="V877">
        <v>0</v>
      </c>
      <c r="W877">
        <v>1</v>
      </c>
      <c r="X877">
        <v>1</v>
      </c>
      <c r="Y877">
        <v>0</v>
      </c>
      <c r="Z877">
        <v>0</v>
      </c>
      <c r="AA877">
        <v>3</v>
      </c>
      <c r="AB877">
        <v>11</v>
      </c>
      <c r="AC877">
        <v>0</v>
      </c>
      <c r="AD877" t="str">
        <f t="shared" si="169"/>
        <v>Ok</v>
      </c>
      <c r="AE877" t="str">
        <f>IF(AND(Audit_Data[[#This Row],[Year_Birth]]&gt;=1900,Audit_Data[[#This Row],[Year_Birth]]&lt;=2010),"OK","Invalid")</f>
        <v>OK</v>
      </c>
      <c r="AF877" t="str">
        <f t="shared" si="170"/>
        <v>Valid</v>
      </c>
      <c r="AG877" t="str">
        <f t="shared" si="171"/>
        <v>Valid</v>
      </c>
      <c r="AH877" t="str">
        <f t="shared" si="172"/>
        <v>Valid</v>
      </c>
      <c r="AI877" t="str">
        <f t="shared" si="173"/>
        <v>Valid</v>
      </c>
      <c r="AJ877" t="str">
        <f t="shared" si="174"/>
        <v>Valid</v>
      </c>
      <c r="AK877" t="str">
        <f t="shared" si="181"/>
        <v xml:space="preserve">Valid </v>
      </c>
      <c r="AL877" t="str">
        <f>IF(AND(Audit_Data[[#This Row],[Recency]]&gt;=0,Audit_Data[[#This Row],[Recency]]&lt;=100),"Valid","Invalid")</f>
        <v>Valid</v>
      </c>
      <c r="AM877" t="str">
        <f t="shared" si="175"/>
        <v>Valid</v>
      </c>
      <c r="AN877" t="str">
        <f t="shared" si="176"/>
        <v>Valid</v>
      </c>
      <c r="AO877" t="str">
        <f t="shared" si="177"/>
        <v>Valid</v>
      </c>
      <c r="AP877" t="str">
        <f t="shared" si="178"/>
        <v>Valid</v>
      </c>
      <c r="AQ877" t="str">
        <f>IF(Audit_Data[[#This Row],[Z_CostContact]]=3,"Valid","Invalid")</f>
        <v>Valid</v>
      </c>
      <c r="AR877" t="str">
        <f t="shared" si="179"/>
        <v>Valid</v>
      </c>
      <c r="AS877" t="str">
        <f t="shared" si="180"/>
        <v>Valid</v>
      </c>
    </row>
    <row r="878" spans="1:45" x14ac:dyDescent="0.3">
      <c r="A878">
        <v>773</v>
      </c>
      <c r="B878">
        <v>1971</v>
      </c>
      <c r="C878" t="s">
        <v>34</v>
      </c>
      <c r="D878" t="s">
        <v>35</v>
      </c>
      <c r="E878">
        <v>42835</v>
      </c>
      <c r="F878">
        <v>1</v>
      </c>
      <c r="G878">
        <v>1</v>
      </c>
      <c r="H878" s="1">
        <v>41455</v>
      </c>
      <c r="I878">
        <v>64</v>
      </c>
      <c r="J878">
        <v>379</v>
      </c>
      <c r="K878">
        <v>4</v>
      </c>
      <c r="L878">
        <v>93</v>
      </c>
      <c r="M878">
        <v>12</v>
      </c>
      <c r="N878">
        <v>9</v>
      </c>
      <c r="O878">
        <v>98</v>
      </c>
      <c r="P878">
        <v>7</v>
      </c>
      <c r="Q878">
        <v>6</v>
      </c>
      <c r="R878">
        <v>6</v>
      </c>
      <c r="S878">
        <v>4</v>
      </c>
      <c r="T878">
        <v>6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3</v>
      </c>
      <c r="AB878">
        <v>11</v>
      </c>
      <c r="AC878">
        <v>0</v>
      </c>
      <c r="AD878" t="str">
        <f t="shared" si="169"/>
        <v>Ok</v>
      </c>
      <c r="AE878" t="str">
        <f>IF(AND(Audit_Data[[#This Row],[Year_Birth]]&gt;=1900,Audit_Data[[#This Row],[Year_Birth]]&lt;=2010),"OK","Invalid")</f>
        <v>OK</v>
      </c>
      <c r="AF878" t="str">
        <f t="shared" si="170"/>
        <v>Valid</v>
      </c>
      <c r="AG878" t="str">
        <f t="shared" si="171"/>
        <v>Valid</v>
      </c>
      <c r="AH878" t="str">
        <f t="shared" si="172"/>
        <v>Valid</v>
      </c>
      <c r="AI878" t="str">
        <f t="shared" si="173"/>
        <v>Valid</v>
      </c>
      <c r="AJ878" t="str">
        <f t="shared" si="174"/>
        <v>Valid</v>
      </c>
      <c r="AK878" t="str">
        <f t="shared" si="181"/>
        <v xml:space="preserve">Valid </v>
      </c>
      <c r="AL878" t="str">
        <f>IF(AND(Audit_Data[[#This Row],[Recency]]&gt;=0,Audit_Data[[#This Row],[Recency]]&lt;=100),"Valid","Invalid")</f>
        <v>Valid</v>
      </c>
      <c r="AM878" t="str">
        <f t="shared" si="175"/>
        <v>Valid</v>
      </c>
      <c r="AN878" t="str">
        <f t="shared" si="176"/>
        <v>Valid</v>
      </c>
      <c r="AO878" t="str">
        <f t="shared" si="177"/>
        <v>Valid</v>
      </c>
      <c r="AP878" t="str">
        <f t="shared" si="178"/>
        <v>Valid</v>
      </c>
      <c r="AQ878" t="str">
        <f>IF(Audit_Data[[#This Row],[Z_CostContact]]=3,"Valid","Invalid")</f>
        <v>Valid</v>
      </c>
      <c r="AR878" t="str">
        <f t="shared" si="179"/>
        <v>Valid</v>
      </c>
      <c r="AS878" t="str">
        <f t="shared" si="180"/>
        <v>Valid</v>
      </c>
    </row>
    <row r="879" spans="1:45" x14ac:dyDescent="0.3">
      <c r="A879">
        <v>10602</v>
      </c>
      <c r="B879">
        <v>1983</v>
      </c>
      <c r="C879" t="s">
        <v>29</v>
      </c>
      <c r="D879" t="s">
        <v>33</v>
      </c>
      <c r="E879">
        <v>39922</v>
      </c>
      <c r="F879">
        <v>1</v>
      </c>
      <c r="G879">
        <v>0</v>
      </c>
      <c r="H879" s="1">
        <v>41319</v>
      </c>
      <c r="I879">
        <v>30</v>
      </c>
      <c r="J879">
        <v>29</v>
      </c>
      <c r="K879">
        <v>12</v>
      </c>
      <c r="L879">
        <v>59</v>
      </c>
      <c r="M879">
        <v>19</v>
      </c>
      <c r="N879">
        <v>1</v>
      </c>
      <c r="O879">
        <v>36</v>
      </c>
      <c r="P879">
        <v>2</v>
      </c>
      <c r="Q879">
        <v>3</v>
      </c>
      <c r="R879">
        <v>0</v>
      </c>
      <c r="S879">
        <v>4</v>
      </c>
      <c r="T879">
        <v>8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3</v>
      </c>
      <c r="AB879">
        <v>11</v>
      </c>
      <c r="AC879">
        <v>0</v>
      </c>
      <c r="AD879" t="str">
        <f t="shared" si="169"/>
        <v>Ok</v>
      </c>
      <c r="AE879" t="str">
        <f>IF(AND(Audit_Data[[#This Row],[Year_Birth]]&gt;=1900,Audit_Data[[#This Row],[Year_Birth]]&lt;=2010),"OK","Invalid")</f>
        <v>OK</v>
      </c>
      <c r="AF879" t="str">
        <f t="shared" si="170"/>
        <v>Valid</v>
      </c>
      <c r="AG879" t="str">
        <f t="shared" si="171"/>
        <v>Valid</v>
      </c>
      <c r="AH879" t="str">
        <f t="shared" si="172"/>
        <v>Valid</v>
      </c>
      <c r="AI879" t="str">
        <f t="shared" si="173"/>
        <v>Valid</v>
      </c>
      <c r="AJ879" t="str">
        <f t="shared" si="174"/>
        <v>Valid</v>
      </c>
      <c r="AK879" t="str">
        <f t="shared" si="181"/>
        <v xml:space="preserve">Valid </v>
      </c>
      <c r="AL879" t="str">
        <f>IF(AND(Audit_Data[[#This Row],[Recency]]&gt;=0,Audit_Data[[#This Row],[Recency]]&lt;=100),"Valid","Invalid")</f>
        <v>Valid</v>
      </c>
      <c r="AM879" t="str">
        <f t="shared" si="175"/>
        <v>Valid</v>
      </c>
      <c r="AN879" t="str">
        <f t="shared" si="176"/>
        <v>Valid</v>
      </c>
      <c r="AO879" t="str">
        <f t="shared" si="177"/>
        <v>Valid</v>
      </c>
      <c r="AP879" t="str">
        <f t="shared" si="178"/>
        <v>Valid</v>
      </c>
      <c r="AQ879" t="str">
        <f>IF(Audit_Data[[#This Row],[Z_CostContact]]=3,"Valid","Invalid")</f>
        <v>Valid</v>
      </c>
      <c r="AR879" t="str">
        <f t="shared" si="179"/>
        <v>Valid</v>
      </c>
      <c r="AS879" t="str">
        <f t="shared" si="180"/>
        <v>Valid</v>
      </c>
    </row>
    <row r="880" spans="1:45" x14ac:dyDescent="0.3">
      <c r="A880">
        <v>1446</v>
      </c>
      <c r="B880">
        <v>1956</v>
      </c>
      <c r="C880" t="s">
        <v>34</v>
      </c>
      <c r="D880" t="s">
        <v>30</v>
      </c>
      <c r="E880">
        <v>86424</v>
      </c>
      <c r="F880">
        <v>0</v>
      </c>
      <c r="G880">
        <v>0</v>
      </c>
      <c r="H880" s="1">
        <v>41734</v>
      </c>
      <c r="I880">
        <v>12</v>
      </c>
      <c r="J880">
        <v>387</v>
      </c>
      <c r="K880">
        <v>68</v>
      </c>
      <c r="L880">
        <v>569</v>
      </c>
      <c r="M880">
        <v>89</v>
      </c>
      <c r="N880">
        <v>45</v>
      </c>
      <c r="O880">
        <v>68</v>
      </c>
      <c r="P880">
        <v>1</v>
      </c>
      <c r="Q880">
        <v>6</v>
      </c>
      <c r="R880">
        <v>9</v>
      </c>
      <c r="S880">
        <v>12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3</v>
      </c>
      <c r="AB880">
        <v>11</v>
      </c>
      <c r="AC880">
        <v>0</v>
      </c>
      <c r="AD880" t="str">
        <f t="shared" si="169"/>
        <v>Ok</v>
      </c>
      <c r="AE880" t="str">
        <f>IF(AND(Audit_Data[[#This Row],[Year_Birth]]&gt;=1900,Audit_Data[[#This Row],[Year_Birth]]&lt;=2010),"OK","Invalid")</f>
        <v>OK</v>
      </c>
      <c r="AF880" t="str">
        <f t="shared" si="170"/>
        <v>Valid</v>
      </c>
      <c r="AG880" t="str">
        <f t="shared" si="171"/>
        <v>Valid</v>
      </c>
      <c r="AH880" t="str">
        <f t="shared" si="172"/>
        <v>Valid</v>
      </c>
      <c r="AI880" t="str">
        <f t="shared" si="173"/>
        <v>Valid</v>
      </c>
      <c r="AJ880" t="str">
        <f t="shared" si="174"/>
        <v>Valid</v>
      </c>
      <c r="AK880" t="str">
        <f t="shared" si="181"/>
        <v xml:space="preserve">Valid </v>
      </c>
      <c r="AL880" t="str">
        <f>IF(AND(Audit_Data[[#This Row],[Recency]]&gt;=0,Audit_Data[[#This Row],[Recency]]&lt;=100),"Valid","Invalid")</f>
        <v>Valid</v>
      </c>
      <c r="AM880" t="str">
        <f t="shared" si="175"/>
        <v>Valid</v>
      </c>
      <c r="AN880" t="str">
        <f t="shared" si="176"/>
        <v>Valid</v>
      </c>
      <c r="AO880" t="str">
        <f t="shared" si="177"/>
        <v>Valid</v>
      </c>
      <c r="AP880" t="str">
        <f t="shared" si="178"/>
        <v>Valid</v>
      </c>
      <c r="AQ880" t="str">
        <f>IF(Audit_Data[[#This Row],[Z_CostContact]]=3,"Valid","Invalid")</f>
        <v>Valid</v>
      </c>
      <c r="AR880" t="str">
        <f t="shared" si="179"/>
        <v>Valid</v>
      </c>
      <c r="AS880" t="str">
        <f t="shared" si="180"/>
        <v>Valid</v>
      </c>
    </row>
    <row r="881" spans="1:45" x14ac:dyDescent="0.3">
      <c r="A881">
        <v>3270</v>
      </c>
      <c r="B881">
        <v>1978</v>
      </c>
      <c r="C881" t="s">
        <v>37</v>
      </c>
      <c r="D881" t="s">
        <v>31</v>
      </c>
      <c r="E881">
        <v>17117</v>
      </c>
      <c r="F881">
        <v>1</v>
      </c>
      <c r="G881">
        <v>0</v>
      </c>
      <c r="H881" s="1">
        <v>41291</v>
      </c>
      <c r="I881">
        <v>96</v>
      </c>
      <c r="J881">
        <v>12</v>
      </c>
      <c r="K881">
        <v>23</v>
      </c>
      <c r="L881">
        <v>38</v>
      </c>
      <c r="M881">
        <v>30</v>
      </c>
      <c r="N881">
        <v>18</v>
      </c>
      <c r="O881">
        <v>7</v>
      </c>
      <c r="P881">
        <v>4</v>
      </c>
      <c r="Q881">
        <v>3</v>
      </c>
      <c r="R881">
        <v>1</v>
      </c>
      <c r="S881">
        <v>3</v>
      </c>
      <c r="T881">
        <v>9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3</v>
      </c>
      <c r="AB881">
        <v>11</v>
      </c>
      <c r="AC881">
        <v>0</v>
      </c>
      <c r="AD881" t="str">
        <f t="shared" si="169"/>
        <v>Ok</v>
      </c>
      <c r="AE881" t="str">
        <f>IF(AND(Audit_Data[[#This Row],[Year_Birth]]&gt;=1900,Audit_Data[[#This Row],[Year_Birth]]&lt;=2010),"OK","Invalid")</f>
        <v>OK</v>
      </c>
      <c r="AF881" t="str">
        <f t="shared" si="170"/>
        <v>Valid</v>
      </c>
      <c r="AG881" t="str">
        <f t="shared" si="171"/>
        <v>Valid</v>
      </c>
      <c r="AH881" t="str">
        <f t="shared" si="172"/>
        <v>Valid</v>
      </c>
      <c r="AI881" t="str">
        <f t="shared" si="173"/>
        <v>Valid</v>
      </c>
      <c r="AJ881" t="str">
        <f t="shared" si="174"/>
        <v>Valid</v>
      </c>
      <c r="AK881" t="str">
        <f t="shared" si="181"/>
        <v xml:space="preserve">Valid </v>
      </c>
      <c r="AL881" t="str">
        <f>IF(AND(Audit_Data[[#This Row],[Recency]]&gt;=0,Audit_Data[[#This Row],[Recency]]&lt;=100),"Valid","Invalid")</f>
        <v>Valid</v>
      </c>
      <c r="AM881" t="str">
        <f t="shared" si="175"/>
        <v>Valid</v>
      </c>
      <c r="AN881" t="str">
        <f t="shared" si="176"/>
        <v>Valid</v>
      </c>
      <c r="AO881" t="str">
        <f t="shared" si="177"/>
        <v>Valid</v>
      </c>
      <c r="AP881" t="str">
        <f t="shared" si="178"/>
        <v>Valid</v>
      </c>
      <c r="AQ881" t="str">
        <f>IF(Audit_Data[[#This Row],[Z_CostContact]]=3,"Valid","Invalid")</f>
        <v>Valid</v>
      </c>
      <c r="AR881" t="str">
        <f t="shared" si="179"/>
        <v>Valid</v>
      </c>
      <c r="AS881" t="str">
        <f t="shared" si="180"/>
        <v>Valid</v>
      </c>
    </row>
    <row r="882" spans="1:45" x14ac:dyDescent="0.3">
      <c r="A882">
        <v>8443</v>
      </c>
      <c r="B882">
        <v>1972</v>
      </c>
      <c r="C882" t="s">
        <v>29</v>
      </c>
      <c r="D882" t="s">
        <v>30</v>
      </c>
      <c r="E882">
        <v>24762</v>
      </c>
      <c r="F882">
        <v>1</v>
      </c>
      <c r="G882">
        <v>0</v>
      </c>
      <c r="H882" s="1">
        <v>41680</v>
      </c>
      <c r="I882">
        <v>16</v>
      </c>
      <c r="J882">
        <v>6</v>
      </c>
      <c r="K882">
        <v>10</v>
      </c>
      <c r="L882">
        <v>12</v>
      </c>
      <c r="M882">
        <v>3</v>
      </c>
      <c r="N882">
        <v>15</v>
      </c>
      <c r="O882">
        <v>40</v>
      </c>
      <c r="P882">
        <v>3</v>
      </c>
      <c r="Q882">
        <v>3</v>
      </c>
      <c r="R882">
        <v>1</v>
      </c>
      <c r="S882">
        <v>2</v>
      </c>
      <c r="T882">
        <v>8</v>
      </c>
      <c r="U882">
        <v>1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3</v>
      </c>
      <c r="AB882">
        <v>11</v>
      </c>
      <c r="AC882">
        <v>1</v>
      </c>
      <c r="AD882" t="str">
        <f t="shared" si="169"/>
        <v>Ok</v>
      </c>
      <c r="AE882" t="str">
        <f>IF(AND(Audit_Data[[#This Row],[Year_Birth]]&gt;=1900,Audit_Data[[#This Row],[Year_Birth]]&lt;=2010),"OK","Invalid")</f>
        <v>OK</v>
      </c>
      <c r="AF882" t="str">
        <f t="shared" si="170"/>
        <v>Valid</v>
      </c>
      <c r="AG882" t="str">
        <f t="shared" si="171"/>
        <v>Valid</v>
      </c>
      <c r="AH882" t="str">
        <f t="shared" si="172"/>
        <v>Valid</v>
      </c>
      <c r="AI882" t="str">
        <f t="shared" si="173"/>
        <v>Valid</v>
      </c>
      <c r="AJ882" t="str">
        <f t="shared" si="174"/>
        <v>Valid</v>
      </c>
      <c r="AK882" t="str">
        <f t="shared" si="181"/>
        <v xml:space="preserve">Valid </v>
      </c>
      <c r="AL882" t="str">
        <f>IF(AND(Audit_Data[[#This Row],[Recency]]&gt;=0,Audit_Data[[#This Row],[Recency]]&lt;=100),"Valid","Invalid")</f>
        <v>Valid</v>
      </c>
      <c r="AM882" t="str">
        <f t="shared" si="175"/>
        <v>Valid</v>
      </c>
      <c r="AN882" t="str">
        <f t="shared" si="176"/>
        <v>Valid</v>
      </c>
      <c r="AO882" t="str">
        <f t="shared" si="177"/>
        <v>Valid</v>
      </c>
      <c r="AP882" t="str">
        <f t="shared" si="178"/>
        <v>Valid</v>
      </c>
      <c r="AQ882" t="str">
        <f>IF(Audit_Data[[#This Row],[Z_CostContact]]=3,"Valid","Invalid")</f>
        <v>Valid</v>
      </c>
      <c r="AR882" t="str">
        <f t="shared" si="179"/>
        <v>Valid</v>
      </c>
      <c r="AS882" t="str">
        <f t="shared" si="180"/>
        <v>Valid</v>
      </c>
    </row>
    <row r="883" spans="1:45" x14ac:dyDescent="0.3">
      <c r="A883">
        <v>9653</v>
      </c>
      <c r="B883">
        <v>1975</v>
      </c>
      <c r="C883" t="s">
        <v>29</v>
      </c>
      <c r="D883" t="s">
        <v>33</v>
      </c>
      <c r="E883">
        <v>35797</v>
      </c>
      <c r="F883">
        <v>0</v>
      </c>
      <c r="G883">
        <v>1</v>
      </c>
      <c r="H883" s="1">
        <v>41198</v>
      </c>
      <c r="I883">
        <v>16</v>
      </c>
      <c r="J883">
        <v>27</v>
      </c>
      <c r="K883">
        <v>1</v>
      </c>
      <c r="L883">
        <v>14</v>
      </c>
      <c r="M883">
        <v>4</v>
      </c>
      <c r="N883">
        <v>1</v>
      </c>
      <c r="O883">
        <v>21</v>
      </c>
      <c r="P883">
        <v>2</v>
      </c>
      <c r="Q883">
        <v>2</v>
      </c>
      <c r="R883">
        <v>0</v>
      </c>
      <c r="S883">
        <v>3</v>
      </c>
      <c r="T883">
        <v>8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3</v>
      </c>
      <c r="AB883">
        <v>11</v>
      </c>
      <c r="AC883">
        <v>0</v>
      </c>
      <c r="AD883" t="str">
        <f t="shared" si="169"/>
        <v>Ok</v>
      </c>
      <c r="AE883" t="str">
        <f>IF(AND(Audit_Data[[#This Row],[Year_Birth]]&gt;=1900,Audit_Data[[#This Row],[Year_Birth]]&lt;=2010),"OK","Invalid")</f>
        <v>OK</v>
      </c>
      <c r="AF883" t="str">
        <f t="shared" si="170"/>
        <v>Valid</v>
      </c>
      <c r="AG883" t="str">
        <f t="shared" si="171"/>
        <v>Valid</v>
      </c>
      <c r="AH883" t="str">
        <f t="shared" si="172"/>
        <v>Valid</v>
      </c>
      <c r="AI883" t="str">
        <f t="shared" si="173"/>
        <v>Valid</v>
      </c>
      <c r="AJ883" t="str">
        <f t="shared" si="174"/>
        <v>Valid</v>
      </c>
      <c r="AK883" t="str">
        <f t="shared" si="181"/>
        <v xml:space="preserve">Valid </v>
      </c>
      <c r="AL883" t="str">
        <f>IF(AND(Audit_Data[[#This Row],[Recency]]&gt;=0,Audit_Data[[#This Row],[Recency]]&lt;=100),"Valid","Invalid")</f>
        <v>Valid</v>
      </c>
      <c r="AM883" t="str">
        <f t="shared" si="175"/>
        <v>Valid</v>
      </c>
      <c r="AN883" t="str">
        <f t="shared" si="176"/>
        <v>Valid</v>
      </c>
      <c r="AO883" t="str">
        <f t="shared" si="177"/>
        <v>Valid</v>
      </c>
      <c r="AP883" t="str">
        <f t="shared" si="178"/>
        <v>Valid</v>
      </c>
      <c r="AQ883" t="str">
        <f>IF(Audit_Data[[#This Row],[Z_CostContact]]=3,"Valid","Invalid")</f>
        <v>Valid</v>
      </c>
      <c r="AR883" t="str">
        <f t="shared" si="179"/>
        <v>Valid</v>
      </c>
      <c r="AS883" t="str">
        <f t="shared" si="180"/>
        <v>Valid</v>
      </c>
    </row>
    <row r="884" spans="1:45" x14ac:dyDescent="0.3">
      <c r="A884">
        <v>8916</v>
      </c>
      <c r="B884">
        <v>1975</v>
      </c>
      <c r="C884" t="s">
        <v>29</v>
      </c>
      <c r="D884" t="s">
        <v>35</v>
      </c>
      <c r="E884">
        <v>36627</v>
      </c>
      <c r="F884">
        <v>2</v>
      </c>
      <c r="G884">
        <v>0</v>
      </c>
      <c r="H884" s="1">
        <v>41478</v>
      </c>
      <c r="I884">
        <v>78</v>
      </c>
      <c r="J884">
        <v>9</v>
      </c>
      <c r="K884">
        <v>1</v>
      </c>
      <c r="L884">
        <v>5</v>
      </c>
      <c r="M884">
        <v>0</v>
      </c>
      <c r="N884">
        <v>0</v>
      </c>
      <c r="O884">
        <v>1</v>
      </c>
      <c r="P884">
        <v>1</v>
      </c>
      <c r="Q884">
        <v>0</v>
      </c>
      <c r="R884">
        <v>0</v>
      </c>
      <c r="S884">
        <v>3</v>
      </c>
      <c r="T884">
        <v>5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3</v>
      </c>
      <c r="AB884">
        <v>11</v>
      </c>
      <c r="AC884">
        <v>0</v>
      </c>
      <c r="AD884" t="str">
        <f t="shared" si="169"/>
        <v>Ok</v>
      </c>
      <c r="AE884" t="str">
        <f>IF(AND(Audit_Data[[#This Row],[Year_Birth]]&gt;=1900,Audit_Data[[#This Row],[Year_Birth]]&lt;=2010),"OK","Invalid")</f>
        <v>OK</v>
      </c>
      <c r="AF884" t="str">
        <f t="shared" si="170"/>
        <v>Valid</v>
      </c>
      <c r="AG884" t="str">
        <f t="shared" si="171"/>
        <v>Valid</v>
      </c>
      <c r="AH884" t="str">
        <f t="shared" si="172"/>
        <v>Valid</v>
      </c>
      <c r="AI884" t="str">
        <f t="shared" si="173"/>
        <v>Valid</v>
      </c>
      <c r="AJ884" t="str">
        <f t="shared" si="174"/>
        <v>Valid</v>
      </c>
      <c r="AK884" t="str">
        <f t="shared" si="181"/>
        <v xml:space="preserve">Valid </v>
      </c>
      <c r="AL884" t="str">
        <f>IF(AND(Audit_Data[[#This Row],[Recency]]&gt;=0,Audit_Data[[#This Row],[Recency]]&lt;=100),"Valid","Invalid")</f>
        <v>Valid</v>
      </c>
      <c r="AM884" t="str">
        <f t="shared" si="175"/>
        <v>Valid</v>
      </c>
      <c r="AN884" t="str">
        <f t="shared" si="176"/>
        <v>Valid</v>
      </c>
      <c r="AO884" t="str">
        <f t="shared" si="177"/>
        <v>Valid</v>
      </c>
      <c r="AP884" t="str">
        <f t="shared" si="178"/>
        <v>Valid</v>
      </c>
      <c r="AQ884" t="str">
        <f>IF(Audit_Data[[#This Row],[Z_CostContact]]=3,"Valid","Invalid")</f>
        <v>Valid</v>
      </c>
      <c r="AR884" t="str">
        <f t="shared" si="179"/>
        <v>Valid</v>
      </c>
      <c r="AS884" t="str">
        <f t="shared" si="180"/>
        <v>Valid</v>
      </c>
    </row>
    <row r="885" spans="1:45" x14ac:dyDescent="0.3">
      <c r="A885">
        <v>8017</v>
      </c>
      <c r="B885">
        <v>1981</v>
      </c>
      <c r="C885" t="s">
        <v>37</v>
      </c>
      <c r="D885" t="s">
        <v>33</v>
      </c>
      <c r="E885">
        <v>51111</v>
      </c>
      <c r="F885">
        <v>1</v>
      </c>
      <c r="G885">
        <v>1</v>
      </c>
      <c r="H885" s="1">
        <v>41809</v>
      </c>
      <c r="I885">
        <v>83</v>
      </c>
      <c r="J885">
        <v>22</v>
      </c>
      <c r="K885">
        <v>0</v>
      </c>
      <c r="L885">
        <v>19</v>
      </c>
      <c r="M885">
        <v>6</v>
      </c>
      <c r="N885">
        <v>5</v>
      </c>
      <c r="O885">
        <v>3</v>
      </c>
      <c r="P885">
        <v>2</v>
      </c>
      <c r="Q885">
        <v>2</v>
      </c>
      <c r="R885">
        <v>0</v>
      </c>
      <c r="S885">
        <v>3</v>
      </c>
      <c r="T885">
        <v>6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3</v>
      </c>
      <c r="AB885">
        <v>11</v>
      </c>
      <c r="AC885">
        <v>0</v>
      </c>
      <c r="AD885" t="str">
        <f t="shared" si="169"/>
        <v>Ok</v>
      </c>
      <c r="AE885" t="str">
        <f>IF(AND(Audit_Data[[#This Row],[Year_Birth]]&gt;=1900,Audit_Data[[#This Row],[Year_Birth]]&lt;=2010),"OK","Invalid")</f>
        <v>OK</v>
      </c>
      <c r="AF885" t="str">
        <f t="shared" si="170"/>
        <v>Valid</v>
      </c>
      <c r="AG885" t="str">
        <f t="shared" si="171"/>
        <v>Valid</v>
      </c>
      <c r="AH885" t="str">
        <f t="shared" si="172"/>
        <v>Valid</v>
      </c>
      <c r="AI885" t="str">
        <f t="shared" si="173"/>
        <v>Valid</v>
      </c>
      <c r="AJ885" t="str">
        <f t="shared" si="174"/>
        <v>Valid</v>
      </c>
      <c r="AK885" t="str">
        <f t="shared" si="181"/>
        <v xml:space="preserve">Valid </v>
      </c>
      <c r="AL885" t="str">
        <f>IF(AND(Audit_Data[[#This Row],[Recency]]&gt;=0,Audit_Data[[#This Row],[Recency]]&lt;=100),"Valid","Invalid")</f>
        <v>Valid</v>
      </c>
      <c r="AM885" t="str">
        <f t="shared" si="175"/>
        <v>Valid</v>
      </c>
      <c r="AN885" t="str">
        <f t="shared" si="176"/>
        <v>Valid</v>
      </c>
      <c r="AO885" t="str">
        <f t="shared" si="177"/>
        <v>Valid</v>
      </c>
      <c r="AP885" t="str">
        <f t="shared" si="178"/>
        <v>Valid</v>
      </c>
      <c r="AQ885" t="str">
        <f>IF(Audit_Data[[#This Row],[Z_CostContact]]=3,"Valid","Invalid")</f>
        <v>Valid</v>
      </c>
      <c r="AR885" t="str">
        <f t="shared" si="179"/>
        <v>Valid</v>
      </c>
      <c r="AS885" t="str">
        <f t="shared" si="180"/>
        <v>Valid</v>
      </c>
    </row>
    <row r="886" spans="1:45" x14ac:dyDescent="0.3">
      <c r="A886">
        <v>5830</v>
      </c>
      <c r="B886">
        <v>1972</v>
      </c>
      <c r="C886" t="s">
        <v>32</v>
      </c>
      <c r="D886" t="s">
        <v>30</v>
      </c>
      <c r="E886">
        <v>86857</v>
      </c>
      <c r="F886">
        <v>0</v>
      </c>
      <c r="G886">
        <v>0</v>
      </c>
      <c r="H886" s="1">
        <v>41164</v>
      </c>
      <c r="I886">
        <v>96</v>
      </c>
      <c r="J886">
        <v>899</v>
      </c>
      <c r="K886">
        <v>102</v>
      </c>
      <c r="L886">
        <v>838</v>
      </c>
      <c r="M886">
        <v>133</v>
      </c>
      <c r="N886">
        <v>102</v>
      </c>
      <c r="O886">
        <v>40</v>
      </c>
      <c r="P886">
        <v>1</v>
      </c>
      <c r="Q886">
        <v>5</v>
      </c>
      <c r="R886">
        <v>6</v>
      </c>
      <c r="S886">
        <v>10</v>
      </c>
      <c r="T886">
        <v>2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3</v>
      </c>
      <c r="AB886">
        <v>11</v>
      </c>
      <c r="AC886">
        <v>1</v>
      </c>
      <c r="AD886" t="str">
        <f t="shared" si="169"/>
        <v>Ok</v>
      </c>
      <c r="AE886" t="str">
        <f>IF(AND(Audit_Data[[#This Row],[Year_Birth]]&gt;=1900,Audit_Data[[#This Row],[Year_Birth]]&lt;=2010),"OK","Invalid")</f>
        <v>OK</v>
      </c>
      <c r="AF886" t="str">
        <f t="shared" si="170"/>
        <v>Valid</v>
      </c>
      <c r="AG886" t="str">
        <f t="shared" si="171"/>
        <v>Valid</v>
      </c>
      <c r="AH886" t="str">
        <f t="shared" si="172"/>
        <v>Valid</v>
      </c>
      <c r="AI886" t="str">
        <f t="shared" si="173"/>
        <v>Valid</v>
      </c>
      <c r="AJ886" t="str">
        <f t="shared" si="174"/>
        <v>Valid</v>
      </c>
      <c r="AK886" t="str">
        <f t="shared" si="181"/>
        <v xml:space="preserve">Valid </v>
      </c>
      <c r="AL886" t="str">
        <f>IF(AND(Audit_Data[[#This Row],[Recency]]&gt;=0,Audit_Data[[#This Row],[Recency]]&lt;=100),"Valid","Invalid")</f>
        <v>Valid</v>
      </c>
      <c r="AM886" t="str">
        <f t="shared" si="175"/>
        <v>Valid</v>
      </c>
      <c r="AN886" t="str">
        <f t="shared" si="176"/>
        <v>Valid</v>
      </c>
      <c r="AO886" t="str">
        <f t="shared" si="177"/>
        <v>Valid</v>
      </c>
      <c r="AP886" t="str">
        <f t="shared" si="178"/>
        <v>Valid</v>
      </c>
      <c r="AQ886" t="str">
        <f>IF(Audit_Data[[#This Row],[Z_CostContact]]=3,"Valid","Invalid")</f>
        <v>Valid</v>
      </c>
      <c r="AR886" t="str">
        <f t="shared" si="179"/>
        <v>Valid</v>
      </c>
      <c r="AS886" t="str">
        <f t="shared" si="180"/>
        <v>Valid</v>
      </c>
    </row>
    <row r="887" spans="1:45" x14ac:dyDescent="0.3">
      <c r="A887">
        <v>4597</v>
      </c>
      <c r="B887">
        <v>1970</v>
      </c>
      <c r="C887" t="s">
        <v>32</v>
      </c>
      <c r="D887" t="s">
        <v>31</v>
      </c>
      <c r="E887">
        <v>82072</v>
      </c>
      <c r="F887">
        <v>0</v>
      </c>
      <c r="G887">
        <v>0</v>
      </c>
      <c r="H887" s="1">
        <v>41457</v>
      </c>
      <c r="I887">
        <v>67</v>
      </c>
      <c r="J887">
        <v>889</v>
      </c>
      <c r="K887">
        <v>55</v>
      </c>
      <c r="L887">
        <v>685</v>
      </c>
      <c r="M887">
        <v>168</v>
      </c>
      <c r="N887">
        <v>92</v>
      </c>
      <c r="O887">
        <v>129</v>
      </c>
      <c r="P887">
        <v>1</v>
      </c>
      <c r="Q887">
        <v>3</v>
      </c>
      <c r="R887">
        <v>2</v>
      </c>
      <c r="S887">
        <v>13</v>
      </c>
      <c r="T887">
        <v>1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3</v>
      </c>
      <c r="AB887">
        <v>11</v>
      </c>
      <c r="AC887">
        <v>0</v>
      </c>
      <c r="AD887" t="str">
        <f t="shared" si="169"/>
        <v>Ok</v>
      </c>
      <c r="AE887" t="str">
        <f>IF(AND(Audit_Data[[#This Row],[Year_Birth]]&gt;=1900,Audit_Data[[#This Row],[Year_Birth]]&lt;=2010),"OK","Invalid")</f>
        <v>OK</v>
      </c>
      <c r="AF887" t="str">
        <f t="shared" si="170"/>
        <v>Valid</v>
      </c>
      <c r="AG887" t="str">
        <f t="shared" si="171"/>
        <v>Valid</v>
      </c>
      <c r="AH887" t="str">
        <f t="shared" si="172"/>
        <v>Valid</v>
      </c>
      <c r="AI887" t="str">
        <f t="shared" si="173"/>
        <v>Valid</v>
      </c>
      <c r="AJ887" t="str">
        <f t="shared" si="174"/>
        <v>Valid</v>
      </c>
      <c r="AK887" t="str">
        <f t="shared" si="181"/>
        <v xml:space="preserve">Valid </v>
      </c>
      <c r="AL887" t="str">
        <f>IF(AND(Audit_Data[[#This Row],[Recency]]&gt;=0,Audit_Data[[#This Row],[Recency]]&lt;=100),"Valid","Invalid")</f>
        <v>Valid</v>
      </c>
      <c r="AM887" t="str">
        <f t="shared" si="175"/>
        <v>Valid</v>
      </c>
      <c r="AN887" t="str">
        <f t="shared" si="176"/>
        <v>Valid</v>
      </c>
      <c r="AO887" t="str">
        <f t="shared" si="177"/>
        <v>Valid</v>
      </c>
      <c r="AP887" t="str">
        <f t="shared" si="178"/>
        <v>Valid</v>
      </c>
      <c r="AQ887" t="str">
        <f>IF(Audit_Data[[#This Row],[Z_CostContact]]=3,"Valid","Invalid")</f>
        <v>Valid</v>
      </c>
      <c r="AR887" t="str">
        <f t="shared" si="179"/>
        <v>Valid</v>
      </c>
      <c r="AS887" t="str">
        <f t="shared" si="180"/>
        <v>Valid</v>
      </c>
    </row>
    <row r="888" spans="1:45" x14ac:dyDescent="0.3">
      <c r="A888">
        <v>7023</v>
      </c>
      <c r="B888">
        <v>1953</v>
      </c>
      <c r="C888" t="s">
        <v>32</v>
      </c>
      <c r="D888" t="s">
        <v>30</v>
      </c>
      <c r="E888">
        <v>46231</v>
      </c>
      <c r="F888">
        <v>2</v>
      </c>
      <c r="G888">
        <v>1</v>
      </c>
      <c r="H888" s="1">
        <v>41239</v>
      </c>
      <c r="I888">
        <v>87</v>
      </c>
      <c r="J888">
        <v>189</v>
      </c>
      <c r="K888">
        <v>2</v>
      </c>
      <c r="L888">
        <v>55</v>
      </c>
      <c r="M888">
        <v>0</v>
      </c>
      <c r="N888">
        <v>5</v>
      </c>
      <c r="O888">
        <v>12</v>
      </c>
      <c r="P888">
        <v>4</v>
      </c>
      <c r="Q888">
        <v>6</v>
      </c>
      <c r="R888">
        <v>1</v>
      </c>
      <c r="S888">
        <v>4</v>
      </c>
      <c r="T888">
        <v>9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3</v>
      </c>
      <c r="AB888">
        <v>11</v>
      </c>
      <c r="AC888">
        <v>0</v>
      </c>
      <c r="AD888" t="str">
        <f t="shared" si="169"/>
        <v>Ok</v>
      </c>
      <c r="AE888" t="str">
        <f>IF(AND(Audit_Data[[#This Row],[Year_Birth]]&gt;=1900,Audit_Data[[#This Row],[Year_Birth]]&lt;=2010),"OK","Invalid")</f>
        <v>OK</v>
      </c>
      <c r="AF888" t="str">
        <f t="shared" si="170"/>
        <v>Valid</v>
      </c>
      <c r="AG888" t="str">
        <f t="shared" si="171"/>
        <v>Valid</v>
      </c>
      <c r="AH888" t="str">
        <f t="shared" si="172"/>
        <v>Valid</v>
      </c>
      <c r="AI888" t="str">
        <f t="shared" si="173"/>
        <v>Valid</v>
      </c>
      <c r="AJ888" t="str">
        <f t="shared" si="174"/>
        <v>Valid</v>
      </c>
      <c r="AK888" t="str">
        <f t="shared" si="181"/>
        <v xml:space="preserve">Valid </v>
      </c>
      <c r="AL888" t="str">
        <f>IF(AND(Audit_Data[[#This Row],[Recency]]&gt;=0,Audit_Data[[#This Row],[Recency]]&lt;=100),"Valid","Invalid")</f>
        <v>Valid</v>
      </c>
      <c r="AM888" t="str">
        <f t="shared" si="175"/>
        <v>Valid</v>
      </c>
      <c r="AN888" t="str">
        <f t="shared" si="176"/>
        <v>Valid</v>
      </c>
      <c r="AO888" t="str">
        <f t="shared" si="177"/>
        <v>Valid</v>
      </c>
      <c r="AP888" t="str">
        <f t="shared" si="178"/>
        <v>Valid</v>
      </c>
      <c r="AQ888" t="str">
        <f>IF(Audit_Data[[#This Row],[Z_CostContact]]=3,"Valid","Invalid")</f>
        <v>Valid</v>
      </c>
      <c r="AR888" t="str">
        <f t="shared" si="179"/>
        <v>Valid</v>
      </c>
      <c r="AS888" t="str">
        <f t="shared" si="180"/>
        <v>Valid</v>
      </c>
    </row>
    <row r="889" spans="1:45" x14ac:dyDescent="0.3">
      <c r="A889">
        <v>8086</v>
      </c>
      <c r="B889">
        <v>1959</v>
      </c>
      <c r="C889" t="s">
        <v>29</v>
      </c>
      <c r="D889" t="s">
        <v>33</v>
      </c>
      <c r="E889">
        <v>42243</v>
      </c>
      <c r="F889">
        <v>1</v>
      </c>
      <c r="G889">
        <v>1</v>
      </c>
      <c r="H889" s="1">
        <v>41619</v>
      </c>
      <c r="I889">
        <v>34</v>
      </c>
      <c r="J889">
        <v>48</v>
      </c>
      <c r="K889">
        <v>0</v>
      </c>
      <c r="L889">
        <v>2</v>
      </c>
      <c r="M889">
        <v>0</v>
      </c>
      <c r="N889">
        <v>0</v>
      </c>
      <c r="O889">
        <v>5</v>
      </c>
      <c r="P889">
        <v>2</v>
      </c>
      <c r="Q889">
        <v>2</v>
      </c>
      <c r="R889">
        <v>0</v>
      </c>
      <c r="S889">
        <v>3</v>
      </c>
      <c r="T889">
        <v>7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3</v>
      </c>
      <c r="AB889">
        <v>11</v>
      </c>
      <c r="AC889">
        <v>0</v>
      </c>
      <c r="AD889" t="str">
        <f t="shared" si="169"/>
        <v>Ok</v>
      </c>
      <c r="AE889" t="str">
        <f>IF(AND(Audit_Data[[#This Row],[Year_Birth]]&gt;=1900,Audit_Data[[#This Row],[Year_Birth]]&lt;=2010),"OK","Invalid")</f>
        <v>OK</v>
      </c>
      <c r="AF889" t="str">
        <f t="shared" si="170"/>
        <v>Valid</v>
      </c>
      <c r="AG889" t="str">
        <f t="shared" si="171"/>
        <v>Valid</v>
      </c>
      <c r="AH889" t="str">
        <f t="shared" si="172"/>
        <v>Valid</v>
      </c>
      <c r="AI889" t="str">
        <f t="shared" si="173"/>
        <v>Valid</v>
      </c>
      <c r="AJ889" t="str">
        <f t="shared" si="174"/>
        <v>Valid</v>
      </c>
      <c r="AK889" t="str">
        <f t="shared" si="181"/>
        <v xml:space="preserve">Valid </v>
      </c>
      <c r="AL889" t="str">
        <f>IF(AND(Audit_Data[[#This Row],[Recency]]&gt;=0,Audit_Data[[#This Row],[Recency]]&lt;=100),"Valid","Invalid")</f>
        <v>Valid</v>
      </c>
      <c r="AM889" t="str">
        <f t="shared" si="175"/>
        <v>Valid</v>
      </c>
      <c r="AN889" t="str">
        <f t="shared" si="176"/>
        <v>Valid</v>
      </c>
      <c r="AO889" t="str">
        <f t="shared" si="177"/>
        <v>Valid</v>
      </c>
      <c r="AP889" t="str">
        <f t="shared" si="178"/>
        <v>Valid</v>
      </c>
      <c r="AQ889" t="str">
        <f>IF(Audit_Data[[#This Row],[Z_CostContact]]=3,"Valid","Invalid")</f>
        <v>Valid</v>
      </c>
      <c r="AR889" t="str">
        <f t="shared" si="179"/>
        <v>Valid</v>
      </c>
      <c r="AS889" t="str">
        <f t="shared" si="180"/>
        <v>Valid</v>
      </c>
    </row>
    <row r="890" spans="1:45" x14ac:dyDescent="0.3">
      <c r="A890">
        <v>8825</v>
      </c>
      <c r="B890">
        <v>1962</v>
      </c>
      <c r="C890" t="s">
        <v>29</v>
      </c>
      <c r="D890" t="s">
        <v>31</v>
      </c>
      <c r="E890">
        <v>51195</v>
      </c>
      <c r="F890">
        <v>1</v>
      </c>
      <c r="G890">
        <v>1</v>
      </c>
      <c r="H890" s="1">
        <v>41365</v>
      </c>
      <c r="I890">
        <v>46</v>
      </c>
      <c r="J890">
        <v>230</v>
      </c>
      <c r="K890">
        <v>14</v>
      </c>
      <c r="L890">
        <v>156</v>
      </c>
      <c r="M890">
        <v>82</v>
      </c>
      <c r="N890">
        <v>24</v>
      </c>
      <c r="O890">
        <v>58</v>
      </c>
      <c r="P890">
        <v>8</v>
      </c>
      <c r="Q890">
        <v>9</v>
      </c>
      <c r="R890">
        <v>2</v>
      </c>
      <c r="S890">
        <v>5</v>
      </c>
      <c r="T890">
        <v>8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3</v>
      </c>
      <c r="AB890">
        <v>11</v>
      </c>
      <c r="AC890">
        <v>0</v>
      </c>
      <c r="AD890" t="str">
        <f t="shared" si="169"/>
        <v>Ok</v>
      </c>
      <c r="AE890" t="str">
        <f>IF(AND(Audit_Data[[#This Row],[Year_Birth]]&gt;=1900,Audit_Data[[#This Row],[Year_Birth]]&lt;=2010),"OK","Invalid")</f>
        <v>OK</v>
      </c>
      <c r="AF890" t="str">
        <f t="shared" si="170"/>
        <v>Valid</v>
      </c>
      <c r="AG890" t="str">
        <f t="shared" si="171"/>
        <v>Valid</v>
      </c>
      <c r="AH890" t="str">
        <f t="shared" si="172"/>
        <v>Valid</v>
      </c>
      <c r="AI890" t="str">
        <f t="shared" si="173"/>
        <v>Valid</v>
      </c>
      <c r="AJ890" t="str">
        <f t="shared" si="174"/>
        <v>Valid</v>
      </c>
      <c r="AK890" t="str">
        <f t="shared" si="181"/>
        <v xml:space="preserve">Valid </v>
      </c>
      <c r="AL890" t="str">
        <f>IF(AND(Audit_Data[[#This Row],[Recency]]&gt;=0,Audit_Data[[#This Row],[Recency]]&lt;=100),"Valid","Invalid")</f>
        <v>Valid</v>
      </c>
      <c r="AM890" t="str">
        <f t="shared" si="175"/>
        <v>Valid</v>
      </c>
      <c r="AN890" t="str">
        <f t="shared" si="176"/>
        <v>Valid</v>
      </c>
      <c r="AO890" t="str">
        <f t="shared" si="177"/>
        <v>Valid</v>
      </c>
      <c r="AP890" t="str">
        <f t="shared" si="178"/>
        <v>Valid</v>
      </c>
      <c r="AQ890" t="str">
        <f>IF(Audit_Data[[#This Row],[Z_CostContact]]=3,"Valid","Invalid")</f>
        <v>Valid</v>
      </c>
      <c r="AR890" t="str">
        <f t="shared" si="179"/>
        <v>Valid</v>
      </c>
      <c r="AS890" t="str">
        <f t="shared" si="180"/>
        <v>Valid</v>
      </c>
    </row>
    <row r="891" spans="1:45" x14ac:dyDescent="0.3">
      <c r="A891">
        <v>2930</v>
      </c>
      <c r="B891">
        <v>1978</v>
      </c>
      <c r="C891" t="s">
        <v>34</v>
      </c>
      <c r="D891" t="s">
        <v>30</v>
      </c>
      <c r="E891">
        <v>68092</v>
      </c>
      <c r="F891">
        <v>0</v>
      </c>
      <c r="G891">
        <v>0</v>
      </c>
      <c r="H891" s="1">
        <v>41624</v>
      </c>
      <c r="I891">
        <v>7</v>
      </c>
      <c r="J891">
        <v>852</v>
      </c>
      <c r="K891">
        <v>60</v>
      </c>
      <c r="L891">
        <v>207</v>
      </c>
      <c r="M891">
        <v>78</v>
      </c>
      <c r="N891">
        <v>36</v>
      </c>
      <c r="O891">
        <v>48</v>
      </c>
      <c r="P891">
        <v>2</v>
      </c>
      <c r="Q891">
        <v>2</v>
      </c>
      <c r="R891">
        <v>6</v>
      </c>
      <c r="S891">
        <v>10</v>
      </c>
      <c r="T891">
        <v>5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3</v>
      </c>
      <c r="AB891">
        <v>11</v>
      </c>
      <c r="AC891">
        <v>0</v>
      </c>
      <c r="AD891" t="str">
        <f t="shared" si="169"/>
        <v>Ok</v>
      </c>
      <c r="AE891" t="str">
        <f>IF(AND(Audit_Data[[#This Row],[Year_Birth]]&gt;=1900,Audit_Data[[#This Row],[Year_Birth]]&lt;=2010),"OK","Invalid")</f>
        <v>OK</v>
      </c>
      <c r="AF891" t="str">
        <f t="shared" si="170"/>
        <v>Valid</v>
      </c>
      <c r="AG891" t="str">
        <f t="shared" si="171"/>
        <v>Valid</v>
      </c>
      <c r="AH891" t="str">
        <f t="shared" si="172"/>
        <v>Valid</v>
      </c>
      <c r="AI891" t="str">
        <f t="shared" si="173"/>
        <v>Valid</v>
      </c>
      <c r="AJ891" t="str">
        <f t="shared" si="174"/>
        <v>Valid</v>
      </c>
      <c r="AK891" t="str">
        <f t="shared" si="181"/>
        <v xml:space="preserve">Valid </v>
      </c>
      <c r="AL891" t="str">
        <f>IF(AND(Audit_Data[[#This Row],[Recency]]&gt;=0,Audit_Data[[#This Row],[Recency]]&lt;=100),"Valid","Invalid")</f>
        <v>Valid</v>
      </c>
      <c r="AM891" t="str">
        <f t="shared" si="175"/>
        <v>Valid</v>
      </c>
      <c r="AN891" t="str">
        <f t="shared" si="176"/>
        <v>Valid</v>
      </c>
      <c r="AO891" t="str">
        <f t="shared" si="177"/>
        <v>Valid</v>
      </c>
      <c r="AP891" t="str">
        <f t="shared" si="178"/>
        <v>Valid</v>
      </c>
      <c r="AQ891" t="str">
        <f>IF(Audit_Data[[#This Row],[Z_CostContact]]=3,"Valid","Invalid")</f>
        <v>Valid</v>
      </c>
      <c r="AR891" t="str">
        <f t="shared" si="179"/>
        <v>Valid</v>
      </c>
      <c r="AS891" t="str">
        <f t="shared" si="180"/>
        <v>Valid</v>
      </c>
    </row>
    <row r="892" spans="1:45" x14ac:dyDescent="0.3">
      <c r="A892">
        <v>1928</v>
      </c>
      <c r="B892">
        <v>1973</v>
      </c>
      <c r="C892" t="s">
        <v>29</v>
      </c>
      <c r="D892" t="s">
        <v>33</v>
      </c>
      <c r="E892">
        <v>31814</v>
      </c>
      <c r="F892">
        <v>1</v>
      </c>
      <c r="G892">
        <v>0</v>
      </c>
      <c r="H892" s="1">
        <v>41314</v>
      </c>
      <c r="I892">
        <v>73</v>
      </c>
      <c r="J892">
        <v>35</v>
      </c>
      <c r="K892">
        <v>3</v>
      </c>
      <c r="L892">
        <v>20</v>
      </c>
      <c r="M892">
        <v>4</v>
      </c>
      <c r="N892">
        <v>1</v>
      </c>
      <c r="O892">
        <v>20</v>
      </c>
      <c r="P892">
        <v>2</v>
      </c>
      <c r="Q892">
        <v>2</v>
      </c>
      <c r="R892">
        <v>0</v>
      </c>
      <c r="S892">
        <v>3</v>
      </c>
      <c r="T892">
        <v>9</v>
      </c>
      <c r="U892">
        <v>1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3</v>
      </c>
      <c r="AB892">
        <v>11</v>
      </c>
      <c r="AC892">
        <v>0</v>
      </c>
      <c r="AD892" t="str">
        <f t="shared" si="169"/>
        <v>Ok</v>
      </c>
      <c r="AE892" t="str">
        <f>IF(AND(Audit_Data[[#This Row],[Year_Birth]]&gt;=1900,Audit_Data[[#This Row],[Year_Birth]]&lt;=2010),"OK","Invalid")</f>
        <v>OK</v>
      </c>
      <c r="AF892" t="str">
        <f t="shared" si="170"/>
        <v>Valid</v>
      </c>
      <c r="AG892" t="str">
        <f t="shared" si="171"/>
        <v>Valid</v>
      </c>
      <c r="AH892" t="str">
        <f t="shared" si="172"/>
        <v>Valid</v>
      </c>
      <c r="AI892" t="str">
        <f t="shared" si="173"/>
        <v>Valid</v>
      </c>
      <c r="AJ892" t="str">
        <f t="shared" si="174"/>
        <v>Valid</v>
      </c>
      <c r="AK892" t="str">
        <f t="shared" si="181"/>
        <v xml:space="preserve">Valid </v>
      </c>
      <c r="AL892" t="str">
        <f>IF(AND(Audit_Data[[#This Row],[Recency]]&gt;=0,Audit_Data[[#This Row],[Recency]]&lt;=100),"Valid","Invalid")</f>
        <v>Valid</v>
      </c>
      <c r="AM892" t="str">
        <f t="shared" si="175"/>
        <v>Valid</v>
      </c>
      <c r="AN892" t="str">
        <f t="shared" si="176"/>
        <v>Valid</v>
      </c>
      <c r="AO892" t="str">
        <f t="shared" si="177"/>
        <v>Valid</v>
      </c>
      <c r="AP892" t="str">
        <f t="shared" si="178"/>
        <v>Valid</v>
      </c>
      <c r="AQ892" t="str">
        <f>IF(Audit_Data[[#This Row],[Z_CostContact]]=3,"Valid","Invalid")</f>
        <v>Valid</v>
      </c>
      <c r="AR892" t="str">
        <f t="shared" si="179"/>
        <v>Valid</v>
      </c>
      <c r="AS892" t="str">
        <f t="shared" si="180"/>
        <v>Valid</v>
      </c>
    </row>
    <row r="893" spans="1:45" x14ac:dyDescent="0.3">
      <c r="A893">
        <v>7108</v>
      </c>
      <c r="B893">
        <v>1965</v>
      </c>
      <c r="C893" t="s">
        <v>34</v>
      </c>
      <c r="D893" t="s">
        <v>38</v>
      </c>
      <c r="E893">
        <v>51390</v>
      </c>
      <c r="F893">
        <v>1</v>
      </c>
      <c r="G893">
        <v>1</v>
      </c>
      <c r="H893" s="1">
        <v>41160</v>
      </c>
      <c r="I893">
        <v>54</v>
      </c>
      <c r="J893">
        <v>205</v>
      </c>
      <c r="K893">
        <v>20</v>
      </c>
      <c r="L893">
        <v>47</v>
      </c>
      <c r="M893">
        <v>23</v>
      </c>
      <c r="N893">
        <v>2</v>
      </c>
      <c r="O893">
        <v>56</v>
      </c>
      <c r="P893">
        <v>6</v>
      </c>
      <c r="Q893">
        <v>5</v>
      </c>
      <c r="R893">
        <v>2</v>
      </c>
      <c r="S893">
        <v>5</v>
      </c>
      <c r="T893">
        <v>5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3</v>
      </c>
      <c r="AB893">
        <v>11</v>
      </c>
      <c r="AC893">
        <v>0</v>
      </c>
      <c r="AD893" t="str">
        <f t="shared" si="169"/>
        <v>Ok</v>
      </c>
      <c r="AE893" t="str">
        <f>IF(AND(Audit_Data[[#This Row],[Year_Birth]]&gt;=1900,Audit_Data[[#This Row],[Year_Birth]]&lt;=2010),"OK","Invalid")</f>
        <v>OK</v>
      </c>
      <c r="AF893" t="str">
        <f t="shared" si="170"/>
        <v>Valid</v>
      </c>
      <c r="AG893" t="str">
        <f t="shared" si="171"/>
        <v>Valid</v>
      </c>
      <c r="AH893" t="str">
        <f t="shared" si="172"/>
        <v>Valid</v>
      </c>
      <c r="AI893" t="str">
        <f t="shared" si="173"/>
        <v>Valid</v>
      </c>
      <c r="AJ893" t="str">
        <f t="shared" si="174"/>
        <v>Valid</v>
      </c>
      <c r="AK893" t="str">
        <f t="shared" si="181"/>
        <v xml:space="preserve">Valid </v>
      </c>
      <c r="AL893" t="str">
        <f>IF(AND(Audit_Data[[#This Row],[Recency]]&gt;=0,Audit_Data[[#This Row],[Recency]]&lt;=100),"Valid","Invalid")</f>
        <v>Valid</v>
      </c>
      <c r="AM893" t="str">
        <f t="shared" si="175"/>
        <v>Valid</v>
      </c>
      <c r="AN893" t="str">
        <f t="shared" si="176"/>
        <v>Valid</v>
      </c>
      <c r="AO893" t="str">
        <f t="shared" si="177"/>
        <v>Valid</v>
      </c>
      <c r="AP893" t="str">
        <f t="shared" si="178"/>
        <v>Valid</v>
      </c>
      <c r="AQ893" t="str">
        <f>IF(Audit_Data[[#This Row],[Z_CostContact]]=3,"Valid","Invalid")</f>
        <v>Valid</v>
      </c>
      <c r="AR893" t="str">
        <f t="shared" si="179"/>
        <v>Valid</v>
      </c>
      <c r="AS893" t="str">
        <f t="shared" si="180"/>
        <v>Valid</v>
      </c>
    </row>
    <row r="894" spans="1:45" x14ac:dyDescent="0.3">
      <c r="A894">
        <v>10925</v>
      </c>
      <c r="B894">
        <v>1983</v>
      </c>
      <c r="C894" t="s">
        <v>29</v>
      </c>
      <c r="D894" t="s">
        <v>33</v>
      </c>
      <c r="E894">
        <v>76630</v>
      </c>
      <c r="F894">
        <v>0</v>
      </c>
      <c r="G894">
        <v>0</v>
      </c>
      <c r="H894" s="1">
        <v>41653</v>
      </c>
      <c r="I894">
        <v>93</v>
      </c>
      <c r="J894">
        <v>255</v>
      </c>
      <c r="K894">
        <v>31</v>
      </c>
      <c r="L894">
        <v>446</v>
      </c>
      <c r="M894">
        <v>40</v>
      </c>
      <c r="N894">
        <v>56</v>
      </c>
      <c r="O894">
        <v>175</v>
      </c>
      <c r="P894">
        <v>1</v>
      </c>
      <c r="Q894">
        <v>3</v>
      </c>
      <c r="R894">
        <v>10</v>
      </c>
      <c r="S894">
        <v>11</v>
      </c>
      <c r="T894">
        <v>1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3</v>
      </c>
      <c r="AB894">
        <v>11</v>
      </c>
      <c r="AC894">
        <v>0</v>
      </c>
      <c r="AD894" t="str">
        <f t="shared" si="169"/>
        <v>Ok</v>
      </c>
      <c r="AE894" t="str">
        <f>IF(AND(Audit_Data[[#This Row],[Year_Birth]]&gt;=1900,Audit_Data[[#This Row],[Year_Birth]]&lt;=2010),"OK","Invalid")</f>
        <v>OK</v>
      </c>
      <c r="AF894" t="str">
        <f t="shared" si="170"/>
        <v>Valid</v>
      </c>
      <c r="AG894" t="str">
        <f t="shared" si="171"/>
        <v>Valid</v>
      </c>
      <c r="AH894" t="str">
        <f t="shared" si="172"/>
        <v>Valid</v>
      </c>
      <c r="AI894" t="str">
        <f t="shared" si="173"/>
        <v>Valid</v>
      </c>
      <c r="AJ894" t="str">
        <f t="shared" si="174"/>
        <v>Valid</v>
      </c>
      <c r="AK894" t="str">
        <f t="shared" si="181"/>
        <v xml:space="preserve">Valid </v>
      </c>
      <c r="AL894" t="str">
        <f>IF(AND(Audit_Data[[#This Row],[Recency]]&gt;=0,Audit_Data[[#This Row],[Recency]]&lt;=100),"Valid","Invalid")</f>
        <v>Valid</v>
      </c>
      <c r="AM894" t="str">
        <f t="shared" si="175"/>
        <v>Valid</v>
      </c>
      <c r="AN894" t="str">
        <f t="shared" si="176"/>
        <v>Valid</v>
      </c>
      <c r="AO894" t="str">
        <f t="shared" si="177"/>
        <v>Valid</v>
      </c>
      <c r="AP894" t="str">
        <f t="shared" si="178"/>
        <v>Valid</v>
      </c>
      <c r="AQ894" t="str">
        <f>IF(Audit_Data[[#This Row],[Z_CostContact]]=3,"Valid","Invalid")</f>
        <v>Valid</v>
      </c>
      <c r="AR894" t="str">
        <f t="shared" si="179"/>
        <v>Valid</v>
      </c>
      <c r="AS894" t="str">
        <f t="shared" si="180"/>
        <v>Valid</v>
      </c>
    </row>
    <row r="895" spans="1:45" x14ac:dyDescent="0.3">
      <c r="A895">
        <v>9960</v>
      </c>
      <c r="B895">
        <v>1991</v>
      </c>
      <c r="C895" t="s">
        <v>36</v>
      </c>
      <c r="D895" t="s">
        <v>30</v>
      </c>
      <c r="E895">
        <v>26868</v>
      </c>
      <c r="F895">
        <v>1</v>
      </c>
      <c r="G895">
        <v>0</v>
      </c>
      <c r="H895" s="1">
        <v>41759</v>
      </c>
      <c r="I895">
        <v>52</v>
      </c>
      <c r="J895">
        <v>0</v>
      </c>
      <c r="K895">
        <v>0</v>
      </c>
      <c r="L895">
        <v>1</v>
      </c>
      <c r="M895">
        <v>8</v>
      </c>
      <c r="N895">
        <v>3</v>
      </c>
      <c r="O895">
        <v>2</v>
      </c>
      <c r="P895">
        <v>1</v>
      </c>
      <c r="Q895">
        <v>1</v>
      </c>
      <c r="R895">
        <v>0</v>
      </c>
      <c r="S895">
        <v>2</v>
      </c>
      <c r="T895">
        <v>7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3</v>
      </c>
      <c r="AB895">
        <v>11</v>
      </c>
      <c r="AC895">
        <v>0</v>
      </c>
      <c r="AD895" t="str">
        <f t="shared" si="169"/>
        <v>Ok</v>
      </c>
      <c r="AE895" t="str">
        <f>IF(AND(Audit_Data[[#This Row],[Year_Birth]]&gt;=1900,Audit_Data[[#This Row],[Year_Birth]]&lt;=2010),"OK","Invalid")</f>
        <v>OK</v>
      </c>
      <c r="AF895" t="str">
        <f t="shared" si="170"/>
        <v>Valid</v>
      </c>
      <c r="AG895" t="str">
        <f t="shared" si="171"/>
        <v>Valid</v>
      </c>
      <c r="AH895" t="str">
        <f t="shared" si="172"/>
        <v>Valid</v>
      </c>
      <c r="AI895" t="str">
        <f t="shared" si="173"/>
        <v>Valid</v>
      </c>
      <c r="AJ895" t="str">
        <f t="shared" si="174"/>
        <v>Valid</v>
      </c>
      <c r="AK895" t="str">
        <f t="shared" si="181"/>
        <v xml:space="preserve">Valid </v>
      </c>
      <c r="AL895" t="str">
        <f>IF(AND(Audit_Data[[#This Row],[Recency]]&gt;=0,Audit_Data[[#This Row],[Recency]]&lt;=100),"Valid","Invalid")</f>
        <v>Valid</v>
      </c>
      <c r="AM895" t="str">
        <f t="shared" si="175"/>
        <v>Valid</v>
      </c>
      <c r="AN895" t="str">
        <f t="shared" si="176"/>
        <v>Valid</v>
      </c>
      <c r="AO895" t="str">
        <f t="shared" si="177"/>
        <v>Valid</v>
      </c>
      <c r="AP895" t="str">
        <f t="shared" si="178"/>
        <v>Valid</v>
      </c>
      <c r="AQ895" t="str">
        <f>IF(Audit_Data[[#This Row],[Z_CostContact]]=3,"Valid","Invalid")</f>
        <v>Valid</v>
      </c>
      <c r="AR895" t="str">
        <f t="shared" si="179"/>
        <v>Valid</v>
      </c>
      <c r="AS895" t="str">
        <f t="shared" si="180"/>
        <v>Valid</v>
      </c>
    </row>
    <row r="896" spans="1:45" x14ac:dyDescent="0.3">
      <c r="A896">
        <v>8800</v>
      </c>
      <c r="B896">
        <v>1943</v>
      </c>
      <c r="C896" t="s">
        <v>32</v>
      </c>
      <c r="D896" t="s">
        <v>35</v>
      </c>
      <c r="E896">
        <v>48948</v>
      </c>
      <c r="F896">
        <v>0</v>
      </c>
      <c r="G896">
        <v>0</v>
      </c>
      <c r="H896" s="1">
        <v>41306</v>
      </c>
      <c r="I896">
        <v>53</v>
      </c>
      <c r="J896">
        <v>437</v>
      </c>
      <c r="K896">
        <v>8</v>
      </c>
      <c r="L896">
        <v>206</v>
      </c>
      <c r="M896">
        <v>160</v>
      </c>
      <c r="N896">
        <v>49</v>
      </c>
      <c r="O896">
        <v>42</v>
      </c>
      <c r="P896">
        <v>2</v>
      </c>
      <c r="Q896">
        <v>7</v>
      </c>
      <c r="R896">
        <v>10</v>
      </c>
      <c r="S896">
        <v>5</v>
      </c>
      <c r="T896">
        <v>6</v>
      </c>
      <c r="U896">
        <v>1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3</v>
      </c>
      <c r="AB896">
        <v>11</v>
      </c>
      <c r="AC896">
        <v>1</v>
      </c>
      <c r="AD896" t="str">
        <f t="shared" si="169"/>
        <v>Ok</v>
      </c>
      <c r="AE896" t="str">
        <f>IF(AND(Audit_Data[[#This Row],[Year_Birth]]&gt;=1900,Audit_Data[[#This Row],[Year_Birth]]&lt;=2010),"OK","Invalid")</f>
        <v>OK</v>
      </c>
      <c r="AF896" t="str">
        <f t="shared" si="170"/>
        <v>Valid</v>
      </c>
      <c r="AG896" t="str">
        <f t="shared" si="171"/>
        <v>Valid</v>
      </c>
      <c r="AH896" t="str">
        <f t="shared" si="172"/>
        <v>Valid</v>
      </c>
      <c r="AI896" t="str">
        <f t="shared" si="173"/>
        <v>Valid</v>
      </c>
      <c r="AJ896" t="str">
        <f t="shared" si="174"/>
        <v>Valid</v>
      </c>
      <c r="AK896" t="str">
        <f t="shared" si="181"/>
        <v xml:space="preserve">Valid </v>
      </c>
      <c r="AL896" t="str">
        <f>IF(AND(Audit_Data[[#This Row],[Recency]]&gt;=0,Audit_Data[[#This Row],[Recency]]&lt;=100),"Valid","Invalid")</f>
        <v>Valid</v>
      </c>
      <c r="AM896" t="str">
        <f t="shared" si="175"/>
        <v>Valid</v>
      </c>
      <c r="AN896" t="str">
        <f t="shared" si="176"/>
        <v>Valid</v>
      </c>
      <c r="AO896" t="str">
        <f t="shared" si="177"/>
        <v>Valid</v>
      </c>
      <c r="AP896" t="str">
        <f t="shared" si="178"/>
        <v>Valid</v>
      </c>
      <c r="AQ896" t="str">
        <f>IF(Audit_Data[[#This Row],[Z_CostContact]]=3,"Valid","Invalid")</f>
        <v>Valid</v>
      </c>
      <c r="AR896" t="str">
        <f t="shared" si="179"/>
        <v>Valid</v>
      </c>
      <c r="AS896" t="str">
        <f t="shared" si="180"/>
        <v>Valid</v>
      </c>
    </row>
    <row r="897" spans="1:45" x14ac:dyDescent="0.3">
      <c r="A897">
        <v>9224</v>
      </c>
      <c r="B897">
        <v>1972</v>
      </c>
      <c r="C897" t="s">
        <v>32</v>
      </c>
      <c r="D897" t="s">
        <v>30</v>
      </c>
      <c r="E897">
        <v>55260</v>
      </c>
      <c r="F897">
        <v>0</v>
      </c>
      <c r="G897">
        <v>1</v>
      </c>
      <c r="H897" s="1">
        <v>41255</v>
      </c>
      <c r="I897">
        <v>81</v>
      </c>
      <c r="J897">
        <v>825</v>
      </c>
      <c r="K897">
        <v>8</v>
      </c>
      <c r="L897">
        <v>53</v>
      </c>
      <c r="M897">
        <v>11</v>
      </c>
      <c r="N897">
        <v>0</v>
      </c>
      <c r="O897">
        <v>242</v>
      </c>
      <c r="P897">
        <v>2</v>
      </c>
      <c r="Q897">
        <v>8</v>
      </c>
      <c r="R897">
        <v>10</v>
      </c>
      <c r="S897">
        <v>5</v>
      </c>
      <c r="T897">
        <v>6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3</v>
      </c>
      <c r="AB897">
        <v>11</v>
      </c>
      <c r="AC897">
        <v>0</v>
      </c>
      <c r="AD897" t="str">
        <f t="shared" si="169"/>
        <v>Ok</v>
      </c>
      <c r="AE897" t="str">
        <f>IF(AND(Audit_Data[[#This Row],[Year_Birth]]&gt;=1900,Audit_Data[[#This Row],[Year_Birth]]&lt;=2010),"OK","Invalid")</f>
        <v>OK</v>
      </c>
      <c r="AF897" t="str">
        <f t="shared" si="170"/>
        <v>Valid</v>
      </c>
      <c r="AG897" t="str">
        <f t="shared" si="171"/>
        <v>Valid</v>
      </c>
      <c r="AH897" t="str">
        <f t="shared" si="172"/>
        <v>Valid</v>
      </c>
      <c r="AI897" t="str">
        <f t="shared" si="173"/>
        <v>Valid</v>
      </c>
      <c r="AJ897" t="str">
        <f t="shared" si="174"/>
        <v>Valid</v>
      </c>
      <c r="AK897" t="str">
        <f t="shared" si="181"/>
        <v xml:space="preserve">Valid </v>
      </c>
      <c r="AL897" t="str">
        <f>IF(AND(Audit_Data[[#This Row],[Recency]]&gt;=0,Audit_Data[[#This Row],[Recency]]&lt;=100),"Valid","Invalid")</f>
        <v>Valid</v>
      </c>
      <c r="AM897" t="str">
        <f t="shared" si="175"/>
        <v>Valid</v>
      </c>
      <c r="AN897" t="str">
        <f t="shared" si="176"/>
        <v>Valid</v>
      </c>
      <c r="AO897" t="str">
        <f t="shared" si="177"/>
        <v>Valid</v>
      </c>
      <c r="AP897" t="str">
        <f t="shared" si="178"/>
        <v>Valid</v>
      </c>
      <c r="AQ897" t="str">
        <f>IF(Audit_Data[[#This Row],[Z_CostContact]]=3,"Valid","Invalid")</f>
        <v>Valid</v>
      </c>
      <c r="AR897" t="str">
        <f t="shared" si="179"/>
        <v>Valid</v>
      </c>
      <c r="AS897" t="str">
        <f t="shared" si="180"/>
        <v>Valid</v>
      </c>
    </row>
    <row r="898" spans="1:45" x14ac:dyDescent="0.3">
      <c r="A898">
        <v>5519</v>
      </c>
      <c r="B898">
        <v>1956</v>
      </c>
      <c r="C898" t="s">
        <v>29</v>
      </c>
      <c r="D898" t="s">
        <v>31</v>
      </c>
      <c r="E898">
        <v>64090</v>
      </c>
      <c r="F898">
        <v>0</v>
      </c>
      <c r="G898">
        <v>1</v>
      </c>
      <c r="H898" s="1">
        <v>41493</v>
      </c>
      <c r="I898">
        <v>8</v>
      </c>
      <c r="J898">
        <v>316</v>
      </c>
      <c r="K898">
        <v>58</v>
      </c>
      <c r="L898">
        <v>161</v>
      </c>
      <c r="M898">
        <v>76</v>
      </c>
      <c r="N898">
        <v>51</v>
      </c>
      <c r="O898">
        <v>135</v>
      </c>
      <c r="P898">
        <v>1</v>
      </c>
      <c r="Q898">
        <v>6</v>
      </c>
      <c r="R898">
        <v>9</v>
      </c>
      <c r="S898">
        <v>4</v>
      </c>
      <c r="T898">
        <v>5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3</v>
      </c>
      <c r="AB898">
        <v>11</v>
      </c>
      <c r="AC898">
        <v>1</v>
      </c>
      <c r="AD898" t="str">
        <f t="shared" ref="AD898:AD961" si="182">IF(COUNTIF(A:A,A898)&gt;1,"Duplicate","Ok")</f>
        <v>Ok</v>
      </c>
      <c r="AE898" t="str">
        <f>IF(AND(Audit_Data[[#This Row],[Year_Birth]]&gt;=1900,Audit_Data[[#This Row],[Year_Birth]]&lt;=2010),"OK","Invalid")</f>
        <v>OK</v>
      </c>
      <c r="AF898" t="str">
        <f t="shared" ref="AF898:AF961" si="183">IF(OR(C898="Graduation",C898="phD",C898="Master",C898="Basic",C898="2n Cycle"),"Valid","Invalid")</f>
        <v>Valid</v>
      </c>
      <c r="AG898" t="str">
        <f t="shared" ref="AG898:AG961" si="184">IF(OR(D898="Single",D898="Married",D898="Divorced",D898="Together",D898="Widow",D898="Alone"),"Valid","Invalid")</f>
        <v>Valid</v>
      </c>
      <c r="AH898" t="str">
        <f t="shared" ref="AH898:AH961" si="185">IF(AND(ISNUMBER(E898),E898&lt;&gt;""),"Valid","Invalid")</f>
        <v>Valid</v>
      </c>
      <c r="AI898" t="str">
        <f t="shared" ref="AI898:AI961" si="186">IF(AND(F898&gt;=0,F898&lt;=2),"Valid","Invalid")</f>
        <v>Valid</v>
      </c>
      <c r="AJ898" t="str">
        <f t="shared" ref="AJ898:AJ961" si="187">IF(AND(G898&gt;=0,G898&lt;=2),"Valid","Invalid")</f>
        <v>Valid</v>
      </c>
      <c r="AK898" t="str">
        <f t="shared" si="181"/>
        <v xml:space="preserve">Valid </v>
      </c>
      <c r="AL898" t="str">
        <f>IF(AND(Audit_Data[[#This Row],[Recency]]&gt;=0,Audit_Data[[#This Row],[Recency]]&lt;=100),"Valid","Invalid")</f>
        <v>Valid</v>
      </c>
      <c r="AM898" t="str">
        <f t="shared" ref="AM898:AM961" si="188">IF(AND(ISNUMBER(J898),J898&gt;=0,ISNUMBER(K898),K898&gt;=0,ISNUMBER(L898),L898&gt;=0,ISNUMBER(M898),M898&gt;=0,ISNUMBER(N898),N898&gt;=0,ISNUMBER(O898),O898&gt;=0),"Valid","Invalid")</f>
        <v>Valid</v>
      </c>
      <c r="AN898" t="str">
        <f t="shared" ref="AN898:AN961" si="189">IF(AND(ISNUMBER(P898),P898&gt;=0,ISNUMBER(Q898),Q898&gt;=0,ISNUMBER(R898),R898&gt;=0,ISNUMBER(S898),S898&gt;=0,ISNUMBER(T898),T898&gt;=0),"Valid","Invalid")</f>
        <v>Valid</v>
      </c>
      <c r="AO898" t="str">
        <f t="shared" ref="AO898:AO961" si="190">IF(AND(U898&lt;=1,V898&lt;=1,W898&lt;=1,X898&lt;=1,Y898&lt;=1),"Valid","Invalid")</f>
        <v>Valid</v>
      </c>
      <c r="AP898" t="str">
        <f t="shared" ref="AP898:AP961" si="191">IF(OR(Z898=0,Z898=1),"Valid","Invalid")</f>
        <v>Valid</v>
      </c>
      <c r="AQ898" t="str">
        <f>IF(Audit_Data[[#This Row],[Z_CostContact]]=3,"Valid","Invalid")</f>
        <v>Valid</v>
      </c>
      <c r="AR898" t="str">
        <f t="shared" ref="AR898:AR961" si="192">IF(AB898=11,"Valid","Invalid")</f>
        <v>Valid</v>
      </c>
      <c r="AS898" t="str">
        <f t="shared" ref="AS898:AS961" si="193">IF(OR(AC898=0,AC898=1),"Valid","Invalid")</f>
        <v>Valid</v>
      </c>
    </row>
    <row r="899" spans="1:45" x14ac:dyDescent="0.3">
      <c r="A899">
        <v>5046</v>
      </c>
      <c r="B899">
        <v>1958</v>
      </c>
      <c r="C899" t="s">
        <v>29</v>
      </c>
      <c r="D899" t="s">
        <v>35</v>
      </c>
      <c r="E899">
        <v>78331</v>
      </c>
      <c r="F899">
        <v>0</v>
      </c>
      <c r="G899">
        <v>1</v>
      </c>
      <c r="H899" s="1">
        <v>41662</v>
      </c>
      <c r="I899">
        <v>97</v>
      </c>
      <c r="J899">
        <v>756</v>
      </c>
      <c r="K899">
        <v>138</v>
      </c>
      <c r="L899">
        <v>354</v>
      </c>
      <c r="M899">
        <v>160</v>
      </c>
      <c r="N899">
        <v>169</v>
      </c>
      <c r="O899">
        <v>61</v>
      </c>
      <c r="P899">
        <v>2</v>
      </c>
      <c r="Q899">
        <v>10</v>
      </c>
      <c r="R899">
        <v>6</v>
      </c>
      <c r="S899">
        <v>7</v>
      </c>
      <c r="T899">
        <v>4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3</v>
      </c>
      <c r="AB899">
        <v>11</v>
      </c>
      <c r="AC899">
        <v>0</v>
      </c>
      <c r="AD899" t="str">
        <f t="shared" si="182"/>
        <v>Ok</v>
      </c>
      <c r="AE899" t="str">
        <f>IF(AND(Audit_Data[[#This Row],[Year_Birth]]&gt;=1900,Audit_Data[[#This Row],[Year_Birth]]&lt;=2010),"OK","Invalid")</f>
        <v>OK</v>
      </c>
      <c r="AF899" t="str">
        <f t="shared" si="183"/>
        <v>Valid</v>
      </c>
      <c r="AG899" t="str">
        <f t="shared" si="184"/>
        <v>Valid</v>
      </c>
      <c r="AH899" t="str">
        <f t="shared" si="185"/>
        <v>Valid</v>
      </c>
      <c r="AI899" t="str">
        <f t="shared" si="186"/>
        <v>Valid</v>
      </c>
      <c r="AJ899" t="str">
        <f t="shared" si="187"/>
        <v>Valid</v>
      </c>
      <c r="AK899" t="str">
        <f t="shared" ref="AK899:AK962" si="194">IF(AND(ISNUMBER(H899),H899&gt;=DATE(2012,1,1),H899&lt;=DATE(2014,12,31)),"Valid ","Invalid")</f>
        <v xml:space="preserve">Valid </v>
      </c>
      <c r="AL899" t="str">
        <f>IF(AND(Audit_Data[[#This Row],[Recency]]&gt;=0,Audit_Data[[#This Row],[Recency]]&lt;=100),"Valid","Invalid")</f>
        <v>Valid</v>
      </c>
      <c r="AM899" t="str">
        <f t="shared" si="188"/>
        <v>Valid</v>
      </c>
      <c r="AN899" t="str">
        <f t="shared" si="189"/>
        <v>Valid</v>
      </c>
      <c r="AO899" t="str">
        <f t="shared" si="190"/>
        <v>Valid</v>
      </c>
      <c r="AP899" t="str">
        <f t="shared" si="191"/>
        <v>Valid</v>
      </c>
      <c r="AQ899" t="str">
        <f>IF(Audit_Data[[#This Row],[Z_CostContact]]=3,"Valid","Invalid")</f>
        <v>Valid</v>
      </c>
      <c r="AR899" t="str">
        <f t="shared" si="192"/>
        <v>Valid</v>
      </c>
      <c r="AS899" t="str">
        <f t="shared" si="193"/>
        <v>Valid</v>
      </c>
    </row>
    <row r="900" spans="1:45" x14ac:dyDescent="0.3">
      <c r="A900">
        <v>7037</v>
      </c>
      <c r="B900">
        <v>1974</v>
      </c>
      <c r="C900" t="s">
        <v>32</v>
      </c>
      <c r="D900" t="s">
        <v>33</v>
      </c>
      <c r="E900">
        <v>37087</v>
      </c>
      <c r="F900">
        <v>1</v>
      </c>
      <c r="G900">
        <v>0</v>
      </c>
      <c r="H900" s="1">
        <v>41497</v>
      </c>
      <c r="I900">
        <v>50</v>
      </c>
      <c r="J900">
        <v>194</v>
      </c>
      <c r="K900">
        <v>55</v>
      </c>
      <c r="L900">
        <v>134</v>
      </c>
      <c r="M900">
        <v>15</v>
      </c>
      <c r="N900">
        <v>0</v>
      </c>
      <c r="O900">
        <v>3</v>
      </c>
      <c r="P900">
        <v>3</v>
      </c>
      <c r="Q900">
        <v>4</v>
      </c>
      <c r="R900">
        <v>2</v>
      </c>
      <c r="S900">
        <v>8</v>
      </c>
      <c r="T900">
        <v>6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3</v>
      </c>
      <c r="AB900">
        <v>11</v>
      </c>
      <c r="AC900">
        <v>0</v>
      </c>
      <c r="AD900" t="str">
        <f t="shared" si="182"/>
        <v>Ok</v>
      </c>
      <c r="AE900" t="str">
        <f>IF(AND(Audit_Data[[#This Row],[Year_Birth]]&gt;=1900,Audit_Data[[#This Row],[Year_Birth]]&lt;=2010),"OK","Invalid")</f>
        <v>OK</v>
      </c>
      <c r="AF900" t="str">
        <f t="shared" si="183"/>
        <v>Valid</v>
      </c>
      <c r="AG900" t="str">
        <f t="shared" si="184"/>
        <v>Valid</v>
      </c>
      <c r="AH900" t="str">
        <f t="shared" si="185"/>
        <v>Valid</v>
      </c>
      <c r="AI900" t="str">
        <f t="shared" si="186"/>
        <v>Valid</v>
      </c>
      <c r="AJ900" t="str">
        <f t="shared" si="187"/>
        <v>Valid</v>
      </c>
      <c r="AK900" t="str">
        <f t="shared" si="194"/>
        <v xml:space="preserve">Valid </v>
      </c>
      <c r="AL900" t="str">
        <f>IF(AND(Audit_Data[[#This Row],[Recency]]&gt;=0,Audit_Data[[#This Row],[Recency]]&lt;=100),"Valid","Invalid")</f>
        <v>Valid</v>
      </c>
      <c r="AM900" t="str">
        <f t="shared" si="188"/>
        <v>Valid</v>
      </c>
      <c r="AN900" t="str">
        <f t="shared" si="189"/>
        <v>Valid</v>
      </c>
      <c r="AO900" t="str">
        <f t="shared" si="190"/>
        <v>Valid</v>
      </c>
      <c r="AP900" t="str">
        <f t="shared" si="191"/>
        <v>Valid</v>
      </c>
      <c r="AQ900" t="str">
        <f>IF(Audit_Data[[#This Row],[Z_CostContact]]=3,"Valid","Invalid")</f>
        <v>Valid</v>
      </c>
      <c r="AR900" t="str">
        <f t="shared" si="192"/>
        <v>Valid</v>
      </c>
      <c r="AS900" t="str">
        <f t="shared" si="193"/>
        <v>Valid</v>
      </c>
    </row>
    <row r="901" spans="1:45" x14ac:dyDescent="0.3">
      <c r="A901">
        <v>905</v>
      </c>
      <c r="B901">
        <v>1986</v>
      </c>
      <c r="C901" t="s">
        <v>29</v>
      </c>
      <c r="D901" t="s">
        <v>35</v>
      </c>
      <c r="E901">
        <v>21846</v>
      </c>
      <c r="F901">
        <v>1</v>
      </c>
      <c r="G901">
        <v>0</v>
      </c>
      <c r="H901" s="1">
        <v>41569</v>
      </c>
      <c r="I901">
        <v>38</v>
      </c>
      <c r="J901">
        <v>7</v>
      </c>
      <c r="K901">
        <v>17</v>
      </c>
      <c r="L901">
        <v>18</v>
      </c>
      <c r="M901">
        <v>6</v>
      </c>
      <c r="N901">
        <v>10</v>
      </c>
      <c r="O901">
        <v>26</v>
      </c>
      <c r="P901">
        <v>4</v>
      </c>
      <c r="Q901">
        <v>4</v>
      </c>
      <c r="R901">
        <v>0</v>
      </c>
      <c r="S901">
        <v>3</v>
      </c>
      <c r="T901">
        <v>8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3</v>
      </c>
      <c r="AB901">
        <v>11</v>
      </c>
      <c r="AC901">
        <v>0</v>
      </c>
      <c r="AD901" t="str">
        <f t="shared" si="182"/>
        <v>Ok</v>
      </c>
      <c r="AE901" t="str">
        <f>IF(AND(Audit_Data[[#This Row],[Year_Birth]]&gt;=1900,Audit_Data[[#This Row],[Year_Birth]]&lt;=2010),"OK","Invalid")</f>
        <v>OK</v>
      </c>
      <c r="AF901" t="str">
        <f t="shared" si="183"/>
        <v>Valid</v>
      </c>
      <c r="AG901" t="str">
        <f t="shared" si="184"/>
        <v>Valid</v>
      </c>
      <c r="AH901" t="str">
        <f t="shared" si="185"/>
        <v>Valid</v>
      </c>
      <c r="AI901" t="str">
        <f t="shared" si="186"/>
        <v>Valid</v>
      </c>
      <c r="AJ901" t="str">
        <f t="shared" si="187"/>
        <v>Valid</v>
      </c>
      <c r="AK901" t="str">
        <f t="shared" si="194"/>
        <v xml:space="preserve">Valid </v>
      </c>
      <c r="AL901" t="str">
        <f>IF(AND(Audit_Data[[#This Row],[Recency]]&gt;=0,Audit_Data[[#This Row],[Recency]]&lt;=100),"Valid","Invalid")</f>
        <v>Valid</v>
      </c>
      <c r="AM901" t="str">
        <f t="shared" si="188"/>
        <v>Valid</v>
      </c>
      <c r="AN901" t="str">
        <f t="shared" si="189"/>
        <v>Valid</v>
      </c>
      <c r="AO901" t="str">
        <f t="shared" si="190"/>
        <v>Valid</v>
      </c>
      <c r="AP901" t="str">
        <f t="shared" si="191"/>
        <v>Valid</v>
      </c>
      <c r="AQ901" t="str">
        <f>IF(Audit_Data[[#This Row],[Z_CostContact]]=3,"Valid","Invalid")</f>
        <v>Valid</v>
      </c>
      <c r="AR901" t="str">
        <f t="shared" si="192"/>
        <v>Valid</v>
      </c>
      <c r="AS901" t="str">
        <f t="shared" si="193"/>
        <v>Valid</v>
      </c>
    </row>
    <row r="902" spans="1:45" x14ac:dyDescent="0.3">
      <c r="A902">
        <v>8624</v>
      </c>
      <c r="B902">
        <v>1958</v>
      </c>
      <c r="C902" t="s">
        <v>29</v>
      </c>
      <c r="D902" t="s">
        <v>33</v>
      </c>
      <c r="E902">
        <v>81320</v>
      </c>
      <c r="F902">
        <v>0</v>
      </c>
      <c r="G902">
        <v>0</v>
      </c>
      <c r="H902" s="1">
        <v>41311</v>
      </c>
      <c r="I902">
        <v>61</v>
      </c>
      <c r="J902">
        <v>183</v>
      </c>
      <c r="K902">
        <v>33</v>
      </c>
      <c r="L902">
        <v>493</v>
      </c>
      <c r="M902">
        <v>59</v>
      </c>
      <c r="N902">
        <v>103</v>
      </c>
      <c r="O902">
        <v>57</v>
      </c>
      <c r="P902">
        <v>1</v>
      </c>
      <c r="Q902">
        <v>4</v>
      </c>
      <c r="R902">
        <v>3</v>
      </c>
      <c r="S902">
        <v>10</v>
      </c>
      <c r="T902">
        <v>2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3</v>
      </c>
      <c r="AB902">
        <v>11</v>
      </c>
      <c r="AC902">
        <v>0</v>
      </c>
      <c r="AD902" t="str">
        <f t="shared" si="182"/>
        <v>Ok</v>
      </c>
      <c r="AE902" t="str">
        <f>IF(AND(Audit_Data[[#This Row],[Year_Birth]]&gt;=1900,Audit_Data[[#This Row],[Year_Birth]]&lt;=2010),"OK","Invalid")</f>
        <v>OK</v>
      </c>
      <c r="AF902" t="str">
        <f t="shared" si="183"/>
        <v>Valid</v>
      </c>
      <c r="AG902" t="str">
        <f t="shared" si="184"/>
        <v>Valid</v>
      </c>
      <c r="AH902" t="str">
        <f t="shared" si="185"/>
        <v>Valid</v>
      </c>
      <c r="AI902" t="str">
        <f t="shared" si="186"/>
        <v>Valid</v>
      </c>
      <c r="AJ902" t="str">
        <f t="shared" si="187"/>
        <v>Valid</v>
      </c>
      <c r="AK902" t="str">
        <f t="shared" si="194"/>
        <v xml:space="preserve">Valid </v>
      </c>
      <c r="AL902" t="str">
        <f>IF(AND(Audit_Data[[#This Row],[Recency]]&gt;=0,Audit_Data[[#This Row],[Recency]]&lt;=100),"Valid","Invalid")</f>
        <v>Valid</v>
      </c>
      <c r="AM902" t="str">
        <f t="shared" si="188"/>
        <v>Valid</v>
      </c>
      <c r="AN902" t="str">
        <f t="shared" si="189"/>
        <v>Valid</v>
      </c>
      <c r="AO902" t="str">
        <f t="shared" si="190"/>
        <v>Valid</v>
      </c>
      <c r="AP902" t="str">
        <f t="shared" si="191"/>
        <v>Valid</v>
      </c>
      <c r="AQ902" t="str">
        <f>IF(Audit_Data[[#This Row],[Z_CostContact]]=3,"Valid","Invalid")</f>
        <v>Valid</v>
      </c>
      <c r="AR902" t="str">
        <f t="shared" si="192"/>
        <v>Valid</v>
      </c>
      <c r="AS902" t="str">
        <f t="shared" si="193"/>
        <v>Valid</v>
      </c>
    </row>
    <row r="903" spans="1:45" x14ac:dyDescent="0.3">
      <c r="A903">
        <v>8945</v>
      </c>
      <c r="B903">
        <v>1970</v>
      </c>
      <c r="C903" t="s">
        <v>29</v>
      </c>
      <c r="D903" t="s">
        <v>35</v>
      </c>
      <c r="E903">
        <v>54137</v>
      </c>
      <c r="F903">
        <v>0</v>
      </c>
      <c r="G903">
        <v>1</v>
      </c>
      <c r="H903" s="1">
        <v>41502</v>
      </c>
      <c r="I903">
        <v>46</v>
      </c>
      <c r="J903">
        <v>171</v>
      </c>
      <c r="K903">
        <v>0</v>
      </c>
      <c r="L903">
        <v>11</v>
      </c>
      <c r="M903">
        <v>0</v>
      </c>
      <c r="N903">
        <v>1</v>
      </c>
      <c r="O903">
        <v>20</v>
      </c>
      <c r="P903">
        <v>2</v>
      </c>
      <c r="Q903">
        <v>4</v>
      </c>
      <c r="R903">
        <v>1</v>
      </c>
      <c r="S903">
        <v>4</v>
      </c>
      <c r="T903">
        <v>6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3</v>
      </c>
      <c r="AB903">
        <v>11</v>
      </c>
      <c r="AC903">
        <v>0</v>
      </c>
      <c r="AD903" t="str">
        <f t="shared" si="182"/>
        <v>Ok</v>
      </c>
      <c r="AE903" t="str">
        <f>IF(AND(Audit_Data[[#This Row],[Year_Birth]]&gt;=1900,Audit_Data[[#This Row],[Year_Birth]]&lt;=2010),"OK","Invalid")</f>
        <v>OK</v>
      </c>
      <c r="AF903" t="str">
        <f t="shared" si="183"/>
        <v>Valid</v>
      </c>
      <c r="AG903" t="str">
        <f t="shared" si="184"/>
        <v>Valid</v>
      </c>
      <c r="AH903" t="str">
        <f t="shared" si="185"/>
        <v>Valid</v>
      </c>
      <c r="AI903" t="str">
        <f t="shared" si="186"/>
        <v>Valid</v>
      </c>
      <c r="AJ903" t="str">
        <f t="shared" si="187"/>
        <v>Valid</v>
      </c>
      <c r="AK903" t="str">
        <f t="shared" si="194"/>
        <v xml:space="preserve">Valid </v>
      </c>
      <c r="AL903" t="str">
        <f>IF(AND(Audit_Data[[#This Row],[Recency]]&gt;=0,Audit_Data[[#This Row],[Recency]]&lt;=100),"Valid","Invalid")</f>
        <v>Valid</v>
      </c>
      <c r="AM903" t="str">
        <f t="shared" si="188"/>
        <v>Valid</v>
      </c>
      <c r="AN903" t="str">
        <f t="shared" si="189"/>
        <v>Valid</v>
      </c>
      <c r="AO903" t="str">
        <f t="shared" si="190"/>
        <v>Valid</v>
      </c>
      <c r="AP903" t="str">
        <f t="shared" si="191"/>
        <v>Valid</v>
      </c>
      <c r="AQ903" t="str">
        <f>IF(Audit_Data[[#This Row],[Z_CostContact]]=3,"Valid","Invalid")</f>
        <v>Valid</v>
      </c>
      <c r="AR903" t="str">
        <f t="shared" si="192"/>
        <v>Valid</v>
      </c>
      <c r="AS903" t="str">
        <f t="shared" si="193"/>
        <v>Valid</v>
      </c>
    </row>
    <row r="904" spans="1:45" x14ac:dyDescent="0.3">
      <c r="A904">
        <v>6445</v>
      </c>
      <c r="B904">
        <v>1967</v>
      </c>
      <c r="C904" t="s">
        <v>29</v>
      </c>
      <c r="D904" t="s">
        <v>31</v>
      </c>
      <c r="E904">
        <v>66825</v>
      </c>
      <c r="F904">
        <v>0</v>
      </c>
      <c r="G904">
        <v>0</v>
      </c>
      <c r="H904" s="1">
        <v>41469</v>
      </c>
      <c r="I904">
        <v>73</v>
      </c>
      <c r="J904">
        <v>243</v>
      </c>
      <c r="K904">
        <v>101</v>
      </c>
      <c r="L904">
        <v>405</v>
      </c>
      <c r="M904">
        <v>29</v>
      </c>
      <c r="N904">
        <v>40</v>
      </c>
      <c r="O904">
        <v>40</v>
      </c>
      <c r="P904">
        <v>1</v>
      </c>
      <c r="Q904">
        <v>4</v>
      </c>
      <c r="R904">
        <v>5</v>
      </c>
      <c r="S904">
        <v>6</v>
      </c>
      <c r="T904">
        <v>2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3</v>
      </c>
      <c r="AB904">
        <v>11</v>
      </c>
      <c r="AC904">
        <v>0</v>
      </c>
      <c r="AD904" t="str">
        <f t="shared" si="182"/>
        <v>Ok</v>
      </c>
      <c r="AE904" t="str">
        <f>IF(AND(Audit_Data[[#This Row],[Year_Birth]]&gt;=1900,Audit_Data[[#This Row],[Year_Birth]]&lt;=2010),"OK","Invalid")</f>
        <v>OK</v>
      </c>
      <c r="AF904" t="str">
        <f t="shared" si="183"/>
        <v>Valid</v>
      </c>
      <c r="AG904" t="str">
        <f t="shared" si="184"/>
        <v>Valid</v>
      </c>
      <c r="AH904" t="str">
        <f t="shared" si="185"/>
        <v>Valid</v>
      </c>
      <c r="AI904" t="str">
        <f t="shared" si="186"/>
        <v>Valid</v>
      </c>
      <c r="AJ904" t="str">
        <f t="shared" si="187"/>
        <v>Valid</v>
      </c>
      <c r="AK904" t="str">
        <f t="shared" si="194"/>
        <v xml:space="preserve">Valid </v>
      </c>
      <c r="AL904" t="str">
        <f>IF(AND(Audit_Data[[#This Row],[Recency]]&gt;=0,Audit_Data[[#This Row],[Recency]]&lt;=100),"Valid","Invalid")</f>
        <v>Valid</v>
      </c>
      <c r="AM904" t="str">
        <f t="shared" si="188"/>
        <v>Valid</v>
      </c>
      <c r="AN904" t="str">
        <f t="shared" si="189"/>
        <v>Valid</v>
      </c>
      <c r="AO904" t="str">
        <f t="shared" si="190"/>
        <v>Valid</v>
      </c>
      <c r="AP904" t="str">
        <f t="shared" si="191"/>
        <v>Valid</v>
      </c>
      <c r="AQ904" t="str">
        <f>IF(Audit_Data[[#This Row],[Z_CostContact]]=3,"Valid","Invalid")</f>
        <v>Valid</v>
      </c>
      <c r="AR904" t="str">
        <f t="shared" si="192"/>
        <v>Valid</v>
      </c>
      <c r="AS904" t="str">
        <f t="shared" si="193"/>
        <v>Valid</v>
      </c>
    </row>
    <row r="905" spans="1:45" x14ac:dyDescent="0.3">
      <c r="A905">
        <v>2727</v>
      </c>
      <c r="B905">
        <v>1973</v>
      </c>
      <c r="C905" t="s">
        <v>29</v>
      </c>
      <c r="D905" t="s">
        <v>31</v>
      </c>
      <c r="E905">
        <v>57100</v>
      </c>
      <c r="F905">
        <v>0</v>
      </c>
      <c r="G905">
        <v>0</v>
      </c>
      <c r="H905" s="1">
        <v>41612</v>
      </c>
      <c r="I905">
        <v>19</v>
      </c>
      <c r="J905">
        <v>181</v>
      </c>
      <c r="K905">
        <v>21</v>
      </c>
      <c r="L905">
        <v>69</v>
      </c>
      <c r="M905">
        <v>39</v>
      </c>
      <c r="N905">
        <v>3</v>
      </c>
      <c r="O905">
        <v>96</v>
      </c>
      <c r="P905">
        <v>1</v>
      </c>
      <c r="Q905">
        <v>3</v>
      </c>
      <c r="R905">
        <v>3</v>
      </c>
      <c r="S905">
        <v>6</v>
      </c>
      <c r="T905">
        <v>3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3</v>
      </c>
      <c r="AB905">
        <v>11</v>
      </c>
      <c r="AC905">
        <v>0</v>
      </c>
      <c r="AD905" t="str">
        <f t="shared" si="182"/>
        <v>Ok</v>
      </c>
      <c r="AE905" t="str">
        <f>IF(AND(Audit_Data[[#This Row],[Year_Birth]]&gt;=1900,Audit_Data[[#This Row],[Year_Birth]]&lt;=2010),"OK","Invalid")</f>
        <v>OK</v>
      </c>
      <c r="AF905" t="str">
        <f t="shared" si="183"/>
        <v>Valid</v>
      </c>
      <c r="AG905" t="str">
        <f t="shared" si="184"/>
        <v>Valid</v>
      </c>
      <c r="AH905" t="str">
        <f t="shared" si="185"/>
        <v>Valid</v>
      </c>
      <c r="AI905" t="str">
        <f t="shared" si="186"/>
        <v>Valid</v>
      </c>
      <c r="AJ905" t="str">
        <f t="shared" si="187"/>
        <v>Valid</v>
      </c>
      <c r="AK905" t="str">
        <f t="shared" si="194"/>
        <v xml:space="preserve">Valid </v>
      </c>
      <c r="AL905" t="str">
        <f>IF(AND(Audit_Data[[#This Row],[Recency]]&gt;=0,Audit_Data[[#This Row],[Recency]]&lt;=100),"Valid","Invalid")</f>
        <v>Valid</v>
      </c>
      <c r="AM905" t="str">
        <f t="shared" si="188"/>
        <v>Valid</v>
      </c>
      <c r="AN905" t="str">
        <f t="shared" si="189"/>
        <v>Valid</v>
      </c>
      <c r="AO905" t="str">
        <f t="shared" si="190"/>
        <v>Valid</v>
      </c>
      <c r="AP905" t="str">
        <f t="shared" si="191"/>
        <v>Valid</v>
      </c>
      <c r="AQ905" t="str">
        <f>IF(Audit_Data[[#This Row],[Z_CostContact]]=3,"Valid","Invalid")</f>
        <v>Valid</v>
      </c>
      <c r="AR905" t="str">
        <f t="shared" si="192"/>
        <v>Valid</v>
      </c>
      <c r="AS905" t="str">
        <f t="shared" si="193"/>
        <v>Valid</v>
      </c>
    </row>
    <row r="906" spans="1:45" x14ac:dyDescent="0.3">
      <c r="A906">
        <v>6404</v>
      </c>
      <c r="B906">
        <v>1969</v>
      </c>
      <c r="C906" t="s">
        <v>29</v>
      </c>
      <c r="D906" t="s">
        <v>31</v>
      </c>
      <c r="E906">
        <v>58917</v>
      </c>
      <c r="F906">
        <v>1</v>
      </c>
      <c r="G906">
        <v>2</v>
      </c>
      <c r="H906" s="1">
        <v>41357</v>
      </c>
      <c r="I906">
        <v>10</v>
      </c>
      <c r="J906">
        <v>151</v>
      </c>
      <c r="K906">
        <v>7</v>
      </c>
      <c r="L906">
        <v>89</v>
      </c>
      <c r="M906">
        <v>0</v>
      </c>
      <c r="N906">
        <v>7</v>
      </c>
      <c r="O906">
        <v>28</v>
      </c>
      <c r="P906">
        <v>5</v>
      </c>
      <c r="Q906">
        <v>4</v>
      </c>
      <c r="R906">
        <v>1</v>
      </c>
      <c r="S906">
        <v>6</v>
      </c>
      <c r="T906">
        <v>5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3</v>
      </c>
      <c r="AB906">
        <v>11</v>
      </c>
      <c r="AC906">
        <v>0</v>
      </c>
      <c r="AD906" t="str">
        <f t="shared" si="182"/>
        <v>Ok</v>
      </c>
      <c r="AE906" t="str">
        <f>IF(AND(Audit_Data[[#This Row],[Year_Birth]]&gt;=1900,Audit_Data[[#This Row],[Year_Birth]]&lt;=2010),"OK","Invalid")</f>
        <v>OK</v>
      </c>
      <c r="AF906" t="str">
        <f t="shared" si="183"/>
        <v>Valid</v>
      </c>
      <c r="AG906" t="str">
        <f t="shared" si="184"/>
        <v>Valid</v>
      </c>
      <c r="AH906" t="str">
        <f t="shared" si="185"/>
        <v>Valid</v>
      </c>
      <c r="AI906" t="str">
        <f t="shared" si="186"/>
        <v>Valid</v>
      </c>
      <c r="AJ906" t="str">
        <f t="shared" si="187"/>
        <v>Valid</v>
      </c>
      <c r="AK906" t="str">
        <f t="shared" si="194"/>
        <v xml:space="preserve">Valid </v>
      </c>
      <c r="AL906" t="str">
        <f>IF(AND(Audit_Data[[#This Row],[Recency]]&gt;=0,Audit_Data[[#This Row],[Recency]]&lt;=100),"Valid","Invalid")</f>
        <v>Valid</v>
      </c>
      <c r="AM906" t="str">
        <f t="shared" si="188"/>
        <v>Valid</v>
      </c>
      <c r="AN906" t="str">
        <f t="shared" si="189"/>
        <v>Valid</v>
      </c>
      <c r="AO906" t="str">
        <f t="shared" si="190"/>
        <v>Valid</v>
      </c>
      <c r="AP906" t="str">
        <f t="shared" si="191"/>
        <v>Valid</v>
      </c>
      <c r="AQ906" t="str">
        <f>IF(Audit_Data[[#This Row],[Z_CostContact]]=3,"Valid","Invalid")</f>
        <v>Valid</v>
      </c>
      <c r="AR906" t="str">
        <f t="shared" si="192"/>
        <v>Valid</v>
      </c>
      <c r="AS906" t="str">
        <f t="shared" si="193"/>
        <v>Valid</v>
      </c>
    </row>
    <row r="907" spans="1:45" x14ac:dyDescent="0.3">
      <c r="A907">
        <v>11074</v>
      </c>
      <c r="B907">
        <v>1977</v>
      </c>
      <c r="C907" t="s">
        <v>29</v>
      </c>
      <c r="D907" t="s">
        <v>30</v>
      </c>
      <c r="E907">
        <v>85072</v>
      </c>
      <c r="F907">
        <v>0</v>
      </c>
      <c r="G907">
        <v>0</v>
      </c>
      <c r="H907" s="1">
        <v>41738</v>
      </c>
      <c r="I907">
        <v>94</v>
      </c>
      <c r="J907">
        <v>494</v>
      </c>
      <c r="K907">
        <v>92</v>
      </c>
      <c r="L907">
        <v>391</v>
      </c>
      <c r="M907">
        <v>194</v>
      </c>
      <c r="N907">
        <v>11</v>
      </c>
      <c r="O907">
        <v>241</v>
      </c>
      <c r="P907">
        <v>1</v>
      </c>
      <c r="Q907">
        <v>3</v>
      </c>
      <c r="R907">
        <v>4</v>
      </c>
      <c r="S907">
        <v>10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3</v>
      </c>
      <c r="AB907">
        <v>11</v>
      </c>
      <c r="AC907">
        <v>0</v>
      </c>
      <c r="AD907" t="str">
        <f t="shared" si="182"/>
        <v>Ok</v>
      </c>
      <c r="AE907" t="str">
        <f>IF(AND(Audit_Data[[#This Row],[Year_Birth]]&gt;=1900,Audit_Data[[#This Row],[Year_Birth]]&lt;=2010),"OK","Invalid")</f>
        <v>OK</v>
      </c>
      <c r="AF907" t="str">
        <f t="shared" si="183"/>
        <v>Valid</v>
      </c>
      <c r="AG907" t="str">
        <f t="shared" si="184"/>
        <v>Valid</v>
      </c>
      <c r="AH907" t="str">
        <f t="shared" si="185"/>
        <v>Valid</v>
      </c>
      <c r="AI907" t="str">
        <f t="shared" si="186"/>
        <v>Valid</v>
      </c>
      <c r="AJ907" t="str">
        <f t="shared" si="187"/>
        <v>Valid</v>
      </c>
      <c r="AK907" t="str">
        <f t="shared" si="194"/>
        <v xml:space="preserve">Valid </v>
      </c>
      <c r="AL907" t="str">
        <f>IF(AND(Audit_Data[[#This Row],[Recency]]&gt;=0,Audit_Data[[#This Row],[Recency]]&lt;=100),"Valid","Invalid")</f>
        <v>Valid</v>
      </c>
      <c r="AM907" t="str">
        <f t="shared" si="188"/>
        <v>Valid</v>
      </c>
      <c r="AN907" t="str">
        <f t="shared" si="189"/>
        <v>Valid</v>
      </c>
      <c r="AO907" t="str">
        <f t="shared" si="190"/>
        <v>Valid</v>
      </c>
      <c r="AP907" t="str">
        <f t="shared" si="191"/>
        <v>Valid</v>
      </c>
      <c r="AQ907" t="str">
        <f>IF(Audit_Data[[#This Row],[Z_CostContact]]=3,"Valid","Invalid")</f>
        <v>Valid</v>
      </c>
      <c r="AR907" t="str">
        <f t="shared" si="192"/>
        <v>Valid</v>
      </c>
      <c r="AS907" t="str">
        <f t="shared" si="193"/>
        <v>Valid</v>
      </c>
    </row>
    <row r="908" spans="1:45" x14ac:dyDescent="0.3">
      <c r="A908">
        <v>10150</v>
      </c>
      <c r="B908">
        <v>1961</v>
      </c>
      <c r="C908" t="s">
        <v>29</v>
      </c>
      <c r="D908" t="s">
        <v>30</v>
      </c>
      <c r="E908">
        <v>86429</v>
      </c>
      <c r="F908">
        <v>0</v>
      </c>
      <c r="G908">
        <v>0</v>
      </c>
      <c r="H908" s="1">
        <v>41599</v>
      </c>
      <c r="I908">
        <v>10</v>
      </c>
      <c r="J908">
        <v>464</v>
      </c>
      <c r="K908">
        <v>28</v>
      </c>
      <c r="L908">
        <v>873</v>
      </c>
      <c r="M908">
        <v>29</v>
      </c>
      <c r="N908">
        <v>18</v>
      </c>
      <c r="O908">
        <v>37</v>
      </c>
      <c r="P908">
        <v>0</v>
      </c>
      <c r="Q908">
        <v>7</v>
      </c>
      <c r="R908">
        <v>4</v>
      </c>
      <c r="S908">
        <v>7</v>
      </c>
      <c r="T908">
        <v>2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>
        <v>3</v>
      </c>
      <c r="AB908">
        <v>11</v>
      </c>
      <c r="AC908">
        <v>1</v>
      </c>
      <c r="AD908" t="str">
        <f t="shared" si="182"/>
        <v>Ok</v>
      </c>
      <c r="AE908" t="str">
        <f>IF(AND(Audit_Data[[#This Row],[Year_Birth]]&gt;=1900,Audit_Data[[#This Row],[Year_Birth]]&lt;=2010),"OK","Invalid")</f>
        <v>OK</v>
      </c>
      <c r="AF908" t="str">
        <f t="shared" si="183"/>
        <v>Valid</v>
      </c>
      <c r="AG908" t="str">
        <f t="shared" si="184"/>
        <v>Valid</v>
      </c>
      <c r="AH908" t="str">
        <f t="shared" si="185"/>
        <v>Valid</v>
      </c>
      <c r="AI908" t="str">
        <f t="shared" si="186"/>
        <v>Valid</v>
      </c>
      <c r="AJ908" t="str">
        <f t="shared" si="187"/>
        <v>Valid</v>
      </c>
      <c r="AK908" t="str">
        <f t="shared" si="194"/>
        <v xml:space="preserve">Valid </v>
      </c>
      <c r="AL908" t="str">
        <f>IF(AND(Audit_Data[[#This Row],[Recency]]&gt;=0,Audit_Data[[#This Row],[Recency]]&lt;=100),"Valid","Invalid")</f>
        <v>Valid</v>
      </c>
      <c r="AM908" t="str">
        <f t="shared" si="188"/>
        <v>Valid</v>
      </c>
      <c r="AN908" t="str">
        <f t="shared" si="189"/>
        <v>Valid</v>
      </c>
      <c r="AO908" t="str">
        <f t="shared" si="190"/>
        <v>Valid</v>
      </c>
      <c r="AP908" t="str">
        <f t="shared" si="191"/>
        <v>Valid</v>
      </c>
      <c r="AQ908" t="str">
        <f>IF(Audit_Data[[#This Row],[Z_CostContact]]=3,"Valid","Invalid")</f>
        <v>Valid</v>
      </c>
      <c r="AR908" t="str">
        <f t="shared" si="192"/>
        <v>Valid</v>
      </c>
      <c r="AS908" t="str">
        <f t="shared" si="193"/>
        <v>Valid</v>
      </c>
    </row>
    <row r="909" spans="1:45" x14ac:dyDescent="0.3">
      <c r="A909">
        <v>1968</v>
      </c>
      <c r="B909">
        <v>1971</v>
      </c>
      <c r="C909" t="s">
        <v>29</v>
      </c>
      <c r="D909" t="s">
        <v>38</v>
      </c>
      <c r="E909">
        <v>45684</v>
      </c>
      <c r="F909">
        <v>1</v>
      </c>
      <c r="G909">
        <v>0</v>
      </c>
      <c r="H909" s="1">
        <v>41610</v>
      </c>
      <c r="I909">
        <v>37</v>
      </c>
      <c r="J909">
        <v>5</v>
      </c>
      <c r="K909">
        <v>1</v>
      </c>
      <c r="L909">
        <v>5</v>
      </c>
      <c r="M909">
        <v>10</v>
      </c>
      <c r="N909">
        <v>0</v>
      </c>
      <c r="O909">
        <v>7</v>
      </c>
      <c r="P909">
        <v>1</v>
      </c>
      <c r="Q909">
        <v>1</v>
      </c>
      <c r="R909">
        <v>0</v>
      </c>
      <c r="S909">
        <v>2</v>
      </c>
      <c r="T909">
        <v>7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3</v>
      </c>
      <c r="AB909">
        <v>11</v>
      </c>
      <c r="AC909">
        <v>0</v>
      </c>
      <c r="AD909" t="str">
        <f t="shared" si="182"/>
        <v>Ok</v>
      </c>
      <c r="AE909" t="str">
        <f>IF(AND(Audit_Data[[#This Row],[Year_Birth]]&gt;=1900,Audit_Data[[#This Row],[Year_Birth]]&lt;=2010),"OK","Invalid")</f>
        <v>OK</v>
      </c>
      <c r="AF909" t="str">
        <f t="shared" si="183"/>
        <v>Valid</v>
      </c>
      <c r="AG909" t="str">
        <f t="shared" si="184"/>
        <v>Valid</v>
      </c>
      <c r="AH909" t="str">
        <f t="shared" si="185"/>
        <v>Valid</v>
      </c>
      <c r="AI909" t="str">
        <f t="shared" si="186"/>
        <v>Valid</v>
      </c>
      <c r="AJ909" t="str">
        <f t="shared" si="187"/>
        <v>Valid</v>
      </c>
      <c r="AK909" t="str">
        <f t="shared" si="194"/>
        <v xml:space="preserve">Valid </v>
      </c>
      <c r="AL909" t="str">
        <f>IF(AND(Audit_Data[[#This Row],[Recency]]&gt;=0,Audit_Data[[#This Row],[Recency]]&lt;=100),"Valid","Invalid")</f>
        <v>Valid</v>
      </c>
      <c r="AM909" t="str">
        <f t="shared" si="188"/>
        <v>Valid</v>
      </c>
      <c r="AN909" t="str">
        <f t="shared" si="189"/>
        <v>Valid</v>
      </c>
      <c r="AO909" t="str">
        <f t="shared" si="190"/>
        <v>Valid</v>
      </c>
      <c r="AP909" t="str">
        <f t="shared" si="191"/>
        <v>Valid</v>
      </c>
      <c r="AQ909" t="str">
        <f>IF(Audit_Data[[#This Row],[Z_CostContact]]=3,"Valid","Invalid")</f>
        <v>Valid</v>
      </c>
      <c r="AR909" t="str">
        <f t="shared" si="192"/>
        <v>Valid</v>
      </c>
      <c r="AS909" t="str">
        <f t="shared" si="193"/>
        <v>Valid</v>
      </c>
    </row>
    <row r="910" spans="1:45" x14ac:dyDescent="0.3">
      <c r="A910">
        <v>6534</v>
      </c>
      <c r="B910">
        <v>1974</v>
      </c>
      <c r="C910" t="s">
        <v>29</v>
      </c>
      <c r="D910" t="s">
        <v>31</v>
      </c>
      <c r="E910">
        <v>47889</v>
      </c>
      <c r="F910">
        <v>1</v>
      </c>
      <c r="G910">
        <v>0</v>
      </c>
      <c r="H910" s="1">
        <v>41643</v>
      </c>
      <c r="I910">
        <v>94</v>
      </c>
      <c r="J910">
        <v>29</v>
      </c>
      <c r="K910">
        <v>0</v>
      </c>
      <c r="L910">
        <v>29</v>
      </c>
      <c r="M910">
        <v>0</v>
      </c>
      <c r="N910">
        <v>5</v>
      </c>
      <c r="O910">
        <v>4</v>
      </c>
      <c r="P910">
        <v>1</v>
      </c>
      <c r="Q910">
        <v>2</v>
      </c>
      <c r="R910">
        <v>0</v>
      </c>
      <c r="S910">
        <v>3</v>
      </c>
      <c r="T910">
        <v>5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3</v>
      </c>
      <c r="AB910">
        <v>11</v>
      </c>
      <c r="AC910">
        <v>0</v>
      </c>
      <c r="AD910" t="str">
        <f t="shared" si="182"/>
        <v>Ok</v>
      </c>
      <c r="AE910" t="str">
        <f>IF(AND(Audit_Data[[#This Row],[Year_Birth]]&gt;=1900,Audit_Data[[#This Row],[Year_Birth]]&lt;=2010),"OK","Invalid")</f>
        <v>OK</v>
      </c>
      <c r="AF910" t="str">
        <f t="shared" si="183"/>
        <v>Valid</v>
      </c>
      <c r="AG910" t="str">
        <f t="shared" si="184"/>
        <v>Valid</v>
      </c>
      <c r="AH910" t="str">
        <f t="shared" si="185"/>
        <v>Valid</v>
      </c>
      <c r="AI910" t="str">
        <f t="shared" si="186"/>
        <v>Valid</v>
      </c>
      <c r="AJ910" t="str">
        <f t="shared" si="187"/>
        <v>Valid</v>
      </c>
      <c r="AK910" t="str">
        <f t="shared" si="194"/>
        <v xml:space="preserve">Valid </v>
      </c>
      <c r="AL910" t="str">
        <f>IF(AND(Audit_Data[[#This Row],[Recency]]&gt;=0,Audit_Data[[#This Row],[Recency]]&lt;=100),"Valid","Invalid")</f>
        <v>Valid</v>
      </c>
      <c r="AM910" t="str">
        <f t="shared" si="188"/>
        <v>Valid</v>
      </c>
      <c r="AN910" t="str">
        <f t="shared" si="189"/>
        <v>Valid</v>
      </c>
      <c r="AO910" t="str">
        <f t="shared" si="190"/>
        <v>Valid</v>
      </c>
      <c r="AP910" t="str">
        <f t="shared" si="191"/>
        <v>Valid</v>
      </c>
      <c r="AQ910" t="str">
        <f>IF(Audit_Data[[#This Row],[Z_CostContact]]=3,"Valid","Invalid")</f>
        <v>Valid</v>
      </c>
      <c r="AR910" t="str">
        <f t="shared" si="192"/>
        <v>Valid</v>
      </c>
      <c r="AS910" t="str">
        <f t="shared" si="193"/>
        <v>Valid</v>
      </c>
    </row>
    <row r="911" spans="1:45" x14ac:dyDescent="0.3">
      <c r="A911">
        <v>9485</v>
      </c>
      <c r="B911">
        <v>1986</v>
      </c>
      <c r="C911" t="s">
        <v>32</v>
      </c>
      <c r="D911" t="s">
        <v>33</v>
      </c>
      <c r="E911">
        <v>45921</v>
      </c>
      <c r="F911">
        <v>0</v>
      </c>
      <c r="G911">
        <v>0</v>
      </c>
      <c r="H911" s="1">
        <v>41708</v>
      </c>
      <c r="I911">
        <v>23</v>
      </c>
      <c r="J911">
        <v>102</v>
      </c>
      <c r="K911">
        <v>9</v>
      </c>
      <c r="L911">
        <v>49</v>
      </c>
      <c r="M911">
        <v>24</v>
      </c>
      <c r="N911">
        <v>3</v>
      </c>
      <c r="O911">
        <v>12</v>
      </c>
      <c r="P911">
        <v>1</v>
      </c>
      <c r="Q911">
        <v>2</v>
      </c>
      <c r="R911">
        <v>1</v>
      </c>
      <c r="S911">
        <v>6</v>
      </c>
      <c r="T911">
        <v>4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3</v>
      </c>
      <c r="AB911">
        <v>11</v>
      </c>
      <c r="AC911">
        <v>0</v>
      </c>
      <c r="AD911" t="str">
        <f t="shared" si="182"/>
        <v>Ok</v>
      </c>
      <c r="AE911" t="str">
        <f>IF(AND(Audit_Data[[#This Row],[Year_Birth]]&gt;=1900,Audit_Data[[#This Row],[Year_Birth]]&lt;=2010),"OK","Invalid")</f>
        <v>OK</v>
      </c>
      <c r="AF911" t="str">
        <f t="shared" si="183"/>
        <v>Valid</v>
      </c>
      <c r="AG911" t="str">
        <f t="shared" si="184"/>
        <v>Valid</v>
      </c>
      <c r="AH911" t="str">
        <f t="shared" si="185"/>
        <v>Valid</v>
      </c>
      <c r="AI911" t="str">
        <f t="shared" si="186"/>
        <v>Valid</v>
      </c>
      <c r="AJ911" t="str">
        <f t="shared" si="187"/>
        <v>Valid</v>
      </c>
      <c r="AK911" t="str">
        <f t="shared" si="194"/>
        <v xml:space="preserve">Valid </v>
      </c>
      <c r="AL911" t="str">
        <f>IF(AND(Audit_Data[[#This Row],[Recency]]&gt;=0,Audit_Data[[#This Row],[Recency]]&lt;=100),"Valid","Invalid")</f>
        <v>Valid</v>
      </c>
      <c r="AM911" t="str">
        <f t="shared" si="188"/>
        <v>Valid</v>
      </c>
      <c r="AN911" t="str">
        <f t="shared" si="189"/>
        <v>Valid</v>
      </c>
      <c r="AO911" t="str">
        <f t="shared" si="190"/>
        <v>Valid</v>
      </c>
      <c r="AP911" t="str">
        <f t="shared" si="191"/>
        <v>Valid</v>
      </c>
      <c r="AQ911" t="str">
        <f>IF(Audit_Data[[#This Row],[Z_CostContact]]=3,"Valid","Invalid")</f>
        <v>Valid</v>
      </c>
      <c r="AR911" t="str">
        <f t="shared" si="192"/>
        <v>Valid</v>
      </c>
      <c r="AS911" t="str">
        <f t="shared" si="193"/>
        <v>Valid</v>
      </c>
    </row>
    <row r="912" spans="1:45" x14ac:dyDescent="0.3">
      <c r="A912">
        <v>7053</v>
      </c>
      <c r="B912">
        <v>1966</v>
      </c>
      <c r="C912" t="s">
        <v>32</v>
      </c>
      <c r="D912" t="s">
        <v>30</v>
      </c>
      <c r="E912">
        <v>78420</v>
      </c>
      <c r="F912">
        <v>0</v>
      </c>
      <c r="G912">
        <v>0</v>
      </c>
      <c r="H912" s="1">
        <v>41454</v>
      </c>
      <c r="I912">
        <v>75</v>
      </c>
      <c r="J912">
        <v>604</v>
      </c>
      <c r="K912">
        <v>28</v>
      </c>
      <c r="L912">
        <v>674</v>
      </c>
      <c r="M912">
        <v>91</v>
      </c>
      <c r="N912">
        <v>28</v>
      </c>
      <c r="O912">
        <v>28</v>
      </c>
      <c r="P912">
        <v>1</v>
      </c>
      <c r="Q912">
        <v>3</v>
      </c>
      <c r="R912">
        <v>10</v>
      </c>
      <c r="S912">
        <v>8</v>
      </c>
      <c r="T912">
        <v>1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3</v>
      </c>
      <c r="AB912">
        <v>11</v>
      </c>
      <c r="AC912">
        <v>0</v>
      </c>
      <c r="AD912" t="str">
        <f t="shared" si="182"/>
        <v>Ok</v>
      </c>
      <c r="AE912" t="str">
        <f>IF(AND(Audit_Data[[#This Row],[Year_Birth]]&gt;=1900,Audit_Data[[#This Row],[Year_Birth]]&lt;=2010),"OK","Invalid")</f>
        <v>OK</v>
      </c>
      <c r="AF912" t="str">
        <f t="shared" si="183"/>
        <v>Valid</v>
      </c>
      <c r="AG912" t="str">
        <f t="shared" si="184"/>
        <v>Valid</v>
      </c>
      <c r="AH912" t="str">
        <f t="shared" si="185"/>
        <v>Valid</v>
      </c>
      <c r="AI912" t="str">
        <f t="shared" si="186"/>
        <v>Valid</v>
      </c>
      <c r="AJ912" t="str">
        <f t="shared" si="187"/>
        <v>Valid</v>
      </c>
      <c r="AK912" t="str">
        <f t="shared" si="194"/>
        <v xml:space="preserve">Valid </v>
      </c>
      <c r="AL912" t="str">
        <f>IF(AND(Audit_Data[[#This Row],[Recency]]&gt;=0,Audit_Data[[#This Row],[Recency]]&lt;=100),"Valid","Invalid")</f>
        <v>Valid</v>
      </c>
      <c r="AM912" t="str">
        <f t="shared" si="188"/>
        <v>Valid</v>
      </c>
      <c r="AN912" t="str">
        <f t="shared" si="189"/>
        <v>Valid</v>
      </c>
      <c r="AO912" t="str">
        <f t="shared" si="190"/>
        <v>Valid</v>
      </c>
      <c r="AP912" t="str">
        <f t="shared" si="191"/>
        <v>Valid</v>
      </c>
      <c r="AQ912" t="str">
        <f>IF(Audit_Data[[#This Row],[Z_CostContact]]=3,"Valid","Invalid")</f>
        <v>Valid</v>
      </c>
      <c r="AR912" t="str">
        <f t="shared" si="192"/>
        <v>Valid</v>
      </c>
      <c r="AS912" t="str">
        <f t="shared" si="193"/>
        <v>Valid</v>
      </c>
    </row>
    <row r="913" spans="1:45" x14ac:dyDescent="0.3">
      <c r="A913">
        <v>4654</v>
      </c>
      <c r="B913">
        <v>1992</v>
      </c>
      <c r="C913" t="s">
        <v>29</v>
      </c>
      <c r="D913" t="s">
        <v>31</v>
      </c>
      <c r="E913">
        <v>75114</v>
      </c>
      <c r="F913">
        <v>0</v>
      </c>
      <c r="G913">
        <v>0</v>
      </c>
      <c r="H913" s="1">
        <v>41585</v>
      </c>
      <c r="I913">
        <v>40</v>
      </c>
      <c r="J913">
        <v>571</v>
      </c>
      <c r="K913">
        <v>12</v>
      </c>
      <c r="L913">
        <v>523</v>
      </c>
      <c r="M913">
        <v>63</v>
      </c>
      <c r="N913">
        <v>60</v>
      </c>
      <c r="O913">
        <v>24</v>
      </c>
      <c r="P913">
        <v>1</v>
      </c>
      <c r="Q913">
        <v>3</v>
      </c>
      <c r="R913">
        <v>10</v>
      </c>
      <c r="S913">
        <v>5</v>
      </c>
      <c r="T913">
        <v>2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3</v>
      </c>
      <c r="AB913">
        <v>11</v>
      </c>
      <c r="AC913">
        <v>0</v>
      </c>
      <c r="AD913" t="str">
        <f t="shared" si="182"/>
        <v>Ok</v>
      </c>
      <c r="AE913" t="str">
        <f>IF(AND(Audit_Data[[#This Row],[Year_Birth]]&gt;=1900,Audit_Data[[#This Row],[Year_Birth]]&lt;=2010),"OK","Invalid")</f>
        <v>OK</v>
      </c>
      <c r="AF913" t="str">
        <f t="shared" si="183"/>
        <v>Valid</v>
      </c>
      <c r="AG913" t="str">
        <f t="shared" si="184"/>
        <v>Valid</v>
      </c>
      <c r="AH913" t="str">
        <f t="shared" si="185"/>
        <v>Valid</v>
      </c>
      <c r="AI913" t="str">
        <f t="shared" si="186"/>
        <v>Valid</v>
      </c>
      <c r="AJ913" t="str">
        <f t="shared" si="187"/>
        <v>Valid</v>
      </c>
      <c r="AK913" t="str">
        <f t="shared" si="194"/>
        <v xml:space="preserve">Valid </v>
      </c>
      <c r="AL913" t="str">
        <f>IF(AND(Audit_Data[[#This Row],[Recency]]&gt;=0,Audit_Data[[#This Row],[Recency]]&lt;=100),"Valid","Invalid")</f>
        <v>Valid</v>
      </c>
      <c r="AM913" t="str">
        <f t="shared" si="188"/>
        <v>Valid</v>
      </c>
      <c r="AN913" t="str">
        <f t="shared" si="189"/>
        <v>Valid</v>
      </c>
      <c r="AO913" t="str">
        <f t="shared" si="190"/>
        <v>Valid</v>
      </c>
      <c r="AP913" t="str">
        <f t="shared" si="191"/>
        <v>Valid</v>
      </c>
      <c r="AQ913" t="str">
        <f>IF(Audit_Data[[#This Row],[Z_CostContact]]=3,"Valid","Invalid")</f>
        <v>Valid</v>
      </c>
      <c r="AR913" t="str">
        <f t="shared" si="192"/>
        <v>Valid</v>
      </c>
      <c r="AS913" t="str">
        <f t="shared" si="193"/>
        <v>Valid</v>
      </c>
    </row>
    <row r="914" spans="1:45" x14ac:dyDescent="0.3">
      <c r="A914">
        <v>9760</v>
      </c>
      <c r="B914">
        <v>1963</v>
      </c>
      <c r="C914" t="s">
        <v>32</v>
      </c>
      <c r="D914" t="s">
        <v>38</v>
      </c>
      <c r="E914">
        <v>52278</v>
      </c>
      <c r="F914">
        <v>0</v>
      </c>
      <c r="G914">
        <v>1</v>
      </c>
      <c r="H914" s="1">
        <v>41299</v>
      </c>
      <c r="I914">
        <v>24</v>
      </c>
      <c r="J914">
        <v>953</v>
      </c>
      <c r="K914">
        <v>0</v>
      </c>
      <c r="L914">
        <v>71</v>
      </c>
      <c r="M914">
        <v>0</v>
      </c>
      <c r="N914">
        <v>0</v>
      </c>
      <c r="O914">
        <v>174</v>
      </c>
      <c r="P914">
        <v>6</v>
      </c>
      <c r="Q914">
        <v>10</v>
      </c>
      <c r="R914">
        <v>5</v>
      </c>
      <c r="S914">
        <v>10</v>
      </c>
      <c r="T914">
        <v>8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3</v>
      </c>
      <c r="AB914">
        <v>11</v>
      </c>
      <c r="AC914">
        <v>1</v>
      </c>
      <c r="AD914" t="str">
        <f t="shared" si="182"/>
        <v>Ok</v>
      </c>
      <c r="AE914" t="str">
        <f>IF(AND(Audit_Data[[#This Row],[Year_Birth]]&gt;=1900,Audit_Data[[#This Row],[Year_Birth]]&lt;=2010),"OK","Invalid")</f>
        <v>OK</v>
      </c>
      <c r="AF914" t="str">
        <f t="shared" si="183"/>
        <v>Valid</v>
      </c>
      <c r="AG914" t="str">
        <f t="shared" si="184"/>
        <v>Valid</v>
      </c>
      <c r="AH914" t="str">
        <f t="shared" si="185"/>
        <v>Valid</v>
      </c>
      <c r="AI914" t="str">
        <f t="shared" si="186"/>
        <v>Valid</v>
      </c>
      <c r="AJ914" t="str">
        <f t="shared" si="187"/>
        <v>Valid</v>
      </c>
      <c r="AK914" t="str">
        <f t="shared" si="194"/>
        <v xml:space="preserve">Valid </v>
      </c>
      <c r="AL914" t="str">
        <f>IF(AND(Audit_Data[[#This Row],[Recency]]&gt;=0,Audit_Data[[#This Row],[Recency]]&lt;=100),"Valid","Invalid")</f>
        <v>Valid</v>
      </c>
      <c r="AM914" t="str">
        <f t="shared" si="188"/>
        <v>Valid</v>
      </c>
      <c r="AN914" t="str">
        <f t="shared" si="189"/>
        <v>Valid</v>
      </c>
      <c r="AO914" t="str">
        <f t="shared" si="190"/>
        <v>Valid</v>
      </c>
      <c r="AP914" t="str">
        <f t="shared" si="191"/>
        <v>Valid</v>
      </c>
      <c r="AQ914" t="str">
        <f>IF(Audit_Data[[#This Row],[Z_CostContact]]=3,"Valid","Invalid")</f>
        <v>Valid</v>
      </c>
      <c r="AR914" t="str">
        <f t="shared" si="192"/>
        <v>Valid</v>
      </c>
      <c r="AS914" t="str">
        <f t="shared" si="193"/>
        <v>Valid</v>
      </c>
    </row>
    <row r="915" spans="1:45" x14ac:dyDescent="0.3">
      <c r="A915">
        <v>1048</v>
      </c>
      <c r="B915">
        <v>1972</v>
      </c>
      <c r="C915" t="s">
        <v>34</v>
      </c>
      <c r="D915" t="s">
        <v>33</v>
      </c>
      <c r="E915">
        <v>35641</v>
      </c>
      <c r="F915">
        <v>1</v>
      </c>
      <c r="G915">
        <v>0</v>
      </c>
      <c r="H915" s="1">
        <v>41469</v>
      </c>
      <c r="I915">
        <v>11</v>
      </c>
      <c r="J915">
        <v>63</v>
      </c>
      <c r="K915">
        <v>3</v>
      </c>
      <c r="L915">
        <v>67</v>
      </c>
      <c r="M915">
        <v>8</v>
      </c>
      <c r="N915">
        <v>9</v>
      </c>
      <c r="O915">
        <v>28</v>
      </c>
      <c r="P915">
        <v>2</v>
      </c>
      <c r="Q915">
        <v>3</v>
      </c>
      <c r="R915">
        <v>1</v>
      </c>
      <c r="S915">
        <v>4</v>
      </c>
      <c r="T915">
        <v>7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3</v>
      </c>
      <c r="AB915">
        <v>11</v>
      </c>
      <c r="AC915">
        <v>1</v>
      </c>
      <c r="AD915" t="str">
        <f t="shared" si="182"/>
        <v>Ok</v>
      </c>
      <c r="AE915" t="str">
        <f>IF(AND(Audit_Data[[#This Row],[Year_Birth]]&gt;=1900,Audit_Data[[#This Row],[Year_Birth]]&lt;=2010),"OK","Invalid")</f>
        <v>OK</v>
      </c>
      <c r="AF915" t="str">
        <f t="shared" si="183"/>
        <v>Valid</v>
      </c>
      <c r="AG915" t="str">
        <f t="shared" si="184"/>
        <v>Valid</v>
      </c>
      <c r="AH915" t="str">
        <f t="shared" si="185"/>
        <v>Valid</v>
      </c>
      <c r="AI915" t="str">
        <f t="shared" si="186"/>
        <v>Valid</v>
      </c>
      <c r="AJ915" t="str">
        <f t="shared" si="187"/>
        <v>Valid</v>
      </c>
      <c r="AK915" t="str">
        <f t="shared" si="194"/>
        <v xml:space="preserve">Valid </v>
      </c>
      <c r="AL915" t="str">
        <f>IF(AND(Audit_Data[[#This Row],[Recency]]&gt;=0,Audit_Data[[#This Row],[Recency]]&lt;=100),"Valid","Invalid")</f>
        <v>Valid</v>
      </c>
      <c r="AM915" t="str">
        <f t="shared" si="188"/>
        <v>Valid</v>
      </c>
      <c r="AN915" t="str">
        <f t="shared" si="189"/>
        <v>Valid</v>
      </c>
      <c r="AO915" t="str">
        <f t="shared" si="190"/>
        <v>Valid</v>
      </c>
      <c r="AP915" t="str">
        <f t="shared" si="191"/>
        <v>Valid</v>
      </c>
      <c r="AQ915" t="str">
        <f>IF(Audit_Data[[#This Row],[Z_CostContact]]=3,"Valid","Invalid")</f>
        <v>Valid</v>
      </c>
      <c r="AR915" t="str">
        <f t="shared" si="192"/>
        <v>Valid</v>
      </c>
      <c r="AS915" t="str">
        <f t="shared" si="193"/>
        <v>Valid</v>
      </c>
    </row>
    <row r="916" spans="1:45" x14ac:dyDescent="0.3">
      <c r="A916">
        <v>10619</v>
      </c>
      <c r="B916">
        <v>1994</v>
      </c>
      <c r="C916" t="s">
        <v>29</v>
      </c>
      <c r="D916" t="s">
        <v>30</v>
      </c>
      <c r="E916">
        <v>95529</v>
      </c>
      <c r="F916">
        <v>0</v>
      </c>
      <c r="G916">
        <v>0</v>
      </c>
      <c r="H916" s="1">
        <v>41246</v>
      </c>
      <c r="I916">
        <v>29</v>
      </c>
      <c r="J916">
        <v>770</v>
      </c>
      <c r="K916">
        <v>29</v>
      </c>
      <c r="L916">
        <v>890</v>
      </c>
      <c r="M916">
        <v>250</v>
      </c>
      <c r="N916">
        <v>27</v>
      </c>
      <c r="O916">
        <v>24</v>
      </c>
      <c r="P916">
        <v>1</v>
      </c>
      <c r="Q916">
        <v>7</v>
      </c>
      <c r="R916">
        <v>3</v>
      </c>
      <c r="S916">
        <v>7</v>
      </c>
      <c r="T916">
        <v>3</v>
      </c>
      <c r="U916">
        <v>0</v>
      </c>
      <c r="V916">
        <v>0</v>
      </c>
      <c r="W916">
        <v>1</v>
      </c>
      <c r="X916">
        <v>0</v>
      </c>
      <c r="Y916">
        <v>0</v>
      </c>
      <c r="Z916">
        <v>0</v>
      </c>
      <c r="AA916">
        <v>3</v>
      </c>
      <c r="AB916">
        <v>11</v>
      </c>
      <c r="AC916">
        <v>1</v>
      </c>
      <c r="AD916" t="str">
        <f t="shared" si="182"/>
        <v>Ok</v>
      </c>
      <c r="AE916" t="str">
        <f>IF(AND(Audit_Data[[#This Row],[Year_Birth]]&gt;=1900,Audit_Data[[#This Row],[Year_Birth]]&lt;=2010),"OK","Invalid")</f>
        <v>OK</v>
      </c>
      <c r="AF916" t="str">
        <f t="shared" si="183"/>
        <v>Valid</v>
      </c>
      <c r="AG916" t="str">
        <f t="shared" si="184"/>
        <v>Valid</v>
      </c>
      <c r="AH916" t="str">
        <f t="shared" si="185"/>
        <v>Valid</v>
      </c>
      <c r="AI916" t="str">
        <f t="shared" si="186"/>
        <v>Valid</v>
      </c>
      <c r="AJ916" t="str">
        <f t="shared" si="187"/>
        <v>Valid</v>
      </c>
      <c r="AK916" t="str">
        <f t="shared" si="194"/>
        <v xml:space="preserve">Valid </v>
      </c>
      <c r="AL916" t="str">
        <f>IF(AND(Audit_Data[[#This Row],[Recency]]&gt;=0,Audit_Data[[#This Row],[Recency]]&lt;=100),"Valid","Invalid")</f>
        <v>Valid</v>
      </c>
      <c r="AM916" t="str">
        <f t="shared" si="188"/>
        <v>Valid</v>
      </c>
      <c r="AN916" t="str">
        <f t="shared" si="189"/>
        <v>Valid</v>
      </c>
      <c r="AO916" t="str">
        <f t="shared" si="190"/>
        <v>Valid</v>
      </c>
      <c r="AP916" t="str">
        <f t="shared" si="191"/>
        <v>Valid</v>
      </c>
      <c r="AQ916" t="str">
        <f>IF(Audit_Data[[#This Row],[Z_CostContact]]=3,"Valid","Invalid")</f>
        <v>Valid</v>
      </c>
      <c r="AR916" t="str">
        <f t="shared" si="192"/>
        <v>Valid</v>
      </c>
      <c r="AS916" t="str">
        <f t="shared" si="193"/>
        <v>Valid</v>
      </c>
    </row>
    <row r="917" spans="1:45" x14ac:dyDescent="0.3">
      <c r="A917">
        <v>9308</v>
      </c>
      <c r="B917">
        <v>1954</v>
      </c>
      <c r="C917" t="s">
        <v>29</v>
      </c>
      <c r="D917" t="s">
        <v>33</v>
      </c>
      <c r="E917">
        <v>62820</v>
      </c>
      <c r="F917">
        <v>0</v>
      </c>
      <c r="G917">
        <v>0</v>
      </c>
      <c r="H917" s="1">
        <v>41405</v>
      </c>
      <c r="I917">
        <v>51</v>
      </c>
      <c r="J917">
        <v>398</v>
      </c>
      <c r="K917">
        <v>61</v>
      </c>
      <c r="L917">
        <v>265</v>
      </c>
      <c r="M917">
        <v>138</v>
      </c>
      <c r="N917">
        <v>61</v>
      </c>
      <c r="O917">
        <v>53</v>
      </c>
      <c r="P917">
        <v>1</v>
      </c>
      <c r="Q917">
        <v>3</v>
      </c>
      <c r="R917">
        <v>4</v>
      </c>
      <c r="S917">
        <v>6</v>
      </c>
      <c r="T917">
        <v>1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3</v>
      </c>
      <c r="AB917">
        <v>11</v>
      </c>
      <c r="AC917">
        <v>0</v>
      </c>
      <c r="AD917" t="str">
        <f t="shared" si="182"/>
        <v>Ok</v>
      </c>
      <c r="AE917" t="str">
        <f>IF(AND(Audit_Data[[#This Row],[Year_Birth]]&gt;=1900,Audit_Data[[#This Row],[Year_Birth]]&lt;=2010),"OK","Invalid")</f>
        <v>OK</v>
      </c>
      <c r="AF917" t="str">
        <f t="shared" si="183"/>
        <v>Valid</v>
      </c>
      <c r="AG917" t="str">
        <f t="shared" si="184"/>
        <v>Valid</v>
      </c>
      <c r="AH917" t="str">
        <f t="shared" si="185"/>
        <v>Valid</v>
      </c>
      <c r="AI917" t="str">
        <f t="shared" si="186"/>
        <v>Valid</v>
      </c>
      <c r="AJ917" t="str">
        <f t="shared" si="187"/>
        <v>Valid</v>
      </c>
      <c r="AK917" t="str">
        <f t="shared" si="194"/>
        <v xml:space="preserve">Valid </v>
      </c>
      <c r="AL917" t="str">
        <f>IF(AND(Audit_Data[[#This Row],[Recency]]&gt;=0,Audit_Data[[#This Row],[Recency]]&lt;=100),"Valid","Invalid")</f>
        <v>Valid</v>
      </c>
      <c r="AM917" t="str">
        <f t="shared" si="188"/>
        <v>Valid</v>
      </c>
      <c r="AN917" t="str">
        <f t="shared" si="189"/>
        <v>Valid</v>
      </c>
      <c r="AO917" t="str">
        <f t="shared" si="190"/>
        <v>Valid</v>
      </c>
      <c r="AP917" t="str">
        <f t="shared" si="191"/>
        <v>Valid</v>
      </c>
      <c r="AQ917" t="str">
        <f>IF(Audit_Data[[#This Row],[Z_CostContact]]=3,"Valid","Invalid")</f>
        <v>Valid</v>
      </c>
      <c r="AR917" t="str">
        <f t="shared" si="192"/>
        <v>Valid</v>
      </c>
      <c r="AS917" t="str">
        <f t="shared" si="193"/>
        <v>Valid</v>
      </c>
    </row>
    <row r="918" spans="1:45" x14ac:dyDescent="0.3">
      <c r="A918">
        <v>10505</v>
      </c>
      <c r="B918">
        <v>1960</v>
      </c>
      <c r="C918" t="s">
        <v>34</v>
      </c>
      <c r="D918" t="s">
        <v>31</v>
      </c>
      <c r="E918">
        <v>73113</v>
      </c>
      <c r="F918">
        <v>0</v>
      </c>
      <c r="G918">
        <v>0</v>
      </c>
      <c r="H918" s="1">
        <v>41634</v>
      </c>
      <c r="I918">
        <v>86</v>
      </c>
      <c r="J918">
        <v>741</v>
      </c>
      <c r="K918">
        <v>19</v>
      </c>
      <c r="L918">
        <v>154</v>
      </c>
      <c r="M918">
        <v>50</v>
      </c>
      <c r="N918">
        <v>9</v>
      </c>
      <c r="O918">
        <v>28</v>
      </c>
      <c r="P918">
        <v>1</v>
      </c>
      <c r="Q918">
        <v>3</v>
      </c>
      <c r="R918">
        <v>4</v>
      </c>
      <c r="S918">
        <v>7</v>
      </c>
      <c r="T918">
        <v>2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3</v>
      </c>
      <c r="AB918">
        <v>11</v>
      </c>
      <c r="AC918">
        <v>0</v>
      </c>
      <c r="AD918" t="str">
        <f t="shared" si="182"/>
        <v>Ok</v>
      </c>
      <c r="AE918" t="str">
        <f>IF(AND(Audit_Data[[#This Row],[Year_Birth]]&gt;=1900,Audit_Data[[#This Row],[Year_Birth]]&lt;=2010),"OK","Invalid")</f>
        <v>OK</v>
      </c>
      <c r="AF918" t="str">
        <f t="shared" si="183"/>
        <v>Valid</v>
      </c>
      <c r="AG918" t="str">
        <f t="shared" si="184"/>
        <v>Valid</v>
      </c>
      <c r="AH918" t="str">
        <f t="shared" si="185"/>
        <v>Valid</v>
      </c>
      <c r="AI918" t="str">
        <f t="shared" si="186"/>
        <v>Valid</v>
      </c>
      <c r="AJ918" t="str">
        <f t="shared" si="187"/>
        <v>Valid</v>
      </c>
      <c r="AK918" t="str">
        <f t="shared" si="194"/>
        <v xml:space="preserve">Valid </v>
      </c>
      <c r="AL918" t="str">
        <f>IF(AND(Audit_Data[[#This Row],[Recency]]&gt;=0,Audit_Data[[#This Row],[Recency]]&lt;=100),"Valid","Invalid")</f>
        <v>Valid</v>
      </c>
      <c r="AM918" t="str">
        <f t="shared" si="188"/>
        <v>Valid</v>
      </c>
      <c r="AN918" t="str">
        <f t="shared" si="189"/>
        <v>Valid</v>
      </c>
      <c r="AO918" t="str">
        <f t="shared" si="190"/>
        <v>Valid</v>
      </c>
      <c r="AP918" t="str">
        <f t="shared" si="191"/>
        <v>Valid</v>
      </c>
      <c r="AQ918" t="str">
        <f>IF(Audit_Data[[#This Row],[Z_CostContact]]=3,"Valid","Invalid")</f>
        <v>Valid</v>
      </c>
      <c r="AR918" t="str">
        <f t="shared" si="192"/>
        <v>Valid</v>
      </c>
      <c r="AS918" t="str">
        <f t="shared" si="193"/>
        <v>Valid</v>
      </c>
    </row>
    <row r="919" spans="1:45" x14ac:dyDescent="0.3">
      <c r="A919">
        <v>8362</v>
      </c>
      <c r="B919">
        <v>1982</v>
      </c>
      <c r="C919" t="s">
        <v>32</v>
      </c>
      <c r="D919" t="s">
        <v>33</v>
      </c>
      <c r="E919">
        <v>84169</v>
      </c>
      <c r="F919">
        <v>0</v>
      </c>
      <c r="G919">
        <v>0</v>
      </c>
      <c r="H919" s="1">
        <v>41493</v>
      </c>
      <c r="I919">
        <v>9</v>
      </c>
      <c r="J919">
        <v>1478</v>
      </c>
      <c r="K919">
        <v>19</v>
      </c>
      <c r="L919">
        <v>403</v>
      </c>
      <c r="M919">
        <v>0</v>
      </c>
      <c r="N919">
        <v>19</v>
      </c>
      <c r="O919">
        <v>0</v>
      </c>
      <c r="P919">
        <v>1</v>
      </c>
      <c r="Q919">
        <v>7</v>
      </c>
      <c r="R919">
        <v>6</v>
      </c>
      <c r="S919">
        <v>6</v>
      </c>
      <c r="T919">
        <v>3</v>
      </c>
      <c r="U919">
        <v>0</v>
      </c>
      <c r="V919">
        <v>1</v>
      </c>
      <c r="W919">
        <v>1</v>
      </c>
      <c r="X919">
        <v>0</v>
      </c>
      <c r="Y919">
        <v>0</v>
      </c>
      <c r="Z919">
        <v>0</v>
      </c>
      <c r="AA919">
        <v>3</v>
      </c>
      <c r="AB919">
        <v>11</v>
      </c>
      <c r="AC919">
        <v>1</v>
      </c>
      <c r="AD919" t="str">
        <f t="shared" si="182"/>
        <v>Ok</v>
      </c>
      <c r="AE919" t="str">
        <f>IF(AND(Audit_Data[[#This Row],[Year_Birth]]&gt;=1900,Audit_Data[[#This Row],[Year_Birth]]&lt;=2010),"OK","Invalid")</f>
        <v>OK</v>
      </c>
      <c r="AF919" t="str">
        <f t="shared" si="183"/>
        <v>Valid</v>
      </c>
      <c r="AG919" t="str">
        <f t="shared" si="184"/>
        <v>Valid</v>
      </c>
      <c r="AH919" t="str">
        <f t="shared" si="185"/>
        <v>Valid</v>
      </c>
      <c r="AI919" t="str">
        <f t="shared" si="186"/>
        <v>Valid</v>
      </c>
      <c r="AJ919" t="str">
        <f t="shared" si="187"/>
        <v>Valid</v>
      </c>
      <c r="AK919" t="str">
        <f t="shared" si="194"/>
        <v xml:space="preserve">Valid </v>
      </c>
      <c r="AL919" t="str">
        <f>IF(AND(Audit_Data[[#This Row],[Recency]]&gt;=0,Audit_Data[[#This Row],[Recency]]&lt;=100),"Valid","Invalid")</f>
        <v>Valid</v>
      </c>
      <c r="AM919" t="str">
        <f t="shared" si="188"/>
        <v>Valid</v>
      </c>
      <c r="AN919" t="str">
        <f t="shared" si="189"/>
        <v>Valid</v>
      </c>
      <c r="AO919" t="str">
        <f t="shared" si="190"/>
        <v>Valid</v>
      </c>
      <c r="AP919" t="str">
        <f t="shared" si="191"/>
        <v>Valid</v>
      </c>
      <c r="AQ919" t="str">
        <f>IF(Audit_Data[[#This Row],[Z_CostContact]]=3,"Valid","Invalid")</f>
        <v>Valid</v>
      </c>
      <c r="AR919" t="str">
        <f t="shared" si="192"/>
        <v>Valid</v>
      </c>
      <c r="AS919" t="str">
        <f t="shared" si="193"/>
        <v>Valid</v>
      </c>
    </row>
    <row r="920" spans="1:45" x14ac:dyDescent="0.3">
      <c r="A920">
        <v>2625</v>
      </c>
      <c r="B920">
        <v>1954</v>
      </c>
      <c r="C920" t="s">
        <v>37</v>
      </c>
      <c r="D920" t="s">
        <v>30</v>
      </c>
      <c r="E920">
        <v>42607</v>
      </c>
      <c r="F920">
        <v>0</v>
      </c>
      <c r="G920">
        <v>1</v>
      </c>
      <c r="H920" s="1">
        <v>41595</v>
      </c>
      <c r="I920">
        <v>30</v>
      </c>
      <c r="J920">
        <v>156</v>
      </c>
      <c r="K920">
        <v>29</v>
      </c>
      <c r="L920">
        <v>56</v>
      </c>
      <c r="M920">
        <v>30</v>
      </c>
      <c r="N920">
        <v>32</v>
      </c>
      <c r="O920">
        <v>47</v>
      </c>
      <c r="P920">
        <v>2</v>
      </c>
      <c r="Q920">
        <v>3</v>
      </c>
      <c r="R920">
        <v>2</v>
      </c>
      <c r="S920">
        <v>7</v>
      </c>
      <c r="T920">
        <v>3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3</v>
      </c>
      <c r="AB920">
        <v>11</v>
      </c>
      <c r="AC920">
        <v>0</v>
      </c>
      <c r="AD920" t="str">
        <f t="shared" si="182"/>
        <v>Ok</v>
      </c>
      <c r="AE920" t="str">
        <f>IF(AND(Audit_Data[[#This Row],[Year_Birth]]&gt;=1900,Audit_Data[[#This Row],[Year_Birth]]&lt;=2010),"OK","Invalid")</f>
        <v>OK</v>
      </c>
      <c r="AF920" t="str">
        <f t="shared" si="183"/>
        <v>Valid</v>
      </c>
      <c r="AG920" t="str">
        <f t="shared" si="184"/>
        <v>Valid</v>
      </c>
      <c r="AH920" t="str">
        <f t="shared" si="185"/>
        <v>Valid</v>
      </c>
      <c r="AI920" t="str">
        <f t="shared" si="186"/>
        <v>Valid</v>
      </c>
      <c r="AJ920" t="str">
        <f t="shared" si="187"/>
        <v>Valid</v>
      </c>
      <c r="AK920" t="str">
        <f t="shared" si="194"/>
        <v xml:space="preserve">Valid </v>
      </c>
      <c r="AL920" t="str">
        <f>IF(AND(Audit_Data[[#This Row],[Recency]]&gt;=0,Audit_Data[[#This Row],[Recency]]&lt;=100),"Valid","Invalid")</f>
        <v>Valid</v>
      </c>
      <c r="AM920" t="str">
        <f t="shared" si="188"/>
        <v>Valid</v>
      </c>
      <c r="AN920" t="str">
        <f t="shared" si="189"/>
        <v>Valid</v>
      </c>
      <c r="AO920" t="str">
        <f t="shared" si="190"/>
        <v>Valid</v>
      </c>
      <c r="AP920" t="str">
        <f t="shared" si="191"/>
        <v>Valid</v>
      </c>
      <c r="AQ920" t="str">
        <f>IF(Audit_Data[[#This Row],[Z_CostContact]]=3,"Valid","Invalid")</f>
        <v>Valid</v>
      </c>
      <c r="AR920" t="str">
        <f t="shared" si="192"/>
        <v>Valid</v>
      </c>
      <c r="AS920" t="str">
        <f t="shared" si="193"/>
        <v>Valid</v>
      </c>
    </row>
    <row r="921" spans="1:45" x14ac:dyDescent="0.3">
      <c r="A921">
        <v>4637</v>
      </c>
      <c r="B921">
        <v>1954</v>
      </c>
      <c r="C921" t="s">
        <v>32</v>
      </c>
      <c r="D921" t="s">
        <v>30</v>
      </c>
      <c r="E921">
        <v>74637</v>
      </c>
      <c r="F921">
        <v>0</v>
      </c>
      <c r="G921">
        <v>0</v>
      </c>
      <c r="H921" s="1">
        <v>41412</v>
      </c>
      <c r="I921">
        <v>73</v>
      </c>
      <c r="J921">
        <v>960</v>
      </c>
      <c r="K921">
        <v>64</v>
      </c>
      <c r="L921">
        <v>464</v>
      </c>
      <c r="M921">
        <v>146</v>
      </c>
      <c r="N921">
        <v>0</v>
      </c>
      <c r="O921">
        <v>16</v>
      </c>
      <c r="P921">
        <v>1</v>
      </c>
      <c r="Q921">
        <v>6</v>
      </c>
      <c r="R921">
        <v>9</v>
      </c>
      <c r="S921">
        <v>9</v>
      </c>
      <c r="T921">
        <v>3</v>
      </c>
      <c r="U921">
        <v>0</v>
      </c>
      <c r="V921">
        <v>0</v>
      </c>
      <c r="W921">
        <v>0</v>
      </c>
      <c r="X921">
        <v>1</v>
      </c>
      <c r="Y921">
        <v>0</v>
      </c>
      <c r="Z921">
        <v>0</v>
      </c>
      <c r="AA921">
        <v>3</v>
      </c>
      <c r="AB921">
        <v>11</v>
      </c>
      <c r="AC921">
        <v>0</v>
      </c>
      <c r="AD921" t="str">
        <f t="shared" si="182"/>
        <v>Ok</v>
      </c>
      <c r="AE921" t="str">
        <f>IF(AND(Audit_Data[[#This Row],[Year_Birth]]&gt;=1900,Audit_Data[[#This Row],[Year_Birth]]&lt;=2010),"OK","Invalid")</f>
        <v>OK</v>
      </c>
      <c r="AF921" t="str">
        <f t="shared" si="183"/>
        <v>Valid</v>
      </c>
      <c r="AG921" t="str">
        <f t="shared" si="184"/>
        <v>Valid</v>
      </c>
      <c r="AH921" t="str">
        <f t="shared" si="185"/>
        <v>Valid</v>
      </c>
      <c r="AI921" t="str">
        <f t="shared" si="186"/>
        <v>Valid</v>
      </c>
      <c r="AJ921" t="str">
        <f t="shared" si="187"/>
        <v>Valid</v>
      </c>
      <c r="AK921" t="str">
        <f t="shared" si="194"/>
        <v xml:space="preserve">Valid </v>
      </c>
      <c r="AL921" t="str">
        <f>IF(AND(Audit_Data[[#This Row],[Recency]]&gt;=0,Audit_Data[[#This Row],[Recency]]&lt;=100),"Valid","Invalid")</f>
        <v>Valid</v>
      </c>
      <c r="AM921" t="str">
        <f t="shared" si="188"/>
        <v>Valid</v>
      </c>
      <c r="AN921" t="str">
        <f t="shared" si="189"/>
        <v>Valid</v>
      </c>
      <c r="AO921" t="str">
        <f t="shared" si="190"/>
        <v>Valid</v>
      </c>
      <c r="AP921" t="str">
        <f t="shared" si="191"/>
        <v>Valid</v>
      </c>
      <c r="AQ921" t="str">
        <f>IF(Audit_Data[[#This Row],[Z_CostContact]]=3,"Valid","Invalid")</f>
        <v>Valid</v>
      </c>
      <c r="AR921" t="str">
        <f t="shared" si="192"/>
        <v>Valid</v>
      </c>
      <c r="AS921" t="str">
        <f t="shared" si="193"/>
        <v>Valid</v>
      </c>
    </row>
    <row r="922" spans="1:45" x14ac:dyDescent="0.3">
      <c r="A922">
        <v>9972</v>
      </c>
      <c r="B922">
        <v>1955</v>
      </c>
      <c r="C922" t="s">
        <v>32</v>
      </c>
      <c r="D922" t="s">
        <v>31</v>
      </c>
      <c r="E922">
        <v>46015</v>
      </c>
      <c r="F922">
        <v>1</v>
      </c>
      <c r="G922">
        <v>1</v>
      </c>
      <c r="H922" s="1">
        <v>41742</v>
      </c>
      <c r="I922">
        <v>25</v>
      </c>
      <c r="J922">
        <v>38</v>
      </c>
      <c r="K922">
        <v>0</v>
      </c>
      <c r="L922">
        <v>2</v>
      </c>
      <c r="M922">
        <v>0</v>
      </c>
      <c r="N922">
        <v>0</v>
      </c>
      <c r="O922">
        <v>6</v>
      </c>
      <c r="P922">
        <v>1</v>
      </c>
      <c r="Q922">
        <v>1</v>
      </c>
      <c r="R922">
        <v>0</v>
      </c>
      <c r="S922">
        <v>3</v>
      </c>
      <c r="T922">
        <v>7</v>
      </c>
      <c r="U922">
        <v>1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3</v>
      </c>
      <c r="AB922">
        <v>11</v>
      </c>
      <c r="AC922">
        <v>0</v>
      </c>
      <c r="AD922" t="str">
        <f t="shared" si="182"/>
        <v>Ok</v>
      </c>
      <c r="AE922" t="str">
        <f>IF(AND(Audit_Data[[#This Row],[Year_Birth]]&gt;=1900,Audit_Data[[#This Row],[Year_Birth]]&lt;=2010),"OK","Invalid")</f>
        <v>OK</v>
      </c>
      <c r="AF922" t="str">
        <f t="shared" si="183"/>
        <v>Valid</v>
      </c>
      <c r="AG922" t="str">
        <f t="shared" si="184"/>
        <v>Valid</v>
      </c>
      <c r="AH922" t="str">
        <f t="shared" si="185"/>
        <v>Valid</v>
      </c>
      <c r="AI922" t="str">
        <f t="shared" si="186"/>
        <v>Valid</v>
      </c>
      <c r="AJ922" t="str">
        <f t="shared" si="187"/>
        <v>Valid</v>
      </c>
      <c r="AK922" t="str">
        <f t="shared" si="194"/>
        <v xml:space="preserve">Valid </v>
      </c>
      <c r="AL922" t="str">
        <f>IF(AND(Audit_Data[[#This Row],[Recency]]&gt;=0,Audit_Data[[#This Row],[Recency]]&lt;=100),"Valid","Invalid")</f>
        <v>Valid</v>
      </c>
      <c r="AM922" t="str">
        <f t="shared" si="188"/>
        <v>Valid</v>
      </c>
      <c r="AN922" t="str">
        <f t="shared" si="189"/>
        <v>Valid</v>
      </c>
      <c r="AO922" t="str">
        <f t="shared" si="190"/>
        <v>Valid</v>
      </c>
      <c r="AP922" t="str">
        <f t="shared" si="191"/>
        <v>Valid</v>
      </c>
      <c r="AQ922" t="str">
        <f>IF(Audit_Data[[#This Row],[Z_CostContact]]=3,"Valid","Invalid")</f>
        <v>Valid</v>
      </c>
      <c r="AR922" t="str">
        <f t="shared" si="192"/>
        <v>Valid</v>
      </c>
      <c r="AS922" t="str">
        <f t="shared" si="193"/>
        <v>Valid</v>
      </c>
    </row>
    <row r="923" spans="1:45" x14ac:dyDescent="0.3">
      <c r="A923">
        <v>4483</v>
      </c>
      <c r="B923">
        <v>1993</v>
      </c>
      <c r="C923" t="s">
        <v>29</v>
      </c>
      <c r="D923" t="s">
        <v>30</v>
      </c>
      <c r="E923">
        <v>72354</v>
      </c>
      <c r="F923">
        <v>0</v>
      </c>
      <c r="G923">
        <v>0</v>
      </c>
      <c r="H923" s="1">
        <v>41381</v>
      </c>
      <c r="I923">
        <v>67</v>
      </c>
      <c r="J923">
        <v>315</v>
      </c>
      <c r="K923">
        <v>26</v>
      </c>
      <c r="L923">
        <v>473</v>
      </c>
      <c r="M923">
        <v>220</v>
      </c>
      <c r="N923">
        <v>12</v>
      </c>
      <c r="O923">
        <v>182</v>
      </c>
      <c r="P923">
        <v>1</v>
      </c>
      <c r="Q923">
        <v>2</v>
      </c>
      <c r="R923">
        <v>10</v>
      </c>
      <c r="S923">
        <v>6</v>
      </c>
      <c r="T923">
        <v>1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3</v>
      </c>
      <c r="AB923">
        <v>11</v>
      </c>
      <c r="AC923">
        <v>0</v>
      </c>
      <c r="AD923" t="str">
        <f t="shared" si="182"/>
        <v>Ok</v>
      </c>
      <c r="AE923" t="str">
        <f>IF(AND(Audit_Data[[#This Row],[Year_Birth]]&gt;=1900,Audit_Data[[#This Row],[Year_Birth]]&lt;=2010),"OK","Invalid")</f>
        <v>OK</v>
      </c>
      <c r="AF923" t="str">
        <f t="shared" si="183"/>
        <v>Valid</v>
      </c>
      <c r="AG923" t="str">
        <f t="shared" si="184"/>
        <v>Valid</v>
      </c>
      <c r="AH923" t="str">
        <f t="shared" si="185"/>
        <v>Valid</v>
      </c>
      <c r="AI923" t="str">
        <f t="shared" si="186"/>
        <v>Valid</v>
      </c>
      <c r="AJ923" t="str">
        <f t="shared" si="187"/>
        <v>Valid</v>
      </c>
      <c r="AK923" t="str">
        <f t="shared" si="194"/>
        <v xml:space="preserve">Valid </v>
      </c>
      <c r="AL923" t="str">
        <f>IF(AND(Audit_Data[[#This Row],[Recency]]&gt;=0,Audit_Data[[#This Row],[Recency]]&lt;=100),"Valid","Invalid")</f>
        <v>Valid</v>
      </c>
      <c r="AM923" t="str">
        <f t="shared" si="188"/>
        <v>Valid</v>
      </c>
      <c r="AN923" t="str">
        <f t="shared" si="189"/>
        <v>Valid</v>
      </c>
      <c r="AO923" t="str">
        <f t="shared" si="190"/>
        <v>Valid</v>
      </c>
      <c r="AP923" t="str">
        <f t="shared" si="191"/>
        <v>Valid</v>
      </c>
      <c r="AQ923" t="str">
        <f>IF(Audit_Data[[#This Row],[Z_CostContact]]=3,"Valid","Invalid")</f>
        <v>Valid</v>
      </c>
      <c r="AR923" t="str">
        <f t="shared" si="192"/>
        <v>Valid</v>
      </c>
      <c r="AS923" t="str">
        <f t="shared" si="193"/>
        <v>Valid</v>
      </c>
    </row>
    <row r="924" spans="1:45" x14ac:dyDescent="0.3">
      <c r="A924">
        <v>4487</v>
      </c>
      <c r="B924">
        <v>1969</v>
      </c>
      <c r="C924" t="s">
        <v>34</v>
      </c>
      <c r="D924" t="s">
        <v>30</v>
      </c>
      <c r="E924">
        <v>39858</v>
      </c>
      <c r="F924">
        <v>1</v>
      </c>
      <c r="G924">
        <v>0</v>
      </c>
      <c r="H924" s="1">
        <v>41298</v>
      </c>
      <c r="I924">
        <v>67</v>
      </c>
      <c r="J924">
        <v>15</v>
      </c>
      <c r="K924">
        <v>20</v>
      </c>
      <c r="L924">
        <v>25</v>
      </c>
      <c r="M924">
        <v>2</v>
      </c>
      <c r="N924">
        <v>7</v>
      </c>
      <c r="O924">
        <v>26</v>
      </c>
      <c r="P924">
        <v>1</v>
      </c>
      <c r="Q924">
        <v>2</v>
      </c>
      <c r="R924">
        <v>0</v>
      </c>
      <c r="S924">
        <v>4</v>
      </c>
      <c r="T924">
        <v>6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3</v>
      </c>
      <c r="AB924">
        <v>11</v>
      </c>
      <c r="AC924">
        <v>1</v>
      </c>
      <c r="AD924" t="str">
        <f t="shared" si="182"/>
        <v>Ok</v>
      </c>
      <c r="AE924" t="str">
        <f>IF(AND(Audit_Data[[#This Row],[Year_Birth]]&gt;=1900,Audit_Data[[#This Row],[Year_Birth]]&lt;=2010),"OK","Invalid")</f>
        <v>OK</v>
      </c>
      <c r="AF924" t="str">
        <f t="shared" si="183"/>
        <v>Valid</v>
      </c>
      <c r="AG924" t="str">
        <f t="shared" si="184"/>
        <v>Valid</v>
      </c>
      <c r="AH924" t="str">
        <f t="shared" si="185"/>
        <v>Valid</v>
      </c>
      <c r="AI924" t="str">
        <f t="shared" si="186"/>
        <v>Valid</v>
      </c>
      <c r="AJ924" t="str">
        <f t="shared" si="187"/>
        <v>Valid</v>
      </c>
      <c r="AK924" t="str">
        <f t="shared" si="194"/>
        <v xml:space="preserve">Valid </v>
      </c>
      <c r="AL924" t="str">
        <f>IF(AND(Audit_Data[[#This Row],[Recency]]&gt;=0,Audit_Data[[#This Row],[Recency]]&lt;=100),"Valid","Invalid")</f>
        <v>Valid</v>
      </c>
      <c r="AM924" t="str">
        <f t="shared" si="188"/>
        <v>Valid</v>
      </c>
      <c r="AN924" t="str">
        <f t="shared" si="189"/>
        <v>Valid</v>
      </c>
      <c r="AO924" t="str">
        <f t="shared" si="190"/>
        <v>Valid</v>
      </c>
      <c r="AP924" t="str">
        <f t="shared" si="191"/>
        <v>Valid</v>
      </c>
      <c r="AQ924" t="str">
        <f>IF(Audit_Data[[#This Row],[Z_CostContact]]=3,"Valid","Invalid")</f>
        <v>Valid</v>
      </c>
      <c r="AR924" t="str">
        <f t="shared" si="192"/>
        <v>Valid</v>
      </c>
      <c r="AS924" t="str">
        <f t="shared" si="193"/>
        <v>Valid</v>
      </c>
    </row>
    <row r="925" spans="1:45" x14ac:dyDescent="0.3">
      <c r="A925">
        <v>4988</v>
      </c>
      <c r="B925">
        <v>1948</v>
      </c>
      <c r="C925" t="s">
        <v>32</v>
      </c>
      <c r="D925" t="s">
        <v>33</v>
      </c>
      <c r="E925">
        <v>34469</v>
      </c>
      <c r="F925">
        <v>1</v>
      </c>
      <c r="G925">
        <v>1</v>
      </c>
      <c r="H925" s="1">
        <v>41763</v>
      </c>
      <c r="I925">
        <v>58</v>
      </c>
      <c r="J925">
        <v>19</v>
      </c>
      <c r="K925">
        <v>6</v>
      </c>
      <c r="L925">
        <v>20</v>
      </c>
      <c r="M925">
        <v>0</v>
      </c>
      <c r="N925">
        <v>5</v>
      </c>
      <c r="O925">
        <v>12</v>
      </c>
      <c r="P925">
        <v>3</v>
      </c>
      <c r="Q925">
        <v>1</v>
      </c>
      <c r="R925">
        <v>1</v>
      </c>
      <c r="S925">
        <v>4</v>
      </c>
      <c r="T925">
        <v>4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3</v>
      </c>
      <c r="AB925">
        <v>11</v>
      </c>
      <c r="AC925">
        <v>0</v>
      </c>
      <c r="AD925" t="str">
        <f t="shared" si="182"/>
        <v>Ok</v>
      </c>
      <c r="AE925" t="str">
        <f>IF(AND(Audit_Data[[#This Row],[Year_Birth]]&gt;=1900,Audit_Data[[#This Row],[Year_Birth]]&lt;=2010),"OK","Invalid")</f>
        <v>OK</v>
      </c>
      <c r="AF925" t="str">
        <f t="shared" si="183"/>
        <v>Valid</v>
      </c>
      <c r="AG925" t="str">
        <f t="shared" si="184"/>
        <v>Valid</v>
      </c>
      <c r="AH925" t="str">
        <f t="shared" si="185"/>
        <v>Valid</v>
      </c>
      <c r="AI925" t="str">
        <f t="shared" si="186"/>
        <v>Valid</v>
      </c>
      <c r="AJ925" t="str">
        <f t="shared" si="187"/>
        <v>Valid</v>
      </c>
      <c r="AK925" t="str">
        <f t="shared" si="194"/>
        <v xml:space="preserve">Valid </v>
      </c>
      <c r="AL925" t="str">
        <f>IF(AND(Audit_Data[[#This Row],[Recency]]&gt;=0,Audit_Data[[#This Row],[Recency]]&lt;=100),"Valid","Invalid")</f>
        <v>Valid</v>
      </c>
      <c r="AM925" t="str">
        <f t="shared" si="188"/>
        <v>Valid</v>
      </c>
      <c r="AN925" t="str">
        <f t="shared" si="189"/>
        <v>Valid</v>
      </c>
      <c r="AO925" t="str">
        <f t="shared" si="190"/>
        <v>Valid</v>
      </c>
      <c r="AP925" t="str">
        <f t="shared" si="191"/>
        <v>Valid</v>
      </c>
      <c r="AQ925" t="str">
        <f>IF(Audit_Data[[#This Row],[Z_CostContact]]=3,"Valid","Invalid")</f>
        <v>Valid</v>
      </c>
      <c r="AR925" t="str">
        <f t="shared" si="192"/>
        <v>Valid</v>
      </c>
      <c r="AS925" t="str">
        <f t="shared" si="193"/>
        <v>Valid</v>
      </c>
    </row>
    <row r="926" spans="1:45" x14ac:dyDescent="0.3">
      <c r="A926">
        <v>8931</v>
      </c>
      <c r="B926">
        <v>1986</v>
      </c>
      <c r="C926" t="s">
        <v>29</v>
      </c>
      <c r="D926" t="s">
        <v>31</v>
      </c>
      <c r="E926">
        <v>83033</v>
      </c>
      <c r="F926">
        <v>1</v>
      </c>
      <c r="G926">
        <v>0</v>
      </c>
      <c r="H926" s="1">
        <v>41777</v>
      </c>
      <c r="I926">
        <v>82</v>
      </c>
      <c r="J926">
        <v>812</v>
      </c>
      <c r="K926">
        <v>99</v>
      </c>
      <c r="L926">
        <v>431</v>
      </c>
      <c r="M926">
        <v>237</v>
      </c>
      <c r="N926">
        <v>149</v>
      </c>
      <c r="O926">
        <v>33</v>
      </c>
      <c r="P926">
        <v>1</v>
      </c>
      <c r="Q926">
        <v>11</v>
      </c>
      <c r="R926">
        <v>4</v>
      </c>
      <c r="S926">
        <v>10</v>
      </c>
      <c r="T926">
        <v>5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>
        <v>3</v>
      </c>
      <c r="AB926">
        <v>11</v>
      </c>
      <c r="AC926">
        <v>0</v>
      </c>
      <c r="AD926" t="str">
        <f t="shared" si="182"/>
        <v>Ok</v>
      </c>
      <c r="AE926" t="str">
        <f>IF(AND(Audit_Data[[#This Row],[Year_Birth]]&gt;=1900,Audit_Data[[#This Row],[Year_Birth]]&lt;=2010),"OK","Invalid")</f>
        <v>OK</v>
      </c>
      <c r="AF926" t="str">
        <f t="shared" si="183"/>
        <v>Valid</v>
      </c>
      <c r="AG926" t="str">
        <f t="shared" si="184"/>
        <v>Valid</v>
      </c>
      <c r="AH926" t="str">
        <f t="shared" si="185"/>
        <v>Valid</v>
      </c>
      <c r="AI926" t="str">
        <f t="shared" si="186"/>
        <v>Valid</v>
      </c>
      <c r="AJ926" t="str">
        <f t="shared" si="187"/>
        <v>Valid</v>
      </c>
      <c r="AK926" t="str">
        <f t="shared" si="194"/>
        <v xml:space="preserve">Valid </v>
      </c>
      <c r="AL926" t="str">
        <f>IF(AND(Audit_Data[[#This Row],[Recency]]&gt;=0,Audit_Data[[#This Row],[Recency]]&lt;=100),"Valid","Invalid")</f>
        <v>Valid</v>
      </c>
      <c r="AM926" t="str">
        <f t="shared" si="188"/>
        <v>Valid</v>
      </c>
      <c r="AN926" t="str">
        <f t="shared" si="189"/>
        <v>Valid</v>
      </c>
      <c r="AO926" t="str">
        <f t="shared" si="190"/>
        <v>Valid</v>
      </c>
      <c r="AP926" t="str">
        <f t="shared" si="191"/>
        <v>Valid</v>
      </c>
      <c r="AQ926" t="str">
        <f>IF(Audit_Data[[#This Row],[Z_CostContact]]=3,"Valid","Invalid")</f>
        <v>Valid</v>
      </c>
      <c r="AR926" t="str">
        <f t="shared" si="192"/>
        <v>Valid</v>
      </c>
      <c r="AS926" t="str">
        <f t="shared" si="193"/>
        <v>Valid</v>
      </c>
    </row>
    <row r="927" spans="1:45" x14ac:dyDescent="0.3">
      <c r="A927">
        <v>5871</v>
      </c>
      <c r="B927">
        <v>1979</v>
      </c>
      <c r="C927" t="s">
        <v>34</v>
      </c>
      <c r="D927" t="s">
        <v>31</v>
      </c>
      <c r="E927">
        <v>24401</v>
      </c>
      <c r="F927">
        <v>0</v>
      </c>
      <c r="G927">
        <v>0</v>
      </c>
      <c r="H927" s="1">
        <v>41152</v>
      </c>
      <c r="I927">
        <v>98</v>
      </c>
      <c r="J927">
        <v>73</v>
      </c>
      <c r="K927">
        <v>28</v>
      </c>
      <c r="L927">
        <v>217</v>
      </c>
      <c r="M927">
        <v>10</v>
      </c>
      <c r="N927">
        <v>24</v>
      </c>
      <c r="O927">
        <v>115</v>
      </c>
      <c r="P927">
        <v>3</v>
      </c>
      <c r="Q927">
        <v>6</v>
      </c>
      <c r="R927">
        <v>1</v>
      </c>
      <c r="S927">
        <v>6</v>
      </c>
      <c r="T927">
        <v>8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3</v>
      </c>
      <c r="AB927">
        <v>11</v>
      </c>
      <c r="AC927">
        <v>0</v>
      </c>
      <c r="AD927" t="str">
        <f t="shared" si="182"/>
        <v>Ok</v>
      </c>
      <c r="AE927" t="str">
        <f>IF(AND(Audit_Data[[#This Row],[Year_Birth]]&gt;=1900,Audit_Data[[#This Row],[Year_Birth]]&lt;=2010),"OK","Invalid")</f>
        <v>OK</v>
      </c>
      <c r="AF927" t="str">
        <f t="shared" si="183"/>
        <v>Valid</v>
      </c>
      <c r="AG927" t="str">
        <f t="shared" si="184"/>
        <v>Valid</v>
      </c>
      <c r="AH927" t="str">
        <f t="shared" si="185"/>
        <v>Valid</v>
      </c>
      <c r="AI927" t="str">
        <f t="shared" si="186"/>
        <v>Valid</v>
      </c>
      <c r="AJ927" t="str">
        <f t="shared" si="187"/>
        <v>Valid</v>
      </c>
      <c r="AK927" t="str">
        <f t="shared" si="194"/>
        <v xml:space="preserve">Valid </v>
      </c>
      <c r="AL927" t="str">
        <f>IF(AND(Audit_Data[[#This Row],[Recency]]&gt;=0,Audit_Data[[#This Row],[Recency]]&lt;=100),"Valid","Invalid")</f>
        <v>Valid</v>
      </c>
      <c r="AM927" t="str">
        <f t="shared" si="188"/>
        <v>Valid</v>
      </c>
      <c r="AN927" t="str">
        <f t="shared" si="189"/>
        <v>Valid</v>
      </c>
      <c r="AO927" t="str">
        <f t="shared" si="190"/>
        <v>Valid</v>
      </c>
      <c r="AP927" t="str">
        <f t="shared" si="191"/>
        <v>Valid</v>
      </c>
      <c r="AQ927" t="str">
        <f>IF(Audit_Data[[#This Row],[Z_CostContact]]=3,"Valid","Invalid")</f>
        <v>Valid</v>
      </c>
      <c r="AR927" t="str">
        <f t="shared" si="192"/>
        <v>Valid</v>
      </c>
      <c r="AS927" t="str">
        <f t="shared" si="193"/>
        <v>Valid</v>
      </c>
    </row>
    <row r="928" spans="1:45" x14ac:dyDescent="0.3">
      <c r="A928">
        <v>2008</v>
      </c>
      <c r="B928">
        <v>1978</v>
      </c>
      <c r="C928" t="s">
        <v>29</v>
      </c>
      <c r="D928" t="s">
        <v>33</v>
      </c>
      <c r="E928">
        <v>77583</v>
      </c>
      <c r="F928">
        <v>0</v>
      </c>
      <c r="G928">
        <v>0</v>
      </c>
      <c r="H928" s="1">
        <v>41680</v>
      </c>
      <c r="I928">
        <v>93</v>
      </c>
      <c r="J928">
        <v>372</v>
      </c>
      <c r="K928">
        <v>23</v>
      </c>
      <c r="L928">
        <v>384</v>
      </c>
      <c r="M928">
        <v>250</v>
      </c>
      <c r="N928">
        <v>12</v>
      </c>
      <c r="O928">
        <v>108</v>
      </c>
      <c r="P928">
        <v>1</v>
      </c>
      <c r="Q928">
        <v>4</v>
      </c>
      <c r="R928">
        <v>5</v>
      </c>
      <c r="S928">
        <v>9</v>
      </c>
      <c r="T928">
        <v>2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>
        <v>3</v>
      </c>
      <c r="AB928">
        <v>11</v>
      </c>
      <c r="AC928">
        <v>0</v>
      </c>
      <c r="AD928" t="str">
        <f t="shared" si="182"/>
        <v>Ok</v>
      </c>
      <c r="AE928" t="str">
        <f>IF(AND(Audit_Data[[#This Row],[Year_Birth]]&gt;=1900,Audit_Data[[#This Row],[Year_Birth]]&lt;=2010),"OK","Invalid")</f>
        <v>OK</v>
      </c>
      <c r="AF928" t="str">
        <f t="shared" si="183"/>
        <v>Valid</v>
      </c>
      <c r="AG928" t="str">
        <f t="shared" si="184"/>
        <v>Valid</v>
      </c>
      <c r="AH928" t="str">
        <f t="shared" si="185"/>
        <v>Valid</v>
      </c>
      <c r="AI928" t="str">
        <f t="shared" si="186"/>
        <v>Valid</v>
      </c>
      <c r="AJ928" t="str">
        <f t="shared" si="187"/>
        <v>Valid</v>
      </c>
      <c r="AK928" t="str">
        <f t="shared" si="194"/>
        <v xml:space="preserve">Valid </v>
      </c>
      <c r="AL928" t="str">
        <f>IF(AND(Audit_Data[[#This Row],[Recency]]&gt;=0,Audit_Data[[#This Row],[Recency]]&lt;=100),"Valid","Invalid")</f>
        <v>Valid</v>
      </c>
      <c r="AM928" t="str">
        <f t="shared" si="188"/>
        <v>Valid</v>
      </c>
      <c r="AN928" t="str">
        <f t="shared" si="189"/>
        <v>Valid</v>
      </c>
      <c r="AO928" t="str">
        <f t="shared" si="190"/>
        <v>Valid</v>
      </c>
      <c r="AP928" t="str">
        <f t="shared" si="191"/>
        <v>Valid</v>
      </c>
      <c r="AQ928" t="str">
        <f>IF(Audit_Data[[#This Row],[Z_CostContact]]=3,"Valid","Invalid")</f>
        <v>Valid</v>
      </c>
      <c r="AR928" t="str">
        <f t="shared" si="192"/>
        <v>Valid</v>
      </c>
      <c r="AS928" t="str">
        <f t="shared" si="193"/>
        <v>Valid</v>
      </c>
    </row>
    <row r="929" spans="1:45" x14ac:dyDescent="0.3">
      <c r="A929">
        <v>3139</v>
      </c>
      <c r="B929">
        <v>1982</v>
      </c>
      <c r="C929" t="s">
        <v>37</v>
      </c>
      <c r="D929" t="s">
        <v>30</v>
      </c>
      <c r="E929">
        <v>74116</v>
      </c>
      <c r="F929">
        <v>0</v>
      </c>
      <c r="G929">
        <v>0</v>
      </c>
      <c r="H929" s="1">
        <v>41638</v>
      </c>
      <c r="I929">
        <v>53</v>
      </c>
      <c r="J929">
        <v>871</v>
      </c>
      <c r="K929">
        <v>111</v>
      </c>
      <c r="L929">
        <v>704</v>
      </c>
      <c r="M929">
        <v>145</v>
      </c>
      <c r="N929">
        <v>55</v>
      </c>
      <c r="O929">
        <v>166</v>
      </c>
      <c r="P929">
        <v>1</v>
      </c>
      <c r="Q929">
        <v>4</v>
      </c>
      <c r="R929">
        <v>4</v>
      </c>
      <c r="S929">
        <v>10</v>
      </c>
      <c r="T929">
        <v>2</v>
      </c>
      <c r="U929">
        <v>0</v>
      </c>
      <c r="V929">
        <v>1</v>
      </c>
      <c r="W929">
        <v>0</v>
      </c>
      <c r="X929">
        <v>0</v>
      </c>
      <c r="Y929">
        <v>0</v>
      </c>
      <c r="Z929">
        <v>0</v>
      </c>
      <c r="AA929">
        <v>3</v>
      </c>
      <c r="AB929">
        <v>11</v>
      </c>
      <c r="AC929">
        <v>0</v>
      </c>
      <c r="AD929" t="str">
        <f t="shared" si="182"/>
        <v>Ok</v>
      </c>
      <c r="AE929" t="str">
        <f>IF(AND(Audit_Data[[#This Row],[Year_Birth]]&gt;=1900,Audit_Data[[#This Row],[Year_Birth]]&lt;=2010),"OK","Invalid")</f>
        <v>OK</v>
      </c>
      <c r="AF929" t="str">
        <f t="shared" si="183"/>
        <v>Valid</v>
      </c>
      <c r="AG929" t="str">
        <f t="shared" si="184"/>
        <v>Valid</v>
      </c>
      <c r="AH929" t="str">
        <f t="shared" si="185"/>
        <v>Valid</v>
      </c>
      <c r="AI929" t="str">
        <f t="shared" si="186"/>
        <v>Valid</v>
      </c>
      <c r="AJ929" t="str">
        <f t="shared" si="187"/>
        <v>Valid</v>
      </c>
      <c r="AK929" t="str">
        <f t="shared" si="194"/>
        <v xml:space="preserve">Valid </v>
      </c>
      <c r="AL929" t="str">
        <f>IF(AND(Audit_Data[[#This Row],[Recency]]&gt;=0,Audit_Data[[#This Row],[Recency]]&lt;=100),"Valid","Invalid")</f>
        <v>Valid</v>
      </c>
      <c r="AM929" t="str">
        <f t="shared" si="188"/>
        <v>Valid</v>
      </c>
      <c r="AN929" t="str">
        <f t="shared" si="189"/>
        <v>Valid</v>
      </c>
      <c r="AO929" t="str">
        <f t="shared" si="190"/>
        <v>Valid</v>
      </c>
      <c r="AP929" t="str">
        <f t="shared" si="191"/>
        <v>Valid</v>
      </c>
      <c r="AQ929" t="str">
        <f>IF(Audit_Data[[#This Row],[Z_CostContact]]=3,"Valid","Invalid")</f>
        <v>Valid</v>
      </c>
      <c r="AR929" t="str">
        <f t="shared" si="192"/>
        <v>Valid</v>
      </c>
      <c r="AS929" t="str">
        <f t="shared" si="193"/>
        <v>Valid</v>
      </c>
    </row>
    <row r="930" spans="1:45" x14ac:dyDescent="0.3">
      <c r="A930">
        <v>10037</v>
      </c>
      <c r="B930">
        <v>1993</v>
      </c>
      <c r="C930" t="s">
        <v>29</v>
      </c>
      <c r="D930" t="s">
        <v>30</v>
      </c>
      <c r="E930">
        <v>74293</v>
      </c>
      <c r="F930">
        <v>0</v>
      </c>
      <c r="G930">
        <v>0</v>
      </c>
      <c r="H930" s="1">
        <v>41763</v>
      </c>
      <c r="I930">
        <v>66</v>
      </c>
      <c r="J930">
        <v>375</v>
      </c>
      <c r="K930">
        <v>152</v>
      </c>
      <c r="L930">
        <v>335</v>
      </c>
      <c r="M930">
        <v>93</v>
      </c>
      <c r="N930">
        <v>91</v>
      </c>
      <c r="O930">
        <v>81</v>
      </c>
      <c r="P930">
        <v>1</v>
      </c>
      <c r="Q930">
        <v>5</v>
      </c>
      <c r="R930">
        <v>4</v>
      </c>
      <c r="S930">
        <v>6</v>
      </c>
      <c r="T930">
        <v>2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3</v>
      </c>
      <c r="AB930">
        <v>11</v>
      </c>
      <c r="AC930">
        <v>0</v>
      </c>
      <c r="AD930" t="str">
        <f t="shared" si="182"/>
        <v>Ok</v>
      </c>
      <c r="AE930" t="str">
        <f>IF(AND(Audit_Data[[#This Row],[Year_Birth]]&gt;=1900,Audit_Data[[#This Row],[Year_Birth]]&lt;=2010),"OK","Invalid")</f>
        <v>OK</v>
      </c>
      <c r="AF930" t="str">
        <f t="shared" si="183"/>
        <v>Valid</v>
      </c>
      <c r="AG930" t="str">
        <f t="shared" si="184"/>
        <v>Valid</v>
      </c>
      <c r="AH930" t="str">
        <f t="shared" si="185"/>
        <v>Valid</v>
      </c>
      <c r="AI930" t="str">
        <f t="shared" si="186"/>
        <v>Valid</v>
      </c>
      <c r="AJ930" t="str">
        <f t="shared" si="187"/>
        <v>Valid</v>
      </c>
      <c r="AK930" t="str">
        <f t="shared" si="194"/>
        <v xml:space="preserve">Valid </v>
      </c>
      <c r="AL930" t="str">
        <f>IF(AND(Audit_Data[[#This Row],[Recency]]&gt;=0,Audit_Data[[#This Row],[Recency]]&lt;=100),"Valid","Invalid")</f>
        <v>Valid</v>
      </c>
      <c r="AM930" t="str">
        <f t="shared" si="188"/>
        <v>Valid</v>
      </c>
      <c r="AN930" t="str">
        <f t="shared" si="189"/>
        <v>Valid</v>
      </c>
      <c r="AO930" t="str">
        <f t="shared" si="190"/>
        <v>Valid</v>
      </c>
      <c r="AP930" t="str">
        <f t="shared" si="191"/>
        <v>Valid</v>
      </c>
      <c r="AQ930" t="str">
        <f>IF(Audit_Data[[#This Row],[Z_CostContact]]=3,"Valid","Invalid")</f>
        <v>Valid</v>
      </c>
      <c r="AR930" t="str">
        <f t="shared" si="192"/>
        <v>Valid</v>
      </c>
      <c r="AS930" t="str">
        <f t="shared" si="193"/>
        <v>Valid</v>
      </c>
    </row>
    <row r="931" spans="1:45" x14ac:dyDescent="0.3">
      <c r="A931">
        <v>10673</v>
      </c>
      <c r="B931">
        <v>1976</v>
      </c>
      <c r="C931" t="s">
        <v>32</v>
      </c>
      <c r="D931" t="s">
        <v>33</v>
      </c>
      <c r="E931">
        <v>68397</v>
      </c>
      <c r="F931">
        <v>0</v>
      </c>
      <c r="G931">
        <v>1</v>
      </c>
      <c r="H931" s="1">
        <v>41595</v>
      </c>
      <c r="I931">
        <v>6</v>
      </c>
      <c r="J931">
        <v>760</v>
      </c>
      <c r="K931">
        <v>80</v>
      </c>
      <c r="L931">
        <v>466</v>
      </c>
      <c r="M931">
        <v>17</v>
      </c>
      <c r="N931">
        <v>13</v>
      </c>
      <c r="O931">
        <v>80</v>
      </c>
      <c r="P931">
        <v>1</v>
      </c>
      <c r="Q931">
        <v>6</v>
      </c>
      <c r="R931">
        <v>9</v>
      </c>
      <c r="S931">
        <v>5</v>
      </c>
      <c r="T931">
        <v>3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3</v>
      </c>
      <c r="AB931">
        <v>11</v>
      </c>
      <c r="AC931">
        <v>0</v>
      </c>
      <c r="AD931" t="str">
        <f t="shared" si="182"/>
        <v>Ok</v>
      </c>
      <c r="AE931" t="str">
        <f>IF(AND(Audit_Data[[#This Row],[Year_Birth]]&gt;=1900,Audit_Data[[#This Row],[Year_Birth]]&lt;=2010),"OK","Invalid")</f>
        <v>OK</v>
      </c>
      <c r="AF931" t="str">
        <f t="shared" si="183"/>
        <v>Valid</v>
      </c>
      <c r="AG931" t="str">
        <f t="shared" si="184"/>
        <v>Valid</v>
      </c>
      <c r="AH931" t="str">
        <f t="shared" si="185"/>
        <v>Valid</v>
      </c>
      <c r="AI931" t="str">
        <f t="shared" si="186"/>
        <v>Valid</v>
      </c>
      <c r="AJ931" t="str">
        <f t="shared" si="187"/>
        <v>Valid</v>
      </c>
      <c r="AK931" t="str">
        <f t="shared" si="194"/>
        <v xml:space="preserve">Valid </v>
      </c>
      <c r="AL931" t="str">
        <f>IF(AND(Audit_Data[[#This Row],[Recency]]&gt;=0,Audit_Data[[#This Row],[Recency]]&lt;=100),"Valid","Invalid")</f>
        <v>Valid</v>
      </c>
      <c r="AM931" t="str">
        <f t="shared" si="188"/>
        <v>Valid</v>
      </c>
      <c r="AN931" t="str">
        <f t="shared" si="189"/>
        <v>Valid</v>
      </c>
      <c r="AO931" t="str">
        <f t="shared" si="190"/>
        <v>Valid</v>
      </c>
      <c r="AP931" t="str">
        <f t="shared" si="191"/>
        <v>Valid</v>
      </c>
      <c r="AQ931" t="str">
        <f>IF(Audit_Data[[#This Row],[Z_CostContact]]=3,"Valid","Invalid")</f>
        <v>Valid</v>
      </c>
      <c r="AR931" t="str">
        <f t="shared" si="192"/>
        <v>Valid</v>
      </c>
      <c r="AS931" t="str">
        <f t="shared" si="193"/>
        <v>Valid</v>
      </c>
    </row>
    <row r="932" spans="1:45" x14ac:dyDescent="0.3">
      <c r="A932">
        <v>5303</v>
      </c>
      <c r="B932">
        <v>1974</v>
      </c>
      <c r="C932" t="s">
        <v>32</v>
      </c>
      <c r="D932" t="s">
        <v>31</v>
      </c>
      <c r="E932">
        <v>79632</v>
      </c>
      <c r="F932">
        <v>0</v>
      </c>
      <c r="G932">
        <v>0</v>
      </c>
      <c r="H932" s="1">
        <v>41737</v>
      </c>
      <c r="I932">
        <v>42</v>
      </c>
      <c r="J932">
        <v>471</v>
      </c>
      <c r="K932">
        <v>0</v>
      </c>
      <c r="L932">
        <v>510</v>
      </c>
      <c r="M932">
        <v>99</v>
      </c>
      <c r="N932">
        <v>21</v>
      </c>
      <c r="O932">
        <v>12</v>
      </c>
      <c r="P932">
        <v>1</v>
      </c>
      <c r="Q932">
        <v>6</v>
      </c>
      <c r="R932">
        <v>4</v>
      </c>
      <c r="S932">
        <v>9</v>
      </c>
      <c r="T932">
        <v>2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3</v>
      </c>
      <c r="AB932">
        <v>11</v>
      </c>
      <c r="AC932">
        <v>0</v>
      </c>
      <c r="AD932" t="str">
        <f t="shared" si="182"/>
        <v>Ok</v>
      </c>
      <c r="AE932" t="str">
        <f>IF(AND(Audit_Data[[#This Row],[Year_Birth]]&gt;=1900,Audit_Data[[#This Row],[Year_Birth]]&lt;=2010),"OK","Invalid")</f>
        <v>OK</v>
      </c>
      <c r="AF932" t="str">
        <f t="shared" si="183"/>
        <v>Valid</v>
      </c>
      <c r="AG932" t="str">
        <f t="shared" si="184"/>
        <v>Valid</v>
      </c>
      <c r="AH932" t="str">
        <f t="shared" si="185"/>
        <v>Valid</v>
      </c>
      <c r="AI932" t="str">
        <f t="shared" si="186"/>
        <v>Valid</v>
      </c>
      <c r="AJ932" t="str">
        <f t="shared" si="187"/>
        <v>Valid</v>
      </c>
      <c r="AK932" t="str">
        <f t="shared" si="194"/>
        <v xml:space="preserve">Valid </v>
      </c>
      <c r="AL932" t="str">
        <f>IF(AND(Audit_Data[[#This Row],[Recency]]&gt;=0,Audit_Data[[#This Row],[Recency]]&lt;=100),"Valid","Invalid")</f>
        <v>Valid</v>
      </c>
      <c r="AM932" t="str">
        <f t="shared" si="188"/>
        <v>Valid</v>
      </c>
      <c r="AN932" t="str">
        <f t="shared" si="189"/>
        <v>Valid</v>
      </c>
      <c r="AO932" t="str">
        <f t="shared" si="190"/>
        <v>Valid</v>
      </c>
      <c r="AP932" t="str">
        <f t="shared" si="191"/>
        <v>Valid</v>
      </c>
      <c r="AQ932" t="str">
        <f>IF(Audit_Data[[#This Row],[Z_CostContact]]=3,"Valid","Invalid")</f>
        <v>Valid</v>
      </c>
      <c r="AR932" t="str">
        <f t="shared" si="192"/>
        <v>Valid</v>
      </c>
      <c r="AS932" t="str">
        <f t="shared" si="193"/>
        <v>Valid</v>
      </c>
    </row>
    <row r="933" spans="1:45" x14ac:dyDescent="0.3">
      <c r="A933">
        <v>538</v>
      </c>
      <c r="B933">
        <v>1989</v>
      </c>
      <c r="C933" t="s">
        <v>29</v>
      </c>
      <c r="D933" t="s">
        <v>30</v>
      </c>
      <c r="E933">
        <v>46107</v>
      </c>
      <c r="F933">
        <v>1</v>
      </c>
      <c r="G933">
        <v>0</v>
      </c>
      <c r="H933" s="1">
        <v>41680</v>
      </c>
      <c r="I933">
        <v>78</v>
      </c>
      <c r="J933">
        <v>31</v>
      </c>
      <c r="K933">
        <v>9</v>
      </c>
      <c r="L933">
        <v>27</v>
      </c>
      <c r="M933">
        <v>16</v>
      </c>
      <c r="N933">
        <v>9</v>
      </c>
      <c r="O933">
        <v>33</v>
      </c>
      <c r="P933">
        <v>1</v>
      </c>
      <c r="Q933">
        <v>1</v>
      </c>
      <c r="R933">
        <v>1</v>
      </c>
      <c r="S933">
        <v>4</v>
      </c>
      <c r="T933">
        <v>3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3</v>
      </c>
      <c r="AB933">
        <v>11</v>
      </c>
      <c r="AC933">
        <v>0</v>
      </c>
      <c r="AD933" t="str">
        <f t="shared" si="182"/>
        <v>Ok</v>
      </c>
      <c r="AE933" t="str">
        <f>IF(AND(Audit_Data[[#This Row],[Year_Birth]]&gt;=1900,Audit_Data[[#This Row],[Year_Birth]]&lt;=2010),"OK","Invalid")</f>
        <v>OK</v>
      </c>
      <c r="AF933" t="str">
        <f t="shared" si="183"/>
        <v>Valid</v>
      </c>
      <c r="AG933" t="str">
        <f t="shared" si="184"/>
        <v>Valid</v>
      </c>
      <c r="AH933" t="str">
        <f t="shared" si="185"/>
        <v>Valid</v>
      </c>
      <c r="AI933" t="str">
        <f t="shared" si="186"/>
        <v>Valid</v>
      </c>
      <c r="AJ933" t="str">
        <f t="shared" si="187"/>
        <v>Valid</v>
      </c>
      <c r="AK933" t="str">
        <f t="shared" si="194"/>
        <v xml:space="preserve">Valid </v>
      </c>
      <c r="AL933" t="str">
        <f>IF(AND(Audit_Data[[#This Row],[Recency]]&gt;=0,Audit_Data[[#This Row],[Recency]]&lt;=100),"Valid","Invalid")</f>
        <v>Valid</v>
      </c>
      <c r="AM933" t="str">
        <f t="shared" si="188"/>
        <v>Valid</v>
      </c>
      <c r="AN933" t="str">
        <f t="shared" si="189"/>
        <v>Valid</v>
      </c>
      <c r="AO933" t="str">
        <f t="shared" si="190"/>
        <v>Valid</v>
      </c>
      <c r="AP933" t="str">
        <f t="shared" si="191"/>
        <v>Valid</v>
      </c>
      <c r="AQ933" t="str">
        <f>IF(Audit_Data[[#This Row],[Z_CostContact]]=3,"Valid","Invalid")</f>
        <v>Valid</v>
      </c>
      <c r="AR933" t="str">
        <f t="shared" si="192"/>
        <v>Valid</v>
      </c>
      <c r="AS933" t="str">
        <f t="shared" si="193"/>
        <v>Valid</v>
      </c>
    </row>
    <row r="934" spans="1:45" x14ac:dyDescent="0.3">
      <c r="A934">
        <v>7922</v>
      </c>
      <c r="B934">
        <v>1951</v>
      </c>
      <c r="C934" t="s">
        <v>32</v>
      </c>
      <c r="D934" t="s">
        <v>30</v>
      </c>
      <c r="E934">
        <v>64950</v>
      </c>
      <c r="F934">
        <v>0</v>
      </c>
      <c r="G934">
        <v>1</v>
      </c>
      <c r="H934" s="1">
        <v>41133</v>
      </c>
      <c r="I934">
        <v>29</v>
      </c>
      <c r="J934">
        <v>819</v>
      </c>
      <c r="K934">
        <v>0</v>
      </c>
      <c r="L934">
        <v>72</v>
      </c>
      <c r="M934">
        <v>12</v>
      </c>
      <c r="N934">
        <v>0</v>
      </c>
      <c r="O934">
        <v>63</v>
      </c>
      <c r="P934">
        <v>2</v>
      </c>
      <c r="Q934">
        <v>11</v>
      </c>
      <c r="R934">
        <v>2</v>
      </c>
      <c r="S934">
        <v>10</v>
      </c>
      <c r="T934">
        <v>7</v>
      </c>
      <c r="U934">
        <v>0</v>
      </c>
      <c r="V934">
        <v>1</v>
      </c>
      <c r="W934">
        <v>0</v>
      </c>
      <c r="X934">
        <v>0</v>
      </c>
      <c r="Y934">
        <v>0</v>
      </c>
      <c r="Z934">
        <v>0</v>
      </c>
      <c r="AA934">
        <v>3</v>
      </c>
      <c r="AB934">
        <v>11</v>
      </c>
      <c r="AC934">
        <v>0</v>
      </c>
      <c r="AD934" t="str">
        <f t="shared" si="182"/>
        <v>Ok</v>
      </c>
      <c r="AE934" t="str">
        <f>IF(AND(Audit_Data[[#This Row],[Year_Birth]]&gt;=1900,Audit_Data[[#This Row],[Year_Birth]]&lt;=2010),"OK","Invalid")</f>
        <v>OK</v>
      </c>
      <c r="AF934" t="str">
        <f t="shared" si="183"/>
        <v>Valid</v>
      </c>
      <c r="AG934" t="str">
        <f t="shared" si="184"/>
        <v>Valid</v>
      </c>
      <c r="AH934" t="str">
        <f t="shared" si="185"/>
        <v>Valid</v>
      </c>
      <c r="AI934" t="str">
        <f t="shared" si="186"/>
        <v>Valid</v>
      </c>
      <c r="AJ934" t="str">
        <f t="shared" si="187"/>
        <v>Valid</v>
      </c>
      <c r="AK934" t="str">
        <f t="shared" si="194"/>
        <v xml:space="preserve">Valid </v>
      </c>
      <c r="AL934" t="str">
        <f>IF(AND(Audit_Data[[#This Row],[Recency]]&gt;=0,Audit_Data[[#This Row],[Recency]]&lt;=100),"Valid","Invalid")</f>
        <v>Valid</v>
      </c>
      <c r="AM934" t="str">
        <f t="shared" si="188"/>
        <v>Valid</v>
      </c>
      <c r="AN934" t="str">
        <f t="shared" si="189"/>
        <v>Valid</v>
      </c>
      <c r="AO934" t="str">
        <f t="shared" si="190"/>
        <v>Valid</v>
      </c>
      <c r="AP934" t="str">
        <f t="shared" si="191"/>
        <v>Valid</v>
      </c>
      <c r="AQ934" t="str">
        <f>IF(Audit_Data[[#This Row],[Z_CostContact]]=3,"Valid","Invalid")</f>
        <v>Valid</v>
      </c>
      <c r="AR934" t="str">
        <f t="shared" si="192"/>
        <v>Valid</v>
      </c>
      <c r="AS934" t="str">
        <f t="shared" si="193"/>
        <v>Valid</v>
      </c>
    </row>
    <row r="935" spans="1:45" x14ac:dyDescent="0.3">
      <c r="A935">
        <v>5692</v>
      </c>
      <c r="B935">
        <v>1989</v>
      </c>
      <c r="C935" t="s">
        <v>36</v>
      </c>
      <c r="D935" t="s">
        <v>33</v>
      </c>
      <c r="E935">
        <v>25443</v>
      </c>
      <c r="F935">
        <v>1</v>
      </c>
      <c r="G935">
        <v>0</v>
      </c>
      <c r="H935" s="1">
        <v>41265</v>
      </c>
      <c r="I935">
        <v>82</v>
      </c>
      <c r="J935">
        <v>1</v>
      </c>
      <c r="K935">
        <v>4</v>
      </c>
      <c r="L935">
        <v>3</v>
      </c>
      <c r="M935">
        <v>8</v>
      </c>
      <c r="N935">
        <v>9</v>
      </c>
      <c r="O935">
        <v>7</v>
      </c>
      <c r="P935">
        <v>1</v>
      </c>
      <c r="Q935">
        <v>1</v>
      </c>
      <c r="R935">
        <v>0</v>
      </c>
      <c r="S935">
        <v>3</v>
      </c>
      <c r="T935">
        <v>8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3</v>
      </c>
      <c r="AB935">
        <v>11</v>
      </c>
      <c r="AC935">
        <v>0</v>
      </c>
      <c r="AD935" t="str">
        <f t="shared" si="182"/>
        <v>Ok</v>
      </c>
      <c r="AE935" t="str">
        <f>IF(AND(Audit_Data[[#This Row],[Year_Birth]]&gt;=1900,Audit_Data[[#This Row],[Year_Birth]]&lt;=2010),"OK","Invalid")</f>
        <v>OK</v>
      </c>
      <c r="AF935" t="str">
        <f t="shared" si="183"/>
        <v>Valid</v>
      </c>
      <c r="AG935" t="str">
        <f t="shared" si="184"/>
        <v>Valid</v>
      </c>
      <c r="AH935" t="str">
        <f t="shared" si="185"/>
        <v>Valid</v>
      </c>
      <c r="AI935" t="str">
        <f t="shared" si="186"/>
        <v>Valid</v>
      </c>
      <c r="AJ935" t="str">
        <f t="shared" si="187"/>
        <v>Valid</v>
      </c>
      <c r="AK935" t="str">
        <f t="shared" si="194"/>
        <v xml:space="preserve">Valid </v>
      </c>
      <c r="AL935" t="str">
        <f>IF(AND(Audit_Data[[#This Row],[Recency]]&gt;=0,Audit_Data[[#This Row],[Recency]]&lt;=100),"Valid","Invalid")</f>
        <v>Valid</v>
      </c>
      <c r="AM935" t="str">
        <f t="shared" si="188"/>
        <v>Valid</v>
      </c>
      <c r="AN935" t="str">
        <f t="shared" si="189"/>
        <v>Valid</v>
      </c>
      <c r="AO935" t="str">
        <f t="shared" si="190"/>
        <v>Valid</v>
      </c>
      <c r="AP935" t="str">
        <f t="shared" si="191"/>
        <v>Valid</v>
      </c>
      <c r="AQ935" t="str">
        <f>IF(Audit_Data[[#This Row],[Z_CostContact]]=3,"Valid","Invalid")</f>
        <v>Valid</v>
      </c>
      <c r="AR935" t="str">
        <f t="shared" si="192"/>
        <v>Valid</v>
      </c>
      <c r="AS935" t="str">
        <f t="shared" si="193"/>
        <v>Valid</v>
      </c>
    </row>
    <row r="936" spans="1:45" x14ac:dyDescent="0.3">
      <c r="A936">
        <v>4843</v>
      </c>
      <c r="B936">
        <v>1952</v>
      </c>
      <c r="C936" t="s">
        <v>29</v>
      </c>
      <c r="D936" t="s">
        <v>30</v>
      </c>
      <c r="E936">
        <v>75127</v>
      </c>
      <c r="F936">
        <v>0</v>
      </c>
      <c r="G936">
        <v>0</v>
      </c>
      <c r="H936" s="1">
        <v>41781</v>
      </c>
      <c r="I936">
        <v>92</v>
      </c>
      <c r="J936">
        <v>203</v>
      </c>
      <c r="K936">
        <v>35</v>
      </c>
      <c r="L936">
        <v>305</v>
      </c>
      <c r="M936">
        <v>46</v>
      </c>
      <c r="N936">
        <v>17</v>
      </c>
      <c r="O936">
        <v>227</v>
      </c>
      <c r="P936">
        <v>1</v>
      </c>
      <c r="Q936">
        <v>2</v>
      </c>
      <c r="R936">
        <v>11</v>
      </c>
      <c r="S936">
        <v>5</v>
      </c>
      <c r="T936">
        <v>1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3</v>
      </c>
      <c r="AB936">
        <v>11</v>
      </c>
      <c r="AC936">
        <v>0</v>
      </c>
      <c r="AD936" t="str">
        <f t="shared" si="182"/>
        <v>Ok</v>
      </c>
      <c r="AE936" t="str">
        <f>IF(AND(Audit_Data[[#This Row],[Year_Birth]]&gt;=1900,Audit_Data[[#This Row],[Year_Birth]]&lt;=2010),"OK","Invalid")</f>
        <v>OK</v>
      </c>
      <c r="AF936" t="str">
        <f t="shared" si="183"/>
        <v>Valid</v>
      </c>
      <c r="AG936" t="str">
        <f t="shared" si="184"/>
        <v>Valid</v>
      </c>
      <c r="AH936" t="str">
        <f t="shared" si="185"/>
        <v>Valid</v>
      </c>
      <c r="AI936" t="str">
        <f t="shared" si="186"/>
        <v>Valid</v>
      </c>
      <c r="AJ936" t="str">
        <f t="shared" si="187"/>
        <v>Valid</v>
      </c>
      <c r="AK936" t="str">
        <f t="shared" si="194"/>
        <v xml:space="preserve">Valid </v>
      </c>
      <c r="AL936" t="str">
        <f>IF(AND(Audit_Data[[#This Row],[Recency]]&gt;=0,Audit_Data[[#This Row],[Recency]]&lt;=100),"Valid","Invalid")</f>
        <v>Valid</v>
      </c>
      <c r="AM936" t="str">
        <f t="shared" si="188"/>
        <v>Valid</v>
      </c>
      <c r="AN936" t="str">
        <f t="shared" si="189"/>
        <v>Valid</v>
      </c>
      <c r="AO936" t="str">
        <f t="shared" si="190"/>
        <v>Valid</v>
      </c>
      <c r="AP936" t="str">
        <f t="shared" si="191"/>
        <v>Valid</v>
      </c>
      <c r="AQ936" t="str">
        <f>IF(Audit_Data[[#This Row],[Z_CostContact]]=3,"Valid","Invalid")</f>
        <v>Valid</v>
      </c>
      <c r="AR936" t="str">
        <f t="shared" si="192"/>
        <v>Valid</v>
      </c>
      <c r="AS936" t="str">
        <f t="shared" si="193"/>
        <v>Valid</v>
      </c>
    </row>
    <row r="937" spans="1:45" x14ac:dyDescent="0.3">
      <c r="A937">
        <v>6383</v>
      </c>
      <c r="B937">
        <v>1971</v>
      </c>
      <c r="C937" t="s">
        <v>32</v>
      </c>
      <c r="D937" t="s">
        <v>31</v>
      </c>
      <c r="E937">
        <v>32892</v>
      </c>
      <c r="F937">
        <v>1</v>
      </c>
      <c r="G937">
        <v>0</v>
      </c>
      <c r="H937" s="1">
        <v>41784</v>
      </c>
      <c r="I937">
        <v>78</v>
      </c>
      <c r="J937">
        <v>26</v>
      </c>
      <c r="K937">
        <v>0</v>
      </c>
      <c r="L937">
        <v>15</v>
      </c>
      <c r="M937">
        <v>2</v>
      </c>
      <c r="N937">
        <v>1</v>
      </c>
      <c r="O937">
        <v>2</v>
      </c>
      <c r="P937">
        <v>2</v>
      </c>
      <c r="Q937">
        <v>3</v>
      </c>
      <c r="R937">
        <v>0</v>
      </c>
      <c r="S937">
        <v>3</v>
      </c>
      <c r="T937">
        <v>8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3</v>
      </c>
      <c r="AB937">
        <v>11</v>
      </c>
      <c r="AC937">
        <v>0</v>
      </c>
      <c r="AD937" t="str">
        <f t="shared" si="182"/>
        <v>Ok</v>
      </c>
      <c r="AE937" t="str">
        <f>IF(AND(Audit_Data[[#This Row],[Year_Birth]]&gt;=1900,Audit_Data[[#This Row],[Year_Birth]]&lt;=2010),"OK","Invalid")</f>
        <v>OK</v>
      </c>
      <c r="AF937" t="str">
        <f t="shared" si="183"/>
        <v>Valid</v>
      </c>
      <c r="AG937" t="str">
        <f t="shared" si="184"/>
        <v>Valid</v>
      </c>
      <c r="AH937" t="str">
        <f t="shared" si="185"/>
        <v>Valid</v>
      </c>
      <c r="AI937" t="str">
        <f t="shared" si="186"/>
        <v>Valid</v>
      </c>
      <c r="AJ937" t="str">
        <f t="shared" si="187"/>
        <v>Valid</v>
      </c>
      <c r="AK937" t="str">
        <f t="shared" si="194"/>
        <v xml:space="preserve">Valid </v>
      </c>
      <c r="AL937" t="str">
        <f>IF(AND(Audit_Data[[#This Row],[Recency]]&gt;=0,Audit_Data[[#This Row],[Recency]]&lt;=100),"Valid","Invalid")</f>
        <v>Valid</v>
      </c>
      <c r="AM937" t="str">
        <f t="shared" si="188"/>
        <v>Valid</v>
      </c>
      <c r="AN937" t="str">
        <f t="shared" si="189"/>
        <v>Valid</v>
      </c>
      <c r="AO937" t="str">
        <f t="shared" si="190"/>
        <v>Valid</v>
      </c>
      <c r="AP937" t="str">
        <f t="shared" si="191"/>
        <v>Valid</v>
      </c>
      <c r="AQ937" t="str">
        <f>IF(Audit_Data[[#This Row],[Z_CostContact]]=3,"Valid","Invalid")</f>
        <v>Valid</v>
      </c>
      <c r="AR937" t="str">
        <f t="shared" si="192"/>
        <v>Valid</v>
      </c>
      <c r="AS937" t="str">
        <f t="shared" si="193"/>
        <v>Valid</v>
      </c>
    </row>
    <row r="938" spans="1:45" x14ac:dyDescent="0.3">
      <c r="A938">
        <v>1628</v>
      </c>
      <c r="B938">
        <v>1971</v>
      </c>
      <c r="C938" t="s">
        <v>29</v>
      </c>
      <c r="D938" t="s">
        <v>31</v>
      </c>
      <c r="E938">
        <v>71796</v>
      </c>
      <c r="F938">
        <v>0</v>
      </c>
      <c r="G938">
        <v>0</v>
      </c>
      <c r="H938" s="1">
        <v>41571</v>
      </c>
      <c r="I938">
        <v>54</v>
      </c>
      <c r="J938">
        <v>354</v>
      </c>
      <c r="K938">
        <v>21</v>
      </c>
      <c r="L938">
        <v>311</v>
      </c>
      <c r="M938">
        <v>167</v>
      </c>
      <c r="N938">
        <v>75</v>
      </c>
      <c r="O938">
        <v>32</v>
      </c>
      <c r="P938">
        <v>1</v>
      </c>
      <c r="Q938">
        <v>9</v>
      </c>
      <c r="R938">
        <v>3</v>
      </c>
      <c r="S938">
        <v>4</v>
      </c>
      <c r="T938">
        <v>4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3</v>
      </c>
      <c r="AB938">
        <v>11</v>
      </c>
      <c r="AC938">
        <v>0</v>
      </c>
      <c r="AD938" t="str">
        <f t="shared" si="182"/>
        <v>Ok</v>
      </c>
      <c r="AE938" t="str">
        <f>IF(AND(Audit_Data[[#This Row],[Year_Birth]]&gt;=1900,Audit_Data[[#This Row],[Year_Birth]]&lt;=2010),"OK","Invalid")</f>
        <v>OK</v>
      </c>
      <c r="AF938" t="str">
        <f t="shared" si="183"/>
        <v>Valid</v>
      </c>
      <c r="AG938" t="str">
        <f t="shared" si="184"/>
        <v>Valid</v>
      </c>
      <c r="AH938" t="str">
        <f t="shared" si="185"/>
        <v>Valid</v>
      </c>
      <c r="AI938" t="str">
        <f t="shared" si="186"/>
        <v>Valid</v>
      </c>
      <c r="AJ938" t="str">
        <f t="shared" si="187"/>
        <v>Valid</v>
      </c>
      <c r="AK938" t="str">
        <f t="shared" si="194"/>
        <v xml:space="preserve">Valid </v>
      </c>
      <c r="AL938" t="str">
        <f>IF(AND(Audit_Data[[#This Row],[Recency]]&gt;=0,Audit_Data[[#This Row],[Recency]]&lt;=100),"Valid","Invalid")</f>
        <v>Valid</v>
      </c>
      <c r="AM938" t="str">
        <f t="shared" si="188"/>
        <v>Valid</v>
      </c>
      <c r="AN938" t="str">
        <f t="shared" si="189"/>
        <v>Valid</v>
      </c>
      <c r="AO938" t="str">
        <f t="shared" si="190"/>
        <v>Valid</v>
      </c>
      <c r="AP938" t="str">
        <f t="shared" si="191"/>
        <v>Valid</v>
      </c>
      <c r="AQ938" t="str">
        <f>IF(Audit_Data[[#This Row],[Z_CostContact]]=3,"Valid","Invalid")</f>
        <v>Valid</v>
      </c>
      <c r="AR938" t="str">
        <f t="shared" si="192"/>
        <v>Valid</v>
      </c>
      <c r="AS938" t="str">
        <f t="shared" si="193"/>
        <v>Valid</v>
      </c>
    </row>
    <row r="939" spans="1:45" x14ac:dyDescent="0.3">
      <c r="A939">
        <v>1204</v>
      </c>
      <c r="B939">
        <v>1970</v>
      </c>
      <c r="C939" t="s">
        <v>32</v>
      </c>
      <c r="D939" t="s">
        <v>33</v>
      </c>
      <c r="E939">
        <v>67536</v>
      </c>
      <c r="F939">
        <v>0</v>
      </c>
      <c r="G939">
        <v>1</v>
      </c>
      <c r="H939" s="1">
        <v>41416</v>
      </c>
      <c r="I939">
        <v>45</v>
      </c>
      <c r="J939">
        <v>1253</v>
      </c>
      <c r="K939">
        <v>0</v>
      </c>
      <c r="L939">
        <v>447</v>
      </c>
      <c r="M939">
        <v>23</v>
      </c>
      <c r="N939">
        <v>71</v>
      </c>
      <c r="O939">
        <v>35</v>
      </c>
      <c r="P939">
        <v>3</v>
      </c>
      <c r="Q939">
        <v>11</v>
      </c>
      <c r="R939">
        <v>5</v>
      </c>
      <c r="S939">
        <v>11</v>
      </c>
      <c r="T939">
        <v>8</v>
      </c>
      <c r="U939">
        <v>0</v>
      </c>
      <c r="V939">
        <v>0</v>
      </c>
      <c r="W939">
        <v>0</v>
      </c>
      <c r="X939">
        <v>1</v>
      </c>
      <c r="Y939">
        <v>0</v>
      </c>
      <c r="Z939">
        <v>0</v>
      </c>
      <c r="AA939">
        <v>3</v>
      </c>
      <c r="AB939">
        <v>11</v>
      </c>
      <c r="AC939">
        <v>0</v>
      </c>
      <c r="AD939" t="str">
        <f t="shared" si="182"/>
        <v>Ok</v>
      </c>
      <c r="AE939" t="str">
        <f>IF(AND(Audit_Data[[#This Row],[Year_Birth]]&gt;=1900,Audit_Data[[#This Row],[Year_Birth]]&lt;=2010),"OK","Invalid")</f>
        <v>OK</v>
      </c>
      <c r="AF939" t="str">
        <f t="shared" si="183"/>
        <v>Valid</v>
      </c>
      <c r="AG939" t="str">
        <f t="shared" si="184"/>
        <v>Valid</v>
      </c>
      <c r="AH939" t="str">
        <f t="shared" si="185"/>
        <v>Valid</v>
      </c>
      <c r="AI939" t="str">
        <f t="shared" si="186"/>
        <v>Valid</v>
      </c>
      <c r="AJ939" t="str">
        <f t="shared" si="187"/>
        <v>Valid</v>
      </c>
      <c r="AK939" t="str">
        <f t="shared" si="194"/>
        <v xml:space="preserve">Valid </v>
      </c>
      <c r="AL939" t="str">
        <f>IF(AND(Audit_Data[[#This Row],[Recency]]&gt;=0,Audit_Data[[#This Row],[Recency]]&lt;=100),"Valid","Invalid")</f>
        <v>Valid</v>
      </c>
      <c r="AM939" t="str">
        <f t="shared" si="188"/>
        <v>Valid</v>
      </c>
      <c r="AN939" t="str">
        <f t="shared" si="189"/>
        <v>Valid</v>
      </c>
      <c r="AO939" t="str">
        <f t="shared" si="190"/>
        <v>Valid</v>
      </c>
      <c r="AP939" t="str">
        <f t="shared" si="191"/>
        <v>Valid</v>
      </c>
      <c r="AQ939" t="str">
        <f>IF(Audit_Data[[#This Row],[Z_CostContact]]=3,"Valid","Invalid")</f>
        <v>Valid</v>
      </c>
      <c r="AR939" t="str">
        <f t="shared" si="192"/>
        <v>Valid</v>
      </c>
      <c r="AS939" t="str">
        <f t="shared" si="193"/>
        <v>Valid</v>
      </c>
    </row>
    <row r="940" spans="1:45" x14ac:dyDescent="0.3">
      <c r="A940">
        <v>3673</v>
      </c>
      <c r="B940">
        <v>1971</v>
      </c>
      <c r="C940" t="s">
        <v>29</v>
      </c>
      <c r="D940" t="s">
        <v>30</v>
      </c>
      <c r="E940">
        <v>55239</v>
      </c>
      <c r="F940">
        <v>0</v>
      </c>
      <c r="G940">
        <v>1</v>
      </c>
      <c r="H940" s="1">
        <v>41469</v>
      </c>
      <c r="I940">
        <v>59</v>
      </c>
      <c r="J940">
        <v>371</v>
      </c>
      <c r="K940">
        <v>17</v>
      </c>
      <c r="L940">
        <v>238</v>
      </c>
      <c r="M940">
        <v>23</v>
      </c>
      <c r="N940">
        <v>24</v>
      </c>
      <c r="O940">
        <v>106</v>
      </c>
      <c r="P940">
        <v>3</v>
      </c>
      <c r="Q940">
        <v>7</v>
      </c>
      <c r="R940">
        <v>5</v>
      </c>
      <c r="S940">
        <v>11</v>
      </c>
      <c r="T940">
        <v>5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3</v>
      </c>
      <c r="AB940">
        <v>11</v>
      </c>
      <c r="AC940">
        <v>0</v>
      </c>
      <c r="AD940" t="str">
        <f t="shared" si="182"/>
        <v>Ok</v>
      </c>
      <c r="AE940" t="str">
        <f>IF(AND(Audit_Data[[#This Row],[Year_Birth]]&gt;=1900,Audit_Data[[#This Row],[Year_Birth]]&lt;=2010),"OK","Invalid")</f>
        <v>OK</v>
      </c>
      <c r="AF940" t="str">
        <f t="shared" si="183"/>
        <v>Valid</v>
      </c>
      <c r="AG940" t="str">
        <f t="shared" si="184"/>
        <v>Valid</v>
      </c>
      <c r="AH940" t="str">
        <f t="shared" si="185"/>
        <v>Valid</v>
      </c>
      <c r="AI940" t="str">
        <f t="shared" si="186"/>
        <v>Valid</v>
      </c>
      <c r="AJ940" t="str">
        <f t="shared" si="187"/>
        <v>Valid</v>
      </c>
      <c r="AK940" t="str">
        <f t="shared" si="194"/>
        <v xml:space="preserve">Valid </v>
      </c>
      <c r="AL940" t="str">
        <f>IF(AND(Audit_Data[[#This Row],[Recency]]&gt;=0,Audit_Data[[#This Row],[Recency]]&lt;=100),"Valid","Invalid")</f>
        <v>Valid</v>
      </c>
      <c r="AM940" t="str">
        <f t="shared" si="188"/>
        <v>Valid</v>
      </c>
      <c r="AN940" t="str">
        <f t="shared" si="189"/>
        <v>Valid</v>
      </c>
      <c r="AO940" t="str">
        <f t="shared" si="190"/>
        <v>Valid</v>
      </c>
      <c r="AP940" t="str">
        <f t="shared" si="191"/>
        <v>Valid</v>
      </c>
      <c r="AQ940" t="str">
        <f>IF(Audit_Data[[#This Row],[Z_CostContact]]=3,"Valid","Invalid")</f>
        <v>Valid</v>
      </c>
      <c r="AR940" t="str">
        <f t="shared" si="192"/>
        <v>Valid</v>
      </c>
      <c r="AS940" t="str">
        <f t="shared" si="193"/>
        <v>Valid</v>
      </c>
    </row>
    <row r="941" spans="1:45" x14ac:dyDescent="0.3">
      <c r="A941">
        <v>760</v>
      </c>
      <c r="B941">
        <v>1975</v>
      </c>
      <c r="C941" t="s">
        <v>32</v>
      </c>
      <c r="D941" t="s">
        <v>35</v>
      </c>
      <c r="E941">
        <v>60554</v>
      </c>
      <c r="F941">
        <v>1</v>
      </c>
      <c r="G941">
        <v>0</v>
      </c>
      <c r="H941" s="1">
        <v>41495</v>
      </c>
      <c r="I941">
        <v>8</v>
      </c>
      <c r="J941">
        <v>588</v>
      </c>
      <c r="K941">
        <v>7</v>
      </c>
      <c r="L941">
        <v>76</v>
      </c>
      <c r="M941">
        <v>110</v>
      </c>
      <c r="N941">
        <v>15</v>
      </c>
      <c r="O941">
        <v>15</v>
      </c>
      <c r="P941">
        <v>2</v>
      </c>
      <c r="Q941">
        <v>8</v>
      </c>
      <c r="R941">
        <v>4</v>
      </c>
      <c r="S941">
        <v>9</v>
      </c>
      <c r="T941">
        <v>6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3</v>
      </c>
      <c r="AB941">
        <v>11</v>
      </c>
      <c r="AC941">
        <v>0</v>
      </c>
      <c r="AD941" t="str">
        <f t="shared" si="182"/>
        <v>Ok</v>
      </c>
      <c r="AE941" t="str">
        <f>IF(AND(Audit_Data[[#This Row],[Year_Birth]]&gt;=1900,Audit_Data[[#This Row],[Year_Birth]]&lt;=2010),"OK","Invalid")</f>
        <v>OK</v>
      </c>
      <c r="AF941" t="str">
        <f t="shared" si="183"/>
        <v>Valid</v>
      </c>
      <c r="AG941" t="str">
        <f t="shared" si="184"/>
        <v>Valid</v>
      </c>
      <c r="AH941" t="str">
        <f t="shared" si="185"/>
        <v>Valid</v>
      </c>
      <c r="AI941" t="str">
        <f t="shared" si="186"/>
        <v>Valid</v>
      </c>
      <c r="AJ941" t="str">
        <f t="shared" si="187"/>
        <v>Valid</v>
      </c>
      <c r="AK941" t="str">
        <f t="shared" si="194"/>
        <v xml:space="preserve">Valid </v>
      </c>
      <c r="AL941" t="str">
        <f>IF(AND(Audit_Data[[#This Row],[Recency]]&gt;=0,Audit_Data[[#This Row],[Recency]]&lt;=100),"Valid","Invalid")</f>
        <v>Valid</v>
      </c>
      <c r="AM941" t="str">
        <f t="shared" si="188"/>
        <v>Valid</v>
      </c>
      <c r="AN941" t="str">
        <f t="shared" si="189"/>
        <v>Valid</v>
      </c>
      <c r="AO941" t="str">
        <f t="shared" si="190"/>
        <v>Valid</v>
      </c>
      <c r="AP941" t="str">
        <f t="shared" si="191"/>
        <v>Valid</v>
      </c>
      <c r="AQ941" t="str">
        <f>IF(Audit_Data[[#This Row],[Z_CostContact]]=3,"Valid","Invalid")</f>
        <v>Valid</v>
      </c>
      <c r="AR941" t="str">
        <f t="shared" si="192"/>
        <v>Valid</v>
      </c>
      <c r="AS941" t="str">
        <f t="shared" si="193"/>
        <v>Valid</v>
      </c>
    </row>
    <row r="942" spans="1:45" x14ac:dyDescent="0.3">
      <c r="A942">
        <v>8957</v>
      </c>
      <c r="B942">
        <v>1952</v>
      </c>
      <c r="C942" t="s">
        <v>37</v>
      </c>
      <c r="D942" t="s">
        <v>30</v>
      </c>
      <c r="E942">
        <v>64831</v>
      </c>
      <c r="F942">
        <v>1</v>
      </c>
      <c r="G942">
        <v>1</v>
      </c>
      <c r="H942" s="1">
        <v>41435</v>
      </c>
      <c r="I942">
        <v>51</v>
      </c>
      <c r="J942">
        <v>480</v>
      </c>
      <c r="K942">
        <v>86</v>
      </c>
      <c r="L942">
        <v>249</v>
      </c>
      <c r="M942">
        <v>75</v>
      </c>
      <c r="N942">
        <v>86</v>
      </c>
      <c r="O942">
        <v>144</v>
      </c>
      <c r="P942">
        <v>8</v>
      </c>
      <c r="Q942">
        <v>6</v>
      </c>
      <c r="R942">
        <v>3</v>
      </c>
      <c r="S942">
        <v>5</v>
      </c>
      <c r="T942">
        <v>6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3</v>
      </c>
      <c r="AB942">
        <v>11</v>
      </c>
      <c r="AC942">
        <v>0</v>
      </c>
      <c r="AD942" t="str">
        <f t="shared" si="182"/>
        <v>Ok</v>
      </c>
      <c r="AE942" t="str">
        <f>IF(AND(Audit_Data[[#This Row],[Year_Birth]]&gt;=1900,Audit_Data[[#This Row],[Year_Birth]]&lt;=2010),"OK","Invalid")</f>
        <v>OK</v>
      </c>
      <c r="AF942" t="str">
        <f t="shared" si="183"/>
        <v>Valid</v>
      </c>
      <c r="AG942" t="str">
        <f t="shared" si="184"/>
        <v>Valid</v>
      </c>
      <c r="AH942" t="str">
        <f t="shared" si="185"/>
        <v>Valid</v>
      </c>
      <c r="AI942" t="str">
        <f t="shared" si="186"/>
        <v>Valid</v>
      </c>
      <c r="AJ942" t="str">
        <f t="shared" si="187"/>
        <v>Valid</v>
      </c>
      <c r="AK942" t="str">
        <f t="shared" si="194"/>
        <v xml:space="preserve">Valid </v>
      </c>
      <c r="AL942" t="str">
        <f>IF(AND(Audit_Data[[#This Row],[Recency]]&gt;=0,Audit_Data[[#This Row],[Recency]]&lt;=100),"Valid","Invalid")</f>
        <v>Valid</v>
      </c>
      <c r="AM942" t="str">
        <f t="shared" si="188"/>
        <v>Valid</v>
      </c>
      <c r="AN942" t="str">
        <f t="shared" si="189"/>
        <v>Valid</v>
      </c>
      <c r="AO942" t="str">
        <f t="shared" si="190"/>
        <v>Valid</v>
      </c>
      <c r="AP942" t="str">
        <f t="shared" si="191"/>
        <v>Valid</v>
      </c>
      <c r="AQ942" t="str">
        <f>IF(Audit_Data[[#This Row],[Z_CostContact]]=3,"Valid","Invalid")</f>
        <v>Valid</v>
      </c>
      <c r="AR942" t="str">
        <f t="shared" si="192"/>
        <v>Valid</v>
      </c>
      <c r="AS942" t="str">
        <f t="shared" si="193"/>
        <v>Valid</v>
      </c>
    </row>
    <row r="943" spans="1:45" x14ac:dyDescent="0.3">
      <c r="A943">
        <v>4128</v>
      </c>
      <c r="B943">
        <v>1962</v>
      </c>
      <c r="C943" t="s">
        <v>32</v>
      </c>
      <c r="D943" t="s">
        <v>31</v>
      </c>
      <c r="E943">
        <v>56067</v>
      </c>
      <c r="F943">
        <v>0</v>
      </c>
      <c r="G943">
        <v>1</v>
      </c>
      <c r="H943" s="1">
        <v>41475</v>
      </c>
      <c r="I943">
        <v>51</v>
      </c>
      <c r="J943">
        <v>517</v>
      </c>
      <c r="K943">
        <v>12</v>
      </c>
      <c r="L943">
        <v>54</v>
      </c>
      <c r="M943">
        <v>16</v>
      </c>
      <c r="N943">
        <v>6</v>
      </c>
      <c r="O943">
        <v>120</v>
      </c>
      <c r="P943">
        <v>2</v>
      </c>
      <c r="Q943">
        <v>7</v>
      </c>
      <c r="R943">
        <v>4</v>
      </c>
      <c r="S943">
        <v>7</v>
      </c>
      <c r="T943">
        <v>5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3</v>
      </c>
      <c r="AB943">
        <v>11</v>
      </c>
      <c r="AC943">
        <v>0</v>
      </c>
      <c r="AD943" t="str">
        <f t="shared" si="182"/>
        <v>Ok</v>
      </c>
      <c r="AE943" t="str">
        <f>IF(AND(Audit_Data[[#This Row],[Year_Birth]]&gt;=1900,Audit_Data[[#This Row],[Year_Birth]]&lt;=2010),"OK","Invalid")</f>
        <v>OK</v>
      </c>
      <c r="AF943" t="str">
        <f t="shared" si="183"/>
        <v>Valid</v>
      </c>
      <c r="AG943" t="str">
        <f t="shared" si="184"/>
        <v>Valid</v>
      </c>
      <c r="AH943" t="str">
        <f t="shared" si="185"/>
        <v>Valid</v>
      </c>
      <c r="AI943" t="str">
        <f t="shared" si="186"/>
        <v>Valid</v>
      </c>
      <c r="AJ943" t="str">
        <f t="shared" si="187"/>
        <v>Valid</v>
      </c>
      <c r="AK943" t="str">
        <f t="shared" si="194"/>
        <v xml:space="preserve">Valid </v>
      </c>
      <c r="AL943" t="str">
        <f>IF(AND(Audit_Data[[#This Row],[Recency]]&gt;=0,Audit_Data[[#This Row],[Recency]]&lt;=100),"Valid","Invalid")</f>
        <v>Valid</v>
      </c>
      <c r="AM943" t="str">
        <f t="shared" si="188"/>
        <v>Valid</v>
      </c>
      <c r="AN943" t="str">
        <f t="shared" si="189"/>
        <v>Valid</v>
      </c>
      <c r="AO943" t="str">
        <f t="shared" si="190"/>
        <v>Valid</v>
      </c>
      <c r="AP943" t="str">
        <f t="shared" si="191"/>
        <v>Valid</v>
      </c>
      <c r="AQ943" t="str">
        <f>IF(Audit_Data[[#This Row],[Z_CostContact]]=3,"Valid","Invalid")</f>
        <v>Valid</v>
      </c>
      <c r="AR943" t="str">
        <f t="shared" si="192"/>
        <v>Valid</v>
      </c>
      <c r="AS943" t="str">
        <f t="shared" si="193"/>
        <v>Valid</v>
      </c>
    </row>
    <row r="944" spans="1:45" x14ac:dyDescent="0.3">
      <c r="A944">
        <v>6810</v>
      </c>
      <c r="B944">
        <v>1983</v>
      </c>
      <c r="C944" t="s">
        <v>29</v>
      </c>
      <c r="D944" t="s">
        <v>35</v>
      </c>
      <c r="E944">
        <v>82025</v>
      </c>
      <c r="F944">
        <v>0</v>
      </c>
      <c r="G944">
        <v>0</v>
      </c>
      <c r="H944" s="1">
        <v>41422</v>
      </c>
      <c r="I944">
        <v>76</v>
      </c>
      <c r="J944">
        <v>267</v>
      </c>
      <c r="K944">
        <v>98</v>
      </c>
      <c r="L944">
        <v>606</v>
      </c>
      <c r="M944">
        <v>48</v>
      </c>
      <c r="N944">
        <v>70</v>
      </c>
      <c r="O944">
        <v>98</v>
      </c>
      <c r="P944">
        <v>1</v>
      </c>
      <c r="Q944">
        <v>3</v>
      </c>
      <c r="R944">
        <v>2</v>
      </c>
      <c r="S944">
        <v>6</v>
      </c>
      <c r="T944">
        <v>1</v>
      </c>
      <c r="U944">
        <v>0</v>
      </c>
      <c r="V944">
        <v>0</v>
      </c>
      <c r="W944">
        <v>1</v>
      </c>
      <c r="X944">
        <v>0</v>
      </c>
      <c r="Y944">
        <v>0</v>
      </c>
      <c r="Z944">
        <v>0</v>
      </c>
      <c r="AA944">
        <v>3</v>
      </c>
      <c r="AB944">
        <v>11</v>
      </c>
      <c r="AC944">
        <v>1</v>
      </c>
      <c r="AD944" t="str">
        <f t="shared" si="182"/>
        <v>Ok</v>
      </c>
      <c r="AE944" t="str">
        <f>IF(AND(Audit_Data[[#This Row],[Year_Birth]]&gt;=1900,Audit_Data[[#This Row],[Year_Birth]]&lt;=2010),"OK","Invalid")</f>
        <v>OK</v>
      </c>
      <c r="AF944" t="str">
        <f t="shared" si="183"/>
        <v>Valid</v>
      </c>
      <c r="AG944" t="str">
        <f t="shared" si="184"/>
        <v>Valid</v>
      </c>
      <c r="AH944" t="str">
        <f t="shared" si="185"/>
        <v>Valid</v>
      </c>
      <c r="AI944" t="str">
        <f t="shared" si="186"/>
        <v>Valid</v>
      </c>
      <c r="AJ944" t="str">
        <f t="shared" si="187"/>
        <v>Valid</v>
      </c>
      <c r="AK944" t="str">
        <f t="shared" si="194"/>
        <v xml:space="preserve">Valid </v>
      </c>
      <c r="AL944" t="str">
        <f>IF(AND(Audit_Data[[#This Row],[Recency]]&gt;=0,Audit_Data[[#This Row],[Recency]]&lt;=100),"Valid","Invalid")</f>
        <v>Valid</v>
      </c>
      <c r="AM944" t="str">
        <f t="shared" si="188"/>
        <v>Valid</v>
      </c>
      <c r="AN944" t="str">
        <f t="shared" si="189"/>
        <v>Valid</v>
      </c>
      <c r="AO944" t="str">
        <f t="shared" si="190"/>
        <v>Valid</v>
      </c>
      <c r="AP944" t="str">
        <f t="shared" si="191"/>
        <v>Valid</v>
      </c>
      <c r="AQ944" t="str">
        <f>IF(Audit_Data[[#This Row],[Z_CostContact]]=3,"Valid","Invalid")</f>
        <v>Valid</v>
      </c>
      <c r="AR944" t="str">
        <f t="shared" si="192"/>
        <v>Valid</v>
      </c>
      <c r="AS944" t="str">
        <f t="shared" si="193"/>
        <v>Valid</v>
      </c>
    </row>
    <row r="945" spans="1:45" x14ac:dyDescent="0.3">
      <c r="A945">
        <v>5386</v>
      </c>
      <c r="B945">
        <v>1953</v>
      </c>
      <c r="C945" t="s">
        <v>29</v>
      </c>
      <c r="D945" t="s">
        <v>31</v>
      </c>
      <c r="E945">
        <v>94384</v>
      </c>
      <c r="F945">
        <v>0</v>
      </c>
      <c r="G945">
        <v>0</v>
      </c>
      <c r="H945" s="1">
        <v>41337</v>
      </c>
      <c r="I945">
        <v>62</v>
      </c>
      <c r="J945">
        <v>1111</v>
      </c>
      <c r="K945">
        <v>24</v>
      </c>
      <c r="L945">
        <v>790</v>
      </c>
      <c r="M945">
        <v>160</v>
      </c>
      <c r="N945">
        <v>45</v>
      </c>
      <c r="O945">
        <v>172</v>
      </c>
      <c r="P945">
        <v>0</v>
      </c>
      <c r="Q945">
        <v>5</v>
      </c>
      <c r="R945">
        <v>8</v>
      </c>
      <c r="S945">
        <v>5</v>
      </c>
      <c r="T945">
        <v>2</v>
      </c>
      <c r="U945">
        <v>0</v>
      </c>
      <c r="V945">
        <v>1</v>
      </c>
      <c r="W945">
        <v>1</v>
      </c>
      <c r="X945">
        <v>1</v>
      </c>
      <c r="Y945">
        <v>0</v>
      </c>
      <c r="Z945">
        <v>0</v>
      </c>
      <c r="AA945">
        <v>3</v>
      </c>
      <c r="AB945">
        <v>11</v>
      </c>
      <c r="AC945">
        <v>1</v>
      </c>
      <c r="AD945" t="str">
        <f t="shared" si="182"/>
        <v>Ok</v>
      </c>
      <c r="AE945" t="str">
        <f>IF(AND(Audit_Data[[#This Row],[Year_Birth]]&gt;=1900,Audit_Data[[#This Row],[Year_Birth]]&lt;=2010),"OK","Invalid")</f>
        <v>OK</v>
      </c>
      <c r="AF945" t="str">
        <f t="shared" si="183"/>
        <v>Valid</v>
      </c>
      <c r="AG945" t="str">
        <f t="shared" si="184"/>
        <v>Valid</v>
      </c>
      <c r="AH945" t="str">
        <f t="shared" si="185"/>
        <v>Valid</v>
      </c>
      <c r="AI945" t="str">
        <f t="shared" si="186"/>
        <v>Valid</v>
      </c>
      <c r="AJ945" t="str">
        <f t="shared" si="187"/>
        <v>Valid</v>
      </c>
      <c r="AK945" t="str">
        <f t="shared" si="194"/>
        <v xml:space="preserve">Valid </v>
      </c>
      <c r="AL945" t="str">
        <f>IF(AND(Audit_Data[[#This Row],[Recency]]&gt;=0,Audit_Data[[#This Row],[Recency]]&lt;=100),"Valid","Invalid")</f>
        <v>Valid</v>
      </c>
      <c r="AM945" t="str">
        <f t="shared" si="188"/>
        <v>Valid</v>
      </c>
      <c r="AN945" t="str">
        <f t="shared" si="189"/>
        <v>Valid</v>
      </c>
      <c r="AO945" t="str">
        <f t="shared" si="190"/>
        <v>Valid</v>
      </c>
      <c r="AP945" t="str">
        <f t="shared" si="191"/>
        <v>Valid</v>
      </c>
      <c r="AQ945" t="str">
        <f>IF(Audit_Data[[#This Row],[Z_CostContact]]=3,"Valid","Invalid")</f>
        <v>Valid</v>
      </c>
      <c r="AR945" t="str">
        <f t="shared" si="192"/>
        <v>Valid</v>
      </c>
      <c r="AS945" t="str">
        <f t="shared" si="193"/>
        <v>Valid</v>
      </c>
    </row>
    <row r="946" spans="1:45" x14ac:dyDescent="0.3">
      <c r="A946">
        <v>8700</v>
      </c>
      <c r="B946">
        <v>1986</v>
      </c>
      <c r="C946" t="s">
        <v>36</v>
      </c>
      <c r="D946" t="s">
        <v>30</v>
      </c>
      <c r="E946">
        <v>14906</v>
      </c>
      <c r="F946">
        <v>0</v>
      </c>
      <c r="G946">
        <v>0</v>
      </c>
      <c r="H946" s="1">
        <v>41265</v>
      </c>
      <c r="I946">
        <v>86</v>
      </c>
      <c r="J946">
        <v>7</v>
      </c>
      <c r="K946">
        <v>7</v>
      </c>
      <c r="L946">
        <v>14</v>
      </c>
      <c r="M946">
        <v>7</v>
      </c>
      <c r="N946">
        <v>16</v>
      </c>
      <c r="O946">
        <v>15</v>
      </c>
      <c r="P946">
        <v>3</v>
      </c>
      <c r="Q946">
        <v>2</v>
      </c>
      <c r="R946">
        <v>1</v>
      </c>
      <c r="S946">
        <v>3</v>
      </c>
      <c r="T946">
        <v>7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3</v>
      </c>
      <c r="AB946">
        <v>11</v>
      </c>
      <c r="AC946">
        <v>0</v>
      </c>
      <c r="AD946" t="str">
        <f t="shared" si="182"/>
        <v>Ok</v>
      </c>
      <c r="AE946" t="str">
        <f>IF(AND(Audit_Data[[#This Row],[Year_Birth]]&gt;=1900,Audit_Data[[#This Row],[Year_Birth]]&lt;=2010),"OK","Invalid")</f>
        <v>OK</v>
      </c>
      <c r="AF946" t="str">
        <f t="shared" si="183"/>
        <v>Valid</v>
      </c>
      <c r="AG946" t="str">
        <f t="shared" si="184"/>
        <v>Valid</v>
      </c>
      <c r="AH946" t="str">
        <f t="shared" si="185"/>
        <v>Valid</v>
      </c>
      <c r="AI946" t="str">
        <f t="shared" si="186"/>
        <v>Valid</v>
      </c>
      <c r="AJ946" t="str">
        <f t="shared" si="187"/>
        <v>Valid</v>
      </c>
      <c r="AK946" t="str">
        <f t="shared" si="194"/>
        <v xml:space="preserve">Valid </v>
      </c>
      <c r="AL946" t="str">
        <f>IF(AND(Audit_Data[[#This Row],[Recency]]&gt;=0,Audit_Data[[#This Row],[Recency]]&lt;=100),"Valid","Invalid")</f>
        <v>Valid</v>
      </c>
      <c r="AM946" t="str">
        <f t="shared" si="188"/>
        <v>Valid</v>
      </c>
      <c r="AN946" t="str">
        <f t="shared" si="189"/>
        <v>Valid</v>
      </c>
      <c r="AO946" t="str">
        <f t="shared" si="190"/>
        <v>Valid</v>
      </c>
      <c r="AP946" t="str">
        <f t="shared" si="191"/>
        <v>Valid</v>
      </c>
      <c r="AQ946" t="str">
        <f>IF(Audit_Data[[#This Row],[Z_CostContact]]=3,"Valid","Invalid")</f>
        <v>Valid</v>
      </c>
      <c r="AR946" t="str">
        <f t="shared" si="192"/>
        <v>Valid</v>
      </c>
      <c r="AS946" t="str">
        <f t="shared" si="193"/>
        <v>Valid</v>
      </c>
    </row>
    <row r="947" spans="1:45" x14ac:dyDescent="0.3">
      <c r="A947">
        <v>3202</v>
      </c>
      <c r="B947">
        <v>1987</v>
      </c>
      <c r="C947" t="s">
        <v>32</v>
      </c>
      <c r="D947" t="s">
        <v>33</v>
      </c>
      <c r="E947">
        <v>51563</v>
      </c>
      <c r="F947">
        <v>0</v>
      </c>
      <c r="G947">
        <v>0</v>
      </c>
      <c r="H947" s="1">
        <v>41183</v>
      </c>
      <c r="I947">
        <v>60</v>
      </c>
      <c r="J947">
        <v>1166</v>
      </c>
      <c r="K947">
        <v>0</v>
      </c>
      <c r="L947">
        <v>48</v>
      </c>
      <c r="M947">
        <v>0</v>
      </c>
      <c r="N947">
        <v>0</v>
      </c>
      <c r="O947">
        <v>36</v>
      </c>
      <c r="P947">
        <v>1</v>
      </c>
      <c r="Q947">
        <v>4</v>
      </c>
      <c r="R947">
        <v>4</v>
      </c>
      <c r="S947">
        <v>10</v>
      </c>
      <c r="T947">
        <v>8</v>
      </c>
      <c r="U947">
        <v>0</v>
      </c>
      <c r="V947">
        <v>1</v>
      </c>
      <c r="W947">
        <v>1</v>
      </c>
      <c r="X947">
        <v>0</v>
      </c>
      <c r="Y947">
        <v>0</v>
      </c>
      <c r="Z947">
        <v>0</v>
      </c>
      <c r="AA947">
        <v>3</v>
      </c>
      <c r="AB947">
        <v>11</v>
      </c>
      <c r="AC947">
        <v>0</v>
      </c>
      <c r="AD947" t="str">
        <f t="shared" si="182"/>
        <v>Ok</v>
      </c>
      <c r="AE947" t="str">
        <f>IF(AND(Audit_Data[[#This Row],[Year_Birth]]&gt;=1900,Audit_Data[[#This Row],[Year_Birth]]&lt;=2010),"OK","Invalid")</f>
        <v>OK</v>
      </c>
      <c r="AF947" t="str">
        <f t="shared" si="183"/>
        <v>Valid</v>
      </c>
      <c r="AG947" t="str">
        <f t="shared" si="184"/>
        <v>Valid</v>
      </c>
      <c r="AH947" t="str">
        <f t="shared" si="185"/>
        <v>Valid</v>
      </c>
      <c r="AI947" t="str">
        <f t="shared" si="186"/>
        <v>Valid</v>
      </c>
      <c r="AJ947" t="str">
        <f t="shared" si="187"/>
        <v>Valid</v>
      </c>
      <c r="AK947" t="str">
        <f t="shared" si="194"/>
        <v xml:space="preserve">Valid </v>
      </c>
      <c r="AL947" t="str">
        <f>IF(AND(Audit_Data[[#This Row],[Recency]]&gt;=0,Audit_Data[[#This Row],[Recency]]&lt;=100),"Valid","Invalid")</f>
        <v>Valid</v>
      </c>
      <c r="AM947" t="str">
        <f t="shared" si="188"/>
        <v>Valid</v>
      </c>
      <c r="AN947" t="str">
        <f t="shared" si="189"/>
        <v>Valid</v>
      </c>
      <c r="AO947" t="str">
        <f t="shared" si="190"/>
        <v>Valid</v>
      </c>
      <c r="AP947" t="str">
        <f t="shared" si="191"/>
        <v>Valid</v>
      </c>
      <c r="AQ947" t="str">
        <f>IF(Audit_Data[[#This Row],[Z_CostContact]]=3,"Valid","Invalid")</f>
        <v>Valid</v>
      </c>
      <c r="AR947" t="str">
        <f t="shared" si="192"/>
        <v>Valid</v>
      </c>
      <c r="AS947" t="str">
        <f t="shared" si="193"/>
        <v>Valid</v>
      </c>
    </row>
    <row r="948" spans="1:45" x14ac:dyDescent="0.3">
      <c r="A948">
        <v>1328</v>
      </c>
      <c r="B948">
        <v>1982</v>
      </c>
      <c r="C948" t="s">
        <v>37</v>
      </c>
      <c r="D948" t="s">
        <v>33</v>
      </c>
      <c r="E948">
        <v>57937</v>
      </c>
      <c r="F948">
        <v>0</v>
      </c>
      <c r="G948">
        <v>1</v>
      </c>
      <c r="H948" s="1">
        <v>41686</v>
      </c>
      <c r="I948">
        <v>56</v>
      </c>
      <c r="J948">
        <v>261</v>
      </c>
      <c r="K948">
        <v>42</v>
      </c>
      <c r="L948">
        <v>144</v>
      </c>
      <c r="M948">
        <v>55</v>
      </c>
      <c r="N948">
        <v>48</v>
      </c>
      <c r="O948">
        <v>133</v>
      </c>
      <c r="P948">
        <v>3</v>
      </c>
      <c r="Q948">
        <v>4</v>
      </c>
      <c r="R948">
        <v>4</v>
      </c>
      <c r="S948">
        <v>9</v>
      </c>
      <c r="T948">
        <v>3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3</v>
      </c>
      <c r="AB948">
        <v>11</v>
      </c>
      <c r="AC948">
        <v>0</v>
      </c>
      <c r="AD948" t="str">
        <f t="shared" si="182"/>
        <v>Ok</v>
      </c>
      <c r="AE948" t="str">
        <f>IF(AND(Audit_Data[[#This Row],[Year_Birth]]&gt;=1900,Audit_Data[[#This Row],[Year_Birth]]&lt;=2010),"OK","Invalid")</f>
        <v>OK</v>
      </c>
      <c r="AF948" t="str">
        <f t="shared" si="183"/>
        <v>Valid</v>
      </c>
      <c r="AG948" t="str">
        <f t="shared" si="184"/>
        <v>Valid</v>
      </c>
      <c r="AH948" t="str">
        <f t="shared" si="185"/>
        <v>Valid</v>
      </c>
      <c r="AI948" t="str">
        <f t="shared" si="186"/>
        <v>Valid</v>
      </c>
      <c r="AJ948" t="str">
        <f t="shared" si="187"/>
        <v>Valid</v>
      </c>
      <c r="AK948" t="str">
        <f t="shared" si="194"/>
        <v xml:space="preserve">Valid </v>
      </c>
      <c r="AL948" t="str">
        <f>IF(AND(Audit_Data[[#This Row],[Recency]]&gt;=0,Audit_Data[[#This Row],[Recency]]&lt;=100),"Valid","Invalid")</f>
        <v>Valid</v>
      </c>
      <c r="AM948" t="str">
        <f t="shared" si="188"/>
        <v>Valid</v>
      </c>
      <c r="AN948" t="str">
        <f t="shared" si="189"/>
        <v>Valid</v>
      </c>
      <c r="AO948" t="str">
        <f t="shared" si="190"/>
        <v>Valid</v>
      </c>
      <c r="AP948" t="str">
        <f t="shared" si="191"/>
        <v>Valid</v>
      </c>
      <c r="AQ948" t="str">
        <f>IF(Audit_Data[[#This Row],[Z_CostContact]]=3,"Valid","Invalid")</f>
        <v>Valid</v>
      </c>
      <c r="AR948" t="str">
        <f t="shared" si="192"/>
        <v>Valid</v>
      </c>
      <c r="AS948" t="str">
        <f t="shared" si="193"/>
        <v>Valid</v>
      </c>
    </row>
    <row r="949" spans="1:45" x14ac:dyDescent="0.3">
      <c r="A949">
        <v>8405</v>
      </c>
      <c r="B949">
        <v>1979</v>
      </c>
      <c r="C949" t="s">
        <v>29</v>
      </c>
      <c r="D949" t="s">
        <v>35</v>
      </c>
      <c r="E949">
        <v>68274</v>
      </c>
      <c r="F949">
        <v>1</v>
      </c>
      <c r="G949">
        <v>1</v>
      </c>
      <c r="H949" s="1">
        <v>41547</v>
      </c>
      <c r="I949">
        <v>83</v>
      </c>
      <c r="J949">
        <v>135</v>
      </c>
      <c r="K949">
        <v>25</v>
      </c>
      <c r="L949">
        <v>51</v>
      </c>
      <c r="M949">
        <v>23</v>
      </c>
      <c r="N949">
        <v>25</v>
      </c>
      <c r="O949">
        <v>46</v>
      </c>
      <c r="P949">
        <v>2</v>
      </c>
      <c r="Q949">
        <v>4</v>
      </c>
      <c r="R949">
        <v>2</v>
      </c>
      <c r="S949">
        <v>5</v>
      </c>
      <c r="T949">
        <v>3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3</v>
      </c>
      <c r="AB949">
        <v>11</v>
      </c>
      <c r="AC949">
        <v>0</v>
      </c>
      <c r="AD949" t="str">
        <f t="shared" si="182"/>
        <v>Ok</v>
      </c>
      <c r="AE949" t="str">
        <f>IF(AND(Audit_Data[[#This Row],[Year_Birth]]&gt;=1900,Audit_Data[[#This Row],[Year_Birth]]&lt;=2010),"OK","Invalid")</f>
        <v>OK</v>
      </c>
      <c r="AF949" t="str">
        <f t="shared" si="183"/>
        <v>Valid</v>
      </c>
      <c r="AG949" t="str">
        <f t="shared" si="184"/>
        <v>Valid</v>
      </c>
      <c r="AH949" t="str">
        <f t="shared" si="185"/>
        <v>Valid</v>
      </c>
      <c r="AI949" t="str">
        <f t="shared" si="186"/>
        <v>Valid</v>
      </c>
      <c r="AJ949" t="str">
        <f t="shared" si="187"/>
        <v>Valid</v>
      </c>
      <c r="AK949" t="str">
        <f t="shared" si="194"/>
        <v xml:space="preserve">Valid </v>
      </c>
      <c r="AL949" t="str">
        <f>IF(AND(Audit_Data[[#This Row],[Recency]]&gt;=0,Audit_Data[[#This Row],[Recency]]&lt;=100),"Valid","Invalid")</f>
        <v>Valid</v>
      </c>
      <c r="AM949" t="str">
        <f t="shared" si="188"/>
        <v>Valid</v>
      </c>
      <c r="AN949" t="str">
        <f t="shared" si="189"/>
        <v>Valid</v>
      </c>
      <c r="AO949" t="str">
        <f t="shared" si="190"/>
        <v>Valid</v>
      </c>
      <c r="AP949" t="str">
        <f t="shared" si="191"/>
        <v>Valid</v>
      </c>
      <c r="AQ949" t="str">
        <f>IF(Audit_Data[[#This Row],[Z_CostContact]]=3,"Valid","Invalid")</f>
        <v>Valid</v>
      </c>
      <c r="AR949" t="str">
        <f t="shared" si="192"/>
        <v>Valid</v>
      </c>
      <c r="AS949" t="str">
        <f t="shared" si="193"/>
        <v>Valid</v>
      </c>
    </row>
    <row r="950" spans="1:45" x14ac:dyDescent="0.3">
      <c r="A950">
        <v>6515</v>
      </c>
      <c r="B950">
        <v>1977</v>
      </c>
      <c r="C950" t="s">
        <v>29</v>
      </c>
      <c r="D950" t="s">
        <v>31</v>
      </c>
      <c r="E950">
        <v>39771</v>
      </c>
      <c r="F950">
        <v>1</v>
      </c>
      <c r="G950">
        <v>0</v>
      </c>
      <c r="H950" s="1">
        <v>41614</v>
      </c>
      <c r="I950">
        <v>92</v>
      </c>
      <c r="J950">
        <v>6</v>
      </c>
      <c r="K950">
        <v>2</v>
      </c>
      <c r="L950">
        <v>18</v>
      </c>
      <c r="M950">
        <v>2</v>
      </c>
      <c r="N950">
        <v>8</v>
      </c>
      <c r="O950">
        <v>14</v>
      </c>
      <c r="P950">
        <v>1</v>
      </c>
      <c r="Q950">
        <v>2</v>
      </c>
      <c r="R950">
        <v>0</v>
      </c>
      <c r="S950">
        <v>3</v>
      </c>
      <c r="T950">
        <v>4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3</v>
      </c>
      <c r="AB950">
        <v>11</v>
      </c>
      <c r="AC950">
        <v>0</v>
      </c>
      <c r="AD950" t="str">
        <f t="shared" si="182"/>
        <v>Ok</v>
      </c>
      <c r="AE950" t="str">
        <f>IF(AND(Audit_Data[[#This Row],[Year_Birth]]&gt;=1900,Audit_Data[[#This Row],[Year_Birth]]&lt;=2010),"OK","Invalid")</f>
        <v>OK</v>
      </c>
      <c r="AF950" t="str">
        <f t="shared" si="183"/>
        <v>Valid</v>
      </c>
      <c r="AG950" t="str">
        <f t="shared" si="184"/>
        <v>Valid</v>
      </c>
      <c r="AH950" t="str">
        <f t="shared" si="185"/>
        <v>Valid</v>
      </c>
      <c r="AI950" t="str">
        <f t="shared" si="186"/>
        <v>Valid</v>
      </c>
      <c r="AJ950" t="str">
        <f t="shared" si="187"/>
        <v>Valid</v>
      </c>
      <c r="AK950" t="str">
        <f t="shared" si="194"/>
        <v xml:space="preserve">Valid </v>
      </c>
      <c r="AL950" t="str">
        <f>IF(AND(Audit_Data[[#This Row],[Recency]]&gt;=0,Audit_Data[[#This Row],[Recency]]&lt;=100),"Valid","Invalid")</f>
        <v>Valid</v>
      </c>
      <c r="AM950" t="str">
        <f t="shared" si="188"/>
        <v>Valid</v>
      </c>
      <c r="AN950" t="str">
        <f t="shared" si="189"/>
        <v>Valid</v>
      </c>
      <c r="AO950" t="str">
        <f t="shared" si="190"/>
        <v>Valid</v>
      </c>
      <c r="AP950" t="str">
        <f t="shared" si="191"/>
        <v>Valid</v>
      </c>
      <c r="AQ950" t="str">
        <f>IF(Audit_Data[[#This Row],[Z_CostContact]]=3,"Valid","Invalid")</f>
        <v>Valid</v>
      </c>
      <c r="AR950" t="str">
        <f t="shared" si="192"/>
        <v>Valid</v>
      </c>
      <c r="AS950" t="str">
        <f t="shared" si="193"/>
        <v>Valid</v>
      </c>
    </row>
    <row r="951" spans="1:45" x14ac:dyDescent="0.3">
      <c r="A951">
        <v>2882</v>
      </c>
      <c r="B951">
        <v>1975</v>
      </c>
      <c r="C951" t="s">
        <v>37</v>
      </c>
      <c r="D951" t="s">
        <v>35</v>
      </c>
      <c r="E951">
        <v>67893</v>
      </c>
      <c r="F951">
        <v>0</v>
      </c>
      <c r="G951">
        <v>1</v>
      </c>
      <c r="H951" s="1">
        <v>41183</v>
      </c>
      <c r="I951">
        <v>31</v>
      </c>
      <c r="J951">
        <v>711</v>
      </c>
      <c r="K951">
        <v>28</v>
      </c>
      <c r="L951">
        <v>142</v>
      </c>
      <c r="M951">
        <v>49</v>
      </c>
      <c r="N951">
        <v>18</v>
      </c>
      <c r="O951">
        <v>47</v>
      </c>
      <c r="P951">
        <v>2</v>
      </c>
      <c r="Q951">
        <v>3</v>
      </c>
      <c r="R951">
        <v>2</v>
      </c>
      <c r="S951">
        <v>9</v>
      </c>
      <c r="T951">
        <v>8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3</v>
      </c>
      <c r="AB951">
        <v>11</v>
      </c>
      <c r="AC951">
        <v>0</v>
      </c>
      <c r="AD951" t="str">
        <f t="shared" si="182"/>
        <v>Ok</v>
      </c>
      <c r="AE951" t="str">
        <f>IF(AND(Audit_Data[[#This Row],[Year_Birth]]&gt;=1900,Audit_Data[[#This Row],[Year_Birth]]&lt;=2010),"OK","Invalid")</f>
        <v>OK</v>
      </c>
      <c r="AF951" t="str">
        <f t="shared" si="183"/>
        <v>Valid</v>
      </c>
      <c r="AG951" t="str">
        <f t="shared" si="184"/>
        <v>Valid</v>
      </c>
      <c r="AH951" t="str">
        <f t="shared" si="185"/>
        <v>Valid</v>
      </c>
      <c r="AI951" t="str">
        <f t="shared" si="186"/>
        <v>Valid</v>
      </c>
      <c r="AJ951" t="str">
        <f t="shared" si="187"/>
        <v>Valid</v>
      </c>
      <c r="AK951" t="str">
        <f t="shared" si="194"/>
        <v xml:space="preserve">Valid </v>
      </c>
      <c r="AL951" t="str">
        <f>IF(AND(Audit_Data[[#This Row],[Recency]]&gt;=0,Audit_Data[[#This Row],[Recency]]&lt;=100),"Valid","Invalid")</f>
        <v>Valid</v>
      </c>
      <c r="AM951" t="str">
        <f t="shared" si="188"/>
        <v>Valid</v>
      </c>
      <c r="AN951" t="str">
        <f t="shared" si="189"/>
        <v>Valid</v>
      </c>
      <c r="AO951" t="str">
        <f t="shared" si="190"/>
        <v>Valid</v>
      </c>
      <c r="AP951" t="str">
        <f t="shared" si="191"/>
        <v>Valid</v>
      </c>
      <c r="AQ951" t="str">
        <f>IF(Audit_Data[[#This Row],[Z_CostContact]]=3,"Valid","Invalid")</f>
        <v>Valid</v>
      </c>
      <c r="AR951" t="str">
        <f t="shared" si="192"/>
        <v>Valid</v>
      </c>
      <c r="AS951" t="str">
        <f t="shared" si="193"/>
        <v>Valid</v>
      </c>
    </row>
    <row r="952" spans="1:45" x14ac:dyDescent="0.3">
      <c r="A952">
        <v>7574</v>
      </c>
      <c r="B952">
        <v>1979</v>
      </c>
      <c r="C952" t="s">
        <v>32</v>
      </c>
      <c r="D952" t="s">
        <v>31</v>
      </c>
      <c r="E952">
        <v>27922</v>
      </c>
      <c r="F952">
        <v>1</v>
      </c>
      <c r="G952">
        <v>0</v>
      </c>
      <c r="H952" s="1">
        <v>41769</v>
      </c>
      <c r="I952">
        <v>80</v>
      </c>
      <c r="J952">
        <v>11</v>
      </c>
      <c r="K952">
        <v>0</v>
      </c>
      <c r="L952">
        <v>13</v>
      </c>
      <c r="M952">
        <v>2</v>
      </c>
      <c r="N952">
        <v>4</v>
      </c>
      <c r="O952">
        <v>11</v>
      </c>
      <c r="P952">
        <v>1</v>
      </c>
      <c r="Q952">
        <v>2</v>
      </c>
      <c r="R952">
        <v>0</v>
      </c>
      <c r="S952">
        <v>3</v>
      </c>
      <c r="T952">
        <v>4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3</v>
      </c>
      <c r="AB952">
        <v>11</v>
      </c>
      <c r="AC952">
        <v>0</v>
      </c>
      <c r="AD952" t="str">
        <f t="shared" si="182"/>
        <v>Ok</v>
      </c>
      <c r="AE952" t="str">
        <f>IF(AND(Audit_Data[[#This Row],[Year_Birth]]&gt;=1900,Audit_Data[[#This Row],[Year_Birth]]&lt;=2010),"OK","Invalid")</f>
        <v>OK</v>
      </c>
      <c r="AF952" t="str">
        <f t="shared" si="183"/>
        <v>Valid</v>
      </c>
      <c r="AG952" t="str">
        <f t="shared" si="184"/>
        <v>Valid</v>
      </c>
      <c r="AH952" t="str">
        <f t="shared" si="185"/>
        <v>Valid</v>
      </c>
      <c r="AI952" t="str">
        <f t="shared" si="186"/>
        <v>Valid</v>
      </c>
      <c r="AJ952" t="str">
        <f t="shared" si="187"/>
        <v>Valid</v>
      </c>
      <c r="AK952" t="str">
        <f t="shared" si="194"/>
        <v xml:space="preserve">Valid </v>
      </c>
      <c r="AL952" t="str">
        <f>IF(AND(Audit_Data[[#This Row],[Recency]]&gt;=0,Audit_Data[[#This Row],[Recency]]&lt;=100),"Valid","Invalid")</f>
        <v>Valid</v>
      </c>
      <c r="AM952" t="str">
        <f t="shared" si="188"/>
        <v>Valid</v>
      </c>
      <c r="AN952" t="str">
        <f t="shared" si="189"/>
        <v>Valid</v>
      </c>
      <c r="AO952" t="str">
        <f t="shared" si="190"/>
        <v>Valid</v>
      </c>
      <c r="AP952" t="str">
        <f t="shared" si="191"/>
        <v>Valid</v>
      </c>
      <c r="AQ952" t="str">
        <f>IF(Audit_Data[[#This Row],[Z_CostContact]]=3,"Valid","Invalid")</f>
        <v>Valid</v>
      </c>
      <c r="AR952" t="str">
        <f t="shared" si="192"/>
        <v>Valid</v>
      </c>
      <c r="AS952" t="str">
        <f t="shared" si="193"/>
        <v>Valid</v>
      </c>
    </row>
    <row r="953" spans="1:45" x14ac:dyDescent="0.3">
      <c r="A953">
        <v>6387</v>
      </c>
      <c r="B953">
        <v>1976</v>
      </c>
      <c r="C953" t="s">
        <v>32</v>
      </c>
      <c r="D953" t="s">
        <v>31</v>
      </c>
      <c r="E953">
        <v>52190</v>
      </c>
      <c r="F953">
        <v>1</v>
      </c>
      <c r="G953">
        <v>1</v>
      </c>
      <c r="H953" s="1">
        <v>41767</v>
      </c>
      <c r="I953">
        <v>39</v>
      </c>
      <c r="J953">
        <v>42</v>
      </c>
      <c r="K953">
        <v>0</v>
      </c>
      <c r="L953">
        <v>17</v>
      </c>
      <c r="M953">
        <v>0</v>
      </c>
      <c r="N953">
        <v>0</v>
      </c>
      <c r="O953">
        <v>18</v>
      </c>
      <c r="P953">
        <v>3</v>
      </c>
      <c r="Q953">
        <v>2</v>
      </c>
      <c r="R953">
        <v>1</v>
      </c>
      <c r="S953">
        <v>3</v>
      </c>
      <c r="T953">
        <v>5</v>
      </c>
      <c r="U953">
        <v>1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3</v>
      </c>
      <c r="AB953">
        <v>11</v>
      </c>
      <c r="AC953">
        <v>0</v>
      </c>
      <c r="AD953" t="str">
        <f t="shared" si="182"/>
        <v>Ok</v>
      </c>
      <c r="AE953" t="str">
        <f>IF(AND(Audit_Data[[#This Row],[Year_Birth]]&gt;=1900,Audit_Data[[#This Row],[Year_Birth]]&lt;=2010),"OK","Invalid")</f>
        <v>OK</v>
      </c>
      <c r="AF953" t="str">
        <f t="shared" si="183"/>
        <v>Valid</v>
      </c>
      <c r="AG953" t="str">
        <f t="shared" si="184"/>
        <v>Valid</v>
      </c>
      <c r="AH953" t="str">
        <f t="shared" si="185"/>
        <v>Valid</v>
      </c>
      <c r="AI953" t="str">
        <f t="shared" si="186"/>
        <v>Valid</v>
      </c>
      <c r="AJ953" t="str">
        <f t="shared" si="187"/>
        <v>Valid</v>
      </c>
      <c r="AK953" t="str">
        <f t="shared" si="194"/>
        <v xml:space="preserve">Valid </v>
      </c>
      <c r="AL953" t="str">
        <f>IF(AND(Audit_Data[[#This Row],[Recency]]&gt;=0,Audit_Data[[#This Row],[Recency]]&lt;=100),"Valid","Invalid")</f>
        <v>Valid</v>
      </c>
      <c r="AM953" t="str">
        <f t="shared" si="188"/>
        <v>Valid</v>
      </c>
      <c r="AN953" t="str">
        <f t="shared" si="189"/>
        <v>Valid</v>
      </c>
      <c r="AO953" t="str">
        <f t="shared" si="190"/>
        <v>Valid</v>
      </c>
      <c r="AP953" t="str">
        <f t="shared" si="191"/>
        <v>Valid</v>
      </c>
      <c r="AQ953" t="str">
        <f>IF(Audit_Data[[#This Row],[Z_CostContact]]=3,"Valid","Invalid")</f>
        <v>Valid</v>
      </c>
      <c r="AR953" t="str">
        <f t="shared" si="192"/>
        <v>Valid</v>
      </c>
      <c r="AS953" t="str">
        <f t="shared" si="193"/>
        <v>Valid</v>
      </c>
    </row>
    <row r="954" spans="1:45" x14ac:dyDescent="0.3">
      <c r="A954">
        <v>5320</v>
      </c>
      <c r="B954">
        <v>1973</v>
      </c>
      <c r="C954" t="s">
        <v>34</v>
      </c>
      <c r="D954" t="s">
        <v>35</v>
      </c>
      <c r="E954">
        <v>44051</v>
      </c>
      <c r="F954">
        <v>1</v>
      </c>
      <c r="G954">
        <v>1</v>
      </c>
      <c r="H954" s="1">
        <v>41303</v>
      </c>
      <c r="I954">
        <v>20</v>
      </c>
      <c r="J954">
        <v>79</v>
      </c>
      <c r="K954">
        <v>7</v>
      </c>
      <c r="L954">
        <v>58</v>
      </c>
      <c r="M954">
        <v>6</v>
      </c>
      <c r="N954">
        <v>3</v>
      </c>
      <c r="O954">
        <v>18</v>
      </c>
      <c r="P954">
        <v>4</v>
      </c>
      <c r="Q954">
        <v>3</v>
      </c>
      <c r="R954">
        <v>1</v>
      </c>
      <c r="S954">
        <v>4</v>
      </c>
      <c r="T954">
        <v>6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3</v>
      </c>
      <c r="AB954">
        <v>11</v>
      </c>
      <c r="AC954">
        <v>1</v>
      </c>
      <c r="AD954" t="str">
        <f t="shared" si="182"/>
        <v>Ok</v>
      </c>
      <c r="AE954" t="str">
        <f>IF(AND(Audit_Data[[#This Row],[Year_Birth]]&gt;=1900,Audit_Data[[#This Row],[Year_Birth]]&lt;=2010),"OK","Invalid")</f>
        <v>OK</v>
      </c>
      <c r="AF954" t="str">
        <f t="shared" si="183"/>
        <v>Valid</v>
      </c>
      <c r="AG954" t="str">
        <f t="shared" si="184"/>
        <v>Valid</v>
      </c>
      <c r="AH954" t="str">
        <f t="shared" si="185"/>
        <v>Valid</v>
      </c>
      <c r="AI954" t="str">
        <f t="shared" si="186"/>
        <v>Valid</v>
      </c>
      <c r="AJ954" t="str">
        <f t="shared" si="187"/>
        <v>Valid</v>
      </c>
      <c r="AK954" t="str">
        <f t="shared" si="194"/>
        <v xml:space="preserve">Valid </v>
      </c>
      <c r="AL954" t="str">
        <f>IF(AND(Audit_Data[[#This Row],[Recency]]&gt;=0,Audit_Data[[#This Row],[Recency]]&lt;=100),"Valid","Invalid")</f>
        <v>Valid</v>
      </c>
      <c r="AM954" t="str">
        <f t="shared" si="188"/>
        <v>Valid</v>
      </c>
      <c r="AN954" t="str">
        <f t="shared" si="189"/>
        <v>Valid</v>
      </c>
      <c r="AO954" t="str">
        <f t="shared" si="190"/>
        <v>Valid</v>
      </c>
      <c r="AP954" t="str">
        <f t="shared" si="191"/>
        <v>Valid</v>
      </c>
      <c r="AQ954" t="str">
        <f>IF(Audit_Data[[#This Row],[Z_CostContact]]=3,"Valid","Invalid")</f>
        <v>Valid</v>
      </c>
      <c r="AR954" t="str">
        <f t="shared" si="192"/>
        <v>Valid</v>
      </c>
      <c r="AS954" t="str">
        <f t="shared" si="193"/>
        <v>Valid</v>
      </c>
    </row>
    <row r="955" spans="1:45" x14ac:dyDescent="0.3">
      <c r="A955">
        <v>5048</v>
      </c>
      <c r="B955">
        <v>1971</v>
      </c>
      <c r="C955" t="s">
        <v>32</v>
      </c>
      <c r="D955" t="s">
        <v>30</v>
      </c>
      <c r="E955">
        <v>42767</v>
      </c>
      <c r="F955">
        <v>2</v>
      </c>
      <c r="G955">
        <v>0</v>
      </c>
      <c r="H955" s="1">
        <v>41405</v>
      </c>
      <c r="I955">
        <v>53</v>
      </c>
      <c r="J955">
        <v>20</v>
      </c>
      <c r="K955">
        <v>6</v>
      </c>
      <c r="L955">
        <v>43</v>
      </c>
      <c r="M955">
        <v>19</v>
      </c>
      <c r="N955">
        <v>5</v>
      </c>
      <c r="O955">
        <v>38</v>
      </c>
      <c r="P955">
        <v>1</v>
      </c>
      <c r="Q955">
        <v>3</v>
      </c>
      <c r="R955">
        <v>1</v>
      </c>
      <c r="S955">
        <v>2</v>
      </c>
      <c r="T955">
        <v>8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3</v>
      </c>
      <c r="AB955">
        <v>11</v>
      </c>
      <c r="AC955">
        <v>0</v>
      </c>
      <c r="AD955" t="str">
        <f t="shared" si="182"/>
        <v>Ok</v>
      </c>
      <c r="AE955" t="str">
        <f>IF(AND(Audit_Data[[#This Row],[Year_Birth]]&gt;=1900,Audit_Data[[#This Row],[Year_Birth]]&lt;=2010),"OK","Invalid")</f>
        <v>OK</v>
      </c>
      <c r="AF955" t="str">
        <f t="shared" si="183"/>
        <v>Valid</v>
      </c>
      <c r="AG955" t="str">
        <f t="shared" si="184"/>
        <v>Valid</v>
      </c>
      <c r="AH955" t="str">
        <f t="shared" si="185"/>
        <v>Valid</v>
      </c>
      <c r="AI955" t="str">
        <f t="shared" si="186"/>
        <v>Valid</v>
      </c>
      <c r="AJ955" t="str">
        <f t="shared" si="187"/>
        <v>Valid</v>
      </c>
      <c r="AK955" t="str">
        <f t="shared" si="194"/>
        <v xml:space="preserve">Valid </v>
      </c>
      <c r="AL955" t="str">
        <f>IF(AND(Audit_Data[[#This Row],[Recency]]&gt;=0,Audit_Data[[#This Row],[Recency]]&lt;=100),"Valid","Invalid")</f>
        <v>Valid</v>
      </c>
      <c r="AM955" t="str">
        <f t="shared" si="188"/>
        <v>Valid</v>
      </c>
      <c r="AN955" t="str">
        <f t="shared" si="189"/>
        <v>Valid</v>
      </c>
      <c r="AO955" t="str">
        <f t="shared" si="190"/>
        <v>Valid</v>
      </c>
      <c r="AP955" t="str">
        <f t="shared" si="191"/>
        <v>Valid</v>
      </c>
      <c r="AQ955" t="str">
        <f>IF(Audit_Data[[#This Row],[Z_CostContact]]=3,"Valid","Invalid")</f>
        <v>Valid</v>
      </c>
      <c r="AR955" t="str">
        <f t="shared" si="192"/>
        <v>Valid</v>
      </c>
      <c r="AS955" t="str">
        <f t="shared" si="193"/>
        <v>Valid</v>
      </c>
    </row>
    <row r="956" spans="1:45" x14ac:dyDescent="0.3">
      <c r="A956">
        <v>8146</v>
      </c>
      <c r="B956">
        <v>1976</v>
      </c>
      <c r="C956" t="s">
        <v>34</v>
      </c>
      <c r="D956" t="s">
        <v>31</v>
      </c>
      <c r="E956">
        <v>46106</v>
      </c>
      <c r="F956">
        <v>1</v>
      </c>
      <c r="G956">
        <v>1</v>
      </c>
      <c r="H956" s="1">
        <v>41770</v>
      </c>
      <c r="I956">
        <v>84</v>
      </c>
      <c r="J956">
        <v>30</v>
      </c>
      <c r="K956">
        <v>0</v>
      </c>
      <c r="L956">
        <v>8</v>
      </c>
      <c r="M956">
        <v>2</v>
      </c>
      <c r="N956">
        <v>0</v>
      </c>
      <c r="O956">
        <v>14</v>
      </c>
      <c r="P956">
        <v>1</v>
      </c>
      <c r="Q956">
        <v>1</v>
      </c>
      <c r="R956">
        <v>1</v>
      </c>
      <c r="S956">
        <v>2</v>
      </c>
      <c r="T956">
        <v>6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3</v>
      </c>
      <c r="AB956">
        <v>11</v>
      </c>
      <c r="AC956">
        <v>0</v>
      </c>
      <c r="AD956" t="str">
        <f t="shared" si="182"/>
        <v>Ok</v>
      </c>
      <c r="AE956" t="str">
        <f>IF(AND(Audit_Data[[#This Row],[Year_Birth]]&gt;=1900,Audit_Data[[#This Row],[Year_Birth]]&lt;=2010),"OK","Invalid")</f>
        <v>OK</v>
      </c>
      <c r="AF956" t="str">
        <f t="shared" si="183"/>
        <v>Valid</v>
      </c>
      <c r="AG956" t="str">
        <f t="shared" si="184"/>
        <v>Valid</v>
      </c>
      <c r="AH956" t="str">
        <f t="shared" si="185"/>
        <v>Valid</v>
      </c>
      <c r="AI956" t="str">
        <f t="shared" si="186"/>
        <v>Valid</v>
      </c>
      <c r="AJ956" t="str">
        <f t="shared" si="187"/>
        <v>Valid</v>
      </c>
      <c r="AK956" t="str">
        <f t="shared" si="194"/>
        <v xml:space="preserve">Valid </v>
      </c>
      <c r="AL956" t="str">
        <f>IF(AND(Audit_Data[[#This Row],[Recency]]&gt;=0,Audit_Data[[#This Row],[Recency]]&lt;=100),"Valid","Invalid")</f>
        <v>Valid</v>
      </c>
      <c r="AM956" t="str">
        <f t="shared" si="188"/>
        <v>Valid</v>
      </c>
      <c r="AN956" t="str">
        <f t="shared" si="189"/>
        <v>Valid</v>
      </c>
      <c r="AO956" t="str">
        <f t="shared" si="190"/>
        <v>Valid</v>
      </c>
      <c r="AP956" t="str">
        <f t="shared" si="191"/>
        <v>Valid</v>
      </c>
      <c r="AQ956" t="str">
        <f>IF(Audit_Data[[#This Row],[Z_CostContact]]=3,"Valid","Invalid")</f>
        <v>Valid</v>
      </c>
      <c r="AR956" t="str">
        <f t="shared" si="192"/>
        <v>Valid</v>
      </c>
      <c r="AS956" t="str">
        <f t="shared" si="193"/>
        <v>Valid</v>
      </c>
    </row>
    <row r="957" spans="1:45" x14ac:dyDescent="0.3">
      <c r="A957">
        <v>10031</v>
      </c>
      <c r="B957">
        <v>1976</v>
      </c>
      <c r="C957" t="s">
        <v>32</v>
      </c>
      <c r="D957" t="s">
        <v>33</v>
      </c>
      <c r="E957">
        <v>16927</v>
      </c>
      <c r="F957">
        <v>1</v>
      </c>
      <c r="G957">
        <v>1</v>
      </c>
      <c r="H957" s="1">
        <v>41315</v>
      </c>
      <c r="I957">
        <v>50</v>
      </c>
      <c r="J957">
        <v>20</v>
      </c>
      <c r="K957">
        <v>2</v>
      </c>
      <c r="L957">
        <v>23</v>
      </c>
      <c r="M957">
        <v>3</v>
      </c>
      <c r="N957">
        <v>1</v>
      </c>
      <c r="O957">
        <v>4</v>
      </c>
      <c r="P957">
        <v>5</v>
      </c>
      <c r="Q957">
        <v>3</v>
      </c>
      <c r="R957">
        <v>0</v>
      </c>
      <c r="S957">
        <v>4</v>
      </c>
      <c r="T957">
        <v>8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3</v>
      </c>
      <c r="AB957">
        <v>11</v>
      </c>
      <c r="AC957">
        <v>0</v>
      </c>
      <c r="AD957" t="str">
        <f t="shared" si="182"/>
        <v>Ok</v>
      </c>
      <c r="AE957" t="str">
        <f>IF(AND(Audit_Data[[#This Row],[Year_Birth]]&gt;=1900,Audit_Data[[#This Row],[Year_Birth]]&lt;=2010),"OK","Invalid")</f>
        <v>OK</v>
      </c>
      <c r="AF957" t="str">
        <f t="shared" si="183"/>
        <v>Valid</v>
      </c>
      <c r="AG957" t="str">
        <f t="shared" si="184"/>
        <v>Valid</v>
      </c>
      <c r="AH957" t="str">
        <f t="shared" si="185"/>
        <v>Valid</v>
      </c>
      <c r="AI957" t="str">
        <f t="shared" si="186"/>
        <v>Valid</v>
      </c>
      <c r="AJ957" t="str">
        <f t="shared" si="187"/>
        <v>Valid</v>
      </c>
      <c r="AK957" t="str">
        <f t="shared" si="194"/>
        <v xml:space="preserve">Valid </v>
      </c>
      <c r="AL957" t="str">
        <f>IF(AND(Audit_Data[[#This Row],[Recency]]&gt;=0,Audit_Data[[#This Row],[Recency]]&lt;=100),"Valid","Invalid")</f>
        <v>Valid</v>
      </c>
      <c r="AM957" t="str">
        <f t="shared" si="188"/>
        <v>Valid</v>
      </c>
      <c r="AN957" t="str">
        <f t="shared" si="189"/>
        <v>Valid</v>
      </c>
      <c r="AO957" t="str">
        <f t="shared" si="190"/>
        <v>Valid</v>
      </c>
      <c r="AP957" t="str">
        <f t="shared" si="191"/>
        <v>Valid</v>
      </c>
      <c r="AQ957" t="str">
        <f>IF(Audit_Data[[#This Row],[Z_CostContact]]=3,"Valid","Invalid")</f>
        <v>Valid</v>
      </c>
      <c r="AR957" t="str">
        <f t="shared" si="192"/>
        <v>Valid</v>
      </c>
      <c r="AS957" t="str">
        <f t="shared" si="193"/>
        <v>Valid</v>
      </c>
    </row>
    <row r="958" spans="1:45" x14ac:dyDescent="0.3">
      <c r="A958">
        <v>5748</v>
      </c>
      <c r="B958">
        <v>1965</v>
      </c>
      <c r="C958" t="s">
        <v>29</v>
      </c>
      <c r="D958" t="s">
        <v>33</v>
      </c>
      <c r="E958">
        <v>59754</v>
      </c>
      <c r="F958">
        <v>0</v>
      </c>
      <c r="G958">
        <v>1</v>
      </c>
      <c r="H958" s="1">
        <v>41244</v>
      </c>
      <c r="I958">
        <v>96</v>
      </c>
      <c r="J958">
        <v>115</v>
      </c>
      <c r="K958">
        <v>27</v>
      </c>
      <c r="L958">
        <v>44</v>
      </c>
      <c r="M958">
        <v>4</v>
      </c>
      <c r="N958">
        <v>146</v>
      </c>
      <c r="O958">
        <v>139</v>
      </c>
      <c r="P958">
        <v>3</v>
      </c>
      <c r="Q958">
        <v>5</v>
      </c>
      <c r="R958">
        <v>2</v>
      </c>
      <c r="S958">
        <v>6</v>
      </c>
      <c r="T958">
        <v>5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3</v>
      </c>
      <c r="AB958">
        <v>11</v>
      </c>
      <c r="AC958">
        <v>1</v>
      </c>
      <c r="AD958" t="str">
        <f t="shared" si="182"/>
        <v>Ok</v>
      </c>
      <c r="AE958" t="str">
        <f>IF(AND(Audit_Data[[#This Row],[Year_Birth]]&gt;=1900,Audit_Data[[#This Row],[Year_Birth]]&lt;=2010),"OK","Invalid")</f>
        <v>OK</v>
      </c>
      <c r="AF958" t="str">
        <f t="shared" si="183"/>
        <v>Valid</v>
      </c>
      <c r="AG958" t="str">
        <f t="shared" si="184"/>
        <v>Valid</v>
      </c>
      <c r="AH958" t="str">
        <f t="shared" si="185"/>
        <v>Valid</v>
      </c>
      <c r="AI958" t="str">
        <f t="shared" si="186"/>
        <v>Valid</v>
      </c>
      <c r="AJ958" t="str">
        <f t="shared" si="187"/>
        <v>Valid</v>
      </c>
      <c r="AK958" t="str">
        <f t="shared" si="194"/>
        <v xml:space="preserve">Valid </v>
      </c>
      <c r="AL958" t="str">
        <f>IF(AND(Audit_Data[[#This Row],[Recency]]&gt;=0,Audit_Data[[#This Row],[Recency]]&lt;=100),"Valid","Invalid")</f>
        <v>Valid</v>
      </c>
      <c r="AM958" t="str">
        <f t="shared" si="188"/>
        <v>Valid</v>
      </c>
      <c r="AN958" t="str">
        <f t="shared" si="189"/>
        <v>Valid</v>
      </c>
      <c r="AO958" t="str">
        <f t="shared" si="190"/>
        <v>Valid</v>
      </c>
      <c r="AP958" t="str">
        <f t="shared" si="191"/>
        <v>Valid</v>
      </c>
      <c r="AQ958" t="str">
        <f>IF(Audit_Data[[#This Row],[Z_CostContact]]=3,"Valid","Invalid")</f>
        <v>Valid</v>
      </c>
      <c r="AR958" t="str">
        <f t="shared" si="192"/>
        <v>Valid</v>
      </c>
      <c r="AS958" t="str">
        <f t="shared" si="193"/>
        <v>Valid</v>
      </c>
    </row>
    <row r="959" spans="1:45" x14ac:dyDescent="0.3">
      <c r="A959">
        <v>2134</v>
      </c>
      <c r="B959">
        <v>1952</v>
      </c>
      <c r="C959" t="s">
        <v>29</v>
      </c>
      <c r="D959" t="s">
        <v>30</v>
      </c>
      <c r="E959">
        <v>53700</v>
      </c>
      <c r="F959">
        <v>0</v>
      </c>
      <c r="G959">
        <v>1</v>
      </c>
      <c r="H959" s="1">
        <v>41138</v>
      </c>
      <c r="I959">
        <v>94</v>
      </c>
      <c r="J959">
        <v>263</v>
      </c>
      <c r="K959">
        <v>5</v>
      </c>
      <c r="L959">
        <v>233</v>
      </c>
      <c r="M959">
        <v>69</v>
      </c>
      <c r="N959">
        <v>41</v>
      </c>
      <c r="O959">
        <v>83</v>
      </c>
      <c r="P959">
        <v>4</v>
      </c>
      <c r="Q959">
        <v>5</v>
      </c>
      <c r="R959">
        <v>5</v>
      </c>
      <c r="S959">
        <v>8</v>
      </c>
      <c r="T959">
        <v>5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3</v>
      </c>
      <c r="AB959">
        <v>11</v>
      </c>
      <c r="AC959">
        <v>0</v>
      </c>
      <c r="AD959" t="str">
        <f t="shared" si="182"/>
        <v>Ok</v>
      </c>
      <c r="AE959" t="str">
        <f>IF(AND(Audit_Data[[#This Row],[Year_Birth]]&gt;=1900,Audit_Data[[#This Row],[Year_Birth]]&lt;=2010),"OK","Invalid")</f>
        <v>OK</v>
      </c>
      <c r="AF959" t="str">
        <f t="shared" si="183"/>
        <v>Valid</v>
      </c>
      <c r="AG959" t="str">
        <f t="shared" si="184"/>
        <v>Valid</v>
      </c>
      <c r="AH959" t="str">
        <f t="shared" si="185"/>
        <v>Valid</v>
      </c>
      <c r="AI959" t="str">
        <f t="shared" si="186"/>
        <v>Valid</v>
      </c>
      <c r="AJ959" t="str">
        <f t="shared" si="187"/>
        <v>Valid</v>
      </c>
      <c r="AK959" t="str">
        <f t="shared" si="194"/>
        <v xml:space="preserve">Valid </v>
      </c>
      <c r="AL959" t="str">
        <f>IF(AND(Audit_Data[[#This Row],[Recency]]&gt;=0,Audit_Data[[#This Row],[Recency]]&lt;=100),"Valid","Invalid")</f>
        <v>Valid</v>
      </c>
      <c r="AM959" t="str">
        <f t="shared" si="188"/>
        <v>Valid</v>
      </c>
      <c r="AN959" t="str">
        <f t="shared" si="189"/>
        <v>Valid</v>
      </c>
      <c r="AO959" t="str">
        <f t="shared" si="190"/>
        <v>Valid</v>
      </c>
      <c r="AP959" t="str">
        <f t="shared" si="191"/>
        <v>Valid</v>
      </c>
      <c r="AQ959" t="str">
        <f>IF(Audit_Data[[#This Row],[Z_CostContact]]=3,"Valid","Invalid")</f>
        <v>Valid</v>
      </c>
      <c r="AR959" t="str">
        <f t="shared" si="192"/>
        <v>Valid</v>
      </c>
      <c r="AS959" t="str">
        <f t="shared" si="193"/>
        <v>Valid</v>
      </c>
    </row>
    <row r="960" spans="1:45" x14ac:dyDescent="0.3">
      <c r="A960">
        <v>1523</v>
      </c>
      <c r="B960">
        <v>1973</v>
      </c>
      <c r="C960" t="s">
        <v>29</v>
      </c>
      <c r="D960" t="s">
        <v>33</v>
      </c>
      <c r="E960">
        <v>59041</v>
      </c>
      <c r="F960">
        <v>1</v>
      </c>
      <c r="G960">
        <v>1</v>
      </c>
      <c r="H960" s="1">
        <v>41766</v>
      </c>
      <c r="I960">
        <v>25</v>
      </c>
      <c r="J960">
        <v>69</v>
      </c>
      <c r="K960">
        <v>2</v>
      </c>
      <c r="L960">
        <v>15</v>
      </c>
      <c r="M960">
        <v>2</v>
      </c>
      <c r="N960">
        <v>2</v>
      </c>
      <c r="O960">
        <v>6</v>
      </c>
      <c r="P960">
        <v>2</v>
      </c>
      <c r="Q960">
        <v>2</v>
      </c>
      <c r="R960">
        <v>0</v>
      </c>
      <c r="S960">
        <v>4</v>
      </c>
      <c r="T960">
        <v>5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3</v>
      </c>
      <c r="AB960">
        <v>11</v>
      </c>
      <c r="AC960">
        <v>0</v>
      </c>
      <c r="AD960" t="str">
        <f t="shared" si="182"/>
        <v>Ok</v>
      </c>
      <c r="AE960" t="str">
        <f>IF(AND(Audit_Data[[#This Row],[Year_Birth]]&gt;=1900,Audit_Data[[#This Row],[Year_Birth]]&lt;=2010),"OK","Invalid")</f>
        <v>OK</v>
      </c>
      <c r="AF960" t="str">
        <f t="shared" si="183"/>
        <v>Valid</v>
      </c>
      <c r="AG960" t="str">
        <f t="shared" si="184"/>
        <v>Valid</v>
      </c>
      <c r="AH960" t="str">
        <f t="shared" si="185"/>
        <v>Valid</v>
      </c>
      <c r="AI960" t="str">
        <f t="shared" si="186"/>
        <v>Valid</v>
      </c>
      <c r="AJ960" t="str">
        <f t="shared" si="187"/>
        <v>Valid</v>
      </c>
      <c r="AK960" t="str">
        <f t="shared" si="194"/>
        <v xml:space="preserve">Valid </v>
      </c>
      <c r="AL960" t="str">
        <f>IF(AND(Audit_Data[[#This Row],[Recency]]&gt;=0,Audit_Data[[#This Row],[Recency]]&lt;=100),"Valid","Invalid")</f>
        <v>Valid</v>
      </c>
      <c r="AM960" t="str">
        <f t="shared" si="188"/>
        <v>Valid</v>
      </c>
      <c r="AN960" t="str">
        <f t="shared" si="189"/>
        <v>Valid</v>
      </c>
      <c r="AO960" t="str">
        <f t="shared" si="190"/>
        <v>Valid</v>
      </c>
      <c r="AP960" t="str">
        <f t="shared" si="191"/>
        <v>Valid</v>
      </c>
      <c r="AQ960" t="str">
        <f>IF(Audit_Data[[#This Row],[Z_CostContact]]=3,"Valid","Invalid")</f>
        <v>Valid</v>
      </c>
      <c r="AR960" t="str">
        <f t="shared" si="192"/>
        <v>Valid</v>
      </c>
      <c r="AS960" t="str">
        <f t="shared" si="193"/>
        <v>Valid</v>
      </c>
    </row>
    <row r="961" spans="1:45" x14ac:dyDescent="0.3">
      <c r="A961">
        <v>9665</v>
      </c>
      <c r="B961">
        <v>1957</v>
      </c>
      <c r="C961" t="s">
        <v>32</v>
      </c>
      <c r="D961" t="s">
        <v>35</v>
      </c>
      <c r="E961">
        <v>54237</v>
      </c>
      <c r="F961">
        <v>0</v>
      </c>
      <c r="G961">
        <v>1</v>
      </c>
      <c r="H961" s="1">
        <v>41391</v>
      </c>
      <c r="I961">
        <v>48</v>
      </c>
      <c r="J961">
        <v>267</v>
      </c>
      <c r="K961">
        <v>3</v>
      </c>
      <c r="L961">
        <v>30</v>
      </c>
      <c r="M961">
        <v>4</v>
      </c>
      <c r="N961">
        <v>0</v>
      </c>
      <c r="O961">
        <v>57</v>
      </c>
      <c r="P961">
        <v>4</v>
      </c>
      <c r="Q961">
        <v>5</v>
      </c>
      <c r="R961">
        <v>2</v>
      </c>
      <c r="S961">
        <v>5</v>
      </c>
      <c r="T961">
        <v>6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3</v>
      </c>
      <c r="AB961">
        <v>11</v>
      </c>
      <c r="AC961">
        <v>0</v>
      </c>
      <c r="AD961" t="str">
        <f t="shared" si="182"/>
        <v>Ok</v>
      </c>
      <c r="AE961" t="str">
        <f>IF(AND(Audit_Data[[#This Row],[Year_Birth]]&gt;=1900,Audit_Data[[#This Row],[Year_Birth]]&lt;=2010),"OK","Invalid")</f>
        <v>OK</v>
      </c>
      <c r="AF961" t="str">
        <f t="shared" si="183"/>
        <v>Valid</v>
      </c>
      <c r="AG961" t="str">
        <f t="shared" si="184"/>
        <v>Valid</v>
      </c>
      <c r="AH961" t="str">
        <f t="shared" si="185"/>
        <v>Valid</v>
      </c>
      <c r="AI961" t="str">
        <f t="shared" si="186"/>
        <v>Valid</v>
      </c>
      <c r="AJ961" t="str">
        <f t="shared" si="187"/>
        <v>Valid</v>
      </c>
      <c r="AK961" t="str">
        <f t="shared" si="194"/>
        <v xml:space="preserve">Valid </v>
      </c>
      <c r="AL961" t="str">
        <f>IF(AND(Audit_Data[[#This Row],[Recency]]&gt;=0,Audit_Data[[#This Row],[Recency]]&lt;=100),"Valid","Invalid")</f>
        <v>Valid</v>
      </c>
      <c r="AM961" t="str">
        <f t="shared" si="188"/>
        <v>Valid</v>
      </c>
      <c r="AN961" t="str">
        <f t="shared" si="189"/>
        <v>Valid</v>
      </c>
      <c r="AO961" t="str">
        <f t="shared" si="190"/>
        <v>Valid</v>
      </c>
      <c r="AP961" t="str">
        <f t="shared" si="191"/>
        <v>Valid</v>
      </c>
      <c r="AQ961" t="str">
        <f>IF(Audit_Data[[#This Row],[Z_CostContact]]=3,"Valid","Invalid")</f>
        <v>Valid</v>
      </c>
      <c r="AR961" t="str">
        <f t="shared" si="192"/>
        <v>Valid</v>
      </c>
      <c r="AS961" t="str">
        <f t="shared" si="193"/>
        <v>Valid</v>
      </c>
    </row>
    <row r="962" spans="1:45" x14ac:dyDescent="0.3">
      <c r="A962">
        <v>4640</v>
      </c>
      <c r="B962">
        <v>1967</v>
      </c>
      <c r="C962" t="s">
        <v>29</v>
      </c>
      <c r="D962" t="s">
        <v>35</v>
      </c>
      <c r="E962">
        <v>70647</v>
      </c>
      <c r="F962">
        <v>0</v>
      </c>
      <c r="G962">
        <v>1</v>
      </c>
      <c r="H962" s="1">
        <v>41173</v>
      </c>
      <c r="I962">
        <v>65</v>
      </c>
      <c r="J962">
        <v>561</v>
      </c>
      <c r="K962">
        <v>85</v>
      </c>
      <c r="L962">
        <v>171</v>
      </c>
      <c r="M962">
        <v>25</v>
      </c>
      <c r="N962">
        <v>123</v>
      </c>
      <c r="O962">
        <v>114</v>
      </c>
      <c r="P962">
        <v>2</v>
      </c>
      <c r="Q962">
        <v>4</v>
      </c>
      <c r="R962">
        <v>7</v>
      </c>
      <c r="S962">
        <v>13</v>
      </c>
      <c r="T962">
        <v>2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3</v>
      </c>
      <c r="AB962">
        <v>11</v>
      </c>
      <c r="AC962">
        <v>0</v>
      </c>
      <c r="AD962" t="str">
        <f t="shared" ref="AD962:AD1025" si="195">IF(COUNTIF(A:A,A962)&gt;1,"Duplicate","Ok")</f>
        <v>Ok</v>
      </c>
      <c r="AE962" t="str">
        <f>IF(AND(Audit_Data[[#This Row],[Year_Birth]]&gt;=1900,Audit_Data[[#This Row],[Year_Birth]]&lt;=2010),"OK","Invalid")</f>
        <v>OK</v>
      </c>
      <c r="AF962" t="str">
        <f t="shared" ref="AF962:AF1025" si="196">IF(OR(C962="Graduation",C962="phD",C962="Master",C962="Basic",C962="2n Cycle"),"Valid","Invalid")</f>
        <v>Valid</v>
      </c>
      <c r="AG962" t="str">
        <f t="shared" ref="AG962:AG1025" si="197">IF(OR(D962="Single",D962="Married",D962="Divorced",D962="Together",D962="Widow",D962="Alone"),"Valid","Invalid")</f>
        <v>Valid</v>
      </c>
      <c r="AH962" t="str">
        <f t="shared" ref="AH962:AH1025" si="198">IF(AND(ISNUMBER(E962),E962&lt;&gt;""),"Valid","Invalid")</f>
        <v>Valid</v>
      </c>
      <c r="AI962" t="str">
        <f t="shared" ref="AI962:AI1025" si="199">IF(AND(F962&gt;=0,F962&lt;=2),"Valid","Invalid")</f>
        <v>Valid</v>
      </c>
      <c r="AJ962" t="str">
        <f t="shared" ref="AJ962:AJ1025" si="200">IF(AND(G962&gt;=0,G962&lt;=2),"Valid","Invalid")</f>
        <v>Valid</v>
      </c>
      <c r="AK962" t="str">
        <f t="shared" si="194"/>
        <v xml:space="preserve">Valid </v>
      </c>
      <c r="AL962" t="str">
        <f>IF(AND(Audit_Data[[#This Row],[Recency]]&gt;=0,Audit_Data[[#This Row],[Recency]]&lt;=100),"Valid","Invalid")</f>
        <v>Valid</v>
      </c>
      <c r="AM962" t="str">
        <f t="shared" ref="AM962:AM1025" si="201">IF(AND(ISNUMBER(J962),J962&gt;=0,ISNUMBER(K962),K962&gt;=0,ISNUMBER(L962),L962&gt;=0,ISNUMBER(M962),M962&gt;=0,ISNUMBER(N962),N962&gt;=0,ISNUMBER(O962),O962&gt;=0),"Valid","Invalid")</f>
        <v>Valid</v>
      </c>
      <c r="AN962" t="str">
        <f t="shared" ref="AN962:AN1025" si="202">IF(AND(ISNUMBER(P962),P962&gt;=0,ISNUMBER(Q962),Q962&gt;=0,ISNUMBER(R962),R962&gt;=0,ISNUMBER(S962),S962&gt;=0,ISNUMBER(T962),T962&gt;=0),"Valid","Invalid")</f>
        <v>Valid</v>
      </c>
      <c r="AO962" t="str">
        <f t="shared" ref="AO962:AO1025" si="203">IF(AND(U962&lt;=1,V962&lt;=1,W962&lt;=1,X962&lt;=1,Y962&lt;=1),"Valid","Invalid")</f>
        <v>Valid</v>
      </c>
      <c r="AP962" t="str">
        <f t="shared" ref="AP962:AP1025" si="204">IF(OR(Z962=0,Z962=1),"Valid","Invalid")</f>
        <v>Valid</v>
      </c>
      <c r="AQ962" t="str">
        <f>IF(Audit_Data[[#This Row],[Z_CostContact]]=3,"Valid","Invalid")</f>
        <v>Valid</v>
      </c>
      <c r="AR962" t="str">
        <f t="shared" ref="AR962:AR1025" si="205">IF(AB962=11,"Valid","Invalid")</f>
        <v>Valid</v>
      </c>
      <c r="AS962" t="str">
        <f t="shared" ref="AS962:AS1025" si="206">IF(OR(AC962=0,AC962=1),"Valid","Invalid")</f>
        <v>Valid</v>
      </c>
    </row>
    <row r="963" spans="1:45" x14ac:dyDescent="0.3">
      <c r="A963">
        <v>3635</v>
      </c>
      <c r="B963">
        <v>1962</v>
      </c>
      <c r="C963" t="s">
        <v>32</v>
      </c>
      <c r="D963" t="s">
        <v>30</v>
      </c>
      <c r="E963">
        <v>52597</v>
      </c>
      <c r="F963">
        <v>0</v>
      </c>
      <c r="G963">
        <v>1</v>
      </c>
      <c r="H963" s="1">
        <v>41766</v>
      </c>
      <c r="I963">
        <v>69</v>
      </c>
      <c r="J963">
        <v>492</v>
      </c>
      <c r="K963">
        <v>0</v>
      </c>
      <c r="L963">
        <v>37</v>
      </c>
      <c r="M963">
        <v>7</v>
      </c>
      <c r="N963">
        <v>0</v>
      </c>
      <c r="O963">
        <v>42</v>
      </c>
      <c r="P963">
        <v>3</v>
      </c>
      <c r="Q963">
        <v>6</v>
      </c>
      <c r="R963">
        <v>3</v>
      </c>
      <c r="S963">
        <v>8</v>
      </c>
      <c r="T963">
        <v>5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3</v>
      </c>
      <c r="AB963">
        <v>11</v>
      </c>
      <c r="AC963">
        <v>0</v>
      </c>
      <c r="AD963" t="str">
        <f t="shared" si="195"/>
        <v>Ok</v>
      </c>
      <c r="AE963" t="str">
        <f>IF(AND(Audit_Data[[#This Row],[Year_Birth]]&gt;=1900,Audit_Data[[#This Row],[Year_Birth]]&lt;=2010),"OK","Invalid")</f>
        <v>OK</v>
      </c>
      <c r="AF963" t="str">
        <f t="shared" si="196"/>
        <v>Valid</v>
      </c>
      <c r="AG963" t="str">
        <f t="shared" si="197"/>
        <v>Valid</v>
      </c>
      <c r="AH963" t="str">
        <f t="shared" si="198"/>
        <v>Valid</v>
      </c>
      <c r="AI963" t="str">
        <f t="shared" si="199"/>
        <v>Valid</v>
      </c>
      <c r="AJ963" t="str">
        <f t="shared" si="200"/>
        <v>Valid</v>
      </c>
      <c r="AK963" t="str">
        <f t="shared" ref="AK963:AK1026" si="207">IF(AND(ISNUMBER(H963),H963&gt;=DATE(2012,1,1),H963&lt;=DATE(2014,12,31)),"Valid ","Invalid")</f>
        <v xml:space="preserve">Valid </v>
      </c>
      <c r="AL963" t="str">
        <f>IF(AND(Audit_Data[[#This Row],[Recency]]&gt;=0,Audit_Data[[#This Row],[Recency]]&lt;=100),"Valid","Invalid")</f>
        <v>Valid</v>
      </c>
      <c r="AM963" t="str">
        <f t="shared" si="201"/>
        <v>Valid</v>
      </c>
      <c r="AN963" t="str">
        <f t="shared" si="202"/>
        <v>Valid</v>
      </c>
      <c r="AO963" t="str">
        <f t="shared" si="203"/>
        <v>Valid</v>
      </c>
      <c r="AP963" t="str">
        <f t="shared" si="204"/>
        <v>Valid</v>
      </c>
      <c r="AQ963" t="str">
        <f>IF(Audit_Data[[#This Row],[Z_CostContact]]=3,"Valid","Invalid")</f>
        <v>Valid</v>
      </c>
      <c r="AR963" t="str">
        <f t="shared" si="205"/>
        <v>Valid</v>
      </c>
      <c r="AS963" t="str">
        <f t="shared" si="206"/>
        <v>Valid</v>
      </c>
    </row>
    <row r="964" spans="1:45" x14ac:dyDescent="0.3">
      <c r="A964">
        <v>3547</v>
      </c>
      <c r="B964">
        <v>1969</v>
      </c>
      <c r="C964" t="s">
        <v>34</v>
      </c>
      <c r="D964" t="s">
        <v>31</v>
      </c>
      <c r="E964">
        <v>41021</v>
      </c>
      <c r="F964">
        <v>1</v>
      </c>
      <c r="G964">
        <v>0</v>
      </c>
      <c r="H964" s="1">
        <v>41273</v>
      </c>
      <c r="I964">
        <v>12</v>
      </c>
      <c r="J964">
        <v>14</v>
      </c>
      <c r="K964">
        <v>7</v>
      </c>
      <c r="L964">
        <v>9</v>
      </c>
      <c r="M964">
        <v>6</v>
      </c>
      <c r="N964">
        <v>16</v>
      </c>
      <c r="O964">
        <v>12</v>
      </c>
      <c r="P964">
        <v>2</v>
      </c>
      <c r="Q964">
        <v>2</v>
      </c>
      <c r="R964">
        <v>0</v>
      </c>
      <c r="S964">
        <v>3</v>
      </c>
      <c r="T964">
        <v>6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3</v>
      </c>
      <c r="AB964">
        <v>11</v>
      </c>
      <c r="AC964">
        <v>1</v>
      </c>
      <c r="AD964" t="str">
        <f t="shared" si="195"/>
        <v>Ok</v>
      </c>
      <c r="AE964" t="str">
        <f>IF(AND(Audit_Data[[#This Row],[Year_Birth]]&gt;=1900,Audit_Data[[#This Row],[Year_Birth]]&lt;=2010),"OK","Invalid")</f>
        <v>OK</v>
      </c>
      <c r="AF964" t="str">
        <f t="shared" si="196"/>
        <v>Valid</v>
      </c>
      <c r="AG964" t="str">
        <f t="shared" si="197"/>
        <v>Valid</v>
      </c>
      <c r="AH964" t="str">
        <f t="shared" si="198"/>
        <v>Valid</v>
      </c>
      <c r="AI964" t="str">
        <f t="shared" si="199"/>
        <v>Valid</v>
      </c>
      <c r="AJ964" t="str">
        <f t="shared" si="200"/>
        <v>Valid</v>
      </c>
      <c r="AK964" t="str">
        <f t="shared" si="207"/>
        <v xml:space="preserve">Valid </v>
      </c>
      <c r="AL964" t="str">
        <f>IF(AND(Audit_Data[[#This Row],[Recency]]&gt;=0,Audit_Data[[#This Row],[Recency]]&lt;=100),"Valid","Invalid")</f>
        <v>Valid</v>
      </c>
      <c r="AM964" t="str">
        <f t="shared" si="201"/>
        <v>Valid</v>
      </c>
      <c r="AN964" t="str">
        <f t="shared" si="202"/>
        <v>Valid</v>
      </c>
      <c r="AO964" t="str">
        <f t="shared" si="203"/>
        <v>Valid</v>
      </c>
      <c r="AP964" t="str">
        <f t="shared" si="204"/>
        <v>Valid</v>
      </c>
      <c r="AQ964" t="str">
        <f>IF(Audit_Data[[#This Row],[Z_CostContact]]=3,"Valid","Invalid")</f>
        <v>Valid</v>
      </c>
      <c r="AR964" t="str">
        <f t="shared" si="205"/>
        <v>Valid</v>
      </c>
      <c r="AS964" t="str">
        <f t="shared" si="206"/>
        <v>Valid</v>
      </c>
    </row>
    <row r="965" spans="1:45" x14ac:dyDescent="0.3">
      <c r="A965">
        <v>2456</v>
      </c>
      <c r="B965">
        <v>1975</v>
      </c>
      <c r="C965" t="s">
        <v>32</v>
      </c>
      <c r="D965" t="s">
        <v>33</v>
      </c>
      <c r="E965">
        <v>40233</v>
      </c>
      <c r="F965">
        <v>0</v>
      </c>
      <c r="G965">
        <v>1</v>
      </c>
      <c r="H965" s="1">
        <v>41561</v>
      </c>
      <c r="I965">
        <v>84</v>
      </c>
      <c r="J965">
        <v>80</v>
      </c>
      <c r="K965">
        <v>4</v>
      </c>
      <c r="L965">
        <v>46</v>
      </c>
      <c r="M965">
        <v>0</v>
      </c>
      <c r="N965">
        <v>17</v>
      </c>
      <c r="O965">
        <v>2</v>
      </c>
      <c r="P965">
        <v>5</v>
      </c>
      <c r="Q965">
        <v>2</v>
      </c>
      <c r="R965">
        <v>1</v>
      </c>
      <c r="S965">
        <v>5</v>
      </c>
      <c r="T965">
        <v>6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3</v>
      </c>
      <c r="AB965">
        <v>11</v>
      </c>
      <c r="AC965">
        <v>0</v>
      </c>
      <c r="AD965" t="str">
        <f t="shared" si="195"/>
        <v>Ok</v>
      </c>
      <c r="AE965" t="str">
        <f>IF(AND(Audit_Data[[#This Row],[Year_Birth]]&gt;=1900,Audit_Data[[#This Row],[Year_Birth]]&lt;=2010),"OK","Invalid")</f>
        <v>OK</v>
      </c>
      <c r="AF965" t="str">
        <f t="shared" si="196"/>
        <v>Valid</v>
      </c>
      <c r="AG965" t="str">
        <f t="shared" si="197"/>
        <v>Valid</v>
      </c>
      <c r="AH965" t="str">
        <f t="shared" si="198"/>
        <v>Valid</v>
      </c>
      <c r="AI965" t="str">
        <f t="shared" si="199"/>
        <v>Valid</v>
      </c>
      <c r="AJ965" t="str">
        <f t="shared" si="200"/>
        <v>Valid</v>
      </c>
      <c r="AK965" t="str">
        <f t="shared" si="207"/>
        <v xml:space="preserve">Valid </v>
      </c>
      <c r="AL965" t="str">
        <f>IF(AND(Audit_Data[[#This Row],[Recency]]&gt;=0,Audit_Data[[#This Row],[Recency]]&lt;=100),"Valid","Invalid")</f>
        <v>Valid</v>
      </c>
      <c r="AM965" t="str">
        <f t="shared" si="201"/>
        <v>Valid</v>
      </c>
      <c r="AN965" t="str">
        <f t="shared" si="202"/>
        <v>Valid</v>
      </c>
      <c r="AO965" t="str">
        <f t="shared" si="203"/>
        <v>Valid</v>
      </c>
      <c r="AP965" t="str">
        <f t="shared" si="204"/>
        <v>Valid</v>
      </c>
      <c r="AQ965" t="str">
        <f>IF(Audit_Data[[#This Row],[Z_CostContact]]=3,"Valid","Invalid")</f>
        <v>Valid</v>
      </c>
      <c r="AR965" t="str">
        <f t="shared" si="205"/>
        <v>Valid</v>
      </c>
      <c r="AS965" t="str">
        <f t="shared" si="206"/>
        <v>Valid</v>
      </c>
    </row>
    <row r="966" spans="1:45" x14ac:dyDescent="0.3">
      <c r="A966">
        <v>5633</v>
      </c>
      <c r="B966">
        <v>1980</v>
      </c>
      <c r="C966" t="s">
        <v>29</v>
      </c>
      <c r="D966" t="s">
        <v>33</v>
      </c>
      <c r="E966">
        <v>50183</v>
      </c>
      <c r="F966">
        <v>1</v>
      </c>
      <c r="G966">
        <v>1</v>
      </c>
      <c r="H966" s="1">
        <v>41815</v>
      </c>
      <c r="I966">
        <v>47</v>
      </c>
      <c r="J966">
        <v>97</v>
      </c>
      <c r="K966">
        <v>12</v>
      </c>
      <c r="L966">
        <v>84</v>
      </c>
      <c r="M966">
        <v>13</v>
      </c>
      <c r="N966">
        <v>10</v>
      </c>
      <c r="O966">
        <v>15</v>
      </c>
      <c r="P966">
        <v>7</v>
      </c>
      <c r="Q966">
        <v>3</v>
      </c>
      <c r="R966">
        <v>1</v>
      </c>
      <c r="S966">
        <v>6</v>
      </c>
      <c r="T966">
        <v>5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3</v>
      </c>
      <c r="AB966">
        <v>11</v>
      </c>
      <c r="AC966">
        <v>0</v>
      </c>
      <c r="AD966" t="str">
        <f t="shared" si="195"/>
        <v>Ok</v>
      </c>
      <c r="AE966" t="str">
        <f>IF(AND(Audit_Data[[#This Row],[Year_Birth]]&gt;=1900,Audit_Data[[#This Row],[Year_Birth]]&lt;=2010),"OK","Invalid")</f>
        <v>OK</v>
      </c>
      <c r="AF966" t="str">
        <f t="shared" si="196"/>
        <v>Valid</v>
      </c>
      <c r="AG966" t="str">
        <f t="shared" si="197"/>
        <v>Valid</v>
      </c>
      <c r="AH966" t="str">
        <f t="shared" si="198"/>
        <v>Valid</v>
      </c>
      <c r="AI966" t="str">
        <f t="shared" si="199"/>
        <v>Valid</v>
      </c>
      <c r="AJ966" t="str">
        <f t="shared" si="200"/>
        <v>Valid</v>
      </c>
      <c r="AK966" t="str">
        <f t="shared" si="207"/>
        <v xml:space="preserve">Valid </v>
      </c>
      <c r="AL966" t="str">
        <f>IF(AND(Audit_Data[[#This Row],[Recency]]&gt;=0,Audit_Data[[#This Row],[Recency]]&lt;=100),"Valid","Invalid")</f>
        <v>Valid</v>
      </c>
      <c r="AM966" t="str">
        <f t="shared" si="201"/>
        <v>Valid</v>
      </c>
      <c r="AN966" t="str">
        <f t="shared" si="202"/>
        <v>Valid</v>
      </c>
      <c r="AO966" t="str">
        <f t="shared" si="203"/>
        <v>Valid</v>
      </c>
      <c r="AP966" t="str">
        <f t="shared" si="204"/>
        <v>Valid</v>
      </c>
      <c r="AQ966" t="str">
        <f>IF(Audit_Data[[#This Row],[Z_CostContact]]=3,"Valid","Invalid")</f>
        <v>Valid</v>
      </c>
      <c r="AR966" t="str">
        <f t="shared" si="205"/>
        <v>Valid</v>
      </c>
      <c r="AS966" t="str">
        <f t="shared" si="206"/>
        <v>Valid</v>
      </c>
    </row>
    <row r="967" spans="1:45" x14ac:dyDescent="0.3">
      <c r="A967">
        <v>7801</v>
      </c>
      <c r="B967">
        <v>1959</v>
      </c>
      <c r="C967" t="s">
        <v>29</v>
      </c>
      <c r="D967" t="s">
        <v>31</v>
      </c>
      <c r="E967">
        <v>54753</v>
      </c>
      <c r="F967">
        <v>0</v>
      </c>
      <c r="G967">
        <v>1</v>
      </c>
      <c r="H967" s="1">
        <v>41529</v>
      </c>
      <c r="I967">
        <v>87</v>
      </c>
      <c r="J967">
        <v>197</v>
      </c>
      <c r="K967">
        <v>107</v>
      </c>
      <c r="L967">
        <v>227</v>
      </c>
      <c r="M967">
        <v>7</v>
      </c>
      <c r="N967">
        <v>59</v>
      </c>
      <c r="O967">
        <v>131</v>
      </c>
      <c r="P967">
        <v>3</v>
      </c>
      <c r="Q967">
        <v>5</v>
      </c>
      <c r="R967">
        <v>2</v>
      </c>
      <c r="S967">
        <v>11</v>
      </c>
      <c r="T967">
        <v>4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3</v>
      </c>
      <c r="AB967">
        <v>11</v>
      </c>
      <c r="AC967">
        <v>0</v>
      </c>
      <c r="AD967" t="str">
        <f t="shared" si="195"/>
        <v>Ok</v>
      </c>
      <c r="AE967" t="str">
        <f>IF(AND(Audit_Data[[#This Row],[Year_Birth]]&gt;=1900,Audit_Data[[#This Row],[Year_Birth]]&lt;=2010),"OK","Invalid")</f>
        <v>OK</v>
      </c>
      <c r="AF967" t="str">
        <f t="shared" si="196"/>
        <v>Valid</v>
      </c>
      <c r="AG967" t="str">
        <f t="shared" si="197"/>
        <v>Valid</v>
      </c>
      <c r="AH967" t="str">
        <f t="shared" si="198"/>
        <v>Valid</v>
      </c>
      <c r="AI967" t="str">
        <f t="shared" si="199"/>
        <v>Valid</v>
      </c>
      <c r="AJ967" t="str">
        <f t="shared" si="200"/>
        <v>Valid</v>
      </c>
      <c r="AK967" t="str">
        <f t="shared" si="207"/>
        <v xml:space="preserve">Valid </v>
      </c>
      <c r="AL967" t="str">
        <f>IF(AND(Audit_Data[[#This Row],[Recency]]&gt;=0,Audit_Data[[#This Row],[Recency]]&lt;=100),"Valid","Invalid")</f>
        <v>Valid</v>
      </c>
      <c r="AM967" t="str">
        <f t="shared" si="201"/>
        <v>Valid</v>
      </c>
      <c r="AN967" t="str">
        <f t="shared" si="202"/>
        <v>Valid</v>
      </c>
      <c r="AO967" t="str">
        <f t="shared" si="203"/>
        <v>Valid</v>
      </c>
      <c r="AP967" t="str">
        <f t="shared" si="204"/>
        <v>Valid</v>
      </c>
      <c r="AQ967" t="str">
        <f>IF(Audit_Data[[#This Row],[Z_CostContact]]=3,"Valid","Invalid")</f>
        <v>Valid</v>
      </c>
      <c r="AR967" t="str">
        <f t="shared" si="205"/>
        <v>Valid</v>
      </c>
      <c r="AS967" t="str">
        <f t="shared" si="206"/>
        <v>Valid</v>
      </c>
    </row>
    <row r="968" spans="1:45" x14ac:dyDescent="0.3">
      <c r="A968">
        <v>10489</v>
      </c>
      <c r="B968">
        <v>1973</v>
      </c>
      <c r="C968" t="s">
        <v>29</v>
      </c>
      <c r="D968" t="s">
        <v>33</v>
      </c>
      <c r="E968">
        <v>92955</v>
      </c>
      <c r="F968">
        <v>0</v>
      </c>
      <c r="G968">
        <v>0</v>
      </c>
      <c r="H968" s="1">
        <v>41505</v>
      </c>
      <c r="I968">
        <v>35</v>
      </c>
      <c r="J968">
        <v>693</v>
      </c>
      <c r="K968">
        <v>21</v>
      </c>
      <c r="L968">
        <v>925</v>
      </c>
      <c r="M968">
        <v>31</v>
      </c>
      <c r="N968">
        <v>24</v>
      </c>
      <c r="O968">
        <v>84</v>
      </c>
      <c r="P968">
        <v>1</v>
      </c>
      <c r="Q968">
        <v>6</v>
      </c>
      <c r="R968">
        <v>7</v>
      </c>
      <c r="S968">
        <v>9</v>
      </c>
      <c r="T968">
        <v>2</v>
      </c>
      <c r="U968">
        <v>0</v>
      </c>
      <c r="V968">
        <v>0</v>
      </c>
      <c r="W968">
        <v>1</v>
      </c>
      <c r="X968">
        <v>1</v>
      </c>
      <c r="Y968">
        <v>0</v>
      </c>
      <c r="Z968">
        <v>0</v>
      </c>
      <c r="AA968">
        <v>3</v>
      </c>
      <c r="AB968">
        <v>11</v>
      </c>
      <c r="AC968">
        <v>1</v>
      </c>
      <c r="AD968" t="str">
        <f t="shared" si="195"/>
        <v>Ok</v>
      </c>
      <c r="AE968" t="str">
        <f>IF(AND(Audit_Data[[#This Row],[Year_Birth]]&gt;=1900,Audit_Data[[#This Row],[Year_Birth]]&lt;=2010),"OK","Invalid")</f>
        <v>OK</v>
      </c>
      <c r="AF968" t="str">
        <f t="shared" si="196"/>
        <v>Valid</v>
      </c>
      <c r="AG968" t="str">
        <f t="shared" si="197"/>
        <v>Valid</v>
      </c>
      <c r="AH968" t="str">
        <f t="shared" si="198"/>
        <v>Valid</v>
      </c>
      <c r="AI968" t="str">
        <f t="shared" si="199"/>
        <v>Valid</v>
      </c>
      <c r="AJ968" t="str">
        <f t="shared" si="200"/>
        <v>Valid</v>
      </c>
      <c r="AK968" t="str">
        <f t="shared" si="207"/>
        <v xml:space="preserve">Valid </v>
      </c>
      <c r="AL968" t="str">
        <f>IF(AND(Audit_Data[[#This Row],[Recency]]&gt;=0,Audit_Data[[#This Row],[Recency]]&lt;=100),"Valid","Invalid")</f>
        <v>Valid</v>
      </c>
      <c r="AM968" t="str">
        <f t="shared" si="201"/>
        <v>Valid</v>
      </c>
      <c r="AN968" t="str">
        <f t="shared" si="202"/>
        <v>Valid</v>
      </c>
      <c r="AO968" t="str">
        <f t="shared" si="203"/>
        <v>Valid</v>
      </c>
      <c r="AP968" t="str">
        <f t="shared" si="204"/>
        <v>Valid</v>
      </c>
      <c r="AQ968" t="str">
        <f>IF(Audit_Data[[#This Row],[Z_CostContact]]=3,"Valid","Invalid")</f>
        <v>Valid</v>
      </c>
      <c r="AR968" t="str">
        <f t="shared" si="205"/>
        <v>Valid</v>
      </c>
      <c r="AS968" t="str">
        <f t="shared" si="206"/>
        <v>Valid</v>
      </c>
    </row>
    <row r="969" spans="1:45" x14ac:dyDescent="0.3">
      <c r="A969">
        <v>7011</v>
      </c>
      <c r="B969">
        <v>1973</v>
      </c>
      <c r="C969" t="s">
        <v>29</v>
      </c>
      <c r="D969" t="s">
        <v>33</v>
      </c>
      <c r="E969">
        <v>33471</v>
      </c>
      <c r="F969">
        <v>1</v>
      </c>
      <c r="G969">
        <v>0</v>
      </c>
      <c r="H969" s="1">
        <v>41194</v>
      </c>
      <c r="I969">
        <v>47</v>
      </c>
      <c r="J969">
        <v>43</v>
      </c>
      <c r="K969">
        <v>2</v>
      </c>
      <c r="L969">
        <v>27</v>
      </c>
      <c r="M969">
        <v>0</v>
      </c>
      <c r="N969">
        <v>9</v>
      </c>
      <c r="O969">
        <v>12</v>
      </c>
      <c r="P969">
        <v>3</v>
      </c>
      <c r="Q969">
        <v>3</v>
      </c>
      <c r="R969">
        <v>0</v>
      </c>
      <c r="S969">
        <v>4</v>
      </c>
      <c r="T969">
        <v>7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3</v>
      </c>
      <c r="AB969">
        <v>11</v>
      </c>
      <c r="AC969">
        <v>0</v>
      </c>
      <c r="AD969" t="str">
        <f t="shared" si="195"/>
        <v>Ok</v>
      </c>
      <c r="AE969" t="str">
        <f>IF(AND(Audit_Data[[#This Row],[Year_Birth]]&gt;=1900,Audit_Data[[#This Row],[Year_Birth]]&lt;=2010),"OK","Invalid")</f>
        <v>OK</v>
      </c>
      <c r="AF969" t="str">
        <f t="shared" si="196"/>
        <v>Valid</v>
      </c>
      <c r="AG969" t="str">
        <f t="shared" si="197"/>
        <v>Valid</v>
      </c>
      <c r="AH969" t="str">
        <f t="shared" si="198"/>
        <v>Valid</v>
      </c>
      <c r="AI969" t="str">
        <f t="shared" si="199"/>
        <v>Valid</v>
      </c>
      <c r="AJ969" t="str">
        <f t="shared" si="200"/>
        <v>Valid</v>
      </c>
      <c r="AK969" t="str">
        <f t="shared" si="207"/>
        <v xml:space="preserve">Valid </v>
      </c>
      <c r="AL969" t="str">
        <f>IF(AND(Audit_Data[[#This Row],[Recency]]&gt;=0,Audit_Data[[#This Row],[Recency]]&lt;=100),"Valid","Invalid")</f>
        <v>Valid</v>
      </c>
      <c r="AM969" t="str">
        <f t="shared" si="201"/>
        <v>Valid</v>
      </c>
      <c r="AN969" t="str">
        <f t="shared" si="202"/>
        <v>Valid</v>
      </c>
      <c r="AO969" t="str">
        <f t="shared" si="203"/>
        <v>Valid</v>
      </c>
      <c r="AP969" t="str">
        <f t="shared" si="204"/>
        <v>Valid</v>
      </c>
      <c r="AQ969" t="str">
        <f>IF(Audit_Data[[#This Row],[Z_CostContact]]=3,"Valid","Invalid")</f>
        <v>Valid</v>
      </c>
      <c r="AR969" t="str">
        <f t="shared" si="205"/>
        <v>Valid</v>
      </c>
      <c r="AS969" t="str">
        <f t="shared" si="206"/>
        <v>Valid</v>
      </c>
    </row>
    <row r="970" spans="1:45" x14ac:dyDescent="0.3">
      <c r="A970">
        <v>2620</v>
      </c>
      <c r="B970">
        <v>1974</v>
      </c>
      <c r="C970" t="s">
        <v>32</v>
      </c>
      <c r="D970" t="s">
        <v>33</v>
      </c>
      <c r="E970">
        <v>34596</v>
      </c>
      <c r="F970">
        <v>1</v>
      </c>
      <c r="G970">
        <v>0</v>
      </c>
      <c r="H970" s="1">
        <v>41377</v>
      </c>
      <c r="I970">
        <v>48</v>
      </c>
      <c r="J970">
        <v>14</v>
      </c>
      <c r="K970">
        <v>0</v>
      </c>
      <c r="L970">
        <v>2</v>
      </c>
      <c r="M970">
        <v>0</v>
      </c>
      <c r="N970">
        <v>0</v>
      </c>
      <c r="O970">
        <v>7</v>
      </c>
      <c r="P970">
        <v>1</v>
      </c>
      <c r="Q970">
        <v>1</v>
      </c>
      <c r="R970">
        <v>0</v>
      </c>
      <c r="S970">
        <v>2</v>
      </c>
      <c r="T970">
        <v>8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3</v>
      </c>
      <c r="AB970">
        <v>11</v>
      </c>
      <c r="AC970">
        <v>1</v>
      </c>
      <c r="AD970" t="str">
        <f t="shared" si="195"/>
        <v>Ok</v>
      </c>
      <c r="AE970" t="str">
        <f>IF(AND(Audit_Data[[#This Row],[Year_Birth]]&gt;=1900,Audit_Data[[#This Row],[Year_Birth]]&lt;=2010),"OK","Invalid")</f>
        <v>OK</v>
      </c>
      <c r="AF970" t="str">
        <f t="shared" si="196"/>
        <v>Valid</v>
      </c>
      <c r="AG970" t="str">
        <f t="shared" si="197"/>
        <v>Valid</v>
      </c>
      <c r="AH970" t="str">
        <f t="shared" si="198"/>
        <v>Valid</v>
      </c>
      <c r="AI970" t="str">
        <f t="shared" si="199"/>
        <v>Valid</v>
      </c>
      <c r="AJ970" t="str">
        <f t="shared" si="200"/>
        <v>Valid</v>
      </c>
      <c r="AK970" t="str">
        <f t="shared" si="207"/>
        <v xml:space="preserve">Valid </v>
      </c>
      <c r="AL970" t="str">
        <f>IF(AND(Audit_Data[[#This Row],[Recency]]&gt;=0,Audit_Data[[#This Row],[Recency]]&lt;=100),"Valid","Invalid")</f>
        <v>Valid</v>
      </c>
      <c r="AM970" t="str">
        <f t="shared" si="201"/>
        <v>Valid</v>
      </c>
      <c r="AN970" t="str">
        <f t="shared" si="202"/>
        <v>Valid</v>
      </c>
      <c r="AO970" t="str">
        <f t="shared" si="203"/>
        <v>Valid</v>
      </c>
      <c r="AP970" t="str">
        <f t="shared" si="204"/>
        <v>Valid</v>
      </c>
      <c r="AQ970" t="str">
        <f>IF(Audit_Data[[#This Row],[Z_CostContact]]=3,"Valid","Invalid")</f>
        <v>Valid</v>
      </c>
      <c r="AR970" t="str">
        <f t="shared" si="205"/>
        <v>Valid</v>
      </c>
      <c r="AS970" t="str">
        <f t="shared" si="206"/>
        <v>Valid</v>
      </c>
    </row>
    <row r="971" spans="1:45" x14ac:dyDescent="0.3">
      <c r="A971">
        <v>3933</v>
      </c>
      <c r="B971">
        <v>1980</v>
      </c>
      <c r="C971" t="s">
        <v>29</v>
      </c>
      <c r="D971" t="s">
        <v>31</v>
      </c>
      <c r="E971">
        <v>44010</v>
      </c>
      <c r="F971">
        <v>1</v>
      </c>
      <c r="G971">
        <v>0</v>
      </c>
      <c r="H971" s="1">
        <v>41195</v>
      </c>
      <c r="I971">
        <v>46</v>
      </c>
      <c r="J971">
        <v>186</v>
      </c>
      <c r="K971">
        <v>36</v>
      </c>
      <c r="L971">
        <v>234</v>
      </c>
      <c r="M971">
        <v>86</v>
      </c>
      <c r="N971">
        <v>72</v>
      </c>
      <c r="O971">
        <v>48</v>
      </c>
      <c r="P971">
        <v>6</v>
      </c>
      <c r="Q971">
        <v>10</v>
      </c>
      <c r="R971">
        <v>2</v>
      </c>
      <c r="S971">
        <v>6</v>
      </c>
      <c r="T971">
        <v>9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3</v>
      </c>
      <c r="AB971">
        <v>11</v>
      </c>
      <c r="AC971">
        <v>0</v>
      </c>
      <c r="AD971" t="str">
        <f t="shared" si="195"/>
        <v>Ok</v>
      </c>
      <c r="AE971" t="str">
        <f>IF(AND(Audit_Data[[#This Row],[Year_Birth]]&gt;=1900,Audit_Data[[#This Row],[Year_Birth]]&lt;=2010),"OK","Invalid")</f>
        <v>OK</v>
      </c>
      <c r="AF971" t="str">
        <f t="shared" si="196"/>
        <v>Valid</v>
      </c>
      <c r="AG971" t="str">
        <f t="shared" si="197"/>
        <v>Valid</v>
      </c>
      <c r="AH971" t="str">
        <f t="shared" si="198"/>
        <v>Valid</v>
      </c>
      <c r="AI971" t="str">
        <f t="shared" si="199"/>
        <v>Valid</v>
      </c>
      <c r="AJ971" t="str">
        <f t="shared" si="200"/>
        <v>Valid</v>
      </c>
      <c r="AK971" t="str">
        <f t="shared" si="207"/>
        <v xml:space="preserve">Valid </v>
      </c>
      <c r="AL971" t="str">
        <f>IF(AND(Audit_Data[[#This Row],[Recency]]&gt;=0,Audit_Data[[#This Row],[Recency]]&lt;=100),"Valid","Invalid")</f>
        <v>Valid</v>
      </c>
      <c r="AM971" t="str">
        <f t="shared" si="201"/>
        <v>Valid</v>
      </c>
      <c r="AN971" t="str">
        <f t="shared" si="202"/>
        <v>Valid</v>
      </c>
      <c r="AO971" t="str">
        <f t="shared" si="203"/>
        <v>Valid</v>
      </c>
      <c r="AP971" t="str">
        <f t="shared" si="204"/>
        <v>Valid</v>
      </c>
      <c r="AQ971" t="str">
        <f>IF(Audit_Data[[#This Row],[Z_CostContact]]=3,"Valid","Invalid")</f>
        <v>Valid</v>
      </c>
      <c r="AR971" t="str">
        <f t="shared" si="205"/>
        <v>Valid</v>
      </c>
      <c r="AS971" t="str">
        <f t="shared" si="206"/>
        <v>Valid</v>
      </c>
    </row>
    <row r="972" spans="1:45" x14ac:dyDescent="0.3">
      <c r="A972">
        <v>10981</v>
      </c>
      <c r="B972">
        <v>1988</v>
      </c>
      <c r="C972" t="s">
        <v>29</v>
      </c>
      <c r="D972" t="s">
        <v>33</v>
      </c>
      <c r="E972">
        <v>84219</v>
      </c>
      <c r="F972">
        <v>0</v>
      </c>
      <c r="G972">
        <v>0</v>
      </c>
      <c r="H972" s="1">
        <v>41672</v>
      </c>
      <c r="I972">
        <v>27</v>
      </c>
      <c r="J972">
        <v>434</v>
      </c>
      <c r="K972">
        <v>137</v>
      </c>
      <c r="L972">
        <v>400</v>
      </c>
      <c r="M972">
        <v>45</v>
      </c>
      <c r="N972">
        <v>137</v>
      </c>
      <c r="O972">
        <v>45</v>
      </c>
      <c r="P972">
        <v>1</v>
      </c>
      <c r="Q972">
        <v>3</v>
      </c>
      <c r="R972">
        <v>4</v>
      </c>
      <c r="S972">
        <v>10</v>
      </c>
      <c r="T972">
        <v>1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3</v>
      </c>
      <c r="AB972">
        <v>11</v>
      </c>
      <c r="AC972">
        <v>0</v>
      </c>
      <c r="AD972" t="str">
        <f t="shared" si="195"/>
        <v>Ok</v>
      </c>
      <c r="AE972" t="str">
        <f>IF(AND(Audit_Data[[#This Row],[Year_Birth]]&gt;=1900,Audit_Data[[#This Row],[Year_Birth]]&lt;=2010),"OK","Invalid")</f>
        <v>OK</v>
      </c>
      <c r="AF972" t="str">
        <f t="shared" si="196"/>
        <v>Valid</v>
      </c>
      <c r="AG972" t="str">
        <f t="shared" si="197"/>
        <v>Valid</v>
      </c>
      <c r="AH972" t="str">
        <f t="shared" si="198"/>
        <v>Valid</v>
      </c>
      <c r="AI972" t="str">
        <f t="shared" si="199"/>
        <v>Valid</v>
      </c>
      <c r="AJ972" t="str">
        <f t="shared" si="200"/>
        <v>Valid</v>
      </c>
      <c r="AK972" t="str">
        <f t="shared" si="207"/>
        <v xml:space="preserve">Valid </v>
      </c>
      <c r="AL972" t="str">
        <f>IF(AND(Audit_Data[[#This Row],[Recency]]&gt;=0,Audit_Data[[#This Row],[Recency]]&lt;=100),"Valid","Invalid")</f>
        <v>Valid</v>
      </c>
      <c r="AM972" t="str">
        <f t="shared" si="201"/>
        <v>Valid</v>
      </c>
      <c r="AN972" t="str">
        <f t="shared" si="202"/>
        <v>Valid</v>
      </c>
      <c r="AO972" t="str">
        <f t="shared" si="203"/>
        <v>Valid</v>
      </c>
      <c r="AP972" t="str">
        <f t="shared" si="204"/>
        <v>Valid</v>
      </c>
      <c r="AQ972" t="str">
        <f>IF(Audit_Data[[#This Row],[Z_CostContact]]=3,"Valid","Invalid")</f>
        <v>Valid</v>
      </c>
      <c r="AR972" t="str">
        <f t="shared" si="205"/>
        <v>Valid</v>
      </c>
      <c r="AS972" t="str">
        <f t="shared" si="206"/>
        <v>Valid</v>
      </c>
    </row>
    <row r="973" spans="1:45" x14ac:dyDescent="0.3">
      <c r="A973">
        <v>1734</v>
      </c>
      <c r="B973">
        <v>1968</v>
      </c>
      <c r="C973" t="s">
        <v>32</v>
      </c>
      <c r="D973" t="s">
        <v>31</v>
      </c>
      <c r="E973">
        <v>40706</v>
      </c>
      <c r="F973">
        <v>2</v>
      </c>
      <c r="G973">
        <v>1</v>
      </c>
      <c r="H973" s="1">
        <v>41291</v>
      </c>
      <c r="I973">
        <v>37</v>
      </c>
      <c r="J973">
        <v>59</v>
      </c>
      <c r="K973">
        <v>0</v>
      </c>
      <c r="L973">
        <v>11</v>
      </c>
      <c r="M973">
        <v>4</v>
      </c>
      <c r="N973">
        <v>2</v>
      </c>
      <c r="O973">
        <v>5</v>
      </c>
      <c r="P973">
        <v>4</v>
      </c>
      <c r="Q973">
        <v>3</v>
      </c>
      <c r="R973">
        <v>0</v>
      </c>
      <c r="S973">
        <v>4</v>
      </c>
      <c r="T973">
        <v>7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3</v>
      </c>
      <c r="AB973">
        <v>11</v>
      </c>
      <c r="AC973">
        <v>0</v>
      </c>
      <c r="AD973" t="str">
        <f t="shared" si="195"/>
        <v>Ok</v>
      </c>
      <c r="AE973" t="str">
        <f>IF(AND(Audit_Data[[#This Row],[Year_Birth]]&gt;=1900,Audit_Data[[#This Row],[Year_Birth]]&lt;=2010),"OK","Invalid")</f>
        <v>OK</v>
      </c>
      <c r="AF973" t="str">
        <f t="shared" si="196"/>
        <v>Valid</v>
      </c>
      <c r="AG973" t="str">
        <f t="shared" si="197"/>
        <v>Valid</v>
      </c>
      <c r="AH973" t="str">
        <f t="shared" si="198"/>
        <v>Valid</v>
      </c>
      <c r="AI973" t="str">
        <f t="shared" si="199"/>
        <v>Valid</v>
      </c>
      <c r="AJ973" t="str">
        <f t="shared" si="200"/>
        <v>Valid</v>
      </c>
      <c r="AK973" t="str">
        <f t="shared" si="207"/>
        <v xml:space="preserve">Valid </v>
      </c>
      <c r="AL973" t="str">
        <f>IF(AND(Audit_Data[[#This Row],[Recency]]&gt;=0,Audit_Data[[#This Row],[Recency]]&lt;=100),"Valid","Invalid")</f>
        <v>Valid</v>
      </c>
      <c r="AM973" t="str">
        <f t="shared" si="201"/>
        <v>Valid</v>
      </c>
      <c r="AN973" t="str">
        <f t="shared" si="202"/>
        <v>Valid</v>
      </c>
      <c r="AO973" t="str">
        <f t="shared" si="203"/>
        <v>Valid</v>
      </c>
      <c r="AP973" t="str">
        <f t="shared" si="204"/>
        <v>Valid</v>
      </c>
      <c r="AQ973" t="str">
        <f>IF(Audit_Data[[#This Row],[Z_CostContact]]=3,"Valid","Invalid")</f>
        <v>Valid</v>
      </c>
      <c r="AR973" t="str">
        <f t="shared" si="205"/>
        <v>Valid</v>
      </c>
      <c r="AS973" t="str">
        <f t="shared" si="206"/>
        <v>Valid</v>
      </c>
    </row>
    <row r="974" spans="1:45" x14ac:dyDescent="0.3">
      <c r="A974">
        <v>10995</v>
      </c>
      <c r="B974">
        <v>1988</v>
      </c>
      <c r="C974" t="s">
        <v>37</v>
      </c>
      <c r="D974" t="s">
        <v>33</v>
      </c>
      <c r="E974">
        <v>15716</v>
      </c>
      <c r="F974">
        <v>1</v>
      </c>
      <c r="G974">
        <v>0</v>
      </c>
      <c r="H974" s="1">
        <v>41225</v>
      </c>
      <c r="I974">
        <v>8</v>
      </c>
      <c r="J974">
        <v>16</v>
      </c>
      <c r="K974">
        <v>5</v>
      </c>
      <c r="L974">
        <v>30</v>
      </c>
      <c r="M974">
        <v>8</v>
      </c>
      <c r="N974">
        <v>7</v>
      </c>
      <c r="O974">
        <v>26</v>
      </c>
      <c r="P974">
        <v>3</v>
      </c>
      <c r="Q974">
        <v>3</v>
      </c>
      <c r="R974">
        <v>0</v>
      </c>
      <c r="S974">
        <v>4</v>
      </c>
      <c r="T974">
        <v>8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1</v>
      </c>
      <c r="AA974">
        <v>3</v>
      </c>
      <c r="AB974">
        <v>11</v>
      </c>
      <c r="AC974">
        <v>0</v>
      </c>
      <c r="AD974" t="str">
        <f t="shared" si="195"/>
        <v>Ok</v>
      </c>
      <c r="AE974" t="str">
        <f>IF(AND(Audit_Data[[#This Row],[Year_Birth]]&gt;=1900,Audit_Data[[#This Row],[Year_Birth]]&lt;=2010),"OK","Invalid")</f>
        <v>OK</v>
      </c>
      <c r="AF974" t="str">
        <f t="shared" si="196"/>
        <v>Valid</v>
      </c>
      <c r="AG974" t="str">
        <f t="shared" si="197"/>
        <v>Valid</v>
      </c>
      <c r="AH974" t="str">
        <f t="shared" si="198"/>
        <v>Valid</v>
      </c>
      <c r="AI974" t="str">
        <f t="shared" si="199"/>
        <v>Valid</v>
      </c>
      <c r="AJ974" t="str">
        <f t="shared" si="200"/>
        <v>Valid</v>
      </c>
      <c r="AK974" t="str">
        <f t="shared" si="207"/>
        <v xml:space="preserve">Valid </v>
      </c>
      <c r="AL974" t="str">
        <f>IF(AND(Audit_Data[[#This Row],[Recency]]&gt;=0,Audit_Data[[#This Row],[Recency]]&lt;=100),"Valid","Invalid")</f>
        <v>Valid</v>
      </c>
      <c r="AM974" t="str">
        <f t="shared" si="201"/>
        <v>Valid</v>
      </c>
      <c r="AN974" t="str">
        <f t="shared" si="202"/>
        <v>Valid</v>
      </c>
      <c r="AO974" t="str">
        <f t="shared" si="203"/>
        <v>Valid</v>
      </c>
      <c r="AP974" t="str">
        <f t="shared" si="204"/>
        <v>Valid</v>
      </c>
      <c r="AQ974" t="str">
        <f>IF(Audit_Data[[#This Row],[Z_CostContact]]=3,"Valid","Invalid")</f>
        <v>Valid</v>
      </c>
      <c r="AR974" t="str">
        <f t="shared" si="205"/>
        <v>Valid</v>
      </c>
      <c r="AS974" t="str">
        <f t="shared" si="206"/>
        <v>Valid</v>
      </c>
    </row>
    <row r="975" spans="1:45" x14ac:dyDescent="0.3">
      <c r="A975">
        <v>6357</v>
      </c>
      <c r="B975">
        <v>1959</v>
      </c>
      <c r="C975" t="s">
        <v>37</v>
      </c>
      <c r="D975" t="s">
        <v>35</v>
      </c>
      <c r="E975">
        <v>59052</v>
      </c>
      <c r="F975">
        <v>0</v>
      </c>
      <c r="G975">
        <v>1</v>
      </c>
      <c r="H975" s="1">
        <v>41595</v>
      </c>
      <c r="I975">
        <v>29</v>
      </c>
      <c r="J975">
        <v>230</v>
      </c>
      <c r="K975">
        <v>35</v>
      </c>
      <c r="L975">
        <v>75</v>
      </c>
      <c r="M975">
        <v>63</v>
      </c>
      <c r="N975">
        <v>57</v>
      </c>
      <c r="O975">
        <v>31</v>
      </c>
      <c r="P975">
        <v>3</v>
      </c>
      <c r="Q975">
        <v>7</v>
      </c>
      <c r="R975">
        <v>1</v>
      </c>
      <c r="S975">
        <v>7</v>
      </c>
      <c r="T975">
        <v>5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3</v>
      </c>
      <c r="AB975">
        <v>11</v>
      </c>
      <c r="AC975">
        <v>0</v>
      </c>
      <c r="AD975" t="str">
        <f t="shared" si="195"/>
        <v>Ok</v>
      </c>
      <c r="AE975" t="str">
        <f>IF(AND(Audit_Data[[#This Row],[Year_Birth]]&gt;=1900,Audit_Data[[#This Row],[Year_Birth]]&lt;=2010),"OK","Invalid")</f>
        <v>OK</v>
      </c>
      <c r="AF975" t="str">
        <f t="shared" si="196"/>
        <v>Valid</v>
      </c>
      <c r="AG975" t="str">
        <f t="shared" si="197"/>
        <v>Valid</v>
      </c>
      <c r="AH975" t="str">
        <f t="shared" si="198"/>
        <v>Valid</v>
      </c>
      <c r="AI975" t="str">
        <f t="shared" si="199"/>
        <v>Valid</v>
      </c>
      <c r="AJ975" t="str">
        <f t="shared" si="200"/>
        <v>Valid</v>
      </c>
      <c r="AK975" t="str">
        <f t="shared" si="207"/>
        <v xml:space="preserve">Valid </v>
      </c>
      <c r="AL975" t="str">
        <f>IF(AND(Audit_Data[[#This Row],[Recency]]&gt;=0,Audit_Data[[#This Row],[Recency]]&lt;=100),"Valid","Invalid")</f>
        <v>Valid</v>
      </c>
      <c r="AM975" t="str">
        <f t="shared" si="201"/>
        <v>Valid</v>
      </c>
      <c r="AN975" t="str">
        <f t="shared" si="202"/>
        <v>Valid</v>
      </c>
      <c r="AO975" t="str">
        <f t="shared" si="203"/>
        <v>Valid</v>
      </c>
      <c r="AP975" t="str">
        <f t="shared" si="204"/>
        <v>Valid</v>
      </c>
      <c r="AQ975" t="str">
        <f>IF(Audit_Data[[#This Row],[Z_CostContact]]=3,"Valid","Invalid")</f>
        <v>Valid</v>
      </c>
      <c r="AR975" t="str">
        <f t="shared" si="205"/>
        <v>Valid</v>
      </c>
      <c r="AS975" t="str">
        <f t="shared" si="206"/>
        <v>Valid</v>
      </c>
    </row>
    <row r="976" spans="1:45" x14ac:dyDescent="0.3">
      <c r="A976">
        <v>9209</v>
      </c>
      <c r="B976">
        <v>1971</v>
      </c>
      <c r="C976" t="s">
        <v>34</v>
      </c>
      <c r="D976" t="s">
        <v>31</v>
      </c>
      <c r="E976">
        <v>80573</v>
      </c>
      <c r="F976">
        <v>0</v>
      </c>
      <c r="G976">
        <v>0</v>
      </c>
      <c r="H976" s="1">
        <v>41196</v>
      </c>
      <c r="I976">
        <v>85</v>
      </c>
      <c r="J976">
        <v>829</v>
      </c>
      <c r="K976">
        <v>138</v>
      </c>
      <c r="L976">
        <v>430</v>
      </c>
      <c r="M976">
        <v>60</v>
      </c>
      <c r="N976">
        <v>92</v>
      </c>
      <c r="O976">
        <v>15</v>
      </c>
      <c r="P976">
        <v>1</v>
      </c>
      <c r="Q976">
        <v>4</v>
      </c>
      <c r="R976">
        <v>6</v>
      </c>
      <c r="S976">
        <v>13</v>
      </c>
      <c r="T976">
        <v>2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3</v>
      </c>
      <c r="AB976">
        <v>11</v>
      </c>
      <c r="AC976">
        <v>0</v>
      </c>
      <c r="AD976" t="str">
        <f t="shared" si="195"/>
        <v>Ok</v>
      </c>
      <c r="AE976" t="str">
        <f>IF(AND(Audit_Data[[#This Row],[Year_Birth]]&gt;=1900,Audit_Data[[#This Row],[Year_Birth]]&lt;=2010),"OK","Invalid")</f>
        <v>OK</v>
      </c>
      <c r="AF976" t="str">
        <f t="shared" si="196"/>
        <v>Valid</v>
      </c>
      <c r="AG976" t="str">
        <f t="shared" si="197"/>
        <v>Valid</v>
      </c>
      <c r="AH976" t="str">
        <f t="shared" si="198"/>
        <v>Valid</v>
      </c>
      <c r="AI976" t="str">
        <f t="shared" si="199"/>
        <v>Valid</v>
      </c>
      <c r="AJ976" t="str">
        <f t="shared" si="200"/>
        <v>Valid</v>
      </c>
      <c r="AK976" t="str">
        <f t="shared" si="207"/>
        <v xml:space="preserve">Valid </v>
      </c>
      <c r="AL976" t="str">
        <f>IF(AND(Audit_Data[[#This Row],[Recency]]&gt;=0,Audit_Data[[#This Row],[Recency]]&lt;=100),"Valid","Invalid")</f>
        <v>Valid</v>
      </c>
      <c r="AM976" t="str">
        <f t="shared" si="201"/>
        <v>Valid</v>
      </c>
      <c r="AN976" t="str">
        <f t="shared" si="202"/>
        <v>Valid</v>
      </c>
      <c r="AO976" t="str">
        <f t="shared" si="203"/>
        <v>Valid</v>
      </c>
      <c r="AP976" t="str">
        <f t="shared" si="204"/>
        <v>Valid</v>
      </c>
      <c r="AQ976" t="str">
        <f>IF(Audit_Data[[#This Row],[Z_CostContact]]=3,"Valid","Invalid")</f>
        <v>Valid</v>
      </c>
      <c r="AR976" t="str">
        <f t="shared" si="205"/>
        <v>Valid</v>
      </c>
      <c r="AS976" t="str">
        <f t="shared" si="206"/>
        <v>Valid</v>
      </c>
    </row>
    <row r="977" spans="1:45" x14ac:dyDescent="0.3">
      <c r="A977">
        <v>10286</v>
      </c>
      <c r="B977">
        <v>1962</v>
      </c>
      <c r="C977" t="s">
        <v>29</v>
      </c>
      <c r="D977" t="s">
        <v>33</v>
      </c>
      <c r="E977">
        <v>83715</v>
      </c>
      <c r="F977">
        <v>0</v>
      </c>
      <c r="G977">
        <v>0</v>
      </c>
      <c r="H977" s="1">
        <v>41673</v>
      </c>
      <c r="I977">
        <v>2</v>
      </c>
      <c r="J977">
        <v>318</v>
      </c>
      <c r="K977">
        <v>8</v>
      </c>
      <c r="L977">
        <v>407</v>
      </c>
      <c r="M977">
        <v>150</v>
      </c>
      <c r="N977">
        <v>35</v>
      </c>
      <c r="O977">
        <v>8</v>
      </c>
      <c r="P977">
        <v>1</v>
      </c>
      <c r="Q977">
        <v>2</v>
      </c>
      <c r="R977">
        <v>8</v>
      </c>
      <c r="S977">
        <v>13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3</v>
      </c>
      <c r="AB977">
        <v>11</v>
      </c>
      <c r="AC977">
        <v>0</v>
      </c>
      <c r="AD977" t="str">
        <f t="shared" si="195"/>
        <v>Ok</v>
      </c>
      <c r="AE977" t="str">
        <f>IF(AND(Audit_Data[[#This Row],[Year_Birth]]&gt;=1900,Audit_Data[[#This Row],[Year_Birth]]&lt;=2010),"OK","Invalid")</f>
        <v>OK</v>
      </c>
      <c r="AF977" t="str">
        <f t="shared" si="196"/>
        <v>Valid</v>
      </c>
      <c r="AG977" t="str">
        <f t="shared" si="197"/>
        <v>Valid</v>
      </c>
      <c r="AH977" t="str">
        <f t="shared" si="198"/>
        <v>Valid</v>
      </c>
      <c r="AI977" t="str">
        <f t="shared" si="199"/>
        <v>Valid</v>
      </c>
      <c r="AJ977" t="str">
        <f t="shared" si="200"/>
        <v>Valid</v>
      </c>
      <c r="AK977" t="str">
        <f t="shared" si="207"/>
        <v xml:space="preserve">Valid </v>
      </c>
      <c r="AL977" t="str">
        <f>IF(AND(Audit_Data[[#This Row],[Recency]]&gt;=0,Audit_Data[[#This Row],[Recency]]&lt;=100),"Valid","Invalid")</f>
        <v>Valid</v>
      </c>
      <c r="AM977" t="str">
        <f t="shared" si="201"/>
        <v>Valid</v>
      </c>
      <c r="AN977" t="str">
        <f t="shared" si="202"/>
        <v>Valid</v>
      </c>
      <c r="AO977" t="str">
        <f t="shared" si="203"/>
        <v>Valid</v>
      </c>
      <c r="AP977" t="str">
        <f t="shared" si="204"/>
        <v>Valid</v>
      </c>
      <c r="AQ977" t="str">
        <f>IF(Audit_Data[[#This Row],[Z_CostContact]]=3,"Valid","Invalid")</f>
        <v>Valid</v>
      </c>
      <c r="AR977" t="str">
        <f t="shared" si="205"/>
        <v>Valid</v>
      </c>
      <c r="AS977" t="str">
        <f t="shared" si="206"/>
        <v>Valid</v>
      </c>
    </row>
    <row r="978" spans="1:45" x14ac:dyDescent="0.3">
      <c r="A978">
        <v>2611</v>
      </c>
      <c r="B978">
        <v>1959</v>
      </c>
      <c r="C978" t="s">
        <v>34</v>
      </c>
      <c r="D978" t="s">
        <v>31</v>
      </c>
      <c r="E978">
        <v>82576</v>
      </c>
      <c r="F978">
        <v>0</v>
      </c>
      <c r="G978">
        <v>0</v>
      </c>
      <c r="H978" s="1">
        <v>41122</v>
      </c>
      <c r="I978">
        <v>66</v>
      </c>
      <c r="J978">
        <v>1206</v>
      </c>
      <c r="K978">
        <v>55</v>
      </c>
      <c r="L978">
        <v>445</v>
      </c>
      <c r="M978">
        <v>168</v>
      </c>
      <c r="N978">
        <v>18</v>
      </c>
      <c r="O978">
        <v>18</v>
      </c>
      <c r="P978">
        <v>1</v>
      </c>
      <c r="Q978">
        <v>2</v>
      </c>
      <c r="R978">
        <v>4</v>
      </c>
      <c r="S978">
        <v>12</v>
      </c>
      <c r="T978">
        <v>1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3</v>
      </c>
      <c r="AB978">
        <v>11</v>
      </c>
      <c r="AC978">
        <v>0</v>
      </c>
      <c r="AD978" t="str">
        <f t="shared" si="195"/>
        <v>Ok</v>
      </c>
      <c r="AE978" t="str">
        <f>IF(AND(Audit_Data[[#This Row],[Year_Birth]]&gt;=1900,Audit_Data[[#This Row],[Year_Birth]]&lt;=2010),"OK","Invalid")</f>
        <v>OK</v>
      </c>
      <c r="AF978" t="str">
        <f t="shared" si="196"/>
        <v>Valid</v>
      </c>
      <c r="AG978" t="str">
        <f t="shared" si="197"/>
        <v>Valid</v>
      </c>
      <c r="AH978" t="str">
        <f t="shared" si="198"/>
        <v>Valid</v>
      </c>
      <c r="AI978" t="str">
        <f t="shared" si="199"/>
        <v>Valid</v>
      </c>
      <c r="AJ978" t="str">
        <f t="shared" si="200"/>
        <v>Valid</v>
      </c>
      <c r="AK978" t="str">
        <f t="shared" si="207"/>
        <v xml:space="preserve">Valid </v>
      </c>
      <c r="AL978" t="str">
        <f>IF(AND(Audit_Data[[#This Row],[Recency]]&gt;=0,Audit_Data[[#This Row],[Recency]]&lt;=100),"Valid","Invalid")</f>
        <v>Valid</v>
      </c>
      <c r="AM978" t="str">
        <f t="shared" si="201"/>
        <v>Valid</v>
      </c>
      <c r="AN978" t="str">
        <f t="shared" si="202"/>
        <v>Valid</v>
      </c>
      <c r="AO978" t="str">
        <f t="shared" si="203"/>
        <v>Valid</v>
      </c>
      <c r="AP978" t="str">
        <f t="shared" si="204"/>
        <v>Valid</v>
      </c>
      <c r="AQ978" t="str">
        <f>IF(Audit_Data[[#This Row],[Z_CostContact]]=3,"Valid","Invalid")</f>
        <v>Valid</v>
      </c>
      <c r="AR978" t="str">
        <f t="shared" si="205"/>
        <v>Valid</v>
      </c>
      <c r="AS978" t="str">
        <f t="shared" si="206"/>
        <v>Valid</v>
      </c>
    </row>
    <row r="979" spans="1:45" x14ac:dyDescent="0.3">
      <c r="A979">
        <v>1600</v>
      </c>
      <c r="B979">
        <v>1965</v>
      </c>
      <c r="C979" t="s">
        <v>34</v>
      </c>
      <c r="D979" t="s">
        <v>33</v>
      </c>
      <c r="E979">
        <v>56962</v>
      </c>
      <c r="F979">
        <v>2</v>
      </c>
      <c r="G979">
        <v>1</v>
      </c>
      <c r="H979" s="1">
        <v>41558</v>
      </c>
      <c r="I979">
        <v>60</v>
      </c>
      <c r="J979">
        <v>292</v>
      </c>
      <c r="K979">
        <v>3</v>
      </c>
      <c r="L979">
        <v>77</v>
      </c>
      <c r="M979">
        <v>10</v>
      </c>
      <c r="N979">
        <v>3</v>
      </c>
      <c r="O979">
        <v>26</v>
      </c>
      <c r="P979">
        <v>7</v>
      </c>
      <c r="Q979">
        <v>6</v>
      </c>
      <c r="R979">
        <v>3</v>
      </c>
      <c r="S979">
        <v>5</v>
      </c>
      <c r="T979">
        <v>7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3</v>
      </c>
      <c r="AB979">
        <v>11</v>
      </c>
      <c r="AC979">
        <v>0</v>
      </c>
      <c r="AD979" t="str">
        <f t="shared" si="195"/>
        <v>Ok</v>
      </c>
      <c r="AE979" t="str">
        <f>IF(AND(Audit_Data[[#This Row],[Year_Birth]]&gt;=1900,Audit_Data[[#This Row],[Year_Birth]]&lt;=2010),"OK","Invalid")</f>
        <v>OK</v>
      </c>
      <c r="AF979" t="str">
        <f t="shared" si="196"/>
        <v>Valid</v>
      </c>
      <c r="AG979" t="str">
        <f t="shared" si="197"/>
        <v>Valid</v>
      </c>
      <c r="AH979" t="str">
        <f t="shared" si="198"/>
        <v>Valid</v>
      </c>
      <c r="AI979" t="str">
        <f t="shared" si="199"/>
        <v>Valid</v>
      </c>
      <c r="AJ979" t="str">
        <f t="shared" si="200"/>
        <v>Valid</v>
      </c>
      <c r="AK979" t="str">
        <f t="shared" si="207"/>
        <v xml:space="preserve">Valid </v>
      </c>
      <c r="AL979" t="str">
        <f>IF(AND(Audit_Data[[#This Row],[Recency]]&gt;=0,Audit_Data[[#This Row],[Recency]]&lt;=100),"Valid","Invalid")</f>
        <v>Valid</v>
      </c>
      <c r="AM979" t="str">
        <f t="shared" si="201"/>
        <v>Valid</v>
      </c>
      <c r="AN979" t="str">
        <f t="shared" si="202"/>
        <v>Valid</v>
      </c>
      <c r="AO979" t="str">
        <f t="shared" si="203"/>
        <v>Valid</v>
      </c>
      <c r="AP979" t="str">
        <f t="shared" si="204"/>
        <v>Valid</v>
      </c>
      <c r="AQ979" t="str">
        <f>IF(Audit_Data[[#This Row],[Z_CostContact]]=3,"Valid","Invalid")</f>
        <v>Valid</v>
      </c>
      <c r="AR979" t="str">
        <f t="shared" si="205"/>
        <v>Valid</v>
      </c>
      <c r="AS979" t="str">
        <f t="shared" si="206"/>
        <v>Valid</v>
      </c>
    </row>
    <row r="980" spans="1:45" x14ac:dyDescent="0.3">
      <c r="A980">
        <v>3308</v>
      </c>
      <c r="B980">
        <v>1952</v>
      </c>
      <c r="C980" t="s">
        <v>29</v>
      </c>
      <c r="D980" t="s">
        <v>33</v>
      </c>
      <c r="E980">
        <v>35704</v>
      </c>
      <c r="F980">
        <v>1</v>
      </c>
      <c r="G980">
        <v>1</v>
      </c>
      <c r="H980" s="1">
        <v>41642</v>
      </c>
      <c r="I980">
        <v>54</v>
      </c>
      <c r="J980">
        <v>30</v>
      </c>
      <c r="K980">
        <v>9</v>
      </c>
      <c r="L980">
        <v>12</v>
      </c>
      <c r="M980">
        <v>2</v>
      </c>
      <c r="N980">
        <v>11</v>
      </c>
      <c r="O980">
        <v>30</v>
      </c>
      <c r="P980">
        <v>3</v>
      </c>
      <c r="Q980">
        <v>2</v>
      </c>
      <c r="R980">
        <v>0</v>
      </c>
      <c r="S980">
        <v>4</v>
      </c>
      <c r="T980">
        <v>4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3</v>
      </c>
      <c r="AB980">
        <v>11</v>
      </c>
      <c r="AC980">
        <v>0</v>
      </c>
      <c r="AD980" t="str">
        <f t="shared" si="195"/>
        <v>Ok</v>
      </c>
      <c r="AE980" t="str">
        <f>IF(AND(Audit_Data[[#This Row],[Year_Birth]]&gt;=1900,Audit_Data[[#This Row],[Year_Birth]]&lt;=2010),"OK","Invalid")</f>
        <v>OK</v>
      </c>
      <c r="AF980" t="str">
        <f t="shared" si="196"/>
        <v>Valid</v>
      </c>
      <c r="AG980" t="str">
        <f t="shared" si="197"/>
        <v>Valid</v>
      </c>
      <c r="AH980" t="str">
        <f t="shared" si="198"/>
        <v>Valid</v>
      </c>
      <c r="AI980" t="str">
        <f t="shared" si="199"/>
        <v>Valid</v>
      </c>
      <c r="AJ980" t="str">
        <f t="shared" si="200"/>
        <v>Valid</v>
      </c>
      <c r="AK980" t="str">
        <f t="shared" si="207"/>
        <v xml:space="preserve">Valid </v>
      </c>
      <c r="AL980" t="str">
        <f>IF(AND(Audit_Data[[#This Row],[Recency]]&gt;=0,Audit_Data[[#This Row],[Recency]]&lt;=100),"Valid","Invalid")</f>
        <v>Valid</v>
      </c>
      <c r="AM980" t="str">
        <f t="shared" si="201"/>
        <v>Valid</v>
      </c>
      <c r="AN980" t="str">
        <f t="shared" si="202"/>
        <v>Valid</v>
      </c>
      <c r="AO980" t="str">
        <f t="shared" si="203"/>
        <v>Valid</v>
      </c>
      <c r="AP980" t="str">
        <f t="shared" si="204"/>
        <v>Valid</v>
      </c>
      <c r="AQ980" t="str">
        <f>IF(Audit_Data[[#This Row],[Z_CostContact]]=3,"Valid","Invalid")</f>
        <v>Valid</v>
      </c>
      <c r="AR980" t="str">
        <f t="shared" si="205"/>
        <v>Valid</v>
      </c>
      <c r="AS980" t="str">
        <f t="shared" si="206"/>
        <v>Valid</v>
      </c>
    </row>
    <row r="981" spans="1:45" x14ac:dyDescent="0.3">
      <c r="A981">
        <v>5407</v>
      </c>
      <c r="B981">
        <v>1954</v>
      </c>
      <c r="C981" t="s">
        <v>29</v>
      </c>
      <c r="D981" t="s">
        <v>31</v>
      </c>
      <c r="E981">
        <v>53103</v>
      </c>
      <c r="F981">
        <v>0</v>
      </c>
      <c r="G981">
        <v>1</v>
      </c>
      <c r="H981" s="1">
        <v>41529</v>
      </c>
      <c r="I981">
        <v>70</v>
      </c>
      <c r="J981">
        <v>729</v>
      </c>
      <c r="K981">
        <v>17</v>
      </c>
      <c r="L981">
        <v>133</v>
      </c>
      <c r="M981">
        <v>11</v>
      </c>
      <c r="N981">
        <v>0</v>
      </c>
      <c r="O981">
        <v>195</v>
      </c>
      <c r="P981">
        <v>5</v>
      </c>
      <c r="Q981">
        <v>10</v>
      </c>
      <c r="R981">
        <v>6</v>
      </c>
      <c r="S981">
        <v>7</v>
      </c>
      <c r="T981">
        <v>7</v>
      </c>
      <c r="U981">
        <v>1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3</v>
      </c>
      <c r="AB981">
        <v>11</v>
      </c>
      <c r="AC981">
        <v>0</v>
      </c>
      <c r="AD981" t="str">
        <f t="shared" si="195"/>
        <v>Ok</v>
      </c>
      <c r="AE981" t="str">
        <f>IF(AND(Audit_Data[[#This Row],[Year_Birth]]&gt;=1900,Audit_Data[[#This Row],[Year_Birth]]&lt;=2010),"OK","Invalid")</f>
        <v>OK</v>
      </c>
      <c r="AF981" t="str">
        <f t="shared" si="196"/>
        <v>Valid</v>
      </c>
      <c r="AG981" t="str">
        <f t="shared" si="197"/>
        <v>Valid</v>
      </c>
      <c r="AH981" t="str">
        <f t="shared" si="198"/>
        <v>Valid</v>
      </c>
      <c r="AI981" t="str">
        <f t="shared" si="199"/>
        <v>Valid</v>
      </c>
      <c r="AJ981" t="str">
        <f t="shared" si="200"/>
        <v>Valid</v>
      </c>
      <c r="AK981" t="str">
        <f t="shared" si="207"/>
        <v xml:space="preserve">Valid </v>
      </c>
      <c r="AL981" t="str">
        <f>IF(AND(Audit_Data[[#This Row],[Recency]]&gt;=0,Audit_Data[[#This Row],[Recency]]&lt;=100),"Valid","Invalid")</f>
        <v>Valid</v>
      </c>
      <c r="AM981" t="str">
        <f t="shared" si="201"/>
        <v>Valid</v>
      </c>
      <c r="AN981" t="str">
        <f t="shared" si="202"/>
        <v>Valid</v>
      </c>
      <c r="AO981" t="str">
        <f t="shared" si="203"/>
        <v>Valid</v>
      </c>
      <c r="AP981" t="str">
        <f t="shared" si="204"/>
        <v>Valid</v>
      </c>
      <c r="AQ981" t="str">
        <f>IF(Audit_Data[[#This Row],[Z_CostContact]]=3,"Valid","Invalid")</f>
        <v>Valid</v>
      </c>
      <c r="AR981" t="str">
        <f t="shared" si="205"/>
        <v>Valid</v>
      </c>
      <c r="AS981" t="str">
        <f t="shared" si="206"/>
        <v>Valid</v>
      </c>
    </row>
    <row r="982" spans="1:45" x14ac:dyDescent="0.3">
      <c r="A982">
        <v>2166</v>
      </c>
      <c r="B982">
        <v>1960</v>
      </c>
      <c r="C982" t="s">
        <v>37</v>
      </c>
      <c r="D982" t="s">
        <v>38</v>
      </c>
      <c r="E982">
        <v>46779</v>
      </c>
      <c r="F982">
        <v>1</v>
      </c>
      <c r="G982">
        <v>1</v>
      </c>
      <c r="H982" s="1">
        <v>41467</v>
      </c>
      <c r="I982">
        <v>55</v>
      </c>
      <c r="J982">
        <v>12</v>
      </c>
      <c r="K982">
        <v>1</v>
      </c>
      <c r="L982">
        <v>3</v>
      </c>
      <c r="M982">
        <v>0</v>
      </c>
      <c r="N982">
        <v>0</v>
      </c>
      <c r="O982">
        <v>7</v>
      </c>
      <c r="P982">
        <v>1</v>
      </c>
      <c r="Q982">
        <v>0</v>
      </c>
      <c r="R982">
        <v>1</v>
      </c>
      <c r="S982">
        <v>2</v>
      </c>
      <c r="T982">
        <v>4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3</v>
      </c>
      <c r="AB982">
        <v>11</v>
      </c>
      <c r="AC982">
        <v>0</v>
      </c>
      <c r="AD982" t="str">
        <f t="shared" si="195"/>
        <v>Ok</v>
      </c>
      <c r="AE982" t="str">
        <f>IF(AND(Audit_Data[[#This Row],[Year_Birth]]&gt;=1900,Audit_Data[[#This Row],[Year_Birth]]&lt;=2010),"OK","Invalid")</f>
        <v>OK</v>
      </c>
      <c r="AF982" t="str">
        <f t="shared" si="196"/>
        <v>Valid</v>
      </c>
      <c r="AG982" t="str">
        <f t="shared" si="197"/>
        <v>Valid</v>
      </c>
      <c r="AH982" t="str">
        <f t="shared" si="198"/>
        <v>Valid</v>
      </c>
      <c r="AI982" t="str">
        <f t="shared" si="199"/>
        <v>Valid</v>
      </c>
      <c r="AJ982" t="str">
        <f t="shared" si="200"/>
        <v>Valid</v>
      </c>
      <c r="AK982" t="str">
        <f t="shared" si="207"/>
        <v xml:space="preserve">Valid </v>
      </c>
      <c r="AL982" t="str">
        <f>IF(AND(Audit_Data[[#This Row],[Recency]]&gt;=0,Audit_Data[[#This Row],[Recency]]&lt;=100),"Valid","Invalid")</f>
        <v>Valid</v>
      </c>
      <c r="AM982" t="str">
        <f t="shared" si="201"/>
        <v>Valid</v>
      </c>
      <c r="AN982" t="str">
        <f t="shared" si="202"/>
        <v>Valid</v>
      </c>
      <c r="AO982" t="str">
        <f t="shared" si="203"/>
        <v>Valid</v>
      </c>
      <c r="AP982" t="str">
        <f t="shared" si="204"/>
        <v>Valid</v>
      </c>
      <c r="AQ982" t="str">
        <f>IF(Audit_Data[[#This Row],[Z_CostContact]]=3,"Valid","Invalid")</f>
        <v>Valid</v>
      </c>
      <c r="AR982" t="str">
        <f t="shared" si="205"/>
        <v>Valid</v>
      </c>
      <c r="AS982" t="str">
        <f t="shared" si="206"/>
        <v>Valid</v>
      </c>
    </row>
    <row r="983" spans="1:45" x14ac:dyDescent="0.3">
      <c r="A983">
        <v>3955</v>
      </c>
      <c r="B983">
        <v>1965</v>
      </c>
      <c r="C983" t="s">
        <v>29</v>
      </c>
      <c r="D983" t="s">
        <v>35</v>
      </c>
      <c r="E983">
        <v>4861</v>
      </c>
      <c r="F983">
        <v>0</v>
      </c>
      <c r="G983">
        <v>0</v>
      </c>
      <c r="H983" s="1">
        <v>41812</v>
      </c>
      <c r="I983">
        <v>20</v>
      </c>
      <c r="J983">
        <v>2</v>
      </c>
      <c r="K983">
        <v>1</v>
      </c>
      <c r="L983">
        <v>1</v>
      </c>
      <c r="M983">
        <v>1</v>
      </c>
      <c r="N983">
        <v>0</v>
      </c>
      <c r="O983">
        <v>1</v>
      </c>
      <c r="P983">
        <v>0</v>
      </c>
      <c r="Q983">
        <v>0</v>
      </c>
      <c r="R983">
        <v>0</v>
      </c>
      <c r="S983">
        <v>0</v>
      </c>
      <c r="T983">
        <v>14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3</v>
      </c>
      <c r="AB983">
        <v>11</v>
      </c>
      <c r="AC983">
        <v>0</v>
      </c>
      <c r="AD983" t="str">
        <f t="shared" si="195"/>
        <v>Ok</v>
      </c>
      <c r="AE983" t="str">
        <f>IF(AND(Audit_Data[[#This Row],[Year_Birth]]&gt;=1900,Audit_Data[[#This Row],[Year_Birth]]&lt;=2010),"OK","Invalid")</f>
        <v>OK</v>
      </c>
      <c r="AF983" t="str">
        <f t="shared" si="196"/>
        <v>Valid</v>
      </c>
      <c r="AG983" t="str">
        <f t="shared" si="197"/>
        <v>Valid</v>
      </c>
      <c r="AH983" t="str">
        <f t="shared" si="198"/>
        <v>Valid</v>
      </c>
      <c r="AI983" t="str">
        <f t="shared" si="199"/>
        <v>Valid</v>
      </c>
      <c r="AJ983" t="str">
        <f t="shared" si="200"/>
        <v>Valid</v>
      </c>
      <c r="AK983" t="str">
        <f t="shared" si="207"/>
        <v xml:space="preserve">Valid </v>
      </c>
      <c r="AL983" t="str">
        <f>IF(AND(Audit_Data[[#This Row],[Recency]]&gt;=0,Audit_Data[[#This Row],[Recency]]&lt;=100),"Valid","Invalid")</f>
        <v>Valid</v>
      </c>
      <c r="AM983" t="str">
        <f t="shared" si="201"/>
        <v>Valid</v>
      </c>
      <c r="AN983" t="str">
        <f t="shared" si="202"/>
        <v>Valid</v>
      </c>
      <c r="AO983" t="str">
        <f t="shared" si="203"/>
        <v>Valid</v>
      </c>
      <c r="AP983" t="str">
        <f t="shared" si="204"/>
        <v>Valid</v>
      </c>
      <c r="AQ983" t="str">
        <f>IF(Audit_Data[[#This Row],[Z_CostContact]]=3,"Valid","Invalid")</f>
        <v>Valid</v>
      </c>
      <c r="AR983" t="str">
        <f t="shared" si="205"/>
        <v>Valid</v>
      </c>
      <c r="AS983" t="str">
        <f t="shared" si="206"/>
        <v>Valid</v>
      </c>
    </row>
    <row r="984" spans="1:45" x14ac:dyDescent="0.3">
      <c r="A984">
        <v>6634</v>
      </c>
      <c r="B984">
        <v>1979</v>
      </c>
      <c r="C984" t="s">
        <v>34</v>
      </c>
      <c r="D984" t="s">
        <v>35</v>
      </c>
      <c r="E984">
        <v>33462</v>
      </c>
      <c r="F984">
        <v>1</v>
      </c>
      <c r="G984">
        <v>0</v>
      </c>
      <c r="H984" s="1">
        <v>41493</v>
      </c>
      <c r="I984">
        <v>78</v>
      </c>
      <c r="J984">
        <v>22</v>
      </c>
      <c r="K984">
        <v>3</v>
      </c>
      <c r="L984">
        <v>18</v>
      </c>
      <c r="M984">
        <v>0</v>
      </c>
      <c r="N984">
        <v>0</v>
      </c>
      <c r="O984">
        <v>11</v>
      </c>
      <c r="P984">
        <v>1</v>
      </c>
      <c r="Q984">
        <v>2</v>
      </c>
      <c r="R984">
        <v>0</v>
      </c>
      <c r="S984">
        <v>3</v>
      </c>
      <c r="T984">
        <v>7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3</v>
      </c>
      <c r="AB984">
        <v>11</v>
      </c>
      <c r="AC984">
        <v>0</v>
      </c>
      <c r="AD984" t="str">
        <f t="shared" si="195"/>
        <v>Ok</v>
      </c>
      <c r="AE984" t="str">
        <f>IF(AND(Audit_Data[[#This Row],[Year_Birth]]&gt;=1900,Audit_Data[[#This Row],[Year_Birth]]&lt;=2010),"OK","Invalid")</f>
        <v>OK</v>
      </c>
      <c r="AF984" t="str">
        <f t="shared" si="196"/>
        <v>Valid</v>
      </c>
      <c r="AG984" t="str">
        <f t="shared" si="197"/>
        <v>Valid</v>
      </c>
      <c r="AH984" t="str">
        <f t="shared" si="198"/>
        <v>Valid</v>
      </c>
      <c r="AI984" t="str">
        <f t="shared" si="199"/>
        <v>Valid</v>
      </c>
      <c r="AJ984" t="str">
        <f t="shared" si="200"/>
        <v>Valid</v>
      </c>
      <c r="AK984" t="str">
        <f t="shared" si="207"/>
        <v xml:space="preserve">Valid </v>
      </c>
      <c r="AL984" t="str">
        <f>IF(AND(Audit_Data[[#This Row],[Recency]]&gt;=0,Audit_Data[[#This Row],[Recency]]&lt;=100),"Valid","Invalid")</f>
        <v>Valid</v>
      </c>
      <c r="AM984" t="str">
        <f t="shared" si="201"/>
        <v>Valid</v>
      </c>
      <c r="AN984" t="str">
        <f t="shared" si="202"/>
        <v>Valid</v>
      </c>
      <c r="AO984" t="str">
        <f t="shared" si="203"/>
        <v>Valid</v>
      </c>
      <c r="AP984" t="str">
        <f t="shared" si="204"/>
        <v>Valid</v>
      </c>
      <c r="AQ984" t="str">
        <f>IF(Audit_Data[[#This Row],[Z_CostContact]]=3,"Valid","Invalid")</f>
        <v>Valid</v>
      </c>
      <c r="AR984" t="str">
        <f t="shared" si="205"/>
        <v>Valid</v>
      </c>
      <c r="AS984" t="str">
        <f t="shared" si="206"/>
        <v>Valid</v>
      </c>
    </row>
    <row r="985" spans="1:45" x14ac:dyDescent="0.3">
      <c r="A985">
        <v>3056</v>
      </c>
      <c r="B985">
        <v>1978</v>
      </c>
      <c r="C985" t="s">
        <v>29</v>
      </c>
      <c r="D985" t="s">
        <v>35</v>
      </c>
      <c r="E985">
        <v>63693</v>
      </c>
      <c r="F985">
        <v>0</v>
      </c>
      <c r="G985">
        <v>1</v>
      </c>
      <c r="H985" s="1">
        <v>41561</v>
      </c>
      <c r="I985">
        <v>63</v>
      </c>
      <c r="J985">
        <v>587</v>
      </c>
      <c r="K985">
        <v>43</v>
      </c>
      <c r="L985">
        <v>337</v>
      </c>
      <c r="M985">
        <v>42</v>
      </c>
      <c r="N985">
        <v>87</v>
      </c>
      <c r="O985">
        <v>54</v>
      </c>
      <c r="P985">
        <v>3</v>
      </c>
      <c r="Q985">
        <v>11</v>
      </c>
      <c r="R985">
        <v>6</v>
      </c>
      <c r="S985">
        <v>9</v>
      </c>
      <c r="T985">
        <v>6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3</v>
      </c>
      <c r="AB985">
        <v>11</v>
      </c>
      <c r="AC985">
        <v>0</v>
      </c>
      <c r="AD985" t="str">
        <f t="shared" si="195"/>
        <v>Ok</v>
      </c>
      <c r="AE985" t="str">
        <f>IF(AND(Audit_Data[[#This Row],[Year_Birth]]&gt;=1900,Audit_Data[[#This Row],[Year_Birth]]&lt;=2010),"OK","Invalid")</f>
        <v>OK</v>
      </c>
      <c r="AF985" t="str">
        <f t="shared" si="196"/>
        <v>Valid</v>
      </c>
      <c r="AG985" t="str">
        <f t="shared" si="197"/>
        <v>Valid</v>
      </c>
      <c r="AH985" t="str">
        <f t="shared" si="198"/>
        <v>Valid</v>
      </c>
      <c r="AI985" t="str">
        <f t="shared" si="199"/>
        <v>Valid</v>
      </c>
      <c r="AJ985" t="str">
        <f t="shared" si="200"/>
        <v>Valid</v>
      </c>
      <c r="AK985" t="str">
        <f t="shared" si="207"/>
        <v xml:space="preserve">Valid </v>
      </c>
      <c r="AL985" t="str">
        <f>IF(AND(Audit_Data[[#This Row],[Recency]]&gt;=0,Audit_Data[[#This Row],[Recency]]&lt;=100),"Valid","Invalid")</f>
        <v>Valid</v>
      </c>
      <c r="AM985" t="str">
        <f t="shared" si="201"/>
        <v>Valid</v>
      </c>
      <c r="AN985" t="str">
        <f t="shared" si="202"/>
        <v>Valid</v>
      </c>
      <c r="AO985" t="str">
        <f t="shared" si="203"/>
        <v>Valid</v>
      </c>
      <c r="AP985" t="str">
        <f t="shared" si="204"/>
        <v>Valid</v>
      </c>
      <c r="AQ985" t="str">
        <f>IF(Audit_Data[[#This Row],[Z_CostContact]]=3,"Valid","Invalid")</f>
        <v>Valid</v>
      </c>
      <c r="AR985" t="str">
        <f t="shared" si="205"/>
        <v>Valid</v>
      </c>
      <c r="AS985" t="str">
        <f t="shared" si="206"/>
        <v>Valid</v>
      </c>
    </row>
    <row r="986" spans="1:45" x14ac:dyDescent="0.3">
      <c r="A986">
        <v>5718</v>
      </c>
      <c r="B986">
        <v>1950</v>
      </c>
      <c r="C986" t="s">
        <v>29</v>
      </c>
      <c r="D986" t="s">
        <v>33</v>
      </c>
      <c r="E986">
        <v>80763</v>
      </c>
      <c r="F986">
        <v>0</v>
      </c>
      <c r="G986">
        <v>0</v>
      </c>
      <c r="H986" s="1">
        <v>41501</v>
      </c>
      <c r="I986">
        <v>17</v>
      </c>
      <c r="J986">
        <v>674</v>
      </c>
      <c r="K986">
        <v>168</v>
      </c>
      <c r="L986">
        <v>108</v>
      </c>
      <c r="M986">
        <v>192</v>
      </c>
      <c r="N986">
        <v>42</v>
      </c>
      <c r="O986">
        <v>231</v>
      </c>
      <c r="P986">
        <v>1</v>
      </c>
      <c r="Q986">
        <v>5</v>
      </c>
      <c r="R986">
        <v>11</v>
      </c>
      <c r="S986">
        <v>6</v>
      </c>
      <c r="T986">
        <v>3</v>
      </c>
      <c r="U986">
        <v>0</v>
      </c>
      <c r="V986">
        <v>0</v>
      </c>
      <c r="W986">
        <v>1</v>
      </c>
      <c r="X986">
        <v>1</v>
      </c>
      <c r="Y986">
        <v>0</v>
      </c>
      <c r="Z986">
        <v>0</v>
      </c>
      <c r="AA986">
        <v>3</v>
      </c>
      <c r="AB986">
        <v>11</v>
      </c>
      <c r="AC986">
        <v>1</v>
      </c>
      <c r="AD986" t="str">
        <f t="shared" si="195"/>
        <v>Ok</v>
      </c>
      <c r="AE986" t="str">
        <f>IF(AND(Audit_Data[[#This Row],[Year_Birth]]&gt;=1900,Audit_Data[[#This Row],[Year_Birth]]&lt;=2010),"OK","Invalid")</f>
        <v>OK</v>
      </c>
      <c r="AF986" t="str">
        <f t="shared" si="196"/>
        <v>Valid</v>
      </c>
      <c r="AG986" t="str">
        <f t="shared" si="197"/>
        <v>Valid</v>
      </c>
      <c r="AH986" t="str">
        <f t="shared" si="198"/>
        <v>Valid</v>
      </c>
      <c r="AI986" t="str">
        <f t="shared" si="199"/>
        <v>Valid</v>
      </c>
      <c r="AJ986" t="str">
        <f t="shared" si="200"/>
        <v>Valid</v>
      </c>
      <c r="AK986" t="str">
        <f t="shared" si="207"/>
        <v xml:space="preserve">Valid </v>
      </c>
      <c r="AL986" t="str">
        <f>IF(AND(Audit_Data[[#This Row],[Recency]]&gt;=0,Audit_Data[[#This Row],[Recency]]&lt;=100),"Valid","Invalid")</f>
        <v>Valid</v>
      </c>
      <c r="AM986" t="str">
        <f t="shared" si="201"/>
        <v>Valid</v>
      </c>
      <c r="AN986" t="str">
        <f t="shared" si="202"/>
        <v>Valid</v>
      </c>
      <c r="AO986" t="str">
        <f t="shared" si="203"/>
        <v>Valid</v>
      </c>
      <c r="AP986" t="str">
        <f t="shared" si="204"/>
        <v>Valid</v>
      </c>
      <c r="AQ986" t="str">
        <f>IF(Audit_Data[[#This Row],[Z_CostContact]]=3,"Valid","Invalid")</f>
        <v>Valid</v>
      </c>
      <c r="AR986" t="str">
        <f t="shared" si="205"/>
        <v>Valid</v>
      </c>
      <c r="AS986" t="str">
        <f t="shared" si="206"/>
        <v>Valid</v>
      </c>
    </row>
    <row r="987" spans="1:45" x14ac:dyDescent="0.3">
      <c r="A987">
        <v>6872</v>
      </c>
      <c r="B987">
        <v>1974</v>
      </c>
      <c r="C987" t="s">
        <v>32</v>
      </c>
      <c r="D987" t="s">
        <v>33</v>
      </c>
      <c r="E987">
        <v>65352</v>
      </c>
      <c r="F987">
        <v>0</v>
      </c>
      <c r="G987">
        <v>1</v>
      </c>
      <c r="H987" s="1">
        <v>41507</v>
      </c>
      <c r="I987">
        <v>43</v>
      </c>
      <c r="J987">
        <v>284</v>
      </c>
      <c r="K987">
        <v>3</v>
      </c>
      <c r="L987">
        <v>84</v>
      </c>
      <c r="M987">
        <v>4</v>
      </c>
      <c r="N987">
        <v>7</v>
      </c>
      <c r="O987">
        <v>23</v>
      </c>
      <c r="P987">
        <v>2</v>
      </c>
      <c r="Q987">
        <v>4</v>
      </c>
      <c r="R987">
        <v>2</v>
      </c>
      <c r="S987">
        <v>8</v>
      </c>
      <c r="T987">
        <v>4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3</v>
      </c>
      <c r="AB987">
        <v>11</v>
      </c>
      <c r="AC987">
        <v>0</v>
      </c>
      <c r="AD987" t="str">
        <f t="shared" si="195"/>
        <v>Ok</v>
      </c>
      <c r="AE987" t="str">
        <f>IF(AND(Audit_Data[[#This Row],[Year_Birth]]&gt;=1900,Audit_Data[[#This Row],[Year_Birth]]&lt;=2010),"OK","Invalid")</f>
        <v>OK</v>
      </c>
      <c r="AF987" t="str">
        <f t="shared" si="196"/>
        <v>Valid</v>
      </c>
      <c r="AG987" t="str">
        <f t="shared" si="197"/>
        <v>Valid</v>
      </c>
      <c r="AH987" t="str">
        <f t="shared" si="198"/>
        <v>Valid</v>
      </c>
      <c r="AI987" t="str">
        <f t="shared" si="199"/>
        <v>Valid</v>
      </c>
      <c r="AJ987" t="str">
        <f t="shared" si="200"/>
        <v>Valid</v>
      </c>
      <c r="AK987" t="str">
        <f t="shared" si="207"/>
        <v xml:space="preserve">Valid </v>
      </c>
      <c r="AL987" t="str">
        <f>IF(AND(Audit_Data[[#This Row],[Recency]]&gt;=0,Audit_Data[[#This Row],[Recency]]&lt;=100),"Valid","Invalid")</f>
        <v>Valid</v>
      </c>
      <c r="AM987" t="str">
        <f t="shared" si="201"/>
        <v>Valid</v>
      </c>
      <c r="AN987" t="str">
        <f t="shared" si="202"/>
        <v>Valid</v>
      </c>
      <c r="AO987" t="str">
        <f t="shared" si="203"/>
        <v>Valid</v>
      </c>
      <c r="AP987" t="str">
        <f t="shared" si="204"/>
        <v>Valid</v>
      </c>
      <c r="AQ987" t="str">
        <f>IF(Audit_Data[[#This Row],[Z_CostContact]]=3,"Valid","Invalid")</f>
        <v>Valid</v>
      </c>
      <c r="AR987" t="str">
        <f t="shared" si="205"/>
        <v>Valid</v>
      </c>
      <c r="AS987" t="str">
        <f t="shared" si="206"/>
        <v>Valid</v>
      </c>
    </row>
    <row r="988" spans="1:45" x14ac:dyDescent="0.3">
      <c r="A988">
        <v>8164</v>
      </c>
      <c r="B988">
        <v>1978</v>
      </c>
      <c r="C988" t="s">
        <v>32</v>
      </c>
      <c r="D988" t="s">
        <v>33</v>
      </c>
      <c r="E988">
        <v>82170</v>
      </c>
      <c r="F988">
        <v>0</v>
      </c>
      <c r="G988">
        <v>0</v>
      </c>
      <c r="H988" s="1">
        <v>41603</v>
      </c>
      <c r="I988">
        <v>13</v>
      </c>
      <c r="J988">
        <v>1023</v>
      </c>
      <c r="K988">
        <v>93</v>
      </c>
      <c r="L988">
        <v>651</v>
      </c>
      <c r="M988">
        <v>49</v>
      </c>
      <c r="N988">
        <v>55</v>
      </c>
      <c r="O988">
        <v>37</v>
      </c>
      <c r="P988">
        <v>1</v>
      </c>
      <c r="Q988">
        <v>5</v>
      </c>
      <c r="R988">
        <v>6</v>
      </c>
      <c r="S988">
        <v>7</v>
      </c>
      <c r="T988">
        <v>2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3</v>
      </c>
      <c r="AB988">
        <v>11</v>
      </c>
      <c r="AC988">
        <v>0</v>
      </c>
      <c r="AD988" t="str">
        <f t="shared" si="195"/>
        <v>Ok</v>
      </c>
      <c r="AE988" t="str">
        <f>IF(AND(Audit_Data[[#This Row],[Year_Birth]]&gt;=1900,Audit_Data[[#This Row],[Year_Birth]]&lt;=2010),"OK","Invalid")</f>
        <v>OK</v>
      </c>
      <c r="AF988" t="str">
        <f t="shared" si="196"/>
        <v>Valid</v>
      </c>
      <c r="AG988" t="str">
        <f t="shared" si="197"/>
        <v>Valid</v>
      </c>
      <c r="AH988" t="str">
        <f t="shared" si="198"/>
        <v>Valid</v>
      </c>
      <c r="AI988" t="str">
        <f t="shared" si="199"/>
        <v>Valid</v>
      </c>
      <c r="AJ988" t="str">
        <f t="shared" si="200"/>
        <v>Valid</v>
      </c>
      <c r="AK988" t="str">
        <f t="shared" si="207"/>
        <v xml:space="preserve">Valid </v>
      </c>
      <c r="AL988" t="str">
        <f>IF(AND(Audit_Data[[#This Row],[Recency]]&gt;=0,Audit_Data[[#This Row],[Recency]]&lt;=100),"Valid","Invalid")</f>
        <v>Valid</v>
      </c>
      <c r="AM988" t="str">
        <f t="shared" si="201"/>
        <v>Valid</v>
      </c>
      <c r="AN988" t="str">
        <f t="shared" si="202"/>
        <v>Valid</v>
      </c>
      <c r="AO988" t="str">
        <f t="shared" si="203"/>
        <v>Valid</v>
      </c>
      <c r="AP988" t="str">
        <f t="shared" si="204"/>
        <v>Valid</v>
      </c>
      <c r="AQ988" t="str">
        <f>IF(Audit_Data[[#This Row],[Z_CostContact]]=3,"Valid","Invalid")</f>
        <v>Valid</v>
      </c>
      <c r="AR988" t="str">
        <f t="shared" si="205"/>
        <v>Valid</v>
      </c>
      <c r="AS988" t="str">
        <f t="shared" si="206"/>
        <v>Valid</v>
      </c>
    </row>
    <row r="989" spans="1:45" x14ac:dyDescent="0.3">
      <c r="A989">
        <v>4580</v>
      </c>
      <c r="B989">
        <v>1969</v>
      </c>
      <c r="C989" t="s">
        <v>29</v>
      </c>
      <c r="D989" t="s">
        <v>33</v>
      </c>
      <c r="E989">
        <v>75759</v>
      </c>
      <c r="F989">
        <v>0</v>
      </c>
      <c r="G989">
        <v>0</v>
      </c>
      <c r="H989" s="1">
        <v>41572</v>
      </c>
      <c r="I989">
        <v>46</v>
      </c>
      <c r="J989">
        <v>1394</v>
      </c>
      <c r="K989">
        <v>22</v>
      </c>
      <c r="L989">
        <v>708</v>
      </c>
      <c r="M989">
        <v>89</v>
      </c>
      <c r="N989">
        <v>91</v>
      </c>
      <c r="O989">
        <v>182</v>
      </c>
      <c r="P989">
        <v>1</v>
      </c>
      <c r="Q989">
        <v>9</v>
      </c>
      <c r="R989">
        <v>7</v>
      </c>
      <c r="S989">
        <v>9</v>
      </c>
      <c r="T989">
        <v>5</v>
      </c>
      <c r="U989">
        <v>1</v>
      </c>
      <c r="V989">
        <v>0</v>
      </c>
      <c r="W989">
        <v>1</v>
      </c>
      <c r="X989">
        <v>1</v>
      </c>
      <c r="Y989">
        <v>0</v>
      </c>
      <c r="Z989">
        <v>0</v>
      </c>
      <c r="AA989">
        <v>3</v>
      </c>
      <c r="AB989">
        <v>11</v>
      </c>
      <c r="AC989">
        <v>1</v>
      </c>
      <c r="AD989" t="str">
        <f t="shared" si="195"/>
        <v>Ok</v>
      </c>
      <c r="AE989" t="str">
        <f>IF(AND(Audit_Data[[#This Row],[Year_Birth]]&gt;=1900,Audit_Data[[#This Row],[Year_Birth]]&lt;=2010),"OK","Invalid")</f>
        <v>OK</v>
      </c>
      <c r="AF989" t="str">
        <f t="shared" si="196"/>
        <v>Valid</v>
      </c>
      <c r="AG989" t="str">
        <f t="shared" si="197"/>
        <v>Valid</v>
      </c>
      <c r="AH989" t="str">
        <f t="shared" si="198"/>
        <v>Valid</v>
      </c>
      <c r="AI989" t="str">
        <f t="shared" si="199"/>
        <v>Valid</v>
      </c>
      <c r="AJ989" t="str">
        <f t="shared" si="200"/>
        <v>Valid</v>
      </c>
      <c r="AK989" t="str">
        <f t="shared" si="207"/>
        <v xml:space="preserve">Valid </v>
      </c>
      <c r="AL989" t="str">
        <f>IF(AND(Audit_Data[[#This Row],[Recency]]&gt;=0,Audit_Data[[#This Row],[Recency]]&lt;=100),"Valid","Invalid")</f>
        <v>Valid</v>
      </c>
      <c r="AM989" t="str">
        <f t="shared" si="201"/>
        <v>Valid</v>
      </c>
      <c r="AN989" t="str">
        <f t="shared" si="202"/>
        <v>Valid</v>
      </c>
      <c r="AO989" t="str">
        <f t="shared" si="203"/>
        <v>Valid</v>
      </c>
      <c r="AP989" t="str">
        <f t="shared" si="204"/>
        <v>Valid</v>
      </c>
      <c r="AQ989" t="str">
        <f>IF(Audit_Data[[#This Row],[Z_CostContact]]=3,"Valid","Invalid")</f>
        <v>Valid</v>
      </c>
      <c r="AR989" t="str">
        <f t="shared" si="205"/>
        <v>Valid</v>
      </c>
      <c r="AS989" t="str">
        <f t="shared" si="206"/>
        <v>Valid</v>
      </c>
    </row>
    <row r="990" spans="1:45" x14ac:dyDescent="0.3">
      <c r="A990">
        <v>9305</v>
      </c>
      <c r="B990">
        <v>1976</v>
      </c>
      <c r="C990" t="s">
        <v>37</v>
      </c>
      <c r="D990" t="s">
        <v>30</v>
      </c>
      <c r="E990">
        <v>79689</v>
      </c>
      <c r="F990">
        <v>0</v>
      </c>
      <c r="G990">
        <v>0</v>
      </c>
      <c r="H990" s="1">
        <v>41406</v>
      </c>
      <c r="I990">
        <v>65</v>
      </c>
      <c r="J990">
        <v>311</v>
      </c>
      <c r="K990">
        <v>26</v>
      </c>
      <c r="L990">
        <v>640</v>
      </c>
      <c r="M990">
        <v>180</v>
      </c>
      <c r="N990">
        <v>37</v>
      </c>
      <c r="O990">
        <v>121</v>
      </c>
      <c r="P990">
        <v>1</v>
      </c>
      <c r="Q990">
        <v>4</v>
      </c>
      <c r="R990">
        <v>9</v>
      </c>
      <c r="S990">
        <v>13</v>
      </c>
      <c r="T990">
        <v>2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3</v>
      </c>
      <c r="AB990">
        <v>11</v>
      </c>
      <c r="AC990">
        <v>0</v>
      </c>
      <c r="AD990" t="str">
        <f t="shared" si="195"/>
        <v>Ok</v>
      </c>
      <c r="AE990" t="str">
        <f>IF(AND(Audit_Data[[#This Row],[Year_Birth]]&gt;=1900,Audit_Data[[#This Row],[Year_Birth]]&lt;=2010),"OK","Invalid")</f>
        <v>OK</v>
      </c>
      <c r="AF990" t="str">
        <f t="shared" si="196"/>
        <v>Valid</v>
      </c>
      <c r="AG990" t="str">
        <f t="shared" si="197"/>
        <v>Valid</v>
      </c>
      <c r="AH990" t="str">
        <f t="shared" si="198"/>
        <v>Valid</v>
      </c>
      <c r="AI990" t="str">
        <f t="shared" si="199"/>
        <v>Valid</v>
      </c>
      <c r="AJ990" t="str">
        <f t="shared" si="200"/>
        <v>Valid</v>
      </c>
      <c r="AK990" t="str">
        <f t="shared" si="207"/>
        <v xml:space="preserve">Valid </v>
      </c>
      <c r="AL990" t="str">
        <f>IF(AND(Audit_Data[[#This Row],[Recency]]&gt;=0,Audit_Data[[#This Row],[Recency]]&lt;=100),"Valid","Invalid")</f>
        <v>Valid</v>
      </c>
      <c r="AM990" t="str">
        <f t="shared" si="201"/>
        <v>Valid</v>
      </c>
      <c r="AN990" t="str">
        <f t="shared" si="202"/>
        <v>Valid</v>
      </c>
      <c r="AO990" t="str">
        <f t="shared" si="203"/>
        <v>Valid</v>
      </c>
      <c r="AP990" t="str">
        <f t="shared" si="204"/>
        <v>Valid</v>
      </c>
      <c r="AQ990" t="str">
        <f>IF(Audit_Data[[#This Row],[Z_CostContact]]=3,"Valid","Invalid")</f>
        <v>Valid</v>
      </c>
      <c r="AR990" t="str">
        <f t="shared" si="205"/>
        <v>Valid</v>
      </c>
      <c r="AS990" t="str">
        <f t="shared" si="206"/>
        <v>Valid</v>
      </c>
    </row>
    <row r="991" spans="1:45" x14ac:dyDescent="0.3">
      <c r="A991">
        <v>453</v>
      </c>
      <c r="B991">
        <v>1956</v>
      </c>
      <c r="C991" t="s">
        <v>32</v>
      </c>
      <c r="D991" t="s">
        <v>38</v>
      </c>
      <c r="E991">
        <v>35340</v>
      </c>
      <c r="F991">
        <v>1</v>
      </c>
      <c r="G991">
        <v>1</v>
      </c>
      <c r="H991" s="1">
        <v>41819</v>
      </c>
      <c r="I991">
        <v>1</v>
      </c>
      <c r="J991">
        <v>27</v>
      </c>
      <c r="K991">
        <v>0</v>
      </c>
      <c r="L991">
        <v>12</v>
      </c>
      <c r="M991">
        <v>0</v>
      </c>
      <c r="N991">
        <v>1</v>
      </c>
      <c r="O991">
        <v>5</v>
      </c>
      <c r="P991">
        <v>2</v>
      </c>
      <c r="Q991">
        <v>2</v>
      </c>
      <c r="R991">
        <v>0</v>
      </c>
      <c r="S991">
        <v>3</v>
      </c>
      <c r="T991">
        <v>5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3</v>
      </c>
      <c r="AB991">
        <v>11</v>
      </c>
      <c r="AC991">
        <v>0</v>
      </c>
      <c r="AD991" t="str">
        <f t="shared" si="195"/>
        <v>Ok</v>
      </c>
      <c r="AE991" t="str">
        <f>IF(AND(Audit_Data[[#This Row],[Year_Birth]]&gt;=1900,Audit_Data[[#This Row],[Year_Birth]]&lt;=2010),"OK","Invalid")</f>
        <v>OK</v>
      </c>
      <c r="AF991" t="str">
        <f t="shared" si="196"/>
        <v>Valid</v>
      </c>
      <c r="AG991" t="str">
        <f t="shared" si="197"/>
        <v>Valid</v>
      </c>
      <c r="AH991" t="str">
        <f t="shared" si="198"/>
        <v>Valid</v>
      </c>
      <c r="AI991" t="str">
        <f t="shared" si="199"/>
        <v>Valid</v>
      </c>
      <c r="AJ991" t="str">
        <f t="shared" si="200"/>
        <v>Valid</v>
      </c>
      <c r="AK991" t="str">
        <f t="shared" si="207"/>
        <v xml:space="preserve">Valid </v>
      </c>
      <c r="AL991" t="str">
        <f>IF(AND(Audit_Data[[#This Row],[Recency]]&gt;=0,Audit_Data[[#This Row],[Recency]]&lt;=100),"Valid","Invalid")</f>
        <v>Valid</v>
      </c>
      <c r="AM991" t="str">
        <f t="shared" si="201"/>
        <v>Valid</v>
      </c>
      <c r="AN991" t="str">
        <f t="shared" si="202"/>
        <v>Valid</v>
      </c>
      <c r="AO991" t="str">
        <f t="shared" si="203"/>
        <v>Valid</v>
      </c>
      <c r="AP991" t="str">
        <f t="shared" si="204"/>
        <v>Valid</v>
      </c>
      <c r="AQ991" t="str">
        <f>IF(Audit_Data[[#This Row],[Z_CostContact]]=3,"Valid","Invalid")</f>
        <v>Valid</v>
      </c>
      <c r="AR991" t="str">
        <f t="shared" si="205"/>
        <v>Valid</v>
      </c>
      <c r="AS991" t="str">
        <f t="shared" si="206"/>
        <v>Valid</v>
      </c>
    </row>
    <row r="992" spans="1:45" x14ac:dyDescent="0.3">
      <c r="A992">
        <v>8545</v>
      </c>
      <c r="B992">
        <v>1954</v>
      </c>
      <c r="C992" t="s">
        <v>29</v>
      </c>
      <c r="D992" t="s">
        <v>35</v>
      </c>
      <c r="E992">
        <v>85683</v>
      </c>
      <c r="F992">
        <v>0</v>
      </c>
      <c r="G992">
        <v>0</v>
      </c>
      <c r="H992" s="1">
        <v>41719</v>
      </c>
      <c r="I992">
        <v>6</v>
      </c>
      <c r="J992">
        <v>1296</v>
      </c>
      <c r="K992">
        <v>17</v>
      </c>
      <c r="L992">
        <v>311</v>
      </c>
      <c r="M992">
        <v>45</v>
      </c>
      <c r="N992">
        <v>69</v>
      </c>
      <c r="O992">
        <v>51</v>
      </c>
      <c r="P992">
        <v>1</v>
      </c>
      <c r="Q992">
        <v>2</v>
      </c>
      <c r="R992">
        <v>4</v>
      </c>
      <c r="S992">
        <v>10</v>
      </c>
      <c r="T992">
        <v>1</v>
      </c>
      <c r="U992">
        <v>0</v>
      </c>
      <c r="V992">
        <v>1</v>
      </c>
      <c r="W992">
        <v>1</v>
      </c>
      <c r="X992">
        <v>1</v>
      </c>
      <c r="Y992">
        <v>1</v>
      </c>
      <c r="Z992">
        <v>0</v>
      </c>
      <c r="AA992">
        <v>3</v>
      </c>
      <c r="AB992">
        <v>11</v>
      </c>
      <c r="AC992">
        <v>1</v>
      </c>
      <c r="AD992" t="str">
        <f t="shared" si="195"/>
        <v>Ok</v>
      </c>
      <c r="AE992" t="str">
        <f>IF(AND(Audit_Data[[#This Row],[Year_Birth]]&gt;=1900,Audit_Data[[#This Row],[Year_Birth]]&lt;=2010),"OK","Invalid")</f>
        <v>OK</v>
      </c>
      <c r="AF992" t="str">
        <f t="shared" si="196"/>
        <v>Valid</v>
      </c>
      <c r="AG992" t="str">
        <f t="shared" si="197"/>
        <v>Valid</v>
      </c>
      <c r="AH992" t="str">
        <f t="shared" si="198"/>
        <v>Valid</v>
      </c>
      <c r="AI992" t="str">
        <f t="shared" si="199"/>
        <v>Valid</v>
      </c>
      <c r="AJ992" t="str">
        <f t="shared" si="200"/>
        <v>Valid</v>
      </c>
      <c r="AK992" t="str">
        <f t="shared" si="207"/>
        <v xml:space="preserve">Valid </v>
      </c>
      <c r="AL992" t="str">
        <f>IF(AND(Audit_Data[[#This Row],[Recency]]&gt;=0,Audit_Data[[#This Row],[Recency]]&lt;=100),"Valid","Invalid")</f>
        <v>Valid</v>
      </c>
      <c r="AM992" t="str">
        <f t="shared" si="201"/>
        <v>Valid</v>
      </c>
      <c r="AN992" t="str">
        <f t="shared" si="202"/>
        <v>Valid</v>
      </c>
      <c r="AO992" t="str">
        <f t="shared" si="203"/>
        <v>Valid</v>
      </c>
      <c r="AP992" t="str">
        <f t="shared" si="204"/>
        <v>Valid</v>
      </c>
      <c r="AQ992" t="str">
        <f>IF(Audit_Data[[#This Row],[Z_CostContact]]=3,"Valid","Invalid")</f>
        <v>Valid</v>
      </c>
      <c r="AR992" t="str">
        <f t="shared" si="205"/>
        <v>Valid</v>
      </c>
      <c r="AS992" t="str">
        <f t="shared" si="206"/>
        <v>Valid</v>
      </c>
    </row>
    <row r="993" spans="1:45" x14ac:dyDescent="0.3">
      <c r="A993">
        <v>9850</v>
      </c>
      <c r="B993">
        <v>1972</v>
      </c>
      <c r="C993" t="s">
        <v>37</v>
      </c>
      <c r="D993" t="s">
        <v>33</v>
      </c>
      <c r="E993">
        <v>24884</v>
      </c>
      <c r="F993">
        <v>1</v>
      </c>
      <c r="G993">
        <v>0</v>
      </c>
      <c r="H993" s="1">
        <v>41242</v>
      </c>
      <c r="I993">
        <v>32</v>
      </c>
      <c r="J993">
        <v>3</v>
      </c>
      <c r="K993">
        <v>6</v>
      </c>
      <c r="L993">
        <v>7</v>
      </c>
      <c r="M993">
        <v>0</v>
      </c>
      <c r="N993">
        <v>0</v>
      </c>
      <c r="O993">
        <v>3</v>
      </c>
      <c r="P993">
        <v>1</v>
      </c>
      <c r="Q993">
        <v>0</v>
      </c>
      <c r="R993">
        <v>0</v>
      </c>
      <c r="S993">
        <v>3</v>
      </c>
      <c r="T993">
        <v>7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3</v>
      </c>
      <c r="AB993">
        <v>11</v>
      </c>
      <c r="AC993">
        <v>0</v>
      </c>
      <c r="AD993" t="str">
        <f t="shared" si="195"/>
        <v>Ok</v>
      </c>
      <c r="AE993" t="str">
        <f>IF(AND(Audit_Data[[#This Row],[Year_Birth]]&gt;=1900,Audit_Data[[#This Row],[Year_Birth]]&lt;=2010),"OK","Invalid")</f>
        <v>OK</v>
      </c>
      <c r="AF993" t="str">
        <f t="shared" si="196"/>
        <v>Valid</v>
      </c>
      <c r="AG993" t="str">
        <f t="shared" si="197"/>
        <v>Valid</v>
      </c>
      <c r="AH993" t="str">
        <f t="shared" si="198"/>
        <v>Valid</v>
      </c>
      <c r="AI993" t="str">
        <f t="shared" si="199"/>
        <v>Valid</v>
      </c>
      <c r="AJ993" t="str">
        <f t="shared" si="200"/>
        <v>Valid</v>
      </c>
      <c r="AK993" t="str">
        <f t="shared" si="207"/>
        <v xml:space="preserve">Valid </v>
      </c>
      <c r="AL993" t="str">
        <f>IF(AND(Audit_Data[[#This Row],[Recency]]&gt;=0,Audit_Data[[#This Row],[Recency]]&lt;=100),"Valid","Invalid")</f>
        <v>Valid</v>
      </c>
      <c r="AM993" t="str">
        <f t="shared" si="201"/>
        <v>Valid</v>
      </c>
      <c r="AN993" t="str">
        <f t="shared" si="202"/>
        <v>Valid</v>
      </c>
      <c r="AO993" t="str">
        <f t="shared" si="203"/>
        <v>Valid</v>
      </c>
      <c r="AP993" t="str">
        <f t="shared" si="204"/>
        <v>Valid</v>
      </c>
      <c r="AQ993" t="str">
        <f>IF(Audit_Data[[#This Row],[Z_CostContact]]=3,"Valid","Invalid")</f>
        <v>Valid</v>
      </c>
      <c r="AR993" t="str">
        <f t="shared" si="205"/>
        <v>Valid</v>
      </c>
      <c r="AS993" t="str">
        <f t="shared" si="206"/>
        <v>Valid</v>
      </c>
    </row>
    <row r="994" spans="1:45" x14ac:dyDescent="0.3">
      <c r="A994">
        <v>7378</v>
      </c>
      <c r="B994">
        <v>1981</v>
      </c>
      <c r="C994" t="s">
        <v>34</v>
      </c>
      <c r="D994" t="s">
        <v>31</v>
      </c>
      <c r="E994">
        <v>42021</v>
      </c>
      <c r="F994">
        <v>1</v>
      </c>
      <c r="G994">
        <v>0</v>
      </c>
      <c r="H994" s="1">
        <v>41152</v>
      </c>
      <c r="I994">
        <v>34</v>
      </c>
      <c r="J994">
        <v>393</v>
      </c>
      <c r="K994">
        <v>5</v>
      </c>
      <c r="L994">
        <v>136</v>
      </c>
      <c r="M994">
        <v>7</v>
      </c>
      <c r="N994">
        <v>5</v>
      </c>
      <c r="O994">
        <v>27</v>
      </c>
      <c r="P994">
        <v>5</v>
      </c>
      <c r="Q994">
        <v>10</v>
      </c>
      <c r="R994">
        <v>1</v>
      </c>
      <c r="S994">
        <v>6</v>
      </c>
      <c r="T994">
        <v>9</v>
      </c>
      <c r="U994">
        <v>1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3</v>
      </c>
      <c r="AB994">
        <v>11</v>
      </c>
      <c r="AC994">
        <v>0</v>
      </c>
      <c r="AD994" t="str">
        <f t="shared" si="195"/>
        <v>Ok</v>
      </c>
      <c r="AE994" t="str">
        <f>IF(AND(Audit_Data[[#This Row],[Year_Birth]]&gt;=1900,Audit_Data[[#This Row],[Year_Birth]]&lt;=2010),"OK","Invalid")</f>
        <v>OK</v>
      </c>
      <c r="AF994" t="str">
        <f t="shared" si="196"/>
        <v>Valid</v>
      </c>
      <c r="AG994" t="str">
        <f t="shared" si="197"/>
        <v>Valid</v>
      </c>
      <c r="AH994" t="str">
        <f t="shared" si="198"/>
        <v>Valid</v>
      </c>
      <c r="AI994" t="str">
        <f t="shared" si="199"/>
        <v>Valid</v>
      </c>
      <c r="AJ994" t="str">
        <f t="shared" si="200"/>
        <v>Valid</v>
      </c>
      <c r="AK994" t="str">
        <f t="shared" si="207"/>
        <v xml:space="preserve">Valid </v>
      </c>
      <c r="AL994" t="str">
        <f>IF(AND(Audit_Data[[#This Row],[Recency]]&gt;=0,Audit_Data[[#This Row],[Recency]]&lt;=100),"Valid","Invalid")</f>
        <v>Valid</v>
      </c>
      <c r="AM994" t="str">
        <f t="shared" si="201"/>
        <v>Valid</v>
      </c>
      <c r="AN994" t="str">
        <f t="shared" si="202"/>
        <v>Valid</v>
      </c>
      <c r="AO994" t="str">
        <f t="shared" si="203"/>
        <v>Valid</v>
      </c>
      <c r="AP994" t="str">
        <f t="shared" si="204"/>
        <v>Valid</v>
      </c>
      <c r="AQ994" t="str">
        <f>IF(Audit_Data[[#This Row],[Z_CostContact]]=3,"Valid","Invalid")</f>
        <v>Valid</v>
      </c>
      <c r="AR994" t="str">
        <f t="shared" si="205"/>
        <v>Valid</v>
      </c>
      <c r="AS994" t="str">
        <f t="shared" si="206"/>
        <v>Valid</v>
      </c>
    </row>
    <row r="995" spans="1:45" x14ac:dyDescent="0.3">
      <c r="A995">
        <v>7646</v>
      </c>
      <c r="B995">
        <v>1989</v>
      </c>
      <c r="C995" t="s">
        <v>29</v>
      </c>
      <c r="D995" t="s">
        <v>30</v>
      </c>
      <c r="E995">
        <v>64449</v>
      </c>
      <c r="F995">
        <v>1</v>
      </c>
      <c r="G995">
        <v>0</v>
      </c>
      <c r="H995" s="1">
        <v>41688</v>
      </c>
      <c r="I995">
        <v>70</v>
      </c>
      <c r="J995">
        <v>218</v>
      </c>
      <c r="K995">
        <v>63</v>
      </c>
      <c r="L995">
        <v>282</v>
      </c>
      <c r="M995">
        <v>137</v>
      </c>
      <c r="N995">
        <v>35</v>
      </c>
      <c r="O995">
        <v>70</v>
      </c>
      <c r="P995">
        <v>4</v>
      </c>
      <c r="Q995">
        <v>5</v>
      </c>
      <c r="R995">
        <v>3</v>
      </c>
      <c r="S995">
        <v>12</v>
      </c>
      <c r="T995">
        <v>4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3</v>
      </c>
      <c r="AB995">
        <v>11</v>
      </c>
      <c r="AC995">
        <v>0</v>
      </c>
      <c r="AD995" t="str">
        <f t="shared" si="195"/>
        <v>Ok</v>
      </c>
      <c r="AE995" t="str">
        <f>IF(AND(Audit_Data[[#This Row],[Year_Birth]]&gt;=1900,Audit_Data[[#This Row],[Year_Birth]]&lt;=2010),"OK","Invalid")</f>
        <v>OK</v>
      </c>
      <c r="AF995" t="str">
        <f t="shared" si="196"/>
        <v>Valid</v>
      </c>
      <c r="AG995" t="str">
        <f t="shared" si="197"/>
        <v>Valid</v>
      </c>
      <c r="AH995" t="str">
        <f t="shared" si="198"/>
        <v>Valid</v>
      </c>
      <c r="AI995" t="str">
        <f t="shared" si="199"/>
        <v>Valid</v>
      </c>
      <c r="AJ995" t="str">
        <f t="shared" si="200"/>
        <v>Valid</v>
      </c>
      <c r="AK995" t="str">
        <f t="shared" si="207"/>
        <v xml:space="preserve">Valid </v>
      </c>
      <c r="AL995" t="str">
        <f>IF(AND(Audit_Data[[#This Row],[Recency]]&gt;=0,Audit_Data[[#This Row],[Recency]]&lt;=100),"Valid","Invalid")</f>
        <v>Valid</v>
      </c>
      <c r="AM995" t="str">
        <f t="shared" si="201"/>
        <v>Valid</v>
      </c>
      <c r="AN995" t="str">
        <f t="shared" si="202"/>
        <v>Valid</v>
      </c>
      <c r="AO995" t="str">
        <f t="shared" si="203"/>
        <v>Valid</v>
      </c>
      <c r="AP995" t="str">
        <f t="shared" si="204"/>
        <v>Valid</v>
      </c>
      <c r="AQ995" t="str">
        <f>IF(Audit_Data[[#This Row],[Z_CostContact]]=3,"Valid","Invalid")</f>
        <v>Valid</v>
      </c>
      <c r="AR995" t="str">
        <f t="shared" si="205"/>
        <v>Valid</v>
      </c>
      <c r="AS995" t="str">
        <f t="shared" si="206"/>
        <v>Valid</v>
      </c>
    </row>
    <row r="996" spans="1:45" x14ac:dyDescent="0.3">
      <c r="A996">
        <v>1640</v>
      </c>
      <c r="B996">
        <v>1954</v>
      </c>
      <c r="C996" t="s">
        <v>29</v>
      </c>
      <c r="D996" t="s">
        <v>35</v>
      </c>
      <c r="E996">
        <v>64587</v>
      </c>
      <c r="F996">
        <v>1</v>
      </c>
      <c r="G996">
        <v>1</v>
      </c>
      <c r="H996" s="1">
        <v>41812</v>
      </c>
      <c r="I996">
        <v>49</v>
      </c>
      <c r="J996">
        <v>66</v>
      </c>
      <c r="K996">
        <v>0</v>
      </c>
      <c r="L996">
        <v>16</v>
      </c>
      <c r="M996">
        <v>0</v>
      </c>
      <c r="N996">
        <v>6</v>
      </c>
      <c r="O996">
        <v>20</v>
      </c>
      <c r="P996">
        <v>2</v>
      </c>
      <c r="Q996">
        <v>1</v>
      </c>
      <c r="R996">
        <v>1</v>
      </c>
      <c r="S996">
        <v>4</v>
      </c>
      <c r="T996">
        <v>3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3</v>
      </c>
      <c r="AB996">
        <v>11</v>
      </c>
      <c r="AC996">
        <v>0</v>
      </c>
      <c r="AD996" t="str">
        <f t="shared" si="195"/>
        <v>Ok</v>
      </c>
      <c r="AE996" t="str">
        <f>IF(AND(Audit_Data[[#This Row],[Year_Birth]]&gt;=1900,Audit_Data[[#This Row],[Year_Birth]]&lt;=2010),"OK","Invalid")</f>
        <v>OK</v>
      </c>
      <c r="AF996" t="str">
        <f t="shared" si="196"/>
        <v>Valid</v>
      </c>
      <c r="AG996" t="str">
        <f t="shared" si="197"/>
        <v>Valid</v>
      </c>
      <c r="AH996" t="str">
        <f t="shared" si="198"/>
        <v>Valid</v>
      </c>
      <c r="AI996" t="str">
        <f t="shared" si="199"/>
        <v>Valid</v>
      </c>
      <c r="AJ996" t="str">
        <f t="shared" si="200"/>
        <v>Valid</v>
      </c>
      <c r="AK996" t="str">
        <f t="shared" si="207"/>
        <v xml:space="preserve">Valid </v>
      </c>
      <c r="AL996" t="str">
        <f>IF(AND(Audit_Data[[#This Row],[Recency]]&gt;=0,Audit_Data[[#This Row],[Recency]]&lt;=100),"Valid","Invalid")</f>
        <v>Valid</v>
      </c>
      <c r="AM996" t="str">
        <f t="shared" si="201"/>
        <v>Valid</v>
      </c>
      <c r="AN996" t="str">
        <f t="shared" si="202"/>
        <v>Valid</v>
      </c>
      <c r="AO996" t="str">
        <f t="shared" si="203"/>
        <v>Valid</v>
      </c>
      <c r="AP996" t="str">
        <f t="shared" si="204"/>
        <v>Valid</v>
      </c>
      <c r="AQ996" t="str">
        <f>IF(Audit_Data[[#This Row],[Z_CostContact]]=3,"Valid","Invalid")</f>
        <v>Valid</v>
      </c>
      <c r="AR996" t="str">
        <f t="shared" si="205"/>
        <v>Valid</v>
      </c>
      <c r="AS996" t="str">
        <f t="shared" si="206"/>
        <v>Valid</v>
      </c>
    </row>
    <row r="997" spans="1:45" x14ac:dyDescent="0.3">
      <c r="A997">
        <v>5184</v>
      </c>
      <c r="B997">
        <v>1995</v>
      </c>
      <c r="C997" t="s">
        <v>29</v>
      </c>
      <c r="D997" t="s">
        <v>30</v>
      </c>
      <c r="E997">
        <v>34824</v>
      </c>
      <c r="F997">
        <v>0</v>
      </c>
      <c r="G997">
        <v>0</v>
      </c>
      <c r="H997" s="1">
        <v>41724</v>
      </c>
      <c r="I997">
        <v>65</v>
      </c>
      <c r="J997">
        <v>4</v>
      </c>
      <c r="K997">
        <v>2</v>
      </c>
      <c r="L997">
        <v>11</v>
      </c>
      <c r="M997">
        <v>2</v>
      </c>
      <c r="N997">
        <v>0</v>
      </c>
      <c r="O997">
        <v>4</v>
      </c>
      <c r="P997">
        <v>1</v>
      </c>
      <c r="Q997">
        <v>1</v>
      </c>
      <c r="R997">
        <v>0</v>
      </c>
      <c r="S997">
        <v>2</v>
      </c>
      <c r="T997">
        <v>6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3</v>
      </c>
      <c r="AB997">
        <v>11</v>
      </c>
      <c r="AC997">
        <v>0</v>
      </c>
      <c r="AD997" t="str">
        <f t="shared" si="195"/>
        <v>Ok</v>
      </c>
      <c r="AE997" t="str">
        <f>IF(AND(Audit_Data[[#This Row],[Year_Birth]]&gt;=1900,Audit_Data[[#This Row],[Year_Birth]]&lt;=2010),"OK","Invalid")</f>
        <v>OK</v>
      </c>
      <c r="AF997" t="str">
        <f t="shared" si="196"/>
        <v>Valid</v>
      </c>
      <c r="AG997" t="str">
        <f t="shared" si="197"/>
        <v>Valid</v>
      </c>
      <c r="AH997" t="str">
        <f t="shared" si="198"/>
        <v>Valid</v>
      </c>
      <c r="AI997" t="str">
        <f t="shared" si="199"/>
        <v>Valid</v>
      </c>
      <c r="AJ997" t="str">
        <f t="shared" si="200"/>
        <v>Valid</v>
      </c>
      <c r="AK997" t="str">
        <f t="shared" si="207"/>
        <v xml:space="preserve">Valid </v>
      </c>
      <c r="AL997" t="str">
        <f>IF(AND(Audit_Data[[#This Row],[Recency]]&gt;=0,Audit_Data[[#This Row],[Recency]]&lt;=100),"Valid","Invalid")</f>
        <v>Valid</v>
      </c>
      <c r="AM997" t="str">
        <f t="shared" si="201"/>
        <v>Valid</v>
      </c>
      <c r="AN997" t="str">
        <f t="shared" si="202"/>
        <v>Valid</v>
      </c>
      <c r="AO997" t="str">
        <f t="shared" si="203"/>
        <v>Valid</v>
      </c>
      <c r="AP997" t="str">
        <f t="shared" si="204"/>
        <v>Valid</v>
      </c>
      <c r="AQ997" t="str">
        <f>IF(Audit_Data[[#This Row],[Z_CostContact]]=3,"Valid","Invalid")</f>
        <v>Valid</v>
      </c>
      <c r="AR997" t="str">
        <f t="shared" si="205"/>
        <v>Valid</v>
      </c>
      <c r="AS997" t="str">
        <f t="shared" si="206"/>
        <v>Valid</v>
      </c>
    </row>
    <row r="998" spans="1:45" x14ac:dyDescent="0.3">
      <c r="A998">
        <v>8492</v>
      </c>
      <c r="B998">
        <v>1978</v>
      </c>
      <c r="C998" t="s">
        <v>29</v>
      </c>
      <c r="D998" t="s">
        <v>31</v>
      </c>
      <c r="E998">
        <v>75437</v>
      </c>
      <c r="F998">
        <v>0</v>
      </c>
      <c r="G998">
        <v>0</v>
      </c>
      <c r="H998" s="1">
        <v>41587</v>
      </c>
      <c r="I998">
        <v>25</v>
      </c>
      <c r="J998">
        <v>795</v>
      </c>
      <c r="K998">
        <v>0</v>
      </c>
      <c r="L998">
        <v>545</v>
      </c>
      <c r="M998">
        <v>95</v>
      </c>
      <c r="N998">
        <v>58</v>
      </c>
      <c r="O998">
        <v>0</v>
      </c>
      <c r="P998">
        <v>1</v>
      </c>
      <c r="Q998">
        <v>8</v>
      </c>
      <c r="R998">
        <v>4</v>
      </c>
      <c r="S998">
        <v>10</v>
      </c>
      <c r="T998">
        <v>6</v>
      </c>
      <c r="U998">
        <v>0</v>
      </c>
      <c r="V998">
        <v>0</v>
      </c>
      <c r="W998">
        <v>0</v>
      </c>
      <c r="X998">
        <v>1</v>
      </c>
      <c r="Y998">
        <v>0</v>
      </c>
      <c r="Z998">
        <v>0</v>
      </c>
      <c r="AA998">
        <v>3</v>
      </c>
      <c r="AB998">
        <v>11</v>
      </c>
      <c r="AC998">
        <v>0</v>
      </c>
      <c r="AD998" t="str">
        <f t="shared" si="195"/>
        <v>Ok</v>
      </c>
      <c r="AE998" t="str">
        <f>IF(AND(Audit_Data[[#This Row],[Year_Birth]]&gt;=1900,Audit_Data[[#This Row],[Year_Birth]]&lt;=2010),"OK","Invalid")</f>
        <v>OK</v>
      </c>
      <c r="AF998" t="str">
        <f t="shared" si="196"/>
        <v>Valid</v>
      </c>
      <c r="AG998" t="str">
        <f t="shared" si="197"/>
        <v>Valid</v>
      </c>
      <c r="AH998" t="str">
        <f t="shared" si="198"/>
        <v>Valid</v>
      </c>
      <c r="AI998" t="str">
        <f t="shared" si="199"/>
        <v>Valid</v>
      </c>
      <c r="AJ998" t="str">
        <f t="shared" si="200"/>
        <v>Valid</v>
      </c>
      <c r="AK998" t="str">
        <f t="shared" si="207"/>
        <v xml:space="preserve">Valid </v>
      </c>
      <c r="AL998" t="str">
        <f>IF(AND(Audit_Data[[#This Row],[Recency]]&gt;=0,Audit_Data[[#This Row],[Recency]]&lt;=100),"Valid","Invalid")</f>
        <v>Valid</v>
      </c>
      <c r="AM998" t="str">
        <f t="shared" si="201"/>
        <v>Valid</v>
      </c>
      <c r="AN998" t="str">
        <f t="shared" si="202"/>
        <v>Valid</v>
      </c>
      <c r="AO998" t="str">
        <f t="shared" si="203"/>
        <v>Valid</v>
      </c>
      <c r="AP998" t="str">
        <f t="shared" si="204"/>
        <v>Valid</v>
      </c>
      <c r="AQ998" t="str">
        <f>IF(Audit_Data[[#This Row],[Z_CostContact]]=3,"Valid","Invalid")</f>
        <v>Valid</v>
      </c>
      <c r="AR998" t="str">
        <f t="shared" si="205"/>
        <v>Valid</v>
      </c>
      <c r="AS998" t="str">
        <f t="shared" si="206"/>
        <v>Valid</v>
      </c>
    </row>
    <row r="999" spans="1:45" x14ac:dyDescent="0.3">
      <c r="A999">
        <v>11188</v>
      </c>
      <c r="B999">
        <v>1957</v>
      </c>
      <c r="C999" t="s">
        <v>29</v>
      </c>
      <c r="D999" t="s">
        <v>31</v>
      </c>
      <c r="E999">
        <v>26091</v>
      </c>
      <c r="F999">
        <v>1</v>
      </c>
      <c r="G999">
        <v>1</v>
      </c>
      <c r="H999" s="1">
        <v>41695</v>
      </c>
      <c r="I999">
        <v>84</v>
      </c>
      <c r="J999">
        <v>15</v>
      </c>
      <c r="K999">
        <v>10</v>
      </c>
      <c r="L999">
        <v>19</v>
      </c>
      <c r="M999">
        <v>8</v>
      </c>
      <c r="N999">
        <v>17</v>
      </c>
      <c r="O999">
        <v>20</v>
      </c>
      <c r="P999">
        <v>3</v>
      </c>
      <c r="Q999">
        <v>2</v>
      </c>
      <c r="R999">
        <v>1</v>
      </c>
      <c r="S999">
        <v>3</v>
      </c>
      <c r="T999">
        <v>5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3</v>
      </c>
      <c r="AB999">
        <v>11</v>
      </c>
      <c r="AC999">
        <v>0</v>
      </c>
      <c r="AD999" t="str">
        <f t="shared" si="195"/>
        <v>Ok</v>
      </c>
      <c r="AE999" t="str">
        <f>IF(AND(Audit_Data[[#This Row],[Year_Birth]]&gt;=1900,Audit_Data[[#This Row],[Year_Birth]]&lt;=2010),"OK","Invalid")</f>
        <v>OK</v>
      </c>
      <c r="AF999" t="str">
        <f t="shared" si="196"/>
        <v>Valid</v>
      </c>
      <c r="AG999" t="str">
        <f t="shared" si="197"/>
        <v>Valid</v>
      </c>
      <c r="AH999" t="str">
        <f t="shared" si="198"/>
        <v>Valid</v>
      </c>
      <c r="AI999" t="str">
        <f t="shared" si="199"/>
        <v>Valid</v>
      </c>
      <c r="AJ999" t="str">
        <f t="shared" si="200"/>
        <v>Valid</v>
      </c>
      <c r="AK999" t="str">
        <f t="shared" si="207"/>
        <v xml:space="preserve">Valid </v>
      </c>
      <c r="AL999" t="str">
        <f>IF(AND(Audit_Data[[#This Row],[Recency]]&gt;=0,Audit_Data[[#This Row],[Recency]]&lt;=100),"Valid","Invalid")</f>
        <v>Valid</v>
      </c>
      <c r="AM999" t="str">
        <f t="shared" si="201"/>
        <v>Valid</v>
      </c>
      <c r="AN999" t="str">
        <f t="shared" si="202"/>
        <v>Valid</v>
      </c>
      <c r="AO999" t="str">
        <f t="shared" si="203"/>
        <v>Valid</v>
      </c>
      <c r="AP999" t="str">
        <f t="shared" si="204"/>
        <v>Valid</v>
      </c>
      <c r="AQ999" t="str">
        <f>IF(Audit_Data[[#This Row],[Z_CostContact]]=3,"Valid","Invalid")</f>
        <v>Valid</v>
      </c>
      <c r="AR999" t="str">
        <f t="shared" si="205"/>
        <v>Valid</v>
      </c>
      <c r="AS999" t="str">
        <f t="shared" si="206"/>
        <v>Valid</v>
      </c>
    </row>
    <row r="1000" spans="1:45" x14ac:dyDescent="0.3">
      <c r="A1000">
        <v>1212</v>
      </c>
      <c r="B1000">
        <v>1973</v>
      </c>
      <c r="C1000" t="s">
        <v>29</v>
      </c>
      <c r="D1000" t="s">
        <v>33</v>
      </c>
      <c r="E1000">
        <v>52845</v>
      </c>
      <c r="F1000">
        <v>1</v>
      </c>
      <c r="G1000">
        <v>0</v>
      </c>
      <c r="H1000" s="1">
        <v>41499</v>
      </c>
      <c r="I1000">
        <v>7</v>
      </c>
      <c r="J1000">
        <v>384</v>
      </c>
      <c r="K1000">
        <v>25</v>
      </c>
      <c r="L1000">
        <v>292</v>
      </c>
      <c r="M1000">
        <v>130</v>
      </c>
      <c r="N1000">
        <v>41</v>
      </c>
      <c r="O1000">
        <v>64</v>
      </c>
      <c r="P1000">
        <v>3</v>
      </c>
      <c r="Q1000">
        <v>8</v>
      </c>
      <c r="R1000">
        <v>8</v>
      </c>
      <c r="S1000">
        <v>6</v>
      </c>
      <c r="T1000">
        <v>6</v>
      </c>
      <c r="U1000">
        <v>1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3</v>
      </c>
      <c r="AB1000">
        <v>11</v>
      </c>
      <c r="AC1000">
        <v>0</v>
      </c>
      <c r="AD1000" t="str">
        <f t="shared" si="195"/>
        <v>Ok</v>
      </c>
      <c r="AE1000" t="str">
        <f>IF(AND(Audit_Data[[#This Row],[Year_Birth]]&gt;=1900,Audit_Data[[#This Row],[Year_Birth]]&lt;=2010),"OK","Invalid")</f>
        <v>OK</v>
      </c>
      <c r="AF1000" t="str">
        <f t="shared" si="196"/>
        <v>Valid</v>
      </c>
      <c r="AG1000" t="str">
        <f t="shared" si="197"/>
        <v>Valid</v>
      </c>
      <c r="AH1000" t="str">
        <f t="shared" si="198"/>
        <v>Valid</v>
      </c>
      <c r="AI1000" t="str">
        <f t="shared" si="199"/>
        <v>Valid</v>
      </c>
      <c r="AJ1000" t="str">
        <f t="shared" si="200"/>
        <v>Valid</v>
      </c>
      <c r="AK1000" t="str">
        <f t="shared" si="207"/>
        <v xml:space="preserve">Valid </v>
      </c>
      <c r="AL1000" t="str">
        <f>IF(AND(Audit_Data[[#This Row],[Recency]]&gt;=0,Audit_Data[[#This Row],[Recency]]&lt;=100),"Valid","Invalid")</f>
        <v>Valid</v>
      </c>
      <c r="AM1000" t="str">
        <f t="shared" si="201"/>
        <v>Valid</v>
      </c>
      <c r="AN1000" t="str">
        <f t="shared" si="202"/>
        <v>Valid</v>
      </c>
      <c r="AO1000" t="str">
        <f t="shared" si="203"/>
        <v>Valid</v>
      </c>
      <c r="AP1000" t="str">
        <f t="shared" si="204"/>
        <v>Valid</v>
      </c>
      <c r="AQ1000" t="str">
        <f>IF(Audit_Data[[#This Row],[Z_CostContact]]=3,"Valid","Invalid")</f>
        <v>Valid</v>
      </c>
      <c r="AR1000" t="str">
        <f t="shared" si="205"/>
        <v>Valid</v>
      </c>
      <c r="AS1000" t="str">
        <f t="shared" si="206"/>
        <v>Valid</v>
      </c>
    </row>
    <row r="1001" spans="1:45" x14ac:dyDescent="0.3">
      <c r="A1001">
        <v>9097</v>
      </c>
      <c r="B1001">
        <v>1956</v>
      </c>
      <c r="C1001" t="s">
        <v>29</v>
      </c>
      <c r="D1001" t="s">
        <v>35</v>
      </c>
      <c r="E1001">
        <v>46086</v>
      </c>
      <c r="F1001">
        <v>0</v>
      </c>
      <c r="G1001">
        <v>1</v>
      </c>
      <c r="H1001" s="1">
        <v>41581</v>
      </c>
      <c r="I1001">
        <v>34</v>
      </c>
      <c r="J1001">
        <v>244</v>
      </c>
      <c r="K1001">
        <v>8</v>
      </c>
      <c r="L1001">
        <v>32</v>
      </c>
      <c r="M1001">
        <v>7</v>
      </c>
      <c r="N1001">
        <v>2</v>
      </c>
      <c r="O1001">
        <v>50</v>
      </c>
      <c r="P1001">
        <v>4</v>
      </c>
      <c r="Q1001">
        <v>3</v>
      </c>
      <c r="R1001">
        <v>1</v>
      </c>
      <c r="S1001">
        <v>8</v>
      </c>
      <c r="T1001">
        <v>4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3</v>
      </c>
      <c r="AB1001">
        <v>11</v>
      </c>
      <c r="AC1001">
        <v>0</v>
      </c>
      <c r="AD1001" t="str">
        <f t="shared" si="195"/>
        <v>Ok</v>
      </c>
      <c r="AE1001" t="str">
        <f>IF(AND(Audit_Data[[#This Row],[Year_Birth]]&gt;=1900,Audit_Data[[#This Row],[Year_Birth]]&lt;=2010),"OK","Invalid")</f>
        <v>OK</v>
      </c>
      <c r="AF1001" t="str">
        <f t="shared" si="196"/>
        <v>Valid</v>
      </c>
      <c r="AG1001" t="str">
        <f t="shared" si="197"/>
        <v>Valid</v>
      </c>
      <c r="AH1001" t="str">
        <f t="shared" si="198"/>
        <v>Valid</v>
      </c>
      <c r="AI1001" t="str">
        <f t="shared" si="199"/>
        <v>Valid</v>
      </c>
      <c r="AJ1001" t="str">
        <f t="shared" si="200"/>
        <v>Valid</v>
      </c>
      <c r="AK1001" t="str">
        <f t="shared" si="207"/>
        <v xml:space="preserve">Valid </v>
      </c>
      <c r="AL1001" t="str">
        <f>IF(AND(Audit_Data[[#This Row],[Recency]]&gt;=0,Audit_Data[[#This Row],[Recency]]&lt;=100),"Valid","Invalid")</f>
        <v>Valid</v>
      </c>
      <c r="AM1001" t="str">
        <f t="shared" si="201"/>
        <v>Valid</v>
      </c>
      <c r="AN1001" t="str">
        <f t="shared" si="202"/>
        <v>Valid</v>
      </c>
      <c r="AO1001" t="str">
        <f t="shared" si="203"/>
        <v>Valid</v>
      </c>
      <c r="AP1001" t="str">
        <f t="shared" si="204"/>
        <v>Valid</v>
      </c>
      <c r="AQ1001" t="str">
        <f>IF(Audit_Data[[#This Row],[Z_CostContact]]=3,"Valid","Invalid")</f>
        <v>Valid</v>
      </c>
      <c r="AR1001" t="str">
        <f t="shared" si="205"/>
        <v>Valid</v>
      </c>
      <c r="AS1001" t="str">
        <f t="shared" si="206"/>
        <v>Valid</v>
      </c>
    </row>
    <row r="1002" spans="1:45" x14ac:dyDescent="0.3">
      <c r="A1002">
        <v>10473</v>
      </c>
      <c r="B1002">
        <v>1956</v>
      </c>
      <c r="C1002" t="s">
        <v>32</v>
      </c>
      <c r="D1002" t="s">
        <v>38</v>
      </c>
      <c r="E1002">
        <v>78028</v>
      </c>
      <c r="F1002">
        <v>0</v>
      </c>
      <c r="G1002">
        <v>1</v>
      </c>
      <c r="H1002" s="1">
        <v>41162</v>
      </c>
      <c r="I1002">
        <v>38</v>
      </c>
      <c r="J1002">
        <v>158</v>
      </c>
      <c r="K1002">
        <v>19</v>
      </c>
      <c r="L1002">
        <v>288</v>
      </c>
      <c r="M1002">
        <v>25</v>
      </c>
      <c r="N1002">
        <v>0</v>
      </c>
      <c r="O1002">
        <v>38</v>
      </c>
      <c r="P1002">
        <v>1</v>
      </c>
      <c r="Q1002">
        <v>6</v>
      </c>
      <c r="R1002">
        <v>4</v>
      </c>
      <c r="S1002">
        <v>9</v>
      </c>
      <c r="T1002">
        <v>7</v>
      </c>
      <c r="U1002">
        <v>0</v>
      </c>
      <c r="V1002">
        <v>1</v>
      </c>
      <c r="W1002">
        <v>1</v>
      </c>
      <c r="X1002">
        <v>0</v>
      </c>
      <c r="Y1002">
        <v>0</v>
      </c>
      <c r="Z1002">
        <v>0</v>
      </c>
      <c r="AA1002">
        <v>3</v>
      </c>
      <c r="AB1002">
        <v>11</v>
      </c>
      <c r="AC1002">
        <v>1</v>
      </c>
      <c r="AD1002" t="str">
        <f t="shared" si="195"/>
        <v>Ok</v>
      </c>
      <c r="AE1002" t="str">
        <f>IF(AND(Audit_Data[[#This Row],[Year_Birth]]&gt;=1900,Audit_Data[[#This Row],[Year_Birth]]&lt;=2010),"OK","Invalid")</f>
        <v>OK</v>
      </c>
      <c r="AF1002" t="str">
        <f t="shared" si="196"/>
        <v>Valid</v>
      </c>
      <c r="AG1002" t="str">
        <f t="shared" si="197"/>
        <v>Valid</v>
      </c>
      <c r="AH1002" t="str">
        <f t="shared" si="198"/>
        <v>Valid</v>
      </c>
      <c r="AI1002" t="str">
        <f t="shared" si="199"/>
        <v>Valid</v>
      </c>
      <c r="AJ1002" t="str">
        <f t="shared" si="200"/>
        <v>Valid</v>
      </c>
      <c r="AK1002" t="str">
        <f t="shared" si="207"/>
        <v xml:space="preserve">Valid </v>
      </c>
      <c r="AL1002" t="str">
        <f>IF(AND(Audit_Data[[#This Row],[Recency]]&gt;=0,Audit_Data[[#This Row],[Recency]]&lt;=100),"Valid","Invalid")</f>
        <v>Valid</v>
      </c>
      <c r="AM1002" t="str">
        <f t="shared" si="201"/>
        <v>Valid</v>
      </c>
      <c r="AN1002" t="str">
        <f t="shared" si="202"/>
        <v>Valid</v>
      </c>
      <c r="AO1002" t="str">
        <f t="shared" si="203"/>
        <v>Valid</v>
      </c>
      <c r="AP1002" t="str">
        <f t="shared" si="204"/>
        <v>Valid</v>
      </c>
      <c r="AQ1002" t="str">
        <f>IF(Audit_Data[[#This Row],[Z_CostContact]]=3,"Valid","Invalid")</f>
        <v>Valid</v>
      </c>
      <c r="AR1002" t="str">
        <f t="shared" si="205"/>
        <v>Valid</v>
      </c>
      <c r="AS1002" t="str">
        <f t="shared" si="206"/>
        <v>Valid</v>
      </c>
    </row>
    <row r="1003" spans="1:45" x14ac:dyDescent="0.3">
      <c r="A1003">
        <v>7962</v>
      </c>
      <c r="B1003">
        <v>1987</v>
      </c>
      <c r="C1003" t="s">
        <v>32</v>
      </c>
      <c r="D1003" t="s">
        <v>30</v>
      </c>
      <c r="E1003">
        <v>95169</v>
      </c>
      <c r="F1003">
        <v>0</v>
      </c>
      <c r="G1003">
        <v>0</v>
      </c>
      <c r="H1003" s="1">
        <v>41556</v>
      </c>
      <c r="I1003">
        <v>1</v>
      </c>
      <c r="J1003">
        <v>1285</v>
      </c>
      <c r="K1003">
        <v>21</v>
      </c>
      <c r="L1003">
        <v>449</v>
      </c>
      <c r="M1003">
        <v>106</v>
      </c>
      <c r="N1003">
        <v>20</v>
      </c>
      <c r="O1003">
        <v>20</v>
      </c>
      <c r="P1003">
        <v>1</v>
      </c>
      <c r="Q1003">
        <v>4</v>
      </c>
      <c r="R1003">
        <v>3</v>
      </c>
      <c r="S1003">
        <v>4</v>
      </c>
      <c r="T1003">
        <v>1</v>
      </c>
      <c r="U1003">
        <v>0</v>
      </c>
      <c r="V1003">
        <v>0</v>
      </c>
      <c r="W1003">
        <v>1</v>
      </c>
      <c r="X1003">
        <v>1</v>
      </c>
      <c r="Y1003">
        <v>0</v>
      </c>
      <c r="Z1003">
        <v>0</v>
      </c>
      <c r="AA1003">
        <v>3</v>
      </c>
      <c r="AB1003">
        <v>11</v>
      </c>
      <c r="AC1003">
        <v>1</v>
      </c>
      <c r="AD1003" t="str">
        <f t="shared" si="195"/>
        <v>Ok</v>
      </c>
      <c r="AE1003" t="str">
        <f>IF(AND(Audit_Data[[#This Row],[Year_Birth]]&gt;=1900,Audit_Data[[#This Row],[Year_Birth]]&lt;=2010),"OK","Invalid")</f>
        <v>OK</v>
      </c>
      <c r="AF1003" t="str">
        <f t="shared" si="196"/>
        <v>Valid</v>
      </c>
      <c r="AG1003" t="str">
        <f t="shared" si="197"/>
        <v>Valid</v>
      </c>
      <c r="AH1003" t="str">
        <f t="shared" si="198"/>
        <v>Valid</v>
      </c>
      <c r="AI1003" t="str">
        <f t="shared" si="199"/>
        <v>Valid</v>
      </c>
      <c r="AJ1003" t="str">
        <f t="shared" si="200"/>
        <v>Valid</v>
      </c>
      <c r="AK1003" t="str">
        <f t="shared" si="207"/>
        <v xml:space="preserve">Valid </v>
      </c>
      <c r="AL1003" t="str">
        <f>IF(AND(Audit_Data[[#This Row],[Recency]]&gt;=0,Audit_Data[[#This Row],[Recency]]&lt;=100),"Valid","Invalid")</f>
        <v>Valid</v>
      </c>
      <c r="AM1003" t="str">
        <f t="shared" si="201"/>
        <v>Valid</v>
      </c>
      <c r="AN1003" t="str">
        <f t="shared" si="202"/>
        <v>Valid</v>
      </c>
      <c r="AO1003" t="str">
        <f t="shared" si="203"/>
        <v>Valid</v>
      </c>
      <c r="AP1003" t="str">
        <f t="shared" si="204"/>
        <v>Valid</v>
      </c>
      <c r="AQ1003" t="str">
        <f>IF(Audit_Data[[#This Row],[Z_CostContact]]=3,"Valid","Invalid")</f>
        <v>Valid</v>
      </c>
      <c r="AR1003" t="str">
        <f t="shared" si="205"/>
        <v>Valid</v>
      </c>
      <c r="AS1003" t="str">
        <f t="shared" si="206"/>
        <v>Valid</v>
      </c>
    </row>
    <row r="1004" spans="1:45" x14ac:dyDescent="0.3">
      <c r="A1004">
        <v>9984</v>
      </c>
      <c r="B1004">
        <v>1981</v>
      </c>
      <c r="C1004" t="s">
        <v>37</v>
      </c>
      <c r="D1004" t="s">
        <v>33</v>
      </c>
      <c r="E1004">
        <v>56337</v>
      </c>
      <c r="F1004">
        <v>1</v>
      </c>
      <c r="G1004">
        <v>1</v>
      </c>
      <c r="H1004" s="1">
        <v>41360</v>
      </c>
      <c r="I1004">
        <v>25</v>
      </c>
      <c r="J1004">
        <v>349</v>
      </c>
      <c r="K1004">
        <v>16</v>
      </c>
      <c r="L1004">
        <v>144</v>
      </c>
      <c r="M1004">
        <v>28</v>
      </c>
      <c r="N1004">
        <v>5</v>
      </c>
      <c r="O1004">
        <v>182</v>
      </c>
      <c r="P1004">
        <v>5</v>
      </c>
      <c r="Q1004">
        <v>8</v>
      </c>
      <c r="R1004">
        <v>5</v>
      </c>
      <c r="S1004">
        <v>4</v>
      </c>
      <c r="T1004">
        <v>8</v>
      </c>
      <c r="U1004">
        <v>1</v>
      </c>
      <c r="V1004">
        <v>0</v>
      </c>
      <c r="W1004">
        <v>0</v>
      </c>
      <c r="X1004">
        <v>1</v>
      </c>
      <c r="Y1004">
        <v>0</v>
      </c>
      <c r="Z1004">
        <v>0</v>
      </c>
      <c r="AA1004">
        <v>3</v>
      </c>
      <c r="AB1004">
        <v>11</v>
      </c>
      <c r="AC1004">
        <v>1</v>
      </c>
      <c r="AD1004" t="str">
        <f t="shared" si="195"/>
        <v>Ok</v>
      </c>
      <c r="AE1004" t="str">
        <f>IF(AND(Audit_Data[[#This Row],[Year_Birth]]&gt;=1900,Audit_Data[[#This Row],[Year_Birth]]&lt;=2010),"OK","Invalid")</f>
        <v>OK</v>
      </c>
      <c r="AF1004" t="str">
        <f t="shared" si="196"/>
        <v>Valid</v>
      </c>
      <c r="AG1004" t="str">
        <f t="shared" si="197"/>
        <v>Valid</v>
      </c>
      <c r="AH1004" t="str">
        <f t="shared" si="198"/>
        <v>Valid</v>
      </c>
      <c r="AI1004" t="str">
        <f t="shared" si="199"/>
        <v>Valid</v>
      </c>
      <c r="AJ1004" t="str">
        <f t="shared" si="200"/>
        <v>Valid</v>
      </c>
      <c r="AK1004" t="str">
        <f t="shared" si="207"/>
        <v xml:space="preserve">Valid </v>
      </c>
      <c r="AL1004" t="str">
        <f>IF(AND(Audit_Data[[#This Row],[Recency]]&gt;=0,Audit_Data[[#This Row],[Recency]]&lt;=100),"Valid","Invalid")</f>
        <v>Valid</v>
      </c>
      <c r="AM1004" t="str">
        <f t="shared" si="201"/>
        <v>Valid</v>
      </c>
      <c r="AN1004" t="str">
        <f t="shared" si="202"/>
        <v>Valid</v>
      </c>
      <c r="AO1004" t="str">
        <f t="shared" si="203"/>
        <v>Valid</v>
      </c>
      <c r="AP1004" t="str">
        <f t="shared" si="204"/>
        <v>Valid</v>
      </c>
      <c r="AQ1004" t="str">
        <f>IF(Audit_Data[[#This Row],[Z_CostContact]]=3,"Valid","Invalid")</f>
        <v>Valid</v>
      </c>
      <c r="AR1004" t="str">
        <f t="shared" si="205"/>
        <v>Valid</v>
      </c>
      <c r="AS1004" t="str">
        <f t="shared" si="206"/>
        <v>Valid</v>
      </c>
    </row>
    <row r="1005" spans="1:45" x14ac:dyDescent="0.3">
      <c r="A1005">
        <v>5527</v>
      </c>
      <c r="B1005">
        <v>1987</v>
      </c>
      <c r="C1005" t="s">
        <v>29</v>
      </c>
      <c r="D1005" t="s">
        <v>31</v>
      </c>
      <c r="E1005">
        <v>22434</v>
      </c>
      <c r="F1005">
        <v>1</v>
      </c>
      <c r="G1005">
        <v>0</v>
      </c>
      <c r="H1005" s="1">
        <v>41318</v>
      </c>
      <c r="I1005">
        <v>25</v>
      </c>
      <c r="J1005">
        <v>4</v>
      </c>
      <c r="K1005">
        <v>12</v>
      </c>
      <c r="L1005">
        <v>11</v>
      </c>
      <c r="M1005">
        <v>3</v>
      </c>
      <c r="N1005">
        <v>13</v>
      </c>
      <c r="O1005">
        <v>15</v>
      </c>
      <c r="P1005">
        <v>2</v>
      </c>
      <c r="Q1005">
        <v>2</v>
      </c>
      <c r="R1005">
        <v>0</v>
      </c>
      <c r="S1005">
        <v>3</v>
      </c>
      <c r="T1005">
        <v>8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3</v>
      </c>
      <c r="AB1005">
        <v>11</v>
      </c>
      <c r="AC1005">
        <v>0</v>
      </c>
      <c r="AD1005" t="str">
        <f t="shared" si="195"/>
        <v>Ok</v>
      </c>
      <c r="AE1005" t="str">
        <f>IF(AND(Audit_Data[[#This Row],[Year_Birth]]&gt;=1900,Audit_Data[[#This Row],[Year_Birth]]&lt;=2010),"OK","Invalid")</f>
        <v>OK</v>
      </c>
      <c r="AF1005" t="str">
        <f t="shared" si="196"/>
        <v>Valid</v>
      </c>
      <c r="AG1005" t="str">
        <f t="shared" si="197"/>
        <v>Valid</v>
      </c>
      <c r="AH1005" t="str">
        <f t="shared" si="198"/>
        <v>Valid</v>
      </c>
      <c r="AI1005" t="str">
        <f t="shared" si="199"/>
        <v>Valid</v>
      </c>
      <c r="AJ1005" t="str">
        <f t="shared" si="200"/>
        <v>Valid</v>
      </c>
      <c r="AK1005" t="str">
        <f t="shared" si="207"/>
        <v xml:space="preserve">Valid </v>
      </c>
      <c r="AL1005" t="str">
        <f>IF(AND(Audit_Data[[#This Row],[Recency]]&gt;=0,Audit_Data[[#This Row],[Recency]]&lt;=100),"Valid","Invalid")</f>
        <v>Valid</v>
      </c>
      <c r="AM1005" t="str">
        <f t="shared" si="201"/>
        <v>Valid</v>
      </c>
      <c r="AN1005" t="str">
        <f t="shared" si="202"/>
        <v>Valid</v>
      </c>
      <c r="AO1005" t="str">
        <f t="shared" si="203"/>
        <v>Valid</v>
      </c>
      <c r="AP1005" t="str">
        <f t="shared" si="204"/>
        <v>Valid</v>
      </c>
      <c r="AQ1005" t="str">
        <f>IF(Audit_Data[[#This Row],[Z_CostContact]]=3,"Valid","Invalid")</f>
        <v>Valid</v>
      </c>
      <c r="AR1005" t="str">
        <f t="shared" si="205"/>
        <v>Valid</v>
      </c>
      <c r="AS1005" t="str">
        <f t="shared" si="206"/>
        <v>Valid</v>
      </c>
    </row>
    <row r="1006" spans="1:45" x14ac:dyDescent="0.3">
      <c r="A1006">
        <v>6374</v>
      </c>
      <c r="B1006">
        <v>1954</v>
      </c>
      <c r="C1006" t="s">
        <v>32</v>
      </c>
      <c r="D1006" t="s">
        <v>33</v>
      </c>
      <c r="E1006">
        <v>36930</v>
      </c>
      <c r="F1006">
        <v>0</v>
      </c>
      <c r="G1006">
        <v>1</v>
      </c>
      <c r="H1006" s="1">
        <v>41411</v>
      </c>
      <c r="I1006">
        <v>50</v>
      </c>
      <c r="J1006">
        <v>223</v>
      </c>
      <c r="K1006">
        <v>2</v>
      </c>
      <c r="L1006">
        <v>31</v>
      </c>
      <c r="M1006">
        <v>0</v>
      </c>
      <c r="N1006">
        <v>2</v>
      </c>
      <c r="O1006">
        <v>39</v>
      </c>
      <c r="P1006">
        <v>5</v>
      </c>
      <c r="Q1006">
        <v>5</v>
      </c>
      <c r="R1006">
        <v>2</v>
      </c>
      <c r="S1006">
        <v>4</v>
      </c>
      <c r="T1006">
        <v>8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3</v>
      </c>
      <c r="AB1006">
        <v>11</v>
      </c>
      <c r="AC1006">
        <v>0</v>
      </c>
      <c r="AD1006" t="str">
        <f t="shared" si="195"/>
        <v>Ok</v>
      </c>
      <c r="AE1006" t="str">
        <f>IF(AND(Audit_Data[[#This Row],[Year_Birth]]&gt;=1900,Audit_Data[[#This Row],[Year_Birth]]&lt;=2010),"OK","Invalid")</f>
        <v>OK</v>
      </c>
      <c r="AF1006" t="str">
        <f t="shared" si="196"/>
        <v>Valid</v>
      </c>
      <c r="AG1006" t="str">
        <f t="shared" si="197"/>
        <v>Valid</v>
      </c>
      <c r="AH1006" t="str">
        <f t="shared" si="198"/>
        <v>Valid</v>
      </c>
      <c r="AI1006" t="str">
        <f t="shared" si="199"/>
        <v>Valid</v>
      </c>
      <c r="AJ1006" t="str">
        <f t="shared" si="200"/>
        <v>Valid</v>
      </c>
      <c r="AK1006" t="str">
        <f t="shared" si="207"/>
        <v xml:space="preserve">Valid </v>
      </c>
      <c r="AL1006" t="str">
        <f>IF(AND(Audit_Data[[#This Row],[Recency]]&gt;=0,Audit_Data[[#This Row],[Recency]]&lt;=100),"Valid","Invalid")</f>
        <v>Valid</v>
      </c>
      <c r="AM1006" t="str">
        <f t="shared" si="201"/>
        <v>Valid</v>
      </c>
      <c r="AN1006" t="str">
        <f t="shared" si="202"/>
        <v>Valid</v>
      </c>
      <c r="AO1006" t="str">
        <f t="shared" si="203"/>
        <v>Valid</v>
      </c>
      <c r="AP1006" t="str">
        <f t="shared" si="204"/>
        <v>Valid</v>
      </c>
      <c r="AQ1006" t="str">
        <f>IF(Audit_Data[[#This Row],[Z_CostContact]]=3,"Valid","Invalid")</f>
        <v>Valid</v>
      </c>
      <c r="AR1006" t="str">
        <f t="shared" si="205"/>
        <v>Valid</v>
      </c>
      <c r="AS1006" t="str">
        <f t="shared" si="206"/>
        <v>Valid</v>
      </c>
    </row>
    <row r="1007" spans="1:45" x14ac:dyDescent="0.3">
      <c r="A1007">
        <v>7453</v>
      </c>
      <c r="B1007">
        <v>1954</v>
      </c>
      <c r="C1007" t="s">
        <v>29</v>
      </c>
      <c r="D1007" t="s">
        <v>30</v>
      </c>
      <c r="E1007">
        <v>36130</v>
      </c>
      <c r="F1007">
        <v>0</v>
      </c>
      <c r="G1007">
        <v>1</v>
      </c>
      <c r="H1007" s="1">
        <v>41307</v>
      </c>
      <c r="I1007">
        <v>46</v>
      </c>
      <c r="J1007">
        <v>157</v>
      </c>
      <c r="K1007">
        <v>43</v>
      </c>
      <c r="L1007">
        <v>127</v>
      </c>
      <c r="M1007">
        <v>68</v>
      </c>
      <c r="N1007">
        <v>56</v>
      </c>
      <c r="O1007">
        <v>37</v>
      </c>
      <c r="P1007">
        <v>6</v>
      </c>
      <c r="Q1007">
        <v>3</v>
      </c>
      <c r="R1007">
        <v>8</v>
      </c>
      <c r="S1007">
        <v>4</v>
      </c>
      <c r="T1007">
        <v>4</v>
      </c>
      <c r="U1007">
        <v>1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3</v>
      </c>
      <c r="AB1007">
        <v>11</v>
      </c>
      <c r="AC1007">
        <v>1</v>
      </c>
      <c r="AD1007" t="str">
        <f t="shared" si="195"/>
        <v>Ok</v>
      </c>
      <c r="AE1007" t="str">
        <f>IF(AND(Audit_Data[[#This Row],[Year_Birth]]&gt;=1900,Audit_Data[[#This Row],[Year_Birth]]&lt;=2010),"OK","Invalid")</f>
        <v>OK</v>
      </c>
      <c r="AF1007" t="str">
        <f t="shared" si="196"/>
        <v>Valid</v>
      </c>
      <c r="AG1007" t="str">
        <f t="shared" si="197"/>
        <v>Valid</v>
      </c>
      <c r="AH1007" t="str">
        <f t="shared" si="198"/>
        <v>Valid</v>
      </c>
      <c r="AI1007" t="str">
        <f t="shared" si="199"/>
        <v>Valid</v>
      </c>
      <c r="AJ1007" t="str">
        <f t="shared" si="200"/>
        <v>Valid</v>
      </c>
      <c r="AK1007" t="str">
        <f t="shared" si="207"/>
        <v xml:space="preserve">Valid </v>
      </c>
      <c r="AL1007" t="str">
        <f>IF(AND(Audit_Data[[#This Row],[Recency]]&gt;=0,Audit_Data[[#This Row],[Recency]]&lt;=100),"Valid","Invalid")</f>
        <v>Valid</v>
      </c>
      <c r="AM1007" t="str">
        <f t="shared" si="201"/>
        <v>Valid</v>
      </c>
      <c r="AN1007" t="str">
        <f t="shared" si="202"/>
        <v>Valid</v>
      </c>
      <c r="AO1007" t="str">
        <f t="shared" si="203"/>
        <v>Valid</v>
      </c>
      <c r="AP1007" t="str">
        <f t="shared" si="204"/>
        <v>Valid</v>
      </c>
      <c r="AQ1007" t="str">
        <f>IF(Audit_Data[[#This Row],[Z_CostContact]]=3,"Valid","Invalid")</f>
        <v>Valid</v>
      </c>
      <c r="AR1007" t="str">
        <f t="shared" si="205"/>
        <v>Valid</v>
      </c>
      <c r="AS1007" t="str">
        <f t="shared" si="206"/>
        <v>Valid</v>
      </c>
    </row>
    <row r="1008" spans="1:45" x14ac:dyDescent="0.3">
      <c r="A1008">
        <v>8952</v>
      </c>
      <c r="B1008">
        <v>1953</v>
      </c>
      <c r="C1008" t="s">
        <v>34</v>
      </c>
      <c r="D1008" t="s">
        <v>33</v>
      </c>
      <c r="E1008">
        <v>65569</v>
      </c>
      <c r="F1008">
        <v>0</v>
      </c>
      <c r="G1008">
        <v>1</v>
      </c>
      <c r="H1008" s="1">
        <v>41218</v>
      </c>
      <c r="I1008">
        <v>96</v>
      </c>
      <c r="J1008">
        <v>397</v>
      </c>
      <c r="K1008">
        <v>46</v>
      </c>
      <c r="L1008">
        <v>288</v>
      </c>
      <c r="M1008">
        <v>20</v>
      </c>
      <c r="N1008">
        <v>38</v>
      </c>
      <c r="O1008">
        <v>70</v>
      </c>
      <c r="P1008">
        <v>2</v>
      </c>
      <c r="Q1008">
        <v>6</v>
      </c>
      <c r="R1008">
        <v>5</v>
      </c>
      <c r="S1008">
        <v>10</v>
      </c>
      <c r="T1008">
        <v>3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3</v>
      </c>
      <c r="AB1008">
        <v>11</v>
      </c>
      <c r="AC1008">
        <v>0</v>
      </c>
      <c r="AD1008" t="str">
        <f t="shared" si="195"/>
        <v>Ok</v>
      </c>
      <c r="AE1008" t="str">
        <f>IF(AND(Audit_Data[[#This Row],[Year_Birth]]&gt;=1900,Audit_Data[[#This Row],[Year_Birth]]&lt;=2010),"OK","Invalid")</f>
        <v>OK</v>
      </c>
      <c r="AF1008" t="str">
        <f t="shared" si="196"/>
        <v>Valid</v>
      </c>
      <c r="AG1008" t="str">
        <f t="shared" si="197"/>
        <v>Valid</v>
      </c>
      <c r="AH1008" t="str">
        <f t="shared" si="198"/>
        <v>Valid</v>
      </c>
      <c r="AI1008" t="str">
        <f t="shared" si="199"/>
        <v>Valid</v>
      </c>
      <c r="AJ1008" t="str">
        <f t="shared" si="200"/>
        <v>Valid</v>
      </c>
      <c r="AK1008" t="str">
        <f t="shared" si="207"/>
        <v xml:space="preserve">Valid </v>
      </c>
      <c r="AL1008" t="str">
        <f>IF(AND(Audit_Data[[#This Row],[Recency]]&gt;=0,Audit_Data[[#This Row],[Recency]]&lt;=100),"Valid","Invalid")</f>
        <v>Valid</v>
      </c>
      <c r="AM1008" t="str">
        <f t="shared" si="201"/>
        <v>Valid</v>
      </c>
      <c r="AN1008" t="str">
        <f t="shared" si="202"/>
        <v>Valid</v>
      </c>
      <c r="AO1008" t="str">
        <f t="shared" si="203"/>
        <v>Valid</v>
      </c>
      <c r="AP1008" t="str">
        <f t="shared" si="204"/>
        <v>Valid</v>
      </c>
      <c r="AQ1008" t="str">
        <f>IF(Audit_Data[[#This Row],[Z_CostContact]]=3,"Valid","Invalid")</f>
        <v>Valid</v>
      </c>
      <c r="AR1008" t="str">
        <f t="shared" si="205"/>
        <v>Valid</v>
      </c>
      <c r="AS1008" t="str">
        <f t="shared" si="206"/>
        <v>Valid</v>
      </c>
    </row>
    <row r="1009" spans="1:45" x14ac:dyDescent="0.3">
      <c r="A1009">
        <v>241</v>
      </c>
      <c r="B1009">
        <v>1952</v>
      </c>
      <c r="C1009" t="s">
        <v>29</v>
      </c>
      <c r="D1009" t="s">
        <v>31</v>
      </c>
      <c r="E1009">
        <v>83844</v>
      </c>
      <c r="F1009">
        <v>0</v>
      </c>
      <c r="G1009">
        <v>0</v>
      </c>
      <c r="H1009" s="1">
        <v>41406</v>
      </c>
      <c r="I1009">
        <v>57</v>
      </c>
      <c r="J1009">
        <v>901</v>
      </c>
      <c r="K1009">
        <v>31</v>
      </c>
      <c r="L1009">
        <v>345</v>
      </c>
      <c r="M1009">
        <v>75</v>
      </c>
      <c r="N1009">
        <v>31</v>
      </c>
      <c r="O1009">
        <v>191</v>
      </c>
      <c r="P1009">
        <v>1</v>
      </c>
      <c r="Q1009">
        <v>4</v>
      </c>
      <c r="R1009">
        <v>4</v>
      </c>
      <c r="S1009">
        <v>11</v>
      </c>
      <c r="T1009">
        <v>1</v>
      </c>
      <c r="U1009">
        <v>0</v>
      </c>
      <c r="V1009">
        <v>0</v>
      </c>
      <c r="W1009">
        <v>1</v>
      </c>
      <c r="X1009">
        <v>0</v>
      </c>
      <c r="Y1009">
        <v>0</v>
      </c>
      <c r="Z1009">
        <v>0</v>
      </c>
      <c r="AA1009">
        <v>3</v>
      </c>
      <c r="AB1009">
        <v>11</v>
      </c>
      <c r="AC1009">
        <v>0</v>
      </c>
      <c r="AD1009" t="str">
        <f t="shared" si="195"/>
        <v>Ok</v>
      </c>
      <c r="AE1009" t="str">
        <f>IF(AND(Audit_Data[[#This Row],[Year_Birth]]&gt;=1900,Audit_Data[[#This Row],[Year_Birth]]&lt;=2010),"OK","Invalid")</f>
        <v>OK</v>
      </c>
      <c r="AF1009" t="str">
        <f t="shared" si="196"/>
        <v>Valid</v>
      </c>
      <c r="AG1009" t="str">
        <f t="shared" si="197"/>
        <v>Valid</v>
      </c>
      <c r="AH1009" t="str">
        <f t="shared" si="198"/>
        <v>Valid</v>
      </c>
      <c r="AI1009" t="str">
        <f t="shared" si="199"/>
        <v>Valid</v>
      </c>
      <c r="AJ1009" t="str">
        <f t="shared" si="200"/>
        <v>Valid</v>
      </c>
      <c r="AK1009" t="str">
        <f t="shared" si="207"/>
        <v xml:space="preserve">Valid </v>
      </c>
      <c r="AL1009" t="str">
        <f>IF(AND(Audit_Data[[#This Row],[Recency]]&gt;=0,Audit_Data[[#This Row],[Recency]]&lt;=100),"Valid","Invalid")</f>
        <v>Valid</v>
      </c>
      <c r="AM1009" t="str">
        <f t="shared" si="201"/>
        <v>Valid</v>
      </c>
      <c r="AN1009" t="str">
        <f t="shared" si="202"/>
        <v>Valid</v>
      </c>
      <c r="AO1009" t="str">
        <f t="shared" si="203"/>
        <v>Valid</v>
      </c>
      <c r="AP1009" t="str">
        <f t="shared" si="204"/>
        <v>Valid</v>
      </c>
      <c r="AQ1009" t="str">
        <f>IF(Audit_Data[[#This Row],[Z_CostContact]]=3,"Valid","Invalid")</f>
        <v>Valid</v>
      </c>
      <c r="AR1009" t="str">
        <f t="shared" si="205"/>
        <v>Valid</v>
      </c>
      <c r="AS1009" t="str">
        <f t="shared" si="206"/>
        <v>Valid</v>
      </c>
    </row>
    <row r="1010" spans="1:45" x14ac:dyDescent="0.3">
      <c r="A1010">
        <v>8975</v>
      </c>
      <c r="B1010">
        <v>1968</v>
      </c>
      <c r="C1010" t="s">
        <v>29</v>
      </c>
      <c r="D1010" t="s">
        <v>33</v>
      </c>
      <c r="E1010">
        <v>19514</v>
      </c>
      <c r="F1010">
        <v>1</v>
      </c>
      <c r="G1010">
        <v>1</v>
      </c>
      <c r="H1010" s="1">
        <v>41665</v>
      </c>
      <c r="I1010">
        <v>47</v>
      </c>
      <c r="J1010">
        <v>14</v>
      </c>
      <c r="K1010">
        <v>3</v>
      </c>
      <c r="L1010">
        <v>21</v>
      </c>
      <c r="M1010">
        <v>2</v>
      </c>
      <c r="N1010">
        <v>1</v>
      </c>
      <c r="O1010">
        <v>28</v>
      </c>
      <c r="P1010">
        <v>4</v>
      </c>
      <c r="Q1010">
        <v>3</v>
      </c>
      <c r="R1010">
        <v>1</v>
      </c>
      <c r="S1010">
        <v>2</v>
      </c>
      <c r="T1010">
        <v>8</v>
      </c>
      <c r="U1010">
        <v>1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3</v>
      </c>
      <c r="AB1010">
        <v>11</v>
      </c>
      <c r="AC1010">
        <v>0</v>
      </c>
      <c r="AD1010" t="str">
        <f t="shared" si="195"/>
        <v>Ok</v>
      </c>
      <c r="AE1010" t="str">
        <f>IF(AND(Audit_Data[[#This Row],[Year_Birth]]&gt;=1900,Audit_Data[[#This Row],[Year_Birth]]&lt;=2010),"OK","Invalid")</f>
        <v>OK</v>
      </c>
      <c r="AF1010" t="str">
        <f t="shared" si="196"/>
        <v>Valid</v>
      </c>
      <c r="AG1010" t="str">
        <f t="shared" si="197"/>
        <v>Valid</v>
      </c>
      <c r="AH1010" t="str">
        <f t="shared" si="198"/>
        <v>Valid</v>
      </c>
      <c r="AI1010" t="str">
        <f t="shared" si="199"/>
        <v>Valid</v>
      </c>
      <c r="AJ1010" t="str">
        <f t="shared" si="200"/>
        <v>Valid</v>
      </c>
      <c r="AK1010" t="str">
        <f t="shared" si="207"/>
        <v xml:space="preserve">Valid </v>
      </c>
      <c r="AL1010" t="str">
        <f>IF(AND(Audit_Data[[#This Row],[Recency]]&gt;=0,Audit_Data[[#This Row],[Recency]]&lt;=100),"Valid","Invalid")</f>
        <v>Valid</v>
      </c>
      <c r="AM1010" t="str">
        <f t="shared" si="201"/>
        <v>Valid</v>
      </c>
      <c r="AN1010" t="str">
        <f t="shared" si="202"/>
        <v>Valid</v>
      </c>
      <c r="AO1010" t="str">
        <f t="shared" si="203"/>
        <v>Valid</v>
      </c>
      <c r="AP1010" t="str">
        <f t="shared" si="204"/>
        <v>Valid</v>
      </c>
      <c r="AQ1010" t="str">
        <f>IF(Audit_Data[[#This Row],[Z_CostContact]]=3,"Valid","Invalid")</f>
        <v>Valid</v>
      </c>
      <c r="AR1010" t="str">
        <f t="shared" si="205"/>
        <v>Valid</v>
      </c>
      <c r="AS1010" t="str">
        <f t="shared" si="206"/>
        <v>Valid</v>
      </c>
    </row>
    <row r="1011" spans="1:45" x14ac:dyDescent="0.3">
      <c r="A1011">
        <v>6119</v>
      </c>
      <c r="B1011">
        <v>1963</v>
      </c>
      <c r="C1011" t="s">
        <v>32</v>
      </c>
      <c r="D1011" t="s">
        <v>30</v>
      </c>
      <c r="E1011">
        <v>36736</v>
      </c>
      <c r="F1011">
        <v>1</v>
      </c>
      <c r="G1011">
        <v>1</v>
      </c>
      <c r="H1011" s="1">
        <v>41404</v>
      </c>
      <c r="I1011">
        <v>52</v>
      </c>
      <c r="J1011">
        <v>10</v>
      </c>
      <c r="K1011">
        <v>0</v>
      </c>
      <c r="L1011">
        <v>3</v>
      </c>
      <c r="M1011">
        <v>0</v>
      </c>
      <c r="N1011">
        <v>0</v>
      </c>
      <c r="O1011">
        <v>4</v>
      </c>
      <c r="P1011">
        <v>1</v>
      </c>
      <c r="Q1011">
        <v>1</v>
      </c>
      <c r="R1011">
        <v>0</v>
      </c>
      <c r="S1011">
        <v>2</v>
      </c>
      <c r="T1011">
        <v>6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3</v>
      </c>
      <c r="AB1011">
        <v>11</v>
      </c>
      <c r="AC1011">
        <v>0</v>
      </c>
      <c r="AD1011" t="str">
        <f t="shared" si="195"/>
        <v>Ok</v>
      </c>
      <c r="AE1011" t="str">
        <f>IF(AND(Audit_Data[[#This Row],[Year_Birth]]&gt;=1900,Audit_Data[[#This Row],[Year_Birth]]&lt;=2010),"OK","Invalid")</f>
        <v>OK</v>
      </c>
      <c r="AF1011" t="str">
        <f t="shared" si="196"/>
        <v>Valid</v>
      </c>
      <c r="AG1011" t="str">
        <f t="shared" si="197"/>
        <v>Valid</v>
      </c>
      <c r="AH1011" t="str">
        <f t="shared" si="198"/>
        <v>Valid</v>
      </c>
      <c r="AI1011" t="str">
        <f t="shared" si="199"/>
        <v>Valid</v>
      </c>
      <c r="AJ1011" t="str">
        <f t="shared" si="200"/>
        <v>Valid</v>
      </c>
      <c r="AK1011" t="str">
        <f t="shared" si="207"/>
        <v xml:space="preserve">Valid </v>
      </c>
      <c r="AL1011" t="str">
        <f>IF(AND(Audit_Data[[#This Row],[Recency]]&gt;=0,Audit_Data[[#This Row],[Recency]]&lt;=100),"Valid","Invalid")</f>
        <v>Valid</v>
      </c>
      <c r="AM1011" t="str">
        <f t="shared" si="201"/>
        <v>Valid</v>
      </c>
      <c r="AN1011" t="str">
        <f t="shared" si="202"/>
        <v>Valid</v>
      </c>
      <c r="AO1011" t="str">
        <f t="shared" si="203"/>
        <v>Valid</v>
      </c>
      <c r="AP1011" t="str">
        <f t="shared" si="204"/>
        <v>Valid</v>
      </c>
      <c r="AQ1011" t="str">
        <f>IF(Audit_Data[[#This Row],[Z_CostContact]]=3,"Valid","Invalid")</f>
        <v>Valid</v>
      </c>
      <c r="AR1011" t="str">
        <f t="shared" si="205"/>
        <v>Valid</v>
      </c>
      <c r="AS1011" t="str">
        <f t="shared" si="206"/>
        <v>Valid</v>
      </c>
    </row>
    <row r="1012" spans="1:45" x14ac:dyDescent="0.3">
      <c r="A1012">
        <v>5236</v>
      </c>
      <c r="B1012">
        <v>1979</v>
      </c>
      <c r="C1012" t="s">
        <v>29</v>
      </c>
      <c r="D1012" t="s">
        <v>31</v>
      </c>
      <c r="E1012">
        <v>77568</v>
      </c>
      <c r="F1012">
        <v>0</v>
      </c>
      <c r="G1012">
        <v>1</v>
      </c>
      <c r="H1012" s="1">
        <v>41146</v>
      </c>
      <c r="I1012">
        <v>30</v>
      </c>
      <c r="J1012">
        <v>1230</v>
      </c>
      <c r="K1012">
        <v>0</v>
      </c>
      <c r="L1012">
        <v>396</v>
      </c>
      <c r="M1012">
        <v>232</v>
      </c>
      <c r="N1012">
        <v>178</v>
      </c>
      <c r="O1012">
        <v>158</v>
      </c>
      <c r="P1012">
        <v>1</v>
      </c>
      <c r="Q1012">
        <v>10</v>
      </c>
      <c r="R1012">
        <v>2</v>
      </c>
      <c r="S1012">
        <v>8</v>
      </c>
      <c r="T1012">
        <v>5</v>
      </c>
      <c r="U1012">
        <v>0</v>
      </c>
      <c r="V1012">
        <v>1</v>
      </c>
      <c r="W1012">
        <v>1</v>
      </c>
      <c r="X1012">
        <v>1</v>
      </c>
      <c r="Y1012">
        <v>0</v>
      </c>
      <c r="Z1012">
        <v>0</v>
      </c>
      <c r="AA1012">
        <v>3</v>
      </c>
      <c r="AB1012">
        <v>11</v>
      </c>
      <c r="AC1012">
        <v>0</v>
      </c>
      <c r="AD1012" t="str">
        <f t="shared" si="195"/>
        <v>Ok</v>
      </c>
      <c r="AE1012" t="str">
        <f>IF(AND(Audit_Data[[#This Row],[Year_Birth]]&gt;=1900,Audit_Data[[#This Row],[Year_Birth]]&lt;=2010),"OK","Invalid")</f>
        <v>OK</v>
      </c>
      <c r="AF1012" t="str">
        <f t="shared" si="196"/>
        <v>Valid</v>
      </c>
      <c r="AG1012" t="str">
        <f t="shared" si="197"/>
        <v>Valid</v>
      </c>
      <c r="AH1012" t="str">
        <f t="shared" si="198"/>
        <v>Valid</v>
      </c>
      <c r="AI1012" t="str">
        <f t="shared" si="199"/>
        <v>Valid</v>
      </c>
      <c r="AJ1012" t="str">
        <f t="shared" si="200"/>
        <v>Valid</v>
      </c>
      <c r="AK1012" t="str">
        <f t="shared" si="207"/>
        <v xml:space="preserve">Valid </v>
      </c>
      <c r="AL1012" t="str">
        <f>IF(AND(Audit_Data[[#This Row],[Recency]]&gt;=0,Audit_Data[[#This Row],[Recency]]&lt;=100),"Valid","Invalid")</f>
        <v>Valid</v>
      </c>
      <c r="AM1012" t="str">
        <f t="shared" si="201"/>
        <v>Valid</v>
      </c>
      <c r="AN1012" t="str">
        <f t="shared" si="202"/>
        <v>Valid</v>
      </c>
      <c r="AO1012" t="str">
        <f t="shared" si="203"/>
        <v>Valid</v>
      </c>
      <c r="AP1012" t="str">
        <f t="shared" si="204"/>
        <v>Valid</v>
      </c>
      <c r="AQ1012" t="str">
        <f>IF(Audit_Data[[#This Row],[Z_CostContact]]=3,"Valid","Invalid")</f>
        <v>Valid</v>
      </c>
      <c r="AR1012" t="str">
        <f t="shared" si="205"/>
        <v>Valid</v>
      </c>
      <c r="AS1012" t="str">
        <f t="shared" si="206"/>
        <v>Valid</v>
      </c>
    </row>
    <row r="1013" spans="1:45" x14ac:dyDescent="0.3">
      <c r="A1013">
        <v>5723</v>
      </c>
      <c r="B1013">
        <v>1976</v>
      </c>
      <c r="C1013" t="s">
        <v>32</v>
      </c>
      <c r="D1013" t="s">
        <v>31</v>
      </c>
      <c r="E1013">
        <v>49187</v>
      </c>
      <c r="F1013">
        <v>0</v>
      </c>
      <c r="G1013">
        <v>1</v>
      </c>
      <c r="H1013" s="1">
        <v>41650</v>
      </c>
      <c r="I1013">
        <v>63</v>
      </c>
      <c r="J1013">
        <v>81</v>
      </c>
      <c r="K1013">
        <v>1</v>
      </c>
      <c r="L1013">
        <v>31</v>
      </c>
      <c r="M1013">
        <v>2</v>
      </c>
      <c r="N1013">
        <v>1</v>
      </c>
      <c r="O1013">
        <v>0</v>
      </c>
      <c r="P1013">
        <v>1</v>
      </c>
      <c r="Q1013">
        <v>1</v>
      </c>
      <c r="R1013">
        <v>1</v>
      </c>
      <c r="S1013">
        <v>5</v>
      </c>
      <c r="T1013">
        <v>2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3</v>
      </c>
      <c r="AB1013">
        <v>11</v>
      </c>
      <c r="AC1013">
        <v>0</v>
      </c>
      <c r="AD1013" t="str">
        <f t="shared" si="195"/>
        <v>Ok</v>
      </c>
      <c r="AE1013" t="str">
        <f>IF(AND(Audit_Data[[#This Row],[Year_Birth]]&gt;=1900,Audit_Data[[#This Row],[Year_Birth]]&lt;=2010),"OK","Invalid")</f>
        <v>OK</v>
      </c>
      <c r="AF1013" t="str">
        <f t="shared" si="196"/>
        <v>Valid</v>
      </c>
      <c r="AG1013" t="str">
        <f t="shared" si="197"/>
        <v>Valid</v>
      </c>
      <c r="AH1013" t="str">
        <f t="shared" si="198"/>
        <v>Valid</v>
      </c>
      <c r="AI1013" t="str">
        <f t="shared" si="199"/>
        <v>Valid</v>
      </c>
      <c r="AJ1013" t="str">
        <f t="shared" si="200"/>
        <v>Valid</v>
      </c>
      <c r="AK1013" t="str">
        <f t="shared" si="207"/>
        <v xml:space="preserve">Valid </v>
      </c>
      <c r="AL1013" t="str">
        <f>IF(AND(Audit_Data[[#This Row],[Recency]]&gt;=0,Audit_Data[[#This Row],[Recency]]&lt;=100),"Valid","Invalid")</f>
        <v>Valid</v>
      </c>
      <c r="AM1013" t="str">
        <f t="shared" si="201"/>
        <v>Valid</v>
      </c>
      <c r="AN1013" t="str">
        <f t="shared" si="202"/>
        <v>Valid</v>
      </c>
      <c r="AO1013" t="str">
        <f t="shared" si="203"/>
        <v>Valid</v>
      </c>
      <c r="AP1013" t="str">
        <f t="shared" si="204"/>
        <v>Valid</v>
      </c>
      <c r="AQ1013" t="str">
        <f>IF(Audit_Data[[#This Row],[Z_CostContact]]=3,"Valid","Invalid")</f>
        <v>Valid</v>
      </c>
      <c r="AR1013" t="str">
        <f t="shared" si="205"/>
        <v>Valid</v>
      </c>
      <c r="AS1013" t="str">
        <f t="shared" si="206"/>
        <v>Valid</v>
      </c>
    </row>
    <row r="1014" spans="1:45" x14ac:dyDescent="0.3">
      <c r="A1014">
        <v>1710</v>
      </c>
      <c r="B1014">
        <v>1978</v>
      </c>
      <c r="C1014" t="s">
        <v>29</v>
      </c>
      <c r="D1014" t="s">
        <v>30</v>
      </c>
      <c r="E1014">
        <v>30168</v>
      </c>
      <c r="F1014">
        <v>1</v>
      </c>
      <c r="G1014">
        <v>0</v>
      </c>
      <c r="H1014" s="1">
        <v>41340</v>
      </c>
      <c r="I1014">
        <v>51</v>
      </c>
      <c r="J1014">
        <v>154</v>
      </c>
      <c r="K1014">
        <v>20</v>
      </c>
      <c r="L1014">
        <v>66</v>
      </c>
      <c r="M1014">
        <v>0</v>
      </c>
      <c r="N1014">
        <v>12</v>
      </c>
      <c r="O1014">
        <v>27</v>
      </c>
      <c r="P1014">
        <v>7</v>
      </c>
      <c r="Q1014">
        <v>6</v>
      </c>
      <c r="R1014">
        <v>1</v>
      </c>
      <c r="S1014">
        <v>4</v>
      </c>
      <c r="T1014">
        <v>9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3</v>
      </c>
      <c r="AB1014">
        <v>11</v>
      </c>
      <c r="AC1014">
        <v>0</v>
      </c>
      <c r="AD1014" t="str">
        <f t="shared" si="195"/>
        <v>Ok</v>
      </c>
      <c r="AE1014" t="str">
        <f>IF(AND(Audit_Data[[#This Row],[Year_Birth]]&gt;=1900,Audit_Data[[#This Row],[Year_Birth]]&lt;=2010),"OK","Invalid")</f>
        <v>OK</v>
      </c>
      <c r="AF1014" t="str">
        <f t="shared" si="196"/>
        <v>Valid</v>
      </c>
      <c r="AG1014" t="str">
        <f t="shared" si="197"/>
        <v>Valid</v>
      </c>
      <c r="AH1014" t="str">
        <f t="shared" si="198"/>
        <v>Valid</v>
      </c>
      <c r="AI1014" t="str">
        <f t="shared" si="199"/>
        <v>Valid</v>
      </c>
      <c r="AJ1014" t="str">
        <f t="shared" si="200"/>
        <v>Valid</v>
      </c>
      <c r="AK1014" t="str">
        <f t="shared" si="207"/>
        <v xml:space="preserve">Valid </v>
      </c>
      <c r="AL1014" t="str">
        <f>IF(AND(Audit_Data[[#This Row],[Recency]]&gt;=0,Audit_Data[[#This Row],[Recency]]&lt;=100),"Valid","Invalid")</f>
        <v>Valid</v>
      </c>
      <c r="AM1014" t="str">
        <f t="shared" si="201"/>
        <v>Valid</v>
      </c>
      <c r="AN1014" t="str">
        <f t="shared" si="202"/>
        <v>Valid</v>
      </c>
      <c r="AO1014" t="str">
        <f t="shared" si="203"/>
        <v>Valid</v>
      </c>
      <c r="AP1014" t="str">
        <f t="shared" si="204"/>
        <v>Valid</v>
      </c>
      <c r="AQ1014" t="str">
        <f>IF(Audit_Data[[#This Row],[Z_CostContact]]=3,"Valid","Invalid")</f>
        <v>Valid</v>
      </c>
      <c r="AR1014" t="str">
        <f t="shared" si="205"/>
        <v>Valid</v>
      </c>
      <c r="AS1014" t="str">
        <f t="shared" si="206"/>
        <v>Valid</v>
      </c>
    </row>
    <row r="1015" spans="1:45" x14ac:dyDescent="0.3">
      <c r="A1015">
        <v>1970</v>
      </c>
      <c r="B1015">
        <v>1968</v>
      </c>
      <c r="C1015" t="s">
        <v>34</v>
      </c>
      <c r="D1015" t="s">
        <v>31</v>
      </c>
      <c r="E1015">
        <v>34053</v>
      </c>
      <c r="F1015">
        <v>0</v>
      </c>
      <c r="G1015">
        <v>1</v>
      </c>
      <c r="H1015" s="1">
        <v>41162</v>
      </c>
      <c r="I1015">
        <v>14</v>
      </c>
      <c r="J1015">
        <v>63</v>
      </c>
      <c r="K1015">
        <v>0</v>
      </c>
      <c r="L1015">
        <v>21</v>
      </c>
      <c r="M1015">
        <v>7</v>
      </c>
      <c r="N1015">
        <v>0</v>
      </c>
      <c r="O1015">
        <v>12</v>
      </c>
      <c r="P1015">
        <v>1</v>
      </c>
      <c r="Q1015">
        <v>3</v>
      </c>
      <c r="R1015">
        <v>0</v>
      </c>
      <c r="S1015">
        <v>3</v>
      </c>
      <c r="T1015">
        <v>8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3</v>
      </c>
      <c r="AB1015">
        <v>11</v>
      </c>
      <c r="AC1015">
        <v>0</v>
      </c>
      <c r="AD1015" t="str">
        <f t="shared" si="195"/>
        <v>Ok</v>
      </c>
      <c r="AE1015" t="str">
        <f>IF(AND(Audit_Data[[#This Row],[Year_Birth]]&gt;=1900,Audit_Data[[#This Row],[Year_Birth]]&lt;=2010),"OK","Invalid")</f>
        <v>OK</v>
      </c>
      <c r="AF1015" t="str">
        <f t="shared" si="196"/>
        <v>Valid</v>
      </c>
      <c r="AG1015" t="str">
        <f t="shared" si="197"/>
        <v>Valid</v>
      </c>
      <c r="AH1015" t="str">
        <f t="shared" si="198"/>
        <v>Valid</v>
      </c>
      <c r="AI1015" t="str">
        <f t="shared" si="199"/>
        <v>Valid</v>
      </c>
      <c r="AJ1015" t="str">
        <f t="shared" si="200"/>
        <v>Valid</v>
      </c>
      <c r="AK1015" t="str">
        <f t="shared" si="207"/>
        <v xml:space="preserve">Valid </v>
      </c>
      <c r="AL1015" t="str">
        <f>IF(AND(Audit_Data[[#This Row],[Recency]]&gt;=0,Audit_Data[[#This Row],[Recency]]&lt;=100),"Valid","Invalid")</f>
        <v>Valid</v>
      </c>
      <c r="AM1015" t="str">
        <f t="shared" si="201"/>
        <v>Valid</v>
      </c>
      <c r="AN1015" t="str">
        <f t="shared" si="202"/>
        <v>Valid</v>
      </c>
      <c r="AO1015" t="str">
        <f t="shared" si="203"/>
        <v>Valid</v>
      </c>
      <c r="AP1015" t="str">
        <f t="shared" si="204"/>
        <v>Valid</v>
      </c>
      <c r="AQ1015" t="str">
        <f>IF(Audit_Data[[#This Row],[Z_CostContact]]=3,"Valid","Invalid")</f>
        <v>Valid</v>
      </c>
      <c r="AR1015" t="str">
        <f t="shared" si="205"/>
        <v>Valid</v>
      </c>
      <c r="AS1015" t="str">
        <f t="shared" si="206"/>
        <v>Valid</v>
      </c>
    </row>
    <row r="1016" spans="1:45" x14ac:dyDescent="0.3">
      <c r="A1016">
        <v>5313</v>
      </c>
      <c r="B1016">
        <v>1971</v>
      </c>
      <c r="C1016" t="s">
        <v>34</v>
      </c>
      <c r="D1016" t="s">
        <v>33</v>
      </c>
      <c r="E1016">
        <v>38196</v>
      </c>
      <c r="F1016">
        <v>1</v>
      </c>
      <c r="G1016">
        <v>1</v>
      </c>
      <c r="H1016" s="1">
        <v>41747</v>
      </c>
      <c r="I1016">
        <v>20</v>
      </c>
      <c r="J1016">
        <v>30</v>
      </c>
      <c r="K1016">
        <v>0</v>
      </c>
      <c r="L1016">
        <v>11</v>
      </c>
      <c r="M1016">
        <v>0</v>
      </c>
      <c r="N1016">
        <v>0</v>
      </c>
      <c r="O1016">
        <v>3</v>
      </c>
      <c r="P1016">
        <v>3</v>
      </c>
      <c r="Q1016">
        <v>2</v>
      </c>
      <c r="R1016">
        <v>0</v>
      </c>
      <c r="S1016">
        <v>4</v>
      </c>
      <c r="T1016">
        <v>5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3</v>
      </c>
      <c r="AB1016">
        <v>11</v>
      </c>
      <c r="AC1016">
        <v>0</v>
      </c>
      <c r="AD1016" t="str">
        <f t="shared" si="195"/>
        <v>Ok</v>
      </c>
      <c r="AE1016" t="str">
        <f>IF(AND(Audit_Data[[#This Row],[Year_Birth]]&gt;=1900,Audit_Data[[#This Row],[Year_Birth]]&lt;=2010),"OK","Invalid")</f>
        <v>OK</v>
      </c>
      <c r="AF1016" t="str">
        <f t="shared" si="196"/>
        <v>Valid</v>
      </c>
      <c r="AG1016" t="str">
        <f t="shared" si="197"/>
        <v>Valid</v>
      </c>
      <c r="AH1016" t="str">
        <f t="shared" si="198"/>
        <v>Valid</v>
      </c>
      <c r="AI1016" t="str">
        <f t="shared" si="199"/>
        <v>Valid</v>
      </c>
      <c r="AJ1016" t="str">
        <f t="shared" si="200"/>
        <v>Valid</v>
      </c>
      <c r="AK1016" t="str">
        <f t="shared" si="207"/>
        <v xml:space="preserve">Valid </v>
      </c>
      <c r="AL1016" t="str">
        <f>IF(AND(Audit_Data[[#This Row],[Recency]]&gt;=0,Audit_Data[[#This Row],[Recency]]&lt;=100),"Valid","Invalid")</f>
        <v>Valid</v>
      </c>
      <c r="AM1016" t="str">
        <f t="shared" si="201"/>
        <v>Valid</v>
      </c>
      <c r="AN1016" t="str">
        <f t="shared" si="202"/>
        <v>Valid</v>
      </c>
      <c r="AO1016" t="str">
        <f t="shared" si="203"/>
        <v>Valid</v>
      </c>
      <c r="AP1016" t="str">
        <f t="shared" si="204"/>
        <v>Valid</v>
      </c>
      <c r="AQ1016" t="str">
        <f>IF(Audit_Data[[#This Row],[Z_CostContact]]=3,"Valid","Invalid")</f>
        <v>Valid</v>
      </c>
      <c r="AR1016" t="str">
        <f t="shared" si="205"/>
        <v>Valid</v>
      </c>
      <c r="AS1016" t="str">
        <f t="shared" si="206"/>
        <v>Valid</v>
      </c>
    </row>
    <row r="1017" spans="1:45" x14ac:dyDescent="0.3">
      <c r="A1017">
        <v>10634</v>
      </c>
      <c r="B1017">
        <v>1951</v>
      </c>
      <c r="C1017" t="s">
        <v>34</v>
      </c>
      <c r="D1017" t="s">
        <v>33</v>
      </c>
      <c r="E1017">
        <v>59412</v>
      </c>
      <c r="F1017">
        <v>0</v>
      </c>
      <c r="G1017">
        <v>0</v>
      </c>
      <c r="H1017" s="1">
        <v>41748</v>
      </c>
      <c r="I1017">
        <v>56</v>
      </c>
      <c r="J1017">
        <v>90</v>
      </c>
      <c r="K1017">
        <v>67</v>
      </c>
      <c r="L1017">
        <v>165</v>
      </c>
      <c r="M1017">
        <v>30</v>
      </c>
      <c r="N1017">
        <v>43</v>
      </c>
      <c r="O1017">
        <v>11</v>
      </c>
      <c r="P1017">
        <v>1</v>
      </c>
      <c r="Q1017">
        <v>4</v>
      </c>
      <c r="R1017">
        <v>2</v>
      </c>
      <c r="S1017">
        <v>8</v>
      </c>
      <c r="T1017">
        <v>3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3</v>
      </c>
      <c r="AB1017">
        <v>11</v>
      </c>
      <c r="AC1017">
        <v>0</v>
      </c>
      <c r="AD1017" t="str">
        <f t="shared" si="195"/>
        <v>Ok</v>
      </c>
      <c r="AE1017" t="str">
        <f>IF(AND(Audit_Data[[#This Row],[Year_Birth]]&gt;=1900,Audit_Data[[#This Row],[Year_Birth]]&lt;=2010),"OK","Invalid")</f>
        <v>OK</v>
      </c>
      <c r="AF1017" t="str">
        <f t="shared" si="196"/>
        <v>Valid</v>
      </c>
      <c r="AG1017" t="str">
        <f t="shared" si="197"/>
        <v>Valid</v>
      </c>
      <c r="AH1017" t="str">
        <f t="shared" si="198"/>
        <v>Valid</v>
      </c>
      <c r="AI1017" t="str">
        <f t="shared" si="199"/>
        <v>Valid</v>
      </c>
      <c r="AJ1017" t="str">
        <f t="shared" si="200"/>
        <v>Valid</v>
      </c>
      <c r="AK1017" t="str">
        <f t="shared" si="207"/>
        <v xml:space="preserve">Valid </v>
      </c>
      <c r="AL1017" t="str">
        <f>IF(AND(Audit_Data[[#This Row],[Recency]]&gt;=0,Audit_Data[[#This Row],[Recency]]&lt;=100),"Valid","Invalid")</f>
        <v>Valid</v>
      </c>
      <c r="AM1017" t="str">
        <f t="shared" si="201"/>
        <v>Valid</v>
      </c>
      <c r="AN1017" t="str">
        <f t="shared" si="202"/>
        <v>Valid</v>
      </c>
      <c r="AO1017" t="str">
        <f t="shared" si="203"/>
        <v>Valid</v>
      </c>
      <c r="AP1017" t="str">
        <f t="shared" si="204"/>
        <v>Valid</v>
      </c>
      <c r="AQ1017" t="str">
        <f>IF(Audit_Data[[#This Row],[Z_CostContact]]=3,"Valid","Invalid")</f>
        <v>Valid</v>
      </c>
      <c r="AR1017" t="str">
        <f t="shared" si="205"/>
        <v>Valid</v>
      </c>
      <c r="AS1017" t="str">
        <f t="shared" si="206"/>
        <v>Valid</v>
      </c>
    </row>
    <row r="1018" spans="1:45" x14ac:dyDescent="0.3">
      <c r="A1018">
        <v>7010</v>
      </c>
      <c r="B1018">
        <v>1965</v>
      </c>
      <c r="C1018" t="s">
        <v>37</v>
      </c>
      <c r="D1018" t="s">
        <v>33</v>
      </c>
      <c r="E1018">
        <v>70924</v>
      </c>
      <c r="F1018">
        <v>0</v>
      </c>
      <c r="G1018">
        <v>0</v>
      </c>
      <c r="H1018" s="1">
        <v>41736</v>
      </c>
      <c r="I1018">
        <v>41</v>
      </c>
      <c r="J1018">
        <v>635</v>
      </c>
      <c r="K1018">
        <v>114</v>
      </c>
      <c r="L1018">
        <v>254</v>
      </c>
      <c r="M1018">
        <v>132</v>
      </c>
      <c r="N1018">
        <v>152</v>
      </c>
      <c r="O1018">
        <v>76</v>
      </c>
      <c r="P1018">
        <v>1</v>
      </c>
      <c r="Q1018">
        <v>6</v>
      </c>
      <c r="R1018">
        <v>6</v>
      </c>
      <c r="S1018">
        <v>7</v>
      </c>
      <c r="T1018">
        <v>3</v>
      </c>
      <c r="U1018">
        <v>0</v>
      </c>
      <c r="V1018">
        <v>0</v>
      </c>
      <c r="W1018">
        <v>1</v>
      </c>
      <c r="X1018">
        <v>0</v>
      </c>
      <c r="Y1018">
        <v>0</v>
      </c>
      <c r="Z1018">
        <v>0</v>
      </c>
      <c r="AA1018">
        <v>3</v>
      </c>
      <c r="AB1018">
        <v>11</v>
      </c>
      <c r="AC1018">
        <v>0</v>
      </c>
      <c r="AD1018" t="str">
        <f t="shared" si="195"/>
        <v>Ok</v>
      </c>
      <c r="AE1018" t="str">
        <f>IF(AND(Audit_Data[[#This Row],[Year_Birth]]&gt;=1900,Audit_Data[[#This Row],[Year_Birth]]&lt;=2010),"OK","Invalid")</f>
        <v>OK</v>
      </c>
      <c r="AF1018" t="str">
        <f t="shared" si="196"/>
        <v>Valid</v>
      </c>
      <c r="AG1018" t="str">
        <f t="shared" si="197"/>
        <v>Valid</v>
      </c>
      <c r="AH1018" t="str">
        <f t="shared" si="198"/>
        <v>Valid</v>
      </c>
      <c r="AI1018" t="str">
        <f t="shared" si="199"/>
        <v>Valid</v>
      </c>
      <c r="AJ1018" t="str">
        <f t="shared" si="200"/>
        <v>Valid</v>
      </c>
      <c r="AK1018" t="str">
        <f t="shared" si="207"/>
        <v xml:space="preserve">Valid </v>
      </c>
      <c r="AL1018" t="str">
        <f>IF(AND(Audit_Data[[#This Row],[Recency]]&gt;=0,Audit_Data[[#This Row],[Recency]]&lt;=100),"Valid","Invalid")</f>
        <v>Valid</v>
      </c>
      <c r="AM1018" t="str">
        <f t="shared" si="201"/>
        <v>Valid</v>
      </c>
      <c r="AN1018" t="str">
        <f t="shared" si="202"/>
        <v>Valid</v>
      </c>
      <c r="AO1018" t="str">
        <f t="shared" si="203"/>
        <v>Valid</v>
      </c>
      <c r="AP1018" t="str">
        <f t="shared" si="204"/>
        <v>Valid</v>
      </c>
      <c r="AQ1018" t="str">
        <f>IF(Audit_Data[[#This Row],[Z_CostContact]]=3,"Valid","Invalid")</f>
        <v>Valid</v>
      </c>
      <c r="AR1018" t="str">
        <f t="shared" si="205"/>
        <v>Valid</v>
      </c>
      <c r="AS1018" t="str">
        <f t="shared" si="206"/>
        <v>Valid</v>
      </c>
    </row>
    <row r="1019" spans="1:45" x14ac:dyDescent="0.3">
      <c r="A1019">
        <v>8562</v>
      </c>
      <c r="B1019">
        <v>1969</v>
      </c>
      <c r="C1019" t="s">
        <v>29</v>
      </c>
      <c r="D1019" t="s">
        <v>31</v>
      </c>
      <c r="E1019">
        <v>54165</v>
      </c>
      <c r="F1019">
        <v>0</v>
      </c>
      <c r="G1019">
        <v>0</v>
      </c>
      <c r="H1019" s="1">
        <v>41422</v>
      </c>
      <c r="I1019">
        <v>72</v>
      </c>
      <c r="J1019">
        <v>127</v>
      </c>
      <c r="K1019">
        <v>4</v>
      </c>
      <c r="L1019">
        <v>73</v>
      </c>
      <c r="M1019">
        <v>15</v>
      </c>
      <c r="N1019">
        <v>6</v>
      </c>
      <c r="O1019">
        <v>11</v>
      </c>
      <c r="P1019">
        <v>1</v>
      </c>
      <c r="Q1019">
        <v>2</v>
      </c>
      <c r="R1019">
        <v>1</v>
      </c>
      <c r="S1019">
        <v>7</v>
      </c>
      <c r="T1019">
        <v>2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3</v>
      </c>
      <c r="AB1019">
        <v>11</v>
      </c>
      <c r="AC1019">
        <v>0</v>
      </c>
      <c r="AD1019" t="str">
        <f t="shared" si="195"/>
        <v>Ok</v>
      </c>
      <c r="AE1019" t="str">
        <f>IF(AND(Audit_Data[[#This Row],[Year_Birth]]&gt;=1900,Audit_Data[[#This Row],[Year_Birth]]&lt;=2010),"OK","Invalid")</f>
        <v>OK</v>
      </c>
      <c r="AF1019" t="str">
        <f t="shared" si="196"/>
        <v>Valid</v>
      </c>
      <c r="AG1019" t="str">
        <f t="shared" si="197"/>
        <v>Valid</v>
      </c>
      <c r="AH1019" t="str">
        <f t="shared" si="198"/>
        <v>Valid</v>
      </c>
      <c r="AI1019" t="str">
        <f t="shared" si="199"/>
        <v>Valid</v>
      </c>
      <c r="AJ1019" t="str">
        <f t="shared" si="200"/>
        <v>Valid</v>
      </c>
      <c r="AK1019" t="str">
        <f t="shared" si="207"/>
        <v xml:space="preserve">Valid </v>
      </c>
      <c r="AL1019" t="str">
        <f>IF(AND(Audit_Data[[#This Row],[Recency]]&gt;=0,Audit_Data[[#This Row],[Recency]]&lt;=100),"Valid","Invalid")</f>
        <v>Valid</v>
      </c>
      <c r="AM1019" t="str">
        <f t="shared" si="201"/>
        <v>Valid</v>
      </c>
      <c r="AN1019" t="str">
        <f t="shared" si="202"/>
        <v>Valid</v>
      </c>
      <c r="AO1019" t="str">
        <f t="shared" si="203"/>
        <v>Valid</v>
      </c>
      <c r="AP1019" t="str">
        <f t="shared" si="204"/>
        <v>Valid</v>
      </c>
      <c r="AQ1019" t="str">
        <f>IF(Audit_Data[[#This Row],[Z_CostContact]]=3,"Valid","Invalid")</f>
        <v>Valid</v>
      </c>
      <c r="AR1019" t="str">
        <f t="shared" si="205"/>
        <v>Valid</v>
      </c>
      <c r="AS1019" t="str">
        <f t="shared" si="206"/>
        <v>Valid</v>
      </c>
    </row>
    <row r="1020" spans="1:45" x14ac:dyDescent="0.3">
      <c r="A1020">
        <v>3158</v>
      </c>
      <c r="B1020">
        <v>1973</v>
      </c>
      <c r="C1020" t="s">
        <v>29</v>
      </c>
      <c r="D1020" t="s">
        <v>33</v>
      </c>
      <c r="E1020">
        <v>32300</v>
      </c>
      <c r="F1020">
        <v>1</v>
      </c>
      <c r="G1020">
        <v>0</v>
      </c>
      <c r="H1020" s="1">
        <v>41277</v>
      </c>
      <c r="I1020">
        <v>1</v>
      </c>
      <c r="J1020">
        <v>13</v>
      </c>
      <c r="K1020">
        <v>3</v>
      </c>
      <c r="L1020">
        <v>6</v>
      </c>
      <c r="M1020">
        <v>6</v>
      </c>
      <c r="N1020">
        <v>5</v>
      </c>
      <c r="O1020">
        <v>6</v>
      </c>
      <c r="P1020">
        <v>1</v>
      </c>
      <c r="Q1020">
        <v>1</v>
      </c>
      <c r="R1020">
        <v>0</v>
      </c>
      <c r="S1020">
        <v>3</v>
      </c>
      <c r="T1020">
        <v>8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3</v>
      </c>
      <c r="AB1020">
        <v>11</v>
      </c>
      <c r="AC1020">
        <v>0</v>
      </c>
      <c r="AD1020" t="str">
        <f t="shared" si="195"/>
        <v>Ok</v>
      </c>
      <c r="AE1020" t="str">
        <f>IF(AND(Audit_Data[[#This Row],[Year_Birth]]&gt;=1900,Audit_Data[[#This Row],[Year_Birth]]&lt;=2010),"OK","Invalid")</f>
        <v>OK</v>
      </c>
      <c r="AF1020" t="str">
        <f t="shared" si="196"/>
        <v>Valid</v>
      </c>
      <c r="AG1020" t="str">
        <f t="shared" si="197"/>
        <v>Valid</v>
      </c>
      <c r="AH1020" t="str">
        <f t="shared" si="198"/>
        <v>Valid</v>
      </c>
      <c r="AI1020" t="str">
        <f t="shared" si="199"/>
        <v>Valid</v>
      </c>
      <c r="AJ1020" t="str">
        <f t="shared" si="200"/>
        <v>Valid</v>
      </c>
      <c r="AK1020" t="str">
        <f t="shared" si="207"/>
        <v xml:space="preserve">Valid </v>
      </c>
      <c r="AL1020" t="str">
        <f>IF(AND(Audit_Data[[#This Row],[Recency]]&gt;=0,Audit_Data[[#This Row],[Recency]]&lt;=100),"Valid","Invalid")</f>
        <v>Valid</v>
      </c>
      <c r="AM1020" t="str">
        <f t="shared" si="201"/>
        <v>Valid</v>
      </c>
      <c r="AN1020" t="str">
        <f t="shared" si="202"/>
        <v>Valid</v>
      </c>
      <c r="AO1020" t="str">
        <f t="shared" si="203"/>
        <v>Valid</v>
      </c>
      <c r="AP1020" t="str">
        <f t="shared" si="204"/>
        <v>Valid</v>
      </c>
      <c r="AQ1020" t="str">
        <f>IF(Audit_Data[[#This Row],[Z_CostContact]]=3,"Valid","Invalid")</f>
        <v>Valid</v>
      </c>
      <c r="AR1020" t="str">
        <f t="shared" si="205"/>
        <v>Valid</v>
      </c>
      <c r="AS1020" t="str">
        <f t="shared" si="206"/>
        <v>Valid</v>
      </c>
    </row>
    <row r="1021" spans="1:45" x14ac:dyDescent="0.3">
      <c r="A1021">
        <v>4436</v>
      </c>
      <c r="B1021">
        <v>1976</v>
      </c>
      <c r="C1021" t="s">
        <v>29</v>
      </c>
      <c r="D1021" t="s">
        <v>30</v>
      </c>
      <c r="E1021">
        <v>20180</v>
      </c>
      <c r="F1021">
        <v>0</v>
      </c>
      <c r="G1021">
        <v>0</v>
      </c>
      <c r="H1021" s="1">
        <v>41325</v>
      </c>
      <c r="I1021">
        <v>27</v>
      </c>
      <c r="J1021">
        <v>18</v>
      </c>
      <c r="K1021">
        <v>42</v>
      </c>
      <c r="L1021">
        <v>24</v>
      </c>
      <c r="M1021">
        <v>15</v>
      </c>
      <c r="N1021">
        <v>20</v>
      </c>
      <c r="O1021">
        <v>18</v>
      </c>
      <c r="P1021">
        <v>1</v>
      </c>
      <c r="Q1021">
        <v>2</v>
      </c>
      <c r="R1021">
        <v>1</v>
      </c>
      <c r="S1021">
        <v>4</v>
      </c>
      <c r="T1021">
        <v>7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3</v>
      </c>
      <c r="AB1021">
        <v>11</v>
      </c>
      <c r="AC1021">
        <v>0</v>
      </c>
      <c r="AD1021" t="str">
        <f t="shared" si="195"/>
        <v>Ok</v>
      </c>
      <c r="AE1021" t="str">
        <f>IF(AND(Audit_Data[[#This Row],[Year_Birth]]&gt;=1900,Audit_Data[[#This Row],[Year_Birth]]&lt;=2010),"OK","Invalid")</f>
        <v>OK</v>
      </c>
      <c r="AF1021" t="str">
        <f t="shared" si="196"/>
        <v>Valid</v>
      </c>
      <c r="AG1021" t="str">
        <f t="shared" si="197"/>
        <v>Valid</v>
      </c>
      <c r="AH1021" t="str">
        <f t="shared" si="198"/>
        <v>Valid</v>
      </c>
      <c r="AI1021" t="str">
        <f t="shared" si="199"/>
        <v>Valid</v>
      </c>
      <c r="AJ1021" t="str">
        <f t="shared" si="200"/>
        <v>Valid</v>
      </c>
      <c r="AK1021" t="str">
        <f t="shared" si="207"/>
        <v xml:space="preserve">Valid </v>
      </c>
      <c r="AL1021" t="str">
        <f>IF(AND(Audit_Data[[#This Row],[Recency]]&gt;=0,Audit_Data[[#This Row],[Recency]]&lt;=100),"Valid","Invalid")</f>
        <v>Valid</v>
      </c>
      <c r="AM1021" t="str">
        <f t="shared" si="201"/>
        <v>Valid</v>
      </c>
      <c r="AN1021" t="str">
        <f t="shared" si="202"/>
        <v>Valid</v>
      </c>
      <c r="AO1021" t="str">
        <f t="shared" si="203"/>
        <v>Valid</v>
      </c>
      <c r="AP1021" t="str">
        <f t="shared" si="204"/>
        <v>Valid</v>
      </c>
      <c r="AQ1021" t="str">
        <f>IF(Audit_Data[[#This Row],[Z_CostContact]]=3,"Valid","Invalid")</f>
        <v>Valid</v>
      </c>
      <c r="AR1021" t="str">
        <f t="shared" si="205"/>
        <v>Valid</v>
      </c>
      <c r="AS1021" t="str">
        <f t="shared" si="206"/>
        <v>Valid</v>
      </c>
    </row>
    <row r="1022" spans="1:45" x14ac:dyDescent="0.3">
      <c r="A1022">
        <v>5287</v>
      </c>
      <c r="B1022">
        <v>1973</v>
      </c>
      <c r="C1022" t="s">
        <v>29</v>
      </c>
      <c r="D1022" t="s">
        <v>33</v>
      </c>
      <c r="E1022">
        <v>34961</v>
      </c>
      <c r="F1022">
        <v>1</v>
      </c>
      <c r="G1022">
        <v>0</v>
      </c>
      <c r="H1022" s="1">
        <v>41809</v>
      </c>
      <c r="I1022">
        <v>77</v>
      </c>
      <c r="J1022">
        <v>45</v>
      </c>
      <c r="K1022">
        <v>2</v>
      </c>
      <c r="L1022">
        <v>26</v>
      </c>
      <c r="M1022">
        <v>4</v>
      </c>
      <c r="N1022">
        <v>1</v>
      </c>
      <c r="O1022">
        <v>1</v>
      </c>
      <c r="P1022">
        <v>3</v>
      </c>
      <c r="Q1022">
        <v>3</v>
      </c>
      <c r="R1022">
        <v>1</v>
      </c>
      <c r="S1022">
        <v>3</v>
      </c>
      <c r="T1022">
        <v>7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3</v>
      </c>
      <c r="AB1022">
        <v>11</v>
      </c>
      <c r="AC1022">
        <v>0</v>
      </c>
      <c r="AD1022" t="str">
        <f t="shared" si="195"/>
        <v>Ok</v>
      </c>
      <c r="AE1022" t="str">
        <f>IF(AND(Audit_Data[[#This Row],[Year_Birth]]&gt;=1900,Audit_Data[[#This Row],[Year_Birth]]&lt;=2010),"OK","Invalid")</f>
        <v>OK</v>
      </c>
      <c r="AF1022" t="str">
        <f t="shared" si="196"/>
        <v>Valid</v>
      </c>
      <c r="AG1022" t="str">
        <f t="shared" si="197"/>
        <v>Valid</v>
      </c>
      <c r="AH1022" t="str">
        <f t="shared" si="198"/>
        <v>Valid</v>
      </c>
      <c r="AI1022" t="str">
        <f t="shared" si="199"/>
        <v>Valid</v>
      </c>
      <c r="AJ1022" t="str">
        <f t="shared" si="200"/>
        <v>Valid</v>
      </c>
      <c r="AK1022" t="str">
        <f t="shared" si="207"/>
        <v xml:space="preserve">Valid </v>
      </c>
      <c r="AL1022" t="str">
        <f>IF(AND(Audit_Data[[#This Row],[Recency]]&gt;=0,Audit_Data[[#This Row],[Recency]]&lt;=100),"Valid","Invalid")</f>
        <v>Valid</v>
      </c>
      <c r="AM1022" t="str">
        <f t="shared" si="201"/>
        <v>Valid</v>
      </c>
      <c r="AN1022" t="str">
        <f t="shared" si="202"/>
        <v>Valid</v>
      </c>
      <c r="AO1022" t="str">
        <f t="shared" si="203"/>
        <v>Valid</v>
      </c>
      <c r="AP1022" t="str">
        <f t="shared" si="204"/>
        <v>Valid</v>
      </c>
      <c r="AQ1022" t="str">
        <f>IF(Audit_Data[[#This Row],[Z_CostContact]]=3,"Valid","Invalid")</f>
        <v>Valid</v>
      </c>
      <c r="AR1022" t="str">
        <f t="shared" si="205"/>
        <v>Valid</v>
      </c>
      <c r="AS1022" t="str">
        <f t="shared" si="206"/>
        <v>Valid</v>
      </c>
    </row>
    <row r="1023" spans="1:45" x14ac:dyDescent="0.3">
      <c r="A1023">
        <v>2445</v>
      </c>
      <c r="B1023">
        <v>1974</v>
      </c>
      <c r="C1023" t="s">
        <v>32</v>
      </c>
      <c r="D1023" t="s">
        <v>31</v>
      </c>
      <c r="E1023">
        <v>28440</v>
      </c>
      <c r="F1023">
        <v>1</v>
      </c>
      <c r="G1023">
        <v>0</v>
      </c>
      <c r="H1023" s="1">
        <v>41462</v>
      </c>
      <c r="I1023">
        <v>87</v>
      </c>
      <c r="J1023">
        <v>38</v>
      </c>
      <c r="K1023">
        <v>1</v>
      </c>
      <c r="L1023">
        <v>24</v>
      </c>
      <c r="M1023">
        <v>0</v>
      </c>
      <c r="N1023">
        <v>0</v>
      </c>
      <c r="O1023">
        <v>0</v>
      </c>
      <c r="P1023">
        <v>1</v>
      </c>
      <c r="Q1023">
        <v>2</v>
      </c>
      <c r="R1023">
        <v>0</v>
      </c>
      <c r="S1023">
        <v>3</v>
      </c>
      <c r="T1023">
        <v>8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3</v>
      </c>
      <c r="AB1023">
        <v>11</v>
      </c>
      <c r="AC1023">
        <v>0</v>
      </c>
      <c r="AD1023" t="str">
        <f t="shared" si="195"/>
        <v>Ok</v>
      </c>
      <c r="AE1023" t="str">
        <f>IF(AND(Audit_Data[[#This Row],[Year_Birth]]&gt;=1900,Audit_Data[[#This Row],[Year_Birth]]&lt;=2010),"OK","Invalid")</f>
        <v>OK</v>
      </c>
      <c r="AF1023" t="str">
        <f t="shared" si="196"/>
        <v>Valid</v>
      </c>
      <c r="AG1023" t="str">
        <f t="shared" si="197"/>
        <v>Valid</v>
      </c>
      <c r="AH1023" t="str">
        <f t="shared" si="198"/>
        <v>Valid</v>
      </c>
      <c r="AI1023" t="str">
        <f t="shared" si="199"/>
        <v>Valid</v>
      </c>
      <c r="AJ1023" t="str">
        <f t="shared" si="200"/>
        <v>Valid</v>
      </c>
      <c r="AK1023" t="str">
        <f t="shared" si="207"/>
        <v xml:space="preserve">Valid </v>
      </c>
      <c r="AL1023" t="str">
        <f>IF(AND(Audit_Data[[#This Row],[Recency]]&gt;=0,Audit_Data[[#This Row],[Recency]]&lt;=100),"Valid","Invalid")</f>
        <v>Valid</v>
      </c>
      <c r="AM1023" t="str">
        <f t="shared" si="201"/>
        <v>Valid</v>
      </c>
      <c r="AN1023" t="str">
        <f t="shared" si="202"/>
        <v>Valid</v>
      </c>
      <c r="AO1023" t="str">
        <f t="shared" si="203"/>
        <v>Valid</v>
      </c>
      <c r="AP1023" t="str">
        <f t="shared" si="204"/>
        <v>Valid</v>
      </c>
      <c r="AQ1023" t="str">
        <f>IF(Audit_Data[[#This Row],[Z_CostContact]]=3,"Valid","Invalid")</f>
        <v>Valid</v>
      </c>
      <c r="AR1023" t="str">
        <f t="shared" si="205"/>
        <v>Valid</v>
      </c>
      <c r="AS1023" t="str">
        <f t="shared" si="206"/>
        <v>Valid</v>
      </c>
    </row>
    <row r="1024" spans="1:45" x14ac:dyDescent="0.3">
      <c r="A1024">
        <v>6059</v>
      </c>
      <c r="B1024">
        <v>1953</v>
      </c>
      <c r="C1024" t="s">
        <v>32</v>
      </c>
      <c r="D1024" t="s">
        <v>31</v>
      </c>
      <c r="E1024">
        <v>64504</v>
      </c>
      <c r="F1024">
        <v>1</v>
      </c>
      <c r="G1024">
        <v>2</v>
      </c>
      <c r="H1024" s="1">
        <v>41337</v>
      </c>
      <c r="I1024">
        <v>81</v>
      </c>
      <c r="J1024">
        <v>986</v>
      </c>
      <c r="K1024">
        <v>36</v>
      </c>
      <c r="L1024">
        <v>168</v>
      </c>
      <c r="M1024">
        <v>16</v>
      </c>
      <c r="N1024">
        <v>0</v>
      </c>
      <c r="O1024">
        <v>108</v>
      </c>
      <c r="P1024">
        <v>7</v>
      </c>
      <c r="Q1024">
        <v>11</v>
      </c>
      <c r="R1024">
        <v>3</v>
      </c>
      <c r="S1024">
        <v>4</v>
      </c>
      <c r="T1024">
        <v>7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3</v>
      </c>
      <c r="AB1024">
        <v>11</v>
      </c>
      <c r="AC1024">
        <v>1</v>
      </c>
      <c r="AD1024" t="str">
        <f t="shared" si="195"/>
        <v>Ok</v>
      </c>
      <c r="AE1024" t="str">
        <f>IF(AND(Audit_Data[[#This Row],[Year_Birth]]&gt;=1900,Audit_Data[[#This Row],[Year_Birth]]&lt;=2010),"OK","Invalid")</f>
        <v>OK</v>
      </c>
      <c r="AF1024" t="str">
        <f t="shared" si="196"/>
        <v>Valid</v>
      </c>
      <c r="AG1024" t="str">
        <f t="shared" si="197"/>
        <v>Valid</v>
      </c>
      <c r="AH1024" t="str">
        <f t="shared" si="198"/>
        <v>Valid</v>
      </c>
      <c r="AI1024" t="str">
        <f t="shared" si="199"/>
        <v>Valid</v>
      </c>
      <c r="AJ1024" t="str">
        <f t="shared" si="200"/>
        <v>Valid</v>
      </c>
      <c r="AK1024" t="str">
        <f t="shared" si="207"/>
        <v xml:space="preserve">Valid </v>
      </c>
      <c r="AL1024" t="str">
        <f>IF(AND(Audit_Data[[#This Row],[Recency]]&gt;=0,Audit_Data[[#This Row],[Recency]]&lt;=100),"Valid","Invalid")</f>
        <v>Valid</v>
      </c>
      <c r="AM1024" t="str">
        <f t="shared" si="201"/>
        <v>Valid</v>
      </c>
      <c r="AN1024" t="str">
        <f t="shared" si="202"/>
        <v>Valid</v>
      </c>
      <c r="AO1024" t="str">
        <f t="shared" si="203"/>
        <v>Valid</v>
      </c>
      <c r="AP1024" t="str">
        <f t="shared" si="204"/>
        <v>Valid</v>
      </c>
      <c r="AQ1024" t="str">
        <f>IF(Audit_Data[[#This Row],[Z_CostContact]]=3,"Valid","Invalid")</f>
        <v>Valid</v>
      </c>
      <c r="AR1024" t="str">
        <f t="shared" si="205"/>
        <v>Valid</v>
      </c>
      <c r="AS1024" t="str">
        <f t="shared" si="206"/>
        <v>Valid</v>
      </c>
    </row>
    <row r="1025" spans="1:45" x14ac:dyDescent="0.3">
      <c r="A1025">
        <v>4550</v>
      </c>
      <c r="B1025">
        <v>1966</v>
      </c>
      <c r="C1025" t="s">
        <v>34</v>
      </c>
      <c r="D1025" t="s">
        <v>31</v>
      </c>
      <c r="E1025">
        <v>33564</v>
      </c>
      <c r="F1025">
        <v>0</v>
      </c>
      <c r="G1025">
        <v>1</v>
      </c>
      <c r="H1025" s="1">
        <v>41814</v>
      </c>
      <c r="I1025">
        <v>51</v>
      </c>
      <c r="J1025">
        <v>61</v>
      </c>
      <c r="K1025">
        <v>0</v>
      </c>
      <c r="L1025">
        <v>3</v>
      </c>
      <c r="M1025">
        <v>0</v>
      </c>
      <c r="N1025">
        <v>0</v>
      </c>
      <c r="O1025">
        <v>7</v>
      </c>
      <c r="P1025">
        <v>1</v>
      </c>
      <c r="Q1025">
        <v>1</v>
      </c>
      <c r="R1025">
        <v>1</v>
      </c>
      <c r="S1025">
        <v>3</v>
      </c>
      <c r="T1025">
        <v>5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3</v>
      </c>
      <c r="AB1025">
        <v>11</v>
      </c>
      <c r="AC1025">
        <v>0</v>
      </c>
      <c r="AD1025" t="str">
        <f t="shared" si="195"/>
        <v>Ok</v>
      </c>
      <c r="AE1025" t="str">
        <f>IF(AND(Audit_Data[[#This Row],[Year_Birth]]&gt;=1900,Audit_Data[[#This Row],[Year_Birth]]&lt;=2010),"OK","Invalid")</f>
        <v>OK</v>
      </c>
      <c r="AF1025" t="str">
        <f t="shared" si="196"/>
        <v>Valid</v>
      </c>
      <c r="AG1025" t="str">
        <f t="shared" si="197"/>
        <v>Valid</v>
      </c>
      <c r="AH1025" t="str">
        <f t="shared" si="198"/>
        <v>Valid</v>
      </c>
      <c r="AI1025" t="str">
        <f t="shared" si="199"/>
        <v>Valid</v>
      </c>
      <c r="AJ1025" t="str">
        <f t="shared" si="200"/>
        <v>Valid</v>
      </c>
      <c r="AK1025" t="str">
        <f t="shared" si="207"/>
        <v xml:space="preserve">Valid </v>
      </c>
      <c r="AL1025" t="str">
        <f>IF(AND(Audit_Data[[#This Row],[Recency]]&gt;=0,Audit_Data[[#This Row],[Recency]]&lt;=100),"Valid","Invalid")</f>
        <v>Valid</v>
      </c>
      <c r="AM1025" t="str">
        <f t="shared" si="201"/>
        <v>Valid</v>
      </c>
      <c r="AN1025" t="str">
        <f t="shared" si="202"/>
        <v>Valid</v>
      </c>
      <c r="AO1025" t="str">
        <f t="shared" si="203"/>
        <v>Valid</v>
      </c>
      <c r="AP1025" t="str">
        <f t="shared" si="204"/>
        <v>Valid</v>
      </c>
      <c r="AQ1025" t="str">
        <f>IF(Audit_Data[[#This Row],[Z_CostContact]]=3,"Valid","Invalid")</f>
        <v>Valid</v>
      </c>
      <c r="AR1025" t="str">
        <f t="shared" si="205"/>
        <v>Valid</v>
      </c>
      <c r="AS1025" t="str">
        <f t="shared" si="206"/>
        <v>Valid</v>
      </c>
    </row>
    <row r="1026" spans="1:45" x14ac:dyDescent="0.3">
      <c r="A1026">
        <v>4240</v>
      </c>
      <c r="B1026">
        <v>1978</v>
      </c>
      <c r="C1026" t="s">
        <v>29</v>
      </c>
      <c r="D1026" t="s">
        <v>33</v>
      </c>
      <c r="E1026">
        <v>17345</v>
      </c>
      <c r="F1026">
        <v>1</v>
      </c>
      <c r="G1026">
        <v>0</v>
      </c>
      <c r="H1026" s="1">
        <v>41216</v>
      </c>
      <c r="I1026">
        <v>79</v>
      </c>
      <c r="J1026">
        <v>4</v>
      </c>
      <c r="K1026">
        <v>9</v>
      </c>
      <c r="L1026">
        <v>16</v>
      </c>
      <c r="M1026">
        <v>17</v>
      </c>
      <c r="N1026">
        <v>0</v>
      </c>
      <c r="O1026">
        <v>12</v>
      </c>
      <c r="P1026">
        <v>2</v>
      </c>
      <c r="Q1026">
        <v>2</v>
      </c>
      <c r="R1026">
        <v>1</v>
      </c>
      <c r="S1026">
        <v>2</v>
      </c>
      <c r="T1026">
        <v>8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3</v>
      </c>
      <c r="AB1026">
        <v>11</v>
      </c>
      <c r="AC1026">
        <v>0</v>
      </c>
      <c r="AD1026" t="str">
        <f t="shared" ref="AD1026:AD1089" si="208">IF(COUNTIF(A:A,A1026)&gt;1,"Duplicate","Ok")</f>
        <v>Ok</v>
      </c>
      <c r="AE1026" t="str">
        <f>IF(AND(Audit_Data[[#This Row],[Year_Birth]]&gt;=1900,Audit_Data[[#This Row],[Year_Birth]]&lt;=2010),"OK","Invalid")</f>
        <v>OK</v>
      </c>
      <c r="AF1026" t="str">
        <f t="shared" ref="AF1026:AF1089" si="209">IF(OR(C1026="Graduation",C1026="phD",C1026="Master",C1026="Basic",C1026="2n Cycle"),"Valid","Invalid")</f>
        <v>Valid</v>
      </c>
      <c r="AG1026" t="str">
        <f t="shared" ref="AG1026:AG1089" si="210">IF(OR(D1026="Single",D1026="Married",D1026="Divorced",D1026="Together",D1026="Widow",D1026="Alone"),"Valid","Invalid")</f>
        <v>Valid</v>
      </c>
      <c r="AH1026" t="str">
        <f t="shared" ref="AH1026:AH1089" si="211">IF(AND(ISNUMBER(E1026),E1026&lt;&gt;""),"Valid","Invalid")</f>
        <v>Valid</v>
      </c>
      <c r="AI1026" t="str">
        <f t="shared" ref="AI1026:AI1089" si="212">IF(AND(F1026&gt;=0,F1026&lt;=2),"Valid","Invalid")</f>
        <v>Valid</v>
      </c>
      <c r="AJ1026" t="str">
        <f t="shared" ref="AJ1026:AJ1089" si="213">IF(AND(G1026&gt;=0,G1026&lt;=2),"Valid","Invalid")</f>
        <v>Valid</v>
      </c>
      <c r="AK1026" t="str">
        <f t="shared" si="207"/>
        <v xml:space="preserve">Valid </v>
      </c>
      <c r="AL1026" t="str">
        <f>IF(AND(Audit_Data[[#This Row],[Recency]]&gt;=0,Audit_Data[[#This Row],[Recency]]&lt;=100),"Valid","Invalid")</f>
        <v>Valid</v>
      </c>
      <c r="AM1026" t="str">
        <f t="shared" ref="AM1026:AM1089" si="214">IF(AND(ISNUMBER(J1026),J1026&gt;=0,ISNUMBER(K1026),K1026&gt;=0,ISNUMBER(L1026),L1026&gt;=0,ISNUMBER(M1026),M1026&gt;=0,ISNUMBER(N1026),N1026&gt;=0,ISNUMBER(O1026),O1026&gt;=0),"Valid","Invalid")</f>
        <v>Valid</v>
      </c>
      <c r="AN1026" t="str">
        <f t="shared" ref="AN1026:AN1089" si="215">IF(AND(ISNUMBER(P1026),P1026&gt;=0,ISNUMBER(Q1026),Q1026&gt;=0,ISNUMBER(R1026),R1026&gt;=0,ISNUMBER(S1026),S1026&gt;=0,ISNUMBER(T1026),T1026&gt;=0),"Valid","Invalid")</f>
        <v>Valid</v>
      </c>
      <c r="AO1026" t="str">
        <f t="shared" ref="AO1026:AO1089" si="216">IF(AND(U1026&lt;=1,V1026&lt;=1,W1026&lt;=1,X1026&lt;=1,Y1026&lt;=1),"Valid","Invalid")</f>
        <v>Valid</v>
      </c>
      <c r="AP1026" t="str">
        <f t="shared" ref="AP1026:AP1089" si="217">IF(OR(Z1026=0,Z1026=1),"Valid","Invalid")</f>
        <v>Valid</v>
      </c>
      <c r="AQ1026" t="str">
        <f>IF(Audit_Data[[#This Row],[Z_CostContact]]=3,"Valid","Invalid")</f>
        <v>Valid</v>
      </c>
      <c r="AR1026" t="str">
        <f t="shared" ref="AR1026:AR1089" si="218">IF(AB1026=11,"Valid","Invalid")</f>
        <v>Valid</v>
      </c>
      <c r="AS1026" t="str">
        <f t="shared" ref="AS1026:AS1089" si="219">IF(OR(AC1026=0,AC1026=1),"Valid","Invalid")</f>
        <v>Valid</v>
      </c>
    </row>
    <row r="1027" spans="1:45" x14ac:dyDescent="0.3">
      <c r="A1027">
        <v>8911</v>
      </c>
      <c r="B1027">
        <v>1967</v>
      </c>
      <c r="C1027" t="s">
        <v>32</v>
      </c>
      <c r="D1027" t="s">
        <v>33</v>
      </c>
      <c r="E1027">
        <v>56320</v>
      </c>
      <c r="F1027">
        <v>0</v>
      </c>
      <c r="G1027">
        <v>1</v>
      </c>
      <c r="H1027" s="1">
        <v>41372</v>
      </c>
      <c r="I1027">
        <v>11</v>
      </c>
      <c r="J1027">
        <v>201</v>
      </c>
      <c r="K1027">
        <v>53</v>
      </c>
      <c r="L1027">
        <v>172</v>
      </c>
      <c r="M1027">
        <v>116</v>
      </c>
      <c r="N1027">
        <v>77</v>
      </c>
      <c r="O1027">
        <v>83</v>
      </c>
      <c r="P1027">
        <v>3</v>
      </c>
      <c r="Q1027">
        <v>5</v>
      </c>
      <c r="R1027">
        <v>4</v>
      </c>
      <c r="S1027">
        <v>9</v>
      </c>
      <c r="T1027">
        <v>4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3</v>
      </c>
      <c r="AB1027">
        <v>11</v>
      </c>
      <c r="AC1027">
        <v>0</v>
      </c>
      <c r="AD1027" t="str">
        <f t="shared" si="208"/>
        <v>Ok</v>
      </c>
      <c r="AE1027" t="str">
        <f>IF(AND(Audit_Data[[#This Row],[Year_Birth]]&gt;=1900,Audit_Data[[#This Row],[Year_Birth]]&lt;=2010),"OK","Invalid")</f>
        <v>OK</v>
      </c>
      <c r="AF1027" t="str">
        <f t="shared" si="209"/>
        <v>Valid</v>
      </c>
      <c r="AG1027" t="str">
        <f t="shared" si="210"/>
        <v>Valid</v>
      </c>
      <c r="AH1027" t="str">
        <f t="shared" si="211"/>
        <v>Valid</v>
      </c>
      <c r="AI1027" t="str">
        <f t="shared" si="212"/>
        <v>Valid</v>
      </c>
      <c r="AJ1027" t="str">
        <f t="shared" si="213"/>
        <v>Valid</v>
      </c>
      <c r="AK1027" t="str">
        <f t="shared" ref="AK1027:AK1090" si="220">IF(AND(ISNUMBER(H1027),H1027&gt;=DATE(2012,1,1),H1027&lt;=DATE(2014,12,31)),"Valid ","Invalid")</f>
        <v xml:space="preserve">Valid </v>
      </c>
      <c r="AL1027" t="str">
        <f>IF(AND(Audit_Data[[#This Row],[Recency]]&gt;=0,Audit_Data[[#This Row],[Recency]]&lt;=100),"Valid","Invalid")</f>
        <v>Valid</v>
      </c>
      <c r="AM1027" t="str">
        <f t="shared" si="214"/>
        <v>Valid</v>
      </c>
      <c r="AN1027" t="str">
        <f t="shared" si="215"/>
        <v>Valid</v>
      </c>
      <c r="AO1027" t="str">
        <f t="shared" si="216"/>
        <v>Valid</v>
      </c>
      <c r="AP1027" t="str">
        <f t="shared" si="217"/>
        <v>Valid</v>
      </c>
      <c r="AQ1027" t="str">
        <f>IF(Audit_Data[[#This Row],[Z_CostContact]]=3,"Valid","Invalid")</f>
        <v>Valid</v>
      </c>
      <c r="AR1027" t="str">
        <f t="shared" si="218"/>
        <v>Valid</v>
      </c>
      <c r="AS1027" t="str">
        <f t="shared" si="219"/>
        <v>Valid</v>
      </c>
    </row>
    <row r="1028" spans="1:45" x14ac:dyDescent="0.3">
      <c r="A1028">
        <v>3706</v>
      </c>
      <c r="B1028">
        <v>1978</v>
      </c>
      <c r="C1028" t="s">
        <v>29</v>
      </c>
      <c r="D1028" t="s">
        <v>30</v>
      </c>
      <c r="E1028">
        <v>28647</v>
      </c>
      <c r="F1028">
        <v>1</v>
      </c>
      <c r="G1028">
        <v>0</v>
      </c>
      <c r="H1028" s="1">
        <v>41507</v>
      </c>
      <c r="I1028">
        <v>54</v>
      </c>
      <c r="J1028">
        <v>19</v>
      </c>
      <c r="K1028">
        <v>8</v>
      </c>
      <c r="L1028">
        <v>29</v>
      </c>
      <c r="M1028">
        <v>0</v>
      </c>
      <c r="N1028">
        <v>12</v>
      </c>
      <c r="O1028">
        <v>26</v>
      </c>
      <c r="P1028">
        <v>1</v>
      </c>
      <c r="Q1028">
        <v>2</v>
      </c>
      <c r="R1028">
        <v>2</v>
      </c>
      <c r="S1028">
        <v>2</v>
      </c>
      <c r="T1028">
        <v>7</v>
      </c>
      <c r="U1028">
        <v>1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3</v>
      </c>
      <c r="AB1028">
        <v>11</v>
      </c>
      <c r="AC1028">
        <v>1</v>
      </c>
      <c r="AD1028" t="str">
        <f t="shared" si="208"/>
        <v>Ok</v>
      </c>
      <c r="AE1028" t="str">
        <f>IF(AND(Audit_Data[[#This Row],[Year_Birth]]&gt;=1900,Audit_Data[[#This Row],[Year_Birth]]&lt;=2010),"OK","Invalid")</f>
        <v>OK</v>
      </c>
      <c r="AF1028" t="str">
        <f t="shared" si="209"/>
        <v>Valid</v>
      </c>
      <c r="AG1028" t="str">
        <f t="shared" si="210"/>
        <v>Valid</v>
      </c>
      <c r="AH1028" t="str">
        <f t="shared" si="211"/>
        <v>Valid</v>
      </c>
      <c r="AI1028" t="str">
        <f t="shared" si="212"/>
        <v>Valid</v>
      </c>
      <c r="AJ1028" t="str">
        <f t="shared" si="213"/>
        <v>Valid</v>
      </c>
      <c r="AK1028" t="str">
        <f t="shared" si="220"/>
        <v xml:space="preserve">Valid </v>
      </c>
      <c r="AL1028" t="str">
        <f>IF(AND(Audit_Data[[#This Row],[Recency]]&gt;=0,Audit_Data[[#This Row],[Recency]]&lt;=100),"Valid","Invalid")</f>
        <v>Valid</v>
      </c>
      <c r="AM1028" t="str">
        <f t="shared" si="214"/>
        <v>Valid</v>
      </c>
      <c r="AN1028" t="str">
        <f t="shared" si="215"/>
        <v>Valid</v>
      </c>
      <c r="AO1028" t="str">
        <f t="shared" si="216"/>
        <v>Valid</v>
      </c>
      <c r="AP1028" t="str">
        <f t="shared" si="217"/>
        <v>Valid</v>
      </c>
      <c r="AQ1028" t="str">
        <f>IF(Audit_Data[[#This Row],[Z_CostContact]]=3,"Valid","Invalid")</f>
        <v>Valid</v>
      </c>
      <c r="AR1028" t="str">
        <f t="shared" si="218"/>
        <v>Valid</v>
      </c>
      <c r="AS1028" t="str">
        <f t="shared" si="219"/>
        <v>Valid</v>
      </c>
    </row>
    <row r="1029" spans="1:45" x14ac:dyDescent="0.3">
      <c r="A1029">
        <v>3628</v>
      </c>
      <c r="B1029">
        <v>1987</v>
      </c>
      <c r="C1029" t="s">
        <v>36</v>
      </c>
      <c r="D1029" t="s">
        <v>30</v>
      </c>
      <c r="E1029">
        <v>15038</v>
      </c>
      <c r="F1029">
        <v>1</v>
      </c>
      <c r="G1029">
        <v>0</v>
      </c>
      <c r="H1029" s="1">
        <v>41303</v>
      </c>
      <c r="I1029">
        <v>93</v>
      </c>
      <c r="J1029">
        <v>4</v>
      </c>
      <c r="K1029">
        <v>8</v>
      </c>
      <c r="L1029">
        <v>11</v>
      </c>
      <c r="M1029">
        <v>19</v>
      </c>
      <c r="N1029">
        <v>12</v>
      </c>
      <c r="O1029">
        <v>26</v>
      </c>
      <c r="P1029">
        <v>2</v>
      </c>
      <c r="Q1029">
        <v>2</v>
      </c>
      <c r="R1029">
        <v>1</v>
      </c>
      <c r="S1029">
        <v>2</v>
      </c>
      <c r="T1029">
        <v>9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3</v>
      </c>
      <c r="AB1029">
        <v>11</v>
      </c>
      <c r="AC1029">
        <v>0</v>
      </c>
      <c r="AD1029" t="str">
        <f t="shared" si="208"/>
        <v>Ok</v>
      </c>
      <c r="AE1029" t="str">
        <f>IF(AND(Audit_Data[[#This Row],[Year_Birth]]&gt;=1900,Audit_Data[[#This Row],[Year_Birth]]&lt;=2010),"OK","Invalid")</f>
        <v>OK</v>
      </c>
      <c r="AF1029" t="str">
        <f t="shared" si="209"/>
        <v>Valid</v>
      </c>
      <c r="AG1029" t="str">
        <f t="shared" si="210"/>
        <v>Valid</v>
      </c>
      <c r="AH1029" t="str">
        <f t="shared" si="211"/>
        <v>Valid</v>
      </c>
      <c r="AI1029" t="str">
        <f t="shared" si="212"/>
        <v>Valid</v>
      </c>
      <c r="AJ1029" t="str">
        <f t="shared" si="213"/>
        <v>Valid</v>
      </c>
      <c r="AK1029" t="str">
        <f t="shared" si="220"/>
        <v xml:space="preserve">Valid </v>
      </c>
      <c r="AL1029" t="str">
        <f>IF(AND(Audit_Data[[#This Row],[Recency]]&gt;=0,Audit_Data[[#This Row],[Recency]]&lt;=100),"Valid","Invalid")</f>
        <v>Valid</v>
      </c>
      <c r="AM1029" t="str">
        <f t="shared" si="214"/>
        <v>Valid</v>
      </c>
      <c r="AN1029" t="str">
        <f t="shared" si="215"/>
        <v>Valid</v>
      </c>
      <c r="AO1029" t="str">
        <f t="shared" si="216"/>
        <v>Valid</v>
      </c>
      <c r="AP1029" t="str">
        <f t="shared" si="217"/>
        <v>Valid</v>
      </c>
      <c r="AQ1029" t="str">
        <f>IF(Audit_Data[[#This Row],[Z_CostContact]]=3,"Valid","Invalid")</f>
        <v>Valid</v>
      </c>
      <c r="AR1029" t="str">
        <f t="shared" si="218"/>
        <v>Valid</v>
      </c>
      <c r="AS1029" t="str">
        <f t="shared" si="219"/>
        <v>Valid</v>
      </c>
    </row>
    <row r="1030" spans="1:45" x14ac:dyDescent="0.3">
      <c r="A1030">
        <v>10175</v>
      </c>
      <c r="B1030">
        <v>1958</v>
      </c>
      <c r="C1030" t="s">
        <v>32</v>
      </c>
      <c r="D1030" t="s">
        <v>35</v>
      </c>
      <c r="E1030">
        <v>32173</v>
      </c>
      <c r="F1030">
        <v>0</v>
      </c>
      <c r="G1030">
        <v>1</v>
      </c>
      <c r="H1030" s="1">
        <v>41487</v>
      </c>
      <c r="I1030">
        <v>0</v>
      </c>
      <c r="J1030">
        <v>18</v>
      </c>
      <c r="K1030">
        <v>0</v>
      </c>
      <c r="L1030">
        <v>2</v>
      </c>
      <c r="M1030">
        <v>0</v>
      </c>
      <c r="N1030">
        <v>0</v>
      </c>
      <c r="O1030">
        <v>2</v>
      </c>
      <c r="P1030">
        <v>1</v>
      </c>
      <c r="Q1030">
        <v>1</v>
      </c>
      <c r="R1030">
        <v>0</v>
      </c>
      <c r="S1030">
        <v>3</v>
      </c>
      <c r="T1030">
        <v>4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3</v>
      </c>
      <c r="AB1030">
        <v>11</v>
      </c>
      <c r="AC1030">
        <v>0</v>
      </c>
      <c r="AD1030" t="str">
        <f t="shared" si="208"/>
        <v>Ok</v>
      </c>
      <c r="AE1030" t="str">
        <f>IF(AND(Audit_Data[[#This Row],[Year_Birth]]&gt;=1900,Audit_Data[[#This Row],[Year_Birth]]&lt;=2010),"OK","Invalid")</f>
        <v>OK</v>
      </c>
      <c r="AF1030" t="str">
        <f t="shared" si="209"/>
        <v>Valid</v>
      </c>
      <c r="AG1030" t="str">
        <f t="shared" si="210"/>
        <v>Valid</v>
      </c>
      <c r="AH1030" t="str">
        <f t="shared" si="211"/>
        <v>Valid</v>
      </c>
      <c r="AI1030" t="str">
        <f t="shared" si="212"/>
        <v>Valid</v>
      </c>
      <c r="AJ1030" t="str">
        <f t="shared" si="213"/>
        <v>Valid</v>
      </c>
      <c r="AK1030" t="str">
        <f t="shared" si="220"/>
        <v xml:space="preserve">Valid </v>
      </c>
      <c r="AL1030" t="str">
        <f>IF(AND(Audit_Data[[#This Row],[Recency]]&gt;=0,Audit_Data[[#This Row],[Recency]]&lt;=100),"Valid","Invalid")</f>
        <v>Valid</v>
      </c>
      <c r="AM1030" t="str">
        <f t="shared" si="214"/>
        <v>Valid</v>
      </c>
      <c r="AN1030" t="str">
        <f t="shared" si="215"/>
        <v>Valid</v>
      </c>
      <c r="AO1030" t="str">
        <f t="shared" si="216"/>
        <v>Valid</v>
      </c>
      <c r="AP1030" t="str">
        <f t="shared" si="217"/>
        <v>Valid</v>
      </c>
      <c r="AQ1030" t="str">
        <f>IF(Audit_Data[[#This Row],[Z_CostContact]]=3,"Valid","Invalid")</f>
        <v>Valid</v>
      </c>
      <c r="AR1030" t="str">
        <f t="shared" si="218"/>
        <v>Valid</v>
      </c>
      <c r="AS1030" t="str">
        <f t="shared" si="219"/>
        <v>Valid</v>
      </c>
    </row>
    <row r="1031" spans="1:45" x14ac:dyDescent="0.3">
      <c r="A1031">
        <v>8985</v>
      </c>
      <c r="B1031">
        <v>1964</v>
      </c>
      <c r="C1031" t="s">
        <v>37</v>
      </c>
      <c r="D1031" t="s">
        <v>31</v>
      </c>
      <c r="E1031">
        <v>68316</v>
      </c>
      <c r="F1031">
        <v>0</v>
      </c>
      <c r="G1031">
        <v>1</v>
      </c>
      <c r="H1031" s="1">
        <v>41217</v>
      </c>
      <c r="I1031">
        <v>54</v>
      </c>
      <c r="J1031">
        <v>806</v>
      </c>
      <c r="K1031">
        <v>80</v>
      </c>
      <c r="L1031">
        <v>161</v>
      </c>
      <c r="M1031">
        <v>120</v>
      </c>
      <c r="N1031">
        <v>11</v>
      </c>
      <c r="O1031">
        <v>33</v>
      </c>
      <c r="P1031">
        <v>5</v>
      </c>
      <c r="Q1031">
        <v>10</v>
      </c>
      <c r="R1031">
        <v>7</v>
      </c>
      <c r="S1031">
        <v>10</v>
      </c>
      <c r="T1031">
        <v>6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3</v>
      </c>
      <c r="AB1031">
        <v>11</v>
      </c>
      <c r="AC1031">
        <v>0</v>
      </c>
      <c r="AD1031" t="str">
        <f t="shared" si="208"/>
        <v>Ok</v>
      </c>
      <c r="AE1031" t="str">
        <f>IF(AND(Audit_Data[[#This Row],[Year_Birth]]&gt;=1900,Audit_Data[[#This Row],[Year_Birth]]&lt;=2010),"OK","Invalid")</f>
        <v>OK</v>
      </c>
      <c r="AF1031" t="str">
        <f t="shared" si="209"/>
        <v>Valid</v>
      </c>
      <c r="AG1031" t="str">
        <f t="shared" si="210"/>
        <v>Valid</v>
      </c>
      <c r="AH1031" t="str">
        <f t="shared" si="211"/>
        <v>Valid</v>
      </c>
      <c r="AI1031" t="str">
        <f t="shared" si="212"/>
        <v>Valid</v>
      </c>
      <c r="AJ1031" t="str">
        <f t="shared" si="213"/>
        <v>Valid</v>
      </c>
      <c r="AK1031" t="str">
        <f t="shared" si="220"/>
        <v xml:space="preserve">Valid </v>
      </c>
      <c r="AL1031" t="str">
        <f>IF(AND(Audit_Data[[#This Row],[Recency]]&gt;=0,Audit_Data[[#This Row],[Recency]]&lt;=100),"Valid","Invalid")</f>
        <v>Valid</v>
      </c>
      <c r="AM1031" t="str">
        <f t="shared" si="214"/>
        <v>Valid</v>
      </c>
      <c r="AN1031" t="str">
        <f t="shared" si="215"/>
        <v>Valid</v>
      </c>
      <c r="AO1031" t="str">
        <f t="shared" si="216"/>
        <v>Valid</v>
      </c>
      <c r="AP1031" t="str">
        <f t="shared" si="217"/>
        <v>Valid</v>
      </c>
      <c r="AQ1031" t="str">
        <f>IF(Audit_Data[[#This Row],[Z_CostContact]]=3,"Valid","Invalid")</f>
        <v>Valid</v>
      </c>
      <c r="AR1031" t="str">
        <f t="shared" si="218"/>
        <v>Valid</v>
      </c>
      <c r="AS1031" t="str">
        <f t="shared" si="219"/>
        <v>Valid</v>
      </c>
    </row>
    <row r="1032" spans="1:45" x14ac:dyDescent="0.3">
      <c r="A1032">
        <v>5204</v>
      </c>
      <c r="B1032">
        <v>1971</v>
      </c>
      <c r="C1032" t="s">
        <v>29</v>
      </c>
      <c r="D1032" t="s">
        <v>31</v>
      </c>
      <c r="E1032">
        <v>74538</v>
      </c>
      <c r="F1032">
        <v>0</v>
      </c>
      <c r="G1032">
        <v>0</v>
      </c>
      <c r="H1032" s="1">
        <v>41454</v>
      </c>
      <c r="I1032">
        <v>21</v>
      </c>
      <c r="J1032">
        <v>380</v>
      </c>
      <c r="K1032">
        <v>98</v>
      </c>
      <c r="L1032">
        <v>733</v>
      </c>
      <c r="M1032">
        <v>110</v>
      </c>
      <c r="N1032">
        <v>112</v>
      </c>
      <c r="O1032">
        <v>28</v>
      </c>
      <c r="P1032">
        <v>1</v>
      </c>
      <c r="Q1032">
        <v>8</v>
      </c>
      <c r="R1032">
        <v>8</v>
      </c>
      <c r="S1032">
        <v>5</v>
      </c>
      <c r="T1032">
        <v>3</v>
      </c>
      <c r="U1032">
        <v>0</v>
      </c>
      <c r="V1032">
        <v>0</v>
      </c>
      <c r="W1032">
        <v>1</v>
      </c>
      <c r="X1032">
        <v>0</v>
      </c>
      <c r="Y1032">
        <v>0</v>
      </c>
      <c r="Z1032">
        <v>0</v>
      </c>
      <c r="AA1032">
        <v>3</v>
      </c>
      <c r="AB1032">
        <v>11</v>
      </c>
      <c r="AC1032">
        <v>1</v>
      </c>
      <c r="AD1032" t="str">
        <f t="shared" si="208"/>
        <v>Ok</v>
      </c>
      <c r="AE1032" t="str">
        <f>IF(AND(Audit_Data[[#This Row],[Year_Birth]]&gt;=1900,Audit_Data[[#This Row],[Year_Birth]]&lt;=2010),"OK","Invalid")</f>
        <v>OK</v>
      </c>
      <c r="AF1032" t="str">
        <f t="shared" si="209"/>
        <v>Valid</v>
      </c>
      <c r="AG1032" t="str">
        <f t="shared" si="210"/>
        <v>Valid</v>
      </c>
      <c r="AH1032" t="str">
        <f t="shared" si="211"/>
        <v>Valid</v>
      </c>
      <c r="AI1032" t="str">
        <f t="shared" si="212"/>
        <v>Valid</v>
      </c>
      <c r="AJ1032" t="str">
        <f t="shared" si="213"/>
        <v>Valid</v>
      </c>
      <c r="AK1032" t="str">
        <f t="shared" si="220"/>
        <v xml:space="preserve">Valid </v>
      </c>
      <c r="AL1032" t="str">
        <f>IF(AND(Audit_Data[[#This Row],[Recency]]&gt;=0,Audit_Data[[#This Row],[Recency]]&lt;=100),"Valid","Invalid")</f>
        <v>Valid</v>
      </c>
      <c r="AM1032" t="str">
        <f t="shared" si="214"/>
        <v>Valid</v>
      </c>
      <c r="AN1032" t="str">
        <f t="shared" si="215"/>
        <v>Valid</v>
      </c>
      <c r="AO1032" t="str">
        <f t="shared" si="216"/>
        <v>Valid</v>
      </c>
      <c r="AP1032" t="str">
        <f t="shared" si="217"/>
        <v>Valid</v>
      </c>
      <c r="AQ1032" t="str">
        <f>IF(Audit_Data[[#This Row],[Z_CostContact]]=3,"Valid","Invalid")</f>
        <v>Valid</v>
      </c>
      <c r="AR1032" t="str">
        <f t="shared" si="218"/>
        <v>Valid</v>
      </c>
      <c r="AS1032" t="str">
        <f t="shared" si="219"/>
        <v>Valid</v>
      </c>
    </row>
    <row r="1033" spans="1:45" x14ac:dyDescent="0.3">
      <c r="A1033">
        <v>9220</v>
      </c>
      <c r="B1033">
        <v>1971</v>
      </c>
      <c r="C1033" t="s">
        <v>29</v>
      </c>
      <c r="D1033" t="s">
        <v>30</v>
      </c>
      <c r="E1033">
        <v>91700</v>
      </c>
      <c r="F1033">
        <v>0</v>
      </c>
      <c r="G1033">
        <v>0</v>
      </c>
      <c r="H1033" s="1">
        <v>41291</v>
      </c>
      <c r="I1033">
        <v>58</v>
      </c>
      <c r="J1033">
        <v>576</v>
      </c>
      <c r="K1033">
        <v>172</v>
      </c>
      <c r="L1033">
        <v>961</v>
      </c>
      <c r="M1033">
        <v>125</v>
      </c>
      <c r="N1033">
        <v>115</v>
      </c>
      <c r="O1033">
        <v>19</v>
      </c>
      <c r="P1033">
        <v>1</v>
      </c>
      <c r="Q1033">
        <v>8</v>
      </c>
      <c r="R1033">
        <v>6</v>
      </c>
      <c r="S1033">
        <v>5</v>
      </c>
      <c r="T1033">
        <v>3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3</v>
      </c>
      <c r="AB1033">
        <v>11</v>
      </c>
      <c r="AC1033">
        <v>1</v>
      </c>
      <c r="AD1033" t="str">
        <f t="shared" si="208"/>
        <v>Ok</v>
      </c>
      <c r="AE1033" t="str">
        <f>IF(AND(Audit_Data[[#This Row],[Year_Birth]]&gt;=1900,Audit_Data[[#This Row],[Year_Birth]]&lt;=2010),"OK","Invalid")</f>
        <v>OK</v>
      </c>
      <c r="AF1033" t="str">
        <f t="shared" si="209"/>
        <v>Valid</v>
      </c>
      <c r="AG1033" t="str">
        <f t="shared" si="210"/>
        <v>Valid</v>
      </c>
      <c r="AH1033" t="str">
        <f t="shared" si="211"/>
        <v>Valid</v>
      </c>
      <c r="AI1033" t="str">
        <f t="shared" si="212"/>
        <v>Valid</v>
      </c>
      <c r="AJ1033" t="str">
        <f t="shared" si="213"/>
        <v>Valid</v>
      </c>
      <c r="AK1033" t="str">
        <f t="shared" si="220"/>
        <v xml:space="preserve">Valid </v>
      </c>
      <c r="AL1033" t="str">
        <f>IF(AND(Audit_Data[[#This Row],[Recency]]&gt;=0,Audit_Data[[#This Row],[Recency]]&lt;=100),"Valid","Invalid")</f>
        <v>Valid</v>
      </c>
      <c r="AM1033" t="str">
        <f t="shared" si="214"/>
        <v>Valid</v>
      </c>
      <c r="AN1033" t="str">
        <f t="shared" si="215"/>
        <v>Valid</v>
      </c>
      <c r="AO1033" t="str">
        <f t="shared" si="216"/>
        <v>Valid</v>
      </c>
      <c r="AP1033" t="str">
        <f t="shared" si="217"/>
        <v>Valid</v>
      </c>
      <c r="AQ1033" t="str">
        <f>IF(Audit_Data[[#This Row],[Z_CostContact]]=3,"Valid","Invalid")</f>
        <v>Valid</v>
      </c>
      <c r="AR1033" t="str">
        <f t="shared" si="218"/>
        <v>Valid</v>
      </c>
      <c r="AS1033" t="str">
        <f t="shared" si="219"/>
        <v>Valid</v>
      </c>
    </row>
    <row r="1034" spans="1:45" x14ac:dyDescent="0.3">
      <c r="A1034">
        <v>9888</v>
      </c>
      <c r="B1034">
        <v>1969</v>
      </c>
      <c r="C1034" t="s">
        <v>29</v>
      </c>
      <c r="D1034" t="s">
        <v>31</v>
      </c>
      <c r="E1034">
        <v>68695</v>
      </c>
      <c r="F1034">
        <v>0</v>
      </c>
      <c r="G1034">
        <v>0</v>
      </c>
      <c r="H1034" s="1">
        <v>41815</v>
      </c>
      <c r="I1034">
        <v>3</v>
      </c>
      <c r="J1034">
        <v>458</v>
      </c>
      <c r="K1034">
        <v>81</v>
      </c>
      <c r="L1034">
        <v>356</v>
      </c>
      <c r="M1034">
        <v>106</v>
      </c>
      <c r="N1034">
        <v>50</v>
      </c>
      <c r="O1034">
        <v>40</v>
      </c>
      <c r="P1034">
        <v>1</v>
      </c>
      <c r="Q1034">
        <v>4</v>
      </c>
      <c r="R1034">
        <v>4</v>
      </c>
      <c r="S1034">
        <v>7</v>
      </c>
      <c r="T1034">
        <v>2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3</v>
      </c>
      <c r="AB1034">
        <v>11</v>
      </c>
      <c r="AC1034">
        <v>0</v>
      </c>
      <c r="AD1034" t="str">
        <f t="shared" si="208"/>
        <v>Ok</v>
      </c>
      <c r="AE1034" t="str">
        <f>IF(AND(Audit_Data[[#This Row],[Year_Birth]]&gt;=1900,Audit_Data[[#This Row],[Year_Birth]]&lt;=2010),"OK","Invalid")</f>
        <v>OK</v>
      </c>
      <c r="AF1034" t="str">
        <f t="shared" si="209"/>
        <v>Valid</v>
      </c>
      <c r="AG1034" t="str">
        <f t="shared" si="210"/>
        <v>Valid</v>
      </c>
      <c r="AH1034" t="str">
        <f t="shared" si="211"/>
        <v>Valid</v>
      </c>
      <c r="AI1034" t="str">
        <f t="shared" si="212"/>
        <v>Valid</v>
      </c>
      <c r="AJ1034" t="str">
        <f t="shared" si="213"/>
        <v>Valid</v>
      </c>
      <c r="AK1034" t="str">
        <f t="shared" si="220"/>
        <v xml:space="preserve">Valid </v>
      </c>
      <c r="AL1034" t="str">
        <f>IF(AND(Audit_Data[[#This Row],[Recency]]&gt;=0,Audit_Data[[#This Row],[Recency]]&lt;=100),"Valid","Invalid")</f>
        <v>Valid</v>
      </c>
      <c r="AM1034" t="str">
        <f t="shared" si="214"/>
        <v>Valid</v>
      </c>
      <c r="AN1034" t="str">
        <f t="shared" si="215"/>
        <v>Valid</v>
      </c>
      <c r="AO1034" t="str">
        <f t="shared" si="216"/>
        <v>Valid</v>
      </c>
      <c r="AP1034" t="str">
        <f t="shared" si="217"/>
        <v>Valid</v>
      </c>
      <c r="AQ1034" t="str">
        <f>IF(Audit_Data[[#This Row],[Z_CostContact]]=3,"Valid","Invalid")</f>
        <v>Valid</v>
      </c>
      <c r="AR1034" t="str">
        <f t="shared" si="218"/>
        <v>Valid</v>
      </c>
      <c r="AS1034" t="str">
        <f t="shared" si="219"/>
        <v>Valid</v>
      </c>
    </row>
    <row r="1035" spans="1:45" x14ac:dyDescent="0.3">
      <c r="A1035">
        <v>5263</v>
      </c>
      <c r="B1035">
        <v>1977</v>
      </c>
      <c r="C1035" t="s">
        <v>37</v>
      </c>
      <c r="D1035" t="s">
        <v>33</v>
      </c>
      <c r="E1035">
        <v>31056</v>
      </c>
      <c r="F1035">
        <v>1</v>
      </c>
      <c r="G1035">
        <v>0</v>
      </c>
      <c r="H1035" s="1">
        <v>41296</v>
      </c>
      <c r="I1035">
        <v>99</v>
      </c>
      <c r="J1035">
        <v>5</v>
      </c>
      <c r="K1035">
        <v>10</v>
      </c>
      <c r="L1035">
        <v>13</v>
      </c>
      <c r="M1035">
        <v>3</v>
      </c>
      <c r="N1035">
        <v>8</v>
      </c>
      <c r="O1035">
        <v>16</v>
      </c>
      <c r="P1035">
        <v>1</v>
      </c>
      <c r="Q1035">
        <v>1</v>
      </c>
      <c r="R1035">
        <v>0</v>
      </c>
      <c r="S1035">
        <v>3</v>
      </c>
      <c r="T1035">
        <v>8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3</v>
      </c>
      <c r="AB1035">
        <v>11</v>
      </c>
      <c r="AC1035">
        <v>0</v>
      </c>
      <c r="AD1035" t="str">
        <f t="shared" si="208"/>
        <v>Ok</v>
      </c>
      <c r="AE1035" t="str">
        <f>IF(AND(Audit_Data[[#This Row],[Year_Birth]]&gt;=1900,Audit_Data[[#This Row],[Year_Birth]]&lt;=2010),"OK","Invalid")</f>
        <v>OK</v>
      </c>
      <c r="AF1035" t="str">
        <f t="shared" si="209"/>
        <v>Valid</v>
      </c>
      <c r="AG1035" t="str">
        <f t="shared" si="210"/>
        <v>Valid</v>
      </c>
      <c r="AH1035" t="str">
        <f t="shared" si="211"/>
        <v>Valid</v>
      </c>
      <c r="AI1035" t="str">
        <f t="shared" si="212"/>
        <v>Valid</v>
      </c>
      <c r="AJ1035" t="str">
        <f t="shared" si="213"/>
        <v>Valid</v>
      </c>
      <c r="AK1035" t="str">
        <f t="shared" si="220"/>
        <v xml:space="preserve">Valid </v>
      </c>
      <c r="AL1035" t="str">
        <f>IF(AND(Audit_Data[[#This Row],[Recency]]&gt;=0,Audit_Data[[#This Row],[Recency]]&lt;=100),"Valid","Invalid")</f>
        <v>Valid</v>
      </c>
      <c r="AM1035" t="str">
        <f t="shared" si="214"/>
        <v>Valid</v>
      </c>
      <c r="AN1035" t="str">
        <f t="shared" si="215"/>
        <v>Valid</v>
      </c>
      <c r="AO1035" t="str">
        <f t="shared" si="216"/>
        <v>Valid</v>
      </c>
      <c r="AP1035" t="str">
        <f t="shared" si="217"/>
        <v>Valid</v>
      </c>
      <c r="AQ1035" t="str">
        <f>IF(Audit_Data[[#This Row],[Z_CostContact]]=3,"Valid","Invalid")</f>
        <v>Valid</v>
      </c>
      <c r="AR1035" t="str">
        <f t="shared" si="218"/>
        <v>Valid</v>
      </c>
      <c r="AS1035" t="str">
        <f t="shared" si="219"/>
        <v>Valid</v>
      </c>
    </row>
    <row r="1036" spans="1:45" x14ac:dyDescent="0.3">
      <c r="A1036">
        <v>1020</v>
      </c>
      <c r="B1036">
        <v>1973</v>
      </c>
      <c r="C1036" t="s">
        <v>29</v>
      </c>
      <c r="D1036" t="s">
        <v>33</v>
      </c>
      <c r="E1036">
        <v>79593</v>
      </c>
      <c r="F1036">
        <v>0</v>
      </c>
      <c r="G1036">
        <v>0</v>
      </c>
      <c r="H1036" s="1">
        <v>41771</v>
      </c>
      <c r="I1036">
        <v>70</v>
      </c>
      <c r="J1036">
        <v>350</v>
      </c>
      <c r="K1036">
        <v>60</v>
      </c>
      <c r="L1036">
        <v>568</v>
      </c>
      <c r="M1036">
        <v>110</v>
      </c>
      <c r="N1036">
        <v>133</v>
      </c>
      <c r="O1036">
        <v>145</v>
      </c>
      <c r="P1036">
        <v>1</v>
      </c>
      <c r="Q1036">
        <v>5</v>
      </c>
      <c r="R1036">
        <v>6</v>
      </c>
      <c r="S1036">
        <v>7</v>
      </c>
      <c r="T1036">
        <v>2</v>
      </c>
      <c r="U1036">
        <v>0</v>
      </c>
      <c r="V1036">
        <v>0</v>
      </c>
      <c r="W1036">
        <v>1</v>
      </c>
      <c r="X1036">
        <v>0</v>
      </c>
      <c r="Y1036">
        <v>0</v>
      </c>
      <c r="Z1036">
        <v>0</v>
      </c>
      <c r="AA1036">
        <v>3</v>
      </c>
      <c r="AB1036">
        <v>11</v>
      </c>
      <c r="AC1036">
        <v>0</v>
      </c>
      <c r="AD1036" t="str">
        <f t="shared" si="208"/>
        <v>Ok</v>
      </c>
      <c r="AE1036" t="str">
        <f>IF(AND(Audit_Data[[#This Row],[Year_Birth]]&gt;=1900,Audit_Data[[#This Row],[Year_Birth]]&lt;=2010),"OK","Invalid")</f>
        <v>OK</v>
      </c>
      <c r="AF1036" t="str">
        <f t="shared" si="209"/>
        <v>Valid</v>
      </c>
      <c r="AG1036" t="str">
        <f t="shared" si="210"/>
        <v>Valid</v>
      </c>
      <c r="AH1036" t="str">
        <f t="shared" si="211"/>
        <v>Valid</v>
      </c>
      <c r="AI1036" t="str">
        <f t="shared" si="212"/>
        <v>Valid</v>
      </c>
      <c r="AJ1036" t="str">
        <f t="shared" si="213"/>
        <v>Valid</v>
      </c>
      <c r="AK1036" t="str">
        <f t="shared" si="220"/>
        <v xml:space="preserve">Valid </v>
      </c>
      <c r="AL1036" t="str">
        <f>IF(AND(Audit_Data[[#This Row],[Recency]]&gt;=0,Audit_Data[[#This Row],[Recency]]&lt;=100),"Valid","Invalid")</f>
        <v>Valid</v>
      </c>
      <c r="AM1036" t="str">
        <f t="shared" si="214"/>
        <v>Valid</v>
      </c>
      <c r="AN1036" t="str">
        <f t="shared" si="215"/>
        <v>Valid</v>
      </c>
      <c r="AO1036" t="str">
        <f t="shared" si="216"/>
        <v>Valid</v>
      </c>
      <c r="AP1036" t="str">
        <f t="shared" si="217"/>
        <v>Valid</v>
      </c>
      <c r="AQ1036" t="str">
        <f>IF(Audit_Data[[#This Row],[Z_CostContact]]=3,"Valid","Invalid")</f>
        <v>Valid</v>
      </c>
      <c r="AR1036" t="str">
        <f t="shared" si="218"/>
        <v>Valid</v>
      </c>
      <c r="AS1036" t="str">
        <f t="shared" si="219"/>
        <v>Valid</v>
      </c>
    </row>
    <row r="1037" spans="1:45" x14ac:dyDescent="0.3">
      <c r="A1037">
        <v>9503</v>
      </c>
      <c r="B1037">
        <v>1980</v>
      </c>
      <c r="C1037" t="s">
        <v>29</v>
      </c>
      <c r="D1037" t="s">
        <v>30</v>
      </c>
      <c r="E1037">
        <v>28071</v>
      </c>
      <c r="F1037">
        <v>0</v>
      </c>
      <c r="G1037">
        <v>0</v>
      </c>
      <c r="H1037" s="1">
        <v>41150</v>
      </c>
      <c r="I1037">
        <v>65</v>
      </c>
      <c r="J1037">
        <v>39</v>
      </c>
      <c r="K1037">
        <v>33</v>
      </c>
      <c r="L1037">
        <v>130</v>
      </c>
      <c r="M1037">
        <v>41</v>
      </c>
      <c r="N1037">
        <v>26</v>
      </c>
      <c r="O1037">
        <v>44</v>
      </c>
      <c r="P1037">
        <v>2</v>
      </c>
      <c r="Q1037">
        <v>5</v>
      </c>
      <c r="R1037">
        <v>1</v>
      </c>
      <c r="S1037">
        <v>5</v>
      </c>
      <c r="T1037">
        <v>8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3</v>
      </c>
      <c r="AB1037">
        <v>11</v>
      </c>
      <c r="AC1037">
        <v>0</v>
      </c>
      <c r="AD1037" t="str">
        <f t="shared" si="208"/>
        <v>Ok</v>
      </c>
      <c r="AE1037" t="str">
        <f>IF(AND(Audit_Data[[#This Row],[Year_Birth]]&gt;=1900,Audit_Data[[#This Row],[Year_Birth]]&lt;=2010),"OK","Invalid")</f>
        <v>OK</v>
      </c>
      <c r="AF1037" t="str">
        <f t="shared" si="209"/>
        <v>Valid</v>
      </c>
      <c r="AG1037" t="str">
        <f t="shared" si="210"/>
        <v>Valid</v>
      </c>
      <c r="AH1037" t="str">
        <f t="shared" si="211"/>
        <v>Valid</v>
      </c>
      <c r="AI1037" t="str">
        <f t="shared" si="212"/>
        <v>Valid</v>
      </c>
      <c r="AJ1037" t="str">
        <f t="shared" si="213"/>
        <v>Valid</v>
      </c>
      <c r="AK1037" t="str">
        <f t="shared" si="220"/>
        <v xml:space="preserve">Valid </v>
      </c>
      <c r="AL1037" t="str">
        <f>IF(AND(Audit_Data[[#This Row],[Recency]]&gt;=0,Audit_Data[[#This Row],[Recency]]&lt;=100),"Valid","Invalid")</f>
        <v>Valid</v>
      </c>
      <c r="AM1037" t="str">
        <f t="shared" si="214"/>
        <v>Valid</v>
      </c>
      <c r="AN1037" t="str">
        <f t="shared" si="215"/>
        <v>Valid</v>
      </c>
      <c r="AO1037" t="str">
        <f t="shared" si="216"/>
        <v>Valid</v>
      </c>
      <c r="AP1037" t="str">
        <f t="shared" si="217"/>
        <v>Valid</v>
      </c>
      <c r="AQ1037" t="str">
        <f>IF(Audit_Data[[#This Row],[Z_CostContact]]=3,"Valid","Invalid")</f>
        <v>Valid</v>
      </c>
      <c r="AR1037" t="str">
        <f t="shared" si="218"/>
        <v>Valid</v>
      </c>
      <c r="AS1037" t="str">
        <f t="shared" si="219"/>
        <v>Valid</v>
      </c>
    </row>
    <row r="1038" spans="1:45" x14ac:dyDescent="0.3">
      <c r="A1038">
        <v>10613</v>
      </c>
      <c r="B1038">
        <v>1958</v>
      </c>
      <c r="C1038" t="s">
        <v>32</v>
      </c>
      <c r="D1038" t="s">
        <v>31</v>
      </c>
      <c r="E1038">
        <v>37334</v>
      </c>
      <c r="F1038">
        <v>1</v>
      </c>
      <c r="G1038">
        <v>1</v>
      </c>
      <c r="H1038" s="1">
        <v>41696</v>
      </c>
      <c r="I1038">
        <v>44</v>
      </c>
      <c r="J1038">
        <v>26</v>
      </c>
      <c r="K1038">
        <v>1</v>
      </c>
      <c r="L1038">
        <v>16</v>
      </c>
      <c r="M1038">
        <v>2</v>
      </c>
      <c r="N1038">
        <v>2</v>
      </c>
      <c r="O1038">
        <v>15</v>
      </c>
      <c r="P1038">
        <v>4</v>
      </c>
      <c r="Q1038">
        <v>3</v>
      </c>
      <c r="R1038">
        <v>0</v>
      </c>
      <c r="S1038">
        <v>4</v>
      </c>
      <c r="T1038">
        <v>4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3</v>
      </c>
      <c r="AB1038">
        <v>11</v>
      </c>
      <c r="AC1038">
        <v>0</v>
      </c>
      <c r="AD1038" t="str">
        <f t="shared" si="208"/>
        <v>Ok</v>
      </c>
      <c r="AE1038" t="str">
        <f>IF(AND(Audit_Data[[#This Row],[Year_Birth]]&gt;=1900,Audit_Data[[#This Row],[Year_Birth]]&lt;=2010),"OK","Invalid")</f>
        <v>OK</v>
      </c>
      <c r="AF1038" t="str">
        <f t="shared" si="209"/>
        <v>Valid</v>
      </c>
      <c r="AG1038" t="str">
        <f t="shared" si="210"/>
        <v>Valid</v>
      </c>
      <c r="AH1038" t="str">
        <f t="shared" si="211"/>
        <v>Valid</v>
      </c>
      <c r="AI1038" t="str">
        <f t="shared" si="212"/>
        <v>Valid</v>
      </c>
      <c r="AJ1038" t="str">
        <f t="shared" si="213"/>
        <v>Valid</v>
      </c>
      <c r="AK1038" t="str">
        <f t="shared" si="220"/>
        <v xml:space="preserve">Valid </v>
      </c>
      <c r="AL1038" t="str">
        <f>IF(AND(Audit_Data[[#This Row],[Recency]]&gt;=0,Audit_Data[[#This Row],[Recency]]&lt;=100),"Valid","Invalid")</f>
        <v>Valid</v>
      </c>
      <c r="AM1038" t="str">
        <f t="shared" si="214"/>
        <v>Valid</v>
      </c>
      <c r="AN1038" t="str">
        <f t="shared" si="215"/>
        <v>Valid</v>
      </c>
      <c r="AO1038" t="str">
        <f t="shared" si="216"/>
        <v>Valid</v>
      </c>
      <c r="AP1038" t="str">
        <f t="shared" si="217"/>
        <v>Valid</v>
      </c>
      <c r="AQ1038" t="str">
        <f>IF(Audit_Data[[#This Row],[Z_CostContact]]=3,"Valid","Invalid")</f>
        <v>Valid</v>
      </c>
      <c r="AR1038" t="str">
        <f t="shared" si="218"/>
        <v>Valid</v>
      </c>
      <c r="AS1038" t="str">
        <f t="shared" si="219"/>
        <v>Valid</v>
      </c>
    </row>
    <row r="1039" spans="1:45" x14ac:dyDescent="0.3">
      <c r="A1039">
        <v>67</v>
      </c>
      <c r="B1039">
        <v>1972</v>
      </c>
      <c r="C1039" t="s">
        <v>34</v>
      </c>
      <c r="D1039" t="s">
        <v>30</v>
      </c>
      <c r="E1039">
        <v>46423</v>
      </c>
      <c r="F1039">
        <v>1</v>
      </c>
      <c r="G1039">
        <v>1</v>
      </c>
      <c r="H1039" s="1">
        <v>41535</v>
      </c>
      <c r="I1039">
        <v>6</v>
      </c>
      <c r="J1039">
        <v>68</v>
      </c>
      <c r="K1039">
        <v>0</v>
      </c>
      <c r="L1039">
        <v>16</v>
      </c>
      <c r="M1039">
        <v>0</v>
      </c>
      <c r="N1039">
        <v>0</v>
      </c>
      <c r="O1039">
        <v>8</v>
      </c>
      <c r="P1039">
        <v>3</v>
      </c>
      <c r="Q1039">
        <v>2</v>
      </c>
      <c r="R1039">
        <v>0</v>
      </c>
      <c r="S1039">
        <v>4</v>
      </c>
      <c r="T1039">
        <v>7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3</v>
      </c>
      <c r="AB1039">
        <v>11</v>
      </c>
      <c r="AC1039">
        <v>0</v>
      </c>
      <c r="AD1039" t="str">
        <f t="shared" si="208"/>
        <v>Ok</v>
      </c>
      <c r="AE1039" t="str">
        <f>IF(AND(Audit_Data[[#This Row],[Year_Birth]]&gt;=1900,Audit_Data[[#This Row],[Year_Birth]]&lt;=2010),"OK","Invalid")</f>
        <v>OK</v>
      </c>
      <c r="AF1039" t="str">
        <f t="shared" si="209"/>
        <v>Valid</v>
      </c>
      <c r="AG1039" t="str">
        <f t="shared" si="210"/>
        <v>Valid</v>
      </c>
      <c r="AH1039" t="str">
        <f t="shared" si="211"/>
        <v>Valid</v>
      </c>
      <c r="AI1039" t="str">
        <f t="shared" si="212"/>
        <v>Valid</v>
      </c>
      <c r="AJ1039" t="str">
        <f t="shared" si="213"/>
        <v>Valid</v>
      </c>
      <c r="AK1039" t="str">
        <f t="shared" si="220"/>
        <v xml:space="preserve">Valid </v>
      </c>
      <c r="AL1039" t="str">
        <f>IF(AND(Audit_Data[[#This Row],[Recency]]&gt;=0,Audit_Data[[#This Row],[Recency]]&lt;=100),"Valid","Invalid")</f>
        <v>Valid</v>
      </c>
      <c r="AM1039" t="str">
        <f t="shared" si="214"/>
        <v>Valid</v>
      </c>
      <c r="AN1039" t="str">
        <f t="shared" si="215"/>
        <v>Valid</v>
      </c>
      <c r="AO1039" t="str">
        <f t="shared" si="216"/>
        <v>Valid</v>
      </c>
      <c r="AP1039" t="str">
        <f t="shared" si="217"/>
        <v>Valid</v>
      </c>
      <c r="AQ1039" t="str">
        <f>IF(Audit_Data[[#This Row],[Z_CostContact]]=3,"Valid","Invalid")</f>
        <v>Valid</v>
      </c>
      <c r="AR1039" t="str">
        <f t="shared" si="218"/>
        <v>Valid</v>
      </c>
      <c r="AS1039" t="str">
        <f t="shared" si="219"/>
        <v>Valid</v>
      </c>
    </row>
    <row r="1040" spans="1:45" x14ac:dyDescent="0.3">
      <c r="A1040">
        <v>6019</v>
      </c>
      <c r="B1040">
        <v>1971</v>
      </c>
      <c r="C1040" t="s">
        <v>32</v>
      </c>
      <c r="D1040" t="s">
        <v>33</v>
      </c>
      <c r="E1040">
        <v>37126</v>
      </c>
      <c r="F1040">
        <v>1</v>
      </c>
      <c r="G1040">
        <v>0</v>
      </c>
      <c r="H1040" s="1">
        <v>41728</v>
      </c>
      <c r="I1040">
        <v>9</v>
      </c>
      <c r="J1040">
        <v>45</v>
      </c>
      <c r="K1040">
        <v>3</v>
      </c>
      <c r="L1040">
        <v>9</v>
      </c>
      <c r="M1040">
        <v>4</v>
      </c>
      <c r="N1040">
        <v>4</v>
      </c>
      <c r="O1040">
        <v>7</v>
      </c>
      <c r="P1040">
        <v>1</v>
      </c>
      <c r="Q1040">
        <v>1</v>
      </c>
      <c r="R1040">
        <v>2</v>
      </c>
      <c r="S1040">
        <v>2</v>
      </c>
      <c r="T1040">
        <v>6</v>
      </c>
      <c r="U1040">
        <v>1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3</v>
      </c>
      <c r="AB1040">
        <v>11</v>
      </c>
      <c r="AC1040">
        <v>1</v>
      </c>
      <c r="AD1040" t="str">
        <f t="shared" si="208"/>
        <v>Ok</v>
      </c>
      <c r="AE1040" t="str">
        <f>IF(AND(Audit_Data[[#This Row],[Year_Birth]]&gt;=1900,Audit_Data[[#This Row],[Year_Birth]]&lt;=2010),"OK","Invalid")</f>
        <v>OK</v>
      </c>
      <c r="AF1040" t="str">
        <f t="shared" si="209"/>
        <v>Valid</v>
      </c>
      <c r="AG1040" t="str">
        <f t="shared" si="210"/>
        <v>Valid</v>
      </c>
      <c r="AH1040" t="str">
        <f t="shared" si="211"/>
        <v>Valid</v>
      </c>
      <c r="AI1040" t="str">
        <f t="shared" si="212"/>
        <v>Valid</v>
      </c>
      <c r="AJ1040" t="str">
        <f t="shared" si="213"/>
        <v>Valid</v>
      </c>
      <c r="AK1040" t="str">
        <f t="shared" si="220"/>
        <v xml:space="preserve">Valid </v>
      </c>
      <c r="AL1040" t="str">
        <f>IF(AND(Audit_Data[[#This Row],[Recency]]&gt;=0,Audit_Data[[#This Row],[Recency]]&lt;=100),"Valid","Invalid")</f>
        <v>Valid</v>
      </c>
      <c r="AM1040" t="str">
        <f t="shared" si="214"/>
        <v>Valid</v>
      </c>
      <c r="AN1040" t="str">
        <f t="shared" si="215"/>
        <v>Valid</v>
      </c>
      <c r="AO1040" t="str">
        <f t="shared" si="216"/>
        <v>Valid</v>
      </c>
      <c r="AP1040" t="str">
        <f t="shared" si="217"/>
        <v>Valid</v>
      </c>
      <c r="AQ1040" t="str">
        <f>IF(Audit_Data[[#This Row],[Z_CostContact]]=3,"Valid","Invalid")</f>
        <v>Valid</v>
      </c>
      <c r="AR1040" t="str">
        <f t="shared" si="218"/>
        <v>Valid</v>
      </c>
      <c r="AS1040" t="str">
        <f t="shared" si="219"/>
        <v>Valid</v>
      </c>
    </row>
    <row r="1041" spans="1:45" x14ac:dyDescent="0.3">
      <c r="A1041">
        <v>5863</v>
      </c>
      <c r="B1041">
        <v>1953</v>
      </c>
      <c r="C1041" t="s">
        <v>29</v>
      </c>
      <c r="D1041" t="s">
        <v>33</v>
      </c>
      <c r="E1041">
        <v>47703</v>
      </c>
      <c r="F1041">
        <v>0</v>
      </c>
      <c r="G1041">
        <v>1</v>
      </c>
      <c r="H1041" s="1">
        <v>41423</v>
      </c>
      <c r="I1041">
        <v>95</v>
      </c>
      <c r="J1041">
        <v>359</v>
      </c>
      <c r="K1041">
        <v>0</v>
      </c>
      <c r="L1041">
        <v>134</v>
      </c>
      <c r="M1041">
        <v>13</v>
      </c>
      <c r="N1041">
        <v>26</v>
      </c>
      <c r="O1041">
        <v>123</v>
      </c>
      <c r="P1041">
        <v>4</v>
      </c>
      <c r="Q1041">
        <v>6</v>
      </c>
      <c r="R1041">
        <v>3</v>
      </c>
      <c r="S1041">
        <v>8</v>
      </c>
      <c r="T1041">
        <v>5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3</v>
      </c>
      <c r="AB1041">
        <v>11</v>
      </c>
      <c r="AC1041">
        <v>0</v>
      </c>
      <c r="AD1041" t="str">
        <f t="shared" si="208"/>
        <v>Ok</v>
      </c>
      <c r="AE1041" t="str">
        <f>IF(AND(Audit_Data[[#This Row],[Year_Birth]]&gt;=1900,Audit_Data[[#This Row],[Year_Birth]]&lt;=2010),"OK","Invalid")</f>
        <v>OK</v>
      </c>
      <c r="AF1041" t="str">
        <f t="shared" si="209"/>
        <v>Valid</v>
      </c>
      <c r="AG1041" t="str">
        <f t="shared" si="210"/>
        <v>Valid</v>
      </c>
      <c r="AH1041" t="str">
        <f t="shared" si="211"/>
        <v>Valid</v>
      </c>
      <c r="AI1041" t="str">
        <f t="shared" si="212"/>
        <v>Valid</v>
      </c>
      <c r="AJ1041" t="str">
        <f t="shared" si="213"/>
        <v>Valid</v>
      </c>
      <c r="AK1041" t="str">
        <f t="shared" si="220"/>
        <v xml:space="preserve">Valid </v>
      </c>
      <c r="AL1041" t="str">
        <f>IF(AND(Audit_Data[[#This Row],[Recency]]&gt;=0,Audit_Data[[#This Row],[Recency]]&lt;=100),"Valid","Invalid")</f>
        <v>Valid</v>
      </c>
      <c r="AM1041" t="str">
        <f t="shared" si="214"/>
        <v>Valid</v>
      </c>
      <c r="AN1041" t="str">
        <f t="shared" si="215"/>
        <v>Valid</v>
      </c>
      <c r="AO1041" t="str">
        <f t="shared" si="216"/>
        <v>Valid</v>
      </c>
      <c r="AP1041" t="str">
        <f t="shared" si="217"/>
        <v>Valid</v>
      </c>
      <c r="AQ1041" t="str">
        <f>IF(Audit_Data[[#This Row],[Z_CostContact]]=3,"Valid","Invalid")</f>
        <v>Valid</v>
      </c>
      <c r="AR1041" t="str">
        <f t="shared" si="218"/>
        <v>Valid</v>
      </c>
      <c r="AS1041" t="str">
        <f t="shared" si="219"/>
        <v>Valid</v>
      </c>
    </row>
    <row r="1042" spans="1:45" x14ac:dyDescent="0.3">
      <c r="A1042">
        <v>3717</v>
      </c>
      <c r="B1042">
        <v>1959</v>
      </c>
      <c r="C1042" t="s">
        <v>29</v>
      </c>
      <c r="D1042" t="s">
        <v>33</v>
      </c>
      <c r="E1042">
        <v>61180</v>
      </c>
      <c r="F1042">
        <v>0</v>
      </c>
      <c r="G1042">
        <v>1</v>
      </c>
      <c r="H1042" s="1">
        <v>41752</v>
      </c>
      <c r="I1042">
        <v>70</v>
      </c>
      <c r="J1042">
        <v>403</v>
      </c>
      <c r="K1042">
        <v>24</v>
      </c>
      <c r="L1042">
        <v>29</v>
      </c>
      <c r="M1042">
        <v>6</v>
      </c>
      <c r="N1042">
        <v>24</v>
      </c>
      <c r="O1042">
        <v>218</v>
      </c>
      <c r="P1042">
        <v>2</v>
      </c>
      <c r="Q1042">
        <v>5</v>
      </c>
      <c r="R1042">
        <v>5</v>
      </c>
      <c r="S1042">
        <v>6</v>
      </c>
      <c r="T1042">
        <v>3</v>
      </c>
      <c r="U1042">
        <v>1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3</v>
      </c>
      <c r="AB1042">
        <v>11</v>
      </c>
      <c r="AC1042">
        <v>0</v>
      </c>
      <c r="AD1042" t="str">
        <f t="shared" si="208"/>
        <v>Ok</v>
      </c>
      <c r="AE1042" t="str">
        <f>IF(AND(Audit_Data[[#This Row],[Year_Birth]]&gt;=1900,Audit_Data[[#This Row],[Year_Birth]]&lt;=2010),"OK","Invalid")</f>
        <v>OK</v>
      </c>
      <c r="AF1042" t="str">
        <f t="shared" si="209"/>
        <v>Valid</v>
      </c>
      <c r="AG1042" t="str">
        <f t="shared" si="210"/>
        <v>Valid</v>
      </c>
      <c r="AH1042" t="str">
        <f t="shared" si="211"/>
        <v>Valid</v>
      </c>
      <c r="AI1042" t="str">
        <f t="shared" si="212"/>
        <v>Valid</v>
      </c>
      <c r="AJ1042" t="str">
        <f t="shared" si="213"/>
        <v>Valid</v>
      </c>
      <c r="AK1042" t="str">
        <f t="shared" si="220"/>
        <v xml:space="preserve">Valid </v>
      </c>
      <c r="AL1042" t="str">
        <f>IF(AND(Audit_Data[[#This Row],[Recency]]&gt;=0,Audit_Data[[#This Row],[Recency]]&lt;=100),"Valid","Invalid")</f>
        <v>Valid</v>
      </c>
      <c r="AM1042" t="str">
        <f t="shared" si="214"/>
        <v>Valid</v>
      </c>
      <c r="AN1042" t="str">
        <f t="shared" si="215"/>
        <v>Valid</v>
      </c>
      <c r="AO1042" t="str">
        <f t="shared" si="216"/>
        <v>Valid</v>
      </c>
      <c r="AP1042" t="str">
        <f t="shared" si="217"/>
        <v>Valid</v>
      </c>
      <c r="AQ1042" t="str">
        <f>IF(Audit_Data[[#This Row],[Z_CostContact]]=3,"Valid","Invalid")</f>
        <v>Valid</v>
      </c>
      <c r="AR1042" t="str">
        <f t="shared" si="218"/>
        <v>Valid</v>
      </c>
      <c r="AS1042" t="str">
        <f t="shared" si="219"/>
        <v>Valid</v>
      </c>
    </row>
    <row r="1043" spans="1:45" x14ac:dyDescent="0.3">
      <c r="A1043">
        <v>6730</v>
      </c>
      <c r="B1043">
        <v>1954</v>
      </c>
      <c r="C1043" t="s">
        <v>29</v>
      </c>
      <c r="D1043" t="s">
        <v>33</v>
      </c>
      <c r="E1043">
        <v>38998</v>
      </c>
      <c r="F1043">
        <v>1</v>
      </c>
      <c r="G1043">
        <v>1</v>
      </c>
      <c r="H1043" s="1">
        <v>41216</v>
      </c>
      <c r="I1043">
        <v>92</v>
      </c>
      <c r="J1043">
        <v>34</v>
      </c>
      <c r="K1043">
        <v>1</v>
      </c>
      <c r="L1043">
        <v>14</v>
      </c>
      <c r="M1043">
        <v>0</v>
      </c>
      <c r="N1043">
        <v>0</v>
      </c>
      <c r="O1043">
        <v>5</v>
      </c>
      <c r="P1043">
        <v>3</v>
      </c>
      <c r="Q1043">
        <v>2</v>
      </c>
      <c r="R1043">
        <v>0</v>
      </c>
      <c r="S1043">
        <v>3</v>
      </c>
      <c r="T1043">
        <v>8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1</v>
      </c>
      <c r="AA1043">
        <v>3</v>
      </c>
      <c r="AB1043">
        <v>11</v>
      </c>
      <c r="AC1043">
        <v>0</v>
      </c>
      <c r="AD1043" t="str">
        <f t="shared" si="208"/>
        <v>Ok</v>
      </c>
      <c r="AE1043" t="str">
        <f>IF(AND(Audit_Data[[#This Row],[Year_Birth]]&gt;=1900,Audit_Data[[#This Row],[Year_Birth]]&lt;=2010),"OK","Invalid")</f>
        <v>OK</v>
      </c>
      <c r="AF1043" t="str">
        <f t="shared" si="209"/>
        <v>Valid</v>
      </c>
      <c r="AG1043" t="str">
        <f t="shared" si="210"/>
        <v>Valid</v>
      </c>
      <c r="AH1043" t="str">
        <f t="shared" si="211"/>
        <v>Valid</v>
      </c>
      <c r="AI1043" t="str">
        <f t="shared" si="212"/>
        <v>Valid</v>
      </c>
      <c r="AJ1043" t="str">
        <f t="shared" si="213"/>
        <v>Valid</v>
      </c>
      <c r="AK1043" t="str">
        <f t="shared" si="220"/>
        <v xml:space="preserve">Valid </v>
      </c>
      <c r="AL1043" t="str">
        <f>IF(AND(Audit_Data[[#This Row],[Recency]]&gt;=0,Audit_Data[[#This Row],[Recency]]&lt;=100),"Valid","Invalid")</f>
        <v>Valid</v>
      </c>
      <c r="AM1043" t="str">
        <f t="shared" si="214"/>
        <v>Valid</v>
      </c>
      <c r="AN1043" t="str">
        <f t="shared" si="215"/>
        <v>Valid</v>
      </c>
      <c r="AO1043" t="str">
        <f t="shared" si="216"/>
        <v>Valid</v>
      </c>
      <c r="AP1043" t="str">
        <f t="shared" si="217"/>
        <v>Valid</v>
      </c>
      <c r="AQ1043" t="str">
        <f>IF(Audit_Data[[#This Row],[Z_CostContact]]=3,"Valid","Invalid")</f>
        <v>Valid</v>
      </c>
      <c r="AR1043" t="str">
        <f t="shared" si="218"/>
        <v>Valid</v>
      </c>
      <c r="AS1043" t="str">
        <f t="shared" si="219"/>
        <v>Valid</v>
      </c>
    </row>
    <row r="1044" spans="1:45" x14ac:dyDescent="0.3">
      <c r="A1044">
        <v>10749</v>
      </c>
      <c r="B1044">
        <v>1991</v>
      </c>
      <c r="C1044" t="s">
        <v>29</v>
      </c>
      <c r="D1044" t="s">
        <v>30</v>
      </c>
      <c r="E1044">
        <v>8028</v>
      </c>
      <c r="F1044">
        <v>0</v>
      </c>
      <c r="G1044">
        <v>0</v>
      </c>
      <c r="H1044" s="1">
        <v>41170</v>
      </c>
      <c r="I1044">
        <v>62</v>
      </c>
      <c r="J1044">
        <v>73</v>
      </c>
      <c r="K1044">
        <v>18</v>
      </c>
      <c r="L1044">
        <v>66</v>
      </c>
      <c r="M1044">
        <v>7</v>
      </c>
      <c r="N1044">
        <v>12</v>
      </c>
      <c r="O1044">
        <v>2</v>
      </c>
      <c r="P1044">
        <v>15</v>
      </c>
      <c r="Q1044">
        <v>0</v>
      </c>
      <c r="R1044">
        <v>1</v>
      </c>
      <c r="S1044">
        <v>0</v>
      </c>
      <c r="T1044">
        <v>19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3</v>
      </c>
      <c r="AB1044">
        <v>11</v>
      </c>
      <c r="AC1044">
        <v>0</v>
      </c>
      <c r="AD1044" t="str">
        <f t="shared" si="208"/>
        <v>Ok</v>
      </c>
      <c r="AE1044" t="str">
        <f>IF(AND(Audit_Data[[#This Row],[Year_Birth]]&gt;=1900,Audit_Data[[#This Row],[Year_Birth]]&lt;=2010),"OK","Invalid")</f>
        <v>OK</v>
      </c>
      <c r="AF1044" t="str">
        <f t="shared" si="209"/>
        <v>Valid</v>
      </c>
      <c r="AG1044" t="str">
        <f t="shared" si="210"/>
        <v>Valid</v>
      </c>
      <c r="AH1044" t="str">
        <f t="shared" si="211"/>
        <v>Valid</v>
      </c>
      <c r="AI1044" t="str">
        <f t="shared" si="212"/>
        <v>Valid</v>
      </c>
      <c r="AJ1044" t="str">
        <f t="shared" si="213"/>
        <v>Valid</v>
      </c>
      <c r="AK1044" t="str">
        <f t="shared" si="220"/>
        <v xml:space="preserve">Valid </v>
      </c>
      <c r="AL1044" t="str">
        <f>IF(AND(Audit_Data[[#This Row],[Recency]]&gt;=0,Audit_Data[[#This Row],[Recency]]&lt;=100),"Valid","Invalid")</f>
        <v>Valid</v>
      </c>
      <c r="AM1044" t="str">
        <f t="shared" si="214"/>
        <v>Valid</v>
      </c>
      <c r="AN1044" t="str">
        <f t="shared" si="215"/>
        <v>Valid</v>
      </c>
      <c r="AO1044" t="str">
        <f t="shared" si="216"/>
        <v>Valid</v>
      </c>
      <c r="AP1044" t="str">
        <f t="shared" si="217"/>
        <v>Valid</v>
      </c>
      <c r="AQ1044" t="str">
        <f>IF(Audit_Data[[#This Row],[Z_CostContact]]=3,"Valid","Invalid")</f>
        <v>Valid</v>
      </c>
      <c r="AR1044" t="str">
        <f t="shared" si="218"/>
        <v>Valid</v>
      </c>
      <c r="AS1044" t="str">
        <f t="shared" si="219"/>
        <v>Valid</v>
      </c>
    </row>
    <row r="1045" spans="1:45" x14ac:dyDescent="0.3">
      <c r="A1045">
        <v>4998</v>
      </c>
      <c r="B1045">
        <v>1962</v>
      </c>
      <c r="C1045" t="s">
        <v>29</v>
      </c>
      <c r="D1045" t="s">
        <v>31</v>
      </c>
      <c r="E1045">
        <v>76081</v>
      </c>
      <c r="F1045">
        <v>0</v>
      </c>
      <c r="G1045">
        <v>0</v>
      </c>
      <c r="H1045" s="1">
        <v>41782</v>
      </c>
      <c r="I1045">
        <v>85</v>
      </c>
      <c r="J1045">
        <v>292</v>
      </c>
      <c r="K1045">
        <v>30</v>
      </c>
      <c r="L1045">
        <v>415</v>
      </c>
      <c r="M1045">
        <v>63</v>
      </c>
      <c r="N1045">
        <v>33</v>
      </c>
      <c r="O1045">
        <v>200</v>
      </c>
      <c r="P1045">
        <v>1</v>
      </c>
      <c r="Q1045">
        <v>4</v>
      </c>
      <c r="R1045">
        <v>5</v>
      </c>
      <c r="S1045">
        <v>4</v>
      </c>
      <c r="T1045">
        <v>2</v>
      </c>
      <c r="U1045">
        <v>0</v>
      </c>
      <c r="V1045">
        <v>0</v>
      </c>
      <c r="W1045">
        <v>0</v>
      </c>
      <c r="X1045">
        <v>1</v>
      </c>
      <c r="Y1045">
        <v>0</v>
      </c>
      <c r="Z1045">
        <v>0</v>
      </c>
      <c r="AA1045">
        <v>3</v>
      </c>
      <c r="AB1045">
        <v>11</v>
      </c>
      <c r="AC1045">
        <v>0</v>
      </c>
      <c r="AD1045" t="str">
        <f t="shared" si="208"/>
        <v>Ok</v>
      </c>
      <c r="AE1045" t="str">
        <f>IF(AND(Audit_Data[[#This Row],[Year_Birth]]&gt;=1900,Audit_Data[[#This Row],[Year_Birth]]&lt;=2010),"OK","Invalid")</f>
        <v>OK</v>
      </c>
      <c r="AF1045" t="str">
        <f t="shared" si="209"/>
        <v>Valid</v>
      </c>
      <c r="AG1045" t="str">
        <f t="shared" si="210"/>
        <v>Valid</v>
      </c>
      <c r="AH1045" t="str">
        <f t="shared" si="211"/>
        <v>Valid</v>
      </c>
      <c r="AI1045" t="str">
        <f t="shared" si="212"/>
        <v>Valid</v>
      </c>
      <c r="AJ1045" t="str">
        <f t="shared" si="213"/>
        <v>Valid</v>
      </c>
      <c r="AK1045" t="str">
        <f t="shared" si="220"/>
        <v xml:space="preserve">Valid </v>
      </c>
      <c r="AL1045" t="str">
        <f>IF(AND(Audit_Data[[#This Row],[Recency]]&gt;=0,Audit_Data[[#This Row],[Recency]]&lt;=100),"Valid","Invalid")</f>
        <v>Valid</v>
      </c>
      <c r="AM1045" t="str">
        <f t="shared" si="214"/>
        <v>Valid</v>
      </c>
      <c r="AN1045" t="str">
        <f t="shared" si="215"/>
        <v>Valid</v>
      </c>
      <c r="AO1045" t="str">
        <f t="shared" si="216"/>
        <v>Valid</v>
      </c>
      <c r="AP1045" t="str">
        <f t="shared" si="217"/>
        <v>Valid</v>
      </c>
      <c r="AQ1045" t="str">
        <f>IF(Audit_Data[[#This Row],[Z_CostContact]]=3,"Valid","Invalid")</f>
        <v>Valid</v>
      </c>
      <c r="AR1045" t="str">
        <f t="shared" si="218"/>
        <v>Valid</v>
      </c>
      <c r="AS1045" t="str">
        <f t="shared" si="219"/>
        <v>Valid</v>
      </c>
    </row>
    <row r="1046" spans="1:45" x14ac:dyDescent="0.3">
      <c r="A1046">
        <v>6287</v>
      </c>
      <c r="B1046">
        <v>1986</v>
      </c>
      <c r="C1046" t="s">
        <v>29</v>
      </c>
      <c r="D1046" t="s">
        <v>31</v>
      </c>
      <c r="E1046">
        <v>34728</v>
      </c>
      <c r="F1046">
        <v>1</v>
      </c>
      <c r="G1046">
        <v>0</v>
      </c>
      <c r="H1046" s="1">
        <v>41485</v>
      </c>
      <c r="I1046">
        <v>2</v>
      </c>
      <c r="J1046">
        <v>14</v>
      </c>
      <c r="K1046">
        <v>0</v>
      </c>
      <c r="L1046">
        <v>16</v>
      </c>
      <c r="M1046">
        <v>0</v>
      </c>
      <c r="N1046">
        <v>0</v>
      </c>
      <c r="O1046">
        <v>6</v>
      </c>
      <c r="P1046">
        <v>1</v>
      </c>
      <c r="Q1046">
        <v>1</v>
      </c>
      <c r="R1046">
        <v>1</v>
      </c>
      <c r="S1046">
        <v>2</v>
      </c>
      <c r="T1046">
        <v>6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3</v>
      </c>
      <c r="AB1046">
        <v>11</v>
      </c>
      <c r="AC1046">
        <v>1</v>
      </c>
      <c r="AD1046" t="str">
        <f t="shared" si="208"/>
        <v>Ok</v>
      </c>
      <c r="AE1046" t="str">
        <f>IF(AND(Audit_Data[[#This Row],[Year_Birth]]&gt;=1900,Audit_Data[[#This Row],[Year_Birth]]&lt;=2010),"OK","Invalid")</f>
        <v>OK</v>
      </c>
      <c r="AF1046" t="str">
        <f t="shared" si="209"/>
        <v>Valid</v>
      </c>
      <c r="AG1046" t="str">
        <f t="shared" si="210"/>
        <v>Valid</v>
      </c>
      <c r="AH1046" t="str">
        <f t="shared" si="211"/>
        <v>Valid</v>
      </c>
      <c r="AI1046" t="str">
        <f t="shared" si="212"/>
        <v>Valid</v>
      </c>
      <c r="AJ1046" t="str">
        <f t="shared" si="213"/>
        <v>Valid</v>
      </c>
      <c r="AK1046" t="str">
        <f t="shared" si="220"/>
        <v xml:space="preserve">Valid </v>
      </c>
      <c r="AL1046" t="str">
        <f>IF(AND(Audit_Data[[#This Row],[Recency]]&gt;=0,Audit_Data[[#This Row],[Recency]]&lt;=100),"Valid","Invalid")</f>
        <v>Valid</v>
      </c>
      <c r="AM1046" t="str">
        <f t="shared" si="214"/>
        <v>Valid</v>
      </c>
      <c r="AN1046" t="str">
        <f t="shared" si="215"/>
        <v>Valid</v>
      </c>
      <c r="AO1046" t="str">
        <f t="shared" si="216"/>
        <v>Valid</v>
      </c>
      <c r="AP1046" t="str">
        <f t="shared" si="217"/>
        <v>Valid</v>
      </c>
      <c r="AQ1046" t="str">
        <f>IF(Audit_Data[[#This Row],[Z_CostContact]]=3,"Valid","Invalid")</f>
        <v>Valid</v>
      </c>
      <c r="AR1046" t="str">
        <f t="shared" si="218"/>
        <v>Valid</v>
      </c>
      <c r="AS1046" t="str">
        <f t="shared" si="219"/>
        <v>Valid</v>
      </c>
    </row>
    <row r="1047" spans="1:45" x14ac:dyDescent="0.3">
      <c r="A1047">
        <v>5985</v>
      </c>
      <c r="B1047">
        <v>1965</v>
      </c>
      <c r="C1047" t="s">
        <v>34</v>
      </c>
      <c r="D1047" t="s">
        <v>30</v>
      </c>
      <c r="E1047">
        <v>33168</v>
      </c>
      <c r="F1047">
        <v>0</v>
      </c>
      <c r="G1047">
        <v>1</v>
      </c>
      <c r="H1047" s="1">
        <v>41195</v>
      </c>
      <c r="I1047">
        <v>0</v>
      </c>
      <c r="J1047">
        <v>80</v>
      </c>
      <c r="K1047">
        <v>1</v>
      </c>
      <c r="L1047">
        <v>37</v>
      </c>
      <c r="M1047">
        <v>0</v>
      </c>
      <c r="N1047">
        <v>1</v>
      </c>
      <c r="O1047">
        <v>3</v>
      </c>
      <c r="P1047">
        <v>3</v>
      </c>
      <c r="Q1047">
        <v>2</v>
      </c>
      <c r="R1047">
        <v>1</v>
      </c>
      <c r="S1047">
        <v>4</v>
      </c>
      <c r="T1047">
        <v>7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3</v>
      </c>
      <c r="AB1047">
        <v>11</v>
      </c>
      <c r="AC1047">
        <v>0</v>
      </c>
      <c r="AD1047" t="str">
        <f t="shared" si="208"/>
        <v>Ok</v>
      </c>
      <c r="AE1047" t="str">
        <f>IF(AND(Audit_Data[[#This Row],[Year_Birth]]&gt;=1900,Audit_Data[[#This Row],[Year_Birth]]&lt;=2010),"OK","Invalid")</f>
        <v>OK</v>
      </c>
      <c r="AF1047" t="str">
        <f t="shared" si="209"/>
        <v>Valid</v>
      </c>
      <c r="AG1047" t="str">
        <f t="shared" si="210"/>
        <v>Valid</v>
      </c>
      <c r="AH1047" t="str">
        <f t="shared" si="211"/>
        <v>Valid</v>
      </c>
      <c r="AI1047" t="str">
        <f t="shared" si="212"/>
        <v>Valid</v>
      </c>
      <c r="AJ1047" t="str">
        <f t="shared" si="213"/>
        <v>Valid</v>
      </c>
      <c r="AK1047" t="str">
        <f t="shared" si="220"/>
        <v xml:space="preserve">Valid </v>
      </c>
      <c r="AL1047" t="str">
        <f>IF(AND(Audit_Data[[#This Row],[Recency]]&gt;=0,Audit_Data[[#This Row],[Recency]]&lt;=100),"Valid","Invalid")</f>
        <v>Valid</v>
      </c>
      <c r="AM1047" t="str">
        <f t="shared" si="214"/>
        <v>Valid</v>
      </c>
      <c r="AN1047" t="str">
        <f t="shared" si="215"/>
        <v>Valid</v>
      </c>
      <c r="AO1047" t="str">
        <f t="shared" si="216"/>
        <v>Valid</v>
      </c>
      <c r="AP1047" t="str">
        <f t="shared" si="217"/>
        <v>Valid</v>
      </c>
      <c r="AQ1047" t="str">
        <f>IF(Audit_Data[[#This Row],[Z_CostContact]]=3,"Valid","Invalid")</f>
        <v>Valid</v>
      </c>
      <c r="AR1047" t="str">
        <f t="shared" si="218"/>
        <v>Valid</v>
      </c>
      <c r="AS1047" t="str">
        <f t="shared" si="219"/>
        <v>Valid</v>
      </c>
    </row>
    <row r="1048" spans="1:45" x14ac:dyDescent="0.3">
      <c r="A1048">
        <v>4754</v>
      </c>
      <c r="B1048">
        <v>1966</v>
      </c>
      <c r="C1048" t="s">
        <v>34</v>
      </c>
      <c r="D1048" t="s">
        <v>33</v>
      </c>
      <c r="E1048">
        <v>33585</v>
      </c>
      <c r="F1048">
        <v>0</v>
      </c>
      <c r="G1048">
        <v>1</v>
      </c>
      <c r="H1048" s="1">
        <v>41542</v>
      </c>
      <c r="I1048">
        <v>91</v>
      </c>
      <c r="J1048">
        <v>30</v>
      </c>
      <c r="K1048">
        <v>11</v>
      </c>
      <c r="L1048">
        <v>33</v>
      </c>
      <c r="M1048">
        <v>13</v>
      </c>
      <c r="N1048">
        <v>6</v>
      </c>
      <c r="O1048">
        <v>29</v>
      </c>
      <c r="P1048">
        <v>1</v>
      </c>
      <c r="Q1048">
        <v>2</v>
      </c>
      <c r="R1048">
        <v>0</v>
      </c>
      <c r="S1048">
        <v>4</v>
      </c>
      <c r="T1048">
        <v>4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3</v>
      </c>
      <c r="AB1048">
        <v>11</v>
      </c>
      <c r="AC1048">
        <v>0</v>
      </c>
      <c r="AD1048" t="str">
        <f t="shared" si="208"/>
        <v>Ok</v>
      </c>
      <c r="AE1048" t="str">
        <f>IF(AND(Audit_Data[[#This Row],[Year_Birth]]&gt;=1900,Audit_Data[[#This Row],[Year_Birth]]&lt;=2010),"OK","Invalid")</f>
        <v>OK</v>
      </c>
      <c r="AF1048" t="str">
        <f t="shared" si="209"/>
        <v>Valid</v>
      </c>
      <c r="AG1048" t="str">
        <f t="shared" si="210"/>
        <v>Valid</v>
      </c>
      <c r="AH1048" t="str">
        <f t="shared" si="211"/>
        <v>Valid</v>
      </c>
      <c r="AI1048" t="str">
        <f t="shared" si="212"/>
        <v>Valid</v>
      </c>
      <c r="AJ1048" t="str">
        <f t="shared" si="213"/>
        <v>Valid</v>
      </c>
      <c r="AK1048" t="str">
        <f t="shared" si="220"/>
        <v xml:space="preserve">Valid </v>
      </c>
      <c r="AL1048" t="str">
        <f>IF(AND(Audit_Data[[#This Row],[Recency]]&gt;=0,Audit_Data[[#This Row],[Recency]]&lt;=100),"Valid","Invalid")</f>
        <v>Valid</v>
      </c>
      <c r="AM1048" t="str">
        <f t="shared" si="214"/>
        <v>Valid</v>
      </c>
      <c r="AN1048" t="str">
        <f t="shared" si="215"/>
        <v>Valid</v>
      </c>
      <c r="AO1048" t="str">
        <f t="shared" si="216"/>
        <v>Valid</v>
      </c>
      <c r="AP1048" t="str">
        <f t="shared" si="217"/>
        <v>Valid</v>
      </c>
      <c r="AQ1048" t="str">
        <f>IF(Audit_Data[[#This Row],[Z_CostContact]]=3,"Valid","Invalid")</f>
        <v>Valid</v>
      </c>
      <c r="AR1048" t="str">
        <f t="shared" si="218"/>
        <v>Valid</v>
      </c>
      <c r="AS1048" t="str">
        <f t="shared" si="219"/>
        <v>Valid</v>
      </c>
    </row>
    <row r="1049" spans="1:45" x14ac:dyDescent="0.3">
      <c r="A1049">
        <v>4002</v>
      </c>
      <c r="B1049">
        <v>1960</v>
      </c>
      <c r="C1049" t="s">
        <v>32</v>
      </c>
      <c r="D1049" t="s">
        <v>33</v>
      </c>
      <c r="E1049">
        <v>77037</v>
      </c>
      <c r="F1049">
        <v>0</v>
      </c>
      <c r="G1049">
        <v>1</v>
      </c>
      <c r="H1049" s="1">
        <v>41560</v>
      </c>
      <c r="I1049">
        <v>3</v>
      </c>
      <c r="J1049">
        <v>463</v>
      </c>
      <c r="K1049">
        <v>96</v>
      </c>
      <c r="L1049">
        <v>333</v>
      </c>
      <c r="M1049">
        <v>168</v>
      </c>
      <c r="N1049">
        <v>53</v>
      </c>
      <c r="O1049">
        <v>10</v>
      </c>
      <c r="P1049">
        <v>1</v>
      </c>
      <c r="Q1049">
        <v>7</v>
      </c>
      <c r="R1049">
        <v>7</v>
      </c>
      <c r="S1049">
        <v>12</v>
      </c>
      <c r="T1049">
        <v>3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3</v>
      </c>
      <c r="AB1049">
        <v>11</v>
      </c>
      <c r="AC1049">
        <v>0</v>
      </c>
      <c r="AD1049" t="str">
        <f t="shared" si="208"/>
        <v>Ok</v>
      </c>
      <c r="AE1049" t="str">
        <f>IF(AND(Audit_Data[[#This Row],[Year_Birth]]&gt;=1900,Audit_Data[[#This Row],[Year_Birth]]&lt;=2010),"OK","Invalid")</f>
        <v>OK</v>
      </c>
      <c r="AF1049" t="str">
        <f t="shared" si="209"/>
        <v>Valid</v>
      </c>
      <c r="AG1049" t="str">
        <f t="shared" si="210"/>
        <v>Valid</v>
      </c>
      <c r="AH1049" t="str">
        <f t="shared" si="211"/>
        <v>Valid</v>
      </c>
      <c r="AI1049" t="str">
        <f t="shared" si="212"/>
        <v>Valid</v>
      </c>
      <c r="AJ1049" t="str">
        <f t="shared" si="213"/>
        <v>Valid</v>
      </c>
      <c r="AK1049" t="str">
        <f t="shared" si="220"/>
        <v xml:space="preserve">Valid </v>
      </c>
      <c r="AL1049" t="str">
        <f>IF(AND(Audit_Data[[#This Row],[Recency]]&gt;=0,Audit_Data[[#This Row],[Recency]]&lt;=100),"Valid","Invalid")</f>
        <v>Valid</v>
      </c>
      <c r="AM1049" t="str">
        <f t="shared" si="214"/>
        <v>Valid</v>
      </c>
      <c r="AN1049" t="str">
        <f t="shared" si="215"/>
        <v>Valid</v>
      </c>
      <c r="AO1049" t="str">
        <f t="shared" si="216"/>
        <v>Valid</v>
      </c>
      <c r="AP1049" t="str">
        <f t="shared" si="217"/>
        <v>Valid</v>
      </c>
      <c r="AQ1049" t="str">
        <f>IF(Audit_Data[[#This Row],[Z_CostContact]]=3,"Valid","Invalid")</f>
        <v>Valid</v>
      </c>
      <c r="AR1049" t="str">
        <f t="shared" si="218"/>
        <v>Valid</v>
      </c>
      <c r="AS1049" t="str">
        <f t="shared" si="219"/>
        <v>Valid</v>
      </c>
    </row>
    <row r="1050" spans="1:45" x14ac:dyDescent="0.3">
      <c r="A1050">
        <v>8870</v>
      </c>
      <c r="B1050">
        <v>1984</v>
      </c>
      <c r="C1050" t="s">
        <v>29</v>
      </c>
      <c r="D1050" t="s">
        <v>31</v>
      </c>
      <c r="E1050">
        <v>35196</v>
      </c>
      <c r="F1050">
        <v>1</v>
      </c>
      <c r="G1050">
        <v>0</v>
      </c>
      <c r="H1050" s="1">
        <v>41226</v>
      </c>
      <c r="I1050">
        <v>68</v>
      </c>
      <c r="J1050">
        <v>75</v>
      </c>
      <c r="K1050">
        <v>12</v>
      </c>
      <c r="L1050">
        <v>141</v>
      </c>
      <c r="M1050">
        <v>43</v>
      </c>
      <c r="N1050">
        <v>39</v>
      </c>
      <c r="O1050">
        <v>187</v>
      </c>
      <c r="P1050">
        <v>6</v>
      </c>
      <c r="Q1050">
        <v>6</v>
      </c>
      <c r="R1050">
        <v>1</v>
      </c>
      <c r="S1050">
        <v>5</v>
      </c>
      <c r="T1050">
        <v>8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3</v>
      </c>
      <c r="AB1050">
        <v>11</v>
      </c>
      <c r="AC1050">
        <v>1</v>
      </c>
      <c r="AD1050" t="str">
        <f t="shared" si="208"/>
        <v>Ok</v>
      </c>
      <c r="AE1050" t="str">
        <f>IF(AND(Audit_Data[[#This Row],[Year_Birth]]&gt;=1900,Audit_Data[[#This Row],[Year_Birth]]&lt;=2010),"OK","Invalid")</f>
        <v>OK</v>
      </c>
      <c r="AF1050" t="str">
        <f t="shared" si="209"/>
        <v>Valid</v>
      </c>
      <c r="AG1050" t="str">
        <f t="shared" si="210"/>
        <v>Valid</v>
      </c>
      <c r="AH1050" t="str">
        <f t="shared" si="211"/>
        <v>Valid</v>
      </c>
      <c r="AI1050" t="str">
        <f t="shared" si="212"/>
        <v>Valid</v>
      </c>
      <c r="AJ1050" t="str">
        <f t="shared" si="213"/>
        <v>Valid</v>
      </c>
      <c r="AK1050" t="str">
        <f t="shared" si="220"/>
        <v xml:space="preserve">Valid </v>
      </c>
      <c r="AL1050" t="str">
        <f>IF(AND(Audit_Data[[#This Row],[Recency]]&gt;=0,Audit_Data[[#This Row],[Recency]]&lt;=100),"Valid","Invalid")</f>
        <v>Valid</v>
      </c>
      <c r="AM1050" t="str">
        <f t="shared" si="214"/>
        <v>Valid</v>
      </c>
      <c r="AN1050" t="str">
        <f t="shared" si="215"/>
        <v>Valid</v>
      </c>
      <c r="AO1050" t="str">
        <f t="shared" si="216"/>
        <v>Valid</v>
      </c>
      <c r="AP1050" t="str">
        <f t="shared" si="217"/>
        <v>Valid</v>
      </c>
      <c r="AQ1050" t="str">
        <f>IF(Audit_Data[[#This Row],[Z_CostContact]]=3,"Valid","Invalid")</f>
        <v>Valid</v>
      </c>
      <c r="AR1050" t="str">
        <f t="shared" si="218"/>
        <v>Valid</v>
      </c>
      <c r="AS1050" t="str">
        <f t="shared" si="219"/>
        <v>Valid</v>
      </c>
    </row>
    <row r="1051" spans="1:45" x14ac:dyDescent="0.3">
      <c r="A1051">
        <v>966</v>
      </c>
      <c r="B1051">
        <v>1966</v>
      </c>
      <c r="C1051" t="s">
        <v>29</v>
      </c>
      <c r="D1051" t="s">
        <v>33</v>
      </c>
      <c r="E1051">
        <v>44529</v>
      </c>
      <c r="F1051">
        <v>0</v>
      </c>
      <c r="G1051">
        <v>1</v>
      </c>
      <c r="H1051" s="1">
        <v>41460</v>
      </c>
      <c r="I1051">
        <v>98</v>
      </c>
      <c r="J1051">
        <v>538</v>
      </c>
      <c r="K1051">
        <v>13</v>
      </c>
      <c r="L1051">
        <v>91</v>
      </c>
      <c r="M1051">
        <v>17</v>
      </c>
      <c r="N1051">
        <v>6</v>
      </c>
      <c r="O1051">
        <v>26</v>
      </c>
      <c r="P1051">
        <v>6</v>
      </c>
      <c r="Q1051">
        <v>6</v>
      </c>
      <c r="R1051">
        <v>2</v>
      </c>
      <c r="S1051">
        <v>11</v>
      </c>
      <c r="T1051">
        <v>5</v>
      </c>
      <c r="U1051">
        <v>0</v>
      </c>
      <c r="V1051">
        <v>1</v>
      </c>
      <c r="W1051">
        <v>0</v>
      </c>
      <c r="X1051">
        <v>0</v>
      </c>
      <c r="Y1051">
        <v>0</v>
      </c>
      <c r="Z1051">
        <v>0</v>
      </c>
      <c r="AA1051">
        <v>3</v>
      </c>
      <c r="AB1051">
        <v>11</v>
      </c>
      <c r="AC1051">
        <v>0</v>
      </c>
      <c r="AD1051" t="str">
        <f t="shared" si="208"/>
        <v>Ok</v>
      </c>
      <c r="AE1051" t="str">
        <f>IF(AND(Audit_Data[[#This Row],[Year_Birth]]&gt;=1900,Audit_Data[[#This Row],[Year_Birth]]&lt;=2010),"OK","Invalid")</f>
        <v>OK</v>
      </c>
      <c r="AF1051" t="str">
        <f t="shared" si="209"/>
        <v>Valid</v>
      </c>
      <c r="AG1051" t="str">
        <f t="shared" si="210"/>
        <v>Valid</v>
      </c>
      <c r="AH1051" t="str">
        <f t="shared" si="211"/>
        <v>Valid</v>
      </c>
      <c r="AI1051" t="str">
        <f t="shared" si="212"/>
        <v>Valid</v>
      </c>
      <c r="AJ1051" t="str">
        <f t="shared" si="213"/>
        <v>Valid</v>
      </c>
      <c r="AK1051" t="str">
        <f t="shared" si="220"/>
        <v xml:space="preserve">Valid </v>
      </c>
      <c r="AL1051" t="str">
        <f>IF(AND(Audit_Data[[#This Row],[Recency]]&gt;=0,Audit_Data[[#This Row],[Recency]]&lt;=100),"Valid","Invalid")</f>
        <v>Valid</v>
      </c>
      <c r="AM1051" t="str">
        <f t="shared" si="214"/>
        <v>Valid</v>
      </c>
      <c r="AN1051" t="str">
        <f t="shared" si="215"/>
        <v>Valid</v>
      </c>
      <c r="AO1051" t="str">
        <f t="shared" si="216"/>
        <v>Valid</v>
      </c>
      <c r="AP1051" t="str">
        <f t="shared" si="217"/>
        <v>Valid</v>
      </c>
      <c r="AQ1051" t="str">
        <f>IF(Audit_Data[[#This Row],[Z_CostContact]]=3,"Valid","Invalid")</f>
        <v>Valid</v>
      </c>
      <c r="AR1051" t="str">
        <f t="shared" si="218"/>
        <v>Valid</v>
      </c>
      <c r="AS1051" t="str">
        <f t="shared" si="219"/>
        <v>Valid</v>
      </c>
    </row>
    <row r="1052" spans="1:45" x14ac:dyDescent="0.3">
      <c r="A1052">
        <v>4767</v>
      </c>
      <c r="B1052">
        <v>1965</v>
      </c>
      <c r="C1052" t="s">
        <v>37</v>
      </c>
      <c r="D1052" t="s">
        <v>33</v>
      </c>
      <c r="E1052">
        <v>70924</v>
      </c>
      <c r="F1052">
        <v>0</v>
      </c>
      <c r="G1052">
        <v>0</v>
      </c>
      <c r="H1052" s="1">
        <v>41736</v>
      </c>
      <c r="I1052">
        <v>41</v>
      </c>
      <c r="J1052">
        <v>635</v>
      </c>
      <c r="K1052">
        <v>114</v>
      </c>
      <c r="L1052">
        <v>254</v>
      </c>
      <c r="M1052">
        <v>132</v>
      </c>
      <c r="N1052">
        <v>152</v>
      </c>
      <c r="O1052">
        <v>76</v>
      </c>
      <c r="P1052">
        <v>1</v>
      </c>
      <c r="Q1052">
        <v>6</v>
      </c>
      <c r="R1052">
        <v>6</v>
      </c>
      <c r="S1052">
        <v>7</v>
      </c>
      <c r="T1052">
        <v>3</v>
      </c>
      <c r="U1052">
        <v>0</v>
      </c>
      <c r="V1052">
        <v>0</v>
      </c>
      <c r="W1052">
        <v>1</v>
      </c>
      <c r="X1052">
        <v>0</v>
      </c>
      <c r="Y1052">
        <v>0</v>
      </c>
      <c r="Z1052">
        <v>0</v>
      </c>
      <c r="AA1052">
        <v>3</v>
      </c>
      <c r="AB1052">
        <v>11</v>
      </c>
      <c r="AC1052">
        <v>0</v>
      </c>
      <c r="AD1052" t="str">
        <f t="shared" si="208"/>
        <v>Ok</v>
      </c>
      <c r="AE1052" t="str">
        <f>IF(AND(Audit_Data[[#This Row],[Year_Birth]]&gt;=1900,Audit_Data[[#This Row],[Year_Birth]]&lt;=2010),"OK","Invalid")</f>
        <v>OK</v>
      </c>
      <c r="AF1052" t="str">
        <f t="shared" si="209"/>
        <v>Valid</v>
      </c>
      <c r="AG1052" t="str">
        <f t="shared" si="210"/>
        <v>Valid</v>
      </c>
      <c r="AH1052" t="str">
        <f t="shared" si="211"/>
        <v>Valid</v>
      </c>
      <c r="AI1052" t="str">
        <f t="shared" si="212"/>
        <v>Valid</v>
      </c>
      <c r="AJ1052" t="str">
        <f t="shared" si="213"/>
        <v>Valid</v>
      </c>
      <c r="AK1052" t="str">
        <f t="shared" si="220"/>
        <v xml:space="preserve">Valid </v>
      </c>
      <c r="AL1052" t="str">
        <f>IF(AND(Audit_Data[[#This Row],[Recency]]&gt;=0,Audit_Data[[#This Row],[Recency]]&lt;=100),"Valid","Invalid")</f>
        <v>Valid</v>
      </c>
      <c r="AM1052" t="str">
        <f t="shared" si="214"/>
        <v>Valid</v>
      </c>
      <c r="AN1052" t="str">
        <f t="shared" si="215"/>
        <v>Valid</v>
      </c>
      <c r="AO1052" t="str">
        <f t="shared" si="216"/>
        <v>Valid</v>
      </c>
      <c r="AP1052" t="str">
        <f t="shared" si="217"/>
        <v>Valid</v>
      </c>
      <c r="AQ1052" t="str">
        <f>IF(Audit_Data[[#This Row],[Z_CostContact]]=3,"Valid","Invalid")</f>
        <v>Valid</v>
      </c>
      <c r="AR1052" t="str">
        <f t="shared" si="218"/>
        <v>Valid</v>
      </c>
      <c r="AS1052" t="str">
        <f t="shared" si="219"/>
        <v>Valid</v>
      </c>
    </row>
    <row r="1053" spans="1:45" x14ac:dyDescent="0.3">
      <c r="A1053">
        <v>9725</v>
      </c>
      <c r="B1053">
        <v>1966</v>
      </c>
      <c r="C1053" t="s">
        <v>32</v>
      </c>
      <c r="D1053" t="s">
        <v>31</v>
      </c>
      <c r="E1053">
        <v>28764</v>
      </c>
      <c r="F1053">
        <v>1</v>
      </c>
      <c r="G1053">
        <v>1</v>
      </c>
      <c r="H1053" s="1">
        <v>41795</v>
      </c>
      <c r="I1053">
        <v>16</v>
      </c>
      <c r="J1053">
        <v>8</v>
      </c>
      <c r="K1053">
        <v>0</v>
      </c>
      <c r="L1053">
        <v>3</v>
      </c>
      <c r="M1053">
        <v>0</v>
      </c>
      <c r="N1053">
        <v>0</v>
      </c>
      <c r="O1053">
        <v>1</v>
      </c>
      <c r="P1053">
        <v>1</v>
      </c>
      <c r="Q1053">
        <v>1</v>
      </c>
      <c r="R1053">
        <v>0</v>
      </c>
      <c r="S1053">
        <v>2</v>
      </c>
      <c r="T1053">
        <v>8</v>
      </c>
      <c r="U1053">
        <v>1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3</v>
      </c>
      <c r="AB1053">
        <v>11</v>
      </c>
      <c r="AC1053">
        <v>0</v>
      </c>
      <c r="AD1053" t="str">
        <f t="shared" si="208"/>
        <v>Ok</v>
      </c>
      <c r="AE1053" t="str">
        <f>IF(AND(Audit_Data[[#This Row],[Year_Birth]]&gt;=1900,Audit_Data[[#This Row],[Year_Birth]]&lt;=2010),"OK","Invalid")</f>
        <v>OK</v>
      </c>
      <c r="AF1053" t="str">
        <f t="shared" si="209"/>
        <v>Valid</v>
      </c>
      <c r="AG1053" t="str">
        <f t="shared" si="210"/>
        <v>Valid</v>
      </c>
      <c r="AH1053" t="str">
        <f t="shared" si="211"/>
        <v>Valid</v>
      </c>
      <c r="AI1053" t="str">
        <f t="shared" si="212"/>
        <v>Valid</v>
      </c>
      <c r="AJ1053" t="str">
        <f t="shared" si="213"/>
        <v>Valid</v>
      </c>
      <c r="AK1053" t="str">
        <f t="shared" si="220"/>
        <v xml:space="preserve">Valid </v>
      </c>
      <c r="AL1053" t="str">
        <f>IF(AND(Audit_Data[[#This Row],[Recency]]&gt;=0,Audit_Data[[#This Row],[Recency]]&lt;=100),"Valid","Invalid")</f>
        <v>Valid</v>
      </c>
      <c r="AM1053" t="str">
        <f t="shared" si="214"/>
        <v>Valid</v>
      </c>
      <c r="AN1053" t="str">
        <f t="shared" si="215"/>
        <v>Valid</v>
      </c>
      <c r="AO1053" t="str">
        <f t="shared" si="216"/>
        <v>Valid</v>
      </c>
      <c r="AP1053" t="str">
        <f t="shared" si="217"/>
        <v>Valid</v>
      </c>
      <c r="AQ1053" t="str">
        <f>IF(Audit_Data[[#This Row],[Z_CostContact]]=3,"Valid","Invalid")</f>
        <v>Valid</v>
      </c>
      <c r="AR1053" t="str">
        <f t="shared" si="218"/>
        <v>Valid</v>
      </c>
      <c r="AS1053" t="str">
        <f t="shared" si="219"/>
        <v>Valid</v>
      </c>
    </row>
    <row r="1054" spans="1:45" x14ac:dyDescent="0.3">
      <c r="A1054">
        <v>4475</v>
      </c>
      <c r="B1054">
        <v>1949</v>
      </c>
      <c r="C1054" t="s">
        <v>32</v>
      </c>
      <c r="D1054" t="s">
        <v>33</v>
      </c>
      <c r="E1054">
        <v>69098</v>
      </c>
      <c r="F1054">
        <v>0</v>
      </c>
      <c r="G1054">
        <v>0</v>
      </c>
      <c r="H1054" s="1">
        <v>41321</v>
      </c>
      <c r="I1054">
        <v>82</v>
      </c>
      <c r="J1054">
        <v>1315</v>
      </c>
      <c r="K1054">
        <v>22</v>
      </c>
      <c r="L1054">
        <v>780</v>
      </c>
      <c r="M1054">
        <v>145</v>
      </c>
      <c r="N1054">
        <v>0</v>
      </c>
      <c r="O1054">
        <v>178</v>
      </c>
      <c r="P1054">
        <v>1</v>
      </c>
      <c r="Q1054">
        <v>7</v>
      </c>
      <c r="R1054">
        <v>8</v>
      </c>
      <c r="S1054">
        <v>9</v>
      </c>
      <c r="T1054">
        <v>5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3</v>
      </c>
      <c r="AB1054">
        <v>11</v>
      </c>
      <c r="AC1054">
        <v>0</v>
      </c>
      <c r="AD1054" t="str">
        <f t="shared" si="208"/>
        <v>Ok</v>
      </c>
      <c r="AE1054" t="str">
        <f>IF(AND(Audit_Data[[#This Row],[Year_Birth]]&gt;=1900,Audit_Data[[#This Row],[Year_Birth]]&lt;=2010),"OK","Invalid")</f>
        <v>OK</v>
      </c>
      <c r="AF1054" t="str">
        <f t="shared" si="209"/>
        <v>Valid</v>
      </c>
      <c r="AG1054" t="str">
        <f t="shared" si="210"/>
        <v>Valid</v>
      </c>
      <c r="AH1054" t="str">
        <f t="shared" si="211"/>
        <v>Valid</v>
      </c>
      <c r="AI1054" t="str">
        <f t="shared" si="212"/>
        <v>Valid</v>
      </c>
      <c r="AJ1054" t="str">
        <f t="shared" si="213"/>
        <v>Valid</v>
      </c>
      <c r="AK1054" t="str">
        <f t="shared" si="220"/>
        <v xml:space="preserve">Valid </v>
      </c>
      <c r="AL1054" t="str">
        <f>IF(AND(Audit_Data[[#This Row],[Recency]]&gt;=0,Audit_Data[[#This Row],[Recency]]&lt;=100),"Valid","Invalid")</f>
        <v>Valid</v>
      </c>
      <c r="AM1054" t="str">
        <f t="shared" si="214"/>
        <v>Valid</v>
      </c>
      <c r="AN1054" t="str">
        <f t="shared" si="215"/>
        <v>Valid</v>
      </c>
      <c r="AO1054" t="str">
        <f t="shared" si="216"/>
        <v>Valid</v>
      </c>
      <c r="AP1054" t="str">
        <f t="shared" si="217"/>
        <v>Valid</v>
      </c>
      <c r="AQ1054" t="str">
        <f>IF(Audit_Data[[#This Row],[Z_CostContact]]=3,"Valid","Invalid")</f>
        <v>Valid</v>
      </c>
      <c r="AR1054" t="str">
        <f t="shared" si="218"/>
        <v>Valid</v>
      </c>
      <c r="AS1054" t="str">
        <f t="shared" si="219"/>
        <v>Valid</v>
      </c>
    </row>
    <row r="1055" spans="1:45" x14ac:dyDescent="0.3">
      <c r="A1055">
        <v>5740</v>
      </c>
      <c r="B1055">
        <v>1970</v>
      </c>
      <c r="C1055" t="s">
        <v>37</v>
      </c>
      <c r="D1055" t="s">
        <v>35</v>
      </c>
      <c r="E1055">
        <v>25959</v>
      </c>
      <c r="F1055">
        <v>1</v>
      </c>
      <c r="G1055">
        <v>1</v>
      </c>
      <c r="H1055" s="1">
        <v>41319</v>
      </c>
      <c r="I1055">
        <v>1</v>
      </c>
      <c r="J1055">
        <v>4</v>
      </c>
      <c r="K1055">
        <v>2</v>
      </c>
      <c r="L1055">
        <v>12</v>
      </c>
      <c r="M1055">
        <v>7</v>
      </c>
      <c r="N1055">
        <v>5</v>
      </c>
      <c r="O1055">
        <v>26</v>
      </c>
      <c r="P1055">
        <v>2</v>
      </c>
      <c r="Q1055">
        <v>1</v>
      </c>
      <c r="R1055">
        <v>2</v>
      </c>
      <c r="S1055">
        <v>2</v>
      </c>
      <c r="T1055">
        <v>6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3</v>
      </c>
      <c r="AB1055">
        <v>11</v>
      </c>
      <c r="AC1055">
        <v>1</v>
      </c>
      <c r="AD1055" t="str">
        <f t="shared" si="208"/>
        <v>Ok</v>
      </c>
      <c r="AE1055" t="str">
        <f>IF(AND(Audit_Data[[#This Row],[Year_Birth]]&gt;=1900,Audit_Data[[#This Row],[Year_Birth]]&lt;=2010),"OK","Invalid")</f>
        <v>OK</v>
      </c>
      <c r="AF1055" t="str">
        <f t="shared" si="209"/>
        <v>Valid</v>
      </c>
      <c r="AG1055" t="str">
        <f t="shared" si="210"/>
        <v>Valid</v>
      </c>
      <c r="AH1055" t="str">
        <f t="shared" si="211"/>
        <v>Valid</v>
      </c>
      <c r="AI1055" t="str">
        <f t="shared" si="212"/>
        <v>Valid</v>
      </c>
      <c r="AJ1055" t="str">
        <f t="shared" si="213"/>
        <v>Valid</v>
      </c>
      <c r="AK1055" t="str">
        <f t="shared" si="220"/>
        <v xml:space="preserve">Valid </v>
      </c>
      <c r="AL1055" t="str">
        <f>IF(AND(Audit_Data[[#This Row],[Recency]]&gt;=0,Audit_Data[[#This Row],[Recency]]&lt;=100),"Valid","Invalid")</f>
        <v>Valid</v>
      </c>
      <c r="AM1055" t="str">
        <f t="shared" si="214"/>
        <v>Valid</v>
      </c>
      <c r="AN1055" t="str">
        <f t="shared" si="215"/>
        <v>Valid</v>
      </c>
      <c r="AO1055" t="str">
        <f t="shared" si="216"/>
        <v>Valid</v>
      </c>
      <c r="AP1055" t="str">
        <f t="shared" si="217"/>
        <v>Valid</v>
      </c>
      <c r="AQ1055" t="str">
        <f>IF(Audit_Data[[#This Row],[Z_CostContact]]=3,"Valid","Invalid")</f>
        <v>Valid</v>
      </c>
      <c r="AR1055" t="str">
        <f t="shared" si="218"/>
        <v>Valid</v>
      </c>
      <c r="AS1055" t="str">
        <f t="shared" si="219"/>
        <v>Valid</v>
      </c>
    </row>
    <row r="1056" spans="1:45" x14ac:dyDescent="0.3">
      <c r="A1056">
        <v>5731</v>
      </c>
      <c r="B1056">
        <v>1983</v>
      </c>
      <c r="C1056" t="s">
        <v>34</v>
      </c>
      <c r="D1056" t="s">
        <v>33</v>
      </c>
      <c r="E1056">
        <v>27100</v>
      </c>
      <c r="F1056">
        <v>1</v>
      </c>
      <c r="G1056">
        <v>0</v>
      </c>
      <c r="H1056" s="1">
        <v>41369</v>
      </c>
      <c r="I1056">
        <v>64</v>
      </c>
      <c r="J1056">
        <v>12</v>
      </c>
      <c r="K1056">
        <v>0</v>
      </c>
      <c r="L1056">
        <v>13</v>
      </c>
      <c r="M1056">
        <v>2</v>
      </c>
      <c r="N1056">
        <v>0</v>
      </c>
      <c r="O1056">
        <v>10</v>
      </c>
      <c r="P1056">
        <v>1</v>
      </c>
      <c r="Q1056">
        <v>1</v>
      </c>
      <c r="R1056">
        <v>0</v>
      </c>
      <c r="S1056">
        <v>3</v>
      </c>
      <c r="T1056">
        <v>7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3</v>
      </c>
      <c r="AB1056">
        <v>11</v>
      </c>
      <c r="AC1056">
        <v>0</v>
      </c>
      <c r="AD1056" t="str">
        <f t="shared" si="208"/>
        <v>Ok</v>
      </c>
      <c r="AE1056" t="str">
        <f>IF(AND(Audit_Data[[#This Row],[Year_Birth]]&gt;=1900,Audit_Data[[#This Row],[Year_Birth]]&lt;=2010),"OK","Invalid")</f>
        <v>OK</v>
      </c>
      <c r="AF1056" t="str">
        <f t="shared" si="209"/>
        <v>Valid</v>
      </c>
      <c r="AG1056" t="str">
        <f t="shared" si="210"/>
        <v>Valid</v>
      </c>
      <c r="AH1056" t="str">
        <f t="shared" si="211"/>
        <v>Valid</v>
      </c>
      <c r="AI1056" t="str">
        <f t="shared" si="212"/>
        <v>Valid</v>
      </c>
      <c r="AJ1056" t="str">
        <f t="shared" si="213"/>
        <v>Valid</v>
      </c>
      <c r="AK1056" t="str">
        <f t="shared" si="220"/>
        <v xml:space="preserve">Valid </v>
      </c>
      <c r="AL1056" t="str">
        <f>IF(AND(Audit_Data[[#This Row],[Recency]]&gt;=0,Audit_Data[[#This Row],[Recency]]&lt;=100),"Valid","Invalid")</f>
        <v>Valid</v>
      </c>
      <c r="AM1056" t="str">
        <f t="shared" si="214"/>
        <v>Valid</v>
      </c>
      <c r="AN1056" t="str">
        <f t="shared" si="215"/>
        <v>Valid</v>
      </c>
      <c r="AO1056" t="str">
        <f t="shared" si="216"/>
        <v>Valid</v>
      </c>
      <c r="AP1056" t="str">
        <f t="shared" si="217"/>
        <v>Valid</v>
      </c>
      <c r="AQ1056" t="str">
        <f>IF(Audit_Data[[#This Row],[Z_CostContact]]=3,"Valid","Invalid")</f>
        <v>Valid</v>
      </c>
      <c r="AR1056" t="str">
        <f t="shared" si="218"/>
        <v>Valid</v>
      </c>
      <c r="AS1056" t="str">
        <f t="shared" si="219"/>
        <v>Valid</v>
      </c>
    </row>
    <row r="1057" spans="1:45" x14ac:dyDescent="0.3">
      <c r="A1057">
        <v>7290</v>
      </c>
      <c r="B1057">
        <v>1985</v>
      </c>
      <c r="C1057" t="s">
        <v>29</v>
      </c>
      <c r="D1057" t="s">
        <v>30</v>
      </c>
      <c r="E1057">
        <v>70596</v>
      </c>
      <c r="F1057">
        <v>0</v>
      </c>
      <c r="G1057">
        <v>0</v>
      </c>
      <c r="H1057" s="1">
        <v>41187</v>
      </c>
      <c r="I1057">
        <v>68</v>
      </c>
      <c r="J1057">
        <v>347</v>
      </c>
      <c r="K1057">
        <v>44</v>
      </c>
      <c r="L1057">
        <v>534</v>
      </c>
      <c r="M1057">
        <v>17</v>
      </c>
      <c r="N1057">
        <v>0</v>
      </c>
      <c r="O1057">
        <v>26</v>
      </c>
      <c r="P1057">
        <v>1</v>
      </c>
      <c r="Q1057">
        <v>3</v>
      </c>
      <c r="R1057">
        <v>5</v>
      </c>
      <c r="S1057">
        <v>12</v>
      </c>
      <c r="T1057">
        <v>2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3</v>
      </c>
      <c r="AB1057">
        <v>11</v>
      </c>
      <c r="AC1057">
        <v>0</v>
      </c>
      <c r="AD1057" t="str">
        <f t="shared" si="208"/>
        <v>Ok</v>
      </c>
      <c r="AE1057" t="str">
        <f>IF(AND(Audit_Data[[#This Row],[Year_Birth]]&gt;=1900,Audit_Data[[#This Row],[Year_Birth]]&lt;=2010),"OK","Invalid")</f>
        <v>OK</v>
      </c>
      <c r="AF1057" t="str">
        <f t="shared" si="209"/>
        <v>Valid</v>
      </c>
      <c r="AG1057" t="str">
        <f t="shared" si="210"/>
        <v>Valid</v>
      </c>
      <c r="AH1057" t="str">
        <f t="shared" si="211"/>
        <v>Valid</v>
      </c>
      <c r="AI1057" t="str">
        <f t="shared" si="212"/>
        <v>Valid</v>
      </c>
      <c r="AJ1057" t="str">
        <f t="shared" si="213"/>
        <v>Valid</v>
      </c>
      <c r="AK1057" t="str">
        <f t="shared" si="220"/>
        <v xml:space="preserve">Valid </v>
      </c>
      <c r="AL1057" t="str">
        <f>IF(AND(Audit_Data[[#This Row],[Recency]]&gt;=0,Audit_Data[[#This Row],[Recency]]&lt;=100),"Valid","Invalid")</f>
        <v>Valid</v>
      </c>
      <c r="AM1057" t="str">
        <f t="shared" si="214"/>
        <v>Valid</v>
      </c>
      <c r="AN1057" t="str">
        <f t="shared" si="215"/>
        <v>Valid</v>
      </c>
      <c r="AO1057" t="str">
        <f t="shared" si="216"/>
        <v>Valid</v>
      </c>
      <c r="AP1057" t="str">
        <f t="shared" si="217"/>
        <v>Valid</v>
      </c>
      <c r="AQ1057" t="str">
        <f>IF(Audit_Data[[#This Row],[Z_CostContact]]=3,"Valid","Invalid")</f>
        <v>Valid</v>
      </c>
      <c r="AR1057" t="str">
        <f t="shared" si="218"/>
        <v>Valid</v>
      </c>
      <c r="AS1057" t="str">
        <f t="shared" si="219"/>
        <v>Valid</v>
      </c>
    </row>
    <row r="1058" spans="1:45" x14ac:dyDescent="0.3">
      <c r="A1058">
        <v>3846</v>
      </c>
      <c r="B1058">
        <v>1974</v>
      </c>
      <c r="C1058" t="s">
        <v>29</v>
      </c>
      <c r="D1058" t="s">
        <v>33</v>
      </c>
      <c r="E1058">
        <v>42557</v>
      </c>
      <c r="F1058">
        <v>0</v>
      </c>
      <c r="G1058">
        <v>1</v>
      </c>
      <c r="H1058" s="1">
        <v>41150</v>
      </c>
      <c r="I1058">
        <v>98</v>
      </c>
      <c r="J1058">
        <v>192</v>
      </c>
      <c r="K1058">
        <v>5</v>
      </c>
      <c r="L1058">
        <v>53</v>
      </c>
      <c r="M1058">
        <v>0</v>
      </c>
      <c r="N1058">
        <v>5</v>
      </c>
      <c r="O1058">
        <v>15</v>
      </c>
      <c r="P1058">
        <v>4</v>
      </c>
      <c r="Q1058">
        <v>6</v>
      </c>
      <c r="R1058">
        <v>1</v>
      </c>
      <c r="S1058">
        <v>4</v>
      </c>
      <c r="T1058">
        <v>8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3</v>
      </c>
      <c r="AB1058">
        <v>11</v>
      </c>
      <c r="AC1058">
        <v>0</v>
      </c>
      <c r="AD1058" t="str">
        <f t="shared" si="208"/>
        <v>Ok</v>
      </c>
      <c r="AE1058" t="str">
        <f>IF(AND(Audit_Data[[#This Row],[Year_Birth]]&gt;=1900,Audit_Data[[#This Row],[Year_Birth]]&lt;=2010),"OK","Invalid")</f>
        <v>OK</v>
      </c>
      <c r="AF1058" t="str">
        <f t="shared" si="209"/>
        <v>Valid</v>
      </c>
      <c r="AG1058" t="str">
        <f t="shared" si="210"/>
        <v>Valid</v>
      </c>
      <c r="AH1058" t="str">
        <f t="shared" si="211"/>
        <v>Valid</v>
      </c>
      <c r="AI1058" t="str">
        <f t="shared" si="212"/>
        <v>Valid</v>
      </c>
      <c r="AJ1058" t="str">
        <f t="shared" si="213"/>
        <v>Valid</v>
      </c>
      <c r="AK1058" t="str">
        <f t="shared" si="220"/>
        <v xml:space="preserve">Valid </v>
      </c>
      <c r="AL1058" t="str">
        <f>IF(AND(Audit_Data[[#This Row],[Recency]]&gt;=0,Audit_Data[[#This Row],[Recency]]&lt;=100),"Valid","Invalid")</f>
        <v>Valid</v>
      </c>
      <c r="AM1058" t="str">
        <f t="shared" si="214"/>
        <v>Valid</v>
      </c>
      <c r="AN1058" t="str">
        <f t="shared" si="215"/>
        <v>Valid</v>
      </c>
      <c r="AO1058" t="str">
        <f t="shared" si="216"/>
        <v>Valid</v>
      </c>
      <c r="AP1058" t="str">
        <f t="shared" si="217"/>
        <v>Valid</v>
      </c>
      <c r="AQ1058" t="str">
        <f>IF(Audit_Data[[#This Row],[Z_CostContact]]=3,"Valid","Invalid")</f>
        <v>Valid</v>
      </c>
      <c r="AR1058" t="str">
        <f t="shared" si="218"/>
        <v>Valid</v>
      </c>
      <c r="AS1058" t="str">
        <f t="shared" si="219"/>
        <v>Valid</v>
      </c>
    </row>
    <row r="1059" spans="1:45" x14ac:dyDescent="0.3">
      <c r="A1059">
        <v>8104</v>
      </c>
      <c r="B1059">
        <v>1951</v>
      </c>
      <c r="C1059" t="s">
        <v>32</v>
      </c>
      <c r="D1059" t="s">
        <v>33</v>
      </c>
      <c r="E1059">
        <v>53312</v>
      </c>
      <c r="F1059">
        <v>0</v>
      </c>
      <c r="G1059">
        <v>0</v>
      </c>
      <c r="H1059" s="1">
        <v>41495</v>
      </c>
      <c r="I1059">
        <v>32</v>
      </c>
      <c r="J1059">
        <v>241</v>
      </c>
      <c r="K1059">
        <v>0</v>
      </c>
      <c r="L1059">
        <v>12</v>
      </c>
      <c r="M1059">
        <v>0</v>
      </c>
      <c r="N1059">
        <v>0</v>
      </c>
      <c r="O1059">
        <v>25</v>
      </c>
      <c r="P1059">
        <v>1</v>
      </c>
      <c r="Q1059">
        <v>5</v>
      </c>
      <c r="R1059">
        <v>1</v>
      </c>
      <c r="S1059">
        <v>5</v>
      </c>
      <c r="T1059">
        <v>7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3</v>
      </c>
      <c r="AB1059">
        <v>11</v>
      </c>
      <c r="AC1059">
        <v>0</v>
      </c>
      <c r="AD1059" t="str">
        <f t="shared" si="208"/>
        <v>Ok</v>
      </c>
      <c r="AE1059" t="str">
        <f>IF(AND(Audit_Data[[#This Row],[Year_Birth]]&gt;=1900,Audit_Data[[#This Row],[Year_Birth]]&lt;=2010),"OK","Invalid")</f>
        <v>OK</v>
      </c>
      <c r="AF1059" t="str">
        <f t="shared" si="209"/>
        <v>Valid</v>
      </c>
      <c r="AG1059" t="str">
        <f t="shared" si="210"/>
        <v>Valid</v>
      </c>
      <c r="AH1059" t="str">
        <f t="shared" si="211"/>
        <v>Valid</v>
      </c>
      <c r="AI1059" t="str">
        <f t="shared" si="212"/>
        <v>Valid</v>
      </c>
      <c r="AJ1059" t="str">
        <f t="shared" si="213"/>
        <v>Valid</v>
      </c>
      <c r="AK1059" t="str">
        <f t="shared" si="220"/>
        <v xml:space="preserve">Valid </v>
      </c>
      <c r="AL1059" t="str">
        <f>IF(AND(Audit_Data[[#This Row],[Recency]]&gt;=0,Audit_Data[[#This Row],[Recency]]&lt;=100),"Valid","Invalid")</f>
        <v>Valid</v>
      </c>
      <c r="AM1059" t="str">
        <f t="shared" si="214"/>
        <v>Valid</v>
      </c>
      <c r="AN1059" t="str">
        <f t="shared" si="215"/>
        <v>Valid</v>
      </c>
      <c r="AO1059" t="str">
        <f t="shared" si="216"/>
        <v>Valid</v>
      </c>
      <c r="AP1059" t="str">
        <f t="shared" si="217"/>
        <v>Valid</v>
      </c>
      <c r="AQ1059" t="str">
        <f>IF(Audit_Data[[#This Row],[Z_CostContact]]=3,"Valid","Invalid")</f>
        <v>Valid</v>
      </c>
      <c r="AR1059" t="str">
        <f t="shared" si="218"/>
        <v>Valid</v>
      </c>
      <c r="AS1059" t="str">
        <f t="shared" si="219"/>
        <v>Valid</v>
      </c>
    </row>
    <row r="1060" spans="1:45" x14ac:dyDescent="0.3">
      <c r="A1060">
        <v>4507</v>
      </c>
      <c r="B1060">
        <v>1952</v>
      </c>
      <c r="C1060" t="s">
        <v>29</v>
      </c>
      <c r="D1060" t="s">
        <v>30</v>
      </c>
      <c r="E1060">
        <v>72228</v>
      </c>
      <c r="F1060">
        <v>0</v>
      </c>
      <c r="G1060">
        <v>0</v>
      </c>
      <c r="H1060" s="1">
        <v>41240</v>
      </c>
      <c r="I1060">
        <v>87</v>
      </c>
      <c r="J1060">
        <v>631</v>
      </c>
      <c r="K1060">
        <v>28</v>
      </c>
      <c r="L1060">
        <v>491</v>
      </c>
      <c r="M1060">
        <v>30</v>
      </c>
      <c r="N1060">
        <v>14</v>
      </c>
      <c r="O1060">
        <v>56</v>
      </c>
      <c r="P1060">
        <v>1</v>
      </c>
      <c r="Q1060">
        <v>6</v>
      </c>
      <c r="R1060">
        <v>7</v>
      </c>
      <c r="S1060">
        <v>8</v>
      </c>
      <c r="T1060">
        <v>3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3</v>
      </c>
      <c r="AB1060">
        <v>11</v>
      </c>
      <c r="AC1060">
        <v>0</v>
      </c>
      <c r="AD1060" t="str">
        <f t="shared" si="208"/>
        <v>Ok</v>
      </c>
      <c r="AE1060" t="str">
        <f>IF(AND(Audit_Data[[#This Row],[Year_Birth]]&gt;=1900,Audit_Data[[#This Row],[Year_Birth]]&lt;=2010),"OK","Invalid")</f>
        <v>OK</v>
      </c>
      <c r="AF1060" t="str">
        <f t="shared" si="209"/>
        <v>Valid</v>
      </c>
      <c r="AG1060" t="str">
        <f t="shared" si="210"/>
        <v>Valid</v>
      </c>
      <c r="AH1060" t="str">
        <f t="shared" si="211"/>
        <v>Valid</v>
      </c>
      <c r="AI1060" t="str">
        <f t="shared" si="212"/>
        <v>Valid</v>
      </c>
      <c r="AJ1060" t="str">
        <f t="shared" si="213"/>
        <v>Valid</v>
      </c>
      <c r="AK1060" t="str">
        <f t="shared" si="220"/>
        <v xml:space="preserve">Valid </v>
      </c>
      <c r="AL1060" t="str">
        <f>IF(AND(Audit_Data[[#This Row],[Recency]]&gt;=0,Audit_Data[[#This Row],[Recency]]&lt;=100),"Valid","Invalid")</f>
        <v>Valid</v>
      </c>
      <c r="AM1060" t="str">
        <f t="shared" si="214"/>
        <v>Valid</v>
      </c>
      <c r="AN1060" t="str">
        <f t="shared" si="215"/>
        <v>Valid</v>
      </c>
      <c r="AO1060" t="str">
        <f t="shared" si="216"/>
        <v>Valid</v>
      </c>
      <c r="AP1060" t="str">
        <f t="shared" si="217"/>
        <v>Valid</v>
      </c>
      <c r="AQ1060" t="str">
        <f>IF(Audit_Data[[#This Row],[Z_CostContact]]=3,"Valid","Invalid")</f>
        <v>Valid</v>
      </c>
      <c r="AR1060" t="str">
        <f t="shared" si="218"/>
        <v>Valid</v>
      </c>
      <c r="AS1060" t="str">
        <f t="shared" si="219"/>
        <v>Valid</v>
      </c>
    </row>
    <row r="1061" spans="1:45" x14ac:dyDescent="0.3">
      <c r="A1061">
        <v>11013</v>
      </c>
      <c r="B1061">
        <v>1987</v>
      </c>
      <c r="C1061" t="s">
        <v>29</v>
      </c>
      <c r="D1061" t="s">
        <v>31</v>
      </c>
      <c r="E1061">
        <v>67605</v>
      </c>
      <c r="F1061">
        <v>0</v>
      </c>
      <c r="G1061">
        <v>0</v>
      </c>
      <c r="H1061" s="1">
        <v>41364</v>
      </c>
      <c r="I1061">
        <v>84</v>
      </c>
      <c r="J1061">
        <v>336</v>
      </c>
      <c r="K1061">
        <v>28</v>
      </c>
      <c r="L1061">
        <v>282</v>
      </c>
      <c r="M1061">
        <v>184</v>
      </c>
      <c r="N1061">
        <v>54</v>
      </c>
      <c r="O1061">
        <v>54</v>
      </c>
      <c r="P1061">
        <v>1</v>
      </c>
      <c r="Q1061">
        <v>2</v>
      </c>
      <c r="R1061">
        <v>8</v>
      </c>
      <c r="S1061">
        <v>6</v>
      </c>
      <c r="T1061">
        <v>1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3</v>
      </c>
      <c r="AB1061">
        <v>11</v>
      </c>
      <c r="AC1061">
        <v>0</v>
      </c>
      <c r="AD1061" t="str">
        <f t="shared" si="208"/>
        <v>Ok</v>
      </c>
      <c r="AE1061" t="str">
        <f>IF(AND(Audit_Data[[#This Row],[Year_Birth]]&gt;=1900,Audit_Data[[#This Row],[Year_Birth]]&lt;=2010),"OK","Invalid")</f>
        <v>OK</v>
      </c>
      <c r="AF1061" t="str">
        <f t="shared" si="209"/>
        <v>Valid</v>
      </c>
      <c r="AG1061" t="str">
        <f t="shared" si="210"/>
        <v>Valid</v>
      </c>
      <c r="AH1061" t="str">
        <f t="shared" si="211"/>
        <v>Valid</v>
      </c>
      <c r="AI1061" t="str">
        <f t="shared" si="212"/>
        <v>Valid</v>
      </c>
      <c r="AJ1061" t="str">
        <f t="shared" si="213"/>
        <v>Valid</v>
      </c>
      <c r="AK1061" t="str">
        <f t="shared" si="220"/>
        <v xml:space="preserve">Valid </v>
      </c>
      <c r="AL1061" t="str">
        <f>IF(AND(Audit_Data[[#This Row],[Recency]]&gt;=0,Audit_Data[[#This Row],[Recency]]&lt;=100),"Valid","Invalid")</f>
        <v>Valid</v>
      </c>
      <c r="AM1061" t="str">
        <f t="shared" si="214"/>
        <v>Valid</v>
      </c>
      <c r="AN1061" t="str">
        <f t="shared" si="215"/>
        <v>Valid</v>
      </c>
      <c r="AO1061" t="str">
        <f t="shared" si="216"/>
        <v>Valid</v>
      </c>
      <c r="AP1061" t="str">
        <f t="shared" si="217"/>
        <v>Valid</v>
      </c>
      <c r="AQ1061" t="str">
        <f>IF(Audit_Data[[#This Row],[Z_CostContact]]=3,"Valid","Invalid")</f>
        <v>Valid</v>
      </c>
      <c r="AR1061" t="str">
        <f t="shared" si="218"/>
        <v>Valid</v>
      </c>
      <c r="AS1061" t="str">
        <f t="shared" si="219"/>
        <v>Valid</v>
      </c>
    </row>
    <row r="1062" spans="1:45" x14ac:dyDescent="0.3">
      <c r="A1062">
        <v>4491</v>
      </c>
      <c r="B1062">
        <v>1949</v>
      </c>
      <c r="C1062" t="s">
        <v>34</v>
      </c>
      <c r="D1062" t="s">
        <v>33</v>
      </c>
      <c r="E1062">
        <v>62845</v>
      </c>
      <c r="F1062">
        <v>1</v>
      </c>
      <c r="G1062">
        <v>1</v>
      </c>
      <c r="H1062" s="1">
        <v>41183</v>
      </c>
      <c r="I1062">
        <v>3</v>
      </c>
      <c r="J1062">
        <v>1099</v>
      </c>
      <c r="K1062">
        <v>0</v>
      </c>
      <c r="L1062">
        <v>45</v>
      </c>
      <c r="M1062">
        <v>0</v>
      </c>
      <c r="N1062">
        <v>0</v>
      </c>
      <c r="O1062">
        <v>34</v>
      </c>
      <c r="P1062">
        <v>11</v>
      </c>
      <c r="Q1062">
        <v>3</v>
      </c>
      <c r="R1062">
        <v>4</v>
      </c>
      <c r="S1062">
        <v>10</v>
      </c>
      <c r="T1062">
        <v>8</v>
      </c>
      <c r="U1062">
        <v>0</v>
      </c>
      <c r="V1062">
        <v>1</v>
      </c>
      <c r="W1062">
        <v>0</v>
      </c>
      <c r="X1062">
        <v>0</v>
      </c>
      <c r="Y1062">
        <v>0</v>
      </c>
      <c r="Z1062">
        <v>0</v>
      </c>
      <c r="AA1062">
        <v>3</v>
      </c>
      <c r="AB1062">
        <v>11</v>
      </c>
      <c r="AC1062">
        <v>0</v>
      </c>
      <c r="AD1062" t="str">
        <f t="shared" si="208"/>
        <v>Ok</v>
      </c>
      <c r="AE1062" t="str">
        <f>IF(AND(Audit_Data[[#This Row],[Year_Birth]]&gt;=1900,Audit_Data[[#This Row],[Year_Birth]]&lt;=2010),"OK","Invalid")</f>
        <v>OK</v>
      </c>
      <c r="AF1062" t="str">
        <f t="shared" si="209"/>
        <v>Valid</v>
      </c>
      <c r="AG1062" t="str">
        <f t="shared" si="210"/>
        <v>Valid</v>
      </c>
      <c r="AH1062" t="str">
        <f t="shared" si="211"/>
        <v>Valid</v>
      </c>
      <c r="AI1062" t="str">
        <f t="shared" si="212"/>
        <v>Valid</v>
      </c>
      <c r="AJ1062" t="str">
        <f t="shared" si="213"/>
        <v>Valid</v>
      </c>
      <c r="AK1062" t="str">
        <f t="shared" si="220"/>
        <v xml:space="preserve">Valid </v>
      </c>
      <c r="AL1062" t="str">
        <f>IF(AND(Audit_Data[[#This Row],[Recency]]&gt;=0,Audit_Data[[#This Row],[Recency]]&lt;=100),"Valid","Invalid")</f>
        <v>Valid</v>
      </c>
      <c r="AM1062" t="str">
        <f t="shared" si="214"/>
        <v>Valid</v>
      </c>
      <c r="AN1062" t="str">
        <f t="shared" si="215"/>
        <v>Valid</v>
      </c>
      <c r="AO1062" t="str">
        <f t="shared" si="216"/>
        <v>Valid</v>
      </c>
      <c r="AP1062" t="str">
        <f t="shared" si="217"/>
        <v>Valid</v>
      </c>
      <c r="AQ1062" t="str">
        <f>IF(Audit_Data[[#This Row],[Z_CostContact]]=3,"Valid","Invalid")</f>
        <v>Valid</v>
      </c>
      <c r="AR1062" t="str">
        <f t="shared" si="218"/>
        <v>Valid</v>
      </c>
      <c r="AS1062" t="str">
        <f t="shared" si="219"/>
        <v>Valid</v>
      </c>
    </row>
    <row r="1063" spans="1:45" x14ac:dyDescent="0.3">
      <c r="A1063">
        <v>3759</v>
      </c>
      <c r="B1063">
        <v>1958</v>
      </c>
      <c r="C1063" t="s">
        <v>29</v>
      </c>
      <c r="D1063" t="s">
        <v>31</v>
      </c>
      <c r="E1063">
        <v>65196</v>
      </c>
      <c r="F1063">
        <v>0</v>
      </c>
      <c r="G1063">
        <v>2</v>
      </c>
      <c r="H1063" s="1">
        <v>41480</v>
      </c>
      <c r="I1063">
        <v>34</v>
      </c>
      <c r="J1063">
        <v>743</v>
      </c>
      <c r="K1063">
        <v>19</v>
      </c>
      <c r="L1063">
        <v>181</v>
      </c>
      <c r="M1063">
        <v>12</v>
      </c>
      <c r="N1063">
        <v>0</v>
      </c>
      <c r="O1063">
        <v>200</v>
      </c>
      <c r="P1063">
        <v>2</v>
      </c>
      <c r="Q1063">
        <v>7</v>
      </c>
      <c r="R1063">
        <v>6</v>
      </c>
      <c r="S1063">
        <v>11</v>
      </c>
      <c r="T1063">
        <v>5</v>
      </c>
      <c r="U1063">
        <v>1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3</v>
      </c>
      <c r="AB1063">
        <v>11</v>
      </c>
      <c r="AC1063">
        <v>0</v>
      </c>
      <c r="AD1063" t="str">
        <f t="shared" si="208"/>
        <v>Ok</v>
      </c>
      <c r="AE1063" t="str">
        <f>IF(AND(Audit_Data[[#This Row],[Year_Birth]]&gt;=1900,Audit_Data[[#This Row],[Year_Birth]]&lt;=2010),"OK","Invalid")</f>
        <v>OK</v>
      </c>
      <c r="AF1063" t="str">
        <f t="shared" si="209"/>
        <v>Valid</v>
      </c>
      <c r="AG1063" t="str">
        <f t="shared" si="210"/>
        <v>Valid</v>
      </c>
      <c r="AH1063" t="str">
        <f t="shared" si="211"/>
        <v>Valid</v>
      </c>
      <c r="AI1063" t="str">
        <f t="shared" si="212"/>
        <v>Valid</v>
      </c>
      <c r="AJ1063" t="str">
        <f t="shared" si="213"/>
        <v>Valid</v>
      </c>
      <c r="AK1063" t="str">
        <f t="shared" si="220"/>
        <v xml:space="preserve">Valid </v>
      </c>
      <c r="AL1063" t="str">
        <f>IF(AND(Audit_Data[[#This Row],[Recency]]&gt;=0,Audit_Data[[#This Row],[Recency]]&lt;=100),"Valid","Invalid")</f>
        <v>Valid</v>
      </c>
      <c r="AM1063" t="str">
        <f t="shared" si="214"/>
        <v>Valid</v>
      </c>
      <c r="AN1063" t="str">
        <f t="shared" si="215"/>
        <v>Valid</v>
      </c>
      <c r="AO1063" t="str">
        <f t="shared" si="216"/>
        <v>Valid</v>
      </c>
      <c r="AP1063" t="str">
        <f t="shared" si="217"/>
        <v>Valid</v>
      </c>
      <c r="AQ1063" t="str">
        <f>IF(Audit_Data[[#This Row],[Z_CostContact]]=3,"Valid","Invalid")</f>
        <v>Valid</v>
      </c>
      <c r="AR1063" t="str">
        <f t="shared" si="218"/>
        <v>Valid</v>
      </c>
      <c r="AS1063" t="str">
        <f t="shared" si="219"/>
        <v>Valid</v>
      </c>
    </row>
    <row r="1064" spans="1:45" x14ac:dyDescent="0.3">
      <c r="A1064">
        <v>1162</v>
      </c>
      <c r="B1064">
        <v>1987</v>
      </c>
      <c r="C1064" t="s">
        <v>32</v>
      </c>
      <c r="D1064" t="s">
        <v>30</v>
      </c>
      <c r="E1064">
        <v>42000</v>
      </c>
      <c r="F1064">
        <v>0</v>
      </c>
      <c r="G1064">
        <v>0</v>
      </c>
      <c r="H1064" s="1">
        <v>41284</v>
      </c>
      <c r="I1064">
        <v>23</v>
      </c>
      <c r="J1064">
        <v>124</v>
      </c>
      <c r="K1064">
        <v>83</v>
      </c>
      <c r="L1064">
        <v>267</v>
      </c>
      <c r="M1064">
        <v>85</v>
      </c>
      <c r="N1064">
        <v>59</v>
      </c>
      <c r="O1064">
        <v>35</v>
      </c>
      <c r="P1064">
        <v>2</v>
      </c>
      <c r="Q1064">
        <v>5</v>
      </c>
      <c r="R1064">
        <v>2</v>
      </c>
      <c r="S1064">
        <v>11</v>
      </c>
      <c r="T1064">
        <v>5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3</v>
      </c>
      <c r="AB1064">
        <v>11</v>
      </c>
      <c r="AC1064">
        <v>1</v>
      </c>
      <c r="AD1064" t="str">
        <f t="shared" si="208"/>
        <v>Ok</v>
      </c>
      <c r="AE1064" t="str">
        <f>IF(AND(Audit_Data[[#This Row],[Year_Birth]]&gt;=1900,Audit_Data[[#This Row],[Year_Birth]]&lt;=2010),"OK","Invalid")</f>
        <v>OK</v>
      </c>
      <c r="AF1064" t="str">
        <f t="shared" si="209"/>
        <v>Valid</v>
      </c>
      <c r="AG1064" t="str">
        <f t="shared" si="210"/>
        <v>Valid</v>
      </c>
      <c r="AH1064" t="str">
        <f t="shared" si="211"/>
        <v>Valid</v>
      </c>
      <c r="AI1064" t="str">
        <f t="shared" si="212"/>
        <v>Valid</v>
      </c>
      <c r="AJ1064" t="str">
        <f t="shared" si="213"/>
        <v>Valid</v>
      </c>
      <c r="AK1064" t="str">
        <f t="shared" si="220"/>
        <v xml:space="preserve">Valid </v>
      </c>
      <c r="AL1064" t="str">
        <f>IF(AND(Audit_Data[[#This Row],[Recency]]&gt;=0,Audit_Data[[#This Row],[Recency]]&lt;=100),"Valid","Invalid")</f>
        <v>Valid</v>
      </c>
      <c r="AM1064" t="str">
        <f t="shared" si="214"/>
        <v>Valid</v>
      </c>
      <c r="AN1064" t="str">
        <f t="shared" si="215"/>
        <v>Valid</v>
      </c>
      <c r="AO1064" t="str">
        <f t="shared" si="216"/>
        <v>Valid</v>
      </c>
      <c r="AP1064" t="str">
        <f t="shared" si="217"/>
        <v>Valid</v>
      </c>
      <c r="AQ1064" t="str">
        <f>IF(Audit_Data[[#This Row],[Z_CostContact]]=3,"Valid","Invalid")</f>
        <v>Valid</v>
      </c>
      <c r="AR1064" t="str">
        <f t="shared" si="218"/>
        <v>Valid</v>
      </c>
      <c r="AS1064" t="str">
        <f t="shared" si="219"/>
        <v>Valid</v>
      </c>
    </row>
    <row r="1065" spans="1:45" x14ac:dyDescent="0.3">
      <c r="A1065">
        <v>2055</v>
      </c>
      <c r="B1065">
        <v>1973</v>
      </c>
      <c r="C1065" t="s">
        <v>32</v>
      </c>
      <c r="D1065" t="s">
        <v>35</v>
      </c>
      <c r="E1065">
        <v>35860</v>
      </c>
      <c r="F1065">
        <v>1</v>
      </c>
      <c r="G1065">
        <v>1</v>
      </c>
      <c r="H1065" s="1">
        <v>41778</v>
      </c>
      <c r="I1065">
        <v>37</v>
      </c>
      <c r="J1065">
        <v>15</v>
      </c>
      <c r="K1065">
        <v>0</v>
      </c>
      <c r="L1065">
        <v>8</v>
      </c>
      <c r="M1065">
        <v>4</v>
      </c>
      <c r="N1065">
        <v>2</v>
      </c>
      <c r="O1065">
        <v>20</v>
      </c>
      <c r="P1065">
        <v>2</v>
      </c>
      <c r="Q1065">
        <v>1</v>
      </c>
      <c r="R1065">
        <v>1</v>
      </c>
      <c r="S1065">
        <v>2</v>
      </c>
      <c r="T1065">
        <v>5</v>
      </c>
      <c r="U1065">
        <v>1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3</v>
      </c>
      <c r="AB1065">
        <v>11</v>
      </c>
      <c r="AC1065">
        <v>0</v>
      </c>
      <c r="AD1065" t="str">
        <f t="shared" si="208"/>
        <v>Ok</v>
      </c>
      <c r="AE1065" t="str">
        <f>IF(AND(Audit_Data[[#This Row],[Year_Birth]]&gt;=1900,Audit_Data[[#This Row],[Year_Birth]]&lt;=2010),"OK","Invalid")</f>
        <v>OK</v>
      </c>
      <c r="AF1065" t="str">
        <f t="shared" si="209"/>
        <v>Valid</v>
      </c>
      <c r="AG1065" t="str">
        <f t="shared" si="210"/>
        <v>Valid</v>
      </c>
      <c r="AH1065" t="str">
        <f t="shared" si="211"/>
        <v>Valid</v>
      </c>
      <c r="AI1065" t="str">
        <f t="shared" si="212"/>
        <v>Valid</v>
      </c>
      <c r="AJ1065" t="str">
        <f t="shared" si="213"/>
        <v>Valid</v>
      </c>
      <c r="AK1065" t="str">
        <f t="shared" si="220"/>
        <v xml:space="preserve">Valid </v>
      </c>
      <c r="AL1065" t="str">
        <f>IF(AND(Audit_Data[[#This Row],[Recency]]&gt;=0,Audit_Data[[#This Row],[Recency]]&lt;=100),"Valid","Invalid")</f>
        <v>Valid</v>
      </c>
      <c r="AM1065" t="str">
        <f t="shared" si="214"/>
        <v>Valid</v>
      </c>
      <c r="AN1065" t="str">
        <f t="shared" si="215"/>
        <v>Valid</v>
      </c>
      <c r="AO1065" t="str">
        <f t="shared" si="216"/>
        <v>Valid</v>
      </c>
      <c r="AP1065" t="str">
        <f t="shared" si="217"/>
        <v>Valid</v>
      </c>
      <c r="AQ1065" t="str">
        <f>IF(Audit_Data[[#This Row],[Z_CostContact]]=3,"Valid","Invalid")</f>
        <v>Valid</v>
      </c>
      <c r="AR1065" t="str">
        <f t="shared" si="218"/>
        <v>Valid</v>
      </c>
      <c r="AS1065" t="str">
        <f t="shared" si="219"/>
        <v>Valid</v>
      </c>
    </row>
    <row r="1066" spans="1:45" x14ac:dyDescent="0.3">
      <c r="A1066">
        <v>10766</v>
      </c>
      <c r="B1066">
        <v>1964</v>
      </c>
      <c r="C1066" t="s">
        <v>32</v>
      </c>
      <c r="D1066" t="s">
        <v>33</v>
      </c>
      <c r="E1066">
        <v>65526</v>
      </c>
      <c r="F1066">
        <v>0</v>
      </c>
      <c r="G1066">
        <v>1</v>
      </c>
      <c r="H1066" s="1">
        <v>41740</v>
      </c>
      <c r="I1066">
        <v>22</v>
      </c>
      <c r="J1066">
        <v>397</v>
      </c>
      <c r="K1066">
        <v>19</v>
      </c>
      <c r="L1066">
        <v>69</v>
      </c>
      <c r="M1066">
        <v>12</v>
      </c>
      <c r="N1066">
        <v>0</v>
      </c>
      <c r="O1066">
        <v>9</v>
      </c>
      <c r="P1066">
        <v>1</v>
      </c>
      <c r="Q1066">
        <v>4</v>
      </c>
      <c r="R1066">
        <v>4</v>
      </c>
      <c r="S1066">
        <v>8</v>
      </c>
      <c r="T1066">
        <v>2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3</v>
      </c>
      <c r="AB1066">
        <v>11</v>
      </c>
      <c r="AC1066">
        <v>0</v>
      </c>
      <c r="AD1066" t="str">
        <f t="shared" si="208"/>
        <v>Ok</v>
      </c>
      <c r="AE1066" t="str">
        <f>IF(AND(Audit_Data[[#This Row],[Year_Birth]]&gt;=1900,Audit_Data[[#This Row],[Year_Birth]]&lt;=2010),"OK","Invalid")</f>
        <v>OK</v>
      </c>
      <c r="AF1066" t="str">
        <f t="shared" si="209"/>
        <v>Valid</v>
      </c>
      <c r="AG1066" t="str">
        <f t="shared" si="210"/>
        <v>Valid</v>
      </c>
      <c r="AH1066" t="str">
        <f t="shared" si="211"/>
        <v>Valid</v>
      </c>
      <c r="AI1066" t="str">
        <f t="shared" si="212"/>
        <v>Valid</v>
      </c>
      <c r="AJ1066" t="str">
        <f t="shared" si="213"/>
        <v>Valid</v>
      </c>
      <c r="AK1066" t="str">
        <f t="shared" si="220"/>
        <v xml:space="preserve">Valid </v>
      </c>
      <c r="AL1066" t="str">
        <f>IF(AND(Audit_Data[[#This Row],[Recency]]&gt;=0,Audit_Data[[#This Row],[Recency]]&lt;=100),"Valid","Invalid")</f>
        <v>Valid</v>
      </c>
      <c r="AM1066" t="str">
        <f t="shared" si="214"/>
        <v>Valid</v>
      </c>
      <c r="AN1066" t="str">
        <f t="shared" si="215"/>
        <v>Valid</v>
      </c>
      <c r="AO1066" t="str">
        <f t="shared" si="216"/>
        <v>Valid</v>
      </c>
      <c r="AP1066" t="str">
        <f t="shared" si="217"/>
        <v>Valid</v>
      </c>
      <c r="AQ1066" t="str">
        <f>IF(Audit_Data[[#This Row],[Z_CostContact]]=3,"Valid","Invalid")</f>
        <v>Valid</v>
      </c>
      <c r="AR1066" t="str">
        <f t="shared" si="218"/>
        <v>Valid</v>
      </c>
      <c r="AS1066" t="str">
        <f t="shared" si="219"/>
        <v>Valid</v>
      </c>
    </row>
    <row r="1067" spans="1:45" x14ac:dyDescent="0.3">
      <c r="A1067">
        <v>4415</v>
      </c>
      <c r="B1067">
        <v>1961</v>
      </c>
      <c r="C1067" t="s">
        <v>29</v>
      </c>
      <c r="D1067" t="s">
        <v>33</v>
      </c>
      <c r="E1067">
        <v>16860</v>
      </c>
      <c r="F1067">
        <v>1</v>
      </c>
      <c r="G1067">
        <v>1</v>
      </c>
      <c r="H1067" s="1">
        <v>41164</v>
      </c>
      <c r="I1067">
        <v>19</v>
      </c>
      <c r="J1067">
        <v>10</v>
      </c>
      <c r="K1067">
        <v>4</v>
      </c>
      <c r="L1067">
        <v>4</v>
      </c>
      <c r="M1067">
        <v>3</v>
      </c>
      <c r="N1067">
        <v>3</v>
      </c>
      <c r="O1067">
        <v>14</v>
      </c>
      <c r="P1067">
        <v>3</v>
      </c>
      <c r="Q1067">
        <v>1</v>
      </c>
      <c r="R1067">
        <v>1</v>
      </c>
      <c r="S1067">
        <v>3</v>
      </c>
      <c r="T1067">
        <v>7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3</v>
      </c>
      <c r="AB1067">
        <v>11</v>
      </c>
      <c r="AC1067">
        <v>0</v>
      </c>
      <c r="AD1067" t="str">
        <f t="shared" si="208"/>
        <v>Ok</v>
      </c>
      <c r="AE1067" t="str">
        <f>IF(AND(Audit_Data[[#This Row],[Year_Birth]]&gt;=1900,Audit_Data[[#This Row],[Year_Birth]]&lt;=2010),"OK","Invalid")</f>
        <v>OK</v>
      </c>
      <c r="AF1067" t="str">
        <f t="shared" si="209"/>
        <v>Valid</v>
      </c>
      <c r="AG1067" t="str">
        <f t="shared" si="210"/>
        <v>Valid</v>
      </c>
      <c r="AH1067" t="str">
        <f t="shared" si="211"/>
        <v>Valid</v>
      </c>
      <c r="AI1067" t="str">
        <f t="shared" si="212"/>
        <v>Valid</v>
      </c>
      <c r="AJ1067" t="str">
        <f t="shared" si="213"/>
        <v>Valid</v>
      </c>
      <c r="AK1067" t="str">
        <f t="shared" si="220"/>
        <v xml:space="preserve">Valid </v>
      </c>
      <c r="AL1067" t="str">
        <f>IF(AND(Audit_Data[[#This Row],[Recency]]&gt;=0,Audit_Data[[#This Row],[Recency]]&lt;=100),"Valid","Invalid")</f>
        <v>Valid</v>
      </c>
      <c r="AM1067" t="str">
        <f t="shared" si="214"/>
        <v>Valid</v>
      </c>
      <c r="AN1067" t="str">
        <f t="shared" si="215"/>
        <v>Valid</v>
      </c>
      <c r="AO1067" t="str">
        <f t="shared" si="216"/>
        <v>Valid</v>
      </c>
      <c r="AP1067" t="str">
        <f t="shared" si="217"/>
        <v>Valid</v>
      </c>
      <c r="AQ1067" t="str">
        <f>IF(Audit_Data[[#This Row],[Z_CostContact]]=3,"Valid","Invalid")</f>
        <v>Valid</v>
      </c>
      <c r="AR1067" t="str">
        <f t="shared" si="218"/>
        <v>Valid</v>
      </c>
      <c r="AS1067" t="str">
        <f t="shared" si="219"/>
        <v>Valid</v>
      </c>
    </row>
    <row r="1068" spans="1:45" x14ac:dyDescent="0.3">
      <c r="A1068">
        <v>3005</v>
      </c>
      <c r="B1068">
        <v>1992</v>
      </c>
      <c r="C1068" t="s">
        <v>29</v>
      </c>
      <c r="D1068" t="s">
        <v>30</v>
      </c>
      <c r="E1068">
        <v>83528</v>
      </c>
      <c r="F1068">
        <v>0</v>
      </c>
      <c r="G1068">
        <v>0</v>
      </c>
      <c r="H1068" s="1">
        <v>41760</v>
      </c>
      <c r="I1068">
        <v>7</v>
      </c>
      <c r="J1068">
        <v>530</v>
      </c>
      <c r="K1068">
        <v>117</v>
      </c>
      <c r="L1068">
        <v>678</v>
      </c>
      <c r="M1068">
        <v>134</v>
      </c>
      <c r="N1068">
        <v>44</v>
      </c>
      <c r="O1068">
        <v>147</v>
      </c>
      <c r="P1068">
        <v>1</v>
      </c>
      <c r="Q1068">
        <v>4</v>
      </c>
      <c r="R1068">
        <v>10</v>
      </c>
      <c r="S1068">
        <v>8</v>
      </c>
      <c r="T1068">
        <v>1</v>
      </c>
      <c r="U1068">
        <v>1</v>
      </c>
      <c r="V1068">
        <v>0</v>
      </c>
      <c r="W1068">
        <v>0</v>
      </c>
      <c r="X1068">
        <v>1</v>
      </c>
      <c r="Y1068">
        <v>0</v>
      </c>
      <c r="Z1068">
        <v>0</v>
      </c>
      <c r="AA1068">
        <v>3</v>
      </c>
      <c r="AB1068">
        <v>11</v>
      </c>
      <c r="AC1068">
        <v>1</v>
      </c>
      <c r="AD1068" t="str">
        <f t="shared" si="208"/>
        <v>Ok</v>
      </c>
      <c r="AE1068" t="str">
        <f>IF(AND(Audit_Data[[#This Row],[Year_Birth]]&gt;=1900,Audit_Data[[#This Row],[Year_Birth]]&lt;=2010),"OK","Invalid")</f>
        <v>OK</v>
      </c>
      <c r="AF1068" t="str">
        <f t="shared" si="209"/>
        <v>Valid</v>
      </c>
      <c r="AG1068" t="str">
        <f t="shared" si="210"/>
        <v>Valid</v>
      </c>
      <c r="AH1068" t="str">
        <f t="shared" si="211"/>
        <v>Valid</v>
      </c>
      <c r="AI1068" t="str">
        <f t="shared" si="212"/>
        <v>Valid</v>
      </c>
      <c r="AJ1068" t="str">
        <f t="shared" si="213"/>
        <v>Valid</v>
      </c>
      <c r="AK1068" t="str">
        <f t="shared" si="220"/>
        <v xml:space="preserve">Valid </v>
      </c>
      <c r="AL1068" t="str">
        <f>IF(AND(Audit_Data[[#This Row],[Recency]]&gt;=0,Audit_Data[[#This Row],[Recency]]&lt;=100),"Valid","Invalid")</f>
        <v>Valid</v>
      </c>
      <c r="AM1068" t="str">
        <f t="shared" si="214"/>
        <v>Valid</v>
      </c>
      <c r="AN1068" t="str">
        <f t="shared" si="215"/>
        <v>Valid</v>
      </c>
      <c r="AO1068" t="str">
        <f t="shared" si="216"/>
        <v>Valid</v>
      </c>
      <c r="AP1068" t="str">
        <f t="shared" si="217"/>
        <v>Valid</v>
      </c>
      <c r="AQ1068" t="str">
        <f>IF(Audit_Data[[#This Row],[Z_CostContact]]=3,"Valid","Invalid")</f>
        <v>Valid</v>
      </c>
      <c r="AR1068" t="str">
        <f t="shared" si="218"/>
        <v>Valid</v>
      </c>
      <c r="AS1068" t="str">
        <f t="shared" si="219"/>
        <v>Valid</v>
      </c>
    </row>
    <row r="1069" spans="1:45" x14ac:dyDescent="0.3">
      <c r="A1069">
        <v>2223</v>
      </c>
      <c r="B1069">
        <v>1965</v>
      </c>
      <c r="C1069" t="s">
        <v>37</v>
      </c>
      <c r="D1069" t="s">
        <v>35</v>
      </c>
      <c r="E1069">
        <v>64176</v>
      </c>
      <c r="F1069">
        <v>0</v>
      </c>
      <c r="G1069">
        <v>1</v>
      </c>
      <c r="H1069" s="1">
        <v>41124</v>
      </c>
      <c r="I1069">
        <v>52</v>
      </c>
      <c r="J1069">
        <v>1215</v>
      </c>
      <c r="K1069">
        <v>33</v>
      </c>
      <c r="L1069">
        <v>249</v>
      </c>
      <c r="M1069">
        <v>64</v>
      </c>
      <c r="N1069">
        <v>116</v>
      </c>
      <c r="O1069">
        <v>149</v>
      </c>
      <c r="P1069">
        <v>8</v>
      </c>
      <c r="Q1069">
        <v>8</v>
      </c>
      <c r="R1069">
        <v>9</v>
      </c>
      <c r="S1069">
        <v>8</v>
      </c>
      <c r="T1069">
        <v>6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3</v>
      </c>
      <c r="AB1069">
        <v>11</v>
      </c>
      <c r="AC1069">
        <v>0</v>
      </c>
      <c r="AD1069" t="str">
        <f t="shared" si="208"/>
        <v>Ok</v>
      </c>
      <c r="AE1069" t="str">
        <f>IF(AND(Audit_Data[[#This Row],[Year_Birth]]&gt;=1900,Audit_Data[[#This Row],[Year_Birth]]&lt;=2010),"OK","Invalid")</f>
        <v>OK</v>
      </c>
      <c r="AF1069" t="str">
        <f t="shared" si="209"/>
        <v>Valid</v>
      </c>
      <c r="AG1069" t="str">
        <f t="shared" si="210"/>
        <v>Valid</v>
      </c>
      <c r="AH1069" t="str">
        <f t="shared" si="211"/>
        <v>Valid</v>
      </c>
      <c r="AI1069" t="str">
        <f t="shared" si="212"/>
        <v>Valid</v>
      </c>
      <c r="AJ1069" t="str">
        <f t="shared" si="213"/>
        <v>Valid</v>
      </c>
      <c r="AK1069" t="str">
        <f t="shared" si="220"/>
        <v xml:space="preserve">Valid </v>
      </c>
      <c r="AL1069" t="str">
        <f>IF(AND(Audit_Data[[#This Row],[Recency]]&gt;=0,Audit_Data[[#This Row],[Recency]]&lt;=100),"Valid","Invalid")</f>
        <v>Valid</v>
      </c>
      <c r="AM1069" t="str">
        <f t="shared" si="214"/>
        <v>Valid</v>
      </c>
      <c r="AN1069" t="str">
        <f t="shared" si="215"/>
        <v>Valid</v>
      </c>
      <c r="AO1069" t="str">
        <f t="shared" si="216"/>
        <v>Valid</v>
      </c>
      <c r="AP1069" t="str">
        <f t="shared" si="217"/>
        <v>Valid</v>
      </c>
      <c r="AQ1069" t="str">
        <f>IF(Audit_Data[[#This Row],[Z_CostContact]]=3,"Valid","Invalid")</f>
        <v>Valid</v>
      </c>
      <c r="AR1069" t="str">
        <f t="shared" si="218"/>
        <v>Valid</v>
      </c>
      <c r="AS1069" t="str">
        <f t="shared" si="219"/>
        <v>Valid</v>
      </c>
    </row>
    <row r="1070" spans="1:45" x14ac:dyDescent="0.3">
      <c r="A1070">
        <v>4817</v>
      </c>
      <c r="B1070">
        <v>1956</v>
      </c>
      <c r="C1070" t="s">
        <v>29</v>
      </c>
      <c r="D1070" t="s">
        <v>35</v>
      </c>
      <c r="E1070">
        <v>22304</v>
      </c>
      <c r="F1070">
        <v>0</v>
      </c>
      <c r="G1070">
        <v>0</v>
      </c>
      <c r="H1070" s="1">
        <v>41125</v>
      </c>
      <c r="I1070">
        <v>91</v>
      </c>
      <c r="J1070">
        <v>3</v>
      </c>
      <c r="K1070">
        <v>2</v>
      </c>
      <c r="L1070">
        <v>7</v>
      </c>
      <c r="M1070">
        <v>0</v>
      </c>
      <c r="N1070">
        <v>4</v>
      </c>
      <c r="O1070">
        <v>2</v>
      </c>
      <c r="P1070">
        <v>1</v>
      </c>
      <c r="Q1070">
        <v>1</v>
      </c>
      <c r="R1070">
        <v>0</v>
      </c>
      <c r="S1070">
        <v>2</v>
      </c>
      <c r="T1070">
        <v>8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3</v>
      </c>
      <c r="AB1070">
        <v>11</v>
      </c>
      <c r="AC1070">
        <v>0</v>
      </c>
      <c r="AD1070" t="str">
        <f t="shared" si="208"/>
        <v>Ok</v>
      </c>
      <c r="AE1070" t="str">
        <f>IF(AND(Audit_Data[[#This Row],[Year_Birth]]&gt;=1900,Audit_Data[[#This Row],[Year_Birth]]&lt;=2010),"OK","Invalid")</f>
        <v>OK</v>
      </c>
      <c r="AF1070" t="str">
        <f t="shared" si="209"/>
        <v>Valid</v>
      </c>
      <c r="AG1070" t="str">
        <f t="shared" si="210"/>
        <v>Valid</v>
      </c>
      <c r="AH1070" t="str">
        <f t="shared" si="211"/>
        <v>Valid</v>
      </c>
      <c r="AI1070" t="str">
        <f t="shared" si="212"/>
        <v>Valid</v>
      </c>
      <c r="AJ1070" t="str">
        <f t="shared" si="213"/>
        <v>Valid</v>
      </c>
      <c r="AK1070" t="str">
        <f t="shared" si="220"/>
        <v xml:space="preserve">Valid </v>
      </c>
      <c r="AL1070" t="str">
        <f>IF(AND(Audit_Data[[#This Row],[Recency]]&gt;=0,Audit_Data[[#This Row],[Recency]]&lt;=100),"Valid","Invalid")</f>
        <v>Valid</v>
      </c>
      <c r="AM1070" t="str">
        <f t="shared" si="214"/>
        <v>Valid</v>
      </c>
      <c r="AN1070" t="str">
        <f t="shared" si="215"/>
        <v>Valid</v>
      </c>
      <c r="AO1070" t="str">
        <f t="shared" si="216"/>
        <v>Valid</v>
      </c>
      <c r="AP1070" t="str">
        <f t="shared" si="217"/>
        <v>Valid</v>
      </c>
      <c r="AQ1070" t="str">
        <f>IF(Audit_Data[[#This Row],[Z_CostContact]]=3,"Valid","Invalid")</f>
        <v>Valid</v>
      </c>
      <c r="AR1070" t="str">
        <f t="shared" si="218"/>
        <v>Valid</v>
      </c>
      <c r="AS1070" t="str">
        <f t="shared" si="219"/>
        <v>Valid</v>
      </c>
    </row>
    <row r="1071" spans="1:45" x14ac:dyDescent="0.3">
      <c r="A1071">
        <v>2875</v>
      </c>
      <c r="B1071">
        <v>1978</v>
      </c>
      <c r="C1071" t="s">
        <v>29</v>
      </c>
      <c r="D1071" t="s">
        <v>33</v>
      </c>
      <c r="E1071">
        <v>67023</v>
      </c>
      <c r="F1071">
        <v>0</v>
      </c>
      <c r="G1071">
        <v>0</v>
      </c>
      <c r="H1071" s="1">
        <v>41702</v>
      </c>
      <c r="I1071">
        <v>93</v>
      </c>
      <c r="J1071">
        <v>444</v>
      </c>
      <c r="K1071">
        <v>44</v>
      </c>
      <c r="L1071">
        <v>382</v>
      </c>
      <c r="M1071">
        <v>11</v>
      </c>
      <c r="N1071">
        <v>8</v>
      </c>
      <c r="O1071">
        <v>17</v>
      </c>
      <c r="P1071">
        <v>1</v>
      </c>
      <c r="Q1071">
        <v>3</v>
      </c>
      <c r="R1071">
        <v>7</v>
      </c>
      <c r="S1071">
        <v>13</v>
      </c>
      <c r="T1071">
        <v>2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3</v>
      </c>
      <c r="AB1071">
        <v>11</v>
      </c>
      <c r="AC1071">
        <v>0</v>
      </c>
      <c r="AD1071" t="str">
        <f t="shared" si="208"/>
        <v>Ok</v>
      </c>
      <c r="AE1071" t="str">
        <f>IF(AND(Audit_Data[[#This Row],[Year_Birth]]&gt;=1900,Audit_Data[[#This Row],[Year_Birth]]&lt;=2010),"OK","Invalid")</f>
        <v>OK</v>
      </c>
      <c r="AF1071" t="str">
        <f t="shared" si="209"/>
        <v>Valid</v>
      </c>
      <c r="AG1071" t="str">
        <f t="shared" si="210"/>
        <v>Valid</v>
      </c>
      <c r="AH1071" t="str">
        <f t="shared" si="211"/>
        <v>Valid</v>
      </c>
      <c r="AI1071" t="str">
        <f t="shared" si="212"/>
        <v>Valid</v>
      </c>
      <c r="AJ1071" t="str">
        <f t="shared" si="213"/>
        <v>Valid</v>
      </c>
      <c r="AK1071" t="str">
        <f t="shared" si="220"/>
        <v xml:space="preserve">Valid </v>
      </c>
      <c r="AL1071" t="str">
        <f>IF(AND(Audit_Data[[#This Row],[Recency]]&gt;=0,Audit_Data[[#This Row],[Recency]]&lt;=100),"Valid","Invalid")</f>
        <v>Valid</v>
      </c>
      <c r="AM1071" t="str">
        <f t="shared" si="214"/>
        <v>Valid</v>
      </c>
      <c r="AN1071" t="str">
        <f t="shared" si="215"/>
        <v>Valid</v>
      </c>
      <c r="AO1071" t="str">
        <f t="shared" si="216"/>
        <v>Valid</v>
      </c>
      <c r="AP1071" t="str">
        <f t="shared" si="217"/>
        <v>Valid</v>
      </c>
      <c r="AQ1071" t="str">
        <f>IF(Audit_Data[[#This Row],[Z_CostContact]]=3,"Valid","Invalid")</f>
        <v>Valid</v>
      </c>
      <c r="AR1071" t="str">
        <f t="shared" si="218"/>
        <v>Valid</v>
      </c>
      <c r="AS1071" t="str">
        <f t="shared" si="219"/>
        <v>Valid</v>
      </c>
    </row>
    <row r="1072" spans="1:45" x14ac:dyDescent="0.3">
      <c r="A1072">
        <v>10536</v>
      </c>
      <c r="B1072">
        <v>1971</v>
      </c>
      <c r="C1072" t="s">
        <v>32</v>
      </c>
      <c r="D1072" t="s">
        <v>31</v>
      </c>
      <c r="E1072">
        <v>32892</v>
      </c>
      <c r="F1072">
        <v>1</v>
      </c>
      <c r="G1072">
        <v>0</v>
      </c>
      <c r="H1072" s="1">
        <v>41784</v>
      </c>
      <c r="I1072">
        <v>78</v>
      </c>
      <c r="J1072">
        <v>26</v>
      </c>
      <c r="K1072">
        <v>0</v>
      </c>
      <c r="L1072">
        <v>15</v>
      </c>
      <c r="M1072">
        <v>2</v>
      </c>
      <c r="N1072">
        <v>1</v>
      </c>
      <c r="O1072">
        <v>2</v>
      </c>
      <c r="P1072">
        <v>2</v>
      </c>
      <c r="Q1072">
        <v>3</v>
      </c>
      <c r="R1072">
        <v>0</v>
      </c>
      <c r="S1072">
        <v>3</v>
      </c>
      <c r="T1072">
        <v>8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3</v>
      </c>
      <c r="AB1072">
        <v>11</v>
      </c>
      <c r="AC1072">
        <v>0</v>
      </c>
      <c r="AD1072" t="str">
        <f t="shared" si="208"/>
        <v>Ok</v>
      </c>
      <c r="AE1072" t="str">
        <f>IF(AND(Audit_Data[[#This Row],[Year_Birth]]&gt;=1900,Audit_Data[[#This Row],[Year_Birth]]&lt;=2010),"OK","Invalid")</f>
        <v>OK</v>
      </c>
      <c r="AF1072" t="str">
        <f t="shared" si="209"/>
        <v>Valid</v>
      </c>
      <c r="AG1072" t="str">
        <f t="shared" si="210"/>
        <v>Valid</v>
      </c>
      <c r="AH1072" t="str">
        <f t="shared" si="211"/>
        <v>Valid</v>
      </c>
      <c r="AI1072" t="str">
        <f t="shared" si="212"/>
        <v>Valid</v>
      </c>
      <c r="AJ1072" t="str">
        <f t="shared" si="213"/>
        <v>Valid</v>
      </c>
      <c r="AK1072" t="str">
        <f t="shared" si="220"/>
        <v xml:space="preserve">Valid </v>
      </c>
      <c r="AL1072" t="str">
        <f>IF(AND(Audit_Data[[#This Row],[Recency]]&gt;=0,Audit_Data[[#This Row],[Recency]]&lt;=100),"Valid","Invalid")</f>
        <v>Valid</v>
      </c>
      <c r="AM1072" t="str">
        <f t="shared" si="214"/>
        <v>Valid</v>
      </c>
      <c r="AN1072" t="str">
        <f t="shared" si="215"/>
        <v>Valid</v>
      </c>
      <c r="AO1072" t="str">
        <f t="shared" si="216"/>
        <v>Valid</v>
      </c>
      <c r="AP1072" t="str">
        <f t="shared" si="217"/>
        <v>Valid</v>
      </c>
      <c r="AQ1072" t="str">
        <f>IF(Audit_Data[[#This Row],[Z_CostContact]]=3,"Valid","Invalid")</f>
        <v>Valid</v>
      </c>
      <c r="AR1072" t="str">
        <f t="shared" si="218"/>
        <v>Valid</v>
      </c>
      <c r="AS1072" t="str">
        <f t="shared" si="219"/>
        <v>Valid</v>
      </c>
    </row>
    <row r="1073" spans="1:45" x14ac:dyDescent="0.3">
      <c r="A1073">
        <v>11112</v>
      </c>
      <c r="B1073">
        <v>1966</v>
      </c>
      <c r="C1073" t="s">
        <v>29</v>
      </c>
      <c r="D1073" t="s">
        <v>31</v>
      </c>
      <c r="E1073">
        <v>70713</v>
      </c>
      <c r="F1073">
        <v>0</v>
      </c>
      <c r="G1073">
        <v>1</v>
      </c>
      <c r="H1073" s="1">
        <v>41246</v>
      </c>
      <c r="I1073">
        <v>23</v>
      </c>
      <c r="J1073">
        <v>736</v>
      </c>
      <c r="K1073">
        <v>114</v>
      </c>
      <c r="L1073">
        <v>279</v>
      </c>
      <c r="M1073">
        <v>82</v>
      </c>
      <c r="N1073">
        <v>76</v>
      </c>
      <c r="O1073">
        <v>190</v>
      </c>
      <c r="P1073">
        <v>6</v>
      </c>
      <c r="Q1073">
        <v>5</v>
      </c>
      <c r="R1073">
        <v>6</v>
      </c>
      <c r="S1073">
        <v>8</v>
      </c>
      <c r="T1073">
        <v>3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3</v>
      </c>
      <c r="AB1073">
        <v>11</v>
      </c>
      <c r="AC1073">
        <v>0</v>
      </c>
      <c r="AD1073" t="str">
        <f t="shared" si="208"/>
        <v>Ok</v>
      </c>
      <c r="AE1073" t="str">
        <f>IF(AND(Audit_Data[[#This Row],[Year_Birth]]&gt;=1900,Audit_Data[[#This Row],[Year_Birth]]&lt;=2010),"OK","Invalid")</f>
        <v>OK</v>
      </c>
      <c r="AF1073" t="str">
        <f t="shared" si="209"/>
        <v>Valid</v>
      </c>
      <c r="AG1073" t="str">
        <f t="shared" si="210"/>
        <v>Valid</v>
      </c>
      <c r="AH1073" t="str">
        <f t="shared" si="211"/>
        <v>Valid</v>
      </c>
      <c r="AI1073" t="str">
        <f t="shared" si="212"/>
        <v>Valid</v>
      </c>
      <c r="AJ1073" t="str">
        <f t="shared" si="213"/>
        <v>Valid</v>
      </c>
      <c r="AK1073" t="str">
        <f t="shared" si="220"/>
        <v xml:space="preserve">Valid </v>
      </c>
      <c r="AL1073" t="str">
        <f>IF(AND(Audit_Data[[#This Row],[Recency]]&gt;=0,Audit_Data[[#This Row],[Recency]]&lt;=100),"Valid","Invalid")</f>
        <v>Valid</v>
      </c>
      <c r="AM1073" t="str">
        <f t="shared" si="214"/>
        <v>Valid</v>
      </c>
      <c r="AN1073" t="str">
        <f t="shared" si="215"/>
        <v>Valid</v>
      </c>
      <c r="AO1073" t="str">
        <f t="shared" si="216"/>
        <v>Valid</v>
      </c>
      <c r="AP1073" t="str">
        <f t="shared" si="217"/>
        <v>Valid</v>
      </c>
      <c r="AQ1073" t="str">
        <f>IF(Audit_Data[[#This Row],[Z_CostContact]]=3,"Valid","Invalid")</f>
        <v>Valid</v>
      </c>
      <c r="AR1073" t="str">
        <f t="shared" si="218"/>
        <v>Valid</v>
      </c>
      <c r="AS1073" t="str">
        <f t="shared" si="219"/>
        <v>Valid</v>
      </c>
    </row>
    <row r="1074" spans="1:45" x14ac:dyDescent="0.3">
      <c r="A1074">
        <v>3807</v>
      </c>
      <c r="B1074">
        <v>1955</v>
      </c>
      <c r="C1074" t="s">
        <v>29</v>
      </c>
      <c r="D1074" t="s">
        <v>31</v>
      </c>
      <c r="E1074">
        <v>59925</v>
      </c>
      <c r="F1074">
        <v>0</v>
      </c>
      <c r="G1074">
        <v>1</v>
      </c>
      <c r="H1074" s="1">
        <v>41243</v>
      </c>
      <c r="I1074">
        <v>83</v>
      </c>
      <c r="J1074">
        <v>473</v>
      </c>
      <c r="K1074">
        <v>21</v>
      </c>
      <c r="L1074">
        <v>176</v>
      </c>
      <c r="M1074">
        <v>19</v>
      </c>
      <c r="N1074">
        <v>21</v>
      </c>
      <c r="O1074">
        <v>56</v>
      </c>
      <c r="P1074">
        <v>3</v>
      </c>
      <c r="Q1074">
        <v>9</v>
      </c>
      <c r="R1074">
        <v>2</v>
      </c>
      <c r="S1074">
        <v>9</v>
      </c>
      <c r="T1074">
        <v>6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3</v>
      </c>
      <c r="AB1074">
        <v>11</v>
      </c>
      <c r="AC1074">
        <v>0</v>
      </c>
      <c r="AD1074" t="str">
        <f t="shared" si="208"/>
        <v>Ok</v>
      </c>
      <c r="AE1074" t="str">
        <f>IF(AND(Audit_Data[[#This Row],[Year_Birth]]&gt;=1900,Audit_Data[[#This Row],[Year_Birth]]&lt;=2010),"OK","Invalid")</f>
        <v>OK</v>
      </c>
      <c r="AF1074" t="str">
        <f t="shared" si="209"/>
        <v>Valid</v>
      </c>
      <c r="AG1074" t="str">
        <f t="shared" si="210"/>
        <v>Valid</v>
      </c>
      <c r="AH1074" t="str">
        <f t="shared" si="211"/>
        <v>Valid</v>
      </c>
      <c r="AI1074" t="str">
        <f t="shared" si="212"/>
        <v>Valid</v>
      </c>
      <c r="AJ1074" t="str">
        <f t="shared" si="213"/>
        <v>Valid</v>
      </c>
      <c r="AK1074" t="str">
        <f t="shared" si="220"/>
        <v xml:space="preserve">Valid </v>
      </c>
      <c r="AL1074" t="str">
        <f>IF(AND(Audit_Data[[#This Row],[Recency]]&gt;=0,Audit_Data[[#This Row],[Recency]]&lt;=100),"Valid","Invalid")</f>
        <v>Valid</v>
      </c>
      <c r="AM1074" t="str">
        <f t="shared" si="214"/>
        <v>Valid</v>
      </c>
      <c r="AN1074" t="str">
        <f t="shared" si="215"/>
        <v>Valid</v>
      </c>
      <c r="AO1074" t="str">
        <f t="shared" si="216"/>
        <v>Valid</v>
      </c>
      <c r="AP1074" t="str">
        <f t="shared" si="217"/>
        <v>Valid</v>
      </c>
      <c r="AQ1074" t="str">
        <f>IF(Audit_Data[[#This Row],[Z_CostContact]]=3,"Valid","Invalid")</f>
        <v>Valid</v>
      </c>
      <c r="AR1074" t="str">
        <f t="shared" si="218"/>
        <v>Valid</v>
      </c>
      <c r="AS1074" t="str">
        <f t="shared" si="219"/>
        <v>Valid</v>
      </c>
    </row>
    <row r="1075" spans="1:45" x14ac:dyDescent="0.3">
      <c r="A1075">
        <v>9197</v>
      </c>
      <c r="B1075">
        <v>1953</v>
      </c>
      <c r="C1075" t="s">
        <v>29</v>
      </c>
      <c r="D1075" t="s">
        <v>33</v>
      </c>
      <c r="E1075">
        <v>39722</v>
      </c>
      <c r="F1075">
        <v>0</v>
      </c>
      <c r="G1075">
        <v>1</v>
      </c>
      <c r="H1075" s="1">
        <v>41694</v>
      </c>
      <c r="I1075">
        <v>92</v>
      </c>
      <c r="J1075">
        <v>32</v>
      </c>
      <c r="K1075">
        <v>0</v>
      </c>
      <c r="L1075">
        <v>5</v>
      </c>
      <c r="M1075">
        <v>2</v>
      </c>
      <c r="N1075">
        <v>0</v>
      </c>
      <c r="O1075">
        <v>8</v>
      </c>
      <c r="P1075">
        <v>2</v>
      </c>
      <c r="Q1075">
        <v>2</v>
      </c>
      <c r="R1075">
        <v>0</v>
      </c>
      <c r="S1075">
        <v>3</v>
      </c>
      <c r="T1075">
        <v>5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3</v>
      </c>
      <c r="AB1075">
        <v>11</v>
      </c>
      <c r="AC1075">
        <v>0</v>
      </c>
      <c r="AD1075" t="str">
        <f t="shared" si="208"/>
        <v>Ok</v>
      </c>
      <c r="AE1075" t="str">
        <f>IF(AND(Audit_Data[[#This Row],[Year_Birth]]&gt;=1900,Audit_Data[[#This Row],[Year_Birth]]&lt;=2010),"OK","Invalid")</f>
        <v>OK</v>
      </c>
      <c r="AF1075" t="str">
        <f t="shared" si="209"/>
        <v>Valid</v>
      </c>
      <c r="AG1075" t="str">
        <f t="shared" si="210"/>
        <v>Valid</v>
      </c>
      <c r="AH1075" t="str">
        <f t="shared" si="211"/>
        <v>Valid</v>
      </c>
      <c r="AI1075" t="str">
        <f t="shared" si="212"/>
        <v>Valid</v>
      </c>
      <c r="AJ1075" t="str">
        <f t="shared" si="213"/>
        <v>Valid</v>
      </c>
      <c r="AK1075" t="str">
        <f t="shared" si="220"/>
        <v xml:space="preserve">Valid </v>
      </c>
      <c r="AL1075" t="str">
        <f>IF(AND(Audit_Data[[#This Row],[Recency]]&gt;=0,Audit_Data[[#This Row],[Recency]]&lt;=100),"Valid","Invalid")</f>
        <v>Valid</v>
      </c>
      <c r="AM1075" t="str">
        <f t="shared" si="214"/>
        <v>Valid</v>
      </c>
      <c r="AN1075" t="str">
        <f t="shared" si="215"/>
        <v>Valid</v>
      </c>
      <c r="AO1075" t="str">
        <f t="shared" si="216"/>
        <v>Valid</v>
      </c>
      <c r="AP1075" t="str">
        <f t="shared" si="217"/>
        <v>Valid</v>
      </c>
      <c r="AQ1075" t="str">
        <f>IF(Audit_Data[[#This Row],[Z_CostContact]]=3,"Valid","Invalid")</f>
        <v>Valid</v>
      </c>
      <c r="AR1075" t="str">
        <f t="shared" si="218"/>
        <v>Valid</v>
      </c>
      <c r="AS1075" t="str">
        <f t="shared" si="219"/>
        <v>Valid</v>
      </c>
    </row>
    <row r="1076" spans="1:45" x14ac:dyDescent="0.3">
      <c r="A1076">
        <v>10832</v>
      </c>
      <c r="B1076">
        <v>1958</v>
      </c>
      <c r="C1076" t="s">
        <v>29</v>
      </c>
      <c r="D1076" t="s">
        <v>31</v>
      </c>
      <c r="E1076">
        <v>46610</v>
      </c>
      <c r="F1076">
        <v>0</v>
      </c>
      <c r="G1076">
        <v>0</v>
      </c>
      <c r="H1076" s="1">
        <v>41473</v>
      </c>
      <c r="I1076">
        <v>4</v>
      </c>
      <c r="J1076">
        <v>288</v>
      </c>
      <c r="K1076">
        <v>10</v>
      </c>
      <c r="L1076">
        <v>30</v>
      </c>
      <c r="M1076">
        <v>4</v>
      </c>
      <c r="N1076">
        <v>10</v>
      </c>
      <c r="O1076">
        <v>125</v>
      </c>
      <c r="P1076">
        <v>1</v>
      </c>
      <c r="Q1076">
        <v>6</v>
      </c>
      <c r="R1076">
        <v>1</v>
      </c>
      <c r="S1076">
        <v>6</v>
      </c>
      <c r="T1076">
        <v>6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3</v>
      </c>
      <c r="AB1076">
        <v>11</v>
      </c>
      <c r="AC1076">
        <v>0</v>
      </c>
      <c r="AD1076" t="str">
        <f t="shared" si="208"/>
        <v>Ok</v>
      </c>
      <c r="AE1076" t="str">
        <f>IF(AND(Audit_Data[[#This Row],[Year_Birth]]&gt;=1900,Audit_Data[[#This Row],[Year_Birth]]&lt;=2010),"OK","Invalid")</f>
        <v>OK</v>
      </c>
      <c r="AF1076" t="str">
        <f t="shared" si="209"/>
        <v>Valid</v>
      </c>
      <c r="AG1076" t="str">
        <f t="shared" si="210"/>
        <v>Valid</v>
      </c>
      <c r="AH1076" t="str">
        <f t="shared" si="211"/>
        <v>Valid</v>
      </c>
      <c r="AI1076" t="str">
        <f t="shared" si="212"/>
        <v>Valid</v>
      </c>
      <c r="AJ1076" t="str">
        <f t="shared" si="213"/>
        <v>Valid</v>
      </c>
      <c r="AK1076" t="str">
        <f t="shared" si="220"/>
        <v xml:space="preserve">Valid </v>
      </c>
      <c r="AL1076" t="str">
        <f>IF(AND(Audit_Data[[#This Row],[Recency]]&gt;=0,Audit_Data[[#This Row],[Recency]]&lt;=100),"Valid","Invalid")</f>
        <v>Valid</v>
      </c>
      <c r="AM1076" t="str">
        <f t="shared" si="214"/>
        <v>Valid</v>
      </c>
      <c r="AN1076" t="str">
        <f t="shared" si="215"/>
        <v>Valid</v>
      </c>
      <c r="AO1076" t="str">
        <f t="shared" si="216"/>
        <v>Valid</v>
      </c>
      <c r="AP1076" t="str">
        <f t="shared" si="217"/>
        <v>Valid</v>
      </c>
      <c r="AQ1076" t="str">
        <f>IF(Audit_Data[[#This Row],[Z_CostContact]]=3,"Valid","Invalid")</f>
        <v>Valid</v>
      </c>
      <c r="AR1076" t="str">
        <f t="shared" si="218"/>
        <v>Valid</v>
      </c>
      <c r="AS1076" t="str">
        <f t="shared" si="219"/>
        <v>Valid</v>
      </c>
    </row>
    <row r="1077" spans="1:45" x14ac:dyDescent="0.3">
      <c r="A1077">
        <v>6421</v>
      </c>
      <c r="B1077">
        <v>1961</v>
      </c>
      <c r="C1077" t="s">
        <v>29</v>
      </c>
      <c r="D1077" t="s">
        <v>31</v>
      </c>
      <c r="E1077">
        <v>88347</v>
      </c>
      <c r="F1077">
        <v>0</v>
      </c>
      <c r="G1077">
        <v>0</v>
      </c>
      <c r="H1077" s="1">
        <v>41458</v>
      </c>
      <c r="I1077">
        <v>32</v>
      </c>
      <c r="J1077">
        <v>1050</v>
      </c>
      <c r="K1077">
        <v>178</v>
      </c>
      <c r="L1077">
        <v>555</v>
      </c>
      <c r="M1077">
        <v>77</v>
      </c>
      <c r="N1077">
        <v>138</v>
      </c>
      <c r="O1077">
        <v>118</v>
      </c>
      <c r="P1077">
        <v>1</v>
      </c>
      <c r="Q1077">
        <v>4</v>
      </c>
      <c r="R1077">
        <v>7</v>
      </c>
      <c r="S1077">
        <v>9</v>
      </c>
      <c r="T1077">
        <v>1</v>
      </c>
      <c r="U1077">
        <v>0</v>
      </c>
      <c r="V1077">
        <v>0</v>
      </c>
      <c r="W1077">
        <v>0</v>
      </c>
      <c r="X1077">
        <v>1</v>
      </c>
      <c r="Y1077">
        <v>0</v>
      </c>
      <c r="Z1077">
        <v>0</v>
      </c>
      <c r="AA1077">
        <v>3</v>
      </c>
      <c r="AB1077">
        <v>11</v>
      </c>
      <c r="AC1077">
        <v>0</v>
      </c>
      <c r="AD1077" t="str">
        <f t="shared" si="208"/>
        <v>Ok</v>
      </c>
      <c r="AE1077" t="str">
        <f>IF(AND(Audit_Data[[#This Row],[Year_Birth]]&gt;=1900,Audit_Data[[#This Row],[Year_Birth]]&lt;=2010),"OK","Invalid")</f>
        <v>OK</v>
      </c>
      <c r="AF1077" t="str">
        <f t="shared" si="209"/>
        <v>Valid</v>
      </c>
      <c r="AG1077" t="str">
        <f t="shared" si="210"/>
        <v>Valid</v>
      </c>
      <c r="AH1077" t="str">
        <f t="shared" si="211"/>
        <v>Valid</v>
      </c>
      <c r="AI1077" t="str">
        <f t="shared" si="212"/>
        <v>Valid</v>
      </c>
      <c r="AJ1077" t="str">
        <f t="shared" si="213"/>
        <v>Valid</v>
      </c>
      <c r="AK1077" t="str">
        <f t="shared" si="220"/>
        <v xml:space="preserve">Valid </v>
      </c>
      <c r="AL1077" t="str">
        <f>IF(AND(Audit_Data[[#This Row],[Recency]]&gt;=0,Audit_Data[[#This Row],[Recency]]&lt;=100),"Valid","Invalid")</f>
        <v>Valid</v>
      </c>
      <c r="AM1077" t="str">
        <f t="shared" si="214"/>
        <v>Valid</v>
      </c>
      <c r="AN1077" t="str">
        <f t="shared" si="215"/>
        <v>Valid</v>
      </c>
      <c r="AO1077" t="str">
        <f t="shared" si="216"/>
        <v>Valid</v>
      </c>
      <c r="AP1077" t="str">
        <f t="shared" si="217"/>
        <v>Valid</v>
      </c>
      <c r="AQ1077" t="str">
        <f>IF(Audit_Data[[#This Row],[Z_CostContact]]=3,"Valid","Invalid")</f>
        <v>Valid</v>
      </c>
      <c r="AR1077" t="str">
        <f t="shared" si="218"/>
        <v>Valid</v>
      </c>
      <c r="AS1077" t="str">
        <f t="shared" si="219"/>
        <v>Valid</v>
      </c>
    </row>
    <row r="1078" spans="1:45" x14ac:dyDescent="0.3">
      <c r="A1078">
        <v>4207</v>
      </c>
      <c r="B1078">
        <v>1981</v>
      </c>
      <c r="C1078" t="s">
        <v>32</v>
      </c>
      <c r="D1078" t="s">
        <v>33</v>
      </c>
      <c r="E1078">
        <v>87171</v>
      </c>
      <c r="F1078">
        <v>0</v>
      </c>
      <c r="G1078">
        <v>0</v>
      </c>
      <c r="H1078" s="1">
        <v>41395</v>
      </c>
      <c r="I1078">
        <v>27</v>
      </c>
      <c r="J1078">
        <v>1001</v>
      </c>
      <c r="K1078">
        <v>44</v>
      </c>
      <c r="L1078">
        <v>107</v>
      </c>
      <c r="M1078">
        <v>58</v>
      </c>
      <c r="N1078">
        <v>44</v>
      </c>
      <c r="O1078">
        <v>44</v>
      </c>
      <c r="P1078">
        <v>1</v>
      </c>
      <c r="Q1078">
        <v>6</v>
      </c>
      <c r="R1078">
        <v>7</v>
      </c>
      <c r="S1078">
        <v>11</v>
      </c>
      <c r="T1078">
        <v>2</v>
      </c>
      <c r="U1078">
        <v>1</v>
      </c>
      <c r="V1078">
        <v>0</v>
      </c>
      <c r="W1078">
        <v>1</v>
      </c>
      <c r="X1078">
        <v>0</v>
      </c>
      <c r="Y1078">
        <v>0</v>
      </c>
      <c r="Z1078">
        <v>0</v>
      </c>
      <c r="AA1078">
        <v>3</v>
      </c>
      <c r="AB1078">
        <v>11</v>
      </c>
      <c r="AC1078">
        <v>0</v>
      </c>
      <c r="AD1078" t="str">
        <f t="shared" si="208"/>
        <v>Ok</v>
      </c>
      <c r="AE1078" t="str">
        <f>IF(AND(Audit_Data[[#This Row],[Year_Birth]]&gt;=1900,Audit_Data[[#This Row],[Year_Birth]]&lt;=2010),"OK","Invalid")</f>
        <v>OK</v>
      </c>
      <c r="AF1078" t="str">
        <f t="shared" si="209"/>
        <v>Valid</v>
      </c>
      <c r="AG1078" t="str">
        <f t="shared" si="210"/>
        <v>Valid</v>
      </c>
      <c r="AH1078" t="str">
        <f t="shared" si="211"/>
        <v>Valid</v>
      </c>
      <c r="AI1078" t="str">
        <f t="shared" si="212"/>
        <v>Valid</v>
      </c>
      <c r="AJ1078" t="str">
        <f t="shared" si="213"/>
        <v>Valid</v>
      </c>
      <c r="AK1078" t="str">
        <f t="shared" si="220"/>
        <v xml:space="preserve">Valid </v>
      </c>
      <c r="AL1078" t="str">
        <f>IF(AND(Audit_Data[[#This Row],[Recency]]&gt;=0,Audit_Data[[#This Row],[Recency]]&lt;=100),"Valid","Invalid")</f>
        <v>Valid</v>
      </c>
      <c r="AM1078" t="str">
        <f t="shared" si="214"/>
        <v>Valid</v>
      </c>
      <c r="AN1078" t="str">
        <f t="shared" si="215"/>
        <v>Valid</v>
      </c>
      <c r="AO1078" t="str">
        <f t="shared" si="216"/>
        <v>Valid</v>
      </c>
      <c r="AP1078" t="str">
        <f t="shared" si="217"/>
        <v>Valid</v>
      </c>
      <c r="AQ1078" t="str">
        <f>IF(Audit_Data[[#This Row],[Z_CostContact]]=3,"Valid","Invalid")</f>
        <v>Valid</v>
      </c>
      <c r="AR1078" t="str">
        <f t="shared" si="218"/>
        <v>Valid</v>
      </c>
      <c r="AS1078" t="str">
        <f t="shared" si="219"/>
        <v>Valid</v>
      </c>
    </row>
    <row r="1079" spans="1:45" x14ac:dyDescent="0.3">
      <c r="A1079">
        <v>577</v>
      </c>
      <c r="B1079">
        <v>1976</v>
      </c>
      <c r="C1079" t="s">
        <v>37</v>
      </c>
      <c r="D1079" t="s">
        <v>31</v>
      </c>
      <c r="E1079">
        <v>26907</v>
      </c>
      <c r="F1079">
        <v>1</v>
      </c>
      <c r="G1079">
        <v>1</v>
      </c>
      <c r="H1079" s="1">
        <v>41506</v>
      </c>
      <c r="I1079">
        <v>10</v>
      </c>
      <c r="J1079">
        <v>9</v>
      </c>
      <c r="K1079">
        <v>1</v>
      </c>
      <c r="L1079">
        <v>7</v>
      </c>
      <c r="M1079">
        <v>0</v>
      </c>
      <c r="N1079">
        <v>3</v>
      </c>
      <c r="O1079">
        <v>2</v>
      </c>
      <c r="P1079">
        <v>2</v>
      </c>
      <c r="Q1079">
        <v>1</v>
      </c>
      <c r="R1079">
        <v>0</v>
      </c>
      <c r="S1079">
        <v>3</v>
      </c>
      <c r="T1079">
        <v>7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3</v>
      </c>
      <c r="AB1079">
        <v>11</v>
      </c>
      <c r="AC1079">
        <v>0</v>
      </c>
      <c r="AD1079" t="str">
        <f t="shared" si="208"/>
        <v>Ok</v>
      </c>
      <c r="AE1079" t="str">
        <f>IF(AND(Audit_Data[[#This Row],[Year_Birth]]&gt;=1900,Audit_Data[[#This Row],[Year_Birth]]&lt;=2010),"OK","Invalid")</f>
        <v>OK</v>
      </c>
      <c r="AF1079" t="str">
        <f t="shared" si="209"/>
        <v>Valid</v>
      </c>
      <c r="AG1079" t="str">
        <f t="shared" si="210"/>
        <v>Valid</v>
      </c>
      <c r="AH1079" t="str">
        <f t="shared" si="211"/>
        <v>Valid</v>
      </c>
      <c r="AI1079" t="str">
        <f t="shared" si="212"/>
        <v>Valid</v>
      </c>
      <c r="AJ1079" t="str">
        <f t="shared" si="213"/>
        <v>Valid</v>
      </c>
      <c r="AK1079" t="str">
        <f t="shared" si="220"/>
        <v xml:space="preserve">Valid </v>
      </c>
      <c r="AL1079" t="str">
        <f>IF(AND(Audit_Data[[#This Row],[Recency]]&gt;=0,Audit_Data[[#This Row],[Recency]]&lt;=100),"Valid","Invalid")</f>
        <v>Valid</v>
      </c>
      <c r="AM1079" t="str">
        <f t="shared" si="214"/>
        <v>Valid</v>
      </c>
      <c r="AN1079" t="str">
        <f t="shared" si="215"/>
        <v>Valid</v>
      </c>
      <c r="AO1079" t="str">
        <f t="shared" si="216"/>
        <v>Valid</v>
      </c>
      <c r="AP1079" t="str">
        <f t="shared" si="217"/>
        <v>Valid</v>
      </c>
      <c r="AQ1079" t="str">
        <f>IF(Audit_Data[[#This Row],[Z_CostContact]]=3,"Valid","Invalid")</f>
        <v>Valid</v>
      </c>
      <c r="AR1079" t="str">
        <f t="shared" si="218"/>
        <v>Valid</v>
      </c>
      <c r="AS1079" t="str">
        <f t="shared" si="219"/>
        <v>Valid</v>
      </c>
    </row>
    <row r="1080" spans="1:45" x14ac:dyDescent="0.3">
      <c r="A1080">
        <v>10855</v>
      </c>
      <c r="B1080">
        <v>1968</v>
      </c>
      <c r="C1080" t="s">
        <v>34</v>
      </c>
      <c r="D1080" t="s">
        <v>30</v>
      </c>
      <c r="E1080">
        <v>50014</v>
      </c>
      <c r="F1080">
        <v>1</v>
      </c>
      <c r="G1080">
        <v>0</v>
      </c>
      <c r="H1080" s="1">
        <v>41661</v>
      </c>
      <c r="I1080">
        <v>9</v>
      </c>
      <c r="J1080">
        <v>234</v>
      </c>
      <c r="K1080">
        <v>14</v>
      </c>
      <c r="L1080">
        <v>77</v>
      </c>
      <c r="M1080">
        <v>19</v>
      </c>
      <c r="N1080">
        <v>10</v>
      </c>
      <c r="O1080">
        <v>42</v>
      </c>
      <c r="P1080">
        <v>2</v>
      </c>
      <c r="Q1080">
        <v>4</v>
      </c>
      <c r="R1080">
        <v>1</v>
      </c>
      <c r="S1080">
        <v>8</v>
      </c>
      <c r="T1080">
        <v>5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3</v>
      </c>
      <c r="AB1080">
        <v>11</v>
      </c>
      <c r="AC1080">
        <v>0</v>
      </c>
      <c r="AD1080" t="str">
        <f t="shared" si="208"/>
        <v>Ok</v>
      </c>
      <c r="AE1080" t="str">
        <f>IF(AND(Audit_Data[[#This Row],[Year_Birth]]&gt;=1900,Audit_Data[[#This Row],[Year_Birth]]&lt;=2010),"OK","Invalid")</f>
        <v>OK</v>
      </c>
      <c r="AF1080" t="str">
        <f t="shared" si="209"/>
        <v>Valid</v>
      </c>
      <c r="AG1080" t="str">
        <f t="shared" si="210"/>
        <v>Valid</v>
      </c>
      <c r="AH1080" t="str">
        <f t="shared" si="211"/>
        <v>Valid</v>
      </c>
      <c r="AI1080" t="str">
        <f t="shared" si="212"/>
        <v>Valid</v>
      </c>
      <c r="AJ1080" t="str">
        <f t="shared" si="213"/>
        <v>Valid</v>
      </c>
      <c r="AK1080" t="str">
        <f t="shared" si="220"/>
        <v xml:space="preserve">Valid </v>
      </c>
      <c r="AL1080" t="str">
        <f>IF(AND(Audit_Data[[#This Row],[Recency]]&gt;=0,Audit_Data[[#This Row],[Recency]]&lt;=100),"Valid","Invalid")</f>
        <v>Valid</v>
      </c>
      <c r="AM1080" t="str">
        <f t="shared" si="214"/>
        <v>Valid</v>
      </c>
      <c r="AN1080" t="str">
        <f t="shared" si="215"/>
        <v>Valid</v>
      </c>
      <c r="AO1080" t="str">
        <f t="shared" si="216"/>
        <v>Valid</v>
      </c>
      <c r="AP1080" t="str">
        <f t="shared" si="217"/>
        <v>Valid</v>
      </c>
      <c r="AQ1080" t="str">
        <f>IF(Audit_Data[[#This Row],[Z_CostContact]]=3,"Valid","Invalid")</f>
        <v>Valid</v>
      </c>
      <c r="AR1080" t="str">
        <f t="shared" si="218"/>
        <v>Valid</v>
      </c>
      <c r="AS1080" t="str">
        <f t="shared" si="219"/>
        <v>Valid</v>
      </c>
    </row>
    <row r="1081" spans="1:45" x14ac:dyDescent="0.3">
      <c r="A1081">
        <v>3081</v>
      </c>
      <c r="B1081">
        <v>1978</v>
      </c>
      <c r="C1081" t="s">
        <v>32</v>
      </c>
      <c r="D1081" t="s">
        <v>33</v>
      </c>
      <c r="E1081">
        <v>41014</v>
      </c>
      <c r="F1081">
        <v>1</v>
      </c>
      <c r="G1081">
        <v>0</v>
      </c>
      <c r="H1081" s="1">
        <v>41386</v>
      </c>
      <c r="I1081">
        <v>65</v>
      </c>
      <c r="J1081">
        <v>7</v>
      </c>
      <c r="K1081">
        <v>2</v>
      </c>
      <c r="L1081">
        <v>6</v>
      </c>
      <c r="M1081">
        <v>2</v>
      </c>
      <c r="N1081">
        <v>0</v>
      </c>
      <c r="O1081">
        <v>3</v>
      </c>
      <c r="P1081">
        <v>1</v>
      </c>
      <c r="Q1081">
        <v>1</v>
      </c>
      <c r="R1081">
        <v>0</v>
      </c>
      <c r="S1081">
        <v>2</v>
      </c>
      <c r="T1081">
        <v>7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3</v>
      </c>
      <c r="AB1081">
        <v>11</v>
      </c>
      <c r="AC1081">
        <v>0</v>
      </c>
      <c r="AD1081" t="str">
        <f t="shared" si="208"/>
        <v>Ok</v>
      </c>
      <c r="AE1081" t="str">
        <f>IF(AND(Audit_Data[[#This Row],[Year_Birth]]&gt;=1900,Audit_Data[[#This Row],[Year_Birth]]&lt;=2010),"OK","Invalid")</f>
        <v>OK</v>
      </c>
      <c r="AF1081" t="str">
        <f t="shared" si="209"/>
        <v>Valid</v>
      </c>
      <c r="AG1081" t="str">
        <f t="shared" si="210"/>
        <v>Valid</v>
      </c>
      <c r="AH1081" t="str">
        <f t="shared" si="211"/>
        <v>Valid</v>
      </c>
      <c r="AI1081" t="str">
        <f t="shared" si="212"/>
        <v>Valid</v>
      </c>
      <c r="AJ1081" t="str">
        <f t="shared" si="213"/>
        <v>Valid</v>
      </c>
      <c r="AK1081" t="str">
        <f t="shared" si="220"/>
        <v xml:space="preserve">Valid </v>
      </c>
      <c r="AL1081" t="str">
        <f>IF(AND(Audit_Data[[#This Row],[Recency]]&gt;=0,Audit_Data[[#This Row],[Recency]]&lt;=100),"Valid","Invalid")</f>
        <v>Valid</v>
      </c>
      <c r="AM1081" t="str">
        <f t="shared" si="214"/>
        <v>Valid</v>
      </c>
      <c r="AN1081" t="str">
        <f t="shared" si="215"/>
        <v>Valid</v>
      </c>
      <c r="AO1081" t="str">
        <f t="shared" si="216"/>
        <v>Valid</v>
      </c>
      <c r="AP1081" t="str">
        <f t="shared" si="217"/>
        <v>Valid</v>
      </c>
      <c r="AQ1081" t="str">
        <f>IF(Audit_Data[[#This Row],[Z_CostContact]]=3,"Valid","Invalid")</f>
        <v>Valid</v>
      </c>
      <c r="AR1081" t="str">
        <f t="shared" si="218"/>
        <v>Valid</v>
      </c>
      <c r="AS1081" t="str">
        <f t="shared" si="219"/>
        <v>Valid</v>
      </c>
    </row>
    <row r="1082" spans="1:45" x14ac:dyDescent="0.3">
      <c r="A1082">
        <v>3535</v>
      </c>
      <c r="B1082">
        <v>1965</v>
      </c>
      <c r="C1082" t="s">
        <v>29</v>
      </c>
      <c r="D1082" t="s">
        <v>30</v>
      </c>
      <c r="E1082">
        <v>66294</v>
      </c>
      <c r="F1082">
        <v>0</v>
      </c>
      <c r="G1082">
        <v>0</v>
      </c>
      <c r="H1082" s="1">
        <v>41715</v>
      </c>
      <c r="I1082">
        <v>68</v>
      </c>
      <c r="J1082">
        <v>251</v>
      </c>
      <c r="K1082">
        <v>108</v>
      </c>
      <c r="L1082">
        <v>334</v>
      </c>
      <c r="M1082">
        <v>65</v>
      </c>
      <c r="N1082">
        <v>92</v>
      </c>
      <c r="O1082">
        <v>117</v>
      </c>
      <c r="P1082">
        <v>1</v>
      </c>
      <c r="Q1082">
        <v>4</v>
      </c>
      <c r="R1082">
        <v>3</v>
      </c>
      <c r="S1082">
        <v>5</v>
      </c>
      <c r="T1082">
        <v>2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3</v>
      </c>
      <c r="AB1082">
        <v>11</v>
      </c>
      <c r="AC1082">
        <v>0</v>
      </c>
      <c r="AD1082" t="str">
        <f t="shared" si="208"/>
        <v>Ok</v>
      </c>
      <c r="AE1082" t="str">
        <f>IF(AND(Audit_Data[[#This Row],[Year_Birth]]&gt;=1900,Audit_Data[[#This Row],[Year_Birth]]&lt;=2010),"OK","Invalid")</f>
        <v>OK</v>
      </c>
      <c r="AF1082" t="str">
        <f t="shared" si="209"/>
        <v>Valid</v>
      </c>
      <c r="AG1082" t="str">
        <f t="shared" si="210"/>
        <v>Valid</v>
      </c>
      <c r="AH1082" t="str">
        <f t="shared" si="211"/>
        <v>Valid</v>
      </c>
      <c r="AI1082" t="str">
        <f t="shared" si="212"/>
        <v>Valid</v>
      </c>
      <c r="AJ1082" t="str">
        <f t="shared" si="213"/>
        <v>Valid</v>
      </c>
      <c r="AK1082" t="str">
        <f t="shared" si="220"/>
        <v xml:space="preserve">Valid </v>
      </c>
      <c r="AL1082" t="str">
        <f>IF(AND(Audit_Data[[#This Row],[Recency]]&gt;=0,Audit_Data[[#This Row],[Recency]]&lt;=100),"Valid","Invalid")</f>
        <v>Valid</v>
      </c>
      <c r="AM1082" t="str">
        <f t="shared" si="214"/>
        <v>Valid</v>
      </c>
      <c r="AN1082" t="str">
        <f t="shared" si="215"/>
        <v>Valid</v>
      </c>
      <c r="AO1082" t="str">
        <f t="shared" si="216"/>
        <v>Valid</v>
      </c>
      <c r="AP1082" t="str">
        <f t="shared" si="217"/>
        <v>Valid</v>
      </c>
      <c r="AQ1082" t="str">
        <f>IF(Audit_Data[[#This Row],[Z_CostContact]]=3,"Valid","Invalid")</f>
        <v>Valid</v>
      </c>
      <c r="AR1082" t="str">
        <f t="shared" si="218"/>
        <v>Valid</v>
      </c>
      <c r="AS1082" t="str">
        <f t="shared" si="219"/>
        <v>Valid</v>
      </c>
    </row>
    <row r="1083" spans="1:45" x14ac:dyDescent="0.3">
      <c r="A1083">
        <v>247</v>
      </c>
      <c r="B1083">
        <v>1971</v>
      </c>
      <c r="C1083" t="s">
        <v>29</v>
      </c>
      <c r="D1083" t="s">
        <v>33</v>
      </c>
      <c r="E1083">
        <v>36715</v>
      </c>
      <c r="F1083">
        <v>1</v>
      </c>
      <c r="G1083">
        <v>0</v>
      </c>
      <c r="H1083" s="1">
        <v>41230</v>
      </c>
      <c r="I1083">
        <v>16</v>
      </c>
      <c r="J1083">
        <v>172</v>
      </c>
      <c r="K1083">
        <v>10</v>
      </c>
      <c r="L1083">
        <v>125</v>
      </c>
      <c r="M1083">
        <v>21</v>
      </c>
      <c r="N1083">
        <v>13</v>
      </c>
      <c r="O1083">
        <v>16</v>
      </c>
      <c r="P1083">
        <v>6</v>
      </c>
      <c r="Q1083">
        <v>7</v>
      </c>
      <c r="R1083">
        <v>2</v>
      </c>
      <c r="S1083">
        <v>4</v>
      </c>
      <c r="T1083">
        <v>9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3</v>
      </c>
      <c r="AB1083">
        <v>11</v>
      </c>
      <c r="AC1083">
        <v>1</v>
      </c>
      <c r="AD1083" t="str">
        <f t="shared" si="208"/>
        <v>Ok</v>
      </c>
      <c r="AE1083" t="str">
        <f>IF(AND(Audit_Data[[#This Row],[Year_Birth]]&gt;=1900,Audit_Data[[#This Row],[Year_Birth]]&lt;=2010),"OK","Invalid")</f>
        <v>OK</v>
      </c>
      <c r="AF1083" t="str">
        <f t="shared" si="209"/>
        <v>Valid</v>
      </c>
      <c r="AG1083" t="str">
        <f t="shared" si="210"/>
        <v>Valid</v>
      </c>
      <c r="AH1083" t="str">
        <f t="shared" si="211"/>
        <v>Valid</v>
      </c>
      <c r="AI1083" t="str">
        <f t="shared" si="212"/>
        <v>Valid</v>
      </c>
      <c r="AJ1083" t="str">
        <f t="shared" si="213"/>
        <v>Valid</v>
      </c>
      <c r="AK1083" t="str">
        <f t="shared" si="220"/>
        <v xml:space="preserve">Valid </v>
      </c>
      <c r="AL1083" t="str">
        <f>IF(AND(Audit_Data[[#This Row],[Recency]]&gt;=0,Audit_Data[[#This Row],[Recency]]&lt;=100),"Valid","Invalid")</f>
        <v>Valid</v>
      </c>
      <c r="AM1083" t="str">
        <f t="shared" si="214"/>
        <v>Valid</v>
      </c>
      <c r="AN1083" t="str">
        <f t="shared" si="215"/>
        <v>Valid</v>
      </c>
      <c r="AO1083" t="str">
        <f t="shared" si="216"/>
        <v>Valid</v>
      </c>
      <c r="AP1083" t="str">
        <f t="shared" si="217"/>
        <v>Valid</v>
      </c>
      <c r="AQ1083" t="str">
        <f>IF(Audit_Data[[#This Row],[Z_CostContact]]=3,"Valid","Invalid")</f>
        <v>Valid</v>
      </c>
      <c r="AR1083" t="str">
        <f t="shared" si="218"/>
        <v>Valid</v>
      </c>
      <c r="AS1083" t="str">
        <f t="shared" si="219"/>
        <v>Valid</v>
      </c>
    </row>
    <row r="1084" spans="1:45" x14ac:dyDescent="0.3">
      <c r="A1084">
        <v>8707</v>
      </c>
      <c r="B1084">
        <v>1956</v>
      </c>
      <c r="C1084" t="s">
        <v>29</v>
      </c>
      <c r="D1084" t="s">
        <v>33</v>
      </c>
      <c r="E1084">
        <v>79456</v>
      </c>
      <c r="F1084">
        <v>0</v>
      </c>
      <c r="G1084">
        <v>0</v>
      </c>
      <c r="H1084" s="1">
        <v>41143</v>
      </c>
      <c r="I1084">
        <v>12</v>
      </c>
      <c r="J1084">
        <v>565</v>
      </c>
      <c r="K1084">
        <v>42</v>
      </c>
      <c r="L1084">
        <v>548</v>
      </c>
      <c r="M1084">
        <v>64</v>
      </c>
      <c r="N1084">
        <v>83</v>
      </c>
      <c r="O1084">
        <v>99</v>
      </c>
      <c r="P1084">
        <v>1</v>
      </c>
      <c r="Q1084">
        <v>5</v>
      </c>
      <c r="R1084">
        <v>6</v>
      </c>
      <c r="S1084">
        <v>4</v>
      </c>
      <c r="T1084">
        <v>3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3</v>
      </c>
      <c r="AB1084">
        <v>11</v>
      </c>
      <c r="AC1084">
        <v>1</v>
      </c>
      <c r="AD1084" t="str">
        <f t="shared" si="208"/>
        <v>Ok</v>
      </c>
      <c r="AE1084" t="str">
        <f>IF(AND(Audit_Data[[#This Row],[Year_Birth]]&gt;=1900,Audit_Data[[#This Row],[Year_Birth]]&lt;=2010),"OK","Invalid")</f>
        <v>OK</v>
      </c>
      <c r="AF1084" t="str">
        <f t="shared" si="209"/>
        <v>Valid</v>
      </c>
      <c r="AG1084" t="str">
        <f t="shared" si="210"/>
        <v>Valid</v>
      </c>
      <c r="AH1084" t="str">
        <f t="shared" si="211"/>
        <v>Valid</v>
      </c>
      <c r="AI1084" t="str">
        <f t="shared" si="212"/>
        <v>Valid</v>
      </c>
      <c r="AJ1084" t="str">
        <f t="shared" si="213"/>
        <v>Valid</v>
      </c>
      <c r="AK1084" t="str">
        <f t="shared" si="220"/>
        <v xml:space="preserve">Valid </v>
      </c>
      <c r="AL1084" t="str">
        <f>IF(AND(Audit_Data[[#This Row],[Recency]]&gt;=0,Audit_Data[[#This Row],[Recency]]&lt;=100),"Valid","Invalid")</f>
        <v>Valid</v>
      </c>
      <c r="AM1084" t="str">
        <f t="shared" si="214"/>
        <v>Valid</v>
      </c>
      <c r="AN1084" t="str">
        <f t="shared" si="215"/>
        <v>Valid</v>
      </c>
      <c r="AO1084" t="str">
        <f t="shared" si="216"/>
        <v>Valid</v>
      </c>
      <c r="AP1084" t="str">
        <f t="shared" si="217"/>
        <v>Valid</v>
      </c>
      <c r="AQ1084" t="str">
        <f>IF(Audit_Data[[#This Row],[Z_CostContact]]=3,"Valid","Invalid")</f>
        <v>Valid</v>
      </c>
      <c r="AR1084" t="str">
        <f t="shared" si="218"/>
        <v>Valid</v>
      </c>
      <c r="AS1084" t="str">
        <f t="shared" si="219"/>
        <v>Valid</v>
      </c>
    </row>
    <row r="1085" spans="1:45" x14ac:dyDescent="0.3">
      <c r="A1085">
        <v>9523</v>
      </c>
      <c r="B1085">
        <v>1982</v>
      </c>
      <c r="C1085" t="s">
        <v>29</v>
      </c>
      <c r="D1085" t="s">
        <v>31</v>
      </c>
      <c r="E1085">
        <v>40479</v>
      </c>
      <c r="F1085">
        <v>1</v>
      </c>
      <c r="G1085">
        <v>0</v>
      </c>
      <c r="H1085" s="1">
        <v>41503</v>
      </c>
      <c r="I1085">
        <v>95</v>
      </c>
      <c r="J1085">
        <v>5</v>
      </c>
      <c r="K1085">
        <v>0</v>
      </c>
      <c r="L1085">
        <v>8</v>
      </c>
      <c r="M1085">
        <v>2</v>
      </c>
      <c r="N1085">
        <v>0</v>
      </c>
      <c r="O1085">
        <v>0</v>
      </c>
      <c r="P1085">
        <v>1</v>
      </c>
      <c r="Q1085">
        <v>0</v>
      </c>
      <c r="R1085">
        <v>0</v>
      </c>
      <c r="S1085">
        <v>3</v>
      </c>
      <c r="T1085">
        <v>4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3</v>
      </c>
      <c r="AB1085">
        <v>11</v>
      </c>
      <c r="AC1085">
        <v>0</v>
      </c>
      <c r="AD1085" t="str">
        <f t="shared" si="208"/>
        <v>Ok</v>
      </c>
      <c r="AE1085" t="str">
        <f>IF(AND(Audit_Data[[#This Row],[Year_Birth]]&gt;=1900,Audit_Data[[#This Row],[Year_Birth]]&lt;=2010),"OK","Invalid")</f>
        <v>OK</v>
      </c>
      <c r="AF1085" t="str">
        <f t="shared" si="209"/>
        <v>Valid</v>
      </c>
      <c r="AG1085" t="str">
        <f t="shared" si="210"/>
        <v>Valid</v>
      </c>
      <c r="AH1085" t="str">
        <f t="shared" si="211"/>
        <v>Valid</v>
      </c>
      <c r="AI1085" t="str">
        <f t="shared" si="212"/>
        <v>Valid</v>
      </c>
      <c r="AJ1085" t="str">
        <f t="shared" si="213"/>
        <v>Valid</v>
      </c>
      <c r="AK1085" t="str">
        <f t="shared" si="220"/>
        <v xml:space="preserve">Valid </v>
      </c>
      <c r="AL1085" t="str">
        <f>IF(AND(Audit_Data[[#This Row],[Recency]]&gt;=0,Audit_Data[[#This Row],[Recency]]&lt;=100),"Valid","Invalid")</f>
        <v>Valid</v>
      </c>
      <c r="AM1085" t="str">
        <f t="shared" si="214"/>
        <v>Valid</v>
      </c>
      <c r="AN1085" t="str">
        <f t="shared" si="215"/>
        <v>Valid</v>
      </c>
      <c r="AO1085" t="str">
        <f t="shared" si="216"/>
        <v>Valid</v>
      </c>
      <c r="AP1085" t="str">
        <f t="shared" si="217"/>
        <v>Valid</v>
      </c>
      <c r="AQ1085" t="str">
        <f>IF(Audit_Data[[#This Row],[Z_CostContact]]=3,"Valid","Invalid")</f>
        <v>Valid</v>
      </c>
      <c r="AR1085" t="str">
        <f t="shared" si="218"/>
        <v>Valid</v>
      </c>
      <c r="AS1085" t="str">
        <f t="shared" si="219"/>
        <v>Valid</v>
      </c>
    </row>
    <row r="1086" spans="1:45" x14ac:dyDescent="0.3">
      <c r="A1086">
        <v>6072</v>
      </c>
      <c r="B1086">
        <v>1970</v>
      </c>
      <c r="C1086" t="s">
        <v>34</v>
      </c>
      <c r="D1086" t="s">
        <v>30</v>
      </c>
      <c r="E1086">
        <v>75345</v>
      </c>
      <c r="F1086">
        <v>0</v>
      </c>
      <c r="G1086">
        <v>0</v>
      </c>
      <c r="H1086" s="1">
        <v>41307</v>
      </c>
      <c r="I1086">
        <v>16</v>
      </c>
      <c r="J1086">
        <v>918</v>
      </c>
      <c r="K1086">
        <v>57</v>
      </c>
      <c r="L1086">
        <v>842</v>
      </c>
      <c r="M1086">
        <v>99</v>
      </c>
      <c r="N1086">
        <v>38</v>
      </c>
      <c r="O1086">
        <v>133</v>
      </c>
      <c r="P1086">
        <v>1</v>
      </c>
      <c r="Q1086">
        <v>5</v>
      </c>
      <c r="R1086">
        <v>8</v>
      </c>
      <c r="S1086">
        <v>6</v>
      </c>
      <c r="T1086">
        <v>3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>
        <v>3</v>
      </c>
      <c r="AB1086">
        <v>11</v>
      </c>
      <c r="AC1086">
        <v>1</v>
      </c>
      <c r="AD1086" t="str">
        <f t="shared" si="208"/>
        <v>Ok</v>
      </c>
      <c r="AE1086" t="str">
        <f>IF(AND(Audit_Data[[#This Row],[Year_Birth]]&gt;=1900,Audit_Data[[#This Row],[Year_Birth]]&lt;=2010),"OK","Invalid")</f>
        <v>OK</v>
      </c>
      <c r="AF1086" t="str">
        <f t="shared" si="209"/>
        <v>Valid</v>
      </c>
      <c r="AG1086" t="str">
        <f t="shared" si="210"/>
        <v>Valid</v>
      </c>
      <c r="AH1086" t="str">
        <f t="shared" si="211"/>
        <v>Valid</v>
      </c>
      <c r="AI1086" t="str">
        <f t="shared" si="212"/>
        <v>Valid</v>
      </c>
      <c r="AJ1086" t="str">
        <f t="shared" si="213"/>
        <v>Valid</v>
      </c>
      <c r="AK1086" t="str">
        <f t="shared" si="220"/>
        <v xml:space="preserve">Valid </v>
      </c>
      <c r="AL1086" t="str">
        <f>IF(AND(Audit_Data[[#This Row],[Recency]]&gt;=0,Audit_Data[[#This Row],[Recency]]&lt;=100),"Valid","Invalid")</f>
        <v>Valid</v>
      </c>
      <c r="AM1086" t="str">
        <f t="shared" si="214"/>
        <v>Valid</v>
      </c>
      <c r="AN1086" t="str">
        <f t="shared" si="215"/>
        <v>Valid</v>
      </c>
      <c r="AO1086" t="str">
        <f t="shared" si="216"/>
        <v>Valid</v>
      </c>
      <c r="AP1086" t="str">
        <f t="shared" si="217"/>
        <v>Valid</v>
      </c>
      <c r="AQ1086" t="str">
        <f>IF(Audit_Data[[#This Row],[Z_CostContact]]=3,"Valid","Invalid")</f>
        <v>Valid</v>
      </c>
      <c r="AR1086" t="str">
        <f t="shared" si="218"/>
        <v>Valid</v>
      </c>
      <c r="AS1086" t="str">
        <f t="shared" si="219"/>
        <v>Valid</v>
      </c>
    </row>
    <row r="1087" spans="1:45" x14ac:dyDescent="0.3">
      <c r="A1087">
        <v>6295</v>
      </c>
      <c r="B1087">
        <v>1977</v>
      </c>
      <c r="C1087" t="s">
        <v>29</v>
      </c>
      <c r="D1087" t="s">
        <v>33</v>
      </c>
      <c r="E1087">
        <v>54233</v>
      </c>
      <c r="F1087">
        <v>0</v>
      </c>
      <c r="G1087">
        <v>1</v>
      </c>
      <c r="H1087" s="1">
        <v>41309</v>
      </c>
      <c r="I1087">
        <v>46</v>
      </c>
      <c r="J1087">
        <v>652</v>
      </c>
      <c r="K1087">
        <v>8</v>
      </c>
      <c r="L1087">
        <v>158</v>
      </c>
      <c r="M1087">
        <v>21</v>
      </c>
      <c r="N1087">
        <v>0</v>
      </c>
      <c r="O1087">
        <v>142</v>
      </c>
      <c r="P1087">
        <v>4</v>
      </c>
      <c r="Q1087">
        <v>11</v>
      </c>
      <c r="R1087">
        <v>6</v>
      </c>
      <c r="S1087">
        <v>5</v>
      </c>
      <c r="T1087">
        <v>8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3</v>
      </c>
      <c r="AB1087">
        <v>11</v>
      </c>
      <c r="AC1087">
        <v>0</v>
      </c>
      <c r="AD1087" t="str">
        <f t="shared" si="208"/>
        <v>Ok</v>
      </c>
      <c r="AE1087" t="str">
        <f>IF(AND(Audit_Data[[#This Row],[Year_Birth]]&gt;=1900,Audit_Data[[#This Row],[Year_Birth]]&lt;=2010),"OK","Invalid")</f>
        <v>OK</v>
      </c>
      <c r="AF1087" t="str">
        <f t="shared" si="209"/>
        <v>Valid</v>
      </c>
      <c r="AG1087" t="str">
        <f t="shared" si="210"/>
        <v>Valid</v>
      </c>
      <c r="AH1087" t="str">
        <f t="shared" si="211"/>
        <v>Valid</v>
      </c>
      <c r="AI1087" t="str">
        <f t="shared" si="212"/>
        <v>Valid</v>
      </c>
      <c r="AJ1087" t="str">
        <f t="shared" si="213"/>
        <v>Valid</v>
      </c>
      <c r="AK1087" t="str">
        <f t="shared" si="220"/>
        <v xml:space="preserve">Valid </v>
      </c>
      <c r="AL1087" t="str">
        <f>IF(AND(Audit_Data[[#This Row],[Recency]]&gt;=0,Audit_Data[[#This Row],[Recency]]&lt;=100),"Valid","Invalid")</f>
        <v>Valid</v>
      </c>
      <c r="AM1087" t="str">
        <f t="shared" si="214"/>
        <v>Valid</v>
      </c>
      <c r="AN1087" t="str">
        <f t="shared" si="215"/>
        <v>Valid</v>
      </c>
      <c r="AO1087" t="str">
        <f t="shared" si="216"/>
        <v>Valid</v>
      </c>
      <c r="AP1087" t="str">
        <f t="shared" si="217"/>
        <v>Valid</v>
      </c>
      <c r="AQ1087" t="str">
        <f>IF(Audit_Data[[#This Row],[Z_CostContact]]=3,"Valid","Invalid")</f>
        <v>Valid</v>
      </c>
      <c r="AR1087" t="str">
        <f t="shared" si="218"/>
        <v>Valid</v>
      </c>
      <c r="AS1087" t="str">
        <f t="shared" si="219"/>
        <v>Valid</v>
      </c>
    </row>
    <row r="1088" spans="1:45" x14ac:dyDescent="0.3">
      <c r="A1088">
        <v>10914</v>
      </c>
      <c r="B1088">
        <v>1970</v>
      </c>
      <c r="C1088" t="s">
        <v>29</v>
      </c>
      <c r="D1088" t="s">
        <v>30</v>
      </c>
      <c r="E1088">
        <v>24163</v>
      </c>
      <c r="F1088">
        <v>1</v>
      </c>
      <c r="G1088">
        <v>1</v>
      </c>
      <c r="H1088" s="1">
        <v>41559</v>
      </c>
      <c r="I1088">
        <v>3</v>
      </c>
      <c r="J1088">
        <v>4</v>
      </c>
      <c r="K1088">
        <v>1</v>
      </c>
      <c r="L1088">
        <v>7</v>
      </c>
      <c r="M1088">
        <v>2</v>
      </c>
      <c r="N1088">
        <v>1</v>
      </c>
      <c r="O1088">
        <v>2</v>
      </c>
      <c r="P1088">
        <v>2</v>
      </c>
      <c r="Q1088">
        <v>1</v>
      </c>
      <c r="R1088">
        <v>0</v>
      </c>
      <c r="S1088">
        <v>3</v>
      </c>
      <c r="T1088">
        <v>4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3</v>
      </c>
      <c r="AB1088">
        <v>11</v>
      </c>
      <c r="AC1088">
        <v>0</v>
      </c>
      <c r="AD1088" t="str">
        <f t="shared" si="208"/>
        <v>Ok</v>
      </c>
      <c r="AE1088" t="str">
        <f>IF(AND(Audit_Data[[#This Row],[Year_Birth]]&gt;=1900,Audit_Data[[#This Row],[Year_Birth]]&lt;=2010),"OK","Invalid")</f>
        <v>OK</v>
      </c>
      <c r="AF1088" t="str">
        <f t="shared" si="209"/>
        <v>Valid</v>
      </c>
      <c r="AG1088" t="str">
        <f t="shared" si="210"/>
        <v>Valid</v>
      </c>
      <c r="AH1088" t="str">
        <f t="shared" si="211"/>
        <v>Valid</v>
      </c>
      <c r="AI1088" t="str">
        <f t="shared" si="212"/>
        <v>Valid</v>
      </c>
      <c r="AJ1088" t="str">
        <f t="shared" si="213"/>
        <v>Valid</v>
      </c>
      <c r="AK1088" t="str">
        <f t="shared" si="220"/>
        <v xml:space="preserve">Valid </v>
      </c>
      <c r="AL1088" t="str">
        <f>IF(AND(Audit_Data[[#This Row],[Recency]]&gt;=0,Audit_Data[[#This Row],[Recency]]&lt;=100),"Valid","Invalid")</f>
        <v>Valid</v>
      </c>
      <c r="AM1088" t="str">
        <f t="shared" si="214"/>
        <v>Valid</v>
      </c>
      <c r="AN1088" t="str">
        <f t="shared" si="215"/>
        <v>Valid</v>
      </c>
      <c r="AO1088" t="str">
        <f t="shared" si="216"/>
        <v>Valid</v>
      </c>
      <c r="AP1088" t="str">
        <f t="shared" si="217"/>
        <v>Valid</v>
      </c>
      <c r="AQ1088" t="str">
        <f>IF(Audit_Data[[#This Row],[Z_CostContact]]=3,"Valid","Invalid")</f>
        <v>Valid</v>
      </c>
      <c r="AR1088" t="str">
        <f t="shared" si="218"/>
        <v>Valid</v>
      </c>
      <c r="AS1088" t="str">
        <f t="shared" si="219"/>
        <v>Valid</v>
      </c>
    </row>
    <row r="1089" spans="1:45" x14ac:dyDescent="0.3">
      <c r="A1089">
        <v>1509</v>
      </c>
      <c r="B1089">
        <v>1958</v>
      </c>
      <c r="C1089" t="s">
        <v>32</v>
      </c>
      <c r="D1089" t="s">
        <v>31</v>
      </c>
      <c r="E1089">
        <v>84460</v>
      </c>
      <c r="F1089">
        <v>0</v>
      </c>
      <c r="G1089">
        <v>0</v>
      </c>
      <c r="H1089" s="1">
        <v>41278</v>
      </c>
      <c r="I1089">
        <v>80</v>
      </c>
      <c r="J1089">
        <v>152</v>
      </c>
      <c r="K1089">
        <v>27</v>
      </c>
      <c r="L1089">
        <v>103</v>
      </c>
      <c r="M1089">
        <v>106</v>
      </c>
      <c r="N1089">
        <v>54</v>
      </c>
      <c r="O1089">
        <v>81</v>
      </c>
      <c r="P1089">
        <v>0</v>
      </c>
      <c r="Q1089">
        <v>9</v>
      </c>
      <c r="R1089">
        <v>9</v>
      </c>
      <c r="S1089">
        <v>4</v>
      </c>
      <c r="T1089">
        <v>5</v>
      </c>
      <c r="U1089">
        <v>0</v>
      </c>
      <c r="V1089">
        <v>1</v>
      </c>
      <c r="W1089">
        <v>1</v>
      </c>
      <c r="X1089">
        <v>1</v>
      </c>
      <c r="Y1089">
        <v>1</v>
      </c>
      <c r="Z1089">
        <v>0</v>
      </c>
      <c r="AA1089">
        <v>3</v>
      </c>
      <c r="AB1089">
        <v>11</v>
      </c>
      <c r="AC1089">
        <v>1</v>
      </c>
      <c r="AD1089" t="str">
        <f t="shared" si="208"/>
        <v>Ok</v>
      </c>
      <c r="AE1089" t="str">
        <f>IF(AND(Audit_Data[[#This Row],[Year_Birth]]&gt;=1900,Audit_Data[[#This Row],[Year_Birth]]&lt;=2010),"OK","Invalid")</f>
        <v>OK</v>
      </c>
      <c r="AF1089" t="str">
        <f t="shared" si="209"/>
        <v>Valid</v>
      </c>
      <c r="AG1089" t="str">
        <f t="shared" si="210"/>
        <v>Valid</v>
      </c>
      <c r="AH1089" t="str">
        <f t="shared" si="211"/>
        <v>Valid</v>
      </c>
      <c r="AI1089" t="str">
        <f t="shared" si="212"/>
        <v>Valid</v>
      </c>
      <c r="AJ1089" t="str">
        <f t="shared" si="213"/>
        <v>Valid</v>
      </c>
      <c r="AK1089" t="str">
        <f t="shared" si="220"/>
        <v xml:space="preserve">Valid </v>
      </c>
      <c r="AL1089" t="str">
        <f>IF(AND(Audit_Data[[#This Row],[Recency]]&gt;=0,Audit_Data[[#This Row],[Recency]]&lt;=100),"Valid","Invalid")</f>
        <v>Valid</v>
      </c>
      <c r="AM1089" t="str">
        <f t="shared" si="214"/>
        <v>Valid</v>
      </c>
      <c r="AN1089" t="str">
        <f t="shared" si="215"/>
        <v>Valid</v>
      </c>
      <c r="AO1089" t="str">
        <f t="shared" si="216"/>
        <v>Valid</v>
      </c>
      <c r="AP1089" t="str">
        <f t="shared" si="217"/>
        <v>Valid</v>
      </c>
      <c r="AQ1089" t="str">
        <f>IF(Audit_Data[[#This Row],[Z_CostContact]]=3,"Valid","Invalid")</f>
        <v>Valid</v>
      </c>
      <c r="AR1089" t="str">
        <f t="shared" si="218"/>
        <v>Valid</v>
      </c>
      <c r="AS1089" t="str">
        <f t="shared" si="219"/>
        <v>Valid</v>
      </c>
    </row>
    <row r="1090" spans="1:45" x14ac:dyDescent="0.3">
      <c r="A1090">
        <v>5577</v>
      </c>
      <c r="B1090">
        <v>1983</v>
      </c>
      <c r="C1090" t="s">
        <v>29</v>
      </c>
      <c r="D1090" t="s">
        <v>31</v>
      </c>
      <c r="E1090">
        <v>43776</v>
      </c>
      <c r="F1090">
        <v>1</v>
      </c>
      <c r="G1090">
        <v>0</v>
      </c>
      <c r="H1090" s="1">
        <v>41762</v>
      </c>
      <c r="I1090">
        <v>77</v>
      </c>
      <c r="J1090">
        <v>8</v>
      </c>
      <c r="K1090">
        <v>0</v>
      </c>
      <c r="L1090">
        <v>9</v>
      </c>
      <c r="M1090">
        <v>2</v>
      </c>
      <c r="N1090">
        <v>1</v>
      </c>
      <c r="O1090">
        <v>3</v>
      </c>
      <c r="P1090">
        <v>1</v>
      </c>
      <c r="Q1090">
        <v>1</v>
      </c>
      <c r="R1090">
        <v>0</v>
      </c>
      <c r="S1090">
        <v>2</v>
      </c>
      <c r="T1090">
        <v>6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3</v>
      </c>
      <c r="AB1090">
        <v>11</v>
      </c>
      <c r="AC1090">
        <v>0</v>
      </c>
      <c r="AD1090" t="str">
        <f t="shared" ref="AD1090:AD1153" si="221">IF(COUNTIF(A:A,A1090)&gt;1,"Duplicate","Ok")</f>
        <v>Ok</v>
      </c>
      <c r="AE1090" t="str">
        <f>IF(AND(Audit_Data[[#This Row],[Year_Birth]]&gt;=1900,Audit_Data[[#This Row],[Year_Birth]]&lt;=2010),"OK","Invalid")</f>
        <v>OK</v>
      </c>
      <c r="AF1090" t="str">
        <f t="shared" ref="AF1090:AF1153" si="222">IF(OR(C1090="Graduation",C1090="phD",C1090="Master",C1090="Basic",C1090="2n Cycle"),"Valid","Invalid")</f>
        <v>Valid</v>
      </c>
      <c r="AG1090" t="str">
        <f t="shared" ref="AG1090:AG1153" si="223">IF(OR(D1090="Single",D1090="Married",D1090="Divorced",D1090="Together",D1090="Widow",D1090="Alone"),"Valid","Invalid")</f>
        <v>Valid</v>
      </c>
      <c r="AH1090" t="str">
        <f t="shared" ref="AH1090:AH1153" si="224">IF(AND(ISNUMBER(E1090),E1090&lt;&gt;""),"Valid","Invalid")</f>
        <v>Valid</v>
      </c>
      <c r="AI1090" t="str">
        <f t="shared" ref="AI1090:AI1153" si="225">IF(AND(F1090&gt;=0,F1090&lt;=2),"Valid","Invalid")</f>
        <v>Valid</v>
      </c>
      <c r="AJ1090" t="str">
        <f t="shared" ref="AJ1090:AJ1153" si="226">IF(AND(G1090&gt;=0,G1090&lt;=2),"Valid","Invalid")</f>
        <v>Valid</v>
      </c>
      <c r="AK1090" t="str">
        <f t="shared" si="220"/>
        <v xml:space="preserve">Valid </v>
      </c>
      <c r="AL1090" t="str">
        <f>IF(AND(Audit_Data[[#This Row],[Recency]]&gt;=0,Audit_Data[[#This Row],[Recency]]&lt;=100),"Valid","Invalid")</f>
        <v>Valid</v>
      </c>
      <c r="AM1090" t="str">
        <f t="shared" ref="AM1090:AM1153" si="227">IF(AND(ISNUMBER(J1090),J1090&gt;=0,ISNUMBER(K1090),K1090&gt;=0,ISNUMBER(L1090),L1090&gt;=0,ISNUMBER(M1090),M1090&gt;=0,ISNUMBER(N1090),N1090&gt;=0,ISNUMBER(O1090),O1090&gt;=0),"Valid","Invalid")</f>
        <v>Valid</v>
      </c>
      <c r="AN1090" t="str">
        <f t="shared" ref="AN1090:AN1153" si="228">IF(AND(ISNUMBER(P1090),P1090&gt;=0,ISNUMBER(Q1090),Q1090&gt;=0,ISNUMBER(R1090),R1090&gt;=0,ISNUMBER(S1090),S1090&gt;=0,ISNUMBER(T1090),T1090&gt;=0),"Valid","Invalid")</f>
        <v>Valid</v>
      </c>
      <c r="AO1090" t="str">
        <f t="shared" ref="AO1090:AO1153" si="229">IF(AND(U1090&lt;=1,V1090&lt;=1,W1090&lt;=1,X1090&lt;=1,Y1090&lt;=1),"Valid","Invalid")</f>
        <v>Valid</v>
      </c>
      <c r="AP1090" t="str">
        <f t="shared" ref="AP1090:AP1153" si="230">IF(OR(Z1090=0,Z1090=1),"Valid","Invalid")</f>
        <v>Valid</v>
      </c>
      <c r="AQ1090" t="str">
        <f>IF(Audit_Data[[#This Row],[Z_CostContact]]=3,"Valid","Invalid")</f>
        <v>Valid</v>
      </c>
      <c r="AR1090" t="str">
        <f t="shared" ref="AR1090:AR1153" si="231">IF(AB1090=11,"Valid","Invalid")</f>
        <v>Valid</v>
      </c>
      <c r="AS1090" t="str">
        <f t="shared" ref="AS1090:AS1153" si="232">IF(OR(AC1090=0,AC1090=1),"Valid","Invalid")</f>
        <v>Valid</v>
      </c>
    </row>
    <row r="1091" spans="1:45" x14ac:dyDescent="0.3">
      <c r="A1091">
        <v>7348</v>
      </c>
      <c r="B1091">
        <v>1958</v>
      </c>
      <c r="C1091" t="s">
        <v>32</v>
      </c>
      <c r="D1091" t="s">
        <v>30</v>
      </c>
      <c r="E1091">
        <v>71691</v>
      </c>
      <c r="F1091">
        <v>0</v>
      </c>
      <c r="G1091">
        <v>0</v>
      </c>
      <c r="H1091" s="1">
        <v>41715</v>
      </c>
      <c r="I1091">
        <v>0</v>
      </c>
      <c r="J1091">
        <v>336</v>
      </c>
      <c r="K1091">
        <v>130</v>
      </c>
      <c r="L1091">
        <v>411</v>
      </c>
      <c r="M1091">
        <v>240</v>
      </c>
      <c r="N1091">
        <v>32</v>
      </c>
      <c r="O1091">
        <v>43</v>
      </c>
      <c r="P1091">
        <v>1</v>
      </c>
      <c r="Q1091">
        <v>4</v>
      </c>
      <c r="R1091">
        <v>7</v>
      </c>
      <c r="S1091">
        <v>5</v>
      </c>
      <c r="T1091">
        <v>2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3</v>
      </c>
      <c r="AB1091">
        <v>11</v>
      </c>
      <c r="AC1091">
        <v>1</v>
      </c>
      <c r="AD1091" t="str">
        <f t="shared" si="221"/>
        <v>Ok</v>
      </c>
      <c r="AE1091" t="str">
        <f>IF(AND(Audit_Data[[#This Row],[Year_Birth]]&gt;=1900,Audit_Data[[#This Row],[Year_Birth]]&lt;=2010),"OK","Invalid")</f>
        <v>OK</v>
      </c>
      <c r="AF1091" t="str">
        <f t="shared" si="222"/>
        <v>Valid</v>
      </c>
      <c r="AG1091" t="str">
        <f t="shared" si="223"/>
        <v>Valid</v>
      </c>
      <c r="AH1091" t="str">
        <f t="shared" si="224"/>
        <v>Valid</v>
      </c>
      <c r="AI1091" t="str">
        <f t="shared" si="225"/>
        <v>Valid</v>
      </c>
      <c r="AJ1091" t="str">
        <f t="shared" si="226"/>
        <v>Valid</v>
      </c>
      <c r="AK1091" t="str">
        <f t="shared" ref="AK1091:AK1154" si="233">IF(AND(ISNUMBER(H1091),H1091&gt;=DATE(2012,1,1),H1091&lt;=DATE(2014,12,31)),"Valid ","Invalid")</f>
        <v xml:space="preserve">Valid </v>
      </c>
      <c r="AL1091" t="str">
        <f>IF(AND(Audit_Data[[#This Row],[Recency]]&gt;=0,Audit_Data[[#This Row],[Recency]]&lt;=100),"Valid","Invalid")</f>
        <v>Valid</v>
      </c>
      <c r="AM1091" t="str">
        <f t="shared" si="227"/>
        <v>Valid</v>
      </c>
      <c r="AN1091" t="str">
        <f t="shared" si="228"/>
        <v>Valid</v>
      </c>
      <c r="AO1091" t="str">
        <f t="shared" si="229"/>
        <v>Valid</v>
      </c>
      <c r="AP1091" t="str">
        <f t="shared" si="230"/>
        <v>Valid</v>
      </c>
      <c r="AQ1091" t="str">
        <f>IF(Audit_Data[[#This Row],[Z_CostContact]]=3,"Valid","Invalid")</f>
        <v>Valid</v>
      </c>
      <c r="AR1091" t="str">
        <f t="shared" si="231"/>
        <v>Valid</v>
      </c>
      <c r="AS1091" t="str">
        <f t="shared" si="232"/>
        <v>Valid</v>
      </c>
    </row>
    <row r="1092" spans="1:45" x14ac:dyDescent="0.3">
      <c r="A1092">
        <v>1127</v>
      </c>
      <c r="B1092">
        <v>1973</v>
      </c>
      <c r="C1092" t="s">
        <v>32</v>
      </c>
      <c r="D1092" t="s">
        <v>33</v>
      </c>
      <c r="E1092">
        <v>85844</v>
      </c>
      <c r="F1092">
        <v>0</v>
      </c>
      <c r="G1092">
        <v>0</v>
      </c>
      <c r="H1092" s="1">
        <v>41788</v>
      </c>
      <c r="I1092">
        <v>62</v>
      </c>
      <c r="J1092">
        <v>938</v>
      </c>
      <c r="K1092">
        <v>19</v>
      </c>
      <c r="L1092">
        <v>843</v>
      </c>
      <c r="M1092">
        <v>25</v>
      </c>
      <c r="N1092">
        <v>95</v>
      </c>
      <c r="O1092">
        <v>38</v>
      </c>
      <c r="P1092">
        <v>1</v>
      </c>
      <c r="Q1092">
        <v>6</v>
      </c>
      <c r="R1092">
        <v>6</v>
      </c>
      <c r="S1092">
        <v>7</v>
      </c>
      <c r="T1092">
        <v>2</v>
      </c>
      <c r="U1092">
        <v>0</v>
      </c>
      <c r="V1092">
        <v>0</v>
      </c>
      <c r="W1092">
        <v>1</v>
      </c>
      <c r="X1092">
        <v>0</v>
      </c>
      <c r="Y1092">
        <v>0</v>
      </c>
      <c r="Z1092">
        <v>0</v>
      </c>
      <c r="AA1092">
        <v>3</v>
      </c>
      <c r="AB1092">
        <v>11</v>
      </c>
      <c r="AC1092">
        <v>0</v>
      </c>
      <c r="AD1092" t="str">
        <f t="shared" si="221"/>
        <v>Ok</v>
      </c>
      <c r="AE1092" t="str">
        <f>IF(AND(Audit_Data[[#This Row],[Year_Birth]]&gt;=1900,Audit_Data[[#This Row],[Year_Birth]]&lt;=2010),"OK","Invalid")</f>
        <v>OK</v>
      </c>
      <c r="AF1092" t="str">
        <f t="shared" si="222"/>
        <v>Valid</v>
      </c>
      <c r="AG1092" t="str">
        <f t="shared" si="223"/>
        <v>Valid</v>
      </c>
      <c r="AH1092" t="str">
        <f t="shared" si="224"/>
        <v>Valid</v>
      </c>
      <c r="AI1092" t="str">
        <f t="shared" si="225"/>
        <v>Valid</v>
      </c>
      <c r="AJ1092" t="str">
        <f t="shared" si="226"/>
        <v>Valid</v>
      </c>
      <c r="AK1092" t="str">
        <f t="shared" si="233"/>
        <v xml:space="preserve">Valid </v>
      </c>
      <c r="AL1092" t="str">
        <f>IF(AND(Audit_Data[[#This Row],[Recency]]&gt;=0,Audit_Data[[#This Row],[Recency]]&lt;=100),"Valid","Invalid")</f>
        <v>Valid</v>
      </c>
      <c r="AM1092" t="str">
        <f t="shared" si="227"/>
        <v>Valid</v>
      </c>
      <c r="AN1092" t="str">
        <f t="shared" si="228"/>
        <v>Valid</v>
      </c>
      <c r="AO1092" t="str">
        <f t="shared" si="229"/>
        <v>Valid</v>
      </c>
      <c r="AP1092" t="str">
        <f t="shared" si="230"/>
        <v>Valid</v>
      </c>
      <c r="AQ1092" t="str">
        <f>IF(Audit_Data[[#This Row],[Z_CostContact]]=3,"Valid","Invalid")</f>
        <v>Valid</v>
      </c>
      <c r="AR1092" t="str">
        <f t="shared" si="231"/>
        <v>Valid</v>
      </c>
      <c r="AS1092" t="str">
        <f t="shared" si="232"/>
        <v>Valid</v>
      </c>
    </row>
    <row r="1093" spans="1:45" x14ac:dyDescent="0.3">
      <c r="A1093">
        <v>1833</v>
      </c>
      <c r="B1093">
        <v>1974</v>
      </c>
      <c r="C1093" t="s">
        <v>32</v>
      </c>
      <c r="D1093" t="s">
        <v>30</v>
      </c>
      <c r="E1093">
        <v>39190</v>
      </c>
      <c r="F1093">
        <v>1</v>
      </c>
      <c r="G1093">
        <v>0</v>
      </c>
      <c r="H1093" s="1">
        <v>41755</v>
      </c>
      <c r="I1093">
        <v>91</v>
      </c>
      <c r="J1093">
        <v>68</v>
      </c>
      <c r="K1093">
        <v>8</v>
      </c>
      <c r="L1093">
        <v>18</v>
      </c>
      <c r="M1093">
        <v>19</v>
      </c>
      <c r="N1093">
        <v>8</v>
      </c>
      <c r="O1093">
        <v>12</v>
      </c>
      <c r="P1093">
        <v>2</v>
      </c>
      <c r="Q1093">
        <v>2</v>
      </c>
      <c r="R1093">
        <v>1</v>
      </c>
      <c r="S1093">
        <v>4</v>
      </c>
      <c r="T1093">
        <v>5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3</v>
      </c>
      <c r="AB1093">
        <v>11</v>
      </c>
      <c r="AC1093">
        <v>0</v>
      </c>
      <c r="AD1093" t="str">
        <f t="shared" si="221"/>
        <v>Ok</v>
      </c>
      <c r="AE1093" t="str">
        <f>IF(AND(Audit_Data[[#This Row],[Year_Birth]]&gt;=1900,Audit_Data[[#This Row],[Year_Birth]]&lt;=2010),"OK","Invalid")</f>
        <v>OK</v>
      </c>
      <c r="AF1093" t="str">
        <f t="shared" si="222"/>
        <v>Valid</v>
      </c>
      <c r="AG1093" t="str">
        <f t="shared" si="223"/>
        <v>Valid</v>
      </c>
      <c r="AH1093" t="str">
        <f t="shared" si="224"/>
        <v>Valid</v>
      </c>
      <c r="AI1093" t="str">
        <f t="shared" si="225"/>
        <v>Valid</v>
      </c>
      <c r="AJ1093" t="str">
        <f t="shared" si="226"/>
        <v>Valid</v>
      </c>
      <c r="AK1093" t="str">
        <f t="shared" si="233"/>
        <v xml:space="preserve">Valid </v>
      </c>
      <c r="AL1093" t="str">
        <f>IF(AND(Audit_Data[[#This Row],[Recency]]&gt;=0,Audit_Data[[#This Row],[Recency]]&lt;=100),"Valid","Invalid")</f>
        <v>Valid</v>
      </c>
      <c r="AM1093" t="str">
        <f t="shared" si="227"/>
        <v>Valid</v>
      </c>
      <c r="AN1093" t="str">
        <f t="shared" si="228"/>
        <v>Valid</v>
      </c>
      <c r="AO1093" t="str">
        <f t="shared" si="229"/>
        <v>Valid</v>
      </c>
      <c r="AP1093" t="str">
        <f t="shared" si="230"/>
        <v>Valid</v>
      </c>
      <c r="AQ1093" t="str">
        <f>IF(Audit_Data[[#This Row],[Z_CostContact]]=3,"Valid","Invalid")</f>
        <v>Valid</v>
      </c>
      <c r="AR1093" t="str">
        <f t="shared" si="231"/>
        <v>Valid</v>
      </c>
      <c r="AS1093" t="str">
        <f t="shared" si="232"/>
        <v>Valid</v>
      </c>
    </row>
    <row r="1094" spans="1:45" x14ac:dyDescent="0.3">
      <c r="A1094">
        <v>4944</v>
      </c>
      <c r="B1094">
        <v>1959</v>
      </c>
      <c r="C1094" t="s">
        <v>29</v>
      </c>
      <c r="D1094" t="s">
        <v>31</v>
      </c>
      <c r="E1094">
        <v>71367</v>
      </c>
      <c r="F1094">
        <v>0</v>
      </c>
      <c r="G1094">
        <v>0</v>
      </c>
      <c r="H1094" s="1">
        <v>41509</v>
      </c>
      <c r="I1094">
        <v>24</v>
      </c>
      <c r="J1094">
        <v>227</v>
      </c>
      <c r="K1094">
        <v>23</v>
      </c>
      <c r="L1094">
        <v>389</v>
      </c>
      <c r="M1094">
        <v>42</v>
      </c>
      <c r="N1094">
        <v>21</v>
      </c>
      <c r="O1094">
        <v>75</v>
      </c>
      <c r="P1094">
        <v>1</v>
      </c>
      <c r="Q1094">
        <v>4</v>
      </c>
      <c r="R1094">
        <v>5</v>
      </c>
      <c r="S1094">
        <v>7</v>
      </c>
      <c r="T1094">
        <v>2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3</v>
      </c>
      <c r="AB1094">
        <v>11</v>
      </c>
      <c r="AC1094">
        <v>0</v>
      </c>
      <c r="AD1094" t="str">
        <f t="shared" si="221"/>
        <v>Ok</v>
      </c>
      <c r="AE1094" t="str">
        <f>IF(AND(Audit_Data[[#This Row],[Year_Birth]]&gt;=1900,Audit_Data[[#This Row],[Year_Birth]]&lt;=2010),"OK","Invalid")</f>
        <v>OK</v>
      </c>
      <c r="AF1094" t="str">
        <f t="shared" si="222"/>
        <v>Valid</v>
      </c>
      <c r="AG1094" t="str">
        <f t="shared" si="223"/>
        <v>Valid</v>
      </c>
      <c r="AH1094" t="str">
        <f t="shared" si="224"/>
        <v>Valid</v>
      </c>
      <c r="AI1094" t="str">
        <f t="shared" si="225"/>
        <v>Valid</v>
      </c>
      <c r="AJ1094" t="str">
        <f t="shared" si="226"/>
        <v>Valid</v>
      </c>
      <c r="AK1094" t="str">
        <f t="shared" si="233"/>
        <v xml:space="preserve">Valid </v>
      </c>
      <c r="AL1094" t="str">
        <f>IF(AND(Audit_Data[[#This Row],[Recency]]&gt;=0,Audit_Data[[#This Row],[Recency]]&lt;=100),"Valid","Invalid")</f>
        <v>Valid</v>
      </c>
      <c r="AM1094" t="str">
        <f t="shared" si="227"/>
        <v>Valid</v>
      </c>
      <c r="AN1094" t="str">
        <f t="shared" si="228"/>
        <v>Valid</v>
      </c>
      <c r="AO1094" t="str">
        <f t="shared" si="229"/>
        <v>Valid</v>
      </c>
      <c r="AP1094" t="str">
        <f t="shared" si="230"/>
        <v>Valid</v>
      </c>
      <c r="AQ1094" t="str">
        <f>IF(Audit_Data[[#This Row],[Z_CostContact]]=3,"Valid","Invalid")</f>
        <v>Valid</v>
      </c>
      <c r="AR1094" t="str">
        <f t="shared" si="231"/>
        <v>Valid</v>
      </c>
      <c r="AS1094" t="str">
        <f t="shared" si="232"/>
        <v>Valid</v>
      </c>
    </row>
    <row r="1095" spans="1:45" x14ac:dyDescent="0.3">
      <c r="A1095">
        <v>9080</v>
      </c>
      <c r="B1095">
        <v>1972</v>
      </c>
      <c r="C1095" t="s">
        <v>32</v>
      </c>
      <c r="D1095" t="s">
        <v>30</v>
      </c>
      <c r="E1095">
        <v>38578</v>
      </c>
      <c r="F1095">
        <v>1</v>
      </c>
      <c r="G1095">
        <v>1</v>
      </c>
      <c r="H1095" s="1">
        <v>41447</v>
      </c>
      <c r="I1095">
        <v>2</v>
      </c>
      <c r="J1095">
        <v>38</v>
      </c>
      <c r="K1095">
        <v>4</v>
      </c>
      <c r="L1095">
        <v>22</v>
      </c>
      <c r="M1095">
        <v>3</v>
      </c>
      <c r="N1095">
        <v>3</v>
      </c>
      <c r="O1095">
        <v>3</v>
      </c>
      <c r="P1095">
        <v>3</v>
      </c>
      <c r="Q1095">
        <v>3</v>
      </c>
      <c r="R1095">
        <v>0</v>
      </c>
      <c r="S1095">
        <v>3</v>
      </c>
      <c r="T1095">
        <v>8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3</v>
      </c>
      <c r="AB1095">
        <v>11</v>
      </c>
      <c r="AC1095">
        <v>0</v>
      </c>
      <c r="AD1095" t="str">
        <f t="shared" si="221"/>
        <v>Ok</v>
      </c>
      <c r="AE1095" t="str">
        <f>IF(AND(Audit_Data[[#This Row],[Year_Birth]]&gt;=1900,Audit_Data[[#This Row],[Year_Birth]]&lt;=2010),"OK","Invalid")</f>
        <v>OK</v>
      </c>
      <c r="AF1095" t="str">
        <f t="shared" si="222"/>
        <v>Valid</v>
      </c>
      <c r="AG1095" t="str">
        <f t="shared" si="223"/>
        <v>Valid</v>
      </c>
      <c r="AH1095" t="str">
        <f t="shared" si="224"/>
        <v>Valid</v>
      </c>
      <c r="AI1095" t="str">
        <f t="shared" si="225"/>
        <v>Valid</v>
      </c>
      <c r="AJ1095" t="str">
        <f t="shared" si="226"/>
        <v>Valid</v>
      </c>
      <c r="AK1095" t="str">
        <f t="shared" si="233"/>
        <v xml:space="preserve">Valid </v>
      </c>
      <c r="AL1095" t="str">
        <f>IF(AND(Audit_Data[[#This Row],[Recency]]&gt;=0,Audit_Data[[#This Row],[Recency]]&lt;=100),"Valid","Invalid")</f>
        <v>Valid</v>
      </c>
      <c r="AM1095" t="str">
        <f t="shared" si="227"/>
        <v>Valid</v>
      </c>
      <c r="AN1095" t="str">
        <f t="shared" si="228"/>
        <v>Valid</v>
      </c>
      <c r="AO1095" t="str">
        <f t="shared" si="229"/>
        <v>Valid</v>
      </c>
      <c r="AP1095" t="str">
        <f t="shared" si="230"/>
        <v>Valid</v>
      </c>
      <c r="AQ1095" t="str">
        <f>IF(Audit_Data[[#This Row],[Z_CostContact]]=3,"Valid","Invalid")</f>
        <v>Valid</v>
      </c>
      <c r="AR1095" t="str">
        <f t="shared" si="231"/>
        <v>Valid</v>
      </c>
      <c r="AS1095" t="str">
        <f t="shared" si="232"/>
        <v>Valid</v>
      </c>
    </row>
    <row r="1096" spans="1:45" x14ac:dyDescent="0.3">
      <c r="A1096">
        <v>6466</v>
      </c>
      <c r="B1096">
        <v>1965</v>
      </c>
      <c r="C1096" t="s">
        <v>32</v>
      </c>
      <c r="D1096" t="s">
        <v>33</v>
      </c>
      <c r="E1096">
        <v>57236</v>
      </c>
      <c r="F1096">
        <v>1</v>
      </c>
      <c r="G1096">
        <v>1</v>
      </c>
      <c r="H1096" s="1">
        <v>41710</v>
      </c>
      <c r="I1096">
        <v>22</v>
      </c>
      <c r="J1096">
        <v>105</v>
      </c>
      <c r="K1096">
        <v>0</v>
      </c>
      <c r="L1096">
        <v>9</v>
      </c>
      <c r="M1096">
        <v>2</v>
      </c>
      <c r="N1096">
        <v>1</v>
      </c>
      <c r="O1096">
        <v>4</v>
      </c>
      <c r="P1096">
        <v>3</v>
      </c>
      <c r="Q1096">
        <v>2</v>
      </c>
      <c r="R1096">
        <v>1</v>
      </c>
      <c r="S1096">
        <v>4</v>
      </c>
      <c r="T1096">
        <v>3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3</v>
      </c>
      <c r="AB1096">
        <v>11</v>
      </c>
      <c r="AC1096">
        <v>0</v>
      </c>
      <c r="AD1096" t="str">
        <f t="shared" si="221"/>
        <v>Ok</v>
      </c>
      <c r="AE1096" t="str">
        <f>IF(AND(Audit_Data[[#This Row],[Year_Birth]]&gt;=1900,Audit_Data[[#This Row],[Year_Birth]]&lt;=2010),"OK","Invalid")</f>
        <v>OK</v>
      </c>
      <c r="AF1096" t="str">
        <f t="shared" si="222"/>
        <v>Valid</v>
      </c>
      <c r="AG1096" t="str">
        <f t="shared" si="223"/>
        <v>Valid</v>
      </c>
      <c r="AH1096" t="str">
        <f t="shared" si="224"/>
        <v>Valid</v>
      </c>
      <c r="AI1096" t="str">
        <f t="shared" si="225"/>
        <v>Valid</v>
      </c>
      <c r="AJ1096" t="str">
        <f t="shared" si="226"/>
        <v>Valid</v>
      </c>
      <c r="AK1096" t="str">
        <f t="shared" si="233"/>
        <v xml:space="preserve">Valid </v>
      </c>
      <c r="AL1096" t="str">
        <f>IF(AND(Audit_Data[[#This Row],[Recency]]&gt;=0,Audit_Data[[#This Row],[Recency]]&lt;=100),"Valid","Invalid")</f>
        <v>Valid</v>
      </c>
      <c r="AM1096" t="str">
        <f t="shared" si="227"/>
        <v>Valid</v>
      </c>
      <c r="AN1096" t="str">
        <f t="shared" si="228"/>
        <v>Valid</v>
      </c>
      <c r="AO1096" t="str">
        <f t="shared" si="229"/>
        <v>Valid</v>
      </c>
      <c r="AP1096" t="str">
        <f t="shared" si="230"/>
        <v>Valid</v>
      </c>
      <c r="AQ1096" t="str">
        <f>IF(Audit_Data[[#This Row],[Z_CostContact]]=3,"Valid","Invalid")</f>
        <v>Valid</v>
      </c>
      <c r="AR1096" t="str">
        <f t="shared" si="231"/>
        <v>Valid</v>
      </c>
      <c r="AS1096" t="str">
        <f t="shared" si="232"/>
        <v>Valid</v>
      </c>
    </row>
    <row r="1097" spans="1:45" x14ac:dyDescent="0.3">
      <c r="A1097">
        <v>9964</v>
      </c>
      <c r="B1097">
        <v>1979</v>
      </c>
      <c r="C1097" t="s">
        <v>29</v>
      </c>
      <c r="D1097" t="s">
        <v>30</v>
      </c>
      <c r="E1097">
        <v>61825</v>
      </c>
      <c r="F1097">
        <v>0</v>
      </c>
      <c r="G1097">
        <v>1</v>
      </c>
      <c r="H1097" s="1">
        <v>41493</v>
      </c>
      <c r="I1097">
        <v>56</v>
      </c>
      <c r="J1097">
        <v>162</v>
      </c>
      <c r="K1097">
        <v>50</v>
      </c>
      <c r="L1097">
        <v>100</v>
      </c>
      <c r="M1097">
        <v>55</v>
      </c>
      <c r="N1097">
        <v>30</v>
      </c>
      <c r="O1097">
        <v>27</v>
      </c>
      <c r="P1097">
        <v>1</v>
      </c>
      <c r="Q1097">
        <v>4</v>
      </c>
      <c r="R1097">
        <v>2</v>
      </c>
      <c r="S1097">
        <v>8</v>
      </c>
      <c r="T1097">
        <v>4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3</v>
      </c>
      <c r="AB1097">
        <v>11</v>
      </c>
      <c r="AC1097">
        <v>0</v>
      </c>
      <c r="AD1097" t="str">
        <f t="shared" si="221"/>
        <v>Ok</v>
      </c>
      <c r="AE1097" t="str">
        <f>IF(AND(Audit_Data[[#This Row],[Year_Birth]]&gt;=1900,Audit_Data[[#This Row],[Year_Birth]]&lt;=2010),"OK","Invalid")</f>
        <v>OK</v>
      </c>
      <c r="AF1097" t="str">
        <f t="shared" si="222"/>
        <v>Valid</v>
      </c>
      <c r="AG1097" t="str">
        <f t="shared" si="223"/>
        <v>Valid</v>
      </c>
      <c r="AH1097" t="str">
        <f t="shared" si="224"/>
        <v>Valid</v>
      </c>
      <c r="AI1097" t="str">
        <f t="shared" si="225"/>
        <v>Valid</v>
      </c>
      <c r="AJ1097" t="str">
        <f t="shared" si="226"/>
        <v>Valid</v>
      </c>
      <c r="AK1097" t="str">
        <f t="shared" si="233"/>
        <v xml:space="preserve">Valid </v>
      </c>
      <c r="AL1097" t="str">
        <f>IF(AND(Audit_Data[[#This Row],[Recency]]&gt;=0,Audit_Data[[#This Row],[Recency]]&lt;=100),"Valid","Invalid")</f>
        <v>Valid</v>
      </c>
      <c r="AM1097" t="str">
        <f t="shared" si="227"/>
        <v>Valid</v>
      </c>
      <c r="AN1097" t="str">
        <f t="shared" si="228"/>
        <v>Valid</v>
      </c>
      <c r="AO1097" t="str">
        <f t="shared" si="229"/>
        <v>Valid</v>
      </c>
      <c r="AP1097" t="str">
        <f t="shared" si="230"/>
        <v>Valid</v>
      </c>
      <c r="AQ1097" t="str">
        <f>IF(Audit_Data[[#This Row],[Z_CostContact]]=3,"Valid","Invalid")</f>
        <v>Valid</v>
      </c>
      <c r="AR1097" t="str">
        <f t="shared" si="231"/>
        <v>Valid</v>
      </c>
      <c r="AS1097" t="str">
        <f t="shared" si="232"/>
        <v>Valid</v>
      </c>
    </row>
    <row r="1098" spans="1:45" x14ac:dyDescent="0.3">
      <c r="A1098">
        <v>4790</v>
      </c>
      <c r="B1098">
        <v>1958</v>
      </c>
      <c r="C1098" t="s">
        <v>29</v>
      </c>
      <c r="D1098" t="s">
        <v>35</v>
      </c>
      <c r="E1098">
        <v>79803</v>
      </c>
      <c r="F1098">
        <v>0</v>
      </c>
      <c r="G1098">
        <v>1</v>
      </c>
      <c r="H1098" s="1">
        <v>41792</v>
      </c>
      <c r="I1098">
        <v>54</v>
      </c>
      <c r="J1098">
        <v>574</v>
      </c>
      <c r="K1098">
        <v>8</v>
      </c>
      <c r="L1098">
        <v>216</v>
      </c>
      <c r="M1098">
        <v>21</v>
      </c>
      <c r="N1098">
        <v>16</v>
      </c>
      <c r="O1098">
        <v>33</v>
      </c>
      <c r="P1098">
        <v>1</v>
      </c>
      <c r="Q1098">
        <v>4</v>
      </c>
      <c r="R1098">
        <v>3</v>
      </c>
      <c r="S1098">
        <v>5</v>
      </c>
      <c r="T1098">
        <v>1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3</v>
      </c>
      <c r="AB1098">
        <v>11</v>
      </c>
      <c r="AC1098">
        <v>0</v>
      </c>
      <c r="AD1098" t="str">
        <f t="shared" si="221"/>
        <v>Ok</v>
      </c>
      <c r="AE1098" t="str">
        <f>IF(AND(Audit_Data[[#This Row],[Year_Birth]]&gt;=1900,Audit_Data[[#This Row],[Year_Birth]]&lt;=2010),"OK","Invalid")</f>
        <v>OK</v>
      </c>
      <c r="AF1098" t="str">
        <f t="shared" si="222"/>
        <v>Valid</v>
      </c>
      <c r="AG1098" t="str">
        <f t="shared" si="223"/>
        <v>Valid</v>
      </c>
      <c r="AH1098" t="str">
        <f t="shared" si="224"/>
        <v>Valid</v>
      </c>
      <c r="AI1098" t="str">
        <f t="shared" si="225"/>
        <v>Valid</v>
      </c>
      <c r="AJ1098" t="str">
        <f t="shared" si="226"/>
        <v>Valid</v>
      </c>
      <c r="AK1098" t="str">
        <f t="shared" si="233"/>
        <v xml:space="preserve">Valid </v>
      </c>
      <c r="AL1098" t="str">
        <f>IF(AND(Audit_Data[[#This Row],[Recency]]&gt;=0,Audit_Data[[#This Row],[Recency]]&lt;=100),"Valid","Invalid")</f>
        <v>Valid</v>
      </c>
      <c r="AM1098" t="str">
        <f t="shared" si="227"/>
        <v>Valid</v>
      </c>
      <c r="AN1098" t="str">
        <f t="shared" si="228"/>
        <v>Valid</v>
      </c>
      <c r="AO1098" t="str">
        <f t="shared" si="229"/>
        <v>Valid</v>
      </c>
      <c r="AP1098" t="str">
        <f t="shared" si="230"/>
        <v>Valid</v>
      </c>
      <c r="AQ1098" t="str">
        <f>IF(Audit_Data[[#This Row],[Z_CostContact]]=3,"Valid","Invalid")</f>
        <v>Valid</v>
      </c>
      <c r="AR1098" t="str">
        <f t="shared" si="231"/>
        <v>Valid</v>
      </c>
      <c r="AS1098" t="str">
        <f t="shared" si="232"/>
        <v>Valid</v>
      </c>
    </row>
    <row r="1099" spans="1:45" x14ac:dyDescent="0.3">
      <c r="A1099">
        <v>10245</v>
      </c>
      <c r="B1099">
        <v>1986</v>
      </c>
      <c r="C1099" t="s">
        <v>37</v>
      </c>
      <c r="D1099" t="s">
        <v>30</v>
      </c>
      <c r="E1099">
        <v>80910</v>
      </c>
      <c r="F1099">
        <v>0</v>
      </c>
      <c r="G1099">
        <v>0</v>
      </c>
      <c r="H1099" s="1">
        <v>41213</v>
      </c>
      <c r="I1099">
        <v>71</v>
      </c>
      <c r="J1099">
        <v>160</v>
      </c>
      <c r="K1099">
        <v>80</v>
      </c>
      <c r="L1099">
        <v>369</v>
      </c>
      <c r="M1099">
        <v>67</v>
      </c>
      <c r="N1099">
        <v>39</v>
      </c>
      <c r="O1099">
        <v>41</v>
      </c>
      <c r="P1099">
        <v>1</v>
      </c>
      <c r="Q1099">
        <v>3</v>
      </c>
      <c r="R1099">
        <v>3</v>
      </c>
      <c r="S1099">
        <v>8</v>
      </c>
      <c r="T1099">
        <v>1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3</v>
      </c>
      <c r="AB1099">
        <v>11</v>
      </c>
      <c r="AC1099">
        <v>0</v>
      </c>
      <c r="AD1099" t="str">
        <f t="shared" si="221"/>
        <v>Ok</v>
      </c>
      <c r="AE1099" t="str">
        <f>IF(AND(Audit_Data[[#This Row],[Year_Birth]]&gt;=1900,Audit_Data[[#This Row],[Year_Birth]]&lt;=2010),"OK","Invalid")</f>
        <v>OK</v>
      </c>
      <c r="AF1099" t="str">
        <f t="shared" si="222"/>
        <v>Valid</v>
      </c>
      <c r="AG1099" t="str">
        <f t="shared" si="223"/>
        <v>Valid</v>
      </c>
      <c r="AH1099" t="str">
        <f t="shared" si="224"/>
        <v>Valid</v>
      </c>
      <c r="AI1099" t="str">
        <f t="shared" si="225"/>
        <v>Valid</v>
      </c>
      <c r="AJ1099" t="str">
        <f t="shared" si="226"/>
        <v>Valid</v>
      </c>
      <c r="AK1099" t="str">
        <f t="shared" si="233"/>
        <v xml:space="preserve">Valid </v>
      </c>
      <c r="AL1099" t="str">
        <f>IF(AND(Audit_Data[[#This Row],[Recency]]&gt;=0,Audit_Data[[#This Row],[Recency]]&lt;=100),"Valid","Invalid")</f>
        <v>Valid</v>
      </c>
      <c r="AM1099" t="str">
        <f t="shared" si="227"/>
        <v>Valid</v>
      </c>
      <c r="AN1099" t="str">
        <f t="shared" si="228"/>
        <v>Valid</v>
      </c>
      <c r="AO1099" t="str">
        <f t="shared" si="229"/>
        <v>Valid</v>
      </c>
      <c r="AP1099" t="str">
        <f t="shared" si="230"/>
        <v>Valid</v>
      </c>
      <c r="AQ1099" t="str">
        <f>IF(Audit_Data[[#This Row],[Z_CostContact]]=3,"Valid","Invalid")</f>
        <v>Valid</v>
      </c>
      <c r="AR1099" t="str">
        <f t="shared" si="231"/>
        <v>Valid</v>
      </c>
      <c r="AS1099" t="str">
        <f t="shared" si="232"/>
        <v>Valid</v>
      </c>
    </row>
    <row r="1100" spans="1:45" x14ac:dyDescent="0.3">
      <c r="A1100">
        <v>1109</v>
      </c>
      <c r="B1100">
        <v>1982</v>
      </c>
      <c r="C1100" t="s">
        <v>34</v>
      </c>
      <c r="D1100" t="s">
        <v>31</v>
      </c>
      <c r="E1100">
        <v>27590</v>
      </c>
      <c r="F1100">
        <v>1</v>
      </c>
      <c r="G1100">
        <v>0</v>
      </c>
      <c r="H1100" s="1">
        <v>41387</v>
      </c>
      <c r="I1100">
        <v>38</v>
      </c>
      <c r="J1100">
        <v>6</v>
      </c>
      <c r="K1100">
        <v>0</v>
      </c>
      <c r="L1100">
        <v>5</v>
      </c>
      <c r="M1100">
        <v>0</v>
      </c>
      <c r="N1100">
        <v>0</v>
      </c>
      <c r="O1100">
        <v>1</v>
      </c>
      <c r="P1100">
        <v>1</v>
      </c>
      <c r="Q1100">
        <v>1</v>
      </c>
      <c r="R1100">
        <v>0</v>
      </c>
      <c r="S1100">
        <v>2</v>
      </c>
      <c r="T1100">
        <v>7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3</v>
      </c>
      <c r="AB1100">
        <v>11</v>
      </c>
      <c r="AC1100">
        <v>0</v>
      </c>
      <c r="AD1100" t="str">
        <f t="shared" si="221"/>
        <v>Ok</v>
      </c>
      <c r="AE1100" t="str">
        <f>IF(AND(Audit_Data[[#This Row],[Year_Birth]]&gt;=1900,Audit_Data[[#This Row],[Year_Birth]]&lt;=2010),"OK","Invalid")</f>
        <v>OK</v>
      </c>
      <c r="AF1100" t="str">
        <f t="shared" si="222"/>
        <v>Valid</v>
      </c>
      <c r="AG1100" t="str">
        <f t="shared" si="223"/>
        <v>Valid</v>
      </c>
      <c r="AH1100" t="str">
        <f t="shared" si="224"/>
        <v>Valid</v>
      </c>
      <c r="AI1100" t="str">
        <f t="shared" si="225"/>
        <v>Valid</v>
      </c>
      <c r="AJ1100" t="str">
        <f t="shared" si="226"/>
        <v>Valid</v>
      </c>
      <c r="AK1100" t="str">
        <f t="shared" si="233"/>
        <v xml:space="preserve">Valid </v>
      </c>
      <c r="AL1100" t="str">
        <f>IF(AND(Audit_Data[[#This Row],[Recency]]&gt;=0,Audit_Data[[#This Row],[Recency]]&lt;=100),"Valid","Invalid")</f>
        <v>Valid</v>
      </c>
      <c r="AM1100" t="str">
        <f t="shared" si="227"/>
        <v>Valid</v>
      </c>
      <c r="AN1100" t="str">
        <f t="shared" si="228"/>
        <v>Valid</v>
      </c>
      <c r="AO1100" t="str">
        <f t="shared" si="229"/>
        <v>Valid</v>
      </c>
      <c r="AP1100" t="str">
        <f t="shared" si="230"/>
        <v>Valid</v>
      </c>
      <c r="AQ1100" t="str">
        <f>IF(Audit_Data[[#This Row],[Z_CostContact]]=3,"Valid","Invalid")</f>
        <v>Valid</v>
      </c>
      <c r="AR1100" t="str">
        <f t="shared" si="231"/>
        <v>Valid</v>
      </c>
      <c r="AS1100" t="str">
        <f t="shared" si="232"/>
        <v>Valid</v>
      </c>
    </row>
    <row r="1101" spans="1:45" x14ac:dyDescent="0.3">
      <c r="A1101">
        <v>6001</v>
      </c>
      <c r="B1101">
        <v>1979</v>
      </c>
      <c r="C1101" t="s">
        <v>29</v>
      </c>
      <c r="D1101" t="s">
        <v>33</v>
      </c>
      <c r="E1101">
        <v>56775</v>
      </c>
      <c r="F1101">
        <v>0</v>
      </c>
      <c r="G1101">
        <v>1</v>
      </c>
      <c r="H1101" s="1">
        <v>41276</v>
      </c>
      <c r="I1101">
        <v>62</v>
      </c>
      <c r="J1101">
        <v>614</v>
      </c>
      <c r="K1101">
        <v>35</v>
      </c>
      <c r="L1101">
        <v>160</v>
      </c>
      <c r="M1101">
        <v>58</v>
      </c>
      <c r="N1101">
        <v>35</v>
      </c>
      <c r="O1101">
        <v>35</v>
      </c>
      <c r="P1101">
        <v>2</v>
      </c>
      <c r="Q1101">
        <v>5</v>
      </c>
      <c r="R1101">
        <v>8</v>
      </c>
      <c r="S1101">
        <v>10</v>
      </c>
      <c r="T1101">
        <v>5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3</v>
      </c>
      <c r="AB1101">
        <v>11</v>
      </c>
      <c r="AC1101">
        <v>0</v>
      </c>
      <c r="AD1101" t="str">
        <f t="shared" si="221"/>
        <v>Ok</v>
      </c>
      <c r="AE1101" t="str">
        <f>IF(AND(Audit_Data[[#This Row],[Year_Birth]]&gt;=1900,Audit_Data[[#This Row],[Year_Birth]]&lt;=2010),"OK","Invalid")</f>
        <v>OK</v>
      </c>
      <c r="AF1101" t="str">
        <f t="shared" si="222"/>
        <v>Valid</v>
      </c>
      <c r="AG1101" t="str">
        <f t="shared" si="223"/>
        <v>Valid</v>
      </c>
      <c r="AH1101" t="str">
        <f t="shared" si="224"/>
        <v>Valid</v>
      </c>
      <c r="AI1101" t="str">
        <f t="shared" si="225"/>
        <v>Valid</v>
      </c>
      <c r="AJ1101" t="str">
        <f t="shared" si="226"/>
        <v>Valid</v>
      </c>
      <c r="AK1101" t="str">
        <f t="shared" si="233"/>
        <v xml:space="preserve">Valid </v>
      </c>
      <c r="AL1101" t="str">
        <f>IF(AND(Audit_Data[[#This Row],[Recency]]&gt;=0,Audit_Data[[#This Row],[Recency]]&lt;=100),"Valid","Invalid")</f>
        <v>Valid</v>
      </c>
      <c r="AM1101" t="str">
        <f t="shared" si="227"/>
        <v>Valid</v>
      </c>
      <c r="AN1101" t="str">
        <f t="shared" si="228"/>
        <v>Valid</v>
      </c>
      <c r="AO1101" t="str">
        <f t="shared" si="229"/>
        <v>Valid</v>
      </c>
      <c r="AP1101" t="str">
        <f t="shared" si="230"/>
        <v>Valid</v>
      </c>
      <c r="AQ1101" t="str">
        <f>IF(Audit_Data[[#This Row],[Z_CostContact]]=3,"Valid","Invalid")</f>
        <v>Valid</v>
      </c>
      <c r="AR1101" t="str">
        <f t="shared" si="231"/>
        <v>Valid</v>
      </c>
      <c r="AS1101" t="str">
        <f t="shared" si="232"/>
        <v>Valid</v>
      </c>
    </row>
    <row r="1102" spans="1:45" x14ac:dyDescent="0.3">
      <c r="A1102">
        <v>5538</v>
      </c>
      <c r="B1102">
        <v>1975</v>
      </c>
      <c r="C1102" t="s">
        <v>29</v>
      </c>
      <c r="D1102" t="s">
        <v>35</v>
      </c>
      <c r="E1102">
        <v>83829</v>
      </c>
      <c r="F1102">
        <v>0</v>
      </c>
      <c r="G1102">
        <v>0</v>
      </c>
      <c r="H1102" s="1">
        <v>41555</v>
      </c>
      <c r="I1102">
        <v>78</v>
      </c>
      <c r="J1102">
        <v>897</v>
      </c>
      <c r="K1102">
        <v>161</v>
      </c>
      <c r="L1102">
        <v>430</v>
      </c>
      <c r="M1102">
        <v>186</v>
      </c>
      <c r="N1102">
        <v>161</v>
      </c>
      <c r="O1102">
        <v>27</v>
      </c>
      <c r="P1102">
        <v>0</v>
      </c>
      <c r="Q1102">
        <v>4</v>
      </c>
      <c r="R1102">
        <v>7</v>
      </c>
      <c r="S1102">
        <v>6</v>
      </c>
      <c r="T1102">
        <v>1</v>
      </c>
      <c r="U1102">
        <v>1</v>
      </c>
      <c r="V1102">
        <v>0</v>
      </c>
      <c r="W1102">
        <v>1</v>
      </c>
      <c r="X1102">
        <v>1</v>
      </c>
      <c r="Y1102">
        <v>0</v>
      </c>
      <c r="Z1102">
        <v>0</v>
      </c>
      <c r="AA1102">
        <v>3</v>
      </c>
      <c r="AB1102">
        <v>11</v>
      </c>
      <c r="AC1102">
        <v>1</v>
      </c>
      <c r="AD1102" t="str">
        <f t="shared" si="221"/>
        <v>Ok</v>
      </c>
      <c r="AE1102" t="str">
        <f>IF(AND(Audit_Data[[#This Row],[Year_Birth]]&gt;=1900,Audit_Data[[#This Row],[Year_Birth]]&lt;=2010),"OK","Invalid")</f>
        <v>OK</v>
      </c>
      <c r="AF1102" t="str">
        <f t="shared" si="222"/>
        <v>Valid</v>
      </c>
      <c r="AG1102" t="str">
        <f t="shared" si="223"/>
        <v>Valid</v>
      </c>
      <c r="AH1102" t="str">
        <f t="shared" si="224"/>
        <v>Valid</v>
      </c>
      <c r="AI1102" t="str">
        <f t="shared" si="225"/>
        <v>Valid</v>
      </c>
      <c r="AJ1102" t="str">
        <f t="shared" si="226"/>
        <v>Valid</v>
      </c>
      <c r="AK1102" t="str">
        <f t="shared" si="233"/>
        <v xml:space="preserve">Valid </v>
      </c>
      <c r="AL1102" t="str">
        <f>IF(AND(Audit_Data[[#This Row],[Recency]]&gt;=0,Audit_Data[[#This Row],[Recency]]&lt;=100),"Valid","Invalid")</f>
        <v>Valid</v>
      </c>
      <c r="AM1102" t="str">
        <f t="shared" si="227"/>
        <v>Valid</v>
      </c>
      <c r="AN1102" t="str">
        <f t="shared" si="228"/>
        <v>Valid</v>
      </c>
      <c r="AO1102" t="str">
        <f t="shared" si="229"/>
        <v>Valid</v>
      </c>
      <c r="AP1102" t="str">
        <f t="shared" si="230"/>
        <v>Valid</v>
      </c>
      <c r="AQ1102" t="str">
        <f>IF(Audit_Data[[#This Row],[Z_CostContact]]=3,"Valid","Invalid")</f>
        <v>Valid</v>
      </c>
      <c r="AR1102" t="str">
        <f t="shared" si="231"/>
        <v>Valid</v>
      </c>
      <c r="AS1102" t="str">
        <f t="shared" si="232"/>
        <v>Valid</v>
      </c>
    </row>
    <row r="1103" spans="1:45" x14ac:dyDescent="0.3">
      <c r="A1103">
        <v>10552</v>
      </c>
      <c r="B1103">
        <v>1979</v>
      </c>
      <c r="C1103" t="s">
        <v>37</v>
      </c>
      <c r="D1103" t="s">
        <v>33</v>
      </c>
      <c r="E1103">
        <v>54210</v>
      </c>
      <c r="F1103">
        <v>0</v>
      </c>
      <c r="G1103">
        <v>1</v>
      </c>
      <c r="H1103" s="1">
        <v>41414</v>
      </c>
      <c r="I1103">
        <v>18</v>
      </c>
      <c r="J1103">
        <v>70</v>
      </c>
      <c r="K1103">
        <v>54</v>
      </c>
      <c r="L1103">
        <v>109</v>
      </c>
      <c r="M1103">
        <v>80</v>
      </c>
      <c r="N1103">
        <v>9</v>
      </c>
      <c r="O1103">
        <v>45</v>
      </c>
      <c r="P1103">
        <v>2</v>
      </c>
      <c r="Q1103">
        <v>4</v>
      </c>
      <c r="R1103">
        <v>1</v>
      </c>
      <c r="S1103">
        <v>7</v>
      </c>
      <c r="T1103">
        <v>5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3</v>
      </c>
      <c r="AB1103">
        <v>11</v>
      </c>
      <c r="AC1103">
        <v>0</v>
      </c>
      <c r="AD1103" t="str">
        <f t="shared" si="221"/>
        <v>Ok</v>
      </c>
      <c r="AE1103" t="str">
        <f>IF(AND(Audit_Data[[#This Row],[Year_Birth]]&gt;=1900,Audit_Data[[#This Row],[Year_Birth]]&lt;=2010),"OK","Invalid")</f>
        <v>OK</v>
      </c>
      <c r="AF1103" t="str">
        <f t="shared" si="222"/>
        <v>Valid</v>
      </c>
      <c r="AG1103" t="str">
        <f t="shared" si="223"/>
        <v>Valid</v>
      </c>
      <c r="AH1103" t="str">
        <f t="shared" si="224"/>
        <v>Valid</v>
      </c>
      <c r="AI1103" t="str">
        <f t="shared" si="225"/>
        <v>Valid</v>
      </c>
      <c r="AJ1103" t="str">
        <f t="shared" si="226"/>
        <v>Valid</v>
      </c>
      <c r="AK1103" t="str">
        <f t="shared" si="233"/>
        <v xml:space="preserve">Valid </v>
      </c>
      <c r="AL1103" t="str">
        <f>IF(AND(Audit_Data[[#This Row],[Recency]]&gt;=0,Audit_Data[[#This Row],[Recency]]&lt;=100),"Valid","Invalid")</f>
        <v>Valid</v>
      </c>
      <c r="AM1103" t="str">
        <f t="shared" si="227"/>
        <v>Valid</v>
      </c>
      <c r="AN1103" t="str">
        <f t="shared" si="228"/>
        <v>Valid</v>
      </c>
      <c r="AO1103" t="str">
        <f t="shared" si="229"/>
        <v>Valid</v>
      </c>
      <c r="AP1103" t="str">
        <f t="shared" si="230"/>
        <v>Valid</v>
      </c>
      <c r="AQ1103" t="str">
        <f>IF(Audit_Data[[#This Row],[Z_CostContact]]=3,"Valid","Invalid")</f>
        <v>Valid</v>
      </c>
      <c r="AR1103" t="str">
        <f t="shared" si="231"/>
        <v>Valid</v>
      </c>
      <c r="AS1103" t="str">
        <f t="shared" si="232"/>
        <v>Valid</v>
      </c>
    </row>
    <row r="1104" spans="1:45" x14ac:dyDescent="0.3">
      <c r="A1104">
        <v>1545</v>
      </c>
      <c r="B1104">
        <v>1986</v>
      </c>
      <c r="C1104" t="s">
        <v>29</v>
      </c>
      <c r="D1104" t="s">
        <v>33</v>
      </c>
      <c r="E1104">
        <v>38508</v>
      </c>
      <c r="F1104">
        <v>1</v>
      </c>
      <c r="G1104">
        <v>0</v>
      </c>
      <c r="H1104" s="1">
        <v>41488</v>
      </c>
      <c r="I1104">
        <v>95</v>
      </c>
      <c r="J1104">
        <v>120</v>
      </c>
      <c r="K1104">
        <v>19</v>
      </c>
      <c r="L1104">
        <v>206</v>
      </c>
      <c r="M1104">
        <v>25</v>
      </c>
      <c r="N1104">
        <v>19</v>
      </c>
      <c r="O1104">
        <v>54</v>
      </c>
      <c r="P1104">
        <v>6</v>
      </c>
      <c r="Q1104">
        <v>7</v>
      </c>
      <c r="R1104">
        <v>2</v>
      </c>
      <c r="S1104">
        <v>5</v>
      </c>
      <c r="T1104">
        <v>8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3</v>
      </c>
      <c r="AB1104">
        <v>11</v>
      </c>
      <c r="AC1104">
        <v>0</v>
      </c>
      <c r="AD1104" t="str">
        <f t="shared" si="221"/>
        <v>Ok</v>
      </c>
      <c r="AE1104" t="str">
        <f>IF(AND(Audit_Data[[#This Row],[Year_Birth]]&gt;=1900,Audit_Data[[#This Row],[Year_Birth]]&lt;=2010),"OK","Invalid")</f>
        <v>OK</v>
      </c>
      <c r="AF1104" t="str">
        <f t="shared" si="222"/>
        <v>Valid</v>
      </c>
      <c r="AG1104" t="str">
        <f t="shared" si="223"/>
        <v>Valid</v>
      </c>
      <c r="AH1104" t="str">
        <f t="shared" si="224"/>
        <v>Valid</v>
      </c>
      <c r="AI1104" t="str">
        <f t="shared" si="225"/>
        <v>Valid</v>
      </c>
      <c r="AJ1104" t="str">
        <f t="shared" si="226"/>
        <v>Valid</v>
      </c>
      <c r="AK1104" t="str">
        <f t="shared" si="233"/>
        <v xml:space="preserve">Valid </v>
      </c>
      <c r="AL1104" t="str">
        <f>IF(AND(Audit_Data[[#This Row],[Recency]]&gt;=0,Audit_Data[[#This Row],[Recency]]&lt;=100),"Valid","Invalid")</f>
        <v>Valid</v>
      </c>
      <c r="AM1104" t="str">
        <f t="shared" si="227"/>
        <v>Valid</v>
      </c>
      <c r="AN1104" t="str">
        <f t="shared" si="228"/>
        <v>Valid</v>
      </c>
      <c r="AO1104" t="str">
        <f t="shared" si="229"/>
        <v>Valid</v>
      </c>
      <c r="AP1104" t="str">
        <f t="shared" si="230"/>
        <v>Valid</v>
      </c>
      <c r="AQ1104" t="str">
        <f>IF(Audit_Data[[#This Row],[Z_CostContact]]=3,"Valid","Invalid")</f>
        <v>Valid</v>
      </c>
      <c r="AR1104" t="str">
        <f t="shared" si="231"/>
        <v>Valid</v>
      </c>
      <c r="AS1104" t="str">
        <f t="shared" si="232"/>
        <v>Valid</v>
      </c>
    </row>
    <row r="1105" spans="1:45" x14ac:dyDescent="0.3">
      <c r="A1105">
        <v>7409</v>
      </c>
      <c r="B1105">
        <v>1970</v>
      </c>
      <c r="C1105" t="s">
        <v>29</v>
      </c>
      <c r="D1105" t="s">
        <v>31</v>
      </c>
      <c r="E1105">
        <v>53187</v>
      </c>
      <c r="F1105">
        <v>1</v>
      </c>
      <c r="G1105">
        <v>0</v>
      </c>
      <c r="H1105" s="1">
        <v>41573</v>
      </c>
      <c r="I1105">
        <v>66</v>
      </c>
      <c r="J1105">
        <v>211</v>
      </c>
      <c r="K1105">
        <v>2</v>
      </c>
      <c r="L1105">
        <v>30</v>
      </c>
      <c r="M1105">
        <v>7</v>
      </c>
      <c r="N1105">
        <v>7</v>
      </c>
      <c r="O1105">
        <v>10</v>
      </c>
      <c r="P1105">
        <v>2</v>
      </c>
      <c r="Q1105">
        <v>4</v>
      </c>
      <c r="R1105">
        <v>1</v>
      </c>
      <c r="S1105">
        <v>6</v>
      </c>
      <c r="T1105">
        <v>5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3</v>
      </c>
      <c r="AB1105">
        <v>11</v>
      </c>
      <c r="AC1105">
        <v>0</v>
      </c>
      <c r="AD1105" t="str">
        <f t="shared" si="221"/>
        <v>Ok</v>
      </c>
      <c r="AE1105" t="str">
        <f>IF(AND(Audit_Data[[#This Row],[Year_Birth]]&gt;=1900,Audit_Data[[#This Row],[Year_Birth]]&lt;=2010),"OK","Invalid")</f>
        <v>OK</v>
      </c>
      <c r="AF1105" t="str">
        <f t="shared" si="222"/>
        <v>Valid</v>
      </c>
      <c r="AG1105" t="str">
        <f t="shared" si="223"/>
        <v>Valid</v>
      </c>
      <c r="AH1105" t="str">
        <f t="shared" si="224"/>
        <v>Valid</v>
      </c>
      <c r="AI1105" t="str">
        <f t="shared" si="225"/>
        <v>Valid</v>
      </c>
      <c r="AJ1105" t="str">
        <f t="shared" si="226"/>
        <v>Valid</v>
      </c>
      <c r="AK1105" t="str">
        <f t="shared" si="233"/>
        <v xml:space="preserve">Valid </v>
      </c>
      <c r="AL1105" t="str">
        <f>IF(AND(Audit_Data[[#This Row],[Recency]]&gt;=0,Audit_Data[[#This Row],[Recency]]&lt;=100),"Valid","Invalid")</f>
        <v>Valid</v>
      </c>
      <c r="AM1105" t="str">
        <f t="shared" si="227"/>
        <v>Valid</v>
      </c>
      <c r="AN1105" t="str">
        <f t="shared" si="228"/>
        <v>Valid</v>
      </c>
      <c r="AO1105" t="str">
        <f t="shared" si="229"/>
        <v>Valid</v>
      </c>
      <c r="AP1105" t="str">
        <f t="shared" si="230"/>
        <v>Valid</v>
      </c>
      <c r="AQ1105" t="str">
        <f>IF(Audit_Data[[#This Row],[Z_CostContact]]=3,"Valid","Invalid")</f>
        <v>Valid</v>
      </c>
      <c r="AR1105" t="str">
        <f t="shared" si="231"/>
        <v>Valid</v>
      </c>
      <c r="AS1105" t="str">
        <f t="shared" si="232"/>
        <v>Valid</v>
      </c>
    </row>
    <row r="1106" spans="1:45" x14ac:dyDescent="0.3">
      <c r="A1106">
        <v>4444</v>
      </c>
      <c r="B1106">
        <v>1972</v>
      </c>
      <c r="C1106" t="s">
        <v>29</v>
      </c>
      <c r="D1106" t="s">
        <v>33</v>
      </c>
      <c r="E1106">
        <v>30023</v>
      </c>
      <c r="F1106">
        <v>1</v>
      </c>
      <c r="G1106">
        <v>0</v>
      </c>
      <c r="H1106" s="1">
        <v>41722</v>
      </c>
      <c r="I1106">
        <v>28</v>
      </c>
      <c r="J1106">
        <v>11</v>
      </c>
      <c r="K1106">
        <v>0</v>
      </c>
      <c r="L1106">
        <v>16</v>
      </c>
      <c r="M1106">
        <v>7</v>
      </c>
      <c r="N1106">
        <v>6</v>
      </c>
      <c r="O1106">
        <v>21</v>
      </c>
      <c r="P1106">
        <v>1</v>
      </c>
      <c r="Q1106">
        <v>2</v>
      </c>
      <c r="R1106">
        <v>0</v>
      </c>
      <c r="S1106">
        <v>3</v>
      </c>
      <c r="T1106">
        <v>8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3</v>
      </c>
      <c r="AB1106">
        <v>11</v>
      </c>
      <c r="AC1106">
        <v>0</v>
      </c>
      <c r="AD1106" t="str">
        <f t="shared" si="221"/>
        <v>Ok</v>
      </c>
      <c r="AE1106" t="str">
        <f>IF(AND(Audit_Data[[#This Row],[Year_Birth]]&gt;=1900,Audit_Data[[#This Row],[Year_Birth]]&lt;=2010),"OK","Invalid")</f>
        <v>OK</v>
      </c>
      <c r="AF1106" t="str">
        <f t="shared" si="222"/>
        <v>Valid</v>
      </c>
      <c r="AG1106" t="str">
        <f t="shared" si="223"/>
        <v>Valid</v>
      </c>
      <c r="AH1106" t="str">
        <f t="shared" si="224"/>
        <v>Valid</v>
      </c>
      <c r="AI1106" t="str">
        <f t="shared" si="225"/>
        <v>Valid</v>
      </c>
      <c r="AJ1106" t="str">
        <f t="shared" si="226"/>
        <v>Valid</v>
      </c>
      <c r="AK1106" t="str">
        <f t="shared" si="233"/>
        <v xml:space="preserve">Valid </v>
      </c>
      <c r="AL1106" t="str">
        <f>IF(AND(Audit_Data[[#This Row],[Recency]]&gt;=0,Audit_Data[[#This Row],[Recency]]&lt;=100),"Valid","Invalid")</f>
        <v>Valid</v>
      </c>
      <c r="AM1106" t="str">
        <f t="shared" si="227"/>
        <v>Valid</v>
      </c>
      <c r="AN1106" t="str">
        <f t="shared" si="228"/>
        <v>Valid</v>
      </c>
      <c r="AO1106" t="str">
        <f t="shared" si="229"/>
        <v>Valid</v>
      </c>
      <c r="AP1106" t="str">
        <f t="shared" si="230"/>
        <v>Valid</v>
      </c>
      <c r="AQ1106" t="str">
        <f>IF(Audit_Data[[#This Row],[Z_CostContact]]=3,"Valid","Invalid")</f>
        <v>Valid</v>
      </c>
      <c r="AR1106" t="str">
        <f t="shared" si="231"/>
        <v>Valid</v>
      </c>
      <c r="AS1106" t="str">
        <f t="shared" si="232"/>
        <v>Valid</v>
      </c>
    </row>
    <row r="1107" spans="1:45" x14ac:dyDescent="0.3">
      <c r="A1107">
        <v>146</v>
      </c>
      <c r="B1107">
        <v>1960</v>
      </c>
      <c r="C1107" t="s">
        <v>32</v>
      </c>
      <c r="D1107" t="s">
        <v>30</v>
      </c>
      <c r="E1107">
        <v>76045</v>
      </c>
      <c r="F1107">
        <v>0</v>
      </c>
      <c r="G1107">
        <v>0</v>
      </c>
      <c r="H1107" s="1">
        <v>41593</v>
      </c>
      <c r="I1107">
        <v>78</v>
      </c>
      <c r="J1107">
        <v>760</v>
      </c>
      <c r="K1107">
        <v>53</v>
      </c>
      <c r="L1107">
        <v>400</v>
      </c>
      <c r="M1107">
        <v>17</v>
      </c>
      <c r="N1107">
        <v>93</v>
      </c>
      <c r="O1107">
        <v>0</v>
      </c>
      <c r="P1107">
        <v>1</v>
      </c>
      <c r="Q1107">
        <v>4</v>
      </c>
      <c r="R1107">
        <v>5</v>
      </c>
      <c r="S1107">
        <v>11</v>
      </c>
      <c r="T1107">
        <v>2</v>
      </c>
      <c r="U1107">
        <v>0</v>
      </c>
      <c r="V1107">
        <v>0</v>
      </c>
      <c r="W1107">
        <v>0</v>
      </c>
      <c r="X1107">
        <v>1</v>
      </c>
      <c r="Y1107">
        <v>0</v>
      </c>
      <c r="Z1107">
        <v>0</v>
      </c>
      <c r="AA1107">
        <v>3</v>
      </c>
      <c r="AB1107">
        <v>11</v>
      </c>
      <c r="AC1107">
        <v>0</v>
      </c>
      <c r="AD1107" t="str">
        <f t="shared" si="221"/>
        <v>Ok</v>
      </c>
      <c r="AE1107" t="str">
        <f>IF(AND(Audit_Data[[#This Row],[Year_Birth]]&gt;=1900,Audit_Data[[#This Row],[Year_Birth]]&lt;=2010),"OK","Invalid")</f>
        <v>OK</v>
      </c>
      <c r="AF1107" t="str">
        <f t="shared" si="222"/>
        <v>Valid</v>
      </c>
      <c r="AG1107" t="str">
        <f t="shared" si="223"/>
        <v>Valid</v>
      </c>
      <c r="AH1107" t="str">
        <f t="shared" si="224"/>
        <v>Valid</v>
      </c>
      <c r="AI1107" t="str">
        <f t="shared" si="225"/>
        <v>Valid</v>
      </c>
      <c r="AJ1107" t="str">
        <f t="shared" si="226"/>
        <v>Valid</v>
      </c>
      <c r="AK1107" t="str">
        <f t="shared" si="233"/>
        <v xml:space="preserve">Valid </v>
      </c>
      <c r="AL1107" t="str">
        <f>IF(AND(Audit_Data[[#This Row],[Recency]]&gt;=0,Audit_Data[[#This Row],[Recency]]&lt;=100),"Valid","Invalid")</f>
        <v>Valid</v>
      </c>
      <c r="AM1107" t="str">
        <f t="shared" si="227"/>
        <v>Valid</v>
      </c>
      <c r="AN1107" t="str">
        <f t="shared" si="228"/>
        <v>Valid</v>
      </c>
      <c r="AO1107" t="str">
        <f t="shared" si="229"/>
        <v>Valid</v>
      </c>
      <c r="AP1107" t="str">
        <f t="shared" si="230"/>
        <v>Valid</v>
      </c>
      <c r="AQ1107" t="str">
        <f>IF(Audit_Data[[#This Row],[Z_CostContact]]=3,"Valid","Invalid")</f>
        <v>Valid</v>
      </c>
      <c r="AR1107" t="str">
        <f t="shared" si="231"/>
        <v>Valid</v>
      </c>
      <c r="AS1107" t="str">
        <f t="shared" si="232"/>
        <v>Valid</v>
      </c>
    </row>
    <row r="1108" spans="1:45" x14ac:dyDescent="0.3">
      <c r="A1108">
        <v>6271</v>
      </c>
      <c r="B1108">
        <v>1952</v>
      </c>
      <c r="C1108" t="s">
        <v>32</v>
      </c>
      <c r="D1108" t="s">
        <v>33</v>
      </c>
      <c r="E1108">
        <v>50870</v>
      </c>
      <c r="F1108">
        <v>0</v>
      </c>
      <c r="G1108">
        <v>1</v>
      </c>
      <c r="H1108" s="1">
        <v>41809</v>
      </c>
      <c r="I1108">
        <v>13</v>
      </c>
      <c r="J1108">
        <v>53</v>
      </c>
      <c r="K1108">
        <v>0</v>
      </c>
      <c r="L1108">
        <v>8</v>
      </c>
      <c r="M1108">
        <v>0</v>
      </c>
      <c r="N1108">
        <v>0</v>
      </c>
      <c r="O1108">
        <v>2</v>
      </c>
      <c r="P1108">
        <v>1</v>
      </c>
      <c r="Q1108">
        <v>2</v>
      </c>
      <c r="R1108">
        <v>0</v>
      </c>
      <c r="S1108">
        <v>3</v>
      </c>
      <c r="T1108">
        <v>5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3</v>
      </c>
      <c r="AB1108">
        <v>11</v>
      </c>
      <c r="AC1108">
        <v>0</v>
      </c>
      <c r="AD1108" t="str">
        <f t="shared" si="221"/>
        <v>Ok</v>
      </c>
      <c r="AE1108" t="str">
        <f>IF(AND(Audit_Data[[#This Row],[Year_Birth]]&gt;=1900,Audit_Data[[#This Row],[Year_Birth]]&lt;=2010),"OK","Invalid")</f>
        <v>OK</v>
      </c>
      <c r="AF1108" t="str">
        <f t="shared" si="222"/>
        <v>Valid</v>
      </c>
      <c r="AG1108" t="str">
        <f t="shared" si="223"/>
        <v>Valid</v>
      </c>
      <c r="AH1108" t="str">
        <f t="shared" si="224"/>
        <v>Valid</v>
      </c>
      <c r="AI1108" t="str">
        <f t="shared" si="225"/>
        <v>Valid</v>
      </c>
      <c r="AJ1108" t="str">
        <f t="shared" si="226"/>
        <v>Valid</v>
      </c>
      <c r="AK1108" t="str">
        <f t="shared" si="233"/>
        <v xml:space="preserve">Valid </v>
      </c>
      <c r="AL1108" t="str">
        <f>IF(AND(Audit_Data[[#This Row],[Recency]]&gt;=0,Audit_Data[[#This Row],[Recency]]&lt;=100),"Valid","Invalid")</f>
        <v>Valid</v>
      </c>
      <c r="AM1108" t="str">
        <f t="shared" si="227"/>
        <v>Valid</v>
      </c>
      <c r="AN1108" t="str">
        <f t="shared" si="228"/>
        <v>Valid</v>
      </c>
      <c r="AO1108" t="str">
        <f t="shared" si="229"/>
        <v>Valid</v>
      </c>
      <c r="AP1108" t="str">
        <f t="shared" si="230"/>
        <v>Valid</v>
      </c>
      <c r="AQ1108" t="str">
        <f>IF(Audit_Data[[#This Row],[Z_CostContact]]=3,"Valid","Invalid")</f>
        <v>Valid</v>
      </c>
      <c r="AR1108" t="str">
        <f t="shared" si="231"/>
        <v>Valid</v>
      </c>
      <c r="AS1108" t="str">
        <f t="shared" si="232"/>
        <v>Valid</v>
      </c>
    </row>
    <row r="1109" spans="1:45" x14ac:dyDescent="0.3">
      <c r="A1109">
        <v>10065</v>
      </c>
      <c r="B1109">
        <v>1970</v>
      </c>
      <c r="C1109" t="s">
        <v>37</v>
      </c>
      <c r="D1109" t="s">
        <v>33</v>
      </c>
      <c r="E1109">
        <v>15315</v>
      </c>
      <c r="F1109">
        <v>0</v>
      </c>
      <c r="G1109">
        <v>0</v>
      </c>
      <c r="H1109" s="1">
        <v>41489</v>
      </c>
      <c r="I1109">
        <v>27</v>
      </c>
      <c r="J1109">
        <v>7</v>
      </c>
      <c r="K1109">
        <v>4</v>
      </c>
      <c r="L1109">
        <v>13</v>
      </c>
      <c r="M1109">
        <v>15</v>
      </c>
      <c r="N1109">
        <v>8</v>
      </c>
      <c r="O1109">
        <v>17</v>
      </c>
      <c r="P1109">
        <v>2</v>
      </c>
      <c r="Q1109">
        <v>2</v>
      </c>
      <c r="R1109">
        <v>0</v>
      </c>
      <c r="S1109">
        <v>4</v>
      </c>
      <c r="T1109">
        <v>5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3</v>
      </c>
      <c r="AB1109">
        <v>11</v>
      </c>
      <c r="AC1109">
        <v>0</v>
      </c>
      <c r="AD1109" t="str">
        <f t="shared" si="221"/>
        <v>Ok</v>
      </c>
      <c r="AE1109" t="str">
        <f>IF(AND(Audit_Data[[#This Row],[Year_Birth]]&gt;=1900,Audit_Data[[#This Row],[Year_Birth]]&lt;=2010),"OK","Invalid")</f>
        <v>OK</v>
      </c>
      <c r="AF1109" t="str">
        <f t="shared" si="222"/>
        <v>Valid</v>
      </c>
      <c r="AG1109" t="str">
        <f t="shared" si="223"/>
        <v>Valid</v>
      </c>
      <c r="AH1109" t="str">
        <f t="shared" si="224"/>
        <v>Valid</v>
      </c>
      <c r="AI1109" t="str">
        <f t="shared" si="225"/>
        <v>Valid</v>
      </c>
      <c r="AJ1109" t="str">
        <f t="shared" si="226"/>
        <v>Valid</v>
      </c>
      <c r="AK1109" t="str">
        <f t="shared" si="233"/>
        <v xml:space="preserve">Valid </v>
      </c>
      <c r="AL1109" t="str">
        <f>IF(AND(Audit_Data[[#This Row],[Recency]]&gt;=0,Audit_Data[[#This Row],[Recency]]&lt;=100),"Valid","Invalid")</f>
        <v>Valid</v>
      </c>
      <c r="AM1109" t="str">
        <f t="shared" si="227"/>
        <v>Valid</v>
      </c>
      <c r="AN1109" t="str">
        <f t="shared" si="228"/>
        <v>Valid</v>
      </c>
      <c r="AO1109" t="str">
        <f t="shared" si="229"/>
        <v>Valid</v>
      </c>
      <c r="AP1109" t="str">
        <f t="shared" si="230"/>
        <v>Valid</v>
      </c>
      <c r="AQ1109" t="str">
        <f>IF(Audit_Data[[#This Row],[Z_CostContact]]=3,"Valid","Invalid")</f>
        <v>Valid</v>
      </c>
      <c r="AR1109" t="str">
        <f t="shared" si="231"/>
        <v>Valid</v>
      </c>
      <c r="AS1109" t="str">
        <f t="shared" si="232"/>
        <v>Valid</v>
      </c>
    </row>
    <row r="1110" spans="1:45" x14ac:dyDescent="0.3">
      <c r="A1110">
        <v>4741</v>
      </c>
      <c r="B1110">
        <v>1974</v>
      </c>
      <c r="C1110" t="s">
        <v>37</v>
      </c>
      <c r="D1110" t="s">
        <v>33</v>
      </c>
      <c r="E1110">
        <v>65463</v>
      </c>
      <c r="F1110">
        <v>1</v>
      </c>
      <c r="G1110">
        <v>0</v>
      </c>
      <c r="H1110" s="1">
        <v>41669</v>
      </c>
      <c r="I1110">
        <v>17</v>
      </c>
      <c r="J1110">
        <v>391</v>
      </c>
      <c r="K1110">
        <v>32</v>
      </c>
      <c r="L1110">
        <v>70</v>
      </c>
      <c r="M1110">
        <v>21</v>
      </c>
      <c r="N1110">
        <v>32</v>
      </c>
      <c r="O1110">
        <v>16</v>
      </c>
      <c r="P1110">
        <v>2</v>
      </c>
      <c r="Q1110">
        <v>6</v>
      </c>
      <c r="R1110">
        <v>2</v>
      </c>
      <c r="S1110">
        <v>9</v>
      </c>
      <c r="T1110">
        <v>5</v>
      </c>
      <c r="U1110">
        <v>0</v>
      </c>
      <c r="V1110">
        <v>1</v>
      </c>
      <c r="W1110">
        <v>0</v>
      </c>
      <c r="X1110">
        <v>0</v>
      </c>
      <c r="Y1110">
        <v>0</v>
      </c>
      <c r="Z1110">
        <v>0</v>
      </c>
      <c r="AA1110">
        <v>3</v>
      </c>
      <c r="AB1110">
        <v>11</v>
      </c>
      <c r="AC1110">
        <v>0</v>
      </c>
      <c r="AD1110" t="str">
        <f t="shared" si="221"/>
        <v>Ok</v>
      </c>
      <c r="AE1110" t="str">
        <f>IF(AND(Audit_Data[[#This Row],[Year_Birth]]&gt;=1900,Audit_Data[[#This Row],[Year_Birth]]&lt;=2010),"OK","Invalid")</f>
        <v>OK</v>
      </c>
      <c r="AF1110" t="str">
        <f t="shared" si="222"/>
        <v>Valid</v>
      </c>
      <c r="AG1110" t="str">
        <f t="shared" si="223"/>
        <v>Valid</v>
      </c>
      <c r="AH1110" t="str">
        <f t="shared" si="224"/>
        <v>Valid</v>
      </c>
      <c r="AI1110" t="str">
        <f t="shared" si="225"/>
        <v>Valid</v>
      </c>
      <c r="AJ1110" t="str">
        <f t="shared" si="226"/>
        <v>Valid</v>
      </c>
      <c r="AK1110" t="str">
        <f t="shared" si="233"/>
        <v xml:space="preserve">Valid </v>
      </c>
      <c r="AL1110" t="str">
        <f>IF(AND(Audit_Data[[#This Row],[Recency]]&gt;=0,Audit_Data[[#This Row],[Recency]]&lt;=100),"Valid","Invalid")</f>
        <v>Valid</v>
      </c>
      <c r="AM1110" t="str">
        <f t="shared" si="227"/>
        <v>Valid</v>
      </c>
      <c r="AN1110" t="str">
        <f t="shared" si="228"/>
        <v>Valid</v>
      </c>
      <c r="AO1110" t="str">
        <f t="shared" si="229"/>
        <v>Valid</v>
      </c>
      <c r="AP1110" t="str">
        <f t="shared" si="230"/>
        <v>Valid</v>
      </c>
      <c r="AQ1110" t="str">
        <f>IF(Audit_Data[[#This Row],[Z_CostContact]]=3,"Valid","Invalid")</f>
        <v>Valid</v>
      </c>
      <c r="AR1110" t="str">
        <f t="shared" si="231"/>
        <v>Valid</v>
      </c>
      <c r="AS1110" t="str">
        <f t="shared" si="232"/>
        <v>Valid</v>
      </c>
    </row>
    <row r="1111" spans="1:45" x14ac:dyDescent="0.3">
      <c r="A1111">
        <v>246</v>
      </c>
      <c r="B1111">
        <v>1965</v>
      </c>
      <c r="C1111" t="s">
        <v>29</v>
      </c>
      <c r="D1111" t="s">
        <v>33</v>
      </c>
      <c r="E1111">
        <v>66480</v>
      </c>
      <c r="F1111">
        <v>1</v>
      </c>
      <c r="G1111">
        <v>1</v>
      </c>
      <c r="H1111" s="1">
        <v>41790</v>
      </c>
      <c r="I1111">
        <v>71</v>
      </c>
      <c r="J1111">
        <v>199</v>
      </c>
      <c r="K1111">
        <v>9</v>
      </c>
      <c r="L1111">
        <v>57</v>
      </c>
      <c r="M1111">
        <v>20</v>
      </c>
      <c r="N1111">
        <v>21</v>
      </c>
      <c r="O1111">
        <v>6</v>
      </c>
      <c r="P1111">
        <v>7</v>
      </c>
      <c r="Q1111">
        <v>4</v>
      </c>
      <c r="R1111">
        <v>1</v>
      </c>
      <c r="S1111">
        <v>7</v>
      </c>
      <c r="T1111">
        <v>4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3</v>
      </c>
      <c r="AB1111">
        <v>11</v>
      </c>
      <c r="AC1111">
        <v>0</v>
      </c>
      <c r="AD1111" t="str">
        <f t="shared" si="221"/>
        <v>Ok</v>
      </c>
      <c r="AE1111" t="str">
        <f>IF(AND(Audit_Data[[#This Row],[Year_Birth]]&gt;=1900,Audit_Data[[#This Row],[Year_Birth]]&lt;=2010),"OK","Invalid")</f>
        <v>OK</v>
      </c>
      <c r="AF1111" t="str">
        <f t="shared" si="222"/>
        <v>Valid</v>
      </c>
      <c r="AG1111" t="str">
        <f t="shared" si="223"/>
        <v>Valid</v>
      </c>
      <c r="AH1111" t="str">
        <f t="shared" si="224"/>
        <v>Valid</v>
      </c>
      <c r="AI1111" t="str">
        <f t="shared" si="225"/>
        <v>Valid</v>
      </c>
      <c r="AJ1111" t="str">
        <f t="shared" si="226"/>
        <v>Valid</v>
      </c>
      <c r="AK1111" t="str">
        <f t="shared" si="233"/>
        <v xml:space="preserve">Valid </v>
      </c>
      <c r="AL1111" t="str">
        <f>IF(AND(Audit_Data[[#This Row],[Recency]]&gt;=0,Audit_Data[[#This Row],[Recency]]&lt;=100),"Valid","Invalid")</f>
        <v>Valid</v>
      </c>
      <c r="AM1111" t="str">
        <f t="shared" si="227"/>
        <v>Valid</v>
      </c>
      <c r="AN1111" t="str">
        <f t="shared" si="228"/>
        <v>Valid</v>
      </c>
      <c r="AO1111" t="str">
        <f t="shared" si="229"/>
        <v>Valid</v>
      </c>
      <c r="AP1111" t="str">
        <f t="shared" si="230"/>
        <v>Valid</v>
      </c>
      <c r="AQ1111" t="str">
        <f>IF(Audit_Data[[#This Row],[Z_CostContact]]=3,"Valid","Invalid")</f>
        <v>Valid</v>
      </c>
      <c r="AR1111" t="str">
        <f t="shared" si="231"/>
        <v>Valid</v>
      </c>
      <c r="AS1111" t="str">
        <f t="shared" si="232"/>
        <v>Valid</v>
      </c>
    </row>
    <row r="1112" spans="1:45" x14ac:dyDescent="0.3">
      <c r="A1112">
        <v>375</v>
      </c>
      <c r="B1112">
        <v>1954</v>
      </c>
      <c r="C1112" t="s">
        <v>29</v>
      </c>
      <c r="D1112" t="s">
        <v>35</v>
      </c>
      <c r="E1112">
        <v>76773</v>
      </c>
      <c r="F1112">
        <v>0</v>
      </c>
      <c r="G1112">
        <v>0</v>
      </c>
      <c r="H1112" s="1">
        <v>41330</v>
      </c>
      <c r="I1112">
        <v>79</v>
      </c>
      <c r="J1112">
        <v>516</v>
      </c>
      <c r="K1112">
        <v>56</v>
      </c>
      <c r="L1112">
        <v>449</v>
      </c>
      <c r="M1112">
        <v>86</v>
      </c>
      <c r="N1112">
        <v>33</v>
      </c>
      <c r="O1112">
        <v>16</v>
      </c>
      <c r="P1112">
        <v>1</v>
      </c>
      <c r="Q1112">
        <v>2</v>
      </c>
      <c r="R1112">
        <v>2</v>
      </c>
      <c r="S1112">
        <v>11</v>
      </c>
      <c r="T1112">
        <v>1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3</v>
      </c>
      <c r="AB1112">
        <v>11</v>
      </c>
      <c r="AC1112">
        <v>0</v>
      </c>
      <c r="AD1112" t="str">
        <f t="shared" si="221"/>
        <v>Ok</v>
      </c>
      <c r="AE1112" t="str">
        <f>IF(AND(Audit_Data[[#This Row],[Year_Birth]]&gt;=1900,Audit_Data[[#This Row],[Year_Birth]]&lt;=2010),"OK","Invalid")</f>
        <v>OK</v>
      </c>
      <c r="AF1112" t="str">
        <f t="shared" si="222"/>
        <v>Valid</v>
      </c>
      <c r="AG1112" t="str">
        <f t="shared" si="223"/>
        <v>Valid</v>
      </c>
      <c r="AH1112" t="str">
        <f t="shared" si="224"/>
        <v>Valid</v>
      </c>
      <c r="AI1112" t="str">
        <f t="shared" si="225"/>
        <v>Valid</v>
      </c>
      <c r="AJ1112" t="str">
        <f t="shared" si="226"/>
        <v>Valid</v>
      </c>
      <c r="AK1112" t="str">
        <f t="shared" si="233"/>
        <v xml:space="preserve">Valid </v>
      </c>
      <c r="AL1112" t="str">
        <f>IF(AND(Audit_Data[[#This Row],[Recency]]&gt;=0,Audit_Data[[#This Row],[Recency]]&lt;=100),"Valid","Invalid")</f>
        <v>Valid</v>
      </c>
      <c r="AM1112" t="str">
        <f t="shared" si="227"/>
        <v>Valid</v>
      </c>
      <c r="AN1112" t="str">
        <f t="shared" si="228"/>
        <v>Valid</v>
      </c>
      <c r="AO1112" t="str">
        <f t="shared" si="229"/>
        <v>Valid</v>
      </c>
      <c r="AP1112" t="str">
        <f t="shared" si="230"/>
        <v>Valid</v>
      </c>
      <c r="AQ1112" t="str">
        <f>IF(Audit_Data[[#This Row],[Z_CostContact]]=3,"Valid","Invalid")</f>
        <v>Valid</v>
      </c>
      <c r="AR1112" t="str">
        <f t="shared" si="231"/>
        <v>Valid</v>
      </c>
      <c r="AS1112" t="str">
        <f t="shared" si="232"/>
        <v>Valid</v>
      </c>
    </row>
    <row r="1113" spans="1:45" x14ac:dyDescent="0.3">
      <c r="A1113">
        <v>1524</v>
      </c>
      <c r="B1113">
        <v>1983</v>
      </c>
      <c r="C1113" t="s">
        <v>37</v>
      </c>
      <c r="D1113" t="s">
        <v>30</v>
      </c>
      <c r="E1113">
        <v>81698</v>
      </c>
      <c r="F1113">
        <v>0</v>
      </c>
      <c r="G1113">
        <v>0</v>
      </c>
      <c r="H1113" s="1">
        <v>41334</v>
      </c>
      <c r="I1113">
        <v>1</v>
      </c>
      <c r="J1113">
        <v>709</v>
      </c>
      <c r="K1113">
        <v>45</v>
      </c>
      <c r="L1113">
        <v>115</v>
      </c>
      <c r="M1113">
        <v>30</v>
      </c>
      <c r="N1113">
        <v>160</v>
      </c>
      <c r="O1113">
        <v>45</v>
      </c>
      <c r="P1113">
        <v>1</v>
      </c>
      <c r="Q1113">
        <v>8</v>
      </c>
      <c r="R1113">
        <v>2</v>
      </c>
      <c r="S1113">
        <v>5</v>
      </c>
      <c r="T1113">
        <v>5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>
        <v>3</v>
      </c>
      <c r="AB1113">
        <v>11</v>
      </c>
      <c r="AC1113">
        <v>1</v>
      </c>
      <c r="AD1113" t="str">
        <f t="shared" si="221"/>
        <v>Ok</v>
      </c>
      <c r="AE1113" t="str">
        <f>IF(AND(Audit_Data[[#This Row],[Year_Birth]]&gt;=1900,Audit_Data[[#This Row],[Year_Birth]]&lt;=2010),"OK","Invalid")</f>
        <v>OK</v>
      </c>
      <c r="AF1113" t="str">
        <f t="shared" si="222"/>
        <v>Valid</v>
      </c>
      <c r="AG1113" t="str">
        <f t="shared" si="223"/>
        <v>Valid</v>
      </c>
      <c r="AH1113" t="str">
        <f t="shared" si="224"/>
        <v>Valid</v>
      </c>
      <c r="AI1113" t="str">
        <f t="shared" si="225"/>
        <v>Valid</v>
      </c>
      <c r="AJ1113" t="str">
        <f t="shared" si="226"/>
        <v>Valid</v>
      </c>
      <c r="AK1113" t="str">
        <f t="shared" si="233"/>
        <v xml:space="preserve">Valid </v>
      </c>
      <c r="AL1113" t="str">
        <f>IF(AND(Audit_Data[[#This Row],[Recency]]&gt;=0,Audit_Data[[#This Row],[Recency]]&lt;=100),"Valid","Invalid")</f>
        <v>Valid</v>
      </c>
      <c r="AM1113" t="str">
        <f t="shared" si="227"/>
        <v>Valid</v>
      </c>
      <c r="AN1113" t="str">
        <f t="shared" si="228"/>
        <v>Valid</v>
      </c>
      <c r="AO1113" t="str">
        <f t="shared" si="229"/>
        <v>Valid</v>
      </c>
      <c r="AP1113" t="str">
        <f t="shared" si="230"/>
        <v>Valid</v>
      </c>
      <c r="AQ1113" t="str">
        <f>IF(Audit_Data[[#This Row],[Z_CostContact]]=3,"Valid","Invalid")</f>
        <v>Valid</v>
      </c>
      <c r="AR1113" t="str">
        <f t="shared" si="231"/>
        <v>Valid</v>
      </c>
      <c r="AS1113" t="str">
        <f t="shared" si="232"/>
        <v>Valid</v>
      </c>
    </row>
    <row r="1114" spans="1:45" x14ac:dyDescent="0.3">
      <c r="A1114">
        <v>10022</v>
      </c>
      <c r="B1114">
        <v>1973</v>
      </c>
      <c r="C1114" t="s">
        <v>32</v>
      </c>
      <c r="D1114" t="s">
        <v>30</v>
      </c>
      <c r="E1114">
        <v>54466</v>
      </c>
      <c r="F1114">
        <v>1</v>
      </c>
      <c r="G1114">
        <v>1</v>
      </c>
      <c r="H1114" s="1">
        <v>41679</v>
      </c>
      <c r="I1114">
        <v>78</v>
      </c>
      <c r="J1114">
        <v>12</v>
      </c>
      <c r="K1114">
        <v>0</v>
      </c>
      <c r="L1114">
        <v>4</v>
      </c>
      <c r="M1114">
        <v>0</v>
      </c>
      <c r="N1114">
        <v>0</v>
      </c>
      <c r="O1114">
        <v>0</v>
      </c>
      <c r="P1114">
        <v>1</v>
      </c>
      <c r="Q1114">
        <v>1</v>
      </c>
      <c r="R1114">
        <v>0</v>
      </c>
      <c r="S1114">
        <v>2</v>
      </c>
      <c r="T1114">
        <v>5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3</v>
      </c>
      <c r="AB1114">
        <v>11</v>
      </c>
      <c r="AC1114">
        <v>0</v>
      </c>
      <c r="AD1114" t="str">
        <f t="shared" si="221"/>
        <v>Ok</v>
      </c>
      <c r="AE1114" t="str">
        <f>IF(AND(Audit_Data[[#This Row],[Year_Birth]]&gt;=1900,Audit_Data[[#This Row],[Year_Birth]]&lt;=2010),"OK","Invalid")</f>
        <v>OK</v>
      </c>
      <c r="AF1114" t="str">
        <f t="shared" si="222"/>
        <v>Valid</v>
      </c>
      <c r="AG1114" t="str">
        <f t="shared" si="223"/>
        <v>Valid</v>
      </c>
      <c r="AH1114" t="str">
        <f t="shared" si="224"/>
        <v>Valid</v>
      </c>
      <c r="AI1114" t="str">
        <f t="shared" si="225"/>
        <v>Valid</v>
      </c>
      <c r="AJ1114" t="str">
        <f t="shared" si="226"/>
        <v>Valid</v>
      </c>
      <c r="AK1114" t="str">
        <f t="shared" si="233"/>
        <v xml:space="preserve">Valid </v>
      </c>
      <c r="AL1114" t="str">
        <f>IF(AND(Audit_Data[[#This Row],[Recency]]&gt;=0,Audit_Data[[#This Row],[Recency]]&lt;=100),"Valid","Invalid")</f>
        <v>Valid</v>
      </c>
      <c r="AM1114" t="str">
        <f t="shared" si="227"/>
        <v>Valid</v>
      </c>
      <c r="AN1114" t="str">
        <f t="shared" si="228"/>
        <v>Valid</v>
      </c>
      <c r="AO1114" t="str">
        <f t="shared" si="229"/>
        <v>Valid</v>
      </c>
      <c r="AP1114" t="str">
        <f t="shared" si="230"/>
        <v>Valid</v>
      </c>
      <c r="AQ1114" t="str">
        <f>IF(Audit_Data[[#This Row],[Z_CostContact]]=3,"Valid","Invalid")</f>
        <v>Valid</v>
      </c>
      <c r="AR1114" t="str">
        <f t="shared" si="231"/>
        <v>Valid</v>
      </c>
      <c r="AS1114" t="str">
        <f t="shared" si="232"/>
        <v>Valid</v>
      </c>
    </row>
    <row r="1115" spans="1:45" x14ac:dyDescent="0.3">
      <c r="A1115">
        <v>7451</v>
      </c>
      <c r="B1115">
        <v>1960</v>
      </c>
      <c r="C1115" t="s">
        <v>34</v>
      </c>
      <c r="D1115" t="s">
        <v>30</v>
      </c>
      <c r="E1115">
        <v>98777</v>
      </c>
      <c r="F1115">
        <v>0</v>
      </c>
      <c r="G1115">
        <v>0</v>
      </c>
      <c r="H1115" s="1">
        <v>41687</v>
      </c>
      <c r="I1115">
        <v>23</v>
      </c>
      <c r="J1115">
        <v>1000</v>
      </c>
      <c r="K1115">
        <v>19</v>
      </c>
      <c r="L1115">
        <v>711</v>
      </c>
      <c r="M1115">
        <v>125</v>
      </c>
      <c r="N1115">
        <v>115</v>
      </c>
      <c r="O1115">
        <v>38</v>
      </c>
      <c r="P1115">
        <v>0</v>
      </c>
      <c r="Q1115">
        <v>4</v>
      </c>
      <c r="R1115">
        <v>6</v>
      </c>
      <c r="S1115">
        <v>9</v>
      </c>
      <c r="T1115">
        <v>1</v>
      </c>
      <c r="U1115">
        <v>0</v>
      </c>
      <c r="V1115">
        <v>1</v>
      </c>
      <c r="W1115">
        <v>0</v>
      </c>
      <c r="X1115">
        <v>0</v>
      </c>
      <c r="Y1115">
        <v>0</v>
      </c>
      <c r="Z1115">
        <v>0</v>
      </c>
      <c r="AA1115">
        <v>3</v>
      </c>
      <c r="AB1115">
        <v>11</v>
      </c>
      <c r="AC1115">
        <v>0</v>
      </c>
      <c r="AD1115" t="str">
        <f t="shared" si="221"/>
        <v>Ok</v>
      </c>
      <c r="AE1115" t="str">
        <f>IF(AND(Audit_Data[[#This Row],[Year_Birth]]&gt;=1900,Audit_Data[[#This Row],[Year_Birth]]&lt;=2010),"OK","Invalid")</f>
        <v>OK</v>
      </c>
      <c r="AF1115" t="str">
        <f t="shared" si="222"/>
        <v>Valid</v>
      </c>
      <c r="AG1115" t="str">
        <f t="shared" si="223"/>
        <v>Valid</v>
      </c>
      <c r="AH1115" t="str">
        <f t="shared" si="224"/>
        <v>Valid</v>
      </c>
      <c r="AI1115" t="str">
        <f t="shared" si="225"/>
        <v>Valid</v>
      </c>
      <c r="AJ1115" t="str">
        <f t="shared" si="226"/>
        <v>Valid</v>
      </c>
      <c r="AK1115" t="str">
        <f t="shared" si="233"/>
        <v xml:space="preserve">Valid </v>
      </c>
      <c r="AL1115" t="str">
        <f>IF(AND(Audit_Data[[#This Row],[Recency]]&gt;=0,Audit_Data[[#This Row],[Recency]]&lt;=100),"Valid","Invalid")</f>
        <v>Valid</v>
      </c>
      <c r="AM1115" t="str">
        <f t="shared" si="227"/>
        <v>Valid</v>
      </c>
      <c r="AN1115" t="str">
        <f t="shared" si="228"/>
        <v>Valid</v>
      </c>
      <c r="AO1115" t="str">
        <f t="shared" si="229"/>
        <v>Valid</v>
      </c>
      <c r="AP1115" t="str">
        <f t="shared" si="230"/>
        <v>Valid</v>
      </c>
      <c r="AQ1115" t="str">
        <f>IF(Audit_Data[[#This Row],[Z_CostContact]]=3,"Valid","Invalid")</f>
        <v>Valid</v>
      </c>
      <c r="AR1115" t="str">
        <f t="shared" si="231"/>
        <v>Valid</v>
      </c>
      <c r="AS1115" t="str">
        <f t="shared" si="232"/>
        <v>Valid</v>
      </c>
    </row>
    <row r="1116" spans="1:45" x14ac:dyDescent="0.3">
      <c r="A1116">
        <v>11010</v>
      </c>
      <c r="B1116">
        <v>1984</v>
      </c>
      <c r="C1116" t="s">
        <v>32</v>
      </c>
      <c r="D1116" t="s">
        <v>30</v>
      </c>
      <c r="E1116">
        <v>16269</v>
      </c>
      <c r="F1116">
        <v>1</v>
      </c>
      <c r="G1116">
        <v>0</v>
      </c>
      <c r="H1116" s="1">
        <v>41516</v>
      </c>
      <c r="I1116">
        <v>75</v>
      </c>
      <c r="J1116">
        <v>19</v>
      </c>
      <c r="K1116">
        <v>3</v>
      </c>
      <c r="L1116">
        <v>18</v>
      </c>
      <c r="M1116">
        <v>3</v>
      </c>
      <c r="N1116">
        <v>1</v>
      </c>
      <c r="O1116">
        <v>0</v>
      </c>
      <c r="P1116">
        <v>3</v>
      </c>
      <c r="Q1116">
        <v>3</v>
      </c>
      <c r="R1116">
        <v>0</v>
      </c>
      <c r="S1116">
        <v>3</v>
      </c>
      <c r="T1116">
        <v>8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3</v>
      </c>
      <c r="AB1116">
        <v>11</v>
      </c>
      <c r="AC1116">
        <v>0</v>
      </c>
      <c r="AD1116" t="str">
        <f t="shared" si="221"/>
        <v>Ok</v>
      </c>
      <c r="AE1116" t="str">
        <f>IF(AND(Audit_Data[[#This Row],[Year_Birth]]&gt;=1900,Audit_Data[[#This Row],[Year_Birth]]&lt;=2010),"OK","Invalid")</f>
        <v>OK</v>
      </c>
      <c r="AF1116" t="str">
        <f t="shared" si="222"/>
        <v>Valid</v>
      </c>
      <c r="AG1116" t="str">
        <f t="shared" si="223"/>
        <v>Valid</v>
      </c>
      <c r="AH1116" t="str">
        <f t="shared" si="224"/>
        <v>Valid</v>
      </c>
      <c r="AI1116" t="str">
        <f t="shared" si="225"/>
        <v>Valid</v>
      </c>
      <c r="AJ1116" t="str">
        <f t="shared" si="226"/>
        <v>Valid</v>
      </c>
      <c r="AK1116" t="str">
        <f t="shared" si="233"/>
        <v xml:space="preserve">Valid </v>
      </c>
      <c r="AL1116" t="str">
        <f>IF(AND(Audit_Data[[#This Row],[Recency]]&gt;=0,Audit_Data[[#This Row],[Recency]]&lt;=100),"Valid","Invalid")</f>
        <v>Valid</v>
      </c>
      <c r="AM1116" t="str">
        <f t="shared" si="227"/>
        <v>Valid</v>
      </c>
      <c r="AN1116" t="str">
        <f t="shared" si="228"/>
        <v>Valid</v>
      </c>
      <c r="AO1116" t="str">
        <f t="shared" si="229"/>
        <v>Valid</v>
      </c>
      <c r="AP1116" t="str">
        <f t="shared" si="230"/>
        <v>Valid</v>
      </c>
      <c r="AQ1116" t="str">
        <f>IF(Audit_Data[[#This Row],[Z_CostContact]]=3,"Valid","Invalid")</f>
        <v>Valid</v>
      </c>
      <c r="AR1116" t="str">
        <f t="shared" si="231"/>
        <v>Valid</v>
      </c>
      <c r="AS1116" t="str">
        <f t="shared" si="232"/>
        <v>Valid</v>
      </c>
    </row>
    <row r="1117" spans="1:45" x14ac:dyDescent="0.3">
      <c r="A1117">
        <v>4356</v>
      </c>
      <c r="B1117">
        <v>1971</v>
      </c>
      <c r="C1117" t="s">
        <v>29</v>
      </c>
      <c r="D1117" t="s">
        <v>31</v>
      </c>
      <c r="E1117">
        <v>71819</v>
      </c>
      <c r="F1117">
        <v>0</v>
      </c>
      <c r="G1117">
        <v>1</v>
      </c>
      <c r="H1117" s="1">
        <v>41514</v>
      </c>
      <c r="I1117">
        <v>70</v>
      </c>
      <c r="J1117">
        <v>1224</v>
      </c>
      <c r="K1117">
        <v>28</v>
      </c>
      <c r="L1117">
        <v>140</v>
      </c>
      <c r="M1117">
        <v>0</v>
      </c>
      <c r="N1117">
        <v>14</v>
      </c>
      <c r="O1117">
        <v>168</v>
      </c>
      <c r="P1117">
        <v>3</v>
      </c>
      <c r="Q1117">
        <v>3</v>
      </c>
      <c r="R1117">
        <v>3</v>
      </c>
      <c r="S1117">
        <v>5</v>
      </c>
      <c r="T1117">
        <v>6</v>
      </c>
      <c r="U1117">
        <v>0</v>
      </c>
      <c r="V1117">
        <v>1</v>
      </c>
      <c r="W1117">
        <v>1</v>
      </c>
      <c r="X1117">
        <v>0</v>
      </c>
      <c r="Y1117">
        <v>0</v>
      </c>
      <c r="Z1117">
        <v>0</v>
      </c>
      <c r="AA1117">
        <v>3</v>
      </c>
      <c r="AB1117">
        <v>11</v>
      </c>
      <c r="AC1117">
        <v>0</v>
      </c>
      <c r="AD1117" t="str">
        <f t="shared" si="221"/>
        <v>Ok</v>
      </c>
      <c r="AE1117" t="str">
        <f>IF(AND(Audit_Data[[#This Row],[Year_Birth]]&gt;=1900,Audit_Data[[#This Row],[Year_Birth]]&lt;=2010),"OK","Invalid")</f>
        <v>OK</v>
      </c>
      <c r="AF1117" t="str">
        <f t="shared" si="222"/>
        <v>Valid</v>
      </c>
      <c r="AG1117" t="str">
        <f t="shared" si="223"/>
        <v>Valid</v>
      </c>
      <c r="AH1117" t="str">
        <f t="shared" si="224"/>
        <v>Valid</v>
      </c>
      <c r="AI1117" t="str">
        <f t="shared" si="225"/>
        <v>Valid</v>
      </c>
      <c r="AJ1117" t="str">
        <f t="shared" si="226"/>
        <v>Valid</v>
      </c>
      <c r="AK1117" t="str">
        <f t="shared" si="233"/>
        <v xml:space="preserve">Valid </v>
      </c>
      <c r="AL1117" t="str">
        <f>IF(AND(Audit_Data[[#This Row],[Recency]]&gt;=0,Audit_Data[[#This Row],[Recency]]&lt;=100),"Valid","Invalid")</f>
        <v>Valid</v>
      </c>
      <c r="AM1117" t="str">
        <f t="shared" si="227"/>
        <v>Valid</v>
      </c>
      <c r="AN1117" t="str">
        <f t="shared" si="228"/>
        <v>Valid</v>
      </c>
      <c r="AO1117" t="str">
        <f t="shared" si="229"/>
        <v>Valid</v>
      </c>
      <c r="AP1117" t="str">
        <f t="shared" si="230"/>
        <v>Valid</v>
      </c>
      <c r="AQ1117" t="str">
        <f>IF(Audit_Data[[#This Row],[Z_CostContact]]=3,"Valid","Invalid")</f>
        <v>Valid</v>
      </c>
      <c r="AR1117" t="str">
        <f t="shared" si="231"/>
        <v>Valid</v>
      </c>
      <c r="AS1117" t="str">
        <f t="shared" si="232"/>
        <v>Valid</v>
      </c>
    </row>
    <row r="1118" spans="1:45" x14ac:dyDescent="0.3">
      <c r="A1118">
        <v>3885</v>
      </c>
      <c r="B1118">
        <v>1983</v>
      </c>
      <c r="C1118" t="s">
        <v>32</v>
      </c>
      <c r="D1118" t="s">
        <v>33</v>
      </c>
      <c r="E1118">
        <v>33569</v>
      </c>
      <c r="F1118">
        <v>1</v>
      </c>
      <c r="G1118">
        <v>0</v>
      </c>
      <c r="H1118" s="1">
        <v>41563</v>
      </c>
      <c r="I1118">
        <v>10</v>
      </c>
      <c r="J1118">
        <v>16</v>
      </c>
      <c r="K1118">
        <v>2</v>
      </c>
      <c r="L1118">
        <v>18</v>
      </c>
      <c r="M1118">
        <v>3</v>
      </c>
      <c r="N1118">
        <v>0</v>
      </c>
      <c r="O1118">
        <v>24</v>
      </c>
      <c r="P1118">
        <v>1</v>
      </c>
      <c r="Q1118">
        <v>1</v>
      </c>
      <c r="R1118">
        <v>1</v>
      </c>
      <c r="S1118">
        <v>2</v>
      </c>
      <c r="T1118">
        <v>8</v>
      </c>
      <c r="U1118">
        <v>1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3</v>
      </c>
      <c r="AB1118">
        <v>11</v>
      </c>
      <c r="AC1118">
        <v>1</v>
      </c>
      <c r="AD1118" t="str">
        <f t="shared" si="221"/>
        <v>Ok</v>
      </c>
      <c r="AE1118" t="str">
        <f>IF(AND(Audit_Data[[#This Row],[Year_Birth]]&gt;=1900,Audit_Data[[#This Row],[Year_Birth]]&lt;=2010),"OK","Invalid")</f>
        <v>OK</v>
      </c>
      <c r="AF1118" t="str">
        <f t="shared" si="222"/>
        <v>Valid</v>
      </c>
      <c r="AG1118" t="str">
        <f t="shared" si="223"/>
        <v>Valid</v>
      </c>
      <c r="AH1118" t="str">
        <f t="shared" si="224"/>
        <v>Valid</v>
      </c>
      <c r="AI1118" t="str">
        <f t="shared" si="225"/>
        <v>Valid</v>
      </c>
      <c r="AJ1118" t="str">
        <f t="shared" si="226"/>
        <v>Valid</v>
      </c>
      <c r="AK1118" t="str">
        <f t="shared" si="233"/>
        <v xml:space="preserve">Valid </v>
      </c>
      <c r="AL1118" t="str">
        <f>IF(AND(Audit_Data[[#This Row],[Recency]]&gt;=0,Audit_Data[[#This Row],[Recency]]&lt;=100),"Valid","Invalid")</f>
        <v>Valid</v>
      </c>
      <c r="AM1118" t="str">
        <f t="shared" si="227"/>
        <v>Valid</v>
      </c>
      <c r="AN1118" t="str">
        <f t="shared" si="228"/>
        <v>Valid</v>
      </c>
      <c r="AO1118" t="str">
        <f t="shared" si="229"/>
        <v>Valid</v>
      </c>
      <c r="AP1118" t="str">
        <f t="shared" si="230"/>
        <v>Valid</v>
      </c>
      <c r="AQ1118" t="str">
        <f>IF(Audit_Data[[#This Row],[Z_CostContact]]=3,"Valid","Invalid")</f>
        <v>Valid</v>
      </c>
      <c r="AR1118" t="str">
        <f t="shared" si="231"/>
        <v>Valid</v>
      </c>
      <c r="AS1118" t="str">
        <f t="shared" si="232"/>
        <v>Valid</v>
      </c>
    </row>
    <row r="1119" spans="1:45" x14ac:dyDescent="0.3">
      <c r="A1119">
        <v>1175</v>
      </c>
      <c r="B1119">
        <v>1983</v>
      </c>
      <c r="C1119" t="s">
        <v>34</v>
      </c>
      <c r="D1119" t="s">
        <v>33</v>
      </c>
      <c r="E1119">
        <v>36262</v>
      </c>
      <c r="F1119">
        <v>0</v>
      </c>
      <c r="G1119">
        <v>0</v>
      </c>
      <c r="H1119" s="1">
        <v>41537</v>
      </c>
      <c r="I1119">
        <v>24</v>
      </c>
      <c r="J1119">
        <v>88</v>
      </c>
      <c r="K1119">
        <v>39</v>
      </c>
      <c r="L1119">
        <v>54</v>
      </c>
      <c r="M1119">
        <v>64</v>
      </c>
      <c r="N1119">
        <v>28</v>
      </c>
      <c r="O1119">
        <v>153</v>
      </c>
      <c r="P1119">
        <v>1</v>
      </c>
      <c r="Q1119">
        <v>3</v>
      </c>
      <c r="R1119">
        <v>5</v>
      </c>
      <c r="S1119">
        <v>3</v>
      </c>
      <c r="T1119">
        <v>6</v>
      </c>
      <c r="U1119">
        <v>1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3</v>
      </c>
      <c r="AB1119">
        <v>11</v>
      </c>
      <c r="AC1119">
        <v>1</v>
      </c>
      <c r="AD1119" t="str">
        <f t="shared" si="221"/>
        <v>Ok</v>
      </c>
      <c r="AE1119" t="str">
        <f>IF(AND(Audit_Data[[#This Row],[Year_Birth]]&gt;=1900,Audit_Data[[#This Row],[Year_Birth]]&lt;=2010),"OK","Invalid")</f>
        <v>OK</v>
      </c>
      <c r="AF1119" t="str">
        <f t="shared" si="222"/>
        <v>Valid</v>
      </c>
      <c r="AG1119" t="str">
        <f t="shared" si="223"/>
        <v>Valid</v>
      </c>
      <c r="AH1119" t="str">
        <f t="shared" si="224"/>
        <v>Valid</v>
      </c>
      <c r="AI1119" t="str">
        <f t="shared" si="225"/>
        <v>Valid</v>
      </c>
      <c r="AJ1119" t="str">
        <f t="shared" si="226"/>
        <v>Valid</v>
      </c>
      <c r="AK1119" t="str">
        <f t="shared" si="233"/>
        <v xml:space="preserve">Valid </v>
      </c>
      <c r="AL1119" t="str">
        <f>IF(AND(Audit_Data[[#This Row],[Recency]]&gt;=0,Audit_Data[[#This Row],[Recency]]&lt;=100),"Valid","Invalid")</f>
        <v>Valid</v>
      </c>
      <c r="AM1119" t="str">
        <f t="shared" si="227"/>
        <v>Valid</v>
      </c>
      <c r="AN1119" t="str">
        <f t="shared" si="228"/>
        <v>Valid</v>
      </c>
      <c r="AO1119" t="str">
        <f t="shared" si="229"/>
        <v>Valid</v>
      </c>
      <c r="AP1119" t="str">
        <f t="shared" si="230"/>
        <v>Valid</v>
      </c>
      <c r="AQ1119" t="str">
        <f>IF(Audit_Data[[#This Row],[Z_CostContact]]=3,"Valid","Invalid")</f>
        <v>Valid</v>
      </c>
      <c r="AR1119" t="str">
        <f t="shared" si="231"/>
        <v>Valid</v>
      </c>
      <c r="AS1119" t="str">
        <f t="shared" si="232"/>
        <v>Valid</v>
      </c>
    </row>
    <row r="1120" spans="1:45" x14ac:dyDescent="0.3">
      <c r="A1120">
        <v>880</v>
      </c>
      <c r="B1120">
        <v>1966</v>
      </c>
      <c r="C1120" t="s">
        <v>36</v>
      </c>
      <c r="D1120" t="s">
        <v>31</v>
      </c>
      <c r="E1120">
        <v>22634</v>
      </c>
      <c r="F1120">
        <v>0</v>
      </c>
      <c r="G1120">
        <v>0</v>
      </c>
      <c r="H1120" s="1">
        <v>41290</v>
      </c>
      <c r="I1120">
        <v>47</v>
      </c>
      <c r="J1120">
        <v>2</v>
      </c>
      <c r="K1120">
        <v>23</v>
      </c>
      <c r="L1120">
        <v>11</v>
      </c>
      <c r="M1120">
        <v>8</v>
      </c>
      <c r="N1120">
        <v>6</v>
      </c>
      <c r="O1120">
        <v>46</v>
      </c>
      <c r="P1120">
        <v>1</v>
      </c>
      <c r="Q1120">
        <v>2</v>
      </c>
      <c r="R1120">
        <v>1</v>
      </c>
      <c r="S1120">
        <v>2</v>
      </c>
      <c r="T1120">
        <v>8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3</v>
      </c>
      <c r="AB1120">
        <v>11</v>
      </c>
      <c r="AC1120">
        <v>0</v>
      </c>
      <c r="AD1120" t="str">
        <f t="shared" si="221"/>
        <v>Ok</v>
      </c>
      <c r="AE1120" t="str">
        <f>IF(AND(Audit_Data[[#This Row],[Year_Birth]]&gt;=1900,Audit_Data[[#This Row],[Year_Birth]]&lt;=2010),"OK","Invalid")</f>
        <v>OK</v>
      </c>
      <c r="AF1120" t="str">
        <f t="shared" si="222"/>
        <v>Valid</v>
      </c>
      <c r="AG1120" t="str">
        <f t="shared" si="223"/>
        <v>Valid</v>
      </c>
      <c r="AH1120" t="str">
        <f t="shared" si="224"/>
        <v>Valid</v>
      </c>
      <c r="AI1120" t="str">
        <f t="shared" si="225"/>
        <v>Valid</v>
      </c>
      <c r="AJ1120" t="str">
        <f t="shared" si="226"/>
        <v>Valid</v>
      </c>
      <c r="AK1120" t="str">
        <f t="shared" si="233"/>
        <v xml:space="preserve">Valid </v>
      </c>
      <c r="AL1120" t="str">
        <f>IF(AND(Audit_Data[[#This Row],[Recency]]&gt;=0,Audit_Data[[#This Row],[Recency]]&lt;=100),"Valid","Invalid")</f>
        <v>Valid</v>
      </c>
      <c r="AM1120" t="str">
        <f t="shared" si="227"/>
        <v>Valid</v>
      </c>
      <c r="AN1120" t="str">
        <f t="shared" si="228"/>
        <v>Valid</v>
      </c>
      <c r="AO1120" t="str">
        <f t="shared" si="229"/>
        <v>Valid</v>
      </c>
      <c r="AP1120" t="str">
        <f t="shared" si="230"/>
        <v>Valid</v>
      </c>
      <c r="AQ1120" t="str">
        <f>IF(Audit_Data[[#This Row],[Z_CostContact]]=3,"Valid","Invalid")</f>
        <v>Valid</v>
      </c>
      <c r="AR1120" t="str">
        <f t="shared" si="231"/>
        <v>Valid</v>
      </c>
      <c r="AS1120" t="str">
        <f t="shared" si="232"/>
        <v>Valid</v>
      </c>
    </row>
    <row r="1121" spans="1:45" x14ac:dyDescent="0.3">
      <c r="A1121">
        <v>2320</v>
      </c>
      <c r="B1121">
        <v>1978</v>
      </c>
      <c r="C1121" t="s">
        <v>37</v>
      </c>
      <c r="D1121" t="s">
        <v>33</v>
      </c>
      <c r="E1121">
        <v>47025</v>
      </c>
      <c r="F1121">
        <v>0</v>
      </c>
      <c r="G1121">
        <v>1</v>
      </c>
      <c r="H1121" s="1">
        <v>41529</v>
      </c>
      <c r="I1121">
        <v>98</v>
      </c>
      <c r="J1121">
        <v>508</v>
      </c>
      <c r="K1121">
        <v>11</v>
      </c>
      <c r="L1121">
        <v>59</v>
      </c>
      <c r="M1121">
        <v>23</v>
      </c>
      <c r="N1121">
        <v>5</v>
      </c>
      <c r="O1121">
        <v>29</v>
      </c>
      <c r="P1121">
        <v>5</v>
      </c>
      <c r="Q1121">
        <v>11</v>
      </c>
      <c r="R1121">
        <v>1</v>
      </c>
      <c r="S1121">
        <v>6</v>
      </c>
      <c r="T1121">
        <v>9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3</v>
      </c>
      <c r="AB1121">
        <v>11</v>
      </c>
      <c r="AC1121">
        <v>0</v>
      </c>
      <c r="AD1121" t="str">
        <f t="shared" si="221"/>
        <v>Ok</v>
      </c>
      <c r="AE1121" t="str">
        <f>IF(AND(Audit_Data[[#This Row],[Year_Birth]]&gt;=1900,Audit_Data[[#This Row],[Year_Birth]]&lt;=2010),"OK","Invalid")</f>
        <v>OK</v>
      </c>
      <c r="AF1121" t="str">
        <f t="shared" si="222"/>
        <v>Valid</v>
      </c>
      <c r="AG1121" t="str">
        <f t="shared" si="223"/>
        <v>Valid</v>
      </c>
      <c r="AH1121" t="str">
        <f t="shared" si="224"/>
        <v>Valid</v>
      </c>
      <c r="AI1121" t="str">
        <f t="shared" si="225"/>
        <v>Valid</v>
      </c>
      <c r="AJ1121" t="str">
        <f t="shared" si="226"/>
        <v>Valid</v>
      </c>
      <c r="AK1121" t="str">
        <f t="shared" si="233"/>
        <v xml:space="preserve">Valid </v>
      </c>
      <c r="AL1121" t="str">
        <f>IF(AND(Audit_Data[[#This Row],[Recency]]&gt;=0,Audit_Data[[#This Row],[Recency]]&lt;=100),"Valid","Invalid")</f>
        <v>Valid</v>
      </c>
      <c r="AM1121" t="str">
        <f t="shared" si="227"/>
        <v>Valid</v>
      </c>
      <c r="AN1121" t="str">
        <f t="shared" si="228"/>
        <v>Valid</v>
      </c>
      <c r="AO1121" t="str">
        <f t="shared" si="229"/>
        <v>Valid</v>
      </c>
      <c r="AP1121" t="str">
        <f t="shared" si="230"/>
        <v>Valid</v>
      </c>
      <c r="AQ1121" t="str">
        <f>IF(Audit_Data[[#This Row],[Z_CostContact]]=3,"Valid","Invalid")</f>
        <v>Valid</v>
      </c>
      <c r="AR1121" t="str">
        <f t="shared" si="231"/>
        <v>Valid</v>
      </c>
      <c r="AS1121" t="str">
        <f t="shared" si="232"/>
        <v>Valid</v>
      </c>
    </row>
    <row r="1122" spans="1:45" x14ac:dyDescent="0.3">
      <c r="A1122">
        <v>850</v>
      </c>
      <c r="B1122">
        <v>1968</v>
      </c>
      <c r="C1122" t="s">
        <v>29</v>
      </c>
      <c r="D1122" t="s">
        <v>30</v>
      </c>
      <c r="E1122">
        <v>70566</v>
      </c>
      <c r="F1122">
        <v>0</v>
      </c>
      <c r="G1122">
        <v>1</v>
      </c>
      <c r="H1122" s="1">
        <v>41553</v>
      </c>
      <c r="I1122">
        <v>4</v>
      </c>
      <c r="J1122">
        <v>381</v>
      </c>
      <c r="K1122">
        <v>28</v>
      </c>
      <c r="L1122">
        <v>215</v>
      </c>
      <c r="M1122">
        <v>84</v>
      </c>
      <c r="N1122">
        <v>28</v>
      </c>
      <c r="O1122">
        <v>21</v>
      </c>
      <c r="P1122">
        <v>2</v>
      </c>
      <c r="Q1122">
        <v>6</v>
      </c>
      <c r="R1122">
        <v>5</v>
      </c>
      <c r="S1122">
        <v>9</v>
      </c>
      <c r="T1122">
        <v>3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3</v>
      </c>
      <c r="AB1122">
        <v>11</v>
      </c>
      <c r="AC1122">
        <v>0</v>
      </c>
      <c r="AD1122" t="str">
        <f t="shared" si="221"/>
        <v>Ok</v>
      </c>
      <c r="AE1122" t="str">
        <f>IF(AND(Audit_Data[[#This Row],[Year_Birth]]&gt;=1900,Audit_Data[[#This Row],[Year_Birth]]&lt;=2010),"OK","Invalid")</f>
        <v>OK</v>
      </c>
      <c r="AF1122" t="str">
        <f t="shared" si="222"/>
        <v>Valid</v>
      </c>
      <c r="AG1122" t="str">
        <f t="shared" si="223"/>
        <v>Valid</v>
      </c>
      <c r="AH1122" t="str">
        <f t="shared" si="224"/>
        <v>Valid</v>
      </c>
      <c r="AI1122" t="str">
        <f t="shared" si="225"/>
        <v>Valid</v>
      </c>
      <c r="AJ1122" t="str">
        <f t="shared" si="226"/>
        <v>Valid</v>
      </c>
      <c r="AK1122" t="str">
        <f t="shared" si="233"/>
        <v xml:space="preserve">Valid </v>
      </c>
      <c r="AL1122" t="str">
        <f>IF(AND(Audit_Data[[#This Row],[Recency]]&gt;=0,Audit_Data[[#This Row],[Recency]]&lt;=100),"Valid","Invalid")</f>
        <v>Valid</v>
      </c>
      <c r="AM1122" t="str">
        <f t="shared" si="227"/>
        <v>Valid</v>
      </c>
      <c r="AN1122" t="str">
        <f t="shared" si="228"/>
        <v>Valid</v>
      </c>
      <c r="AO1122" t="str">
        <f t="shared" si="229"/>
        <v>Valid</v>
      </c>
      <c r="AP1122" t="str">
        <f t="shared" si="230"/>
        <v>Valid</v>
      </c>
      <c r="AQ1122" t="str">
        <f>IF(Audit_Data[[#This Row],[Z_CostContact]]=3,"Valid","Invalid")</f>
        <v>Valid</v>
      </c>
      <c r="AR1122" t="str">
        <f t="shared" si="231"/>
        <v>Valid</v>
      </c>
      <c r="AS1122" t="str">
        <f t="shared" si="232"/>
        <v>Valid</v>
      </c>
    </row>
    <row r="1123" spans="1:45" x14ac:dyDescent="0.3">
      <c r="A1123">
        <v>4713</v>
      </c>
      <c r="B1123">
        <v>1979</v>
      </c>
      <c r="C1123" t="s">
        <v>32</v>
      </c>
      <c r="D1123" t="s">
        <v>33</v>
      </c>
      <c r="E1123">
        <v>31605</v>
      </c>
      <c r="F1123">
        <v>1</v>
      </c>
      <c r="G1123">
        <v>0</v>
      </c>
      <c r="H1123" s="1">
        <v>41235</v>
      </c>
      <c r="I1123">
        <v>15</v>
      </c>
      <c r="J1123">
        <v>74</v>
      </c>
      <c r="K1123">
        <v>0</v>
      </c>
      <c r="L1123">
        <v>42</v>
      </c>
      <c r="M1123">
        <v>2</v>
      </c>
      <c r="N1123">
        <v>1</v>
      </c>
      <c r="O1123">
        <v>6</v>
      </c>
      <c r="P1123">
        <v>2</v>
      </c>
      <c r="Q1123">
        <v>2</v>
      </c>
      <c r="R1123">
        <v>1</v>
      </c>
      <c r="S1123">
        <v>4</v>
      </c>
      <c r="T1123">
        <v>7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3</v>
      </c>
      <c r="AB1123">
        <v>11</v>
      </c>
      <c r="AC1123">
        <v>0</v>
      </c>
      <c r="AD1123" t="str">
        <f t="shared" si="221"/>
        <v>Ok</v>
      </c>
      <c r="AE1123" t="str">
        <f>IF(AND(Audit_Data[[#This Row],[Year_Birth]]&gt;=1900,Audit_Data[[#This Row],[Year_Birth]]&lt;=2010),"OK","Invalid")</f>
        <v>OK</v>
      </c>
      <c r="AF1123" t="str">
        <f t="shared" si="222"/>
        <v>Valid</v>
      </c>
      <c r="AG1123" t="str">
        <f t="shared" si="223"/>
        <v>Valid</v>
      </c>
      <c r="AH1123" t="str">
        <f t="shared" si="224"/>
        <v>Valid</v>
      </c>
      <c r="AI1123" t="str">
        <f t="shared" si="225"/>
        <v>Valid</v>
      </c>
      <c r="AJ1123" t="str">
        <f t="shared" si="226"/>
        <v>Valid</v>
      </c>
      <c r="AK1123" t="str">
        <f t="shared" si="233"/>
        <v xml:space="preserve">Valid </v>
      </c>
      <c r="AL1123" t="str">
        <f>IF(AND(Audit_Data[[#This Row],[Recency]]&gt;=0,Audit_Data[[#This Row],[Recency]]&lt;=100),"Valid","Invalid")</f>
        <v>Valid</v>
      </c>
      <c r="AM1123" t="str">
        <f t="shared" si="227"/>
        <v>Valid</v>
      </c>
      <c r="AN1123" t="str">
        <f t="shared" si="228"/>
        <v>Valid</v>
      </c>
      <c r="AO1123" t="str">
        <f t="shared" si="229"/>
        <v>Valid</v>
      </c>
      <c r="AP1123" t="str">
        <f t="shared" si="230"/>
        <v>Valid</v>
      </c>
      <c r="AQ1123" t="str">
        <f>IF(Audit_Data[[#This Row],[Z_CostContact]]=3,"Valid","Invalid")</f>
        <v>Valid</v>
      </c>
      <c r="AR1123" t="str">
        <f t="shared" si="231"/>
        <v>Valid</v>
      </c>
      <c r="AS1123" t="str">
        <f t="shared" si="232"/>
        <v>Valid</v>
      </c>
    </row>
    <row r="1124" spans="1:45" x14ac:dyDescent="0.3">
      <c r="A1124">
        <v>675</v>
      </c>
      <c r="B1124">
        <v>1973</v>
      </c>
      <c r="C1124" t="s">
        <v>34</v>
      </c>
      <c r="D1124" t="s">
        <v>35</v>
      </c>
      <c r="E1124">
        <v>52034</v>
      </c>
      <c r="F1124">
        <v>1</v>
      </c>
      <c r="G1124">
        <v>1</v>
      </c>
      <c r="H1124" s="1">
        <v>41411</v>
      </c>
      <c r="I1124">
        <v>67</v>
      </c>
      <c r="J1124">
        <v>146</v>
      </c>
      <c r="K1124">
        <v>0</v>
      </c>
      <c r="L1124">
        <v>93</v>
      </c>
      <c r="M1124">
        <v>7</v>
      </c>
      <c r="N1124">
        <v>13</v>
      </c>
      <c r="O1124">
        <v>73</v>
      </c>
      <c r="P1124">
        <v>5</v>
      </c>
      <c r="Q1124">
        <v>4</v>
      </c>
      <c r="R1124">
        <v>2</v>
      </c>
      <c r="S1124">
        <v>5</v>
      </c>
      <c r="T1124">
        <v>7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3</v>
      </c>
      <c r="AB1124">
        <v>11</v>
      </c>
      <c r="AC1124">
        <v>0</v>
      </c>
      <c r="AD1124" t="str">
        <f t="shared" si="221"/>
        <v>Ok</v>
      </c>
      <c r="AE1124" t="str">
        <f>IF(AND(Audit_Data[[#This Row],[Year_Birth]]&gt;=1900,Audit_Data[[#This Row],[Year_Birth]]&lt;=2010),"OK","Invalid")</f>
        <v>OK</v>
      </c>
      <c r="AF1124" t="str">
        <f t="shared" si="222"/>
        <v>Valid</v>
      </c>
      <c r="AG1124" t="str">
        <f t="shared" si="223"/>
        <v>Valid</v>
      </c>
      <c r="AH1124" t="str">
        <f t="shared" si="224"/>
        <v>Valid</v>
      </c>
      <c r="AI1124" t="str">
        <f t="shared" si="225"/>
        <v>Valid</v>
      </c>
      <c r="AJ1124" t="str">
        <f t="shared" si="226"/>
        <v>Valid</v>
      </c>
      <c r="AK1124" t="str">
        <f t="shared" si="233"/>
        <v xml:space="preserve">Valid </v>
      </c>
      <c r="AL1124" t="str">
        <f>IF(AND(Audit_Data[[#This Row],[Recency]]&gt;=0,Audit_Data[[#This Row],[Recency]]&lt;=100),"Valid","Invalid")</f>
        <v>Valid</v>
      </c>
      <c r="AM1124" t="str">
        <f t="shared" si="227"/>
        <v>Valid</v>
      </c>
      <c r="AN1124" t="str">
        <f t="shared" si="228"/>
        <v>Valid</v>
      </c>
      <c r="AO1124" t="str">
        <f t="shared" si="229"/>
        <v>Valid</v>
      </c>
      <c r="AP1124" t="str">
        <f t="shared" si="230"/>
        <v>Valid</v>
      </c>
      <c r="AQ1124" t="str">
        <f>IF(Audit_Data[[#This Row],[Z_CostContact]]=3,"Valid","Invalid")</f>
        <v>Valid</v>
      </c>
      <c r="AR1124" t="str">
        <f t="shared" si="231"/>
        <v>Valid</v>
      </c>
      <c r="AS1124" t="str">
        <f t="shared" si="232"/>
        <v>Valid</v>
      </c>
    </row>
    <row r="1125" spans="1:45" x14ac:dyDescent="0.3">
      <c r="A1125">
        <v>5025</v>
      </c>
      <c r="B1125">
        <v>1979</v>
      </c>
      <c r="C1125" t="s">
        <v>29</v>
      </c>
      <c r="D1125" t="s">
        <v>30</v>
      </c>
      <c r="E1125">
        <v>48526</v>
      </c>
      <c r="F1125">
        <v>1</v>
      </c>
      <c r="G1125">
        <v>0</v>
      </c>
      <c r="H1125" s="1">
        <v>41632</v>
      </c>
      <c r="I1125">
        <v>32</v>
      </c>
      <c r="J1125">
        <v>23</v>
      </c>
      <c r="K1125">
        <v>17</v>
      </c>
      <c r="L1125">
        <v>23</v>
      </c>
      <c r="M1125">
        <v>43</v>
      </c>
      <c r="N1125">
        <v>20</v>
      </c>
      <c r="O1125">
        <v>9</v>
      </c>
      <c r="P1125">
        <v>1</v>
      </c>
      <c r="Q1125">
        <v>2</v>
      </c>
      <c r="R1125">
        <v>1</v>
      </c>
      <c r="S1125">
        <v>4</v>
      </c>
      <c r="T1125">
        <v>3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3</v>
      </c>
      <c r="AB1125">
        <v>11</v>
      </c>
      <c r="AC1125">
        <v>0</v>
      </c>
      <c r="AD1125" t="str">
        <f t="shared" si="221"/>
        <v>Ok</v>
      </c>
      <c r="AE1125" t="str">
        <f>IF(AND(Audit_Data[[#This Row],[Year_Birth]]&gt;=1900,Audit_Data[[#This Row],[Year_Birth]]&lt;=2010),"OK","Invalid")</f>
        <v>OK</v>
      </c>
      <c r="AF1125" t="str">
        <f t="shared" si="222"/>
        <v>Valid</v>
      </c>
      <c r="AG1125" t="str">
        <f t="shared" si="223"/>
        <v>Valid</v>
      </c>
      <c r="AH1125" t="str">
        <f t="shared" si="224"/>
        <v>Valid</v>
      </c>
      <c r="AI1125" t="str">
        <f t="shared" si="225"/>
        <v>Valid</v>
      </c>
      <c r="AJ1125" t="str">
        <f t="shared" si="226"/>
        <v>Valid</v>
      </c>
      <c r="AK1125" t="str">
        <f t="shared" si="233"/>
        <v xml:space="preserve">Valid </v>
      </c>
      <c r="AL1125" t="str">
        <f>IF(AND(Audit_Data[[#This Row],[Recency]]&gt;=0,Audit_Data[[#This Row],[Recency]]&lt;=100),"Valid","Invalid")</f>
        <v>Valid</v>
      </c>
      <c r="AM1125" t="str">
        <f t="shared" si="227"/>
        <v>Valid</v>
      </c>
      <c r="AN1125" t="str">
        <f t="shared" si="228"/>
        <v>Valid</v>
      </c>
      <c r="AO1125" t="str">
        <f t="shared" si="229"/>
        <v>Valid</v>
      </c>
      <c r="AP1125" t="str">
        <f t="shared" si="230"/>
        <v>Valid</v>
      </c>
      <c r="AQ1125" t="str">
        <f>IF(Audit_Data[[#This Row],[Z_CostContact]]=3,"Valid","Invalid")</f>
        <v>Valid</v>
      </c>
      <c r="AR1125" t="str">
        <f t="shared" si="231"/>
        <v>Valid</v>
      </c>
      <c r="AS1125" t="str">
        <f t="shared" si="232"/>
        <v>Valid</v>
      </c>
    </row>
    <row r="1126" spans="1:45" x14ac:dyDescent="0.3">
      <c r="A1126">
        <v>2308</v>
      </c>
      <c r="B1126">
        <v>1954</v>
      </c>
      <c r="C1126" t="s">
        <v>29</v>
      </c>
      <c r="D1126" t="s">
        <v>33</v>
      </c>
      <c r="E1126">
        <v>46734</v>
      </c>
      <c r="F1126">
        <v>0</v>
      </c>
      <c r="G1126">
        <v>1</v>
      </c>
      <c r="H1126" s="1">
        <v>41231</v>
      </c>
      <c r="I1126">
        <v>40</v>
      </c>
      <c r="J1126">
        <v>110</v>
      </c>
      <c r="K1126">
        <v>5</v>
      </c>
      <c r="L1126">
        <v>137</v>
      </c>
      <c r="M1126">
        <v>26</v>
      </c>
      <c r="N1126">
        <v>23</v>
      </c>
      <c r="O1126">
        <v>29</v>
      </c>
      <c r="P1126">
        <v>2</v>
      </c>
      <c r="Q1126">
        <v>6</v>
      </c>
      <c r="R1126">
        <v>1</v>
      </c>
      <c r="S1126">
        <v>5</v>
      </c>
      <c r="T1126">
        <v>7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3</v>
      </c>
      <c r="AB1126">
        <v>11</v>
      </c>
      <c r="AC1126">
        <v>0</v>
      </c>
      <c r="AD1126" t="str">
        <f t="shared" si="221"/>
        <v>Ok</v>
      </c>
      <c r="AE1126" t="str">
        <f>IF(AND(Audit_Data[[#This Row],[Year_Birth]]&gt;=1900,Audit_Data[[#This Row],[Year_Birth]]&lt;=2010),"OK","Invalid")</f>
        <v>OK</v>
      </c>
      <c r="AF1126" t="str">
        <f t="shared" si="222"/>
        <v>Valid</v>
      </c>
      <c r="AG1126" t="str">
        <f t="shared" si="223"/>
        <v>Valid</v>
      </c>
      <c r="AH1126" t="str">
        <f t="shared" si="224"/>
        <v>Valid</v>
      </c>
      <c r="AI1126" t="str">
        <f t="shared" si="225"/>
        <v>Valid</v>
      </c>
      <c r="AJ1126" t="str">
        <f t="shared" si="226"/>
        <v>Valid</v>
      </c>
      <c r="AK1126" t="str">
        <f t="shared" si="233"/>
        <v xml:space="preserve">Valid </v>
      </c>
      <c r="AL1126" t="str">
        <f>IF(AND(Audit_Data[[#This Row],[Recency]]&gt;=0,Audit_Data[[#This Row],[Recency]]&lt;=100),"Valid","Invalid")</f>
        <v>Valid</v>
      </c>
      <c r="AM1126" t="str">
        <f t="shared" si="227"/>
        <v>Valid</v>
      </c>
      <c r="AN1126" t="str">
        <f t="shared" si="228"/>
        <v>Valid</v>
      </c>
      <c r="AO1126" t="str">
        <f t="shared" si="229"/>
        <v>Valid</v>
      </c>
      <c r="AP1126" t="str">
        <f t="shared" si="230"/>
        <v>Valid</v>
      </c>
      <c r="AQ1126" t="str">
        <f>IF(Audit_Data[[#This Row],[Z_CostContact]]=3,"Valid","Invalid")</f>
        <v>Valid</v>
      </c>
      <c r="AR1126" t="str">
        <f t="shared" si="231"/>
        <v>Valid</v>
      </c>
      <c r="AS1126" t="str">
        <f t="shared" si="232"/>
        <v>Valid</v>
      </c>
    </row>
    <row r="1127" spans="1:45" x14ac:dyDescent="0.3">
      <c r="A1127">
        <v>5995</v>
      </c>
      <c r="B1127">
        <v>1962</v>
      </c>
      <c r="C1127" t="s">
        <v>29</v>
      </c>
      <c r="D1127" t="s">
        <v>35</v>
      </c>
      <c r="E1127">
        <v>39552</v>
      </c>
      <c r="F1127">
        <v>1</v>
      </c>
      <c r="G1127">
        <v>1</v>
      </c>
      <c r="H1127" s="1">
        <v>41261</v>
      </c>
      <c r="I1127">
        <v>54</v>
      </c>
      <c r="J1127">
        <v>165</v>
      </c>
      <c r="K1127">
        <v>3</v>
      </c>
      <c r="L1127">
        <v>147</v>
      </c>
      <c r="M1127">
        <v>4</v>
      </c>
      <c r="N1127">
        <v>24</v>
      </c>
      <c r="O1127">
        <v>41</v>
      </c>
      <c r="P1127">
        <v>7</v>
      </c>
      <c r="Q1127">
        <v>6</v>
      </c>
      <c r="R1127">
        <v>2</v>
      </c>
      <c r="S1127">
        <v>5</v>
      </c>
      <c r="T1127">
        <v>8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3</v>
      </c>
      <c r="AB1127">
        <v>11</v>
      </c>
      <c r="AC1127">
        <v>1</v>
      </c>
      <c r="AD1127" t="str">
        <f t="shared" si="221"/>
        <v>Ok</v>
      </c>
      <c r="AE1127" t="str">
        <f>IF(AND(Audit_Data[[#This Row],[Year_Birth]]&gt;=1900,Audit_Data[[#This Row],[Year_Birth]]&lt;=2010),"OK","Invalid")</f>
        <v>OK</v>
      </c>
      <c r="AF1127" t="str">
        <f t="shared" si="222"/>
        <v>Valid</v>
      </c>
      <c r="AG1127" t="str">
        <f t="shared" si="223"/>
        <v>Valid</v>
      </c>
      <c r="AH1127" t="str">
        <f t="shared" si="224"/>
        <v>Valid</v>
      </c>
      <c r="AI1127" t="str">
        <f t="shared" si="225"/>
        <v>Valid</v>
      </c>
      <c r="AJ1127" t="str">
        <f t="shared" si="226"/>
        <v>Valid</v>
      </c>
      <c r="AK1127" t="str">
        <f t="shared" si="233"/>
        <v xml:space="preserve">Valid </v>
      </c>
      <c r="AL1127" t="str">
        <f>IF(AND(Audit_Data[[#This Row],[Recency]]&gt;=0,Audit_Data[[#This Row],[Recency]]&lt;=100),"Valid","Invalid")</f>
        <v>Valid</v>
      </c>
      <c r="AM1127" t="str">
        <f t="shared" si="227"/>
        <v>Valid</v>
      </c>
      <c r="AN1127" t="str">
        <f t="shared" si="228"/>
        <v>Valid</v>
      </c>
      <c r="AO1127" t="str">
        <f t="shared" si="229"/>
        <v>Valid</v>
      </c>
      <c r="AP1127" t="str">
        <f t="shared" si="230"/>
        <v>Valid</v>
      </c>
      <c r="AQ1127" t="str">
        <f>IF(Audit_Data[[#This Row],[Z_CostContact]]=3,"Valid","Invalid")</f>
        <v>Valid</v>
      </c>
      <c r="AR1127" t="str">
        <f t="shared" si="231"/>
        <v>Valid</v>
      </c>
      <c r="AS1127" t="str">
        <f t="shared" si="232"/>
        <v>Valid</v>
      </c>
    </row>
    <row r="1128" spans="1:45" x14ac:dyDescent="0.3">
      <c r="A1128">
        <v>6749</v>
      </c>
      <c r="B1128">
        <v>1966</v>
      </c>
      <c r="C1128" t="s">
        <v>29</v>
      </c>
      <c r="D1128" t="s">
        <v>30</v>
      </c>
      <c r="E1128">
        <v>86358</v>
      </c>
      <c r="F1128">
        <v>1</v>
      </c>
      <c r="G1128">
        <v>1</v>
      </c>
      <c r="H1128" s="1">
        <v>41129</v>
      </c>
      <c r="I1128">
        <v>78</v>
      </c>
      <c r="J1128">
        <v>957</v>
      </c>
      <c r="K1128">
        <v>47</v>
      </c>
      <c r="L1128">
        <v>494</v>
      </c>
      <c r="M1128">
        <v>82</v>
      </c>
      <c r="N1128">
        <v>47</v>
      </c>
      <c r="O1128">
        <v>95</v>
      </c>
      <c r="P1128">
        <v>4</v>
      </c>
      <c r="Q1128">
        <v>5</v>
      </c>
      <c r="R1128">
        <v>3</v>
      </c>
      <c r="S1128">
        <v>6</v>
      </c>
      <c r="T1128">
        <v>8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3</v>
      </c>
      <c r="AB1128">
        <v>11</v>
      </c>
      <c r="AC1128">
        <v>0</v>
      </c>
      <c r="AD1128" t="str">
        <f t="shared" si="221"/>
        <v>Ok</v>
      </c>
      <c r="AE1128" t="str">
        <f>IF(AND(Audit_Data[[#This Row],[Year_Birth]]&gt;=1900,Audit_Data[[#This Row],[Year_Birth]]&lt;=2010),"OK","Invalid")</f>
        <v>OK</v>
      </c>
      <c r="AF1128" t="str">
        <f t="shared" si="222"/>
        <v>Valid</v>
      </c>
      <c r="AG1128" t="str">
        <f t="shared" si="223"/>
        <v>Valid</v>
      </c>
      <c r="AH1128" t="str">
        <f t="shared" si="224"/>
        <v>Valid</v>
      </c>
      <c r="AI1128" t="str">
        <f t="shared" si="225"/>
        <v>Valid</v>
      </c>
      <c r="AJ1128" t="str">
        <f t="shared" si="226"/>
        <v>Valid</v>
      </c>
      <c r="AK1128" t="str">
        <f t="shared" si="233"/>
        <v xml:space="preserve">Valid </v>
      </c>
      <c r="AL1128" t="str">
        <f>IF(AND(Audit_Data[[#This Row],[Recency]]&gt;=0,Audit_Data[[#This Row],[Recency]]&lt;=100),"Valid","Invalid")</f>
        <v>Valid</v>
      </c>
      <c r="AM1128" t="str">
        <f t="shared" si="227"/>
        <v>Valid</v>
      </c>
      <c r="AN1128" t="str">
        <f t="shared" si="228"/>
        <v>Valid</v>
      </c>
      <c r="AO1128" t="str">
        <f t="shared" si="229"/>
        <v>Valid</v>
      </c>
      <c r="AP1128" t="str">
        <f t="shared" si="230"/>
        <v>Valid</v>
      </c>
      <c r="AQ1128" t="str">
        <f>IF(Audit_Data[[#This Row],[Z_CostContact]]=3,"Valid","Invalid")</f>
        <v>Valid</v>
      </c>
      <c r="AR1128" t="str">
        <f t="shared" si="231"/>
        <v>Valid</v>
      </c>
      <c r="AS1128" t="str">
        <f t="shared" si="232"/>
        <v>Valid</v>
      </c>
    </row>
    <row r="1129" spans="1:45" x14ac:dyDescent="0.3">
      <c r="A1129">
        <v>1010</v>
      </c>
      <c r="B1129">
        <v>1977</v>
      </c>
      <c r="C1129" t="s">
        <v>29</v>
      </c>
      <c r="D1129" t="s">
        <v>31</v>
      </c>
      <c r="E1129">
        <v>46931</v>
      </c>
      <c r="F1129">
        <v>2</v>
      </c>
      <c r="G1129">
        <v>1</v>
      </c>
      <c r="H1129" s="1">
        <v>41753</v>
      </c>
      <c r="I1129">
        <v>94</v>
      </c>
      <c r="J1129">
        <v>41</v>
      </c>
      <c r="K1129">
        <v>0</v>
      </c>
      <c r="L1129">
        <v>17</v>
      </c>
      <c r="M1129">
        <v>3</v>
      </c>
      <c r="N1129">
        <v>1</v>
      </c>
      <c r="O1129">
        <v>16</v>
      </c>
      <c r="P1129">
        <v>2</v>
      </c>
      <c r="Q1129">
        <v>1</v>
      </c>
      <c r="R1129">
        <v>1</v>
      </c>
      <c r="S1129">
        <v>3</v>
      </c>
      <c r="T1129">
        <v>3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3</v>
      </c>
      <c r="AB1129">
        <v>11</v>
      </c>
      <c r="AC1129">
        <v>0</v>
      </c>
      <c r="AD1129" t="str">
        <f t="shared" si="221"/>
        <v>Ok</v>
      </c>
      <c r="AE1129" t="str">
        <f>IF(AND(Audit_Data[[#This Row],[Year_Birth]]&gt;=1900,Audit_Data[[#This Row],[Year_Birth]]&lt;=2010),"OK","Invalid")</f>
        <v>OK</v>
      </c>
      <c r="AF1129" t="str">
        <f t="shared" si="222"/>
        <v>Valid</v>
      </c>
      <c r="AG1129" t="str">
        <f t="shared" si="223"/>
        <v>Valid</v>
      </c>
      <c r="AH1129" t="str">
        <f t="shared" si="224"/>
        <v>Valid</v>
      </c>
      <c r="AI1129" t="str">
        <f t="shared" si="225"/>
        <v>Valid</v>
      </c>
      <c r="AJ1129" t="str">
        <f t="shared" si="226"/>
        <v>Valid</v>
      </c>
      <c r="AK1129" t="str">
        <f t="shared" si="233"/>
        <v xml:space="preserve">Valid </v>
      </c>
      <c r="AL1129" t="str">
        <f>IF(AND(Audit_Data[[#This Row],[Recency]]&gt;=0,Audit_Data[[#This Row],[Recency]]&lt;=100),"Valid","Invalid")</f>
        <v>Valid</v>
      </c>
      <c r="AM1129" t="str">
        <f t="shared" si="227"/>
        <v>Valid</v>
      </c>
      <c r="AN1129" t="str">
        <f t="shared" si="228"/>
        <v>Valid</v>
      </c>
      <c r="AO1129" t="str">
        <f t="shared" si="229"/>
        <v>Valid</v>
      </c>
      <c r="AP1129" t="str">
        <f t="shared" si="230"/>
        <v>Valid</v>
      </c>
      <c r="AQ1129" t="str">
        <f>IF(Audit_Data[[#This Row],[Z_CostContact]]=3,"Valid","Invalid")</f>
        <v>Valid</v>
      </c>
      <c r="AR1129" t="str">
        <f t="shared" si="231"/>
        <v>Valid</v>
      </c>
      <c r="AS1129" t="str">
        <f t="shared" si="232"/>
        <v>Valid</v>
      </c>
    </row>
    <row r="1130" spans="1:45" x14ac:dyDescent="0.3">
      <c r="A1130">
        <v>8977</v>
      </c>
      <c r="B1130">
        <v>1985</v>
      </c>
      <c r="C1130" t="s">
        <v>36</v>
      </c>
      <c r="D1130" t="s">
        <v>30</v>
      </c>
      <c r="E1130">
        <v>16581</v>
      </c>
      <c r="F1130">
        <v>0</v>
      </c>
      <c r="G1130">
        <v>0</v>
      </c>
      <c r="H1130" s="1">
        <v>41286</v>
      </c>
      <c r="I1130">
        <v>51</v>
      </c>
      <c r="J1130">
        <v>1</v>
      </c>
      <c r="K1130">
        <v>3</v>
      </c>
      <c r="L1130">
        <v>4</v>
      </c>
      <c r="M1130">
        <v>2</v>
      </c>
      <c r="N1130">
        <v>3</v>
      </c>
      <c r="O1130">
        <v>11</v>
      </c>
      <c r="P1130">
        <v>1</v>
      </c>
      <c r="Q1130">
        <v>0</v>
      </c>
      <c r="R1130">
        <v>0</v>
      </c>
      <c r="S1130">
        <v>3</v>
      </c>
      <c r="T1130">
        <v>4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3</v>
      </c>
      <c r="AB1130">
        <v>11</v>
      </c>
      <c r="AC1130">
        <v>0</v>
      </c>
      <c r="AD1130" t="str">
        <f t="shared" si="221"/>
        <v>Ok</v>
      </c>
      <c r="AE1130" t="str">
        <f>IF(AND(Audit_Data[[#This Row],[Year_Birth]]&gt;=1900,Audit_Data[[#This Row],[Year_Birth]]&lt;=2010),"OK","Invalid")</f>
        <v>OK</v>
      </c>
      <c r="AF1130" t="str">
        <f t="shared" si="222"/>
        <v>Valid</v>
      </c>
      <c r="AG1130" t="str">
        <f t="shared" si="223"/>
        <v>Valid</v>
      </c>
      <c r="AH1130" t="str">
        <f t="shared" si="224"/>
        <v>Valid</v>
      </c>
      <c r="AI1130" t="str">
        <f t="shared" si="225"/>
        <v>Valid</v>
      </c>
      <c r="AJ1130" t="str">
        <f t="shared" si="226"/>
        <v>Valid</v>
      </c>
      <c r="AK1130" t="str">
        <f t="shared" si="233"/>
        <v xml:space="preserve">Valid </v>
      </c>
      <c r="AL1130" t="str">
        <f>IF(AND(Audit_Data[[#This Row],[Recency]]&gt;=0,Audit_Data[[#This Row],[Recency]]&lt;=100),"Valid","Invalid")</f>
        <v>Valid</v>
      </c>
      <c r="AM1130" t="str">
        <f t="shared" si="227"/>
        <v>Valid</v>
      </c>
      <c r="AN1130" t="str">
        <f t="shared" si="228"/>
        <v>Valid</v>
      </c>
      <c r="AO1130" t="str">
        <f t="shared" si="229"/>
        <v>Valid</v>
      </c>
      <c r="AP1130" t="str">
        <f t="shared" si="230"/>
        <v>Valid</v>
      </c>
      <c r="AQ1130" t="str">
        <f>IF(Audit_Data[[#This Row],[Z_CostContact]]=3,"Valid","Invalid")</f>
        <v>Valid</v>
      </c>
      <c r="AR1130" t="str">
        <f t="shared" si="231"/>
        <v>Valid</v>
      </c>
      <c r="AS1130" t="str">
        <f t="shared" si="232"/>
        <v>Valid</v>
      </c>
    </row>
    <row r="1131" spans="1:45" x14ac:dyDescent="0.3">
      <c r="A1131">
        <v>4756</v>
      </c>
      <c r="B1131">
        <v>1952</v>
      </c>
      <c r="C1131" t="s">
        <v>37</v>
      </c>
      <c r="D1131" t="s">
        <v>35</v>
      </c>
      <c r="E1131">
        <v>63998</v>
      </c>
      <c r="F1131">
        <v>0</v>
      </c>
      <c r="G1131">
        <v>0</v>
      </c>
      <c r="H1131" s="1">
        <v>41628</v>
      </c>
      <c r="I1131">
        <v>42</v>
      </c>
      <c r="J1131">
        <v>176</v>
      </c>
      <c r="K1131">
        <v>29</v>
      </c>
      <c r="L1131">
        <v>818</v>
      </c>
      <c r="M1131">
        <v>0</v>
      </c>
      <c r="N1131">
        <v>33</v>
      </c>
      <c r="O1131">
        <v>112</v>
      </c>
      <c r="P1131">
        <v>1</v>
      </c>
      <c r="Q1131">
        <v>7</v>
      </c>
      <c r="R1131">
        <v>6</v>
      </c>
      <c r="S1131">
        <v>11</v>
      </c>
      <c r="T1131">
        <v>4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3</v>
      </c>
      <c r="AB1131">
        <v>11</v>
      </c>
      <c r="AC1131">
        <v>1</v>
      </c>
      <c r="AD1131" t="str">
        <f t="shared" si="221"/>
        <v>Ok</v>
      </c>
      <c r="AE1131" t="str">
        <f>IF(AND(Audit_Data[[#This Row],[Year_Birth]]&gt;=1900,Audit_Data[[#This Row],[Year_Birth]]&lt;=2010),"OK","Invalid")</f>
        <v>OK</v>
      </c>
      <c r="AF1131" t="str">
        <f t="shared" si="222"/>
        <v>Valid</v>
      </c>
      <c r="AG1131" t="str">
        <f t="shared" si="223"/>
        <v>Valid</v>
      </c>
      <c r="AH1131" t="str">
        <f t="shared" si="224"/>
        <v>Valid</v>
      </c>
      <c r="AI1131" t="str">
        <f t="shared" si="225"/>
        <v>Valid</v>
      </c>
      <c r="AJ1131" t="str">
        <f t="shared" si="226"/>
        <v>Valid</v>
      </c>
      <c r="AK1131" t="str">
        <f t="shared" si="233"/>
        <v xml:space="preserve">Valid </v>
      </c>
      <c r="AL1131" t="str">
        <f>IF(AND(Audit_Data[[#This Row],[Recency]]&gt;=0,Audit_Data[[#This Row],[Recency]]&lt;=100),"Valid","Invalid")</f>
        <v>Valid</v>
      </c>
      <c r="AM1131" t="str">
        <f t="shared" si="227"/>
        <v>Valid</v>
      </c>
      <c r="AN1131" t="str">
        <f t="shared" si="228"/>
        <v>Valid</v>
      </c>
      <c r="AO1131" t="str">
        <f t="shared" si="229"/>
        <v>Valid</v>
      </c>
      <c r="AP1131" t="str">
        <f t="shared" si="230"/>
        <v>Valid</v>
      </c>
      <c r="AQ1131" t="str">
        <f>IF(Audit_Data[[#This Row],[Z_CostContact]]=3,"Valid","Invalid")</f>
        <v>Valid</v>
      </c>
      <c r="AR1131" t="str">
        <f t="shared" si="231"/>
        <v>Valid</v>
      </c>
      <c r="AS1131" t="str">
        <f t="shared" si="232"/>
        <v>Valid</v>
      </c>
    </row>
    <row r="1132" spans="1:45" x14ac:dyDescent="0.3">
      <c r="A1132">
        <v>3412</v>
      </c>
      <c r="B1132">
        <v>1951</v>
      </c>
      <c r="C1132" t="s">
        <v>34</v>
      </c>
      <c r="D1132" t="s">
        <v>33</v>
      </c>
      <c r="E1132">
        <v>67381</v>
      </c>
      <c r="F1132">
        <v>0</v>
      </c>
      <c r="G1132">
        <v>1</v>
      </c>
      <c r="H1132" s="1">
        <v>41289</v>
      </c>
      <c r="I1132">
        <v>67</v>
      </c>
      <c r="J1132">
        <v>815</v>
      </c>
      <c r="K1132">
        <v>8</v>
      </c>
      <c r="L1132">
        <v>53</v>
      </c>
      <c r="M1132">
        <v>11</v>
      </c>
      <c r="N1132">
        <v>0</v>
      </c>
      <c r="O1132">
        <v>70</v>
      </c>
      <c r="P1132">
        <v>4</v>
      </c>
      <c r="Q1132">
        <v>2</v>
      </c>
      <c r="R1132">
        <v>2</v>
      </c>
      <c r="S1132">
        <v>9</v>
      </c>
      <c r="T1132">
        <v>7</v>
      </c>
      <c r="U1132">
        <v>0</v>
      </c>
      <c r="V1132">
        <v>1</v>
      </c>
      <c r="W1132">
        <v>0</v>
      </c>
      <c r="X1132">
        <v>0</v>
      </c>
      <c r="Y1132">
        <v>0</v>
      </c>
      <c r="Z1132">
        <v>0</v>
      </c>
      <c r="AA1132">
        <v>3</v>
      </c>
      <c r="AB1132">
        <v>11</v>
      </c>
      <c r="AC1132">
        <v>0</v>
      </c>
      <c r="AD1132" t="str">
        <f t="shared" si="221"/>
        <v>Ok</v>
      </c>
      <c r="AE1132" t="str">
        <f>IF(AND(Audit_Data[[#This Row],[Year_Birth]]&gt;=1900,Audit_Data[[#This Row],[Year_Birth]]&lt;=2010),"OK","Invalid")</f>
        <v>OK</v>
      </c>
      <c r="AF1132" t="str">
        <f t="shared" si="222"/>
        <v>Valid</v>
      </c>
      <c r="AG1132" t="str">
        <f t="shared" si="223"/>
        <v>Valid</v>
      </c>
      <c r="AH1132" t="str">
        <f t="shared" si="224"/>
        <v>Valid</v>
      </c>
      <c r="AI1132" t="str">
        <f t="shared" si="225"/>
        <v>Valid</v>
      </c>
      <c r="AJ1132" t="str">
        <f t="shared" si="226"/>
        <v>Valid</v>
      </c>
      <c r="AK1132" t="str">
        <f t="shared" si="233"/>
        <v xml:space="preserve">Valid </v>
      </c>
      <c r="AL1132" t="str">
        <f>IF(AND(Audit_Data[[#This Row],[Recency]]&gt;=0,Audit_Data[[#This Row],[Recency]]&lt;=100),"Valid","Invalid")</f>
        <v>Valid</v>
      </c>
      <c r="AM1132" t="str">
        <f t="shared" si="227"/>
        <v>Valid</v>
      </c>
      <c r="AN1132" t="str">
        <f t="shared" si="228"/>
        <v>Valid</v>
      </c>
      <c r="AO1132" t="str">
        <f t="shared" si="229"/>
        <v>Valid</v>
      </c>
      <c r="AP1132" t="str">
        <f t="shared" si="230"/>
        <v>Valid</v>
      </c>
      <c r="AQ1132" t="str">
        <f>IF(Audit_Data[[#This Row],[Z_CostContact]]=3,"Valid","Invalid")</f>
        <v>Valid</v>
      </c>
      <c r="AR1132" t="str">
        <f t="shared" si="231"/>
        <v>Valid</v>
      </c>
      <c r="AS1132" t="str">
        <f t="shared" si="232"/>
        <v>Valid</v>
      </c>
    </row>
    <row r="1133" spans="1:45" x14ac:dyDescent="0.3">
      <c r="A1133">
        <v>606</v>
      </c>
      <c r="B1133">
        <v>1967</v>
      </c>
      <c r="C1133" t="s">
        <v>29</v>
      </c>
      <c r="D1133" t="s">
        <v>30</v>
      </c>
      <c r="E1133">
        <v>25930</v>
      </c>
      <c r="F1133">
        <v>1</v>
      </c>
      <c r="G1133">
        <v>1</v>
      </c>
      <c r="H1133" s="1">
        <v>41557</v>
      </c>
      <c r="I1133">
        <v>87</v>
      </c>
      <c r="J1133">
        <v>6</v>
      </c>
      <c r="K1133">
        <v>1</v>
      </c>
      <c r="L1133">
        <v>2</v>
      </c>
      <c r="M1133">
        <v>2</v>
      </c>
      <c r="N1133">
        <v>0</v>
      </c>
      <c r="O1133">
        <v>4</v>
      </c>
      <c r="P1133">
        <v>1</v>
      </c>
      <c r="Q1133">
        <v>1</v>
      </c>
      <c r="R1133">
        <v>0</v>
      </c>
      <c r="S1133">
        <v>2</v>
      </c>
      <c r="T1133">
        <v>7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3</v>
      </c>
      <c r="AB1133">
        <v>11</v>
      </c>
      <c r="AC1133">
        <v>0</v>
      </c>
      <c r="AD1133" t="str">
        <f t="shared" si="221"/>
        <v>Ok</v>
      </c>
      <c r="AE1133" t="str">
        <f>IF(AND(Audit_Data[[#This Row],[Year_Birth]]&gt;=1900,Audit_Data[[#This Row],[Year_Birth]]&lt;=2010),"OK","Invalid")</f>
        <v>OK</v>
      </c>
      <c r="AF1133" t="str">
        <f t="shared" si="222"/>
        <v>Valid</v>
      </c>
      <c r="AG1133" t="str">
        <f t="shared" si="223"/>
        <v>Valid</v>
      </c>
      <c r="AH1133" t="str">
        <f t="shared" si="224"/>
        <v>Valid</v>
      </c>
      <c r="AI1133" t="str">
        <f t="shared" si="225"/>
        <v>Valid</v>
      </c>
      <c r="AJ1133" t="str">
        <f t="shared" si="226"/>
        <v>Valid</v>
      </c>
      <c r="AK1133" t="str">
        <f t="shared" si="233"/>
        <v xml:space="preserve">Valid </v>
      </c>
      <c r="AL1133" t="str">
        <f>IF(AND(Audit_Data[[#This Row],[Recency]]&gt;=0,Audit_Data[[#This Row],[Recency]]&lt;=100),"Valid","Invalid")</f>
        <v>Valid</v>
      </c>
      <c r="AM1133" t="str">
        <f t="shared" si="227"/>
        <v>Valid</v>
      </c>
      <c r="AN1133" t="str">
        <f t="shared" si="228"/>
        <v>Valid</v>
      </c>
      <c r="AO1133" t="str">
        <f t="shared" si="229"/>
        <v>Valid</v>
      </c>
      <c r="AP1133" t="str">
        <f t="shared" si="230"/>
        <v>Valid</v>
      </c>
      <c r="AQ1133" t="str">
        <f>IF(Audit_Data[[#This Row],[Z_CostContact]]=3,"Valid","Invalid")</f>
        <v>Valid</v>
      </c>
      <c r="AR1133" t="str">
        <f t="shared" si="231"/>
        <v>Valid</v>
      </c>
      <c r="AS1133" t="str">
        <f t="shared" si="232"/>
        <v>Valid</v>
      </c>
    </row>
    <row r="1134" spans="1:45" x14ac:dyDescent="0.3">
      <c r="A1134">
        <v>5961</v>
      </c>
      <c r="B1134">
        <v>1978</v>
      </c>
      <c r="C1134" t="s">
        <v>29</v>
      </c>
      <c r="D1134" t="s">
        <v>33</v>
      </c>
      <c r="E1134">
        <v>42693</v>
      </c>
      <c r="F1134">
        <v>1</v>
      </c>
      <c r="G1134">
        <v>0</v>
      </c>
      <c r="H1134" s="1">
        <v>41797</v>
      </c>
      <c r="I1134">
        <v>29</v>
      </c>
      <c r="J1134">
        <v>8</v>
      </c>
      <c r="K1134">
        <v>4</v>
      </c>
      <c r="L1134">
        <v>20</v>
      </c>
      <c r="M1134">
        <v>6</v>
      </c>
      <c r="N1134">
        <v>3</v>
      </c>
      <c r="O1134">
        <v>16</v>
      </c>
      <c r="P1134">
        <v>1</v>
      </c>
      <c r="Q1134">
        <v>1</v>
      </c>
      <c r="R1134">
        <v>0</v>
      </c>
      <c r="S1134">
        <v>3</v>
      </c>
      <c r="T1134">
        <v>5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3</v>
      </c>
      <c r="AB1134">
        <v>11</v>
      </c>
      <c r="AC1134">
        <v>0</v>
      </c>
      <c r="AD1134" t="str">
        <f t="shared" si="221"/>
        <v>Ok</v>
      </c>
      <c r="AE1134" t="str">
        <f>IF(AND(Audit_Data[[#This Row],[Year_Birth]]&gt;=1900,Audit_Data[[#This Row],[Year_Birth]]&lt;=2010),"OK","Invalid")</f>
        <v>OK</v>
      </c>
      <c r="AF1134" t="str">
        <f t="shared" si="222"/>
        <v>Valid</v>
      </c>
      <c r="AG1134" t="str">
        <f t="shared" si="223"/>
        <v>Valid</v>
      </c>
      <c r="AH1134" t="str">
        <f t="shared" si="224"/>
        <v>Valid</v>
      </c>
      <c r="AI1134" t="str">
        <f t="shared" si="225"/>
        <v>Valid</v>
      </c>
      <c r="AJ1134" t="str">
        <f t="shared" si="226"/>
        <v>Valid</v>
      </c>
      <c r="AK1134" t="str">
        <f t="shared" si="233"/>
        <v xml:space="preserve">Valid </v>
      </c>
      <c r="AL1134" t="str">
        <f>IF(AND(Audit_Data[[#This Row],[Recency]]&gt;=0,Audit_Data[[#This Row],[Recency]]&lt;=100),"Valid","Invalid")</f>
        <v>Valid</v>
      </c>
      <c r="AM1134" t="str">
        <f t="shared" si="227"/>
        <v>Valid</v>
      </c>
      <c r="AN1134" t="str">
        <f t="shared" si="228"/>
        <v>Valid</v>
      </c>
      <c r="AO1134" t="str">
        <f t="shared" si="229"/>
        <v>Valid</v>
      </c>
      <c r="AP1134" t="str">
        <f t="shared" si="230"/>
        <v>Valid</v>
      </c>
      <c r="AQ1134" t="str">
        <f>IF(Audit_Data[[#This Row],[Z_CostContact]]=3,"Valid","Invalid")</f>
        <v>Valid</v>
      </c>
      <c r="AR1134" t="str">
        <f t="shared" si="231"/>
        <v>Valid</v>
      </c>
      <c r="AS1134" t="str">
        <f t="shared" si="232"/>
        <v>Valid</v>
      </c>
    </row>
    <row r="1135" spans="1:45" x14ac:dyDescent="0.3">
      <c r="A1135">
        <v>2975</v>
      </c>
      <c r="B1135">
        <v>1976</v>
      </c>
      <c r="C1135" t="s">
        <v>29</v>
      </c>
      <c r="D1135" t="s">
        <v>31</v>
      </c>
      <c r="E1135">
        <v>85606</v>
      </c>
      <c r="F1135">
        <v>0</v>
      </c>
      <c r="G1135">
        <v>1</v>
      </c>
      <c r="H1135" s="1">
        <v>41225</v>
      </c>
      <c r="I1135">
        <v>89</v>
      </c>
      <c r="J1135">
        <v>717</v>
      </c>
      <c r="K1135">
        <v>42</v>
      </c>
      <c r="L1135">
        <v>864</v>
      </c>
      <c r="M1135">
        <v>219</v>
      </c>
      <c r="N1135">
        <v>30</v>
      </c>
      <c r="O1135">
        <v>84</v>
      </c>
      <c r="P1135">
        <v>2</v>
      </c>
      <c r="Q1135">
        <v>6</v>
      </c>
      <c r="R1135">
        <v>7</v>
      </c>
      <c r="S1135">
        <v>9</v>
      </c>
      <c r="T1135">
        <v>3</v>
      </c>
      <c r="U1135">
        <v>0</v>
      </c>
      <c r="V1135">
        <v>0</v>
      </c>
      <c r="W1135">
        <v>0</v>
      </c>
      <c r="X1135">
        <v>1</v>
      </c>
      <c r="Y1135">
        <v>0</v>
      </c>
      <c r="Z1135">
        <v>0</v>
      </c>
      <c r="AA1135">
        <v>3</v>
      </c>
      <c r="AB1135">
        <v>11</v>
      </c>
      <c r="AC1135">
        <v>0</v>
      </c>
      <c r="AD1135" t="str">
        <f t="shared" si="221"/>
        <v>Ok</v>
      </c>
      <c r="AE1135" t="str">
        <f>IF(AND(Audit_Data[[#This Row],[Year_Birth]]&gt;=1900,Audit_Data[[#This Row],[Year_Birth]]&lt;=2010),"OK","Invalid")</f>
        <v>OK</v>
      </c>
      <c r="AF1135" t="str">
        <f t="shared" si="222"/>
        <v>Valid</v>
      </c>
      <c r="AG1135" t="str">
        <f t="shared" si="223"/>
        <v>Valid</v>
      </c>
      <c r="AH1135" t="str">
        <f t="shared" si="224"/>
        <v>Valid</v>
      </c>
      <c r="AI1135" t="str">
        <f t="shared" si="225"/>
        <v>Valid</v>
      </c>
      <c r="AJ1135" t="str">
        <f t="shared" si="226"/>
        <v>Valid</v>
      </c>
      <c r="AK1135" t="str">
        <f t="shared" si="233"/>
        <v xml:space="preserve">Valid </v>
      </c>
      <c r="AL1135" t="str">
        <f>IF(AND(Audit_Data[[#This Row],[Recency]]&gt;=0,Audit_Data[[#This Row],[Recency]]&lt;=100),"Valid","Invalid")</f>
        <v>Valid</v>
      </c>
      <c r="AM1135" t="str">
        <f t="shared" si="227"/>
        <v>Valid</v>
      </c>
      <c r="AN1135" t="str">
        <f t="shared" si="228"/>
        <v>Valid</v>
      </c>
      <c r="AO1135" t="str">
        <f t="shared" si="229"/>
        <v>Valid</v>
      </c>
      <c r="AP1135" t="str">
        <f t="shared" si="230"/>
        <v>Valid</v>
      </c>
      <c r="AQ1135" t="str">
        <f>IF(Audit_Data[[#This Row],[Z_CostContact]]=3,"Valid","Invalid")</f>
        <v>Valid</v>
      </c>
      <c r="AR1135" t="str">
        <f t="shared" si="231"/>
        <v>Valid</v>
      </c>
      <c r="AS1135" t="str">
        <f t="shared" si="232"/>
        <v>Valid</v>
      </c>
    </row>
    <row r="1136" spans="1:45" x14ac:dyDescent="0.3">
      <c r="A1136">
        <v>2894</v>
      </c>
      <c r="B1136">
        <v>1985</v>
      </c>
      <c r="C1136" t="s">
        <v>29</v>
      </c>
      <c r="D1136" t="s">
        <v>30</v>
      </c>
      <c r="E1136">
        <v>72903</v>
      </c>
      <c r="F1136">
        <v>0</v>
      </c>
      <c r="G1136">
        <v>0</v>
      </c>
      <c r="H1136" s="1">
        <v>41576</v>
      </c>
      <c r="I1136">
        <v>74</v>
      </c>
      <c r="J1136">
        <v>1067</v>
      </c>
      <c r="K1136">
        <v>138</v>
      </c>
      <c r="L1136">
        <v>750</v>
      </c>
      <c r="M1136">
        <v>0</v>
      </c>
      <c r="N1136">
        <v>19</v>
      </c>
      <c r="O1136">
        <v>39</v>
      </c>
      <c r="P1136">
        <v>1</v>
      </c>
      <c r="Q1136">
        <v>7</v>
      </c>
      <c r="R1136">
        <v>5</v>
      </c>
      <c r="S1136">
        <v>8</v>
      </c>
      <c r="T1136">
        <v>4</v>
      </c>
      <c r="U1136">
        <v>0</v>
      </c>
      <c r="V1136">
        <v>1</v>
      </c>
      <c r="W1136">
        <v>1</v>
      </c>
      <c r="X1136">
        <v>1</v>
      </c>
      <c r="Y1136">
        <v>0</v>
      </c>
      <c r="Z1136">
        <v>0</v>
      </c>
      <c r="AA1136">
        <v>3</v>
      </c>
      <c r="AB1136">
        <v>11</v>
      </c>
      <c r="AC1136">
        <v>1</v>
      </c>
      <c r="AD1136" t="str">
        <f t="shared" si="221"/>
        <v>Ok</v>
      </c>
      <c r="AE1136" t="str">
        <f>IF(AND(Audit_Data[[#This Row],[Year_Birth]]&gt;=1900,Audit_Data[[#This Row],[Year_Birth]]&lt;=2010),"OK","Invalid")</f>
        <v>OK</v>
      </c>
      <c r="AF1136" t="str">
        <f t="shared" si="222"/>
        <v>Valid</v>
      </c>
      <c r="AG1136" t="str">
        <f t="shared" si="223"/>
        <v>Valid</v>
      </c>
      <c r="AH1136" t="str">
        <f t="shared" si="224"/>
        <v>Valid</v>
      </c>
      <c r="AI1136" t="str">
        <f t="shared" si="225"/>
        <v>Valid</v>
      </c>
      <c r="AJ1136" t="str">
        <f t="shared" si="226"/>
        <v>Valid</v>
      </c>
      <c r="AK1136" t="str">
        <f t="shared" si="233"/>
        <v xml:space="preserve">Valid </v>
      </c>
      <c r="AL1136" t="str">
        <f>IF(AND(Audit_Data[[#This Row],[Recency]]&gt;=0,Audit_Data[[#This Row],[Recency]]&lt;=100),"Valid","Invalid")</f>
        <v>Valid</v>
      </c>
      <c r="AM1136" t="str">
        <f t="shared" si="227"/>
        <v>Valid</v>
      </c>
      <c r="AN1136" t="str">
        <f t="shared" si="228"/>
        <v>Valid</v>
      </c>
      <c r="AO1136" t="str">
        <f t="shared" si="229"/>
        <v>Valid</v>
      </c>
      <c r="AP1136" t="str">
        <f t="shared" si="230"/>
        <v>Valid</v>
      </c>
      <c r="AQ1136" t="str">
        <f>IF(Audit_Data[[#This Row],[Z_CostContact]]=3,"Valid","Invalid")</f>
        <v>Valid</v>
      </c>
      <c r="AR1136" t="str">
        <f t="shared" si="231"/>
        <v>Valid</v>
      </c>
      <c r="AS1136" t="str">
        <f t="shared" si="232"/>
        <v>Valid</v>
      </c>
    </row>
    <row r="1137" spans="1:45" x14ac:dyDescent="0.3">
      <c r="A1137">
        <v>7613</v>
      </c>
      <c r="B1137">
        <v>1974</v>
      </c>
      <c r="C1137" t="s">
        <v>37</v>
      </c>
      <c r="D1137" t="s">
        <v>31</v>
      </c>
      <c r="E1137">
        <v>49669</v>
      </c>
      <c r="F1137">
        <v>1</v>
      </c>
      <c r="G1137">
        <v>0</v>
      </c>
      <c r="H1137" s="1">
        <v>41783</v>
      </c>
      <c r="I1137">
        <v>97</v>
      </c>
      <c r="J1137">
        <v>166</v>
      </c>
      <c r="K1137">
        <v>5</v>
      </c>
      <c r="L1137">
        <v>107</v>
      </c>
      <c r="M1137">
        <v>11</v>
      </c>
      <c r="N1137">
        <v>8</v>
      </c>
      <c r="O1137">
        <v>29</v>
      </c>
      <c r="P1137">
        <v>2</v>
      </c>
      <c r="Q1137">
        <v>5</v>
      </c>
      <c r="R1137">
        <v>1</v>
      </c>
      <c r="S1137">
        <v>6</v>
      </c>
      <c r="T1137">
        <v>6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3</v>
      </c>
      <c r="AB1137">
        <v>11</v>
      </c>
      <c r="AC1137">
        <v>0</v>
      </c>
      <c r="AD1137" t="str">
        <f t="shared" si="221"/>
        <v>Ok</v>
      </c>
      <c r="AE1137" t="str">
        <f>IF(AND(Audit_Data[[#This Row],[Year_Birth]]&gt;=1900,Audit_Data[[#This Row],[Year_Birth]]&lt;=2010),"OK","Invalid")</f>
        <v>OK</v>
      </c>
      <c r="AF1137" t="str">
        <f t="shared" si="222"/>
        <v>Valid</v>
      </c>
      <c r="AG1137" t="str">
        <f t="shared" si="223"/>
        <v>Valid</v>
      </c>
      <c r="AH1137" t="str">
        <f t="shared" si="224"/>
        <v>Valid</v>
      </c>
      <c r="AI1137" t="str">
        <f t="shared" si="225"/>
        <v>Valid</v>
      </c>
      <c r="AJ1137" t="str">
        <f t="shared" si="226"/>
        <v>Valid</v>
      </c>
      <c r="AK1137" t="str">
        <f t="shared" si="233"/>
        <v xml:space="preserve">Valid </v>
      </c>
      <c r="AL1137" t="str">
        <f>IF(AND(Audit_Data[[#This Row],[Recency]]&gt;=0,Audit_Data[[#This Row],[Recency]]&lt;=100),"Valid","Invalid")</f>
        <v>Valid</v>
      </c>
      <c r="AM1137" t="str">
        <f t="shared" si="227"/>
        <v>Valid</v>
      </c>
      <c r="AN1137" t="str">
        <f t="shared" si="228"/>
        <v>Valid</v>
      </c>
      <c r="AO1137" t="str">
        <f t="shared" si="229"/>
        <v>Valid</v>
      </c>
      <c r="AP1137" t="str">
        <f t="shared" si="230"/>
        <v>Valid</v>
      </c>
      <c r="AQ1137" t="str">
        <f>IF(Audit_Data[[#This Row],[Z_CostContact]]=3,"Valid","Invalid")</f>
        <v>Valid</v>
      </c>
      <c r="AR1137" t="str">
        <f t="shared" si="231"/>
        <v>Valid</v>
      </c>
      <c r="AS1137" t="str">
        <f t="shared" si="232"/>
        <v>Valid</v>
      </c>
    </row>
    <row r="1138" spans="1:45" x14ac:dyDescent="0.3">
      <c r="A1138">
        <v>10542</v>
      </c>
      <c r="B1138">
        <v>1968</v>
      </c>
      <c r="C1138" t="s">
        <v>32</v>
      </c>
      <c r="D1138" t="s">
        <v>33</v>
      </c>
      <c r="E1138">
        <v>36778</v>
      </c>
      <c r="F1138">
        <v>1</v>
      </c>
      <c r="G1138">
        <v>1</v>
      </c>
      <c r="H1138" s="1">
        <v>41126</v>
      </c>
      <c r="I1138">
        <v>63</v>
      </c>
      <c r="J1138">
        <v>29</v>
      </c>
      <c r="K1138">
        <v>4</v>
      </c>
      <c r="L1138">
        <v>34</v>
      </c>
      <c r="M1138">
        <v>2</v>
      </c>
      <c r="N1138">
        <v>4</v>
      </c>
      <c r="O1138">
        <v>4</v>
      </c>
      <c r="P1138">
        <v>3</v>
      </c>
      <c r="Q1138">
        <v>3</v>
      </c>
      <c r="R1138">
        <v>0</v>
      </c>
      <c r="S1138">
        <v>3</v>
      </c>
      <c r="T1138">
        <v>9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3</v>
      </c>
      <c r="AB1138">
        <v>11</v>
      </c>
      <c r="AC1138">
        <v>0</v>
      </c>
      <c r="AD1138" t="str">
        <f t="shared" si="221"/>
        <v>Ok</v>
      </c>
      <c r="AE1138" t="str">
        <f>IF(AND(Audit_Data[[#This Row],[Year_Birth]]&gt;=1900,Audit_Data[[#This Row],[Year_Birth]]&lt;=2010),"OK","Invalid")</f>
        <v>OK</v>
      </c>
      <c r="AF1138" t="str">
        <f t="shared" si="222"/>
        <v>Valid</v>
      </c>
      <c r="AG1138" t="str">
        <f t="shared" si="223"/>
        <v>Valid</v>
      </c>
      <c r="AH1138" t="str">
        <f t="shared" si="224"/>
        <v>Valid</v>
      </c>
      <c r="AI1138" t="str">
        <f t="shared" si="225"/>
        <v>Valid</v>
      </c>
      <c r="AJ1138" t="str">
        <f t="shared" si="226"/>
        <v>Valid</v>
      </c>
      <c r="AK1138" t="str">
        <f t="shared" si="233"/>
        <v xml:space="preserve">Valid </v>
      </c>
      <c r="AL1138" t="str">
        <f>IF(AND(Audit_Data[[#This Row],[Recency]]&gt;=0,Audit_Data[[#This Row],[Recency]]&lt;=100),"Valid","Invalid")</f>
        <v>Valid</v>
      </c>
      <c r="AM1138" t="str">
        <f t="shared" si="227"/>
        <v>Valid</v>
      </c>
      <c r="AN1138" t="str">
        <f t="shared" si="228"/>
        <v>Valid</v>
      </c>
      <c r="AO1138" t="str">
        <f t="shared" si="229"/>
        <v>Valid</v>
      </c>
      <c r="AP1138" t="str">
        <f t="shared" si="230"/>
        <v>Valid</v>
      </c>
      <c r="AQ1138" t="str">
        <f>IF(Audit_Data[[#This Row],[Z_CostContact]]=3,"Valid","Invalid")</f>
        <v>Valid</v>
      </c>
      <c r="AR1138" t="str">
        <f t="shared" si="231"/>
        <v>Valid</v>
      </c>
      <c r="AS1138" t="str">
        <f t="shared" si="232"/>
        <v>Valid</v>
      </c>
    </row>
    <row r="1139" spans="1:45" x14ac:dyDescent="0.3">
      <c r="A1139">
        <v>8015</v>
      </c>
      <c r="B1139">
        <v>1962</v>
      </c>
      <c r="C1139" t="s">
        <v>32</v>
      </c>
      <c r="D1139" t="s">
        <v>35</v>
      </c>
      <c r="E1139">
        <v>85696</v>
      </c>
      <c r="F1139">
        <v>0</v>
      </c>
      <c r="G1139">
        <v>0</v>
      </c>
      <c r="H1139" s="1">
        <v>41397</v>
      </c>
      <c r="I1139">
        <v>88</v>
      </c>
      <c r="J1139">
        <v>714</v>
      </c>
      <c r="K1139">
        <v>76</v>
      </c>
      <c r="L1139">
        <v>395</v>
      </c>
      <c r="M1139">
        <v>116</v>
      </c>
      <c r="N1139">
        <v>0</v>
      </c>
      <c r="O1139">
        <v>12</v>
      </c>
      <c r="P1139">
        <v>1</v>
      </c>
      <c r="Q1139">
        <v>4</v>
      </c>
      <c r="R1139">
        <v>6</v>
      </c>
      <c r="S1139">
        <v>9</v>
      </c>
      <c r="T1139">
        <v>1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3</v>
      </c>
      <c r="AB1139">
        <v>11</v>
      </c>
      <c r="AC1139">
        <v>1</v>
      </c>
      <c r="AD1139" t="str">
        <f t="shared" si="221"/>
        <v>Ok</v>
      </c>
      <c r="AE1139" t="str">
        <f>IF(AND(Audit_Data[[#This Row],[Year_Birth]]&gt;=1900,Audit_Data[[#This Row],[Year_Birth]]&lt;=2010),"OK","Invalid")</f>
        <v>OK</v>
      </c>
      <c r="AF1139" t="str">
        <f t="shared" si="222"/>
        <v>Valid</v>
      </c>
      <c r="AG1139" t="str">
        <f t="shared" si="223"/>
        <v>Valid</v>
      </c>
      <c r="AH1139" t="str">
        <f t="shared" si="224"/>
        <v>Valid</v>
      </c>
      <c r="AI1139" t="str">
        <f t="shared" si="225"/>
        <v>Valid</v>
      </c>
      <c r="AJ1139" t="str">
        <f t="shared" si="226"/>
        <v>Valid</v>
      </c>
      <c r="AK1139" t="str">
        <f t="shared" si="233"/>
        <v xml:space="preserve">Valid </v>
      </c>
      <c r="AL1139" t="str">
        <f>IF(AND(Audit_Data[[#This Row],[Recency]]&gt;=0,Audit_Data[[#This Row],[Recency]]&lt;=100),"Valid","Invalid")</f>
        <v>Valid</v>
      </c>
      <c r="AM1139" t="str">
        <f t="shared" si="227"/>
        <v>Valid</v>
      </c>
      <c r="AN1139" t="str">
        <f t="shared" si="228"/>
        <v>Valid</v>
      </c>
      <c r="AO1139" t="str">
        <f t="shared" si="229"/>
        <v>Valid</v>
      </c>
      <c r="AP1139" t="str">
        <f t="shared" si="230"/>
        <v>Valid</v>
      </c>
      <c r="AQ1139" t="str">
        <f>IF(Audit_Data[[#This Row],[Z_CostContact]]=3,"Valid","Invalid")</f>
        <v>Valid</v>
      </c>
      <c r="AR1139" t="str">
        <f t="shared" si="231"/>
        <v>Valid</v>
      </c>
      <c r="AS1139" t="str">
        <f t="shared" si="232"/>
        <v>Valid</v>
      </c>
    </row>
    <row r="1140" spans="1:45" x14ac:dyDescent="0.3">
      <c r="A1140">
        <v>10617</v>
      </c>
      <c r="B1140">
        <v>1989</v>
      </c>
      <c r="C1140" t="s">
        <v>34</v>
      </c>
      <c r="D1140" t="s">
        <v>35</v>
      </c>
      <c r="E1140">
        <v>10979</v>
      </c>
      <c r="F1140">
        <v>0</v>
      </c>
      <c r="G1140">
        <v>0</v>
      </c>
      <c r="H1140" s="1">
        <v>41781</v>
      </c>
      <c r="I1140">
        <v>34</v>
      </c>
      <c r="J1140">
        <v>8</v>
      </c>
      <c r="K1140">
        <v>4</v>
      </c>
      <c r="L1140">
        <v>10</v>
      </c>
      <c r="M1140">
        <v>2</v>
      </c>
      <c r="N1140">
        <v>2</v>
      </c>
      <c r="O1140">
        <v>4</v>
      </c>
      <c r="P1140">
        <v>2</v>
      </c>
      <c r="Q1140">
        <v>3</v>
      </c>
      <c r="R1140">
        <v>0</v>
      </c>
      <c r="S1140">
        <v>3</v>
      </c>
      <c r="T1140">
        <v>5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3</v>
      </c>
      <c r="AB1140">
        <v>11</v>
      </c>
      <c r="AC1140">
        <v>0</v>
      </c>
      <c r="AD1140" t="str">
        <f t="shared" si="221"/>
        <v>Ok</v>
      </c>
      <c r="AE1140" t="str">
        <f>IF(AND(Audit_Data[[#This Row],[Year_Birth]]&gt;=1900,Audit_Data[[#This Row],[Year_Birth]]&lt;=2010),"OK","Invalid")</f>
        <v>OK</v>
      </c>
      <c r="AF1140" t="str">
        <f t="shared" si="222"/>
        <v>Valid</v>
      </c>
      <c r="AG1140" t="str">
        <f t="shared" si="223"/>
        <v>Valid</v>
      </c>
      <c r="AH1140" t="str">
        <f t="shared" si="224"/>
        <v>Valid</v>
      </c>
      <c r="AI1140" t="str">
        <f t="shared" si="225"/>
        <v>Valid</v>
      </c>
      <c r="AJ1140" t="str">
        <f t="shared" si="226"/>
        <v>Valid</v>
      </c>
      <c r="AK1140" t="str">
        <f t="shared" si="233"/>
        <v xml:space="preserve">Valid </v>
      </c>
      <c r="AL1140" t="str">
        <f>IF(AND(Audit_Data[[#This Row],[Recency]]&gt;=0,Audit_Data[[#This Row],[Recency]]&lt;=100),"Valid","Invalid")</f>
        <v>Valid</v>
      </c>
      <c r="AM1140" t="str">
        <f t="shared" si="227"/>
        <v>Valid</v>
      </c>
      <c r="AN1140" t="str">
        <f t="shared" si="228"/>
        <v>Valid</v>
      </c>
      <c r="AO1140" t="str">
        <f t="shared" si="229"/>
        <v>Valid</v>
      </c>
      <c r="AP1140" t="str">
        <f t="shared" si="230"/>
        <v>Valid</v>
      </c>
      <c r="AQ1140" t="str">
        <f>IF(Audit_Data[[#This Row],[Z_CostContact]]=3,"Valid","Invalid")</f>
        <v>Valid</v>
      </c>
      <c r="AR1140" t="str">
        <f t="shared" si="231"/>
        <v>Valid</v>
      </c>
      <c r="AS1140" t="str">
        <f t="shared" si="232"/>
        <v>Valid</v>
      </c>
    </row>
    <row r="1141" spans="1:45" x14ac:dyDescent="0.3">
      <c r="A1141">
        <v>11166</v>
      </c>
      <c r="B1141">
        <v>1961</v>
      </c>
      <c r="C1141" t="s">
        <v>29</v>
      </c>
      <c r="D1141" t="s">
        <v>33</v>
      </c>
      <c r="E1141">
        <v>49678</v>
      </c>
      <c r="F1141">
        <v>0</v>
      </c>
      <c r="G1141">
        <v>1</v>
      </c>
      <c r="H1141" s="1">
        <v>41307</v>
      </c>
      <c r="I1141">
        <v>81</v>
      </c>
      <c r="J1141">
        <v>229</v>
      </c>
      <c r="K1141">
        <v>5</v>
      </c>
      <c r="L1141">
        <v>56</v>
      </c>
      <c r="M1141">
        <v>3</v>
      </c>
      <c r="N1141">
        <v>2</v>
      </c>
      <c r="O1141">
        <v>20</v>
      </c>
      <c r="P1141">
        <v>2</v>
      </c>
      <c r="Q1141">
        <v>6</v>
      </c>
      <c r="R1141">
        <v>2</v>
      </c>
      <c r="S1141">
        <v>4</v>
      </c>
      <c r="T1141">
        <v>7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3</v>
      </c>
      <c r="AB1141">
        <v>11</v>
      </c>
      <c r="AC1141">
        <v>0</v>
      </c>
      <c r="AD1141" t="str">
        <f t="shared" si="221"/>
        <v>Ok</v>
      </c>
      <c r="AE1141" t="str">
        <f>IF(AND(Audit_Data[[#This Row],[Year_Birth]]&gt;=1900,Audit_Data[[#This Row],[Year_Birth]]&lt;=2010),"OK","Invalid")</f>
        <v>OK</v>
      </c>
      <c r="AF1141" t="str">
        <f t="shared" si="222"/>
        <v>Valid</v>
      </c>
      <c r="AG1141" t="str">
        <f t="shared" si="223"/>
        <v>Valid</v>
      </c>
      <c r="AH1141" t="str">
        <f t="shared" si="224"/>
        <v>Valid</v>
      </c>
      <c r="AI1141" t="str">
        <f t="shared" si="225"/>
        <v>Valid</v>
      </c>
      <c r="AJ1141" t="str">
        <f t="shared" si="226"/>
        <v>Valid</v>
      </c>
      <c r="AK1141" t="str">
        <f t="shared" si="233"/>
        <v xml:space="preserve">Valid </v>
      </c>
      <c r="AL1141" t="str">
        <f>IF(AND(Audit_Data[[#This Row],[Recency]]&gt;=0,Audit_Data[[#This Row],[Recency]]&lt;=100),"Valid","Invalid")</f>
        <v>Valid</v>
      </c>
      <c r="AM1141" t="str">
        <f t="shared" si="227"/>
        <v>Valid</v>
      </c>
      <c r="AN1141" t="str">
        <f t="shared" si="228"/>
        <v>Valid</v>
      </c>
      <c r="AO1141" t="str">
        <f t="shared" si="229"/>
        <v>Valid</v>
      </c>
      <c r="AP1141" t="str">
        <f t="shared" si="230"/>
        <v>Valid</v>
      </c>
      <c r="AQ1141" t="str">
        <f>IF(Audit_Data[[#This Row],[Z_CostContact]]=3,"Valid","Invalid")</f>
        <v>Valid</v>
      </c>
      <c r="AR1141" t="str">
        <f t="shared" si="231"/>
        <v>Valid</v>
      </c>
      <c r="AS1141" t="str">
        <f t="shared" si="232"/>
        <v>Valid</v>
      </c>
    </row>
    <row r="1142" spans="1:45" x14ac:dyDescent="0.3">
      <c r="A1142">
        <v>849</v>
      </c>
      <c r="B1142">
        <v>1953</v>
      </c>
      <c r="C1142" t="s">
        <v>34</v>
      </c>
      <c r="D1142" t="s">
        <v>31</v>
      </c>
      <c r="E1142">
        <v>56129</v>
      </c>
      <c r="F1142">
        <v>0</v>
      </c>
      <c r="G1142">
        <v>1</v>
      </c>
      <c r="H1142" s="1">
        <v>41445</v>
      </c>
      <c r="I1142">
        <v>65</v>
      </c>
      <c r="J1142">
        <v>320</v>
      </c>
      <c r="K1142">
        <v>48</v>
      </c>
      <c r="L1142">
        <v>133</v>
      </c>
      <c r="M1142">
        <v>39</v>
      </c>
      <c r="N1142">
        <v>72</v>
      </c>
      <c r="O1142">
        <v>48</v>
      </c>
      <c r="P1142">
        <v>4</v>
      </c>
      <c r="Q1142">
        <v>6</v>
      </c>
      <c r="R1142">
        <v>2</v>
      </c>
      <c r="S1142">
        <v>10</v>
      </c>
      <c r="T1142">
        <v>4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3</v>
      </c>
      <c r="AB1142">
        <v>11</v>
      </c>
      <c r="AC1142">
        <v>0</v>
      </c>
      <c r="AD1142" t="str">
        <f t="shared" si="221"/>
        <v>Ok</v>
      </c>
      <c r="AE1142" t="str">
        <f>IF(AND(Audit_Data[[#This Row],[Year_Birth]]&gt;=1900,Audit_Data[[#This Row],[Year_Birth]]&lt;=2010),"OK","Invalid")</f>
        <v>OK</v>
      </c>
      <c r="AF1142" t="str">
        <f t="shared" si="222"/>
        <v>Valid</v>
      </c>
      <c r="AG1142" t="str">
        <f t="shared" si="223"/>
        <v>Valid</v>
      </c>
      <c r="AH1142" t="str">
        <f t="shared" si="224"/>
        <v>Valid</v>
      </c>
      <c r="AI1142" t="str">
        <f t="shared" si="225"/>
        <v>Valid</v>
      </c>
      <c r="AJ1142" t="str">
        <f t="shared" si="226"/>
        <v>Valid</v>
      </c>
      <c r="AK1142" t="str">
        <f t="shared" si="233"/>
        <v xml:space="preserve">Valid </v>
      </c>
      <c r="AL1142" t="str">
        <f>IF(AND(Audit_Data[[#This Row],[Recency]]&gt;=0,Audit_Data[[#This Row],[Recency]]&lt;=100),"Valid","Invalid")</f>
        <v>Valid</v>
      </c>
      <c r="AM1142" t="str">
        <f t="shared" si="227"/>
        <v>Valid</v>
      </c>
      <c r="AN1142" t="str">
        <f t="shared" si="228"/>
        <v>Valid</v>
      </c>
      <c r="AO1142" t="str">
        <f t="shared" si="229"/>
        <v>Valid</v>
      </c>
      <c r="AP1142" t="str">
        <f t="shared" si="230"/>
        <v>Valid</v>
      </c>
      <c r="AQ1142" t="str">
        <f>IF(Audit_Data[[#This Row],[Z_CostContact]]=3,"Valid","Invalid")</f>
        <v>Valid</v>
      </c>
      <c r="AR1142" t="str">
        <f t="shared" si="231"/>
        <v>Valid</v>
      </c>
      <c r="AS1142" t="str">
        <f t="shared" si="232"/>
        <v>Valid</v>
      </c>
    </row>
    <row r="1143" spans="1:45" x14ac:dyDescent="0.3">
      <c r="A1143">
        <v>523</v>
      </c>
      <c r="B1143">
        <v>1989</v>
      </c>
      <c r="C1143" t="s">
        <v>29</v>
      </c>
      <c r="D1143" t="s">
        <v>33</v>
      </c>
      <c r="E1143">
        <v>37155</v>
      </c>
      <c r="F1143">
        <v>1</v>
      </c>
      <c r="G1143">
        <v>0</v>
      </c>
      <c r="H1143" s="1">
        <v>41305</v>
      </c>
      <c r="I1143">
        <v>51</v>
      </c>
      <c r="J1143">
        <v>23</v>
      </c>
      <c r="K1143">
        <v>0</v>
      </c>
      <c r="L1143">
        <v>26</v>
      </c>
      <c r="M1143">
        <v>7</v>
      </c>
      <c r="N1143">
        <v>15</v>
      </c>
      <c r="O1143">
        <v>3</v>
      </c>
      <c r="P1143">
        <v>1</v>
      </c>
      <c r="Q1143">
        <v>2</v>
      </c>
      <c r="R1143">
        <v>0</v>
      </c>
      <c r="S1143">
        <v>4</v>
      </c>
      <c r="T1143">
        <v>5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3</v>
      </c>
      <c r="AB1143">
        <v>11</v>
      </c>
      <c r="AC1143">
        <v>0</v>
      </c>
      <c r="AD1143" t="str">
        <f t="shared" si="221"/>
        <v>Ok</v>
      </c>
      <c r="AE1143" t="str">
        <f>IF(AND(Audit_Data[[#This Row],[Year_Birth]]&gt;=1900,Audit_Data[[#This Row],[Year_Birth]]&lt;=2010),"OK","Invalid")</f>
        <v>OK</v>
      </c>
      <c r="AF1143" t="str">
        <f t="shared" si="222"/>
        <v>Valid</v>
      </c>
      <c r="AG1143" t="str">
        <f t="shared" si="223"/>
        <v>Valid</v>
      </c>
      <c r="AH1143" t="str">
        <f t="shared" si="224"/>
        <v>Valid</v>
      </c>
      <c r="AI1143" t="str">
        <f t="shared" si="225"/>
        <v>Valid</v>
      </c>
      <c r="AJ1143" t="str">
        <f t="shared" si="226"/>
        <v>Valid</v>
      </c>
      <c r="AK1143" t="str">
        <f t="shared" si="233"/>
        <v xml:space="preserve">Valid </v>
      </c>
      <c r="AL1143" t="str">
        <f>IF(AND(Audit_Data[[#This Row],[Recency]]&gt;=0,Audit_Data[[#This Row],[Recency]]&lt;=100),"Valid","Invalid")</f>
        <v>Valid</v>
      </c>
      <c r="AM1143" t="str">
        <f t="shared" si="227"/>
        <v>Valid</v>
      </c>
      <c r="AN1143" t="str">
        <f t="shared" si="228"/>
        <v>Valid</v>
      </c>
      <c r="AO1143" t="str">
        <f t="shared" si="229"/>
        <v>Valid</v>
      </c>
      <c r="AP1143" t="str">
        <f t="shared" si="230"/>
        <v>Valid</v>
      </c>
      <c r="AQ1143" t="str">
        <f>IF(Audit_Data[[#This Row],[Z_CostContact]]=3,"Valid","Invalid")</f>
        <v>Valid</v>
      </c>
      <c r="AR1143" t="str">
        <f t="shared" si="231"/>
        <v>Valid</v>
      </c>
      <c r="AS1143" t="str">
        <f t="shared" si="232"/>
        <v>Valid</v>
      </c>
    </row>
    <row r="1144" spans="1:45" x14ac:dyDescent="0.3">
      <c r="A1144">
        <v>4066</v>
      </c>
      <c r="B1144">
        <v>1978</v>
      </c>
      <c r="C1144" t="s">
        <v>37</v>
      </c>
      <c r="D1144" t="s">
        <v>35</v>
      </c>
      <c r="E1144">
        <v>21282</v>
      </c>
      <c r="F1144">
        <v>1</v>
      </c>
      <c r="G1144">
        <v>0</v>
      </c>
      <c r="H1144" s="1">
        <v>41770</v>
      </c>
      <c r="I1144">
        <v>76</v>
      </c>
      <c r="J1144">
        <v>1</v>
      </c>
      <c r="K1144">
        <v>5</v>
      </c>
      <c r="L1144">
        <v>8</v>
      </c>
      <c r="M1144">
        <v>4</v>
      </c>
      <c r="N1144">
        <v>8</v>
      </c>
      <c r="O1144">
        <v>20</v>
      </c>
      <c r="P1144">
        <v>2</v>
      </c>
      <c r="Q1144">
        <v>2</v>
      </c>
      <c r="R1144">
        <v>1</v>
      </c>
      <c r="S1144">
        <v>2</v>
      </c>
      <c r="T1144">
        <v>6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3</v>
      </c>
      <c r="AB1144">
        <v>11</v>
      </c>
      <c r="AC1144">
        <v>0</v>
      </c>
      <c r="AD1144" t="str">
        <f t="shared" si="221"/>
        <v>Ok</v>
      </c>
      <c r="AE1144" t="str">
        <f>IF(AND(Audit_Data[[#This Row],[Year_Birth]]&gt;=1900,Audit_Data[[#This Row],[Year_Birth]]&lt;=2010),"OK","Invalid")</f>
        <v>OK</v>
      </c>
      <c r="AF1144" t="str">
        <f t="shared" si="222"/>
        <v>Valid</v>
      </c>
      <c r="AG1144" t="str">
        <f t="shared" si="223"/>
        <v>Valid</v>
      </c>
      <c r="AH1144" t="str">
        <f t="shared" si="224"/>
        <v>Valid</v>
      </c>
      <c r="AI1144" t="str">
        <f t="shared" si="225"/>
        <v>Valid</v>
      </c>
      <c r="AJ1144" t="str">
        <f t="shared" si="226"/>
        <v>Valid</v>
      </c>
      <c r="AK1144" t="str">
        <f t="shared" si="233"/>
        <v xml:space="preserve">Valid </v>
      </c>
      <c r="AL1144" t="str">
        <f>IF(AND(Audit_Data[[#This Row],[Recency]]&gt;=0,Audit_Data[[#This Row],[Recency]]&lt;=100),"Valid","Invalid")</f>
        <v>Valid</v>
      </c>
      <c r="AM1144" t="str">
        <f t="shared" si="227"/>
        <v>Valid</v>
      </c>
      <c r="AN1144" t="str">
        <f t="shared" si="228"/>
        <v>Valid</v>
      </c>
      <c r="AO1144" t="str">
        <f t="shared" si="229"/>
        <v>Valid</v>
      </c>
      <c r="AP1144" t="str">
        <f t="shared" si="230"/>
        <v>Valid</v>
      </c>
      <c r="AQ1144" t="str">
        <f>IF(Audit_Data[[#This Row],[Z_CostContact]]=3,"Valid","Invalid")</f>
        <v>Valid</v>
      </c>
      <c r="AR1144" t="str">
        <f t="shared" si="231"/>
        <v>Valid</v>
      </c>
      <c r="AS1144" t="str">
        <f t="shared" si="232"/>
        <v>Valid</v>
      </c>
    </row>
    <row r="1145" spans="1:45" x14ac:dyDescent="0.3">
      <c r="A1145">
        <v>8414</v>
      </c>
      <c r="B1145">
        <v>1962</v>
      </c>
      <c r="C1145" t="s">
        <v>32</v>
      </c>
      <c r="D1145" t="s">
        <v>30</v>
      </c>
      <c r="E1145">
        <v>33419</v>
      </c>
      <c r="F1145">
        <v>0</v>
      </c>
      <c r="G1145">
        <v>1</v>
      </c>
      <c r="H1145" s="1">
        <v>41503</v>
      </c>
      <c r="I1145">
        <v>76</v>
      </c>
      <c r="J1145">
        <v>56</v>
      </c>
      <c r="K1145">
        <v>0</v>
      </c>
      <c r="L1145">
        <v>12</v>
      </c>
      <c r="M1145">
        <v>0</v>
      </c>
      <c r="N1145">
        <v>0</v>
      </c>
      <c r="O1145">
        <v>18</v>
      </c>
      <c r="P1145">
        <v>2</v>
      </c>
      <c r="Q1145">
        <v>2</v>
      </c>
      <c r="R1145">
        <v>0</v>
      </c>
      <c r="S1145">
        <v>4</v>
      </c>
      <c r="T1145">
        <v>7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3</v>
      </c>
      <c r="AB1145">
        <v>11</v>
      </c>
      <c r="AC1145">
        <v>0</v>
      </c>
      <c r="AD1145" t="str">
        <f t="shared" si="221"/>
        <v>Ok</v>
      </c>
      <c r="AE1145" t="str">
        <f>IF(AND(Audit_Data[[#This Row],[Year_Birth]]&gt;=1900,Audit_Data[[#This Row],[Year_Birth]]&lt;=2010),"OK","Invalid")</f>
        <v>OK</v>
      </c>
      <c r="AF1145" t="str">
        <f t="shared" si="222"/>
        <v>Valid</v>
      </c>
      <c r="AG1145" t="str">
        <f t="shared" si="223"/>
        <v>Valid</v>
      </c>
      <c r="AH1145" t="str">
        <f t="shared" si="224"/>
        <v>Valid</v>
      </c>
      <c r="AI1145" t="str">
        <f t="shared" si="225"/>
        <v>Valid</v>
      </c>
      <c r="AJ1145" t="str">
        <f t="shared" si="226"/>
        <v>Valid</v>
      </c>
      <c r="AK1145" t="str">
        <f t="shared" si="233"/>
        <v xml:space="preserve">Valid </v>
      </c>
      <c r="AL1145" t="str">
        <f>IF(AND(Audit_Data[[#This Row],[Recency]]&gt;=0,Audit_Data[[#This Row],[Recency]]&lt;=100),"Valid","Invalid")</f>
        <v>Valid</v>
      </c>
      <c r="AM1145" t="str">
        <f t="shared" si="227"/>
        <v>Valid</v>
      </c>
      <c r="AN1145" t="str">
        <f t="shared" si="228"/>
        <v>Valid</v>
      </c>
      <c r="AO1145" t="str">
        <f t="shared" si="229"/>
        <v>Valid</v>
      </c>
      <c r="AP1145" t="str">
        <f t="shared" si="230"/>
        <v>Valid</v>
      </c>
      <c r="AQ1145" t="str">
        <f>IF(Audit_Data[[#This Row],[Z_CostContact]]=3,"Valid","Invalid")</f>
        <v>Valid</v>
      </c>
      <c r="AR1145" t="str">
        <f t="shared" si="231"/>
        <v>Valid</v>
      </c>
      <c r="AS1145" t="str">
        <f t="shared" si="232"/>
        <v>Valid</v>
      </c>
    </row>
    <row r="1146" spans="1:45" x14ac:dyDescent="0.3">
      <c r="A1146">
        <v>819</v>
      </c>
      <c r="B1146">
        <v>1945</v>
      </c>
      <c r="C1146" t="s">
        <v>29</v>
      </c>
      <c r="D1146" t="s">
        <v>38</v>
      </c>
      <c r="E1146">
        <v>63285</v>
      </c>
      <c r="F1146">
        <v>0</v>
      </c>
      <c r="G1146">
        <v>0</v>
      </c>
      <c r="H1146" s="1">
        <v>41583</v>
      </c>
      <c r="I1146">
        <v>84</v>
      </c>
      <c r="J1146">
        <v>508</v>
      </c>
      <c r="K1146">
        <v>124</v>
      </c>
      <c r="L1146">
        <v>249</v>
      </c>
      <c r="M1146">
        <v>50</v>
      </c>
      <c r="N1146">
        <v>38</v>
      </c>
      <c r="O1146">
        <v>134</v>
      </c>
      <c r="P1146">
        <v>1</v>
      </c>
      <c r="Q1146">
        <v>6</v>
      </c>
      <c r="R1146">
        <v>5</v>
      </c>
      <c r="S1146">
        <v>13</v>
      </c>
      <c r="T1146">
        <v>3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3</v>
      </c>
      <c r="AB1146">
        <v>11</v>
      </c>
      <c r="AC1146">
        <v>0</v>
      </c>
      <c r="AD1146" t="str">
        <f t="shared" si="221"/>
        <v>Ok</v>
      </c>
      <c r="AE1146" t="str">
        <f>IF(AND(Audit_Data[[#This Row],[Year_Birth]]&gt;=1900,Audit_Data[[#This Row],[Year_Birth]]&lt;=2010),"OK","Invalid")</f>
        <v>OK</v>
      </c>
      <c r="AF1146" t="str">
        <f t="shared" si="222"/>
        <v>Valid</v>
      </c>
      <c r="AG1146" t="str">
        <f t="shared" si="223"/>
        <v>Valid</v>
      </c>
      <c r="AH1146" t="str">
        <f t="shared" si="224"/>
        <v>Valid</v>
      </c>
      <c r="AI1146" t="str">
        <f t="shared" si="225"/>
        <v>Valid</v>
      </c>
      <c r="AJ1146" t="str">
        <f t="shared" si="226"/>
        <v>Valid</v>
      </c>
      <c r="AK1146" t="str">
        <f t="shared" si="233"/>
        <v xml:space="preserve">Valid </v>
      </c>
      <c r="AL1146" t="str">
        <f>IF(AND(Audit_Data[[#This Row],[Recency]]&gt;=0,Audit_Data[[#This Row],[Recency]]&lt;=100),"Valid","Invalid")</f>
        <v>Valid</v>
      </c>
      <c r="AM1146" t="str">
        <f t="shared" si="227"/>
        <v>Valid</v>
      </c>
      <c r="AN1146" t="str">
        <f t="shared" si="228"/>
        <v>Valid</v>
      </c>
      <c r="AO1146" t="str">
        <f t="shared" si="229"/>
        <v>Valid</v>
      </c>
      <c r="AP1146" t="str">
        <f t="shared" si="230"/>
        <v>Valid</v>
      </c>
      <c r="AQ1146" t="str">
        <f>IF(Audit_Data[[#This Row],[Z_CostContact]]=3,"Valid","Invalid")</f>
        <v>Valid</v>
      </c>
      <c r="AR1146" t="str">
        <f t="shared" si="231"/>
        <v>Valid</v>
      </c>
      <c r="AS1146" t="str">
        <f t="shared" si="232"/>
        <v>Valid</v>
      </c>
    </row>
    <row r="1147" spans="1:45" x14ac:dyDescent="0.3">
      <c r="A1147">
        <v>4961</v>
      </c>
      <c r="B1147">
        <v>1974</v>
      </c>
      <c r="C1147" t="s">
        <v>34</v>
      </c>
      <c r="D1147" t="s">
        <v>31</v>
      </c>
      <c r="E1147">
        <v>21255</v>
      </c>
      <c r="F1147">
        <v>1</v>
      </c>
      <c r="G1147">
        <v>0</v>
      </c>
      <c r="H1147" s="1">
        <v>41660</v>
      </c>
      <c r="I1147">
        <v>56</v>
      </c>
      <c r="J1147">
        <v>29</v>
      </c>
      <c r="K1147">
        <v>0</v>
      </c>
      <c r="L1147">
        <v>25</v>
      </c>
      <c r="M1147">
        <v>2</v>
      </c>
      <c r="N1147">
        <v>2</v>
      </c>
      <c r="O1147">
        <v>3</v>
      </c>
      <c r="P1147">
        <v>4</v>
      </c>
      <c r="Q1147">
        <v>2</v>
      </c>
      <c r="R1147">
        <v>1</v>
      </c>
      <c r="S1147">
        <v>4</v>
      </c>
      <c r="T1147">
        <v>4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3</v>
      </c>
      <c r="AB1147">
        <v>11</v>
      </c>
      <c r="AC1147">
        <v>0</v>
      </c>
      <c r="AD1147" t="str">
        <f t="shared" si="221"/>
        <v>Ok</v>
      </c>
      <c r="AE1147" t="str">
        <f>IF(AND(Audit_Data[[#This Row],[Year_Birth]]&gt;=1900,Audit_Data[[#This Row],[Year_Birth]]&lt;=2010),"OK","Invalid")</f>
        <v>OK</v>
      </c>
      <c r="AF1147" t="str">
        <f t="shared" si="222"/>
        <v>Valid</v>
      </c>
      <c r="AG1147" t="str">
        <f t="shared" si="223"/>
        <v>Valid</v>
      </c>
      <c r="AH1147" t="str">
        <f t="shared" si="224"/>
        <v>Valid</v>
      </c>
      <c r="AI1147" t="str">
        <f t="shared" si="225"/>
        <v>Valid</v>
      </c>
      <c r="AJ1147" t="str">
        <f t="shared" si="226"/>
        <v>Valid</v>
      </c>
      <c r="AK1147" t="str">
        <f t="shared" si="233"/>
        <v xml:space="preserve">Valid </v>
      </c>
      <c r="AL1147" t="str">
        <f>IF(AND(Audit_Data[[#This Row],[Recency]]&gt;=0,Audit_Data[[#This Row],[Recency]]&lt;=100),"Valid","Invalid")</f>
        <v>Valid</v>
      </c>
      <c r="AM1147" t="str">
        <f t="shared" si="227"/>
        <v>Valid</v>
      </c>
      <c r="AN1147" t="str">
        <f t="shared" si="228"/>
        <v>Valid</v>
      </c>
      <c r="AO1147" t="str">
        <f t="shared" si="229"/>
        <v>Valid</v>
      </c>
      <c r="AP1147" t="str">
        <f t="shared" si="230"/>
        <v>Valid</v>
      </c>
      <c r="AQ1147" t="str">
        <f>IF(Audit_Data[[#This Row],[Z_CostContact]]=3,"Valid","Invalid")</f>
        <v>Valid</v>
      </c>
      <c r="AR1147" t="str">
        <f t="shared" si="231"/>
        <v>Valid</v>
      </c>
      <c r="AS1147" t="str">
        <f t="shared" si="232"/>
        <v>Valid</v>
      </c>
    </row>
    <row r="1148" spans="1:45" x14ac:dyDescent="0.3">
      <c r="A1148">
        <v>749</v>
      </c>
      <c r="B1148">
        <v>1981</v>
      </c>
      <c r="C1148" t="s">
        <v>29</v>
      </c>
      <c r="D1148" t="s">
        <v>31</v>
      </c>
      <c r="E1148">
        <v>42162</v>
      </c>
      <c r="F1148">
        <v>1</v>
      </c>
      <c r="G1148">
        <v>0</v>
      </c>
      <c r="H1148" s="1">
        <v>41597</v>
      </c>
      <c r="I1148">
        <v>31</v>
      </c>
      <c r="J1148">
        <v>46</v>
      </c>
      <c r="K1148">
        <v>7</v>
      </c>
      <c r="L1148">
        <v>59</v>
      </c>
      <c r="M1148">
        <v>2</v>
      </c>
      <c r="N1148">
        <v>4</v>
      </c>
      <c r="O1148">
        <v>27</v>
      </c>
      <c r="P1148">
        <v>2</v>
      </c>
      <c r="Q1148">
        <v>3</v>
      </c>
      <c r="R1148">
        <v>1</v>
      </c>
      <c r="S1148">
        <v>3</v>
      </c>
      <c r="T1148">
        <v>6</v>
      </c>
      <c r="U1148">
        <v>1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3</v>
      </c>
      <c r="AB1148">
        <v>11</v>
      </c>
      <c r="AC1148">
        <v>1</v>
      </c>
      <c r="AD1148" t="str">
        <f t="shared" si="221"/>
        <v>Ok</v>
      </c>
      <c r="AE1148" t="str">
        <f>IF(AND(Audit_Data[[#This Row],[Year_Birth]]&gt;=1900,Audit_Data[[#This Row],[Year_Birth]]&lt;=2010),"OK","Invalid")</f>
        <v>OK</v>
      </c>
      <c r="AF1148" t="str">
        <f t="shared" si="222"/>
        <v>Valid</v>
      </c>
      <c r="AG1148" t="str">
        <f t="shared" si="223"/>
        <v>Valid</v>
      </c>
      <c r="AH1148" t="str">
        <f t="shared" si="224"/>
        <v>Valid</v>
      </c>
      <c r="AI1148" t="str">
        <f t="shared" si="225"/>
        <v>Valid</v>
      </c>
      <c r="AJ1148" t="str">
        <f t="shared" si="226"/>
        <v>Valid</v>
      </c>
      <c r="AK1148" t="str">
        <f t="shared" si="233"/>
        <v xml:space="preserve">Valid </v>
      </c>
      <c r="AL1148" t="str">
        <f>IF(AND(Audit_Data[[#This Row],[Recency]]&gt;=0,Audit_Data[[#This Row],[Recency]]&lt;=100),"Valid","Invalid")</f>
        <v>Valid</v>
      </c>
      <c r="AM1148" t="str">
        <f t="shared" si="227"/>
        <v>Valid</v>
      </c>
      <c r="AN1148" t="str">
        <f t="shared" si="228"/>
        <v>Valid</v>
      </c>
      <c r="AO1148" t="str">
        <f t="shared" si="229"/>
        <v>Valid</v>
      </c>
      <c r="AP1148" t="str">
        <f t="shared" si="230"/>
        <v>Valid</v>
      </c>
      <c r="AQ1148" t="str">
        <f>IF(Audit_Data[[#This Row],[Z_CostContact]]=3,"Valid","Invalid")</f>
        <v>Valid</v>
      </c>
      <c r="AR1148" t="str">
        <f t="shared" si="231"/>
        <v>Valid</v>
      </c>
      <c r="AS1148" t="str">
        <f t="shared" si="232"/>
        <v>Valid</v>
      </c>
    </row>
    <row r="1149" spans="1:45" x14ac:dyDescent="0.3">
      <c r="A1149">
        <v>5430</v>
      </c>
      <c r="B1149">
        <v>1956</v>
      </c>
      <c r="C1149" t="s">
        <v>29</v>
      </c>
      <c r="D1149" t="s">
        <v>31</v>
      </c>
      <c r="E1149">
        <v>54450</v>
      </c>
      <c r="F1149">
        <v>1</v>
      </c>
      <c r="G1149">
        <v>1</v>
      </c>
      <c r="H1149" s="1">
        <v>41166</v>
      </c>
      <c r="I1149">
        <v>0</v>
      </c>
      <c r="J1149">
        <v>454</v>
      </c>
      <c r="K1149">
        <v>0</v>
      </c>
      <c r="L1149">
        <v>171</v>
      </c>
      <c r="M1149">
        <v>8</v>
      </c>
      <c r="N1149">
        <v>19</v>
      </c>
      <c r="O1149">
        <v>32</v>
      </c>
      <c r="P1149">
        <v>12</v>
      </c>
      <c r="Q1149">
        <v>9</v>
      </c>
      <c r="R1149">
        <v>2</v>
      </c>
      <c r="S1149">
        <v>8</v>
      </c>
      <c r="T1149">
        <v>8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3</v>
      </c>
      <c r="AB1149">
        <v>11</v>
      </c>
      <c r="AC1149">
        <v>0</v>
      </c>
      <c r="AD1149" t="str">
        <f t="shared" si="221"/>
        <v>Ok</v>
      </c>
      <c r="AE1149" t="str">
        <f>IF(AND(Audit_Data[[#This Row],[Year_Birth]]&gt;=1900,Audit_Data[[#This Row],[Year_Birth]]&lt;=2010),"OK","Invalid")</f>
        <v>OK</v>
      </c>
      <c r="AF1149" t="str">
        <f t="shared" si="222"/>
        <v>Valid</v>
      </c>
      <c r="AG1149" t="str">
        <f t="shared" si="223"/>
        <v>Valid</v>
      </c>
      <c r="AH1149" t="str">
        <f t="shared" si="224"/>
        <v>Valid</v>
      </c>
      <c r="AI1149" t="str">
        <f t="shared" si="225"/>
        <v>Valid</v>
      </c>
      <c r="AJ1149" t="str">
        <f t="shared" si="226"/>
        <v>Valid</v>
      </c>
      <c r="AK1149" t="str">
        <f t="shared" si="233"/>
        <v xml:space="preserve">Valid </v>
      </c>
      <c r="AL1149" t="str">
        <f>IF(AND(Audit_Data[[#This Row],[Recency]]&gt;=0,Audit_Data[[#This Row],[Recency]]&lt;=100),"Valid","Invalid")</f>
        <v>Valid</v>
      </c>
      <c r="AM1149" t="str">
        <f t="shared" si="227"/>
        <v>Valid</v>
      </c>
      <c r="AN1149" t="str">
        <f t="shared" si="228"/>
        <v>Valid</v>
      </c>
      <c r="AO1149" t="str">
        <f t="shared" si="229"/>
        <v>Valid</v>
      </c>
      <c r="AP1149" t="str">
        <f t="shared" si="230"/>
        <v>Valid</v>
      </c>
      <c r="AQ1149" t="str">
        <f>IF(Audit_Data[[#This Row],[Z_CostContact]]=3,"Valid","Invalid")</f>
        <v>Valid</v>
      </c>
      <c r="AR1149" t="str">
        <f t="shared" si="231"/>
        <v>Valid</v>
      </c>
      <c r="AS1149" t="str">
        <f t="shared" si="232"/>
        <v>Valid</v>
      </c>
    </row>
    <row r="1150" spans="1:45" x14ac:dyDescent="0.3">
      <c r="A1150">
        <v>7755</v>
      </c>
      <c r="B1150">
        <v>1954</v>
      </c>
      <c r="C1150" t="s">
        <v>32</v>
      </c>
      <c r="D1150" t="s">
        <v>33</v>
      </c>
      <c r="E1150">
        <v>57744</v>
      </c>
      <c r="F1150">
        <v>0</v>
      </c>
      <c r="G1150">
        <v>1</v>
      </c>
      <c r="H1150" s="1">
        <v>41590</v>
      </c>
      <c r="I1150">
        <v>91</v>
      </c>
      <c r="J1150">
        <v>350</v>
      </c>
      <c r="K1150">
        <v>3</v>
      </c>
      <c r="L1150">
        <v>39</v>
      </c>
      <c r="M1150">
        <v>0</v>
      </c>
      <c r="N1150">
        <v>0</v>
      </c>
      <c r="O1150">
        <v>19</v>
      </c>
      <c r="P1150">
        <v>2</v>
      </c>
      <c r="Q1150">
        <v>9</v>
      </c>
      <c r="R1150">
        <v>1</v>
      </c>
      <c r="S1150">
        <v>4</v>
      </c>
      <c r="T1150">
        <v>8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3</v>
      </c>
      <c r="AB1150">
        <v>11</v>
      </c>
      <c r="AC1150">
        <v>0</v>
      </c>
      <c r="AD1150" t="str">
        <f t="shared" si="221"/>
        <v>Ok</v>
      </c>
      <c r="AE1150" t="str">
        <f>IF(AND(Audit_Data[[#This Row],[Year_Birth]]&gt;=1900,Audit_Data[[#This Row],[Year_Birth]]&lt;=2010),"OK","Invalid")</f>
        <v>OK</v>
      </c>
      <c r="AF1150" t="str">
        <f t="shared" si="222"/>
        <v>Valid</v>
      </c>
      <c r="AG1150" t="str">
        <f t="shared" si="223"/>
        <v>Valid</v>
      </c>
      <c r="AH1150" t="str">
        <f t="shared" si="224"/>
        <v>Valid</v>
      </c>
      <c r="AI1150" t="str">
        <f t="shared" si="225"/>
        <v>Valid</v>
      </c>
      <c r="AJ1150" t="str">
        <f t="shared" si="226"/>
        <v>Valid</v>
      </c>
      <c r="AK1150" t="str">
        <f t="shared" si="233"/>
        <v xml:space="preserve">Valid </v>
      </c>
      <c r="AL1150" t="str">
        <f>IF(AND(Audit_Data[[#This Row],[Recency]]&gt;=0,Audit_Data[[#This Row],[Recency]]&lt;=100),"Valid","Invalid")</f>
        <v>Valid</v>
      </c>
      <c r="AM1150" t="str">
        <f t="shared" si="227"/>
        <v>Valid</v>
      </c>
      <c r="AN1150" t="str">
        <f t="shared" si="228"/>
        <v>Valid</v>
      </c>
      <c r="AO1150" t="str">
        <f t="shared" si="229"/>
        <v>Valid</v>
      </c>
      <c r="AP1150" t="str">
        <f t="shared" si="230"/>
        <v>Valid</v>
      </c>
      <c r="AQ1150" t="str">
        <f>IF(Audit_Data[[#This Row],[Z_CostContact]]=3,"Valid","Invalid")</f>
        <v>Valid</v>
      </c>
      <c r="AR1150" t="str">
        <f t="shared" si="231"/>
        <v>Valid</v>
      </c>
      <c r="AS1150" t="str">
        <f t="shared" si="232"/>
        <v>Valid</v>
      </c>
    </row>
    <row r="1151" spans="1:45" x14ac:dyDescent="0.3">
      <c r="A1151">
        <v>10525</v>
      </c>
      <c r="B1151">
        <v>1986</v>
      </c>
      <c r="C1151" t="s">
        <v>29</v>
      </c>
      <c r="D1151" t="s">
        <v>30</v>
      </c>
      <c r="E1151">
        <v>26576</v>
      </c>
      <c r="F1151">
        <v>1</v>
      </c>
      <c r="G1151">
        <v>0</v>
      </c>
      <c r="H1151" s="1">
        <v>41195</v>
      </c>
      <c r="I1151">
        <v>40</v>
      </c>
      <c r="J1151">
        <v>10</v>
      </c>
      <c r="K1151">
        <v>0</v>
      </c>
      <c r="L1151">
        <v>8</v>
      </c>
      <c r="M1151">
        <v>0</v>
      </c>
      <c r="N1151">
        <v>0</v>
      </c>
      <c r="O1151">
        <v>9</v>
      </c>
      <c r="P1151">
        <v>1</v>
      </c>
      <c r="Q1151">
        <v>1</v>
      </c>
      <c r="R1151">
        <v>0</v>
      </c>
      <c r="S1151">
        <v>2</v>
      </c>
      <c r="T1151">
        <v>9</v>
      </c>
      <c r="U1151">
        <v>1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3</v>
      </c>
      <c r="AB1151">
        <v>11</v>
      </c>
      <c r="AC1151">
        <v>1</v>
      </c>
      <c r="AD1151" t="str">
        <f t="shared" si="221"/>
        <v>Ok</v>
      </c>
      <c r="AE1151" t="str">
        <f>IF(AND(Audit_Data[[#This Row],[Year_Birth]]&gt;=1900,Audit_Data[[#This Row],[Year_Birth]]&lt;=2010),"OK","Invalid")</f>
        <v>OK</v>
      </c>
      <c r="AF1151" t="str">
        <f t="shared" si="222"/>
        <v>Valid</v>
      </c>
      <c r="AG1151" t="str">
        <f t="shared" si="223"/>
        <v>Valid</v>
      </c>
      <c r="AH1151" t="str">
        <f t="shared" si="224"/>
        <v>Valid</v>
      </c>
      <c r="AI1151" t="str">
        <f t="shared" si="225"/>
        <v>Valid</v>
      </c>
      <c r="AJ1151" t="str">
        <f t="shared" si="226"/>
        <v>Valid</v>
      </c>
      <c r="AK1151" t="str">
        <f t="shared" si="233"/>
        <v xml:space="preserve">Valid </v>
      </c>
      <c r="AL1151" t="str">
        <f>IF(AND(Audit_Data[[#This Row],[Recency]]&gt;=0,Audit_Data[[#This Row],[Recency]]&lt;=100),"Valid","Invalid")</f>
        <v>Valid</v>
      </c>
      <c r="AM1151" t="str">
        <f t="shared" si="227"/>
        <v>Valid</v>
      </c>
      <c r="AN1151" t="str">
        <f t="shared" si="228"/>
        <v>Valid</v>
      </c>
      <c r="AO1151" t="str">
        <f t="shared" si="229"/>
        <v>Valid</v>
      </c>
      <c r="AP1151" t="str">
        <f t="shared" si="230"/>
        <v>Valid</v>
      </c>
      <c r="AQ1151" t="str">
        <f>IF(Audit_Data[[#This Row],[Z_CostContact]]=3,"Valid","Invalid")</f>
        <v>Valid</v>
      </c>
      <c r="AR1151" t="str">
        <f t="shared" si="231"/>
        <v>Valid</v>
      </c>
      <c r="AS1151" t="str">
        <f t="shared" si="232"/>
        <v>Valid</v>
      </c>
    </row>
    <row r="1152" spans="1:45" x14ac:dyDescent="0.3">
      <c r="A1152">
        <v>1453</v>
      </c>
      <c r="B1152">
        <v>1943</v>
      </c>
      <c r="C1152" t="s">
        <v>32</v>
      </c>
      <c r="D1152" t="s">
        <v>38</v>
      </c>
      <c r="E1152">
        <v>57513</v>
      </c>
      <c r="F1152">
        <v>0</v>
      </c>
      <c r="G1152">
        <v>0</v>
      </c>
      <c r="H1152" s="1">
        <v>41461</v>
      </c>
      <c r="I1152">
        <v>59</v>
      </c>
      <c r="J1152">
        <v>735</v>
      </c>
      <c r="K1152">
        <v>40</v>
      </c>
      <c r="L1152">
        <v>183</v>
      </c>
      <c r="M1152">
        <v>52</v>
      </c>
      <c r="N1152">
        <v>20</v>
      </c>
      <c r="O1152">
        <v>30</v>
      </c>
      <c r="P1152">
        <v>2</v>
      </c>
      <c r="Q1152">
        <v>9</v>
      </c>
      <c r="R1152">
        <v>3</v>
      </c>
      <c r="S1152">
        <v>13</v>
      </c>
      <c r="T1152">
        <v>6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3</v>
      </c>
      <c r="AB1152">
        <v>11</v>
      </c>
      <c r="AC1152">
        <v>0</v>
      </c>
      <c r="AD1152" t="str">
        <f t="shared" si="221"/>
        <v>Ok</v>
      </c>
      <c r="AE1152" t="str">
        <f>IF(AND(Audit_Data[[#This Row],[Year_Birth]]&gt;=1900,Audit_Data[[#This Row],[Year_Birth]]&lt;=2010),"OK","Invalid")</f>
        <v>OK</v>
      </c>
      <c r="AF1152" t="str">
        <f t="shared" si="222"/>
        <v>Valid</v>
      </c>
      <c r="AG1152" t="str">
        <f t="shared" si="223"/>
        <v>Valid</v>
      </c>
      <c r="AH1152" t="str">
        <f t="shared" si="224"/>
        <v>Valid</v>
      </c>
      <c r="AI1152" t="str">
        <f t="shared" si="225"/>
        <v>Valid</v>
      </c>
      <c r="AJ1152" t="str">
        <f t="shared" si="226"/>
        <v>Valid</v>
      </c>
      <c r="AK1152" t="str">
        <f t="shared" si="233"/>
        <v xml:space="preserve">Valid </v>
      </c>
      <c r="AL1152" t="str">
        <f>IF(AND(Audit_Data[[#This Row],[Recency]]&gt;=0,Audit_Data[[#This Row],[Recency]]&lt;=100),"Valid","Invalid")</f>
        <v>Valid</v>
      </c>
      <c r="AM1152" t="str">
        <f t="shared" si="227"/>
        <v>Valid</v>
      </c>
      <c r="AN1152" t="str">
        <f t="shared" si="228"/>
        <v>Valid</v>
      </c>
      <c r="AO1152" t="str">
        <f t="shared" si="229"/>
        <v>Valid</v>
      </c>
      <c r="AP1152" t="str">
        <f t="shared" si="230"/>
        <v>Valid</v>
      </c>
      <c r="AQ1152" t="str">
        <f>IF(Audit_Data[[#This Row],[Z_CostContact]]=3,"Valid","Invalid")</f>
        <v>Valid</v>
      </c>
      <c r="AR1152" t="str">
        <f t="shared" si="231"/>
        <v>Valid</v>
      </c>
      <c r="AS1152" t="str">
        <f t="shared" si="232"/>
        <v>Valid</v>
      </c>
    </row>
    <row r="1153" spans="1:45" x14ac:dyDescent="0.3">
      <c r="A1153">
        <v>8310</v>
      </c>
      <c r="B1153">
        <v>1964</v>
      </c>
      <c r="C1153" t="s">
        <v>29</v>
      </c>
      <c r="D1153" t="s">
        <v>31</v>
      </c>
      <c r="E1153">
        <v>68142</v>
      </c>
      <c r="F1153">
        <v>0</v>
      </c>
      <c r="G1153">
        <v>1</v>
      </c>
      <c r="H1153" s="1">
        <v>41150</v>
      </c>
      <c r="I1153">
        <v>96</v>
      </c>
      <c r="J1153">
        <v>897</v>
      </c>
      <c r="K1153">
        <v>126</v>
      </c>
      <c r="L1153">
        <v>196</v>
      </c>
      <c r="M1153">
        <v>91</v>
      </c>
      <c r="N1153">
        <v>112</v>
      </c>
      <c r="O1153">
        <v>37</v>
      </c>
      <c r="P1153">
        <v>3</v>
      </c>
      <c r="Q1153">
        <v>10</v>
      </c>
      <c r="R1153">
        <v>4</v>
      </c>
      <c r="S1153">
        <v>7</v>
      </c>
      <c r="T1153">
        <v>6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3</v>
      </c>
      <c r="AB1153">
        <v>11</v>
      </c>
      <c r="AC1153">
        <v>0</v>
      </c>
      <c r="AD1153" t="str">
        <f t="shared" si="221"/>
        <v>Ok</v>
      </c>
      <c r="AE1153" t="str">
        <f>IF(AND(Audit_Data[[#This Row],[Year_Birth]]&gt;=1900,Audit_Data[[#This Row],[Year_Birth]]&lt;=2010),"OK","Invalid")</f>
        <v>OK</v>
      </c>
      <c r="AF1153" t="str">
        <f t="shared" si="222"/>
        <v>Valid</v>
      </c>
      <c r="AG1153" t="str">
        <f t="shared" si="223"/>
        <v>Valid</v>
      </c>
      <c r="AH1153" t="str">
        <f t="shared" si="224"/>
        <v>Valid</v>
      </c>
      <c r="AI1153" t="str">
        <f t="shared" si="225"/>
        <v>Valid</v>
      </c>
      <c r="AJ1153" t="str">
        <f t="shared" si="226"/>
        <v>Valid</v>
      </c>
      <c r="AK1153" t="str">
        <f t="shared" si="233"/>
        <v xml:space="preserve">Valid </v>
      </c>
      <c r="AL1153" t="str">
        <f>IF(AND(Audit_Data[[#This Row],[Recency]]&gt;=0,Audit_Data[[#This Row],[Recency]]&lt;=100),"Valid","Invalid")</f>
        <v>Valid</v>
      </c>
      <c r="AM1153" t="str">
        <f t="shared" si="227"/>
        <v>Valid</v>
      </c>
      <c r="AN1153" t="str">
        <f t="shared" si="228"/>
        <v>Valid</v>
      </c>
      <c r="AO1153" t="str">
        <f t="shared" si="229"/>
        <v>Valid</v>
      </c>
      <c r="AP1153" t="str">
        <f t="shared" si="230"/>
        <v>Valid</v>
      </c>
      <c r="AQ1153" t="str">
        <f>IF(Audit_Data[[#This Row],[Z_CostContact]]=3,"Valid","Invalid")</f>
        <v>Valid</v>
      </c>
      <c r="AR1153" t="str">
        <f t="shared" si="231"/>
        <v>Valid</v>
      </c>
      <c r="AS1153" t="str">
        <f t="shared" si="232"/>
        <v>Valid</v>
      </c>
    </row>
    <row r="1154" spans="1:45" x14ac:dyDescent="0.3">
      <c r="A1154">
        <v>10710</v>
      </c>
      <c r="B1154">
        <v>1979</v>
      </c>
      <c r="C1154" t="s">
        <v>29</v>
      </c>
      <c r="D1154" t="s">
        <v>33</v>
      </c>
      <c r="E1154">
        <v>7500</v>
      </c>
      <c r="F1154">
        <v>0</v>
      </c>
      <c r="G1154">
        <v>1</v>
      </c>
      <c r="H1154" s="1">
        <v>41150</v>
      </c>
      <c r="I1154">
        <v>61</v>
      </c>
      <c r="J1154">
        <v>5</v>
      </c>
      <c r="K1154">
        <v>2</v>
      </c>
      <c r="L1154">
        <v>3</v>
      </c>
      <c r="M1154">
        <v>3</v>
      </c>
      <c r="N1154">
        <v>0</v>
      </c>
      <c r="O1154">
        <v>5</v>
      </c>
      <c r="P1154">
        <v>1</v>
      </c>
      <c r="Q1154">
        <v>1</v>
      </c>
      <c r="R1154">
        <v>0</v>
      </c>
      <c r="S1154">
        <v>2</v>
      </c>
      <c r="T1154">
        <v>8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3</v>
      </c>
      <c r="AB1154">
        <v>11</v>
      </c>
      <c r="AC1154">
        <v>0</v>
      </c>
      <c r="AD1154" t="str">
        <f t="shared" ref="AD1154:AD1217" si="234">IF(COUNTIF(A:A,A1154)&gt;1,"Duplicate","Ok")</f>
        <v>Ok</v>
      </c>
      <c r="AE1154" t="str">
        <f>IF(AND(Audit_Data[[#This Row],[Year_Birth]]&gt;=1900,Audit_Data[[#This Row],[Year_Birth]]&lt;=2010),"OK","Invalid")</f>
        <v>OK</v>
      </c>
      <c r="AF1154" t="str">
        <f t="shared" ref="AF1154:AF1217" si="235">IF(OR(C1154="Graduation",C1154="phD",C1154="Master",C1154="Basic",C1154="2n Cycle"),"Valid","Invalid")</f>
        <v>Valid</v>
      </c>
      <c r="AG1154" t="str">
        <f t="shared" ref="AG1154:AG1217" si="236">IF(OR(D1154="Single",D1154="Married",D1154="Divorced",D1154="Together",D1154="Widow",D1154="Alone"),"Valid","Invalid")</f>
        <v>Valid</v>
      </c>
      <c r="AH1154" t="str">
        <f t="shared" ref="AH1154:AH1217" si="237">IF(AND(ISNUMBER(E1154),E1154&lt;&gt;""),"Valid","Invalid")</f>
        <v>Valid</v>
      </c>
      <c r="AI1154" t="str">
        <f t="shared" ref="AI1154:AI1217" si="238">IF(AND(F1154&gt;=0,F1154&lt;=2),"Valid","Invalid")</f>
        <v>Valid</v>
      </c>
      <c r="AJ1154" t="str">
        <f t="shared" ref="AJ1154:AJ1217" si="239">IF(AND(G1154&gt;=0,G1154&lt;=2),"Valid","Invalid")</f>
        <v>Valid</v>
      </c>
      <c r="AK1154" t="str">
        <f t="shared" si="233"/>
        <v xml:space="preserve">Valid </v>
      </c>
      <c r="AL1154" t="str">
        <f>IF(AND(Audit_Data[[#This Row],[Recency]]&gt;=0,Audit_Data[[#This Row],[Recency]]&lt;=100),"Valid","Invalid")</f>
        <v>Valid</v>
      </c>
      <c r="AM1154" t="str">
        <f t="shared" ref="AM1154:AM1217" si="240">IF(AND(ISNUMBER(J1154),J1154&gt;=0,ISNUMBER(K1154),K1154&gt;=0,ISNUMBER(L1154),L1154&gt;=0,ISNUMBER(M1154),M1154&gt;=0,ISNUMBER(N1154),N1154&gt;=0,ISNUMBER(O1154),O1154&gt;=0),"Valid","Invalid")</f>
        <v>Valid</v>
      </c>
      <c r="AN1154" t="str">
        <f t="shared" ref="AN1154:AN1217" si="241">IF(AND(ISNUMBER(P1154),P1154&gt;=0,ISNUMBER(Q1154),Q1154&gt;=0,ISNUMBER(R1154),R1154&gt;=0,ISNUMBER(S1154),S1154&gt;=0,ISNUMBER(T1154),T1154&gt;=0),"Valid","Invalid")</f>
        <v>Valid</v>
      </c>
      <c r="AO1154" t="str">
        <f t="shared" ref="AO1154:AO1217" si="242">IF(AND(U1154&lt;=1,V1154&lt;=1,W1154&lt;=1,X1154&lt;=1,Y1154&lt;=1),"Valid","Invalid")</f>
        <v>Valid</v>
      </c>
      <c r="AP1154" t="str">
        <f t="shared" ref="AP1154:AP1217" si="243">IF(OR(Z1154=0,Z1154=1),"Valid","Invalid")</f>
        <v>Valid</v>
      </c>
      <c r="AQ1154" t="str">
        <f>IF(Audit_Data[[#This Row],[Z_CostContact]]=3,"Valid","Invalid")</f>
        <v>Valid</v>
      </c>
      <c r="AR1154" t="str">
        <f t="shared" ref="AR1154:AR1217" si="244">IF(AB1154=11,"Valid","Invalid")</f>
        <v>Valid</v>
      </c>
      <c r="AS1154" t="str">
        <f t="shared" ref="AS1154:AS1217" si="245">IF(OR(AC1154=0,AC1154=1),"Valid","Invalid")</f>
        <v>Valid</v>
      </c>
    </row>
    <row r="1155" spans="1:45" x14ac:dyDescent="0.3">
      <c r="A1155">
        <v>5031</v>
      </c>
      <c r="B1155">
        <v>1974</v>
      </c>
      <c r="C1155" t="s">
        <v>29</v>
      </c>
      <c r="D1155" t="s">
        <v>31</v>
      </c>
      <c r="E1155">
        <v>83145</v>
      </c>
      <c r="F1155">
        <v>0</v>
      </c>
      <c r="G1155">
        <v>0</v>
      </c>
      <c r="H1155" s="1">
        <v>41174</v>
      </c>
      <c r="I1155">
        <v>14</v>
      </c>
      <c r="J1155">
        <v>777</v>
      </c>
      <c r="K1155">
        <v>35</v>
      </c>
      <c r="L1155">
        <v>731</v>
      </c>
      <c r="M1155">
        <v>39</v>
      </c>
      <c r="N1155">
        <v>137</v>
      </c>
      <c r="O1155">
        <v>114</v>
      </c>
      <c r="P1155">
        <v>1</v>
      </c>
      <c r="Q1155">
        <v>5</v>
      </c>
      <c r="R1155">
        <v>9</v>
      </c>
      <c r="S1155">
        <v>11</v>
      </c>
      <c r="T1155">
        <v>2</v>
      </c>
      <c r="U1155">
        <v>0</v>
      </c>
      <c r="V1155">
        <v>0</v>
      </c>
      <c r="W1155">
        <v>1</v>
      </c>
      <c r="X1155">
        <v>0</v>
      </c>
      <c r="Y1155">
        <v>0</v>
      </c>
      <c r="Z1155">
        <v>0</v>
      </c>
      <c r="AA1155">
        <v>3</v>
      </c>
      <c r="AB1155">
        <v>11</v>
      </c>
      <c r="AC1155">
        <v>1</v>
      </c>
      <c r="AD1155" t="str">
        <f t="shared" si="234"/>
        <v>Ok</v>
      </c>
      <c r="AE1155" t="str">
        <f>IF(AND(Audit_Data[[#This Row],[Year_Birth]]&gt;=1900,Audit_Data[[#This Row],[Year_Birth]]&lt;=2010),"OK","Invalid")</f>
        <v>OK</v>
      </c>
      <c r="AF1155" t="str">
        <f t="shared" si="235"/>
        <v>Valid</v>
      </c>
      <c r="AG1155" t="str">
        <f t="shared" si="236"/>
        <v>Valid</v>
      </c>
      <c r="AH1155" t="str">
        <f t="shared" si="237"/>
        <v>Valid</v>
      </c>
      <c r="AI1155" t="str">
        <f t="shared" si="238"/>
        <v>Valid</v>
      </c>
      <c r="AJ1155" t="str">
        <f t="shared" si="239"/>
        <v>Valid</v>
      </c>
      <c r="AK1155" t="str">
        <f t="shared" ref="AK1155:AK1218" si="246">IF(AND(ISNUMBER(H1155),H1155&gt;=DATE(2012,1,1),H1155&lt;=DATE(2014,12,31)),"Valid ","Invalid")</f>
        <v xml:space="preserve">Valid </v>
      </c>
      <c r="AL1155" t="str">
        <f>IF(AND(Audit_Data[[#This Row],[Recency]]&gt;=0,Audit_Data[[#This Row],[Recency]]&lt;=100),"Valid","Invalid")</f>
        <v>Valid</v>
      </c>
      <c r="AM1155" t="str">
        <f t="shared" si="240"/>
        <v>Valid</v>
      </c>
      <c r="AN1155" t="str">
        <f t="shared" si="241"/>
        <v>Valid</v>
      </c>
      <c r="AO1155" t="str">
        <f t="shared" si="242"/>
        <v>Valid</v>
      </c>
      <c r="AP1155" t="str">
        <f t="shared" si="243"/>
        <v>Valid</v>
      </c>
      <c r="AQ1155" t="str">
        <f>IF(Audit_Data[[#This Row],[Z_CostContact]]=3,"Valid","Invalid")</f>
        <v>Valid</v>
      </c>
      <c r="AR1155" t="str">
        <f t="shared" si="244"/>
        <v>Valid</v>
      </c>
      <c r="AS1155" t="str">
        <f t="shared" si="245"/>
        <v>Valid</v>
      </c>
    </row>
    <row r="1156" spans="1:45" x14ac:dyDescent="0.3">
      <c r="A1156">
        <v>2613</v>
      </c>
      <c r="B1156">
        <v>1960</v>
      </c>
      <c r="C1156" t="s">
        <v>34</v>
      </c>
      <c r="D1156" t="s">
        <v>33</v>
      </c>
      <c r="E1156">
        <v>54197</v>
      </c>
      <c r="F1156">
        <v>0</v>
      </c>
      <c r="G1156">
        <v>1</v>
      </c>
      <c r="H1156" s="1">
        <v>41732</v>
      </c>
      <c r="I1156">
        <v>16</v>
      </c>
      <c r="J1156">
        <v>162</v>
      </c>
      <c r="K1156">
        <v>6</v>
      </c>
      <c r="L1156">
        <v>37</v>
      </c>
      <c r="M1156">
        <v>6</v>
      </c>
      <c r="N1156">
        <v>13</v>
      </c>
      <c r="O1156">
        <v>13</v>
      </c>
      <c r="P1156">
        <v>2</v>
      </c>
      <c r="Q1156">
        <v>1</v>
      </c>
      <c r="R1156">
        <v>3</v>
      </c>
      <c r="S1156">
        <v>6</v>
      </c>
      <c r="T1156">
        <v>1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3</v>
      </c>
      <c r="AB1156">
        <v>11</v>
      </c>
      <c r="AC1156">
        <v>0</v>
      </c>
      <c r="AD1156" t="str">
        <f t="shared" si="234"/>
        <v>Ok</v>
      </c>
      <c r="AE1156" t="str">
        <f>IF(AND(Audit_Data[[#This Row],[Year_Birth]]&gt;=1900,Audit_Data[[#This Row],[Year_Birth]]&lt;=2010),"OK","Invalid")</f>
        <v>OK</v>
      </c>
      <c r="AF1156" t="str">
        <f t="shared" si="235"/>
        <v>Valid</v>
      </c>
      <c r="AG1156" t="str">
        <f t="shared" si="236"/>
        <v>Valid</v>
      </c>
      <c r="AH1156" t="str">
        <f t="shared" si="237"/>
        <v>Valid</v>
      </c>
      <c r="AI1156" t="str">
        <f t="shared" si="238"/>
        <v>Valid</v>
      </c>
      <c r="AJ1156" t="str">
        <f t="shared" si="239"/>
        <v>Valid</v>
      </c>
      <c r="AK1156" t="str">
        <f t="shared" si="246"/>
        <v xml:space="preserve">Valid </v>
      </c>
      <c r="AL1156" t="str">
        <f>IF(AND(Audit_Data[[#This Row],[Recency]]&gt;=0,Audit_Data[[#This Row],[Recency]]&lt;=100),"Valid","Invalid")</f>
        <v>Valid</v>
      </c>
      <c r="AM1156" t="str">
        <f t="shared" si="240"/>
        <v>Valid</v>
      </c>
      <c r="AN1156" t="str">
        <f t="shared" si="241"/>
        <v>Valid</v>
      </c>
      <c r="AO1156" t="str">
        <f t="shared" si="242"/>
        <v>Valid</v>
      </c>
      <c r="AP1156" t="str">
        <f t="shared" si="243"/>
        <v>Valid</v>
      </c>
      <c r="AQ1156" t="str">
        <f>IF(Audit_Data[[#This Row],[Z_CostContact]]=3,"Valid","Invalid")</f>
        <v>Valid</v>
      </c>
      <c r="AR1156" t="str">
        <f t="shared" si="244"/>
        <v>Valid</v>
      </c>
      <c r="AS1156" t="str">
        <f t="shared" si="245"/>
        <v>Valid</v>
      </c>
    </row>
    <row r="1157" spans="1:45" x14ac:dyDescent="0.3">
      <c r="A1157">
        <v>213</v>
      </c>
      <c r="B1157">
        <v>1963</v>
      </c>
      <c r="C1157" t="s">
        <v>32</v>
      </c>
      <c r="D1157" t="s">
        <v>30</v>
      </c>
      <c r="E1157">
        <v>23091</v>
      </c>
      <c r="F1157">
        <v>1</v>
      </c>
      <c r="G1157">
        <v>1</v>
      </c>
      <c r="H1157" s="1">
        <v>41787</v>
      </c>
      <c r="I1157">
        <v>98</v>
      </c>
      <c r="J1157">
        <v>35</v>
      </c>
      <c r="K1157">
        <v>0</v>
      </c>
      <c r="L1157">
        <v>11</v>
      </c>
      <c r="M1157">
        <v>0</v>
      </c>
      <c r="N1157">
        <v>0</v>
      </c>
      <c r="O1157">
        <v>2</v>
      </c>
      <c r="P1157">
        <v>4</v>
      </c>
      <c r="Q1157">
        <v>2</v>
      </c>
      <c r="R1157">
        <v>1</v>
      </c>
      <c r="S1157">
        <v>3</v>
      </c>
      <c r="T1157">
        <v>7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3</v>
      </c>
      <c r="AB1157">
        <v>11</v>
      </c>
      <c r="AC1157">
        <v>0</v>
      </c>
      <c r="AD1157" t="str">
        <f t="shared" si="234"/>
        <v>Ok</v>
      </c>
      <c r="AE1157" t="str">
        <f>IF(AND(Audit_Data[[#This Row],[Year_Birth]]&gt;=1900,Audit_Data[[#This Row],[Year_Birth]]&lt;=2010),"OK","Invalid")</f>
        <v>OK</v>
      </c>
      <c r="AF1157" t="str">
        <f t="shared" si="235"/>
        <v>Valid</v>
      </c>
      <c r="AG1157" t="str">
        <f t="shared" si="236"/>
        <v>Valid</v>
      </c>
      <c r="AH1157" t="str">
        <f t="shared" si="237"/>
        <v>Valid</v>
      </c>
      <c r="AI1157" t="str">
        <f t="shared" si="238"/>
        <v>Valid</v>
      </c>
      <c r="AJ1157" t="str">
        <f t="shared" si="239"/>
        <v>Valid</v>
      </c>
      <c r="AK1157" t="str">
        <f t="shared" si="246"/>
        <v xml:space="preserve">Valid </v>
      </c>
      <c r="AL1157" t="str">
        <f>IF(AND(Audit_Data[[#This Row],[Recency]]&gt;=0,Audit_Data[[#This Row],[Recency]]&lt;=100),"Valid","Invalid")</f>
        <v>Valid</v>
      </c>
      <c r="AM1157" t="str">
        <f t="shared" si="240"/>
        <v>Valid</v>
      </c>
      <c r="AN1157" t="str">
        <f t="shared" si="241"/>
        <v>Valid</v>
      </c>
      <c r="AO1157" t="str">
        <f t="shared" si="242"/>
        <v>Valid</v>
      </c>
      <c r="AP1157" t="str">
        <f t="shared" si="243"/>
        <v>Valid</v>
      </c>
      <c r="AQ1157" t="str">
        <f>IF(Audit_Data[[#This Row],[Z_CostContact]]=3,"Valid","Invalid")</f>
        <v>Valid</v>
      </c>
      <c r="AR1157" t="str">
        <f t="shared" si="244"/>
        <v>Valid</v>
      </c>
      <c r="AS1157" t="str">
        <f t="shared" si="245"/>
        <v>Valid</v>
      </c>
    </row>
    <row r="1158" spans="1:45" x14ac:dyDescent="0.3">
      <c r="A1158">
        <v>967</v>
      </c>
      <c r="B1158">
        <v>1976</v>
      </c>
      <c r="C1158" t="s">
        <v>29</v>
      </c>
      <c r="D1158" t="s">
        <v>33</v>
      </c>
      <c r="E1158">
        <v>46049</v>
      </c>
      <c r="F1158">
        <v>1</v>
      </c>
      <c r="G1158">
        <v>1</v>
      </c>
      <c r="H1158" s="1">
        <v>41476</v>
      </c>
      <c r="I1158">
        <v>11</v>
      </c>
      <c r="J1158">
        <v>342</v>
      </c>
      <c r="K1158">
        <v>9</v>
      </c>
      <c r="L1158">
        <v>112</v>
      </c>
      <c r="M1158">
        <v>19</v>
      </c>
      <c r="N1158">
        <v>14</v>
      </c>
      <c r="O1158">
        <v>19</v>
      </c>
      <c r="P1158">
        <v>10</v>
      </c>
      <c r="Q1158">
        <v>5</v>
      </c>
      <c r="R1158">
        <v>2</v>
      </c>
      <c r="S1158">
        <v>9</v>
      </c>
      <c r="T1158">
        <v>7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3</v>
      </c>
      <c r="AB1158">
        <v>11</v>
      </c>
      <c r="AC1158">
        <v>1</v>
      </c>
      <c r="AD1158" t="str">
        <f t="shared" si="234"/>
        <v>Ok</v>
      </c>
      <c r="AE1158" t="str">
        <f>IF(AND(Audit_Data[[#This Row],[Year_Birth]]&gt;=1900,Audit_Data[[#This Row],[Year_Birth]]&lt;=2010),"OK","Invalid")</f>
        <v>OK</v>
      </c>
      <c r="AF1158" t="str">
        <f t="shared" si="235"/>
        <v>Valid</v>
      </c>
      <c r="AG1158" t="str">
        <f t="shared" si="236"/>
        <v>Valid</v>
      </c>
      <c r="AH1158" t="str">
        <f t="shared" si="237"/>
        <v>Valid</v>
      </c>
      <c r="AI1158" t="str">
        <f t="shared" si="238"/>
        <v>Valid</v>
      </c>
      <c r="AJ1158" t="str">
        <f t="shared" si="239"/>
        <v>Valid</v>
      </c>
      <c r="AK1158" t="str">
        <f t="shared" si="246"/>
        <v xml:space="preserve">Valid </v>
      </c>
      <c r="AL1158" t="str">
        <f>IF(AND(Audit_Data[[#This Row],[Recency]]&gt;=0,Audit_Data[[#This Row],[Recency]]&lt;=100),"Valid","Invalid")</f>
        <v>Valid</v>
      </c>
      <c r="AM1158" t="str">
        <f t="shared" si="240"/>
        <v>Valid</v>
      </c>
      <c r="AN1158" t="str">
        <f t="shared" si="241"/>
        <v>Valid</v>
      </c>
      <c r="AO1158" t="str">
        <f t="shared" si="242"/>
        <v>Valid</v>
      </c>
      <c r="AP1158" t="str">
        <f t="shared" si="243"/>
        <v>Valid</v>
      </c>
      <c r="AQ1158" t="str">
        <f>IF(Audit_Data[[#This Row],[Z_CostContact]]=3,"Valid","Invalid")</f>
        <v>Valid</v>
      </c>
      <c r="AR1158" t="str">
        <f t="shared" si="244"/>
        <v>Valid</v>
      </c>
      <c r="AS1158" t="str">
        <f t="shared" si="245"/>
        <v>Valid</v>
      </c>
    </row>
    <row r="1159" spans="1:45" x14ac:dyDescent="0.3">
      <c r="A1159">
        <v>1077</v>
      </c>
      <c r="B1159">
        <v>1974</v>
      </c>
      <c r="C1159" t="s">
        <v>29</v>
      </c>
      <c r="D1159" t="s">
        <v>31</v>
      </c>
      <c r="E1159">
        <v>56715</v>
      </c>
      <c r="F1159">
        <v>0</v>
      </c>
      <c r="G1159">
        <v>0</v>
      </c>
      <c r="H1159" s="1">
        <v>41248</v>
      </c>
      <c r="I1159">
        <v>52</v>
      </c>
      <c r="J1159">
        <v>258</v>
      </c>
      <c r="K1159">
        <v>105</v>
      </c>
      <c r="L1159">
        <v>239</v>
      </c>
      <c r="M1159">
        <v>237</v>
      </c>
      <c r="N1159">
        <v>172</v>
      </c>
      <c r="O1159">
        <v>9</v>
      </c>
      <c r="P1159">
        <v>1</v>
      </c>
      <c r="Q1159">
        <v>7</v>
      </c>
      <c r="R1159">
        <v>3</v>
      </c>
      <c r="S1159">
        <v>4</v>
      </c>
      <c r="T1159">
        <v>4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3</v>
      </c>
      <c r="AB1159">
        <v>11</v>
      </c>
      <c r="AC1159">
        <v>0</v>
      </c>
      <c r="AD1159" t="str">
        <f t="shared" si="234"/>
        <v>Ok</v>
      </c>
      <c r="AE1159" t="str">
        <f>IF(AND(Audit_Data[[#This Row],[Year_Birth]]&gt;=1900,Audit_Data[[#This Row],[Year_Birth]]&lt;=2010),"OK","Invalid")</f>
        <v>OK</v>
      </c>
      <c r="AF1159" t="str">
        <f t="shared" si="235"/>
        <v>Valid</v>
      </c>
      <c r="AG1159" t="str">
        <f t="shared" si="236"/>
        <v>Valid</v>
      </c>
      <c r="AH1159" t="str">
        <f t="shared" si="237"/>
        <v>Valid</v>
      </c>
      <c r="AI1159" t="str">
        <f t="shared" si="238"/>
        <v>Valid</v>
      </c>
      <c r="AJ1159" t="str">
        <f t="shared" si="239"/>
        <v>Valid</v>
      </c>
      <c r="AK1159" t="str">
        <f t="shared" si="246"/>
        <v xml:space="preserve">Valid </v>
      </c>
      <c r="AL1159" t="str">
        <f>IF(AND(Audit_Data[[#This Row],[Recency]]&gt;=0,Audit_Data[[#This Row],[Recency]]&lt;=100),"Valid","Invalid")</f>
        <v>Valid</v>
      </c>
      <c r="AM1159" t="str">
        <f t="shared" si="240"/>
        <v>Valid</v>
      </c>
      <c r="AN1159" t="str">
        <f t="shared" si="241"/>
        <v>Valid</v>
      </c>
      <c r="AO1159" t="str">
        <f t="shared" si="242"/>
        <v>Valid</v>
      </c>
      <c r="AP1159" t="str">
        <f t="shared" si="243"/>
        <v>Valid</v>
      </c>
      <c r="AQ1159" t="str">
        <f>IF(Audit_Data[[#This Row],[Z_CostContact]]=3,"Valid","Invalid")</f>
        <v>Valid</v>
      </c>
      <c r="AR1159" t="str">
        <f t="shared" si="244"/>
        <v>Valid</v>
      </c>
      <c r="AS1159" t="str">
        <f t="shared" si="245"/>
        <v>Valid</v>
      </c>
    </row>
    <row r="1160" spans="1:45" x14ac:dyDescent="0.3">
      <c r="A1160">
        <v>7959</v>
      </c>
      <c r="B1160">
        <v>1961</v>
      </c>
      <c r="C1160" t="s">
        <v>29</v>
      </c>
      <c r="D1160" t="s">
        <v>33</v>
      </c>
      <c r="E1160">
        <v>79410</v>
      </c>
      <c r="F1160">
        <v>0</v>
      </c>
      <c r="G1160">
        <v>0</v>
      </c>
      <c r="H1160" s="1">
        <v>41788</v>
      </c>
      <c r="I1160">
        <v>19</v>
      </c>
      <c r="J1160">
        <v>658</v>
      </c>
      <c r="K1160">
        <v>80</v>
      </c>
      <c r="L1160">
        <v>483</v>
      </c>
      <c r="M1160">
        <v>123</v>
      </c>
      <c r="N1160">
        <v>13</v>
      </c>
      <c r="O1160">
        <v>13</v>
      </c>
      <c r="P1160">
        <v>1</v>
      </c>
      <c r="Q1160">
        <v>3</v>
      </c>
      <c r="R1160">
        <v>2</v>
      </c>
      <c r="S1160">
        <v>5</v>
      </c>
      <c r="T1160">
        <v>1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3</v>
      </c>
      <c r="AB1160">
        <v>11</v>
      </c>
      <c r="AC1160">
        <v>0</v>
      </c>
      <c r="AD1160" t="str">
        <f t="shared" si="234"/>
        <v>Ok</v>
      </c>
      <c r="AE1160" t="str">
        <f>IF(AND(Audit_Data[[#This Row],[Year_Birth]]&gt;=1900,Audit_Data[[#This Row],[Year_Birth]]&lt;=2010),"OK","Invalid")</f>
        <v>OK</v>
      </c>
      <c r="AF1160" t="str">
        <f t="shared" si="235"/>
        <v>Valid</v>
      </c>
      <c r="AG1160" t="str">
        <f t="shared" si="236"/>
        <v>Valid</v>
      </c>
      <c r="AH1160" t="str">
        <f t="shared" si="237"/>
        <v>Valid</v>
      </c>
      <c r="AI1160" t="str">
        <f t="shared" si="238"/>
        <v>Valid</v>
      </c>
      <c r="AJ1160" t="str">
        <f t="shared" si="239"/>
        <v>Valid</v>
      </c>
      <c r="AK1160" t="str">
        <f t="shared" si="246"/>
        <v xml:space="preserve">Valid </v>
      </c>
      <c r="AL1160" t="str">
        <f>IF(AND(Audit_Data[[#This Row],[Recency]]&gt;=0,Audit_Data[[#This Row],[Recency]]&lt;=100),"Valid","Invalid")</f>
        <v>Valid</v>
      </c>
      <c r="AM1160" t="str">
        <f t="shared" si="240"/>
        <v>Valid</v>
      </c>
      <c r="AN1160" t="str">
        <f t="shared" si="241"/>
        <v>Valid</v>
      </c>
      <c r="AO1160" t="str">
        <f t="shared" si="242"/>
        <v>Valid</v>
      </c>
      <c r="AP1160" t="str">
        <f t="shared" si="243"/>
        <v>Valid</v>
      </c>
      <c r="AQ1160" t="str">
        <f>IF(Audit_Data[[#This Row],[Z_CostContact]]=3,"Valid","Invalid")</f>
        <v>Valid</v>
      </c>
      <c r="AR1160" t="str">
        <f t="shared" si="244"/>
        <v>Valid</v>
      </c>
      <c r="AS1160" t="str">
        <f t="shared" si="245"/>
        <v>Valid</v>
      </c>
    </row>
    <row r="1161" spans="1:45" x14ac:dyDescent="0.3">
      <c r="A1161">
        <v>640</v>
      </c>
      <c r="B1161">
        <v>1951</v>
      </c>
      <c r="C1161" t="s">
        <v>29</v>
      </c>
      <c r="D1161" t="s">
        <v>33</v>
      </c>
      <c r="E1161">
        <v>57304</v>
      </c>
      <c r="F1161">
        <v>0</v>
      </c>
      <c r="G1161">
        <v>1</v>
      </c>
      <c r="H1161" s="1">
        <v>41344</v>
      </c>
      <c r="I1161">
        <v>61</v>
      </c>
      <c r="J1161">
        <v>356</v>
      </c>
      <c r="K1161">
        <v>80</v>
      </c>
      <c r="L1161">
        <v>329</v>
      </c>
      <c r="M1161">
        <v>138</v>
      </c>
      <c r="N1161">
        <v>17</v>
      </c>
      <c r="O1161">
        <v>106</v>
      </c>
      <c r="P1161">
        <v>2</v>
      </c>
      <c r="Q1161">
        <v>7</v>
      </c>
      <c r="R1161">
        <v>6</v>
      </c>
      <c r="S1161">
        <v>10</v>
      </c>
      <c r="T1161">
        <v>5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3</v>
      </c>
      <c r="AB1161">
        <v>11</v>
      </c>
      <c r="AC1161">
        <v>0</v>
      </c>
      <c r="AD1161" t="str">
        <f t="shared" si="234"/>
        <v>Ok</v>
      </c>
      <c r="AE1161" t="str">
        <f>IF(AND(Audit_Data[[#This Row],[Year_Birth]]&gt;=1900,Audit_Data[[#This Row],[Year_Birth]]&lt;=2010),"OK","Invalid")</f>
        <v>OK</v>
      </c>
      <c r="AF1161" t="str">
        <f t="shared" si="235"/>
        <v>Valid</v>
      </c>
      <c r="AG1161" t="str">
        <f t="shared" si="236"/>
        <v>Valid</v>
      </c>
      <c r="AH1161" t="str">
        <f t="shared" si="237"/>
        <v>Valid</v>
      </c>
      <c r="AI1161" t="str">
        <f t="shared" si="238"/>
        <v>Valid</v>
      </c>
      <c r="AJ1161" t="str">
        <f t="shared" si="239"/>
        <v>Valid</v>
      </c>
      <c r="AK1161" t="str">
        <f t="shared" si="246"/>
        <v xml:space="preserve">Valid </v>
      </c>
      <c r="AL1161" t="str">
        <f>IF(AND(Audit_Data[[#This Row],[Recency]]&gt;=0,Audit_Data[[#This Row],[Recency]]&lt;=100),"Valid","Invalid")</f>
        <v>Valid</v>
      </c>
      <c r="AM1161" t="str">
        <f t="shared" si="240"/>
        <v>Valid</v>
      </c>
      <c r="AN1161" t="str">
        <f t="shared" si="241"/>
        <v>Valid</v>
      </c>
      <c r="AO1161" t="str">
        <f t="shared" si="242"/>
        <v>Valid</v>
      </c>
      <c r="AP1161" t="str">
        <f t="shared" si="243"/>
        <v>Valid</v>
      </c>
      <c r="AQ1161" t="str">
        <f>IF(Audit_Data[[#This Row],[Z_CostContact]]=3,"Valid","Invalid")</f>
        <v>Valid</v>
      </c>
      <c r="AR1161" t="str">
        <f t="shared" si="244"/>
        <v>Valid</v>
      </c>
      <c r="AS1161" t="str">
        <f t="shared" si="245"/>
        <v>Valid</v>
      </c>
    </row>
    <row r="1162" spans="1:45" x14ac:dyDescent="0.3">
      <c r="A1162">
        <v>4252</v>
      </c>
      <c r="B1162">
        <v>1965</v>
      </c>
      <c r="C1162" t="s">
        <v>29</v>
      </c>
      <c r="D1162" t="s">
        <v>33</v>
      </c>
      <c r="E1162">
        <v>44375</v>
      </c>
      <c r="F1162">
        <v>0</v>
      </c>
      <c r="G1162">
        <v>1</v>
      </c>
      <c r="H1162" s="1">
        <v>41721</v>
      </c>
      <c r="I1162">
        <v>73</v>
      </c>
      <c r="J1162">
        <v>213</v>
      </c>
      <c r="K1162">
        <v>5</v>
      </c>
      <c r="L1162">
        <v>28</v>
      </c>
      <c r="M1162">
        <v>7</v>
      </c>
      <c r="N1162">
        <v>7</v>
      </c>
      <c r="O1162">
        <v>41</v>
      </c>
      <c r="P1162">
        <v>1</v>
      </c>
      <c r="Q1162">
        <v>4</v>
      </c>
      <c r="R1162">
        <v>1</v>
      </c>
      <c r="S1162">
        <v>6</v>
      </c>
      <c r="T1162">
        <v>5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3</v>
      </c>
      <c r="AB1162">
        <v>11</v>
      </c>
      <c r="AC1162">
        <v>0</v>
      </c>
      <c r="AD1162" t="str">
        <f t="shared" si="234"/>
        <v>Ok</v>
      </c>
      <c r="AE1162" t="str">
        <f>IF(AND(Audit_Data[[#This Row],[Year_Birth]]&gt;=1900,Audit_Data[[#This Row],[Year_Birth]]&lt;=2010),"OK","Invalid")</f>
        <v>OK</v>
      </c>
      <c r="AF1162" t="str">
        <f t="shared" si="235"/>
        <v>Valid</v>
      </c>
      <c r="AG1162" t="str">
        <f t="shared" si="236"/>
        <v>Valid</v>
      </c>
      <c r="AH1162" t="str">
        <f t="shared" si="237"/>
        <v>Valid</v>
      </c>
      <c r="AI1162" t="str">
        <f t="shared" si="238"/>
        <v>Valid</v>
      </c>
      <c r="AJ1162" t="str">
        <f t="shared" si="239"/>
        <v>Valid</v>
      </c>
      <c r="AK1162" t="str">
        <f t="shared" si="246"/>
        <v xml:space="preserve">Valid </v>
      </c>
      <c r="AL1162" t="str">
        <f>IF(AND(Audit_Data[[#This Row],[Recency]]&gt;=0,Audit_Data[[#This Row],[Recency]]&lt;=100),"Valid","Invalid")</f>
        <v>Valid</v>
      </c>
      <c r="AM1162" t="str">
        <f t="shared" si="240"/>
        <v>Valid</v>
      </c>
      <c r="AN1162" t="str">
        <f t="shared" si="241"/>
        <v>Valid</v>
      </c>
      <c r="AO1162" t="str">
        <f t="shared" si="242"/>
        <v>Valid</v>
      </c>
      <c r="AP1162" t="str">
        <f t="shared" si="243"/>
        <v>Valid</v>
      </c>
      <c r="AQ1162" t="str">
        <f>IF(Audit_Data[[#This Row],[Z_CostContact]]=3,"Valid","Invalid")</f>
        <v>Valid</v>
      </c>
      <c r="AR1162" t="str">
        <f t="shared" si="244"/>
        <v>Valid</v>
      </c>
      <c r="AS1162" t="str">
        <f t="shared" si="245"/>
        <v>Valid</v>
      </c>
    </row>
    <row r="1163" spans="1:45" x14ac:dyDescent="0.3">
      <c r="A1163">
        <v>8432</v>
      </c>
      <c r="B1163">
        <v>1956</v>
      </c>
      <c r="C1163" t="s">
        <v>29</v>
      </c>
      <c r="D1163" t="s">
        <v>31</v>
      </c>
      <c r="E1163">
        <v>54450</v>
      </c>
      <c r="F1163">
        <v>1</v>
      </c>
      <c r="G1163">
        <v>1</v>
      </c>
      <c r="H1163" s="1">
        <v>41166</v>
      </c>
      <c r="I1163">
        <v>0</v>
      </c>
      <c r="J1163">
        <v>454</v>
      </c>
      <c r="K1163">
        <v>0</v>
      </c>
      <c r="L1163">
        <v>171</v>
      </c>
      <c r="M1163">
        <v>8</v>
      </c>
      <c r="N1163">
        <v>19</v>
      </c>
      <c r="O1163">
        <v>32</v>
      </c>
      <c r="P1163">
        <v>12</v>
      </c>
      <c r="Q1163">
        <v>9</v>
      </c>
      <c r="R1163">
        <v>2</v>
      </c>
      <c r="S1163">
        <v>8</v>
      </c>
      <c r="T1163">
        <v>8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3</v>
      </c>
      <c r="AB1163">
        <v>11</v>
      </c>
      <c r="AC1163">
        <v>0</v>
      </c>
      <c r="AD1163" t="str">
        <f t="shared" si="234"/>
        <v>Ok</v>
      </c>
      <c r="AE1163" t="str">
        <f>IF(AND(Audit_Data[[#This Row],[Year_Birth]]&gt;=1900,Audit_Data[[#This Row],[Year_Birth]]&lt;=2010),"OK","Invalid")</f>
        <v>OK</v>
      </c>
      <c r="AF1163" t="str">
        <f t="shared" si="235"/>
        <v>Valid</v>
      </c>
      <c r="AG1163" t="str">
        <f t="shared" si="236"/>
        <v>Valid</v>
      </c>
      <c r="AH1163" t="str">
        <f t="shared" si="237"/>
        <v>Valid</v>
      </c>
      <c r="AI1163" t="str">
        <f t="shared" si="238"/>
        <v>Valid</v>
      </c>
      <c r="AJ1163" t="str">
        <f t="shared" si="239"/>
        <v>Valid</v>
      </c>
      <c r="AK1163" t="str">
        <f t="shared" si="246"/>
        <v xml:space="preserve">Valid </v>
      </c>
      <c r="AL1163" t="str">
        <f>IF(AND(Audit_Data[[#This Row],[Recency]]&gt;=0,Audit_Data[[#This Row],[Recency]]&lt;=100),"Valid","Invalid")</f>
        <v>Valid</v>
      </c>
      <c r="AM1163" t="str">
        <f t="shared" si="240"/>
        <v>Valid</v>
      </c>
      <c r="AN1163" t="str">
        <f t="shared" si="241"/>
        <v>Valid</v>
      </c>
      <c r="AO1163" t="str">
        <f t="shared" si="242"/>
        <v>Valid</v>
      </c>
      <c r="AP1163" t="str">
        <f t="shared" si="243"/>
        <v>Valid</v>
      </c>
      <c r="AQ1163" t="str">
        <f>IF(Audit_Data[[#This Row],[Z_CostContact]]=3,"Valid","Invalid")</f>
        <v>Valid</v>
      </c>
      <c r="AR1163" t="str">
        <f t="shared" si="244"/>
        <v>Valid</v>
      </c>
      <c r="AS1163" t="str">
        <f t="shared" si="245"/>
        <v>Valid</v>
      </c>
    </row>
    <row r="1164" spans="1:45" x14ac:dyDescent="0.3">
      <c r="A1164">
        <v>6218</v>
      </c>
      <c r="B1164">
        <v>1965</v>
      </c>
      <c r="C1164" t="s">
        <v>29</v>
      </c>
      <c r="D1164" t="s">
        <v>33</v>
      </c>
      <c r="E1164">
        <v>59594</v>
      </c>
      <c r="F1164">
        <v>0</v>
      </c>
      <c r="G1164">
        <v>1</v>
      </c>
      <c r="H1164" s="1">
        <v>41202</v>
      </c>
      <c r="I1164">
        <v>74</v>
      </c>
      <c r="J1164">
        <v>457</v>
      </c>
      <c r="K1164">
        <v>4</v>
      </c>
      <c r="L1164">
        <v>29</v>
      </c>
      <c r="M1164">
        <v>0</v>
      </c>
      <c r="N1164">
        <v>0</v>
      </c>
      <c r="O1164">
        <v>9</v>
      </c>
      <c r="P1164">
        <v>1</v>
      </c>
      <c r="Q1164">
        <v>8</v>
      </c>
      <c r="R1164">
        <v>1</v>
      </c>
      <c r="S1164">
        <v>7</v>
      </c>
      <c r="T1164">
        <v>7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0</v>
      </c>
      <c r="AA1164">
        <v>3</v>
      </c>
      <c r="AB1164">
        <v>11</v>
      </c>
      <c r="AC1164">
        <v>0</v>
      </c>
      <c r="AD1164" t="str">
        <f t="shared" si="234"/>
        <v>Ok</v>
      </c>
      <c r="AE1164" t="str">
        <f>IF(AND(Audit_Data[[#This Row],[Year_Birth]]&gt;=1900,Audit_Data[[#This Row],[Year_Birth]]&lt;=2010),"OK","Invalid")</f>
        <v>OK</v>
      </c>
      <c r="AF1164" t="str">
        <f t="shared" si="235"/>
        <v>Valid</v>
      </c>
      <c r="AG1164" t="str">
        <f t="shared" si="236"/>
        <v>Valid</v>
      </c>
      <c r="AH1164" t="str">
        <f t="shared" si="237"/>
        <v>Valid</v>
      </c>
      <c r="AI1164" t="str">
        <f t="shared" si="238"/>
        <v>Valid</v>
      </c>
      <c r="AJ1164" t="str">
        <f t="shared" si="239"/>
        <v>Valid</v>
      </c>
      <c r="AK1164" t="str">
        <f t="shared" si="246"/>
        <v xml:space="preserve">Valid </v>
      </c>
      <c r="AL1164" t="str">
        <f>IF(AND(Audit_Data[[#This Row],[Recency]]&gt;=0,Audit_Data[[#This Row],[Recency]]&lt;=100),"Valid","Invalid")</f>
        <v>Valid</v>
      </c>
      <c r="AM1164" t="str">
        <f t="shared" si="240"/>
        <v>Valid</v>
      </c>
      <c r="AN1164" t="str">
        <f t="shared" si="241"/>
        <v>Valid</v>
      </c>
      <c r="AO1164" t="str">
        <f t="shared" si="242"/>
        <v>Valid</v>
      </c>
      <c r="AP1164" t="str">
        <f t="shared" si="243"/>
        <v>Valid</v>
      </c>
      <c r="AQ1164" t="str">
        <f>IF(Audit_Data[[#This Row],[Z_CostContact]]=3,"Valid","Invalid")</f>
        <v>Valid</v>
      </c>
      <c r="AR1164" t="str">
        <f t="shared" si="244"/>
        <v>Valid</v>
      </c>
      <c r="AS1164" t="str">
        <f t="shared" si="245"/>
        <v>Valid</v>
      </c>
    </row>
    <row r="1165" spans="1:45" x14ac:dyDescent="0.3">
      <c r="A1165">
        <v>6905</v>
      </c>
      <c r="B1165">
        <v>1994</v>
      </c>
      <c r="C1165" t="s">
        <v>29</v>
      </c>
      <c r="D1165" t="s">
        <v>31</v>
      </c>
      <c r="E1165">
        <v>80685</v>
      </c>
      <c r="F1165">
        <v>0</v>
      </c>
      <c r="G1165">
        <v>0</v>
      </c>
      <c r="H1165" s="1">
        <v>41143</v>
      </c>
      <c r="I1165">
        <v>55</v>
      </c>
      <c r="J1165">
        <v>241</v>
      </c>
      <c r="K1165">
        <v>45</v>
      </c>
      <c r="L1165">
        <v>604</v>
      </c>
      <c r="M1165">
        <v>34</v>
      </c>
      <c r="N1165">
        <v>26</v>
      </c>
      <c r="O1165">
        <v>54</v>
      </c>
      <c r="P1165">
        <v>1</v>
      </c>
      <c r="Q1165">
        <v>6</v>
      </c>
      <c r="R1165">
        <v>4</v>
      </c>
      <c r="S1165">
        <v>10</v>
      </c>
      <c r="T1165">
        <v>2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3</v>
      </c>
      <c r="AB1165">
        <v>11</v>
      </c>
      <c r="AC1165">
        <v>0</v>
      </c>
      <c r="AD1165" t="str">
        <f t="shared" si="234"/>
        <v>Ok</v>
      </c>
      <c r="AE1165" t="str">
        <f>IF(AND(Audit_Data[[#This Row],[Year_Birth]]&gt;=1900,Audit_Data[[#This Row],[Year_Birth]]&lt;=2010),"OK","Invalid")</f>
        <v>OK</v>
      </c>
      <c r="AF1165" t="str">
        <f t="shared" si="235"/>
        <v>Valid</v>
      </c>
      <c r="AG1165" t="str">
        <f t="shared" si="236"/>
        <v>Valid</v>
      </c>
      <c r="AH1165" t="str">
        <f t="shared" si="237"/>
        <v>Valid</v>
      </c>
      <c r="AI1165" t="str">
        <f t="shared" si="238"/>
        <v>Valid</v>
      </c>
      <c r="AJ1165" t="str">
        <f t="shared" si="239"/>
        <v>Valid</v>
      </c>
      <c r="AK1165" t="str">
        <f t="shared" si="246"/>
        <v xml:space="preserve">Valid </v>
      </c>
      <c r="AL1165" t="str">
        <f>IF(AND(Audit_Data[[#This Row],[Recency]]&gt;=0,Audit_Data[[#This Row],[Recency]]&lt;=100),"Valid","Invalid")</f>
        <v>Valid</v>
      </c>
      <c r="AM1165" t="str">
        <f t="shared" si="240"/>
        <v>Valid</v>
      </c>
      <c r="AN1165" t="str">
        <f t="shared" si="241"/>
        <v>Valid</v>
      </c>
      <c r="AO1165" t="str">
        <f t="shared" si="242"/>
        <v>Valid</v>
      </c>
      <c r="AP1165" t="str">
        <f t="shared" si="243"/>
        <v>Valid</v>
      </c>
      <c r="AQ1165" t="str">
        <f>IF(Audit_Data[[#This Row],[Z_CostContact]]=3,"Valid","Invalid")</f>
        <v>Valid</v>
      </c>
      <c r="AR1165" t="str">
        <f t="shared" si="244"/>
        <v>Valid</v>
      </c>
      <c r="AS1165" t="str">
        <f t="shared" si="245"/>
        <v>Valid</v>
      </c>
    </row>
    <row r="1166" spans="1:45" x14ac:dyDescent="0.3">
      <c r="A1166">
        <v>5922</v>
      </c>
      <c r="B1166">
        <v>1974</v>
      </c>
      <c r="C1166" t="s">
        <v>32</v>
      </c>
      <c r="D1166" t="s">
        <v>33</v>
      </c>
      <c r="E1166">
        <v>40344</v>
      </c>
      <c r="F1166">
        <v>0</v>
      </c>
      <c r="G1166">
        <v>1</v>
      </c>
      <c r="H1166" s="1">
        <v>41560</v>
      </c>
      <c r="I1166">
        <v>48</v>
      </c>
      <c r="J1166">
        <v>210</v>
      </c>
      <c r="K1166">
        <v>0</v>
      </c>
      <c r="L1166">
        <v>6</v>
      </c>
      <c r="M1166">
        <v>0</v>
      </c>
      <c r="N1166">
        <v>0</v>
      </c>
      <c r="O1166">
        <v>2</v>
      </c>
      <c r="P1166">
        <v>2</v>
      </c>
      <c r="Q1166">
        <v>4</v>
      </c>
      <c r="R1166">
        <v>1</v>
      </c>
      <c r="S1166">
        <v>5</v>
      </c>
      <c r="T1166">
        <v>7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3</v>
      </c>
      <c r="AB1166">
        <v>11</v>
      </c>
      <c r="AC1166">
        <v>0</v>
      </c>
      <c r="AD1166" t="str">
        <f t="shared" si="234"/>
        <v>Ok</v>
      </c>
      <c r="AE1166" t="str">
        <f>IF(AND(Audit_Data[[#This Row],[Year_Birth]]&gt;=1900,Audit_Data[[#This Row],[Year_Birth]]&lt;=2010),"OK","Invalid")</f>
        <v>OK</v>
      </c>
      <c r="AF1166" t="str">
        <f t="shared" si="235"/>
        <v>Valid</v>
      </c>
      <c r="AG1166" t="str">
        <f t="shared" si="236"/>
        <v>Valid</v>
      </c>
      <c r="AH1166" t="str">
        <f t="shared" si="237"/>
        <v>Valid</v>
      </c>
      <c r="AI1166" t="str">
        <f t="shared" si="238"/>
        <v>Valid</v>
      </c>
      <c r="AJ1166" t="str">
        <f t="shared" si="239"/>
        <v>Valid</v>
      </c>
      <c r="AK1166" t="str">
        <f t="shared" si="246"/>
        <v xml:space="preserve">Valid </v>
      </c>
      <c r="AL1166" t="str">
        <f>IF(AND(Audit_Data[[#This Row],[Recency]]&gt;=0,Audit_Data[[#This Row],[Recency]]&lt;=100),"Valid","Invalid")</f>
        <v>Valid</v>
      </c>
      <c r="AM1166" t="str">
        <f t="shared" si="240"/>
        <v>Valid</v>
      </c>
      <c r="AN1166" t="str">
        <f t="shared" si="241"/>
        <v>Valid</v>
      </c>
      <c r="AO1166" t="str">
        <f t="shared" si="242"/>
        <v>Valid</v>
      </c>
      <c r="AP1166" t="str">
        <f t="shared" si="243"/>
        <v>Valid</v>
      </c>
      <c r="AQ1166" t="str">
        <f>IF(Audit_Data[[#This Row],[Z_CostContact]]=3,"Valid","Invalid")</f>
        <v>Valid</v>
      </c>
      <c r="AR1166" t="str">
        <f t="shared" si="244"/>
        <v>Valid</v>
      </c>
      <c r="AS1166" t="str">
        <f t="shared" si="245"/>
        <v>Valid</v>
      </c>
    </row>
    <row r="1167" spans="1:45" x14ac:dyDescent="0.3">
      <c r="A1167">
        <v>3598</v>
      </c>
      <c r="B1167">
        <v>1972</v>
      </c>
      <c r="C1167" t="s">
        <v>29</v>
      </c>
      <c r="D1167" t="s">
        <v>33</v>
      </c>
      <c r="E1167">
        <v>62710</v>
      </c>
      <c r="F1167">
        <v>0</v>
      </c>
      <c r="G1167">
        <v>1</v>
      </c>
      <c r="H1167" s="1">
        <v>41417</v>
      </c>
      <c r="I1167">
        <v>53</v>
      </c>
      <c r="J1167">
        <v>441</v>
      </c>
      <c r="K1167">
        <v>35</v>
      </c>
      <c r="L1167">
        <v>83</v>
      </c>
      <c r="M1167">
        <v>7</v>
      </c>
      <c r="N1167">
        <v>29</v>
      </c>
      <c r="O1167">
        <v>11</v>
      </c>
      <c r="P1167">
        <v>4</v>
      </c>
      <c r="Q1167">
        <v>4</v>
      </c>
      <c r="R1167">
        <v>2</v>
      </c>
      <c r="S1167">
        <v>12</v>
      </c>
      <c r="T1167">
        <v>4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3</v>
      </c>
      <c r="AB1167">
        <v>11</v>
      </c>
      <c r="AC1167">
        <v>0</v>
      </c>
      <c r="AD1167" t="str">
        <f t="shared" si="234"/>
        <v>Ok</v>
      </c>
      <c r="AE1167" t="str">
        <f>IF(AND(Audit_Data[[#This Row],[Year_Birth]]&gt;=1900,Audit_Data[[#This Row],[Year_Birth]]&lt;=2010),"OK","Invalid")</f>
        <v>OK</v>
      </c>
      <c r="AF1167" t="str">
        <f t="shared" si="235"/>
        <v>Valid</v>
      </c>
      <c r="AG1167" t="str">
        <f t="shared" si="236"/>
        <v>Valid</v>
      </c>
      <c r="AH1167" t="str">
        <f t="shared" si="237"/>
        <v>Valid</v>
      </c>
      <c r="AI1167" t="str">
        <f t="shared" si="238"/>
        <v>Valid</v>
      </c>
      <c r="AJ1167" t="str">
        <f t="shared" si="239"/>
        <v>Valid</v>
      </c>
      <c r="AK1167" t="str">
        <f t="shared" si="246"/>
        <v xml:space="preserve">Valid </v>
      </c>
      <c r="AL1167" t="str">
        <f>IF(AND(Audit_Data[[#This Row],[Recency]]&gt;=0,Audit_Data[[#This Row],[Recency]]&lt;=100),"Valid","Invalid")</f>
        <v>Valid</v>
      </c>
      <c r="AM1167" t="str">
        <f t="shared" si="240"/>
        <v>Valid</v>
      </c>
      <c r="AN1167" t="str">
        <f t="shared" si="241"/>
        <v>Valid</v>
      </c>
      <c r="AO1167" t="str">
        <f t="shared" si="242"/>
        <v>Valid</v>
      </c>
      <c r="AP1167" t="str">
        <f t="shared" si="243"/>
        <v>Valid</v>
      </c>
      <c r="AQ1167" t="str">
        <f>IF(Audit_Data[[#This Row],[Z_CostContact]]=3,"Valid","Invalid")</f>
        <v>Valid</v>
      </c>
      <c r="AR1167" t="str">
        <f t="shared" si="244"/>
        <v>Valid</v>
      </c>
      <c r="AS1167" t="str">
        <f t="shared" si="245"/>
        <v>Valid</v>
      </c>
    </row>
    <row r="1168" spans="1:45" x14ac:dyDescent="0.3">
      <c r="A1168">
        <v>6116</v>
      </c>
      <c r="B1168">
        <v>1968</v>
      </c>
      <c r="C1168" t="s">
        <v>37</v>
      </c>
      <c r="D1168" t="s">
        <v>33</v>
      </c>
      <c r="E1168">
        <v>48985</v>
      </c>
      <c r="F1168">
        <v>0</v>
      </c>
      <c r="G1168">
        <v>1</v>
      </c>
      <c r="H1168" s="1">
        <v>41460</v>
      </c>
      <c r="I1168">
        <v>13</v>
      </c>
      <c r="J1168">
        <v>19</v>
      </c>
      <c r="K1168">
        <v>13</v>
      </c>
      <c r="L1168">
        <v>18</v>
      </c>
      <c r="M1168">
        <v>10</v>
      </c>
      <c r="N1168">
        <v>7</v>
      </c>
      <c r="O1168">
        <v>8</v>
      </c>
      <c r="P1168">
        <v>1</v>
      </c>
      <c r="Q1168">
        <v>1</v>
      </c>
      <c r="R1168">
        <v>1</v>
      </c>
      <c r="S1168">
        <v>3</v>
      </c>
      <c r="T1168">
        <v>3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3</v>
      </c>
      <c r="AB1168">
        <v>11</v>
      </c>
      <c r="AC1168">
        <v>0</v>
      </c>
      <c r="AD1168" t="str">
        <f t="shared" si="234"/>
        <v>Ok</v>
      </c>
      <c r="AE1168" t="str">
        <f>IF(AND(Audit_Data[[#This Row],[Year_Birth]]&gt;=1900,Audit_Data[[#This Row],[Year_Birth]]&lt;=2010),"OK","Invalid")</f>
        <v>OK</v>
      </c>
      <c r="AF1168" t="str">
        <f t="shared" si="235"/>
        <v>Valid</v>
      </c>
      <c r="AG1168" t="str">
        <f t="shared" si="236"/>
        <v>Valid</v>
      </c>
      <c r="AH1168" t="str">
        <f t="shared" si="237"/>
        <v>Valid</v>
      </c>
      <c r="AI1168" t="str">
        <f t="shared" si="238"/>
        <v>Valid</v>
      </c>
      <c r="AJ1168" t="str">
        <f t="shared" si="239"/>
        <v>Valid</v>
      </c>
      <c r="AK1168" t="str">
        <f t="shared" si="246"/>
        <v xml:space="preserve">Valid </v>
      </c>
      <c r="AL1168" t="str">
        <f>IF(AND(Audit_Data[[#This Row],[Recency]]&gt;=0,Audit_Data[[#This Row],[Recency]]&lt;=100),"Valid","Invalid")</f>
        <v>Valid</v>
      </c>
      <c r="AM1168" t="str">
        <f t="shared" si="240"/>
        <v>Valid</v>
      </c>
      <c r="AN1168" t="str">
        <f t="shared" si="241"/>
        <v>Valid</v>
      </c>
      <c r="AO1168" t="str">
        <f t="shared" si="242"/>
        <v>Valid</v>
      </c>
      <c r="AP1168" t="str">
        <f t="shared" si="243"/>
        <v>Valid</v>
      </c>
      <c r="AQ1168" t="str">
        <f>IF(Audit_Data[[#This Row],[Z_CostContact]]=3,"Valid","Invalid")</f>
        <v>Valid</v>
      </c>
      <c r="AR1168" t="str">
        <f t="shared" si="244"/>
        <v>Valid</v>
      </c>
      <c r="AS1168" t="str">
        <f t="shared" si="245"/>
        <v>Valid</v>
      </c>
    </row>
    <row r="1169" spans="1:45" x14ac:dyDescent="0.3">
      <c r="A1169">
        <v>6263</v>
      </c>
      <c r="B1169">
        <v>1968</v>
      </c>
      <c r="C1169" t="s">
        <v>29</v>
      </c>
      <c r="D1169" t="s">
        <v>31</v>
      </c>
      <c r="E1169">
        <v>35322</v>
      </c>
      <c r="F1169">
        <v>1</v>
      </c>
      <c r="G1169">
        <v>2</v>
      </c>
      <c r="H1169" s="1">
        <v>41143</v>
      </c>
      <c r="I1169">
        <v>34</v>
      </c>
      <c r="J1169">
        <v>28</v>
      </c>
      <c r="K1169">
        <v>9</v>
      </c>
      <c r="L1169">
        <v>37</v>
      </c>
      <c r="M1169">
        <v>12</v>
      </c>
      <c r="N1169">
        <v>7</v>
      </c>
      <c r="O1169">
        <v>13</v>
      </c>
      <c r="P1169">
        <v>3</v>
      </c>
      <c r="Q1169">
        <v>2</v>
      </c>
      <c r="R1169">
        <v>0</v>
      </c>
      <c r="S1169">
        <v>4</v>
      </c>
      <c r="T1169">
        <v>8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3</v>
      </c>
      <c r="AB1169">
        <v>11</v>
      </c>
      <c r="AC1169">
        <v>0</v>
      </c>
      <c r="AD1169" t="str">
        <f t="shared" si="234"/>
        <v>Ok</v>
      </c>
      <c r="AE1169" t="str">
        <f>IF(AND(Audit_Data[[#This Row],[Year_Birth]]&gt;=1900,Audit_Data[[#This Row],[Year_Birth]]&lt;=2010),"OK","Invalid")</f>
        <v>OK</v>
      </c>
      <c r="AF1169" t="str">
        <f t="shared" si="235"/>
        <v>Valid</v>
      </c>
      <c r="AG1169" t="str">
        <f t="shared" si="236"/>
        <v>Valid</v>
      </c>
      <c r="AH1169" t="str">
        <f t="shared" si="237"/>
        <v>Valid</v>
      </c>
      <c r="AI1169" t="str">
        <f t="shared" si="238"/>
        <v>Valid</v>
      </c>
      <c r="AJ1169" t="str">
        <f t="shared" si="239"/>
        <v>Valid</v>
      </c>
      <c r="AK1169" t="str">
        <f t="shared" si="246"/>
        <v xml:space="preserve">Valid </v>
      </c>
      <c r="AL1169" t="str">
        <f>IF(AND(Audit_Data[[#This Row],[Recency]]&gt;=0,Audit_Data[[#This Row],[Recency]]&lt;=100),"Valid","Invalid")</f>
        <v>Valid</v>
      </c>
      <c r="AM1169" t="str">
        <f t="shared" si="240"/>
        <v>Valid</v>
      </c>
      <c r="AN1169" t="str">
        <f t="shared" si="241"/>
        <v>Valid</v>
      </c>
      <c r="AO1169" t="str">
        <f t="shared" si="242"/>
        <v>Valid</v>
      </c>
      <c r="AP1169" t="str">
        <f t="shared" si="243"/>
        <v>Valid</v>
      </c>
      <c r="AQ1169" t="str">
        <f>IF(Audit_Data[[#This Row],[Z_CostContact]]=3,"Valid","Invalid")</f>
        <v>Valid</v>
      </c>
      <c r="AR1169" t="str">
        <f t="shared" si="244"/>
        <v>Valid</v>
      </c>
      <c r="AS1169" t="str">
        <f t="shared" si="245"/>
        <v>Valid</v>
      </c>
    </row>
    <row r="1170" spans="1:45" x14ac:dyDescent="0.3">
      <c r="A1170">
        <v>10486</v>
      </c>
      <c r="B1170">
        <v>1948</v>
      </c>
      <c r="C1170" t="s">
        <v>29</v>
      </c>
      <c r="D1170" t="s">
        <v>33</v>
      </c>
      <c r="E1170">
        <v>77142</v>
      </c>
      <c r="F1170">
        <v>0</v>
      </c>
      <c r="G1170">
        <v>0</v>
      </c>
      <c r="H1170" s="1">
        <v>41423</v>
      </c>
      <c r="I1170">
        <v>54</v>
      </c>
      <c r="J1170">
        <v>476</v>
      </c>
      <c r="K1170">
        <v>75</v>
      </c>
      <c r="L1170">
        <v>162</v>
      </c>
      <c r="M1170">
        <v>29</v>
      </c>
      <c r="N1170">
        <v>151</v>
      </c>
      <c r="O1170">
        <v>97</v>
      </c>
      <c r="P1170">
        <v>1</v>
      </c>
      <c r="Q1170">
        <v>4</v>
      </c>
      <c r="R1170">
        <v>4</v>
      </c>
      <c r="S1170">
        <v>8</v>
      </c>
      <c r="T1170">
        <v>2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3</v>
      </c>
      <c r="AB1170">
        <v>11</v>
      </c>
      <c r="AC1170">
        <v>0</v>
      </c>
      <c r="AD1170" t="str">
        <f t="shared" si="234"/>
        <v>Ok</v>
      </c>
      <c r="AE1170" t="str">
        <f>IF(AND(Audit_Data[[#This Row],[Year_Birth]]&gt;=1900,Audit_Data[[#This Row],[Year_Birth]]&lt;=2010),"OK","Invalid")</f>
        <v>OK</v>
      </c>
      <c r="AF1170" t="str">
        <f t="shared" si="235"/>
        <v>Valid</v>
      </c>
      <c r="AG1170" t="str">
        <f t="shared" si="236"/>
        <v>Valid</v>
      </c>
      <c r="AH1170" t="str">
        <f t="shared" si="237"/>
        <v>Valid</v>
      </c>
      <c r="AI1170" t="str">
        <f t="shared" si="238"/>
        <v>Valid</v>
      </c>
      <c r="AJ1170" t="str">
        <f t="shared" si="239"/>
        <v>Valid</v>
      </c>
      <c r="AK1170" t="str">
        <f t="shared" si="246"/>
        <v xml:space="preserve">Valid </v>
      </c>
      <c r="AL1170" t="str">
        <f>IF(AND(Audit_Data[[#This Row],[Recency]]&gt;=0,Audit_Data[[#This Row],[Recency]]&lt;=100),"Valid","Invalid")</f>
        <v>Valid</v>
      </c>
      <c r="AM1170" t="str">
        <f t="shared" si="240"/>
        <v>Valid</v>
      </c>
      <c r="AN1170" t="str">
        <f t="shared" si="241"/>
        <v>Valid</v>
      </c>
      <c r="AO1170" t="str">
        <f t="shared" si="242"/>
        <v>Valid</v>
      </c>
      <c r="AP1170" t="str">
        <f t="shared" si="243"/>
        <v>Valid</v>
      </c>
      <c r="AQ1170" t="str">
        <f>IF(Audit_Data[[#This Row],[Z_CostContact]]=3,"Valid","Invalid")</f>
        <v>Valid</v>
      </c>
      <c r="AR1170" t="str">
        <f t="shared" si="244"/>
        <v>Valid</v>
      </c>
      <c r="AS1170" t="str">
        <f t="shared" si="245"/>
        <v>Valid</v>
      </c>
    </row>
    <row r="1171" spans="1:45" x14ac:dyDescent="0.3">
      <c r="A1171">
        <v>2410</v>
      </c>
      <c r="B1171">
        <v>1969</v>
      </c>
      <c r="C1171" t="s">
        <v>29</v>
      </c>
      <c r="D1171" t="s">
        <v>30</v>
      </c>
      <c r="E1171">
        <v>81657</v>
      </c>
      <c r="F1171">
        <v>0</v>
      </c>
      <c r="G1171">
        <v>0</v>
      </c>
      <c r="H1171" s="1">
        <v>41661</v>
      </c>
      <c r="I1171">
        <v>69</v>
      </c>
      <c r="J1171">
        <v>364</v>
      </c>
      <c r="K1171">
        <v>40</v>
      </c>
      <c r="L1171">
        <v>425</v>
      </c>
      <c r="M1171">
        <v>158</v>
      </c>
      <c r="N1171">
        <v>60</v>
      </c>
      <c r="O1171">
        <v>50</v>
      </c>
      <c r="P1171">
        <v>1</v>
      </c>
      <c r="Q1171">
        <v>3</v>
      </c>
      <c r="R1171">
        <v>4</v>
      </c>
      <c r="S1171">
        <v>8</v>
      </c>
      <c r="T1171">
        <v>1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3</v>
      </c>
      <c r="AB1171">
        <v>11</v>
      </c>
      <c r="AC1171">
        <v>0</v>
      </c>
      <c r="AD1171" t="str">
        <f t="shared" si="234"/>
        <v>Ok</v>
      </c>
      <c r="AE1171" t="str">
        <f>IF(AND(Audit_Data[[#This Row],[Year_Birth]]&gt;=1900,Audit_Data[[#This Row],[Year_Birth]]&lt;=2010),"OK","Invalid")</f>
        <v>OK</v>
      </c>
      <c r="AF1171" t="str">
        <f t="shared" si="235"/>
        <v>Valid</v>
      </c>
      <c r="AG1171" t="str">
        <f t="shared" si="236"/>
        <v>Valid</v>
      </c>
      <c r="AH1171" t="str">
        <f t="shared" si="237"/>
        <v>Valid</v>
      </c>
      <c r="AI1171" t="str">
        <f t="shared" si="238"/>
        <v>Valid</v>
      </c>
      <c r="AJ1171" t="str">
        <f t="shared" si="239"/>
        <v>Valid</v>
      </c>
      <c r="AK1171" t="str">
        <f t="shared" si="246"/>
        <v xml:space="preserve">Valid </v>
      </c>
      <c r="AL1171" t="str">
        <f>IF(AND(Audit_Data[[#This Row],[Recency]]&gt;=0,Audit_Data[[#This Row],[Recency]]&lt;=100),"Valid","Invalid")</f>
        <v>Valid</v>
      </c>
      <c r="AM1171" t="str">
        <f t="shared" si="240"/>
        <v>Valid</v>
      </c>
      <c r="AN1171" t="str">
        <f t="shared" si="241"/>
        <v>Valid</v>
      </c>
      <c r="AO1171" t="str">
        <f t="shared" si="242"/>
        <v>Valid</v>
      </c>
      <c r="AP1171" t="str">
        <f t="shared" si="243"/>
        <v>Valid</v>
      </c>
      <c r="AQ1171" t="str">
        <f>IF(Audit_Data[[#This Row],[Z_CostContact]]=3,"Valid","Invalid")</f>
        <v>Valid</v>
      </c>
      <c r="AR1171" t="str">
        <f t="shared" si="244"/>
        <v>Valid</v>
      </c>
      <c r="AS1171" t="str">
        <f t="shared" si="245"/>
        <v>Valid</v>
      </c>
    </row>
    <row r="1172" spans="1:45" x14ac:dyDescent="0.3">
      <c r="A1172">
        <v>193</v>
      </c>
      <c r="B1172">
        <v>1996</v>
      </c>
      <c r="C1172" t="s">
        <v>36</v>
      </c>
      <c r="D1172" t="s">
        <v>33</v>
      </c>
      <c r="E1172">
        <v>14421</v>
      </c>
      <c r="F1172">
        <v>0</v>
      </c>
      <c r="G1172">
        <v>0</v>
      </c>
      <c r="H1172" s="1">
        <v>41687</v>
      </c>
      <c r="I1172">
        <v>81</v>
      </c>
      <c r="J1172">
        <v>0</v>
      </c>
      <c r="K1172">
        <v>0</v>
      </c>
      <c r="L1172">
        <v>2</v>
      </c>
      <c r="M1172">
        <v>3</v>
      </c>
      <c r="N1172">
        <v>3</v>
      </c>
      <c r="O1172">
        <v>8</v>
      </c>
      <c r="P1172">
        <v>1</v>
      </c>
      <c r="Q1172">
        <v>1</v>
      </c>
      <c r="R1172">
        <v>0</v>
      </c>
      <c r="S1172">
        <v>2</v>
      </c>
      <c r="T1172">
        <v>5</v>
      </c>
      <c r="U1172">
        <v>1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3</v>
      </c>
      <c r="AB1172">
        <v>11</v>
      </c>
      <c r="AC1172">
        <v>0</v>
      </c>
      <c r="AD1172" t="str">
        <f t="shared" si="234"/>
        <v>Ok</v>
      </c>
      <c r="AE1172" t="str">
        <f>IF(AND(Audit_Data[[#This Row],[Year_Birth]]&gt;=1900,Audit_Data[[#This Row],[Year_Birth]]&lt;=2010),"OK","Invalid")</f>
        <v>OK</v>
      </c>
      <c r="AF1172" t="str">
        <f t="shared" si="235"/>
        <v>Valid</v>
      </c>
      <c r="AG1172" t="str">
        <f t="shared" si="236"/>
        <v>Valid</v>
      </c>
      <c r="AH1172" t="str">
        <f t="shared" si="237"/>
        <v>Valid</v>
      </c>
      <c r="AI1172" t="str">
        <f t="shared" si="238"/>
        <v>Valid</v>
      </c>
      <c r="AJ1172" t="str">
        <f t="shared" si="239"/>
        <v>Valid</v>
      </c>
      <c r="AK1172" t="str">
        <f t="shared" si="246"/>
        <v xml:space="preserve">Valid </v>
      </c>
      <c r="AL1172" t="str">
        <f>IF(AND(Audit_Data[[#This Row],[Recency]]&gt;=0,Audit_Data[[#This Row],[Recency]]&lt;=100),"Valid","Invalid")</f>
        <v>Valid</v>
      </c>
      <c r="AM1172" t="str">
        <f t="shared" si="240"/>
        <v>Valid</v>
      </c>
      <c r="AN1172" t="str">
        <f t="shared" si="241"/>
        <v>Valid</v>
      </c>
      <c r="AO1172" t="str">
        <f t="shared" si="242"/>
        <v>Valid</v>
      </c>
      <c r="AP1172" t="str">
        <f t="shared" si="243"/>
        <v>Valid</v>
      </c>
      <c r="AQ1172" t="str">
        <f>IF(Audit_Data[[#This Row],[Z_CostContact]]=3,"Valid","Invalid")</f>
        <v>Valid</v>
      </c>
      <c r="AR1172" t="str">
        <f t="shared" si="244"/>
        <v>Valid</v>
      </c>
      <c r="AS1172" t="str">
        <f t="shared" si="245"/>
        <v>Valid</v>
      </c>
    </row>
    <row r="1173" spans="1:45" x14ac:dyDescent="0.3">
      <c r="A1173">
        <v>3363</v>
      </c>
      <c r="B1173">
        <v>1974</v>
      </c>
      <c r="C1173" t="s">
        <v>37</v>
      </c>
      <c r="D1173" t="s">
        <v>33</v>
      </c>
      <c r="E1173">
        <v>20130</v>
      </c>
      <c r="F1173">
        <v>0</v>
      </c>
      <c r="G1173">
        <v>0</v>
      </c>
      <c r="H1173" s="1">
        <v>41715</v>
      </c>
      <c r="I1173">
        <v>99</v>
      </c>
      <c r="J1173">
        <v>0</v>
      </c>
      <c r="K1173">
        <v>6</v>
      </c>
      <c r="L1173">
        <v>3</v>
      </c>
      <c r="M1173">
        <v>7</v>
      </c>
      <c r="N1173">
        <v>6</v>
      </c>
      <c r="O1173">
        <v>12</v>
      </c>
      <c r="P1173">
        <v>1</v>
      </c>
      <c r="Q1173">
        <v>1</v>
      </c>
      <c r="R1173">
        <v>0</v>
      </c>
      <c r="S1173">
        <v>3</v>
      </c>
      <c r="T1173">
        <v>8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3</v>
      </c>
      <c r="AB1173">
        <v>11</v>
      </c>
      <c r="AC1173">
        <v>0</v>
      </c>
      <c r="AD1173" t="str">
        <f t="shared" si="234"/>
        <v>Ok</v>
      </c>
      <c r="AE1173" t="str">
        <f>IF(AND(Audit_Data[[#This Row],[Year_Birth]]&gt;=1900,Audit_Data[[#This Row],[Year_Birth]]&lt;=2010),"OK","Invalid")</f>
        <v>OK</v>
      </c>
      <c r="AF1173" t="str">
        <f t="shared" si="235"/>
        <v>Valid</v>
      </c>
      <c r="AG1173" t="str">
        <f t="shared" si="236"/>
        <v>Valid</v>
      </c>
      <c r="AH1173" t="str">
        <f t="shared" si="237"/>
        <v>Valid</v>
      </c>
      <c r="AI1173" t="str">
        <f t="shared" si="238"/>
        <v>Valid</v>
      </c>
      <c r="AJ1173" t="str">
        <f t="shared" si="239"/>
        <v>Valid</v>
      </c>
      <c r="AK1173" t="str">
        <f t="shared" si="246"/>
        <v xml:space="preserve">Valid </v>
      </c>
      <c r="AL1173" t="str">
        <f>IF(AND(Audit_Data[[#This Row],[Recency]]&gt;=0,Audit_Data[[#This Row],[Recency]]&lt;=100),"Valid","Invalid")</f>
        <v>Valid</v>
      </c>
      <c r="AM1173" t="str">
        <f t="shared" si="240"/>
        <v>Valid</v>
      </c>
      <c r="AN1173" t="str">
        <f t="shared" si="241"/>
        <v>Valid</v>
      </c>
      <c r="AO1173" t="str">
        <f t="shared" si="242"/>
        <v>Valid</v>
      </c>
      <c r="AP1173" t="str">
        <f t="shared" si="243"/>
        <v>Valid</v>
      </c>
      <c r="AQ1173" t="str">
        <f>IF(Audit_Data[[#This Row],[Z_CostContact]]=3,"Valid","Invalid")</f>
        <v>Valid</v>
      </c>
      <c r="AR1173" t="str">
        <f t="shared" si="244"/>
        <v>Valid</v>
      </c>
      <c r="AS1173" t="str">
        <f t="shared" si="245"/>
        <v>Valid</v>
      </c>
    </row>
    <row r="1174" spans="1:45" x14ac:dyDescent="0.3">
      <c r="A1174">
        <v>8278</v>
      </c>
      <c r="B1174">
        <v>1990</v>
      </c>
      <c r="C1174" t="s">
        <v>32</v>
      </c>
      <c r="D1174" t="s">
        <v>33</v>
      </c>
      <c r="E1174">
        <v>74214</v>
      </c>
      <c r="F1174">
        <v>0</v>
      </c>
      <c r="G1174">
        <v>0</v>
      </c>
      <c r="H1174" s="1">
        <v>41147</v>
      </c>
      <c r="I1174">
        <v>3</v>
      </c>
      <c r="J1174">
        <v>863</v>
      </c>
      <c r="K1174">
        <v>83</v>
      </c>
      <c r="L1174">
        <v>547</v>
      </c>
      <c r="M1174">
        <v>86</v>
      </c>
      <c r="N1174">
        <v>99</v>
      </c>
      <c r="O1174">
        <v>33</v>
      </c>
      <c r="P1174">
        <v>1</v>
      </c>
      <c r="Q1174">
        <v>8</v>
      </c>
      <c r="R1174">
        <v>2</v>
      </c>
      <c r="S1174">
        <v>5</v>
      </c>
      <c r="T1174">
        <v>5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3</v>
      </c>
      <c r="AB1174">
        <v>11</v>
      </c>
      <c r="AC1174">
        <v>0</v>
      </c>
      <c r="AD1174" t="str">
        <f t="shared" si="234"/>
        <v>Ok</v>
      </c>
      <c r="AE1174" t="str">
        <f>IF(AND(Audit_Data[[#This Row],[Year_Birth]]&gt;=1900,Audit_Data[[#This Row],[Year_Birth]]&lt;=2010),"OK","Invalid")</f>
        <v>OK</v>
      </c>
      <c r="AF1174" t="str">
        <f t="shared" si="235"/>
        <v>Valid</v>
      </c>
      <c r="AG1174" t="str">
        <f t="shared" si="236"/>
        <v>Valid</v>
      </c>
      <c r="AH1174" t="str">
        <f t="shared" si="237"/>
        <v>Valid</v>
      </c>
      <c r="AI1174" t="str">
        <f t="shared" si="238"/>
        <v>Valid</v>
      </c>
      <c r="AJ1174" t="str">
        <f t="shared" si="239"/>
        <v>Valid</v>
      </c>
      <c r="AK1174" t="str">
        <f t="shared" si="246"/>
        <v xml:space="preserve">Valid </v>
      </c>
      <c r="AL1174" t="str">
        <f>IF(AND(Audit_Data[[#This Row],[Recency]]&gt;=0,Audit_Data[[#This Row],[Recency]]&lt;=100),"Valid","Invalid")</f>
        <v>Valid</v>
      </c>
      <c r="AM1174" t="str">
        <f t="shared" si="240"/>
        <v>Valid</v>
      </c>
      <c r="AN1174" t="str">
        <f t="shared" si="241"/>
        <v>Valid</v>
      </c>
      <c r="AO1174" t="str">
        <f t="shared" si="242"/>
        <v>Valid</v>
      </c>
      <c r="AP1174" t="str">
        <f t="shared" si="243"/>
        <v>Valid</v>
      </c>
      <c r="AQ1174" t="str">
        <f>IF(Audit_Data[[#This Row],[Z_CostContact]]=3,"Valid","Invalid")</f>
        <v>Valid</v>
      </c>
      <c r="AR1174" t="str">
        <f t="shared" si="244"/>
        <v>Valid</v>
      </c>
      <c r="AS1174" t="str">
        <f t="shared" si="245"/>
        <v>Valid</v>
      </c>
    </row>
    <row r="1175" spans="1:45" x14ac:dyDescent="0.3">
      <c r="A1175">
        <v>10660</v>
      </c>
      <c r="B1175">
        <v>1957</v>
      </c>
      <c r="C1175" t="s">
        <v>34</v>
      </c>
      <c r="D1175" t="s">
        <v>33</v>
      </c>
      <c r="E1175">
        <v>66726</v>
      </c>
      <c r="F1175">
        <v>1</v>
      </c>
      <c r="G1175">
        <v>1</v>
      </c>
      <c r="H1175" s="1">
        <v>41651</v>
      </c>
      <c r="I1175">
        <v>61</v>
      </c>
      <c r="J1175">
        <v>349</v>
      </c>
      <c r="K1175">
        <v>7</v>
      </c>
      <c r="L1175">
        <v>35</v>
      </c>
      <c r="M1175">
        <v>0</v>
      </c>
      <c r="N1175">
        <v>0</v>
      </c>
      <c r="O1175">
        <v>47</v>
      </c>
      <c r="P1175">
        <v>3</v>
      </c>
      <c r="Q1175">
        <v>8</v>
      </c>
      <c r="R1175">
        <v>2</v>
      </c>
      <c r="S1175">
        <v>4</v>
      </c>
      <c r="T1175">
        <v>7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3</v>
      </c>
      <c r="AB1175">
        <v>11</v>
      </c>
      <c r="AC1175">
        <v>0</v>
      </c>
      <c r="AD1175" t="str">
        <f t="shared" si="234"/>
        <v>Ok</v>
      </c>
      <c r="AE1175" t="str">
        <f>IF(AND(Audit_Data[[#This Row],[Year_Birth]]&gt;=1900,Audit_Data[[#This Row],[Year_Birth]]&lt;=2010),"OK","Invalid")</f>
        <v>OK</v>
      </c>
      <c r="AF1175" t="str">
        <f t="shared" si="235"/>
        <v>Valid</v>
      </c>
      <c r="AG1175" t="str">
        <f t="shared" si="236"/>
        <v>Valid</v>
      </c>
      <c r="AH1175" t="str">
        <f t="shared" si="237"/>
        <v>Valid</v>
      </c>
      <c r="AI1175" t="str">
        <f t="shared" si="238"/>
        <v>Valid</v>
      </c>
      <c r="AJ1175" t="str">
        <f t="shared" si="239"/>
        <v>Valid</v>
      </c>
      <c r="AK1175" t="str">
        <f t="shared" si="246"/>
        <v xml:space="preserve">Valid </v>
      </c>
      <c r="AL1175" t="str">
        <f>IF(AND(Audit_Data[[#This Row],[Recency]]&gt;=0,Audit_Data[[#This Row],[Recency]]&lt;=100),"Valid","Invalid")</f>
        <v>Valid</v>
      </c>
      <c r="AM1175" t="str">
        <f t="shared" si="240"/>
        <v>Valid</v>
      </c>
      <c r="AN1175" t="str">
        <f t="shared" si="241"/>
        <v>Valid</v>
      </c>
      <c r="AO1175" t="str">
        <f t="shared" si="242"/>
        <v>Valid</v>
      </c>
      <c r="AP1175" t="str">
        <f t="shared" si="243"/>
        <v>Valid</v>
      </c>
      <c r="AQ1175" t="str">
        <f>IF(Audit_Data[[#This Row],[Z_CostContact]]=3,"Valid","Invalid")</f>
        <v>Valid</v>
      </c>
      <c r="AR1175" t="str">
        <f t="shared" si="244"/>
        <v>Valid</v>
      </c>
      <c r="AS1175" t="str">
        <f t="shared" si="245"/>
        <v>Valid</v>
      </c>
    </row>
    <row r="1176" spans="1:45" x14ac:dyDescent="0.3">
      <c r="A1176">
        <v>8686</v>
      </c>
      <c r="B1176">
        <v>1979</v>
      </c>
      <c r="C1176" t="s">
        <v>36</v>
      </c>
      <c r="D1176" t="s">
        <v>31</v>
      </c>
      <c r="E1176">
        <v>23724</v>
      </c>
      <c r="F1176">
        <v>1</v>
      </c>
      <c r="G1176">
        <v>0</v>
      </c>
      <c r="H1176" s="1">
        <v>41282</v>
      </c>
      <c r="I1176">
        <v>65</v>
      </c>
      <c r="J1176">
        <v>5</v>
      </c>
      <c r="K1176">
        <v>23</v>
      </c>
      <c r="L1176">
        <v>15</v>
      </c>
      <c r="M1176">
        <v>0</v>
      </c>
      <c r="N1176">
        <v>18</v>
      </c>
      <c r="O1176">
        <v>14</v>
      </c>
      <c r="P1176">
        <v>2</v>
      </c>
      <c r="Q1176">
        <v>2</v>
      </c>
      <c r="R1176">
        <v>0</v>
      </c>
      <c r="S1176">
        <v>3</v>
      </c>
      <c r="T1176">
        <v>8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3</v>
      </c>
      <c r="AB1176">
        <v>11</v>
      </c>
      <c r="AC1176">
        <v>0</v>
      </c>
      <c r="AD1176" t="str">
        <f t="shared" si="234"/>
        <v>Ok</v>
      </c>
      <c r="AE1176" t="str">
        <f>IF(AND(Audit_Data[[#This Row],[Year_Birth]]&gt;=1900,Audit_Data[[#This Row],[Year_Birth]]&lt;=2010),"OK","Invalid")</f>
        <v>OK</v>
      </c>
      <c r="AF1176" t="str">
        <f t="shared" si="235"/>
        <v>Valid</v>
      </c>
      <c r="AG1176" t="str">
        <f t="shared" si="236"/>
        <v>Valid</v>
      </c>
      <c r="AH1176" t="str">
        <f t="shared" si="237"/>
        <v>Valid</v>
      </c>
      <c r="AI1176" t="str">
        <f t="shared" si="238"/>
        <v>Valid</v>
      </c>
      <c r="AJ1176" t="str">
        <f t="shared" si="239"/>
        <v>Valid</v>
      </c>
      <c r="AK1176" t="str">
        <f t="shared" si="246"/>
        <v xml:space="preserve">Valid </v>
      </c>
      <c r="AL1176" t="str">
        <f>IF(AND(Audit_Data[[#This Row],[Recency]]&gt;=0,Audit_Data[[#This Row],[Recency]]&lt;=100),"Valid","Invalid")</f>
        <v>Valid</v>
      </c>
      <c r="AM1176" t="str">
        <f t="shared" si="240"/>
        <v>Valid</v>
      </c>
      <c r="AN1176" t="str">
        <f t="shared" si="241"/>
        <v>Valid</v>
      </c>
      <c r="AO1176" t="str">
        <f t="shared" si="242"/>
        <v>Valid</v>
      </c>
      <c r="AP1176" t="str">
        <f t="shared" si="243"/>
        <v>Valid</v>
      </c>
      <c r="AQ1176" t="str">
        <f>IF(Audit_Data[[#This Row],[Z_CostContact]]=3,"Valid","Invalid")</f>
        <v>Valid</v>
      </c>
      <c r="AR1176" t="str">
        <f t="shared" si="244"/>
        <v>Valid</v>
      </c>
      <c r="AS1176" t="str">
        <f t="shared" si="245"/>
        <v>Valid</v>
      </c>
    </row>
    <row r="1177" spans="1:45" x14ac:dyDescent="0.3">
      <c r="A1177">
        <v>1604</v>
      </c>
      <c r="B1177">
        <v>1960</v>
      </c>
      <c r="C1177" t="s">
        <v>34</v>
      </c>
      <c r="D1177" t="s">
        <v>33</v>
      </c>
      <c r="E1177">
        <v>47353</v>
      </c>
      <c r="F1177">
        <v>0</v>
      </c>
      <c r="G1177">
        <v>1</v>
      </c>
      <c r="H1177" s="1">
        <v>41591</v>
      </c>
      <c r="I1177">
        <v>93</v>
      </c>
      <c r="J1177">
        <v>184</v>
      </c>
      <c r="K1177">
        <v>2</v>
      </c>
      <c r="L1177">
        <v>19</v>
      </c>
      <c r="M1177">
        <v>8</v>
      </c>
      <c r="N1177">
        <v>8</v>
      </c>
      <c r="O1177">
        <v>4</v>
      </c>
      <c r="P1177">
        <v>3</v>
      </c>
      <c r="Q1177">
        <v>2</v>
      </c>
      <c r="R1177">
        <v>2</v>
      </c>
      <c r="S1177">
        <v>6</v>
      </c>
      <c r="T1177">
        <v>5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3</v>
      </c>
      <c r="AB1177">
        <v>11</v>
      </c>
      <c r="AC1177">
        <v>0</v>
      </c>
      <c r="AD1177" t="str">
        <f t="shared" si="234"/>
        <v>Ok</v>
      </c>
      <c r="AE1177" t="str">
        <f>IF(AND(Audit_Data[[#This Row],[Year_Birth]]&gt;=1900,Audit_Data[[#This Row],[Year_Birth]]&lt;=2010),"OK","Invalid")</f>
        <v>OK</v>
      </c>
      <c r="AF1177" t="str">
        <f t="shared" si="235"/>
        <v>Valid</v>
      </c>
      <c r="AG1177" t="str">
        <f t="shared" si="236"/>
        <v>Valid</v>
      </c>
      <c r="AH1177" t="str">
        <f t="shared" si="237"/>
        <v>Valid</v>
      </c>
      <c r="AI1177" t="str">
        <f t="shared" si="238"/>
        <v>Valid</v>
      </c>
      <c r="AJ1177" t="str">
        <f t="shared" si="239"/>
        <v>Valid</v>
      </c>
      <c r="AK1177" t="str">
        <f t="shared" si="246"/>
        <v xml:space="preserve">Valid </v>
      </c>
      <c r="AL1177" t="str">
        <f>IF(AND(Audit_Data[[#This Row],[Recency]]&gt;=0,Audit_Data[[#This Row],[Recency]]&lt;=100),"Valid","Invalid")</f>
        <v>Valid</v>
      </c>
      <c r="AM1177" t="str">
        <f t="shared" si="240"/>
        <v>Valid</v>
      </c>
      <c r="AN1177" t="str">
        <f t="shared" si="241"/>
        <v>Valid</v>
      </c>
      <c r="AO1177" t="str">
        <f t="shared" si="242"/>
        <v>Valid</v>
      </c>
      <c r="AP1177" t="str">
        <f t="shared" si="243"/>
        <v>Valid</v>
      </c>
      <c r="AQ1177" t="str">
        <f>IF(Audit_Data[[#This Row],[Z_CostContact]]=3,"Valid","Invalid")</f>
        <v>Valid</v>
      </c>
      <c r="AR1177" t="str">
        <f t="shared" si="244"/>
        <v>Valid</v>
      </c>
      <c r="AS1177" t="str">
        <f t="shared" si="245"/>
        <v>Valid</v>
      </c>
    </row>
    <row r="1178" spans="1:45" x14ac:dyDescent="0.3">
      <c r="A1178">
        <v>5907</v>
      </c>
      <c r="B1178">
        <v>1952</v>
      </c>
      <c r="C1178" t="s">
        <v>34</v>
      </c>
      <c r="D1178" t="s">
        <v>33</v>
      </c>
      <c r="E1178">
        <v>33444</v>
      </c>
      <c r="F1178">
        <v>1</v>
      </c>
      <c r="G1178">
        <v>1</v>
      </c>
      <c r="H1178" s="1">
        <v>41216</v>
      </c>
      <c r="I1178">
        <v>24</v>
      </c>
      <c r="J1178">
        <v>8</v>
      </c>
      <c r="K1178">
        <v>0</v>
      </c>
      <c r="L1178">
        <v>8</v>
      </c>
      <c r="M1178">
        <v>0</v>
      </c>
      <c r="N1178">
        <v>0</v>
      </c>
      <c r="O1178">
        <v>2</v>
      </c>
      <c r="P1178">
        <v>1</v>
      </c>
      <c r="Q1178">
        <v>1</v>
      </c>
      <c r="R1178">
        <v>0</v>
      </c>
      <c r="S1178">
        <v>2</v>
      </c>
      <c r="T1178">
        <v>8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3</v>
      </c>
      <c r="AB1178">
        <v>11</v>
      </c>
      <c r="AC1178">
        <v>0</v>
      </c>
      <c r="AD1178" t="str">
        <f t="shared" si="234"/>
        <v>Ok</v>
      </c>
      <c r="AE1178" t="str">
        <f>IF(AND(Audit_Data[[#This Row],[Year_Birth]]&gt;=1900,Audit_Data[[#This Row],[Year_Birth]]&lt;=2010),"OK","Invalid")</f>
        <v>OK</v>
      </c>
      <c r="AF1178" t="str">
        <f t="shared" si="235"/>
        <v>Valid</v>
      </c>
      <c r="AG1178" t="str">
        <f t="shared" si="236"/>
        <v>Valid</v>
      </c>
      <c r="AH1178" t="str">
        <f t="shared" si="237"/>
        <v>Valid</v>
      </c>
      <c r="AI1178" t="str">
        <f t="shared" si="238"/>
        <v>Valid</v>
      </c>
      <c r="AJ1178" t="str">
        <f t="shared" si="239"/>
        <v>Valid</v>
      </c>
      <c r="AK1178" t="str">
        <f t="shared" si="246"/>
        <v xml:space="preserve">Valid </v>
      </c>
      <c r="AL1178" t="str">
        <f>IF(AND(Audit_Data[[#This Row],[Recency]]&gt;=0,Audit_Data[[#This Row],[Recency]]&lt;=100),"Valid","Invalid")</f>
        <v>Valid</v>
      </c>
      <c r="AM1178" t="str">
        <f t="shared" si="240"/>
        <v>Valid</v>
      </c>
      <c r="AN1178" t="str">
        <f t="shared" si="241"/>
        <v>Valid</v>
      </c>
      <c r="AO1178" t="str">
        <f t="shared" si="242"/>
        <v>Valid</v>
      </c>
      <c r="AP1178" t="str">
        <f t="shared" si="243"/>
        <v>Valid</v>
      </c>
      <c r="AQ1178" t="str">
        <f>IF(Audit_Data[[#This Row],[Z_CostContact]]=3,"Valid","Invalid")</f>
        <v>Valid</v>
      </c>
      <c r="AR1178" t="str">
        <f t="shared" si="244"/>
        <v>Valid</v>
      </c>
      <c r="AS1178" t="str">
        <f t="shared" si="245"/>
        <v>Valid</v>
      </c>
    </row>
    <row r="1179" spans="1:45" x14ac:dyDescent="0.3">
      <c r="A1179">
        <v>10669</v>
      </c>
      <c r="B1179">
        <v>1981</v>
      </c>
      <c r="C1179" t="s">
        <v>29</v>
      </c>
      <c r="D1179" t="s">
        <v>33</v>
      </c>
      <c r="E1179">
        <v>54386</v>
      </c>
      <c r="F1179">
        <v>0</v>
      </c>
      <c r="G1179">
        <v>1</v>
      </c>
      <c r="H1179" s="1">
        <v>41411</v>
      </c>
      <c r="I1179">
        <v>8</v>
      </c>
      <c r="J1179">
        <v>277</v>
      </c>
      <c r="K1179">
        <v>21</v>
      </c>
      <c r="L1179">
        <v>64</v>
      </c>
      <c r="M1179">
        <v>62</v>
      </c>
      <c r="N1179">
        <v>21</v>
      </c>
      <c r="O1179">
        <v>25</v>
      </c>
      <c r="P1179">
        <v>2</v>
      </c>
      <c r="Q1179">
        <v>3</v>
      </c>
      <c r="R1179">
        <v>2</v>
      </c>
      <c r="S1179">
        <v>10</v>
      </c>
      <c r="T1179">
        <v>3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3</v>
      </c>
      <c r="AB1179">
        <v>11</v>
      </c>
      <c r="AC1179">
        <v>0</v>
      </c>
      <c r="AD1179" t="str">
        <f t="shared" si="234"/>
        <v>Ok</v>
      </c>
      <c r="AE1179" t="str">
        <f>IF(AND(Audit_Data[[#This Row],[Year_Birth]]&gt;=1900,Audit_Data[[#This Row],[Year_Birth]]&lt;=2010),"OK","Invalid")</f>
        <v>OK</v>
      </c>
      <c r="AF1179" t="str">
        <f t="shared" si="235"/>
        <v>Valid</v>
      </c>
      <c r="AG1179" t="str">
        <f t="shared" si="236"/>
        <v>Valid</v>
      </c>
      <c r="AH1179" t="str">
        <f t="shared" si="237"/>
        <v>Valid</v>
      </c>
      <c r="AI1179" t="str">
        <f t="shared" si="238"/>
        <v>Valid</v>
      </c>
      <c r="AJ1179" t="str">
        <f t="shared" si="239"/>
        <v>Valid</v>
      </c>
      <c r="AK1179" t="str">
        <f t="shared" si="246"/>
        <v xml:space="preserve">Valid </v>
      </c>
      <c r="AL1179" t="str">
        <f>IF(AND(Audit_Data[[#This Row],[Recency]]&gt;=0,Audit_Data[[#This Row],[Recency]]&lt;=100),"Valid","Invalid")</f>
        <v>Valid</v>
      </c>
      <c r="AM1179" t="str">
        <f t="shared" si="240"/>
        <v>Valid</v>
      </c>
      <c r="AN1179" t="str">
        <f t="shared" si="241"/>
        <v>Valid</v>
      </c>
      <c r="AO1179" t="str">
        <f t="shared" si="242"/>
        <v>Valid</v>
      </c>
      <c r="AP1179" t="str">
        <f t="shared" si="243"/>
        <v>Valid</v>
      </c>
      <c r="AQ1179" t="str">
        <f>IF(Audit_Data[[#This Row],[Z_CostContact]]=3,"Valid","Invalid")</f>
        <v>Valid</v>
      </c>
      <c r="AR1179" t="str">
        <f t="shared" si="244"/>
        <v>Valid</v>
      </c>
      <c r="AS1179" t="str">
        <f t="shared" si="245"/>
        <v>Valid</v>
      </c>
    </row>
    <row r="1180" spans="1:45" x14ac:dyDescent="0.3">
      <c r="A1180">
        <v>2918</v>
      </c>
      <c r="B1180">
        <v>1981</v>
      </c>
      <c r="C1180" t="s">
        <v>29</v>
      </c>
      <c r="D1180" t="s">
        <v>35</v>
      </c>
      <c r="E1180">
        <v>28510</v>
      </c>
      <c r="F1180">
        <v>1</v>
      </c>
      <c r="G1180">
        <v>1</v>
      </c>
      <c r="H1180" s="1">
        <v>41377</v>
      </c>
      <c r="I1180">
        <v>72</v>
      </c>
      <c r="J1180">
        <v>44</v>
      </c>
      <c r="K1180">
        <v>5</v>
      </c>
      <c r="L1180">
        <v>19</v>
      </c>
      <c r="M1180">
        <v>0</v>
      </c>
      <c r="N1180">
        <v>4</v>
      </c>
      <c r="O1180">
        <v>19</v>
      </c>
      <c r="P1180">
        <v>3</v>
      </c>
      <c r="Q1180">
        <v>2</v>
      </c>
      <c r="R1180">
        <v>0</v>
      </c>
      <c r="S1180">
        <v>4</v>
      </c>
      <c r="T1180">
        <v>5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3</v>
      </c>
      <c r="AB1180">
        <v>11</v>
      </c>
      <c r="AC1180">
        <v>0</v>
      </c>
      <c r="AD1180" t="str">
        <f t="shared" si="234"/>
        <v>Ok</v>
      </c>
      <c r="AE1180" t="str">
        <f>IF(AND(Audit_Data[[#This Row],[Year_Birth]]&gt;=1900,Audit_Data[[#This Row],[Year_Birth]]&lt;=2010),"OK","Invalid")</f>
        <v>OK</v>
      </c>
      <c r="AF1180" t="str">
        <f t="shared" si="235"/>
        <v>Valid</v>
      </c>
      <c r="AG1180" t="str">
        <f t="shared" si="236"/>
        <v>Valid</v>
      </c>
      <c r="AH1180" t="str">
        <f t="shared" si="237"/>
        <v>Valid</v>
      </c>
      <c r="AI1180" t="str">
        <f t="shared" si="238"/>
        <v>Valid</v>
      </c>
      <c r="AJ1180" t="str">
        <f t="shared" si="239"/>
        <v>Valid</v>
      </c>
      <c r="AK1180" t="str">
        <f t="shared" si="246"/>
        <v xml:space="preserve">Valid </v>
      </c>
      <c r="AL1180" t="str">
        <f>IF(AND(Audit_Data[[#This Row],[Recency]]&gt;=0,Audit_Data[[#This Row],[Recency]]&lt;=100),"Valid","Invalid")</f>
        <v>Valid</v>
      </c>
      <c r="AM1180" t="str">
        <f t="shared" si="240"/>
        <v>Valid</v>
      </c>
      <c r="AN1180" t="str">
        <f t="shared" si="241"/>
        <v>Valid</v>
      </c>
      <c r="AO1180" t="str">
        <f t="shared" si="242"/>
        <v>Valid</v>
      </c>
      <c r="AP1180" t="str">
        <f t="shared" si="243"/>
        <v>Valid</v>
      </c>
      <c r="AQ1180" t="str">
        <f>IF(Audit_Data[[#This Row],[Z_CostContact]]=3,"Valid","Invalid")</f>
        <v>Valid</v>
      </c>
      <c r="AR1180" t="str">
        <f t="shared" si="244"/>
        <v>Valid</v>
      </c>
      <c r="AS1180" t="str">
        <f t="shared" si="245"/>
        <v>Valid</v>
      </c>
    </row>
    <row r="1181" spans="1:45" x14ac:dyDescent="0.3">
      <c r="A1181">
        <v>5735</v>
      </c>
      <c r="B1181">
        <v>1991</v>
      </c>
      <c r="C1181" t="s">
        <v>34</v>
      </c>
      <c r="D1181" t="s">
        <v>30</v>
      </c>
      <c r="E1181">
        <v>90638</v>
      </c>
      <c r="F1181">
        <v>0</v>
      </c>
      <c r="G1181">
        <v>0</v>
      </c>
      <c r="H1181" s="1">
        <v>41683</v>
      </c>
      <c r="I1181">
        <v>29</v>
      </c>
      <c r="J1181">
        <v>1156</v>
      </c>
      <c r="K1181">
        <v>120</v>
      </c>
      <c r="L1181">
        <v>915</v>
      </c>
      <c r="M1181">
        <v>94</v>
      </c>
      <c r="N1181">
        <v>144</v>
      </c>
      <c r="O1181">
        <v>96</v>
      </c>
      <c r="P1181">
        <v>1</v>
      </c>
      <c r="Q1181">
        <v>3</v>
      </c>
      <c r="R1181">
        <v>4</v>
      </c>
      <c r="S1181">
        <v>10</v>
      </c>
      <c r="T1181">
        <v>1</v>
      </c>
      <c r="U1181">
        <v>0</v>
      </c>
      <c r="V1181">
        <v>0</v>
      </c>
      <c r="W1181">
        <v>1</v>
      </c>
      <c r="X1181">
        <v>0</v>
      </c>
      <c r="Y1181">
        <v>0</v>
      </c>
      <c r="Z1181">
        <v>0</v>
      </c>
      <c r="AA1181">
        <v>3</v>
      </c>
      <c r="AB1181">
        <v>11</v>
      </c>
      <c r="AC1181">
        <v>0</v>
      </c>
      <c r="AD1181" t="str">
        <f t="shared" si="234"/>
        <v>Ok</v>
      </c>
      <c r="AE1181" t="str">
        <f>IF(AND(Audit_Data[[#This Row],[Year_Birth]]&gt;=1900,Audit_Data[[#This Row],[Year_Birth]]&lt;=2010),"OK","Invalid")</f>
        <v>OK</v>
      </c>
      <c r="AF1181" t="str">
        <f t="shared" si="235"/>
        <v>Valid</v>
      </c>
      <c r="AG1181" t="str">
        <f t="shared" si="236"/>
        <v>Valid</v>
      </c>
      <c r="AH1181" t="str">
        <f t="shared" si="237"/>
        <v>Valid</v>
      </c>
      <c r="AI1181" t="str">
        <f t="shared" si="238"/>
        <v>Valid</v>
      </c>
      <c r="AJ1181" t="str">
        <f t="shared" si="239"/>
        <v>Valid</v>
      </c>
      <c r="AK1181" t="str">
        <f t="shared" si="246"/>
        <v xml:space="preserve">Valid </v>
      </c>
      <c r="AL1181" t="str">
        <f>IF(AND(Audit_Data[[#This Row],[Recency]]&gt;=0,Audit_Data[[#This Row],[Recency]]&lt;=100),"Valid","Invalid")</f>
        <v>Valid</v>
      </c>
      <c r="AM1181" t="str">
        <f t="shared" si="240"/>
        <v>Valid</v>
      </c>
      <c r="AN1181" t="str">
        <f t="shared" si="241"/>
        <v>Valid</v>
      </c>
      <c r="AO1181" t="str">
        <f t="shared" si="242"/>
        <v>Valid</v>
      </c>
      <c r="AP1181" t="str">
        <f t="shared" si="243"/>
        <v>Valid</v>
      </c>
      <c r="AQ1181" t="str">
        <f>IF(Audit_Data[[#This Row],[Z_CostContact]]=3,"Valid","Invalid")</f>
        <v>Valid</v>
      </c>
      <c r="AR1181" t="str">
        <f t="shared" si="244"/>
        <v>Valid</v>
      </c>
      <c r="AS1181" t="str">
        <f t="shared" si="245"/>
        <v>Valid</v>
      </c>
    </row>
    <row r="1182" spans="1:45" x14ac:dyDescent="0.3">
      <c r="A1182">
        <v>359</v>
      </c>
      <c r="B1182">
        <v>1950</v>
      </c>
      <c r="C1182" t="s">
        <v>29</v>
      </c>
      <c r="D1182" t="s">
        <v>31</v>
      </c>
      <c r="E1182">
        <v>48070</v>
      </c>
      <c r="F1182">
        <v>0</v>
      </c>
      <c r="G1182">
        <v>1</v>
      </c>
      <c r="H1182" s="1">
        <v>41287</v>
      </c>
      <c r="I1182">
        <v>33</v>
      </c>
      <c r="J1182">
        <v>373</v>
      </c>
      <c r="K1182">
        <v>14</v>
      </c>
      <c r="L1182">
        <v>83</v>
      </c>
      <c r="M1182">
        <v>6</v>
      </c>
      <c r="N1182">
        <v>9</v>
      </c>
      <c r="O1182">
        <v>19</v>
      </c>
      <c r="P1182">
        <v>3</v>
      </c>
      <c r="Q1182">
        <v>8</v>
      </c>
      <c r="R1182">
        <v>2</v>
      </c>
      <c r="S1182">
        <v>6</v>
      </c>
      <c r="T1182">
        <v>7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1</v>
      </c>
      <c r="AA1182">
        <v>3</v>
      </c>
      <c r="AB1182">
        <v>11</v>
      </c>
      <c r="AC1182">
        <v>0</v>
      </c>
      <c r="AD1182" t="str">
        <f t="shared" si="234"/>
        <v>Ok</v>
      </c>
      <c r="AE1182" t="str">
        <f>IF(AND(Audit_Data[[#This Row],[Year_Birth]]&gt;=1900,Audit_Data[[#This Row],[Year_Birth]]&lt;=2010),"OK","Invalid")</f>
        <v>OK</v>
      </c>
      <c r="AF1182" t="str">
        <f t="shared" si="235"/>
        <v>Valid</v>
      </c>
      <c r="AG1182" t="str">
        <f t="shared" si="236"/>
        <v>Valid</v>
      </c>
      <c r="AH1182" t="str">
        <f t="shared" si="237"/>
        <v>Valid</v>
      </c>
      <c r="AI1182" t="str">
        <f t="shared" si="238"/>
        <v>Valid</v>
      </c>
      <c r="AJ1182" t="str">
        <f t="shared" si="239"/>
        <v>Valid</v>
      </c>
      <c r="AK1182" t="str">
        <f t="shared" si="246"/>
        <v xml:space="preserve">Valid </v>
      </c>
      <c r="AL1182" t="str">
        <f>IF(AND(Audit_Data[[#This Row],[Recency]]&gt;=0,Audit_Data[[#This Row],[Recency]]&lt;=100),"Valid","Invalid")</f>
        <v>Valid</v>
      </c>
      <c r="AM1182" t="str">
        <f t="shared" si="240"/>
        <v>Valid</v>
      </c>
      <c r="AN1182" t="str">
        <f t="shared" si="241"/>
        <v>Valid</v>
      </c>
      <c r="AO1182" t="str">
        <f t="shared" si="242"/>
        <v>Valid</v>
      </c>
      <c r="AP1182" t="str">
        <f t="shared" si="243"/>
        <v>Valid</v>
      </c>
      <c r="AQ1182" t="str">
        <f>IF(Audit_Data[[#This Row],[Z_CostContact]]=3,"Valid","Invalid")</f>
        <v>Valid</v>
      </c>
      <c r="AR1182" t="str">
        <f t="shared" si="244"/>
        <v>Valid</v>
      </c>
      <c r="AS1182" t="str">
        <f t="shared" si="245"/>
        <v>Valid</v>
      </c>
    </row>
    <row r="1183" spans="1:45" x14ac:dyDescent="0.3">
      <c r="A1183">
        <v>8387</v>
      </c>
      <c r="B1183">
        <v>1957</v>
      </c>
      <c r="C1183" t="s">
        <v>29</v>
      </c>
      <c r="D1183" t="s">
        <v>33</v>
      </c>
      <c r="E1183">
        <v>43140</v>
      </c>
      <c r="F1183">
        <v>0</v>
      </c>
      <c r="G1183">
        <v>1</v>
      </c>
      <c r="H1183" s="1">
        <v>41279</v>
      </c>
      <c r="I1183">
        <v>68</v>
      </c>
      <c r="J1183">
        <v>134</v>
      </c>
      <c r="K1183">
        <v>8</v>
      </c>
      <c r="L1183">
        <v>76</v>
      </c>
      <c r="M1183">
        <v>6</v>
      </c>
      <c r="N1183">
        <v>0</v>
      </c>
      <c r="O1183">
        <v>11</v>
      </c>
      <c r="P1183">
        <v>1</v>
      </c>
      <c r="Q1183">
        <v>4</v>
      </c>
      <c r="R1183">
        <v>1</v>
      </c>
      <c r="S1183">
        <v>5</v>
      </c>
      <c r="T1183">
        <v>6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3</v>
      </c>
      <c r="AB1183">
        <v>11</v>
      </c>
      <c r="AC1183">
        <v>0</v>
      </c>
      <c r="AD1183" t="str">
        <f t="shared" si="234"/>
        <v>Ok</v>
      </c>
      <c r="AE1183" t="str">
        <f>IF(AND(Audit_Data[[#This Row],[Year_Birth]]&gt;=1900,Audit_Data[[#This Row],[Year_Birth]]&lt;=2010),"OK","Invalid")</f>
        <v>OK</v>
      </c>
      <c r="AF1183" t="str">
        <f t="shared" si="235"/>
        <v>Valid</v>
      </c>
      <c r="AG1183" t="str">
        <f t="shared" si="236"/>
        <v>Valid</v>
      </c>
      <c r="AH1183" t="str">
        <f t="shared" si="237"/>
        <v>Valid</v>
      </c>
      <c r="AI1183" t="str">
        <f t="shared" si="238"/>
        <v>Valid</v>
      </c>
      <c r="AJ1183" t="str">
        <f t="shared" si="239"/>
        <v>Valid</v>
      </c>
      <c r="AK1183" t="str">
        <f t="shared" si="246"/>
        <v xml:space="preserve">Valid </v>
      </c>
      <c r="AL1183" t="str">
        <f>IF(AND(Audit_Data[[#This Row],[Recency]]&gt;=0,Audit_Data[[#This Row],[Recency]]&lt;=100),"Valid","Invalid")</f>
        <v>Valid</v>
      </c>
      <c r="AM1183" t="str">
        <f t="shared" si="240"/>
        <v>Valid</v>
      </c>
      <c r="AN1183" t="str">
        <f t="shared" si="241"/>
        <v>Valid</v>
      </c>
      <c r="AO1183" t="str">
        <f t="shared" si="242"/>
        <v>Valid</v>
      </c>
      <c r="AP1183" t="str">
        <f t="shared" si="243"/>
        <v>Valid</v>
      </c>
      <c r="AQ1183" t="str">
        <f>IF(Audit_Data[[#This Row],[Z_CostContact]]=3,"Valid","Invalid")</f>
        <v>Valid</v>
      </c>
      <c r="AR1183" t="str">
        <f t="shared" si="244"/>
        <v>Valid</v>
      </c>
      <c r="AS1183" t="str">
        <f t="shared" si="245"/>
        <v>Valid</v>
      </c>
    </row>
    <row r="1184" spans="1:45" x14ac:dyDescent="0.3">
      <c r="A1184">
        <v>1829</v>
      </c>
      <c r="B1184">
        <v>1961</v>
      </c>
      <c r="C1184" t="s">
        <v>32</v>
      </c>
      <c r="D1184" t="s">
        <v>35</v>
      </c>
      <c r="E1184">
        <v>54959</v>
      </c>
      <c r="F1184">
        <v>0</v>
      </c>
      <c r="G1184">
        <v>1</v>
      </c>
      <c r="H1184" s="1">
        <v>41293</v>
      </c>
      <c r="I1184">
        <v>55</v>
      </c>
      <c r="J1184">
        <v>1148</v>
      </c>
      <c r="K1184">
        <v>0</v>
      </c>
      <c r="L1184">
        <v>60</v>
      </c>
      <c r="M1184">
        <v>0</v>
      </c>
      <c r="N1184">
        <v>0</v>
      </c>
      <c r="O1184">
        <v>24</v>
      </c>
      <c r="P1184">
        <v>3</v>
      </c>
      <c r="Q1184">
        <v>9</v>
      </c>
      <c r="R1184">
        <v>5</v>
      </c>
      <c r="S1184">
        <v>4</v>
      </c>
      <c r="T1184">
        <v>7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3</v>
      </c>
      <c r="AB1184">
        <v>11</v>
      </c>
      <c r="AC1184">
        <v>1</v>
      </c>
      <c r="AD1184" t="str">
        <f t="shared" si="234"/>
        <v>Ok</v>
      </c>
      <c r="AE1184" t="str">
        <f>IF(AND(Audit_Data[[#This Row],[Year_Birth]]&gt;=1900,Audit_Data[[#This Row],[Year_Birth]]&lt;=2010),"OK","Invalid")</f>
        <v>OK</v>
      </c>
      <c r="AF1184" t="str">
        <f t="shared" si="235"/>
        <v>Valid</v>
      </c>
      <c r="AG1184" t="str">
        <f t="shared" si="236"/>
        <v>Valid</v>
      </c>
      <c r="AH1184" t="str">
        <f t="shared" si="237"/>
        <v>Valid</v>
      </c>
      <c r="AI1184" t="str">
        <f t="shared" si="238"/>
        <v>Valid</v>
      </c>
      <c r="AJ1184" t="str">
        <f t="shared" si="239"/>
        <v>Valid</v>
      </c>
      <c r="AK1184" t="str">
        <f t="shared" si="246"/>
        <v xml:space="preserve">Valid </v>
      </c>
      <c r="AL1184" t="str">
        <f>IF(AND(Audit_Data[[#This Row],[Recency]]&gt;=0,Audit_Data[[#This Row],[Recency]]&lt;=100),"Valid","Invalid")</f>
        <v>Valid</v>
      </c>
      <c r="AM1184" t="str">
        <f t="shared" si="240"/>
        <v>Valid</v>
      </c>
      <c r="AN1184" t="str">
        <f t="shared" si="241"/>
        <v>Valid</v>
      </c>
      <c r="AO1184" t="str">
        <f t="shared" si="242"/>
        <v>Valid</v>
      </c>
      <c r="AP1184" t="str">
        <f t="shared" si="243"/>
        <v>Valid</v>
      </c>
      <c r="AQ1184" t="str">
        <f>IF(Audit_Data[[#This Row],[Z_CostContact]]=3,"Valid","Invalid")</f>
        <v>Valid</v>
      </c>
      <c r="AR1184" t="str">
        <f t="shared" si="244"/>
        <v>Valid</v>
      </c>
      <c r="AS1184" t="str">
        <f t="shared" si="245"/>
        <v>Valid</v>
      </c>
    </row>
    <row r="1185" spans="1:45" x14ac:dyDescent="0.3">
      <c r="A1185">
        <v>3839</v>
      </c>
      <c r="B1185">
        <v>1958</v>
      </c>
      <c r="C1185" t="s">
        <v>36</v>
      </c>
      <c r="D1185" t="s">
        <v>30</v>
      </c>
      <c r="E1185">
        <v>15056</v>
      </c>
      <c r="F1185">
        <v>1</v>
      </c>
      <c r="G1185">
        <v>1</v>
      </c>
      <c r="H1185" s="1">
        <v>41397</v>
      </c>
      <c r="I1185">
        <v>76</v>
      </c>
      <c r="J1185">
        <v>6</v>
      </c>
      <c r="K1185">
        <v>12</v>
      </c>
      <c r="L1185">
        <v>3</v>
      </c>
      <c r="M1185">
        <v>21</v>
      </c>
      <c r="N1185">
        <v>6</v>
      </c>
      <c r="O1185">
        <v>40</v>
      </c>
      <c r="P1185">
        <v>5</v>
      </c>
      <c r="Q1185">
        <v>2</v>
      </c>
      <c r="R1185">
        <v>2</v>
      </c>
      <c r="S1185">
        <v>3</v>
      </c>
      <c r="T1185">
        <v>5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3</v>
      </c>
      <c r="AB1185">
        <v>11</v>
      </c>
      <c r="AC1185">
        <v>0</v>
      </c>
      <c r="AD1185" t="str">
        <f t="shared" si="234"/>
        <v>Ok</v>
      </c>
      <c r="AE1185" t="str">
        <f>IF(AND(Audit_Data[[#This Row],[Year_Birth]]&gt;=1900,Audit_Data[[#This Row],[Year_Birth]]&lt;=2010),"OK","Invalid")</f>
        <v>OK</v>
      </c>
      <c r="AF1185" t="str">
        <f t="shared" si="235"/>
        <v>Valid</v>
      </c>
      <c r="AG1185" t="str">
        <f t="shared" si="236"/>
        <v>Valid</v>
      </c>
      <c r="AH1185" t="str">
        <f t="shared" si="237"/>
        <v>Valid</v>
      </c>
      <c r="AI1185" t="str">
        <f t="shared" si="238"/>
        <v>Valid</v>
      </c>
      <c r="AJ1185" t="str">
        <f t="shared" si="239"/>
        <v>Valid</v>
      </c>
      <c r="AK1185" t="str">
        <f t="shared" si="246"/>
        <v xml:space="preserve">Valid </v>
      </c>
      <c r="AL1185" t="str">
        <f>IF(AND(Audit_Data[[#This Row],[Recency]]&gt;=0,Audit_Data[[#This Row],[Recency]]&lt;=100),"Valid","Invalid")</f>
        <v>Valid</v>
      </c>
      <c r="AM1185" t="str">
        <f t="shared" si="240"/>
        <v>Valid</v>
      </c>
      <c r="AN1185" t="str">
        <f t="shared" si="241"/>
        <v>Valid</v>
      </c>
      <c r="AO1185" t="str">
        <f t="shared" si="242"/>
        <v>Valid</v>
      </c>
      <c r="AP1185" t="str">
        <f t="shared" si="243"/>
        <v>Valid</v>
      </c>
      <c r="AQ1185" t="str">
        <f>IF(Audit_Data[[#This Row],[Z_CostContact]]=3,"Valid","Invalid")</f>
        <v>Valid</v>
      </c>
      <c r="AR1185" t="str">
        <f t="shared" si="244"/>
        <v>Valid</v>
      </c>
      <c r="AS1185" t="str">
        <f t="shared" si="245"/>
        <v>Valid</v>
      </c>
    </row>
    <row r="1186" spans="1:45" x14ac:dyDescent="0.3">
      <c r="A1186">
        <v>9392</v>
      </c>
      <c r="B1186">
        <v>1971</v>
      </c>
      <c r="C1186" t="s">
        <v>29</v>
      </c>
      <c r="D1186" t="s">
        <v>30</v>
      </c>
      <c r="E1186">
        <v>26954</v>
      </c>
      <c r="F1186">
        <v>1</v>
      </c>
      <c r="G1186">
        <v>0</v>
      </c>
      <c r="H1186" s="1">
        <v>41767</v>
      </c>
      <c r="I1186">
        <v>17</v>
      </c>
      <c r="J1186">
        <v>4</v>
      </c>
      <c r="K1186">
        <v>1</v>
      </c>
      <c r="L1186">
        <v>11</v>
      </c>
      <c r="M1186">
        <v>0</v>
      </c>
      <c r="N1186">
        <v>0</v>
      </c>
      <c r="O1186">
        <v>1</v>
      </c>
      <c r="P1186">
        <v>1</v>
      </c>
      <c r="Q1186">
        <v>1</v>
      </c>
      <c r="R1186">
        <v>0</v>
      </c>
      <c r="S1186">
        <v>2</v>
      </c>
      <c r="T1186">
        <v>7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3</v>
      </c>
      <c r="AB1186">
        <v>11</v>
      </c>
      <c r="AC1186">
        <v>0</v>
      </c>
      <c r="AD1186" t="str">
        <f t="shared" si="234"/>
        <v>Ok</v>
      </c>
      <c r="AE1186" t="str">
        <f>IF(AND(Audit_Data[[#This Row],[Year_Birth]]&gt;=1900,Audit_Data[[#This Row],[Year_Birth]]&lt;=2010),"OK","Invalid")</f>
        <v>OK</v>
      </c>
      <c r="AF1186" t="str">
        <f t="shared" si="235"/>
        <v>Valid</v>
      </c>
      <c r="AG1186" t="str">
        <f t="shared" si="236"/>
        <v>Valid</v>
      </c>
      <c r="AH1186" t="str">
        <f t="shared" si="237"/>
        <v>Valid</v>
      </c>
      <c r="AI1186" t="str">
        <f t="shared" si="238"/>
        <v>Valid</v>
      </c>
      <c r="AJ1186" t="str">
        <f t="shared" si="239"/>
        <v>Valid</v>
      </c>
      <c r="AK1186" t="str">
        <f t="shared" si="246"/>
        <v xml:space="preserve">Valid </v>
      </c>
      <c r="AL1186" t="str">
        <f>IF(AND(Audit_Data[[#This Row],[Recency]]&gt;=0,Audit_Data[[#This Row],[Recency]]&lt;=100),"Valid","Invalid")</f>
        <v>Valid</v>
      </c>
      <c r="AM1186" t="str">
        <f t="shared" si="240"/>
        <v>Valid</v>
      </c>
      <c r="AN1186" t="str">
        <f t="shared" si="241"/>
        <v>Valid</v>
      </c>
      <c r="AO1186" t="str">
        <f t="shared" si="242"/>
        <v>Valid</v>
      </c>
      <c r="AP1186" t="str">
        <f t="shared" si="243"/>
        <v>Valid</v>
      </c>
      <c r="AQ1186" t="str">
        <f>IF(Audit_Data[[#This Row],[Z_CostContact]]=3,"Valid","Invalid")</f>
        <v>Valid</v>
      </c>
      <c r="AR1186" t="str">
        <f t="shared" si="244"/>
        <v>Valid</v>
      </c>
      <c r="AS1186" t="str">
        <f t="shared" si="245"/>
        <v>Valid</v>
      </c>
    </row>
    <row r="1187" spans="1:45" x14ac:dyDescent="0.3">
      <c r="A1187">
        <v>2292</v>
      </c>
      <c r="B1187">
        <v>1985</v>
      </c>
      <c r="C1187" t="s">
        <v>29</v>
      </c>
      <c r="D1187" t="s">
        <v>30</v>
      </c>
      <c r="E1187">
        <v>22327</v>
      </c>
      <c r="F1187">
        <v>1</v>
      </c>
      <c r="G1187">
        <v>0</v>
      </c>
      <c r="H1187" s="1">
        <v>41488</v>
      </c>
      <c r="I1187">
        <v>94</v>
      </c>
      <c r="J1187">
        <v>5</v>
      </c>
      <c r="K1187">
        <v>4</v>
      </c>
      <c r="L1187">
        <v>8</v>
      </c>
      <c r="M1187">
        <v>2</v>
      </c>
      <c r="N1187">
        <v>0</v>
      </c>
      <c r="O1187">
        <v>5</v>
      </c>
      <c r="P1187">
        <v>1</v>
      </c>
      <c r="Q1187">
        <v>1</v>
      </c>
      <c r="R1187">
        <v>0</v>
      </c>
      <c r="S1187">
        <v>3</v>
      </c>
      <c r="T1187">
        <v>5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3</v>
      </c>
      <c r="AB1187">
        <v>11</v>
      </c>
      <c r="AC1187">
        <v>0</v>
      </c>
      <c r="AD1187" t="str">
        <f t="shared" si="234"/>
        <v>Ok</v>
      </c>
      <c r="AE1187" t="str">
        <f>IF(AND(Audit_Data[[#This Row],[Year_Birth]]&gt;=1900,Audit_Data[[#This Row],[Year_Birth]]&lt;=2010),"OK","Invalid")</f>
        <v>OK</v>
      </c>
      <c r="AF1187" t="str">
        <f t="shared" si="235"/>
        <v>Valid</v>
      </c>
      <c r="AG1187" t="str">
        <f t="shared" si="236"/>
        <v>Valid</v>
      </c>
      <c r="AH1187" t="str">
        <f t="shared" si="237"/>
        <v>Valid</v>
      </c>
      <c r="AI1187" t="str">
        <f t="shared" si="238"/>
        <v>Valid</v>
      </c>
      <c r="AJ1187" t="str">
        <f t="shared" si="239"/>
        <v>Valid</v>
      </c>
      <c r="AK1187" t="str">
        <f t="shared" si="246"/>
        <v xml:space="preserve">Valid </v>
      </c>
      <c r="AL1187" t="str">
        <f>IF(AND(Audit_Data[[#This Row],[Recency]]&gt;=0,Audit_Data[[#This Row],[Recency]]&lt;=100),"Valid","Invalid")</f>
        <v>Valid</v>
      </c>
      <c r="AM1187" t="str">
        <f t="shared" si="240"/>
        <v>Valid</v>
      </c>
      <c r="AN1187" t="str">
        <f t="shared" si="241"/>
        <v>Valid</v>
      </c>
      <c r="AO1187" t="str">
        <f t="shared" si="242"/>
        <v>Valid</v>
      </c>
      <c r="AP1187" t="str">
        <f t="shared" si="243"/>
        <v>Valid</v>
      </c>
      <c r="AQ1187" t="str">
        <f>IF(Audit_Data[[#This Row],[Z_CostContact]]=3,"Valid","Invalid")</f>
        <v>Valid</v>
      </c>
      <c r="AR1187" t="str">
        <f t="shared" si="244"/>
        <v>Valid</v>
      </c>
      <c r="AS1187" t="str">
        <f t="shared" si="245"/>
        <v>Valid</v>
      </c>
    </row>
    <row r="1188" spans="1:45" x14ac:dyDescent="0.3">
      <c r="A1188">
        <v>10466</v>
      </c>
      <c r="B1188">
        <v>1965</v>
      </c>
      <c r="C1188" t="s">
        <v>29</v>
      </c>
      <c r="D1188" t="s">
        <v>33</v>
      </c>
      <c r="E1188">
        <v>44393</v>
      </c>
      <c r="F1188">
        <v>1</v>
      </c>
      <c r="G1188">
        <v>1</v>
      </c>
      <c r="H1188" s="1">
        <v>41508</v>
      </c>
      <c r="I1188">
        <v>86</v>
      </c>
      <c r="J1188">
        <v>24</v>
      </c>
      <c r="K1188">
        <v>2</v>
      </c>
      <c r="L1188">
        <v>20</v>
      </c>
      <c r="M1188">
        <v>2</v>
      </c>
      <c r="N1188">
        <v>2</v>
      </c>
      <c r="O1188">
        <v>10</v>
      </c>
      <c r="P1188">
        <v>2</v>
      </c>
      <c r="Q1188">
        <v>1</v>
      </c>
      <c r="R1188">
        <v>0</v>
      </c>
      <c r="S1188">
        <v>4</v>
      </c>
      <c r="T1188">
        <v>4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3</v>
      </c>
      <c r="AB1188">
        <v>11</v>
      </c>
      <c r="AC1188">
        <v>0</v>
      </c>
      <c r="AD1188" t="str">
        <f t="shared" si="234"/>
        <v>Ok</v>
      </c>
      <c r="AE1188" t="str">
        <f>IF(AND(Audit_Data[[#This Row],[Year_Birth]]&gt;=1900,Audit_Data[[#This Row],[Year_Birth]]&lt;=2010),"OK","Invalid")</f>
        <v>OK</v>
      </c>
      <c r="AF1188" t="str">
        <f t="shared" si="235"/>
        <v>Valid</v>
      </c>
      <c r="AG1188" t="str">
        <f t="shared" si="236"/>
        <v>Valid</v>
      </c>
      <c r="AH1188" t="str">
        <f t="shared" si="237"/>
        <v>Valid</v>
      </c>
      <c r="AI1188" t="str">
        <f t="shared" si="238"/>
        <v>Valid</v>
      </c>
      <c r="AJ1188" t="str">
        <f t="shared" si="239"/>
        <v>Valid</v>
      </c>
      <c r="AK1188" t="str">
        <f t="shared" si="246"/>
        <v xml:space="preserve">Valid </v>
      </c>
      <c r="AL1188" t="str">
        <f>IF(AND(Audit_Data[[#This Row],[Recency]]&gt;=0,Audit_Data[[#This Row],[Recency]]&lt;=100),"Valid","Invalid")</f>
        <v>Valid</v>
      </c>
      <c r="AM1188" t="str">
        <f t="shared" si="240"/>
        <v>Valid</v>
      </c>
      <c r="AN1188" t="str">
        <f t="shared" si="241"/>
        <v>Valid</v>
      </c>
      <c r="AO1188" t="str">
        <f t="shared" si="242"/>
        <v>Valid</v>
      </c>
      <c r="AP1188" t="str">
        <f t="shared" si="243"/>
        <v>Valid</v>
      </c>
      <c r="AQ1188" t="str">
        <f>IF(Audit_Data[[#This Row],[Z_CostContact]]=3,"Valid","Invalid")</f>
        <v>Valid</v>
      </c>
      <c r="AR1188" t="str">
        <f t="shared" si="244"/>
        <v>Valid</v>
      </c>
      <c r="AS1188" t="str">
        <f t="shared" si="245"/>
        <v>Valid</v>
      </c>
    </row>
    <row r="1189" spans="1:45" x14ac:dyDescent="0.3">
      <c r="A1189">
        <v>9855</v>
      </c>
      <c r="B1189">
        <v>1952</v>
      </c>
      <c r="C1189" t="s">
        <v>32</v>
      </c>
      <c r="D1189" t="s">
        <v>30</v>
      </c>
      <c r="E1189">
        <v>62000</v>
      </c>
      <c r="F1189">
        <v>0</v>
      </c>
      <c r="G1189">
        <v>1</v>
      </c>
      <c r="H1189" s="1">
        <v>41511</v>
      </c>
      <c r="I1189">
        <v>25</v>
      </c>
      <c r="J1189">
        <v>899</v>
      </c>
      <c r="K1189">
        <v>0</v>
      </c>
      <c r="L1189">
        <v>101</v>
      </c>
      <c r="M1189">
        <v>0</v>
      </c>
      <c r="N1189">
        <v>0</v>
      </c>
      <c r="O1189">
        <v>20</v>
      </c>
      <c r="P1189">
        <v>1</v>
      </c>
      <c r="Q1189">
        <v>6</v>
      </c>
      <c r="R1189">
        <v>6</v>
      </c>
      <c r="S1189">
        <v>13</v>
      </c>
      <c r="T1189">
        <v>4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3</v>
      </c>
      <c r="AB1189">
        <v>11</v>
      </c>
      <c r="AC1189">
        <v>0</v>
      </c>
      <c r="AD1189" t="str">
        <f t="shared" si="234"/>
        <v>Ok</v>
      </c>
      <c r="AE1189" t="str">
        <f>IF(AND(Audit_Data[[#This Row],[Year_Birth]]&gt;=1900,Audit_Data[[#This Row],[Year_Birth]]&lt;=2010),"OK","Invalid")</f>
        <v>OK</v>
      </c>
      <c r="AF1189" t="str">
        <f t="shared" si="235"/>
        <v>Valid</v>
      </c>
      <c r="AG1189" t="str">
        <f t="shared" si="236"/>
        <v>Valid</v>
      </c>
      <c r="AH1189" t="str">
        <f t="shared" si="237"/>
        <v>Valid</v>
      </c>
      <c r="AI1189" t="str">
        <f t="shared" si="238"/>
        <v>Valid</v>
      </c>
      <c r="AJ1189" t="str">
        <f t="shared" si="239"/>
        <v>Valid</v>
      </c>
      <c r="AK1189" t="str">
        <f t="shared" si="246"/>
        <v xml:space="preserve">Valid </v>
      </c>
      <c r="AL1189" t="str">
        <f>IF(AND(Audit_Data[[#This Row],[Recency]]&gt;=0,Audit_Data[[#This Row],[Recency]]&lt;=100),"Valid","Invalid")</f>
        <v>Valid</v>
      </c>
      <c r="AM1189" t="str">
        <f t="shared" si="240"/>
        <v>Valid</v>
      </c>
      <c r="AN1189" t="str">
        <f t="shared" si="241"/>
        <v>Valid</v>
      </c>
      <c r="AO1189" t="str">
        <f t="shared" si="242"/>
        <v>Valid</v>
      </c>
      <c r="AP1189" t="str">
        <f t="shared" si="243"/>
        <v>Valid</v>
      </c>
      <c r="AQ1189" t="str">
        <f>IF(Audit_Data[[#This Row],[Z_CostContact]]=3,"Valid","Invalid")</f>
        <v>Valid</v>
      </c>
      <c r="AR1189" t="str">
        <f t="shared" si="244"/>
        <v>Valid</v>
      </c>
      <c r="AS1189" t="str">
        <f t="shared" si="245"/>
        <v>Valid</v>
      </c>
    </row>
    <row r="1190" spans="1:45" x14ac:dyDescent="0.3">
      <c r="A1190">
        <v>4088</v>
      </c>
      <c r="B1190">
        <v>1962</v>
      </c>
      <c r="C1190" t="s">
        <v>32</v>
      </c>
      <c r="D1190" t="s">
        <v>31</v>
      </c>
      <c r="E1190">
        <v>31497</v>
      </c>
      <c r="F1190">
        <v>0</v>
      </c>
      <c r="G1190">
        <v>1</v>
      </c>
      <c r="H1190" s="1">
        <v>41249</v>
      </c>
      <c r="I1190">
        <v>22</v>
      </c>
      <c r="J1190">
        <v>108</v>
      </c>
      <c r="K1190">
        <v>1</v>
      </c>
      <c r="L1190">
        <v>28</v>
      </c>
      <c r="M1190">
        <v>13</v>
      </c>
      <c r="N1190">
        <v>1</v>
      </c>
      <c r="O1190">
        <v>4</v>
      </c>
      <c r="P1190">
        <v>2</v>
      </c>
      <c r="Q1190">
        <v>3</v>
      </c>
      <c r="R1190">
        <v>1</v>
      </c>
      <c r="S1190">
        <v>4</v>
      </c>
      <c r="T1190">
        <v>8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3</v>
      </c>
      <c r="AB1190">
        <v>11</v>
      </c>
      <c r="AC1190">
        <v>0</v>
      </c>
      <c r="AD1190" t="str">
        <f t="shared" si="234"/>
        <v>Ok</v>
      </c>
      <c r="AE1190" t="str">
        <f>IF(AND(Audit_Data[[#This Row],[Year_Birth]]&gt;=1900,Audit_Data[[#This Row],[Year_Birth]]&lt;=2010),"OK","Invalid")</f>
        <v>OK</v>
      </c>
      <c r="AF1190" t="str">
        <f t="shared" si="235"/>
        <v>Valid</v>
      </c>
      <c r="AG1190" t="str">
        <f t="shared" si="236"/>
        <v>Valid</v>
      </c>
      <c r="AH1190" t="str">
        <f t="shared" si="237"/>
        <v>Valid</v>
      </c>
      <c r="AI1190" t="str">
        <f t="shared" si="238"/>
        <v>Valid</v>
      </c>
      <c r="AJ1190" t="str">
        <f t="shared" si="239"/>
        <v>Valid</v>
      </c>
      <c r="AK1190" t="str">
        <f t="shared" si="246"/>
        <v xml:space="preserve">Valid </v>
      </c>
      <c r="AL1190" t="str">
        <f>IF(AND(Audit_Data[[#This Row],[Recency]]&gt;=0,Audit_Data[[#This Row],[Recency]]&lt;=100),"Valid","Invalid")</f>
        <v>Valid</v>
      </c>
      <c r="AM1190" t="str">
        <f t="shared" si="240"/>
        <v>Valid</v>
      </c>
      <c r="AN1190" t="str">
        <f t="shared" si="241"/>
        <v>Valid</v>
      </c>
      <c r="AO1190" t="str">
        <f t="shared" si="242"/>
        <v>Valid</v>
      </c>
      <c r="AP1190" t="str">
        <f t="shared" si="243"/>
        <v>Valid</v>
      </c>
      <c r="AQ1190" t="str">
        <f>IF(Audit_Data[[#This Row],[Z_CostContact]]=3,"Valid","Invalid")</f>
        <v>Valid</v>
      </c>
      <c r="AR1190" t="str">
        <f t="shared" si="244"/>
        <v>Valid</v>
      </c>
      <c r="AS1190" t="str">
        <f t="shared" si="245"/>
        <v>Valid</v>
      </c>
    </row>
    <row r="1191" spans="1:45" x14ac:dyDescent="0.3">
      <c r="A1191">
        <v>5231</v>
      </c>
      <c r="B1191">
        <v>1974</v>
      </c>
      <c r="C1191" t="s">
        <v>37</v>
      </c>
      <c r="D1191" t="s">
        <v>33</v>
      </c>
      <c r="E1191">
        <v>45894</v>
      </c>
      <c r="F1191">
        <v>0</v>
      </c>
      <c r="G1191">
        <v>2</v>
      </c>
      <c r="H1191" s="1">
        <v>41697</v>
      </c>
      <c r="I1191">
        <v>15</v>
      </c>
      <c r="J1191">
        <v>27</v>
      </c>
      <c r="K1191">
        <v>2</v>
      </c>
      <c r="L1191">
        <v>7</v>
      </c>
      <c r="M1191">
        <v>0</v>
      </c>
      <c r="N1191">
        <v>2</v>
      </c>
      <c r="O1191">
        <v>13</v>
      </c>
      <c r="P1191">
        <v>1</v>
      </c>
      <c r="Q1191">
        <v>1</v>
      </c>
      <c r="R1191">
        <v>0</v>
      </c>
      <c r="S1191">
        <v>3</v>
      </c>
      <c r="T1191">
        <v>5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3</v>
      </c>
      <c r="AB1191">
        <v>11</v>
      </c>
      <c r="AC1191">
        <v>0</v>
      </c>
      <c r="AD1191" t="str">
        <f t="shared" si="234"/>
        <v>Ok</v>
      </c>
      <c r="AE1191" t="str">
        <f>IF(AND(Audit_Data[[#This Row],[Year_Birth]]&gt;=1900,Audit_Data[[#This Row],[Year_Birth]]&lt;=2010),"OK","Invalid")</f>
        <v>OK</v>
      </c>
      <c r="AF1191" t="str">
        <f t="shared" si="235"/>
        <v>Valid</v>
      </c>
      <c r="AG1191" t="str">
        <f t="shared" si="236"/>
        <v>Valid</v>
      </c>
      <c r="AH1191" t="str">
        <f t="shared" si="237"/>
        <v>Valid</v>
      </c>
      <c r="AI1191" t="str">
        <f t="shared" si="238"/>
        <v>Valid</v>
      </c>
      <c r="AJ1191" t="str">
        <f t="shared" si="239"/>
        <v>Valid</v>
      </c>
      <c r="AK1191" t="str">
        <f t="shared" si="246"/>
        <v xml:space="preserve">Valid </v>
      </c>
      <c r="AL1191" t="str">
        <f>IF(AND(Audit_Data[[#This Row],[Recency]]&gt;=0,Audit_Data[[#This Row],[Recency]]&lt;=100),"Valid","Invalid")</f>
        <v>Valid</v>
      </c>
      <c r="AM1191" t="str">
        <f t="shared" si="240"/>
        <v>Valid</v>
      </c>
      <c r="AN1191" t="str">
        <f t="shared" si="241"/>
        <v>Valid</v>
      </c>
      <c r="AO1191" t="str">
        <f t="shared" si="242"/>
        <v>Valid</v>
      </c>
      <c r="AP1191" t="str">
        <f t="shared" si="243"/>
        <v>Valid</v>
      </c>
      <c r="AQ1191" t="str">
        <f>IF(Audit_Data[[#This Row],[Z_CostContact]]=3,"Valid","Invalid")</f>
        <v>Valid</v>
      </c>
      <c r="AR1191" t="str">
        <f t="shared" si="244"/>
        <v>Valid</v>
      </c>
      <c r="AS1191" t="str">
        <f t="shared" si="245"/>
        <v>Valid</v>
      </c>
    </row>
    <row r="1192" spans="1:45" x14ac:dyDescent="0.3">
      <c r="A1192">
        <v>590</v>
      </c>
      <c r="B1192">
        <v>1970</v>
      </c>
      <c r="C1192" t="s">
        <v>34</v>
      </c>
      <c r="D1192" t="s">
        <v>35</v>
      </c>
      <c r="E1192">
        <v>78579</v>
      </c>
      <c r="F1192">
        <v>0</v>
      </c>
      <c r="G1192">
        <v>0</v>
      </c>
      <c r="H1192" s="1">
        <v>41265</v>
      </c>
      <c r="I1192">
        <v>35</v>
      </c>
      <c r="J1192">
        <v>816</v>
      </c>
      <c r="K1192">
        <v>66</v>
      </c>
      <c r="L1192">
        <v>549</v>
      </c>
      <c r="M1192">
        <v>216</v>
      </c>
      <c r="N1192">
        <v>66</v>
      </c>
      <c r="O1192">
        <v>99</v>
      </c>
      <c r="P1192">
        <v>1</v>
      </c>
      <c r="Q1192">
        <v>5</v>
      </c>
      <c r="R1192">
        <v>6</v>
      </c>
      <c r="S1192">
        <v>4</v>
      </c>
      <c r="T1192">
        <v>3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3</v>
      </c>
      <c r="AB1192">
        <v>11</v>
      </c>
      <c r="AC1192">
        <v>1</v>
      </c>
      <c r="AD1192" t="str">
        <f t="shared" si="234"/>
        <v>Ok</v>
      </c>
      <c r="AE1192" t="str">
        <f>IF(AND(Audit_Data[[#This Row],[Year_Birth]]&gt;=1900,Audit_Data[[#This Row],[Year_Birth]]&lt;=2010),"OK","Invalid")</f>
        <v>OK</v>
      </c>
      <c r="AF1192" t="str">
        <f t="shared" si="235"/>
        <v>Valid</v>
      </c>
      <c r="AG1192" t="str">
        <f t="shared" si="236"/>
        <v>Valid</v>
      </c>
      <c r="AH1192" t="str">
        <f t="shared" si="237"/>
        <v>Valid</v>
      </c>
      <c r="AI1192" t="str">
        <f t="shared" si="238"/>
        <v>Valid</v>
      </c>
      <c r="AJ1192" t="str">
        <f t="shared" si="239"/>
        <v>Valid</v>
      </c>
      <c r="AK1192" t="str">
        <f t="shared" si="246"/>
        <v xml:space="preserve">Valid </v>
      </c>
      <c r="AL1192" t="str">
        <f>IF(AND(Audit_Data[[#This Row],[Recency]]&gt;=0,Audit_Data[[#This Row],[Recency]]&lt;=100),"Valid","Invalid")</f>
        <v>Valid</v>
      </c>
      <c r="AM1192" t="str">
        <f t="shared" si="240"/>
        <v>Valid</v>
      </c>
      <c r="AN1192" t="str">
        <f t="shared" si="241"/>
        <v>Valid</v>
      </c>
      <c r="AO1192" t="str">
        <f t="shared" si="242"/>
        <v>Valid</v>
      </c>
      <c r="AP1192" t="str">
        <f t="shared" si="243"/>
        <v>Valid</v>
      </c>
      <c r="AQ1192" t="str">
        <f>IF(Audit_Data[[#This Row],[Z_CostContact]]=3,"Valid","Invalid")</f>
        <v>Valid</v>
      </c>
      <c r="AR1192" t="str">
        <f t="shared" si="244"/>
        <v>Valid</v>
      </c>
      <c r="AS1192" t="str">
        <f t="shared" si="245"/>
        <v>Valid</v>
      </c>
    </row>
    <row r="1193" spans="1:45" x14ac:dyDescent="0.3">
      <c r="A1193">
        <v>8732</v>
      </c>
      <c r="B1193">
        <v>1969</v>
      </c>
      <c r="C1193" t="s">
        <v>34</v>
      </c>
      <c r="D1193" t="s">
        <v>38</v>
      </c>
      <c r="E1193">
        <v>67369</v>
      </c>
      <c r="F1193">
        <v>0</v>
      </c>
      <c r="G1193">
        <v>1</v>
      </c>
      <c r="H1193" s="1">
        <v>41230</v>
      </c>
      <c r="I1193">
        <v>81</v>
      </c>
      <c r="J1193">
        <v>1298</v>
      </c>
      <c r="K1193">
        <v>0</v>
      </c>
      <c r="L1193">
        <v>70</v>
      </c>
      <c r="M1193">
        <v>37</v>
      </c>
      <c r="N1193">
        <v>14</v>
      </c>
      <c r="O1193">
        <v>42</v>
      </c>
      <c r="P1193">
        <v>4</v>
      </c>
      <c r="Q1193">
        <v>7</v>
      </c>
      <c r="R1193">
        <v>4</v>
      </c>
      <c r="S1193">
        <v>10</v>
      </c>
      <c r="T1193">
        <v>4</v>
      </c>
      <c r="U1193">
        <v>0</v>
      </c>
      <c r="V1193">
        <v>1</v>
      </c>
      <c r="W1193">
        <v>1</v>
      </c>
      <c r="X1193">
        <v>0</v>
      </c>
      <c r="Y1193">
        <v>0</v>
      </c>
      <c r="Z1193">
        <v>0</v>
      </c>
      <c r="AA1193">
        <v>3</v>
      </c>
      <c r="AB1193">
        <v>11</v>
      </c>
      <c r="AC1193">
        <v>1</v>
      </c>
      <c r="AD1193" t="str">
        <f t="shared" si="234"/>
        <v>Ok</v>
      </c>
      <c r="AE1193" t="str">
        <f>IF(AND(Audit_Data[[#This Row],[Year_Birth]]&gt;=1900,Audit_Data[[#This Row],[Year_Birth]]&lt;=2010),"OK","Invalid")</f>
        <v>OK</v>
      </c>
      <c r="AF1193" t="str">
        <f t="shared" si="235"/>
        <v>Valid</v>
      </c>
      <c r="AG1193" t="str">
        <f t="shared" si="236"/>
        <v>Valid</v>
      </c>
      <c r="AH1193" t="str">
        <f t="shared" si="237"/>
        <v>Valid</v>
      </c>
      <c r="AI1193" t="str">
        <f t="shared" si="238"/>
        <v>Valid</v>
      </c>
      <c r="AJ1193" t="str">
        <f t="shared" si="239"/>
        <v>Valid</v>
      </c>
      <c r="AK1193" t="str">
        <f t="shared" si="246"/>
        <v xml:space="preserve">Valid </v>
      </c>
      <c r="AL1193" t="str">
        <f>IF(AND(Audit_Data[[#This Row],[Recency]]&gt;=0,Audit_Data[[#This Row],[Recency]]&lt;=100),"Valid","Invalid")</f>
        <v>Valid</v>
      </c>
      <c r="AM1193" t="str">
        <f t="shared" si="240"/>
        <v>Valid</v>
      </c>
      <c r="AN1193" t="str">
        <f t="shared" si="241"/>
        <v>Valid</v>
      </c>
      <c r="AO1193" t="str">
        <f t="shared" si="242"/>
        <v>Valid</v>
      </c>
      <c r="AP1193" t="str">
        <f t="shared" si="243"/>
        <v>Valid</v>
      </c>
      <c r="AQ1193" t="str">
        <f>IF(Audit_Data[[#This Row],[Z_CostContact]]=3,"Valid","Invalid")</f>
        <v>Valid</v>
      </c>
      <c r="AR1193" t="str">
        <f t="shared" si="244"/>
        <v>Valid</v>
      </c>
      <c r="AS1193" t="str">
        <f t="shared" si="245"/>
        <v>Valid</v>
      </c>
    </row>
    <row r="1194" spans="1:45" x14ac:dyDescent="0.3">
      <c r="A1194">
        <v>2315</v>
      </c>
      <c r="B1194">
        <v>1960</v>
      </c>
      <c r="C1194" t="s">
        <v>29</v>
      </c>
      <c r="D1194" t="s">
        <v>35</v>
      </c>
      <c r="E1194">
        <v>58401</v>
      </c>
      <c r="F1194">
        <v>0</v>
      </c>
      <c r="G1194">
        <v>1</v>
      </c>
      <c r="H1194" s="1">
        <v>41749</v>
      </c>
      <c r="I1194">
        <v>55</v>
      </c>
      <c r="J1194">
        <v>10</v>
      </c>
      <c r="K1194">
        <v>0</v>
      </c>
      <c r="L1194">
        <v>11</v>
      </c>
      <c r="M1194">
        <v>17</v>
      </c>
      <c r="N1194">
        <v>29</v>
      </c>
      <c r="O1194">
        <v>29</v>
      </c>
      <c r="P1194">
        <v>1</v>
      </c>
      <c r="Q1194">
        <v>1</v>
      </c>
      <c r="R1194">
        <v>2</v>
      </c>
      <c r="S1194">
        <v>2</v>
      </c>
      <c r="T1194">
        <v>4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3</v>
      </c>
      <c r="AB1194">
        <v>11</v>
      </c>
      <c r="AC1194">
        <v>0</v>
      </c>
      <c r="AD1194" t="str">
        <f t="shared" si="234"/>
        <v>Ok</v>
      </c>
      <c r="AE1194" t="str">
        <f>IF(AND(Audit_Data[[#This Row],[Year_Birth]]&gt;=1900,Audit_Data[[#This Row],[Year_Birth]]&lt;=2010),"OK","Invalid")</f>
        <v>OK</v>
      </c>
      <c r="AF1194" t="str">
        <f t="shared" si="235"/>
        <v>Valid</v>
      </c>
      <c r="AG1194" t="str">
        <f t="shared" si="236"/>
        <v>Valid</v>
      </c>
      <c r="AH1194" t="str">
        <f t="shared" si="237"/>
        <v>Valid</v>
      </c>
      <c r="AI1194" t="str">
        <f t="shared" si="238"/>
        <v>Valid</v>
      </c>
      <c r="AJ1194" t="str">
        <f t="shared" si="239"/>
        <v>Valid</v>
      </c>
      <c r="AK1194" t="str">
        <f t="shared" si="246"/>
        <v xml:space="preserve">Valid </v>
      </c>
      <c r="AL1194" t="str">
        <f>IF(AND(Audit_Data[[#This Row],[Recency]]&gt;=0,Audit_Data[[#This Row],[Recency]]&lt;=100),"Valid","Invalid")</f>
        <v>Valid</v>
      </c>
      <c r="AM1194" t="str">
        <f t="shared" si="240"/>
        <v>Valid</v>
      </c>
      <c r="AN1194" t="str">
        <f t="shared" si="241"/>
        <v>Valid</v>
      </c>
      <c r="AO1194" t="str">
        <f t="shared" si="242"/>
        <v>Valid</v>
      </c>
      <c r="AP1194" t="str">
        <f t="shared" si="243"/>
        <v>Valid</v>
      </c>
      <c r="AQ1194" t="str">
        <f>IF(Audit_Data[[#This Row],[Z_CostContact]]=3,"Valid","Invalid")</f>
        <v>Valid</v>
      </c>
      <c r="AR1194" t="str">
        <f t="shared" si="244"/>
        <v>Valid</v>
      </c>
      <c r="AS1194" t="str">
        <f t="shared" si="245"/>
        <v>Valid</v>
      </c>
    </row>
    <row r="1195" spans="1:45" x14ac:dyDescent="0.3">
      <c r="A1195">
        <v>3515</v>
      </c>
      <c r="B1195">
        <v>1952</v>
      </c>
      <c r="C1195" t="s">
        <v>29</v>
      </c>
      <c r="D1195" t="s">
        <v>30</v>
      </c>
      <c r="E1195">
        <v>62307</v>
      </c>
      <c r="F1195">
        <v>0</v>
      </c>
      <c r="G1195">
        <v>1</v>
      </c>
      <c r="H1195" s="1">
        <v>41687</v>
      </c>
      <c r="I1195">
        <v>94</v>
      </c>
      <c r="J1195">
        <v>87</v>
      </c>
      <c r="K1195">
        <v>13</v>
      </c>
      <c r="L1195">
        <v>34</v>
      </c>
      <c r="M1195">
        <v>10</v>
      </c>
      <c r="N1195">
        <v>6</v>
      </c>
      <c r="O1195">
        <v>10</v>
      </c>
      <c r="P1195">
        <v>1</v>
      </c>
      <c r="Q1195">
        <v>4</v>
      </c>
      <c r="R1195">
        <v>0</v>
      </c>
      <c r="S1195">
        <v>4</v>
      </c>
      <c r="T1195">
        <v>5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3</v>
      </c>
      <c r="AB1195">
        <v>11</v>
      </c>
      <c r="AC1195">
        <v>0</v>
      </c>
      <c r="AD1195" t="str">
        <f t="shared" si="234"/>
        <v>Ok</v>
      </c>
      <c r="AE1195" t="str">
        <f>IF(AND(Audit_Data[[#This Row],[Year_Birth]]&gt;=1900,Audit_Data[[#This Row],[Year_Birth]]&lt;=2010),"OK","Invalid")</f>
        <v>OK</v>
      </c>
      <c r="AF1195" t="str">
        <f t="shared" si="235"/>
        <v>Valid</v>
      </c>
      <c r="AG1195" t="str">
        <f t="shared" si="236"/>
        <v>Valid</v>
      </c>
      <c r="AH1195" t="str">
        <f t="shared" si="237"/>
        <v>Valid</v>
      </c>
      <c r="AI1195" t="str">
        <f t="shared" si="238"/>
        <v>Valid</v>
      </c>
      <c r="AJ1195" t="str">
        <f t="shared" si="239"/>
        <v>Valid</v>
      </c>
      <c r="AK1195" t="str">
        <f t="shared" si="246"/>
        <v xml:space="preserve">Valid </v>
      </c>
      <c r="AL1195" t="str">
        <f>IF(AND(Audit_Data[[#This Row],[Recency]]&gt;=0,Audit_Data[[#This Row],[Recency]]&lt;=100),"Valid","Invalid")</f>
        <v>Valid</v>
      </c>
      <c r="AM1195" t="str">
        <f t="shared" si="240"/>
        <v>Valid</v>
      </c>
      <c r="AN1195" t="str">
        <f t="shared" si="241"/>
        <v>Valid</v>
      </c>
      <c r="AO1195" t="str">
        <f t="shared" si="242"/>
        <v>Valid</v>
      </c>
      <c r="AP1195" t="str">
        <f t="shared" si="243"/>
        <v>Valid</v>
      </c>
      <c r="AQ1195" t="str">
        <f>IF(Audit_Data[[#This Row],[Z_CostContact]]=3,"Valid","Invalid")</f>
        <v>Valid</v>
      </c>
      <c r="AR1195" t="str">
        <f t="shared" si="244"/>
        <v>Valid</v>
      </c>
      <c r="AS1195" t="str">
        <f t="shared" si="245"/>
        <v>Valid</v>
      </c>
    </row>
    <row r="1196" spans="1:45" x14ac:dyDescent="0.3">
      <c r="A1196">
        <v>2245</v>
      </c>
      <c r="B1196">
        <v>1969</v>
      </c>
      <c r="C1196" t="s">
        <v>34</v>
      </c>
      <c r="D1196" t="s">
        <v>33</v>
      </c>
      <c r="E1196">
        <v>43641</v>
      </c>
      <c r="F1196">
        <v>1</v>
      </c>
      <c r="G1196">
        <v>1</v>
      </c>
      <c r="H1196" s="1">
        <v>41386</v>
      </c>
      <c r="I1196">
        <v>50</v>
      </c>
      <c r="J1196">
        <v>57</v>
      </c>
      <c r="K1196">
        <v>2</v>
      </c>
      <c r="L1196">
        <v>51</v>
      </c>
      <c r="M1196">
        <v>4</v>
      </c>
      <c r="N1196">
        <v>2</v>
      </c>
      <c r="O1196">
        <v>23</v>
      </c>
      <c r="P1196">
        <v>3</v>
      </c>
      <c r="Q1196">
        <v>2</v>
      </c>
      <c r="R1196">
        <v>1</v>
      </c>
      <c r="S1196">
        <v>4</v>
      </c>
      <c r="T1196">
        <v>6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3</v>
      </c>
      <c r="AB1196">
        <v>11</v>
      </c>
      <c r="AC1196">
        <v>0</v>
      </c>
      <c r="AD1196" t="str">
        <f t="shared" si="234"/>
        <v>Ok</v>
      </c>
      <c r="AE1196" t="str">
        <f>IF(AND(Audit_Data[[#This Row],[Year_Birth]]&gt;=1900,Audit_Data[[#This Row],[Year_Birth]]&lt;=2010),"OK","Invalid")</f>
        <v>OK</v>
      </c>
      <c r="AF1196" t="str">
        <f t="shared" si="235"/>
        <v>Valid</v>
      </c>
      <c r="AG1196" t="str">
        <f t="shared" si="236"/>
        <v>Valid</v>
      </c>
      <c r="AH1196" t="str">
        <f t="shared" si="237"/>
        <v>Valid</v>
      </c>
      <c r="AI1196" t="str">
        <f t="shared" si="238"/>
        <v>Valid</v>
      </c>
      <c r="AJ1196" t="str">
        <f t="shared" si="239"/>
        <v>Valid</v>
      </c>
      <c r="AK1196" t="str">
        <f t="shared" si="246"/>
        <v xml:space="preserve">Valid </v>
      </c>
      <c r="AL1196" t="str">
        <f>IF(AND(Audit_Data[[#This Row],[Recency]]&gt;=0,Audit_Data[[#This Row],[Recency]]&lt;=100),"Valid","Invalid")</f>
        <v>Valid</v>
      </c>
      <c r="AM1196" t="str">
        <f t="shared" si="240"/>
        <v>Valid</v>
      </c>
      <c r="AN1196" t="str">
        <f t="shared" si="241"/>
        <v>Valid</v>
      </c>
      <c r="AO1196" t="str">
        <f t="shared" si="242"/>
        <v>Valid</v>
      </c>
      <c r="AP1196" t="str">
        <f t="shared" si="243"/>
        <v>Valid</v>
      </c>
      <c r="AQ1196" t="str">
        <f>IF(Audit_Data[[#This Row],[Z_CostContact]]=3,"Valid","Invalid")</f>
        <v>Valid</v>
      </c>
      <c r="AR1196" t="str">
        <f t="shared" si="244"/>
        <v>Valid</v>
      </c>
      <c r="AS1196" t="str">
        <f t="shared" si="245"/>
        <v>Valid</v>
      </c>
    </row>
    <row r="1197" spans="1:45" x14ac:dyDescent="0.3">
      <c r="A1197">
        <v>6283</v>
      </c>
      <c r="B1197">
        <v>1968</v>
      </c>
      <c r="C1197" t="s">
        <v>34</v>
      </c>
      <c r="D1197" t="s">
        <v>35</v>
      </c>
      <c r="E1197">
        <v>63841</v>
      </c>
      <c r="F1197">
        <v>0</v>
      </c>
      <c r="G1197">
        <v>1</v>
      </c>
      <c r="H1197" s="1">
        <v>41385</v>
      </c>
      <c r="I1197">
        <v>64</v>
      </c>
      <c r="J1197">
        <v>635</v>
      </c>
      <c r="K1197">
        <v>15</v>
      </c>
      <c r="L1197">
        <v>100</v>
      </c>
      <c r="M1197">
        <v>20</v>
      </c>
      <c r="N1197">
        <v>7</v>
      </c>
      <c r="O1197">
        <v>131</v>
      </c>
      <c r="P1197">
        <v>1</v>
      </c>
      <c r="Q1197">
        <v>9</v>
      </c>
      <c r="R1197">
        <v>3</v>
      </c>
      <c r="S1197">
        <v>9</v>
      </c>
      <c r="T1197">
        <v>6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3</v>
      </c>
      <c r="AB1197">
        <v>11</v>
      </c>
      <c r="AC1197">
        <v>0</v>
      </c>
      <c r="AD1197" t="str">
        <f t="shared" si="234"/>
        <v>Ok</v>
      </c>
      <c r="AE1197" t="str">
        <f>IF(AND(Audit_Data[[#This Row],[Year_Birth]]&gt;=1900,Audit_Data[[#This Row],[Year_Birth]]&lt;=2010),"OK","Invalid")</f>
        <v>OK</v>
      </c>
      <c r="AF1197" t="str">
        <f t="shared" si="235"/>
        <v>Valid</v>
      </c>
      <c r="AG1197" t="str">
        <f t="shared" si="236"/>
        <v>Valid</v>
      </c>
      <c r="AH1197" t="str">
        <f t="shared" si="237"/>
        <v>Valid</v>
      </c>
      <c r="AI1197" t="str">
        <f t="shared" si="238"/>
        <v>Valid</v>
      </c>
      <c r="AJ1197" t="str">
        <f t="shared" si="239"/>
        <v>Valid</v>
      </c>
      <c r="AK1197" t="str">
        <f t="shared" si="246"/>
        <v xml:space="preserve">Valid </v>
      </c>
      <c r="AL1197" t="str">
        <f>IF(AND(Audit_Data[[#This Row],[Recency]]&gt;=0,Audit_Data[[#This Row],[Recency]]&lt;=100),"Valid","Invalid")</f>
        <v>Valid</v>
      </c>
      <c r="AM1197" t="str">
        <f t="shared" si="240"/>
        <v>Valid</v>
      </c>
      <c r="AN1197" t="str">
        <f t="shared" si="241"/>
        <v>Valid</v>
      </c>
      <c r="AO1197" t="str">
        <f t="shared" si="242"/>
        <v>Valid</v>
      </c>
      <c r="AP1197" t="str">
        <f t="shared" si="243"/>
        <v>Valid</v>
      </c>
      <c r="AQ1197" t="str">
        <f>IF(Audit_Data[[#This Row],[Z_CostContact]]=3,"Valid","Invalid")</f>
        <v>Valid</v>
      </c>
      <c r="AR1197" t="str">
        <f t="shared" si="244"/>
        <v>Valid</v>
      </c>
      <c r="AS1197" t="str">
        <f t="shared" si="245"/>
        <v>Valid</v>
      </c>
    </row>
    <row r="1198" spans="1:45" x14ac:dyDescent="0.3">
      <c r="A1198">
        <v>2246</v>
      </c>
      <c r="B1198">
        <v>1965</v>
      </c>
      <c r="C1198" t="s">
        <v>37</v>
      </c>
      <c r="D1198" t="s">
        <v>33</v>
      </c>
      <c r="E1198">
        <v>46891</v>
      </c>
      <c r="F1198">
        <v>0</v>
      </c>
      <c r="G1198">
        <v>1</v>
      </c>
      <c r="H1198" s="1">
        <v>41518</v>
      </c>
      <c r="I1198">
        <v>91</v>
      </c>
      <c r="J1198">
        <v>43</v>
      </c>
      <c r="K1198">
        <v>12</v>
      </c>
      <c r="L1198">
        <v>23</v>
      </c>
      <c r="M1198">
        <v>29</v>
      </c>
      <c r="N1198">
        <v>15</v>
      </c>
      <c r="O1198">
        <v>61</v>
      </c>
      <c r="P1198">
        <v>1</v>
      </c>
      <c r="Q1198">
        <v>2</v>
      </c>
      <c r="R1198">
        <v>1</v>
      </c>
      <c r="S1198">
        <v>4</v>
      </c>
      <c r="T1198">
        <v>4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3</v>
      </c>
      <c r="AB1198">
        <v>11</v>
      </c>
      <c r="AC1198">
        <v>0</v>
      </c>
      <c r="AD1198" t="str">
        <f t="shared" si="234"/>
        <v>Ok</v>
      </c>
      <c r="AE1198" t="str">
        <f>IF(AND(Audit_Data[[#This Row],[Year_Birth]]&gt;=1900,Audit_Data[[#This Row],[Year_Birth]]&lt;=2010),"OK","Invalid")</f>
        <v>OK</v>
      </c>
      <c r="AF1198" t="str">
        <f t="shared" si="235"/>
        <v>Valid</v>
      </c>
      <c r="AG1198" t="str">
        <f t="shared" si="236"/>
        <v>Valid</v>
      </c>
      <c r="AH1198" t="str">
        <f t="shared" si="237"/>
        <v>Valid</v>
      </c>
      <c r="AI1198" t="str">
        <f t="shared" si="238"/>
        <v>Valid</v>
      </c>
      <c r="AJ1198" t="str">
        <f t="shared" si="239"/>
        <v>Valid</v>
      </c>
      <c r="AK1198" t="str">
        <f t="shared" si="246"/>
        <v xml:space="preserve">Valid </v>
      </c>
      <c r="AL1198" t="str">
        <f>IF(AND(Audit_Data[[#This Row],[Recency]]&gt;=0,Audit_Data[[#This Row],[Recency]]&lt;=100),"Valid","Invalid")</f>
        <v>Valid</v>
      </c>
      <c r="AM1198" t="str">
        <f t="shared" si="240"/>
        <v>Valid</v>
      </c>
      <c r="AN1198" t="str">
        <f t="shared" si="241"/>
        <v>Valid</v>
      </c>
      <c r="AO1198" t="str">
        <f t="shared" si="242"/>
        <v>Valid</v>
      </c>
      <c r="AP1198" t="str">
        <f t="shared" si="243"/>
        <v>Valid</v>
      </c>
      <c r="AQ1198" t="str">
        <f>IF(Audit_Data[[#This Row],[Z_CostContact]]=3,"Valid","Invalid")</f>
        <v>Valid</v>
      </c>
      <c r="AR1198" t="str">
        <f t="shared" si="244"/>
        <v>Valid</v>
      </c>
      <c r="AS1198" t="str">
        <f t="shared" si="245"/>
        <v>Valid</v>
      </c>
    </row>
    <row r="1199" spans="1:45" x14ac:dyDescent="0.3">
      <c r="A1199">
        <v>6606</v>
      </c>
      <c r="B1199">
        <v>1969</v>
      </c>
      <c r="C1199" t="s">
        <v>34</v>
      </c>
      <c r="D1199" t="s">
        <v>33</v>
      </c>
      <c r="E1199">
        <v>70091</v>
      </c>
      <c r="F1199">
        <v>1</v>
      </c>
      <c r="G1199">
        <v>0</v>
      </c>
      <c r="H1199" s="1">
        <v>41364</v>
      </c>
      <c r="I1199">
        <v>11</v>
      </c>
      <c r="J1199">
        <v>964</v>
      </c>
      <c r="K1199">
        <v>34</v>
      </c>
      <c r="L1199">
        <v>137</v>
      </c>
      <c r="M1199">
        <v>15</v>
      </c>
      <c r="N1199">
        <v>0</v>
      </c>
      <c r="O1199">
        <v>11</v>
      </c>
      <c r="P1199">
        <v>2</v>
      </c>
      <c r="Q1199">
        <v>5</v>
      </c>
      <c r="R1199">
        <v>2</v>
      </c>
      <c r="S1199">
        <v>10</v>
      </c>
      <c r="T1199">
        <v>8</v>
      </c>
      <c r="U1199">
        <v>0</v>
      </c>
      <c r="V1199">
        <v>1</v>
      </c>
      <c r="W1199">
        <v>0</v>
      </c>
      <c r="X1199">
        <v>0</v>
      </c>
      <c r="Y1199">
        <v>0</v>
      </c>
      <c r="Z1199">
        <v>0</v>
      </c>
      <c r="AA1199">
        <v>3</v>
      </c>
      <c r="AB1199">
        <v>11</v>
      </c>
      <c r="AC1199">
        <v>0</v>
      </c>
      <c r="AD1199" t="str">
        <f t="shared" si="234"/>
        <v>Ok</v>
      </c>
      <c r="AE1199" t="str">
        <f>IF(AND(Audit_Data[[#This Row],[Year_Birth]]&gt;=1900,Audit_Data[[#This Row],[Year_Birth]]&lt;=2010),"OK","Invalid")</f>
        <v>OK</v>
      </c>
      <c r="AF1199" t="str">
        <f t="shared" si="235"/>
        <v>Valid</v>
      </c>
      <c r="AG1199" t="str">
        <f t="shared" si="236"/>
        <v>Valid</v>
      </c>
      <c r="AH1199" t="str">
        <f t="shared" si="237"/>
        <v>Valid</v>
      </c>
      <c r="AI1199" t="str">
        <f t="shared" si="238"/>
        <v>Valid</v>
      </c>
      <c r="AJ1199" t="str">
        <f t="shared" si="239"/>
        <v>Valid</v>
      </c>
      <c r="AK1199" t="str">
        <f t="shared" si="246"/>
        <v xml:space="preserve">Valid </v>
      </c>
      <c r="AL1199" t="str">
        <f>IF(AND(Audit_Data[[#This Row],[Recency]]&gt;=0,Audit_Data[[#This Row],[Recency]]&lt;=100),"Valid","Invalid")</f>
        <v>Valid</v>
      </c>
      <c r="AM1199" t="str">
        <f t="shared" si="240"/>
        <v>Valid</v>
      </c>
      <c r="AN1199" t="str">
        <f t="shared" si="241"/>
        <v>Valid</v>
      </c>
      <c r="AO1199" t="str">
        <f t="shared" si="242"/>
        <v>Valid</v>
      </c>
      <c r="AP1199" t="str">
        <f t="shared" si="243"/>
        <v>Valid</v>
      </c>
      <c r="AQ1199" t="str">
        <f>IF(Audit_Data[[#This Row],[Z_CostContact]]=3,"Valid","Invalid")</f>
        <v>Valid</v>
      </c>
      <c r="AR1199" t="str">
        <f t="shared" si="244"/>
        <v>Valid</v>
      </c>
      <c r="AS1199" t="str">
        <f t="shared" si="245"/>
        <v>Valid</v>
      </c>
    </row>
    <row r="1200" spans="1:45" x14ac:dyDescent="0.3">
      <c r="A1200">
        <v>5545</v>
      </c>
      <c r="B1200">
        <v>1972</v>
      </c>
      <c r="C1200" t="s">
        <v>32</v>
      </c>
      <c r="D1200" t="s">
        <v>33</v>
      </c>
      <c r="E1200">
        <v>78075</v>
      </c>
      <c r="F1200">
        <v>0</v>
      </c>
      <c r="G1200">
        <v>0</v>
      </c>
      <c r="H1200" s="1">
        <v>41734</v>
      </c>
      <c r="I1200">
        <v>72</v>
      </c>
      <c r="J1200">
        <v>572</v>
      </c>
      <c r="K1200">
        <v>8</v>
      </c>
      <c r="L1200">
        <v>259</v>
      </c>
      <c r="M1200">
        <v>34</v>
      </c>
      <c r="N1200">
        <v>35</v>
      </c>
      <c r="O1200">
        <v>80</v>
      </c>
      <c r="P1200">
        <v>1</v>
      </c>
      <c r="Q1200">
        <v>3</v>
      </c>
      <c r="R1200">
        <v>5</v>
      </c>
      <c r="S1200">
        <v>5</v>
      </c>
      <c r="T1200">
        <v>1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3</v>
      </c>
      <c r="AB1200">
        <v>11</v>
      </c>
      <c r="AC1200">
        <v>0</v>
      </c>
      <c r="AD1200" t="str">
        <f t="shared" si="234"/>
        <v>Ok</v>
      </c>
      <c r="AE1200" t="str">
        <f>IF(AND(Audit_Data[[#This Row],[Year_Birth]]&gt;=1900,Audit_Data[[#This Row],[Year_Birth]]&lt;=2010),"OK","Invalid")</f>
        <v>OK</v>
      </c>
      <c r="AF1200" t="str">
        <f t="shared" si="235"/>
        <v>Valid</v>
      </c>
      <c r="AG1200" t="str">
        <f t="shared" si="236"/>
        <v>Valid</v>
      </c>
      <c r="AH1200" t="str">
        <f t="shared" si="237"/>
        <v>Valid</v>
      </c>
      <c r="AI1200" t="str">
        <f t="shared" si="238"/>
        <v>Valid</v>
      </c>
      <c r="AJ1200" t="str">
        <f t="shared" si="239"/>
        <v>Valid</v>
      </c>
      <c r="AK1200" t="str">
        <f t="shared" si="246"/>
        <v xml:space="preserve">Valid </v>
      </c>
      <c r="AL1200" t="str">
        <f>IF(AND(Audit_Data[[#This Row],[Recency]]&gt;=0,Audit_Data[[#This Row],[Recency]]&lt;=100),"Valid","Invalid")</f>
        <v>Valid</v>
      </c>
      <c r="AM1200" t="str">
        <f t="shared" si="240"/>
        <v>Valid</v>
      </c>
      <c r="AN1200" t="str">
        <f t="shared" si="241"/>
        <v>Valid</v>
      </c>
      <c r="AO1200" t="str">
        <f t="shared" si="242"/>
        <v>Valid</v>
      </c>
      <c r="AP1200" t="str">
        <f t="shared" si="243"/>
        <v>Valid</v>
      </c>
      <c r="AQ1200" t="str">
        <f>IF(Audit_Data[[#This Row],[Z_CostContact]]=3,"Valid","Invalid")</f>
        <v>Valid</v>
      </c>
      <c r="AR1200" t="str">
        <f t="shared" si="244"/>
        <v>Valid</v>
      </c>
      <c r="AS1200" t="str">
        <f t="shared" si="245"/>
        <v>Valid</v>
      </c>
    </row>
    <row r="1201" spans="1:45" x14ac:dyDescent="0.3">
      <c r="A1201">
        <v>7342</v>
      </c>
      <c r="B1201">
        <v>1961</v>
      </c>
      <c r="C1201" t="s">
        <v>37</v>
      </c>
      <c r="D1201" t="s">
        <v>38</v>
      </c>
      <c r="E1201">
        <v>59184</v>
      </c>
      <c r="F1201">
        <v>0</v>
      </c>
      <c r="G1201">
        <v>1</v>
      </c>
      <c r="H1201" s="1">
        <v>41161</v>
      </c>
      <c r="I1201">
        <v>6</v>
      </c>
      <c r="J1201">
        <v>341</v>
      </c>
      <c r="K1201">
        <v>142</v>
      </c>
      <c r="L1201">
        <v>113</v>
      </c>
      <c r="M1201">
        <v>259</v>
      </c>
      <c r="N1201">
        <v>151</v>
      </c>
      <c r="O1201">
        <v>66</v>
      </c>
      <c r="P1201">
        <v>3</v>
      </c>
      <c r="Q1201">
        <v>6</v>
      </c>
      <c r="R1201">
        <v>6</v>
      </c>
      <c r="S1201">
        <v>12</v>
      </c>
      <c r="T1201">
        <v>5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3</v>
      </c>
      <c r="AB1201">
        <v>11</v>
      </c>
      <c r="AC1201">
        <v>0</v>
      </c>
      <c r="AD1201" t="str">
        <f t="shared" si="234"/>
        <v>Ok</v>
      </c>
      <c r="AE1201" t="str">
        <f>IF(AND(Audit_Data[[#This Row],[Year_Birth]]&gt;=1900,Audit_Data[[#This Row],[Year_Birth]]&lt;=2010),"OK","Invalid")</f>
        <v>OK</v>
      </c>
      <c r="AF1201" t="str">
        <f t="shared" si="235"/>
        <v>Valid</v>
      </c>
      <c r="AG1201" t="str">
        <f t="shared" si="236"/>
        <v>Valid</v>
      </c>
      <c r="AH1201" t="str">
        <f t="shared" si="237"/>
        <v>Valid</v>
      </c>
      <c r="AI1201" t="str">
        <f t="shared" si="238"/>
        <v>Valid</v>
      </c>
      <c r="AJ1201" t="str">
        <f t="shared" si="239"/>
        <v>Valid</v>
      </c>
      <c r="AK1201" t="str">
        <f t="shared" si="246"/>
        <v xml:space="preserve">Valid </v>
      </c>
      <c r="AL1201" t="str">
        <f>IF(AND(Audit_Data[[#This Row],[Recency]]&gt;=0,Audit_Data[[#This Row],[Recency]]&lt;=100),"Valid","Invalid")</f>
        <v>Valid</v>
      </c>
      <c r="AM1201" t="str">
        <f t="shared" si="240"/>
        <v>Valid</v>
      </c>
      <c r="AN1201" t="str">
        <f t="shared" si="241"/>
        <v>Valid</v>
      </c>
      <c r="AO1201" t="str">
        <f t="shared" si="242"/>
        <v>Valid</v>
      </c>
      <c r="AP1201" t="str">
        <f t="shared" si="243"/>
        <v>Valid</v>
      </c>
      <c r="AQ1201" t="str">
        <f>IF(Audit_Data[[#This Row],[Z_CostContact]]=3,"Valid","Invalid")</f>
        <v>Valid</v>
      </c>
      <c r="AR1201" t="str">
        <f t="shared" si="244"/>
        <v>Valid</v>
      </c>
      <c r="AS1201" t="str">
        <f t="shared" si="245"/>
        <v>Valid</v>
      </c>
    </row>
    <row r="1202" spans="1:45" x14ac:dyDescent="0.3">
      <c r="A1202">
        <v>837</v>
      </c>
      <c r="B1202">
        <v>1977</v>
      </c>
      <c r="C1202" t="s">
        <v>29</v>
      </c>
      <c r="D1202" t="s">
        <v>33</v>
      </c>
      <c r="E1202">
        <v>54809</v>
      </c>
      <c r="F1202">
        <v>1</v>
      </c>
      <c r="G1202">
        <v>1</v>
      </c>
      <c r="H1202" s="1">
        <v>41528</v>
      </c>
      <c r="I1202">
        <v>0</v>
      </c>
      <c r="J1202">
        <v>63</v>
      </c>
      <c r="K1202">
        <v>6</v>
      </c>
      <c r="L1202">
        <v>57</v>
      </c>
      <c r="M1202">
        <v>13</v>
      </c>
      <c r="N1202">
        <v>13</v>
      </c>
      <c r="O1202">
        <v>22</v>
      </c>
      <c r="P1202">
        <v>4</v>
      </c>
      <c r="Q1202">
        <v>2</v>
      </c>
      <c r="R1202">
        <v>1</v>
      </c>
      <c r="S1202">
        <v>5</v>
      </c>
      <c r="T1202">
        <v>4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3</v>
      </c>
      <c r="AB1202">
        <v>11</v>
      </c>
      <c r="AC1202">
        <v>0</v>
      </c>
      <c r="AD1202" t="str">
        <f t="shared" si="234"/>
        <v>Ok</v>
      </c>
      <c r="AE1202" t="str">
        <f>IF(AND(Audit_Data[[#This Row],[Year_Birth]]&gt;=1900,Audit_Data[[#This Row],[Year_Birth]]&lt;=2010),"OK","Invalid")</f>
        <v>OK</v>
      </c>
      <c r="AF1202" t="str">
        <f t="shared" si="235"/>
        <v>Valid</v>
      </c>
      <c r="AG1202" t="str">
        <f t="shared" si="236"/>
        <v>Valid</v>
      </c>
      <c r="AH1202" t="str">
        <f t="shared" si="237"/>
        <v>Valid</v>
      </c>
      <c r="AI1202" t="str">
        <f t="shared" si="238"/>
        <v>Valid</v>
      </c>
      <c r="AJ1202" t="str">
        <f t="shared" si="239"/>
        <v>Valid</v>
      </c>
      <c r="AK1202" t="str">
        <f t="shared" si="246"/>
        <v xml:space="preserve">Valid </v>
      </c>
      <c r="AL1202" t="str">
        <f>IF(AND(Audit_Data[[#This Row],[Recency]]&gt;=0,Audit_Data[[#This Row],[Recency]]&lt;=100),"Valid","Invalid")</f>
        <v>Valid</v>
      </c>
      <c r="AM1202" t="str">
        <f t="shared" si="240"/>
        <v>Valid</v>
      </c>
      <c r="AN1202" t="str">
        <f t="shared" si="241"/>
        <v>Valid</v>
      </c>
      <c r="AO1202" t="str">
        <f t="shared" si="242"/>
        <v>Valid</v>
      </c>
      <c r="AP1202" t="str">
        <f t="shared" si="243"/>
        <v>Valid</v>
      </c>
      <c r="AQ1202" t="str">
        <f>IF(Audit_Data[[#This Row],[Z_CostContact]]=3,"Valid","Invalid")</f>
        <v>Valid</v>
      </c>
      <c r="AR1202" t="str">
        <f t="shared" si="244"/>
        <v>Valid</v>
      </c>
      <c r="AS1202" t="str">
        <f t="shared" si="245"/>
        <v>Valid</v>
      </c>
    </row>
    <row r="1203" spans="1:45" x14ac:dyDescent="0.3">
      <c r="A1203">
        <v>9500</v>
      </c>
      <c r="B1203">
        <v>1959</v>
      </c>
      <c r="C1203" t="s">
        <v>29</v>
      </c>
      <c r="D1203" t="s">
        <v>33</v>
      </c>
      <c r="E1203">
        <v>58113</v>
      </c>
      <c r="F1203">
        <v>0</v>
      </c>
      <c r="G1203">
        <v>1</v>
      </c>
      <c r="H1203" s="1">
        <v>41299</v>
      </c>
      <c r="I1203">
        <v>66</v>
      </c>
      <c r="J1203">
        <v>221</v>
      </c>
      <c r="K1203">
        <v>104</v>
      </c>
      <c r="L1203">
        <v>169</v>
      </c>
      <c r="M1203">
        <v>102</v>
      </c>
      <c r="N1203">
        <v>78</v>
      </c>
      <c r="O1203">
        <v>84</v>
      </c>
      <c r="P1203">
        <v>3</v>
      </c>
      <c r="Q1203">
        <v>9</v>
      </c>
      <c r="R1203">
        <v>2</v>
      </c>
      <c r="S1203">
        <v>8</v>
      </c>
      <c r="T1203">
        <v>7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1</v>
      </c>
      <c r="AA1203">
        <v>3</v>
      </c>
      <c r="AB1203">
        <v>11</v>
      </c>
      <c r="AC1203">
        <v>0</v>
      </c>
      <c r="AD1203" t="str">
        <f t="shared" si="234"/>
        <v>Ok</v>
      </c>
      <c r="AE1203" t="str">
        <f>IF(AND(Audit_Data[[#This Row],[Year_Birth]]&gt;=1900,Audit_Data[[#This Row],[Year_Birth]]&lt;=2010),"OK","Invalid")</f>
        <v>OK</v>
      </c>
      <c r="AF1203" t="str">
        <f t="shared" si="235"/>
        <v>Valid</v>
      </c>
      <c r="AG1203" t="str">
        <f t="shared" si="236"/>
        <v>Valid</v>
      </c>
      <c r="AH1203" t="str">
        <f t="shared" si="237"/>
        <v>Valid</v>
      </c>
      <c r="AI1203" t="str">
        <f t="shared" si="238"/>
        <v>Valid</v>
      </c>
      <c r="AJ1203" t="str">
        <f t="shared" si="239"/>
        <v>Valid</v>
      </c>
      <c r="AK1203" t="str">
        <f t="shared" si="246"/>
        <v xml:space="preserve">Valid </v>
      </c>
      <c r="AL1203" t="str">
        <f>IF(AND(Audit_Data[[#This Row],[Recency]]&gt;=0,Audit_Data[[#This Row],[Recency]]&lt;=100),"Valid","Invalid")</f>
        <v>Valid</v>
      </c>
      <c r="AM1203" t="str">
        <f t="shared" si="240"/>
        <v>Valid</v>
      </c>
      <c r="AN1203" t="str">
        <f t="shared" si="241"/>
        <v>Valid</v>
      </c>
      <c r="AO1203" t="str">
        <f t="shared" si="242"/>
        <v>Valid</v>
      </c>
      <c r="AP1203" t="str">
        <f t="shared" si="243"/>
        <v>Valid</v>
      </c>
      <c r="AQ1203" t="str">
        <f>IF(Audit_Data[[#This Row],[Z_CostContact]]=3,"Valid","Invalid")</f>
        <v>Valid</v>
      </c>
      <c r="AR1203" t="str">
        <f t="shared" si="244"/>
        <v>Valid</v>
      </c>
      <c r="AS1203" t="str">
        <f t="shared" si="245"/>
        <v>Valid</v>
      </c>
    </row>
    <row r="1204" spans="1:45" x14ac:dyDescent="0.3">
      <c r="A1204">
        <v>3602</v>
      </c>
      <c r="B1204">
        <v>1958</v>
      </c>
      <c r="C1204" t="s">
        <v>34</v>
      </c>
      <c r="D1204" t="s">
        <v>33</v>
      </c>
      <c r="E1204">
        <v>51412</v>
      </c>
      <c r="F1204">
        <v>0</v>
      </c>
      <c r="G1204">
        <v>1</v>
      </c>
      <c r="H1204" s="1">
        <v>41639</v>
      </c>
      <c r="I1204">
        <v>42</v>
      </c>
      <c r="J1204">
        <v>140</v>
      </c>
      <c r="K1204">
        <v>3</v>
      </c>
      <c r="L1204">
        <v>29</v>
      </c>
      <c r="M1204">
        <v>4</v>
      </c>
      <c r="N1204">
        <v>5</v>
      </c>
      <c r="O1204">
        <v>14</v>
      </c>
      <c r="P1204">
        <v>2</v>
      </c>
      <c r="Q1204">
        <v>3</v>
      </c>
      <c r="R1204">
        <v>2</v>
      </c>
      <c r="S1204">
        <v>4</v>
      </c>
      <c r="T1204">
        <v>4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3</v>
      </c>
      <c r="AB1204">
        <v>11</v>
      </c>
      <c r="AC1204">
        <v>0</v>
      </c>
      <c r="AD1204" t="str">
        <f t="shared" si="234"/>
        <v>Ok</v>
      </c>
      <c r="AE1204" t="str">
        <f>IF(AND(Audit_Data[[#This Row],[Year_Birth]]&gt;=1900,Audit_Data[[#This Row],[Year_Birth]]&lt;=2010),"OK","Invalid")</f>
        <v>OK</v>
      </c>
      <c r="AF1204" t="str">
        <f t="shared" si="235"/>
        <v>Valid</v>
      </c>
      <c r="AG1204" t="str">
        <f t="shared" si="236"/>
        <v>Valid</v>
      </c>
      <c r="AH1204" t="str">
        <f t="shared" si="237"/>
        <v>Valid</v>
      </c>
      <c r="AI1204" t="str">
        <f t="shared" si="238"/>
        <v>Valid</v>
      </c>
      <c r="AJ1204" t="str">
        <f t="shared" si="239"/>
        <v>Valid</v>
      </c>
      <c r="AK1204" t="str">
        <f t="shared" si="246"/>
        <v xml:space="preserve">Valid </v>
      </c>
      <c r="AL1204" t="str">
        <f>IF(AND(Audit_Data[[#This Row],[Recency]]&gt;=0,Audit_Data[[#This Row],[Recency]]&lt;=100),"Valid","Invalid")</f>
        <v>Valid</v>
      </c>
      <c r="AM1204" t="str">
        <f t="shared" si="240"/>
        <v>Valid</v>
      </c>
      <c r="AN1204" t="str">
        <f t="shared" si="241"/>
        <v>Valid</v>
      </c>
      <c r="AO1204" t="str">
        <f t="shared" si="242"/>
        <v>Valid</v>
      </c>
      <c r="AP1204" t="str">
        <f t="shared" si="243"/>
        <v>Valid</v>
      </c>
      <c r="AQ1204" t="str">
        <f>IF(Audit_Data[[#This Row],[Z_CostContact]]=3,"Valid","Invalid")</f>
        <v>Valid</v>
      </c>
      <c r="AR1204" t="str">
        <f t="shared" si="244"/>
        <v>Valid</v>
      </c>
      <c r="AS1204" t="str">
        <f t="shared" si="245"/>
        <v>Valid</v>
      </c>
    </row>
    <row r="1205" spans="1:45" x14ac:dyDescent="0.3">
      <c r="A1205">
        <v>234</v>
      </c>
      <c r="B1205">
        <v>1979</v>
      </c>
      <c r="C1205" t="s">
        <v>29</v>
      </c>
      <c r="D1205" t="s">
        <v>35</v>
      </c>
      <c r="E1205">
        <v>15287</v>
      </c>
      <c r="F1205">
        <v>1</v>
      </c>
      <c r="G1205">
        <v>0</v>
      </c>
      <c r="H1205" s="1">
        <v>41192</v>
      </c>
      <c r="I1205">
        <v>60</v>
      </c>
      <c r="J1205">
        <v>1</v>
      </c>
      <c r="K1205">
        <v>2</v>
      </c>
      <c r="L1205">
        <v>8</v>
      </c>
      <c r="M1205">
        <v>4</v>
      </c>
      <c r="N1205">
        <v>3</v>
      </c>
      <c r="O1205">
        <v>13</v>
      </c>
      <c r="P1205">
        <v>2</v>
      </c>
      <c r="Q1205">
        <v>1</v>
      </c>
      <c r="R1205">
        <v>1</v>
      </c>
      <c r="S1205">
        <v>2</v>
      </c>
      <c r="T1205">
        <v>7</v>
      </c>
      <c r="U1205">
        <v>1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3</v>
      </c>
      <c r="AB1205">
        <v>11</v>
      </c>
      <c r="AC1205">
        <v>1</v>
      </c>
      <c r="AD1205" t="str">
        <f t="shared" si="234"/>
        <v>Ok</v>
      </c>
      <c r="AE1205" t="str">
        <f>IF(AND(Audit_Data[[#This Row],[Year_Birth]]&gt;=1900,Audit_Data[[#This Row],[Year_Birth]]&lt;=2010),"OK","Invalid")</f>
        <v>OK</v>
      </c>
      <c r="AF1205" t="str">
        <f t="shared" si="235"/>
        <v>Valid</v>
      </c>
      <c r="AG1205" t="str">
        <f t="shared" si="236"/>
        <v>Valid</v>
      </c>
      <c r="AH1205" t="str">
        <f t="shared" si="237"/>
        <v>Valid</v>
      </c>
      <c r="AI1205" t="str">
        <f t="shared" si="238"/>
        <v>Valid</v>
      </c>
      <c r="AJ1205" t="str">
        <f t="shared" si="239"/>
        <v>Valid</v>
      </c>
      <c r="AK1205" t="str">
        <f t="shared" si="246"/>
        <v xml:space="preserve">Valid </v>
      </c>
      <c r="AL1205" t="str">
        <f>IF(AND(Audit_Data[[#This Row],[Recency]]&gt;=0,Audit_Data[[#This Row],[Recency]]&lt;=100),"Valid","Invalid")</f>
        <v>Valid</v>
      </c>
      <c r="AM1205" t="str">
        <f t="shared" si="240"/>
        <v>Valid</v>
      </c>
      <c r="AN1205" t="str">
        <f t="shared" si="241"/>
        <v>Valid</v>
      </c>
      <c r="AO1205" t="str">
        <f t="shared" si="242"/>
        <v>Valid</v>
      </c>
      <c r="AP1205" t="str">
        <f t="shared" si="243"/>
        <v>Valid</v>
      </c>
      <c r="AQ1205" t="str">
        <f>IF(Audit_Data[[#This Row],[Z_CostContact]]=3,"Valid","Invalid")</f>
        <v>Valid</v>
      </c>
      <c r="AR1205" t="str">
        <f t="shared" si="244"/>
        <v>Valid</v>
      </c>
      <c r="AS1205" t="str">
        <f t="shared" si="245"/>
        <v>Valid</v>
      </c>
    </row>
    <row r="1206" spans="1:45" x14ac:dyDescent="0.3">
      <c r="A1206">
        <v>2995</v>
      </c>
      <c r="B1206">
        <v>1957</v>
      </c>
      <c r="C1206" t="s">
        <v>34</v>
      </c>
      <c r="D1206" t="s">
        <v>31</v>
      </c>
      <c r="E1206">
        <v>66636</v>
      </c>
      <c r="F1206">
        <v>0</v>
      </c>
      <c r="G1206">
        <v>0</v>
      </c>
      <c r="H1206" s="1">
        <v>41503</v>
      </c>
      <c r="I1206">
        <v>64</v>
      </c>
      <c r="J1206">
        <v>291</v>
      </c>
      <c r="K1206">
        <v>10</v>
      </c>
      <c r="L1206">
        <v>689</v>
      </c>
      <c r="M1206">
        <v>84</v>
      </c>
      <c r="N1206">
        <v>10</v>
      </c>
      <c r="O1206">
        <v>0</v>
      </c>
      <c r="P1206">
        <v>1</v>
      </c>
      <c r="Q1206">
        <v>3</v>
      </c>
      <c r="R1206">
        <v>4</v>
      </c>
      <c r="S1206">
        <v>9</v>
      </c>
      <c r="T1206">
        <v>1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3</v>
      </c>
      <c r="AB1206">
        <v>11</v>
      </c>
      <c r="AC1206">
        <v>0</v>
      </c>
      <c r="AD1206" t="str">
        <f t="shared" si="234"/>
        <v>Ok</v>
      </c>
      <c r="AE1206" t="str">
        <f>IF(AND(Audit_Data[[#This Row],[Year_Birth]]&gt;=1900,Audit_Data[[#This Row],[Year_Birth]]&lt;=2010),"OK","Invalid")</f>
        <v>OK</v>
      </c>
      <c r="AF1206" t="str">
        <f t="shared" si="235"/>
        <v>Valid</v>
      </c>
      <c r="AG1206" t="str">
        <f t="shared" si="236"/>
        <v>Valid</v>
      </c>
      <c r="AH1206" t="str">
        <f t="shared" si="237"/>
        <v>Valid</v>
      </c>
      <c r="AI1206" t="str">
        <f t="shared" si="238"/>
        <v>Valid</v>
      </c>
      <c r="AJ1206" t="str">
        <f t="shared" si="239"/>
        <v>Valid</v>
      </c>
      <c r="AK1206" t="str">
        <f t="shared" si="246"/>
        <v xml:space="preserve">Valid </v>
      </c>
      <c r="AL1206" t="str">
        <f>IF(AND(Audit_Data[[#This Row],[Recency]]&gt;=0,Audit_Data[[#This Row],[Recency]]&lt;=100),"Valid","Invalid")</f>
        <v>Valid</v>
      </c>
      <c r="AM1206" t="str">
        <f t="shared" si="240"/>
        <v>Valid</v>
      </c>
      <c r="AN1206" t="str">
        <f t="shared" si="241"/>
        <v>Valid</v>
      </c>
      <c r="AO1206" t="str">
        <f t="shared" si="242"/>
        <v>Valid</v>
      </c>
      <c r="AP1206" t="str">
        <f t="shared" si="243"/>
        <v>Valid</v>
      </c>
      <c r="AQ1206" t="str">
        <f>IF(Audit_Data[[#This Row],[Z_CostContact]]=3,"Valid","Invalid")</f>
        <v>Valid</v>
      </c>
      <c r="AR1206" t="str">
        <f t="shared" si="244"/>
        <v>Valid</v>
      </c>
      <c r="AS1206" t="str">
        <f t="shared" si="245"/>
        <v>Valid</v>
      </c>
    </row>
    <row r="1207" spans="1:45" x14ac:dyDescent="0.3">
      <c r="A1207">
        <v>1118</v>
      </c>
      <c r="B1207">
        <v>1956</v>
      </c>
      <c r="C1207" t="s">
        <v>34</v>
      </c>
      <c r="D1207" t="s">
        <v>33</v>
      </c>
      <c r="E1207">
        <v>50965</v>
      </c>
      <c r="F1207">
        <v>0</v>
      </c>
      <c r="G1207">
        <v>1</v>
      </c>
      <c r="H1207" s="1">
        <v>41325</v>
      </c>
      <c r="I1207">
        <v>87</v>
      </c>
      <c r="J1207">
        <v>544</v>
      </c>
      <c r="K1207">
        <v>13</v>
      </c>
      <c r="L1207">
        <v>85</v>
      </c>
      <c r="M1207">
        <v>8</v>
      </c>
      <c r="N1207">
        <v>6</v>
      </c>
      <c r="O1207">
        <v>29</v>
      </c>
      <c r="P1207">
        <v>3</v>
      </c>
      <c r="Q1207">
        <v>10</v>
      </c>
      <c r="R1207">
        <v>4</v>
      </c>
      <c r="S1207">
        <v>5</v>
      </c>
      <c r="T1207">
        <v>8</v>
      </c>
      <c r="U1207">
        <v>1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3</v>
      </c>
      <c r="AB1207">
        <v>11</v>
      </c>
      <c r="AC1207">
        <v>0</v>
      </c>
      <c r="AD1207" t="str">
        <f t="shared" si="234"/>
        <v>Ok</v>
      </c>
      <c r="AE1207" t="str">
        <f>IF(AND(Audit_Data[[#This Row],[Year_Birth]]&gt;=1900,Audit_Data[[#This Row],[Year_Birth]]&lt;=2010),"OK","Invalid")</f>
        <v>OK</v>
      </c>
      <c r="AF1207" t="str">
        <f t="shared" si="235"/>
        <v>Valid</v>
      </c>
      <c r="AG1207" t="str">
        <f t="shared" si="236"/>
        <v>Valid</v>
      </c>
      <c r="AH1207" t="str">
        <f t="shared" si="237"/>
        <v>Valid</v>
      </c>
      <c r="AI1207" t="str">
        <f t="shared" si="238"/>
        <v>Valid</v>
      </c>
      <c r="AJ1207" t="str">
        <f t="shared" si="239"/>
        <v>Valid</v>
      </c>
      <c r="AK1207" t="str">
        <f t="shared" si="246"/>
        <v xml:space="preserve">Valid </v>
      </c>
      <c r="AL1207" t="str">
        <f>IF(AND(Audit_Data[[#This Row],[Recency]]&gt;=0,Audit_Data[[#This Row],[Recency]]&lt;=100),"Valid","Invalid")</f>
        <v>Valid</v>
      </c>
      <c r="AM1207" t="str">
        <f t="shared" si="240"/>
        <v>Valid</v>
      </c>
      <c r="AN1207" t="str">
        <f t="shared" si="241"/>
        <v>Valid</v>
      </c>
      <c r="AO1207" t="str">
        <f t="shared" si="242"/>
        <v>Valid</v>
      </c>
      <c r="AP1207" t="str">
        <f t="shared" si="243"/>
        <v>Valid</v>
      </c>
      <c r="AQ1207" t="str">
        <f>IF(Audit_Data[[#This Row],[Z_CostContact]]=3,"Valid","Invalid")</f>
        <v>Valid</v>
      </c>
      <c r="AR1207" t="str">
        <f t="shared" si="244"/>
        <v>Valid</v>
      </c>
      <c r="AS1207" t="str">
        <f t="shared" si="245"/>
        <v>Valid</v>
      </c>
    </row>
    <row r="1208" spans="1:45" x14ac:dyDescent="0.3">
      <c r="A1208">
        <v>7789</v>
      </c>
      <c r="B1208">
        <v>1965</v>
      </c>
      <c r="C1208" t="s">
        <v>32</v>
      </c>
      <c r="D1208" t="s">
        <v>33</v>
      </c>
      <c r="E1208">
        <v>84618</v>
      </c>
      <c r="F1208">
        <v>0</v>
      </c>
      <c r="G1208">
        <v>0</v>
      </c>
      <c r="H1208" s="1">
        <v>41600</v>
      </c>
      <c r="I1208">
        <v>96</v>
      </c>
      <c r="J1208">
        <v>684</v>
      </c>
      <c r="K1208">
        <v>100</v>
      </c>
      <c r="L1208">
        <v>801</v>
      </c>
      <c r="M1208">
        <v>21</v>
      </c>
      <c r="N1208">
        <v>66</v>
      </c>
      <c r="O1208">
        <v>0</v>
      </c>
      <c r="P1208">
        <v>1</v>
      </c>
      <c r="Q1208">
        <v>6</v>
      </c>
      <c r="R1208">
        <v>9</v>
      </c>
      <c r="S1208">
        <v>10</v>
      </c>
      <c r="T1208">
        <v>2</v>
      </c>
      <c r="U1208">
        <v>0</v>
      </c>
      <c r="V1208">
        <v>0</v>
      </c>
      <c r="W1208">
        <v>1</v>
      </c>
      <c r="X1208">
        <v>0</v>
      </c>
      <c r="Y1208">
        <v>0</v>
      </c>
      <c r="Z1208">
        <v>0</v>
      </c>
      <c r="AA1208">
        <v>3</v>
      </c>
      <c r="AB1208">
        <v>11</v>
      </c>
      <c r="AC1208">
        <v>0</v>
      </c>
      <c r="AD1208" t="str">
        <f t="shared" si="234"/>
        <v>Ok</v>
      </c>
      <c r="AE1208" t="str">
        <f>IF(AND(Audit_Data[[#This Row],[Year_Birth]]&gt;=1900,Audit_Data[[#This Row],[Year_Birth]]&lt;=2010),"OK","Invalid")</f>
        <v>OK</v>
      </c>
      <c r="AF1208" t="str">
        <f t="shared" si="235"/>
        <v>Valid</v>
      </c>
      <c r="AG1208" t="str">
        <f t="shared" si="236"/>
        <v>Valid</v>
      </c>
      <c r="AH1208" t="str">
        <f t="shared" si="237"/>
        <v>Valid</v>
      </c>
      <c r="AI1208" t="str">
        <f t="shared" si="238"/>
        <v>Valid</v>
      </c>
      <c r="AJ1208" t="str">
        <f t="shared" si="239"/>
        <v>Valid</v>
      </c>
      <c r="AK1208" t="str">
        <f t="shared" si="246"/>
        <v xml:space="preserve">Valid </v>
      </c>
      <c r="AL1208" t="str">
        <f>IF(AND(Audit_Data[[#This Row],[Recency]]&gt;=0,Audit_Data[[#This Row],[Recency]]&lt;=100),"Valid","Invalid")</f>
        <v>Valid</v>
      </c>
      <c r="AM1208" t="str">
        <f t="shared" si="240"/>
        <v>Valid</v>
      </c>
      <c r="AN1208" t="str">
        <f t="shared" si="241"/>
        <v>Valid</v>
      </c>
      <c r="AO1208" t="str">
        <f t="shared" si="242"/>
        <v>Valid</v>
      </c>
      <c r="AP1208" t="str">
        <f t="shared" si="243"/>
        <v>Valid</v>
      </c>
      <c r="AQ1208" t="str">
        <f>IF(Audit_Data[[#This Row],[Z_CostContact]]=3,"Valid","Invalid")</f>
        <v>Valid</v>
      </c>
      <c r="AR1208" t="str">
        <f t="shared" si="244"/>
        <v>Valid</v>
      </c>
      <c r="AS1208" t="str">
        <f t="shared" si="245"/>
        <v>Valid</v>
      </c>
    </row>
    <row r="1209" spans="1:45" x14ac:dyDescent="0.3">
      <c r="A1209">
        <v>3068</v>
      </c>
      <c r="B1209">
        <v>1990</v>
      </c>
      <c r="C1209" t="s">
        <v>29</v>
      </c>
      <c r="D1209" t="s">
        <v>33</v>
      </c>
      <c r="E1209">
        <v>18351</v>
      </c>
      <c r="F1209">
        <v>0</v>
      </c>
      <c r="G1209">
        <v>0</v>
      </c>
      <c r="H1209" s="1">
        <v>41576</v>
      </c>
      <c r="I1209">
        <v>1</v>
      </c>
      <c r="J1209">
        <v>1</v>
      </c>
      <c r="K1209">
        <v>12</v>
      </c>
      <c r="L1209">
        <v>9</v>
      </c>
      <c r="M1209">
        <v>0</v>
      </c>
      <c r="N1209">
        <v>14</v>
      </c>
      <c r="O1209">
        <v>7</v>
      </c>
      <c r="P1209">
        <v>1</v>
      </c>
      <c r="Q1209">
        <v>2</v>
      </c>
      <c r="R1209">
        <v>0</v>
      </c>
      <c r="S1209">
        <v>3</v>
      </c>
      <c r="T1209">
        <v>7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3</v>
      </c>
      <c r="AB1209">
        <v>11</v>
      </c>
      <c r="AC1209">
        <v>0</v>
      </c>
      <c r="AD1209" t="str">
        <f t="shared" si="234"/>
        <v>Ok</v>
      </c>
      <c r="AE1209" t="str">
        <f>IF(AND(Audit_Data[[#This Row],[Year_Birth]]&gt;=1900,Audit_Data[[#This Row],[Year_Birth]]&lt;=2010),"OK","Invalid")</f>
        <v>OK</v>
      </c>
      <c r="AF1209" t="str">
        <f t="shared" si="235"/>
        <v>Valid</v>
      </c>
      <c r="AG1209" t="str">
        <f t="shared" si="236"/>
        <v>Valid</v>
      </c>
      <c r="AH1209" t="str">
        <f t="shared" si="237"/>
        <v>Valid</v>
      </c>
      <c r="AI1209" t="str">
        <f t="shared" si="238"/>
        <v>Valid</v>
      </c>
      <c r="AJ1209" t="str">
        <f t="shared" si="239"/>
        <v>Valid</v>
      </c>
      <c r="AK1209" t="str">
        <f t="shared" si="246"/>
        <v xml:space="preserve">Valid </v>
      </c>
      <c r="AL1209" t="str">
        <f>IF(AND(Audit_Data[[#This Row],[Recency]]&gt;=0,Audit_Data[[#This Row],[Recency]]&lt;=100),"Valid","Invalid")</f>
        <v>Valid</v>
      </c>
      <c r="AM1209" t="str">
        <f t="shared" si="240"/>
        <v>Valid</v>
      </c>
      <c r="AN1209" t="str">
        <f t="shared" si="241"/>
        <v>Valid</v>
      </c>
      <c r="AO1209" t="str">
        <f t="shared" si="242"/>
        <v>Valid</v>
      </c>
      <c r="AP1209" t="str">
        <f t="shared" si="243"/>
        <v>Valid</v>
      </c>
      <c r="AQ1209" t="str">
        <f>IF(Audit_Data[[#This Row],[Z_CostContact]]=3,"Valid","Invalid")</f>
        <v>Valid</v>
      </c>
      <c r="AR1209" t="str">
        <f t="shared" si="244"/>
        <v>Valid</v>
      </c>
      <c r="AS1209" t="str">
        <f t="shared" si="245"/>
        <v>Valid</v>
      </c>
    </row>
    <row r="1210" spans="1:45" x14ac:dyDescent="0.3">
      <c r="A1210">
        <v>8955</v>
      </c>
      <c r="B1210">
        <v>1957</v>
      </c>
      <c r="C1210" t="s">
        <v>32</v>
      </c>
      <c r="D1210" t="s">
        <v>31</v>
      </c>
      <c r="E1210">
        <v>40451</v>
      </c>
      <c r="F1210">
        <v>0</v>
      </c>
      <c r="G1210">
        <v>2</v>
      </c>
      <c r="H1210" s="1">
        <v>41686</v>
      </c>
      <c r="I1210">
        <v>54</v>
      </c>
      <c r="J1210">
        <v>35</v>
      </c>
      <c r="K1210">
        <v>0</v>
      </c>
      <c r="L1210">
        <v>4</v>
      </c>
      <c r="M1210">
        <v>0</v>
      </c>
      <c r="N1210">
        <v>0</v>
      </c>
      <c r="O1210">
        <v>10</v>
      </c>
      <c r="P1210">
        <v>1</v>
      </c>
      <c r="Q1210">
        <v>1</v>
      </c>
      <c r="R1210">
        <v>1</v>
      </c>
      <c r="S1210">
        <v>2</v>
      </c>
      <c r="T1210">
        <v>5</v>
      </c>
      <c r="U1210">
        <v>1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3</v>
      </c>
      <c r="AB1210">
        <v>11</v>
      </c>
      <c r="AC1210">
        <v>0</v>
      </c>
      <c r="AD1210" t="str">
        <f t="shared" si="234"/>
        <v>Ok</v>
      </c>
      <c r="AE1210" t="str">
        <f>IF(AND(Audit_Data[[#This Row],[Year_Birth]]&gt;=1900,Audit_Data[[#This Row],[Year_Birth]]&lt;=2010),"OK","Invalid")</f>
        <v>OK</v>
      </c>
      <c r="AF1210" t="str">
        <f t="shared" si="235"/>
        <v>Valid</v>
      </c>
      <c r="AG1210" t="str">
        <f t="shared" si="236"/>
        <v>Valid</v>
      </c>
      <c r="AH1210" t="str">
        <f t="shared" si="237"/>
        <v>Valid</v>
      </c>
      <c r="AI1210" t="str">
        <f t="shared" si="238"/>
        <v>Valid</v>
      </c>
      <c r="AJ1210" t="str">
        <f t="shared" si="239"/>
        <v>Valid</v>
      </c>
      <c r="AK1210" t="str">
        <f t="shared" si="246"/>
        <v xml:space="preserve">Valid </v>
      </c>
      <c r="AL1210" t="str">
        <f>IF(AND(Audit_Data[[#This Row],[Recency]]&gt;=0,Audit_Data[[#This Row],[Recency]]&lt;=100),"Valid","Invalid")</f>
        <v>Valid</v>
      </c>
      <c r="AM1210" t="str">
        <f t="shared" si="240"/>
        <v>Valid</v>
      </c>
      <c r="AN1210" t="str">
        <f t="shared" si="241"/>
        <v>Valid</v>
      </c>
      <c r="AO1210" t="str">
        <f t="shared" si="242"/>
        <v>Valid</v>
      </c>
      <c r="AP1210" t="str">
        <f t="shared" si="243"/>
        <v>Valid</v>
      </c>
      <c r="AQ1210" t="str">
        <f>IF(Audit_Data[[#This Row],[Z_CostContact]]=3,"Valid","Invalid")</f>
        <v>Valid</v>
      </c>
      <c r="AR1210" t="str">
        <f t="shared" si="244"/>
        <v>Valid</v>
      </c>
      <c r="AS1210" t="str">
        <f t="shared" si="245"/>
        <v>Valid</v>
      </c>
    </row>
    <row r="1211" spans="1:45" x14ac:dyDescent="0.3">
      <c r="A1211">
        <v>945</v>
      </c>
      <c r="B1211">
        <v>1965</v>
      </c>
      <c r="C1211" t="s">
        <v>29</v>
      </c>
      <c r="D1211" t="s">
        <v>31</v>
      </c>
      <c r="E1211">
        <v>36317</v>
      </c>
      <c r="F1211">
        <v>0</v>
      </c>
      <c r="G1211">
        <v>1</v>
      </c>
      <c r="H1211" s="1">
        <v>41416</v>
      </c>
      <c r="I1211">
        <v>53</v>
      </c>
      <c r="J1211">
        <v>87</v>
      </c>
      <c r="K1211">
        <v>3</v>
      </c>
      <c r="L1211">
        <v>25</v>
      </c>
      <c r="M1211">
        <v>3</v>
      </c>
      <c r="N1211">
        <v>2</v>
      </c>
      <c r="O1211">
        <v>13</v>
      </c>
      <c r="P1211">
        <v>2</v>
      </c>
      <c r="Q1211">
        <v>3</v>
      </c>
      <c r="R1211">
        <v>0</v>
      </c>
      <c r="S1211">
        <v>4</v>
      </c>
      <c r="T1211">
        <v>7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3</v>
      </c>
      <c r="AB1211">
        <v>11</v>
      </c>
      <c r="AC1211">
        <v>0</v>
      </c>
      <c r="AD1211" t="str">
        <f t="shared" si="234"/>
        <v>Ok</v>
      </c>
      <c r="AE1211" t="str">
        <f>IF(AND(Audit_Data[[#This Row],[Year_Birth]]&gt;=1900,Audit_Data[[#This Row],[Year_Birth]]&lt;=2010),"OK","Invalid")</f>
        <v>OK</v>
      </c>
      <c r="AF1211" t="str">
        <f t="shared" si="235"/>
        <v>Valid</v>
      </c>
      <c r="AG1211" t="str">
        <f t="shared" si="236"/>
        <v>Valid</v>
      </c>
      <c r="AH1211" t="str">
        <f t="shared" si="237"/>
        <v>Valid</v>
      </c>
      <c r="AI1211" t="str">
        <f t="shared" si="238"/>
        <v>Valid</v>
      </c>
      <c r="AJ1211" t="str">
        <f t="shared" si="239"/>
        <v>Valid</v>
      </c>
      <c r="AK1211" t="str">
        <f t="shared" si="246"/>
        <v xml:space="preserve">Valid </v>
      </c>
      <c r="AL1211" t="str">
        <f>IF(AND(Audit_Data[[#This Row],[Recency]]&gt;=0,Audit_Data[[#This Row],[Recency]]&lt;=100),"Valid","Invalid")</f>
        <v>Valid</v>
      </c>
      <c r="AM1211" t="str">
        <f t="shared" si="240"/>
        <v>Valid</v>
      </c>
      <c r="AN1211" t="str">
        <f t="shared" si="241"/>
        <v>Valid</v>
      </c>
      <c r="AO1211" t="str">
        <f t="shared" si="242"/>
        <v>Valid</v>
      </c>
      <c r="AP1211" t="str">
        <f t="shared" si="243"/>
        <v>Valid</v>
      </c>
      <c r="AQ1211" t="str">
        <f>IF(Audit_Data[[#This Row],[Z_CostContact]]=3,"Valid","Invalid")</f>
        <v>Valid</v>
      </c>
      <c r="AR1211" t="str">
        <f t="shared" si="244"/>
        <v>Valid</v>
      </c>
      <c r="AS1211" t="str">
        <f t="shared" si="245"/>
        <v>Valid</v>
      </c>
    </row>
    <row r="1212" spans="1:45" x14ac:dyDescent="0.3">
      <c r="A1212">
        <v>5644</v>
      </c>
      <c r="B1212">
        <v>1957</v>
      </c>
      <c r="C1212" t="s">
        <v>29</v>
      </c>
      <c r="D1212" t="s">
        <v>31</v>
      </c>
      <c r="E1212">
        <v>42213</v>
      </c>
      <c r="F1212">
        <v>0</v>
      </c>
      <c r="G1212">
        <v>1</v>
      </c>
      <c r="H1212" s="1">
        <v>41559</v>
      </c>
      <c r="I1212">
        <v>96</v>
      </c>
      <c r="J1212">
        <v>309</v>
      </c>
      <c r="K1212">
        <v>3</v>
      </c>
      <c r="L1212">
        <v>24</v>
      </c>
      <c r="M1212">
        <v>4</v>
      </c>
      <c r="N1212">
        <v>3</v>
      </c>
      <c r="O1212">
        <v>20</v>
      </c>
      <c r="P1212">
        <v>2</v>
      </c>
      <c r="Q1212">
        <v>5</v>
      </c>
      <c r="R1212">
        <v>1</v>
      </c>
      <c r="S1212">
        <v>7</v>
      </c>
      <c r="T1212">
        <v>7</v>
      </c>
      <c r="U1212">
        <v>0</v>
      </c>
      <c r="V1212">
        <v>1</v>
      </c>
      <c r="W1212">
        <v>0</v>
      </c>
      <c r="X1212">
        <v>0</v>
      </c>
      <c r="Y1212">
        <v>0</v>
      </c>
      <c r="Z1212">
        <v>0</v>
      </c>
      <c r="AA1212">
        <v>3</v>
      </c>
      <c r="AB1212">
        <v>11</v>
      </c>
      <c r="AC1212">
        <v>0</v>
      </c>
      <c r="AD1212" t="str">
        <f t="shared" si="234"/>
        <v>Ok</v>
      </c>
      <c r="AE1212" t="str">
        <f>IF(AND(Audit_Data[[#This Row],[Year_Birth]]&gt;=1900,Audit_Data[[#This Row],[Year_Birth]]&lt;=2010),"OK","Invalid")</f>
        <v>OK</v>
      </c>
      <c r="AF1212" t="str">
        <f t="shared" si="235"/>
        <v>Valid</v>
      </c>
      <c r="AG1212" t="str">
        <f t="shared" si="236"/>
        <v>Valid</v>
      </c>
      <c r="AH1212" t="str">
        <f t="shared" si="237"/>
        <v>Valid</v>
      </c>
      <c r="AI1212" t="str">
        <f t="shared" si="238"/>
        <v>Valid</v>
      </c>
      <c r="AJ1212" t="str">
        <f t="shared" si="239"/>
        <v>Valid</v>
      </c>
      <c r="AK1212" t="str">
        <f t="shared" si="246"/>
        <v xml:space="preserve">Valid </v>
      </c>
      <c r="AL1212" t="str">
        <f>IF(AND(Audit_Data[[#This Row],[Recency]]&gt;=0,Audit_Data[[#This Row],[Recency]]&lt;=100),"Valid","Invalid")</f>
        <v>Valid</v>
      </c>
      <c r="AM1212" t="str">
        <f t="shared" si="240"/>
        <v>Valid</v>
      </c>
      <c r="AN1212" t="str">
        <f t="shared" si="241"/>
        <v>Valid</v>
      </c>
      <c r="AO1212" t="str">
        <f t="shared" si="242"/>
        <v>Valid</v>
      </c>
      <c r="AP1212" t="str">
        <f t="shared" si="243"/>
        <v>Valid</v>
      </c>
      <c r="AQ1212" t="str">
        <f>IF(Audit_Data[[#This Row],[Z_CostContact]]=3,"Valid","Invalid")</f>
        <v>Valid</v>
      </c>
      <c r="AR1212" t="str">
        <f t="shared" si="244"/>
        <v>Valid</v>
      </c>
      <c r="AS1212" t="str">
        <f t="shared" si="245"/>
        <v>Valid</v>
      </c>
    </row>
    <row r="1213" spans="1:45" x14ac:dyDescent="0.3">
      <c r="A1213">
        <v>7192</v>
      </c>
      <c r="B1213">
        <v>1955</v>
      </c>
      <c r="C1213" t="s">
        <v>29</v>
      </c>
      <c r="D1213" t="s">
        <v>31</v>
      </c>
      <c r="E1213">
        <v>65748</v>
      </c>
      <c r="F1213">
        <v>0</v>
      </c>
      <c r="G1213">
        <v>1</v>
      </c>
      <c r="H1213" s="1">
        <v>41379</v>
      </c>
      <c r="I1213">
        <v>58</v>
      </c>
      <c r="J1213">
        <v>172</v>
      </c>
      <c r="K1213">
        <v>73</v>
      </c>
      <c r="L1213">
        <v>93</v>
      </c>
      <c r="M1213">
        <v>95</v>
      </c>
      <c r="N1213">
        <v>78</v>
      </c>
      <c r="O1213">
        <v>34</v>
      </c>
      <c r="P1213">
        <v>2</v>
      </c>
      <c r="Q1213">
        <v>2</v>
      </c>
      <c r="R1213">
        <v>4</v>
      </c>
      <c r="S1213">
        <v>10</v>
      </c>
      <c r="T1213">
        <v>1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>
        <v>3</v>
      </c>
      <c r="AB1213">
        <v>11</v>
      </c>
      <c r="AC1213">
        <v>0</v>
      </c>
      <c r="AD1213" t="str">
        <f t="shared" si="234"/>
        <v>Ok</v>
      </c>
      <c r="AE1213" t="str">
        <f>IF(AND(Audit_Data[[#This Row],[Year_Birth]]&gt;=1900,Audit_Data[[#This Row],[Year_Birth]]&lt;=2010),"OK","Invalid")</f>
        <v>OK</v>
      </c>
      <c r="AF1213" t="str">
        <f t="shared" si="235"/>
        <v>Valid</v>
      </c>
      <c r="AG1213" t="str">
        <f t="shared" si="236"/>
        <v>Valid</v>
      </c>
      <c r="AH1213" t="str">
        <f t="shared" si="237"/>
        <v>Valid</v>
      </c>
      <c r="AI1213" t="str">
        <f t="shared" si="238"/>
        <v>Valid</v>
      </c>
      <c r="AJ1213" t="str">
        <f t="shared" si="239"/>
        <v>Valid</v>
      </c>
      <c r="AK1213" t="str">
        <f t="shared" si="246"/>
        <v xml:space="preserve">Valid </v>
      </c>
      <c r="AL1213" t="str">
        <f>IF(AND(Audit_Data[[#This Row],[Recency]]&gt;=0,Audit_Data[[#This Row],[Recency]]&lt;=100),"Valid","Invalid")</f>
        <v>Valid</v>
      </c>
      <c r="AM1213" t="str">
        <f t="shared" si="240"/>
        <v>Valid</v>
      </c>
      <c r="AN1213" t="str">
        <f t="shared" si="241"/>
        <v>Valid</v>
      </c>
      <c r="AO1213" t="str">
        <f t="shared" si="242"/>
        <v>Valid</v>
      </c>
      <c r="AP1213" t="str">
        <f t="shared" si="243"/>
        <v>Valid</v>
      </c>
      <c r="AQ1213" t="str">
        <f>IF(Audit_Data[[#This Row],[Z_CostContact]]=3,"Valid","Invalid")</f>
        <v>Valid</v>
      </c>
      <c r="AR1213" t="str">
        <f t="shared" si="244"/>
        <v>Valid</v>
      </c>
      <c r="AS1213" t="str">
        <f t="shared" si="245"/>
        <v>Valid</v>
      </c>
    </row>
    <row r="1214" spans="1:45" x14ac:dyDescent="0.3">
      <c r="A1214">
        <v>2324</v>
      </c>
      <c r="B1214">
        <v>1972</v>
      </c>
      <c r="C1214" t="s">
        <v>29</v>
      </c>
      <c r="D1214" t="s">
        <v>31</v>
      </c>
      <c r="E1214">
        <v>77044</v>
      </c>
      <c r="F1214">
        <v>0</v>
      </c>
      <c r="G1214">
        <v>1</v>
      </c>
      <c r="H1214" s="1">
        <v>41574</v>
      </c>
      <c r="I1214">
        <v>12</v>
      </c>
      <c r="J1214">
        <v>625</v>
      </c>
      <c r="K1214">
        <v>38</v>
      </c>
      <c r="L1214">
        <v>242</v>
      </c>
      <c r="M1214">
        <v>50</v>
      </c>
      <c r="N1214">
        <v>34</v>
      </c>
      <c r="O1214">
        <v>76</v>
      </c>
      <c r="P1214">
        <v>2</v>
      </c>
      <c r="Q1214">
        <v>7</v>
      </c>
      <c r="R1214">
        <v>11</v>
      </c>
      <c r="S1214">
        <v>11</v>
      </c>
      <c r="T1214">
        <v>4</v>
      </c>
      <c r="U1214">
        <v>1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3</v>
      </c>
      <c r="AB1214">
        <v>11</v>
      </c>
      <c r="AC1214">
        <v>0</v>
      </c>
      <c r="AD1214" t="str">
        <f t="shared" si="234"/>
        <v>Ok</v>
      </c>
      <c r="AE1214" t="str">
        <f>IF(AND(Audit_Data[[#This Row],[Year_Birth]]&gt;=1900,Audit_Data[[#This Row],[Year_Birth]]&lt;=2010),"OK","Invalid")</f>
        <v>OK</v>
      </c>
      <c r="AF1214" t="str">
        <f t="shared" si="235"/>
        <v>Valid</v>
      </c>
      <c r="AG1214" t="str">
        <f t="shared" si="236"/>
        <v>Valid</v>
      </c>
      <c r="AH1214" t="str">
        <f t="shared" si="237"/>
        <v>Valid</v>
      </c>
      <c r="AI1214" t="str">
        <f t="shared" si="238"/>
        <v>Valid</v>
      </c>
      <c r="AJ1214" t="str">
        <f t="shared" si="239"/>
        <v>Valid</v>
      </c>
      <c r="AK1214" t="str">
        <f t="shared" si="246"/>
        <v xml:space="preserve">Valid </v>
      </c>
      <c r="AL1214" t="str">
        <f>IF(AND(Audit_Data[[#This Row],[Recency]]&gt;=0,Audit_Data[[#This Row],[Recency]]&lt;=100),"Valid","Invalid")</f>
        <v>Valid</v>
      </c>
      <c r="AM1214" t="str">
        <f t="shared" si="240"/>
        <v>Valid</v>
      </c>
      <c r="AN1214" t="str">
        <f t="shared" si="241"/>
        <v>Valid</v>
      </c>
      <c r="AO1214" t="str">
        <f t="shared" si="242"/>
        <v>Valid</v>
      </c>
      <c r="AP1214" t="str">
        <f t="shared" si="243"/>
        <v>Valid</v>
      </c>
      <c r="AQ1214" t="str">
        <f>IF(Audit_Data[[#This Row],[Z_CostContact]]=3,"Valid","Invalid")</f>
        <v>Valid</v>
      </c>
      <c r="AR1214" t="str">
        <f t="shared" si="244"/>
        <v>Valid</v>
      </c>
      <c r="AS1214" t="str">
        <f t="shared" si="245"/>
        <v>Valid</v>
      </c>
    </row>
    <row r="1215" spans="1:45" x14ac:dyDescent="0.3">
      <c r="A1215">
        <v>697</v>
      </c>
      <c r="B1215">
        <v>1969</v>
      </c>
      <c r="C1215" t="s">
        <v>29</v>
      </c>
      <c r="D1215" t="s">
        <v>31</v>
      </c>
      <c r="E1215">
        <v>74918</v>
      </c>
      <c r="F1215">
        <v>0</v>
      </c>
      <c r="G1215">
        <v>0</v>
      </c>
      <c r="H1215" s="1">
        <v>41345</v>
      </c>
      <c r="I1215">
        <v>78</v>
      </c>
      <c r="J1215">
        <v>972</v>
      </c>
      <c r="K1215">
        <v>59</v>
      </c>
      <c r="L1215">
        <v>913</v>
      </c>
      <c r="M1215">
        <v>25</v>
      </c>
      <c r="N1215">
        <v>19</v>
      </c>
      <c r="O1215">
        <v>59</v>
      </c>
      <c r="P1215">
        <v>1</v>
      </c>
      <c r="Q1215">
        <v>5</v>
      </c>
      <c r="R1215">
        <v>9</v>
      </c>
      <c r="S1215">
        <v>6</v>
      </c>
      <c r="T1215">
        <v>3</v>
      </c>
      <c r="U1215">
        <v>0</v>
      </c>
      <c r="V1215">
        <v>0</v>
      </c>
      <c r="W1215">
        <v>1</v>
      </c>
      <c r="X1215">
        <v>0</v>
      </c>
      <c r="Y1215">
        <v>0</v>
      </c>
      <c r="Z1215">
        <v>0</v>
      </c>
      <c r="AA1215">
        <v>3</v>
      </c>
      <c r="AB1215">
        <v>11</v>
      </c>
      <c r="AC1215">
        <v>0</v>
      </c>
      <c r="AD1215" t="str">
        <f t="shared" si="234"/>
        <v>Ok</v>
      </c>
      <c r="AE1215" t="str">
        <f>IF(AND(Audit_Data[[#This Row],[Year_Birth]]&gt;=1900,Audit_Data[[#This Row],[Year_Birth]]&lt;=2010),"OK","Invalid")</f>
        <v>OK</v>
      </c>
      <c r="AF1215" t="str">
        <f t="shared" si="235"/>
        <v>Valid</v>
      </c>
      <c r="AG1215" t="str">
        <f t="shared" si="236"/>
        <v>Valid</v>
      </c>
      <c r="AH1215" t="str">
        <f t="shared" si="237"/>
        <v>Valid</v>
      </c>
      <c r="AI1215" t="str">
        <f t="shared" si="238"/>
        <v>Valid</v>
      </c>
      <c r="AJ1215" t="str">
        <f t="shared" si="239"/>
        <v>Valid</v>
      </c>
      <c r="AK1215" t="str">
        <f t="shared" si="246"/>
        <v xml:space="preserve">Valid </v>
      </c>
      <c r="AL1215" t="str">
        <f>IF(AND(Audit_Data[[#This Row],[Recency]]&gt;=0,Audit_Data[[#This Row],[Recency]]&lt;=100),"Valid","Invalid")</f>
        <v>Valid</v>
      </c>
      <c r="AM1215" t="str">
        <f t="shared" si="240"/>
        <v>Valid</v>
      </c>
      <c r="AN1215" t="str">
        <f t="shared" si="241"/>
        <v>Valid</v>
      </c>
      <c r="AO1215" t="str">
        <f t="shared" si="242"/>
        <v>Valid</v>
      </c>
      <c r="AP1215" t="str">
        <f t="shared" si="243"/>
        <v>Valid</v>
      </c>
      <c r="AQ1215" t="str">
        <f>IF(Audit_Data[[#This Row],[Z_CostContact]]=3,"Valid","Invalid")</f>
        <v>Valid</v>
      </c>
      <c r="AR1215" t="str">
        <f t="shared" si="244"/>
        <v>Valid</v>
      </c>
      <c r="AS1215" t="str">
        <f t="shared" si="245"/>
        <v>Valid</v>
      </c>
    </row>
    <row r="1216" spans="1:45" x14ac:dyDescent="0.3">
      <c r="A1216">
        <v>3439</v>
      </c>
      <c r="B1216">
        <v>1972</v>
      </c>
      <c r="C1216" t="s">
        <v>29</v>
      </c>
      <c r="D1216" t="s">
        <v>33</v>
      </c>
      <c r="E1216">
        <v>56721</v>
      </c>
      <c r="F1216">
        <v>1</v>
      </c>
      <c r="G1216">
        <v>1</v>
      </c>
      <c r="H1216" s="1">
        <v>41213</v>
      </c>
      <c r="I1216">
        <v>64</v>
      </c>
      <c r="J1216">
        <v>157</v>
      </c>
      <c r="K1216">
        <v>6</v>
      </c>
      <c r="L1216">
        <v>39</v>
      </c>
      <c r="M1216">
        <v>6</v>
      </c>
      <c r="N1216">
        <v>13</v>
      </c>
      <c r="O1216">
        <v>75</v>
      </c>
      <c r="P1216">
        <v>5</v>
      </c>
      <c r="Q1216">
        <v>4</v>
      </c>
      <c r="R1216">
        <v>1</v>
      </c>
      <c r="S1216">
        <v>5</v>
      </c>
      <c r="T1216">
        <v>6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3</v>
      </c>
      <c r="AB1216">
        <v>11</v>
      </c>
      <c r="AC1216">
        <v>0</v>
      </c>
      <c r="AD1216" t="str">
        <f t="shared" si="234"/>
        <v>Ok</v>
      </c>
      <c r="AE1216" t="str">
        <f>IF(AND(Audit_Data[[#This Row],[Year_Birth]]&gt;=1900,Audit_Data[[#This Row],[Year_Birth]]&lt;=2010),"OK","Invalid")</f>
        <v>OK</v>
      </c>
      <c r="AF1216" t="str">
        <f t="shared" si="235"/>
        <v>Valid</v>
      </c>
      <c r="AG1216" t="str">
        <f t="shared" si="236"/>
        <v>Valid</v>
      </c>
      <c r="AH1216" t="str">
        <f t="shared" si="237"/>
        <v>Valid</v>
      </c>
      <c r="AI1216" t="str">
        <f t="shared" si="238"/>
        <v>Valid</v>
      </c>
      <c r="AJ1216" t="str">
        <f t="shared" si="239"/>
        <v>Valid</v>
      </c>
      <c r="AK1216" t="str">
        <f t="shared" si="246"/>
        <v xml:space="preserve">Valid </v>
      </c>
      <c r="AL1216" t="str">
        <f>IF(AND(Audit_Data[[#This Row],[Recency]]&gt;=0,Audit_Data[[#This Row],[Recency]]&lt;=100),"Valid","Invalid")</f>
        <v>Valid</v>
      </c>
      <c r="AM1216" t="str">
        <f t="shared" si="240"/>
        <v>Valid</v>
      </c>
      <c r="AN1216" t="str">
        <f t="shared" si="241"/>
        <v>Valid</v>
      </c>
      <c r="AO1216" t="str">
        <f t="shared" si="242"/>
        <v>Valid</v>
      </c>
      <c r="AP1216" t="str">
        <f t="shared" si="243"/>
        <v>Valid</v>
      </c>
      <c r="AQ1216" t="str">
        <f>IF(Audit_Data[[#This Row],[Z_CostContact]]=3,"Valid","Invalid")</f>
        <v>Valid</v>
      </c>
      <c r="AR1216" t="str">
        <f t="shared" si="244"/>
        <v>Valid</v>
      </c>
      <c r="AS1216" t="str">
        <f t="shared" si="245"/>
        <v>Valid</v>
      </c>
    </row>
    <row r="1217" spans="1:45" x14ac:dyDescent="0.3">
      <c r="A1217">
        <v>1506</v>
      </c>
      <c r="B1217">
        <v>1975</v>
      </c>
      <c r="C1217" t="s">
        <v>29</v>
      </c>
      <c r="D1217" t="s">
        <v>30</v>
      </c>
      <c r="E1217">
        <v>42160</v>
      </c>
      <c r="F1217">
        <v>1</v>
      </c>
      <c r="G1217">
        <v>1</v>
      </c>
      <c r="H1217" s="1">
        <v>41453</v>
      </c>
      <c r="I1217">
        <v>26</v>
      </c>
      <c r="J1217">
        <v>48</v>
      </c>
      <c r="K1217">
        <v>9</v>
      </c>
      <c r="L1217">
        <v>45</v>
      </c>
      <c r="M1217">
        <v>3</v>
      </c>
      <c r="N1217">
        <v>15</v>
      </c>
      <c r="O1217">
        <v>20</v>
      </c>
      <c r="P1217">
        <v>4</v>
      </c>
      <c r="Q1217">
        <v>2</v>
      </c>
      <c r="R1217">
        <v>1</v>
      </c>
      <c r="S1217">
        <v>4</v>
      </c>
      <c r="T1217">
        <v>6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3</v>
      </c>
      <c r="AB1217">
        <v>11</v>
      </c>
      <c r="AC1217">
        <v>1</v>
      </c>
      <c r="AD1217" t="str">
        <f t="shared" si="234"/>
        <v>Ok</v>
      </c>
      <c r="AE1217" t="str">
        <f>IF(AND(Audit_Data[[#This Row],[Year_Birth]]&gt;=1900,Audit_Data[[#This Row],[Year_Birth]]&lt;=2010),"OK","Invalid")</f>
        <v>OK</v>
      </c>
      <c r="AF1217" t="str">
        <f t="shared" si="235"/>
        <v>Valid</v>
      </c>
      <c r="AG1217" t="str">
        <f t="shared" si="236"/>
        <v>Valid</v>
      </c>
      <c r="AH1217" t="str">
        <f t="shared" si="237"/>
        <v>Valid</v>
      </c>
      <c r="AI1217" t="str">
        <f t="shared" si="238"/>
        <v>Valid</v>
      </c>
      <c r="AJ1217" t="str">
        <f t="shared" si="239"/>
        <v>Valid</v>
      </c>
      <c r="AK1217" t="str">
        <f t="shared" si="246"/>
        <v xml:space="preserve">Valid </v>
      </c>
      <c r="AL1217" t="str">
        <f>IF(AND(Audit_Data[[#This Row],[Recency]]&gt;=0,Audit_Data[[#This Row],[Recency]]&lt;=100),"Valid","Invalid")</f>
        <v>Valid</v>
      </c>
      <c r="AM1217" t="str">
        <f t="shared" si="240"/>
        <v>Valid</v>
      </c>
      <c r="AN1217" t="str">
        <f t="shared" si="241"/>
        <v>Valid</v>
      </c>
      <c r="AO1217" t="str">
        <f t="shared" si="242"/>
        <v>Valid</v>
      </c>
      <c r="AP1217" t="str">
        <f t="shared" si="243"/>
        <v>Valid</v>
      </c>
      <c r="AQ1217" t="str">
        <f>IF(Audit_Data[[#This Row],[Z_CostContact]]=3,"Valid","Invalid")</f>
        <v>Valid</v>
      </c>
      <c r="AR1217" t="str">
        <f t="shared" si="244"/>
        <v>Valid</v>
      </c>
      <c r="AS1217" t="str">
        <f t="shared" si="245"/>
        <v>Valid</v>
      </c>
    </row>
    <row r="1218" spans="1:45" x14ac:dyDescent="0.3">
      <c r="A1218">
        <v>232</v>
      </c>
      <c r="B1218">
        <v>1965</v>
      </c>
      <c r="C1218" t="s">
        <v>29</v>
      </c>
      <c r="D1218" t="s">
        <v>30</v>
      </c>
      <c r="E1218">
        <v>61559</v>
      </c>
      <c r="F1218">
        <v>0</v>
      </c>
      <c r="G1218">
        <v>1</v>
      </c>
      <c r="H1218" s="1">
        <v>41472</v>
      </c>
      <c r="I1218">
        <v>8</v>
      </c>
      <c r="J1218">
        <v>279</v>
      </c>
      <c r="K1218">
        <v>83</v>
      </c>
      <c r="L1218">
        <v>88</v>
      </c>
      <c r="M1218">
        <v>32</v>
      </c>
      <c r="N1218">
        <v>14</v>
      </c>
      <c r="O1218">
        <v>34</v>
      </c>
      <c r="P1218">
        <v>1</v>
      </c>
      <c r="Q1218">
        <v>4</v>
      </c>
      <c r="R1218">
        <v>2</v>
      </c>
      <c r="S1218">
        <v>10</v>
      </c>
      <c r="T1218">
        <v>3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3</v>
      </c>
      <c r="AB1218">
        <v>11</v>
      </c>
      <c r="AC1218">
        <v>0</v>
      </c>
      <c r="AD1218" t="str">
        <f t="shared" ref="AD1218:AD1281" si="247">IF(COUNTIF(A:A,A1218)&gt;1,"Duplicate","Ok")</f>
        <v>Ok</v>
      </c>
      <c r="AE1218" t="str">
        <f>IF(AND(Audit_Data[[#This Row],[Year_Birth]]&gt;=1900,Audit_Data[[#This Row],[Year_Birth]]&lt;=2010),"OK","Invalid")</f>
        <v>OK</v>
      </c>
      <c r="AF1218" t="str">
        <f t="shared" ref="AF1218:AF1281" si="248">IF(OR(C1218="Graduation",C1218="phD",C1218="Master",C1218="Basic",C1218="2n Cycle"),"Valid","Invalid")</f>
        <v>Valid</v>
      </c>
      <c r="AG1218" t="str">
        <f t="shared" ref="AG1218:AG1281" si="249">IF(OR(D1218="Single",D1218="Married",D1218="Divorced",D1218="Together",D1218="Widow",D1218="Alone"),"Valid","Invalid")</f>
        <v>Valid</v>
      </c>
      <c r="AH1218" t="str">
        <f t="shared" ref="AH1218:AH1281" si="250">IF(AND(ISNUMBER(E1218),E1218&lt;&gt;""),"Valid","Invalid")</f>
        <v>Valid</v>
      </c>
      <c r="AI1218" t="str">
        <f t="shared" ref="AI1218:AI1281" si="251">IF(AND(F1218&gt;=0,F1218&lt;=2),"Valid","Invalid")</f>
        <v>Valid</v>
      </c>
      <c r="AJ1218" t="str">
        <f t="shared" ref="AJ1218:AJ1281" si="252">IF(AND(G1218&gt;=0,G1218&lt;=2),"Valid","Invalid")</f>
        <v>Valid</v>
      </c>
      <c r="AK1218" t="str">
        <f t="shared" si="246"/>
        <v xml:space="preserve">Valid </v>
      </c>
      <c r="AL1218" t="str">
        <f>IF(AND(Audit_Data[[#This Row],[Recency]]&gt;=0,Audit_Data[[#This Row],[Recency]]&lt;=100),"Valid","Invalid")</f>
        <v>Valid</v>
      </c>
      <c r="AM1218" t="str">
        <f t="shared" ref="AM1218:AM1281" si="253">IF(AND(ISNUMBER(J1218),J1218&gt;=0,ISNUMBER(K1218),K1218&gt;=0,ISNUMBER(L1218),L1218&gt;=0,ISNUMBER(M1218),M1218&gt;=0,ISNUMBER(N1218),N1218&gt;=0,ISNUMBER(O1218),O1218&gt;=0),"Valid","Invalid")</f>
        <v>Valid</v>
      </c>
      <c r="AN1218" t="str">
        <f t="shared" ref="AN1218:AN1281" si="254">IF(AND(ISNUMBER(P1218),P1218&gt;=0,ISNUMBER(Q1218),Q1218&gt;=0,ISNUMBER(R1218),R1218&gt;=0,ISNUMBER(S1218),S1218&gt;=0,ISNUMBER(T1218),T1218&gt;=0),"Valid","Invalid")</f>
        <v>Valid</v>
      </c>
      <c r="AO1218" t="str">
        <f t="shared" ref="AO1218:AO1281" si="255">IF(AND(U1218&lt;=1,V1218&lt;=1,W1218&lt;=1,X1218&lt;=1,Y1218&lt;=1),"Valid","Invalid")</f>
        <v>Valid</v>
      </c>
      <c r="AP1218" t="str">
        <f t="shared" ref="AP1218:AP1281" si="256">IF(OR(Z1218=0,Z1218=1),"Valid","Invalid")</f>
        <v>Valid</v>
      </c>
      <c r="AQ1218" t="str">
        <f>IF(Audit_Data[[#This Row],[Z_CostContact]]=3,"Valid","Invalid")</f>
        <v>Valid</v>
      </c>
      <c r="AR1218" t="str">
        <f t="shared" ref="AR1218:AR1281" si="257">IF(AB1218=11,"Valid","Invalid")</f>
        <v>Valid</v>
      </c>
      <c r="AS1218" t="str">
        <f t="shared" ref="AS1218:AS1281" si="258">IF(OR(AC1218=0,AC1218=1),"Valid","Invalid")</f>
        <v>Valid</v>
      </c>
    </row>
    <row r="1219" spans="1:45" x14ac:dyDescent="0.3">
      <c r="A1219">
        <v>8876</v>
      </c>
      <c r="B1219">
        <v>1963</v>
      </c>
      <c r="C1219" t="s">
        <v>32</v>
      </c>
      <c r="D1219" t="s">
        <v>31</v>
      </c>
      <c r="E1219">
        <v>33629</v>
      </c>
      <c r="F1219">
        <v>1</v>
      </c>
      <c r="G1219">
        <v>1</v>
      </c>
      <c r="H1219" s="1">
        <v>41129</v>
      </c>
      <c r="I1219">
        <v>49</v>
      </c>
      <c r="J1219">
        <v>132</v>
      </c>
      <c r="K1219">
        <v>0</v>
      </c>
      <c r="L1219">
        <v>16</v>
      </c>
      <c r="M1219">
        <v>0</v>
      </c>
      <c r="N1219">
        <v>0</v>
      </c>
      <c r="O1219">
        <v>4</v>
      </c>
      <c r="P1219">
        <v>5</v>
      </c>
      <c r="Q1219">
        <v>3</v>
      </c>
      <c r="R1219">
        <v>1</v>
      </c>
      <c r="S1219">
        <v>4</v>
      </c>
      <c r="T1219">
        <v>9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3</v>
      </c>
      <c r="AB1219">
        <v>11</v>
      </c>
      <c r="AC1219">
        <v>0</v>
      </c>
      <c r="AD1219" t="str">
        <f t="shared" si="247"/>
        <v>Ok</v>
      </c>
      <c r="AE1219" t="str">
        <f>IF(AND(Audit_Data[[#This Row],[Year_Birth]]&gt;=1900,Audit_Data[[#This Row],[Year_Birth]]&lt;=2010),"OK","Invalid")</f>
        <v>OK</v>
      </c>
      <c r="AF1219" t="str">
        <f t="shared" si="248"/>
        <v>Valid</v>
      </c>
      <c r="AG1219" t="str">
        <f t="shared" si="249"/>
        <v>Valid</v>
      </c>
      <c r="AH1219" t="str">
        <f t="shared" si="250"/>
        <v>Valid</v>
      </c>
      <c r="AI1219" t="str">
        <f t="shared" si="251"/>
        <v>Valid</v>
      </c>
      <c r="AJ1219" t="str">
        <f t="shared" si="252"/>
        <v>Valid</v>
      </c>
      <c r="AK1219" t="str">
        <f t="shared" ref="AK1219:AK1282" si="259">IF(AND(ISNUMBER(H1219),H1219&gt;=DATE(2012,1,1),H1219&lt;=DATE(2014,12,31)),"Valid ","Invalid")</f>
        <v xml:space="preserve">Valid </v>
      </c>
      <c r="AL1219" t="str">
        <f>IF(AND(Audit_Data[[#This Row],[Recency]]&gt;=0,Audit_Data[[#This Row],[Recency]]&lt;=100),"Valid","Invalid")</f>
        <v>Valid</v>
      </c>
      <c r="AM1219" t="str">
        <f t="shared" si="253"/>
        <v>Valid</v>
      </c>
      <c r="AN1219" t="str">
        <f t="shared" si="254"/>
        <v>Valid</v>
      </c>
      <c r="AO1219" t="str">
        <f t="shared" si="255"/>
        <v>Valid</v>
      </c>
      <c r="AP1219" t="str">
        <f t="shared" si="256"/>
        <v>Valid</v>
      </c>
      <c r="AQ1219" t="str">
        <f>IF(Audit_Data[[#This Row],[Z_CostContact]]=3,"Valid","Invalid")</f>
        <v>Valid</v>
      </c>
      <c r="AR1219" t="str">
        <f t="shared" si="257"/>
        <v>Valid</v>
      </c>
      <c r="AS1219" t="str">
        <f t="shared" si="258"/>
        <v>Valid</v>
      </c>
    </row>
    <row r="1220" spans="1:45" x14ac:dyDescent="0.3">
      <c r="A1220">
        <v>4500</v>
      </c>
      <c r="B1220">
        <v>1991</v>
      </c>
      <c r="C1220" t="s">
        <v>32</v>
      </c>
      <c r="D1220" t="s">
        <v>31</v>
      </c>
      <c r="E1220">
        <v>68682</v>
      </c>
      <c r="F1220">
        <v>0</v>
      </c>
      <c r="G1220">
        <v>0</v>
      </c>
      <c r="H1220" s="1">
        <v>41553</v>
      </c>
      <c r="I1220">
        <v>56</v>
      </c>
      <c r="J1220">
        <v>919</v>
      </c>
      <c r="K1220">
        <v>0</v>
      </c>
      <c r="L1220">
        <v>505</v>
      </c>
      <c r="M1220">
        <v>99</v>
      </c>
      <c r="N1220">
        <v>30</v>
      </c>
      <c r="O1220">
        <v>45</v>
      </c>
      <c r="P1220">
        <v>1</v>
      </c>
      <c r="Q1220">
        <v>4</v>
      </c>
      <c r="R1220">
        <v>9</v>
      </c>
      <c r="S1220">
        <v>10</v>
      </c>
      <c r="T1220">
        <v>2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3</v>
      </c>
      <c r="AB1220">
        <v>11</v>
      </c>
      <c r="AC1220">
        <v>0</v>
      </c>
      <c r="AD1220" t="str">
        <f t="shared" si="247"/>
        <v>Ok</v>
      </c>
      <c r="AE1220" t="str">
        <f>IF(AND(Audit_Data[[#This Row],[Year_Birth]]&gt;=1900,Audit_Data[[#This Row],[Year_Birth]]&lt;=2010),"OK","Invalid")</f>
        <v>OK</v>
      </c>
      <c r="AF1220" t="str">
        <f t="shared" si="248"/>
        <v>Valid</v>
      </c>
      <c r="AG1220" t="str">
        <f t="shared" si="249"/>
        <v>Valid</v>
      </c>
      <c r="AH1220" t="str">
        <f t="shared" si="250"/>
        <v>Valid</v>
      </c>
      <c r="AI1220" t="str">
        <f t="shared" si="251"/>
        <v>Valid</v>
      </c>
      <c r="AJ1220" t="str">
        <f t="shared" si="252"/>
        <v>Valid</v>
      </c>
      <c r="AK1220" t="str">
        <f t="shared" si="259"/>
        <v xml:space="preserve">Valid </v>
      </c>
      <c r="AL1220" t="str">
        <f>IF(AND(Audit_Data[[#This Row],[Recency]]&gt;=0,Audit_Data[[#This Row],[Recency]]&lt;=100),"Valid","Invalid")</f>
        <v>Valid</v>
      </c>
      <c r="AM1220" t="str">
        <f t="shared" si="253"/>
        <v>Valid</v>
      </c>
      <c r="AN1220" t="str">
        <f t="shared" si="254"/>
        <v>Valid</v>
      </c>
      <c r="AO1220" t="str">
        <f t="shared" si="255"/>
        <v>Valid</v>
      </c>
      <c r="AP1220" t="str">
        <f t="shared" si="256"/>
        <v>Valid</v>
      </c>
      <c r="AQ1220" t="str">
        <f>IF(Audit_Data[[#This Row],[Z_CostContact]]=3,"Valid","Invalid")</f>
        <v>Valid</v>
      </c>
      <c r="AR1220" t="str">
        <f t="shared" si="257"/>
        <v>Valid</v>
      </c>
      <c r="AS1220" t="str">
        <f t="shared" si="258"/>
        <v>Valid</v>
      </c>
    </row>
    <row r="1221" spans="1:45" x14ac:dyDescent="0.3">
      <c r="A1221">
        <v>9739</v>
      </c>
      <c r="B1221">
        <v>1963</v>
      </c>
      <c r="C1221" t="s">
        <v>29</v>
      </c>
      <c r="D1221" t="s">
        <v>30</v>
      </c>
      <c r="E1221">
        <v>34377</v>
      </c>
      <c r="F1221">
        <v>0</v>
      </c>
      <c r="G1221">
        <v>1</v>
      </c>
      <c r="H1221" s="1">
        <v>41293</v>
      </c>
      <c r="I1221">
        <v>55</v>
      </c>
      <c r="J1221">
        <v>62</v>
      </c>
      <c r="K1221">
        <v>0</v>
      </c>
      <c r="L1221">
        <v>22</v>
      </c>
      <c r="M1221">
        <v>3</v>
      </c>
      <c r="N1221">
        <v>1</v>
      </c>
      <c r="O1221">
        <v>26</v>
      </c>
      <c r="P1221">
        <v>2</v>
      </c>
      <c r="Q1221">
        <v>2</v>
      </c>
      <c r="R1221">
        <v>2</v>
      </c>
      <c r="S1221">
        <v>2</v>
      </c>
      <c r="T1221">
        <v>7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3</v>
      </c>
      <c r="AB1221">
        <v>11</v>
      </c>
      <c r="AC1221">
        <v>0</v>
      </c>
      <c r="AD1221" t="str">
        <f t="shared" si="247"/>
        <v>Ok</v>
      </c>
      <c r="AE1221" t="str">
        <f>IF(AND(Audit_Data[[#This Row],[Year_Birth]]&gt;=1900,Audit_Data[[#This Row],[Year_Birth]]&lt;=2010),"OK","Invalid")</f>
        <v>OK</v>
      </c>
      <c r="AF1221" t="str">
        <f t="shared" si="248"/>
        <v>Valid</v>
      </c>
      <c r="AG1221" t="str">
        <f t="shared" si="249"/>
        <v>Valid</v>
      </c>
      <c r="AH1221" t="str">
        <f t="shared" si="250"/>
        <v>Valid</v>
      </c>
      <c r="AI1221" t="str">
        <f t="shared" si="251"/>
        <v>Valid</v>
      </c>
      <c r="AJ1221" t="str">
        <f t="shared" si="252"/>
        <v>Valid</v>
      </c>
      <c r="AK1221" t="str">
        <f t="shared" si="259"/>
        <v xml:space="preserve">Valid </v>
      </c>
      <c r="AL1221" t="str">
        <f>IF(AND(Audit_Data[[#This Row],[Recency]]&gt;=0,Audit_Data[[#This Row],[Recency]]&lt;=100),"Valid","Invalid")</f>
        <v>Valid</v>
      </c>
      <c r="AM1221" t="str">
        <f t="shared" si="253"/>
        <v>Valid</v>
      </c>
      <c r="AN1221" t="str">
        <f t="shared" si="254"/>
        <v>Valid</v>
      </c>
      <c r="AO1221" t="str">
        <f t="shared" si="255"/>
        <v>Valid</v>
      </c>
      <c r="AP1221" t="str">
        <f t="shared" si="256"/>
        <v>Valid</v>
      </c>
      <c r="AQ1221" t="str">
        <f>IF(Audit_Data[[#This Row],[Z_CostContact]]=3,"Valid","Invalid")</f>
        <v>Valid</v>
      </c>
      <c r="AR1221" t="str">
        <f t="shared" si="257"/>
        <v>Valid</v>
      </c>
      <c r="AS1221" t="str">
        <f t="shared" si="258"/>
        <v>Valid</v>
      </c>
    </row>
    <row r="1222" spans="1:45" x14ac:dyDescent="0.3">
      <c r="A1222">
        <v>10395</v>
      </c>
      <c r="B1222">
        <v>1986</v>
      </c>
      <c r="C1222" t="s">
        <v>36</v>
      </c>
      <c r="D1222" t="s">
        <v>30</v>
      </c>
      <c r="E1222">
        <v>8940</v>
      </c>
      <c r="F1222">
        <v>1</v>
      </c>
      <c r="G1222">
        <v>0</v>
      </c>
      <c r="H1222" s="1">
        <v>41143</v>
      </c>
      <c r="I1222">
        <v>25</v>
      </c>
      <c r="J1222">
        <v>1</v>
      </c>
      <c r="K1222">
        <v>45</v>
      </c>
      <c r="L1222">
        <v>3</v>
      </c>
      <c r="M1222">
        <v>4</v>
      </c>
      <c r="N1222">
        <v>6</v>
      </c>
      <c r="O1222">
        <v>42</v>
      </c>
      <c r="P1222">
        <v>3</v>
      </c>
      <c r="Q1222">
        <v>3</v>
      </c>
      <c r="R1222">
        <v>1</v>
      </c>
      <c r="S1222">
        <v>3</v>
      </c>
      <c r="T1222">
        <v>8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3</v>
      </c>
      <c r="AB1222">
        <v>11</v>
      </c>
      <c r="AC1222">
        <v>0</v>
      </c>
      <c r="AD1222" t="str">
        <f t="shared" si="247"/>
        <v>Ok</v>
      </c>
      <c r="AE1222" t="str">
        <f>IF(AND(Audit_Data[[#This Row],[Year_Birth]]&gt;=1900,Audit_Data[[#This Row],[Year_Birth]]&lt;=2010),"OK","Invalid")</f>
        <v>OK</v>
      </c>
      <c r="AF1222" t="str">
        <f t="shared" si="248"/>
        <v>Valid</v>
      </c>
      <c r="AG1222" t="str">
        <f t="shared" si="249"/>
        <v>Valid</v>
      </c>
      <c r="AH1222" t="str">
        <f t="shared" si="250"/>
        <v>Valid</v>
      </c>
      <c r="AI1222" t="str">
        <f t="shared" si="251"/>
        <v>Valid</v>
      </c>
      <c r="AJ1222" t="str">
        <f t="shared" si="252"/>
        <v>Valid</v>
      </c>
      <c r="AK1222" t="str">
        <f t="shared" si="259"/>
        <v xml:space="preserve">Valid </v>
      </c>
      <c r="AL1222" t="str">
        <f>IF(AND(Audit_Data[[#This Row],[Recency]]&gt;=0,Audit_Data[[#This Row],[Recency]]&lt;=100),"Valid","Invalid")</f>
        <v>Valid</v>
      </c>
      <c r="AM1222" t="str">
        <f t="shared" si="253"/>
        <v>Valid</v>
      </c>
      <c r="AN1222" t="str">
        <f t="shared" si="254"/>
        <v>Valid</v>
      </c>
      <c r="AO1222" t="str">
        <f t="shared" si="255"/>
        <v>Valid</v>
      </c>
      <c r="AP1222" t="str">
        <f t="shared" si="256"/>
        <v>Valid</v>
      </c>
      <c r="AQ1222" t="str">
        <f>IF(Audit_Data[[#This Row],[Z_CostContact]]=3,"Valid","Invalid")</f>
        <v>Valid</v>
      </c>
      <c r="AR1222" t="str">
        <f t="shared" si="257"/>
        <v>Valid</v>
      </c>
      <c r="AS1222" t="str">
        <f t="shared" si="258"/>
        <v>Valid</v>
      </c>
    </row>
    <row r="1223" spans="1:45" x14ac:dyDescent="0.3">
      <c r="A1223">
        <v>1176</v>
      </c>
      <c r="B1223">
        <v>1973</v>
      </c>
      <c r="C1223" t="s">
        <v>29</v>
      </c>
      <c r="D1223" t="s">
        <v>33</v>
      </c>
      <c r="E1223">
        <v>26228</v>
      </c>
      <c r="F1223">
        <v>1</v>
      </c>
      <c r="G1223">
        <v>0</v>
      </c>
      <c r="H1223" s="1">
        <v>41539</v>
      </c>
      <c r="I1223">
        <v>50</v>
      </c>
      <c r="J1223">
        <v>2</v>
      </c>
      <c r="K1223">
        <v>6</v>
      </c>
      <c r="L1223">
        <v>4</v>
      </c>
      <c r="M1223">
        <v>3</v>
      </c>
      <c r="N1223">
        <v>1</v>
      </c>
      <c r="O1223">
        <v>9</v>
      </c>
      <c r="P1223">
        <v>1</v>
      </c>
      <c r="Q1223">
        <v>1</v>
      </c>
      <c r="R1223">
        <v>0</v>
      </c>
      <c r="S1223">
        <v>2</v>
      </c>
      <c r="T1223">
        <v>8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3</v>
      </c>
      <c r="AB1223">
        <v>11</v>
      </c>
      <c r="AC1223">
        <v>0</v>
      </c>
      <c r="AD1223" t="str">
        <f t="shared" si="247"/>
        <v>Ok</v>
      </c>
      <c r="AE1223" t="str">
        <f>IF(AND(Audit_Data[[#This Row],[Year_Birth]]&gt;=1900,Audit_Data[[#This Row],[Year_Birth]]&lt;=2010),"OK","Invalid")</f>
        <v>OK</v>
      </c>
      <c r="AF1223" t="str">
        <f t="shared" si="248"/>
        <v>Valid</v>
      </c>
      <c r="AG1223" t="str">
        <f t="shared" si="249"/>
        <v>Valid</v>
      </c>
      <c r="AH1223" t="str">
        <f t="shared" si="250"/>
        <v>Valid</v>
      </c>
      <c r="AI1223" t="str">
        <f t="shared" si="251"/>
        <v>Valid</v>
      </c>
      <c r="AJ1223" t="str">
        <f t="shared" si="252"/>
        <v>Valid</v>
      </c>
      <c r="AK1223" t="str">
        <f t="shared" si="259"/>
        <v xml:space="preserve">Valid </v>
      </c>
      <c r="AL1223" t="str">
        <f>IF(AND(Audit_Data[[#This Row],[Recency]]&gt;=0,Audit_Data[[#This Row],[Recency]]&lt;=100),"Valid","Invalid")</f>
        <v>Valid</v>
      </c>
      <c r="AM1223" t="str">
        <f t="shared" si="253"/>
        <v>Valid</v>
      </c>
      <c r="AN1223" t="str">
        <f t="shared" si="254"/>
        <v>Valid</v>
      </c>
      <c r="AO1223" t="str">
        <f t="shared" si="255"/>
        <v>Valid</v>
      </c>
      <c r="AP1223" t="str">
        <f t="shared" si="256"/>
        <v>Valid</v>
      </c>
      <c r="AQ1223" t="str">
        <f>IF(Audit_Data[[#This Row],[Z_CostContact]]=3,"Valid","Invalid")</f>
        <v>Valid</v>
      </c>
      <c r="AR1223" t="str">
        <f t="shared" si="257"/>
        <v>Valid</v>
      </c>
      <c r="AS1223" t="str">
        <f t="shared" si="258"/>
        <v>Valid</v>
      </c>
    </row>
    <row r="1224" spans="1:45" x14ac:dyDescent="0.3">
      <c r="A1224">
        <v>1627</v>
      </c>
      <c r="B1224">
        <v>1957</v>
      </c>
      <c r="C1224" t="s">
        <v>37</v>
      </c>
      <c r="D1224" t="s">
        <v>35</v>
      </c>
      <c r="E1224">
        <v>77297</v>
      </c>
      <c r="F1224">
        <v>0</v>
      </c>
      <c r="G1224">
        <v>0</v>
      </c>
      <c r="H1224" s="1">
        <v>41300</v>
      </c>
      <c r="I1224">
        <v>84</v>
      </c>
      <c r="J1224">
        <v>408</v>
      </c>
      <c r="K1224">
        <v>61</v>
      </c>
      <c r="L1224">
        <v>109</v>
      </c>
      <c r="M1224">
        <v>48</v>
      </c>
      <c r="N1224">
        <v>122</v>
      </c>
      <c r="O1224">
        <v>41</v>
      </c>
      <c r="P1224">
        <v>1</v>
      </c>
      <c r="Q1224">
        <v>5</v>
      </c>
      <c r="R1224">
        <v>7</v>
      </c>
      <c r="S1224">
        <v>9</v>
      </c>
      <c r="T1224">
        <v>4</v>
      </c>
      <c r="U1224">
        <v>0</v>
      </c>
      <c r="V1224">
        <v>0</v>
      </c>
      <c r="W1224">
        <v>0</v>
      </c>
      <c r="X1224">
        <v>1</v>
      </c>
      <c r="Y1224">
        <v>0</v>
      </c>
      <c r="Z1224">
        <v>0</v>
      </c>
      <c r="AA1224">
        <v>3</v>
      </c>
      <c r="AB1224">
        <v>11</v>
      </c>
      <c r="AC1224">
        <v>0</v>
      </c>
      <c r="AD1224" t="str">
        <f t="shared" si="247"/>
        <v>Ok</v>
      </c>
      <c r="AE1224" t="str">
        <f>IF(AND(Audit_Data[[#This Row],[Year_Birth]]&gt;=1900,Audit_Data[[#This Row],[Year_Birth]]&lt;=2010),"OK","Invalid")</f>
        <v>OK</v>
      </c>
      <c r="AF1224" t="str">
        <f t="shared" si="248"/>
        <v>Valid</v>
      </c>
      <c r="AG1224" t="str">
        <f t="shared" si="249"/>
        <v>Valid</v>
      </c>
      <c r="AH1224" t="str">
        <f t="shared" si="250"/>
        <v>Valid</v>
      </c>
      <c r="AI1224" t="str">
        <f t="shared" si="251"/>
        <v>Valid</v>
      </c>
      <c r="AJ1224" t="str">
        <f t="shared" si="252"/>
        <v>Valid</v>
      </c>
      <c r="AK1224" t="str">
        <f t="shared" si="259"/>
        <v xml:space="preserve">Valid </v>
      </c>
      <c r="AL1224" t="str">
        <f>IF(AND(Audit_Data[[#This Row],[Recency]]&gt;=0,Audit_Data[[#This Row],[Recency]]&lt;=100),"Valid","Invalid")</f>
        <v>Valid</v>
      </c>
      <c r="AM1224" t="str">
        <f t="shared" si="253"/>
        <v>Valid</v>
      </c>
      <c r="AN1224" t="str">
        <f t="shared" si="254"/>
        <v>Valid</v>
      </c>
      <c r="AO1224" t="str">
        <f t="shared" si="255"/>
        <v>Valid</v>
      </c>
      <c r="AP1224" t="str">
        <f t="shared" si="256"/>
        <v>Valid</v>
      </c>
      <c r="AQ1224" t="str">
        <f>IF(Audit_Data[[#This Row],[Z_CostContact]]=3,"Valid","Invalid")</f>
        <v>Valid</v>
      </c>
      <c r="AR1224" t="str">
        <f t="shared" si="257"/>
        <v>Valid</v>
      </c>
      <c r="AS1224" t="str">
        <f t="shared" si="258"/>
        <v>Valid</v>
      </c>
    </row>
    <row r="1225" spans="1:45" x14ac:dyDescent="0.3">
      <c r="A1225">
        <v>938</v>
      </c>
      <c r="B1225">
        <v>1981</v>
      </c>
      <c r="C1225" t="s">
        <v>29</v>
      </c>
      <c r="D1225" t="s">
        <v>33</v>
      </c>
      <c r="E1225">
        <v>40211</v>
      </c>
      <c r="F1225">
        <v>1</v>
      </c>
      <c r="G1225">
        <v>1</v>
      </c>
      <c r="H1225" s="1">
        <v>41485</v>
      </c>
      <c r="I1225">
        <v>30</v>
      </c>
      <c r="J1225">
        <v>51</v>
      </c>
      <c r="K1225">
        <v>1</v>
      </c>
      <c r="L1225">
        <v>7</v>
      </c>
      <c r="M1225">
        <v>2</v>
      </c>
      <c r="N1225">
        <v>1</v>
      </c>
      <c r="O1225">
        <v>25</v>
      </c>
      <c r="P1225">
        <v>2</v>
      </c>
      <c r="Q1225">
        <v>2</v>
      </c>
      <c r="R1225">
        <v>1</v>
      </c>
      <c r="S1225">
        <v>2</v>
      </c>
      <c r="T1225">
        <v>8</v>
      </c>
      <c r="U1225">
        <v>1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3</v>
      </c>
      <c r="AB1225">
        <v>11</v>
      </c>
      <c r="AC1225">
        <v>0</v>
      </c>
      <c r="AD1225" t="str">
        <f t="shared" si="247"/>
        <v>Ok</v>
      </c>
      <c r="AE1225" t="str">
        <f>IF(AND(Audit_Data[[#This Row],[Year_Birth]]&gt;=1900,Audit_Data[[#This Row],[Year_Birth]]&lt;=2010),"OK","Invalid")</f>
        <v>OK</v>
      </c>
      <c r="AF1225" t="str">
        <f t="shared" si="248"/>
        <v>Valid</v>
      </c>
      <c r="AG1225" t="str">
        <f t="shared" si="249"/>
        <v>Valid</v>
      </c>
      <c r="AH1225" t="str">
        <f t="shared" si="250"/>
        <v>Valid</v>
      </c>
      <c r="AI1225" t="str">
        <f t="shared" si="251"/>
        <v>Valid</v>
      </c>
      <c r="AJ1225" t="str">
        <f t="shared" si="252"/>
        <v>Valid</v>
      </c>
      <c r="AK1225" t="str">
        <f t="shared" si="259"/>
        <v xml:space="preserve">Valid </v>
      </c>
      <c r="AL1225" t="str">
        <f>IF(AND(Audit_Data[[#This Row],[Recency]]&gt;=0,Audit_Data[[#This Row],[Recency]]&lt;=100),"Valid","Invalid")</f>
        <v>Valid</v>
      </c>
      <c r="AM1225" t="str">
        <f t="shared" si="253"/>
        <v>Valid</v>
      </c>
      <c r="AN1225" t="str">
        <f t="shared" si="254"/>
        <v>Valid</v>
      </c>
      <c r="AO1225" t="str">
        <f t="shared" si="255"/>
        <v>Valid</v>
      </c>
      <c r="AP1225" t="str">
        <f t="shared" si="256"/>
        <v>Valid</v>
      </c>
      <c r="AQ1225" t="str">
        <f>IF(Audit_Data[[#This Row],[Z_CostContact]]=3,"Valid","Invalid")</f>
        <v>Valid</v>
      </c>
      <c r="AR1225" t="str">
        <f t="shared" si="257"/>
        <v>Valid</v>
      </c>
      <c r="AS1225" t="str">
        <f t="shared" si="258"/>
        <v>Valid</v>
      </c>
    </row>
    <row r="1226" spans="1:45" x14ac:dyDescent="0.3">
      <c r="A1226">
        <v>2740</v>
      </c>
      <c r="B1226">
        <v>1958</v>
      </c>
      <c r="C1226" t="s">
        <v>32</v>
      </c>
      <c r="D1226" t="s">
        <v>38</v>
      </c>
      <c r="E1226">
        <v>33438</v>
      </c>
      <c r="F1226">
        <v>1</v>
      </c>
      <c r="G1226">
        <v>1</v>
      </c>
      <c r="H1226" s="1">
        <v>41539</v>
      </c>
      <c r="I1226">
        <v>81</v>
      </c>
      <c r="J1226">
        <v>62</v>
      </c>
      <c r="K1226">
        <v>1</v>
      </c>
      <c r="L1226">
        <v>16</v>
      </c>
      <c r="M1226">
        <v>3</v>
      </c>
      <c r="N1226">
        <v>2</v>
      </c>
      <c r="O1226">
        <v>6</v>
      </c>
      <c r="P1226">
        <v>4</v>
      </c>
      <c r="Q1226">
        <v>2</v>
      </c>
      <c r="R1226">
        <v>1</v>
      </c>
      <c r="S1226">
        <v>4</v>
      </c>
      <c r="T1226">
        <v>5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3</v>
      </c>
      <c r="AB1226">
        <v>11</v>
      </c>
      <c r="AC1226">
        <v>0</v>
      </c>
      <c r="AD1226" t="str">
        <f t="shared" si="247"/>
        <v>Ok</v>
      </c>
      <c r="AE1226" t="str">
        <f>IF(AND(Audit_Data[[#This Row],[Year_Birth]]&gt;=1900,Audit_Data[[#This Row],[Year_Birth]]&lt;=2010),"OK","Invalid")</f>
        <v>OK</v>
      </c>
      <c r="AF1226" t="str">
        <f t="shared" si="248"/>
        <v>Valid</v>
      </c>
      <c r="AG1226" t="str">
        <f t="shared" si="249"/>
        <v>Valid</v>
      </c>
      <c r="AH1226" t="str">
        <f t="shared" si="250"/>
        <v>Valid</v>
      </c>
      <c r="AI1226" t="str">
        <f t="shared" si="251"/>
        <v>Valid</v>
      </c>
      <c r="AJ1226" t="str">
        <f t="shared" si="252"/>
        <v>Valid</v>
      </c>
      <c r="AK1226" t="str">
        <f t="shared" si="259"/>
        <v xml:space="preserve">Valid </v>
      </c>
      <c r="AL1226" t="str">
        <f>IF(AND(Audit_Data[[#This Row],[Recency]]&gt;=0,Audit_Data[[#This Row],[Recency]]&lt;=100),"Valid","Invalid")</f>
        <v>Valid</v>
      </c>
      <c r="AM1226" t="str">
        <f t="shared" si="253"/>
        <v>Valid</v>
      </c>
      <c r="AN1226" t="str">
        <f t="shared" si="254"/>
        <v>Valid</v>
      </c>
      <c r="AO1226" t="str">
        <f t="shared" si="255"/>
        <v>Valid</v>
      </c>
      <c r="AP1226" t="str">
        <f t="shared" si="256"/>
        <v>Valid</v>
      </c>
      <c r="AQ1226" t="str">
        <f>IF(Audit_Data[[#This Row],[Z_CostContact]]=3,"Valid","Invalid")</f>
        <v>Valid</v>
      </c>
      <c r="AR1226" t="str">
        <f t="shared" si="257"/>
        <v>Valid</v>
      </c>
      <c r="AS1226" t="str">
        <f t="shared" si="258"/>
        <v>Valid</v>
      </c>
    </row>
    <row r="1227" spans="1:45" x14ac:dyDescent="0.3">
      <c r="A1227">
        <v>257</v>
      </c>
      <c r="B1227">
        <v>1959</v>
      </c>
      <c r="C1227" t="s">
        <v>32</v>
      </c>
      <c r="D1227" t="s">
        <v>33</v>
      </c>
      <c r="E1227">
        <v>75032</v>
      </c>
      <c r="F1227">
        <v>0</v>
      </c>
      <c r="G1227">
        <v>1</v>
      </c>
      <c r="H1227" s="1">
        <v>41392</v>
      </c>
      <c r="I1227">
        <v>74</v>
      </c>
      <c r="J1227">
        <v>952</v>
      </c>
      <c r="K1227">
        <v>12</v>
      </c>
      <c r="L1227">
        <v>180</v>
      </c>
      <c r="M1227">
        <v>47</v>
      </c>
      <c r="N1227">
        <v>12</v>
      </c>
      <c r="O1227">
        <v>12</v>
      </c>
      <c r="P1227">
        <v>2</v>
      </c>
      <c r="Q1227">
        <v>5</v>
      </c>
      <c r="R1227">
        <v>4</v>
      </c>
      <c r="S1227">
        <v>9</v>
      </c>
      <c r="T1227">
        <v>3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3</v>
      </c>
      <c r="AB1227">
        <v>11</v>
      </c>
      <c r="AC1227">
        <v>0</v>
      </c>
      <c r="AD1227" t="str">
        <f t="shared" si="247"/>
        <v>Ok</v>
      </c>
      <c r="AE1227" t="str">
        <f>IF(AND(Audit_Data[[#This Row],[Year_Birth]]&gt;=1900,Audit_Data[[#This Row],[Year_Birth]]&lt;=2010),"OK","Invalid")</f>
        <v>OK</v>
      </c>
      <c r="AF1227" t="str">
        <f t="shared" si="248"/>
        <v>Valid</v>
      </c>
      <c r="AG1227" t="str">
        <f t="shared" si="249"/>
        <v>Valid</v>
      </c>
      <c r="AH1227" t="str">
        <f t="shared" si="250"/>
        <v>Valid</v>
      </c>
      <c r="AI1227" t="str">
        <f t="shared" si="251"/>
        <v>Valid</v>
      </c>
      <c r="AJ1227" t="str">
        <f t="shared" si="252"/>
        <v>Valid</v>
      </c>
      <c r="AK1227" t="str">
        <f t="shared" si="259"/>
        <v xml:space="preserve">Valid </v>
      </c>
      <c r="AL1227" t="str">
        <f>IF(AND(Audit_Data[[#This Row],[Recency]]&gt;=0,Audit_Data[[#This Row],[Recency]]&lt;=100),"Valid","Invalid")</f>
        <v>Valid</v>
      </c>
      <c r="AM1227" t="str">
        <f t="shared" si="253"/>
        <v>Valid</v>
      </c>
      <c r="AN1227" t="str">
        <f t="shared" si="254"/>
        <v>Valid</v>
      </c>
      <c r="AO1227" t="str">
        <f t="shared" si="255"/>
        <v>Valid</v>
      </c>
      <c r="AP1227" t="str">
        <f t="shared" si="256"/>
        <v>Valid</v>
      </c>
      <c r="AQ1227" t="str">
        <f>IF(Audit_Data[[#This Row],[Z_CostContact]]=3,"Valid","Invalid")</f>
        <v>Valid</v>
      </c>
      <c r="AR1227" t="str">
        <f t="shared" si="257"/>
        <v>Valid</v>
      </c>
      <c r="AS1227" t="str">
        <f t="shared" si="258"/>
        <v>Valid</v>
      </c>
    </row>
    <row r="1228" spans="1:45" x14ac:dyDescent="0.3">
      <c r="A1228">
        <v>4058</v>
      </c>
      <c r="B1228">
        <v>1955</v>
      </c>
      <c r="C1228" t="s">
        <v>32</v>
      </c>
      <c r="D1228" t="s">
        <v>30</v>
      </c>
      <c r="E1228">
        <v>61284</v>
      </c>
      <c r="F1228">
        <v>0</v>
      </c>
      <c r="G1228">
        <v>0</v>
      </c>
      <c r="H1228" s="1">
        <v>41559</v>
      </c>
      <c r="I1228">
        <v>76</v>
      </c>
      <c r="J1228">
        <v>618</v>
      </c>
      <c r="K1228">
        <v>15</v>
      </c>
      <c r="L1228">
        <v>106</v>
      </c>
      <c r="M1228">
        <v>20</v>
      </c>
      <c r="N1228">
        <v>7</v>
      </c>
      <c r="O1228">
        <v>45</v>
      </c>
      <c r="P1228">
        <v>1</v>
      </c>
      <c r="Q1228">
        <v>11</v>
      </c>
      <c r="R1228">
        <v>2</v>
      </c>
      <c r="S1228">
        <v>8</v>
      </c>
      <c r="T1228">
        <v>6</v>
      </c>
      <c r="U1228">
        <v>0</v>
      </c>
      <c r="V1228">
        <v>1</v>
      </c>
      <c r="W1228">
        <v>0</v>
      </c>
      <c r="X1228">
        <v>0</v>
      </c>
      <c r="Y1228">
        <v>0</v>
      </c>
      <c r="Z1228">
        <v>0</v>
      </c>
      <c r="AA1228">
        <v>3</v>
      </c>
      <c r="AB1228">
        <v>11</v>
      </c>
      <c r="AC1228">
        <v>0</v>
      </c>
      <c r="AD1228" t="str">
        <f t="shared" si="247"/>
        <v>Ok</v>
      </c>
      <c r="AE1228" t="str">
        <f>IF(AND(Audit_Data[[#This Row],[Year_Birth]]&gt;=1900,Audit_Data[[#This Row],[Year_Birth]]&lt;=2010),"OK","Invalid")</f>
        <v>OK</v>
      </c>
      <c r="AF1228" t="str">
        <f t="shared" si="248"/>
        <v>Valid</v>
      </c>
      <c r="AG1228" t="str">
        <f t="shared" si="249"/>
        <v>Valid</v>
      </c>
      <c r="AH1228" t="str">
        <f t="shared" si="250"/>
        <v>Valid</v>
      </c>
      <c r="AI1228" t="str">
        <f t="shared" si="251"/>
        <v>Valid</v>
      </c>
      <c r="AJ1228" t="str">
        <f t="shared" si="252"/>
        <v>Valid</v>
      </c>
      <c r="AK1228" t="str">
        <f t="shared" si="259"/>
        <v xml:space="preserve">Valid </v>
      </c>
      <c r="AL1228" t="str">
        <f>IF(AND(Audit_Data[[#This Row],[Recency]]&gt;=0,Audit_Data[[#This Row],[Recency]]&lt;=100),"Valid","Invalid")</f>
        <v>Valid</v>
      </c>
      <c r="AM1228" t="str">
        <f t="shared" si="253"/>
        <v>Valid</v>
      </c>
      <c r="AN1228" t="str">
        <f t="shared" si="254"/>
        <v>Valid</v>
      </c>
      <c r="AO1228" t="str">
        <f t="shared" si="255"/>
        <v>Valid</v>
      </c>
      <c r="AP1228" t="str">
        <f t="shared" si="256"/>
        <v>Valid</v>
      </c>
      <c r="AQ1228" t="str">
        <f>IF(Audit_Data[[#This Row],[Z_CostContact]]=3,"Valid","Invalid")</f>
        <v>Valid</v>
      </c>
      <c r="AR1228" t="str">
        <f t="shared" si="257"/>
        <v>Valid</v>
      </c>
      <c r="AS1228" t="str">
        <f t="shared" si="258"/>
        <v>Valid</v>
      </c>
    </row>
    <row r="1229" spans="1:45" x14ac:dyDescent="0.3">
      <c r="A1229">
        <v>7736</v>
      </c>
      <c r="B1229">
        <v>1986</v>
      </c>
      <c r="C1229" t="s">
        <v>29</v>
      </c>
      <c r="D1229" t="s">
        <v>33</v>
      </c>
      <c r="E1229">
        <v>22518</v>
      </c>
      <c r="F1229">
        <v>1</v>
      </c>
      <c r="G1229">
        <v>0</v>
      </c>
      <c r="H1229" s="1">
        <v>41204</v>
      </c>
      <c r="I1229">
        <v>36</v>
      </c>
      <c r="J1229">
        <v>11</v>
      </c>
      <c r="K1229">
        <v>7</v>
      </c>
      <c r="L1229">
        <v>12</v>
      </c>
      <c r="M1229">
        <v>2</v>
      </c>
      <c r="N1229">
        <v>2</v>
      </c>
      <c r="O1229">
        <v>27</v>
      </c>
      <c r="P1229">
        <v>2</v>
      </c>
      <c r="Q1229">
        <v>2</v>
      </c>
      <c r="R1229">
        <v>1</v>
      </c>
      <c r="S1229">
        <v>2</v>
      </c>
      <c r="T1229">
        <v>5</v>
      </c>
      <c r="U1229">
        <v>1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3</v>
      </c>
      <c r="AB1229">
        <v>11</v>
      </c>
      <c r="AC1229">
        <v>1</v>
      </c>
      <c r="AD1229" t="str">
        <f t="shared" si="247"/>
        <v>Ok</v>
      </c>
      <c r="AE1229" t="str">
        <f>IF(AND(Audit_Data[[#This Row],[Year_Birth]]&gt;=1900,Audit_Data[[#This Row],[Year_Birth]]&lt;=2010),"OK","Invalid")</f>
        <v>OK</v>
      </c>
      <c r="AF1229" t="str">
        <f t="shared" si="248"/>
        <v>Valid</v>
      </c>
      <c r="AG1229" t="str">
        <f t="shared" si="249"/>
        <v>Valid</v>
      </c>
      <c r="AH1229" t="str">
        <f t="shared" si="250"/>
        <v>Valid</v>
      </c>
      <c r="AI1229" t="str">
        <f t="shared" si="251"/>
        <v>Valid</v>
      </c>
      <c r="AJ1229" t="str">
        <f t="shared" si="252"/>
        <v>Valid</v>
      </c>
      <c r="AK1229" t="str">
        <f t="shared" si="259"/>
        <v xml:space="preserve">Valid </v>
      </c>
      <c r="AL1229" t="str">
        <f>IF(AND(Audit_Data[[#This Row],[Recency]]&gt;=0,Audit_Data[[#This Row],[Recency]]&lt;=100),"Valid","Invalid")</f>
        <v>Valid</v>
      </c>
      <c r="AM1229" t="str">
        <f t="shared" si="253"/>
        <v>Valid</v>
      </c>
      <c r="AN1229" t="str">
        <f t="shared" si="254"/>
        <v>Valid</v>
      </c>
      <c r="AO1229" t="str">
        <f t="shared" si="255"/>
        <v>Valid</v>
      </c>
      <c r="AP1229" t="str">
        <f t="shared" si="256"/>
        <v>Valid</v>
      </c>
      <c r="AQ1229" t="str">
        <f>IF(Audit_Data[[#This Row],[Z_CostContact]]=3,"Valid","Invalid")</f>
        <v>Valid</v>
      </c>
      <c r="AR1229" t="str">
        <f t="shared" si="257"/>
        <v>Valid</v>
      </c>
      <c r="AS1229" t="str">
        <f t="shared" si="258"/>
        <v>Valid</v>
      </c>
    </row>
    <row r="1230" spans="1:45" x14ac:dyDescent="0.3">
      <c r="A1230">
        <v>8210</v>
      </c>
      <c r="B1230">
        <v>1975</v>
      </c>
      <c r="C1230" t="s">
        <v>34</v>
      </c>
      <c r="D1230" t="s">
        <v>33</v>
      </c>
      <c r="E1230">
        <v>54730</v>
      </c>
      <c r="F1230">
        <v>0</v>
      </c>
      <c r="G1230">
        <v>1</v>
      </c>
      <c r="H1230" s="1">
        <v>41501</v>
      </c>
      <c r="I1230">
        <v>64</v>
      </c>
      <c r="J1230">
        <v>318</v>
      </c>
      <c r="K1230">
        <v>3</v>
      </c>
      <c r="L1230">
        <v>17</v>
      </c>
      <c r="M1230">
        <v>4</v>
      </c>
      <c r="N1230">
        <v>7</v>
      </c>
      <c r="O1230">
        <v>56</v>
      </c>
      <c r="P1230">
        <v>5</v>
      </c>
      <c r="Q1230">
        <v>4</v>
      </c>
      <c r="R1230">
        <v>1</v>
      </c>
      <c r="S1230">
        <v>8</v>
      </c>
      <c r="T1230">
        <v>4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3</v>
      </c>
      <c r="AB1230">
        <v>11</v>
      </c>
      <c r="AC1230">
        <v>0</v>
      </c>
      <c r="AD1230" t="str">
        <f t="shared" si="247"/>
        <v>Ok</v>
      </c>
      <c r="AE1230" t="str">
        <f>IF(AND(Audit_Data[[#This Row],[Year_Birth]]&gt;=1900,Audit_Data[[#This Row],[Year_Birth]]&lt;=2010),"OK","Invalid")</f>
        <v>OK</v>
      </c>
      <c r="AF1230" t="str">
        <f t="shared" si="248"/>
        <v>Valid</v>
      </c>
      <c r="AG1230" t="str">
        <f t="shared" si="249"/>
        <v>Valid</v>
      </c>
      <c r="AH1230" t="str">
        <f t="shared" si="250"/>
        <v>Valid</v>
      </c>
      <c r="AI1230" t="str">
        <f t="shared" si="251"/>
        <v>Valid</v>
      </c>
      <c r="AJ1230" t="str">
        <f t="shared" si="252"/>
        <v>Valid</v>
      </c>
      <c r="AK1230" t="str">
        <f t="shared" si="259"/>
        <v xml:space="preserve">Valid </v>
      </c>
      <c r="AL1230" t="str">
        <f>IF(AND(Audit_Data[[#This Row],[Recency]]&gt;=0,Audit_Data[[#This Row],[Recency]]&lt;=100),"Valid","Invalid")</f>
        <v>Valid</v>
      </c>
      <c r="AM1230" t="str">
        <f t="shared" si="253"/>
        <v>Valid</v>
      </c>
      <c r="AN1230" t="str">
        <f t="shared" si="254"/>
        <v>Valid</v>
      </c>
      <c r="AO1230" t="str">
        <f t="shared" si="255"/>
        <v>Valid</v>
      </c>
      <c r="AP1230" t="str">
        <f t="shared" si="256"/>
        <v>Valid</v>
      </c>
      <c r="AQ1230" t="str">
        <f>IF(Audit_Data[[#This Row],[Z_CostContact]]=3,"Valid","Invalid")</f>
        <v>Valid</v>
      </c>
      <c r="AR1230" t="str">
        <f t="shared" si="257"/>
        <v>Valid</v>
      </c>
      <c r="AS1230" t="str">
        <f t="shared" si="258"/>
        <v>Valid</v>
      </c>
    </row>
    <row r="1231" spans="1:45" x14ac:dyDescent="0.3">
      <c r="A1231">
        <v>833</v>
      </c>
      <c r="B1231">
        <v>1955</v>
      </c>
      <c r="C1231" t="s">
        <v>34</v>
      </c>
      <c r="D1231" t="s">
        <v>33</v>
      </c>
      <c r="E1231">
        <v>38452</v>
      </c>
      <c r="F1231">
        <v>1</v>
      </c>
      <c r="G1231">
        <v>1</v>
      </c>
      <c r="H1231" s="1">
        <v>41728</v>
      </c>
      <c r="I1231">
        <v>62</v>
      </c>
      <c r="J1231">
        <v>56</v>
      </c>
      <c r="K1231">
        <v>0</v>
      </c>
      <c r="L1231">
        <v>14</v>
      </c>
      <c r="M1231">
        <v>0</v>
      </c>
      <c r="N1231">
        <v>0</v>
      </c>
      <c r="O1231">
        <v>2</v>
      </c>
      <c r="P1231">
        <v>3</v>
      </c>
      <c r="Q1231">
        <v>3</v>
      </c>
      <c r="R1231">
        <v>0</v>
      </c>
      <c r="S1231">
        <v>3</v>
      </c>
      <c r="T1231">
        <v>7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3</v>
      </c>
      <c r="AB1231">
        <v>11</v>
      </c>
      <c r="AC1231">
        <v>0</v>
      </c>
      <c r="AD1231" t="str">
        <f t="shared" si="247"/>
        <v>Ok</v>
      </c>
      <c r="AE1231" t="str">
        <f>IF(AND(Audit_Data[[#This Row],[Year_Birth]]&gt;=1900,Audit_Data[[#This Row],[Year_Birth]]&lt;=2010),"OK","Invalid")</f>
        <v>OK</v>
      </c>
      <c r="AF1231" t="str">
        <f t="shared" si="248"/>
        <v>Valid</v>
      </c>
      <c r="AG1231" t="str">
        <f t="shared" si="249"/>
        <v>Valid</v>
      </c>
      <c r="AH1231" t="str">
        <f t="shared" si="250"/>
        <v>Valid</v>
      </c>
      <c r="AI1231" t="str">
        <f t="shared" si="251"/>
        <v>Valid</v>
      </c>
      <c r="AJ1231" t="str">
        <f t="shared" si="252"/>
        <v>Valid</v>
      </c>
      <c r="AK1231" t="str">
        <f t="shared" si="259"/>
        <v xml:space="preserve">Valid </v>
      </c>
      <c r="AL1231" t="str">
        <f>IF(AND(Audit_Data[[#This Row],[Recency]]&gt;=0,Audit_Data[[#This Row],[Recency]]&lt;=100),"Valid","Invalid")</f>
        <v>Valid</v>
      </c>
      <c r="AM1231" t="str">
        <f t="shared" si="253"/>
        <v>Valid</v>
      </c>
      <c r="AN1231" t="str">
        <f t="shared" si="254"/>
        <v>Valid</v>
      </c>
      <c r="AO1231" t="str">
        <f t="shared" si="255"/>
        <v>Valid</v>
      </c>
      <c r="AP1231" t="str">
        <f t="shared" si="256"/>
        <v>Valid</v>
      </c>
      <c r="AQ1231" t="str">
        <f>IF(Audit_Data[[#This Row],[Z_CostContact]]=3,"Valid","Invalid")</f>
        <v>Valid</v>
      </c>
      <c r="AR1231" t="str">
        <f t="shared" si="257"/>
        <v>Valid</v>
      </c>
      <c r="AS1231" t="str">
        <f t="shared" si="258"/>
        <v>Valid</v>
      </c>
    </row>
    <row r="1232" spans="1:45" x14ac:dyDescent="0.3">
      <c r="A1232">
        <v>6230</v>
      </c>
      <c r="B1232">
        <v>1971</v>
      </c>
      <c r="C1232" t="s">
        <v>29</v>
      </c>
      <c r="D1232" t="s">
        <v>35</v>
      </c>
      <c r="E1232">
        <v>44421</v>
      </c>
      <c r="F1232">
        <v>1</v>
      </c>
      <c r="G1232">
        <v>1</v>
      </c>
      <c r="H1232" s="1">
        <v>41320</v>
      </c>
      <c r="I1232">
        <v>53</v>
      </c>
      <c r="J1232">
        <v>110</v>
      </c>
      <c r="K1232">
        <v>5</v>
      </c>
      <c r="L1232">
        <v>59</v>
      </c>
      <c r="M1232">
        <v>7</v>
      </c>
      <c r="N1232">
        <v>1</v>
      </c>
      <c r="O1232">
        <v>7</v>
      </c>
      <c r="P1232">
        <v>5</v>
      </c>
      <c r="Q1232">
        <v>5</v>
      </c>
      <c r="R1232">
        <v>0</v>
      </c>
      <c r="S1232">
        <v>4</v>
      </c>
      <c r="T1232">
        <v>8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3</v>
      </c>
      <c r="AB1232">
        <v>11</v>
      </c>
      <c r="AC1232">
        <v>0</v>
      </c>
      <c r="AD1232" t="str">
        <f t="shared" si="247"/>
        <v>Ok</v>
      </c>
      <c r="AE1232" t="str">
        <f>IF(AND(Audit_Data[[#This Row],[Year_Birth]]&gt;=1900,Audit_Data[[#This Row],[Year_Birth]]&lt;=2010),"OK","Invalid")</f>
        <v>OK</v>
      </c>
      <c r="AF1232" t="str">
        <f t="shared" si="248"/>
        <v>Valid</v>
      </c>
      <c r="AG1232" t="str">
        <f t="shared" si="249"/>
        <v>Valid</v>
      </c>
      <c r="AH1232" t="str">
        <f t="shared" si="250"/>
        <v>Valid</v>
      </c>
      <c r="AI1232" t="str">
        <f t="shared" si="251"/>
        <v>Valid</v>
      </c>
      <c r="AJ1232" t="str">
        <f t="shared" si="252"/>
        <v>Valid</v>
      </c>
      <c r="AK1232" t="str">
        <f t="shared" si="259"/>
        <v xml:space="preserve">Valid </v>
      </c>
      <c r="AL1232" t="str">
        <f>IF(AND(Audit_Data[[#This Row],[Recency]]&gt;=0,Audit_Data[[#This Row],[Recency]]&lt;=100),"Valid","Invalid")</f>
        <v>Valid</v>
      </c>
      <c r="AM1232" t="str">
        <f t="shared" si="253"/>
        <v>Valid</v>
      </c>
      <c r="AN1232" t="str">
        <f t="shared" si="254"/>
        <v>Valid</v>
      </c>
      <c r="AO1232" t="str">
        <f t="shared" si="255"/>
        <v>Valid</v>
      </c>
      <c r="AP1232" t="str">
        <f t="shared" si="256"/>
        <v>Valid</v>
      </c>
      <c r="AQ1232" t="str">
        <f>IF(Audit_Data[[#This Row],[Z_CostContact]]=3,"Valid","Invalid")</f>
        <v>Valid</v>
      </c>
      <c r="AR1232" t="str">
        <f t="shared" si="257"/>
        <v>Valid</v>
      </c>
      <c r="AS1232" t="str">
        <f t="shared" si="258"/>
        <v>Valid</v>
      </c>
    </row>
    <row r="1233" spans="1:45" x14ac:dyDescent="0.3">
      <c r="A1233">
        <v>7325</v>
      </c>
      <c r="B1233">
        <v>1986</v>
      </c>
      <c r="C1233" t="s">
        <v>32</v>
      </c>
      <c r="D1233" t="s">
        <v>31</v>
      </c>
      <c r="E1233">
        <v>38197</v>
      </c>
      <c r="F1233">
        <v>1</v>
      </c>
      <c r="G1233">
        <v>0</v>
      </c>
      <c r="H1233" s="1">
        <v>41454</v>
      </c>
      <c r="I1233">
        <v>86</v>
      </c>
      <c r="J1233">
        <v>23</v>
      </c>
      <c r="K1233">
        <v>0</v>
      </c>
      <c r="L1233">
        <v>11</v>
      </c>
      <c r="M1233">
        <v>2</v>
      </c>
      <c r="N1233">
        <v>1</v>
      </c>
      <c r="O1233">
        <v>3</v>
      </c>
      <c r="P1233">
        <v>1</v>
      </c>
      <c r="Q1233">
        <v>1</v>
      </c>
      <c r="R1233">
        <v>0</v>
      </c>
      <c r="S1233">
        <v>3</v>
      </c>
      <c r="T1233">
        <v>5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3</v>
      </c>
      <c r="AB1233">
        <v>11</v>
      </c>
      <c r="AC1233">
        <v>0</v>
      </c>
      <c r="AD1233" t="str">
        <f t="shared" si="247"/>
        <v>Ok</v>
      </c>
      <c r="AE1233" t="str">
        <f>IF(AND(Audit_Data[[#This Row],[Year_Birth]]&gt;=1900,Audit_Data[[#This Row],[Year_Birth]]&lt;=2010),"OK","Invalid")</f>
        <v>OK</v>
      </c>
      <c r="AF1233" t="str">
        <f t="shared" si="248"/>
        <v>Valid</v>
      </c>
      <c r="AG1233" t="str">
        <f t="shared" si="249"/>
        <v>Valid</v>
      </c>
      <c r="AH1233" t="str">
        <f t="shared" si="250"/>
        <v>Valid</v>
      </c>
      <c r="AI1233" t="str">
        <f t="shared" si="251"/>
        <v>Valid</v>
      </c>
      <c r="AJ1233" t="str">
        <f t="shared" si="252"/>
        <v>Valid</v>
      </c>
      <c r="AK1233" t="str">
        <f t="shared" si="259"/>
        <v xml:space="preserve">Valid </v>
      </c>
      <c r="AL1233" t="str">
        <f>IF(AND(Audit_Data[[#This Row],[Recency]]&gt;=0,Audit_Data[[#This Row],[Recency]]&lt;=100),"Valid","Invalid")</f>
        <v>Valid</v>
      </c>
      <c r="AM1233" t="str">
        <f t="shared" si="253"/>
        <v>Valid</v>
      </c>
      <c r="AN1233" t="str">
        <f t="shared" si="254"/>
        <v>Valid</v>
      </c>
      <c r="AO1233" t="str">
        <f t="shared" si="255"/>
        <v>Valid</v>
      </c>
      <c r="AP1233" t="str">
        <f t="shared" si="256"/>
        <v>Valid</v>
      </c>
      <c r="AQ1233" t="str">
        <f>IF(Audit_Data[[#This Row],[Z_CostContact]]=3,"Valid","Invalid")</f>
        <v>Valid</v>
      </c>
      <c r="AR1233" t="str">
        <f t="shared" si="257"/>
        <v>Valid</v>
      </c>
      <c r="AS1233" t="str">
        <f t="shared" si="258"/>
        <v>Valid</v>
      </c>
    </row>
    <row r="1234" spans="1:45" x14ac:dyDescent="0.3">
      <c r="A1234">
        <v>1307</v>
      </c>
      <c r="B1234">
        <v>1978</v>
      </c>
      <c r="C1234" t="s">
        <v>29</v>
      </c>
      <c r="D1234" t="s">
        <v>35</v>
      </c>
      <c r="E1234">
        <v>41986</v>
      </c>
      <c r="F1234">
        <v>0</v>
      </c>
      <c r="G1234">
        <v>1</v>
      </c>
      <c r="H1234" s="1">
        <v>41679</v>
      </c>
      <c r="I1234">
        <v>15</v>
      </c>
      <c r="J1234">
        <v>27</v>
      </c>
      <c r="K1234">
        <v>5</v>
      </c>
      <c r="L1234">
        <v>8</v>
      </c>
      <c r="M1234">
        <v>8</v>
      </c>
      <c r="N1234">
        <v>3</v>
      </c>
      <c r="O1234">
        <v>12</v>
      </c>
      <c r="P1234">
        <v>3</v>
      </c>
      <c r="Q1234">
        <v>3</v>
      </c>
      <c r="R1234">
        <v>0</v>
      </c>
      <c r="S1234">
        <v>4</v>
      </c>
      <c r="T1234">
        <v>4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3</v>
      </c>
      <c r="AB1234">
        <v>11</v>
      </c>
      <c r="AC1234">
        <v>0</v>
      </c>
      <c r="AD1234" t="str">
        <f t="shared" si="247"/>
        <v>Ok</v>
      </c>
      <c r="AE1234" t="str">
        <f>IF(AND(Audit_Data[[#This Row],[Year_Birth]]&gt;=1900,Audit_Data[[#This Row],[Year_Birth]]&lt;=2010),"OK","Invalid")</f>
        <v>OK</v>
      </c>
      <c r="AF1234" t="str">
        <f t="shared" si="248"/>
        <v>Valid</v>
      </c>
      <c r="AG1234" t="str">
        <f t="shared" si="249"/>
        <v>Valid</v>
      </c>
      <c r="AH1234" t="str">
        <f t="shared" si="250"/>
        <v>Valid</v>
      </c>
      <c r="AI1234" t="str">
        <f t="shared" si="251"/>
        <v>Valid</v>
      </c>
      <c r="AJ1234" t="str">
        <f t="shared" si="252"/>
        <v>Valid</v>
      </c>
      <c r="AK1234" t="str">
        <f t="shared" si="259"/>
        <v xml:space="preserve">Valid </v>
      </c>
      <c r="AL1234" t="str">
        <f>IF(AND(Audit_Data[[#This Row],[Recency]]&gt;=0,Audit_Data[[#This Row],[Recency]]&lt;=100),"Valid","Invalid")</f>
        <v>Valid</v>
      </c>
      <c r="AM1234" t="str">
        <f t="shared" si="253"/>
        <v>Valid</v>
      </c>
      <c r="AN1234" t="str">
        <f t="shared" si="254"/>
        <v>Valid</v>
      </c>
      <c r="AO1234" t="str">
        <f t="shared" si="255"/>
        <v>Valid</v>
      </c>
      <c r="AP1234" t="str">
        <f t="shared" si="256"/>
        <v>Valid</v>
      </c>
      <c r="AQ1234" t="str">
        <f>IF(Audit_Data[[#This Row],[Z_CostContact]]=3,"Valid","Invalid")</f>
        <v>Valid</v>
      </c>
      <c r="AR1234" t="str">
        <f t="shared" si="257"/>
        <v>Valid</v>
      </c>
      <c r="AS1234" t="str">
        <f t="shared" si="258"/>
        <v>Valid</v>
      </c>
    </row>
    <row r="1235" spans="1:45" x14ac:dyDescent="0.3">
      <c r="A1235">
        <v>1502</v>
      </c>
      <c r="B1235">
        <v>1983</v>
      </c>
      <c r="C1235" t="s">
        <v>29</v>
      </c>
      <c r="D1235" t="s">
        <v>31</v>
      </c>
      <c r="E1235">
        <v>28427</v>
      </c>
      <c r="F1235">
        <v>1</v>
      </c>
      <c r="G1235">
        <v>0</v>
      </c>
      <c r="H1235" s="1">
        <v>41354</v>
      </c>
      <c r="I1235">
        <v>67</v>
      </c>
      <c r="J1235">
        <v>18</v>
      </c>
      <c r="K1235">
        <v>3</v>
      </c>
      <c r="L1235">
        <v>19</v>
      </c>
      <c r="M1235">
        <v>3</v>
      </c>
      <c r="N1235">
        <v>3</v>
      </c>
      <c r="O1235">
        <v>6</v>
      </c>
      <c r="P1235">
        <v>2</v>
      </c>
      <c r="Q1235">
        <v>2</v>
      </c>
      <c r="R1235">
        <v>0</v>
      </c>
      <c r="S1235">
        <v>3</v>
      </c>
      <c r="T1235">
        <v>8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3</v>
      </c>
      <c r="AB1235">
        <v>11</v>
      </c>
      <c r="AC1235">
        <v>0</v>
      </c>
      <c r="AD1235" t="str">
        <f t="shared" si="247"/>
        <v>Ok</v>
      </c>
      <c r="AE1235" t="str">
        <f>IF(AND(Audit_Data[[#This Row],[Year_Birth]]&gt;=1900,Audit_Data[[#This Row],[Year_Birth]]&lt;=2010),"OK","Invalid")</f>
        <v>OK</v>
      </c>
      <c r="AF1235" t="str">
        <f t="shared" si="248"/>
        <v>Valid</v>
      </c>
      <c r="AG1235" t="str">
        <f t="shared" si="249"/>
        <v>Valid</v>
      </c>
      <c r="AH1235" t="str">
        <f t="shared" si="250"/>
        <v>Valid</v>
      </c>
      <c r="AI1235" t="str">
        <f t="shared" si="251"/>
        <v>Valid</v>
      </c>
      <c r="AJ1235" t="str">
        <f t="shared" si="252"/>
        <v>Valid</v>
      </c>
      <c r="AK1235" t="str">
        <f t="shared" si="259"/>
        <v xml:space="preserve">Valid </v>
      </c>
      <c r="AL1235" t="str">
        <f>IF(AND(Audit_Data[[#This Row],[Recency]]&gt;=0,Audit_Data[[#This Row],[Recency]]&lt;=100),"Valid","Invalid")</f>
        <v>Valid</v>
      </c>
      <c r="AM1235" t="str">
        <f t="shared" si="253"/>
        <v>Valid</v>
      </c>
      <c r="AN1235" t="str">
        <f t="shared" si="254"/>
        <v>Valid</v>
      </c>
      <c r="AO1235" t="str">
        <f t="shared" si="255"/>
        <v>Valid</v>
      </c>
      <c r="AP1235" t="str">
        <f t="shared" si="256"/>
        <v>Valid</v>
      </c>
      <c r="AQ1235" t="str">
        <f>IF(Audit_Data[[#This Row],[Z_CostContact]]=3,"Valid","Invalid")</f>
        <v>Valid</v>
      </c>
      <c r="AR1235" t="str">
        <f t="shared" si="257"/>
        <v>Valid</v>
      </c>
      <c r="AS1235" t="str">
        <f t="shared" si="258"/>
        <v>Valid</v>
      </c>
    </row>
    <row r="1236" spans="1:45" x14ac:dyDescent="0.3">
      <c r="A1236">
        <v>6211</v>
      </c>
      <c r="B1236">
        <v>1976</v>
      </c>
      <c r="C1236" t="s">
        <v>32</v>
      </c>
      <c r="D1236" t="s">
        <v>31</v>
      </c>
      <c r="E1236">
        <v>37395</v>
      </c>
      <c r="F1236">
        <v>1</v>
      </c>
      <c r="G1236">
        <v>0</v>
      </c>
      <c r="H1236" s="1">
        <v>41761</v>
      </c>
      <c r="I1236">
        <v>47</v>
      </c>
      <c r="J1236">
        <v>18</v>
      </c>
      <c r="K1236">
        <v>0</v>
      </c>
      <c r="L1236">
        <v>9</v>
      </c>
      <c r="M1236">
        <v>0</v>
      </c>
      <c r="N1236">
        <v>1</v>
      </c>
      <c r="O1236">
        <v>11</v>
      </c>
      <c r="P1236">
        <v>1</v>
      </c>
      <c r="Q1236">
        <v>1</v>
      </c>
      <c r="R1236">
        <v>0</v>
      </c>
      <c r="S1236">
        <v>3</v>
      </c>
      <c r="T1236">
        <v>6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3</v>
      </c>
      <c r="AB1236">
        <v>11</v>
      </c>
      <c r="AC1236">
        <v>0</v>
      </c>
      <c r="AD1236" t="str">
        <f t="shared" si="247"/>
        <v>Ok</v>
      </c>
      <c r="AE1236" t="str">
        <f>IF(AND(Audit_Data[[#This Row],[Year_Birth]]&gt;=1900,Audit_Data[[#This Row],[Year_Birth]]&lt;=2010),"OK","Invalid")</f>
        <v>OK</v>
      </c>
      <c r="AF1236" t="str">
        <f t="shared" si="248"/>
        <v>Valid</v>
      </c>
      <c r="AG1236" t="str">
        <f t="shared" si="249"/>
        <v>Valid</v>
      </c>
      <c r="AH1236" t="str">
        <f t="shared" si="250"/>
        <v>Valid</v>
      </c>
      <c r="AI1236" t="str">
        <f t="shared" si="251"/>
        <v>Valid</v>
      </c>
      <c r="AJ1236" t="str">
        <f t="shared" si="252"/>
        <v>Valid</v>
      </c>
      <c r="AK1236" t="str">
        <f t="shared" si="259"/>
        <v xml:space="preserve">Valid </v>
      </c>
      <c r="AL1236" t="str">
        <f>IF(AND(Audit_Data[[#This Row],[Recency]]&gt;=0,Audit_Data[[#This Row],[Recency]]&lt;=100),"Valid","Invalid")</f>
        <v>Valid</v>
      </c>
      <c r="AM1236" t="str">
        <f t="shared" si="253"/>
        <v>Valid</v>
      </c>
      <c r="AN1236" t="str">
        <f t="shared" si="254"/>
        <v>Valid</v>
      </c>
      <c r="AO1236" t="str">
        <f t="shared" si="255"/>
        <v>Valid</v>
      </c>
      <c r="AP1236" t="str">
        <f t="shared" si="256"/>
        <v>Valid</v>
      </c>
      <c r="AQ1236" t="str">
        <f>IF(Audit_Data[[#This Row],[Z_CostContact]]=3,"Valid","Invalid")</f>
        <v>Valid</v>
      </c>
      <c r="AR1236" t="str">
        <f t="shared" si="257"/>
        <v>Valid</v>
      </c>
      <c r="AS1236" t="str">
        <f t="shared" si="258"/>
        <v>Valid</v>
      </c>
    </row>
    <row r="1237" spans="1:45" x14ac:dyDescent="0.3">
      <c r="A1237">
        <v>843</v>
      </c>
      <c r="B1237">
        <v>1971</v>
      </c>
      <c r="C1237" t="s">
        <v>29</v>
      </c>
      <c r="D1237" t="s">
        <v>33</v>
      </c>
      <c r="E1237">
        <v>64722</v>
      </c>
      <c r="F1237">
        <v>1</v>
      </c>
      <c r="G1237">
        <v>0</v>
      </c>
      <c r="H1237" s="1">
        <v>41785</v>
      </c>
      <c r="I1237">
        <v>47</v>
      </c>
      <c r="J1237">
        <v>303</v>
      </c>
      <c r="K1237">
        <v>0</v>
      </c>
      <c r="L1237">
        <v>280</v>
      </c>
      <c r="M1237">
        <v>60</v>
      </c>
      <c r="N1237">
        <v>147</v>
      </c>
      <c r="O1237">
        <v>15</v>
      </c>
      <c r="P1237">
        <v>4</v>
      </c>
      <c r="Q1237">
        <v>8</v>
      </c>
      <c r="R1237">
        <v>2</v>
      </c>
      <c r="S1237">
        <v>11</v>
      </c>
      <c r="T1237">
        <v>6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3</v>
      </c>
      <c r="AB1237">
        <v>11</v>
      </c>
      <c r="AC1237">
        <v>0</v>
      </c>
      <c r="AD1237" t="str">
        <f t="shared" si="247"/>
        <v>Ok</v>
      </c>
      <c r="AE1237" t="str">
        <f>IF(AND(Audit_Data[[#This Row],[Year_Birth]]&gt;=1900,Audit_Data[[#This Row],[Year_Birth]]&lt;=2010),"OK","Invalid")</f>
        <v>OK</v>
      </c>
      <c r="AF1237" t="str">
        <f t="shared" si="248"/>
        <v>Valid</v>
      </c>
      <c r="AG1237" t="str">
        <f t="shared" si="249"/>
        <v>Valid</v>
      </c>
      <c r="AH1237" t="str">
        <f t="shared" si="250"/>
        <v>Valid</v>
      </c>
      <c r="AI1237" t="str">
        <f t="shared" si="251"/>
        <v>Valid</v>
      </c>
      <c r="AJ1237" t="str">
        <f t="shared" si="252"/>
        <v>Valid</v>
      </c>
      <c r="AK1237" t="str">
        <f t="shared" si="259"/>
        <v xml:space="preserve">Valid </v>
      </c>
      <c r="AL1237" t="str">
        <f>IF(AND(Audit_Data[[#This Row],[Recency]]&gt;=0,Audit_Data[[#This Row],[Recency]]&lt;=100),"Valid","Invalid")</f>
        <v>Valid</v>
      </c>
      <c r="AM1237" t="str">
        <f t="shared" si="253"/>
        <v>Valid</v>
      </c>
      <c r="AN1237" t="str">
        <f t="shared" si="254"/>
        <v>Valid</v>
      </c>
      <c r="AO1237" t="str">
        <f t="shared" si="255"/>
        <v>Valid</v>
      </c>
      <c r="AP1237" t="str">
        <f t="shared" si="256"/>
        <v>Valid</v>
      </c>
      <c r="AQ1237" t="str">
        <f>IF(Audit_Data[[#This Row],[Z_CostContact]]=3,"Valid","Invalid")</f>
        <v>Valid</v>
      </c>
      <c r="AR1237" t="str">
        <f t="shared" si="257"/>
        <v>Valid</v>
      </c>
      <c r="AS1237" t="str">
        <f t="shared" si="258"/>
        <v>Valid</v>
      </c>
    </row>
    <row r="1238" spans="1:45" x14ac:dyDescent="0.3">
      <c r="A1238">
        <v>4174</v>
      </c>
      <c r="B1238">
        <v>1956</v>
      </c>
      <c r="C1238" t="s">
        <v>34</v>
      </c>
      <c r="D1238" t="s">
        <v>31</v>
      </c>
      <c r="E1238">
        <v>55249</v>
      </c>
      <c r="F1238">
        <v>0</v>
      </c>
      <c r="G1238">
        <v>1</v>
      </c>
      <c r="H1238" s="1">
        <v>41746</v>
      </c>
      <c r="I1238">
        <v>81</v>
      </c>
      <c r="J1238">
        <v>97</v>
      </c>
      <c r="K1238">
        <v>1</v>
      </c>
      <c r="L1238">
        <v>19</v>
      </c>
      <c r="M1238">
        <v>2</v>
      </c>
      <c r="N1238">
        <v>0</v>
      </c>
      <c r="O1238">
        <v>11</v>
      </c>
      <c r="P1238">
        <v>1</v>
      </c>
      <c r="Q1238">
        <v>2</v>
      </c>
      <c r="R1238">
        <v>1</v>
      </c>
      <c r="S1238">
        <v>4</v>
      </c>
      <c r="T1238">
        <v>3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3</v>
      </c>
      <c r="AB1238">
        <v>11</v>
      </c>
      <c r="AC1238">
        <v>0</v>
      </c>
      <c r="AD1238" t="str">
        <f t="shared" si="247"/>
        <v>Ok</v>
      </c>
      <c r="AE1238" t="str">
        <f>IF(AND(Audit_Data[[#This Row],[Year_Birth]]&gt;=1900,Audit_Data[[#This Row],[Year_Birth]]&lt;=2010),"OK","Invalid")</f>
        <v>OK</v>
      </c>
      <c r="AF1238" t="str">
        <f t="shared" si="248"/>
        <v>Valid</v>
      </c>
      <c r="AG1238" t="str">
        <f t="shared" si="249"/>
        <v>Valid</v>
      </c>
      <c r="AH1238" t="str">
        <f t="shared" si="250"/>
        <v>Valid</v>
      </c>
      <c r="AI1238" t="str">
        <f t="shared" si="251"/>
        <v>Valid</v>
      </c>
      <c r="AJ1238" t="str">
        <f t="shared" si="252"/>
        <v>Valid</v>
      </c>
      <c r="AK1238" t="str">
        <f t="shared" si="259"/>
        <v xml:space="preserve">Valid </v>
      </c>
      <c r="AL1238" t="str">
        <f>IF(AND(Audit_Data[[#This Row],[Recency]]&gt;=0,Audit_Data[[#This Row],[Recency]]&lt;=100),"Valid","Invalid")</f>
        <v>Valid</v>
      </c>
      <c r="AM1238" t="str">
        <f t="shared" si="253"/>
        <v>Valid</v>
      </c>
      <c r="AN1238" t="str">
        <f t="shared" si="254"/>
        <v>Valid</v>
      </c>
      <c r="AO1238" t="str">
        <f t="shared" si="255"/>
        <v>Valid</v>
      </c>
      <c r="AP1238" t="str">
        <f t="shared" si="256"/>
        <v>Valid</v>
      </c>
      <c r="AQ1238" t="str">
        <f>IF(Audit_Data[[#This Row],[Z_CostContact]]=3,"Valid","Invalid")</f>
        <v>Valid</v>
      </c>
      <c r="AR1238" t="str">
        <f t="shared" si="257"/>
        <v>Valid</v>
      </c>
      <c r="AS1238" t="str">
        <f t="shared" si="258"/>
        <v>Valid</v>
      </c>
    </row>
    <row r="1239" spans="1:45" x14ac:dyDescent="0.3">
      <c r="A1239">
        <v>9757</v>
      </c>
      <c r="B1239">
        <v>1972</v>
      </c>
      <c r="C1239" t="s">
        <v>29</v>
      </c>
      <c r="D1239" t="s">
        <v>31</v>
      </c>
      <c r="E1239">
        <v>84906</v>
      </c>
      <c r="F1239">
        <v>0</v>
      </c>
      <c r="G1239">
        <v>0</v>
      </c>
      <c r="H1239" s="1">
        <v>41551</v>
      </c>
      <c r="I1239">
        <v>98</v>
      </c>
      <c r="J1239">
        <v>997</v>
      </c>
      <c r="K1239">
        <v>15</v>
      </c>
      <c r="L1239">
        <v>414</v>
      </c>
      <c r="M1239">
        <v>99</v>
      </c>
      <c r="N1239">
        <v>30</v>
      </c>
      <c r="O1239">
        <v>76</v>
      </c>
      <c r="P1239">
        <v>1</v>
      </c>
      <c r="Q1239">
        <v>5</v>
      </c>
      <c r="R1239">
        <v>6</v>
      </c>
      <c r="S1239">
        <v>12</v>
      </c>
      <c r="T1239">
        <v>2</v>
      </c>
      <c r="U1239">
        <v>0</v>
      </c>
      <c r="V1239">
        <v>1</v>
      </c>
      <c r="W1239">
        <v>1</v>
      </c>
      <c r="X1239">
        <v>0</v>
      </c>
      <c r="Y1239">
        <v>1</v>
      </c>
      <c r="Z1239">
        <v>0</v>
      </c>
      <c r="AA1239">
        <v>3</v>
      </c>
      <c r="AB1239">
        <v>11</v>
      </c>
      <c r="AC1239">
        <v>0</v>
      </c>
      <c r="AD1239" t="str">
        <f t="shared" si="247"/>
        <v>Ok</v>
      </c>
      <c r="AE1239" t="str">
        <f>IF(AND(Audit_Data[[#This Row],[Year_Birth]]&gt;=1900,Audit_Data[[#This Row],[Year_Birth]]&lt;=2010),"OK","Invalid")</f>
        <v>OK</v>
      </c>
      <c r="AF1239" t="str">
        <f t="shared" si="248"/>
        <v>Valid</v>
      </c>
      <c r="AG1239" t="str">
        <f t="shared" si="249"/>
        <v>Valid</v>
      </c>
      <c r="AH1239" t="str">
        <f t="shared" si="250"/>
        <v>Valid</v>
      </c>
      <c r="AI1239" t="str">
        <f t="shared" si="251"/>
        <v>Valid</v>
      </c>
      <c r="AJ1239" t="str">
        <f t="shared" si="252"/>
        <v>Valid</v>
      </c>
      <c r="AK1239" t="str">
        <f t="shared" si="259"/>
        <v xml:space="preserve">Valid </v>
      </c>
      <c r="AL1239" t="str">
        <f>IF(AND(Audit_Data[[#This Row],[Recency]]&gt;=0,Audit_Data[[#This Row],[Recency]]&lt;=100),"Valid","Invalid")</f>
        <v>Valid</v>
      </c>
      <c r="AM1239" t="str">
        <f t="shared" si="253"/>
        <v>Valid</v>
      </c>
      <c r="AN1239" t="str">
        <f t="shared" si="254"/>
        <v>Valid</v>
      </c>
      <c r="AO1239" t="str">
        <f t="shared" si="255"/>
        <v>Valid</v>
      </c>
      <c r="AP1239" t="str">
        <f t="shared" si="256"/>
        <v>Valid</v>
      </c>
      <c r="AQ1239" t="str">
        <f>IF(Audit_Data[[#This Row],[Z_CostContact]]=3,"Valid","Invalid")</f>
        <v>Valid</v>
      </c>
      <c r="AR1239" t="str">
        <f t="shared" si="257"/>
        <v>Valid</v>
      </c>
      <c r="AS1239" t="str">
        <f t="shared" si="258"/>
        <v>Valid</v>
      </c>
    </row>
    <row r="1240" spans="1:45" x14ac:dyDescent="0.3">
      <c r="A1240">
        <v>6918</v>
      </c>
      <c r="B1240">
        <v>1989</v>
      </c>
      <c r="C1240" t="s">
        <v>29</v>
      </c>
      <c r="D1240" t="s">
        <v>33</v>
      </c>
      <c r="E1240">
        <v>28691</v>
      </c>
      <c r="F1240">
        <v>1</v>
      </c>
      <c r="G1240">
        <v>0</v>
      </c>
      <c r="H1240" s="1">
        <v>41459</v>
      </c>
      <c r="I1240">
        <v>56</v>
      </c>
      <c r="J1240">
        <v>5</v>
      </c>
      <c r="K1240">
        <v>4</v>
      </c>
      <c r="L1240">
        <v>13</v>
      </c>
      <c r="M1240">
        <v>8</v>
      </c>
      <c r="N1240">
        <v>0</v>
      </c>
      <c r="O1240">
        <v>4</v>
      </c>
      <c r="P1240">
        <v>1</v>
      </c>
      <c r="Q1240">
        <v>1</v>
      </c>
      <c r="R1240">
        <v>0</v>
      </c>
      <c r="S1240">
        <v>3</v>
      </c>
      <c r="T1240">
        <v>8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3</v>
      </c>
      <c r="AB1240">
        <v>11</v>
      </c>
      <c r="AC1240">
        <v>0</v>
      </c>
      <c r="AD1240" t="str">
        <f t="shared" si="247"/>
        <v>Ok</v>
      </c>
      <c r="AE1240" t="str">
        <f>IF(AND(Audit_Data[[#This Row],[Year_Birth]]&gt;=1900,Audit_Data[[#This Row],[Year_Birth]]&lt;=2010),"OK","Invalid")</f>
        <v>OK</v>
      </c>
      <c r="AF1240" t="str">
        <f t="shared" si="248"/>
        <v>Valid</v>
      </c>
      <c r="AG1240" t="str">
        <f t="shared" si="249"/>
        <v>Valid</v>
      </c>
      <c r="AH1240" t="str">
        <f t="shared" si="250"/>
        <v>Valid</v>
      </c>
      <c r="AI1240" t="str">
        <f t="shared" si="251"/>
        <v>Valid</v>
      </c>
      <c r="AJ1240" t="str">
        <f t="shared" si="252"/>
        <v>Valid</v>
      </c>
      <c r="AK1240" t="str">
        <f t="shared" si="259"/>
        <v xml:space="preserve">Valid </v>
      </c>
      <c r="AL1240" t="str">
        <f>IF(AND(Audit_Data[[#This Row],[Recency]]&gt;=0,Audit_Data[[#This Row],[Recency]]&lt;=100),"Valid","Invalid")</f>
        <v>Valid</v>
      </c>
      <c r="AM1240" t="str">
        <f t="shared" si="253"/>
        <v>Valid</v>
      </c>
      <c r="AN1240" t="str">
        <f t="shared" si="254"/>
        <v>Valid</v>
      </c>
      <c r="AO1240" t="str">
        <f t="shared" si="255"/>
        <v>Valid</v>
      </c>
      <c r="AP1240" t="str">
        <f t="shared" si="256"/>
        <v>Valid</v>
      </c>
      <c r="AQ1240" t="str">
        <f>IF(Audit_Data[[#This Row],[Z_CostContact]]=3,"Valid","Invalid")</f>
        <v>Valid</v>
      </c>
      <c r="AR1240" t="str">
        <f t="shared" si="257"/>
        <v>Valid</v>
      </c>
      <c r="AS1240" t="str">
        <f t="shared" si="258"/>
        <v>Valid</v>
      </c>
    </row>
    <row r="1241" spans="1:45" x14ac:dyDescent="0.3">
      <c r="A1241">
        <v>286</v>
      </c>
      <c r="B1241">
        <v>1952</v>
      </c>
      <c r="C1241" t="s">
        <v>29</v>
      </c>
      <c r="D1241" t="s">
        <v>30</v>
      </c>
      <c r="E1241">
        <v>44213</v>
      </c>
      <c r="F1241">
        <v>1</v>
      </c>
      <c r="G1241">
        <v>1</v>
      </c>
      <c r="H1241" s="1">
        <v>41607</v>
      </c>
      <c r="I1241">
        <v>48</v>
      </c>
      <c r="J1241">
        <v>95</v>
      </c>
      <c r="K1241">
        <v>11</v>
      </c>
      <c r="L1241">
        <v>35</v>
      </c>
      <c r="M1241">
        <v>0</v>
      </c>
      <c r="N1241">
        <v>4</v>
      </c>
      <c r="O1241">
        <v>7</v>
      </c>
      <c r="P1241">
        <v>4</v>
      </c>
      <c r="Q1241">
        <v>2</v>
      </c>
      <c r="R1241">
        <v>1</v>
      </c>
      <c r="S1241">
        <v>5</v>
      </c>
      <c r="T1241">
        <v>6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3</v>
      </c>
      <c r="AB1241">
        <v>11</v>
      </c>
      <c r="AC1241">
        <v>0</v>
      </c>
      <c r="AD1241" t="str">
        <f t="shared" si="247"/>
        <v>Ok</v>
      </c>
      <c r="AE1241" t="str">
        <f>IF(AND(Audit_Data[[#This Row],[Year_Birth]]&gt;=1900,Audit_Data[[#This Row],[Year_Birth]]&lt;=2010),"OK","Invalid")</f>
        <v>OK</v>
      </c>
      <c r="AF1241" t="str">
        <f t="shared" si="248"/>
        <v>Valid</v>
      </c>
      <c r="AG1241" t="str">
        <f t="shared" si="249"/>
        <v>Valid</v>
      </c>
      <c r="AH1241" t="str">
        <f t="shared" si="250"/>
        <v>Valid</v>
      </c>
      <c r="AI1241" t="str">
        <f t="shared" si="251"/>
        <v>Valid</v>
      </c>
      <c r="AJ1241" t="str">
        <f t="shared" si="252"/>
        <v>Valid</v>
      </c>
      <c r="AK1241" t="str">
        <f t="shared" si="259"/>
        <v xml:space="preserve">Valid </v>
      </c>
      <c r="AL1241" t="str">
        <f>IF(AND(Audit_Data[[#This Row],[Recency]]&gt;=0,Audit_Data[[#This Row],[Recency]]&lt;=100),"Valid","Invalid")</f>
        <v>Valid</v>
      </c>
      <c r="AM1241" t="str">
        <f t="shared" si="253"/>
        <v>Valid</v>
      </c>
      <c r="AN1241" t="str">
        <f t="shared" si="254"/>
        <v>Valid</v>
      </c>
      <c r="AO1241" t="str">
        <f t="shared" si="255"/>
        <v>Valid</v>
      </c>
      <c r="AP1241" t="str">
        <f t="shared" si="256"/>
        <v>Valid</v>
      </c>
      <c r="AQ1241" t="str">
        <f>IF(Audit_Data[[#This Row],[Z_CostContact]]=3,"Valid","Invalid")</f>
        <v>Valid</v>
      </c>
      <c r="AR1241" t="str">
        <f t="shared" si="257"/>
        <v>Valid</v>
      </c>
      <c r="AS1241" t="str">
        <f t="shared" si="258"/>
        <v>Valid</v>
      </c>
    </row>
    <row r="1242" spans="1:45" x14ac:dyDescent="0.3">
      <c r="A1242">
        <v>11086</v>
      </c>
      <c r="B1242">
        <v>1984</v>
      </c>
      <c r="C1242" t="s">
        <v>36</v>
      </c>
      <c r="D1242" t="s">
        <v>30</v>
      </c>
      <c r="E1242">
        <v>25707</v>
      </c>
      <c r="F1242">
        <v>1</v>
      </c>
      <c r="G1242">
        <v>0</v>
      </c>
      <c r="H1242" s="1">
        <v>41657</v>
      </c>
      <c r="I1242">
        <v>18</v>
      </c>
      <c r="J1242">
        <v>1</v>
      </c>
      <c r="K1242">
        <v>6</v>
      </c>
      <c r="L1242">
        <v>2</v>
      </c>
      <c r="M1242">
        <v>3</v>
      </c>
      <c r="N1242">
        <v>6</v>
      </c>
      <c r="O1242">
        <v>3</v>
      </c>
      <c r="P1242">
        <v>1</v>
      </c>
      <c r="Q1242">
        <v>1</v>
      </c>
      <c r="R1242">
        <v>0</v>
      </c>
      <c r="S1242">
        <v>3</v>
      </c>
      <c r="T1242">
        <v>7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3</v>
      </c>
      <c r="AB1242">
        <v>11</v>
      </c>
      <c r="AC1242">
        <v>0</v>
      </c>
      <c r="AD1242" t="str">
        <f t="shared" si="247"/>
        <v>Ok</v>
      </c>
      <c r="AE1242" t="str">
        <f>IF(AND(Audit_Data[[#This Row],[Year_Birth]]&gt;=1900,Audit_Data[[#This Row],[Year_Birth]]&lt;=2010),"OK","Invalid")</f>
        <v>OK</v>
      </c>
      <c r="AF1242" t="str">
        <f t="shared" si="248"/>
        <v>Valid</v>
      </c>
      <c r="AG1242" t="str">
        <f t="shared" si="249"/>
        <v>Valid</v>
      </c>
      <c r="AH1242" t="str">
        <f t="shared" si="250"/>
        <v>Valid</v>
      </c>
      <c r="AI1242" t="str">
        <f t="shared" si="251"/>
        <v>Valid</v>
      </c>
      <c r="AJ1242" t="str">
        <f t="shared" si="252"/>
        <v>Valid</v>
      </c>
      <c r="AK1242" t="str">
        <f t="shared" si="259"/>
        <v xml:space="preserve">Valid </v>
      </c>
      <c r="AL1242" t="str">
        <f>IF(AND(Audit_Data[[#This Row],[Recency]]&gt;=0,Audit_Data[[#This Row],[Recency]]&lt;=100),"Valid","Invalid")</f>
        <v>Valid</v>
      </c>
      <c r="AM1242" t="str">
        <f t="shared" si="253"/>
        <v>Valid</v>
      </c>
      <c r="AN1242" t="str">
        <f t="shared" si="254"/>
        <v>Valid</v>
      </c>
      <c r="AO1242" t="str">
        <f t="shared" si="255"/>
        <v>Valid</v>
      </c>
      <c r="AP1242" t="str">
        <f t="shared" si="256"/>
        <v>Valid</v>
      </c>
      <c r="AQ1242" t="str">
        <f>IF(Audit_Data[[#This Row],[Z_CostContact]]=3,"Valid","Invalid")</f>
        <v>Valid</v>
      </c>
      <c r="AR1242" t="str">
        <f t="shared" si="257"/>
        <v>Valid</v>
      </c>
      <c r="AS1242" t="str">
        <f t="shared" si="258"/>
        <v>Valid</v>
      </c>
    </row>
    <row r="1243" spans="1:45" x14ac:dyDescent="0.3">
      <c r="A1243">
        <v>1921</v>
      </c>
      <c r="B1243">
        <v>1967</v>
      </c>
      <c r="C1243" t="s">
        <v>32</v>
      </c>
      <c r="D1243" t="s">
        <v>33</v>
      </c>
      <c r="E1243">
        <v>59062</v>
      </c>
      <c r="F1243">
        <v>2</v>
      </c>
      <c r="G1243">
        <v>1</v>
      </c>
      <c r="H1243" s="1">
        <v>41550</v>
      </c>
      <c r="I1243">
        <v>74</v>
      </c>
      <c r="J1243">
        <v>46</v>
      </c>
      <c r="K1243">
        <v>1</v>
      </c>
      <c r="L1243">
        <v>12</v>
      </c>
      <c r="M1243">
        <v>3</v>
      </c>
      <c r="N1243">
        <v>0</v>
      </c>
      <c r="O1243">
        <v>9</v>
      </c>
      <c r="P1243">
        <v>2</v>
      </c>
      <c r="Q1243">
        <v>2</v>
      </c>
      <c r="R1243">
        <v>0</v>
      </c>
      <c r="S1243">
        <v>3</v>
      </c>
      <c r="T1243">
        <v>4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3</v>
      </c>
      <c r="AB1243">
        <v>11</v>
      </c>
      <c r="AC1243">
        <v>0</v>
      </c>
      <c r="AD1243" t="str">
        <f t="shared" si="247"/>
        <v>Ok</v>
      </c>
      <c r="AE1243" t="str">
        <f>IF(AND(Audit_Data[[#This Row],[Year_Birth]]&gt;=1900,Audit_Data[[#This Row],[Year_Birth]]&lt;=2010),"OK","Invalid")</f>
        <v>OK</v>
      </c>
      <c r="AF1243" t="str">
        <f t="shared" si="248"/>
        <v>Valid</v>
      </c>
      <c r="AG1243" t="str">
        <f t="shared" si="249"/>
        <v>Valid</v>
      </c>
      <c r="AH1243" t="str">
        <f t="shared" si="250"/>
        <v>Valid</v>
      </c>
      <c r="AI1243" t="str">
        <f t="shared" si="251"/>
        <v>Valid</v>
      </c>
      <c r="AJ1243" t="str">
        <f t="shared" si="252"/>
        <v>Valid</v>
      </c>
      <c r="AK1243" t="str">
        <f t="shared" si="259"/>
        <v xml:space="preserve">Valid </v>
      </c>
      <c r="AL1243" t="str">
        <f>IF(AND(Audit_Data[[#This Row],[Recency]]&gt;=0,Audit_Data[[#This Row],[Recency]]&lt;=100),"Valid","Invalid")</f>
        <v>Valid</v>
      </c>
      <c r="AM1243" t="str">
        <f t="shared" si="253"/>
        <v>Valid</v>
      </c>
      <c r="AN1243" t="str">
        <f t="shared" si="254"/>
        <v>Valid</v>
      </c>
      <c r="AO1243" t="str">
        <f t="shared" si="255"/>
        <v>Valid</v>
      </c>
      <c r="AP1243" t="str">
        <f t="shared" si="256"/>
        <v>Valid</v>
      </c>
      <c r="AQ1243" t="str">
        <f>IF(Audit_Data[[#This Row],[Z_CostContact]]=3,"Valid","Invalid")</f>
        <v>Valid</v>
      </c>
      <c r="AR1243" t="str">
        <f t="shared" si="257"/>
        <v>Valid</v>
      </c>
      <c r="AS1243" t="str">
        <f t="shared" si="258"/>
        <v>Valid</v>
      </c>
    </row>
    <row r="1244" spans="1:45" x14ac:dyDescent="0.3">
      <c r="A1244">
        <v>4138</v>
      </c>
      <c r="B1244">
        <v>1962</v>
      </c>
      <c r="C1244" t="s">
        <v>29</v>
      </c>
      <c r="D1244" t="s">
        <v>30</v>
      </c>
      <c r="E1244">
        <v>76624</v>
      </c>
      <c r="F1244">
        <v>0</v>
      </c>
      <c r="G1244">
        <v>1</v>
      </c>
      <c r="H1244" s="1">
        <v>41783</v>
      </c>
      <c r="I1244">
        <v>68</v>
      </c>
      <c r="J1244">
        <v>411</v>
      </c>
      <c r="K1244">
        <v>106</v>
      </c>
      <c r="L1244">
        <v>147</v>
      </c>
      <c r="M1244">
        <v>54</v>
      </c>
      <c r="N1244">
        <v>115</v>
      </c>
      <c r="O1244">
        <v>66</v>
      </c>
      <c r="P1244">
        <v>1</v>
      </c>
      <c r="Q1244">
        <v>5</v>
      </c>
      <c r="R1244">
        <v>10</v>
      </c>
      <c r="S1244">
        <v>7</v>
      </c>
      <c r="T1244">
        <v>1</v>
      </c>
      <c r="U1244">
        <v>1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3</v>
      </c>
      <c r="AB1244">
        <v>11</v>
      </c>
      <c r="AC1244">
        <v>0</v>
      </c>
      <c r="AD1244" t="str">
        <f t="shared" si="247"/>
        <v>Ok</v>
      </c>
      <c r="AE1244" t="str">
        <f>IF(AND(Audit_Data[[#This Row],[Year_Birth]]&gt;=1900,Audit_Data[[#This Row],[Year_Birth]]&lt;=2010),"OK","Invalid")</f>
        <v>OK</v>
      </c>
      <c r="AF1244" t="str">
        <f t="shared" si="248"/>
        <v>Valid</v>
      </c>
      <c r="AG1244" t="str">
        <f t="shared" si="249"/>
        <v>Valid</v>
      </c>
      <c r="AH1244" t="str">
        <f t="shared" si="250"/>
        <v>Valid</v>
      </c>
      <c r="AI1244" t="str">
        <f t="shared" si="251"/>
        <v>Valid</v>
      </c>
      <c r="AJ1244" t="str">
        <f t="shared" si="252"/>
        <v>Valid</v>
      </c>
      <c r="AK1244" t="str">
        <f t="shared" si="259"/>
        <v xml:space="preserve">Valid </v>
      </c>
      <c r="AL1244" t="str">
        <f>IF(AND(Audit_Data[[#This Row],[Recency]]&gt;=0,Audit_Data[[#This Row],[Recency]]&lt;=100),"Valid","Invalid")</f>
        <v>Valid</v>
      </c>
      <c r="AM1244" t="str">
        <f t="shared" si="253"/>
        <v>Valid</v>
      </c>
      <c r="AN1244" t="str">
        <f t="shared" si="254"/>
        <v>Valid</v>
      </c>
      <c r="AO1244" t="str">
        <f t="shared" si="255"/>
        <v>Valid</v>
      </c>
      <c r="AP1244" t="str">
        <f t="shared" si="256"/>
        <v>Valid</v>
      </c>
      <c r="AQ1244" t="str">
        <f>IF(Audit_Data[[#This Row],[Z_CostContact]]=3,"Valid","Invalid")</f>
        <v>Valid</v>
      </c>
      <c r="AR1244" t="str">
        <f t="shared" si="257"/>
        <v>Valid</v>
      </c>
      <c r="AS1244" t="str">
        <f t="shared" si="258"/>
        <v>Valid</v>
      </c>
    </row>
    <row r="1245" spans="1:45" x14ac:dyDescent="0.3">
      <c r="A1245">
        <v>7718</v>
      </c>
      <c r="B1245">
        <v>1947</v>
      </c>
      <c r="C1245" t="s">
        <v>34</v>
      </c>
      <c r="D1245" t="s">
        <v>31</v>
      </c>
      <c r="E1245">
        <v>66000</v>
      </c>
      <c r="F1245">
        <v>0</v>
      </c>
      <c r="G1245">
        <v>0</v>
      </c>
      <c r="H1245" s="1">
        <v>41749</v>
      </c>
      <c r="I1245">
        <v>36</v>
      </c>
      <c r="J1245">
        <v>244</v>
      </c>
      <c r="K1245">
        <v>51</v>
      </c>
      <c r="L1245">
        <v>270</v>
      </c>
      <c r="M1245">
        <v>101</v>
      </c>
      <c r="N1245">
        <v>0</v>
      </c>
      <c r="O1245">
        <v>45</v>
      </c>
      <c r="P1245">
        <v>1</v>
      </c>
      <c r="Q1245">
        <v>1</v>
      </c>
      <c r="R1245">
        <v>3</v>
      </c>
      <c r="S1245">
        <v>5</v>
      </c>
      <c r="T1245">
        <v>1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3</v>
      </c>
      <c r="AB1245">
        <v>11</v>
      </c>
      <c r="AC1245">
        <v>0</v>
      </c>
      <c r="AD1245" t="str">
        <f t="shared" si="247"/>
        <v>Ok</v>
      </c>
      <c r="AE1245" t="str">
        <f>IF(AND(Audit_Data[[#This Row],[Year_Birth]]&gt;=1900,Audit_Data[[#This Row],[Year_Birth]]&lt;=2010),"OK","Invalid")</f>
        <v>OK</v>
      </c>
      <c r="AF1245" t="str">
        <f t="shared" si="248"/>
        <v>Valid</v>
      </c>
      <c r="AG1245" t="str">
        <f t="shared" si="249"/>
        <v>Valid</v>
      </c>
      <c r="AH1245" t="str">
        <f t="shared" si="250"/>
        <v>Valid</v>
      </c>
      <c r="AI1245" t="str">
        <f t="shared" si="251"/>
        <v>Valid</v>
      </c>
      <c r="AJ1245" t="str">
        <f t="shared" si="252"/>
        <v>Valid</v>
      </c>
      <c r="AK1245" t="str">
        <f t="shared" si="259"/>
        <v xml:space="preserve">Valid </v>
      </c>
      <c r="AL1245" t="str">
        <f>IF(AND(Audit_Data[[#This Row],[Recency]]&gt;=0,Audit_Data[[#This Row],[Recency]]&lt;=100),"Valid","Invalid")</f>
        <v>Valid</v>
      </c>
      <c r="AM1245" t="str">
        <f t="shared" si="253"/>
        <v>Valid</v>
      </c>
      <c r="AN1245" t="str">
        <f t="shared" si="254"/>
        <v>Valid</v>
      </c>
      <c r="AO1245" t="str">
        <f t="shared" si="255"/>
        <v>Valid</v>
      </c>
      <c r="AP1245" t="str">
        <f t="shared" si="256"/>
        <v>Valid</v>
      </c>
      <c r="AQ1245" t="str">
        <f>IF(Audit_Data[[#This Row],[Z_CostContact]]=3,"Valid","Invalid")</f>
        <v>Valid</v>
      </c>
      <c r="AR1245" t="str">
        <f t="shared" si="257"/>
        <v>Valid</v>
      </c>
      <c r="AS1245" t="str">
        <f t="shared" si="258"/>
        <v>Valid</v>
      </c>
    </row>
    <row r="1246" spans="1:45" x14ac:dyDescent="0.3">
      <c r="A1246">
        <v>1291</v>
      </c>
      <c r="B1246">
        <v>1978</v>
      </c>
      <c r="C1246" t="s">
        <v>32</v>
      </c>
      <c r="D1246" t="s">
        <v>31</v>
      </c>
      <c r="E1246">
        <v>27683</v>
      </c>
      <c r="F1246">
        <v>1</v>
      </c>
      <c r="G1246">
        <v>0</v>
      </c>
      <c r="H1246" s="1">
        <v>41125</v>
      </c>
      <c r="I1246">
        <v>90</v>
      </c>
      <c r="J1246">
        <v>152</v>
      </c>
      <c r="K1246">
        <v>9</v>
      </c>
      <c r="L1246">
        <v>121</v>
      </c>
      <c r="M1246">
        <v>12</v>
      </c>
      <c r="N1246">
        <v>12</v>
      </c>
      <c r="O1246">
        <v>45</v>
      </c>
      <c r="P1246">
        <v>4</v>
      </c>
      <c r="Q1246">
        <v>6</v>
      </c>
      <c r="R1246">
        <v>2</v>
      </c>
      <c r="S1246">
        <v>4</v>
      </c>
      <c r="T1246">
        <v>8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3</v>
      </c>
      <c r="AB1246">
        <v>11</v>
      </c>
      <c r="AC1246">
        <v>0</v>
      </c>
      <c r="AD1246" t="str">
        <f t="shared" si="247"/>
        <v>Ok</v>
      </c>
      <c r="AE1246" t="str">
        <f>IF(AND(Audit_Data[[#This Row],[Year_Birth]]&gt;=1900,Audit_Data[[#This Row],[Year_Birth]]&lt;=2010),"OK","Invalid")</f>
        <v>OK</v>
      </c>
      <c r="AF1246" t="str">
        <f t="shared" si="248"/>
        <v>Valid</v>
      </c>
      <c r="AG1246" t="str">
        <f t="shared" si="249"/>
        <v>Valid</v>
      </c>
      <c r="AH1246" t="str">
        <f t="shared" si="250"/>
        <v>Valid</v>
      </c>
      <c r="AI1246" t="str">
        <f t="shared" si="251"/>
        <v>Valid</v>
      </c>
      <c r="AJ1246" t="str">
        <f t="shared" si="252"/>
        <v>Valid</v>
      </c>
      <c r="AK1246" t="str">
        <f t="shared" si="259"/>
        <v xml:space="preserve">Valid </v>
      </c>
      <c r="AL1246" t="str">
        <f>IF(AND(Audit_Data[[#This Row],[Recency]]&gt;=0,Audit_Data[[#This Row],[Recency]]&lt;=100),"Valid","Invalid")</f>
        <v>Valid</v>
      </c>
      <c r="AM1246" t="str">
        <f t="shared" si="253"/>
        <v>Valid</v>
      </c>
      <c r="AN1246" t="str">
        <f t="shared" si="254"/>
        <v>Valid</v>
      </c>
      <c r="AO1246" t="str">
        <f t="shared" si="255"/>
        <v>Valid</v>
      </c>
      <c r="AP1246" t="str">
        <f t="shared" si="256"/>
        <v>Valid</v>
      </c>
      <c r="AQ1246" t="str">
        <f>IF(Audit_Data[[#This Row],[Z_CostContact]]=3,"Valid","Invalid")</f>
        <v>Valid</v>
      </c>
      <c r="AR1246" t="str">
        <f t="shared" si="257"/>
        <v>Valid</v>
      </c>
      <c r="AS1246" t="str">
        <f t="shared" si="258"/>
        <v>Valid</v>
      </c>
    </row>
    <row r="1247" spans="1:45" x14ac:dyDescent="0.3">
      <c r="A1247">
        <v>6862</v>
      </c>
      <c r="B1247">
        <v>1971</v>
      </c>
      <c r="C1247" t="s">
        <v>29</v>
      </c>
      <c r="D1247" t="s">
        <v>35</v>
      </c>
      <c r="E1247">
        <v>1730</v>
      </c>
      <c r="F1247">
        <v>0</v>
      </c>
      <c r="G1247">
        <v>0</v>
      </c>
      <c r="H1247" s="1">
        <v>41777</v>
      </c>
      <c r="I1247">
        <v>65</v>
      </c>
      <c r="J1247">
        <v>1</v>
      </c>
      <c r="K1247">
        <v>1</v>
      </c>
      <c r="L1247">
        <v>3</v>
      </c>
      <c r="M1247">
        <v>1</v>
      </c>
      <c r="N1247">
        <v>1</v>
      </c>
      <c r="O1247">
        <v>1</v>
      </c>
      <c r="P1247">
        <v>15</v>
      </c>
      <c r="Q1247">
        <v>0</v>
      </c>
      <c r="R1247">
        <v>0</v>
      </c>
      <c r="S1247">
        <v>0</v>
      </c>
      <c r="T1247">
        <v>20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3</v>
      </c>
      <c r="AB1247">
        <v>11</v>
      </c>
      <c r="AC1247">
        <v>0</v>
      </c>
      <c r="AD1247" t="str">
        <f t="shared" si="247"/>
        <v>Ok</v>
      </c>
      <c r="AE1247" t="str">
        <f>IF(AND(Audit_Data[[#This Row],[Year_Birth]]&gt;=1900,Audit_Data[[#This Row],[Year_Birth]]&lt;=2010),"OK","Invalid")</f>
        <v>OK</v>
      </c>
      <c r="AF1247" t="str">
        <f t="shared" si="248"/>
        <v>Valid</v>
      </c>
      <c r="AG1247" t="str">
        <f t="shared" si="249"/>
        <v>Valid</v>
      </c>
      <c r="AH1247" t="str">
        <f t="shared" si="250"/>
        <v>Valid</v>
      </c>
      <c r="AI1247" t="str">
        <f t="shared" si="251"/>
        <v>Valid</v>
      </c>
      <c r="AJ1247" t="str">
        <f t="shared" si="252"/>
        <v>Valid</v>
      </c>
      <c r="AK1247" t="str">
        <f t="shared" si="259"/>
        <v xml:space="preserve">Valid </v>
      </c>
      <c r="AL1247" t="str">
        <f>IF(AND(Audit_Data[[#This Row],[Recency]]&gt;=0,Audit_Data[[#This Row],[Recency]]&lt;=100),"Valid","Invalid")</f>
        <v>Valid</v>
      </c>
      <c r="AM1247" t="str">
        <f t="shared" si="253"/>
        <v>Valid</v>
      </c>
      <c r="AN1247" t="str">
        <f t="shared" si="254"/>
        <v>Valid</v>
      </c>
      <c r="AO1247" t="str">
        <f t="shared" si="255"/>
        <v>Valid</v>
      </c>
      <c r="AP1247" t="str">
        <f t="shared" si="256"/>
        <v>Valid</v>
      </c>
      <c r="AQ1247" t="str">
        <f>IF(Audit_Data[[#This Row],[Z_CostContact]]=3,"Valid","Invalid")</f>
        <v>Valid</v>
      </c>
      <c r="AR1247" t="str">
        <f t="shared" si="257"/>
        <v>Valid</v>
      </c>
      <c r="AS1247" t="str">
        <f t="shared" si="258"/>
        <v>Valid</v>
      </c>
    </row>
    <row r="1248" spans="1:45" x14ac:dyDescent="0.3">
      <c r="A1248">
        <v>4136</v>
      </c>
      <c r="B1248">
        <v>1992</v>
      </c>
      <c r="C1248" t="s">
        <v>36</v>
      </c>
      <c r="D1248" t="s">
        <v>30</v>
      </c>
      <c r="E1248">
        <v>7500</v>
      </c>
      <c r="F1248">
        <v>1</v>
      </c>
      <c r="G1248">
        <v>0</v>
      </c>
      <c r="H1248" s="1">
        <v>41246</v>
      </c>
      <c r="I1248">
        <v>63</v>
      </c>
      <c r="J1248">
        <v>10</v>
      </c>
      <c r="K1248">
        <v>17</v>
      </c>
      <c r="L1248">
        <v>18</v>
      </c>
      <c r="M1248">
        <v>8</v>
      </c>
      <c r="N1248">
        <v>26</v>
      </c>
      <c r="O1248">
        <v>40</v>
      </c>
      <c r="P1248">
        <v>4</v>
      </c>
      <c r="Q1248">
        <v>3</v>
      </c>
      <c r="R1248">
        <v>2</v>
      </c>
      <c r="S1248">
        <v>2</v>
      </c>
      <c r="T1248">
        <v>9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3</v>
      </c>
      <c r="AB1248">
        <v>11</v>
      </c>
      <c r="AC1248">
        <v>0</v>
      </c>
      <c r="AD1248" t="str">
        <f t="shared" si="247"/>
        <v>Ok</v>
      </c>
      <c r="AE1248" t="str">
        <f>IF(AND(Audit_Data[[#This Row],[Year_Birth]]&gt;=1900,Audit_Data[[#This Row],[Year_Birth]]&lt;=2010),"OK","Invalid")</f>
        <v>OK</v>
      </c>
      <c r="AF1248" t="str">
        <f t="shared" si="248"/>
        <v>Valid</v>
      </c>
      <c r="AG1248" t="str">
        <f t="shared" si="249"/>
        <v>Valid</v>
      </c>
      <c r="AH1248" t="str">
        <f t="shared" si="250"/>
        <v>Valid</v>
      </c>
      <c r="AI1248" t="str">
        <f t="shared" si="251"/>
        <v>Valid</v>
      </c>
      <c r="AJ1248" t="str">
        <f t="shared" si="252"/>
        <v>Valid</v>
      </c>
      <c r="AK1248" t="str">
        <f t="shared" si="259"/>
        <v xml:space="preserve">Valid </v>
      </c>
      <c r="AL1248" t="str">
        <f>IF(AND(Audit_Data[[#This Row],[Recency]]&gt;=0,Audit_Data[[#This Row],[Recency]]&lt;=100),"Valid","Invalid")</f>
        <v>Valid</v>
      </c>
      <c r="AM1248" t="str">
        <f t="shared" si="253"/>
        <v>Valid</v>
      </c>
      <c r="AN1248" t="str">
        <f t="shared" si="254"/>
        <v>Valid</v>
      </c>
      <c r="AO1248" t="str">
        <f t="shared" si="255"/>
        <v>Valid</v>
      </c>
      <c r="AP1248" t="str">
        <f t="shared" si="256"/>
        <v>Valid</v>
      </c>
      <c r="AQ1248" t="str">
        <f>IF(Audit_Data[[#This Row],[Z_CostContact]]=3,"Valid","Invalid")</f>
        <v>Valid</v>
      </c>
      <c r="AR1248" t="str">
        <f t="shared" si="257"/>
        <v>Valid</v>
      </c>
      <c r="AS1248" t="str">
        <f t="shared" si="258"/>
        <v>Valid</v>
      </c>
    </row>
    <row r="1249" spans="1:45" x14ac:dyDescent="0.3">
      <c r="A1249">
        <v>803</v>
      </c>
      <c r="B1249">
        <v>1968</v>
      </c>
      <c r="C1249" t="s">
        <v>29</v>
      </c>
      <c r="D1249" t="s">
        <v>31</v>
      </c>
      <c r="E1249">
        <v>40521</v>
      </c>
      <c r="F1249">
        <v>1</v>
      </c>
      <c r="G1249">
        <v>1</v>
      </c>
      <c r="H1249" s="1">
        <v>41369</v>
      </c>
      <c r="I1249">
        <v>82</v>
      </c>
      <c r="J1249">
        <v>12</v>
      </c>
      <c r="K1249">
        <v>0</v>
      </c>
      <c r="L1249">
        <v>5</v>
      </c>
      <c r="M1249">
        <v>0</v>
      </c>
      <c r="N1249">
        <v>0</v>
      </c>
      <c r="O1249">
        <v>4</v>
      </c>
      <c r="P1249">
        <v>1</v>
      </c>
      <c r="Q1249">
        <v>0</v>
      </c>
      <c r="R1249">
        <v>1</v>
      </c>
      <c r="S1249">
        <v>2</v>
      </c>
      <c r="T1249">
        <v>5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3</v>
      </c>
      <c r="AB1249">
        <v>11</v>
      </c>
      <c r="AC1249">
        <v>0</v>
      </c>
      <c r="AD1249" t="str">
        <f t="shared" si="247"/>
        <v>Ok</v>
      </c>
      <c r="AE1249" t="str">
        <f>IF(AND(Audit_Data[[#This Row],[Year_Birth]]&gt;=1900,Audit_Data[[#This Row],[Year_Birth]]&lt;=2010),"OK","Invalid")</f>
        <v>OK</v>
      </c>
      <c r="AF1249" t="str">
        <f t="shared" si="248"/>
        <v>Valid</v>
      </c>
      <c r="AG1249" t="str">
        <f t="shared" si="249"/>
        <v>Valid</v>
      </c>
      <c r="AH1249" t="str">
        <f t="shared" si="250"/>
        <v>Valid</v>
      </c>
      <c r="AI1249" t="str">
        <f t="shared" si="251"/>
        <v>Valid</v>
      </c>
      <c r="AJ1249" t="str">
        <f t="shared" si="252"/>
        <v>Valid</v>
      </c>
      <c r="AK1249" t="str">
        <f t="shared" si="259"/>
        <v xml:space="preserve">Valid </v>
      </c>
      <c r="AL1249" t="str">
        <f>IF(AND(Audit_Data[[#This Row],[Recency]]&gt;=0,Audit_Data[[#This Row],[Recency]]&lt;=100),"Valid","Invalid")</f>
        <v>Valid</v>
      </c>
      <c r="AM1249" t="str">
        <f t="shared" si="253"/>
        <v>Valid</v>
      </c>
      <c r="AN1249" t="str">
        <f t="shared" si="254"/>
        <v>Valid</v>
      </c>
      <c r="AO1249" t="str">
        <f t="shared" si="255"/>
        <v>Valid</v>
      </c>
      <c r="AP1249" t="str">
        <f t="shared" si="256"/>
        <v>Valid</v>
      </c>
      <c r="AQ1249" t="str">
        <f>IF(Audit_Data[[#This Row],[Z_CostContact]]=3,"Valid","Invalid")</f>
        <v>Valid</v>
      </c>
      <c r="AR1249" t="str">
        <f t="shared" si="257"/>
        <v>Valid</v>
      </c>
      <c r="AS1249" t="str">
        <f t="shared" si="258"/>
        <v>Valid</v>
      </c>
    </row>
    <row r="1250" spans="1:45" x14ac:dyDescent="0.3">
      <c r="A1250">
        <v>4298</v>
      </c>
      <c r="B1250">
        <v>1973</v>
      </c>
      <c r="C1250" t="s">
        <v>32</v>
      </c>
      <c r="D1250" t="s">
        <v>31</v>
      </c>
      <c r="E1250">
        <v>20427</v>
      </c>
      <c r="F1250">
        <v>1</v>
      </c>
      <c r="G1250">
        <v>0</v>
      </c>
      <c r="H1250" s="1">
        <v>41722</v>
      </c>
      <c r="I1250">
        <v>63</v>
      </c>
      <c r="J1250">
        <v>5</v>
      </c>
      <c r="K1250">
        <v>0</v>
      </c>
      <c r="L1250">
        <v>4</v>
      </c>
      <c r="M1250">
        <v>0</v>
      </c>
      <c r="N1250">
        <v>0</v>
      </c>
      <c r="O1250">
        <v>1</v>
      </c>
      <c r="P1250">
        <v>1</v>
      </c>
      <c r="Q1250">
        <v>1</v>
      </c>
      <c r="R1250">
        <v>0</v>
      </c>
      <c r="S1250">
        <v>2</v>
      </c>
      <c r="T1250">
        <v>8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3</v>
      </c>
      <c r="AB1250">
        <v>11</v>
      </c>
      <c r="AC1250">
        <v>0</v>
      </c>
      <c r="AD1250" t="str">
        <f t="shared" si="247"/>
        <v>Ok</v>
      </c>
      <c r="AE1250" t="str">
        <f>IF(AND(Audit_Data[[#This Row],[Year_Birth]]&gt;=1900,Audit_Data[[#This Row],[Year_Birth]]&lt;=2010),"OK","Invalid")</f>
        <v>OK</v>
      </c>
      <c r="AF1250" t="str">
        <f t="shared" si="248"/>
        <v>Valid</v>
      </c>
      <c r="AG1250" t="str">
        <f t="shared" si="249"/>
        <v>Valid</v>
      </c>
      <c r="AH1250" t="str">
        <f t="shared" si="250"/>
        <v>Valid</v>
      </c>
      <c r="AI1250" t="str">
        <f t="shared" si="251"/>
        <v>Valid</v>
      </c>
      <c r="AJ1250" t="str">
        <f t="shared" si="252"/>
        <v>Valid</v>
      </c>
      <c r="AK1250" t="str">
        <f t="shared" si="259"/>
        <v xml:space="preserve">Valid </v>
      </c>
      <c r="AL1250" t="str">
        <f>IF(AND(Audit_Data[[#This Row],[Recency]]&gt;=0,Audit_Data[[#This Row],[Recency]]&lt;=100),"Valid","Invalid")</f>
        <v>Valid</v>
      </c>
      <c r="AM1250" t="str">
        <f t="shared" si="253"/>
        <v>Valid</v>
      </c>
      <c r="AN1250" t="str">
        <f t="shared" si="254"/>
        <v>Valid</v>
      </c>
      <c r="AO1250" t="str">
        <f t="shared" si="255"/>
        <v>Valid</v>
      </c>
      <c r="AP1250" t="str">
        <f t="shared" si="256"/>
        <v>Valid</v>
      </c>
      <c r="AQ1250" t="str">
        <f>IF(Audit_Data[[#This Row],[Z_CostContact]]=3,"Valid","Invalid")</f>
        <v>Valid</v>
      </c>
      <c r="AR1250" t="str">
        <f t="shared" si="257"/>
        <v>Valid</v>
      </c>
      <c r="AS1250" t="str">
        <f t="shared" si="258"/>
        <v>Valid</v>
      </c>
    </row>
    <row r="1251" spans="1:45" x14ac:dyDescent="0.3">
      <c r="A1251">
        <v>10833</v>
      </c>
      <c r="B1251">
        <v>1975</v>
      </c>
      <c r="C1251" t="s">
        <v>29</v>
      </c>
      <c r="D1251" t="s">
        <v>33</v>
      </c>
      <c r="E1251">
        <v>65106</v>
      </c>
      <c r="F1251">
        <v>0</v>
      </c>
      <c r="G1251">
        <v>1</v>
      </c>
      <c r="H1251" s="1">
        <v>41783</v>
      </c>
      <c r="I1251">
        <v>55</v>
      </c>
      <c r="J1251">
        <v>790</v>
      </c>
      <c r="K1251">
        <v>19</v>
      </c>
      <c r="L1251">
        <v>133</v>
      </c>
      <c r="M1251">
        <v>12</v>
      </c>
      <c r="N1251">
        <v>0</v>
      </c>
      <c r="O1251">
        <v>19</v>
      </c>
      <c r="P1251">
        <v>3</v>
      </c>
      <c r="Q1251">
        <v>8</v>
      </c>
      <c r="R1251">
        <v>3</v>
      </c>
      <c r="S1251">
        <v>13</v>
      </c>
      <c r="T1251">
        <v>6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3</v>
      </c>
      <c r="AB1251">
        <v>11</v>
      </c>
      <c r="AC1251">
        <v>0</v>
      </c>
      <c r="AD1251" t="str">
        <f t="shared" si="247"/>
        <v>Ok</v>
      </c>
      <c r="AE1251" t="str">
        <f>IF(AND(Audit_Data[[#This Row],[Year_Birth]]&gt;=1900,Audit_Data[[#This Row],[Year_Birth]]&lt;=2010),"OK","Invalid")</f>
        <v>OK</v>
      </c>
      <c r="AF1251" t="str">
        <f t="shared" si="248"/>
        <v>Valid</v>
      </c>
      <c r="AG1251" t="str">
        <f t="shared" si="249"/>
        <v>Valid</v>
      </c>
      <c r="AH1251" t="str">
        <f t="shared" si="250"/>
        <v>Valid</v>
      </c>
      <c r="AI1251" t="str">
        <f t="shared" si="251"/>
        <v>Valid</v>
      </c>
      <c r="AJ1251" t="str">
        <f t="shared" si="252"/>
        <v>Valid</v>
      </c>
      <c r="AK1251" t="str">
        <f t="shared" si="259"/>
        <v xml:space="preserve">Valid </v>
      </c>
      <c r="AL1251" t="str">
        <f>IF(AND(Audit_Data[[#This Row],[Recency]]&gt;=0,Audit_Data[[#This Row],[Recency]]&lt;=100),"Valid","Invalid")</f>
        <v>Valid</v>
      </c>
      <c r="AM1251" t="str">
        <f t="shared" si="253"/>
        <v>Valid</v>
      </c>
      <c r="AN1251" t="str">
        <f t="shared" si="254"/>
        <v>Valid</v>
      </c>
      <c r="AO1251" t="str">
        <f t="shared" si="255"/>
        <v>Valid</v>
      </c>
      <c r="AP1251" t="str">
        <f t="shared" si="256"/>
        <v>Valid</v>
      </c>
      <c r="AQ1251" t="str">
        <f>IF(Audit_Data[[#This Row],[Z_CostContact]]=3,"Valid","Invalid")</f>
        <v>Valid</v>
      </c>
      <c r="AR1251" t="str">
        <f t="shared" si="257"/>
        <v>Valid</v>
      </c>
      <c r="AS1251" t="str">
        <f t="shared" si="258"/>
        <v>Valid</v>
      </c>
    </row>
    <row r="1252" spans="1:45" x14ac:dyDescent="0.3">
      <c r="A1252">
        <v>9606</v>
      </c>
      <c r="B1252">
        <v>1965</v>
      </c>
      <c r="C1252" t="s">
        <v>32</v>
      </c>
      <c r="D1252" t="s">
        <v>33</v>
      </c>
      <c r="E1252">
        <v>69969</v>
      </c>
      <c r="F1252">
        <v>0</v>
      </c>
      <c r="G1252">
        <v>0</v>
      </c>
      <c r="H1252" s="1">
        <v>41513</v>
      </c>
      <c r="I1252">
        <v>64</v>
      </c>
      <c r="J1252">
        <v>882</v>
      </c>
      <c r="K1252">
        <v>29</v>
      </c>
      <c r="L1252">
        <v>514</v>
      </c>
      <c r="M1252">
        <v>38</v>
      </c>
      <c r="N1252">
        <v>29</v>
      </c>
      <c r="O1252">
        <v>44</v>
      </c>
      <c r="P1252">
        <v>1</v>
      </c>
      <c r="Q1252">
        <v>4</v>
      </c>
      <c r="R1252">
        <v>2</v>
      </c>
      <c r="S1252">
        <v>6</v>
      </c>
      <c r="T1252">
        <v>3</v>
      </c>
      <c r="U1252">
        <v>0</v>
      </c>
      <c r="V1252">
        <v>0</v>
      </c>
      <c r="W1252">
        <v>1</v>
      </c>
      <c r="X1252">
        <v>1</v>
      </c>
      <c r="Y1252">
        <v>0</v>
      </c>
      <c r="Z1252">
        <v>0</v>
      </c>
      <c r="AA1252">
        <v>3</v>
      </c>
      <c r="AB1252">
        <v>11</v>
      </c>
      <c r="AC1252">
        <v>1</v>
      </c>
      <c r="AD1252" t="str">
        <f t="shared" si="247"/>
        <v>Ok</v>
      </c>
      <c r="AE1252" t="str">
        <f>IF(AND(Audit_Data[[#This Row],[Year_Birth]]&gt;=1900,Audit_Data[[#This Row],[Year_Birth]]&lt;=2010),"OK","Invalid")</f>
        <v>OK</v>
      </c>
      <c r="AF1252" t="str">
        <f t="shared" si="248"/>
        <v>Valid</v>
      </c>
      <c r="AG1252" t="str">
        <f t="shared" si="249"/>
        <v>Valid</v>
      </c>
      <c r="AH1252" t="str">
        <f t="shared" si="250"/>
        <v>Valid</v>
      </c>
      <c r="AI1252" t="str">
        <f t="shared" si="251"/>
        <v>Valid</v>
      </c>
      <c r="AJ1252" t="str">
        <f t="shared" si="252"/>
        <v>Valid</v>
      </c>
      <c r="AK1252" t="str">
        <f t="shared" si="259"/>
        <v xml:space="preserve">Valid </v>
      </c>
      <c r="AL1252" t="str">
        <f>IF(AND(Audit_Data[[#This Row],[Recency]]&gt;=0,Audit_Data[[#This Row],[Recency]]&lt;=100),"Valid","Invalid")</f>
        <v>Valid</v>
      </c>
      <c r="AM1252" t="str">
        <f t="shared" si="253"/>
        <v>Valid</v>
      </c>
      <c r="AN1252" t="str">
        <f t="shared" si="254"/>
        <v>Valid</v>
      </c>
      <c r="AO1252" t="str">
        <f t="shared" si="255"/>
        <v>Valid</v>
      </c>
      <c r="AP1252" t="str">
        <f t="shared" si="256"/>
        <v>Valid</v>
      </c>
      <c r="AQ1252" t="str">
        <f>IF(Audit_Data[[#This Row],[Z_CostContact]]=3,"Valid","Invalid")</f>
        <v>Valid</v>
      </c>
      <c r="AR1252" t="str">
        <f t="shared" si="257"/>
        <v>Valid</v>
      </c>
      <c r="AS1252" t="str">
        <f t="shared" si="258"/>
        <v>Valid</v>
      </c>
    </row>
    <row r="1253" spans="1:45" x14ac:dyDescent="0.3">
      <c r="A1253">
        <v>8534</v>
      </c>
      <c r="B1253">
        <v>1952</v>
      </c>
      <c r="C1253" t="s">
        <v>29</v>
      </c>
      <c r="D1253" t="s">
        <v>33</v>
      </c>
      <c r="E1253">
        <v>67433</v>
      </c>
      <c r="F1253">
        <v>0</v>
      </c>
      <c r="G1253">
        <v>2</v>
      </c>
      <c r="H1253" s="1">
        <v>41471</v>
      </c>
      <c r="I1253">
        <v>51</v>
      </c>
      <c r="J1253">
        <v>615</v>
      </c>
      <c r="K1253">
        <v>28</v>
      </c>
      <c r="L1253">
        <v>259</v>
      </c>
      <c r="M1253">
        <v>12</v>
      </c>
      <c r="N1253">
        <v>48</v>
      </c>
      <c r="O1253">
        <v>30</v>
      </c>
      <c r="P1253">
        <v>4</v>
      </c>
      <c r="Q1253">
        <v>6</v>
      </c>
      <c r="R1253">
        <v>5</v>
      </c>
      <c r="S1253">
        <v>13</v>
      </c>
      <c r="T1253">
        <v>4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3</v>
      </c>
      <c r="AB1253">
        <v>11</v>
      </c>
      <c r="AC1253">
        <v>0</v>
      </c>
      <c r="AD1253" t="str">
        <f t="shared" si="247"/>
        <v>Ok</v>
      </c>
      <c r="AE1253" t="str">
        <f>IF(AND(Audit_Data[[#This Row],[Year_Birth]]&gt;=1900,Audit_Data[[#This Row],[Year_Birth]]&lt;=2010),"OK","Invalid")</f>
        <v>OK</v>
      </c>
      <c r="AF1253" t="str">
        <f t="shared" si="248"/>
        <v>Valid</v>
      </c>
      <c r="AG1253" t="str">
        <f t="shared" si="249"/>
        <v>Valid</v>
      </c>
      <c r="AH1253" t="str">
        <f t="shared" si="250"/>
        <v>Valid</v>
      </c>
      <c r="AI1253" t="str">
        <f t="shared" si="251"/>
        <v>Valid</v>
      </c>
      <c r="AJ1253" t="str">
        <f t="shared" si="252"/>
        <v>Valid</v>
      </c>
      <c r="AK1253" t="str">
        <f t="shared" si="259"/>
        <v xml:space="preserve">Valid </v>
      </c>
      <c r="AL1253" t="str">
        <f>IF(AND(Audit_Data[[#This Row],[Recency]]&gt;=0,Audit_Data[[#This Row],[Recency]]&lt;=100),"Valid","Invalid")</f>
        <v>Valid</v>
      </c>
      <c r="AM1253" t="str">
        <f t="shared" si="253"/>
        <v>Valid</v>
      </c>
      <c r="AN1253" t="str">
        <f t="shared" si="254"/>
        <v>Valid</v>
      </c>
      <c r="AO1253" t="str">
        <f t="shared" si="255"/>
        <v>Valid</v>
      </c>
      <c r="AP1253" t="str">
        <f t="shared" si="256"/>
        <v>Valid</v>
      </c>
      <c r="AQ1253" t="str">
        <f>IF(Audit_Data[[#This Row],[Z_CostContact]]=3,"Valid","Invalid")</f>
        <v>Valid</v>
      </c>
      <c r="AR1253" t="str">
        <f t="shared" si="257"/>
        <v>Valid</v>
      </c>
      <c r="AS1253" t="str">
        <f t="shared" si="258"/>
        <v>Valid</v>
      </c>
    </row>
    <row r="1254" spans="1:45" x14ac:dyDescent="0.3">
      <c r="A1254">
        <v>5153</v>
      </c>
      <c r="B1254">
        <v>1967</v>
      </c>
      <c r="C1254" t="s">
        <v>32</v>
      </c>
      <c r="D1254" t="s">
        <v>33</v>
      </c>
      <c r="E1254">
        <v>77766</v>
      </c>
      <c r="F1254">
        <v>0</v>
      </c>
      <c r="G1254">
        <v>1</v>
      </c>
      <c r="H1254" s="1">
        <v>41327</v>
      </c>
      <c r="I1254">
        <v>97</v>
      </c>
      <c r="J1254">
        <v>1004</v>
      </c>
      <c r="K1254">
        <v>59</v>
      </c>
      <c r="L1254">
        <v>265</v>
      </c>
      <c r="M1254">
        <v>115</v>
      </c>
      <c r="N1254">
        <v>59</v>
      </c>
      <c r="O1254">
        <v>27</v>
      </c>
      <c r="P1254">
        <v>2</v>
      </c>
      <c r="Q1254">
        <v>11</v>
      </c>
      <c r="R1254">
        <v>10</v>
      </c>
      <c r="S1254">
        <v>11</v>
      </c>
      <c r="T1254">
        <v>6</v>
      </c>
      <c r="U1254">
        <v>1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3</v>
      </c>
      <c r="AB1254">
        <v>11</v>
      </c>
      <c r="AC1254">
        <v>1</v>
      </c>
      <c r="AD1254" t="str">
        <f t="shared" si="247"/>
        <v>Ok</v>
      </c>
      <c r="AE1254" t="str">
        <f>IF(AND(Audit_Data[[#This Row],[Year_Birth]]&gt;=1900,Audit_Data[[#This Row],[Year_Birth]]&lt;=2010),"OK","Invalid")</f>
        <v>OK</v>
      </c>
      <c r="AF1254" t="str">
        <f t="shared" si="248"/>
        <v>Valid</v>
      </c>
      <c r="AG1254" t="str">
        <f t="shared" si="249"/>
        <v>Valid</v>
      </c>
      <c r="AH1254" t="str">
        <f t="shared" si="250"/>
        <v>Valid</v>
      </c>
      <c r="AI1254" t="str">
        <f t="shared" si="251"/>
        <v>Valid</v>
      </c>
      <c r="AJ1254" t="str">
        <f t="shared" si="252"/>
        <v>Valid</v>
      </c>
      <c r="AK1254" t="str">
        <f t="shared" si="259"/>
        <v xml:space="preserve">Valid </v>
      </c>
      <c r="AL1254" t="str">
        <f>IF(AND(Audit_Data[[#This Row],[Recency]]&gt;=0,Audit_Data[[#This Row],[Recency]]&lt;=100),"Valid","Invalid")</f>
        <v>Valid</v>
      </c>
      <c r="AM1254" t="str">
        <f t="shared" si="253"/>
        <v>Valid</v>
      </c>
      <c r="AN1254" t="str">
        <f t="shared" si="254"/>
        <v>Valid</v>
      </c>
      <c r="AO1254" t="str">
        <f t="shared" si="255"/>
        <v>Valid</v>
      </c>
      <c r="AP1254" t="str">
        <f t="shared" si="256"/>
        <v>Valid</v>
      </c>
      <c r="AQ1254" t="str">
        <f>IF(Audit_Data[[#This Row],[Z_CostContact]]=3,"Valid","Invalid")</f>
        <v>Valid</v>
      </c>
      <c r="AR1254" t="str">
        <f t="shared" si="257"/>
        <v>Valid</v>
      </c>
      <c r="AS1254" t="str">
        <f t="shared" si="258"/>
        <v>Valid</v>
      </c>
    </row>
    <row r="1255" spans="1:45" x14ac:dyDescent="0.3">
      <c r="A1255">
        <v>961</v>
      </c>
      <c r="B1255">
        <v>1972</v>
      </c>
      <c r="C1255" t="s">
        <v>29</v>
      </c>
      <c r="D1255" t="s">
        <v>33</v>
      </c>
      <c r="E1255">
        <v>74716</v>
      </c>
      <c r="F1255">
        <v>0</v>
      </c>
      <c r="G1255">
        <v>1</v>
      </c>
      <c r="H1255" s="1">
        <v>41529</v>
      </c>
      <c r="I1255">
        <v>92</v>
      </c>
      <c r="J1255">
        <v>133</v>
      </c>
      <c r="K1255">
        <v>27</v>
      </c>
      <c r="L1255">
        <v>421</v>
      </c>
      <c r="M1255">
        <v>13</v>
      </c>
      <c r="N1255">
        <v>195</v>
      </c>
      <c r="O1255">
        <v>71</v>
      </c>
      <c r="P1255">
        <v>2</v>
      </c>
      <c r="Q1255">
        <v>7</v>
      </c>
      <c r="R1255">
        <v>3</v>
      </c>
      <c r="S1255">
        <v>5</v>
      </c>
      <c r="T1255">
        <v>4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3</v>
      </c>
      <c r="AB1255">
        <v>11</v>
      </c>
      <c r="AC1255">
        <v>0</v>
      </c>
      <c r="AD1255" t="str">
        <f t="shared" si="247"/>
        <v>Ok</v>
      </c>
      <c r="AE1255" t="str">
        <f>IF(AND(Audit_Data[[#This Row],[Year_Birth]]&gt;=1900,Audit_Data[[#This Row],[Year_Birth]]&lt;=2010),"OK","Invalid")</f>
        <v>OK</v>
      </c>
      <c r="AF1255" t="str">
        <f t="shared" si="248"/>
        <v>Valid</v>
      </c>
      <c r="AG1255" t="str">
        <f t="shared" si="249"/>
        <v>Valid</v>
      </c>
      <c r="AH1255" t="str">
        <f t="shared" si="250"/>
        <v>Valid</v>
      </c>
      <c r="AI1255" t="str">
        <f t="shared" si="251"/>
        <v>Valid</v>
      </c>
      <c r="AJ1255" t="str">
        <f t="shared" si="252"/>
        <v>Valid</v>
      </c>
      <c r="AK1255" t="str">
        <f t="shared" si="259"/>
        <v xml:space="preserve">Valid </v>
      </c>
      <c r="AL1255" t="str">
        <f>IF(AND(Audit_Data[[#This Row],[Recency]]&gt;=0,Audit_Data[[#This Row],[Recency]]&lt;=100),"Valid","Invalid")</f>
        <v>Valid</v>
      </c>
      <c r="AM1255" t="str">
        <f t="shared" si="253"/>
        <v>Valid</v>
      </c>
      <c r="AN1255" t="str">
        <f t="shared" si="254"/>
        <v>Valid</v>
      </c>
      <c r="AO1255" t="str">
        <f t="shared" si="255"/>
        <v>Valid</v>
      </c>
      <c r="AP1255" t="str">
        <f t="shared" si="256"/>
        <v>Valid</v>
      </c>
      <c r="AQ1255" t="str">
        <f>IF(Audit_Data[[#This Row],[Z_CostContact]]=3,"Valid","Invalid")</f>
        <v>Valid</v>
      </c>
      <c r="AR1255" t="str">
        <f t="shared" si="257"/>
        <v>Valid</v>
      </c>
      <c r="AS1255" t="str">
        <f t="shared" si="258"/>
        <v>Valid</v>
      </c>
    </row>
    <row r="1256" spans="1:45" x14ac:dyDescent="0.3">
      <c r="A1256">
        <v>5011</v>
      </c>
      <c r="B1256">
        <v>1963</v>
      </c>
      <c r="C1256" t="s">
        <v>29</v>
      </c>
      <c r="D1256" t="s">
        <v>35</v>
      </c>
      <c r="E1256">
        <v>68118</v>
      </c>
      <c r="F1256">
        <v>0</v>
      </c>
      <c r="G1256">
        <v>1</v>
      </c>
      <c r="H1256" s="1">
        <v>41565</v>
      </c>
      <c r="I1256">
        <v>51</v>
      </c>
      <c r="J1256">
        <v>595</v>
      </c>
      <c r="K1256">
        <v>23</v>
      </c>
      <c r="L1256">
        <v>123</v>
      </c>
      <c r="M1256">
        <v>10</v>
      </c>
      <c r="N1256">
        <v>23</v>
      </c>
      <c r="O1256">
        <v>154</v>
      </c>
      <c r="P1256">
        <v>2</v>
      </c>
      <c r="Q1256">
        <v>8</v>
      </c>
      <c r="R1256">
        <v>9</v>
      </c>
      <c r="S1256">
        <v>4</v>
      </c>
      <c r="T1256">
        <v>6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3</v>
      </c>
      <c r="AB1256">
        <v>11</v>
      </c>
      <c r="AC1256">
        <v>0</v>
      </c>
      <c r="AD1256" t="str">
        <f t="shared" si="247"/>
        <v>Ok</v>
      </c>
      <c r="AE1256" t="str">
        <f>IF(AND(Audit_Data[[#This Row],[Year_Birth]]&gt;=1900,Audit_Data[[#This Row],[Year_Birth]]&lt;=2010),"OK","Invalid")</f>
        <v>OK</v>
      </c>
      <c r="AF1256" t="str">
        <f t="shared" si="248"/>
        <v>Valid</v>
      </c>
      <c r="AG1256" t="str">
        <f t="shared" si="249"/>
        <v>Valid</v>
      </c>
      <c r="AH1256" t="str">
        <f t="shared" si="250"/>
        <v>Valid</v>
      </c>
      <c r="AI1256" t="str">
        <f t="shared" si="251"/>
        <v>Valid</v>
      </c>
      <c r="AJ1256" t="str">
        <f t="shared" si="252"/>
        <v>Valid</v>
      </c>
      <c r="AK1256" t="str">
        <f t="shared" si="259"/>
        <v xml:space="preserve">Valid </v>
      </c>
      <c r="AL1256" t="str">
        <f>IF(AND(Audit_Data[[#This Row],[Recency]]&gt;=0,Audit_Data[[#This Row],[Recency]]&lt;=100),"Valid","Invalid")</f>
        <v>Valid</v>
      </c>
      <c r="AM1256" t="str">
        <f t="shared" si="253"/>
        <v>Valid</v>
      </c>
      <c r="AN1256" t="str">
        <f t="shared" si="254"/>
        <v>Valid</v>
      </c>
      <c r="AO1256" t="str">
        <f t="shared" si="255"/>
        <v>Valid</v>
      </c>
      <c r="AP1256" t="str">
        <f t="shared" si="256"/>
        <v>Valid</v>
      </c>
      <c r="AQ1256" t="str">
        <f>IF(Audit_Data[[#This Row],[Z_CostContact]]=3,"Valid","Invalid")</f>
        <v>Valid</v>
      </c>
      <c r="AR1256" t="str">
        <f t="shared" si="257"/>
        <v>Valid</v>
      </c>
      <c r="AS1256" t="str">
        <f t="shared" si="258"/>
        <v>Valid</v>
      </c>
    </row>
    <row r="1257" spans="1:45" x14ac:dyDescent="0.3">
      <c r="A1257">
        <v>6653</v>
      </c>
      <c r="B1257">
        <v>1970</v>
      </c>
      <c r="C1257" t="s">
        <v>32</v>
      </c>
      <c r="D1257" t="s">
        <v>33</v>
      </c>
      <c r="E1257">
        <v>55158</v>
      </c>
      <c r="F1257">
        <v>1</v>
      </c>
      <c r="G1257">
        <v>1</v>
      </c>
      <c r="H1257" s="1">
        <v>41120</v>
      </c>
      <c r="I1257">
        <v>72</v>
      </c>
      <c r="J1257">
        <v>293</v>
      </c>
      <c r="K1257">
        <v>0</v>
      </c>
      <c r="L1257">
        <v>87</v>
      </c>
      <c r="M1257">
        <v>4</v>
      </c>
      <c r="N1257">
        <v>11</v>
      </c>
      <c r="O1257">
        <v>23</v>
      </c>
      <c r="P1257">
        <v>4</v>
      </c>
      <c r="Q1257">
        <v>7</v>
      </c>
      <c r="R1257">
        <v>2</v>
      </c>
      <c r="S1257">
        <v>5</v>
      </c>
      <c r="T1257">
        <v>7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3</v>
      </c>
      <c r="AB1257">
        <v>11</v>
      </c>
      <c r="AC1257">
        <v>1</v>
      </c>
      <c r="AD1257" t="str">
        <f t="shared" si="247"/>
        <v>Ok</v>
      </c>
      <c r="AE1257" t="str">
        <f>IF(AND(Audit_Data[[#This Row],[Year_Birth]]&gt;=1900,Audit_Data[[#This Row],[Year_Birth]]&lt;=2010),"OK","Invalid")</f>
        <v>OK</v>
      </c>
      <c r="AF1257" t="str">
        <f t="shared" si="248"/>
        <v>Valid</v>
      </c>
      <c r="AG1257" t="str">
        <f t="shared" si="249"/>
        <v>Valid</v>
      </c>
      <c r="AH1257" t="str">
        <f t="shared" si="250"/>
        <v>Valid</v>
      </c>
      <c r="AI1257" t="str">
        <f t="shared" si="251"/>
        <v>Valid</v>
      </c>
      <c r="AJ1257" t="str">
        <f t="shared" si="252"/>
        <v>Valid</v>
      </c>
      <c r="AK1257" t="str">
        <f t="shared" si="259"/>
        <v xml:space="preserve">Valid </v>
      </c>
      <c r="AL1257" t="str">
        <f>IF(AND(Audit_Data[[#This Row],[Recency]]&gt;=0,Audit_Data[[#This Row],[Recency]]&lt;=100),"Valid","Invalid")</f>
        <v>Valid</v>
      </c>
      <c r="AM1257" t="str">
        <f t="shared" si="253"/>
        <v>Valid</v>
      </c>
      <c r="AN1257" t="str">
        <f t="shared" si="254"/>
        <v>Valid</v>
      </c>
      <c r="AO1257" t="str">
        <f t="shared" si="255"/>
        <v>Valid</v>
      </c>
      <c r="AP1257" t="str">
        <f t="shared" si="256"/>
        <v>Valid</v>
      </c>
      <c r="AQ1257" t="str">
        <f>IF(Audit_Data[[#This Row],[Z_CostContact]]=3,"Valid","Invalid")</f>
        <v>Valid</v>
      </c>
      <c r="AR1257" t="str">
        <f t="shared" si="257"/>
        <v>Valid</v>
      </c>
      <c r="AS1257" t="str">
        <f t="shared" si="258"/>
        <v>Valid</v>
      </c>
    </row>
    <row r="1258" spans="1:45" x14ac:dyDescent="0.3">
      <c r="A1258">
        <v>9094</v>
      </c>
      <c r="B1258">
        <v>1955</v>
      </c>
      <c r="C1258" t="s">
        <v>37</v>
      </c>
      <c r="D1258" t="s">
        <v>33</v>
      </c>
      <c r="E1258">
        <v>62972</v>
      </c>
      <c r="F1258">
        <v>0</v>
      </c>
      <c r="G1258">
        <v>1</v>
      </c>
      <c r="H1258" s="1">
        <v>41124</v>
      </c>
      <c r="I1258">
        <v>39</v>
      </c>
      <c r="J1258">
        <v>313</v>
      </c>
      <c r="K1258">
        <v>15</v>
      </c>
      <c r="L1258">
        <v>47</v>
      </c>
      <c r="M1258">
        <v>20</v>
      </c>
      <c r="N1258">
        <v>0</v>
      </c>
      <c r="O1258">
        <v>192</v>
      </c>
      <c r="P1258">
        <v>2</v>
      </c>
      <c r="Q1258">
        <v>7</v>
      </c>
      <c r="R1258">
        <v>4</v>
      </c>
      <c r="S1258">
        <v>3</v>
      </c>
      <c r="T1258">
        <v>6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3</v>
      </c>
      <c r="AB1258">
        <v>11</v>
      </c>
      <c r="AC1258">
        <v>1</v>
      </c>
      <c r="AD1258" t="str">
        <f t="shared" si="247"/>
        <v>Ok</v>
      </c>
      <c r="AE1258" t="str">
        <f>IF(AND(Audit_Data[[#This Row],[Year_Birth]]&gt;=1900,Audit_Data[[#This Row],[Year_Birth]]&lt;=2010),"OK","Invalid")</f>
        <v>OK</v>
      </c>
      <c r="AF1258" t="str">
        <f t="shared" si="248"/>
        <v>Valid</v>
      </c>
      <c r="AG1258" t="str">
        <f t="shared" si="249"/>
        <v>Valid</v>
      </c>
      <c r="AH1258" t="str">
        <f t="shared" si="250"/>
        <v>Valid</v>
      </c>
      <c r="AI1258" t="str">
        <f t="shared" si="251"/>
        <v>Valid</v>
      </c>
      <c r="AJ1258" t="str">
        <f t="shared" si="252"/>
        <v>Valid</v>
      </c>
      <c r="AK1258" t="str">
        <f t="shared" si="259"/>
        <v xml:space="preserve">Valid </v>
      </c>
      <c r="AL1258" t="str">
        <f>IF(AND(Audit_Data[[#This Row],[Recency]]&gt;=0,Audit_Data[[#This Row],[Recency]]&lt;=100),"Valid","Invalid")</f>
        <v>Valid</v>
      </c>
      <c r="AM1258" t="str">
        <f t="shared" si="253"/>
        <v>Valid</v>
      </c>
      <c r="AN1258" t="str">
        <f t="shared" si="254"/>
        <v>Valid</v>
      </c>
      <c r="AO1258" t="str">
        <f t="shared" si="255"/>
        <v>Valid</v>
      </c>
      <c r="AP1258" t="str">
        <f t="shared" si="256"/>
        <v>Valid</v>
      </c>
      <c r="AQ1258" t="str">
        <f>IF(Audit_Data[[#This Row],[Z_CostContact]]=3,"Valid","Invalid")</f>
        <v>Valid</v>
      </c>
      <c r="AR1258" t="str">
        <f t="shared" si="257"/>
        <v>Valid</v>
      </c>
      <c r="AS1258" t="str">
        <f t="shared" si="258"/>
        <v>Valid</v>
      </c>
    </row>
    <row r="1259" spans="1:45" x14ac:dyDescent="0.3">
      <c r="A1259">
        <v>810</v>
      </c>
      <c r="B1259">
        <v>1975</v>
      </c>
      <c r="C1259" t="s">
        <v>29</v>
      </c>
      <c r="D1259" t="s">
        <v>33</v>
      </c>
      <c r="E1259">
        <v>74190</v>
      </c>
      <c r="F1259">
        <v>0</v>
      </c>
      <c r="G1259">
        <v>1</v>
      </c>
      <c r="H1259" s="1">
        <v>41771</v>
      </c>
      <c r="I1259">
        <v>49</v>
      </c>
      <c r="J1259">
        <v>151</v>
      </c>
      <c r="K1259">
        <v>81</v>
      </c>
      <c r="L1259">
        <v>86</v>
      </c>
      <c r="M1259">
        <v>168</v>
      </c>
      <c r="N1259">
        <v>91</v>
      </c>
      <c r="O1259">
        <v>64</v>
      </c>
      <c r="P1259">
        <v>2</v>
      </c>
      <c r="Q1259">
        <v>4</v>
      </c>
      <c r="R1259">
        <v>2</v>
      </c>
      <c r="S1259">
        <v>11</v>
      </c>
      <c r="T1259">
        <v>2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3</v>
      </c>
      <c r="AB1259">
        <v>11</v>
      </c>
      <c r="AC1259">
        <v>0</v>
      </c>
      <c r="AD1259" t="str">
        <f t="shared" si="247"/>
        <v>Ok</v>
      </c>
      <c r="AE1259" t="str">
        <f>IF(AND(Audit_Data[[#This Row],[Year_Birth]]&gt;=1900,Audit_Data[[#This Row],[Year_Birth]]&lt;=2010),"OK","Invalid")</f>
        <v>OK</v>
      </c>
      <c r="AF1259" t="str">
        <f t="shared" si="248"/>
        <v>Valid</v>
      </c>
      <c r="AG1259" t="str">
        <f t="shared" si="249"/>
        <v>Valid</v>
      </c>
      <c r="AH1259" t="str">
        <f t="shared" si="250"/>
        <v>Valid</v>
      </c>
      <c r="AI1259" t="str">
        <f t="shared" si="251"/>
        <v>Valid</v>
      </c>
      <c r="AJ1259" t="str">
        <f t="shared" si="252"/>
        <v>Valid</v>
      </c>
      <c r="AK1259" t="str">
        <f t="shared" si="259"/>
        <v xml:space="preserve">Valid </v>
      </c>
      <c r="AL1259" t="str">
        <f>IF(AND(Audit_Data[[#This Row],[Recency]]&gt;=0,Audit_Data[[#This Row],[Recency]]&lt;=100),"Valid","Invalid")</f>
        <v>Valid</v>
      </c>
      <c r="AM1259" t="str">
        <f t="shared" si="253"/>
        <v>Valid</v>
      </c>
      <c r="AN1259" t="str">
        <f t="shared" si="254"/>
        <v>Valid</v>
      </c>
      <c r="AO1259" t="str">
        <f t="shared" si="255"/>
        <v>Valid</v>
      </c>
      <c r="AP1259" t="str">
        <f t="shared" si="256"/>
        <v>Valid</v>
      </c>
      <c r="AQ1259" t="str">
        <f>IF(Audit_Data[[#This Row],[Z_CostContact]]=3,"Valid","Invalid")</f>
        <v>Valid</v>
      </c>
      <c r="AR1259" t="str">
        <f t="shared" si="257"/>
        <v>Valid</v>
      </c>
      <c r="AS1259" t="str">
        <f t="shared" si="258"/>
        <v>Valid</v>
      </c>
    </row>
    <row r="1260" spans="1:45" x14ac:dyDescent="0.3">
      <c r="A1260">
        <v>5493</v>
      </c>
      <c r="B1260">
        <v>1976</v>
      </c>
      <c r="C1260" t="s">
        <v>29</v>
      </c>
      <c r="D1260" t="s">
        <v>33</v>
      </c>
      <c r="E1260">
        <v>39356</v>
      </c>
      <c r="F1260">
        <v>1</v>
      </c>
      <c r="G1260">
        <v>1</v>
      </c>
      <c r="H1260" s="1">
        <v>41717</v>
      </c>
      <c r="I1260">
        <v>21</v>
      </c>
      <c r="J1260">
        <v>15</v>
      </c>
      <c r="K1260">
        <v>0</v>
      </c>
      <c r="L1260">
        <v>2</v>
      </c>
      <c r="M1260">
        <v>0</v>
      </c>
      <c r="N1260">
        <v>0</v>
      </c>
      <c r="O1260">
        <v>6</v>
      </c>
      <c r="P1260">
        <v>1</v>
      </c>
      <c r="Q1260">
        <v>1</v>
      </c>
      <c r="R1260">
        <v>0</v>
      </c>
      <c r="S1260">
        <v>2</v>
      </c>
      <c r="T1260">
        <v>6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3</v>
      </c>
      <c r="AB1260">
        <v>11</v>
      </c>
      <c r="AC1260">
        <v>0</v>
      </c>
      <c r="AD1260" t="str">
        <f t="shared" si="247"/>
        <v>Ok</v>
      </c>
      <c r="AE1260" t="str">
        <f>IF(AND(Audit_Data[[#This Row],[Year_Birth]]&gt;=1900,Audit_Data[[#This Row],[Year_Birth]]&lt;=2010),"OK","Invalid")</f>
        <v>OK</v>
      </c>
      <c r="AF1260" t="str">
        <f t="shared" si="248"/>
        <v>Valid</v>
      </c>
      <c r="AG1260" t="str">
        <f t="shared" si="249"/>
        <v>Valid</v>
      </c>
      <c r="AH1260" t="str">
        <f t="shared" si="250"/>
        <v>Valid</v>
      </c>
      <c r="AI1260" t="str">
        <f t="shared" si="251"/>
        <v>Valid</v>
      </c>
      <c r="AJ1260" t="str">
        <f t="shared" si="252"/>
        <v>Valid</v>
      </c>
      <c r="AK1260" t="str">
        <f t="shared" si="259"/>
        <v xml:space="preserve">Valid </v>
      </c>
      <c r="AL1260" t="str">
        <f>IF(AND(Audit_Data[[#This Row],[Recency]]&gt;=0,Audit_Data[[#This Row],[Recency]]&lt;=100),"Valid","Invalid")</f>
        <v>Valid</v>
      </c>
      <c r="AM1260" t="str">
        <f t="shared" si="253"/>
        <v>Valid</v>
      </c>
      <c r="AN1260" t="str">
        <f t="shared" si="254"/>
        <v>Valid</v>
      </c>
      <c r="AO1260" t="str">
        <f t="shared" si="255"/>
        <v>Valid</v>
      </c>
      <c r="AP1260" t="str">
        <f t="shared" si="256"/>
        <v>Valid</v>
      </c>
      <c r="AQ1260" t="str">
        <f>IF(Audit_Data[[#This Row],[Z_CostContact]]=3,"Valid","Invalid")</f>
        <v>Valid</v>
      </c>
      <c r="AR1260" t="str">
        <f t="shared" si="257"/>
        <v>Valid</v>
      </c>
      <c r="AS1260" t="str">
        <f t="shared" si="258"/>
        <v>Valid</v>
      </c>
    </row>
    <row r="1261" spans="1:45" x14ac:dyDescent="0.3">
      <c r="A1261">
        <v>2147</v>
      </c>
      <c r="B1261">
        <v>1969</v>
      </c>
      <c r="C1261" t="s">
        <v>29</v>
      </c>
      <c r="D1261" t="s">
        <v>31</v>
      </c>
      <c r="E1261">
        <v>76653</v>
      </c>
      <c r="F1261">
        <v>0</v>
      </c>
      <c r="G1261">
        <v>0</v>
      </c>
      <c r="H1261" s="1">
        <v>41502</v>
      </c>
      <c r="I1261">
        <v>91</v>
      </c>
      <c r="J1261">
        <v>736</v>
      </c>
      <c r="K1261">
        <v>63</v>
      </c>
      <c r="L1261">
        <v>946</v>
      </c>
      <c r="M1261">
        <v>219</v>
      </c>
      <c r="N1261">
        <v>189</v>
      </c>
      <c r="O1261">
        <v>126</v>
      </c>
      <c r="P1261">
        <v>1</v>
      </c>
      <c r="Q1261">
        <v>4</v>
      </c>
      <c r="R1261">
        <v>7</v>
      </c>
      <c r="S1261">
        <v>11</v>
      </c>
      <c r="T1261">
        <v>2</v>
      </c>
      <c r="U1261">
        <v>0</v>
      </c>
      <c r="V1261">
        <v>0</v>
      </c>
      <c r="W1261">
        <v>1</v>
      </c>
      <c r="X1261">
        <v>1</v>
      </c>
      <c r="Y1261">
        <v>0</v>
      </c>
      <c r="Z1261">
        <v>0</v>
      </c>
      <c r="AA1261">
        <v>3</v>
      </c>
      <c r="AB1261">
        <v>11</v>
      </c>
      <c r="AC1261">
        <v>0</v>
      </c>
      <c r="AD1261" t="str">
        <f t="shared" si="247"/>
        <v>Ok</v>
      </c>
      <c r="AE1261" t="str">
        <f>IF(AND(Audit_Data[[#This Row],[Year_Birth]]&gt;=1900,Audit_Data[[#This Row],[Year_Birth]]&lt;=2010),"OK","Invalid")</f>
        <v>OK</v>
      </c>
      <c r="AF1261" t="str">
        <f t="shared" si="248"/>
        <v>Valid</v>
      </c>
      <c r="AG1261" t="str">
        <f t="shared" si="249"/>
        <v>Valid</v>
      </c>
      <c r="AH1261" t="str">
        <f t="shared" si="250"/>
        <v>Valid</v>
      </c>
      <c r="AI1261" t="str">
        <f t="shared" si="251"/>
        <v>Valid</v>
      </c>
      <c r="AJ1261" t="str">
        <f t="shared" si="252"/>
        <v>Valid</v>
      </c>
      <c r="AK1261" t="str">
        <f t="shared" si="259"/>
        <v xml:space="preserve">Valid </v>
      </c>
      <c r="AL1261" t="str">
        <f>IF(AND(Audit_Data[[#This Row],[Recency]]&gt;=0,Audit_Data[[#This Row],[Recency]]&lt;=100),"Valid","Invalid")</f>
        <v>Valid</v>
      </c>
      <c r="AM1261" t="str">
        <f t="shared" si="253"/>
        <v>Valid</v>
      </c>
      <c r="AN1261" t="str">
        <f t="shared" si="254"/>
        <v>Valid</v>
      </c>
      <c r="AO1261" t="str">
        <f t="shared" si="255"/>
        <v>Valid</v>
      </c>
      <c r="AP1261" t="str">
        <f t="shared" si="256"/>
        <v>Valid</v>
      </c>
      <c r="AQ1261" t="str">
        <f>IF(Audit_Data[[#This Row],[Z_CostContact]]=3,"Valid","Invalid")</f>
        <v>Valid</v>
      </c>
      <c r="AR1261" t="str">
        <f t="shared" si="257"/>
        <v>Valid</v>
      </c>
      <c r="AS1261" t="str">
        <f t="shared" si="258"/>
        <v>Valid</v>
      </c>
    </row>
    <row r="1262" spans="1:45" x14ac:dyDescent="0.3">
      <c r="A1262">
        <v>5107</v>
      </c>
      <c r="B1262">
        <v>1973</v>
      </c>
      <c r="C1262" t="s">
        <v>32</v>
      </c>
      <c r="D1262" t="s">
        <v>35</v>
      </c>
      <c r="E1262">
        <v>35860</v>
      </c>
      <c r="F1262">
        <v>1</v>
      </c>
      <c r="G1262">
        <v>1</v>
      </c>
      <c r="H1262" s="1">
        <v>41778</v>
      </c>
      <c r="I1262">
        <v>37</v>
      </c>
      <c r="J1262">
        <v>15</v>
      </c>
      <c r="K1262">
        <v>0</v>
      </c>
      <c r="L1262">
        <v>8</v>
      </c>
      <c r="M1262">
        <v>4</v>
      </c>
      <c r="N1262">
        <v>2</v>
      </c>
      <c r="O1262">
        <v>20</v>
      </c>
      <c r="P1262">
        <v>2</v>
      </c>
      <c r="Q1262">
        <v>1</v>
      </c>
      <c r="R1262">
        <v>1</v>
      </c>
      <c r="S1262">
        <v>2</v>
      </c>
      <c r="T1262">
        <v>5</v>
      </c>
      <c r="U1262">
        <v>1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3</v>
      </c>
      <c r="AB1262">
        <v>11</v>
      </c>
      <c r="AC1262">
        <v>0</v>
      </c>
      <c r="AD1262" t="str">
        <f t="shared" si="247"/>
        <v>Ok</v>
      </c>
      <c r="AE1262" t="str">
        <f>IF(AND(Audit_Data[[#This Row],[Year_Birth]]&gt;=1900,Audit_Data[[#This Row],[Year_Birth]]&lt;=2010),"OK","Invalid")</f>
        <v>OK</v>
      </c>
      <c r="AF1262" t="str">
        <f t="shared" si="248"/>
        <v>Valid</v>
      </c>
      <c r="AG1262" t="str">
        <f t="shared" si="249"/>
        <v>Valid</v>
      </c>
      <c r="AH1262" t="str">
        <f t="shared" si="250"/>
        <v>Valid</v>
      </c>
      <c r="AI1262" t="str">
        <f t="shared" si="251"/>
        <v>Valid</v>
      </c>
      <c r="AJ1262" t="str">
        <f t="shared" si="252"/>
        <v>Valid</v>
      </c>
      <c r="AK1262" t="str">
        <f t="shared" si="259"/>
        <v xml:space="preserve">Valid </v>
      </c>
      <c r="AL1262" t="str">
        <f>IF(AND(Audit_Data[[#This Row],[Recency]]&gt;=0,Audit_Data[[#This Row],[Recency]]&lt;=100),"Valid","Invalid")</f>
        <v>Valid</v>
      </c>
      <c r="AM1262" t="str">
        <f t="shared" si="253"/>
        <v>Valid</v>
      </c>
      <c r="AN1262" t="str">
        <f t="shared" si="254"/>
        <v>Valid</v>
      </c>
      <c r="AO1262" t="str">
        <f t="shared" si="255"/>
        <v>Valid</v>
      </c>
      <c r="AP1262" t="str">
        <f t="shared" si="256"/>
        <v>Valid</v>
      </c>
      <c r="AQ1262" t="str">
        <f>IF(Audit_Data[[#This Row],[Z_CostContact]]=3,"Valid","Invalid")</f>
        <v>Valid</v>
      </c>
      <c r="AR1262" t="str">
        <f t="shared" si="257"/>
        <v>Valid</v>
      </c>
      <c r="AS1262" t="str">
        <f t="shared" si="258"/>
        <v>Valid</v>
      </c>
    </row>
    <row r="1263" spans="1:45" x14ac:dyDescent="0.3">
      <c r="A1263">
        <v>3979</v>
      </c>
      <c r="B1263">
        <v>1983</v>
      </c>
      <c r="C1263" t="s">
        <v>32</v>
      </c>
      <c r="D1263" t="s">
        <v>35</v>
      </c>
      <c r="E1263">
        <v>90687</v>
      </c>
      <c r="F1263">
        <v>0</v>
      </c>
      <c r="G1263">
        <v>0</v>
      </c>
      <c r="H1263" s="1">
        <v>41416</v>
      </c>
      <c r="I1263">
        <v>98</v>
      </c>
      <c r="J1263">
        <v>982</v>
      </c>
      <c r="K1263">
        <v>17</v>
      </c>
      <c r="L1263">
        <v>672</v>
      </c>
      <c r="M1263">
        <v>23</v>
      </c>
      <c r="N1263">
        <v>34</v>
      </c>
      <c r="O1263">
        <v>51</v>
      </c>
      <c r="P1263">
        <v>1</v>
      </c>
      <c r="Q1263">
        <v>6</v>
      </c>
      <c r="R1263">
        <v>2</v>
      </c>
      <c r="S1263">
        <v>8</v>
      </c>
      <c r="T1263">
        <v>2</v>
      </c>
      <c r="U1263">
        <v>0</v>
      </c>
      <c r="V1263">
        <v>0</v>
      </c>
      <c r="W1263">
        <v>1</v>
      </c>
      <c r="X1263">
        <v>0</v>
      </c>
      <c r="Y1263">
        <v>0</v>
      </c>
      <c r="Z1263">
        <v>0</v>
      </c>
      <c r="AA1263">
        <v>3</v>
      </c>
      <c r="AB1263">
        <v>11</v>
      </c>
      <c r="AC1263">
        <v>1</v>
      </c>
      <c r="AD1263" t="str">
        <f t="shared" si="247"/>
        <v>Ok</v>
      </c>
      <c r="AE1263" t="str">
        <f>IF(AND(Audit_Data[[#This Row],[Year_Birth]]&gt;=1900,Audit_Data[[#This Row],[Year_Birth]]&lt;=2010),"OK","Invalid")</f>
        <v>OK</v>
      </c>
      <c r="AF1263" t="str">
        <f t="shared" si="248"/>
        <v>Valid</v>
      </c>
      <c r="AG1263" t="str">
        <f t="shared" si="249"/>
        <v>Valid</v>
      </c>
      <c r="AH1263" t="str">
        <f t="shared" si="250"/>
        <v>Valid</v>
      </c>
      <c r="AI1263" t="str">
        <f t="shared" si="251"/>
        <v>Valid</v>
      </c>
      <c r="AJ1263" t="str">
        <f t="shared" si="252"/>
        <v>Valid</v>
      </c>
      <c r="AK1263" t="str">
        <f t="shared" si="259"/>
        <v xml:space="preserve">Valid </v>
      </c>
      <c r="AL1263" t="str">
        <f>IF(AND(Audit_Data[[#This Row],[Recency]]&gt;=0,Audit_Data[[#This Row],[Recency]]&lt;=100),"Valid","Invalid")</f>
        <v>Valid</v>
      </c>
      <c r="AM1263" t="str">
        <f t="shared" si="253"/>
        <v>Valid</v>
      </c>
      <c r="AN1263" t="str">
        <f t="shared" si="254"/>
        <v>Valid</v>
      </c>
      <c r="AO1263" t="str">
        <f t="shared" si="255"/>
        <v>Valid</v>
      </c>
      <c r="AP1263" t="str">
        <f t="shared" si="256"/>
        <v>Valid</v>
      </c>
      <c r="AQ1263" t="str">
        <f>IF(Audit_Data[[#This Row],[Z_CostContact]]=3,"Valid","Invalid")</f>
        <v>Valid</v>
      </c>
      <c r="AR1263" t="str">
        <f t="shared" si="257"/>
        <v>Valid</v>
      </c>
      <c r="AS1263" t="str">
        <f t="shared" si="258"/>
        <v>Valid</v>
      </c>
    </row>
    <row r="1264" spans="1:45" x14ac:dyDescent="0.3">
      <c r="A1264">
        <v>6049</v>
      </c>
      <c r="B1264">
        <v>1982</v>
      </c>
      <c r="C1264" t="s">
        <v>34</v>
      </c>
      <c r="D1264" t="s">
        <v>31</v>
      </c>
      <c r="E1264">
        <v>73450</v>
      </c>
      <c r="F1264">
        <v>0</v>
      </c>
      <c r="G1264">
        <v>0</v>
      </c>
      <c r="H1264" s="1">
        <v>41613</v>
      </c>
      <c r="I1264">
        <v>85</v>
      </c>
      <c r="J1264">
        <v>1142</v>
      </c>
      <c r="K1264">
        <v>51</v>
      </c>
      <c r="L1264">
        <v>415</v>
      </c>
      <c r="M1264">
        <v>90</v>
      </c>
      <c r="N1264">
        <v>69</v>
      </c>
      <c r="O1264">
        <v>37</v>
      </c>
      <c r="P1264">
        <v>1</v>
      </c>
      <c r="Q1264">
        <v>7</v>
      </c>
      <c r="R1264">
        <v>8</v>
      </c>
      <c r="S1264">
        <v>11</v>
      </c>
      <c r="T1264">
        <v>3</v>
      </c>
      <c r="U1264">
        <v>1</v>
      </c>
      <c r="V1264">
        <v>0</v>
      </c>
      <c r="W1264">
        <v>0</v>
      </c>
      <c r="X1264">
        <v>1</v>
      </c>
      <c r="Y1264">
        <v>0</v>
      </c>
      <c r="Z1264">
        <v>0</v>
      </c>
      <c r="AA1264">
        <v>3</v>
      </c>
      <c r="AB1264">
        <v>11</v>
      </c>
      <c r="AC1264">
        <v>0</v>
      </c>
      <c r="AD1264" t="str">
        <f t="shared" si="247"/>
        <v>Ok</v>
      </c>
      <c r="AE1264" t="str">
        <f>IF(AND(Audit_Data[[#This Row],[Year_Birth]]&gt;=1900,Audit_Data[[#This Row],[Year_Birth]]&lt;=2010),"OK","Invalid")</f>
        <v>OK</v>
      </c>
      <c r="AF1264" t="str">
        <f t="shared" si="248"/>
        <v>Valid</v>
      </c>
      <c r="AG1264" t="str">
        <f t="shared" si="249"/>
        <v>Valid</v>
      </c>
      <c r="AH1264" t="str">
        <f t="shared" si="250"/>
        <v>Valid</v>
      </c>
      <c r="AI1264" t="str">
        <f t="shared" si="251"/>
        <v>Valid</v>
      </c>
      <c r="AJ1264" t="str">
        <f t="shared" si="252"/>
        <v>Valid</v>
      </c>
      <c r="AK1264" t="str">
        <f t="shared" si="259"/>
        <v xml:space="preserve">Valid </v>
      </c>
      <c r="AL1264" t="str">
        <f>IF(AND(Audit_Data[[#This Row],[Recency]]&gt;=0,Audit_Data[[#This Row],[Recency]]&lt;=100),"Valid","Invalid")</f>
        <v>Valid</v>
      </c>
      <c r="AM1264" t="str">
        <f t="shared" si="253"/>
        <v>Valid</v>
      </c>
      <c r="AN1264" t="str">
        <f t="shared" si="254"/>
        <v>Valid</v>
      </c>
      <c r="AO1264" t="str">
        <f t="shared" si="255"/>
        <v>Valid</v>
      </c>
      <c r="AP1264" t="str">
        <f t="shared" si="256"/>
        <v>Valid</v>
      </c>
      <c r="AQ1264" t="str">
        <f>IF(Audit_Data[[#This Row],[Z_CostContact]]=3,"Valid","Invalid")</f>
        <v>Valid</v>
      </c>
      <c r="AR1264" t="str">
        <f t="shared" si="257"/>
        <v>Valid</v>
      </c>
      <c r="AS1264" t="str">
        <f t="shared" si="258"/>
        <v>Valid</v>
      </c>
    </row>
    <row r="1265" spans="1:45" x14ac:dyDescent="0.3">
      <c r="A1265">
        <v>8147</v>
      </c>
      <c r="B1265">
        <v>1960</v>
      </c>
      <c r="C1265" t="s">
        <v>29</v>
      </c>
      <c r="D1265" t="s">
        <v>33</v>
      </c>
      <c r="E1265">
        <v>31454</v>
      </c>
      <c r="F1265">
        <v>1</v>
      </c>
      <c r="G1265">
        <v>1</v>
      </c>
      <c r="H1265" s="1">
        <v>41461</v>
      </c>
      <c r="I1265">
        <v>40</v>
      </c>
      <c r="J1265">
        <v>28</v>
      </c>
      <c r="K1265">
        <v>0</v>
      </c>
      <c r="L1265">
        <v>11</v>
      </c>
      <c r="M1265">
        <v>0</v>
      </c>
      <c r="N1265">
        <v>0</v>
      </c>
      <c r="O1265">
        <v>9</v>
      </c>
      <c r="P1265">
        <v>3</v>
      </c>
      <c r="Q1265">
        <v>2</v>
      </c>
      <c r="R1265">
        <v>0</v>
      </c>
      <c r="S1265">
        <v>3</v>
      </c>
      <c r="T1265">
        <v>8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3</v>
      </c>
      <c r="AB1265">
        <v>11</v>
      </c>
      <c r="AC1265">
        <v>0</v>
      </c>
      <c r="AD1265" t="str">
        <f t="shared" si="247"/>
        <v>Ok</v>
      </c>
      <c r="AE1265" t="str">
        <f>IF(AND(Audit_Data[[#This Row],[Year_Birth]]&gt;=1900,Audit_Data[[#This Row],[Year_Birth]]&lt;=2010),"OK","Invalid")</f>
        <v>OK</v>
      </c>
      <c r="AF1265" t="str">
        <f t="shared" si="248"/>
        <v>Valid</v>
      </c>
      <c r="AG1265" t="str">
        <f t="shared" si="249"/>
        <v>Valid</v>
      </c>
      <c r="AH1265" t="str">
        <f t="shared" si="250"/>
        <v>Valid</v>
      </c>
      <c r="AI1265" t="str">
        <f t="shared" si="251"/>
        <v>Valid</v>
      </c>
      <c r="AJ1265" t="str">
        <f t="shared" si="252"/>
        <v>Valid</v>
      </c>
      <c r="AK1265" t="str">
        <f t="shared" si="259"/>
        <v xml:space="preserve">Valid </v>
      </c>
      <c r="AL1265" t="str">
        <f>IF(AND(Audit_Data[[#This Row],[Recency]]&gt;=0,Audit_Data[[#This Row],[Recency]]&lt;=100),"Valid","Invalid")</f>
        <v>Valid</v>
      </c>
      <c r="AM1265" t="str">
        <f t="shared" si="253"/>
        <v>Valid</v>
      </c>
      <c r="AN1265" t="str">
        <f t="shared" si="254"/>
        <v>Valid</v>
      </c>
      <c r="AO1265" t="str">
        <f t="shared" si="255"/>
        <v>Valid</v>
      </c>
      <c r="AP1265" t="str">
        <f t="shared" si="256"/>
        <v>Valid</v>
      </c>
      <c r="AQ1265" t="str">
        <f>IF(Audit_Data[[#This Row],[Z_CostContact]]=3,"Valid","Invalid")</f>
        <v>Valid</v>
      </c>
      <c r="AR1265" t="str">
        <f t="shared" si="257"/>
        <v>Valid</v>
      </c>
      <c r="AS1265" t="str">
        <f t="shared" si="258"/>
        <v>Valid</v>
      </c>
    </row>
    <row r="1266" spans="1:45" x14ac:dyDescent="0.3">
      <c r="A1266">
        <v>1857</v>
      </c>
      <c r="B1266">
        <v>1952</v>
      </c>
      <c r="C1266" t="s">
        <v>29</v>
      </c>
      <c r="D1266" t="s">
        <v>30</v>
      </c>
      <c r="E1266">
        <v>47139</v>
      </c>
      <c r="F1266">
        <v>1</v>
      </c>
      <c r="G1266">
        <v>1</v>
      </c>
      <c r="H1266" s="1">
        <v>41704</v>
      </c>
      <c r="I1266">
        <v>2</v>
      </c>
      <c r="J1266">
        <v>46</v>
      </c>
      <c r="K1266">
        <v>0</v>
      </c>
      <c r="L1266">
        <v>12</v>
      </c>
      <c r="M1266">
        <v>0</v>
      </c>
      <c r="N1266">
        <v>2</v>
      </c>
      <c r="O1266">
        <v>23</v>
      </c>
      <c r="P1266">
        <v>2</v>
      </c>
      <c r="Q1266">
        <v>2</v>
      </c>
      <c r="R1266">
        <v>1</v>
      </c>
      <c r="S1266">
        <v>2</v>
      </c>
      <c r="T1266">
        <v>7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3</v>
      </c>
      <c r="AB1266">
        <v>11</v>
      </c>
      <c r="AC1266">
        <v>1</v>
      </c>
      <c r="AD1266" t="str">
        <f t="shared" si="247"/>
        <v>Ok</v>
      </c>
      <c r="AE1266" t="str">
        <f>IF(AND(Audit_Data[[#This Row],[Year_Birth]]&gt;=1900,Audit_Data[[#This Row],[Year_Birth]]&lt;=2010),"OK","Invalid")</f>
        <v>OK</v>
      </c>
      <c r="AF1266" t="str">
        <f t="shared" si="248"/>
        <v>Valid</v>
      </c>
      <c r="AG1266" t="str">
        <f t="shared" si="249"/>
        <v>Valid</v>
      </c>
      <c r="AH1266" t="str">
        <f t="shared" si="250"/>
        <v>Valid</v>
      </c>
      <c r="AI1266" t="str">
        <f t="shared" si="251"/>
        <v>Valid</v>
      </c>
      <c r="AJ1266" t="str">
        <f t="shared" si="252"/>
        <v>Valid</v>
      </c>
      <c r="AK1266" t="str">
        <f t="shared" si="259"/>
        <v xml:space="preserve">Valid </v>
      </c>
      <c r="AL1266" t="str">
        <f>IF(AND(Audit_Data[[#This Row],[Recency]]&gt;=0,Audit_Data[[#This Row],[Recency]]&lt;=100),"Valid","Invalid")</f>
        <v>Valid</v>
      </c>
      <c r="AM1266" t="str">
        <f t="shared" si="253"/>
        <v>Valid</v>
      </c>
      <c r="AN1266" t="str">
        <f t="shared" si="254"/>
        <v>Valid</v>
      </c>
      <c r="AO1266" t="str">
        <f t="shared" si="255"/>
        <v>Valid</v>
      </c>
      <c r="AP1266" t="str">
        <f t="shared" si="256"/>
        <v>Valid</v>
      </c>
      <c r="AQ1266" t="str">
        <f>IF(Audit_Data[[#This Row],[Z_CostContact]]=3,"Valid","Invalid")</f>
        <v>Valid</v>
      </c>
      <c r="AR1266" t="str">
        <f t="shared" si="257"/>
        <v>Valid</v>
      </c>
      <c r="AS1266" t="str">
        <f t="shared" si="258"/>
        <v>Valid</v>
      </c>
    </row>
    <row r="1267" spans="1:45" x14ac:dyDescent="0.3">
      <c r="A1267">
        <v>3910</v>
      </c>
      <c r="B1267">
        <v>1975</v>
      </c>
      <c r="C1267" t="s">
        <v>29</v>
      </c>
      <c r="D1267" t="s">
        <v>35</v>
      </c>
      <c r="E1267">
        <v>83829</v>
      </c>
      <c r="F1267">
        <v>0</v>
      </c>
      <c r="G1267">
        <v>0</v>
      </c>
      <c r="H1267" s="1">
        <v>41555</v>
      </c>
      <c r="I1267">
        <v>78</v>
      </c>
      <c r="J1267">
        <v>897</v>
      </c>
      <c r="K1267">
        <v>161</v>
      </c>
      <c r="L1267">
        <v>430</v>
      </c>
      <c r="M1267">
        <v>186</v>
      </c>
      <c r="N1267">
        <v>161</v>
      </c>
      <c r="O1267">
        <v>27</v>
      </c>
      <c r="P1267">
        <v>0</v>
      </c>
      <c r="Q1267">
        <v>4</v>
      </c>
      <c r="R1267">
        <v>7</v>
      </c>
      <c r="S1267">
        <v>6</v>
      </c>
      <c r="T1267">
        <v>1</v>
      </c>
      <c r="U1267">
        <v>1</v>
      </c>
      <c r="V1267">
        <v>0</v>
      </c>
      <c r="W1267">
        <v>1</v>
      </c>
      <c r="X1267">
        <v>1</v>
      </c>
      <c r="Y1267">
        <v>0</v>
      </c>
      <c r="Z1267">
        <v>0</v>
      </c>
      <c r="AA1267">
        <v>3</v>
      </c>
      <c r="AB1267">
        <v>11</v>
      </c>
      <c r="AC1267">
        <v>1</v>
      </c>
      <c r="AD1267" t="str">
        <f t="shared" si="247"/>
        <v>Ok</v>
      </c>
      <c r="AE1267" t="str">
        <f>IF(AND(Audit_Data[[#This Row],[Year_Birth]]&gt;=1900,Audit_Data[[#This Row],[Year_Birth]]&lt;=2010),"OK","Invalid")</f>
        <v>OK</v>
      </c>
      <c r="AF1267" t="str">
        <f t="shared" si="248"/>
        <v>Valid</v>
      </c>
      <c r="AG1267" t="str">
        <f t="shared" si="249"/>
        <v>Valid</v>
      </c>
      <c r="AH1267" t="str">
        <f t="shared" si="250"/>
        <v>Valid</v>
      </c>
      <c r="AI1267" t="str">
        <f t="shared" si="251"/>
        <v>Valid</v>
      </c>
      <c r="AJ1267" t="str">
        <f t="shared" si="252"/>
        <v>Valid</v>
      </c>
      <c r="AK1267" t="str">
        <f t="shared" si="259"/>
        <v xml:space="preserve">Valid </v>
      </c>
      <c r="AL1267" t="str">
        <f>IF(AND(Audit_Data[[#This Row],[Recency]]&gt;=0,Audit_Data[[#This Row],[Recency]]&lt;=100),"Valid","Invalid")</f>
        <v>Valid</v>
      </c>
      <c r="AM1267" t="str">
        <f t="shared" si="253"/>
        <v>Valid</v>
      </c>
      <c r="AN1267" t="str">
        <f t="shared" si="254"/>
        <v>Valid</v>
      </c>
      <c r="AO1267" t="str">
        <f t="shared" si="255"/>
        <v>Valid</v>
      </c>
      <c r="AP1267" t="str">
        <f t="shared" si="256"/>
        <v>Valid</v>
      </c>
      <c r="AQ1267" t="str">
        <f>IF(Audit_Data[[#This Row],[Z_CostContact]]=3,"Valid","Invalid")</f>
        <v>Valid</v>
      </c>
      <c r="AR1267" t="str">
        <f t="shared" si="257"/>
        <v>Valid</v>
      </c>
      <c r="AS1267" t="str">
        <f t="shared" si="258"/>
        <v>Valid</v>
      </c>
    </row>
    <row r="1268" spans="1:45" x14ac:dyDescent="0.3">
      <c r="A1268">
        <v>5207</v>
      </c>
      <c r="B1268">
        <v>1963</v>
      </c>
      <c r="C1268" t="s">
        <v>32</v>
      </c>
      <c r="D1268" t="s">
        <v>33</v>
      </c>
      <c r="E1268">
        <v>53378</v>
      </c>
      <c r="F1268">
        <v>1</v>
      </c>
      <c r="G1268">
        <v>1</v>
      </c>
      <c r="H1268" s="1">
        <v>41176</v>
      </c>
      <c r="I1268">
        <v>41</v>
      </c>
      <c r="J1268">
        <v>489</v>
      </c>
      <c r="K1268">
        <v>6</v>
      </c>
      <c r="L1268">
        <v>152</v>
      </c>
      <c r="M1268">
        <v>8</v>
      </c>
      <c r="N1268">
        <v>6</v>
      </c>
      <c r="O1268">
        <v>132</v>
      </c>
      <c r="P1268">
        <v>10</v>
      </c>
      <c r="Q1268">
        <v>9</v>
      </c>
      <c r="R1268">
        <v>4</v>
      </c>
      <c r="S1268">
        <v>6</v>
      </c>
      <c r="T1268">
        <v>8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3</v>
      </c>
      <c r="AB1268">
        <v>11</v>
      </c>
      <c r="AC1268">
        <v>1</v>
      </c>
      <c r="AD1268" t="str">
        <f t="shared" si="247"/>
        <v>Ok</v>
      </c>
      <c r="AE1268" t="str">
        <f>IF(AND(Audit_Data[[#This Row],[Year_Birth]]&gt;=1900,Audit_Data[[#This Row],[Year_Birth]]&lt;=2010),"OK","Invalid")</f>
        <v>OK</v>
      </c>
      <c r="AF1268" t="str">
        <f t="shared" si="248"/>
        <v>Valid</v>
      </c>
      <c r="AG1268" t="str">
        <f t="shared" si="249"/>
        <v>Valid</v>
      </c>
      <c r="AH1268" t="str">
        <f t="shared" si="250"/>
        <v>Valid</v>
      </c>
      <c r="AI1268" t="str">
        <f t="shared" si="251"/>
        <v>Valid</v>
      </c>
      <c r="AJ1268" t="str">
        <f t="shared" si="252"/>
        <v>Valid</v>
      </c>
      <c r="AK1268" t="str">
        <f t="shared" si="259"/>
        <v xml:space="preserve">Valid </v>
      </c>
      <c r="AL1268" t="str">
        <f>IF(AND(Audit_Data[[#This Row],[Recency]]&gt;=0,Audit_Data[[#This Row],[Recency]]&lt;=100),"Valid","Invalid")</f>
        <v>Valid</v>
      </c>
      <c r="AM1268" t="str">
        <f t="shared" si="253"/>
        <v>Valid</v>
      </c>
      <c r="AN1268" t="str">
        <f t="shared" si="254"/>
        <v>Valid</v>
      </c>
      <c r="AO1268" t="str">
        <f t="shared" si="255"/>
        <v>Valid</v>
      </c>
      <c r="AP1268" t="str">
        <f t="shared" si="256"/>
        <v>Valid</v>
      </c>
      <c r="AQ1268" t="str">
        <f>IF(Audit_Data[[#This Row],[Z_CostContact]]=3,"Valid","Invalid")</f>
        <v>Valid</v>
      </c>
      <c r="AR1268" t="str">
        <f t="shared" si="257"/>
        <v>Valid</v>
      </c>
      <c r="AS1268" t="str">
        <f t="shared" si="258"/>
        <v>Valid</v>
      </c>
    </row>
    <row r="1269" spans="1:45" x14ac:dyDescent="0.3">
      <c r="A1269">
        <v>11114</v>
      </c>
      <c r="B1269">
        <v>1970</v>
      </c>
      <c r="C1269" t="s">
        <v>29</v>
      </c>
      <c r="D1269" t="s">
        <v>31</v>
      </c>
      <c r="E1269">
        <v>19656</v>
      </c>
      <c r="F1269">
        <v>1</v>
      </c>
      <c r="G1269">
        <v>0</v>
      </c>
      <c r="H1269" s="1">
        <v>41313</v>
      </c>
      <c r="I1269">
        <v>94</v>
      </c>
      <c r="J1269">
        <v>25</v>
      </c>
      <c r="K1269">
        <v>4</v>
      </c>
      <c r="L1269">
        <v>9</v>
      </c>
      <c r="M1269">
        <v>6</v>
      </c>
      <c r="N1269">
        <v>8</v>
      </c>
      <c r="O1269">
        <v>32</v>
      </c>
      <c r="P1269">
        <v>3</v>
      </c>
      <c r="Q1269">
        <v>2</v>
      </c>
      <c r="R1269">
        <v>1</v>
      </c>
      <c r="S1269">
        <v>3</v>
      </c>
      <c r="T1269">
        <v>7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3</v>
      </c>
      <c r="AB1269">
        <v>11</v>
      </c>
      <c r="AC1269">
        <v>0</v>
      </c>
      <c r="AD1269" t="str">
        <f t="shared" si="247"/>
        <v>Ok</v>
      </c>
      <c r="AE1269" t="str">
        <f>IF(AND(Audit_Data[[#This Row],[Year_Birth]]&gt;=1900,Audit_Data[[#This Row],[Year_Birth]]&lt;=2010),"OK","Invalid")</f>
        <v>OK</v>
      </c>
      <c r="AF1269" t="str">
        <f t="shared" si="248"/>
        <v>Valid</v>
      </c>
      <c r="AG1269" t="str">
        <f t="shared" si="249"/>
        <v>Valid</v>
      </c>
      <c r="AH1269" t="str">
        <f t="shared" si="250"/>
        <v>Valid</v>
      </c>
      <c r="AI1269" t="str">
        <f t="shared" si="251"/>
        <v>Valid</v>
      </c>
      <c r="AJ1269" t="str">
        <f t="shared" si="252"/>
        <v>Valid</v>
      </c>
      <c r="AK1269" t="str">
        <f t="shared" si="259"/>
        <v xml:space="preserve">Valid </v>
      </c>
      <c r="AL1269" t="str">
        <f>IF(AND(Audit_Data[[#This Row],[Recency]]&gt;=0,Audit_Data[[#This Row],[Recency]]&lt;=100),"Valid","Invalid")</f>
        <v>Valid</v>
      </c>
      <c r="AM1269" t="str">
        <f t="shared" si="253"/>
        <v>Valid</v>
      </c>
      <c r="AN1269" t="str">
        <f t="shared" si="254"/>
        <v>Valid</v>
      </c>
      <c r="AO1269" t="str">
        <f t="shared" si="255"/>
        <v>Valid</v>
      </c>
      <c r="AP1269" t="str">
        <f t="shared" si="256"/>
        <v>Valid</v>
      </c>
      <c r="AQ1269" t="str">
        <f>IF(Audit_Data[[#This Row],[Z_CostContact]]=3,"Valid","Invalid")</f>
        <v>Valid</v>
      </c>
      <c r="AR1269" t="str">
        <f t="shared" si="257"/>
        <v>Valid</v>
      </c>
      <c r="AS1269" t="str">
        <f t="shared" si="258"/>
        <v>Valid</v>
      </c>
    </row>
    <row r="1270" spans="1:45" x14ac:dyDescent="0.3">
      <c r="A1270">
        <v>5429</v>
      </c>
      <c r="B1270">
        <v>1948</v>
      </c>
      <c r="C1270" t="s">
        <v>32</v>
      </c>
      <c r="D1270" t="s">
        <v>33</v>
      </c>
      <c r="E1270">
        <v>45579</v>
      </c>
      <c r="F1270">
        <v>0</v>
      </c>
      <c r="G1270">
        <v>1</v>
      </c>
      <c r="H1270" s="1">
        <v>41506</v>
      </c>
      <c r="I1270">
        <v>10</v>
      </c>
      <c r="J1270">
        <v>145</v>
      </c>
      <c r="K1270">
        <v>1</v>
      </c>
      <c r="L1270">
        <v>33</v>
      </c>
      <c r="M1270">
        <v>2</v>
      </c>
      <c r="N1270">
        <v>1</v>
      </c>
      <c r="O1270">
        <v>1</v>
      </c>
      <c r="P1270">
        <v>1</v>
      </c>
      <c r="Q1270">
        <v>4</v>
      </c>
      <c r="R1270">
        <v>1</v>
      </c>
      <c r="S1270">
        <v>4</v>
      </c>
      <c r="T1270">
        <v>6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3</v>
      </c>
      <c r="AB1270">
        <v>11</v>
      </c>
      <c r="AC1270">
        <v>0</v>
      </c>
      <c r="AD1270" t="str">
        <f t="shared" si="247"/>
        <v>Ok</v>
      </c>
      <c r="AE1270" t="str">
        <f>IF(AND(Audit_Data[[#This Row],[Year_Birth]]&gt;=1900,Audit_Data[[#This Row],[Year_Birth]]&lt;=2010),"OK","Invalid")</f>
        <v>OK</v>
      </c>
      <c r="AF1270" t="str">
        <f t="shared" si="248"/>
        <v>Valid</v>
      </c>
      <c r="AG1270" t="str">
        <f t="shared" si="249"/>
        <v>Valid</v>
      </c>
      <c r="AH1270" t="str">
        <f t="shared" si="250"/>
        <v>Valid</v>
      </c>
      <c r="AI1270" t="str">
        <f t="shared" si="251"/>
        <v>Valid</v>
      </c>
      <c r="AJ1270" t="str">
        <f t="shared" si="252"/>
        <v>Valid</v>
      </c>
      <c r="AK1270" t="str">
        <f t="shared" si="259"/>
        <v xml:space="preserve">Valid </v>
      </c>
      <c r="AL1270" t="str">
        <f>IF(AND(Audit_Data[[#This Row],[Recency]]&gt;=0,Audit_Data[[#This Row],[Recency]]&lt;=100),"Valid","Invalid")</f>
        <v>Valid</v>
      </c>
      <c r="AM1270" t="str">
        <f t="shared" si="253"/>
        <v>Valid</v>
      </c>
      <c r="AN1270" t="str">
        <f t="shared" si="254"/>
        <v>Valid</v>
      </c>
      <c r="AO1270" t="str">
        <f t="shared" si="255"/>
        <v>Valid</v>
      </c>
      <c r="AP1270" t="str">
        <f t="shared" si="256"/>
        <v>Valid</v>
      </c>
      <c r="AQ1270" t="str">
        <f>IF(Audit_Data[[#This Row],[Z_CostContact]]=3,"Valid","Invalid")</f>
        <v>Valid</v>
      </c>
      <c r="AR1270" t="str">
        <f t="shared" si="257"/>
        <v>Valid</v>
      </c>
      <c r="AS1270" t="str">
        <f t="shared" si="258"/>
        <v>Valid</v>
      </c>
    </row>
    <row r="1271" spans="1:45" x14ac:dyDescent="0.3">
      <c r="A1271">
        <v>9400</v>
      </c>
      <c r="B1271">
        <v>1958</v>
      </c>
      <c r="C1271" t="s">
        <v>37</v>
      </c>
      <c r="D1271" t="s">
        <v>30</v>
      </c>
      <c r="E1271">
        <v>85485</v>
      </c>
      <c r="F1271">
        <v>0</v>
      </c>
      <c r="G1271">
        <v>0</v>
      </c>
      <c r="H1271" s="1">
        <v>41811</v>
      </c>
      <c r="I1271">
        <v>73</v>
      </c>
      <c r="J1271">
        <v>630</v>
      </c>
      <c r="K1271">
        <v>26</v>
      </c>
      <c r="L1271">
        <v>611</v>
      </c>
      <c r="M1271">
        <v>44</v>
      </c>
      <c r="N1271">
        <v>18</v>
      </c>
      <c r="O1271">
        <v>54</v>
      </c>
      <c r="P1271">
        <v>1</v>
      </c>
      <c r="Q1271">
        <v>6</v>
      </c>
      <c r="R1271">
        <v>6</v>
      </c>
      <c r="S1271">
        <v>6</v>
      </c>
      <c r="T1271">
        <v>2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3</v>
      </c>
      <c r="AB1271">
        <v>11</v>
      </c>
      <c r="AC1271">
        <v>0</v>
      </c>
      <c r="AD1271" t="str">
        <f t="shared" si="247"/>
        <v>Ok</v>
      </c>
      <c r="AE1271" t="str">
        <f>IF(AND(Audit_Data[[#This Row],[Year_Birth]]&gt;=1900,Audit_Data[[#This Row],[Year_Birth]]&lt;=2010),"OK","Invalid")</f>
        <v>OK</v>
      </c>
      <c r="AF1271" t="str">
        <f t="shared" si="248"/>
        <v>Valid</v>
      </c>
      <c r="AG1271" t="str">
        <f t="shared" si="249"/>
        <v>Valid</v>
      </c>
      <c r="AH1271" t="str">
        <f t="shared" si="250"/>
        <v>Valid</v>
      </c>
      <c r="AI1271" t="str">
        <f t="shared" si="251"/>
        <v>Valid</v>
      </c>
      <c r="AJ1271" t="str">
        <f t="shared" si="252"/>
        <v>Valid</v>
      </c>
      <c r="AK1271" t="str">
        <f t="shared" si="259"/>
        <v xml:space="preserve">Valid </v>
      </c>
      <c r="AL1271" t="str">
        <f>IF(AND(Audit_Data[[#This Row],[Recency]]&gt;=0,Audit_Data[[#This Row],[Recency]]&lt;=100),"Valid","Invalid")</f>
        <v>Valid</v>
      </c>
      <c r="AM1271" t="str">
        <f t="shared" si="253"/>
        <v>Valid</v>
      </c>
      <c r="AN1271" t="str">
        <f t="shared" si="254"/>
        <v>Valid</v>
      </c>
      <c r="AO1271" t="str">
        <f t="shared" si="255"/>
        <v>Valid</v>
      </c>
      <c r="AP1271" t="str">
        <f t="shared" si="256"/>
        <v>Valid</v>
      </c>
      <c r="AQ1271" t="str">
        <f>IF(Audit_Data[[#This Row],[Z_CostContact]]=3,"Valid","Invalid")</f>
        <v>Valid</v>
      </c>
      <c r="AR1271" t="str">
        <f t="shared" si="257"/>
        <v>Valid</v>
      </c>
      <c r="AS1271" t="str">
        <f t="shared" si="258"/>
        <v>Valid</v>
      </c>
    </row>
    <row r="1272" spans="1:45" x14ac:dyDescent="0.3">
      <c r="A1272">
        <v>1740</v>
      </c>
      <c r="B1272">
        <v>1944</v>
      </c>
      <c r="C1272" t="s">
        <v>29</v>
      </c>
      <c r="D1272" t="s">
        <v>33</v>
      </c>
      <c r="E1272">
        <v>55956</v>
      </c>
      <c r="F1272">
        <v>0</v>
      </c>
      <c r="G1272">
        <v>0</v>
      </c>
      <c r="H1272" s="1">
        <v>41736</v>
      </c>
      <c r="I1272">
        <v>22</v>
      </c>
      <c r="J1272">
        <v>760</v>
      </c>
      <c r="K1272">
        <v>38</v>
      </c>
      <c r="L1272">
        <v>104</v>
      </c>
      <c r="M1272">
        <v>50</v>
      </c>
      <c r="N1272">
        <v>9</v>
      </c>
      <c r="O1272">
        <v>38</v>
      </c>
      <c r="P1272">
        <v>2</v>
      </c>
      <c r="Q1272">
        <v>7</v>
      </c>
      <c r="R1272">
        <v>3</v>
      </c>
      <c r="S1272">
        <v>4</v>
      </c>
      <c r="T1272">
        <v>4</v>
      </c>
      <c r="U1272">
        <v>0</v>
      </c>
      <c r="V1272">
        <v>1</v>
      </c>
      <c r="W1272">
        <v>0</v>
      </c>
      <c r="X1272">
        <v>0</v>
      </c>
      <c r="Y1272">
        <v>0</v>
      </c>
      <c r="Z1272">
        <v>0</v>
      </c>
      <c r="AA1272">
        <v>3</v>
      </c>
      <c r="AB1272">
        <v>11</v>
      </c>
      <c r="AC1272">
        <v>0</v>
      </c>
      <c r="AD1272" t="str">
        <f t="shared" si="247"/>
        <v>Ok</v>
      </c>
      <c r="AE1272" t="str">
        <f>IF(AND(Audit_Data[[#This Row],[Year_Birth]]&gt;=1900,Audit_Data[[#This Row],[Year_Birth]]&lt;=2010),"OK","Invalid")</f>
        <v>OK</v>
      </c>
      <c r="AF1272" t="str">
        <f t="shared" si="248"/>
        <v>Valid</v>
      </c>
      <c r="AG1272" t="str">
        <f t="shared" si="249"/>
        <v>Valid</v>
      </c>
      <c r="AH1272" t="str">
        <f t="shared" si="250"/>
        <v>Valid</v>
      </c>
      <c r="AI1272" t="str">
        <f t="shared" si="251"/>
        <v>Valid</v>
      </c>
      <c r="AJ1272" t="str">
        <f t="shared" si="252"/>
        <v>Valid</v>
      </c>
      <c r="AK1272" t="str">
        <f t="shared" si="259"/>
        <v xml:space="preserve">Valid </v>
      </c>
      <c r="AL1272" t="str">
        <f>IF(AND(Audit_Data[[#This Row],[Recency]]&gt;=0,Audit_Data[[#This Row],[Recency]]&lt;=100),"Valid","Invalid")</f>
        <v>Valid</v>
      </c>
      <c r="AM1272" t="str">
        <f t="shared" si="253"/>
        <v>Valid</v>
      </c>
      <c r="AN1272" t="str">
        <f t="shared" si="254"/>
        <v>Valid</v>
      </c>
      <c r="AO1272" t="str">
        <f t="shared" si="255"/>
        <v>Valid</v>
      </c>
      <c r="AP1272" t="str">
        <f t="shared" si="256"/>
        <v>Valid</v>
      </c>
      <c r="AQ1272" t="str">
        <f>IF(Audit_Data[[#This Row],[Z_CostContact]]=3,"Valid","Invalid")</f>
        <v>Valid</v>
      </c>
      <c r="AR1272" t="str">
        <f t="shared" si="257"/>
        <v>Valid</v>
      </c>
      <c r="AS1272" t="str">
        <f t="shared" si="258"/>
        <v>Valid</v>
      </c>
    </row>
    <row r="1273" spans="1:45" x14ac:dyDescent="0.3">
      <c r="A1273">
        <v>7488</v>
      </c>
      <c r="B1273">
        <v>1963</v>
      </c>
      <c r="C1273" t="s">
        <v>34</v>
      </c>
      <c r="D1273" t="s">
        <v>30</v>
      </c>
      <c r="E1273">
        <v>64191</v>
      </c>
      <c r="F1273">
        <v>0</v>
      </c>
      <c r="G1273">
        <v>1</v>
      </c>
      <c r="H1273" s="1">
        <v>41296</v>
      </c>
      <c r="I1273">
        <v>30</v>
      </c>
      <c r="J1273">
        <v>420</v>
      </c>
      <c r="K1273">
        <v>15</v>
      </c>
      <c r="L1273">
        <v>186</v>
      </c>
      <c r="M1273">
        <v>151</v>
      </c>
      <c r="N1273">
        <v>38</v>
      </c>
      <c r="O1273">
        <v>15</v>
      </c>
      <c r="P1273">
        <v>3</v>
      </c>
      <c r="Q1273">
        <v>5</v>
      </c>
      <c r="R1273">
        <v>3</v>
      </c>
      <c r="S1273">
        <v>13</v>
      </c>
      <c r="T1273">
        <v>3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3</v>
      </c>
      <c r="AB1273">
        <v>11</v>
      </c>
      <c r="AC1273">
        <v>0</v>
      </c>
      <c r="AD1273" t="str">
        <f t="shared" si="247"/>
        <v>Ok</v>
      </c>
      <c r="AE1273" t="str">
        <f>IF(AND(Audit_Data[[#This Row],[Year_Birth]]&gt;=1900,Audit_Data[[#This Row],[Year_Birth]]&lt;=2010),"OK","Invalid")</f>
        <v>OK</v>
      </c>
      <c r="AF1273" t="str">
        <f t="shared" si="248"/>
        <v>Valid</v>
      </c>
      <c r="AG1273" t="str">
        <f t="shared" si="249"/>
        <v>Valid</v>
      </c>
      <c r="AH1273" t="str">
        <f t="shared" si="250"/>
        <v>Valid</v>
      </c>
      <c r="AI1273" t="str">
        <f t="shared" si="251"/>
        <v>Valid</v>
      </c>
      <c r="AJ1273" t="str">
        <f t="shared" si="252"/>
        <v>Valid</v>
      </c>
      <c r="AK1273" t="str">
        <f t="shared" si="259"/>
        <v xml:space="preserve">Valid </v>
      </c>
      <c r="AL1273" t="str">
        <f>IF(AND(Audit_Data[[#This Row],[Recency]]&gt;=0,Audit_Data[[#This Row],[Recency]]&lt;=100),"Valid","Invalid")</f>
        <v>Valid</v>
      </c>
      <c r="AM1273" t="str">
        <f t="shared" si="253"/>
        <v>Valid</v>
      </c>
      <c r="AN1273" t="str">
        <f t="shared" si="254"/>
        <v>Valid</v>
      </c>
      <c r="AO1273" t="str">
        <f t="shared" si="255"/>
        <v>Valid</v>
      </c>
      <c r="AP1273" t="str">
        <f t="shared" si="256"/>
        <v>Valid</v>
      </c>
      <c r="AQ1273" t="str">
        <f>IF(Audit_Data[[#This Row],[Z_CostContact]]=3,"Valid","Invalid")</f>
        <v>Valid</v>
      </c>
      <c r="AR1273" t="str">
        <f t="shared" si="257"/>
        <v>Valid</v>
      </c>
      <c r="AS1273" t="str">
        <f t="shared" si="258"/>
        <v>Valid</v>
      </c>
    </row>
    <row r="1274" spans="1:45" x14ac:dyDescent="0.3">
      <c r="A1274">
        <v>195</v>
      </c>
      <c r="B1274">
        <v>1972</v>
      </c>
      <c r="C1274" t="s">
        <v>29</v>
      </c>
      <c r="D1274" t="s">
        <v>30</v>
      </c>
      <c r="E1274">
        <v>38808</v>
      </c>
      <c r="F1274">
        <v>1</v>
      </c>
      <c r="G1274">
        <v>0</v>
      </c>
      <c r="H1274" s="1">
        <v>41147</v>
      </c>
      <c r="I1274">
        <v>21</v>
      </c>
      <c r="J1274">
        <v>125</v>
      </c>
      <c r="K1274">
        <v>17</v>
      </c>
      <c r="L1274">
        <v>52</v>
      </c>
      <c r="M1274">
        <v>3</v>
      </c>
      <c r="N1274">
        <v>19</v>
      </c>
      <c r="O1274">
        <v>30</v>
      </c>
      <c r="P1274">
        <v>4</v>
      </c>
      <c r="Q1274">
        <v>5</v>
      </c>
      <c r="R1274">
        <v>1</v>
      </c>
      <c r="S1274">
        <v>4</v>
      </c>
      <c r="T1274">
        <v>8</v>
      </c>
      <c r="U1274">
        <v>1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3</v>
      </c>
      <c r="AB1274">
        <v>11</v>
      </c>
      <c r="AC1274">
        <v>1</v>
      </c>
      <c r="AD1274" t="str">
        <f t="shared" si="247"/>
        <v>Ok</v>
      </c>
      <c r="AE1274" t="str">
        <f>IF(AND(Audit_Data[[#This Row],[Year_Birth]]&gt;=1900,Audit_Data[[#This Row],[Year_Birth]]&lt;=2010),"OK","Invalid")</f>
        <v>OK</v>
      </c>
      <c r="AF1274" t="str">
        <f t="shared" si="248"/>
        <v>Valid</v>
      </c>
      <c r="AG1274" t="str">
        <f t="shared" si="249"/>
        <v>Valid</v>
      </c>
      <c r="AH1274" t="str">
        <f t="shared" si="250"/>
        <v>Valid</v>
      </c>
      <c r="AI1274" t="str">
        <f t="shared" si="251"/>
        <v>Valid</v>
      </c>
      <c r="AJ1274" t="str">
        <f t="shared" si="252"/>
        <v>Valid</v>
      </c>
      <c r="AK1274" t="str">
        <f t="shared" si="259"/>
        <v xml:space="preserve">Valid </v>
      </c>
      <c r="AL1274" t="str">
        <f>IF(AND(Audit_Data[[#This Row],[Recency]]&gt;=0,Audit_Data[[#This Row],[Recency]]&lt;=100),"Valid","Invalid")</f>
        <v>Valid</v>
      </c>
      <c r="AM1274" t="str">
        <f t="shared" si="253"/>
        <v>Valid</v>
      </c>
      <c r="AN1274" t="str">
        <f t="shared" si="254"/>
        <v>Valid</v>
      </c>
      <c r="AO1274" t="str">
        <f t="shared" si="255"/>
        <v>Valid</v>
      </c>
      <c r="AP1274" t="str">
        <f t="shared" si="256"/>
        <v>Valid</v>
      </c>
      <c r="AQ1274" t="str">
        <f>IF(Audit_Data[[#This Row],[Z_CostContact]]=3,"Valid","Invalid")</f>
        <v>Valid</v>
      </c>
      <c r="AR1274" t="str">
        <f t="shared" si="257"/>
        <v>Valid</v>
      </c>
      <c r="AS1274" t="str">
        <f t="shared" si="258"/>
        <v>Valid</v>
      </c>
    </row>
    <row r="1275" spans="1:45" x14ac:dyDescent="0.3">
      <c r="A1275">
        <v>635</v>
      </c>
      <c r="B1275">
        <v>1966</v>
      </c>
      <c r="C1275" t="s">
        <v>34</v>
      </c>
      <c r="D1275" t="s">
        <v>33</v>
      </c>
      <c r="E1275">
        <v>57183</v>
      </c>
      <c r="F1275">
        <v>1</v>
      </c>
      <c r="G1275">
        <v>1</v>
      </c>
      <c r="H1275" s="1">
        <v>41352</v>
      </c>
      <c r="I1275">
        <v>51</v>
      </c>
      <c r="J1275">
        <v>464</v>
      </c>
      <c r="K1275">
        <v>5</v>
      </c>
      <c r="L1275">
        <v>64</v>
      </c>
      <c r="M1275">
        <v>7</v>
      </c>
      <c r="N1275">
        <v>0</v>
      </c>
      <c r="O1275">
        <v>70</v>
      </c>
      <c r="P1275">
        <v>8</v>
      </c>
      <c r="Q1275">
        <v>9</v>
      </c>
      <c r="R1275">
        <v>1</v>
      </c>
      <c r="S1275">
        <v>7</v>
      </c>
      <c r="T1275">
        <v>8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3</v>
      </c>
      <c r="AB1275">
        <v>11</v>
      </c>
      <c r="AC1275">
        <v>0</v>
      </c>
      <c r="AD1275" t="str">
        <f t="shared" si="247"/>
        <v>Ok</v>
      </c>
      <c r="AE1275" t="str">
        <f>IF(AND(Audit_Data[[#This Row],[Year_Birth]]&gt;=1900,Audit_Data[[#This Row],[Year_Birth]]&lt;=2010),"OK","Invalid")</f>
        <v>OK</v>
      </c>
      <c r="AF1275" t="str">
        <f t="shared" si="248"/>
        <v>Valid</v>
      </c>
      <c r="AG1275" t="str">
        <f t="shared" si="249"/>
        <v>Valid</v>
      </c>
      <c r="AH1275" t="str">
        <f t="shared" si="250"/>
        <v>Valid</v>
      </c>
      <c r="AI1275" t="str">
        <f t="shared" si="251"/>
        <v>Valid</v>
      </c>
      <c r="AJ1275" t="str">
        <f t="shared" si="252"/>
        <v>Valid</v>
      </c>
      <c r="AK1275" t="str">
        <f t="shared" si="259"/>
        <v xml:space="preserve">Valid </v>
      </c>
      <c r="AL1275" t="str">
        <f>IF(AND(Audit_Data[[#This Row],[Recency]]&gt;=0,Audit_Data[[#This Row],[Recency]]&lt;=100),"Valid","Invalid")</f>
        <v>Valid</v>
      </c>
      <c r="AM1275" t="str">
        <f t="shared" si="253"/>
        <v>Valid</v>
      </c>
      <c r="AN1275" t="str">
        <f t="shared" si="254"/>
        <v>Valid</v>
      </c>
      <c r="AO1275" t="str">
        <f t="shared" si="255"/>
        <v>Valid</v>
      </c>
      <c r="AP1275" t="str">
        <f t="shared" si="256"/>
        <v>Valid</v>
      </c>
      <c r="AQ1275" t="str">
        <f>IF(Audit_Data[[#This Row],[Z_CostContact]]=3,"Valid","Invalid")</f>
        <v>Valid</v>
      </c>
      <c r="AR1275" t="str">
        <f t="shared" si="257"/>
        <v>Valid</v>
      </c>
      <c r="AS1275" t="str">
        <f t="shared" si="258"/>
        <v>Valid</v>
      </c>
    </row>
    <row r="1276" spans="1:45" x14ac:dyDescent="0.3">
      <c r="A1276">
        <v>7527</v>
      </c>
      <c r="B1276">
        <v>1968</v>
      </c>
      <c r="C1276" t="s">
        <v>34</v>
      </c>
      <c r="D1276" t="s">
        <v>35</v>
      </c>
      <c r="E1276">
        <v>23748</v>
      </c>
      <c r="F1276">
        <v>1</v>
      </c>
      <c r="G1276">
        <v>0</v>
      </c>
      <c r="H1276" s="1">
        <v>41234</v>
      </c>
      <c r="I1276">
        <v>97</v>
      </c>
      <c r="J1276">
        <v>6</v>
      </c>
      <c r="K1276">
        <v>6</v>
      </c>
      <c r="L1276">
        <v>29</v>
      </c>
      <c r="M1276">
        <v>12</v>
      </c>
      <c r="N1276">
        <v>15</v>
      </c>
      <c r="O1276">
        <v>8</v>
      </c>
      <c r="P1276">
        <v>3</v>
      </c>
      <c r="Q1276">
        <v>2</v>
      </c>
      <c r="R1276">
        <v>1</v>
      </c>
      <c r="S1276">
        <v>3</v>
      </c>
      <c r="T1276">
        <v>8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3</v>
      </c>
      <c r="AB1276">
        <v>11</v>
      </c>
      <c r="AC1276">
        <v>0</v>
      </c>
      <c r="AD1276" t="str">
        <f t="shared" si="247"/>
        <v>Ok</v>
      </c>
      <c r="AE1276" t="str">
        <f>IF(AND(Audit_Data[[#This Row],[Year_Birth]]&gt;=1900,Audit_Data[[#This Row],[Year_Birth]]&lt;=2010),"OK","Invalid")</f>
        <v>OK</v>
      </c>
      <c r="AF1276" t="str">
        <f t="shared" si="248"/>
        <v>Valid</v>
      </c>
      <c r="AG1276" t="str">
        <f t="shared" si="249"/>
        <v>Valid</v>
      </c>
      <c r="AH1276" t="str">
        <f t="shared" si="250"/>
        <v>Valid</v>
      </c>
      <c r="AI1276" t="str">
        <f t="shared" si="251"/>
        <v>Valid</v>
      </c>
      <c r="AJ1276" t="str">
        <f t="shared" si="252"/>
        <v>Valid</v>
      </c>
      <c r="AK1276" t="str">
        <f t="shared" si="259"/>
        <v xml:space="preserve">Valid </v>
      </c>
      <c r="AL1276" t="str">
        <f>IF(AND(Audit_Data[[#This Row],[Recency]]&gt;=0,Audit_Data[[#This Row],[Recency]]&lt;=100),"Valid","Invalid")</f>
        <v>Valid</v>
      </c>
      <c r="AM1276" t="str">
        <f t="shared" si="253"/>
        <v>Valid</v>
      </c>
      <c r="AN1276" t="str">
        <f t="shared" si="254"/>
        <v>Valid</v>
      </c>
      <c r="AO1276" t="str">
        <f t="shared" si="255"/>
        <v>Valid</v>
      </c>
      <c r="AP1276" t="str">
        <f t="shared" si="256"/>
        <v>Valid</v>
      </c>
      <c r="AQ1276" t="str">
        <f>IF(Audit_Data[[#This Row],[Z_CostContact]]=3,"Valid","Invalid")</f>
        <v>Valid</v>
      </c>
      <c r="AR1276" t="str">
        <f t="shared" si="257"/>
        <v>Valid</v>
      </c>
      <c r="AS1276" t="str">
        <f t="shared" si="258"/>
        <v>Valid</v>
      </c>
    </row>
    <row r="1277" spans="1:45" x14ac:dyDescent="0.3">
      <c r="A1277">
        <v>10319</v>
      </c>
      <c r="B1277">
        <v>1971</v>
      </c>
      <c r="C1277" t="s">
        <v>29</v>
      </c>
      <c r="D1277" t="s">
        <v>33</v>
      </c>
      <c r="E1277">
        <v>66303</v>
      </c>
      <c r="F1277">
        <v>0</v>
      </c>
      <c r="G1277">
        <v>1</v>
      </c>
      <c r="H1277" s="1">
        <v>41331</v>
      </c>
      <c r="I1277">
        <v>56</v>
      </c>
      <c r="J1277">
        <v>1090</v>
      </c>
      <c r="K1277">
        <v>12</v>
      </c>
      <c r="L1277">
        <v>96</v>
      </c>
      <c r="M1277">
        <v>16</v>
      </c>
      <c r="N1277">
        <v>12</v>
      </c>
      <c r="O1277">
        <v>60</v>
      </c>
      <c r="P1277">
        <v>4</v>
      </c>
      <c r="Q1277">
        <v>3</v>
      </c>
      <c r="R1277">
        <v>4</v>
      </c>
      <c r="S1277">
        <v>11</v>
      </c>
      <c r="T1277">
        <v>8</v>
      </c>
      <c r="U1277">
        <v>0</v>
      </c>
      <c r="V1277">
        <v>1</v>
      </c>
      <c r="W1277">
        <v>0</v>
      </c>
      <c r="X1277">
        <v>0</v>
      </c>
      <c r="Y1277">
        <v>0</v>
      </c>
      <c r="Z1277">
        <v>0</v>
      </c>
      <c r="AA1277">
        <v>3</v>
      </c>
      <c r="AB1277">
        <v>11</v>
      </c>
      <c r="AC1277">
        <v>0</v>
      </c>
      <c r="AD1277" t="str">
        <f t="shared" si="247"/>
        <v>Ok</v>
      </c>
      <c r="AE1277" t="str">
        <f>IF(AND(Audit_Data[[#This Row],[Year_Birth]]&gt;=1900,Audit_Data[[#This Row],[Year_Birth]]&lt;=2010),"OK","Invalid")</f>
        <v>OK</v>
      </c>
      <c r="AF1277" t="str">
        <f t="shared" si="248"/>
        <v>Valid</v>
      </c>
      <c r="AG1277" t="str">
        <f t="shared" si="249"/>
        <v>Valid</v>
      </c>
      <c r="AH1277" t="str">
        <f t="shared" si="250"/>
        <v>Valid</v>
      </c>
      <c r="AI1277" t="str">
        <f t="shared" si="251"/>
        <v>Valid</v>
      </c>
      <c r="AJ1277" t="str">
        <f t="shared" si="252"/>
        <v>Valid</v>
      </c>
      <c r="AK1277" t="str">
        <f t="shared" si="259"/>
        <v xml:space="preserve">Valid </v>
      </c>
      <c r="AL1277" t="str">
        <f>IF(AND(Audit_Data[[#This Row],[Recency]]&gt;=0,Audit_Data[[#This Row],[Recency]]&lt;=100),"Valid","Invalid")</f>
        <v>Valid</v>
      </c>
      <c r="AM1277" t="str">
        <f t="shared" si="253"/>
        <v>Valid</v>
      </c>
      <c r="AN1277" t="str">
        <f t="shared" si="254"/>
        <v>Valid</v>
      </c>
      <c r="AO1277" t="str">
        <f t="shared" si="255"/>
        <v>Valid</v>
      </c>
      <c r="AP1277" t="str">
        <f t="shared" si="256"/>
        <v>Valid</v>
      </c>
      <c r="AQ1277" t="str">
        <f>IF(Audit_Data[[#This Row],[Z_CostContact]]=3,"Valid","Invalid")</f>
        <v>Valid</v>
      </c>
      <c r="AR1277" t="str">
        <f t="shared" si="257"/>
        <v>Valid</v>
      </c>
      <c r="AS1277" t="str">
        <f t="shared" si="258"/>
        <v>Valid</v>
      </c>
    </row>
    <row r="1278" spans="1:45" x14ac:dyDescent="0.3">
      <c r="A1278">
        <v>2296</v>
      </c>
      <c r="B1278">
        <v>1975</v>
      </c>
      <c r="C1278" t="s">
        <v>34</v>
      </c>
      <c r="D1278" t="s">
        <v>33</v>
      </c>
      <c r="E1278">
        <v>37368</v>
      </c>
      <c r="F1278">
        <v>1</v>
      </c>
      <c r="G1278">
        <v>0</v>
      </c>
      <c r="H1278" s="1">
        <v>41624</v>
      </c>
      <c r="I1278">
        <v>4</v>
      </c>
      <c r="J1278">
        <v>3</v>
      </c>
      <c r="K1278">
        <v>2</v>
      </c>
      <c r="L1278">
        <v>11</v>
      </c>
      <c r="M1278">
        <v>2</v>
      </c>
      <c r="N1278">
        <v>2</v>
      </c>
      <c r="O1278">
        <v>10</v>
      </c>
      <c r="P1278">
        <v>1</v>
      </c>
      <c r="Q1278">
        <v>1</v>
      </c>
      <c r="R1278">
        <v>0</v>
      </c>
      <c r="S1278">
        <v>2</v>
      </c>
      <c r="T1278">
        <v>6</v>
      </c>
      <c r="U1278">
        <v>1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3</v>
      </c>
      <c r="AB1278">
        <v>11</v>
      </c>
      <c r="AC1278">
        <v>0</v>
      </c>
      <c r="AD1278" t="str">
        <f t="shared" si="247"/>
        <v>Ok</v>
      </c>
      <c r="AE1278" t="str">
        <f>IF(AND(Audit_Data[[#This Row],[Year_Birth]]&gt;=1900,Audit_Data[[#This Row],[Year_Birth]]&lt;=2010),"OK","Invalid")</f>
        <v>OK</v>
      </c>
      <c r="AF1278" t="str">
        <f t="shared" si="248"/>
        <v>Valid</v>
      </c>
      <c r="AG1278" t="str">
        <f t="shared" si="249"/>
        <v>Valid</v>
      </c>
      <c r="AH1278" t="str">
        <f t="shared" si="250"/>
        <v>Valid</v>
      </c>
      <c r="AI1278" t="str">
        <f t="shared" si="251"/>
        <v>Valid</v>
      </c>
      <c r="AJ1278" t="str">
        <f t="shared" si="252"/>
        <v>Valid</v>
      </c>
      <c r="AK1278" t="str">
        <f t="shared" si="259"/>
        <v xml:space="preserve">Valid </v>
      </c>
      <c r="AL1278" t="str">
        <f>IF(AND(Audit_Data[[#This Row],[Recency]]&gt;=0,Audit_Data[[#This Row],[Recency]]&lt;=100),"Valid","Invalid")</f>
        <v>Valid</v>
      </c>
      <c r="AM1278" t="str">
        <f t="shared" si="253"/>
        <v>Valid</v>
      </c>
      <c r="AN1278" t="str">
        <f t="shared" si="254"/>
        <v>Valid</v>
      </c>
      <c r="AO1278" t="str">
        <f t="shared" si="255"/>
        <v>Valid</v>
      </c>
      <c r="AP1278" t="str">
        <f t="shared" si="256"/>
        <v>Valid</v>
      </c>
      <c r="AQ1278" t="str">
        <f>IF(Audit_Data[[#This Row],[Z_CostContact]]=3,"Valid","Invalid")</f>
        <v>Valid</v>
      </c>
      <c r="AR1278" t="str">
        <f t="shared" si="257"/>
        <v>Valid</v>
      </c>
      <c r="AS1278" t="str">
        <f t="shared" si="258"/>
        <v>Valid</v>
      </c>
    </row>
    <row r="1279" spans="1:45" x14ac:dyDescent="0.3">
      <c r="A1279">
        <v>10637</v>
      </c>
      <c r="B1279">
        <v>1964</v>
      </c>
      <c r="C1279" t="s">
        <v>29</v>
      </c>
      <c r="D1279" t="s">
        <v>33</v>
      </c>
      <c r="E1279">
        <v>40800</v>
      </c>
      <c r="F1279">
        <v>1</v>
      </c>
      <c r="G1279">
        <v>2</v>
      </c>
      <c r="H1279" s="1">
        <v>41275</v>
      </c>
      <c r="I1279">
        <v>77</v>
      </c>
      <c r="J1279">
        <v>24</v>
      </c>
      <c r="K1279">
        <v>0</v>
      </c>
      <c r="L1279">
        <v>27</v>
      </c>
      <c r="M1279">
        <v>8</v>
      </c>
      <c r="N1279">
        <v>30</v>
      </c>
      <c r="O1279">
        <v>10</v>
      </c>
      <c r="P1279">
        <v>2</v>
      </c>
      <c r="Q1279">
        <v>3</v>
      </c>
      <c r="R1279">
        <v>0</v>
      </c>
      <c r="S1279">
        <v>3</v>
      </c>
      <c r="T1279">
        <v>7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3</v>
      </c>
      <c r="AB1279">
        <v>11</v>
      </c>
      <c r="AC1279">
        <v>0</v>
      </c>
      <c r="AD1279" t="str">
        <f t="shared" si="247"/>
        <v>Ok</v>
      </c>
      <c r="AE1279" t="str">
        <f>IF(AND(Audit_Data[[#This Row],[Year_Birth]]&gt;=1900,Audit_Data[[#This Row],[Year_Birth]]&lt;=2010),"OK","Invalid")</f>
        <v>OK</v>
      </c>
      <c r="AF1279" t="str">
        <f t="shared" si="248"/>
        <v>Valid</v>
      </c>
      <c r="AG1279" t="str">
        <f t="shared" si="249"/>
        <v>Valid</v>
      </c>
      <c r="AH1279" t="str">
        <f t="shared" si="250"/>
        <v>Valid</v>
      </c>
      <c r="AI1279" t="str">
        <f t="shared" si="251"/>
        <v>Valid</v>
      </c>
      <c r="AJ1279" t="str">
        <f t="shared" si="252"/>
        <v>Valid</v>
      </c>
      <c r="AK1279" t="str">
        <f t="shared" si="259"/>
        <v xml:space="preserve">Valid </v>
      </c>
      <c r="AL1279" t="str">
        <f>IF(AND(Audit_Data[[#This Row],[Recency]]&gt;=0,Audit_Data[[#This Row],[Recency]]&lt;=100),"Valid","Invalid")</f>
        <v>Valid</v>
      </c>
      <c r="AM1279" t="str">
        <f t="shared" si="253"/>
        <v>Valid</v>
      </c>
      <c r="AN1279" t="str">
        <f t="shared" si="254"/>
        <v>Valid</v>
      </c>
      <c r="AO1279" t="str">
        <f t="shared" si="255"/>
        <v>Valid</v>
      </c>
      <c r="AP1279" t="str">
        <f t="shared" si="256"/>
        <v>Valid</v>
      </c>
      <c r="AQ1279" t="str">
        <f>IF(Audit_Data[[#This Row],[Z_CostContact]]=3,"Valid","Invalid")</f>
        <v>Valid</v>
      </c>
      <c r="AR1279" t="str">
        <f t="shared" si="257"/>
        <v>Valid</v>
      </c>
      <c r="AS1279" t="str">
        <f t="shared" si="258"/>
        <v>Valid</v>
      </c>
    </row>
    <row r="1280" spans="1:45" x14ac:dyDescent="0.3">
      <c r="A1280">
        <v>2931</v>
      </c>
      <c r="B1280">
        <v>1978</v>
      </c>
      <c r="C1280" t="s">
        <v>29</v>
      </c>
      <c r="D1280" t="s">
        <v>35</v>
      </c>
      <c r="E1280">
        <v>71847</v>
      </c>
      <c r="F1280">
        <v>0</v>
      </c>
      <c r="G1280">
        <v>0</v>
      </c>
      <c r="H1280" s="1">
        <v>41173</v>
      </c>
      <c r="I1280">
        <v>95</v>
      </c>
      <c r="J1280">
        <v>737</v>
      </c>
      <c r="K1280">
        <v>21</v>
      </c>
      <c r="L1280">
        <v>106</v>
      </c>
      <c r="M1280">
        <v>55</v>
      </c>
      <c r="N1280">
        <v>63</v>
      </c>
      <c r="O1280">
        <v>210</v>
      </c>
      <c r="P1280">
        <v>0</v>
      </c>
      <c r="Q1280">
        <v>6</v>
      </c>
      <c r="R1280">
        <v>7</v>
      </c>
      <c r="S1280">
        <v>9</v>
      </c>
      <c r="T1280">
        <v>3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>
        <v>3</v>
      </c>
      <c r="AB1280">
        <v>11</v>
      </c>
      <c r="AC1280">
        <v>0</v>
      </c>
      <c r="AD1280" t="str">
        <f t="shared" si="247"/>
        <v>Ok</v>
      </c>
      <c r="AE1280" t="str">
        <f>IF(AND(Audit_Data[[#This Row],[Year_Birth]]&gt;=1900,Audit_Data[[#This Row],[Year_Birth]]&lt;=2010),"OK","Invalid")</f>
        <v>OK</v>
      </c>
      <c r="AF1280" t="str">
        <f t="shared" si="248"/>
        <v>Valid</v>
      </c>
      <c r="AG1280" t="str">
        <f t="shared" si="249"/>
        <v>Valid</v>
      </c>
      <c r="AH1280" t="str">
        <f t="shared" si="250"/>
        <v>Valid</v>
      </c>
      <c r="AI1280" t="str">
        <f t="shared" si="251"/>
        <v>Valid</v>
      </c>
      <c r="AJ1280" t="str">
        <f t="shared" si="252"/>
        <v>Valid</v>
      </c>
      <c r="AK1280" t="str">
        <f t="shared" si="259"/>
        <v xml:space="preserve">Valid </v>
      </c>
      <c r="AL1280" t="str">
        <f>IF(AND(Audit_Data[[#This Row],[Recency]]&gt;=0,Audit_Data[[#This Row],[Recency]]&lt;=100),"Valid","Invalid")</f>
        <v>Valid</v>
      </c>
      <c r="AM1280" t="str">
        <f t="shared" si="253"/>
        <v>Valid</v>
      </c>
      <c r="AN1280" t="str">
        <f t="shared" si="254"/>
        <v>Valid</v>
      </c>
      <c r="AO1280" t="str">
        <f t="shared" si="255"/>
        <v>Valid</v>
      </c>
      <c r="AP1280" t="str">
        <f t="shared" si="256"/>
        <v>Valid</v>
      </c>
      <c r="AQ1280" t="str">
        <f>IF(Audit_Data[[#This Row],[Z_CostContact]]=3,"Valid","Invalid")</f>
        <v>Valid</v>
      </c>
      <c r="AR1280" t="str">
        <f t="shared" si="257"/>
        <v>Valid</v>
      </c>
      <c r="AS1280" t="str">
        <f t="shared" si="258"/>
        <v>Valid</v>
      </c>
    </row>
    <row r="1281" spans="1:45" x14ac:dyDescent="0.3">
      <c r="A1281">
        <v>907</v>
      </c>
      <c r="B1281">
        <v>1975</v>
      </c>
      <c r="C1281" t="s">
        <v>29</v>
      </c>
      <c r="D1281" t="s">
        <v>33</v>
      </c>
      <c r="E1281">
        <v>46149</v>
      </c>
      <c r="F1281">
        <v>0</v>
      </c>
      <c r="G1281">
        <v>1</v>
      </c>
      <c r="H1281" s="1">
        <v>41607</v>
      </c>
      <c r="I1281">
        <v>36</v>
      </c>
      <c r="J1281">
        <v>254</v>
      </c>
      <c r="K1281">
        <v>6</v>
      </c>
      <c r="L1281">
        <v>71</v>
      </c>
      <c r="M1281">
        <v>4</v>
      </c>
      <c r="N1281">
        <v>0</v>
      </c>
      <c r="O1281">
        <v>27</v>
      </c>
      <c r="P1281">
        <v>5</v>
      </c>
      <c r="Q1281">
        <v>5</v>
      </c>
      <c r="R1281">
        <v>1</v>
      </c>
      <c r="S1281">
        <v>7</v>
      </c>
      <c r="T1281">
        <v>5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3</v>
      </c>
      <c r="AB1281">
        <v>11</v>
      </c>
      <c r="AC1281">
        <v>0</v>
      </c>
      <c r="AD1281" t="str">
        <f t="shared" si="247"/>
        <v>Ok</v>
      </c>
      <c r="AE1281" t="str">
        <f>IF(AND(Audit_Data[[#This Row],[Year_Birth]]&gt;=1900,Audit_Data[[#This Row],[Year_Birth]]&lt;=2010),"OK","Invalid")</f>
        <v>OK</v>
      </c>
      <c r="AF1281" t="str">
        <f t="shared" si="248"/>
        <v>Valid</v>
      </c>
      <c r="AG1281" t="str">
        <f t="shared" si="249"/>
        <v>Valid</v>
      </c>
      <c r="AH1281" t="str">
        <f t="shared" si="250"/>
        <v>Valid</v>
      </c>
      <c r="AI1281" t="str">
        <f t="shared" si="251"/>
        <v>Valid</v>
      </c>
      <c r="AJ1281" t="str">
        <f t="shared" si="252"/>
        <v>Valid</v>
      </c>
      <c r="AK1281" t="str">
        <f t="shared" si="259"/>
        <v xml:space="preserve">Valid </v>
      </c>
      <c r="AL1281" t="str">
        <f>IF(AND(Audit_Data[[#This Row],[Recency]]&gt;=0,Audit_Data[[#This Row],[Recency]]&lt;=100),"Valid","Invalid")</f>
        <v>Valid</v>
      </c>
      <c r="AM1281" t="str">
        <f t="shared" si="253"/>
        <v>Valid</v>
      </c>
      <c r="AN1281" t="str">
        <f t="shared" si="254"/>
        <v>Valid</v>
      </c>
      <c r="AO1281" t="str">
        <f t="shared" si="255"/>
        <v>Valid</v>
      </c>
      <c r="AP1281" t="str">
        <f t="shared" si="256"/>
        <v>Valid</v>
      </c>
      <c r="AQ1281" t="str">
        <f>IF(Audit_Data[[#This Row],[Z_CostContact]]=3,"Valid","Invalid")</f>
        <v>Valid</v>
      </c>
      <c r="AR1281" t="str">
        <f t="shared" si="257"/>
        <v>Valid</v>
      </c>
      <c r="AS1281" t="str">
        <f t="shared" si="258"/>
        <v>Valid</v>
      </c>
    </row>
    <row r="1282" spans="1:45" x14ac:dyDescent="0.3">
      <c r="A1282">
        <v>3698</v>
      </c>
      <c r="B1282">
        <v>1983</v>
      </c>
      <c r="C1282" t="s">
        <v>29</v>
      </c>
      <c r="D1282" t="s">
        <v>31</v>
      </c>
      <c r="E1282">
        <v>78687</v>
      </c>
      <c r="F1282">
        <v>0</v>
      </c>
      <c r="G1282">
        <v>0</v>
      </c>
      <c r="H1282" s="1">
        <v>41130</v>
      </c>
      <c r="I1282">
        <v>13</v>
      </c>
      <c r="J1282">
        <v>817</v>
      </c>
      <c r="K1282">
        <v>185</v>
      </c>
      <c r="L1282">
        <v>687</v>
      </c>
      <c r="M1282">
        <v>145</v>
      </c>
      <c r="N1282">
        <v>55</v>
      </c>
      <c r="O1282">
        <v>241</v>
      </c>
      <c r="P1282">
        <v>1</v>
      </c>
      <c r="Q1282">
        <v>4</v>
      </c>
      <c r="R1282">
        <v>6</v>
      </c>
      <c r="S1282">
        <v>8</v>
      </c>
      <c r="T1282">
        <v>2</v>
      </c>
      <c r="U1282">
        <v>0</v>
      </c>
      <c r="V1282">
        <v>0</v>
      </c>
      <c r="W1282">
        <v>1</v>
      </c>
      <c r="X1282">
        <v>0</v>
      </c>
      <c r="Y1282">
        <v>0</v>
      </c>
      <c r="Z1282">
        <v>0</v>
      </c>
      <c r="AA1282">
        <v>3</v>
      </c>
      <c r="AB1282">
        <v>11</v>
      </c>
      <c r="AC1282">
        <v>1</v>
      </c>
      <c r="AD1282" t="str">
        <f t="shared" ref="AD1282:AD1345" si="260">IF(COUNTIF(A:A,A1282)&gt;1,"Duplicate","Ok")</f>
        <v>Ok</v>
      </c>
      <c r="AE1282" t="str">
        <f>IF(AND(Audit_Data[[#This Row],[Year_Birth]]&gt;=1900,Audit_Data[[#This Row],[Year_Birth]]&lt;=2010),"OK","Invalid")</f>
        <v>OK</v>
      </c>
      <c r="AF1282" t="str">
        <f t="shared" ref="AF1282:AF1345" si="261">IF(OR(C1282="Graduation",C1282="phD",C1282="Master",C1282="Basic",C1282="2n Cycle"),"Valid","Invalid")</f>
        <v>Valid</v>
      </c>
      <c r="AG1282" t="str">
        <f t="shared" ref="AG1282:AG1345" si="262">IF(OR(D1282="Single",D1282="Married",D1282="Divorced",D1282="Together",D1282="Widow",D1282="Alone"),"Valid","Invalid")</f>
        <v>Valid</v>
      </c>
      <c r="AH1282" t="str">
        <f t="shared" ref="AH1282:AH1345" si="263">IF(AND(ISNUMBER(E1282),E1282&lt;&gt;""),"Valid","Invalid")</f>
        <v>Valid</v>
      </c>
      <c r="AI1282" t="str">
        <f t="shared" ref="AI1282:AI1345" si="264">IF(AND(F1282&gt;=0,F1282&lt;=2),"Valid","Invalid")</f>
        <v>Valid</v>
      </c>
      <c r="AJ1282" t="str">
        <f t="shared" ref="AJ1282:AJ1345" si="265">IF(AND(G1282&gt;=0,G1282&lt;=2),"Valid","Invalid")</f>
        <v>Valid</v>
      </c>
      <c r="AK1282" t="str">
        <f t="shared" si="259"/>
        <v xml:space="preserve">Valid </v>
      </c>
      <c r="AL1282" t="str">
        <f>IF(AND(Audit_Data[[#This Row],[Recency]]&gt;=0,Audit_Data[[#This Row],[Recency]]&lt;=100),"Valid","Invalid")</f>
        <v>Valid</v>
      </c>
      <c r="AM1282" t="str">
        <f t="shared" ref="AM1282:AM1345" si="266">IF(AND(ISNUMBER(J1282),J1282&gt;=0,ISNUMBER(K1282),K1282&gt;=0,ISNUMBER(L1282),L1282&gt;=0,ISNUMBER(M1282),M1282&gt;=0,ISNUMBER(N1282),N1282&gt;=0,ISNUMBER(O1282),O1282&gt;=0),"Valid","Invalid")</f>
        <v>Valid</v>
      </c>
      <c r="AN1282" t="str">
        <f t="shared" ref="AN1282:AN1345" si="267">IF(AND(ISNUMBER(P1282),P1282&gt;=0,ISNUMBER(Q1282),Q1282&gt;=0,ISNUMBER(R1282),R1282&gt;=0,ISNUMBER(S1282),S1282&gt;=0,ISNUMBER(T1282),T1282&gt;=0),"Valid","Invalid")</f>
        <v>Valid</v>
      </c>
      <c r="AO1282" t="str">
        <f t="shared" ref="AO1282:AO1345" si="268">IF(AND(U1282&lt;=1,V1282&lt;=1,W1282&lt;=1,X1282&lt;=1,Y1282&lt;=1),"Valid","Invalid")</f>
        <v>Valid</v>
      </c>
      <c r="AP1282" t="str">
        <f t="shared" ref="AP1282:AP1345" si="269">IF(OR(Z1282=0,Z1282=1),"Valid","Invalid")</f>
        <v>Valid</v>
      </c>
      <c r="AQ1282" t="str">
        <f>IF(Audit_Data[[#This Row],[Z_CostContact]]=3,"Valid","Invalid")</f>
        <v>Valid</v>
      </c>
      <c r="AR1282" t="str">
        <f t="shared" ref="AR1282:AR1345" si="270">IF(AB1282=11,"Valid","Invalid")</f>
        <v>Valid</v>
      </c>
      <c r="AS1282" t="str">
        <f t="shared" ref="AS1282:AS1345" si="271">IF(OR(AC1282=0,AC1282=1),"Valid","Invalid")</f>
        <v>Valid</v>
      </c>
    </row>
    <row r="1283" spans="1:45" x14ac:dyDescent="0.3">
      <c r="A1283">
        <v>9516</v>
      </c>
      <c r="B1283">
        <v>1971</v>
      </c>
      <c r="C1283" t="s">
        <v>37</v>
      </c>
      <c r="D1283" t="s">
        <v>35</v>
      </c>
      <c r="E1283">
        <v>49118</v>
      </c>
      <c r="F1283">
        <v>0</v>
      </c>
      <c r="G1283">
        <v>0</v>
      </c>
      <c r="H1283" s="1">
        <v>41139</v>
      </c>
      <c r="I1283">
        <v>90</v>
      </c>
      <c r="J1283">
        <v>620</v>
      </c>
      <c r="K1283">
        <v>54</v>
      </c>
      <c r="L1283">
        <v>239</v>
      </c>
      <c r="M1283">
        <v>99</v>
      </c>
      <c r="N1283">
        <v>98</v>
      </c>
      <c r="O1283">
        <v>119</v>
      </c>
      <c r="P1283">
        <v>2</v>
      </c>
      <c r="Q1283">
        <v>9</v>
      </c>
      <c r="R1283">
        <v>7</v>
      </c>
      <c r="S1283">
        <v>10</v>
      </c>
      <c r="T1283">
        <v>7</v>
      </c>
      <c r="U1283">
        <v>0</v>
      </c>
      <c r="V1283">
        <v>1</v>
      </c>
      <c r="W1283">
        <v>0</v>
      </c>
      <c r="X1283">
        <v>0</v>
      </c>
      <c r="Y1283">
        <v>1</v>
      </c>
      <c r="Z1283">
        <v>0</v>
      </c>
      <c r="AA1283">
        <v>3</v>
      </c>
      <c r="AB1283">
        <v>11</v>
      </c>
      <c r="AC1283">
        <v>1</v>
      </c>
      <c r="AD1283" t="str">
        <f t="shared" si="260"/>
        <v>Ok</v>
      </c>
      <c r="AE1283" t="str">
        <f>IF(AND(Audit_Data[[#This Row],[Year_Birth]]&gt;=1900,Audit_Data[[#This Row],[Year_Birth]]&lt;=2010),"OK","Invalid")</f>
        <v>OK</v>
      </c>
      <c r="AF1283" t="str">
        <f t="shared" si="261"/>
        <v>Valid</v>
      </c>
      <c r="AG1283" t="str">
        <f t="shared" si="262"/>
        <v>Valid</v>
      </c>
      <c r="AH1283" t="str">
        <f t="shared" si="263"/>
        <v>Valid</v>
      </c>
      <c r="AI1283" t="str">
        <f t="shared" si="264"/>
        <v>Valid</v>
      </c>
      <c r="AJ1283" t="str">
        <f t="shared" si="265"/>
        <v>Valid</v>
      </c>
      <c r="AK1283" t="str">
        <f t="shared" ref="AK1283:AK1346" si="272">IF(AND(ISNUMBER(H1283),H1283&gt;=DATE(2012,1,1),H1283&lt;=DATE(2014,12,31)),"Valid ","Invalid")</f>
        <v xml:space="preserve">Valid </v>
      </c>
      <c r="AL1283" t="str">
        <f>IF(AND(Audit_Data[[#This Row],[Recency]]&gt;=0,Audit_Data[[#This Row],[Recency]]&lt;=100),"Valid","Invalid")</f>
        <v>Valid</v>
      </c>
      <c r="AM1283" t="str">
        <f t="shared" si="266"/>
        <v>Valid</v>
      </c>
      <c r="AN1283" t="str">
        <f t="shared" si="267"/>
        <v>Valid</v>
      </c>
      <c r="AO1283" t="str">
        <f t="shared" si="268"/>
        <v>Valid</v>
      </c>
      <c r="AP1283" t="str">
        <f t="shared" si="269"/>
        <v>Valid</v>
      </c>
      <c r="AQ1283" t="str">
        <f>IF(Audit_Data[[#This Row],[Z_CostContact]]=3,"Valid","Invalid")</f>
        <v>Valid</v>
      </c>
      <c r="AR1283" t="str">
        <f t="shared" si="270"/>
        <v>Valid</v>
      </c>
      <c r="AS1283" t="str">
        <f t="shared" si="271"/>
        <v>Valid</v>
      </c>
    </row>
    <row r="1284" spans="1:45" x14ac:dyDescent="0.3">
      <c r="A1284">
        <v>679</v>
      </c>
      <c r="B1284">
        <v>1957</v>
      </c>
      <c r="C1284" t="s">
        <v>32</v>
      </c>
      <c r="D1284" t="s">
        <v>33</v>
      </c>
      <c r="E1284">
        <v>37633</v>
      </c>
      <c r="F1284">
        <v>1</v>
      </c>
      <c r="G1284">
        <v>1</v>
      </c>
      <c r="H1284" s="1">
        <v>41172</v>
      </c>
      <c r="I1284">
        <v>49</v>
      </c>
      <c r="J1284">
        <v>13</v>
      </c>
      <c r="K1284">
        <v>4</v>
      </c>
      <c r="L1284">
        <v>20</v>
      </c>
      <c r="M1284">
        <v>0</v>
      </c>
      <c r="N1284">
        <v>0</v>
      </c>
      <c r="O1284">
        <v>1</v>
      </c>
      <c r="P1284">
        <v>2</v>
      </c>
      <c r="Q1284">
        <v>1</v>
      </c>
      <c r="R1284">
        <v>0</v>
      </c>
      <c r="S1284">
        <v>3</v>
      </c>
      <c r="T1284">
        <v>9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3</v>
      </c>
      <c r="AB1284">
        <v>11</v>
      </c>
      <c r="AC1284">
        <v>0</v>
      </c>
      <c r="AD1284" t="str">
        <f t="shared" si="260"/>
        <v>Ok</v>
      </c>
      <c r="AE1284" t="str">
        <f>IF(AND(Audit_Data[[#This Row],[Year_Birth]]&gt;=1900,Audit_Data[[#This Row],[Year_Birth]]&lt;=2010),"OK","Invalid")</f>
        <v>OK</v>
      </c>
      <c r="AF1284" t="str">
        <f t="shared" si="261"/>
        <v>Valid</v>
      </c>
      <c r="AG1284" t="str">
        <f t="shared" si="262"/>
        <v>Valid</v>
      </c>
      <c r="AH1284" t="str">
        <f t="shared" si="263"/>
        <v>Valid</v>
      </c>
      <c r="AI1284" t="str">
        <f t="shared" si="264"/>
        <v>Valid</v>
      </c>
      <c r="AJ1284" t="str">
        <f t="shared" si="265"/>
        <v>Valid</v>
      </c>
      <c r="AK1284" t="str">
        <f t="shared" si="272"/>
        <v xml:space="preserve">Valid </v>
      </c>
      <c r="AL1284" t="str">
        <f>IF(AND(Audit_Data[[#This Row],[Recency]]&gt;=0,Audit_Data[[#This Row],[Recency]]&lt;=100),"Valid","Invalid")</f>
        <v>Valid</v>
      </c>
      <c r="AM1284" t="str">
        <f t="shared" si="266"/>
        <v>Valid</v>
      </c>
      <c r="AN1284" t="str">
        <f t="shared" si="267"/>
        <v>Valid</v>
      </c>
      <c r="AO1284" t="str">
        <f t="shared" si="268"/>
        <v>Valid</v>
      </c>
      <c r="AP1284" t="str">
        <f t="shared" si="269"/>
        <v>Valid</v>
      </c>
      <c r="AQ1284" t="str">
        <f>IF(Audit_Data[[#This Row],[Z_CostContact]]=3,"Valid","Invalid")</f>
        <v>Valid</v>
      </c>
      <c r="AR1284" t="str">
        <f t="shared" si="270"/>
        <v>Valid</v>
      </c>
      <c r="AS1284" t="str">
        <f t="shared" si="271"/>
        <v>Valid</v>
      </c>
    </row>
    <row r="1285" spans="1:45" x14ac:dyDescent="0.3">
      <c r="A1285">
        <v>7384</v>
      </c>
      <c r="B1285">
        <v>1951</v>
      </c>
      <c r="C1285" t="s">
        <v>34</v>
      </c>
      <c r="D1285" t="s">
        <v>31</v>
      </c>
      <c r="E1285">
        <v>39767</v>
      </c>
      <c r="F1285">
        <v>0</v>
      </c>
      <c r="G1285">
        <v>0</v>
      </c>
      <c r="H1285" s="1">
        <v>41476</v>
      </c>
      <c r="I1285">
        <v>18</v>
      </c>
      <c r="J1285">
        <v>113</v>
      </c>
      <c r="K1285">
        <v>61</v>
      </c>
      <c r="L1285">
        <v>204</v>
      </c>
      <c r="M1285">
        <v>34</v>
      </c>
      <c r="N1285">
        <v>26</v>
      </c>
      <c r="O1285">
        <v>47</v>
      </c>
      <c r="P1285">
        <v>2</v>
      </c>
      <c r="Q1285">
        <v>7</v>
      </c>
      <c r="R1285">
        <v>1</v>
      </c>
      <c r="S1285">
        <v>7</v>
      </c>
      <c r="T1285">
        <v>8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3</v>
      </c>
      <c r="AB1285">
        <v>11</v>
      </c>
      <c r="AC1285">
        <v>0</v>
      </c>
      <c r="AD1285" t="str">
        <f t="shared" si="260"/>
        <v>Ok</v>
      </c>
      <c r="AE1285" t="str">
        <f>IF(AND(Audit_Data[[#This Row],[Year_Birth]]&gt;=1900,Audit_Data[[#This Row],[Year_Birth]]&lt;=2010),"OK","Invalid")</f>
        <v>OK</v>
      </c>
      <c r="AF1285" t="str">
        <f t="shared" si="261"/>
        <v>Valid</v>
      </c>
      <c r="AG1285" t="str">
        <f t="shared" si="262"/>
        <v>Valid</v>
      </c>
      <c r="AH1285" t="str">
        <f t="shared" si="263"/>
        <v>Valid</v>
      </c>
      <c r="AI1285" t="str">
        <f t="shared" si="264"/>
        <v>Valid</v>
      </c>
      <c r="AJ1285" t="str">
        <f t="shared" si="265"/>
        <v>Valid</v>
      </c>
      <c r="AK1285" t="str">
        <f t="shared" si="272"/>
        <v xml:space="preserve">Valid </v>
      </c>
      <c r="AL1285" t="str">
        <f>IF(AND(Audit_Data[[#This Row],[Recency]]&gt;=0,Audit_Data[[#This Row],[Recency]]&lt;=100),"Valid","Invalid")</f>
        <v>Valid</v>
      </c>
      <c r="AM1285" t="str">
        <f t="shared" si="266"/>
        <v>Valid</v>
      </c>
      <c r="AN1285" t="str">
        <f t="shared" si="267"/>
        <v>Valid</v>
      </c>
      <c r="AO1285" t="str">
        <f t="shared" si="268"/>
        <v>Valid</v>
      </c>
      <c r="AP1285" t="str">
        <f t="shared" si="269"/>
        <v>Valid</v>
      </c>
      <c r="AQ1285" t="str">
        <f>IF(Audit_Data[[#This Row],[Z_CostContact]]=3,"Valid","Invalid")</f>
        <v>Valid</v>
      </c>
      <c r="AR1285" t="str">
        <f t="shared" si="270"/>
        <v>Valid</v>
      </c>
      <c r="AS1285" t="str">
        <f t="shared" si="271"/>
        <v>Valid</v>
      </c>
    </row>
    <row r="1286" spans="1:45" x14ac:dyDescent="0.3">
      <c r="A1286">
        <v>5043</v>
      </c>
      <c r="B1286">
        <v>1951</v>
      </c>
      <c r="C1286" t="s">
        <v>36</v>
      </c>
      <c r="D1286" t="s">
        <v>33</v>
      </c>
      <c r="E1286">
        <v>26997</v>
      </c>
      <c r="F1286">
        <v>0</v>
      </c>
      <c r="G1286">
        <v>0</v>
      </c>
      <c r="H1286" s="1">
        <v>41218</v>
      </c>
      <c r="I1286">
        <v>89</v>
      </c>
      <c r="J1286">
        <v>7</v>
      </c>
      <c r="K1286">
        <v>23</v>
      </c>
      <c r="L1286">
        <v>78</v>
      </c>
      <c r="M1286">
        <v>133</v>
      </c>
      <c r="N1286">
        <v>49</v>
      </c>
      <c r="O1286">
        <v>144</v>
      </c>
      <c r="P1286">
        <v>2</v>
      </c>
      <c r="Q1286">
        <v>4</v>
      </c>
      <c r="R1286">
        <v>2</v>
      </c>
      <c r="S1286">
        <v>5</v>
      </c>
      <c r="T1286">
        <v>7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3</v>
      </c>
      <c r="AB1286">
        <v>11</v>
      </c>
      <c r="AC1286">
        <v>0</v>
      </c>
      <c r="AD1286" t="str">
        <f t="shared" si="260"/>
        <v>Ok</v>
      </c>
      <c r="AE1286" t="str">
        <f>IF(AND(Audit_Data[[#This Row],[Year_Birth]]&gt;=1900,Audit_Data[[#This Row],[Year_Birth]]&lt;=2010),"OK","Invalid")</f>
        <v>OK</v>
      </c>
      <c r="AF1286" t="str">
        <f t="shared" si="261"/>
        <v>Valid</v>
      </c>
      <c r="AG1286" t="str">
        <f t="shared" si="262"/>
        <v>Valid</v>
      </c>
      <c r="AH1286" t="str">
        <f t="shared" si="263"/>
        <v>Valid</v>
      </c>
      <c r="AI1286" t="str">
        <f t="shared" si="264"/>
        <v>Valid</v>
      </c>
      <c r="AJ1286" t="str">
        <f t="shared" si="265"/>
        <v>Valid</v>
      </c>
      <c r="AK1286" t="str">
        <f t="shared" si="272"/>
        <v xml:space="preserve">Valid </v>
      </c>
      <c r="AL1286" t="str">
        <f>IF(AND(Audit_Data[[#This Row],[Recency]]&gt;=0,Audit_Data[[#This Row],[Recency]]&lt;=100),"Valid","Invalid")</f>
        <v>Valid</v>
      </c>
      <c r="AM1286" t="str">
        <f t="shared" si="266"/>
        <v>Valid</v>
      </c>
      <c r="AN1286" t="str">
        <f t="shared" si="267"/>
        <v>Valid</v>
      </c>
      <c r="AO1286" t="str">
        <f t="shared" si="268"/>
        <v>Valid</v>
      </c>
      <c r="AP1286" t="str">
        <f t="shared" si="269"/>
        <v>Valid</v>
      </c>
      <c r="AQ1286" t="str">
        <f>IF(Audit_Data[[#This Row],[Z_CostContact]]=3,"Valid","Invalid")</f>
        <v>Valid</v>
      </c>
      <c r="AR1286" t="str">
        <f t="shared" si="270"/>
        <v>Valid</v>
      </c>
      <c r="AS1286" t="str">
        <f t="shared" si="271"/>
        <v>Valid</v>
      </c>
    </row>
    <row r="1287" spans="1:45" x14ac:dyDescent="0.3">
      <c r="A1287">
        <v>5267</v>
      </c>
      <c r="B1287">
        <v>1970</v>
      </c>
      <c r="C1287" t="s">
        <v>29</v>
      </c>
      <c r="D1287" t="s">
        <v>35</v>
      </c>
      <c r="E1287">
        <v>33986</v>
      </c>
      <c r="F1287">
        <v>1</v>
      </c>
      <c r="G1287">
        <v>0</v>
      </c>
      <c r="H1287" s="1">
        <v>41347</v>
      </c>
      <c r="I1287">
        <v>43</v>
      </c>
      <c r="J1287">
        <v>16</v>
      </c>
      <c r="K1287">
        <v>2</v>
      </c>
      <c r="L1287">
        <v>18</v>
      </c>
      <c r="M1287">
        <v>2</v>
      </c>
      <c r="N1287">
        <v>1</v>
      </c>
      <c r="O1287">
        <v>5</v>
      </c>
      <c r="P1287">
        <v>1</v>
      </c>
      <c r="Q1287">
        <v>1</v>
      </c>
      <c r="R1287">
        <v>0</v>
      </c>
      <c r="S1287">
        <v>3</v>
      </c>
      <c r="T1287">
        <v>7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3</v>
      </c>
      <c r="AB1287">
        <v>11</v>
      </c>
      <c r="AC1287">
        <v>0</v>
      </c>
      <c r="AD1287" t="str">
        <f t="shared" si="260"/>
        <v>Ok</v>
      </c>
      <c r="AE1287" t="str">
        <f>IF(AND(Audit_Data[[#This Row],[Year_Birth]]&gt;=1900,Audit_Data[[#This Row],[Year_Birth]]&lt;=2010),"OK","Invalid")</f>
        <v>OK</v>
      </c>
      <c r="AF1287" t="str">
        <f t="shared" si="261"/>
        <v>Valid</v>
      </c>
      <c r="AG1287" t="str">
        <f t="shared" si="262"/>
        <v>Valid</v>
      </c>
      <c r="AH1287" t="str">
        <f t="shared" si="263"/>
        <v>Valid</v>
      </c>
      <c r="AI1287" t="str">
        <f t="shared" si="264"/>
        <v>Valid</v>
      </c>
      <c r="AJ1287" t="str">
        <f t="shared" si="265"/>
        <v>Valid</v>
      </c>
      <c r="AK1287" t="str">
        <f t="shared" si="272"/>
        <v xml:space="preserve">Valid </v>
      </c>
      <c r="AL1287" t="str">
        <f>IF(AND(Audit_Data[[#This Row],[Recency]]&gt;=0,Audit_Data[[#This Row],[Recency]]&lt;=100),"Valid","Invalid")</f>
        <v>Valid</v>
      </c>
      <c r="AM1287" t="str">
        <f t="shared" si="266"/>
        <v>Valid</v>
      </c>
      <c r="AN1287" t="str">
        <f t="shared" si="267"/>
        <v>Valid</v>
      </c>
      <c r="AO1287" t="str">
        <f t="shared" si="268"/>
        <v>Valid</v>
      </c>
      <c r="AP1287" t="str">
        <f t="shared" si="269"/>
        <v>Valid</v>
      </c>
      <c r="AQ1287" t="str">
        <f>IF(Audit_Data[[#This Row],[Z_CostContact]]=3,"Valid","Invalid")</f>
        <v>Valid</v>
      </c>
      <c r="AR1287" t="str">
        <f t="shared" si="270"/>
        <v>Valid</v>
      </c>
      <c r="AS1287" t="str">
        <f t="shared" si="271"/>
        <v>Valid</v>
      </c>
    </row>
    <row r="1288" spans="1:45" x14ac:dyDescent="0.3">
      <c r="A1288">
        <v>339</v>
      </c>
      <c r="B1288">
        <v>1972</v>
      </c>
      <c r="C1288" t="s">
        <v>32</v>
      </c>
      <c r="D1288" t="s">
        <v>33</v>
      </c>
      <c r="E1288">
        <v>57091</v>
      </c>
      <c r="F1288">
        <v>0</v>
      </c>
      <c r="G1288">
        <v>1</v>
      </c>
      <c r="H1288" s="1">
        <v>41236</v>
      </c>
      <c r="I1288">
        <v>82</v>
      </c>
      <c r="J1288">
        <v>462</v>
      </c>
      <c r="K1288">
        <v>0</v>
      </c>
      <c r="L1288">
        <v>24</v>
      </c>
      <c r="M1288">
        <v>6</v>
      </c>
      <c r="N1288">
        <v>0</v>
      </c>
      <c r="O1288">
        <v>4</v>
      </c>
      <c r="P1288">
        <v>2</v>
      </c>
      <c r="Q1288">
        <v>9</v>
      </c>
      <c r="R1288">
        <v>2</v>
      </c>
      <c r="S1288">
        <v>5</v>
      </c>
      <c r="T1288">
        <v>7</v>
      </c>
      <c r="U1288">
        <v>0</v>
      </c>
      <c r="V1288">
        <v>1</v>
      </c>
      <c r="W1288">
        <v>0</v>
      </c>
      <c r="X1288">
        <v>0</v>
      </c>
      <c r="Y1288">
        <v>0</v>
      </c>
      <c r="Z1288">
        <v>0</v>
      </c>
      <c r="AA1288">
        <v>3</v>
      </c>
      <c r="AB1288">
        <v>11</v>
      </c>
      <c r="AC1288">
        <v>1</v>
      </c>
      <c r="AD1288" t="str">
        <f t="shared" si="260"/>
        <v>Ok</v>
      </c>
      <c r="AE1288" t="str">
        <f>IF(AND(Audit_Data[[#This Row],[Year_Birth]]&gt;=1900,Audit_Data[[#This Row],[Year_Birth]]&lt;=2010),"OK","Invalid")</f>
        <v>OK</v>
      </c>
      <c r="AF1288" t="str">
        <f t="shared" si="261"/>
        <v>Valid</v>
      </c>
      <c r="AG1288" t="str">
        <f t="shared" si="262"/>
        <v>Valid</v>
      </c>
      <c r="AH1288" t="str">
        <f t="shared" si="263"/>
        <v>Valid</v>
      </c>
      <c r="AI1288" t="str">
        <f t="shared" si="264"/>
        <v>Valid</v>
      </c>
      <c r="AJ1288" t="str">
        <f t="shared" si="265"/>
        <v>Valid</v>
      </c>
      <c r="AK1288" t="str">
        <f t="shared" si="272"/>
        <v xml:space="preserve">Valid </v>
      </c>
      <c r="AL1288" t="str">
        <f>IF(AND(Audit_Data[[#This Row],[Recency]]&gt;=0,Audit_Data[[#This Row],[Recency]]&lt;=100),"Valid","Invalid")</f>
        <v>Valid</v>
      </c>
      <c r="AM1288" t="str">
        <f t="shared" si="266"/>
        <v>Valid</v>
      </c>
      <c r="AN1288" t="str">
        <f t="shared" si="267"/>
        <v>Valid</v>
      </c>
      <c r="AO1288" t="str">
        <f t="shared" si="268"/>
        <v>Valid</v>
      </c>
      <c r="AP1288" t="str">
        <f t="shared" si="269"/>
        <v>Valid</v>
      </c>
      <c r="AQ1288" t="str">
        <f>IF(Audit_Data[[#This Row],[Z_CostContact]]=3,"Valid","Invalid")</f>
        <v>Valid</v>
      </c>
      <c r="AR1288" t="str">
        <f t="shared" si="270"/>
        <v>Valid</v>
      </c>
      <c r="AS1288" t="str">
        <f t="shared" si="271"/>
        <v>Valid</v>
      </c>
    </row>
    <row r="1289" spans="1:45" x14ac:dyDescent="0.3">
      <c r="A1289">
        <v>2516</v>
      </c>
      <c r="B1289">
        <v>1969</v>
      </c>
      <c r="C1289" t="s">
        <v>37</v>
      </c>
      <c r="D1289" t="s">
        <v>33</v>
      </c>
      <c r="E1289">
        <v>46831</v>
      </c>
      <c r="F1289">
        <v>1</v>
      </c>
      <c r="G1289">
        <v>1</v>
      </c>
      <c r="H1289" s="1">
        <v>41433</v>
      </c>
      <c r="I1289">
        <v>84</v>
      </c>
      <c r="J1289">
        <v>22</v>
      </c>
      <c r="K1289">
        <v>2</v>
      </c>
      <c r="L1289">
        <v>10</v>
      </c>
      <c r="M1289">
        <v>6</v>
      </c>
      <c r="N1289">
        <v>4</v>
      </c>
      <c r="O1289">
        <v>34</v>
      </c>
      <c r="P1289">
        <v>2</v>
      </c>
      <c r="Q1289">
        <v>1</v>
      </c>
      <c r="R1289">
        <v>2</v>
      </c>
      <c r="S1289">
        <v>2</v>
      </c>
      <c r="T1289">
        <v>4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3</v>
      </c>
      <c r="AB1289">
        <v>11</v>
      </c>
      <c r="AC1289">
        <v>0</v>
      </c>
      <c r="AD1289" t="str">
        <f t="shared" si="260"/>
        <v>Ok</v>
      </c>
      <c r="AE1289" t="str">
        <f>IF(AND(Audit_Data[[#This Row],[Year_Birth]]&gt;=1900,Audit_Data[[#This Row],[Year_Birth]]&lt;=2010),"OK","Invalid")</f>
        <v>OK</v>
      </c>
      <c r="AF1289" t="str">
        <f t="shared" si="261"/>
        <v>Valid</v>
      </c>
      <c r="AG1289" t="str">
        <f t="shared" si="262"/>
        <v>Valid</v>
      </c>
      <c r="AH1289" t="str">
        <f t="shared" si="263"/>
        <v>Valid</v>
      </c>
      <c r="AI1289" t="str">
        <f t="shared" si="264"/>
        <v>Valid</v>
      </c>
      <c r="AJ1289" t="str">
        <f t="shared" si="265"/>
        <v>Valid</v>
      </c>
      <c r="AK1289" t="str">
        <f t="shared" si="272"/>
        <v xml:space="preserve">Valid </v>
      </c>
      <c r="AL1289" t="str">
        <f>IF(AND(Audit_Data[[#This Row],[Recency]]&gt;=0,Audit_Data[[#This Row],[Recency]]&lt;=100),"Valid","Invalid")</f>
        <v>Valid</v>
      </c>
      <c r="AM1289" t="str">
        <f t="shared" si="266"/>
        <v>Valid</v>
      </c>
      <c r="AN1289" t="str">
        <f t="shared" si="267"/>
        <v>Valid</v>
      </c>
      <c r="AO1289" t="str">
        <f t="shared" si="268"/>
        <v>Valid</v>
      </c>
      <c r="AP1289" t="str">
        <f t="shared" si="269"/>
        <v>Valid</v>
      </c>
      <c r="AQ1289" t="str">
        <f>IF(Audit_Data[[#This Row],[Z_CostContact]]=3,"Valid","Invalid")</f>
        <v>Valid</v>
      </c>
      <c r="AR1289" t="str">
        <f t="shared" si="270"/>
        <v>Valid</v>
      </c>
      <c r="AS1289" t="str">
        <f t="shared" si="271"/>
        <v>Valid</v>
      </c>
    </row>
    <row r="1290" spans="1:45" x14ac:dyDescent="0.3">
      <c r="A1290">
        <v>9010</v>
      </c>
      <c r="B1290">
        <v>1972</v>
      </c>
      <c r="C1290" t="s">
        <v>34</v>
      </c>
      <c r="D1290" t="s">
        <v>33</v>
      </c>
      <c r="E1290">
        <v>83151</v>
      </c>
      <c r="F1290">
        <v>0</v>
      </c>
      <c r="G1290">
        <v>0</v>
      </c>
      <c r="H1290" s="1">
        <v>41315</v>
      </c>
      <c r="I1290">
        <v>80</v>
      </c>
      <c r="J1290">
        <v>968</v>
      </c>
      <c r="K1290">
        <v>147</v>
      </c>
      <c r="L1290">
        <v>842</v>
      </c>
      <c r="M1290">
        <v>137</v>
      </c>
      <c r="N1290">
        <v>42</v>
      </c>
      <c r="O1290">
        <v>210</v>
      </c>
      <c r="P1290">
        <v>1</v>
      </c>
      <c r="Q1290">
        <v>5</v>
      </c>
      <c r="R1290">
        <v>7</v>
      </c>
      <c r="S1290">
        <v>10</v>
      </c>
      <c r="T1290">
        <v>2</v>
      </c>
      <c r="U1290">
        <v>1</v>
      </c>
      <c r="V1290">
        <v>0</v>
      </c>
      <c r="W1290">
        <v>1</v>
      </c>
      <c r="X1290">
        <v>1</v>
      </c>
      <c r="Y1290">
        <v>0</v>
      </c>
      <c r="Z1290">
        <v>0</v>
      </c>
      <c r="AA1290">
        <v>3</v>
      </c>
      <c r="AB1290">
        <v>11</v>
      </c>
      <c r="AC1290">
        <v>1</v>
      </c>
      <c r="AD1290" t="str">
        <f t="shared" si="260"/>
        <v>Ok</v>
      </c>
      <c r="AE1290" t="str">
        <f>IF(AND(Audit_Data[[#This Row],[Year_Birth]]&gt;=1900,Audit_Data[[#This Row],[Year_Birth]]&lt;=2010),"OK","Invalid")</f>
        <v>OK</v>
      </c>
      <c r="AF1290" t="str">
        <f t="shared" si="261"/>
        <v>Valid</v>
      </c>
      <c r="AG1290" t="str">
        <f t="shared" si="262"/>
        <v>Valid</v>
      </c>
      <c r="AH1290" t="str">
        <f t="shared" si="263"/>
        <v>Valid</v>
      </c>
      <c r="AI1290" t="str">
        <f t="shared" si="264"/>
        <v>Valid</v>
      </c>
      <c r="AJ1290" t="str">
        <f t="shared" si="265"/>
        <v>Valid</v>
      </c>
      <c r="AK1290" t="str">
        <f t="shared" si="272"/>
        <v xml:space="preserve">Valid </v>
      </c>
      <c r="AL1290" t="str">
        <f>IF(AND(Audit_Data[[#This Row],[Recency]]&gt;=0,Audit_Data[[#This Row],[Recency]]&lt;=100),"Valid","Invalid")</f>
        <v>Valid</v>
      </c>
      <c r="AM1290" t="str">
        <f t="shared" si="266"/>
        <v>Valid</v>
      </c>
      <c r="AN1290" t="str">
        <f t="shared" si="267"/>
        <v>Valid</v>
      </c>
      <c r="AO1290" t="str">
        <f t="shared" si="268"/>
        <v>Valid</v>
      </c>
      <c r="AP1290" t="str">
        <f t="shared" si="269"/>
        <v>Valid</v>
      </c>
      <c r="AQ1290" t="str">
        <f>IF(Audit_Data[[#This Row],[Z_CostContact]]=3,"Valid","Invalid")</f>
        <v>Valid</v>
      </c>
      <c r="AR1290" t="str">
        <f t="shared" si="270"/>
        <v>Valid</v>
      </c>
      <c r="AS1290" t="str">
        <f t="shared" si="271"/>
        <v>Valid</v>
      </c>
    </row>
    <row r="1291" spans="1:45" x14ac:dyDescent="0.3">
      <c r="A1291">
        <v>378</v>
      </c>
      <c r="B1291">
        <v>1971</v>
      </c>
      <c r="C1291" t="s">
        <v>29</v>
      </c>
      <c r="D1291" t="s">
        <v>33</v>
      </c>
      <c r="E1291">
        <v>52531</v>
      </c>
      <c r="F1291">
        <v>0</v>
      </c>
      <c r="G1291">
        <v>0</v>
      </c>
      <c r="H1291" s="1">
        <v>41273</v>
      </c>
      <c r="I1291">
        <v>68</v>
      </c>
      <c r="J1291">
        <v>283</v>
      </c>
      <c r="K1291">
        <v>112</v>
      </c>
      <c r="L1291">
        <v>151</v>
      </c>
      <c r="M1291">
        <v>51</v>
      </c>
      <c r="N1291">
        <v>72</v>
      </c>
      <c r="O1291">
        <v>125</v>
      </c>
      <c r="P1291">
        <v>2</v>
      </c>
      <c r="Q1291">
        <v>7</v>
      </c>
      <c r="R1291">
        <v>2</v>
      </c>
      <c r="S1291">
        <v>10</v>
      </c>
      <c r="T1291">
        <v>6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3</v>
      </c>
      <c r="AB1291">
        <v>11</v>
      </c>
      <c r="AC1291">
        <v>0</v>
      </c>
      <c r="AD1291" t="str">
        <f t="shared" si="260"/>
        <v>Ok</v>
      </c>
      <c r="AE1291" t="str">
        <f>IF(AND(Audit_Data[[#This Row],[Year_Birth]]&gt;=1900,Audit_Data[[#This Row],[Year_Birth]]&lt;=2010),"OK","Invalid")</f>
        <v>OK</v>
      </c>
      <c r="AF1291" t="str">
        <f t="shared" si="261"/>
        <v>Valid</v>
      </c>
      <c r="AG1291" t="str">
        <f t="shared" si="262"/>
        <v>Valid</v>
      </c>
      <c r="AH1291" t="str">
        <f t="shared" si="263"/>
        <v>Valid</v>
      </c>
      <c r="AI1291" t="str">
        <f t="shared" si="264"/>
        <v>Valid</v>
      </c>
      <c r="AJ1291" t="str">
        <f t="shared" si="265"/>
        <v>Valid</v>
      </c>
      <c r="AK1291" t="str">
        <f t="shared" si="272"/>
        <v xml:space="preserve">Valid </v>
      </c>
      <c r="AL1291" t="str">
        <f>IF(AND(Audit_Data[[#This Row],[Recency]]&gt;=0,Audit_Data[[#This Row],[Recency]]&lt;=100),"Valid","Invalid")</f>
        <v>Valid</v>
      </c>
      <c r="AM1291" t="str">
        <f t="shared" si="266"/>
        <v>Valid</v>
      </c>
      <c r="AN1291" t="str">
        <f t="shared" si="267"/>
        <v>Valid</v>
      </c>
      <c r="AO1291" t="str">
        <f t="shared" si="268"/>
        <v>Valid</v>
      </c>
      <c r="AP1291" t="str">
        <f t="shared" si="269"/>
        <v>Valid</v>
      </c>
      <c r="AQ1291" t="str">
        <f>IF(Audit_Data[[#This Row],[Z_CostContact]]=3,"Valid","Invalid")</f>
        <v>Valid</v>
      </c>
      <c r="AR1291" t="str">
        <f t="shared" si="270"/>
        <v>Valid</v>
      </c>
      <c r="AS1291" t="str">
        <f t="shared" si="271"/>
        <v>Valid</v>
      </c>
    </row>
    <row r="1292" spans="1:45" x14ac:dyDescent="0.3">
      <c r="A1292">
        <v>4808</v>
      </c>
      <c r="B1292">
        <v>1956</v>
      </c>
      <c r="C1292" t="s">
        <v>29</v>
      </c>
      <c r="D1292" t="s">
        <v>33</v>
      </c>
      <c r="E1292">
        <v>15759</v>
      </c>
      <c r="F1292">
        <v>0</v>
      </c>
      <c r="G1292">
        <v>0</v>
      </c>
      <c r="H1292" s="1">
        <v>41522</v>
      </c>
      <c r="I1292">
        <v>12</v>
      </c>
      <c r="J1292">
        <v>1</v>
      </c>
      <c r="K1292">
        <v>2</v>
      </c>
      <c r="L1292">
        <v>5</v>
      </c>
      <c r="M1292">
        <v>6</v>
      </c>
      <c r="N1292">
        <v>0</v>
      </c>
      <c r="O1292">
        <v>3</v>
      </c>
      <c r="P1292">
        <v>1</v>
      </c>
      <c r="Q1292">
        <v>1</v>
      </c>
      <c r="R1292">
        <v>0</v>
      </c>
      <c r="S1292">
        <v>2</v>
      </c>
      <c r="T1292">
        <v>7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3</v>
      </c>
      <c r="AB1292">
        <v>11</v>
      </c>
      <c r="AC1292">
        <v>0</v>
      </c>
      <c r="AD1292" t="str">
        <f t="shared" si="260"/>
        <v>Ok</v>
      </c>
      <c r="AE1292" t="str">
        <f>IF(AND(Audit_Data[[#This Row],[Year_Birth]]&gt;=1900,Audit_Data[[#This Row],[Year_Birth]]&lt;=2010),"OK","Invalid")</f>
        <v>OK</v>
      </c>
      <c r="AF1292" t="str">
        <f t="shared" si="261"/>
        <v>Valid</v>
      </c>
      <c r="AG1292" t="str">
        <f t="shared" si="262"/>
        <v>Valid</v>
      </c>
      <c r="AH1292" t="str">
        <f t="shared" si="263"/>
        <v>Valid</v>
      </c>
      <c r="AI1292" t="str">
        <f t="shared" si="264"/>
        <v>Valid</v>
      </c>
      <c r="AJ1292" t="str">
        <f t="shared" si="265"/>
        <v>Valid</v>
      </c>
      <c r="AK1292" t="str">
        <f t="shared" si="272"/>
        <v xml:space="preserve">Valid </v>
      </c>
      <c r="AL1292" t="str">
        <f>IF(AND(Audit_Data[[#This Row],[Recency]]&gt;=0,Audit_Data[[#This Row],[Recency]]&lt;=100),"Valid","Invalid")</f>
        <v>Valid</v>
      </c>
      <c r="AM1292" t="str">
        <f t="shared" si="266"/>
        <v>Valid</v>
      </c>
      <c r="AN1292" t="str">
        <f t="shared" si="267"/>
        <v>Valid</v>
      </c>
      <c r="AO1292" t="str">
        <f t="shared" si="268"/>
        <v>Valid</v>
      </c>
      <c r="AP1292" t="str">
        <f t="shared" si="269"/>
        <v>Valid</v>
      </c>
      <c r="AQ1292" t="str">
        <f>IF(Audit_Data[[#This Row],[Z_CostContact]]=3,"Valid","Invalid")</f>
        <v>Valid</v>
      </c>
      <c r="AR1292" t="str">
        <f t="shared" si="270"/>
        <v>Valid</v>
      </c>
      <c r="AS1292" t="str">
        <f t="shared" si="271"/>
        <v>Valid</v>
      </c>
    </row>
    <row r="1293" spans="1:45" x14ac:dyDescent="0.3">
      <c r="A1293">
        <v>5068</v>
      </c>
      <c r="B1293">
        <v>1971</v>
      </c>
      <c r="C1293" t="s">
        <v>29</v>
      </c>
      <c r="D1293" t="s">
        <v>30</v>
      </c>
      <c r="E1293">
        <v>22804</v>
      </c>
      <c r="F1293">
        <v>1</v>
      </c>
      <c r="G1293">
        <v>0</v>
      </c>
      <c r="H1293" s="1">
        <v>41486</v>
      </c>
      <c r="I1293">
        <v>75</v>
      </c>
      <c r="J1293">
        <v>14</v>
      </c>
      <c r="K1293">
        <v>1</v>
      </c>
      <c r="L1293">
        <v>7</v>
      </c>
      <c r="M1293">
        <v>2</v>
      </c>
      <c r="N1293">
        <v>1</v>
      </c>
      <c r="O1293">
        <v>1</v>
      </c>
      <c r="P1293">
        <v>1</v>
      </c>
      <c r="Q1293">
        <v>2</v>
      </c>
      <c r="R1293">
        <v>0</v>
      </c>
      <c r="S1293">
        <v>2</v>
      </c>
      <c r="T1293">
        <v>9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3</v>
      </c>
      <c r="AB1293">
        <v>11</v>
      </c>
      <c r="AC1293">
        <v>0</v>
      </c>
      <c r="AD1293" t="str">
        <f t="shared" si="260"/>
        <v>Ok</v>
      </c>
      <c r="AE1293" t="str">
        <f>IF(AND(Audit_Data[[#This Row],[Year_Birth]]&gt;=1900,Audit_Data[[#This Row],[Year_Birth]]&lt;=2010),"OK","Invalid")</f>
        <v>OK</v>
      </c>
      <c r="AF1293" t="str">
        <f t="shared" si="261"/>
        <v>Valid</v>
      </c>
      <c r="AG1293" t="str">
        <f t="shared" si="262"/>
        <v>Valid</v>
      </c>
      <c r="AH1293" t="str">
        <f t="shared" si="263"/>
        <v>Valid</v>
      </c>
      <c r="AI1293" t="str">
        <f t="shared" si="264"/>
        <v>Valid</v>
      </c>
      <c r="AJ1293" t="str">
        <f t="shared" si="265"/>
        <v>Valid</v>
      </c>
      <c r="AK1293" t="str">
        <f t="shared" si="272"/>
        <v xml:space="preserve">Valid </v>
      </c>
      <c r="AL1293" t="str">
        <f>IF(AND(Audit_Data[[#This Row],[Recency]]&gt;=0,Audit_Data[[#This Row],[Recency]]&lt;=100),"Valid","Invalid")</f>
        <v>Valid</v>
      </c>
      <c r="AM1293" t="str">
        <f t="shared" si="266"/>
        <v>Valid</v>
      </c>
      <c r="AN1293" t="str">
        <f t="shared" si="267"/>
        <v>Valid</v>
      </c>
      <c r="AO1293" t="str">
        <f t="shared" si="268"/>
        <v>Valid</v>
      </c>
      <c r="AP1293" t="str">
        <f t="shared" si="269"/>
        <v>Valid</v>
      </c>
      <c r="AQ1293" t="str">
        <f>IF(Audit_Data[[#This Row],[Z_CostContact]]=3,"Valid","Invalid")</f>
        <v>Valid</v>
      </c>
      <c r="AR1293" t="str">
        <f t="shared" si="270"/>
        <v>Valid</v>
      </c>
      <c r="AS1293" t="str">
        <f t="shared" si="271"/>
        <v>Valid</v>
      </c>
    </row>
    <row r="1294" spans="1:45" x14ac:dyDescent="0.3">
      <c r="A1294">
        <v>7628</v>
      </c>
      <c r="B1294">
        <v>1973</v>
      </c>
      <c r="C1294" t="s">
        <v>37</v>
      </c>
      <c r="D1294" t="s">
        <v>33</v>
      </c>
      <c r="E1294">
        <v>43050</v>
      </c>
      <c r="F1294">
        <v>1</v>
      </c>
      <c r="G1294">
        <v>0</v>
      </c>
      <c r="H1294" s="1">
        <v>41716</v>
      </c>
      <c r="I1294">
        <v>10</v>
      </c>
      <c r="J1294">
        <v>30</v>
      </c>
      <c r="K1294">
        <v>5</v>
      </c>
      <c r="L1294">
        <v>24</v>
      </c>
      <c r="M1294">
        <v>6</v>
      </c>
      <c r="N1294">
        <v>3</v>
      </c>
      <c r="O1294">
        <v>8</v>
      </c>
      <c r="P1294">
        <v>2</v>
      </c>
      <c r="Q1294">
        <v>2</v>
      </c>
      <c r="R1294">
        <v>0</v>
      </c>
      <c r="S1294">
        <v>4</v>
      </c>
      <c r="T1294">
        <v>5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3</v>
      </c>
      <c r="AB1294">
        <v>11</v>
      </c>
      <c r="AC1294">
        <v>0</v>
      </c>
      <c r="AD1294" t="str">
        <f t="shared" si="260"/>
        <v>Ok</v>
      </c>
      <c r="AE1294" t="str">
        <f>IF(AND(Audit_Data[[#This Row],[Year_Birth]]&gt;=1900,Audit_Data[[#This Row],[Year_Birth]]&lt;=2010),"OK","Invalid")</f>
        <v>OK</v>
      </c>
      <c r="AF1294" t="str">
        <f t="shared" si="261"/>
        <v>Valid</v>
      </c>
      <c r="AG1294" t="str">
        <f t="shared" si="262"/>
        <v>Valid</v>
      </c>
      <c r="AH1294" t="str">
        <f t="shared" si="263"/>
        <v>Valid</v>
      </c>
      <c r="AI1294" t="str">
        <f t="shared" si="264"/>
        <v>Valid</v>
      </c>
      <c r="AJ1294" t="str">
        <f t="shared" si="265"/>
        <v>Valid</v>
      </c>
      <c r="AK1294" t="str">
        <f t="shared" si="272"/>
        <v xml:space="preserve">Valid </v>
      </c>
      <c r="AL1294" t="str">
        <f>IF(AND(Audit_Data[[#This Row],[Recency]]&gt;=0,Audit_Data[[#This Row],[Recency]]&lt;=100),"Valid","Invalid")</f>
        <v>Valid</v>
      </c>
      <c r="AM1294" t="str">
        <f t="shared" si="266"/>
        <v>Valid</v>
      </c>
      <c r="AN1294" t="str">
        <f t="shared" si="267"/>
        <v>Valid</v>
      </c>
      <c r="AO1294" t="str">
        <f t="shared" si="268"/>
        <v>Valid</v>
      </c>
      <c r="AP1294" t="str">
        <f t="shared" si="269"/>
        <v>Valid</v>
      </c>
      <c r="AQ1294" t="str">
        <f>IF(Audit_Data[[#This Row],[Z_CostContact]]=3,"Valid","Invalid")</f>
        <v>Valid</v>
      </c>
      <c r="AR1294" t="str">
        <f t="shared" si="270"/>
        <v>Valid</v>
      </c>
      <c r="AS1294" t="str">
        <f t="shared" si="271"/>
        <v>Valid</v>
      </c>
    </row>
    <row r="1295" spans="1:45" x14ac:dyDescent="0.3">
      <c r="A1295">
        <v>7128</v>
      </c>
      <c r="B1295">
        <v>1977</v>
      </c>
      <c r="C1295" t="s">
        <v>32</v>
      </c>
      <c r="D1295" t="s">
        <v>30</v>
      </c>
      <c r="E1295">
        <v>42997</v>
      </c>
      <c r="F1295">
        <v>1</v>
      </c>
      <c r="G1295">
        <v>1</v>
      </c>
      <c r="H1295" s="1">
        <v>41615</v>
      </c>
      <c r="I1295">
        <v>91</v>
      </c>
      <c r="J1295">
        <v>4</v>
      </c>
      <c r="K1295">
        <v>0</v>
      </c>
      <c r="L1295">
        <v>5</v>
      </c>
      <c r="M1295">
        <v>0</v>
      </c>
      <c r="N1295">
        <v>1</v>
      </c>
      <c r="O1295">
        <v>5</v>
      </c>
      <c r="P1295">
        <v>1</v>
      </c>
      <c r="Q1295">
        <v>1</v>
      </c>
      <c r="R1295">
        <v>0</v>
      </c>
      <c r="S1295">
        <v>2</v>
      </c>
      <c r="T1295">
        <v>7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3</v>
      </c>
      <c r="AB1295">
        <v>11</v>
      </c>
      <c r="AC1295">
        <v>0</v>
      </c>
      <c r="AD1295" t="str">
        <f t="shared" si="260"/>
        <v>Ok</v>
      </c>
      <c r="AE1295" t="str">
        <f>IF(AND(Audit_Data[[#This Row],[Year_Birth]]&gt;=1900,Audit_Data[[#This Row],[Year_Birth]]&lt;=2010),"OK","Invalid")</f>
        <v>OK</v>
      </c>
      <c r="AF1295" t="str">
        <f t="shared" si="261"/>
        <v>Valid</v>
      </c>
      <c r="AG1295" t="str">
        <f t="shared" si="262"/>
        <v>Valid</v>
      </c>
      <c r="AH1295" t="str">
        <f t="shared" si="263"/>
        <v>Valid</v>
      </c>
      <c r="AI1295" t="str">
        <f t="shared" si="264"/>
        <v>Valid</v>
      </c>
      <c r="AJ1295" t="str">
        <f t="shared" si="265"/>
        <v>Valid</v>
      </c>
      <c r="AK1295" t="str">
        <f t="shared" si="272"/>
        <v xml:space="preserve">Valid </v>
      </c>
      <c r="AL1295" t="str">
        <f>IF(AND(Audit_Data[[#This Row],[Recency]]&gt;=0,Audit_Data[[#This Row],[Recency]]&lt;=100),"Valid","Invalid")</f>
        <v>Valid</v>
      </c>
      <c r="AM1295" t="str">
        <f t="shared" si="266"/>
        <v>Valid</v>
      </c>
      <c r="AN1295" t="str">
        <f t="shared" si="267"/>
        <v>Valid</v>
      </c>
      <c r="AO1295" t="str">
        <f t="shared" si="268"/>
        <v>Valid</v>
      </c>
      <c r="AP1295" t="str">
        <f t="shared" si="269"/>
        <v>Valid</v>
      </c>
      <c r="AQ1295" t="str">
        <f>IF(Audit_Data[[#This Row],[Z_CostContact]]=3,"Valid","Invalid")</f>
        <v>Valid</v>
      </c>
      <c r="AR1295" t="str">
        <f t="shared" si="270"/>
        <v>Valid</v>
      </c>
      <c r="AS1295" t="str">
        <f t="shared" si="271"/>
        <v>Valid</v>
      </c>
    </row>
    <row r="1296" spans="1:45" x14ac:dyDescent="0.3">
      <c r="A1296">
        <v>2811</v>
      </c>
      <c r="B1296">
        <v>1963</v>
      </c>
      <c r="C1296" t="s">
        <v>32</v>
      </c>
      <c r="D1296" t="s">
        <v>30</v>
      </c>
      <c r="E1296">
        <v>48918</v>
      </c>
      <c r="F1296">
        <v>1</v>
      </c>
      <c r="G1296">
        <v>1</v>
      </c>
      <c r="H1296" s="1">
        <v>41741</v>
      </c>
      <c r="I1296">
        <v>21</v>
      </c>
      <c r="J1296">
        <v>52</v>
      </c>
      <c r="K1296">
        <v>0</v>
      </c>
      <c r="L1296">
        <v>9</v>
      </c>
      <c r="M1296">
        <v>0</v>
      </c>
      <c r="N1296">
        <v>0</v>
      </c>
      <c r="O1296">
        <v>1</v>
      </c>
      <c r="P1296">
        <v>2</v>
      </c>
      <c r="Q1296">
        <v>1</v>
      </c>
      <c r="R1296">
        <v>0</v>
      </c>
      <c r="S1296">
        <v>4</v>
      </c>
      <c r="T1296">
        <v>4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3</v>
      </c>
      <c r="AB1296">
        <v>11</v>
      </c>
      <c r="AC1296">
        <v>0</v>
      </c>
      <c r="AD1296" t="str">
        <f t="shared" si="260"/>
        <v>Ok</v>
      </c>
      <c r="AE1296" t="str">
        <f>IF(AND(Audit_Data[[#This Row],[Year_Birth]]&gt;=1900,Audit_Data[[#This Row],[Year_Birth]]&lt;=2010),"OK","Invalid")</f>
        <v>OK</v>
      </c>
      <c r="AF1296" t="str">
        <f t="shared" si="261"/>
        <v>Valid</v>
      </c>
      <c r="AG1296" t="str">
        <f t="shared" si="262"/>
        <v>Valid</v>
      </c>
      <c r="AH1296" t="str">
        <f t="shared" si="263"/>
        <v>Valid</v>
      </c>
      <c r="AI1296" t="str">
        <f t="shared" si="264"/>
        <v>Valid</v>
      </c>
      <c r="AJ1296" t="str">
        <f t="shared" si="265"/>
        <v>Valid</v>
      </c>
      <c r="AK1296" t="str">
        <f t="shared" si="272"/>
        <v xml:space="preserve">Valid </v>
      </c>
      <c r="AL1296" t="str">
        <f>IF(AND(Audit_Data[[#This Row],[Recency]]&gt;=0,Audit_Data[[#This Row],[Recency]]&lt;=100),"Valid","Invalid")</f>
        <v>Valid</v>
      </c>
      <c r="AM1296" t="str">
        <f t="shared" si="266"/>
        <v>Valid</v>
      </c>
      <c r="AN1296" t="str">
        <f t="shared" si="267"/>
        <v>Valid</v>
      </c>
      <c r="AO1296" t="str">
        <f t="shared" si="268"/>
        <v>Valid</v>
      </c>
      <c r="AP1296" t="str">
        <f t="shared" si="269"/>
        <v>Valid</v>
      </c>
      <c r="AQ1296" t="str">
        <f>IF(Audit_Data[[#This Row],[Z_CostContact]]=3,"Valid","Invalid")</f>
        <v>Valid</v>
      </c>
      <c r="AR1296" t="str">
        <f t="shared" si="270"/>
        <v>Valid</v>
      </c>
      <c r="AS1296" t="str">
        <f t="shared" si="271"/>
        <v>Valid</v>
      </c>
    </row>
    <row r="1297" spans="1:45" x14ac:dyDescent="0.3">
      <c r="A1297">
        <v>3551</v>
      </c>
      <c r="B1297">
        <v>1954</v>
      </c>
      <c r="C1297" t="s">
        <v>34</v>
      </c>
      <c r="D1297" t="s">
        <v>31</v>
      </c>
      <c r="E1297">
        <v>60033</v>
      </c>
      <c r="F1297">
        <v>0</v>
      </c>
      <c r="G1297">
        <v>1</v>
      </c>
      <c r="H1297" s="1">
        <v>41727</v>
      </c>
      <c r="I1297">
        <v>28</v>
      </c>
      <c r="J1297">
        <v>62</v>
      </c>
      <c r="K1297">
        <v>1</v>
      </c>
      <c r="L1297">
        <v>57</v>
      </c>
      <c r="M1297">
        <v>19</v>
      </c>
      <c r="N1297">
        <v>11</v>
      </c>
      <c r="O1297">
        <v>48</v>
      </c>
      <c r="P1297">
        <v>2</v>
      </c>
      <c r="Q1297">
        <v>2</v>
      </c>
      <c r="R1297">
        <v>1</v>
      </c>
      <c r="S1297">
        <v>5</v>
      </c>
      <c r="T1297">
        <v>2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3</v>
      </c>
      <c r="AB1297">
        <v>11</v>
      </c>
      <c r="AC1297">
        <v>0</v>
      </c>
      <c r="AD1297" t="str">
        <f t="shared" si="260"/>
        <v>Ok</v>
      </c>
      <c r="AE1297" t="str">
        <f>IF(AND(Audit_Data[[#This Row],[Year_Birth]]&gt;=1900,Audit_Data[[#This Row],[Year_Birth]]&lt;=2010),"OK","Invalid")</f>
        <v>OK</v>
      </c>
      <c r="AF1297" t="str">
        <f t="shared" si="261"/>
        <v>Valid</v>
      </c>
      <c r="AG1297" t="str">
        <f t="shared" si="262"/>
        <v>Valid</v>
      </c>
      <c r="AH1297" t="str">
        <f t="shared" si="263"/>
        <v>Valid</v>
      </c>
      <c r="AI1297" t="str">
        <f t="shared" si="264"/>
        <v>Valid</v>
      </c>
      <c r="AJ1297" t="str">
        <f t="shared" si="265"/>
        <v>Valid</v>
      </c>
      <c r="AK1297" t="str">
        <f t="shared" si="272"/>
        <v xml:space="preserve">Valid </v>
      </c>
      <c r="AL1297" t="str">
        <f>IF(AND(Audit_Data[[#This Row],[Recency]]&gt;=0,Audit_Data[[#This Row],[Recency]]&lt;=100),"Valid","Invalid")</f>
        <v>Valid</v>
      </c>
      <c r="AM1297" t="str">
        <f t="shared" si="266"/>
        <v>Valid</v>
      </c>
      <c r="AN1297" t="str">
        <f t="shared" si="267"/>
        <v>Valid</v>
      </c>
      <c r="AO1297" t="str">
        <f t="shared" si="268"/>
        <v>Valid</v>
      </c>
      <c r="AP1297" t="str">
        <f t="shared" si="269"/>
        <v>Valid</v>
      </c>
      <c r="AQ1297" t="str">
        <f>IF(Audit_Data[[#This Row],[Z_CostContact]]=3,"Valid","Invalid")</f>
        <v>Valid</v>
      </c>
      <c r="AR1297" t="str">
        <f t="shared" si="270"/>
        <v>Valid</v>
      </c>
      <c r="AS1297" t="str">
        <f t="shared" si="271"/>
        <v>Valid</v>
      </c>
    </row>
    <row r="1298" spans="1:45" x14ac:dyDescent="0.3">
      <c r="A1298">
        <v>1663</v>
      </c>
      <c r="B1298">
        <v>1978</v>
      </c>
      <c r="C1298" t="s">
        <v>32</v>
      </c>
      <c r="D1298" t="s">
        <v>31</v>
      </c>
      <c r="E1298">
        <v>34043</v>
      </c>
      <c r="F1298">
        <v>1</v>
      </c>
      <c r="G1298">
        <v>0</v>
      </c>
      <c r="H1298" s="1">
        <v>41572</v>
      </c>
      <c r="I1298">
        <v>97</v>
      </c>
      <c r="J1298">
        <v>20</v>
      </c>
      <c r="K1298">
        <v>2</v>
      </c>
      <c r="L1298">
        <v>14</v>
      </c>
      <c r="M1298">
        <v>3</v>
      </c>
      <c r="N1298">
        <v>0</v>
      </c>
      <c r="O1298">
        <v>10</v>
      </c>
      <c r="P1298">
        <v>1</v>
      </c>
      <c r="Q1298">
        <v>2</v>
      </c>
      <c r="R1298">
        <v>0</v>
      </c>
      <c r="S1298">
        <v>2</v>
      </c>
      <c r="T1298">
        <v>9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3</v>
      </c>
      <c r="AB1298">
        <v>11</v>
      </c>
      <c r="AC1298">
        <v>0</v>
      </c>
      <c r="AD1298" t="str">
        <f t="shared" si="260"/>
        <v>Ok</v>
      </c>
      <c r="AE1298" t="str">
        <f>IF(AND(Audit_Data[[#This Row],[Year_Birth]]&gt;=1900,Audit_Data[[#This Row],[Year_Birth]]&lt;=2010),"OK","Invalid")</f>
        <v>OK</v>
      </c>
      <c r="AF1298" t="str">
        <f t="shared" si="261"/>
        <v>Valid</v>
      </c>
      <c r="AG1298" t="str">
        <f t="shared" si="262"/>
        <v>Valid</v>
      </c>
      <c r="AH1298" t="str">
        <f t="shared" si="263"/>
        <v>Valid</v>
      </c>
      <c r="AI1298" t="str">
        <f t="shared" si="264"/>
        <v>Valid</v>
      </c>
      <c r="AJ1298" t="str">
        <f t="shared" si="265"/>
        <v>Valid</v>
      </c>
      <c r="AK1298" t="str">
        <f t="shared" si="272"/>
        <v xml:space="preserve">Valid </v>
      </c>
      <c r="AL1298" t="str">
        <f>IF(AND(Audit_Data[[#This Row],[Recency]]&gt;=0,Audit_Data[[#This Row],[Recency]]&lt;=100),"Valid","Invalid")</f>
        <v>Valid</v>
      </c>
      <c r="AM1298" t="str">
        <f t="shared" si="266"/>
        <v>Valid</v>
      </c>
      <c r="AN1298" t="str">
        <f t="shared" si="267"/>
        <v>Valid</v>
      </c>
      <c r="AO1298" t="str">
        <f t="shared" si="268"/>
        <v>Valid</v>
      </c>
      <c r="AP1298" t="str">
        <f t="shared" si="269"/>
        <v>Valid</v>
      </c>
      <c r="AQ1298" t="str">
        <f>IF(Audit_Data[[#This Row],[Z_CostContact]]=3,"Valid","Invalid")</f>
        <v>Valid</v>
      </c>
      <c r="AR1298" t="str">
        <f t="shared" si="270"/>
        <v>Valid</v>
      </c>
      <c r="AS1298" t="str">
        <f t="shared" si="271"/>
        <v>Valid</v>
      </c>
    </row>
    <row r="1299" spans="1:45" x14ac:dyDescent="0.3">
      <c r="A1299">
        <v>5543</v>
      </c>
      <c r="B1299">
        <v>1966</v>
      </c>
      <c r="C1299" t="s">
        <v>29</v>
      </c>
      <c r="D1299" t="s">
        <v>31</v>
      </c>
      <c r="E1299">
        <v>57811</v>
      </c>
      <c r="F1299">
        <v>0</v>
      </c>
      <c r="G1299">
        <v>1</v>
      </c>
      <c r="H1299" s="1">
        <v>41449</v>
      </c>
      <c r="I1299">
        <v>49</v>
      </c>
      <c r="J1299">
        <v>545</v>
      </c>
      <c r="K1299">
        <v>7</v>
      </c>
      <c r="L1299">
        <v>114</v>
      </c>
      <c r="M1299">
        <v>37</v>
      </c>
      <c r="N1299">
        <v>21</v>
      </c>
      <c r="O1299">
        <v>78</v>
      </c>
      <c r="P1299">
        <v>5</v>
      </c>
      <c r="Q1299">
        <v>7</v>
      </c>
      <c r="R1299">
        <v>2</v>
      </c>
      <c r="S1299">
        <v>11</v>
      </c>
      <c r="T1299">
        <v>5</v>
      </c>
      <c r="U1299">
        <v>0</v>
      </c>
      <c r="V1299">
        <v>1</v>
      </c>
      <c r="W1299">
        <v>0</v>
      </c>
      <c r="X1299">
        <v>0</v>
      </c>
      <c r="Y1299">
        <v>0</v>
      </c>
      <c r="Z1299">
        <v>0</v>
      </c>
      <c r="AA1299">
        <v>3</v>
      </c>
      <c r="AB1299">
        <v>11</v>
      </c>
      <c r="AC1299">
        <v>0</v>
      </c>
      <c r="AD1299" t="str">
        <f t="shared" si="260"/>
        <v>Ok</v>
      </c>
      <c r="AE1299" t="str">
        <f>IF(AND(Audit_Data[[#This Row],[Year_Birth]]&gt;=1900,Audit_Data[[#This Row],[Year_Birth]]&lt;=2010),"OK","Invalid")</f>
        <v>OK</v>
      </c>
      <c r="AF1299" t="str">
        <f t="shared" si="261"/>
        <v>Valid</v>
      </c>
      <c r="AG1299" t="str">
        <f t="shared" si="262"/>
        <v>Valid</v>
      </c>
      <c r="AH1299" t="str">
        <f t="shared" si="263"/>
        <v>Valid</v>
      </c>
      <c r="AI1299" t="str">
        <f t="shared" si="264"/>
        <v>Valid</v>
      </c>
      <c r="AJ1299" t="str">
        <f t="shared" si="265"/>
        <v>Valid</v>
      </c>
      <c r="AK1299" t="str">
        <f t="shared" si="272"/>
        <v xml:space="preserve">Valid </v>
      </c>
      <c r="AL1299" t="str">
        <f>IF(AND(Audit_Data[[#This Row],[Recency]]&gt;=0,Audit_Data[[#This Row],[Recency]]&lt;=100),"Valid","Invalid")</f>
        <v>Valid</v>
      </c>
      <c r="AM1299" t="str">
        <f t="shared" si="266"/>
        <v>Valid</v>
      </c>
      <c r="AN1299" t="str">
        <f t="shared" si="267"/>
        <v>Valid</v>
      </c>
      <c r="AO1299" t="str">
        <f t="shared" si="268"/>
        <v>Valid</v>
      </c>
      <c r="AP1299" t="str">
        <f t="shared" si="269"/>
        <v>Valid</v>
      </c>
      <c r="AQ1299" t="str">
        <f>IF(Audit_Data[[#This Row],[Z_CostContact]]=3,"Valid","Invalid")</f>
        <v>Valid</v>
      </c>
      <c r="AR1299" t="str">
        <f t="shared" si="270"/>
        <v>Valid</v>
      </c>
      <c r="AS1299" t="str">
        <f t="shared" si="271"/>
        <v>Valid</v>
      </c>
    </row>
    <row r="1300" spans="1:45" x14ac:dyDescent="0.3">
      <c r="A1300">
        <v>1577</v>
      </c>
      <c r="B1300">
        <v>1946</v>
      </c>
      <c r="C1300" t="s">
        <v>29</v>
      </c>
      <c r="D1300" t="s">
        <v>33</v>
      </c>
      <c r="E1300">
        <v>78569</v>
      </c>
      <c r="F1300">
        <v>0</v>
      </c>
      <c r="G1300">
        <v>0</v>
      </c>
      <c r="H1300" s="1">
        <v>41689</v>
      </c>
      <c r="I1300">
        <v>14</v>
      </c>
      <c r="J1300">
        <v>558</v>
      </c>
      <c r="K1300">
        <v>79</v>
      </c>
      <c r="L1300">
        <v>622</v>
      </c>
      <c r="M1300">
        <v>207</v>
      </c>
      <c r="N1300">
        <v>175</v>
      </c>
      <c r="O1300">
        <v>95</v>
      </c>
      <c r="P1300">
        <v>1</v>
      </c>
      <c r="Q1300">
        <v>4</v>
      </c>
      <c r="R1300">
        <v>6</v>
      </c>
      <c r="S1300">
        <v>4</v>
      </c>
      <c r="T1300">
        <v>1</v>
      </c>
      <c r="U1300">
        <v>0</v>
      </c>
      <c r="V1300">
        <v>0</v>
      </c>
      <c r="W1300">
        <v>1</v>
      </c>
      <c r="X1300">
        <v>0</v>
      </c>
      <c r="Y1300">
        <v>0</v>
      </c>
      <c r="Z1300">
        <v>0</v>
      </c>
      <c r="AA1300">
        <v>3</v>
      </c>
      <c r="AB1300">
        <v>11</v>
      </c>
      <c r="AC1300">
        <v>1</v>
      </c>
      <c r="AD1300" t="str">
        <f t="shared" si="260"/>
        <v>Ok</v>
      </c>
      <c r="AE1300" t="str">
        <f>IF(AND(Audit_Data[[#This Row],[Year_Birth]]&gt;=1900,Audit_Data[[#This Row],[Year_Birth]]&lt;=2010),"OK","Invalid")</f>
        <v>OK</v>
      </c>
      <c r="AF1300" t="str">
        <f t="shared" si="261"/>
        <v>Valid</v>
      </c>
      <c r="AG1300" t="str">
        <f t="shared" si="262"/>
        <v>Valid</v>
      </c>
      <c r="AH1300" t="str">
        <f t="shared" si="263"/>
        <v>Valid</v>
      </c>
      <c r="AI1300" t="str">
        <f t="shared" si="264"/>
        <v>Valid</v>
      </c>
      <c r="AJ1300" t="str">
        <f t="shared" si="265"/>
        <v>Valid</v>
      </c>
      <c r="AK1300" t="str">
        <f t="shared" si="272"/>
        <v xml:space="preserve">Valid </v>
      </c>
      <c r="AL1300" t="str">
        <f>IF(AND(Audit_Data[[#This Row],[Recency]]&gt;=0,Audit_Data[[#This Row],[Recency]]&lt;=100),"Valid","Invalid")</f>
        <v>Valid</v>
      </c>
      <c r="AM1300" t="str">
        <f t="shared" si="266"/>
        <v>Valid</v>
      </c>
      <c r="AN1300" t="str">
        <f t="shared" si="267"/>
        <v>Valid</v>
      </c>
      <c r="AO1300" t="str">
        <f t="shared" si="268"/>
        <v>Valid</v>
      </c>
      <c r="AP1300" t="str">
        <f t="shared" si="269"/>
        <v>Valid</v>
      </c>
      <c r="AQ1300" t="str">
        <f>IF(Audit_Data[[#This Row],[Z_CostContact]]=3,"Valid","Invalid")</f>
        <v>Valid</v>
      </c>
      <c r="AR1300" t="str">
        <f t="shared" si="270"/>
        <v>Valid</v>
      </c>
      <c r="AS1300" t="str">
        <f t="shared" si="271"/>
        <v>Valid</v>
      </c>
    </row>
    <row r="1301" spans="1:45" x14ac:dyDescent="0.3">
      <c r="A1301">
        <v>10641</v>
      </c>
      <c r="B1301">
        <v>1978</v>
      </c>
      <c r="C1301" t="s">
        <v>29</v>
      </c>
      <c r="D1301" t="s">
        <v>30</v>
      </c>
      <c r="E1301">
        <v>7500</v>
      </c>
      <c r="F1301">
        <v>1</v>
      </c>
      <c r="G1301">
        <v>1</v>
      </c>
      <c r="H1301" s="1">
        <v>41270</v>
      </c>
      <c r="I1301">
        <v>5</v>
      </c>
      <c r="J1301">
        <v>6</v>
      </c>
      <c r="K1301">
        <v>5</v>
      </c>
      <c r="L1301">
        <v>4</v>
      </c>
      <c r="M1301">
        <v>13</v>
      </c>
      <c r="N1301">
        <v>4</v>
      </c>
      <c r="O1301">
        <v>25</v>
      </c>
      <c r="P1301">
        <v>4</v>
      </c>
      <c r="Q1301">
        <v>2</v>
      </c>
      <c r="R1301">
        <v>1</v>
      </c>
      <c r="S1301">
        <v>3</v>
      </c>
      <c r="T1301">
        <v>6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3</v>
      </c>
      <c r="AB1301">
        <v>11</v>
      </c>
      <c r="AC1301">
        <v>0</v>
      </c>
      <c r="AD1301" t="str">
        <f t="shared" si="260"/>
        <v>Ok</v>
      </c>
      <c r="AE1301" t="str">
        <f>IF(AND(Audit_Data[[#This Row],[Year_Birth]]&gt;=1900,Audit_Data[[#This Row],[Year_Birth]]&lt;=2010),"OK","Invalid")</f>
        <v>OK</v>
      </c>
      <c r="AF1301" t="str">
        <f t="shared" si="261"/>
        <v>Valid</v>
      </c>
      <c r="AG1301" t="str">
        <f t="shared" si="262"/>
        <v>Valid</v>
      </c>
      <c r="AH1301" t="str">
        <f t="shared" si="263"/>
        <v>Valid</v>
      </c>
      <c r="AI1301" t="str">
        <f t="shared" si="264"/>
        <v>Valid</v>
      </c>
      <c r="AJ1301" t="str">
        <f t="shared" si="265"/>
        <v>Valid</v>
      </c>
      <c r="AK1301" t="str">
        <f t="shared" si="272"/>
        <v xml:space="preserve">Valid </v>
      </c>
      <c r="AL1301" t="str">
        <f>IF(AND(Audit_Data[[#This Row],[Recency]]&gt;=0,Audit_Data[[#This Row],[Recency]]&lt;=100),"Valid","Invalid")</f>
        <v>Valid</v>
      </c>
      <c r="AM1301" t="str">
        <f t="shared" si="266"/>
        <v>Valid</v>
      </c>
      <c r="AN1301" t="str">
        <f t="shared" si="267"/>
        <v>Valid</v>
      </c>
      <c r="AO1301" t="str">
        <f t="shared" si="268"/>
        <v>Valid</v>
      </c>
      <c r="AP1301" t="str">
        <f t="shared" si="269"/>
        <v>Valid</v>
      </c>
      <c r="AQ1301" t="str">
        <f>IF(Audit_Data[[#This Row],[Z_CostContact]]=3,"Valid","Invalid")</f>
        <v>Valid</v>
      </c>
      <c r="AR1301" t="str">
        <f t="shared" si="270"/>
        <v>Valid</v>
      </c>
      <c r="AS1301" t="str">
        <f t="shared" si="271"/>
        <v>Valid</v>
      </c>
    </row>
    <row r="1302" spans="1:45" x14ac:dyDescent="0.3">
      <c r="A1302">
        <v>5336</v>
      </c>
      <c r="B1302">
        <v>1971</v>
      </c>
      <c r="C1302" t="s">
        <v>34</v>
      </c>
      <c r="D1302" t="s">
        <v>31</v>
      </c>
      <c r="E1302">
        <v>157733</v>
      </c>
      <c r="F1302">
        <v>1</v>
      </c>
      <c r="G1302">
        <v>0</v>
      </c>
      <c r="H1302" s="1">
        <v>41429</v>
      </c>
      <c r="I1302">
        <v>37</v>
      </c>
      <c r="J1302">
        <v>39</v>
      </c>
      <c r="K1302">
        <v>1</v>
      </c>
      <c r="L1302">
        <v>9</v>
      </c>
      <c r="M1302">
        <v>2</v>
      </c>
      <c r="N1302">
        <v>0</v>
      </c>
      <c r="O1302">
        <v>8</v>
      </c>
      <c r="P1302">
        <v>0</v>
      </c>
      <c r="Q1302">
        <v>1</v>
      </c>
      <c r="R1302">
        <v>0</v>
      </c>
      <c r="S1302">
        <v>1</v>
      </c>
      <c r="T1302">
        <v>1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3</v>
      </c>
      <c r="AB1302">
        <v>11</v>
      </c>
      <c r="AC1302">
        <v>0</v>
      </c>
      <c r="AD1302" t="str">
        <f t="shared" si="260"/>
        <v>Ok</v>
      </c>
      <c r="AE1302" t="str">
        <f>IF(AND(Audit_Data[[#This Row],[Year_Birth]]&gt;=1900,Audit_Data[[#This Row],[Year_Birth]]&lt;=2010),"OK","Invalid")</f>
        <v>OK</v>
      </c>
      <c r="AF1302" t="str">
        <f t="shared" si="261"/>
        <v>Valid</v>
      </c>
      <c r="AG1302" t="str">
        <f t="shared" si="262"/>
        <v>Valid</v>
      </c>
      <c r="AH1302" t="str">
        <f t="shared" si="263"/>
        <v>Valid</v>
      </c>
      <c r="AI1302" t="str">
        <f t="shared" si="264"/>
        <v>Valid</v>
      </c>
      <c r="AJ1302" t="str">
        <f t="shared" si="265"/>
        <v>Valid</v>
      </c>
      <c r="AK1302" t="str">
        <f t="shared" si="272"/>
        <v xml:space="preserve">Valid </v>
      </c>
      <c r="AL1302" t="str">
        <f>IF(AND(Audit_Data[[#This Row],[Recency]]&gt;=0,Audit_Data[[#This Row],[Recency]]&lt;=100),"Valid","Invalid")</f>
        <v>Valid</v>
      </c>
      <c r="AM1302" t="str">
        <f t="shared" si="266"/>
        <v>Valid</v>
      </c>
      <c r="AN1302" t="str">
        <f t="shared" si="267"/>
        <v>Valid</v>
      </c>
      <c r="AO1302" t="str">
        <f t="shared" si="268"/>
        <v>Valid</v>
      </c>
      <c r="AP1302" t="str">
        <f t="shared" si="269"/>
        <v>Valid</v>
      </c>
      <c r="AQ1302" t="str">
        <f>IF(Audit_Data[[#This Row],[Z_CostContact]]=3,"Valid","Invalid")</f>
        <v>Valid</v>
      </c>
      <c r="AR1302" t="str">
        <f t="shared" si="270"/>
        <v>Valid</v>
      </c>
      <c r="AS1302" t="str">
        <f t="shared" si="271"/>
        <v>Valid</v>
      </c>
    </row>
    <row r="1303" spans="1:45" x14ac:dyDescent="0.3">
      <c r="A1303">
        <v>6024</v>
      </c>
      <c r="B1303">
        <v>1953</v>
      </c>
      <c r="C1303" t="s">
        <v>29</v>
      </c>
      <c r="D1303" t="s">
        <v>31</v>
      </c>
      <c r="E1303">
        <v>94384</v>
      </c>
      <c r="F1303">
        <v>0</v>
      </c>
      <c r="G1303">
        <v>0</v>
      </c>
      <c r="H1303" s="1">
        <v>41337</v>
      </c>
      <c r="I1303">
        <v>62</v>
      </c>
      <c r="J1303">
        <v>1111</v>
      </c>
      <c r="K1303">
        <v>24</v>
      </c>
      <c r="L1303">
        <v>790</v>
      </c>
      <c r="M1303">
        <v>160</v>
      </c>
      <c r="N1303">
        <v>45</v>
      </c>
      <c r="O1303">
        <v>172</v>
      </c>
      <c r="P1303">
        <v>0</v>
      </c>
      <c r="Q1303">
        <v>5</v>
      </c>
      <c r="R1303">
        <v>8</v>
      </c>
      <c r="S1303">
        <v>5</v>
      </c>
      <c r="T1303">
        <v>2</v>
      </c>
      <c r="U1303">
        <v>0</v>
      </c>
      <c r="V1303">
        <v>1</v>
      </c>
      <c r="W1303">
        <v>1</v>
      </c>
      <c r="X1303">
        <v>1</v>
      </c>
      <c r="Y1303">
        <v>0</v>
      </c>
      <c r="Z1303">
        <v>0</v>
      </c>
      <c r="AA1303">
        <v>3</v>
      </c>
      <c r="AB1303">
        <v>11</v>
      </c>
      <c r="AC1303">
        <v>1</v>
      </c>
      <c r="AD1303" t="str">
        <f t="shared" si="260"/>
        <v>Ok</v>
      </c>
      <c r="AE1303" t="str">
        <f>IF(AND(Audit_Data[[#This Row],[Year_Birth]]&gt;=1900,Audit_Data[[#This Row],[Year_Birth]]&lt;=2010),"OK","Invalid")</f>
        <v>OK</v>
      </c>
      <c r="AF1303" t="str">
        <f t="shared" si="261"/>
        <v>Valid</v>
      </c>
      <c r="AG1303" t="str">
        <f t="shared" si="262"/>
        <v>Valid</v>
      </c>
      <c r="AH1303" t="str">
        <f t="shared" si="263"/>
        <v>Valid</v>
      </c>
      <c r="AI1303" t="str">
        <f t="shared" si="264"/>
        <v>Valid</v>
      </c>
      <c r="AJ1303" t="str">
        <f t="shared" si="265"/>
        <v>Valid</v>
      </c>
      <c r="AK1303" t="str">
        <f t="shared" si="272"/>
        <v xml:space="preserve">Valid </v>
      </c>
      <c r="AL1303" t="str">
        <f>IF(AND(Audit_Data[[#This Row],[Recency]]&gt;=0,Audit_Data[[#This Row],[Recency]]&lt;=100),"Valid","Invalid")</f>
        <v>Valid</v>
      </c>
      <c r="AM1303" t="str">
        <f t="shared" si="266"/>
        <v>Valid</v>
      </c>
      <c r="AN1303" t="str">
        <f t="shared" si="267"/>
        <v>Valid</v>
      </c>
      <c r="AO1303" t="str">
        <f t="shared" si="268"/>
        <v>Valid</v>
      </c>
      <c r="AP1303" t="str">
        <f t="shared" si="269"/>
        <v>Valid</v>
      </c>
      <c r="AQ1303" t="str">
        <f>IF(Audit_Data[[#This Row],[Z_CostContact]]=3,"Valid","Invalid")</f>
        <v>Valid</v>
      </c>
      <c r="AR1303" t="str">
        <f t="shared" si="270"/>
        <v>Valid</v>
      </c>
      <c r="AS1303" t="str">
        <f t="shared" si="271"/>
        <v>Valid</v>
      </c>
    </row>
    <row r="1304" spans="1:45" x14ac:dyDescent="0.3">
      <c r="A1304">
        <v>1878</v>
      </c>
      <c r="B1304">
        <v>1985</v>
      </c>
      <c r="C1304" t="s">
        <v>37</v>
      </c>
      <c r="D1304" t="s">
        <v>33</v>
      </c>
      <c r="E1304">
        <v>23148</v>
      </c>
      <c r="F1304">
        <v>0</v>
      </c>
      <c r="G1304">
        <v>0</v>
      </c>
      <c r="H1304" s="1">
        <v>41688</v>
      </c>
      <c r="I1304">
        <v>83</v>
      </c>
      <c r="J1304">
        <v>4</v>
      </c>
      <c r="K1304">
        <v>6</v>
      </c>
      <c r="L1304">
        <v>8</v>
      </c>
      <c r="M1304">
        <v>6</v>
      </c>
      <c r="N1304">
        <v>3</v>
      </c>
      <c r="O1304">
        <v>10</v>
      </c>
      <c r="P1304">
        <v>1</v>
      </c>
      <c r="Q1304">
        <v>2</v>
      </c>
      <c r="R1304">
        <v>0</v>
      </c>
      <c r="S1304">
        <v>3</v>
      </c>
      <c r="T1304">
        <v>7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3</v>
      </c>
      <c r="AB1304">
        <v>11</v>
      </c>
      <c r="AC1304">
        <v>0</v>
      </c>
      <c r="AD1304" t="str">
        <f t="shared" si="260"/>
        <v>Ok</v>
      </c>
      <c r="AE1304" t="str">
        <f>IF(AND(Audit_Data[[#This Row],[Year_Birth]]&gt;=1900,Audit_Data[[#This Row],[Year_Birth]]&lt;=2010),"OK","Invalid")</f>
        <v>OK</v>
      </c>
      <c r="AF1304" t="str">
        <f t="shared" si="261"/>
        <v>Valid</v>
      </c>
      <c r="AG1304" t="str">
        <f t="shared" si="262"/>
        <v>Valid</v>
      </c>
      <c r="AH1304" t="str">
        <f t="shared" si="263"/>
        <v>Valid</v>
      </c>
      <c r="AI1304" t="str">
        <f t="shared" si="264"/>
        <v>Valid</v>
      </c>
      <c r="AJ1304" t="str">
        <f t="shared" si="265"/>
        <v>Valid</v>
      </c>
      <c r="AK1304" t="str">
        <f t="shared" si="272"/>
        <v xml:space="preserve">Valid </v>
      </c>
      <c r="AL1304" t="str">
        <f>IF(AND(Audit_Data[[#This Row],[Recency]]&gt;=0,Audit_Data[[#This Row],[Recency]]&lt;=100),"Valid","Invalid")</f>
        <v>Valid</v>
      </c>
      <c r="AM1304" t="str">
        <f t="shared" si="266"/>
        <v>Valid</v>
      </c>
      <c r="AN1304" t="str">
        <f t="shared" si="267"/>
        <v>Valid</v>
      </c>
      <c r="AO1304" t="str">
        <f t="shared" si="268"/>
        <v>Valid</v>
      </c>
      <c r="AP1304" t="str">
        <f t="shared" si="269"/>
        <v>Valid</v>
      </c>
      <c r="AQ1304" t="str">
        <f>IF(Audit_Data[[#This Row],[Z_CostContact]]=3,"Valid","Invalid")</f>
        <v>Valid</v>
      </c>
      <c r="AR1304" t="str">
        <f t="shared" si="270"/>
        <v>Valid</v>
      </c>
      <c r="AS1304" t="str">
        <f t="shared" si="271"/>
        <v>Valid</v>
      </c>
    </row>
    <row r="1305" spans="1:45" x14ac:dyDescent="0.3">
      <c r="A1305">
        <v>3099</v>
      </c>
      <c r="B1305">
        <v>1970</v>
      </c>
      <c r="C1305" t="s">
        <v>29</v>
      </c>
      <c r="D1305" t="s">
        <v>35</v>
      </c>
      <c r="E1305">
        <v>44267</v>
      </c>
      <c r="F1305">
        <v>1</v>
      </c>
      <c r="G1305">
        <v>1</v>
      </c>
      <c r="H1305" s="1">
        <v>41330</v>
      </c>
      <c r="I1305">
        <v>48</v>
      </c>
      <c r="J1305">
        <v>183</v>
      </c>
      <c r="K1305">
        <v>5</v>
      </c>
      <c r="L1305">
        <v>65</v>
      </c>
      <c r="M1305">
        <v>3</v>
      </c>
      <c r="N1305">
        <v>5</v>
      </c>
      <c r="O1305">
        <v>49</v>
      </c>
      <c r="P1305">
        <v>5</v>
      </c>
      <c r="Q1305">
        <v>5</v>
      </c>
      <c r="R1305">
        <v>2</v>
      </c>
      <c r="S1305">
        <v>4</v>
      </c>
      <c r="T1305">
        <v>9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3</v>
      </c>
      <c r="AB1305">
        <v>11</v>
      </c>
      <c r="AC1305">
        <v>0</v>
      </c>
      <c r="AD1305" t="str">
        <f t="shared" si="260"/>
        <v>Ok</v>
      </c>
      <c r="AE1305" t="str">
        <f>IF(AND(Audit_Data[[#This Row],[Year_Birth]]&gt;=1900,Audit_Data[[#This Row],[Year_Birth]]&lt;=2010),"OK","Invalid")</f>
        <v>OK</v>
      </c>
      <c r="AF1305" t="str">
        <f t="shared" si="261"/>
        <v>Valid</v>
      </c>
      <c r="AG1305" t="str">
        <f t="shared" si="262"/>
        <v>Valid</v>
      </c>
      <c r="AH1305" t="str">
        <f t="shared" si="263"/>
        <v>Valid</v>
      </c>
      <c r="AI1305" t="str">
        <f t="shared" si="264"/>
        <v>Valid</v>
      </c>
      <c r="AJ1305" t="str">
        <f t="shared" si="265"/>
        <v>Valid</v>
      </c>
      <c r="AK1305" t="str">
        <f t="shared" si="272"/>
        <v xml:space="preserve">Valid </v>
      </c>
      <c r="AL1305" t="str">
        <f>IF(AND(Audit_Data[[#This Row],[Recency]]&gt;=0,Audit_Data[[#This Row],[Recency]]&lt;=100),"Valid","Invalid")</f>
        <v>Valid</v>
      </c>
      <c r="AM1305" t="str">
        <f t="shared" si="266"/>
        <v>Valid</v>
      </c>
      <c r="AN1305" t="str">
        <f t="shared" si="267"/>
        <v>Valid</v>
      </c>
      <c r="AO1305" t="str">
        <f t="shared" si="268"/>
        <v>Valid</v>
      </c>
      <c r="AP1305" t="str">
        <f t="shared" si="269"/>
        <v>Valid</v>
      </c>
      <c r="AQ1305" t="str">
        <f>IF(Audit_Data[[#This Row],[Z_CostContact]]=3,"Valid","Invalid")</f>
        <v>Valid</v>
      </c>
      <c r="AR1305" t="str">
        <f t="shared" si="270"/>
        <v>Valid</v>
      </c>
      <c r="AS1305" t="str">
        <f t="shared" si="271"/>
        <v>Valid</v>
      </c>
    </row>
    <row r="1306" spans="1:45" x14ac:dyDescent="0.3">
      <c r="A1306">
        <v>6055</v>
      </c>
      <c r="B1306">
        <v>1979</v>
      </c>
      <c r="C1306" t="s">
        <v>29</v>
      </c>
      <c r="D1306" t="s">
        <v>33</v>
      </c>
      <c r="E1306">
        <v>71626</v>
      </c>
      <c r="F1306">
        <v>0</v>
      </c>
      <c r="G1306">
        <v>0</v>
      </c>
      <c r="H1306" s="1">
        <v>41214</v>
      </c>
      <c r="I1306">
        <v>94</v>
      </c>
      <c r="J1306">
        <v>546</v>
      </c>
      <c r="K1306">
        <v>72</v>
      </c>
      <c r="L1306">
        <v>376</v>
      </c>
      <c r="M1306">
        <v>94</v>
      </c>
      <c r="N1306">
        <v>145</v>
      </c>
      <c r="O1306">
        <v>72</v>
      </c>
      <c r="P1306">
        <v>1</v>
      </c>
      <c r="Q1306">
        <v>5</v>
      </c>
      <c r="R1306">
        <v>5</v>
      </c>
      <c r="S1306">
        <v>8</v>
      </c>
      <c r="T1306">
        <v>3</v>
      </c>
      <c r="U1306">
        <v>0</v>
      </c>
      <c r="V1306">
        <v>1</v>
      </c>
      <c r="W1306">
        <v>0</v>
      </c>
      <c r="X1306">
        <v>0</v>
      </c>
      <c r="Y1306">
        <v>0</v>
      </c>
      <c r="Z1306">
        <v>0</v>
      </c>
      <c r="AA1306">
        <v>3</v>
      </c>
      <c r="AB1306">
        <v>11</v>
      </c>
      <c r="AC1306">
        <v>0</v>
      </c>
      <c r="AD1306" t="str">
        <f t="shared" si="260"/>
        <v>Ok</v>
      </c>
      <c r="AE1306" t="str">
        <f>IF(AND(Audit_Data[[#This Row],[Year_Birth]]&gt;=1900,Audit_Data[[#This Row],[Year_Birth]]&lt;=2010),"OK","Invalid")</f>
        <v>OK</v>
      </c>
      <c r="AF1306" t="str">
        <f t="shared" si="261"/>
        <v>Valid</v>
      </c>
      <c r="AG1306" t="str">
        <f t="shared" si="262"/>
        <v>Valid</v>
      </c>
      <c r="AH1306" t="str">
        <f t="shared" si="263"/>
        <v>Valid</v>
      </c>
      <c r="AI1306" t="str">
        <f t="shared" si="264"/>
        <v>Valid</v>
      </c>
      <c r="AJ1306" t="str">
        <f t="shared" si="265"/>
        <v>Valid</v>
      </c>
      <c r="AK1306" t="str">
        <f t="shared" si="272"/>
        <v xml:space="preserve">Valid </v>
      </c>
      <c r="AL1306" t="str">
        <f>IF(AND(Audit_Data[[#This Row],[Recency]]&gt;=0,Audit_Data[[#This Row],[Recency]]&lt;=100),"Valid","Invalid")</f>
        <v>Valid</v>
      </c>
      <c r="AM1306" t="str">
        <f t="shared" si="266"/>
        <v>Valid</v>
      </c>
      <c r="AN1306" t="str">
        <f t="shared" si="267"/>
        <v>Valid</v>
      </c>
      <c r="AO1306" t="str">
        <f t="shared" si="268"/>
        <v>Valid</v>
      </c>
      <c r="AP1306" t="str">
        <f t="shared" si="269"/>
        <v>Valid</v>
      </c>
      <c r="AQ1306" t="str">
        <f>IF(Audit_Data[[#This Row],[Z_CostContact]]=3,"Valid","Invalid")</f>
        <v>Valid</v>
      </c>
      <c r="AR1306" t="str">
        <f t="shared" si="270"/>
        <v>Valid</v>
      </c>
      <c r="AS1306" t="str">
        <f t="shared" si="271"/>
        <v>Valid</v>
      </c>
    </row>
    <row r="1307" spans="1:45" x14ac:dyDescent="0.3">
      <c r="A1307">
        <v>5841</v>
      </c>
      <c r="B1307">
        <v>1966</v>
      </c>
      <c r="C1307" t="s">
        <v>29</v>
      </c>
      <c r="D1307" t="s">
        <v>31</v>
      </c>
      <c r="E1307">
        <v>60894</v>
      </c>
      <c r="F1307">
        <v>0</v>
      </c>
      <c r="G1307">
        <v>1</v>
      </c>
      <c r="H1307" s="1">
        <v>41453</v>
      </c>
      <c r="I1307">
        <v>61</v>
      </c>
      <c r="J1307">
        <v>606</v>
      </c>
      <c r="K1307">
        <v>7</v>
      </c>
      <c r="L1307">
        <v>155</v>
      </c>
      <c r="M1307">
        <v>10</v>
      </c>
      <c r="N1307">
        <v>0</v>
      </c>
      <c r="O1307">
        <v>54</v>
      </c>
      <c r="P1307">
        <v>5</v>
      </c>
      <c r="Q1307">
        <v>10</v>
      </c>
      <c r="R1307">
        <v>3</v>
      </c>
      <c r="S1307">
        <v>8</v>
      </c>
      <c r="T1307">
        <v>7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3</v>
      </c>
      <c r="AB1307">
        <v>11</v>
      </c>
      <c r="AC1307">
        <v>0</v>
      </c>
      <c r="AD1307" t="str">
        <f t="shared" si="260"/>
        <v>Ok</v>
      </c>
      <c r="AE1307" t="str">
        <f>IF(AND(Audit_Data[[#This Row],[Year_Birth]]&gt;=1900,Audit_Data[[#This Row],[Year_Birth]]&lt;=2010),"OK","Invalid")</f>
        <v>OK</v>
      </c>
      <c r="AF1307" t="str">
        <f t="shared" si="261"/>
        <v>Valid</v>
      </c>
      <c r="AG1307" t="str">
        <f t="shared" si="262"/>
        <v>Valid</v>
      </c>
      <c r="AH1307" t="str">
        <f t="shared" si="263"/>
        <v>Valid</v>
      </c>
      <c r="AI1307" t="str">
        <f t="shared" si="264"/>
        <v>Valid</v>
      </c>
      <c r="AJ1307" t="str">
        <f t="shared" si="265"/>
        <v>Valid</v>
      </c>
      <c r="AK1307" t="str">
        <f t="shared" si="272"/>
        <v xml:space="preserve">Valid </v>
      </c>
      <c r="AL1307" t="str">
        <f>IF(AND(Audit_Data[[#This Row],[Recency]]&gt;=0,Audit_Data[[#This Row],[Recency]]&lt;=100),"Valid","Invalid")</f>
        <v>Valid</v>
      </c>
      <c r="AM1307" t="str">
        <f t="shared" si="266"/>
        <v>Valid</v>
      </c>
      <c r="AN1307" t="str">
        <f t="shared" si="267"/>
        <v>Valid</v>
      </c>
      <c r="AO1307" t="str">
        <f t="shared" si="268"/>
        <v>Valid</v>
      </c>
      <c r="AP1307" t="str">
        <f t="shared" si="269"/>
        <v>Valid</v>
      </c>
      <c r="AQ1307" t="str">
        <f>IF(Audit_Data[[#This Row],[Z_CostContact]]=3,"Valid","Invalid")</f>
        <v>Valid</v>
      </c>
      <c r="AR1307" t="str">
        <f t="shared" si="270"/>
        <v>Valid</v>
      </c>
      <c r="AS1307" t="str">
        <f t="shared" si="271"/>
        <v>Valid</v>
      </c>
    </row>
    <row r="1308" spans="1:45" x14ac:dyDescent="0.3">
      <c r="A1308">
        <v>3972</v>
      </c>
      <c r="B1308">
        <v>1976</v>
      </c>
      <c r="C1308" t="s">
        <v>29</v>
      </c>
      <c r="D1308" t="s">
        <v>31</v>
      </c>
      <c r="E1308">
        <v>50200</v>
      </c>
      <c r="F1308">
        <v>1</v>
      </c>
      <c r="G1308">
        <v>1</v>
      </c>
      <c r="H1308" s="1">
        <v>41367</v>
      </c>
      <c r="I1308">
        <v>70</v>
      </c>
      <c r="J1308">
        <v>266</v>
      </c>
      <c r="K1308">
        <v>6</v>
      </c>
      <c r="L1308">
        <v>51</v>
      </c>
      <c r="M1308">
        <v>8</v>
      </c>
      <c r="N1308">
        <v>6</v>
      </c>
      <c r="O1308">
        <v>64</v>
      </c>
      <c r="P1308">
        <v>6</v>
      </c>
      <c r="Q1308">
        <v>7</v>
      </c>
      <c r="R1308">
        <v>1</v>
      </c>
      <c r="S1308">
        <v>5</v>
      </c>
      <c r="T1308">
        <v>8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3</v>
      </c>
      <c r="AB1308">
        <v>11</v>
      </c>
      <c r="AC1308">
        <v>0</v>
      </c>
      <c r="AD1308" t="str">
        <f t="shared" si="260"/>
        <v>Ok</v>
      </c>
      <c r="AE1308" t="str">
        <f>IF(AND(Audit_Data[[#This Row],[Year_Birth]]&gt;=1900,Audit_Data[[#This Row],[Year_Birth]]&lt;=2010),"OK","Invalid")</f>
        <v>OK</v>
      </c>
      <c r="AF1308" t="str">
        <f t="shared" si="261"/>
        <v>Valid</v>
      </c>
      <c r="AG1308" t="str">
        <f t="shared" si="262"/>
        <v>Valid</v>
      </c>
      <c r="AH1308" t="str">
        <f t="shared" si="263"/>
        <v>Valid</v>
      </c>
      <c r="AI1308" t="str">
        <f t="shared" si="264"/>
        <v>Valid</v>
      </c>
      <c r="AJ1308" t="str">
        <f t="shared" si="265"/>
        <v>Valid</v>
      </c>
      <c r="AK1308" t="str">
        <f t="shared" si="272"/>
        <v xml:space="preserve">Valid </v>
      </c>
      <c r="AL1308" t="str">
        <f>IF(AND(Audit_Data[[#This Row],[Recency]]&gt;=0,Audit_Data[[#This Row],[Recency]]&lt;=100),"Valid","Invalid")</f>
        <v>Valid</v>
      </c>
      <c r="AM1308" t="str">
        <f t="shared" si="266"/>
        <v>Valid</v>
      </c>
      <c r="AN1308" t="str">
        <f t="shared" si="267"/>
        <v>Valid</v>
      </c>
      <c r="AO1308" t="str">
        <f t="shared" si="268"/>
        <v>Valid</v>
      </c>
      <c r="AP1308" t="str">
        <f t="shared" si="269"/>
        <v>Valid</v>
      </c>
      <c r="AQ1308" t="str">
        <f>IF(Audit_Data[[#This Row],[Z_CostContact]]=3,"Valid","Invalid")</f>
        <v>Valid</v>
      </c>
      <c r="AR1308" t="str">
        <f t="shared" si="270"/>
        <v>Valid</v>
      </c>
      <c r="AS1308" t="str">
        <f t="shared" si="271"/>
        <v>Valid</v>
      </c>
    </row>
    <row r="1309" spans="1:45" x14ac:dyDescent="0.3">
      <c r="A1309">
        <v>4394</v>
      </c>
      <c r="B1309">
        <v>1965</v>
      </c>
      <c r="C1309" t="s">
        <v>32</v>
      </c>
      <c r="D1309" t="s">
        <v>33</v>
      </c>
      <c r="E1309">
        <v>81051</v>
      </c>
      <c r="F1309">
        <v>0</v>
      </c>
      <c r="G1309">
        <v>0</v>
      </c>
      <c r="H1309" s="1">
        <v>41782</v>
      </c>
      <c r="I1309">
        <v>43</v>
      </c>
      <c r="J1309">
        <v>1142</v>
      </c>
      <c r="K1309">
        <v>29</v>
      </c>
      <c r="L1309">
        <v>249</v>
      </c>
      <c r="M1309">
        <v>38</v>
      </c>
      <c r="N1309">
        <v>29</v>
      </c>
      <c r="O1309">
        <v>14</v>
      </c>
      <c r="P1309">
        <v>1</v>
      </c>
      <c r="Q1309">
        <v>5</v>
      </c>
      <c r="R1309">
        <v>5</v>
      </c>
      <c r="S1309">
        <v>12</v>
      </c>
      <c r="T1309">
        <v>2</v>
      </c>
      <c r="U1309">
        <v>0</v>
      </c>
      <c r="V1309">
        <v>1</v>
      </c>
      <c r="W1309">
        <v>1</v>
      </c>
      <c r="X1309">
        <v>0</v>
      </c>
      <c r="Y1309">
        <v>0</v>
      </c>
      <c r="Z1309">
        <v>0</v>
      </c>
      <c r="AA1309">
        <v>3</v>
      </c>
      <c r="AB1309">
        <v>11</v>
      </c>
      <c r="AC1309">
        <v>0</v>
      </c>
      <c r="AD1309" t="str">
        <f t="shared" si="260"/>
        <v>Ok</v>
      </c>
      <c r="AE1309" t="str">
        <f>IF(AND(Audit_Data[[#This Row],[Year_Birth]]&gt;=1900,Audit_Data[[#This Row],[Year_Birth]]&lt;=2010),"OK","Invalid")</f>
        <v>OK</v>
      </c>
      <c r="AF1309" t="str">
        <f t="shared" si="261"/>
        <v>Valid</v>
      </c>
      <c r="AG1309" t="str">
        <f t="shared" si="262"/>
        <v>Valid</v>
      </c>
      <c r="AH1309" t="str">
        <f t="shared" si="263"/>
        <v>Valid</v>
      </c>
      <c r="AI1309" t="str">
        <f t="shared" si="264"/>
        <v>Valid</v>
      </c>
      <c r="AJ1309" t="str">
        <f t="shared" si="265"/>
        <v>Valid</v>
      </c>
      <c r="AK1309" t="str">
        <f t="shared" si="272"/>
        <v xml:space="preserve">Valid </v>
      </c>
      <c r="AL1309" t="str">
        <f>IF(AND(Audit_Data[[#This Row],[Recency]]&gt;=0,Audit_Data[[#This Row],[Recency]]&lt;=100),"Valid","Invalid")</f>
        <v>Valid</v>
      </c>
      <c r="AM1309" t="str">
        <f t="shared" si="266"/>
        <v>Valid</v>
      </c>
      <c r="AN1309" t="str">
        <f t="shared" si="267"/>
        <v>Valid</v>
      </c>
      <c r="AO1309" t="str">
        <f t="shared" si="268"/>
        <v>Valid</v>
      </c>
      <c r="AP1309" t="str">
        <f t="shared" si="269"/>
        <v>Valid</v>
      </c>
      <c r="AQ1309" t="str">
        <f>IF(Audit_Data[[#This Row],[Z_CostContact]]=3,"Valid","Invalid")</f>
        <v>Valid</v>
      </c>
      <c r="AR1309" t="str">
        <f t="shared" si="270"/>
        <v>Valid</v>
      </c>
      <c r="AS1309" t="str">
        <f t="shared" si="271"/>
        <v>Valid</v>
      </c>
    </row>
    <row r="1310" spans="1:45" x14ac:dyDescent="0.3">
      <c r="A1310">
        <v>5758</v>
      </c>
      <c r="B1310">
        <v>1982</v>
      </c>
      <c r="C1310" t="s">
        <v>29</v>
      </c>
      <c r="D1310" t="s">
        <v>33</v>
      </c>
      <c r="E1310">
        <v>65169</v>
      </c>
      <c r="F1310">
        <v>0</v>
      </c>
      <c r="G1310">
        <v>0</v>
      </c>
      <c r="H1310" s="1">
        <v>41653</v>
      </c>
      <c r="I1310">
        <v>23</v>
      </c>
      <c r="J1310">
        <v>1074</v>
      </c>
      <c r="K1310">
        <v>0</v>
      </c>
      <c r="L1310">
        <v>69</v>
      </c>
      <c r="M1310">
        <v>0</v>
      </c>
      <c r="N1310">
        <v>0</v>
      </c>
      <c r="O1310">
        <v>46</v>
      </c>
      <c r="P1310">
        <v>1</v>
      </c>
      <c r="Q1310">
        <v>10</v>
      </c>
      <c r="R1310">
        <v>4</v>
      </c>
      <c r="S1310">
        <v>13</v>
      </c>
      <c r="T1310">
        <v>6</v>
      </c>
      <c r="U1310">
        <v>1</v>
      </c>
      <c r="V1310">
        <v>0</v>
      </c>
      <c r="W1310">
        <v>1</v>
      </c>
      <c r="X1310">
        <v>1</v>
      </c>
      <c r="Y1310">
        <v>1</v>
      </c>
      <c r="Z1310">
        <v>0</v>
      </c>
      <c r="AA1310">
        <v>3</v>
      </c>
      <c r="AB1310">
        <v>11</v>
      </c>
      <c r="AC1310">
        <v>1</v>
      </c>
      <c r="AD1310" t="str">
        <f t="shared" si="260"/>
        <v>Ok</v>
      </c>
      <c r="AE1310" t="str">
        <f>IF(AND(Audit_Data[[#This Row],[Year_Birth]]&gt;=1900,Audit_Data[[#This Row],[Year_Birth]]&lt;=2010),"OK","Invalid")</f>
        <v>OK</v>
      </c>
      <c r="AF1310" t="str">
        <f t="shared" si="261"/>
        <v>Valid</v>
      </c>
      <c r="AG1310" t="str">
        <f t="shared" si="262"/>
        <v>Valid</v>
      </c>
      <c r="AH1310" t="str">
        <f t="shared" si="263"/>
        <v>Valid</v>
      </c>
      <c r="AI1310" t="str">
        <f t="shared" si="264"/>
        <v>Valid</v>
      </c>
      <c r="AJ1310" t="str">
        <f t="shared" si="265"/>
        <v>Valid</v>
      </c>
      <c r="AK1310" t="str">
        <f t="shared" si="272"/>
        <v xml:space="preserve">Valid </v>
      </c>
      <c r="AL1310" t="str">
        <f>IF(AND(Audit_Data[[#This Row],[Recency]]&gt;=0,Audit_Data[[#This Row],[Recency]]&lt;=100),"Valid","Invalid")</f>
        <v>Valid</v>
      </c>
      <c r="AM1310" t="str">
        <f t="shared" si="266"/>
        <v>Valid</v>
      </c>
      <c r="AN1310" t="str">
        <f t="shared" si="267"/>
        <v>Valid</v>
      </c>
      <c r="AO1310" t="str">
        <f t="shared" si="268"/>
        <v>Valid</v>
      </c>
      <c r="AP1310" t="str">
        <f t="shared" si="269"/>
        <v>Valid</v>
      </c>
      <c r="AQ1310" t="str">
        <f>IF(Audit_Data[[#This Row],[Z_CostContact]]=3,"Valid","Invalid")</f>
        <v>Valid</v>
      </c>
      <c r="AR1310" t="str">
        <f t="shared" si="270"/>
        <v>Valid</v>
      </c>
      <c r="AS1310" t="str">
        <f t="shared" si="271"/>
        <v>Valid</v>
      </c>
    </row>
    <row r="1311" spans="1:45" x14ac:dyDescent="0.3">
      <c r="A1311">
        <v>6658</v>
      </c>
      <c r="B1311">
        <v>1972</v>
      </c>
      <c r="C1311" t="s">
        <v>29</v>
      </c>
      <c r="D1311" t="s">
        <v>31</v>
      </c>
      <c r="E1311">
        <v>59868</v>
      </c>
      <c r="F1311">
        <v>0</v>
      </c>
      <c r="G1311">
        <v>1</v>
      </c>
      <c r="H1311" s="1">
        <v>41477</v>
      </c>
      <c r="I1311">
        <v>37</v>
      </c>
      <c r="J1311">
        <v>771</v>
      </c>
      <c r="K1311">
        <v>51</v>
      </c>
      <c r="L1311">
        <v>154</v>
      </c>
      <c r="M1311">
        <v>54</v>
      </c>
      <c r="N1311">
        <v>10</v>
      </c>
      <c r="O1311">
        <v>154</v>
      </c>
      <c r="P1311">
        <v>7</v>
      </c>
      <c r="Q1311">
        <v>11</v>
      </c>
      <c r="R1311">
        <v>2</v>
      </c>
      <c r="S1311">
        <v>12</v>
      </c>
      <c r="T1311">
        <v>6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3</v>
      </c>
      <c r="AB1311">
        <v>11</v>
      </c>
      <c r="AC1311">
        <v>0</v>
      </c>
      <c r="AD1311" t="str">
        <f t="shared" si="260"/>
        <v>Ok</v>
      </c>
      <c r="AE1311" t="str">
        <f>IF(AND(Audit_Data[[#This Row],[Year_Birth]]&gt;=1900,Audit_Data[[#This Row],[Year_Birth]]&lt;=2010),"OK","Invalid")</f>
        <v>OK</v>
      </c>
      <c r="AF1311" t="str">
        <f t="shared" si="261"/>
        <v>Valid</v>
      </c>
      <c r="AG1311" t="str">
        <f t="shared" si="262"/>
        <v>Valid</v>
      </c>
      <c r="AH1311" t="str">
        <f t="shared" si="263"/>
        <v>Valid</v>
      </c>
      <c r="AI1311" t="str">
        <f t="shared" si="264"/>
        <v>Valid</v>
      </c>
      <c r="AJ1311" t="str">
        <f t="shared" si="265"/>
        <v>Valid</v>
      </c>
      <c r="AK1311" t="str">
        <f t="shared" si="272"/>
        <v xml:space="preserve">Valid </v>
      </c>
      <c r="AL1311" t="str">
        <f>IF(AND(Audit_Data[[#This Row],[Recency]]&gt;=0,Audit_Data[[#This Row],[Recency]]&lt;=100),"Valid","Invalid")</f>
        <v>Valid</v>
      </c>
      <c r="AM1311" t="str">
        <f t="shared" si="266"/>
        <v>Valid</v>
      </c>
      <c r="AN1311" t="str">
        <f t="shared" si="267"/>
        <v>Valid</v>
      </c>
      <c r="AO1311" t="str">
        <f t="shared" si="268"/>
        <v>Valid</v>
      </c>
      <c r="AP1311" t="str">
        <f t="shared" si="269"/>
        <v>Valid</v>
      </c>
      <c r="AQ1311" t="str">
        <f>IF(Audit_Data[[#This Row],[Z_CostContact]]=3,"Valid","Invalid")</f>
        <v>Valid</v>
      </c>
      <c r="AR1311" t="str">
        <f t="shared" si="270"/>
        <v>Valid</v>
      </c>
      <c r="AS1311" t="str">
        <f t="shared" si="271"/>
        <v>Valid</v>
      </c>
    </row>
    <row r="1312" spans="1:45" x14ac:dyDescent="0.3">
      <c r="A1312">
        <v>4603</v>
      </c>
      <c r="B1312">
        <v>1960</v>
      </c>
      <c r="C1312" t="s">
        <v>32</v>
      </c>
      <c r="D1312" t="s">
        <v>33</v>
      </c>
      <c r="E1312">
        <v>65695</v>
      </c>
      <c r="F1312">
        <v>0</v>
      </c>
      <c r="G1312">
        <v>1</v>
      </c>
      <c r="H1312" s="1">
        <v>41670</v>
      </c>
      <c r="I1312">
        <v>50</v>
      </c>
      <c r="J1312">
        <v>371</v>
      </c>
      <c r="K1312">
        <v>32</v>
      </c>
      <c r="L1312">
        <v>189</v>
      </c>
      <c r="M1312">
        <v>0</v>
      </c>
      <c r="N1312">
        <v>58</v>
      </c>
      <c r="O1312">
        <v>6</v>
      </c>
      <c r="P1312">
        <v>2</v>
      </c>
      <c r="Q1312">
        <v>5</v>
      </c>
      <c r="R1312">
        <v>4</v>
      </c>
      <c r="S1312">
        <v>10</v>
      </c>
      <c r="T1312">
        <v>4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3</v>
      </c>
      <c r="AB1312">
        <v>11</v>
      </c>
      <c r="AC1312">
        <v>0</v>
      </c>
      <c r="AD1312" t="str">
        <f t="shared" si="260"/>
        <v>Ok</v>
      </c>
      <c r="AE1312" t="str">
        <f>IF(AND(Audit_Data[[#This Row],[Year_Birth]]&gt;=1900,Audit_Data[[#This Row],[Year_Birth]]&lt;=2010),"OK","Invalid")</f>
        <v>OK</v>
      </c>
      <c r="AF1312" t="str">
        <f t="shared" si="261"/>
        <v>Valid</v>
      </c>
      <c r="AG1312" t="str">
        <f t="shared" si="262"/>
        <v>Valid</v>
      </c>
      <c r="AH1312" t="str">
        <f t="shared" si="263"/>
        <v>Valid</v>
      </c>
      <c r="AI1312" t="str">
        <f t="shared" si="264"/>
        <v>Valid</v>
      </c>
      <c r="AJ1312" t="str">
        <f t="shared" si="265"/>
        <v>Valid</v>
      </c>
      <c r="AK1312" t="str">
        <f t="shared" si="272"/>
        <v xml:space="preserve">Valid </v>
      </c>
      <c r="AL1312" t="str">
        <f>IF(AND(Audit_Data[[#This Row],[Recency]]&gt;=0,Audit_Data[[#This Row],[Recency]]&lt;=100),"Valid","Invalid")</f>
        <v>Valid</v>
      </c>
      <c r="AM1312" t="str">
        <f t="shared" si="266"/>
        <v>Valid</v>
      </c>
      <c r="AN1312" t="str">
        <f t="shared" si="267"/>
        <v>Valid</v>
      </c>
      <c r="AO1312" t="str">
        <f t="shared" si="268"/>
        <v>Valid</v>
      </c>
      <c r="AP1312" t="str">
        <f t="shared" si="269"/>
        <v>Valid</v>
      </c>
      <c r="AQ1312" t="str">
        <f>IF(Audit_Data[[#This Row],[Z_CostContact]]=3,"Valid","Invalid")</f>
        <v>Valid</v>
      </c>
      <c r="AR1312" t="str">
        <f t="shared" si="270"/>
        <v>Valid</v>
      </c>
      <c r="AS1312" t="str">
        <f t="shared" si="271"/>
        <v>Valid</v>
      </c>
    </row>
    <row r="1313" spans="1:45" x14ac:dyDescent="0.3">
      <c r="A1313">
        <v>8427</v>
      </c>
      <c r="B1313">
        <v>1956</v>
      </c>
      <c r="C1313" t="s">
        <v>34</v>
      </c>
      <c r="D1313" t="s">
        <v>30</v>
      </c>
      <c r="E1313">
        <v>64857</v>
      </c>
      <c r="F1313">
        <v>0</v>
      </c>
      <c r="G1313">
        <v>0</v>
      </c>
      <c r="H1313" s="1">
        <v>41236</v>
      </c>
      <c r="I1313">
        <v>78</v>
      </c>
      <c r="J1313">
        <v>556</v>
      </c>
      <c r="K1313">
        <v>14</v>
      </c>
      <c r="L1313">
        <v>717</v>
      </c>
      <c r="M1313">
        <v>210</v>
      </c>
      <c r="N1313">
        <v>0</v>
      </c>
      <c r="O1313">
        <v>43</v>
      </c>
      <c r="P1313">
        <v>1</v>
      </c>
      <c r="Q1313">
        <v>7</v>
      </c>
      <c r="R1313">
        <v>5</v>
      </c>
      <c r="S1313">
        <v>10</v>
      </c>
      <c r="T1313">
        <v>4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3</v>
      </c>
      <c r="AB1313">
        <v>11</v>
      </c>
      <c r="AC1313">
        <v>0</v>
      </c>
      <c r="AD1313" t="str">
        <f t="shared" si="260"/>
        <v>Ok</v>
      </c>
      <c r="AE1313" t="str">
        <f>IF(AND(Audit_Data[[#This Row],[Year_Birth]]&gt;=1900,Audit_Data[[#This Row],[Year_Birth]]&lt;=2010),"OK","Invalid")</f>
        <v>OK</v>
      </c>
      <c r="AF1313" t="str">
        <f t="shared" si="261"/>
        <v>Valid</v>
      </c>
      <c r="AG1313" t="str">
        <f t="shared" si="262"/>
        <v>Valid</v>
      </c>
      <c r="AH1313" t="str">
        <f t="shared" si="263"/>
        <v>Valid</v>
      </c>
      <c r="AI1313" t="str">
        <f t="shared" si="264"/>
        <v>Valid</v>
      </c>
      <c r="AJ1313" t="str">
        <f t="shared" si="265"/>
        <v>Valid</v>
      </c>
      <c r="AK1313" t="str">
        <f t="shared" si="272"/>
        <v xml:space="preserve">Valid </v>
      </c>
      <c r="AL1313" t="str">
        <f>IF(AND(Audit_Data[[#This Row],[Recency]]&gt;=0,Audit_Data[[#This Row],[Recency]]&lt;=100),"Valid","Invalid")</f>
        <v>Valid</v>
      </c>
      <c r="AM1313" t="str">
        <f t="shared" si="266"/>
        <v>Valid</v>
      </c>
      <c r="AN1313" t="str">
        <f t="shared" si="267"/>
        <v>Valid</v>
      </c>
      <c r="AO1313" t="str">
        <f t="shared" si="268"/>
        <v>Valid</v>
      </c>
      <c r="AP1313" t="str">
        <f t="shared" si="269"/>
        <v>Valid</v>
      </c>
      <c r="AQ1313" t="str">
        <f>IF(Audit_Data[[#This Row],[Z_CostContact]]=3,"Valid","Invalid")</f>
        <v>Valid</v>
      </c>
      <c r="AR1313" t="str">
        <f t="shared" si="270"/>
        <v>Valid</v>
      </c>
      <c r="AS1313" t="str">
        <f t="shared" si="271"/>
        <v>Valid</v>
      </c>
    </row>
    <row r="1314" spans="1:45" x14ac:dyDescent="0.3">
      <c r="A1314">
        <v>10260</v>
      </c>
      <c r="B1314">
        <v>1965</v>
      </c>
      <c r="C1314" t="s">
        <v>34</v>
      </c>
      <c r="D1314" t="s">
        <v>31</v>
      </c>
      <c r="E1314">
        <v>45143</v>
      </c>
      <c r="F1314">
        <v>0</v>
      </c>
      <c r="G1314">
        <v>1</v>
      </c>
      <c r="H1314" s="1">
        <v>41512</v>
      </c>
      <c r="I1314">
        <v>74</v>
      </c>
      <c r="J1314">
        <v>202</v>
      </c>
      <c r="K1314">
        <v>5</v>
      </c>
      <c r="L1314">
        <v>74</v>
      </c>
      <c r="M1314">
        <v>11</v>
      </c>
      <c r="N1314">
        <v>5</v>
      </c>
      <c r="O1314">
        <v>14</v>
      </c>
      <c r="P1314">
        <v>3</v>
      </c>
      <c r="Q1314">
        <v>6</v>
      </c>
      <c r="R1314">
        <v>1</v>
      </c>
      <c r="S1314">
        <v>5</v>
      </c>
      <c r="T1314">
        <v>7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3</v>
      </c>
      <c r="AB1314">
        <v>11</v>
      </c>
      <c r="AC1314">
        <v>0</v>
      </c>
      <c r="AD1314" t="str">
        <f t="shared" si="260"/>
        <v>Ok</v>
      </c>
      <c r="AE1314" t="str">
        <f>IF(AND(Audit_Data[[#This Row],[Year_Birth]]&gt;=1900,Audit_Data[[#This Row],[Year_Birth]]&lt;=2010),"OK","Invalid")</f>
        <v>OK</v>
      </c>
      <c r="AF1314" t="str">
        <f t="shared" si="261"/>
        <v>Valid</v>
      </c>
      <c r="AG1314" t="str">
        <f t="shared" si="262"/>
        <v>Valid</v>
      </c>
      <c r="AH1314" t="str">
        <f t="shared" si="263"/>
        <v>Valid</v>
      </c>
      <c r="AI1314" t="str">
        <f t="shared" si="264"/>
        <v>Valid</v>
      </c>
      <c r="AJ1314" t="str">
        <f t="shared" si="265"/>
        <v>Valid</v>
      </c>
      <c r="AK1314" t="str">
        <f t="shared" si="272"/>
        <v xml:space="preserve">Valid </v>
      </c>
      <c r="AL1314" t="str">
        <f>IF(AND(Audit_Data[[#This Row],[Recency]]&gt;=0,Audit_Data[[#This Row],[Recency]]&lt;=100),"Valid","Invalid")</f>
        <v>Valid</v>
      </c>
      <c r="AM1314" t="str">
        <f t="shared" si="266"/>
        <v>Valid</v>
      </c>
      <c r="AN1314" t="str">
        <f t="shared" si="267"/>
        <v>Valid</v>
      </c>
      <c r="AO1314" t="str">
        <f t="shared" si="268"/>
        <v>Valid</v>
      </c>
      <c r="AP1314" t="str">
        <f t="shared" si="269"/>
        <v>Valid</v>
      </c>
      <c r="AQ1314" t="str">
        <f>IF(Audit_Data[[#This Row],[Z_CostContact]]=3,"Valid","Invalid")</f>
        <v>Valid</v>
      </c>
      <c r="AR1314" t="str">
        <f t="shared" si="270"/>
        <v>Valid</v>
      </c>
      <c r="AS1314" t="str">
        <f t="shared" si="271"/>
        <v>Valid</v>
      </c>
    </row>
    <row r="1315" spans="1:45" x14ac:dyDescent="0.3">
      <c r="A1315">
        <v>7143</v>
      </c>
      <c r="B1315">
        <v>1955</v>
      </c>
      <c r="C1315" t="s">
        <v>37</v>
      </c>
      <c r="D1315" t="s">
        <v>31</v>
      </c>
      <c r="E1315">
        <v>74805</v>
      </c>
      <c r="F1315">
        <v>0</v>
      </c>
      <c r="G1315">
        <v>1</v>
      </c>
      <c r="H1315" s="1">
        <v>41584</v>
      </c>
      <c r="I1315">
        <v>14</v>
      </c>
      <c r="J1315">
        <v>209</v>
      </c>
      <c r="K1315">
        <v>162</v>
      </c>
      <c r="L1315">
        <v>209</v>
      </c>
      <c r="M1315">
        <v>41</v>
      </c>
      <c r="N1315">
        <v>162</v>
      </c>
      <c r="O1315">
        <v>37</v>
      </c>
      <c r="P1315">
        <v>5</v>
      </c>
      <c r="Q1315">
        <v>4</v>
      </c>
      <c r="R1315">
        <v>7</v>
      </c>
      <c r="S1315">
        <v>10</v>
      </c>
      <c r="T1315">
        <v>2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3</v>
      </c>
      <c r="AB1315">
        <v>11</v>
      </c>
      <c r="AC1315">
        <v>0</v>
      </c>
      <c r="AD1315" t="str">
        <f t="shared" si="260"/>
        <v>Ok</v>
      </c>
      <c r="AE1315" t="str">
        <f>IF(AND(Audit_Data[[#This Row],[Year_Birth]]&gt;=1900,Audit_Data[[#This Row],[Year_Birth]]&lt;=2010),"OK","Invalid")</f>
        <v>OK</v>
      </c>
      <c r="AF1315" t="str">
        <f t="shared" si="261"/>
        <v>Valid</v>
      </c>
      <c r="AG1315" t="str">
        <f t="shared" si="262"/>
        <v>Valid</v>
      </c>
      <c r="AH1315" t="str">
        <f t="shared" si="263"/>
        <v>Valid</v>
      </c>
      <c r="AI1315" t="str">
        <f t="shared" si="264"/>
        <v>Valid</v>
      </c>
      <c r="AJ1315" t="str">
        <f t="shared" si="265"/>
        <v>Valid</v>
      </c>
      <c r="AK1315" t="str">
        <f t="shared" si="272"/>
        <v xml:space="preserve">Valid </v>
      </c>
      <c r="AL1315" t="str">
        <f>IF(AND(Audit_Data[[#This Row],[Recency]]&gt;=0,Audit_Data[[#This Row],[Recency]]&lt;=100),"Valid","Invalid")</f>
        <v>Valid</v>
      </c>
      <c r="AM1315" t="str">
        <f t="shared" si="266"/>
        <v>Valid</v>
      </c>
      <c r="AN1315" t="str">
        <f t="shared" si="267"/>
        <v>Valid</v>
      </c>
      <c r="AO1315" t="str">
        <f t="shared" si="268"/>
        <v>Valid</v>
      </c>
      <c r="AP1315" t="str">
        <f t="shared" si="269"/>
        <v>Valid</v>
      </c>
      <c r="AQ1315" t="str">
        <f>IF(Audit_Data[[#This Row],[Z_CostContact]]=3,"Valid","Invalid")</f>
        <v>Valid</v>
      </c>
      <c r="AR1315" t="str">
        <f t="shared" si="270"/>
        <v>Valid</v>
      </c>
      <c r="AS1315" t="str">
        <f t="shared" si="271"/>
        <v>Valid</v>
      </c>
    </row>
    <row r="1316" spans="1:45" x14ac:dyDescent="0.3">
      <c r="A1316">
        <v>8789</v>
      </c>
      <c r="B1316">
        <v>1989</v>
      </c>
      <c r="C1316" t="s">
        <v>37</v>
      </c>
      <c r="D1316" t="s">
        <v>33</v>
      </c>
      <c r="E1316">
        <v>59060</v>
      </c>
      <c r="F1316">
        <v>1</v>
      </c>
      <c r="G1316">
        <v>0</v>
      </c>
      <c r="H1316" s="1">
        <v>41650</v>
      </c>
      <c r="I1316">
        <v>77</v>
      </c>
      <c r="J1316">
        <v>35</v>
      </c>
      <c r="K1316">
        <v>40</v>
      </c>
      <c r="L1316">
        <v>111</v>
      </c>
      <c r="M1316">
        <v>36</v>
      </c>
      <c r="N1316">
        <v>40</v>
      </c>
      <c r="O1316">
        <v>12</v>
      </c>
      <c r="P1316">
        <v>3</v>
      </c>
      <c r="Q1316">
        <v>3</v>
      </c>
      <c r="R1316">
        <v>1</v>
      </c>
      <c r="S1316">
        <v>7</v>
      </c>
      <c r="T1316">
        <v>4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3</v>
      </c>
      <c r="AB1316">
        <v>11</v>
      </c>
      <c r="AC1316">
        <v>0</v>
      </c>
      <c r="AD1316" t="str">
        <f t="shared" si="260"/>
        <v>Ok</v>
      </c>
      <c r="AE1316" t="str">
        <f>IF(AND(Audit_Data[[#This Row],[Year_Birth]]&gt;=1900,Audit_Data[[#This Row],[Year_Birth]]&lt;=2010),"OK","Invalid")</f>
        <v>OK</v>
      </c>
      <c r="AF1316" t="str">
        <f t="shared" si="261"/>
        <v>Valid</v>
      </c>
      <c r="AG1316" t="str">
        <f t="shared" si="262"/>
        <v>Valid</v>
      </c>
      <c r="AH1316" t="str">
        <f t="shared" si="263"/>
        <v>Valid</v>
      </c>
      <c r="AI1316" t="str">
        <f t="shared" si="264"/>
        <v>Valid</v>
      </c>
      <c r="AJ1316" t="str">
        <f t="shared" si="265"/>
        <v>Valid</v>
      </c>
      <c r="AK1316" t="str">
        <f t="shared" si="272"/>
        <v xml:space="preserve">Valid </v>
      </c>
      <c r="AL1316" t="str">
        <f>IF(AND(Audit_Data[[#This Row],[Recency]]&gt;=0,Audit_Data[[#This Row],[Recency]]&lt;=100),"Valid","Invalid")</f>
        <v>Valid</v>
      </c>
      <c r="AM1316" t="str">
        <f t="shared" si="266"/>
        <v>Valid</v>
      </c>
      <c r="AN1316" t="str">
        <f t="shared" si="267"/>
        <v>Valid</v>
      </c>
      <c r="AO1316" t="str">
        <f t="shared" si="268"/>
        <v>Valid</v>
      </c>
      <c r="AP1316" t="str">
        <f t="shared" si="269"/>
        <v>Valid</v>
      </c>
      <c r="AQ1316" t="str">
        <f>IF(Audit_Data[[#This Row],[Z_CostContact]]=3,"Valid","Invalid")</f>
        <v>Valid</v>
      </c>
      <c r="AR1316" t="str">
        <f t="shared" si="270"/>
        <v>Valid</v>
      </c>
      <c r="AS1316" t="str">
        <f t="shared" si="271"/>
        <v>Valid</v>
      </c>
    </row>
    <row r="1317" spans="1:45" x14ac:dyDescent="0.3">
      <c r="A1317">
        <v>6197</v>
      </c>
      <c r="B1317">
        <v>1962</v>
      </c>
      <c r="C1317" t="s">
        <v>32</v>
      </c>
      <c r="D1317" t="s">
        <v>30</v>
      </c>
      <c r="E1317">
        <v>27238</v>
      </c>
      <c r="F1317">
        <v>1</v>
      </c>
      <c r="G1317">
        <v>1</v>
      </c>
      <c r="H1317" s="1">
        <v>41384</v>
      </c>
      <c r="I1317">
        <v>39</v>
      </c>
      <c r="J1317">
        <v>37</v>
      </c>
      <c r="K1317">
        <v>0</v>
      </c>
      <c r="L1317">
        <v>17</v>
      </c>
      <c r="M1317">
        <v>0</v>
      </c>
      <c r="N1317">
        <v>0</v>
      </c>
      <c r="O1317">
        <v>3</v>
      </c>
      <c r="P1317">
        <v>3</v>
      </c>
      <c r="Q1317">
        <v>3</v>
      </c>
      <c r="R1317">
        <v>0</v>
      </c>
      <c r="S1317">
        <v>3</v>
      </c>
      <c r="T1317">
        <v>9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3</v>
      </c>
      <c r="AB1317">
        <v>11</v>
      </c>
      <c r="AC1317">
        <v>0</v>
      </c>
      <c r="AD1317" t="str">
        <f t="shared" si="260"/>
        <v>Ok</v>
      </c>
      <c r="AE1317" t="str">
        <f>IF(AND(Audit_Data[[#This Row],[Year_Birth]]&gt;=1900,Audit_Data[[#This Row],[Year_Birth]]&lt;=2010),"OK","Invalid")</f>
        <v>OK</v>
      </c>
      <c r="AF1317" t="str">
        <f t="shared" si="261"/>
        <v>Valid</v>
      </c>
      <c r="AG1317" t="str">
        <f t="shared" si="262"/>
        <v>Valid</v>
      </c>
      <c r="AH1317" t="str">
        <f t="shared" si="263"/>
        <v>Valid</v>
      </c>
      <c r="AI1317" t="str">
        <f t="shared" si="264"/>
        <v>Valid</v>
      </c>
      <c r="AJ1317" t="str">
        <f t="shared" si="265"/>
        <v>Valid</v>
      </c>
      <c r="AK1317" t="str">
        <f t="shared" si="272"/>
        <v xml:space="preserve">Valid </v>
      </c>
      <c r="AL1317" t="str">
        <f>IF(AND(Audit_Data[[#This Row],[Recency]]&gt;=0,Audit_Data[[#This Row],[Recency]]&lt;=100),"Valid","Invalid")</f>
        <v>Valid</v>
      </c>
      <c r="AM1317" t="str">
        <f t="shared" si="266"/>
        <v>Valid</v>
      </c>
      <c r="AN1317" t="str">
        <f t="shared" si="267"/>
        <v>Valid</v>
      </c>
      <c r="AO1317" t="str">
        <f t="shared" si="268"/>
        <v>Valid</v>
      </c>
      <c r="AP1317" t="str">
        <f t="shared" si="269"/>
        <v>Valid</v>
      </c>
      <c r="AQ1317" t="str">
        <f>IF(Audit_Data[[#This Row],[Z_CostContact]]=3,"Valid","Invalid")</f>
        <v>Valid</v>
      </c>
      <c r="AR1317" t="str">
        <f t="shared" si="270"/>
        <v>Valid</v>
      </c>
      <c r="AS1317" t="str">
        <f t="shared" si="271"/>
        <v>Valid</v>
      </c>
    </row>
    <row r="1318" spans="1:45" x14ac:dyDescent="0.3">
      <c r="A1318">
        <v>4554</v>
      </c>
      <c r="B1318">
        <v>1965</v>
      </c>
      <c r="C1318" t="s">
        <v>29</v>
      </c>
      <c r="D1318" t="s">
        <v>31</v>
      </c>
      <c r="E1318">
        <v>47009</v>
      </c>
      <c r="F1318">
        <v>0</v>
      </c>
      <c r="G1318">
        <v>1</v>
      </c>
      <c r="H1318" s="1">
        <v>41548</v>
      </c>
      <c r="I1318">
        <v>89</v>
      </c>
      <c r="J1318">
        <v>171</v>
      </c>
      <c r="K1318">
        <v>45</v>
      </c>
      <c r="L1318">
        <v>73</v>
      </c>
      <c r="M1318">
        <v>59</v>
      </c>
      <c r="N1318">
        <v>10</v>
      </c>
      <c r="O1318">
        <v>90</v>
      </c>
      <c r="P1318">
        <v>4</v>
      </c>
      <c r="Q1318">
        <v>3</v>
      </c>
      <c r="R1318">
        <v>2</v>
      </c>
      <c r="S1318">
        <v>8</v>
      </c>
      <c r="T1318">
        <v>4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3</v>
      </c>
      <c r="AB1318">
        <v>11</v>
      </c>
      <c r="AC1318">
        <v>0</v>
      </c>
      <c r="AD1318" t="str">
        <f t="shared" si="260"/>
        <v>Ok</v>
      </c>
      <c r="AE1318" t="str">
        <f>IF(AND(Audit_Data[[#This Row],[Year_Birth]]&gt;=1900,Audit_Data[[#This Row],[Year_Birth]]&lt;=2010),"OK","Invalid")</f>
        <v>OK</v>
      </c>
      <c r="AF1318" t="str">
        <f t="shared" si="261"/>
        <v>Valid</v>
      </c>
      <c r="AG1318" t="str">
        <f t="shared" si="262"/>
        <v>Valid</v>
      </c>
      <c r="AH1318" t="str">
        <f t="shared" si="263"/>
        <v>Valid</v>
      </c>
      <c r="AI1318" t="str">
        <f t="shared" si="264"/>
        <v>Valid</v>
      </c>
      <c r="AJ1318" t="str">
        <f t="shared" si="265"/>
        <v>Valid</v>
      </c>
      <c r="AK1318" t="str">
        <f t="shared" si="272"/>
        <v xml:space="preserve">Valid </v>
      </c>
      <c r="AL1318" t="str">
        <f>IF(AND(Audit_Data[[#This Row],[Recency]]&gt;=0,Audit_Data[[#This Row],[Recency]]&lt;=100),"Valid","Invalid")</f>
        <v>Valid</v>
      </c>
      <c r="AM1318" t="str">
        <f t="shared" si="266"/>
        <v>Valid</v>
      </c>
      <c r="AN1318" t="str">
        <f t="shared" si="267"/>
        <v>Valid</v>
      </c>
      <c r="AO1318" t="str">
        <f t="shared" si="268"/>
        <v>Valid</v>
      </c>
      <c r="AP1318" t="str">
        <f t="shared" si="269"/>
        <v>Valid</v>
      </c>
      <c r="AQ1318" t="str">
        <f>IF(Audit_Data[[#This Row],[Z_CostContact]]=3,"Valid","Invalid")</f>
        <v>Valid</v>
      </c>
      <c r="AR1318" t="str">
        <f t="shared" si="270"/>
        <v>Valid</v>
      </c>
      <c r="AS1318" t="str">
        <f t="shared" si="271"/>
        <v>Valid</v>
      </c>
    </row>
    <row r="1319" spans="1:45" x14ac:dyDescent="0.3">
      <c r="A1319">
        <v>4937</v>
      </c>
      <c r="B1319">
        <v>1973</v>
      </c>
      <c r="C1319" t="s">
        <v>37</v>
      </c>
      <c r="D1319" t="s">
        <v>33</v>
      </c>
      <c r="E1319">
        <v>46094</v>
      </c>
      <c r="F1319">
        <v>1</v>
      </c>
      <c r="G1319">
        <v>1</v>
      </c>
      <c r="H1319" s="1">
        <v>41800</v>
      </c>
      <c r="I1319">
        <v>62</v>
      </c>
      <c r="J1319">
        <v>12</v>
      </c>
      <c r="K1319">
        <v>2</v>
      </c>
      <c r="L1319">
        <v>20</v>
      </c>
      <c r="M1319">
        <v>3</v>
      </c>
      <c r="N1319">
        <v>2</v>
      </c>
      <c r="O1319">
        <v>5</v>
      </c>
      <c r="P1319">
        <v>1</v>
      </c>
      <c r="Q1319">
        <v>1</v>
      </c>
      <c r="R1319">
        <v>0</v>
      </c>
      <c r="S1319">
        <v>3</v>
      </c>
      <c r="T1319">
        <v>7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3</v>
      </c>
      <c r="AB1319">
        <v>11</v>
      </c>
      <c r="AC1319">
        <v>0</v>
      </c>
      <c r="AD1319" t="str">
        <f t="shared" si="260"/>
        <v>Ok</v>
      </c>
      <c r="AE1319" t="str">
        <f>IF(AND(Audit_Data[[#This Row],[Year_Birth]]&gt;=1900,Audit_Data[[#This Row],[Year_Birth]]&lt;=2010),"OK","Invalid")</f>
        <v>OK</v>
      </c>
      <c r="AF1319" t="str">
        <f t="shared" si="261"/>
        <v>Valid</v>
      </c>
      <c r="AG1319" t="str">
        <f t="shared" si="262"/>
        <v>Valid</v>
      </c>
      <c r="AH1319" t="str">
        <f t="shared" si="263"/>
        <v>Valid</v>
      </c>
      <c r="AI1319" t="str">
        <f t="shared" si="264"/>
        <v>Valid</v>
      </c>
      <c r="AJ1319" t="str">
        <f t="shared" si="265"/>
        <v>Valid</v>
      </c>
      <c r="AK1319" t="str">
        <f t="shared" si="272"/>
        <v xml:space="preserve">Valid </v>
      </c>
      <c r="AL1319" t="str">
        <f>IF(AND(Audit_Data[[#This Row],[Recency]]&gt;=0,Audit_Data[[#This Row],[Recency]]&lt;=100),"Valid","Invalid")</f>
        <v>Valid</v>
      </c>
      <c r="AM1319" t="str">
        <f t="shared" si="266"/>
        <v>Valid</v>
      </c>
      <c r="AN1319" t="str">
        <f t="shared" si="267"/>
        <v>Valid</v>
      </c>
      <c r="AO1319" t="str">
        <f t="shared" si="268"/>
        <v>Valid</v>
      </c>
      <c r="AP1319" t="str">
        <f t="shared" si="269"/>
        <v>Valid</v>
      </c>
      <c r="AQ1319" t="str">
        <f>IF(Audit_Data[[#This Row],[Z_CostContact]]=3,"Valid","Invalid")</f>
        <v>Valid</v>
      </c>
      <c r="AR1319" t="str">
        <f t="shared" si="270"/>
        <v>Valid</v>
      </c>
      <c r="AS1319" t="str">
        <f t="shared" si="271"/>
        <v>Valid</v>
      </c>
    </row>
    <row r="1320" spans="1:45" x14ac:dyDescent="0.3">
      <c r="A1320">
        <v>1920</v>
      </c>
      <c r="B1320">
        <v>1972</v>
      </c>
      <c r="C1320" t="s">
        <v>29</v>
      </c>
      <c r="D1320" t="s">
        <v>33</v>
      </c>
      <c r="E1320">
        <v>40321</v>
      </c>
      <c r="F1320">
        <v>1</v>
      </c>
      <c r="G1320">
        <v>1</v>
      </c>
      <c r="H1320" s="1">
        <v>41484</v>
      </c>
      <c r="I1320">
        <v>59</v>
      </c>
      <c r="J1320">
        <v>44</v>
      </c>
      <c r="K1320">
        <v>4</v>
      </c>
      <c r="L1320">
        <v>21</v>
      </c>
      <c r="M1320">
        <v>6</v>
      </c>
      <c r="N1320">
        <v>0</v>
      </c>
      <c r="O1320">
        <v>27</v>
      </c>
      <c r="P1320">
        <v>2</v>
      </c>
      <c r="Q1320">
        <v>3</v>
      </c>
      <c r="R1320">
        <v>0</v>
      </c>
      <c r="S1320">
        <v>3</v>
      </c>
      <c r="T1320">
        <v>7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3</v>
      </c>
      <c r="AB1320">
        <v>11</v>
      </c>
      <c r="AC1320">
        <v>0</v>
      </c>
      <c r="AD1320" t="str">
        <f t="shared" si="260"/>
        <v>Ok</v>
      </c>
      <c r="AE1320" t="str">
        <f>IF(AND(Audit_Data[[#This Row],[Year_Birth]]&gt;=1900,Audit_Data[[#This Row],[Year_Birth]]&lt;=2010),"OK","Invalid")</f>
        <v>OK</v>
      </c>
      <c r="AF1320" t="str">
        <f t="shared" si="261"/>
        <v>Valid</v>
      </c>
      <c r="AG1320" t="str">
        <f t="shared" si="262"/>
        <v>Valid</v>
      </c>
      <c r="AH1320" t="str">
        <f t="shared" si="263"/>
        <v>Valid</v>
      </c>
      <c r="AI1320" t="str">
        <f t="shared" si="264"/>
        <v>Valid</v>
      </c>
      <c r="AJ1320" t="str">
        <f t="shared" si="265"/>
        <v>Valid</v>
      </c>
      <c r="AK1320" t="str">
        <f t="shared" si="272"/>
        <v xml:space="preserve">Valid </v>
      </c>
      <c r="AL1320" t="str">
        <f>IF(AND(Audit_Data[[#This Row],[Recency]]&gt;=0,Audit_Data[[#This Row],[Recency]]&lt;=100),"Valid","Invalid")</f>
        <v>Valid</v>
      </c>
      <c r="AM1320" t="str">
        <f t="shared" si="266"/>
        <v>Valid</v>
      </c>
      <c r="AN1320" t="str">
        <f t="shared" si="267"/>
        <v>Valid</v>
      </c>
      <c r="AO1320" t="str">
        <f t="shared" si="268"/>
        <v>Valid</v>
      </c>
      <c r="AP1320" t="str">
        <f t="shared" si="269"/>
        <v>Valid</v>
      </c>
      <c r="AQ1320" t="str">
        <f>IF(Audit_Data[[#This Row],[Z_CostContact]]=3,"Valid","Invalid")</f>
        <v>Valid</v>
      </c>
      <c r="AR1320" t="str">
        <f t="shared" si="270"/>
        <v>Valid</v>
      </c>
      <c r="AS1320" t="str">
        <f t="shared" si="271"/>
        <v>Valid</v>
      </c>
    </row>
    <row r="1321" spans="1:45" x14ac:dyDescent="0.3">
      <c r="A1321">
        <v>8749</v>
      </c>
      <c r="B1321">
        <v>1984</v>
      </c>
      <c r="C1321" t="s">
        <v>29</v>
      </c>
      <c r="D1321" t="s">
        <v>31</v>
      </c>
      <c r="E1321">
        <v>37235</v>
      </c>
      <c r="F1321">
        <v>1</v>
      </c>
      <c r="G1321">
        <v>0</v>
      </c>
      <c r="H1321" s="1">
        <v>41671</v>
      </c>
      <c r="I1321">
        <v>68</v>
      </c>
      <c r="J1321">
        <v>20</v>
      </c>
      <c r="K1321">
        <v>2</v>
      </c>
      <c r="L1321">
        <v>9</v>
      </c>
      <c r="M1321">
        <v>4</v>
      </c>
      <c r="N1321">
        <v>6</v>
      </c>
      <c r="O1321">
        <v>20</v>
      </c>
      <c r="P1321">
        <v>1</v>
      </c>
      <c r="Q1321">
        <v>1</v>
      </c>
      <c r="R1321">
        <v>1</v>
      </c>
      <c r="S1321">
        <v>2</v>
      </c>
      <c r="T1321">
        <v>4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3</v>
      </c>
      <c r="AB1321">
        <v>11</v>
      </c>
      <c r="AC1321">
        <v>0</v>
      </c>
      <c r="AD1321" t="str">
        <f t="shared" si="260"/>
        <v>Ok</v>
      </c>
      <c r="AE1321" t="str">
        <f>IF(AND(Audit_Data[[#This Row],[Year_Birth]]&gt;=1900,Audit_Data[[#This Row],[Year_Birth]]&lt;=2010),"OK","Invalid")</f>
        <v>OK</v>
      </c>
      <c r="AF1321" t="str">
        <f t="shared" si="261"/>
        <v>Valid</v>
      </c>
      <c r="AG1321" t="str">
        <f t="shared" si="262"/>
        <v>Valid</v>
      </c>
      <c r="AH1321" t="str">
        <f t="shared" si="263"/>
        <v>Valid</v>
      </c>
      <c r="AI1321" t="str">
        <f t="shared" si="264"/>
        <v>Valid</v>
      </c>
      <c r="AJ1321" t="str">
        <f t="shared" si="265"/>
        <v>Valid</v>
      </c>
      <c r="AK1321" t="str">
        <f t="shared" si="272"/>
        <v xml:space="preserve">Valid </v>
      </c>
      <c r="AL1321" t="str">
        <f>IF(AND(Audit_Data[[#This Row],[Recency]]&gt;=0,Audit_Data[[#This Row],[Recency]]&lt;=100),"Valid","Invalid")</f>
        <v>Valid</v>
      </c>
      <c r="AM1321" t="str">
        <f t="shared" si="266"/>
        <v>Valid</v>
      </c>
      <c r="AN1321" t="str">
        <f t="shared" si="267"/>
        <v>Valid</v>
      </c>
      <c r="AO1321" t="str">
        <f t="shared" si="268"/>
        <v>Valid</v>
      </c>
      <c r="AP1321" t="str">
        <f t="shared" si="269"/>
        <v>Valid</v>
      </c>
      <c r="AQ1321" t="str">
        <f>IF(Audit_Data[[#This Row],[Z_CostContact]]=3,"Valid","Invalid")</f>
        <v>Valid</v>
      </c>
      <c r="AR1321" t="str">
        <f t="shared" si="270"/>
        <v>Valid</v>
      </c>
      <c r="AS1321" t="str">
        <f t="shared" si="271"/>
        <v>Valid</v>
      </c>
    </row>
    <row r="1322" spans="1:45" x14ac:dyDescent="0.3">
      <c r="A1322">
        <v>1650</v>
      </c>
      <c r="B1322">
        <v>1960</v>
      </c>
      <c r="C1322" t="s">
        <v>34</v>
      </c>
      <c r="D1322" t="s">
        <v>33</v>
      </c>
      <c r="E1322">
        <v>81843</v>
      </c>
      <c r="F1322">
        <v>0</v>
      </c>
      <c r="G1322">
        <v>0</v>
      </c>
      <c r="H1322" s="1">
        <v>41386</v>
      </c>
      <c r="I1322">
        <v>13</v>
      </c>
      <c r="J1322">
        <v>779</v>
      </c>
      <c r="K1322">
        <v>86</v>
      </c>
      <c r="L1322">
        <v>537</v>
      </c>
      <c r="M1322">
        <v>34</v>
      </c>
      <c r="N1322">
        <v>69</v>
      </c>
      <c r="O1322">
        <v>138</v>
      </c>
      <c r="P1322">
        <v>1</v>
      </c>
      <c r="Q1322">
        <v>5</v>
      </c>
      <c r="R1322">
        <v>9</v>
      </c>
      <c r="S1322">
        <v>12</v>
      </c>
      <c r="T1322">
        <v>3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3</v>
      </c>
      <c r="AB1322">
        <v>11</v>
      </c>
      <c r="AC1322">
        <v>0</v>
      </c>
      <c r="AD1322" t="str">
        <f t="shared" si="260"/>
        <v>Ok</v>
      </c>
      <c r="AE1322" t="str">
        <f>IF(AND(Audit_Data[[#This Row],[Year_Birth]]&gt;=1900,Audit_Data[[#This Row],[Year_Birth]]&lt;=2010),"OK","Invalid")</f>
        <v>OK</v>
      </c>
      <c r="AF1322" t="str">
        <f t="shared" si="261"/>
        <v>Valid</v>
      </c>
      <c r="AG1322" t="str">
        <f t="shared" si="262"/>
        <v>Valid</v>
      </c>
      <c r="AH1322" t="str">
        <f t="shared" si="263"/>
        <v>Valid</v>
      </c>
      <c r="AI1322" t="str">
        <f t="shared" si="264"/>
        <v>Valid</v>
      </c>
      <c r="AJ1322" t="str">
        <f t="shared" si="265"/>
        <v>Valid</v>
      </c>
      <c r="AK1322" t="str">
        <f t="shared" si="272"/>
        <v xml:space="preserve">Valid </v>
      </c>
      <c r="AL1322" t="str">
        <f>IF(AND(Audit_Data[[#This Row],[Recency]]&gt;=0,Audit_Data[[#This Row],[Recency]]&lt;=100),"Valid","Invalid")</f>
        <v>Valid</v>
      </c>
      <c r="AM1322" t="str">
        <f t="shared" si="266"/>
        <v>Valid</v>
      </c>
      <c r="AN1322" t="str">
        <f t="shared" si="267"/>
        <v>Valid</v>
      </c>
      <c r="AO1322" t="str">
        <f t="shared" si="268"/>
        <v>Valid</v>
      </c>
      <c r="AP1322" t="str">
        <f t="shared" si="269"/>
        <v>Valid</v>
      </c>
      <c r="AQ1322" t="str">
        <f>IF(Audit_Data[[#This Row],[Z_CostContact]]=3,"Valid","Invalid")</f>
        <v>Valid</v>
      </c>
      <c r="AR1322" t="str">
        <f t="shared" si="270"/>
        <v>Valid</v>
      </c>
      <c r="AS1322" t="str">
        <f t="shared" si="271"/>
        <v>Valid</v>
      </c>
    </row>
    <row r="1323" spans="1:45" x14ac:dyDescent="0.3">
      <c r="A1323">
        <v>10377</v>
      </c>
      <c r="B1323">
        <v>1958</v>
      </c>
      <c r="C1323" t="s">
        <v>34</v>
      </c>
      <c r="D1323" t="s">
        <v>31</v>
      </c>
      <c r="E1323">
        <v>46692</v>
      </c>
      <c r="F1323">
        <v>0</v>
      </c>
      <c r="G1323">
        <v>1</v>
      </c>
      <c r="H1323" s="1">
        <v>41431</v>
      </c>
      <c r="I1323">
        <v>37</v>
      </c>
      <c r="J1323">
        <v>170</v>
      </c>
      <c r="K1323">
        <v>6</v>
      </c>
      <c r="L1323">
        <v>97</v>
      </c>
      <c r="M1323">
        <v>24</v>
      </c>
      <c r="N1323">
        <v>12</v>
      </c>
      <c r="O1323">
        <v>88</v>
      </c>
      <c r="P1323">
        <v>3</v>
      </c>
      <c r="Q1323">
        <v>6</v>
      </c>
      <c r="R1323">
        <v>1</v>
      </c>
      <c r="S1323">
        <v>5</v>
      </c>
      <c r="T1323">
        <v>6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3</v>
      </c>
      <c r="AB1323">
        <v>11</v>
      </c>
      <c r="AC1323">
        <v>0</v>
      </c>
      <c r="AD1323" t="str">
        <f t="shared" si="260"/>
        <v>Ok</v>
      </c>
      <c r="AE1323" t="str">
        <f>IF(AND(Audit_Data[[#This Row],[Year_Birth]]&gt;=1900,Audit_Data[[#This Row],[Year_Birth]]&lt;=2010),"OK","Invalid")</f>
        <v>OK</v>
      </c>
      <c r="AF1323" t="str">
        <f t="shared" si="261"/>
        <v>Valid</v>
      </c>
      <c r="AG1323" t="str">
        <f t="shared" si="262"/>
        <v>Valid</v>
      </c>
      <c r="AH1323" t="str">
        <f t="shared" si="263"/>
        <v>Valid</v>
      </c>
      <c r="AI1323" t="str">
        <f t="shared" si="264"/>
        <v>Valid</v>
      </c>
      <c r="AJ1323" t="str">
        <f t="shared" si="265"/>
        <v>Valid</v>
      </c>
      <c r="AK1323" t="str">
        <f t="shared" si="272"/>
        <v xml:space="preserve">Valid </v>
      </c>
      <c r="AL1323" t="str">
        <f>IF(AND(Audit_Data[[#This Row],[Recency]]&gt;=0,Audit_Data[[#This Row],[Recency]]&lt;=100),"Valid","Invalid")</f>
        <v>Valid</v>
      </c>
      <c r="AM1323" t="str">
        <f t="shared" si="266"/>
        <v>Valid</v>
      </c>
      <c r="AN1323" t="str">
        <f t="shared" si="267"/>
        <v>Valid</v>
      </c>
      <c r="AO1323" t="str">
        <f t="shared" si="268"/>
        <v>Valid</v>
      </c>
      <c r="AP1323" t="str">
        <f t="shared" si="269"/>
        <v>Valid</v>
      </c>
      <c r="AQ1323" t="str">
        <f>IF(Audit_Data[[#This Row],[Z_CostContact]]=3,"Valid","Invalid")</f>
        <v>Valid</v>
      </c>
      <c r="AR1323" t="str">
        <f t="shared" si="270"/>
        <v>Valid</v>
      </c>
      <c r="AS1323" t="str">
        <f t="shared" si="271"/>
        <v>Valid</v>
      </c>
    </row>
    <row r="1324" spans="1:45" x14ac:dyDescent="0.3">
      <c r="A1324">
        <v>9206</v>
      </c>
      <c r="B1324">
        <v>1968</v>
      </c>
      <c r="C1324" t="s">
        <v>29</v>
      </c>
      <c r="D1324" t="s">
        <v>31</v>
      </c>
      <c r="E1324">
        <v>77382</v>
      </c>
      <c r="F1324">
        <v>0</v>
      </c>
      <c r="G1324">
        <v>1</v>
      </c>
      <c r="H1324" s="1">
        <v>41646</v>
      </c>
      <c r="I1324">
        <v>36</v>
      </c>
      <c r="J1324">
        <v>491</v>
      </c>
      <c r="K1324">
        <v>48</v>
      </c>
      <c r="L1324">
        <v>231</v>
      </c>
      <c r="M1324">
        <v>112</v>
      </c>
      <c r="N1324">
        <v>105</v>
      </c>
      <c r="O1324">
        <v>134</v>
      </c>
      <c r="P1324">
        <v>2</v>
      </c>
      <c r="Q1324">
        <v>5</v>
      </c>
      <c r="R1324">
        <v>7</v>
      </c>
      <c r="S1324">
        <v>12</v>
      </c>
      <c r="T1324">
        <v>1</v>
      </c>
      <c r="U1324">
        <v>0</v>
      </c>
      <c r="V1324">
        <v>0</v>
      </c>
      <c r="W1324">
        <v>1</v>
      </c>
      <c r="X1324">
        <v>0</v>
      </c>
      <c r="Y1324">
        <v>0</v>
      </c>
      <c r="Z1324">
        <v>0</v>
      </c>
      <c r="AA1324">
        <v>3</v>
      </c>
      <c r="AB1324">
        <v>11</v>
      </c>
      <c r="AC1324">
        <v>0</v>
      </c>
      <c r="AD1324" t="str">
        <f t="shared" si="260"/>
        <v>Ok</v>
      </c>
      <c r="AE1324" t="str">
        <f>IF(AND(Audit_Data[[#This Row],[Year_Birth]]&gt;=1900,Audit_Data[[#This Row],[Year_Birth]]&lt;=2010),"OK","Invalid")</f>
        <v>OK</v>
      </c>
      <c r="AF1324" t="str">
        <f t="shared" si="261"/>
        <v>Valid</v>
      </c>
      <c r="AG1324" t="str">
        <f t="shared" si="262"/>
        <v>Valid</v>
      </c>
      <c r="AH1324" t="str">
        <f t="shared" si="263"/>
        <v>Valid</v>
      </c>
      <c r="AI1324" t="str">
        <f t="shared" si="264"/>
        <v>Valid</v>
      </c>
      <c r="AJ1324" t="str">
        <f t="shared" si="265"/>
        <v>Valid</v>
      </c>
      <c r="AK1324" t="str">
        <f t="shared" si="272"/>
        <v xml:space="preserve">Valid </v>
      </c>
      <c r="AL1324" t="str">
        <f>IF(AND(Audit_Data[[#This Row],[Recency]]&gt;=0,Audit_Data[[#This Row],[Recency]]&lt;=100),"Valid","Invalid")</f>
        <v>Valid</v>
      </c>
      <c r="AM1324" t="str">
        <f t="shared" si="266"/>
        <v>Valid</v>
      </c>
      <c r="AN1324" t="str">
        <f t="shared" si="267"/>
        <v>Valid</v>
      </c>
      <c r="AO1324" t="str">
        <f t="shared" si="268"/>
        <v>Valid</v>
      </c>
      <c r="AP1324" t="str">
        <f t="shared" si="269"/>
        <v>Valid</v>
      </c>
      <c r="AQ1324" t="str">
        <f>IF(Audit_Data[[#This Row],[Z_CostContact]]=3,"Valid","Invalid")</f>
        <v>Valid</v>
      </c>
      <c r="AR1324" t="str">
        <f t="shared" si="270"/>
        <v>Valid</v>
      </c>
      <c r="AS1324" t="str">
        <f t="shared" si="271"/>
        <v>Valid</v>
      </c>
    </row>
    <row r="1325" spans="1:45" x14ac:dyDescent="0.3">
      <c r="A1325">
        <v>10971</v>
      </c>
      <c r="B1325">
        <v>1977</v>
      </c>
      <c r="C1325" t="s">
        <v>29</v>
      </c>
      <c r="D1325" t="s">
        <v>30</v>
      </c>
      <c r="E1325">
        <v>37774</v>
      </c>
      <c r="F1325">
        <v>2</v>
      </c>
      <c r="G1325">
        <v>0</v>
      </c>
      <c r="H1325" s="1">
        <v>41155</v>
      </c>
      <c r="I1325">
        <v>28</v>
      </c>
      <c r="J1325">
        <v>173</v>
      </c>
      <c r="K1325">
        <v>8</v>
      </c>
      <c r="L1325">
        <v>107</v>
      </c>
      <c r="M1325">
        <v>7</v>
      </c>
      <c r="N1325">
        <v>2</v>
      </c>
      <c r="O1325">
        <v>176</v>
      </c>
      <c r="P1325">
        <v>4</v>
      </c>
      <c r="Q1325">
        <v>7</v>
      </c>
      <c r="R1325">
        <v>2</v>
      </c>
      <c r="S1325">
        <v>3</v>
      </c>
      <c r="T1325">
        <v>9</v>
      </c>
      <c r="U1325">
        <v>1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3</v>
      </c>
      <c r="AB1325">
        <v>11</v>
      </c>
      <c r="AC1325">
        <v>1</v>
      </c>
      <c r="AD1325" t="str">
        <f t="shared" si="260"/>
        <v>Ok</v>
      </c>
      <c r="AE1325" t="str">
        <f>IF(AND(Audit_Data[[#This Row],[Year_Birth]]&gt;=1900,Audit_Data[[#This Row],[Year_Birth]]&lt;=2010),"OK","Invalid")</f>
        <v>OK</v>
      </c>
      <c r="AF1325" t="str">
        <f t="shared" si="261"/>
        <v>Valid</v>
      </c>
      <c r="AG1325" t="str">
        <f t="shared" si="262"/>
        <v>Valid</v>
      </c>
      <c r="AH1325" t="str">
        <f t="shared" si="263"/>
        <v>Valid</v>
      </c>
      <c r="AI1325" t="str">
        <f t="shared" si="264"/>
        <v>Valid</v>
      </c>
      <c r="AJ1325" t="str">
        <f t="shared" si="265"/>
        <v>Valid</v>
      </c>
      <c r="AK1325" t="str">
        <f t="shared" si="272"/>
        <v xml:space="preserve">Valid </v>
      </c>
      <c r="AL1325" t="str">
        <f>IF(AND(Audit_Data[[#This Row],[Recency]]&gt;=0,Audit_Data[[#This Row],[Recency]]&lt;=100),"Valid","Invalid")</f>
        <v>Valid</v>
      </c>
      <c r="AM1325" t="str">
        <f t="shared" si="266"/>
        <v>Valid</v>
      </c>
      <c r="AN1325" t="str">
        <f t="shared" si="267"/>
        <v>Valid</v>
      </c>
      <c r="AO1325" t="str">
        <f t="shared" si="268"/>
        <v>Valid</v>
      </c>
      <c r="AP1325" t="str">
        <f t="shared" si="269"/>
        <v>Valid</v>
      </c>
      <c r="AQ1325" t="str">
        <f>IF(Audit_Data[[#This Row],[Z_CostContact]]=3,"Valid","Invalid")</f>
        <v>Valid</v>
      </c>
      <c r="AR1325" t="str">
        <f t="shared" si="270"/>
        <v>Valid</v>
      </c>
      <c r="AS1325" t="str">
        <f t="shared" si="271"/>
        <v>Valid</v>
      </c>
    </row>
    <row r="1326" spans="1:45" x14ac:dyDescent="0.3">
      <c r="A1326">
        <v>6398</v>
      </c>
      <c r="B1326">
        <v>1974</v>
      </c>
      <c r="C1326" t="s">
        <v>36</v>
      </c>
      <c r="D1326" t="s">
        <v>33</v>
      </c>
      <c r="E1326">
        <v>18393</v>
      </c>
      <c r="F1326">
        <v>1</v>
      </c>
      <c r="G1326">
        <v>0</v>
      </c>
      <c r="H1326" s="1">
        <v>41727</v>
      </c>
      <c r="I1326">
        <v>2</v>
      </c>
      <c r="J1326">
        <v>7</v>
      </c>
      <c r="K1326">
        <v>10</v>
      </c>
      <c r="L1326">
        <v>13</v>
      </c>
      <c r="M1326">
        <v>16</v>
      </c>
      <c r="N1326">
        <v>0</v>
      </c>
      <c r="O1326">
        <v>4</v>
      </c>
      <c r="P1326">
        <v>2</v>
      </c>
      <c r="Q1326">
        <v>3</v>
      </c>
      <c r="R1326">
        <v>0</v>
      </c>
      <c r="S1326">
        <v>3</v>
      </c>
      <c r="T1326">
        <v>8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3</v>
      </c>
      <c r="AB1326">
        <v>11</v>
      </c>
      <c r="AC1326">
        <v>0</v>
      </c>
      <c r="AD1326" t="str">
        <f t="shared" si="260"/>
        <v>Ok</v>
      </c>
      <c r="AE1326" t="str">
        <f>IF(AND(Audit_Data[[#This Row],[Year_Birth]]&gt;=1900,Audit_Data[[#This Row],[Year_Birth]]&lt;=2010),"OK","Invalid")</f>
        <v>OK</v>
      </c>
      <c r="AF1326" t="str">
        <f t="shared" si="261"/>
        <v>Valid</v>
      </c>
      <c r="AG1326" t="str">
        <f t="shared" si="262"/>
        <v>Valid</v>
      </c>
      <c r="AH1326" t="str">
        <f t="shared" si="263"/>
        <v>Valid</v>
      </c>
      <c r="AI1326" t="str">
        <f t="shared" si="264"/>
        <v>Valid</v>
      </c>
      <c r="AJ1326" t="str">
        <f t="shared" si="265"/>
        <v>Valid</v>
      </c>
      <c r="AK1326" t="str">
        <f t="shared" si="272"/>
        <v xml:space="preserve">Valid </v>
      </c>
      <c r="AL1326" t="str">
        <f>IF(AND(Audit_Data[[#This Row],[Recency]]&gt;=0,Audit_Data[[#This Row],[Recency]]&lt;=100),"Valid","Invalid")</f>
        <v>Valid</v>
      </c>
      <c r="AM1326" t="str">
        <f t="shared" si="266"/>
        <v>Valid</v>
      </c>
      <c r="AN1326" t="str">
        <f t="shared" si="267"/>
        <v>Valid</v>
      </c>
      <c r="AO1326" t="str">
        <f t="shared" si="268"/>
        <v>Valid</v>
      </c>
      <c r="AP1326" t="str">
        <f t="shared" si="269"/>
        <v>Valid</v>
      </c>
      <c r="AQ1326" t="str">
        <f>IF(Audit_Data[[#This Row],[Z_CostContact]]=3,"Valid","Invalid")</f>
        <v>Valid</v>
      </c>
      <c r="AR1326" t="str">
        <f t="shared" si="270"/>
        <v>Valid</v>
      </c>
      <c r="AS1326" t="str">
        <f t="shared" si="271"/>
        <v>Valid</v>
      </c>
    </row>
    <row r="1327" spans="1:45" x14ac:dyDescent="0.3">
      <c r="A1327">
        <v>9212</v>
      </c>
      <c r="B1327">
        <v>1962</v>
      </c>
      <c r="C1327" t="s">
        <v>34</v>
      </c>
      <c r="D1327" t="s">
        <v>33</v>
      </c>
      <c r="E1327">
        <v>72828</v>
      </c>
      <c r="F1327">
        <v>0</v>
      </c>
      <c r="G1327">
        <v>1</v>
      </c>
      <c r="H1327" s="1">
        <v>41319</v>
      </c>
      <c r="I1327">
        <v>17</v>
      </c>
      <c r="J1327">
        <v>1205</v>
      </c>
      <c r="K1327">
        <v>0</v>
      </c>
      <c r="L1327">
        <v>235</v>
      </c>
      <c r="M1327">
        <v>19</v>
      </c>
      <c r="N1327">
        <v>14</v>
      </c>
      <c r="O1327">
        <v>205</v>
      </c>
      <c r="P1327">
        <v>6</v>
      </c>
      <c r="Q1327">
        <v>6</v>
      </c>
      <c r="R1327">
        <v>3</v>
      </c>
      <c r="S1327">
        <v>13</v>
      </c>
      <c r="T1327">
        <v>7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3</v>
      </c>
      <c r="AB1327">
        <v>11</v>
      </c>
      <c r="AC1327">
        <v>0</v>
      </c>
      <c r="AD1327" t="str">
        <f t="shared" si="260"/>
        <v>Ok</v>
      </c>
      <c r="AE1327" t="str">
        <f>IF(AND(Audit_Data[[#This Row],[Year_Birth]]&gt;=1900,Audit_Data[[#This Row],[Year_Birth]]&lt;=2010),"OK","Invalid")</f>
        <v>OK</v>
      </c>
      <c r="AF1327" t="str">
        <f t="shared" si="261"/>
        <v>Valid</v>
      </c>
      <c r="AG1327" t="str">
        <f t="shared" si="262"/>
        <v>Valid</v>
      </c>
      <c r="AH1327" t="str">
        <f t="shared" si="263"/>
        <v>Valid</v>
      </c>
      <c r="AI1327" t="str">
        <f t="shared" si="264"/>
        <v>Valid</v>
      </c>
      <c r="AJ1327" t="str">
        <f t="shared" si="265"/>
        <v>Valid</v>
      </c>
      <c r="AK1327" t="str">
        <f t="shared" si="272"/>
        <v xml:space="preserve">Valid </v>
      </c>
      <c r="AL1327" t="str">
        <f>IF(AND(Audit_Data[[#This Row],[Recency]]&gt;=0,Audit_Data[[#This Row],[Recency]]&lt;=100),"Valid","Invalid")</f>
        <v>Valid</v>
      </c>
      <c r="AM1327" t="str">
        <f t="shared" si="266"/>
        <v>Valid</v>
      </c>
      <c r="AN1327" t="str">
        <f t="shared" si="267"/>
        <v>Valid</v>
      </c>
      <c r="AO1327" t="str">
        <f t="shared" si="268"/>
        <v>Valid</v>
      </c>
      <c r="AP1327" t="str">
        <f t="shared" si="269"/>
        <v>Valid</v>
      </c>
      <c r="AQ1327" t="str">
        <f>IF(Audit_Data[[#This Row],[Z_CostContact]]=3,"Valid","Invalid")</f>
        <v>Valid</v>
      </c>
      <c r="AR1327" t="str">
        <f t="shared" si="270"/>
        <v>Valid</v>
      </c>
      <c r="AS1327" t="str">
        <f t="shared" si="271"/>
        <v>Valid</v>
      </c>
    </row>
    <row r="1328" spans="1:45" x14ac:dyDescent="0.3">
      <c r="A1328">
        <v>7937</v>
      </c>
      <c r="B1328">
        <v>1982</v>
      </c>
      <c r="C1328" t="s">
        <v>29</v>
      </c>
      <c r="D1328" t="s">
        <v>33</v>
      </c>
      <c r="E1328">
        <v>24711</v>
      </c>
      <c r="F1328">
        <v>0</v>
      </c>
      <c r="G1328">
        <v>0</v>
      </c>
      <c r="H1328" s="1">
        <v>41747</v>
      </c>
      <c r="I1328">
        <v>86</v>
      </c>
      <c r="J1328">
        <v>10</v>
      </c>
      <c r="K1328">
        <v>7</v>
      </c>
      <c r="L1328">
        <v>25</v>
      </c>
      <c r="M1328">
        <v>6</v>
      </c>
      <c r="N1328">
        <v>3</v>
      </c>
      <c r="O1328">
        <v>7</v>
      </c>
      <c r="P1328">
        <v>1</v>
      </c>
      <c r="Q1328">
        <v>3</v>
      </c>
      <c r="R1328">
        <v>0</v>
      </c>
      <c r="S1328">
        <v>3</v>
      </c>
      <c r="T1328">
        <v>7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3</v>
      </c>
      <c r="AB1328">
        <v>11</v>
      </c>
      <c r="AC1328">
        <v>0</v>
      </c>
      <c r="AD1328" t="str">
        <f t="shared" si="260"/>
        <v>Ok</v>
      </c>
      <c r="AE1328" t="str">
        <f>IF(AND(Audit_Data[[#This Row],[Year_Birth]]&gt;=1900,Audit_Data[[#This Row],[Year_Birth]]&lt;=2010),"OK","Invalid")</f>
        <v>OK</v>
      </c>
      <c r="AF1328" t="str">
        <f t="shared" si="261"/>
        <v>Valid</v>
      </c>
      <c r="AG1328" t="str">
        <f t="shared" si="262"/>
        <v>Valid</v>
      </c>
      <c r="AH1328" t="str">
        <f t="shared" si="263"/>
        <v>Valid</v>
      </c>
      <c r="AI1328" t="str">
        <f t="shared" si="264"/>
        <v>Valid</v>
      </c>
      <c r="AJ1328" t="str">
        <f t="shared" si="265"/>
        <v>Valid</v>
      </c>
      <c r="AK1328" t="str">
        <f t="shared" si="272"/>
        <v xml:space="preserve">Valid </v>
      </c>
      <c r="AL1328" t="str">
        <f>IF(AND(Audit_Data[[#This Row],[Recency]]&gt;=0,Audit_Data[[#This Row],[Recency]]&lt;=100),"Valid","Invalid")</f>
        <v>Valid</v>
      </c>
      <c r="AM1328" t="str">
        <f t="shared" si="266"/>
        <v>Valid</v>
      </c>
      <c r="AN1328" t="str">
        <f t="shared" si="267"/>
        <v>Valid</v>
      </c>
      <c r="AO1328" t="str">
        <f t="shared" si="268"/>
        <v>Valid</v>
      </c>
      <c r="AP1328" t="str">
        <f t="shared" si="269"/>
        <v>Valid</v>
      </c>
      <c r="AQ1328" t="str">
        <f>IF(Audit_Data[[#This Row],[Z_CostContact]]=3,"Valid","Invalid")</f>
        <v>Valid</v>
      </c>
      <c r="AR1328" t="str">
        <f t="shared" si="270"/>
        <v>Valid</v>
      </c>
      <c r="AS1328" t="str">
        <f t="shared" si="271"/>
        <v>Valid</v>
      </c>
    </row>
    <row r="1329" spans="1:45" x14ac:dyDescent="0.3">
      <c r="A1329">
        <v>839</v>
      </c>
      <c r="B1329">
        <v>1975</v>
      </c>
      <c r="C1329" t="s">
        <v>32</v>
      </c>
      <c r="D1329" t="s">
        <v>33</v>
      </c>
      <c r="E1329">
        <v>45503</v>
      </c>
      <c r="F1329">
        <v>1</v>
      </c>
      <c r="G1329">
        <v>0</v>
      </c>
      <c r="H1329" s="1">
        <v>41542</v>
      </c>
      <c r="I1329">
        <v>54</v>
      </c>
      <c r="J1329">
        <v>97</v>
      </c>
      <c r="K1329">
        <v>4</v>
      </c>
      <c r="L1329">
        <v>44</v>
      </c>
      <c r="M1329">
        <v>6</v>
      </c>
      <c r="N1329">
        <v>1</v>
      </c>
      <c r="O1329">
        <v>18</v>
      </c>
      <c r="P1329">
        <v>1</v>
      </c>
      <c r="Q1329">
        <v>3</v>
      </c>
      <c r="R1329">
        <v>1</v>
      </c>
      <c r="S1329">
        <v>4</v>
      </c>
      <c r="T1329">
        <v>5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3</v>
      </c>
      <c r="AB1329">
        <v>11</v>
      </c>
      <c r="AC1329">
        <v>0</v>
      </c>
      <c r="AD1329" t="str">
        <f t="shared" si="260"/>
        <v>Ok</v>
      </c>
      <c r="AE1329" t="str">
        <f>IF(AND(Audit_Data[[#This Row],[Year_Birth]]&gt;=1900,Audit_Data[[#This Row],[Year_Birth]]&lt;=2010),"OK","Invalid")</f>
        <v>OK</v>
      </c>
      <c r="AF1329" t="str">
        <f t="shared" si="261"/>
        <v>Valid</v>
      </c>
      <c r="AG1329" t="str">
        <f t="shared" si="262"/>
        <v>Valid</v>
      </c>
      <c r="AH1329" t="str">
        <f t="shared" si="263"/>
        <v>Valid</v>
      </c>
      <c r="AI1329" t="str">
        <f t="shared" si="264"/>
        <v>Valid</v>
      </c>
      <c r="AJ1329" t="str">
        <f t="shared" si="265"/>
        <v>Valid</v>
      </c>
      <c r="AK1329" t="str">
        <f t="shared" si="272"/>
        <v xml:space="preserve">Valid </v>
      </c>
      <c r="AL1329" t="str">
        <f>IF(AND(Audit_Data[[#This Row],[Recency]]&gt;=0,Audit_Data[[#This Row],[Recency]]&lt;=100),"Valid","Invalid")</f>
        <v>Valid</v>
      </c>
      <c r="AM1329" t="str">
        <f t="shared" si="266"/>
        <v>Valid</v>
      </c>
      <c r="AN1329" t="str">
        <f t="shared" si="267"/>
        <v>Valid</v>
      </c>
      <c r="AO1329" t="str">
        <f t="shared" si="268"/>
        <v>Valid</v>
      </c>
      <c r="AP1329" t="str">
        <f t="shared" si="269"/>
        <v>Valid</v>
      </c>
      <c r="AQ1329" t="str">
        <f>IF(Audit_Data[[#This Row],[Z_CostContact]]=3,"Valid","Invalid")</f>
        <v>Valid</v>
      </c>
      <c r="AR1329" t="str">
        <f t="shared" si="270"/>
        <v>Valid</v>
      </c>
      <c r="AS1329" t="str">
        <f t="shared" si="271"/>
        <v>Valid</v>
      </c>
    </row>
    <row r="1330" spans="1:45" x14ac:dyDescent="0.3">
      <c r="A1330">
        <v>4246</v>
      </c>
      <c r="B1330">
        <v>1982</v>
      </c>
      <c r="C1330" t="s">
        <v>34</v>
      </c>
      <c r="D1330" t="s">
        <v>30</v>
      </c>
      <c r="E1330">
        <v>6560</v>
      </c>
      <c r="F1330">
        <v>0</v>
      </c>
      <c r="G1330">
        <v>0</v>
      </c>
      <c r="H1330" s="1">
        <v>41620</v>
      </c>
      <c r="I1330">
        <v>2</v>
      </c>
      <c r="J1330">
        <v>67</v>
      </c>
      <c r="K1330">
        <v>11</v>
      </c>
      <c r="L1330">
        <v>26</v>
      </c>
      <c r="M1330">
        <v>4</v>
      </c>
      <c r="N1330">
        <v>3</v>
      </c>
      <c r="O1330">
        <v>262</v>
      </c>
      <c r="P1330">
        <v>0</v>
      </c>
      <c r="Q1330">
        <v>1</v>
      </c>
      <c r="R1330">
        <v>0</v>
      </c>
      <c r="S1330">
        <v>1</v>
      </c>
      <c r="T1330">
        <v>17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3</v>
      </c>
      <c r="AB1330">
        <v>11</v>
      </c>
      <c r="AC1330">
        <v>0</v>
      </c>
      <c r="AD1330" t="str">
        <f t="shared" si="260"/>
        <v>Ok</v>
      </c>
      <c r="AE1330" t="str">
        <f>IF(AND(Audit_Data[[#This Row],[Year_Birth]]&gt;=1900,Audit_Data[[#This Row],[Year_Birth]]&lt;=2010),"OK","Invalid")</f>
        <v>OK</v>
      </c>
      <c r="AF1330" t="str">
        <f t="shared" si="261"/>
        <v>Valid</v>
      </c>
      <c r="AG1330" t="str">
        <f t="shared" si="262"/>
        <v>Valid</v>
      </c>
      <c r="AH1330" t="str">
        <f t="shared" si="263"/>
        <v>Valid</v>
      </c>
      <c r="AI1330" t="str">
        <f t="shared" si="264"/>
        <v>Valid</v>
      </c>
      <c r="AJ1330" t="str">
        <f t="shared" si="265"/>
        <v>Valid</v>
      </c>
      <c r="AK1330" t="str">
        <f t="shared" si="272"/>
        <v xml:space="preserve">Valid </v>
      </c>
      <c r="AL1330" t="str">
        <f>IF(AND(Audit_Data[[#This Row],[Recency]]&gt;=0,Audit_Data[[#This Row],[Recency]]&lt;=100),"Valid","Invalid")</f>
        <v>Valid</v>
      </c>
      <c r="AM1330" t="str">
        <f t="shared" si="266"/>
        <v>Valid</v>
      </c>
      <c r="AN1330" t="str">
        <f t="shared" si="267"/>
        <v>Valid</v>
      </c>
      <c r="AO1330" t="str">
        <f t="shared" si="268"/>
        <v>Valid</v>
      </c>
      <c r="AP1330" t="str">
        <f t="shared" si="269"/>
        <v>Valid</v>
      </c>
      <c r="AQ1330" t="str">
        <f>IF(Audit_Data[[#This Row],[Z_CostContact]]=3,"Valid","Invalid")</f>
        <v>Valid</v>
      </c>
      <c r="AR1330" t="str">
        <f t="shared" si="270"/>
        <v>Valid</v>
      </c>
      <c r="AS1330" t="str">
        <f t="shared" si="271"/>
        <v>Valid</v>
      </c>
    </row>
    <row r="1331" spans="1:45" x14ac:dyDescent="0.3">
      <c r="A1331">
        <v>158</v>
      </c>
      <c r="B1331">
        <v>1945</v>
      </c>
      <c r="C1331" t="s">
        <v>32</v>
      </c>
      <c r="D1331" t="s">
        <v>31</v>
      </c>
      <c r="E1331">
        <v>71604</v>
      </c>
      <c r="F1331">
        <v>0</v>
      </c>
      <c r="G1331">
        <v>0</v>
      </c>
      <c r="H1331" s="1">
        <v>41595</v>
      </c>
      <c r="I1331">
        <v>3</v>
      </c>
      <c r="J1331">
        <v>345</v>
      </c>
      <c r="K1331">
        <v>53</v>
      </c>
      <c r="L1331">
        <v>528</v>
      </c>
      <c r="M1331">
        <v>98</v>
      </c>
      <c r="N1331">
        <v>75</v>
      </c>
      <c r="O1331">
        <v>97</v>
      </c>
      <c r="P1331">
        <v>1</v>
      </c>
      <c r="Q1331">
        <v>8</v>
      </c>
      <c r="R1331">
        <v>3</v>
      </c>
      <c r="S1331">
        <v>5</v>
      </c>
      <c r="T1331">
        <v>4</v>
      </c>
      <c r="U1331">
        <v>1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3</v>
      </c>
      <c r="AB1331">
        <v>11</v>
      </c>
      <c r="AC1331">
        <v>1</v>
      </c>
      <c r="AD1331" t="str">
        <f t="shared" si="260"/>
        <v>Ok</v>
      </c>
      <c r="AE1331" t="str">
        <f>IF(AND(Audit_Data[[#This Row],[Year_Birth]]&gt;=1900,Audit_Data[[#This Row],[Year_Birth]]&lt;=2010),"OK","Invalid")</f>
        <v>OK</v>
      </c>
      <c r="AF1331" t="str">
        <f t="shared" si="261"/>
        <v>Valid</v>
      </c>
      <c r="AG1331" t="str">
        <f t="shared" si="262"/>
        <v>Valid</v>
      </c>
      <c r="AH1331" t="str">
        <f t="shared" si="263"/>
        <v>Valid</v>
      </c>
      <c r="AI1331" t="str">
        <f t="shared" si="264"/>
        <v>Valid</v>
      </c>
      <c r="AJ1331" t="str">
        <f t="shared" si="265"/>
        <v>Valid</v>
      </c>
      <c r="AK1331" t="str">
        <f t="shared" si="272"/>
        <v xml:space="preserve">Valid </v>
      </c>
      <c r="AL1331" t="str">
        <f>IF(AND(Audit_Data[[#This Row],[Recency]]&gt;=0,Audit_Data[[#This Row],[Recency]]&lt;=100),"Valid","Invalid")</f>
        <v>Valid</v>
      </c>
      <c r="AM1331" t="str">
        <f t="shared" si="266"/>
        <v>Valid</v>
      </c>
      <c r="AN1331" t="str">
        <f t="shared" si="267"/>
        <v>Valid</v>
      </c>
      <c r="AO1331" t="str">
        <f t="shared" si="268"/>
        <v>Valid</v>
      </c>
      <c r="AP1331" t="str">
        <f t="shared" si="269"/>
        <v>Valid</v>
      </c>
      <c r="AQ1331" t="str">
        <f>IF(Audit_Data[[#This Row],[Z_CostContact]]=3,"Valid","Invalid")</f>
        <v>Valid</v>
      </c>
      <c r="AR1331" t="str">
        <f t="shared" si="270"/>
        <v>Valid</v>
      </c>
      <c r="AS1331" t="str">
        <f t="shared" si="271"/>
        <v>Valid</v>
      </c>
    </row>
    <row r="1332" spans="1:45" x14ac:dyDescent="0.3">
      <c r="A1332">
        <v>4832</v>
      </c>
      <c r="B1332">
        <v>1979</v>
      </c>
      <c r="C1332" t="s">
        <v>29</v>
      </c>
      <c r="D1332" t="s">
        <v>33</v>
      </c>
      <c r="E1332">
        <v>27244</v>
      </c>
      <c r="F1332">
        <v>1</v>
      </c>
      <c r="G1332">
        <v>0</v>
      </c>
      <c r="H1332" s="1">
        <v>41705</v>
      </c>
      <c r="I1332">
        <v>84</v>
      </c>
      <c r="J1332">
        <v>6</v>
      </c>
      <c r="K1332">
        <v>5</v>
      </c>
      <c r="L1332">
        <v>17</v>
      </c>
      <c r="M1332">
        <v>3</v>
      </c>
      <c r="N1332">
        <v>24</v>
      </c>
      <c r="O1332">
        <v>46</v>
      </c>
      <c r="P1332">
        <v>2</v>
      </c>
      <c r="Q1332">
        <v>2</v>
      </c>
      <c r="R1332">
        <v>2</v>
      </c>
      <c r="S1332">
        <v>2</v>
      </c>
      <c r="T1332">
        <v>7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3</v>
      </c>
      <c r="AB1332">
        <v>11</v>
      </c>
      <c r="AC1332">
        <v>0</v>
      </c>
      <c r="AD1332" t="str">
        <f t="shared" si="260"/>
        <v>Ok</v>
      </c>
      <c r="AE1332" t="str">
        <f>IF(AND(Audit_Data[[#This Row],[Year_Birth]]&gt;=1900,Audit_Data[[#This Row],[Year_Birth]]&lt;=2010),"OK","Invalid")</f>
        <v>OK</v>
      </c>
      <c r="AF1332" t="str">
        <f t="shared" si="261"/>
        <v>Valid</v>
      </c>
      <c r="AG1332" t="str">
        <f t="shared" si="262"/>
        <v>Valid</v>
      </c>
      <c r="AH1332" t="str">
        <f t="shared" si="263"/>
        <v>Valid</v>
      </c>
      <c r="AI1332" t="str">
        <f t="shared" si="264"/>
        <v>Valid</v>
      </c>
      <c r="AJ1332" t="str">
        <f t="shared" si="265"/>
        <v>Valid</v>
      </c>
      <c r="AK1332" t="str">
        <f t="shared" si="272"/>
        <v xml:space="preserve">Valid </v>
      </c>
      <c r="AL1332" t="str">
        <f>IF(AND(Audit_Data[[#This Row],[Recency]]&gt;=0,Audit_Data[[#This Row],[Recency]]&lt;=100),"Valid","Invalid")</f>
        <v>Valid</v>
      </c>
      <c r="AM1332" t="str">
        <f t="shared" si="266"/>
        <v>Valid</v>
      </c>
      <c r="AN1332" t="str">
        <f t="shared" si="267"/>
        <v>Valid</v>
      </c>
      <c r="AO1332" t="str">
        <f t="shared" si="268"/>
        <v>Valid</v>
      </c>
      <c r="AP1332" t="str">
        <f t="shared" si="269"/>
        <v>Valid</v>
      </c>
      <c r="AQ1332" t="str">
        <f>IF(Audit_Data[[#This Row],[Z_CostContact]]=3,"Valid","Invalid")</f>
        <v>Valid</v>
      </c>
      <c r="AR1332" t="str">
        <f t="shared" si="270"/>
        <v>Valid</v>
      </c>
      <c r="AS1332" t="str">
        <f t="shared" si="271"/>
        <v>Valid</v>
      </c>
    </row>
    <row r="1333" spans="1:45" x14ac:dyDescent="0.3">
      <c r="A1333">
        <v>5621</v>
      </c>
      <c r="B1333">
        <v>1969</v>
      </c>
      <c r="C1333" t="s">
        <v>29</v>
      </c>
      <c r="D1333" t="s">
        <v>33</v>
      </c>
      <c r="E1333">
        <v>48752</v>
      </c>
      <c r="F1333">
        <v>1</v>
      </c>
      <c r="G1333">
        <v>1</v>
      </c>
      <c r="H1333" s="1">
        <v>41255</v>
      </c>
      <c r="I1333">
        <v>8</v>
      </c>
      <c r="J1333">
        <v>73</v>
      </c>
      <c r="K1333">
        <v>57</v>
      </c>
      <c r="L1333">
        <v>100</v>
      </c>
      <c r="M1333">
        <v>71</v>
      </c>
      <c r="N1333">
        <v>15</v>
      </c>
      <c r="O1333">
        <v>0</v>
      </c>
      <c r="P1333">
        <v>5</v>
      </c>
      <c r="Q1333">
        <v>6</v>
      </c>
      <c r="R1333">
        <v>1</v>
      </c>
      <c r="S1333">
        <v>5</v>
      </c>
      <c r="T1333">
        <v>9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3</v>
      </c>
      <c r="AB1333">
        <v>11</v>
      </c>
      <c r="AC1333">
        <v>1</v>
      </c>
      <c r="AD1333" t="str">
        <f t="shared" si="260"/>
        <v>Ok</v>
      </c>
      <c r="AE1333" t="str">
        <f>IF(AND(Audit_Data[[#This Row],[Year_Birth]]&gt;=1900,Audit_Data[[#This Row],[Year_Birth]]&lt;=2010),"OK","Invalid")</f>
        <v>OK</v>
      </c>
      <c r="AF1333" t="str">
        <f t="shared" si="261"/>
        <v>Valid</v>
      </c>
      <c r="AG1333" t="str">
        <f t="shared" si="262"/>
        <v>Valid</v>
      </c>
      <c r="AH1333" t="str">
        <f t="shared" si="263"/>
        <v>Valid</v>
      </c>
      <c r="AI1333" t="str">
        <f t="shared" si="264"/>
        <v>Valid</v>
      </c>
      <c r="AJ1333" t="str">
        <f t="shared" si="265"/>
        <v>Valid</v>
      </c>
      <c r="AK1333" t="str">
        <f t="shared" si="272"/>
        <v xml:space="preserve">Valid </v>
      </c>
      <c r="AL1333" t="str">
        <f>IF(AND(Audit_Data[[#This Row],[Recency]]&gt;=0,Audit_Data[[#This Row],[Recency]]&lt;=100),"Valid","Invalid")</f>
        <v>Valid</v>
      </c>
      <c r="AM1333" t="str">
        <f t="shared" si="266"/>
        <v>Valid</v>
      </c>
      <c r="AN1333" t="str">
        <f t="shared" si="267"/>
        <v>Valid</v>
      </c>
      <c r="AO1333" t="str">
        <f t="shared" si="268"/>
        <v>Valid</v>
      </c>
      <c r="AP1333" t="str">
        <f t="shared" si="269"/>
        <v>Valid</v>
      </c>
      <c r="AQ1333" t="str">
        <f>IF(Audit_Data[[#This Row],[Z_CostContact]]=3,"Valid","Invalid")</f>
        <v>Valid</v>
      </c>
      <c r="AR1333" t="str">
        <f t="shared" si="270"/>
        <v>Valid</v>
      </c>
      <c r="AS1333" t="str">
        <f t="shared" si="271"/>
        <v>Valid</v>
      </c>
    </row>
    <row r="1334" spans="1:45" x14ac:dyDescent="0.3">
      <c r="A1334">
        <v>1945</v>
      </c>
      <c r="B1334">
        <v>1962</v>
      </c>
      <c r="C1334" t="s">
        <v>29</v>
      </c>
      <c r="D1334" t="s">
        <v>33</v>
      </c>
      <c r="E1334">
        <v>71434</v>
      </c>
      <c r="F1334">
        <v>0</v>
      </c>
      <c r="G1334">
        <v>1</v>
      </c>
      <c r="H1334" s="1">
        <v>41535</v>
      </c>
      <c r="I1334">
        <v>4</v>
      </c>
      <c r="J1334">
        <v>711</v>
      </c>
      <c r="K1334">
        <v>36</v>
      </c>
      <c r="L1334">
        <v>217</v>
      </c>
      <c r="M1334">
        <v>172</v>
      </c>
      <c r="N1334">
        <v>96</v>
      </c>
      <c r="O1334">
        <v>168</v>
      </c>
      <c r="P1334">
        <v>3</v>
      </c>
      <c r="Q1334">
        <v>7</v>
      </c>
      <c r="R1334">
        <v>4</v>
      </c>
      <c r="S1334">
        <v>7</v>
      </c>
      <c r="T1334">
        <v>4</v>
      </c>
      <c r="U1334">
        <v>0</v>
      </c>
      <c r="V1334">
        <v>1</v>
      </c>
      <c r="W1334">
        <v>0</v>
      </c>
      <c r="X1334">
        <v>1</v>
      </c>
      <c r="Y1334">
        <v>0</v>
      </c>
      <c r="Z1334">
        <v>0</v>
      </c>
      <c r="AA1334">
        <v>3</v>
      </c>
      <c r="AB1334">
        <v>11</v>
      </c>
      <c r="AC1334">
        <v>0</v>
      </c>
      <c r="AD1334" t="str">
        <f t="shared" si="260"/>
        <v>Ok</v>
      </c>
      <c r="AE1334" t="str">
        <f>IF(AND(Audit_Data[[#This Row],[Year_Birth]]&gt;=1900,Audit_Data[[#This Row],[Year_Birth]]&lt;=2010),"OK","Invalid")</f>
        <v>OK</v>
      </c>
      <c r="AF1334" t="str">
        <f t="shared" si="261"/>
        <v>Valid</v>
      </c>
      <c r="AG1334" t="str">
        <f t="shared" si="262"/>
        <v>Valid</v>
      </c>
      <c r="AH1334" t="str">
        <f t="shared" si="263"/>
        <v>Valid</v>
      </c>
      <c r="AI1334" t="str">
        <f t="shared" si="264"/>
        <v>Valid</v>
      </c>
      <c r="AJ1334" t="str">
        <f t="shared" si="265"/>
        <v>Valid</v>
      </c>
      <c r="AK1334" t="str">
        <f t="shared" si="272"/>
        <v xml:space="preserve">Valid </v>
      </c>
      <c r="AL1334" t="str">
        <f>IF(AND(Audit_Data[[#This Row],[Recency]]&gt;=0,Audit_Data[[#This Row],[Recency]]&lt;=100),"Valid","Invalid")</f>
        <v>Valid</v>
      </c>
      <c r="AM1334" t="str">
        <f t="shared" si="266"/>
        <v>Valid</v>
      </c>
      <c r="AN1334" t="str">
        <f t="shared" si="267"/>
        <v>Valid</v>
      </c>
      <c r="AO1334" t="str">
        <f t="shared" si="268"/>
        <v>Valid</v>
      </c>
      <c r="AP1334" t="str">
        <f t="shared" si="269"/>
        <v>Valid</v>
      </c>
      <c r="AQ1334" t="str">
        <f>IF(Audit_Data[[#This Row],[Z_CostContact]]=3,"Valid","Invalid")</f>
        <v>Valid</v>
      </c>
      <c r="AR1334" t="str">
        <f t="shared" si="270"/>
        <v>Valid</v>
      </c>
      <c r="AS1334" t="str">
        <f t="shared" si="271"/>
        <v>Valid</v>
      </c>
    </row>
    <row r="1335" spans="1:45" x14ac:dyDescent="0.3">
      <c r="A1335">
        <v>5147</v>
      </c>
      <c r="B1335">
        <v>1948</v>
      </c>
      <c r="C1335" t="s">
        <v>29</v>
      </c>
      <c r="D1335" t="s">
        <v>30</v>
      </c>
      <c r="E1335">
        <v>90842</v>
      </c>
      <c r="F1335">
        <v>0</v>
      </c>
      <c r="G1335">
        <v>0</v>
      </c>
      <c r="H1335" s="1">
        <v>41484</v>
      </c>
      <c r="I1335">
        <v>57</v>
      </c>
      <c r="J1335">
        <v>774</v>
      </c>
      <c r="K1335">
        <v>70</v>
      </c>
      <c r="L1335">
        <v>118</v>
      </c>
      <c r="M1335">
        <v>182</v>
      </c>
      <c r="N1335">
        <v>187</v>
      </c>
      <c r="O1335">
        <v>93</v>
      </c>
      <c r="P1335">
        <v>1</v>
      </c>
      <c r="Q1335">
        <v>4</v>
      </c>
      <c r="R1335">
        <v>9</v>
      </c>
      <c r="S1335">
        <v>13</v>
      </c>
      <c r="T1335">
        <v>1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3</v>
      </c>
      <c r="AB1335">
        <v>11</v>
      </c>
      <c r="AC1335">
        <v>0</v>
      </c>
      <c r="AD1335" t="str">
        <f t="shared" si="260"/>
        <v>Ok</v>
      </c>
      <c r="AE1335" t="str">
        <f>IF(AND(Audit_Data[[#This Row],[Year_Birth]]&gt;=1900,Audit_Data[[#This Row],[Year_Birth]]&lt;=2010),"OK","Invalid")</f>
        <v>OK</v>
      </c>
      <c r="AF1335" t="str">
        <f t="shared" si="261"/>
        <v>Valid</v>
      </c>
      <c r="AG1335" t="str">
        <f t="shared" si="262"/>
        <v>Valid</v>
      </c>
      <c r="AH1335" t="str">
        <f t="shared" si="263"/>
        <v>Valid</v>
      </c>
      <c r="AI1335" t="str">
        <f t="shared" si="264"/>
        <v>Valid</v>
      </c>
      <c r="AJ1335" t="str">
        <f t="shared" si="265"/>
        <v>Valid</v>
      </c>
      <c r="AK1335" t="str">
        <f t="shared" si="272"/>
        <v xml:space="preserve">Valid </v>
      </c>
      <c r="AL1335" t="str">
        <f>IF(AND(Audit_Data[[#This Row],[Recency]]&gt;=0,Audit_Data[[#This Row],[Recency]]&lt;=100),"Valid","Invalid")</f>
        <v>Valid</v>
      </c>
      <c r="AM1335" t="str">
        <f t="shared" si="266"/>
        <v>Valid</v>
      </c>
      <c r="AN1335" t="str">
        <f t="shared" si="267"/>
        <v>Valid</v>
      </c>
      <c r="AO1335" t="str">
        <f t="shared" si="268"/>
        <v>Valid</v>
      </c>
      <c r="AP1335" t="str">
        <f t="shared" si="269"/>
        <v>Valid</v>
      </c>
      <c r="AQ1335" t="str">
        <f>IF(Audit_Data[[#This Row],[Z_CostContact]]=3,"Valid","Invalid")</f>
        <v>Valid</v>
      </c>
      <c r="AR1335" t="str">
        <f t="shared" si="270"/>
        <v>Valid</v>
      </c>
      <c r="AS1335" t="str">
        <f t="shared" si="271"/>
        <v>Valid</v>
      </c>
    </row>
    <row r="1336" spans="1:45" x14ac:dyDescent="0.3">
      <c r="A1336">
        <v>2535</v>
      </c>
      <c r="B1336">
        <v>1978</v>
      </c>
      <c r="C1336" t="s">
        <v>34</v>
      </c>
      <c r="D1336" t="s">
        <v>33</v>
      </c>
      <c r="E1336">
        <v>88097</v>
      </c>
      <c r="F1336">
        <v>1</v>
      </c>
      <c r="G1336">
        <v>0</v>
      </c>
      <c r="H1336" s="1">
        <v>41139</v>
      </c>
      <c r="I1336">
        <v>24</v>
      </c>
      <c r="J1336">
        <v>163</v>
      </c>
      <c r="K1336">
        <v>0</v>
      </c>
      <c r="L1336">
        <v>480</v>
      </c>
      <c r="M1336">
        <v>0</v>
      </c>
      <c r="N1336">
        <v>126</v>
      </c>
      <c r="O1336">
        <v>75</v>
      </c>
      <c r="P1336">
        <v>1</v>
      </c>
      <c r="Q1336">
        <v>6</v>
      </c>
      <c r="R1336">
        <v>5</v>
      </c>
      <c r="S1336">
        <v>8</v>
      </c>
      <c r="T1336">
        <v>9</v>
      </c>
      <c r="U1336">
        <v>0</v>
      </c>
      <c r="V1336">
        <v>1</v>
      </c>
      <c r="W1336">
        <v>1</v>
      </c>
      <c r="X1336">
        <v>1</v>
      </c>
      <c r="Y1336">
        <v>0</v>
      </c>
      <c r="Z1336">
        <v>0</v>
      </c>
      <c r="AA1336">
        <v>3</v>
      </c>
      <c r="AB1336">
        <v>11</v>
      </c>
      <c r="AC1336">
        <v>1</v>
      </c>
      <c r="AD1336" t="str">
        <f t="shared" si="260"/>
        <v>Ok</v>
      </c>
      <c r="AE1336" t="str">
        <f>IF(AND(Audit_Data[[#This Row],[Year_Birth]]&gt;=1900,Audit_Data[[#This Row],[Year_Birth]]&lt;=2010),"OK","Invalid")</f>
        <v>OK</v>
      </c>
      <c r="AF1336" t="str">
        <f t="shared" si="261"/>
        <v>Valid</v>
      </c>
      <c r="AG1336" t="str">
        <f t="shared" si="262"/>
        <v>Valid</v>
      </c>
      <c r="AH1336" t="str">
        <f t="shared" si="263"/>
        <v>Valid</v>
      </c>
      <c r="AI1336" t="str">
        <f t="shared" si="264"/>
        <v>Valid</v>
      </c>
      <c r="AJ1336" t="str">
        <f t="shared" si="265"/>
        <v>Valid</v>
      </c>
      <c r="AK1336" t="str">
        <f t="shared" si="272"/>
        <v xml:space="preserve">Valid </v>
      </c>
      <c r="AL1336" t="str">
        <f>IF(AND(Audit_Data[[#This Row],[Recency]]&gt;=0,Audit_Data[[#This Row],[Recency]]&lt;=100),"Valid","Invalid")</f>
        <v>Valid</v>
      </c>
      <c r="AM1336" t="str">
        <f t="shared" si="266"/>
        <v>Valid</v>
      </c>
      <c r="AN1336" t="str">
        <f t="shared" si="267"/>
        <v>Valid</v>
      </c>
      <c r="AO1336" t="str">
        <f t="shared" si="268"/>
        <v>Valid</v>
      </c>
      <c r="AP1336" t="str">
        <f t="shared" si="269"/>
        <v>Valid</v>
      </c>
      <c r="AQ1336" t="str">
        <f>IF(Audit_Data[[#This Row],[Z_CostContact]]=3,"Valid","Invalid")</f>
        <v>Valid</v>
      </c>
      <c r="AR1336" t="str">
        <f t="shared" si="270"/>
        <v>Valid</v>
      </c>
      <c r="AS1336" t="str">
        <f t="shared" si="271"/>
        <v>Valid</v>
      </c>
    </row>
    <row r="1337" spans="1:45" x14ac:dyDescent="0.3">
      <c r="A1337">
        <v>11039</v>
      </c>
      <c r="B1337">
        <v>1975</v>
      </c>
      <c r="C1337" t="s">
        <v>29</v>
      </c>
      <c r="D1337" t="s">
        <v>33</v>
      </c>
      <c r="E1337">
        <v>51948</v>
      </c>
      <c r="F1337">
        <v>0</v>
      </c>
      <c r="G1337">
        <v>1</v>
      </c>
      <c r="H1337" s="1">
        <v>41534</v>
      </c>
      <c r="I1337">
        <v>51</v>
      </c>
      <c r="J1337">
        <v>82</v>
      </c>
      <c r="K1337">
        <v>33</v>
      </c>
      <c r="L1337">
        <v>54</v>
      </c>
      <c r="M1337">
        <v>71</v>
      </c>
      <c r="N1337">
        <v>30</v>
      </c>
      <c r="O1337">
        <v>41</v>
      </c>
      <c r="P1337">
        <v>2</v>
      </c>
      <c r="Q1337">
        <v>5</v>
      </c>
      <c r="R1337">
        <v>2</v>
      </c>
      <c r="S1337">
        <v>4</v>
      </c>
      <c r="T1337">
        <v>5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3</v>
      </c>
      <c r="AB1337">
        <v>11</v>
      </c>
      <c r="AC1337">
        <v>0</v>
      </c>
      <c r="AD1337" t="str">
        <f t="shared" si="260"/>
        <v>Ok</v>
      </c>
      <c r="AE1337" t="str">
        <f>IF(AND(Audit_Data[[#This Row],[Year_Birth]]&gt;=1900,Audit_Data[[#This Row],[Year_Birth]]&lt;=2010),"OK","Invalid")</f>
        <v>OK</v>
      </c>
      <c r="AF1337" t="str">
        <f t="shared" si="261"/>
        <v>Valid</v>
      </c>
      <c r="AG1337" t="str">
        <f t="shared" si="262"/>
        <v>Valid</v>
      </c>
      <c r="AH1337" t="str">
        <f t="shared" si="263"/>
        <v>Valid</v>
      </c>
      <c r="AI1337" t="str">
        <f t="shared" si="264"/>
        <v>Valid</v>
      </c>
      <c r="AJ1337" t="str">
        <f t="shared" si="265"/>
        <v>Valid</v>
      </c>
      <c r="AK1337" t="str">
        <f t="shared" si="272"/>
        <v xml:space="preserve">Valid </v>
      </c>
      <c r="AL1337" t="str">
        <f>IF(AND(Audit_Data[[#This Row],[Recency]]&gt;=0,Audit_Data[[#This Row],[Recency]]&lt;=100),"Valid","Invalid")</f>
        <v>Valid</v>
      </c>
      <c r="AM1337" t="str">
        <f t="shared" si="266"/>
        <v>Valid</v>
      </c>
      <c r="AN1337" t="str">
        <f t="shared" si="267"/>
        <v>Valid</v>
      </c>
      <c r="AO1337" t="str">
        <f t="shared" si="268"/>
        <v>Valid</v>
      </c>
      <c r="AP1337" t="str">
        <f t="shared" si="269"/>
        <v>Valid</v>
      </c>
      <c r="AQ1337" t="str">
        <f>IF(Audit_Data[[#This Row],[Z_CostContact]]=3,"Valid","Invalid")</f>
        <v>Valid</v>
      </c>
      <c r="AR1337" t="str">
        <f t="shared" si="270"/>
        <v>Valid</v>
      </c>
      <c r="AS1337" t="str">
        <f t="shared" si="271"/>
        <v>Valid</v>
      </c>
    </row>
    <row r="1338" spans="1:45" x14ac:dyDescent="0.3">
      <c r="A1338">
        <v>9495</v>
      </c>
      <c r="B1338">
        <v>1982</v>
      </c>
      <c r="C1338" t="s">
        <v>29</v>
      </c>
      <c r="D1338" t="s">
        <v>31</v>
      </c>
      <c r="E1338">
        <v>71853</v>
      </c>
      <c r="F1338">
        <v>0</v>
      </c>
      <c r="G1338">
        <v>0</v>
      </c>
      <c r="H1338" s="1">
        <v>41402</v>
      </c>
      <c r="I1338">
        <v>29</v>
      </c>
      <c r="J1338">
        <v>358</v>
      </c>
      <c r="K1338">
        <v>108</v>
      </c>
      <c r="L1338">
        <v>413</v>
      </c>
      <c r="M1338">
        <v>141</v>
      </c>
      <c r="N1338">
        <v>97</v>
      </c>
      <c r="O1338">
        <v>32</v>
      </c>
      <c r="P1338">
        <v>1</v>
      </c>
      <c r="Q1338">
        <v>2</v>
      </c>
      <c r="R1338">
        <v>8</v>
      </c>
      <c r="S1338">
        <v>6</v>
      </c>
      <c r="T1338">
        <v>1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3</v>
      </c>
      <c r="AB1338">
        <v>11</v>
      </c>
      <c r="AC1338">
        <v>0</v>
      </c>
      <c r="AD1338" t="str">
        <f t="shared" si="260"/>
        <v>Ok</v>
      </c>
      <c r="AE1338" t="str">
        <f>IF(AND(Audit_Data[[#This Row],[Year_Birth]]&gt;=1900,Audit_Data[[#This Row],[Year_Birth]]&lt;=2010),"OK","Invalid")</f>
        <v>OK</v>
      </c>
      <c r="AF1338" t="str">
        <f t="shared" si="261"/>
        <v>Valid</v>
      </c>
      <c r="AG1338" t="str">
        <f t="shared" si="262"/>
        <v>Valid</v>
      </c>
      <c r="AH1338" t="str">
        <f t="shared" si="263"/>
        <v>Valid</v>
      </c>
      <c r="AI1338" t="str">
        <f t="shared" si="264"/>
        <v>Valid</v>
      </c>
      <c r="AJ1338" t="str">
        <f t="shared" si="265"/>
        <v>Valid</v>
      </c>
      <c r="AK1338" t="str">
        <f t="shared" si="272"/>
        <v xml:space="preserve">Valid </v>
      </c>
      <c r="AL1338" t="str">
        <f>IF(AND(Audit_Data[[#This Row],[Recency]]&gt;=0,Audit_Data[[#This Row],[Recency]]&lt;=100),"Valid","Invalid")</f>
        <v>Valid</v>
      </c>
      <c r="AM1338" t="str">
        <f t="shared" si="266"/>
        <v>Valid</v>
      </c>
      <c r="AN1338" t="str">
        <f t="shared" si="267"/>
        <v>Valid</v>
      </c>
      <c r="AO1338" t="str">
        <f t="shared" si="268"/>
        <v>Valid</v>
      </c>
      <c r="AP1338" t="str">
        <f t="shared" si="269"/>
        <v>Valid</v>
      </c>
      <c r="AQ1338" t="str">
        <f>IF(Audit_Data[[#This Row],[Z_CostContact]]=3,"Valid","Invalid")</f>
        <v>Valid</v>
      </c>
      <c r="AR1338" t="str">
        <f t="shared" si="270"/>
        <v>Valid</v>
      </c>
      <c r="AS1338" t="str">
        <f t="shared" si="271"/>
        <v>Valid</v>
      </c>
    </row>
    <row r="1339" spans="1:45" x14ac:dyDescent="0.3">
      <c r="A1339">
        <v>9635</v>
      </c>
      <c r="B1339">
        <v>1983</v>
      </c>
      <c r="C1339" t="s">
        <v>34</v>
      </c>
      <c r="D1339" t="s">
        <v>33</v>
      </c>
      <c r="E1339">
        <v>35876</v>
      </c>
      <c r="F1339">
        <v>0</v>
      </c>
      <c r="G1339">
        <v>0</v>
      </c>
      <c r="H1339" s="1">
        <v>41749</v>
      </c>
      <c r="I1339">
        <v>13</v>
      </c>
      <c r="J1339">
        <v>66</v>
      </c>
      <c r="K1339">
        <v>2</v>
      </c>
      <c r="L1339">
        <v>40</v>
      </c>
      <c r="M1339">
        <v>4</v>
      </c>
      <c r="N1339">
        <v>3</v>
      </c>
      <c r="O1339">
        <v>14</v>
      </c>
      <c r="P1339">
        <v>1</v>
      </c>
      <c r="Q1339">
        <v>3</v>
      </c>
      <c r="R1339">
        <v>1</v>
      </c>
      <c r="S1339">
        <v>3</v>
      </c>
      <c r="T1339">
        <v>6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3</v>
      </c>
      <c r="AB1339">
        <v>11</v>
      </c>
      <c r="AC1339">
        <v>0</v>
      </c>
      <c r="AD1339" t="str">
        <f t="shared" si="260"/>
        <v>Ok</v>
      </c>
      <c r="AE1339" t="str">
        <f>IF(AND(Audit_Data[[#This Row],[Year_Birth]]&gt;=1900,Audit_Data[[#This Row],[Year_Birth]]&lt;=2010),"OK","Invalid")</f>
        <v>OK</v>
      </c>
      <c r="AF1339" t="str">
        <f t="shared" si="261"/>
        <v>Valid</v>
      </c>
      <c r="AG1339" t="str">
        <f t="shared" si="262"/>
        <v>Valid</v>
      </c>
      <c r="AH1339" t="str">
        <f t="shared" si="263"/>
        <v>Valid</v>
      </c>
      <c r="AI1339" t="str">
        <f t="shared" si="264"/>
        <v>Valid</v>
      </c>
      <c r="AJ1339" t="str">
        <f t="shared" si="265"/>
        <v>Valid</v>
      </c>
      <c r="AK1339" t="str">
        <f t="shared" si="272"/>
        <v xml:space="preserve">Valid </v>
      </c>
      <c r="AL1339" t="str">
        <f>IF(AND(Audit_Data[[#This Row],[Recency]]&gt;=0,Audit_Data[[#This Row],[Recency]]&lt;=100),"Valid","Invalid")</f>
        <v>Valid</v>
      </c>
      <c r="AM1339" t="str">
        <f t="shared" si="266"/>
        <v>Valid</v>
      </c>
      <c r="AN1339" t="str">
        <f t="shared" si="267"/>
        <v>Valid</v>
      </c>
      <c r="AO1339" t="str">
        <f t="shared" si="268"/>
        <v>Valid</v>
      </c>
      <c r="AP1339" t="str">
        <f t="shared" si="269"/>
        <v>Valid</v>
      </c>
      <c r="AQ1339" t="str">
        <f>IF(Audit_Data[[#This Row],[Z_CostContact]]=3,"Valid","Invalid")</f>
        <v>Valid</v>
      </c>
      <c r="AR1339" t="str">
        <f t="shared" si="270"/>
        <v>Valid</v>
      </c>
      <c r="AS1339" t="str">
        <f t="shared" si="271"/>
        <v>Valid</v>
      </c>
    </row>
    <row r="1340" spans="1:45" x14ac:dyDescent="0.3">
      <c r="A1340">
        <v>2173</v>
      </c>
      <c r="B1340">
        <v>1952</v>
      </c>
      <c r="C1340" t="s">
        <v>29</v>
      </c>
      <c r="D1340" t="s">
        <v>38</v>
      </c>
      <c r="E1340">
        <v>40049</v>
      </c>
      <c r="F1340">
        <v>0</v>
      </c>
      <c r="G1340">
        <v>1</v>
      </c>
      <c r="H1340" s="1">
        <v>41563</v>
      </c>
      <c r="I1340">
        <v>23</v>
      </c>
      <c r="J1340">
        <v>13</v>
      </c>
      <c r="K1340">
        <v>6</v>
      </c>
      <c r="L1340">
        <v>7</v>
      </c>
      <c r="M1340">
        <v>0</v>
      </c>
      <c r="N1340">
        <v>3</v>
      </c>
      <c r="O1340">
        <v>3</v>
      </c>
      <c r="P1340">
        <v>1</v>
      </c>
      <c r="Q1340">
        <v>1</v>
      </c>
      <c r="R1340">
        <v>0</v>
      </c>
      <c r="S1340">
        <v>3</v>
      </c>
      <c r="T1340">
        <v>6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3</v>
      </c>
      <c r="AB1340">
        <v>11</v>
      </c>
      <c r="AC1340">
        <v>0</v>
      </c>
      <c r="AD1340" t="str">
        <f t="shared" si="260"/>
        <v>Ok</v>
      </c>
      <c r="AE1340" t="str">
        <f>IF(AND(Audit_Data[[#This Row],[Year_Birth]]&gt;=1900,Audit_Data[[#This Row],[Year_Birth]]&lt;=2010),"OK","Invalid")</f>
        <v>OK</v>
      </c>
      <c r="AF1340" t="str">
        <f t="shared" si="261"/>
        <v>Valid</v>
      </c>
      <c r="AG1340" t="str">
        <f t="shared" si="262"/>
        <v>Valid</v>
      </c>
      <c r="AH1340" t="str">
        <f t="shared" si="263"/>
        <v>Valid</v>
      </c>
      <c r="AI1340" t="str">
        <f t="shared" si="264"/>
        <v>Valid</v>
      </c>
      <c r="AJ1340" t="str">
        <f t="shared" si="265"/>
        <v>Valid</v>
      </c>
      <c r="AK1340" t="str">
        <f t="shared" si="272"/>
        <v xml:space="preserve">Valid </v>
      </c>
      <c r="AL1340" t="str">
        <f>IF(AND(Audit_Data[[#This Row],[Recency]]&gt;=0,Audit_Data[[#This Row],[Recency]]&lt;=100),"Valid","Invalid")</f>
        <v>Valid</v>
      </c>
      <c r="AM1340" t="str">
        <f t="shared" si="266"/>
        <v>Valid</v>
      </c>
      <c r="AN1340" t="str">
        <f t="shared" si="267"/>
        <v>Valid</v>
      </c>
      <c r="AO1340" t="str">
        <f t="shared" si="268"/>
        <v>Valid</v>
      </c>
      <c r="AP1340" t="str">
        <f t="shared" si="269"/>
        <v>Valid</v>
      </c>
      <c r="AQ1340" t="str">
        <f>IF(Audit_Data[[#This Row],[Z_CostContact]]=3,"Valid","Invalid")</f>
        <v>Valid</v>
      </c>
      <c r="AR1340" t="str">
        <f t="shared" si="270"/>
        <v>Valid</v>
      </c>
      <c r="AS1340" t="str">
        <f t="shared" si="271"/>
        <v>Valid</v>
      </c>
    </row>
    <row r="1341" spans="1:45" x14ac:dyDescent="0.3">
      <c r="A1341">
        <v>942</v>
      </c>
      <c r="B1341">
        <v>1982</v>
      </c>
      <c r="C1341" t="s">
        <v>29</v>
      </c>
      <c r="D1341" t="s">
        <v>30</v>
      </c>
      <c r="E1341">
        <v>39660</v>
      </c>
      <c r="F1341">
        <v>1</v>
      </c>
      <c r="G1341">
        <v>0</v>
      </c>
      <c r="H1341" s="1">
        <v>41129</v>
      </c>
      <c r="I1341">
        <v>36</v>
      </c>
      <c r="J1341">
        <v>139</v>
      </c>
      <c r="K1341">
        <v>13</v>
      </c>
      <c r="L1341">
        <v>78</v>
      </c>
      <c r="M1341">
        <v>20</v>
      </c>
      <c r="N1341">
        <v>13</v>
      </c>
      <c r="O1341">
        <v>36</v>
      </c>
      <c r="P1341">
        <v>3</v>
      </c>
      <c r="Q1341">
        <v>7</v>
      </c>
      <c r="R1341">
        <v>1</v>
      </c>
      <c r="S1341">
        <v>3</v>
      </c>
      <c r="T1341">
        <v>9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3</v>
      </c>
      <c r="AB1341">
        <v>11</v>
      </c>
      <c r="AC1341">
        <v>1</v>
      </c>
      <c r="AD1341" t="str">
        <f t="shared" si="260"/>
        <v>Ok</v>
      </c>
      <c r="AE1341" t="str">
        <f>IF(AND(Audit_Data[[#This Row],[Year_Birth]]&gt;=1900,Audit_Data[[#This Row],[Year_Birth]]&lt;=2010),"OK","Invalid")</f>
        <v>OK</v>
      </c>
      <c r="AF1341" t="str">
        <f t="shared" si="261"/>
        <v>Valid</v>
      </c>
      <c r="AG1341" t="str">
        <f t="shared" si="262"/>
        <v>Valid</v>
      </c>
      <c r="AH1341" t="str">
        <f t="shared" si="263"/>
        <v>Valid</v>
      </c>
      <c r="AI1341" t="str">
        <f t="shared" si="264"/>
        <v>Valid</v>
      </c>
      <c r="AJ1341" t="str">
        <f t="shared" si="265"/>
        <v>Valid</v>
      </c>
      <c r="AK1341" t="str">
        <f t="shared" si="272"/>
        <v xml:space="preserve">Valid </v>
      </c>
      <c r="AL1341" t="str">
        <f>IF(AND(Audit_Data[[#This Row],[Recency]]&gt;=0,Audit_Data[[#This Row],[Recency]]&lt;=100),"Valid","Invalid")</f>
        <v>Valid</v>
      </c>
      <c r="AM1341" t="str">
        <f t="shared" si="266"/>
        <v>Valid</v>
      </c>
      <c r="AN1341" t="str">
        <f t="shared" si="267"/>
        <v>Valid</v>
      </c>
      <c r="AO1341" t="str">
        <f t="shared" si="268"/>
        <v>Valid</v>
      </c>
      <c r="AP1341" t="str">
        <f t="shared" si="269"/>
        <v>Valid</v>
      </c>
      <c r="AQ1341" t="str">
        <f>IF(Audit_Data[[#This Row],[Z_CostContact]]=3,"Valid","Invalid")</f>
        <v>Valid</v>
      </c>
      <c r="AR1341" t="str">
        <f t="shared" si="270"/>
        <v>Valid</v>
      </c>
      <c r="AS1341" t="str">
        <f t="shared" si="271"/>
        <v>Valid</v>
      </c>
    </row>
    <row r="1342" spans="1:45" x14ac:dyDescent="0.3">
      <c r="A1342">
        <v>9386</v>
      </c>
      <c r="B1342">
        <v>1962</v>
      </c>
      <c r="C1342" t="s">
        <v>29</v>
      </c>
      <c r="D1342" t="s">
        <v>31</v>
      </c>
      <c r="E1342">
        <v>50127</v>
      </c>
      <c r="F1342">
        <v>0</v>
      </c>
      <c r="G1342">
        <v>1</v>
      </c>
      <c r="H1342" s="1">
        <v>41788</v>
      </c>
      <c r="I1342">
        <v>88</v>
      </c>
      <c r="J1342">
        <v>274</v>
      </c>
      <c r="K1342">
        <v>0</v>
      </c>
      <c r="L1342">
        <v>21</v>
      </c>
      <c r="M1342">
        <v>4</v>
      </c>
      <c r="N1342">
        <v>6</v>
      </c>
      <c r="O1342">
        <v>15</v>
      </c>
      <c r="P1342">
        <v>1</v>
      </c>
      <c r="Q1342">
        <v>5</v>
      </c>
      <c r="R1342">
        <v>1</v>
      </c>
      <c r="S1342">
        <v>6</v>
      </c>
      <c r="T1342">
        <v>6</v>
      </c>
      <c r="U1342">
        <v>0</v>
      </c>
      <c r="V1342">
        <v>1</v>
      </c>
      <c r="W1342">
        <v>0</v>
      </c>
      <c r="X1342">
        <v>0</v>
      </c>
      <c r="Y1342">
        <v>0</v>
      </c>
      <c r="Z1342">
        <v>0</v>
      </c>
      <c r="AA1342">
        <v>3</v>
      </c>
      <c r="AB1342">
        <v>11</v>
      </c>
      <c r="AC1342">
        <v>0</v>
      </c>
      <c r="AD1342" t="str">
        <f t="shared" si="260"/>
        <v>Ok</v>
      </c>
      <c r="AE1342" t="str">
        <f>IF(AND(Audit_Data[[#This Row],[Year_Birth]]&gt;=1900,Audit_Data[[#This Row],[Year_Birth]]&lt;=2010),"OK","Invalid")</f>
        <v>OK</v>
      </c>
      <c r="AF1342" t="str">
        <f t="shared" si="261"/>
        <v>Valid</v>
      </c>
      <c r="AG1342" t="str">
        <f t="shared" si="262"/>
        <v>Valid</v>
      </c>
      <c r="AH1342" t="str">
        <f t="shared" si="263"/>
        <v>Valid</v>
      </c>
      <c r="AI1342" t="str">
        <f t="shared" si="264"/>
        <v>Valid</v>
      </c>
      <c r="AJ1342" t="str">
        <f t="shared" si="265"/>
        <v>Valid</v>
      </c>
      <c r="AK1342" t="str">
        <f t="shared" si="272"/>
        <v xml:space="preserve">Valid </v>
      </c>
      <c r="AL1342" t="str">
        <f>IF(AND(Audit_Data[[#This Row],[Recency]]&gt;=0,Audit_Data[[#This Row],[Recency]]&lt;=100),"Valid","Invalid")</f>
        <v>Valid</v>
      </c>
      <c r="AM1342" t="str">
        <f t="shared" si="266"/>
        <v>Valid</v>
      </c>
      <c r="AN1342" t="str">
        <f t="shared" si="267"/>
        <v>Valid</v>
      </c>
      <c r="AO1342" t="str">
        <f t="shared" si="268"/>
        <v>Valid</v>
      </c>
      <c r="AP1342" t="str">
        <f t="shared" si="269"/>
        <v>Valid</v>
      </c>
      <c r="AQ1342" t="str">
        <f>IF(Audit_Data[[#This Row],[Z_CostContact]]=3,"Valid","Invalid")</f>
        <v>Valid</v>
      </c>
      <c r="AR1342" t="str">
        <f t="shared" si="270"/>
        <v>Valid</v>
      </c>
      <c r="AS1342" t="str">
        <f t="shared" si="271"/>
        <v>Valid</v>
      </c>
    </row>
    <row r="1343" spans="1:45" x14ac:dyDescent="0.3">
      <c r="A1343">
        <v>5510</v>
      </c>
      <c r="B1343">
        <v>1977</v>
      </c>
      <c r="C1343" t="s">
        <v>34</v>
      </c>
      <c r="D1343" t="s">
        <v>33</v>
      </c>
      <c r="E1343">
        <v>43263</v>
      </c>
      <c r="F1343">
        <v>0</v>
      </c>
      <c r="G1343">
        <v>1</v>
      </c>
      <c r="H1343" s="1">
        <v>41234</v>
      </c>
      <c r="I1343">
        <v>2</v>
      </c>
      <c r="J1343">
        <v>262</v>
      </c>
      <c r="K1343">
        <v>6</v>
      </c>
      <c r="L1343">
        <v>61</v>
      </c>
      <c r="M1343">
        <v>0</v>
      </c>
      <c r="N1343">
        <v>10</v>
      </c>
      <c r="O1343">
        <v>102</v>
      </c>
      <c r="P1343">
        <v>3</v>
      </c>
      <c r="Q1343">
        <v>5</v>
      </c>
      <c r="R1343">
        <v>2</v>
      </c>
      <c r="S1343">
        <v>6</v>
      </c>
      <c r="T1343">
        <v>5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3</v>
      </c>
      <c r="AB1343">
        <v>11</v>
      </c>
      <c r="AC1343">
        <v>0</v>
      </c>
      <c r="AD1343" t="str">
        <f t="shared" si="260"/>
        <v>Ok</v>
      </c>
      <c r="AE1343" t="str">
        <f>IF(AND(Audit_Data[[#This Row],[Year_Birth]]&gt;=1900,Audit_Data[[#This Row],[Year_Birth]]&lt;=2010),"OK","Invalid")</f>
        <v>OK</v>
      </c>
      <c r="AF1343" t="str">
        <f t="shared" si="261"/>
        <v>Valid</v>
      </c>
      <c r="AG1343" t="str">
        <f t="shared" si="262"/>
        <v>Valid</v>
      </c>
      <c r="AH1343" t="str">
        <f t="shared" si="263"/>
        <v>Valid</v>
      </c>
      <c r="AI1343" t="str">
        <f t="shared" si="264"/>
        <v>Valid</v>
      </c>
      <c r="AJ1343" t="str">
        <f t="shared" si="265"/>
        <v>Valid</v>
      </c>
      <c r="AK1343" t="str">
        <f t="shared" si="272"/>
        <v xml:space="preserve">Valid </v>
      </c>
      <c r="AL1343" t="str">
        <f>IF(AND(Audit_Data[[#This Row],[Recency]]&gt;=0,Audit_Data[[#This Row],[Recency]]&lt;=100),"Valid","Invalid")</f>
        <v>Valid</v>
      </c>
      <c r="AM1343" t="str">
        <f t="shared" si="266"/>
        <v>Valid</v>
      </c>
      <c r="AN1343" t="str">
        <f t="shared" si="267"/>
        <v>Valid</v>
      </c>
      <c r="AO1343" t="str">
        <f t="shared" si="268"/>
        <v>Valid</v>
      </c>
      <c r="AP1343" t="str">
        <f t="shared" si="269"/>
        <v>Valid</v>
      </c>
      <c r="AQ1343" t="str">
        <f>IF(Audit_Data[[#This Row],[Z_CostContact]]=3,"Valid","Invalid")</f>
        <v>Valid</v>
      </c>
      <c r="AR1343" t="str">
        <f t="shared" si="270"/>
        <v>Valid</v>
      </c>
      <c r="AS1343" t="str">
        <f t="shared" si="271"/>
        <v>Valid</v>
      </c>
    </row>
    <row r="1344" spans="1:45" x14ac:dyDescent="0.3">
      <c r="A1344">
        <v>873</v>
      </c>
      <c r="B1344">
        <v>1949</v>
      </c>
      <c r="C1344" t="s">
        <v>34</v>
      </c>
      <c r="D1344" t="s">
        <v>33</v>
      </c>
      <c r="E1344">
        <v>62845</v>
      </c>
      <c r="F1344">
        <v>1</v>
      </c>
      <c r="G1344">
        <v>1</v>
      </c>
      <c r="H1344" s="1">
        <v>41183</v>
      </c>
      <c r="I1344">
        <v>3</v>
      </c>
      <c r="J1344">
        <v>1099</v>
      </c>
      <c r="K1344">
        <v>0</v>
      </c>
      <c r="L1344">
        <v>45</v>
      </c>
      <c r="M1344">
        <v>0</v>
      </c>
      <c r="N1344">
        <v>0</v>
      </c>
      <c r="O1344">
        <v>34</v>
      </c>
      <c r="P1344">
        <v>11</v>
      </c>
      <c r="Q1344">
        <v>3</v>
      </c>
      <c r="R1344">
        <v>4</v>
      </c>
      <c r="S1344">
        <v>10</v>
      </c>
      <c r="T1344">
        <v>8</v>
      </c>
      <c r="U1344">
        <v>0</v>
      </c>
      <c r="V1344">
        <v>1</v>
      </c>
      <c r="W1344">
        <v>0</v>
      </c>
      <c r="X1344">
        <v>0</v>
      </c>
      <c r="Y1344">
        <v>0</v>
      </c>
      <c r="Z1344">
        <v>0</v>
      </c>
      <c r="AA1344">
        <v>3</v>
      </c>
      <c r="AB1344">
        <v>11</v>
      </c>
      <c r="AC1344">
        <v>1</v>
      </c>
      <c r="AD1344" t="str">
        <f t="shared" si="260"/>
        <v>Ok</v>
      </c>
      <c r="AE1344" t="str">
        <f>IF(AND(Audit_Data[[#This Row],[Year_Birth]]&gt;=1900,Audit_Data[[#This Row],[Year_Birth]]&lt;=2010),"OK","Invalid")</f>
        <v>OK</v>
      </c>
      <c r="AF1344" t="str">
        <f t="shared" si="261"/>
        <v>Valid</v>
      </c>
      <c r="AG1344" t="str">
        <f t="shared" si="262"/>
        <v>Valid</v>
      </c>
      <c r="AH1344" t="str">
        <f t="shared" si="263"/>
        <v>Valid</v>
      </c>
      <c r="AI1344" t="str">
        <f t="shared" si="264"/>
        <v>Valid</v>
      </c>
      <c r="AJ1344" t="str">
        <f t="shared" si="265"/>
        <v>Valid</v>
      </c>
      <c r="AK1344" t="str">
        <f t="shared" si="272"/>
        <v xml:space="preserve">Valid </v>
      </c>
      <c r="AL1344" t="str">
        <f>IF(AND(Audit_Data[[#This Row],[Recency]]&gt;=0,Audit_Data[[#This Row],[Recency]]&lt;=100),"Valid","Invalid")</f>
        <v>Valid</v>
      </c>
      <c r="AM1344" t="str">
        <f t="shared" si="266"/>
        <v>Valid</v>
      </c>
      <c r="AN1344" t="str">
        <f t="shared" si="267"/>
        <v>Valid</v>
      </c>
      <c r="AO1344" t="str">
        <f t="shared" si="268"/>
        <v>Valid</v>
      </c>
      <c r="AP1344" t="str">
        <f t="shared" si="269"/>
        <v>Valid</v>
      </c>
      <c r="AQ1344" t="str">
        <f>IF(Audit_Data[[#This Row],[Z_CostContact]]=3,"Valid","Invalid")</f>
        <v>Valid</v>
      </c>
      <c r="AR1344" t="str">
        <f t="shared" si="270"/>
        <v>Valid</v>
      </c>
      <c r="AS1344" t="str">
        <f t="shared" si="271"/>
        <v>Valid</v>
      </c>
    </row>
    <row r="1345" spans="1:45" x14ac:dyDescent="0.3">
      <c r="A1345">
        <v>2253</v>
      </c>
      <c r="B1345">
        <v>1990</v>
      </c>
      <c r="C1345" t="s">
        <v>29</v>
      </c>
      <c r="D1345" t="s">
        <v>33</v>
      </c>
      <c r="E1345">
        <v>18929</v>
      </c>
      <c r="F1345">
        <v>0</v>
      </c>
      <c r="G1345">
        <v>0</v>
      </c>
      <c r="H1345" s="1">
        <v>41321</v>
      </c>
      <c r="I1345">
        <v>15</v>
      </c>
      <c r="J1345">
        <v>32</v>
      </c>
      <c r="K1345">
        <v>0</v>
      </c>
      <c r="L1345">
        <v>8</v>
      </c>
      <c r="M1345">
        <v>23</v>
      </c>
      <c r="N1345">
        <v>4</v>
      </c>
      <c r="O1345">
        <v>18</v>
      </c>
      <c r="P1345">
        <v>1</v>
      </c>
      <c r="Q1345">
        <v>1</v>
      </c>
      <c r="R1345">
        <v>0</v>
      </c>
      <c r="S1345">
        <v>4</v>
      </c>
      <c r="T1345">
        <v>6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3</v>
      </c>
      <c r="AB1345">
        <v>11</v>
      </c>
      <c r="AC1345">
        <v>0</v>
      </c>
      <c r="AD1345" t="str">
        <f t="shared" si="260"/>
        <v>Ok</v>
      </c>
      <c r="AE1345" t="str">
        <f>IF(AND(Audit_Data[[#This Row],[Year_Birth]]&gt;=1900,Audit_Data[[#This Row],[Year_Birth]]&lt;=2010),"OK","Invalid")</f>
        <v>OK</v>
      </c>
      <c r="AF1345" t="str">
        <f t="shared" si="261"/>
        <v>Valid</v>
      </c>
      <c r="AG1345" t="str">
        <f t="shared" si="262"/>
        <v>Valid</v>
      </c>
      <c r="AH1345" t="str">
        <f t="shared" si="263"/>
        <v>Valid</v>
      </c>
      <c r="AI1345" t="str">
        <f t="shared" si="264"/>
        <v>Valid</v>
      </c>
      <c r="AJ1345" t="str">
        <f t="shared" si="265"/>
        <v>Valid</v>
      </c>
      <c r="AK1345" t="str">
        <f t="shared" si="272"/>
        <v xml:space="preserve">Valid </v>
      </c>
      <c r="AL1345" t="str">
        <f>IF(AND(Audit_Data[[#This Row],[Recency]]&gt;=0,Audit_Data[[#This Row],[Recency]]&lt;=100),"Valid","Invalid")</f>
        <v>Valid</v>
      </c>
      <c r="AM1345" t="str">
        <f t="shared" si="266"/>
        <v>Valid</v>
      </c>
      <c r="AN1345" t="str">
        <f t="shared" si="267"/>
        <v>Valid</v>
      </c>
      <c r="AO1345" t="str">
        <f t="shared" si="268"/>
        <v>Valid</v>
      </c>
      <c r="AP1345" t="str">
        <f t="shared" si="269"/>
        <v>Valid</v>
      </c>
      <c r="AQ1345" t="str">
        <f>IF(Audit_Data[[#This Row],[Z_CostContact]]=3,"Valid","Invalid")</f>
        <v>Valid</v>
      </c>
      <c r="AR1345" t="str">
        <f t="shared" si="270"/>
        <v>Valid</v>
      </c>
      <c r="AS1345" t="str">
        <f t="shared" si="271"/>
        <v>Valid</v>
      </c>
    </row>
    <row r="1346" spans="1:45" x14ac:dyDescent="0.3">
      <c r="A1346">
        <v>5181</v>
      </c>
      <c r="B1346">
        <v>1982</v>
      </c>
      <c r="C1346" t="s">
        <v>36</v>
      </c>
      <c r="D1346" t="s">
        <v>30</v>
      </c>
      <c r="E1346">
        <v>24367</v>
      </c>
      <c r="F1346">
        <v>1</v>
      </c>
      <c r="G1346">
        <v>0</v>
      </c>
      <c r="H1346" s="1">
        <v>41353</v>
      </c>
      <c r="I1346">
        <v>58</v>
      </c>
      <c r="J1346">
        <v>2</v>
      </c>
      <c r="K1346">
        <v>4</v>
      </c>
      <c r="L1346">
        <v>2</v>
      </c>
      <c r="M1346">
        <v>0</v>
      </c>
      <c r="N1346">
        <v>11</v>
      </c>
      <c r="O1346">
        <v>5</v>
      </c>
      <c r="P1346">
        <v>1</v>
      </c>
      <c r="Q1346">
        <v>1</v>
      </c>
      <c r="R1346">
        <v>0</v>
      </c>
      <c r="S1346">
        <v>2</v>
      </c>
      <c r="T1346">
        <v>9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3</v>
      </c>
      <c r="AB1346">
        <v>11</v>
      </c>
      <c r="AC1346">
        <v>0</v>
      </c>
      <c r="AD1346" t="str">
        <f t="shared" ref="AD1346:AD1409" si="273">IF(COUNTIF(A:A,A1346)&gt;1,"Duplicate","Ok")</f>
        <v>Ok</v>
      </c>
      <c r="AE1346" t="str">
        <f>IF(AND(Audit_Data[[#This Row],[Year_Birth]]&gt;=1900,Audit_Data[[#This Row],[Year_Birth]]&lt;=2010),"OK","Invalid")</f>
        <v>OK</v>
      </c>
      <c r="AF1346" t="str">
        <f t="shared" ref="AF1346:AF1409" si="274">IF(OR(C1346="Graduation",C1346="phD",C1346="Master",C1346="Basic",C1346="2n Cycle"),"Valid","Invalid")</f>
        <v>Valid</v>
      </c>
      <c r="AG1346" t="str">
        <f t="shared" ref="AG1346:AG1409" si="275">IF(OR(D1346="Single",D1346="Married",D1346="Divorced",D1346="Together",D1346="Widow",D1346="Alone"),"Valid","Invalid")</f>
        <v>Valid</v>
      </c>
      <c r="AH1346" t="str">
        <f t="shared" ref="AH1346:AH1409" si="276">IF(AND(ISNUMBER(E1346),E1346&lt;&gt;""),"Valid","Invalid")</f>
        <v>Valid</v>
      </c>
      <c r="AI1346" t="str">
        <f t="shared" ref="AI1346:AI1409" si="277">IF(AND(F1346&gt;=0,F1346&lt;=2),"Valid","Invalid")</f>
        <v>Valid</v>
      </c>
      <c r="AJ1346" t="str">
        <f t="shared" ref="AJ1346:AJ1409" si="278">IF(AND(G1346&gt;=0,G1346&lt;=2),"Valid","Invalid")</f>
        <v>Valid</v>
      </c>
      <c r="AK1346" t="str">
        <f t="shared" si="272"/>
        <v xml:space="preserve">Valid </v>
      </c>
      <c r="AL1346" t="str">
        <f>IF(AND(Audit_Data[[#This Row],[Recency]]&gt;=0,Audit_Data[[#This Row],[Recency]]&lt;=100),"Valid","Invalid")</f>
        <v>Valid</v>
      </c>
      <c r="AM1346" t="str">
        <f t="shared" ref="AM1346:AM1409" si="279">IF(AND(ISNUMBER(J1346),J1346&gt;=0,ISNUMBER(K1346),K1346&gt;=0,ISNUMBER(L1346),L1346&gt;=0,ISNUMBER(M1346),M1346&gt;=0,ISNUMBER(N1346),N1346&gt;=0,ISNUMBER(O1346),O1346&gt;=0),"Valid","Invalid")</f>
        <v>Valid</v>
      </c>
      <c r="AN1346" t="str">
        <f t="shared" ref="AN1346:AN1409" si="280">IF(AND(ISNUMBER(P1346),P1346&gt;=0,ISNUMBER(Q1346),Q1346&gt;=0,ISNUMBER(R1346),R1346&gt;=0,ISNUMBER(S1346),S1346&gt;=0,ISNUMBER(T1346),T1346&gt;=0),"Valid","Invalid")</f>
        <v>Valid</v>
      </c>
      <c r="AO1346" t="str">
        <f t="shared" ref="AO1346:AO1409" si="281">IF(AND(U1346&lt;=1,V1346&lt;=1,W1346&lt;=1,X1346&lt;=1,Y1346&lt;=1),"Valid","Invalid")</f>
        <v>Valid</v>
      </c>
      <c r="AP1346" t="str">
        <f t="shared" ref="AP1346:AP1409" si="282">IF(OR(Z1346=0,Z1346=1),"Valid","Invalid")</f>
        <v>Valid</v>
      </c>
      <c r="AQ1346" t="str">
        <f>IF(Audit_Data[[#This Row],[Z_CostContact]]=3,"Valid","Invalid")</f>
        <v>Valid</v>
      </c>
      <c r="AR1346" t="str">
        <f t="shared" ref="AR1346:AR1409" si="283">IF(AB1346=11,"Valid","Invalid")</f>
        <v>Valid</v>
      </c>
      <c r="AS1346" t="str">
        <f t="shared" ref="AS1346:AS1409" si="284">IF(OR(AC1346=0,AC1346=1),"Valid","Invalid")</f>
        <v>Valid</v>
      </c>
    </row>
    <row r="1347" spans="1:45" x14ac:dyDescent="0.3">
      <c r="A1347">
        <v>979</v>
      </c>
      <c r="B1347">
        <v>1975</v>
      </c>
      <c r="C1347" t="s">
        <v>29</v>
      </c>
      <c r="D1347" t="s">
        <v>30</v>
      </c>
      <c r="E1347">
        <v>33249</v>
      </c>
      <c r="F1347">
        <v>1</v>
      </c>
      <c r="G1347">
        <v>0</v>
      </c>
      <c r="H1347" s="1">
        <v>41325</v>
      </c>
      <c r="I1347">
        <v>11</v>
      </c>
      <c r="J1347">
        <v>6</v>
      </c>
      <c r="K1347">
        <v>10</v>
      </c>
      <c r="L1347">
        <v>21</v>
      </c>
      <c r="M1347">
        <v>19</v>
      </c>
      <c r="N1347">
        <v>14</v>
      </c>
      <c r="O1347">
        <v>42</v>
      </c>
      <c r="P1347">
        <v>2</v>
      </c>
      <c r="Q1347">
        <v>2</v>
      </c>
      <c r="R1347">
        <v>1</v>
      </c>
      <c r="S1347">
        <v>3</v>
      </c>
      <c r="T1347">
        <v>6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3</v>
      </c>
      <c r="AB1347">
        <v>11</v>
      </c>
      <c r="AC1347">
        <v>0</v>
      </c>
      <c r="AD1347" t="str">
        <f t="shared" si="273"/>
        <v>Ok</v>
      </c>
      <c r="AE1347" t="str">
        <f>IF(AND(Audit_Data[[#This Row],[Year_Birth]]&gt;=1900,Audit_Data[[#This Row],[Year_Birth]]&lt;=2010),"OK","Invalid")</f>
        <v>OK</v>
      </c>
      <c r="AF1347" t="str">
        <f t="shared" si="274"/>
        <v>Valid</v>
      </c>
      <c r="AG1347" t="str">
        <f t="shared" si="275"/>
        <v>Valid</v>
      </c>
      <c r="AH1347" t="str">
        <f t="shared" si="276"/>
        <v>Valid</v>
      </c>
      <c r="AI1347" t="str">
        <f t="shared" si="277"/>
        <v>Valid</v>
      </c>
      <c r="AJ1347" t="str">
        <f t="shared" si="278"/>
        <v>Valid</v>
      </c>
      <c r="AK1347" t="str">
        <f t="shared" ref="AK1347:AK1410" si="285">IF(AND(ISNUMBER(H1347),H1347&gt;=DATE(2012,1,1),H1347&lt;=DATE(2014,12,31)),"Valid ","Invalid")</f>
        <v xml:space="preserve">Valid </v>
      </c>
      <c r="AL1347" t="str">
        <f>IF(AND(Audit_Data[[#This Row],[Recency]]&gt;=0,Audit_Data[[#This Row],[Recency]]&lt;=100),"Valid","Invalid")</f>
        <v>Valid</v>
      </c>
      <c r="AM1347" t="str">
        <f t="shared" si="279"/>
        <v>Valid</v>
      </c>
      <c r="AN1347" t="str">
        <f t="shared" si="280"/>
        <v>Valid</v>
      </c>
      <c r="AO1347" t="str">
        <f t="shared" si="281"/>
        <v>Valid</v>
      </c>
      <c r="AP1347" t="str">
        <f t="shared" si="282"/>
        <v>Valid</v>
      </c>
      <c r="AQ1347" t="str">
        <f>IF(Audit_Data[[#This Row],[Z_CostContact]]=3,"Valid","Invalid")</f>
        <v>Valid</v>
      </c>
      <c r="AR1347" t="str">
        <f t="shared" si="283"/>
        <v>Valid</v>
      </c>
      <c r="AS1347" t="str">
        <f t="shared" si="284"/>
        <v>Valid</v>
      </c>
    </row>
    <row r="1348" spans="1:45" x14ac:dyDescent="0.3">
      <c r="A1348">
        <v>10390</v>
      </c>
      <c r="B1348">
        <v>1959</v>
      </c>
      <c r="C1348" t="s">
        <v>37</v>
      </c>
      <c r="D1348" t="s">
        <v>33</v>
      </c>
      <c r="E1348">
        <v>26887</v>
      </c>
      <c r="F1348">
        <v>0</v>
      </c>
      <c r="G1348">
        <v>1</v>
      </c>
      <c r="H1348" s="1">
        <v>41315</v>
      </c>
      <c r="I1348">
        <v>27</v>
      </c>
      <c r="J1348">
        <v>6</v>
      </c>
      <c r="K1348">
        <v>7</v>
      </c>
      <c r="L1348">
        <v>4</v>
      </c>
      <c r="M1348">
        <v>3</v>
      </c>
      <c r="N1348">
        <v>4</v>
      </c>
      <c r="O1348">
        <v>6</v>
      </c>
      <c r="P1348">
        <v>1</v>
      </c>
      <c r="Q1348">
        <v>1</v>
      </c>
      <c r="R1348">
        <v>0</v>
      </c>
      <c r="S1348">
        <v>3</v>
      </c>
      <c r="T1348">
        <v>6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3</v>
      </c>
      <c r="AB1348">
        <v>11</v>
      </c>
      <c r="AC1348">
        <v>0</v>
      </c>
      <c r="AD1348" t="str">
        <f t="shared" si="273"/>
        <v>Ok</v>
      </c>
      <c r="AE1348" t="str">
        <f>IF(AND(Audit_Data[[#This Row],[Year_Birth]]&gt;=1900,Audit_Data[[#This Row],[Year_Birth]]&lt;=2010),"OK","Invalid")</f>
        <v>OK</v>
      </c>
      <c r="AF1348" t="str">
        <f t="shared" si="274"/>
        <v>Valid</v>
      </c>
      <c r="AG1348" t="str">
        <f t="shared" si="275"/>
        <v>Valid</v>
      </c>
      <c r="AH1348" t="str">
        <f t="shared" si="276"/>
        <v>Valid</v>
      </c>
      <c r="AI1348" t="str">
        <f t="shared" si="277"/>
        <v>Valid</v>
      </c>
      <c r="AJ1348" t="str">
        <f t="shared" si="278"/>
        <v>Valid</v>
      </c>
      <c r="AK1348" t="str">
        <f t="shared" si="285"/>
        <v xml:space="preserve">Valid </v>
      </c>
      <c r="AL1348" t="str">
        <f>IF(AND(Audit_Data[[#This Row],[Recency]]&gt;=0,Audit_Data[[#This Row],[Recency]]&lt;=100),"Valid","Invalid")</f>
        <v>Valid</v>
      </c>
      <c r="AM1348" t="str">
        <f t="shared" si="279"/>
        <v>Valid</v>
      </c>
      <c r="AN1348" t="str">
        <f t="shared" si="280"/>
        <v>Valid</v>
      </c>
      <c r="AO1348" t="str">
        <f t="shared" si="281"/>
        <v>Valid</v>
      </c>
      <c r="AP1348" t="str">
        <f t="shared" si="282"/>
        <v>Valid</v>
      </c>
      <c r="AQ1348" t="str">
        <f>IF(Audit_Data[[#This Row],[Z_CostContact]]=3,"Valid","Invalid")</f>
        <v>Valid</v>
      </c>
      <c r="AR1348" t="str">
        <f t="shared" si="283"/>
        <v>Valid</v>
      </c>
      <c r="AS1348" t="str">
        <f t="shared" si="284"/>
        <v>Valid</v>
      </c>
    </row>
    <row r="1349" spans="1:45" x14ac:dyDescent="0.3">
      <c r="A1349">
        <v>4698</v>
      </c>
      <c r="B1349">
        <v>1983</v>
      </c>
      <c r="C1349" t="s">
        <v>32</v>
      </c>
      <c r="D1349" t="s">
        <v>33</v>
      </c>
      <c r="E1349">
        <v>50150</v>
      </c>
      <c r="F1349">
        <v>0</v>
      </c>
      <c r="G1349">
        <v>0</v>
      </c>
      <c r="H1349" s="1">
        <v>41445</v>
      </c>
      <c r="I1349">
        <v>32</v>
      </c>
      <c r="J1349">
        <v>135</v>
      </c>
      <c r="K1349">
        <v>46</v>
      </c>
      <c r="L1349">
        <v>92</v>
      </c>
      <c r="M1349">
        <v>65</v>
      </c>
      <c r="N1349">
        <v>61</v>
      </c>
      <c r="O1349">
        <v>11</v>
      </c>
      <c r="P1349">
        <v>2</v>
      </c>
      <c r="Q1349">
        <v>5</v>
      </c>
      <c r="R1349">
        <v>2</v>
      </c>
      <c r="S1349">
        <v>7</v>
      </c>
      <c r="T1349">
        <v>5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3</v>
      </c>
      <c r="AB1349">
        <v>11</v>
      </c>
      <c r="AC1349">
        <v>0</v>
      </c>
      <c r="AD1349" t="str">
        <f t="shared" si="273"/>
        <v>Ok</v>
      </c>
      <c r="AE1349" t="str">
        <f>IF(AND(Audit_Data[[#This Row],[Year_Birth]]&gt;=1900,Audit_Data[[#This Row],[Year_Birth]]&lt;=2010),"OK","Invalid")</f>
        <v>OK</v>
      </c>
      <c r="AF1349" t="str">
        <f t="shared" si="274"/>
        <v>Valid</v>
      </c>
      <c r="AG1349" t="str">
        <f t="shared" si="275"/>
        <v>Valid</v>
      </c>
      <c r="AH1349" t="str">
        <f t="shared" si="276"/>
        <v>Valid</v>
      </c>
      <c r="AI1349" t="str">
        <f t="shared" si="277"/>
        <v>Valid</v>
      </c>
      <c r="AJ1349" t="str">
        <f t="shared" si="278"/>
        <v>Valid</v>
      </c>
      <c r="AK1349" t="str">
        <f t="shared" si="285"/>
        <v xml:space="preserve">Valid </v>
      </c>
      <c r="AL1349" t="str">
        <f>IF(AND(Audit_Data[[#This Row],[Recency]]&gt;=0,Audit_Data[[#This Row],[Recency]]&lt;=100),"Valid","Invalid")</f>
        <v>Valid</v>
      </c>
      <c r="AM1349" t="str">
        <f t="shared" si="279"/>
        <v>Valid</v>
      </c>
      <c r="AN1349" t="str">
        <f t="shared" si="280"/>
        <v>Valid</v>
      </c>
      <c r="AO1349" t="str">
        <f t="shared" si="281"/>
        <v>Valid</v>
      </c>
      <c r="AP1349" t="str">
        <f t="shared" si="282"/>
        <v>Valid</v>
      </c>
      <c r="AQ1349" t="str">
        <f>IF(Audit_Data[[#This Row],[Z_CostContact]]=3,"Valid","Invalid")</f>
        <v>Valid</v>
      </c>
      <c r="AR1349" t="str">
        <f t="shared" si="283"/>
        <v>Valid</v>
      </c>
      <c r="AS1349" t="str">
        <f t="shared" si="284"/>
        <v>Valid</v>
      </c>
    </row>
    <row r="1350" spans="1:45" x14ac:dyDescent="0.3">
      <c r="A1350">
        <v>7793</v>
      </c>
      <c r="B1350">
        <v>1976</v>
      </c>
      <c r="C1350" t="s">
        <v>29</v>
      </c>
      <c r="D1350" t="s">
        <v>31</v>
      </c>
      <c r="E1350">
        <v>62061</v>
      </c>
      <c r="F1350">
        <v>0</v>
      </c>
      <c r="G1350">
        <v>1</v>
      </c>
      <c r="H1350" s="1">
        <v>41517</v>
      </c>
      <c r="I1350">
        <v>12</v>
      </c>
      <c r="J1350">
        <v>641</v>
      </c>
      <c r="K1350">
        <v>7</v>
      </c>
      <c r="L1350">
        <v>84</v>
      </c>
      <c r="M1350">
        <v>0</v>
      </c>
      <c r="N1350">
        <v>30</v>
      </c>
      <c r="O1350">
        <v>38</v>
      </c>
      <c r="P1350">
        <v>3</v>
      </c>
      <c r="Q1350">
        <v>10</v>
      </c>
      <c r="R1350">
        <v>4</v>
      </c>
      <c r="S1350">
        <v>7</v>
      </c>
      <c r="T1350">
        <v>6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3</v>
      </c>
      <c r="AB1350">
        <v>11</v>
      </c>
      <c r="AC1350">
        <v>0</v>
      </c>
      <c r="AD1350" t="str">
        <f t="shared" si="273"/>
        <v>Ok</v>
      </c>
      <c r="AE1350" t="str">
        <f>IF(AND(Audit_Data[[#This Row],[Year_Birth]]&gt;=1900,Audit_Data[[#This Row],[Year_Birth]]&lt;=2010),"OK","Invalid")</f>
        <v>OK</v>
      </c>
      <c r="AF1350" t="str">
        <f t="shared" si="274"/>
        <v>Valid</v>
      </c>
      <c r="AG1350" t="str">
        <f t="shared" si="275"/>
        <v>Valid</v>
      </c>
      <c r="AH1350" t="str">
        <f t="shared" si="276"/>
        <v>Valid</v>
      </c>
      <c r="AI1350" t="str">
        <f t="shared" si="277"/>
        <v>Valid</v>
      </c>
      <c r="AJ1350" t="str">
        <f t="shared" si="278"/>
        <v>Valid</v>
      </c>
      <c r="AK1350" t="str">
        <f t="shared" si="285"/>
        <v xml:space="preserve">Valid </v>
      </c>
      <c r="AL1350" t="str">
        <f>IF(AND(Audit_Data[[#This Row],[Recency]]&gt;=0,Audit_Data[[#This Row],[Recency]]&lt;=100),"Valid","Invalid")</f>
        <v>Valid</v>
      </c>
      <c r="AM1350" t="str">
        <f t="shared" si="279"/>
        <v>Valid</v>
      </c>
      <c r="AN1350" t="str">
        <f t="shared" si="280"/>
        <v>Valid</v>
      </c>
      <c r="AO1350" t="str">
        <f t="shared" si="281"/>
        <v>Valid</v>
      </c>
      <c r="AP1350" t="str">
        <f t="shared" si="282"/>
        <v>Valid</v>
      </c>
      <c r="AQ1350" t="str">
        <f>IF(Audit_Data[[#This Row],[Z_CostContact]]=3,"Valid","Invalid")</f>
        <v>Valid</v>
      </c>
      <c r="AR1350" t="str">
        <f t="shared" si="283"/>
        <v>Valid</v>
      </c>
      <c r="AS1350" t="str">
        <f t="shared" si="284"/>
        <v>Valid</v>
      </c>
    </row>
    <row r="1351" spans="1:45" x14ac:dyDescent="0.3">
      <c r="A1351">
        <v>1745</v>
      </c>
      <c r="B1351">
        <v>1962</v>
      </c>
      <c r="C1351" t="s">
        <v>32</v>
      </c>
      <c r="D1351" t="s">
        <v>35</v>
      </c>
      <c r="E1351">
        <v>85696</v>
      </c>
      <c r="F1351">
        <v>0</v>
      </c>
      <c r="G1351">
        <v>0</v>
      </c>
      <c r="H1351" s="1">
        <v>41397</v>
      </c>
      <c r="I1351">
        <v>88</v>
      </c>
      <c r="J1351">
        <v>714</v>
      </c>
      <c r="K1351">
        <v>76</v>
      </c>
      <c r="L1351">
        <v>395</v>
      </c>
      <c r="M1351">
        <v>116</v>
      </c>
      <c r="N1351">
        <v>0</v>
      </c>
      <c r="O1351">
        <v>12</v>
      </c>
      <c r="P1351">
        <v>1</v>
      </c>
      <c r="Q1351">
        <v>4</v>
      </c>
      <c r="R1351">
        <v>6</v>
      </c>
      <c r="S1351">
        <v>9</v>
      </c>
      <c r="T1351">
        <v>1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3</v>
      </c>
      <c r="AB1351">
        <v>11</v>
      </c>
      <c r="AC1351">
        <v>1</v>
      </c>
      <c r="AD1351" t="str">
        <f t="shared" si="273"/>
        <v>Ok</v>
      </c>
      <c r="AE1351" t="str">
        <f>IF(AND(Audit_Data[[#This Row],[Year_Birth]]&gt;=1900,Audit_Data[[#This Row],[Year_Birth]]&lt;=2010),"OK","Invalid")</f>
        <v>OK</v>
      </c>
      <c r="AF1351" t="str">
        <f t="shared" si="274"/>
        <v>Valid</v>
      </c>
      <c r="AG1351" t="str">
        <f t="shared" si="275"/>
        <v>Valid</v>
      </c>
      <c r="AH1351" t="str">
        <f t="shared" si="276"/>
        <v>Valid</v>
      </c>
      <c r="AI1351" t="str">
        <f t="shared" si="277"/>
        <v>Valid</v>
      </c>
      <c r="AJ1351" t="str">
        <f t="shared" si="278"/>
        <v>Valid</v>
      </c>
      <c r="AK1351" t="str">
        <f t="shared" si="285"/>
        <v xml:space="preserve">Valid </v>
      </c>
      <c r="AL1351" t="str">
        <f>IF(AND(Audit_Data[[#This Row],[Recency]]&gt;=0,Audit_Data[[#This Row],[Recency]]&lt;=100),"Valid","Invalid")</f>
        <v>Valid</v>
      </c>
      <c r="AM1351" t="str">
        <f t="shared" si="279"/>
        <v>Valid</v>
      </c>
      <c r="AN1351" t="str">
        <f t="shared" si="280"/>
        <v>Valid</v>
      </c>
      <c r="AO1351" t="str">
        <f t="shared" si="281"/>
        <v>Valid</v>
      </c>
      <c r="AP1351" t="str">
        <f t="shared" si="282"/>
        <v>Valid</v>
      </c>
      <c r="AQ1351" t="str">
        <f>IF(Audit_Data[[#This Row],[Z_CostContact]]=3,"Valid","Invalid")</f>
        <v>Valid</v>
      </c>
      <c r="AR1351" t="str">
        <f t="shared" si="283"/>
        <v>Valid</v>
      </c>
      <c r="AS1351" t="str">
        <f t="shared" si="284"/>
        <v>Valid</v>
      </c>
    </row>
    <row r="1352" spans="1:45" x14ac:dyDescent="0.3">
      <c r="A1352">
        <v>10590</v>
      </c>
      <c r="B1352">
        <v>1956</v>
      </c>
      <c r="C1352" t="s">
        <v>32</v>
      </c>
      <c r="D1352" t="s">
        <v>31</v>
      </c>
      <c r="E1352">
        <v>76542</v>
      </c>
      <c r="F1352">
        <v>0</v>
      </c>
      <c r="G1352">
        <v>0</v>
      </c>
      <c r="H1352" s="1">
        <v>41363</v>
      </c>
      <c r="I1352">
        <v>91</v>
      </c>
      <c r="J1352">
        <v>794</v>
      </c>
      <c r="K1352">
        <v>73</v>
      </c>
      <c r="L1352">
        <v>573</v>
      </c>
      <c r="M1352">
        <v>0</v>
      </c>
      <c r="N1352">
        <v>29</v>
      </c>
      <c r="O1352">
        <v>14</v>
      </c>
      <c r="P1352">
        <v>1</v>
      </c>
      <c r="Q1352">
        <v>4</v>
      </c>
      <c r="R1352">
        <v>8</v>
      </c>
      <c r="S1352">
        <v>10</v>
      </c>
      <c r="T1352">
        <v>2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3</v>
      </c>
      <c r="AB1352">
        <v>11</v>
      </c>
      <c r="AC1352">
        <v>0</v>
      </c>
      <c r="AD1352" t="str">
        <f t="shared" si="273"/>
        <v>Ok</v>
      </c>
      <c r="AE1352" t="str">
        <f>IF(AND(Audit_Data[[#This Row],[Year_Birth]]&gt;=1900,Audit_Data[[#This Row],[Year_Birth]]&lt;=2010),"OK","Invalid")</f>
        <v>OK</v>
      </c>
      <c r="AF1352" t="str">
        <f t="shared" si="274"/>
        <v>Valid</v>
      </c>
      <c r="AG1352" t="str">
        <f t="shared" si="275"/>
        <v>Valid</v>
      </c>
      <c r="AH1352" t="str">
        <f t="shared" si="276"/>
        <v>Valid</v>
      </c>
      <c r="AI1352" t="str">
        <f t="shared" si="277"/>
        <v>Valid</v>
      </c>
      <c r="AJ1352" t="str">
        <f t="shared" si="278"/>
        <v>Valid</v>
      </c>
      <c r="AK1352" t="str">
        <f t="shared" si="285"/>
        <v xml:space="preserve">Valid </v>
      </c>
      <c r="AL1352" t="str">
        <f>IF(AND(Audit_Data[[#This Row],[Recency]]&gt;=0,Audit_Data[[#This Row],[Recency]]&lt;=100),"Valid","Invalid")</f>
        <v>Valid</v>
      </c>
      <c r="AM1352" t="str">
        <f t="shared" si="279"/>
        <v>Valid</v>
      </c>
      <c r="AN1352" t="str">
        <f t="shared" si="280"/>
        <v>Valid</v>
      </c>
      <c r="AO1352" t="str">
        <f t="shared" si="281"/>
        <v>Valid</v>
      </c>
      <c r="AP1352" t="str">
        <f t="shared" si="282"/>
        <v>Valid</v>
      </c>
      <c r="AQ1352" t="str">
        <f>IF(Audit_Data[[#This Row],[Z_CostContact]]=3,"Valid","Invalid")</f>
        <v>Valid</v>
      </c>
      <c r="AR1352" t="str">
        <f t="shared" si="283"/>
        <v>Valid</v>
      </c>
      <c r="AS1352" t="str">
        <f t="shared" si="284"/>
        <v>Valid</v>
      </c>
    </row>
    <row r="1353" spans="1:45" x14ac:dyDescent="0.3">
      <c r="A1353">
        <v>5080</v>
      </c>
      <c r="B1353">
        <v>1993</v>
      </c>
      <c r="C1353" t="s">
        <v>29</v>
      </c>
      <c r="D1353" t="s">
        <v>30</v>
      </c>
      <c r="E1353">
        <v>70515</v>
      </c>
      <c r="F1353">
        <v>0</v>
      </c>
      <c r="G1353">
        <v>0</v>
      </c>
      <c r="H1353" s="1">
        <v>41568</v>
      </c>
      <c r="I1353">
        <v>12</v>
      </c>
      <c r="J1353">
        <v>420</v>
      </c>
      <c r="K1353">
        <v>0</v>
      </c>
      <c r="L1353">
        <v>452</v>
      </c>
      <c r="M1353">
        <v>182</v>
      </c>
      <c r="N1353">
        <v>64</v>
      </c>
      <c r="O1353">
        <v>140</v>
      </c>
      <c r="P1353">
        <v>1</v>
      </c>
      <c r="Q1353">
        <v>6</v>
      </c>
      <c r="R1353">
        <v>6</v>
      </c>
      <c r="S1353">
        <v>4</v>
      </c>
      <c r="T1353">
        <v>2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3</v>
      </c>
      <c r="AB1353">
        <v>11</v>
      </c>
      <c r="AC1353">
        <v>1</v>
      </c>
      <c r="AD1353" t="str">
        <f t="shared" si="273"/>
        <v>Ok</v>
      </c>
      <c r="AE1353" t="str">
        <f>IF(AND(Audit_Data[[#This Row],[Year_Birth]]&gt;=1900,Audit_Data[[#This Row],[Year_Birth]]&lt;=2010),"OK","Invalid")</f>
        <v>OK</v>
      </c>
      <c r="AF1353" t="str">
        <f t="shared" si="274"/>
        <v>Valid</v>
      </c>
      <c r="AG1353" t="str">
        <f t="shared" si="275"/>
        <v>Valid</v>
      </c>
      <c r="AH1353" t="str">
        <f t="shared" si="276"/>
        <v>Valid</v>
      </c>
      <c r="AI1353" t="str">
        <f t="shared" si="277"/>
        <v>Valid</v>
      </c>
      <c r="AJ1353" t="str">
        <f t="shared" si="278"/>
        <v>Valid</v>
      </c>
      <c r="AK1353" t="str">
        <f t="shared" si="285"/>
        <v xml:space="preserve">Valid </v>
      </c>
      <c r="AL1353" t="str">
        <f>IF(AND(Audit_Data[[#This Row],[Recency]]&gt;=0,Audit_Data[[#This Row],[Recency]]&lt;=100),"Valid","Invalid")</f>
        <v>Valid</v>
      </c>
      <c r="AM1353" t="str">
        <f t="shared" si="279"/>
        <v>Valid</v>
      </c>
      <c r="AN1353" t="str">
        <f t="shared" si="280"/>
        <v>Valid</v>
      </c>
      <c r="AO1353" t="str">
        <f t="shared" si="281"/>
        <v>Valid</v>
      </c>
      <c r="AP1353" t="str">
        <f t="shared" si="282"/>
        <v>Valid</v>
      </c>
      <c r="AQ1353" t="str">
        <f>IF(Audit_Data[[#This Row],[Z_CostContact]]=3,"Valid","Invalid")</f>
        <v>Valid</v>
      </c>
      <c r="AR1353" t="str">
        <f t="shared" si="283"/>
        <v>Valid</v>
      </c>
      <c r="AS1353" t="str">
        <f t="shared" si="284"/>
        <v>Valid</v>
      </c>
    </row>
    <row r="1354" spans="1:45" x14ac:dyDescent="0.3">
      <c r="A1354">
        <v>8369</v>
      </c>
      <c r="B1354">
        <v>1987</v>
      </c>
      <c r="C1354" t="s">
        <v>29</v>
      </c>
      <c r="D1354" t="s">
        <v>31</v>
      </c>
      <c r="E1354">
        <v>18227</v>
      </c>
      <c r="F1354">
        <v>1</v>
      </c>
      <c r="G1354">
        <v>0</v>
      </c>
      <c r="H1354" s="1">
        <v>41221</v>
      </c>
      <c r="I1354">
        <v>21</v>
      </c>
      <c r="J1354">
        <v>1</v>
      </c>
      <c r="K1354">
        <v>2</v>
      </c>
      <c r="L1354">
        <v>7</v>
      </c>
      <c r="M1354">
        <v>4</v>
      </c>
      <c r="N1354">
        <v>3</v>
      </c>
      <c r="O1354">
        <v>11</v>
      </c>
      <c r="P1354">
        <v>1</v>
      </c>
      <c r="Q1354">
        <v>0</v>
      </c>
      <c r="R1354">
        <v>1</v>
      </c>
      <c r="S1354">
        <v>2</v>
      </c>
      <c r="T1354">
        <v>8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3</v>
      </c>
      <c r="AB1354">
        <v>11</v>
      </c>
      <c r="AC1354">
        <v>0</v>
      </c>
      <c r="AD1354" t="str">
        <f t="shared" si="273"/>
        <v>Ok</v>
      </c>
      <c r="AE1354" t="str">
        <f>IF(AND(Audit_Data[[#This Row],[Year_Birth]]&gt;=1900,Audit_Data[[#This Row],[Year_Birth]]&lt;=2010),"OK","Invalid")</f>
        <v>OK</v>
      </c>
      <c r="AF1354" t="str">
        <f t="shared" si="274"/>
        <v>Valid</v>
      </c>
      <c r="AG1354" t="str">
        <f t="shared" si="275"/>
        <v>Valid</v>
      </c>
      <c r="AH1354" t="str">
        <f t="shared" si="276"/>
        <v>Valid</v>
      </c>
      <c r="AI1354" t="str">
        <f t="shared" si="277"/>
        <v>Valid</v>
      </c>
      <c r="AJ1354" t="str">
        <f t="shared" si="278"/>
        <v>Valid</v>
      </c>
      <c r="AK1354" t="str">
        <f t="shared" si="285"/>
        <v xml:space="preserve">Valid </v>
      </c>
      <c r="AL1354" t="str">
        <f>IF(AND(Audit_Data[[#This Row],[Recency]]&gt;=0,Audit_Data[[#This Row],[Recency]]&lt;=100),"Valid","Invalid")</f>
        <v>Valid</v>
      </c>
      <c r="AM1354" t="str">
        <f t="shared" si="279"/>
        <v>Valid</v>
      </c>
      <c r="AN1354" t="str">
        <f t="shared" si="280"/>
        <v>Valid</v>
      </c>
      <c r="AO1354" t="str">
        <f t="shared" si="281"/>
        <v>Valid</v>
      </c>
      <c r="AP1354" t="str">
        <f t="shared" si="282"/>
        <v>Valid</v>
      </c>
      <c r="AQ1354" t="str">
        <f>IF(Audit_Data[[#This Row],[Z_CostContact]]=3,"Valid","Invalid")</f>
        <v>Valid</v>
      </c>
      <c r="AR1354" t="str">
        <f t="shared" si="283"/>
        <v>Valid</v>
      </c>
      <c r="AS1354" t="str">
        <f t="shared" si="284"/>
        <v>Valid</v>
      </c>
    </row>
    <row r="1355" spans="1:45" x14ac:dyDescent="0.3">
      <c r="A1355">
        <v>5232</v>
      </c>
      <c r="B1355">
        <v>1965</v>
      </c>
      <c r="C1355" t="s">
        <v>29</v>
      </c>
      <c r="D1355" t="s">
        <v>33</v>
      </c>
      <c r="E1355">
        <v>69139</v>
      </c>
      <c r="F1355">
        <v>0</v>
      </c>
      <c r="G1355">
        <v>1</v>
      </c>
      <c r="H1355" s="1">
        <v>41666</v>
      </c>
      <c r="I1355">
        <v>23</v>
      </c>
      <c r="J1355">
        <v>86</v>
      </c>
      <c r="K1355">
        <v>12</v>
      </c>
      <c r="L1355">
        <v>75</v>
      </c>
      <c r="M1355">
        <v>33</v>
      </c>
      <c r="N1355">
        <v>15</v>
      </c>
      <c r="O1355">
        <v>6</v>
      </c>
      <c r="P1355">
        <v>1</v>
      </c>
      <c r="Q1355">
        <v>4</v>
      </c>
      <c r="R1355">
        <v>1</v>
      </c>
      <c r="S1355">
        <v>5</v>
      </c>
      <c r="T1355">
        <v>4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3</v>
      </c>
      <c r="AB1355">
        <v>11</v>
      </c>
      <c r="AC1355">
        <v>0</v>
      </c>
      <c r="AD1355" t="str">
        <f t="shared" si="273"/>
        <v>Ok</v>
      </c>
      <c r="AE1355" t="str">
        <f>IF(AND(Audit_Data[[#This Row],[Year_Birth]]&gt;=1900,Audit_Data[[#This Row],[Year_Birth]]&lt;=2010),"OK","Invalid")</f>
        <v>OK</v>
      </c>
      <c r="AF1355" t="str">
        <f t="shared" si="274"/>
        <v>Valid</v>
      </c>
      <c r="AG1355" t="str">
        <f t="shared" si="275"/>
        <v>Valid</v>
      </c>
      <c r="AH1355" t="str">
        <f t="shared" si="276"/>
        <v>Valid</v>
      </c>
      <c r="AI1355" t="str">
        <f t="shared" si="277"/>
        <v>Valid</v>
      </c>
      <c r="AJ1355" t="str">
        <f t="shared" si="278"/>
        <v>Valid</v>
      </c>
      <c r="AK1355" t="str">
        <f t="shared" si="285"/>
        <v xml:space="preserve">Valid </v>
      </c>
      <c r="AL1355" t="str">
        <f>IF(AND(Audit_Data[[#This Row],[Recency]]&gt;=0,Audit_Data[[#This Row],[Recency]]&lt;=100),"Valid","Invalid")</f>
        <v>Valid</v>
      </c>
      <c r="AM1355" t="str">
        <f t="shared" si="279"/>
        <v>Valid</v>
      </c>
      <c r="AN1355" t="str">
        <f t="shared" si="280"/>
        <v>Valid</v>
      </c>
      <c r="AO1355" t="str">
        <f t="shared" si="281"/>
        <v>Valid</v>
      </c>
      <c r="AP1355" t="str">
        <f t="shared" si="282"/>
        <v>Valid</v>
      </c>
      <c r="AQ1355" t="str">
        <f>IF(Audit_Data[[#This Row],[Z_CostContact]]=3,"Valid","Invalid")</f>
        <v>Valid</v>
      </c>
      <c r="AR1355" t="str">
        <f t="shared" si="283"/>
        <v>Valid</v>
      </c>
      <c r="AS1355" t="str">
        <f t="shared" si="284"/>
        <v>Valid</v>
      </c>
    </row>
    <row r="1356" spans="1:45" x14ac:dyDescent="0.3">
      <c r="A1356">
        <v>2407</v>
      </c>
      <c r="B1356">
        <v>1982</v>
      </c>
      <c r="C1356" t="s">
        <v>29</v>
      </c>
      <c r="D1356" t="s">
        <v>33</v>
      </c>
      <c r="E1356">
        <v>69109</v>
      </c>
      <c r="F1356">
        <v>0</v>
      </c>
      <c r="G1356">
        <v>0</v>
      </c>
      <c r="H1356" s="1">
        <v>41222</v>
      </c>
      <c r="I1356">
        <v>10</v>
      </c>
      <c r="J1356">
        <v>823</v>
      </c>
      <c r="K1356">
        <v>25</v>
      </c>
      <c r="L1356">
        <v>459</v>
      </c>
      <c r="M1356">
        <v>124</v>
      </c>
      <c r="N1356">
        <v>29</v>
      </c>
      <c r="O1356">
        <v>95</v>
      </c>
      <c r="P1356">
        <v>1</v>
      </c>
      <c r="Q1356">
        <v>6</v>
      </c>
      <c r="R1356">
        <v>6</v>
      </c>
      <c r="S1356">
        <v>7</v>
      </c>
      <c r="T1356">
        <v>4</v>
      </c>
      <c r="U1356">
        <v>0</v>
      </c>
      <c r="V1356">
        <v>0</v>
      </c>
      <c r="W1356">
        <v>1</v>
      </c>
      <c r="X1356">
        <v>0</v>
      </c>
      <c r="Y1356">
        <v>0</v>
      </c>
      <c r="Z1356">
        <v>0</v>
      </c>
      <c r="AA1356">
        <v>3</v>
      </c>
      <c r="AB1356">
        <v>11</v>
      </c>
      <c r="AC1356">
        <v>1</v>
      </c>
      <c r="AD1356" t="str">
        <f t="shared" si="273"/>
        <v>Ok</v>
      </c>
      <c r="AE1356" t="str">
        <f>IF(AND(Audit_Data[[#This Row],[Year_Birth]]&gt;=1900,Audit_Data[[#This Row],[Year_Birth]]&lt;=2010),"OK","Invalid")</f>
        <v>OK</v>
      </c>
      <c r="AF1356" t="str">
        <f t="shared" si="274"/>
        <v>Valid</v>
      </c>
      <c r="AG1356" t="str">
        <f t="shared" si="275"/>
        <v>Valid</v>
      </c>
      <c r="AH1356" t="str">
        <f t="shared" si="276"/>
        <v>Valid</v>
      </c>
      <c r="AI1356" t="str">
        <f t="shared" si="277"/>
        <v>Valid</v>
      </c>
      <c r="AJ1356" t="str">
        <f t="shared" si="278"/>
        <v>Valid</v>
      </c>
      <c r="AK1356" t="str">
        <f t="shared" si="285"/>
        <v xml:space="preserve">Valid </v>
      </c>
      <c r="AL1356" t="str">
        <f>IF(AND(Audit_Data[[#This Row],[Recency]]&gt;=0,Audit_Data[[#This Row],[Recency]]&lt;=100),"Valid","Invalid")</f>
        <v>Valid</v>
      </c>
      <c r="AM1356" t="str">
        <f t="shared" si="279"/>
        <v>Valid</v>
      </c>
      <c r="AN1356" t="str">
        <f t="shared" si="280"/>
        <v>Valid</v>
      </c>
      <c r="AO1356" t="str">
        <f t="shared" si="281"/>
        <v>Valid</v>
      </c>
      <c r="AP1356" t="str">
        <f t="shared" si="282"/>
        <v>Valid</v>
      </c>
      <c r="AQ1356" t="str">
        <f>IF(Audit_Data[[#This Row],[Z_CostContact]]=3,"Valid","Invalid")</f>
        <v>Valid</v>
      </c>
      <c r="AR1356" t="str">
        <f t="shared" si="283"/>
        <v>Valid</v>
      </c>
      <c r="AS1356" t="str">
        <f t="shared" si="284"/>
        <v>Valid</v>
      </c>
    </row>
    <row r="1357" spans="1:45" x14ac:dyDescent="0.3">
      <c r="A1357">
        <v>3834</v>
      </c>
      <c r="B1357">
        <v>1962</v>
      </c>
      <c r="C1357" t="s">
        <v>29</v>
      </c>
      <c r="D1357" t="s">
        <v>30</v>
      </c>
      <c r="E1357">
        <v>69627</v>
      </c>
      <c r="F1357">
        <v>0</v>
      </c>
      <c r="G1357">
        <v>1</v>
      </c>
      <c r="H1357" s="1">
        <v>41350</v>
      </c>
      <c r="I1357">
        <v>35</v>
      </c>
      <c r="J1357">
        <v>231</v>
      </c>
      <c r="K1357">
        <v>161</v>
      </c>
      <c r="L1357">
        <v>215</v>
      </c>
      <c r="M1357">
        <v>171</v>
      </c>
      <c r="N1357">
        <v>30</v>
      </c>
      <c r="O1357">
        <v>53</v>
      </c>
      <c r="P1357">
        <v>2</v>
      </c>
      <c r="Q1357">
        <v>8</v>
      </c>
      <c r="R1357">
        <v>2</v>
      </c>
      <c r="S1357">
        <v>11</v>
      </c>
      <c r="T1357">
        <v>5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3</v>
      </c>
      <c r="AB1357">
        <v>11</v>
      </c>
      <c r="AC1357">
        <v>0</v>
      </c>
      <c r="AD1357" t="str">
        <f t="shared" si="273"/>
        <v>Ok</v>
      </c>
      <c r="AE1357" t="str">
        <f>IF(AND(Audit_Data[[#This Row],[Year_Birth]]&gt;=1900,Audit_Data[[#This Row],[Year_Birth]]&lt;=2010),"OK","Invalid")</f>
        <v>OK</v>
      </c>
      <c r="AF1357" t="str">
        <f t="shared" si="274"/>
        <v>Valid</v>
      </c>
      <c r="AG1357" t="str">
        <f t="shared" si="275"/>
        <v>Valid</v>
      </c>
      <c r="AH1357" t="str">
        <f t="shared" si="276"/>
        <v>Valid</v>
      </c>
      <c r="AI1357" t="str">
        <f t="shared" si="277"/>
        <v>Valid</v>
      </c>
      <c r="AJ1357" t="str">
        <f t="shared" si="278"/>
        <v>Valid</v>
      </c>
      <c r="AK1357" t="str">
        <f t="shared" si="285"/>
        <v xml:space="preserve">Valid </v>
      </c>
      <c r="AL1357" t="str">
        <f>IF(AND(Audit_Data[[#This Row],[Recency]]&gt;=0,Audit_Data[[#This Row],[Recency]]&lt;=100),"Valid","Invalid")</f>
        <v>Valid</v>
      </c>
      <c r="AM1357" t="str">
        <f t="shared" si="279"/>
        <v>Valid</v>
      </c>
      <c r="AN1357" t="str">
        <f t="shared" si="280"/>
        <v>Valid</v>
      </c>
      <c r="AO1357" t="str">
        <f t="shared" si="281"/>
        <v>Valid</v>
      </c>
      <c r="AP1357" t="str">
        <f t="shared" si="282"/>
        <v>Valid</v>
      </c>
      <c r="AQ1357" t="str">
        <f>IF(Audit_Data[[#This Row],[Z_CostContact]]=3,"Valid","Invalid")</f>
        <v>Valid</v>
      </c>
      <c r="AR1357" t="str">
        <f t="shared" si="283"/>
        <v>Valid</v>
      </c>
      <c r="AS1357" t="str">
        <f t="shared" si="284"/>
        <v>Valid</v>
      </c>
    </row>
    <row r="1358" spans="1:45" x14ac:dyDescent="0.3">
      <c r="A1358">
        <v>7912</v>
      </c>
      <c r="B1358">
        <v>1978</v>
      </c>
      <c r="C1358" t="s">
        <v>29</v>
      </c>
      <c r="D1358" t="s">
        <v>33</v>
      </c>
      <c r="E1358">
        <v>38136</v>
      </c>
      <c r="F1358">
        <v>1</v>
      </c>
      <c r="G1358">
        <v>0</v>
      </c>
      <c r="H1358" s="1">
        <v>41386</v>
      </c>
      <c r="I1358">
        <v>69</v>
      </c>
      <c r="J1358">
        <v>8</v>
      </c>
      <c r="K1358">
        <v>15</v>
      </c>
      <c r="L1358">
        <v>27</v>
      </c>
      <c r="M1358">
        <v>0</v>
      </c>
      <c r="N1358">
        <v>20</v>
      </c>
      <c r="O1358">
        <v>33</v>
      </c>
      <c r="P1358">
        <v>2</v>
      </c>
      <c r="Q1358">
        <v>3</v>
      </c>
      <c r="R1358">
        <v>1</v>
      </c>
      <c r="S1358">
        <v>2</v>
      </c>
      <c r="T1358">
        <v>8</v>
      </c>
      <c r="U1358">
        <v>1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3</v>
      </c>
      <c r="AB1358">
        <v>11</v>
      </c>
      <c r="AC1358">
        <v>0</v>
      </c>
      <c r="AD1358" t="str">
        <f t="shared" si="273"/>
        <v>Ok</v>
      </c>
      <c r="AE1358" t="str">
        <f>IF(AND(Audit_Data[[#This Row],[Year_Birth]]&gt;=1900,Audit_Data[[#This Row],[Year_Birth]]&lt;=2010),"OK","Invalid")</f>
        <v>OK</v>
      </c>
      <c r="AF1358" t="str">
        <f t="shared" si="274"/>
        <v>Valid</v>
      </c>
      <c r="AG1358" t="str">
        <f t="shared" si="275"/>
        <v>Valid</v>
      </c>
      <c r="AH1358" t="str">
        <f t="shared" si="276"/>
        <v>Valid</v>
      </c>
      <c r="AI1358" t="str">
        <f t="shared" si="277"/>
        <v>Valid</v>
      </c>
      <c r="AJ1358" t="str">
        <f t="shared" si="278"/>
        <v>Valid</v>
      </c>
      <c r="AK1358" t="str">
        <f t="shared" si="285"/>
        <v xml:space="preserve">Valid </v>
      </c>
      <c r="AL1358" t="str">
        <f>IF(AND(Audit_Data[[#This Row],[Recency]]&gt;=0,Audit_Data[[#This Row],[Recency]]&lt;=100),"Valid","Invalid")</f>
        <v>Valid</v>
      </c>
      <c r="AM1358" t="str">
        <f t="shared" si="279"/>
        <v>Valid</v>
      </c>
      <c r="AN1358" t="str">
        <f t="shared" si="280"/>
        <v>Valid</v>
      </c>
      <c r="AO1358" t="str">
        <f t="shared" si="281"/>
        <v>Valid</v>
      </c>
      <c r="AP1358" t="str">
        <f t="shared" si="282"/>
        <v>Valid</v>
      </c>
      <c r="AQ1358" t="str">
        <f>IF(Audit_Data[[#This Row],[Z_CostContact]]=3,"Valid","Invalid")</f>
        <v>Valid</v>
      </c>
      <c r="AR1358" t="str">
        <f t="shared" si="283"/>
        <v>Valid</v>
      </c>
      <c r="AS1358" t="str">
        <f t="shared" si="284"/>
        <v>Valid</v>
      </c>
    </row>
    <row r="1359" spans="1:45" x14ac:dyDescent="0.3">
      <c r="A1359">
        <v>7712</v>
      </c>
      <c r="B1359">
        <v>1946</v>
      </c>
      <c r="C1359" t="s">
        <v>32</v>
      </c>
      <c r="D1359" t="s">
        <v>30</v>
      </c>
      <c r="E1359">
        <v>62159</v>
      </c>
      <c r="F1359">
        <v>0</v>
      </c>
      <c r="G1359">
        <v>0</v>
      </c>
      <c r="H1359" s="1">
        <v>41757</v>
      </c>
      <c r="I1359">
        <v>68</v>
      </c>
      <c r="J1359">
        <v>182</v>
      </c>
      <c r="K1359">
        <v>17</v>
      </c>
      <c r="L1359">
        <v>259</v>
      </c>
      <c r="M1359">
        <v>77</v>
      </c>
      <c r="N1359">
        <v>70</v>
      </c>
      <c r="O1359">
        <v>29</v>
      </c>
      <c r="P1359">
        <v>1</v>
      </c>
      <c r="Q1359">
        <v>6</v>
      </c>
      <c r="R1359">
        <v>2</v>
      </c>
      <c r="S1359">
        <v>10</v>
      </c>
      <c r="T1359">
        <v>4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3</v>
      </c>
      <c r="AB1359">
        <v>11</v>
      </c>
      <c r="AC1359">
        <v>0</v>
      </c>
      <c r="AD1359" t="str">
        <f t="shared" si="273"/>
        <v>Ok</v>
      </c>
      <c r="AE1359" t="str">
        <f>IF(AND(Audit_Data[[#This Row],[Year_Birth]]&gt;=1900,Audit_Data[[#This Row],[Year_Birth]]&lt;=2010),"OK","Invalid")</f>
        <v>OK</v>
      </c>
      <c r="AF1359" t="str">
        <f t="shared" si="274"/>
        <v>Valid</v>
      </c>
      <c r="AG1359" t="str">
        <f t="shared" si="275"/>
        <v>Valid</v>
      </c>
      <c r="AH1359" t="str">
        <f t="shared" si="276"/>
        <v>Valid</v>
      </c>
      <c r="AI1359" t="str">
        <f t="shared" si="277"/>
        <v>Valid</v>
      </c>
      <c r="AJ1359" t="str">
        <f t="shared" si="278"/>
        <v>Valid</v>
      </c>
      <c r="AK1359" t="str">
        <f t="shared" si="285"/>
        <v xml:space="preserve">Valid </v>
      </c>
      <c r="AL1359" t="str">
        <f>IF(AND(Audit_Data[[#This Row],[Recency]]&gt;=0,Audit_Data[[#This Row],[Recency]]&lt;=100),"Valid","Invalid")</f>
        <v>Valid</v>
      </c>
      <c r="AM1359" t="str">
        <f t="shared" si="279"/>
        <v>Valid</v>
      </c>
      <c r="AN1359" t="str">
        <f t="shared" si="280"/>
        <v>Valid</v>
      </c>
      <c r="AO1359" t="str">
        <f t="shared" si="281"/>
        <v>Valid</v>
      </c>
      <c r="AP1359" t="str">
        <f t="shared" si="282"/>
        <v>Valid</v>
      </c>
      <c r="AQ1359" t="str">
        <f>IF(Audit_Data[[#This Row],[Z_CostContact]]=3,"Valid","Invalid")</f>
        <v>Valid</v>
      </c>
      <c r="AR1359" t="str">
        <f t="shared" si="283"/>
        <v>Valid</v>
      </c>
      <c r="AS1359" t="str">
        <f t="shared" si="284"/>
        <v>Valid</v>
      </c>
    </row>
    <row r="1360" spans="1:45" x14ac:dyDescent="0.3">
      <c r="A1360">
        <v>1065</v>
      </c>
      <c r="B1360">
        <v>1963</v>
      </c>
      <c r="C1360" t="s">
        <v>29</v>
      </c>
      <c r="D1360" t="s">
        <v>30</v>
      </c>
      <c r="E1360">
        <v>80695</v>
      </c>
      <c r="F1360">
        <v>0</v>
      </c>
      <c r="G1360">
        <v>0</v>
      </c>
      <c r="H1360" s="1">
        <v>41637</v>
      </c>
      <c r="I1360">
        <v>85</v>
      </c>
      <c r="J1360">
        <v>557</v>
      </c>
      <c r="K1360">
        <v>129</v>
      </c>
      <c r="L1360">
        <v>984</v>
      </c>
      <c r="M1360">
        <v>193</v>
      </c>
      <c r="N1360">
        <v>37</v>
      </c>
      <c r="O1360">
        <v>18</v>
      </c>
      <c r="P1360">
        <v>1</v>
      </c>
      <c r="Q1360">
        <v>5</v>
      </c>
      <c r="R1360">
        <v>8</v>
      </c>
      <c r="S1360">
        <v>5</v>
      </c>
      <c r="T1360">
        <v>2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3</v>
      </c>
      <c r="AB1360">
        <v>11</v>
      </c>
      <c r="AC1360">
        <v>0</v>
      </c>
      <c r="AD1360" t="str">
        <f t="shared" si="273"/>
        <v>Ok</v>
      </c>
      <c r="AE1360" t="str">
        <f>IF(AND(Audit_Data[[#This Row],[Year_Birth]]&gt;=1900,Audit_Data[[#This Row],[Year_Birth]]&lt;=2010),"OK","Invalid")</f>
        <v>OK</v>
      </c>
      <c r="AF1360" t="str">
        <f t="shared" si="274"/>
        <v>Valid</v>
      </c>
      <c r="AG1360" t="str">
        <f t="shared" si="275"/>
        <v>Valid</v>
      </c>
      <c r="AH1360" t="str">
        <f t="shared" si="276"/>
        <v>Valid</v>
      </c>
      <c r="AI1360" t="str">
        <f t="shared" si="277"/>
        <v>Valid</v>
      </c>
      <c r="AJ1360" t="str">
        <f t="shared" si="278"/>
        <v>Valid</v>
      </c>
      <c r="AK1360" t="str">
        <f t="shared" si="285"/>
        <v xml:space="preserve">Valid </v>
      </c>
      <c r="AL1360" t="str">
        <f>IF(AND(Audit_Data[[#This Row],[Recency]]&gt;=0,Audit_Data[[#This Row],[Recency]]&lt;=100),"Valid","Invalid")</f>
        <v>Valid</v>
      </c>
      <c r="AM1360" t="str">
        <f t="shared" si="279"/>
        <v>Valid</v>
      </c>
      <c r="AN1360" t="str">
        <f t="shared" si="280"/>
        <v>Valid</v>
      </c>
      <c r="AO1360" t="str">
        <f t="shared" si="281"/>
        <v>Valid</v>
      </c>
      <c r="AP1360" t="str">
        <f t="shared" si="282"/>
        <v>Valid</v>
      </c>
      <c r="AQ1360" t="str">
        <f>IF(Audit_Data[[#This Row],[Z_CostContact]]=3,"Valid","Invalid")</f>
        <v>Valid</v>
      </c>
      <c r="AR1360" t="str">
        <f t="shared" si="283"/>
        <v>Valid</v>
      </c>
      <c r="AS1360" t="str">
        <f t="shared" si="284"/>
        <v>Valid</v>
      </c>
    </row>
    <row r="1361" spans="1:45" x14ac:dyDescent="0.3">
      <c r="A1361">
        <v>7275</v>
      </c>
      <c r="B1361">
        <v>1971</v>
      </c>
      <c r="C1361" t="s">
        <v>34</v>
      </c>
      <c r="D1361" t="s">
        <v>30</v>
      </c>
      <c r="E1361">
        <v>33316</v>
      </c>
      <c r="F1361">
        <v>1</v>
      </c>
      <c r="G1361">
        <v>1</v>
      </c>
      <c r="H1361" s="1">
        <v>41551</v>
      </c>
      <c r="I1361">
        <v>34</v>
      </c>
      <c r="J1361">
        <v>79</v>
      </c>
      <c r="K1361">
        <v>1</v>
      </c>
      <c r="L1361">
        <v>31</v>
      </c>
      <c r="M1361">
        <v>4</v>
      </c>
      <c r="N1361">
        <v>4</v>
      </c>
      <c r="O1361">
        <v>12</v>
      </c>
      <c r="P1361">
        <v>3</v>
      </c>
      <c r="Q1361">
        <v>2</v>
      </c>
      <c r="R1361">
        <v>1</v>
      </c>
      <c r="S1361">
        <v>4</v>
      </c>
      <c r="T1361">
        <v>6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3</v>
      </c>
      <c r="AB1361">
        <v>11</v>
      </c>
      <c r="AC1361">
        <v>0</v>
      </c>
      <c r="AD1361" t="str">
        <f t="shared" si="273"/>
        <v>Ok</v>
      </c>
      <c r="AE1361" t="str">
        <f>IF(AND(Audit_Data[[#This Row],[Year_Birth]]&gt;=1900,Audit_Data[[#This Row],[Year_Birth]]&lt;=2010),"OK","Invalid")</f>
        <v>OK</v>
      </c>
      <c r="AF1361" t="str">
        <f t="shared" si="274"/>
        <v>Valid</v>
      </c>
      <c r="AG1361" t="str">
        <f t="shared" si="275"/>
        <v>Valid</v>
      </c>
      <c r="AH1361" t="str">
        <f t="shared" si="276"/>
        <v>Valid</v>
      </c>
      <c r="AI1361" t="str">
        <f t="shared" si="277"/>
        <v>Valid</v>
      </c>
      <c r="AJ1361" t="str">
        <f t="shared" si="278"/>
        <v>Valid</v>
      </c>
      <c r="AK1361" t="str">
        <f t="shared" si="285"/>
        <v xml:space="preserve">Valid </v>
      </c>
      <c r="AL1361" t="str">
        <f>IF(AND(Audit_Data[[#This Row],[Recency]]&gt;=0,Audit_Data[[#This Row],[Recency]]&lt;=100),"Valid","Invalid")</f>
        <v>Valid</v>
      </c>
      <c r="AM1361" t="str">
        <f t="shared" si="279"/>
        <v>Valid</v>
      </c>
      <c r="AN1361" t="str">
        <f t="shared" si="280"/>
        <v>Valid</v>
      </c>
      <c r="AO1361" t="str">
        <f t="shared" si="281"/>
        <v>Valid</v>
      </c>
      <c r="AP1361" t="str">
        <f t="shared" si="282"/>
        <v>Valid</v>
      </c>
      <c r="AQ1361" t="str">
        <f>IF(Audit_Data[[#This Row],[Z_CostContact]]=3,"Valid","Invalid")</f>
        <v>Valid</v>
      </c>
      <c r="AR1361" t="str">
        <f t="shared" si="283"/>
        <v>Valid</v>
      </c>
      <c r="AS1361" t="str">
        <f t="shared" si="284"/>
        <v>Valid</v>
      </c>
    </row>
    <row r="1362" spans="1:45" x14ac:dyDescent="0.3">
      <c r="A1362">
        <v>1343</v>
      </c>
      <c r="B1362">
        <v>1968</v>
      </c>
      <c r="C1362" t="s">
        <v>29</v>
      </c>
      <c r="D1362" t="s">
        <v>31</v>
      </c>
      <c r="E1362">
        <v>58554</v>
      </c>
      <c r="F1362">
        <v>1</v>
      </c>
      <c r="G1362">
        <v>1</v>
      </c>
      <c r="H1362" s="1">
        <v>41178</v>
      </c>
      <c r="I1362">
        <v>55</v>
      </c>
      <c r="J1362">
        <v>368</v>
      </c>
      <c r="K1362">
        <v>24</v>
      </c>
      <c r="L1362">
        <v>68</v>
      </c>
      <c r="M1362">
        <v>38</v>
      </c>
      <c r="N1362">
        <v>0</v>
      </c>
      <c r="O1362">
        <v>88</v>
      </c>
      <c r="P1362">
        <v>6</v>
      </c>
      <c r="Q1362">
        <v>8</v>
      </c>
      <c r="R1362">
        <v>2</v>
      </c>
      <c r="S1362">
        <v>6</v>
      </c>
      <c r="T1362">
        <v>7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3</v>
      </c>
      <c r="AB1362">
        <v>11</v>
      </c>
      <c r="AC1362">
        <v>0</v>
      </c>
      <c r="AD1362" t="str">
        <f t="shared" si="273"/>
        <v>Ok</v>
      </c>
      <c r="AE1362" t="str">
        <f>IF(AND(Audit_Data[[#This Row],[Year_Birth]]&gt;=1900,Audit_Data[[#This Row],[Year_Birth]]&lt;=2010),"OK","Invalid")</f>
        <v>OK</v>
      </c>
      <c r="AF1362" t="str">
        <f t="shared" si="274"/>
        <v>Valid</v>
      </c>
      <c r="AG1362" t="str">
        <f t="shared" si="275"/>
        <v>Valid</v>
      </c>
      <c r="AH1362" t="str">
        <f t="shared" si="276"/>
        <v>Valid</v>
      </c>
      <c r="AI1362" t="str">
        <f t="shared" si="277"/>
        <v>Valid</v>
      </c>
      <c r="AJ1362" t="str">
        <f t="shared" si="278"/>
        <v>Valid</v>
      </c>
      <c r="AK1362" t="str">
        <f t="shared" si="285"/>
        <v xml:space="preserve">Valid </v>
      </c>
      <c r="AL1362" t="str">
        <f>IF(AND(Audit_Data[[#This Row],[Recency]]&gt;=0,Audit_Data[[#This Row],[Recency]]&lt;=100),"Valid","Invalid")</f>
        <v>Valid</v>
      </c>
      <c r="AM1362" t="str">
        <f t="shared" si="279"/>
        <v>Valid</v>
      </c>
      <c r="AN1362" t="str">
        <f t="shared" si="280"/>
        <v>Valid</v>
      </c>
      <c r="AO1362" t="str">
        <f t="shared" si="281"/>
        <v>Valid</v>
      </c>
      <c r="AP1362" t="str">
        <f t="shared" si="282"/>
        <v>Valid</v>
      </c>
      <c r="AQ1362" t="str">
        <f>IF(Audit_Data[[#This Row],[Z_CostContact]]=3,"Valid","Invalid")</f>
        <v>Valid</v>
      </c>
      <c r="AR1362" t="str">
        <f t="shared" si="283"/>
        <v>Valid</v>
      </c>
      <c r="AS1362" t="str">
        <f t="shared" si="284"/>
        <v>Valid</v>
      </c>
    </row>
    <row r="1363" spans="1:45" x14ac:dyDescent="0.3">
      <c r="A1363">
        <v>1384</v>
      </c>
      <c r="B1363">
        <v>1992</v>
      </c>
      <c r="C1363" t="s">
        <v>36</v>
      </c>
      <c r="D1363" t="s">
        <v>33</v>
      </c>
      <c r="E1363">
        <v>17256</v>
      </c>
      <c r="F1363">
        <v>1</v>
      </c>
      <c r="G1363">
        <v>0</v>
      </c>
      <c r="H1363" s="1">
        <v>41601</v>
      </c>
      <c r="I1363">
        <v>10</v>
      </c>
      <c r="J1363">
        <v>6</v>
      </c>
      <c r="K1363">
        <v>4</v>
      </c>
      <c r="L1363">
        <v>14</v>
      </c>
      <c r="M1363">
        <v>8</v>
      </c>
      <c r="N1363">
        <v>8</v>
      </c>
      <c r="O1363">
        <v>22</v>
      </c>
      <c r="P1363">
        <v>2</v>
      </c>
      <c r="Q1363">
        <v>2</v>
      </c>
      <c r="R1363">
        <v>1</v>
      </c>
      <c r="S1363">
        <v>2</v>
      </c>
      <c r="T1363">
        <v>8</v>
      </c>
      <c r="U1363">
        <v>1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3</v>
      </c>
      <c r="AB1363">
        <v>11</v>
      </c>
      <c r="AC1363">
        <v>0</v>
      </c>
      <c r="AD1363" t="str">
        <f t="shared" si="273"/>
        <v>Ok</v>
      </c>
      <c r="AE1363" t="str">
        <f>IF(AND(Audit_Data[[#This Row],[Year_Birth]]&gt;=1900,Audit_Data[[#This Row],[Year_Birth]]&lt;=2010),"OK","Invalid")</f>
        <v>OK</v>
      </c>
      <c r="AF1363" t="str">
        <f t="shared" si="274"/>
        <v>Valid</v>
      </c>
      <c r="AG1363" t="str">
        <f t="shared" si="275"/>
        <v>Valid</v>
      </c>
      <c r="AH1363" t="str">
        <f t="shared" si="276"/>
        <v>Valid</v>
      </c>
      <c r="AI1363" t="str">
        <f t="shared" si="277"/>
        <v>Valid</v>
      </c>
      <c r="AJ1363" t="str">
        <f t="shared" si="278"/>
        <v>Valid</v>
      </c>
      <c r="AK1363" t="str">
        <f t="shared" si="285"/>
        <v xml:space="preserve">Valid </v>
      </c>
      <c r="AL1363" t="str">
        <f>IF(AND(Audit_Data[[#This Row],[Recency]]&gt;=0,Audit_Data[[#This Row],[Recency]]&lt;=100),"Valid","Invalid")</f>
        <v>Valid</v>
      </c>
      <c r="AM1363" t="str">
        <f t="shared" si="279"/>
        <v>Valid</v>
      </c>
      <c r="AN1363" t="str">
        <f t="shared" si="280"/>
        <v>Valid</v>
      </c>
      <c r="AO1363" t="str">
        <f t="shared" si="281"/>
        <v>Valid</v>
      </c>
      <c r="AP1363" t="str">
        <f t="shared" si="282"/>
        <v>Valid</v>
      </c>
      <c r="AQ1363" t="str">
        <f>IF(Audit_Data[[#This Row],[Z_CostContact]]=3,"Valid","Invalid")</f>
        <v>Valid</v>
      </c>
      <c r="AR1363" t="str">
        <f t="shared" si="283"/>
        <v>Valid</v>
      </c>
      <c r="AS1363" t="str">
        <f t="shared" si="284"/>
        <v>Valid</v>
      </c>
    </row>
    <row r="1364" spans="1:45" x14ac:dyDescent="0.3">
      <c r="A1364">
        <v>9967</v>
      </c>
      <c r="B1364">
        <v>1974</v>
      </c>
      <c r="C1364" t="s">
        <v>29</v>
      </c>
      <c r="D1364" t="s">
        <v>35</v>
      </c>
      <c r="E1364">
        <v>53034</v>
      </c>
      <c r="F1364">
        <v>1</v>
      </c>
      <c r="G1364">
        <v>1</v>
      </c>
      <c r="H1364" s="1">
        <v>41424</v>
      </c>
      <c r="I1364">
        <v>30</v>
      </c>
      <c r="J1364">
        <v>160</v>
      </c>
      <c r="K1364">
        <v>15</v>
      </c>
      <c r="L1364">
        <v>196</v>
      </c>
      <c r="M1364">
        <v>15</v>
      </c>
      <c r="N1364">
        <v>11</v>
      </c>
      <c r="O1364">
        <v>50</v>
      </c>
      <c r="P1364">
        <v>8</v>
      </c>
      <c r="Q1364">
        <v>6</v>
      </c>
      <c r="R1364">
        <v>1</v>
      </c>
      <c r="S1364">
        <v>7</v>
      </c>
      <c r="T1364">
        <v>8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3</v>
      </c>
      <c r="AB1364">
        <v>11</v>
      </c>
      <c r="AC1364">
        <v>0</v>
      </c>
      <c r="AD1364" t="str">
        <f t="shared" si="273"/>
        <v>Ok</v>
      </c>
      <c r="AE1364" t="str">
        <f>IF(AND(Audit_Data[[#This Row],[Year_Birth]]&gt;=1900,Audit_Data[[#This Row],[Year_Birth]]&lt;=2010),"OK","Invalid")</f>
        <v>OK</v>
      </c>
      <c r="AF1364" t="str">
        <f t="shared" si="274"/>
        <v>Valid</v>
      </c>
      <c r="AG1364" t="str">
        <f t="shared" si="275"/>
        <v>Valid</v>
      </c>
      <c r="AH1364" t="str">
        <f t="shared" si="276"/>
        <v>Valid</v>
      </c>
      <c r="AI1364" t="str">
        <f t="shared" si="277"/>
        <v>Valid</v>
      </c>
      <c r="AJ1364" t="str">
        <f t="shared" si="278"/>
        <v>Valid</v>
      </c>
      <c r="AK1364" t="str">
        <f t="shared" si="285"/>
        <v xml:space="preserve">Valid </v>
      </c>
      <c r="AL1364" t="str">
        <f>IF(AND(Audit_Data[[#This Row],[Recency]]&gt;=0,Audit_Data[[#This Row],[Recency]]&lt;=100),"Valid","Invalid")</f>
        <v>Valid</v>
      </c>
      <c r="AM1364" t="str">
        <f t="shared" si="279"/>
        <v>Valid</v>
      </c>
      <c r="AN1364" t="str">
        <f t="shared" si="280"/>
        <v>Valid</v>
      </c>
      <c r="AO1364" t="str">
        <f t="shared" si="281"/>
        <v>Valid</v>
      </c>
      <c r="AP1364" t="str">
        <f t="shared" si="282"/>
        <v>Valid</v>
      </c>
      <c r="AQ1364" t="str">
        <f>IF(Audit_Data[[#This Row],[Z_CostContact]]=3,"Valid","Invalid")</f>
        <v>Valid</v>
      </c>
      <c r="AR1364" t="str">
        <f t="shared" si="283"/>
        <v>Valid</v>
      </c>
      <c r="AS1364" t="str">
        <f t="shared" si="284"/>
        <v>Valid</v>
      </c>
    </row>
    <row r="1365" spans="1:45" x14ac:dyDescent="0.3">
      <c r="A1365">
        <v>6181</v>
      </c>
      <c r="B1365">
        <v>1950</v>
      </c>
      <c r="C1365" t="s">
        <v>37</v>
      </c>
      <c r="D1365" t="s">
        <v>31</v>
      </c>
      <c r="E1365">
        <v>52203</v>
      </c>
      <c r="F1365">
        <v>0</v>
      </c>
      <c r="G1365">
        <v>0</v>
      </c>
      <c r="H1365" s="1">
        <v>41121</v>
      </c>
      <c r="I1365">
        <v>36</v>
      </c>
      <c r="J1365">
        <v>488</v>
      </c>
      <c r="K1365">
        <v>21</v>
      </c>
      <c r="L1365">
        <v>238</v>
      </c>
      <c r="M1365">
        <v>56</v>
      </c>
      <c r="N1365">
        <v>108</v>
      </c>
      <c r="O1365">
        <v>28</v>
      </c>
      <c r="P1365">
        <v>1</v>
      </c>
      <c r="Q1365">
        <v>8</v>
      </c>
      <c r="R1365">
        <v>7</v>
      </c>
      <c r="S1365">
        <v>11</v>
      </c>
      <c r="T1365">
        <v>6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3</v>
      </c>
      <c r="AB1365">
        <v>11</v>
      </c>
      <c r="AC1365">
        <v>0</v>
      </c>
      <c r="AD1365" t="str">
        <f t="shared" si="273"/>
        <v>Ok</v>
      </c>
      <c r="AE1365" t="str">
        <f>IF(AND(Audit_Data[[#This Row],[Year_Birth]]&gt;=1900,Audit_Data[[#This Row],[Year_Birth]]&lt;=2010),"OK","Invalid")</f>
        <v>OK</v>
      </c>
      <c r="AF1365" t="str">
        <f t="shared" si="274"/>
        <v>Valid</v>
      </c>
      <c r="AG1365" t="str">
        <f t="shared" si="275"/>
        <v>Valid</v>
      </c>
      <c r="AH1365" t="str">
        <f t="shared" si="276"/>
        <v>Valid</v>
      </c>
      <c r="AI1365" t="str">
        <f t="shared" si="277"/>
        <v>Valid</v>
      </c>
      <c r="AJ1365" t="str">
        <f t="shared" si="278"/>
        <v>Valid</v>
      </c>
      <c r="AK1365" t="str">
        <f t="shared" si="285"/>
        <v xml:space="preserve">Valid </v>
      </c>
      <c r="AL1365" t="str">
        <f>IF(AND(Audit_Data[[#This Row],[Recency]]&gt;=0,Audit_Data[[#This Row],[Recency]]&lt;=100),"Valid","Invalid")</f>
        <v>Valid</v>
      </c>
      <c r="AM1365" t="str">
        <f t="shared" si="279"/>
        <v>Valid</v>
      </c>
      <c r="AN1365" t="str">
        <f t="shared" si="280"/>
        <v>Valid</v>
      </c>
      <c r="AO1365" t="str">
        <f t="shared" si="281"/>
        <v>Valid</v>
      </c>
      <c r="AP1365" t="str">
        <f t="shared" si="282"/>
        <v>Valid</v>
      </c>
      <c r="AQ1365" t="str">
        <f>IF(Audit_Data[[#This Row],[Z_CostContact]]=3,"Valid","Invalid")</f>
        <v>Valid</v>
      </c>
      <c r="AR1365" t="str">
        <f t="shared" si="283"/>
        <v>Valid</v>
      </c>
      <c r="AS1365" t="str">
        <f t="shared" si="284"/>
        <v>Valid</v>
      </c>
    </row>
    <row r="1366" spans="1:45" x14ac:dyDescent="0.3">
      <c r="A1366">
        <v>10507</v>
      </c>
      <c r="B1366">
        <v>1977</v>
      </c>
      <c r="C1366" t="s">
        <v>37</v>
      </c>
      <c r="D1366" t="s">
        <v>35</v>
      </c>
      <c r="E1366">
        <v>59601</v>
      </c>
      <c r="F1366">
        <v>0</v>
      </c>
      <c r="G1366">
        <v>1</v>
      </c>
      <c r="H1366" s="1">
        <v>41480</v>
      </c>
      <c r="I1366">
        <v>14</v>
      </c>
      <c r="J1366">
        <v>691</v>
      </c>
      <c r="K1366">
        <v>7</v>
      </c>
      <c r="L1366">
        <v>69</v>
      </c>
      <c r="M1366">
        <v>0</v>
      </c>
      <c r="N1366">
        <v>7</v>
      </c>
      <c r="O1366">
        <v>23</v>
      </c>
      <c r="P1366">
        <v>4</v>
      </c>
      <c r="Q1366">
        <v>2</v>
      </c>
      <c r="R1366">
        <v>2</v>
      </c>
      <c r="S1366">
        <v>7</v>
      </c>
      <c r="T1366">
        <v>8</v>
      </c>
      <c r="U1366">
        <v>0</v>
      </c>
      <c r="V1366">
        <v>1</v>
      </c>
      <c r="W1366">
        <v>0</v>
      </c>
      <c r="X1366">
        <v>0</v>
      </c>
      <c r="Y1366">
        <v>0</v>
      </c>
      <c r="Z1366">
        <v>0</v>
      </c>
      <c r="AA1366">
        <v>3</v>
      </c>
      <c r="AB1366">
        <v>11</v>
      </c>
      <c r="AC1366">
        <v>0</v>
      </c>
      <c r="AD1366" t="str">
        <f t="shared" si="273"/>
        <v>Ok</v>
      </c>
      <c r="AE1366" t="str">
        <f>IF(AND(Audit_Data[[#This Row],[Year_Birth]]&gt;=1900,Audit_Data[[#This Row],[Year_Birth]]&lt;=2010),"OK","Invalid")</f>
        <v>OK</v>
      </c>
      <c r="AF1366" t="str">
        <f t="shared" si="274"/>
        <v>Valid</v>
      </c>
      <c r="AG1366" t="str">
        <f t="shared" si="275"/>
        <v>Valid</v>
      </c>
      <c r="AH1366" t="str">
        <f t="shared" si="276"/>
        <v>Valid</v>
      </c>
      <c r="AI1366" t="str">
        <f t="shared" si="277"/>
        <v>Valid</v>
      </c>
      <c r="AJ1366" t="str">
        <f t="shared" si="278"/>
        <v>Valid</v>
      </c>
      <c r="AK1366" t="str">
        <f t="shared" si="285"/>
        <v xml:space="preserve">Valid </v>
      </c>
      <c r="AL1366" t="str">
        <f>IF(AND(Audit_Data[[#This Row],[Recency]]&gt;=0,Audit_Data[[#This Row],[Recency]]&lt;=100),"Valid","Invalid")</f>
        <v>Valid</v>
      </c>
      <c r="AM1366" t="str">
        <f t="shared" si="279"/>
        <v>Valid</v>
      </c>
      <c r="AN1366" t="str">
        <f t="shared" si="280"/>
        <v>Valid</v>
      </c>
      <c r="AO1366" t="str">
        <f t="shared" si="281"/>
        <v>Valid</v>
      </c>
      <c r="AP1366" t="str">
        <f t="shared" si="282"/>
        <v>Valid</v>
      </c>
      <c r="AQ1366" t="str">
        <f>IF(Audit_Data[[#This Row],[Z_CostContact]]=3,"Valid","Invalid")</f>
        <v>Valid</v>
      </c>
      <c r="AR1366" t="str">
        <f t="shared" si="283"/>
        <v>Valid</v>
      </c>
      <c r="AS1366" t="str">
        <f t="shared" si="284"/>
        <v>Valid</v>
      </c>
    </row>
    <row r="1367" spans="1:45" x14ac:dyDescent="0.3">
      <c r="A1367">
        <v>2674</v>
      </c>
      <c r="B1367">
        <v>1958</v>
      </c>
      <c r="C1367" t="s">
        <v>34</v>
      </c>
      <c r="D1367" t="s">
        <v>30</v>
      </c>
      <c r="E1367">
        <v>75154</v>
      </c>
      <c r="F1367">
        <v>0</v>
      </c>
      <c r="G1367">
        <v>1</v>
      </c>
      <c r="H1367" s="1">
        <v>41156</v>
      </c>
      <c r="I1367">
        <v>79</v>
      </c>
      <c r="J1367">
        <v>543</v>
      </c>
      <c r="K1367">
        <v>10</v>
      </c>
      <c r="L1367">
        <v>205</v>
      </c>
      <c r="M1367">
        <v>160</v>
      </c>
      <c r="N1367">
        <v>143</v>
      </c>
      <c r="O1367">
        <v>82</v>
      </c>
      <c r="P1367">
        <v>1</v>
      </c>
      <c r="Q1367">
        <v>6</v>
      </c>
      <c r="R1367">
        <v>3</v>
      </c>
      <c r="S1367">
        <v>6</v>
      </c>
      <c r="T1367">
        <v>3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3</v>
      </c>
      <c r="AB1367">
        <v>11</v>
      </c>
      <c r="AC1367">
        <v>1</v>
      </c>
      <c r="AD1367" t="str">
        <f t="shared" si="273"/>
        <v>Ok</v>
      </c>
      <c r="AE1367" t="str">
        <f>IF(AND(Audit_Data[[#This Row],[Year_Birth]]&gt;=1900,Audit_Data[[#This Row],[Year_Birth]]&lt;=2010),"OK","Invalid")</f>
        <v>OK</v>
      </c>
      <c r="AF1367" t="str">
        <f t="shared" si="274"/>
        <v>Valid</v>
      </c>
      <c r="AG1367" t="str">
        <f t="shared" si="275"/>
        <v>Valid</v>
      </c>
      <c r="AH1367" t="str">
        <f t="shared" si="276"/>
        <v>Valid</v>
      </c>
      <c r="AI1367" t="str">
        <f t="shared" si="277"/>
        <v>Valid</v>
      </c>
      <c r="AJ1367" t="str">
        <f t="shared" si="278"/>
        <v>Valid</v>
      </c>
      <c r="AK1367" t="str">
        <f t="shared" si="285"/>
        <v xml:space="preserve">Valid </v>
      </c>
      <c r="AL1367" t="str">
        <f>IF(AND(Audit_Data[[#This Row],[Recency]]&gt;=0,Audit_Data[[#This Row],[Recency]]&lt;=100),"Valid","Invalid")</f>
        <v>Valid</v>
      </c>
      <c r="AM1367" t="str">
        <f t="shared" si="279"/>
        <v>Valid</v>
      </c>
      <c r="AN1367" t="str">
        <f t="shared" si="280"/>
        <v>Valid</v>
      </c>
      <c r="AO1367" t="str">
        <f t="shared" si="281"/>
        <v>Valid</v>
      </c>
      <c r="AP1367" t="str">
        <f t="shared" si="282"/>
        <v>Valid</v>
      </c>
      <c r="AQ1367" t="str">
        <f>IF(Audit_Data[[#This Row],[Z_CostContact]]=3,"Valid","Invalid")</f>
        <v>Valid</v>
      </c>
      <c r="AR1367" t="str">
        <f t="shared" si="283"/>
        <v>Valid</v>
      </c>
      <c r="AS1367" t="str">
        <f t="shared" si="284"/>
        <v>Valid</v>
      </c>
    </row>
    <row r="1368" spans="1:45" x14ac:dyDescent="0.3">
      <c r="A1368">
        <v>2698</v>
      </c>
      <c r="B1368">
        <v>1976</v>
      </c>
      <c r="C1368" t="s">
        <v>29</v>
      </c>
      <c r="D1368" t="s">
        <v>30</v>
      </c>
      <c r="E1368">
        <v>47025</v>
      </c>
      <c r="F1368">
        <v>0</v>
      </c>
      <c r="G1368">
        <v>1</v>
      </c>
      <c r="H1368" s="1">
        <v>41585</v>
      </c>
      <c r="I1368">
        <v>52</v>
      </c>
      <c r="J1368">
        <v>254</v>
      </c>
      <c r="K1368">
        <v>7</v>
      </c>
      <c r="L1368">
        <v>108</v>
      </c>
      <c r="M1368">
        <v>20</v>
      </c>
      <c r="N1368">
        <v>0</v>
      </c>
      <c r="O1368">
        <v>26</v>
      </c>
      <c r="P1368">
        <v>3</v>
      </c>
      <c r="Q1368">
        <v>6</v>
      </c>
      <c r="R1368">
        <v>3</v>
      </c>
      <c r="S1368">
        <v>5</v>
      </c>
      <c r="T1368">
        <v>6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3</v>
      </c>
      <c r="AB1368">
        <v>11</v>
      </c>
      <c r="AC1368">
        <v>0</v>
      </c>
      <c r="AD1368" t="str">
        <f t="shared" si="273"/>
        <v>Ok</v>
      </c>
      <c r="AE1368" t="str">
        <f>IF(AND(Audit_Data[[#This Row],[Year_Birth]]&gt;=1900,Audit_Data[[#This Row],[Year_Birth]]&lt;=2010),"OK","Invalid")</f>
        <v>OK</v>
      </c>
      <c r="AF1368" t="str">
        <f t="shared" si="274"/>
        <v>Valid</v>
      </c>
      <c r="AG1368" t="str">
        <f t="shared" si="275"/>
        <v>Valid</v>
      </c>
      <c r="AH1368" t="str">
        <f t="shared" si="276"/>
        <v>Valid</v>
      </c>
      <c r="AI1368" t="str">
        <f t="shared" si="277"/>
        <v>Valid</v>
      </c>
      <c r="AJ1368" t="str">
        <f t="shared" si="278"/>
        <v>Valid</v>
      </c>
      <c r="AK1368" t="str">
        <f t="shared" si="285"/>
        <v xml:space="preserve">Valid </v>
      </c>
      <c r="AL1368" t="str">
        <f>IF(AND(Audit_Data[[#This Row],[Recency]]&gt;=0,Audit_Data[[#This Row],[Recency]]&lt;=100),"Valid","Invalid")</f>
        <v>Valid</v>
      </c>
      <c r="AM1368" t="str">
        <f t="shared" si="279"/>
        <v>Valid</v>
      </c>
      <c r="AN1368" t="str">
        <f t="shared" si="280"/>
        <v>Valid</v>
      </c>
      <c r="AO1368" t="str">
        <f t="shared" si="281"/>
        <v>Valid</v>
      </c>
      <c r="AP1368" t="str">
        <f t="shared" si="282"/>
        <v>Valid</v>
      </c>
      <c r="AQ1368" t="str">
        <f>IF(Audit_Data[[#This Row],[Z_CostContact]]=3,"Valid","Invalid")</f>
        <v>Valid</v>
      </c>
      <c r="AR1368" t="str">
        <f t="shared" si="283"/>
        <v>Valid</v>
      </c>
      <c r="AS1368" t="str">
        <f t="shared" si="284"/>
        <v>Valid</v>
      </c>
    </row>
    <row r="1369" spans="1:45" x14ac:dyDescent="0.3">
      <c r="A1369">
        <v>3231</v>
      </c>
      <c r="B1369">
        <v>1973</v>
      </c>
      <c r="C1369" t="s">
        <v>29</v>
      </c>
      <c r="D1369" t="s">
        <v>33</v>
      </c>
      <c r="E1369">
        <v>37971</v>
      </c>
      <c r="F1369">
        <v>1</v>
      </c>
      <c r="G1369">
        <v>0</v>
      </c>
      <c r="H1369" s="1">
        <v>41603</v>
      </c>
      <c r="I1369">
        <v>97</v>
      </c>
      <c r="J1369">
        <v>5</v>
      </c>
      <c r="K1369">
        <v>4</v>
      </c>
      <c r="L1369">
        <v>10</v>
      </c>
      <c r="M1369">
        <v>2</v>
      </c>
      <c r="N1369">
        <v>2</v>
      </c>
      <c r="O1369">
        <v>7</v>
      </c>
      <c r="P1369">
        <v>1</v>
      </c>
      <c r="Q1369">
        <v>1</v>
      </c>
      <c r="R1369">
        <v>0</v>
      </c>
      <c r="S1369">
        <v>3</v>
      </c>
      <c r="T1369">
        <v>8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3</v>
      </c>
      <c r="AB1369">
        <v>11</v>
      </c>
      <c r="AC1369">
        <v>0</v>
      </c>
      <c r="AD1369" t="str">
        <f t="shared" si="273"/>
        <v>Ok</v>
      </c>
      <c r="AE1369" t="str">
        <f>IF(AND(Audit_Data[[#This Row],[Year_Birth]]&gt;=1900,Audit_Data[[#This Row],[Year_Birth]]&lt;=2010),"OK","Invalid")</f>
        <v>OK</v>
      </c>
      <c r="AF1369" t="str">
        <f t="shared" si="274"/>
        <v>Valid</v>
      </c>
      <c r="AG1369" t="str">
        <f t="shared" si="275"/>
        <v>Valid</v>
      </c>
      <c r="AH1369" t="str">
        <f t="shared" si="276"/>
        <v>Valid</v>
      </c>
      <c r="AI1369" t="str">
        <f t="shared" si="277"/>
        <v>Valid</v>
      </c>
      <c r="AJ1369" t="str">
        <f t="shared" si="278"/>
        <v>Valid</v>
      </c>
      <c r="AK1369" t="str">
        <f t="shared" si="285"/>
        <v xml:space="preserve">Valid </v>
      </c>
      <c r="AL1369" t="str">
        <f>IF(AND(Audit_Data[[#This Row],[Recency]]&gt;=0,Audit_Data[[#This Row],[Recency]]&lt;=100),"Valid","Invalid")</f>
        <v>Valid</v>
      </c>
      <c r="AM1369" t="str">
        <f t="shared" si="279"/>
        <v>Valid</v>
      </c>
      <c r="AN1369" t="str">
        <f t="shared" si="280"/>
        <v>Valid</v>
      </c>
      <c r="AO1369" t="str">
        <f t="shared" si="281"/>
        <v>Valid</v>
      </c>
      <c r="AP1369" t="str">
        <f t="shared" si="282"/>
        <v>Valid</v>
      </c>
      <c r="AQ1369" t="str">
        <f>IF(Audit_Data[[#This Row],[Z_CostContact]]=3,"Valid","Invalid")</f>
        <v>Valid</v>
      </c>
      <c r="AR1369" t="str">
        <f t="shared" si="283"/>
        <v>Valid</v>
      </c>
      <c r="AS1369" t="str">
        <f t="shared" si="284"/>
        <v>Valid</v>
      </c>
    </row>
    <row r="1370" spans="1:45" x14ac:dyDescent="0.3">
      <c r="A1370">
        <v>4096</v>
      </c>
      <c r="B1370">
        <v>1968</v>
      </c>
      <c r="C1370" t="s">
        <v>34</v>
      </c>
      <c r="D1370" t="s">
        <v>35</v>
      </c>
      <c r="E1370">
        <v>41335</v>
      </c>
      <c r="F1370">
        <v>1</v>
      </c>
      <c r="G1370">
        <v>0</v>
      </c>
      <c r="H1370" s="1">
        <v>41634</v>
      </c>
      <c r="I1370">
        <v>24</v>
      </c>
      <c r="J1370">
        <v>112</v>
      </c>
      <c r="K1370">
        <v>19</v>
      </c>
      <c r="L1370">
        <v>21</v>
      </c>
      <c r="M1370">
        <v>16</v>
      </c>
      <c r="N1370">
        <v>14</v>
      </c>
      <c r="O1370">
        <v>5</v>
      </c>
      <c r="P1370">
        <v>3</v>
      </c>
      <c r="Q1370">
        <v>4</v>
      </c>
      <c r="R1370">
        <v>1</v>
      </c>
      <c r="S1370">
        <v>4</v>
      </c>
      <c r="T1370">
        <v>7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3</v>
      </c>
      <c r="AB1370">
        <v>11</v>
      </c>
      <c r="AC1370">
        <v>0</v>
      </c>
      <c r="AD1370" t="str">
        <f t="shared" si="273"/>
        <v>Ok</v>
      </c>
      <c r="AE1370" t="str">
        <f>IF(AND(Audit_Data[[#This Row],[Year_Birth]]&gt;=1900,Audit_Data[[#This Row],[Year_Birth]]&lt;=2010),"OK","Invalid")</f>
        <v>OK</v>
      </c>
      <c r="AF1370" t="str">
        <f t="shared" si="274"/>
        <v>Valid</v>
      </c>
      <c r="AG1370" t="str">
        <f t="shared" si="275"/>
        <v>Valid</v>
      </c>
      <c r="AH1370" t="str">
        <f t="shared" si="276"/>
        <v>Valid</v>
      </c>
      <c r="AI1370" t="str">
        <f t="shared" si="277"/>
        <v>Valid</v>
      </c>
      <c r="AJ1370" t="str">
        <f t="shared" si="278"/>
        <v>Valid</v>
      </c>
      <c r="AK1370" t="str">
        <f t="shared" si="285"/>
        <v xml:space="preserve">Valid </v>
      </c>
      <c r="AL1370" t="str">
        <f>IF(AND(Audit_Data[[#This Row],[Recency]]&gt;=0,Audit_Data[[#This Row],[Recency]]&lt;=100),"Valid","Invalid")</f>
        <v>Valid</v>
      </c>
      <c r="AM1370" t="str">
        <f t="shared" si="279"/>
        <v>Valid</v>
      </c>
      <c r="AN1370" t="str">
        <f t="shared" si="280"/>
        <v>Valid</v>
      </c>
      <c r="AO1370" t="str">
        <f t="shared" si="281"/>
        <v>Valid</v>
      </c>
      <c r="AP1370" t="str">
        <f t="shared" si="282"/>
        <v>Valid</v>
      </c>
      <c r="AQ1370" t="str">
        <f>IF(Audit_Data[[#This Row],[Z_CostContact]]=3,"Valid","Invalid")</f>
        <v>Valid</v>
      </c>
      <c r="AR1370" t="str">
        <f t="shared" si="283"/>
        <v>Valid</v>
      </c>
      <c r="AS1370" t="str">
        <f t="shared" si="284"/>
        <v>Valid</v>
      </c>
    </row>
    <row r="1371" spans="1:45" x14ac:dyDescent="0.3">
      <c r="A1371">
        <v>10476</v>
      </c>
      <c r="B1371">
        <v>1958</v>
      </c>
      <c r="C1371" t="s">
        <v>29</v>
      </c>
      <c r="D1371" t="s">
        <v>33</v>
      </c>
      <c r="E1371">
        <v>67267</v>
      </c>
      <c r="F1371">
        <v>0</v>
      </c>
      <c r="G1371">
        <v>1</v>
      </c>
      <c r="H1371" s="1">
        <v>41772</v>
      </c>
      <c r="I1371">
        <v>0</v>
      </c>
      <c r="J1371">
        <v>134</v>
      </c>
      <c r="K1371">
        <v>11</v>
      </c>
      <c r="L1371">
        <v>59</v>
      </c>
      <c r="M1371">
        <v>15</v>
      </c>
      <c r="N1371">
        <v>2</v>
      </c>
      <c r="O1371">
        <v>30</v>
      </c>
      <c r="P1371">
        <v>1</v>
      </c>
      <c r="Q1371">
        <v>3</v>
      </c>
      <c r="R1371">
        <v>2</v>
      </c>
      <c r="S1371">
        <v>5</v>
      </c>
      <c r="T1371">
        <v>2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3</v>
      </c>
      <c r="AB1371">
        <v>11</v>
      </c>
      <c r="AC1371">
        <v>0</v>
      </c>
      <c r="AD1371" t="str">
        <f t="shared" si="273"/>
        <v>Ok</v>
      </c>
      <c r="AE1371" t="str">
        <f>IF(AND(Audit_Data[[#This Row],[Year_Birth]]&gt;=1900,Audit_Data[[#This Row],[Year_Birth]]&lt;=2010),"OK","Invalid")</f>
        <v>OK</v>
      </c>
      <c r="AF1371" t="str">
        <f t="shared" si="274"/>
        <v>Valid</v>
      </c>
      <c r="AG1371" t="str">
        <f t="shared" si="275"/>
        <v>Valid</v>
      </c>
      <c r="AH1371" t="str">
        <f t="shared" si="276"/>
        <v>Valid</v>
      </c>
      <c r="AI1371" t="str">
        <f t="shared" si="277"/>
        <v>Valid</v>
      </c>
      <c r="AJ1371" t="str">
        <f t="shared" si="278"/>
        <v>Valid</v>
      </c>
      <c r="AK1371" t="str">
        <f t="shared" si="285"/>
        <v xml:space="preserve">Valid </v>
      </c>
      <c r="AL1371" t="str">
        <f>IF(AND(Audit_Data[[#This Row],[Recency]]&gt;=0,Audit_Data[[#This Row],[Recency]]&lt;=100),"Valid","Invalid")</f>
        <v>Valid</v>
      </c>
      <c r="AM1371" t="str">
        <f t="shared" si="279"/>
        <v>Valid</v>
      </c>
      <c r="AN1371" t="str">
        <f t="shared" si="280"/>
        <v>Valid</v>
      </c>
      <c r="AO1371" t="str">
        <f t="shared" si="281"/>
        <v>Valid</v>
      </c>
      <c r="AP1371" t="str">
        <f t="shared" si="282"/>
        <v>Valid</v>
      </c>
      <c r="AQ1371" t="str">
        <f>IF(Audit_Data[[#This Row],[Z_CostContact]]=3,"Valid","Invalid")</f>
        <v>Valid</v>
      </c>
      <c r="AR1371" t="str">
        <f t="shared" si="283"/>
        <v>Valid</v>
      </c>
      <c r="AS1371" t="str">
        <f t="shared" si="284"/>
        <v>Valid</v>
      </c>
    </row>
    <row r="1372" spans="1:45" x14ac:dyDescent="0.3">
      <c r="A1372">
        <v>5948</v>
      </c>
      <c r="B1372">
        <v>1975</v>
      </c>
      <c r="C1372" t="s">
        <v>29</v>
      </c>
      <c r="D1372" t="s">
        <v>30</v>
      </c>
      <c r="E1372">
        <v>57338</v>
      </c>
      <c r="F1372">
        <v>0</v>
      </c>
      <c r="G1372">
        <v>1</v>
      </c>
      <c r="H1372" s="1">
        <v>41758</v>
      </c>
      <c r="I1372">
        <v>96</v>
      </c>
      <c r="J1372">
        <v>143</v>
      </c>
      <c r="K1372">
        <v>6</v>
      </c>
      <c r="L1372">
        <v>52</v>
      </c>
      <c r="M1372">
        <v>11</v>
      </c>
      <c r="N1372">
        <v>8</v>
      </c>
      <c r="O1372">
        <v>17</v>
      </c>
      <c r="P1372">
        <v>2</v>
      </c>
      <c r="Q1372">
        <v>4</v>
      </c>
      <c r="R1372">
        <v>1</v>
      </c>
      <c r="S1372">
        <v>5</v>
      </c>
      <c r="T1372">
        <v>5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3</v>
      </c>
      <c r="AB1372">
        <v>11</v>
      </c>
      <c r="AC1372">
        <v>0</v>
      </c>
      <c r="AD1372" t="str">
        <f t="shared" si="273"/>
        <v>Ok</v>
      </c>
      <c r="AE1372" t="str">
        <f>IF(AND(Audit_Data[[#This Row],[Year_Birth]]&gt;=1900,Audit_Data[[#This Row],[Year_Birth]]&lt;=2010),"OK","Invalid")</f>
        <v>OK</v>
      </c>
      <c r="AF1372" t="str">
        <f t="shared" si="274"/>
        <v>Valid</v>
      </c>
      <c r="AG1372" t="str">
        <f t="shared" si="275"/>
        <v>Valid</v>
      </c>
      <c r="AH1372" t="str">
        <f t="shared" si="276"/>
        <v>Valid</v>
      </c>
      <c r="AI1372" t="str">
        <f t="shared" si="277"/>
        <v>Valid</v>
      </c>
      <c r="AJ1372" t="str">
        <f t="shared" si="278"/>
        <v>Valid</v>
      </c>
      <c r="AK1372" t="str">
        <f t="shared" si="285"/>
        <v xml:space="preserve">Valid </v>
      </c>
      <c r="AL1372" t="str">
        <f>IF(AND(Audit_Data[[#This Row],[Recency]]&gt;=0,Audit_Data[[#This Row],[Recency]]&lt;=100),"Valid","Invalid")</f>
        <v>Valid</v>
      </c>
      <c r="AM1372" t="str">
        <f t="shared" si="279"/>
        <v>Valid</v>
      </c>
      <c r="AN1372" t="str">
        <f t="shared" si="280"/>
        <v>Valid</v>
      </c>
      <c r="AO1372" t="str">
        <f t="shared" si="281"/>
        <v>Valid</v>
      </c>
      <c r="AP1372" t="str">
        <f t="shared" si="282"/>
        <v>Valid</v>
      </c>
      <c r="AQ1372" t="str">
        <f>IF(Audit_Data[[#This Row],[Z_CostContact]]=3,"Valid","Invalid")</f>
        <v>Valid</v>
      </c>
      <c r="AR1372" t="str">
        <f t="shared" si="283"/>
        <v>Valid</v>
      </c>
      <c r="AS1372" t="str">
        <f t="shared" si="284"/>
        <v>Valid</v>
      </c>
    </row>
    <row r="1373" spans="1:45" x14ac:dyDescent="0.3">
      <c r="A1373">
        <v>9140</v>
      </c>
      <c r="B1373">
        <v>1960</v>
      </c>
      <c r="C1373" t="s">
        <v>37</v>
      </c>
      <c r="D1373" t="s">
        <v>31</v>
      </c>
      <c r="E1373">
        <v>50523</v>
      </c>
      <c r="F1373">
        <v>1</v>
      </c>
      <c r="G1373">
        <v>1</v>
      </c>
      <c r="H1373" s="1">
        <v>41633</v>
      </c>
      <c r="I1373">
        <v>89</v>
      </c>
      <c r="J1373">
        <v>51</v>
      </c>
      <c r="K1373">
        <v>4</v>
      </c>
      <c r="L1373">
        <v>24</v>
      </c>
      <c r="M1373">
        <v>4</v>
      </c>
      <c r="N1373">
        <v>7</v>
      </c>
      <c r="O1373">
        <v>1</v>
      </c>
      <c r="P1373">
        <v>2</v>
      </c>
      <c r="Q1373">
        <v>2</v>
      </c>
      <c r="R1373">
        <v>0</v>
      </c>
      <c r="S1373">
        <v>4</v>
      </c>
      <c r="T1373">
        <v>6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3</v>
      </c>
      <c r="AB1373">
        <v>11</v>
      </c>
      <c r="AC1373">
        <v>0</v>
      </c>
      <c r="AD1373" t="str">
        <f t="shared" si="273"/>
        <v>Ok</v>
      </c>
      <c r="AE1373" t="str">
        <f>IF(AND(Audit_Data[[#This Row],[Year_Birth]]&gt;=1900,Audit_Data[[#This Row],[Year_Birth]]&lt;=2010),"OK","Invalid")</f>
        <v>OK</v>
      </c>
      <c r="AF1373" t="str">
        <f t="shared" si="274"/>
        <v>Valid</v>
      </c>
      <c r="AG1373" t="str">
        <f t="shared" si="275"/>
        <v>Valid</v>
      </c>
      <c r="AH1373" t="str">
        <f t="shared" si="276"/>
        <v>Valid</v>
      </c>
      <c r="AI1373" t="str">
        <f t="shared" si="277"/>
        <v>Valid</v>
      </c>
      <c r="AJ1373" t="str">
        <f t="shared" si="278"/>
        <v>Valid</v>
      </c>
      <c r="AK1373" t="str">
        <f t="shared" si="285"/>
        <v xml:space="preserve">Valid </v>
      </c>
      <c r="AL1373" t="str">
        <f>IF(AND(Audit_Data[[#This Row],[Recency]]&gt;=0,Audit_Data[[#This Row],[Recency]]&lt;=100),"Valid","Invalid")</f>
        <v>Valid</v>
      </c>
      <c r="AM1373" t="str">
        <f t="shared" si="279"/>
        <v>Valid</v>
      </c>
      <c r="AN1373" t="str">
        <f t="shared" si="280"/>
        <v>Valid</v>
      </c>
      <c r="AO1373" t="str">
        <f t="shared" si="281"/>
        <v>Valid</v>
      </c>
      <c r="AP1373" t="str">
        <f t="shared" si="282"/>
        <v>Valid</v>
      </c>
      <c r="AQ1373" t="str">
        <f>IF(Audit_Data[[#This Row],[Z_CostContact]]=3,"Valid","Invalid")</f>
        <v>Valid</v>
      </c>
      <c r="AR1373" t="str">
        <f t="shared" si="283"/>
        <v>Valid</v>
      </c>
      <c r="AS1373" t="str">
        <f t="shared" si="284"/>
        <v>Valid</v>
      </c>
    </row>
    <row r="1374" spans="1:45" x14ac:dyDescent="0.3">
      <c r="A1374">
        <v>10258</v>
      </c>
      <c r="B1374">
        <v>1965</v>
      </c>
      <c r="C1374" t="s">
        <v>34</v>
      </c>
      <c r="D1374" t="s">
        <v>30</v>
      </c>
      <c r="E1374">
        <v>35791</v>
      </c>
      <c r="F1374">
        <v>2</v>
      </c>
      <c r="G1374">
        <v>1</v>
      </c>
      <c r="H1374" s="1">
        <v>41400</v>
      </c>
      <c r="I1374">
        <v>94</v>
      </c>
      <c r="J1374">
        <v>27</v>
      </c>
      <c r="K1374">
        <v>0</v>
      </c>
      <c r="L1374">
        <v>5</v>
      </c>
      <c r="M1374">
        <v>0</v>
      </c>
      <c r="N1374">
        <v>0</v>
      </c>
      <c r="O1374">
        <v>3</v>
      </c>
      <c r="P1374">
        <v>2</v>
      </c>
      <c r="Q1374">
        <v>1</v>
      </c>
      <c r="R1374">
        <v>0</v>
      </c>
      <c r="S1374">
        <v>3</v>
      </c>
      <c r="T1374">
        <v>8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3</v>
      </c>
      <c r="AB1374">
        <v>11</v>
      </c>
      <c r="AC1374">
        <v>0</v>
      </c>
      <c r="AD1374" t="str">
        <f t="shared" si="273"/>
        <v>Ok</v>
      </c>
      <c r="AE1374" t="str">
        <f>IF(AND(Audit_Data[[#This Row],[Year_Birth]]&gt;=1900,Audit_Data[[#This Row],[Year_Birth]]&lt;=2010),"OK","Invalid")</f>
        <v>OK</v>
      </c>
      <c r="AF1374" t="str">
        <f t="shared" si="274"/>
        <v>Valid</v>
      </c>
      <c r="AG1374" t="str">
        <f t="shared" si="275"/>
        <v>Valid</v>
      </c>
      <c r="AH1374" t="str">
        <f t="shared" si="276"/>
        <v>Valid</v>
      </c>
      <c r="AI1374" t="str">
        <f t="shared" si="277"/>
        <v>Valid</v>
      </c>
      <c r="AJ1374" t="str">
        <f t="shared" si="278"/>
        <v>Valid</v>
      </c>
      <c r="AK1374" t="str">
        <f t="shared" si="285"/>
        <v xml:space="preserve">Valid </v>
      </c>
      <c r="AL1374" t="str">
        <f>IF(AND(Audit_Data[[#This Row],[Recency]]&gt;=0,Audit_Data[[#This Row],[Recency]]&lt;=100),"Valid","Invalid")</f>
        <v>Valid</v>
      </c>
      <c r="AM1374" t="str">
        <f t="shared" si="279"/>
        <v>Valid</v>
      </c>
      <c r="AN1374" t="str">
        <f t="shared" si="280"/>
        <v>Valid</v>
      </c>
      <c r="AO1374" t="str">
        <f t="shared" si="281"/>
        <v>Valid</v>
      </c>
      <c r="AP1374" t="str">
        <f t="shared" si="282"/>
        <v>Valid</v>
      </c>
      <c r="AQ1374" t="str">
        <f>IF(Audit_Data[[#This Row],[Z_CostContact]]=3,"Valid","Invalid")</f>
        <v>Valid</v>
      </c>
      <c r="AR1374" t="str">
        <f t="shared" si="283"/>
        <v>Valid</v>
      </c>
      <c r="AS1374" t="str">
        <f t="shared" si="284"/>
        <v>Valid</v>
      </c>
    </row>
    <row r="1375" spans="1:45" x14ac:dyDescent="0.3">
      <c r="A1375">
        <v>5675</v>
      </c>
      <c r="B1375">
        <v>1960</v>
      </c>
      <c r="C1375" t="s">
        <v>32</v>
      </c>
      <c r="D1375" t="s">
        <v>35</v>
      </c>
      <c r="E1375">
        <v>50611</v>
      </c>
      <c r="F1375">
        <v>0</v>
      </c>
      <c r="G1375">
        <v>1</v>
      </c>
      <c r="H1375" s="1">
        <v>41186</v>
      </c>
      <c r="I1375">
        <v>98</v>
      </c>
      <c r="J1375">
        <v>459</v>
      </c>
      <c r="K1375">
        <v>0</v>
      </c>
      <c r="L1375">
        <v>24</v>
      </c>
      <c r="M1375">
        <v>6</v>
      </c>
      <c r="N1375">
        <v>0</v>
      </c>
      <c r="O1375">
        <v>4</v>
      </c>
      <c r="P1375">
        <v>6</v>
      </c>
      <c r="Q1375">
        <v>4</v>
      </c>
      <c r="R1375">
        <v>5</v>
      </c>
      <c r="S1375">
        <v>7</v>
      </c>
      <c r="T1375">
        <v>6</v>
      </c>
      <c r="U1375">
        <v>0</v>
      </c>
      <c r="V1375">
        <v>1</v>
      </c>
      <c r="W1375">
        <v>0</v>
      </c>
      <c r="X1375">
        <v>0</v>
      </c>
      <c r="Y1375">
        <v>0</v>
      </c>
      <c r="Z1375">
        <v>0</v>
      </c>
      <c r="AA1375">
        <v>3</v>
      </c>
      <c r="AB1375">
        <v>11</v>
      </c>
      <c r="AC1375">
        <v>0</v>
      </c>
      <c r="AD1375" t="str">
        <f t="shared" si="273"/>
        <v>Ok</v>
      </c>
      <c r="AE1375" t="str">
        <f>IF(AND(Audit_Data[[#This Row],[Year_Birth]]&gt;=1900,Audit_Data[[#This Row],[Year_Birth]]&lt;=2010),"OK","Invalid")</f>
        <v>OK</v>
      </c>
      <c r="AF1375" t="str">
        <f t="shared" si="274"/>
        <v>Valid</v>
      </c>
      <c r="AG1375" t="str">
        <f t="shared" si="275"/>
        <v>Valid</v>
      </c>
      <c r="AH1375" t="str">
        <f t="shared" si="276"/>
        <v>Valid</v>
      </c>
      <c r="AI1375" t="str">
        <f t="shared" si="277"/>
        <v>Valid</v>
      </c>
      <c r="AJ1375" t="str">
        <f t="shared" si="278"/>
        <v>Valid</v>
      </c>
      <c r="AK1375" t="str">
        <f t="shared" si="285"/>
        <v xml:space="preserve">Valid </v>
      </c>
      <c r="AL1375" t="str">
        <f>IF(AND(Audit_Data[[#This Row],[Recency]]&gt;=0,Audit_Data[[#This Row],[Recency]]&lt;=100),"Valid","Invalid")</f>
        <v>Valid</v>
      </c>
      <c r="AM1375" t="str">
        <f t="shared" si="279"/>
        <v>Valid</v>
      </c>
      <c r="AN1375" t="str">
        <f t="shared" si="280"/>
        <v>Valid</v>
      </c>
      <c r="AO1375" t="str">
        <f t="shared" si="281"/>
        <v>Valid</v>
      </c>
      <c r="AP1375" t="str">
        <f t="shared" si="282"/>
        <v>Valid</v>
      </c>
      <c r="AQ1375" t="str">
        <f>IF(Audit_Data[[#This Row],[Z_CostContact]]=3,"Valid","Invalid")</f>
        <v>Valid</v>
      </c>
      <c r="AR1375" t="str">
        <f t="shared" si="283"/>
        <v>Valid</v>
      </c>
      <c r="AS1375" t="str">
        <f t="shared" si="284"/>
        <v>Valid</v>
      </c>
    </row>
    <row r="1376" spans="1:45" x14ac:dyDescent="0.3">
      <c r="A1376">
        <v>4743</v>
      </c>
      <c r="B1376">
        <v>1969</v>
      </c>
      <c r="C1376" t="s">
        <v>32</v>
      </c>
      <c r="D1376" t="s">
        <v>33</v>
      </c>
      <c r="E1376">
        <v>56242</v>
      </c>
      <c r="F1376">
        <v>0</v>
      </c>
      <c r="G1376">
        <v>1</v>
      </c>
      <c r="H1376" s="1">
        <v>41336</v>
      </c>
      <c r="I1376">
        <v>72</v>
      </c>
      <c r="J1376">
        <v>689</v>
      </c>
      <c r="K1376">
        <v>8</v>
      </c>
      <c r="L1376">
        <v>167</v>
      </c>
      <c r="M1376">
        <v>11</v>
      </c>
      <c r="N1376">
        <v>8</v>
      </c>
      <c r="O1376">
        <v>88</v>
      </c>
      <c r="P1376">
        <v>5</v>
      </c>
      <c r="Q1376">
        <v>8</v>
      </c>
      <c r="R1376">
        <v>4</v>
      </c>
      <c r="S1376">
        <v>11</v>
      </c>
      <c r="T1376">
        <v>6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3</v>
      </c>
      <c r="AB1376">
        <v>11</v>
      </c>
      <c r="AC1376">
        <v>0</v>
      </c>
      <c r="AD1376" t="str">
        <f t="shared" si="273"/>
        <v>Ok</v>
      </c>
      <c r="AE1376" t="str">
        <f>IF(AND(Audit_Data[[#This Row],[Year_Birth]]&gt;=1900,Audit_Data[[#This Row],[Year_Birth]]&lt;=2010),"OK","Invalid")</f>
        <v>OK</v>
      </c>
      <c r="AF1376" t="str">
        <f t="shared" si="274"/>
        <v>Valid</v>
      </c>
      <c r="AG1376" t="str">
        <f t="shared" si="275"/>
        <v>Valid</v>
      </c>
      <c r="AH1376" t="str">
        <f t="shared" si="276"/>
        <v>Valid</v>
      </c>
      <c r="AI1376" t="str">
        <f t="shared" si="277"/>
        <v>Valid</v>
      </c>
      <c r="AJ1376" t="str">
        <f t="shared" si="278"/>
        <v>Valid</v>
      </c>
      <c r="AK1376" t="str">
        <f t="shared" si="285"/>
        <v xml:space="preserve">Valid </v>
      </c>
      <c r="AL1376" t="str">
        <f>IF(AND(Audit_Data[[#This Row],[Recency]]&gt;=0,Audit_Data[[#This Row],[Recency]]&lt;=100),"Valid","Invalid")</f>
        <v>Valid</v>
      </c>
      <c r="AM1376" t="str">
        <f t="shared" si="279"/>
        <v>Valid</v>
      </c>
      <c r="AN1376" t="str">
        <f t="shared" si="280"/>
        <v>Valid</v>
      </c>
      <c r="AO1376" t="str">
        <f t="shared" si="281"/>
        <v>Valid</v>
      </c>
      <c r="AP1376" t="str">
        <f t="shared" si="282"/>
        <v>Valid</v>
      </c>
      <c r="AQ1376" t="str">
        <f>IF(Audit_Data[[#This Row],[Z_CostContact]]=3,"Valid","Invalid")</f>
        <v>Valid</v>
      </c>
      <c r="AR1376" t="str">
        <f t="shared" si="283"/>
        <v>Valid</v>
      </c>
      <c r="AS1376" t="str">
        <f t="shared" si="284"/>
        <v>Valid</v>
      </c>
    </row>
    <row r="1377" spans="1:45" x14ac:dyDescent="0.3">
      <c r="A1377">
        <v>8805</v>
      </c>
      <c r="B1377">
        <v>1960</v>
      </c>
      <c r="C1377" t="s">
        <v>29</v>
      </c>
      <c r="D1377" t="s">
        <v>30</v>
      </c>
      <c r="E1377">
        <v>48904</v>
      </c>
      <c r="F1377">
        <v>0</v>
      </c>
      <c r="G1377">
        <v>1</v>
      </c>
      <c r="H1377" s="1">
        <v>41245</v>
      </c>
      <c r="I1377">
        <v>1</v>
      </c>
      <c r="J1377">
        <v>283</v>
      </c>
      <c r="K1377">
        <v>10</v>
      </c>
      <c r="L1377">
        <v>38</v>
      </c>
      <c r="M1377">
        <v>0</v>
      </c>
      <c r="N1377">
        <v>13</v>
      </c>
      <c r="O1377">
        <v>27</v>
      </c>
      <c r="P1377">
        <v>4</v>
      </c>
      <c r="Q1377">
        <v>7</v>
      </c>
      <c r="R1377">
        <v>2</v>
      </c>
      <c r="S1377">
        <v>4</v>
      </c>
      <c r="T1377">
        <v>8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3</v>
      </c>
      <c r="AB1377">
        <v>11</v>
      </c>
      <c r="AC1377">
        <v>0</v>
      </c>
      <c r="AD1377" t="str">
        <f t="shared" si="273"/>
        <v>Ok</v>
      </c>
      <c r="AE1377" t="str">
        <f>IF(AND(Audit_Data[[#This Row],[Year_Birth]]&gt;=1900,Audit_Data[[#This Row],[Year_Birth]]&lt;=2010),"OK","Invalid")</f>
        <v>OK</v>
      </c>
      <c r="AF1377" t="str">
        <f t="shared" si="274"/>
        <v>Valid</v>
      </c>
      <c r="AG1377" t="str">
        <f t="shared" si="275"/>
        <v>Valid</v>
      </c>
      <c r="AH1377" t="str">
        <f t="shared" si="276"/>
        <v>Valid</v>
      </c>
      <c r="AI1377" t="str">
        <f t="shared" si="277"/>
        <v>Valid</v>
      </c>
      <c r="AJ1377" t="str">
        <f t="shared" si="278"/>
        <v>Valid</v>
      </c>
      <c r="AK1377" t="str">
        <f t="shared" si="285"/>
        <v xml:space="preserve">Valid </v>
      </c>
      <c r="AL1377" t="str">
        <f>IF(AND(Audit_Data[[#This Row],[Recency]]&gt;=0,Audit_Data[[#This Row],[Recency]]&lt;=100),"Valid","Invalid")</f>
        <v>Valid</v>
      </c>
      <c r="AM1377" t="str">
        <f t="shared" si="279"/>
        <v>Valid</v>
      </c>
      <c r="AN1377" t="str">
        <f t="shared" si="280"/>
        <v>Valid</v>
      </c>
      <c r="AO1377" t="str">
        <f t="shared" si="281"/>
        <v>Valid</v>
      </c>
      <c r="AP1377" t="str">
        <f t="shared" si="282"/>
        <v>Valid</v>
      </c>
      <c r="AQ1377" t="str">
        <f>IF(Audit_Data[[#This Row],[Z_CostContact]]=3,"Valid","Invalid")</f>
        <v>Valid</v>
      </c>
      <c r="AR1377" t="str">
        <f t="shared" si="283"/>
        <v>Valid</v>
      </c>
      <c r="AS1377" t="str">
        <f t="shared" si="284"/>
        <v>Valid</v>
      </c>
    </row>
    <row r="1378" spans="1:45" x14ac:dyDescent="0.3">
      <c r="A1378">
        <v>1542</v>
      </c>
      <c r="B1378">
        <v>1975</v>
      </c>
      <c r="C1378" t="s">
        <v>29</v>
      </c>
      <c r="D1378" t="s">
        <v>30</v>
      </c>
      <c r="E1378">
        <v>56243</v>
      </c>
      <c r="F1378">
        <v>1</v>
      </c>
      <c r="G1378">
        <v>2</v>
      </c>
      <c r="H1378" s="1">
        <v>41638</v>
      </c>
      <c r="I1378">
        <v>26</v>
      </c>
      <c r="J1378">
        <v>347</v>
      </c>
      <c r="K1378">
        <v>0</v>
      </c>
      <c r="L1378">
        <v>35</v>
      </c>
      <c r="M1378">
        <v>4</v>
      </c>
      <c r="N1378">
        <v>3</v>
      </c>
      <c r="O1378">
        <v>7</v>
      </c>
      <c r="P1378">
        <v>6</v>
      </c>
      <c r="Q1378">
        <v>4</v>
      </c>
      <c r="R1378">
        <v>2</v>
      </c>
      <c r="S1378">
        <v>8</v>
      </c>
      <c r="T1378">
        <v>5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3</v>
      </c>
      <c r="AB1378">
        <v>11</v>
      </c>
      <c r="AC1378">
        <v>0</v>
      </c>
      <c r="AD1378" t="str">
        <f t="shared" si="273"/>
        <v>Ok</v>
      </c>
      <c r="AE1378" t="str">
        <f>IF(AND(Audit_Data[[#This Row],[Year_Birth]]&gt;=1900,Audit_Data[[#This Row],[Year_Birth]]&lt;=2010),"OK","Invalid")</f>
        <v>OK</v>
      </c>
      <c r="AF1378" t="str">
        <f t="shared" si="274"/>
        <v>Valid</v>
      </c>
      <c r="AG1378" t="str">
        <f t="shared" si="275"/>
        <v>Valid</v>
      </c>
      <c r="AH1378" t="str">
        <f t="shared" si="276"/>
        <v>Valid</v>
      </c>
      <c r="AI1378" t="str">
        <f t="shared" si="277"/>
        <v>Valid</v>
      </c>
      <c r="AJ1378" t="str">
        <f t="shared" si="278"/>
        <v>Valid</v>
      </c>
      <c r="AK1378" t="str">
        <f t="shared" si="285"/>
        <v xml:space="preserve">Valid </v>
      </c>
      <c r="AL1378" t="str">
        <f>IF(AND(Audit_Data[[#This Row],[Recency]]&gt;=0,Audit_Data[[#This Row],[Recency]]&lt;=100),"Valid","Invalid")</f>
        <v>Valid</v>
      </c>
      <c r="AM1378" t="str">
        <f t="shared" si="279"/>
        <v>Valid</v>
      </c>
      <c r="AN1378" t="str">
        <f t="shared" si="280"/>
        <v>Valid</v>
      </c>
      <c r="AO1378" t="str">
        <f t="shared" si="281"/>
        <v>Valid</v>
      </c>
      <c r="AP1378" t="str">
        <f t="shared" si="282"/>
        <v>Valid</v>
      </c>
      <c r="AQ1378" t="str">
        <f>IF(Audit_Data[[#This Row],[Z_CostContact]]=3,"Valid","Invalid")</f>
        <v>Valid</v>
      </c>
      <c r="AR1378" t="str">
        <f t="shared" si="283"/>
        <v>Valid</v>
      </c>
      <c r="AS1378" t="str">
        <f t="shared" si="284"/>
        <v>Valid</v>
      </c>
    </row>
    <row r="1379" spans="1:45" x14ac:dyDescent="0.3">
      <c r="A1379">
        <v>6770</v>
      </c>
      <c r="B1379">
        <v>1985</v>
      </c>
      <c r="C1379" t="s">
        <v>29</v>
      </c>
      <c r="D1379" t="s">
        <v>33</v>
      </c>
      <c r="E1379">
        <v>21355</v>
      </c>
      <c r="F1379">
        <v>1</v>
      </c>
      <c r="G1379">
        <v>0</v>
      </c>
      <c r="H1379" s="1">
        <v>41506</v>
      </c>
      <c r="I1379">
        <v>5</v>
      </c>
      <c r="J1379">
        <v>5</v>
      </c>
      <c r="K1379">
        <v>13</v>
      </c>
      <c r="L1379">
        <v>14</v>
      </c>
      <c r="M1379">
        <v>0</v>
      </c>
      <c r="N1379">
        <v>5</v>
      </c>
      <c r="O1379">
        <v>31</v>
      </c>
      <c r="P1379">
        <v>2</v>
      </c>
      <c r="Q1379">
        <v>2</v>
      </c>
      <c r="R1379">
        <v>1</v>
      </c>
      <c r="S1379">
        <v>2</v>
      </c>
      <c r="T1379">
        <v>6</v>
      </c>
      <c r="U1379">
        <v>1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3</v>
      </c>
      <c r="AB1379">
        <v>11</v>
      </c>
      <c r="AC1379">
        <v>1</v>
      </c>
      <c r="AD1379" t="str">
        <f t="shared" si="273"/>
        <v>Ok</v>
      </c>
      <c r="AE1379" t="str">
        <f>IF(AND(Audit_Data[[#This Row],[Year_Birth]]&gt;=1900,Audit_Data[[#This Row],[Year_Birth]]&lt;=2010),"OK","Invalid")</f>
        <v>OK</v>
      </c>
      <c r="AF1379" t="str">
        <f t="shared" si="274"/>
        <v>Valid</v>
      </c>
      <c r="AG1379" t="str">
        <f t="shared" si="275"/>
        <v>Valid</v>
      </c>
      <c r="AH1379" t="str">
        <f t="shared" si="276"/>
        <v>Valid</v>
      </c>
      <c r="AI1379" t="str">
        <f t="shared" si="277"/>
        <v>Valid</v>
      </c>
      <c r="AJ1379" t="str">
        <f t="shared" si="278"/>
        <v>Valid</v>
      </c>
      <c r="AK1379" t="str">
        <f t="shared" si="285"/>
        <v xml:space="preserve">Valid </v>
      </c>
      <c r="AL1379" t="str">
        <f>IF(AND(Audit_Data[[#This Row],[Recency]]&gt;=0,Audit_Data[[#This Row],[Recency]]&lt;=100),"Valid","Invalid")</f>
        <v>Valid</v>
      </c>
      <c r="AM1379" t="str">
        <f t="shared" si="279"/>
        <v>Valid</v>
      </c>
      <c r="AN1379" t="str">
        <f t="shared" si="280"/>
        <v>Valid</v>
      </c>
      <c r="AO1379" t="str">
        <f t="shared" si="281"/>
        <v>Valid</v>
      </c>
      <c r="AP1379" t="str">
        <f t="shared" si="282"/>
        <v>Valid</v>
      </c>
      <c r="AQ1379" t="str">
        <f>IF(Audit_Data[[#This Row],[Z_CostContact]]=3,"Valid","Invalid")</f>
        <v>Valid</v>
      </c>
      <c r="AR1379" t="str">
        <f t="shared" si="283"/>
        <v>Valid</v>
      </c>
      <c r="AS1379" t="str">
        <f t="shared" si="284"/>
        <v>Valid</v>
      </c>
    </row>
    <row r="1380" spans="1:45" x14ac:dyDescent="0.3">
      <c r="A1380">
        <v>8773</v>
      </c>
      <c r="B1380">
        <v>1971</v>
      </c>
      <c r="C1380" t="s">
        <v>34</v>
      </c>
      <c r="D1380" t="s">
        <v>31</v>
      </c>
      <c r="E1380">
        <v>57420</v>
      </c>
      <c r="F1380">
        <v>0</v>
      </c>
      <c r="G1380">
        <v>1</v>
      </c>
      <c r="H1380" s="1">
        <v>41450</v>
      </c>
      <c r="I1380">
        <v>22</v>
      </c>
      <c r="J1380">
        <v>280</v>
      </c>
      <c r="K1380">
        <v>0</v>
      </c>
      <c r="L1380">
        <v>18</v>
      </c>
      <c r="M1380">
        <v>0</v>
      </c>
      <c r="N1380">
        <v>0</v>
      </c>
      <c r="O1380">
        <v>24</v>
      </c>
      <c r="P1380">
        <v>3</v>
      </c>
      <c r="Q1380">
        <v>5</v>
      </c>
      <c r="R1380">
        <v>1</v>
      </c>
      <c r="S1380">
        <v>6</v>
      </c>
      <c r="T1380">
        <v>7</v>
      </c>
      <c r="U1380">
        <v>0</v>
      </c>
      <c r="V1380">
        <v>1</v>
      </c>
      <c r="W1380">
        <v>0</v>
      </c>
      <c r="X1380">
        <v>0</v>
      </c>
      <c r="Y1380">
        <v>0</v>
      </c>
      <c r="Z1380">
        <v>0</v>
      </c>
      <c r="AA1380">
        <v>3</v>
      </c>
      <c r="AB1380">
        <v>11</v>
      </c>
      <c r="AC1380">
        <v>0</v>
      </c>
      <c r="AD1380" t="str">
        <f t="shared" si="273"/>
        <v>Ok</v>
      </c>
      <c r="AE1380" t="str">
        <f>IF(AND(Audit_Data[[#This Row],[Year_Birth]]&gt;=1900,Audit_Data[[#This Row],[Year_Birth]]&lt;=2010),"OK","Invalid")</f>
        <v>OK</v>
      </c>
      <c r="AF1380" t="str">
        <f t="shared" si="274"/>
        <v>Valid</v>
      </c>
      <c r="AG1380" t="str">
        <f t="shared" si="275"/>
        <v>Valid</v>
      </c>
      <c r="AH1380" t="str">
        <f t="shared" si="276"/>
        <v>Valid</v>
      </c>
      <c r="AI1380" t="str">
        <f t="shared" si="277"/>
        <v>Valid</v>
      </c>
      <c r="AJ1380" t="str">
        <f t="shared" si="278"/>
        <v>Valid</v>
      </c>
      <c r="AK1380" t="str">
        <f t="shared" si="285"/>
        <v xml:space="preserve">Valid </v>
      </c>
      <c r="AL1380" t="str">
        <f>IF(AND(Audit_Data[[#This Row],[Recency]]&gt;=0,Audit_Data[[#This Row],[Recency]]&lt;=100),"Valid","Invalid")</f>
        <v>Valid</v>
      </c>
      <c r="AM1380" t="str">
        <f t="shared" si="279"/>
        <v>Valid</v>
      </c>
      <c r="AN1380" t="str">
        <f t="shared" si="280"/>
        <v>Valid</v>
      </c>
      <c r="AO1380" t="str">
        <f t="shared" si="281"/>
        <v>Valid</v>
      </c>
      <c r="AP1380" t="str">
        <f t="shared" si="282"/>
        <v>Valid</v>
      </c>
      <c r="AQ1380" t="str">
        <f>IF(Audit_Data[[#This Row],[Z_CostContact]]=3,"Valid","Invalid")</f>
        <v>Valid</v>
      </c>
      <c r="AR1380" t="str">
        <f t="shared" si="283"/>
        <v>Valid</v>
      </c>
      <c r="AS1380" t="str">
        <f t="shared" si="284"/>
        <v>Valid</v>
      </c>
    </row>
    <row r="1381" spans="1:45" x14ac:dyDescent="0.3">
      <c r="A1381">
        <v>10475</v>
      </c>
      <c r="B1381">
        <v>1970</v>
      </c>
      <c r="C1381" t="s">
        <v>34</v>
      </c>
      <c r="D1381" t="s">
        <v>31</v>
      </c>
      <c r="F1381">
        <v>0</v>
      </c>
      <c r="G1381">
        <v>1</v>
      </c>
      <c r="H1381" s="1">
        <v>41365</v>
      </c>
      <c r="I1381">
        <v>39</v>
      </c>
      <c r="J1381">
        <v>187</v>
      </c>
      <c r="K1381">
        <v>5</v>
      </c>
      <c r="L1381">
        <v>65</v>
      </c>
      <c r="M1381">
        <v>26</v>
      </c>
      <c r="N1381">
        <v>20</v>
      </c>
      <c r="O1381">
        <v>14</v>
      </c>
      <c r="P1381">
        <v>2</v>
      </c>
      <c r="Q1381">
        <v>4</v>
      </c>
      <c r="R1381">
        <v>2</v>
      </c>
      <c r="S1381">
        <v>6</v>
      </c>
      <c r="T1381">
        <v>5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3</v>
      </c>
      <c r="AB1381">
        <v>11</v>
      </c>
      <c r="AC1381">
        <v>0</v>
      </c>
      <c r="AD1381" t="str">
        <f t="shared" si="273"/>
        <v>Ok</v>
      </c>
      <c r="AE1381" t="str">
        <f>IF(AND(Audit_Data[[#This Row],[Year_Birth]]&gt;=1900,Audit_Data[[#This Row],[Year_Birth]]&lt;=2010),"OK","Invalid")</f>
        <v>OK</v>
      </c>
      <c r="AF1381" t="str">
        <f t="shared" si="274"/>
        <v>Valid</v>
      </c>
      <c r="AG1381" t="str">
        <f t="shared" si="275"/>
        <v>Valid</v>
      </c>
      <c r="AH1381" t="str">
        <f t="shared" si="276"/>
        <v>Invalid</v>
      </c>
      <c r="AI1381" t="str">
        <f t="shared" si="277"/>
        <v>Valid</v>
      </c>
      <c r="AJ1381" t="str">
        <f t="shared" si="278"/>
        <v>Valid</v>
      </c>
      <c r="AK1381" t="str">
        <f t="shared" si="285"/>
        <v xml:space="preserve">Valid </v>
      </c>
      <c r="AL1381" t="str">
        <f>IF(AND(Audit_Data[[#This Row],[Recency]]&gt;=0,Audit_Data[[#This Row],[Recency]]&lt;=100),"Valid","Invalid")</f>
        <v>Valid</v>
      </c>
      <c r="AM1381" t="str">
        <f t="shared" si="279"/>
        <v>Valid</v>
      </c>
      <c r="AN1381" t="str">
        <f t="shared" si="280"/>
        <v>Valid</v>
      </c>
      <c r="AO1381" t="str">
        <f t="shared" si="281"/>
        <v>Valid</v>
      </c>
      <c r="AP1381" t="str">
        <f t="shared" si="282"/>
        <v>Valid</v>
      </c>
      <c r="AQ1381" t="str">
        <f>IF(Audit_Data[[#This Row],[Z_CostContact]]=3,"Valid","Invalid")</f>
        <v>Valid</v>
      </c>
      <c r="AR1381" t="str">
        <f t="shared" si="283"/>
        <v>Valid</v>
      </c>
      <c r="AS1381" t="str">
        <f t="shared" si="284"/>
        <v>Valid</v>
      </c>
    </row>
    <row r="1382" spans="1:45" x14ac:dyDescent="0.3">
      <c r="A1382">
        <v>10420</v>
      </c>
      <c r="B1382">
        <v>1955</v>
      </c>
      <c r="C1382" t="s">
        <v>34</v>
      </c>
      <c r="D1382" t="s">
        <v>35</v>
      </c>
      <c r="E1382">
        <v>46390</v>
      </c>
      <c r="F1382">
        <v>0</v>
      </c>
      <c r="G1382">
        <v>1</v>
      </c>
      <c r="H1382" s="1">
        <v>41764</v>
      </c>
      <c r="I1382">
        <v>56</v>
      </c>
      <c r="J1382">
        <v>95</v>
      </c>
      <c r="K1382">
        <v>14</v>
      </c>
      <c r="L1382">
        <v>64</v>
      </c>
      <c r="M1382">
        <v>2</v>
      </c>
      <c r="N1382">
        <v>9</v>
      </c>
      <c r="O1382">
        <v>38</v>
      </c>
      <c r="P1382">
        <v>1</v>
      </c>
      <c r="Q1382">
        <v>4</v>
      </c>
      <c r="R1382">
        <v>2</v>
      </c>
      <c r="S1382">
        <v>3</v>
      </c>
      <c r="T1382">
        <v>7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3</v>
      </c>
      <c r="AB1382">
        <v>11</v>
      </c>
      <c r="AC1382">
        <v>0</v>
      </c>
      <c r="AD1382" t="str">
        <f t="shared" si="273"/>
        <v>Ok</v>
      </c>
      <c r="AE1382" t="str">
        <f>IF(AND(Audit_Data[[#This Row],[Year_Birth]]&gt;=1900,Audit_Data[[#This Row],[Year_Birth]]&lt;=2010),"OK","Invalid")</f>
        <v>OK</v>
      </c>
      <c r="AF1382" t="str">
        <f t="shared" si="274"/>
        <v>Valid</v>
      </c>
      <c r="AG1382" t="str">
        <f t="shared" si="275"/>
        <v>Valid</v>
      </c>
      <c r="AH1382" t="str">
        <f t="shared" si="276"/>
        <v>Valid</v>
      </c>
      <c r="AI1382" t="str">
        <f t="shared" si="277"/>
        <v>Valid</v>
      </c>
      <c r="AJ1382" t="str">
        <f t="shared" si="278"/>
        <v>Valid</v>
      </c>
      <c r="AK1382" t="str">
        <f t="shared" si="285"/>
        <v xml:space="preserve">Valid </v>
      </c>
      <c r="AL1382" t="str">
        <f>IF(AND(Audit_Data[[#This Row],[Recency]]&gt;=0,Audit_Data[[#This Row],[Recency]]&lt;=100),"Valid","Invalid")</f>
        <v>Valid</v>
      </c>
      <c r="AM1382" t="str">
        <f t="shared" si="279"/>
        <v>Valid</v>
      </c>
      <c r="AN1382" t="str">
        <f t="shared" si="280"/>
        <v>Valid</v>
      </c>
      <c r="AO1382" t="str">
        <f t="shared" si="281"/>
        <v>Valid</v>
      </c>
      <c r="AP1382" t="str">
        <f t="shared" si="282"/>
        <v>Valid</v>
      </c>
      <c r="AQ1382" t="str">
        <f>IF(Audit_Data[[#This Row],[Z_CostContact]]=3,"Valid","Invalid")</f>
        <v>Valid</v>
      </c>
      <c r="AR1382" t="str">
        <f t="shared" si="283"/>
        <v>Valid</v>
      </c>
      <c r="AS1382" t="str">
        <f t="shared" si="284"/>
        <v>Valid</v>
      </c>
    </row>
    <row r="1383" spans="1:45" x14ac:dyDescent="0.3">
      <c r="A1383">
        <v>7514</v>
      </c>
      <c r="B1383">
        <v>1956</v>
      </c>
      <c r="C1383" t="s">
        <v>37</v>
      </c>
      <c r="D1383" t="s">
        <v>31</v>
      </c>
      <c r="E1383">
        <v>54342</v>
      </c>
      <c r="F1383">
        <v>1</v>
      </c>
      <c r="G1383">
        <v>1</v>
      </c>
      <c r="H1383" s="1">
        <v>41458</v>
      </c>
      <c r="I1383">
        <v>74</v>
      </c>
      <c r="J1383">
        <v>84</v>
      </c>
      <c r="K1383">
        <v>10</v>
      </c>
      <c r="L1383">
        <v>34</v>
      </c>
      <c r="M1383">
        <v>11</v>
      </c>
      <c r="N1383">
        <v>10</v>
      </c>
      <c r="O1383">
        <v>28</v>
      </c>
      <c r="P1383">
        <v>4</v>
      </c>
      <c r="Q1383">
        <v>3</v>
      </c>
      <c r="R1383">
        <v>1</v>
      </c>
      <c r="S1383">
        <v>4</v>
      </c>
      <c r="T1383">
        <v>6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3</v>
      </c>
      <c r="AB1383">
        <v>11</v>
      </c>
      <c r="AC1383">
        <v>0</v>
      </c>
      <c r="AD1383" t="str">
        <f t="shared" si="273"/>
        <v>Ok</v>
      </c>
      <c r="AE1383" t="str">
        <f>IF(AND(Audit_Data[[#This Row],[Year_Birth]]&gt;=1900,Audit_Data[[#This Row],[Year_Birth]]&lt;=2010),"OK","Invalid")</f>
        <v>OK</v>
      </c>
      <c r="AF1383" t="str">
        <f t="shared" si="274"/>
        <v>Valid</v>
      </c>
      <c r="AG1383" t="str">
        <f t="shared" si="275"/>
        <v>Valid</v>
      </c>
      <c r="AH1383" t="str">
        <f t="shared" si="276"/>
        <v>Valid</v>
      </c>
      <c r="AI1383" t="str">
        <f t="shared" si="277"/>
        <v>Valid</v>
      </c>
      <c r="AJ1383" t="str">
        <f t="shared" si="278"/>
        <v>Valid</v>
      </c>
      <c r="AK1383" t="str">
        <f t="shared" si="285"/>
        <v xml:space="preserve">Valid </v>
      </c>
      <c r="AL1383" t="str">
        <f>IF(AND(Audit_Data[[#This Row],[Recency]]&gt;=0,Audit_Data[[#This Row],[Recency]]&lt;=100),"Valid","Invalid")</f>
        <v>Valid</v>
      </c>
      <c r="AM1383" t="str">
        <f t="shared" si="279"/>
        <v>Valid</v>
      </c>
      <c r="AN1383" t="str">
        <f t="shared" si="280"/>
        <v>Valid</v>
      </c>
      <c r="AO1383" t="str">
        <f t="shared" si="281"/>
        <v>Valid</v>
      </c>
      <c r="AP1383" t="str">
        <f t="shared" si="282"/>
        <v>Valid</v>
      </c>
      <c r="AQ1383" t="str">
        <f>IF(Audit_Data[[#This Row],[Z_CostContact]]=3,"Valid","Invalid")</f>
        <v>Valid</v>
      </c>
      <c r="AR1383" t="str">
        <f t="shared" si="283"/>
        <v>Valid</v>
      </c>
      <c r="AS1383" t="str">
        <f t="shared" si="284"/>
        <v>Valid</v>
      </c>
    </row>
    <row r="1384" spans="1:45" x14ac:dyDescent="0.3">
      <c r="A1384">
        <v>2902</v>
      </c>
      <c r="B1384">
        <v>1958</v>
      </c>
      <c r="C1384" t="s">
        <v>29</v>
      </c>
      <c r="D1384" t="s">
        <v>31</v>
      </c>
      <c r="F1384">
        <v>1</v>
      </c>
      <c r="G1384">
        <v>1</v>
      </c>
      <c r="H1384" s="1">
        <v>41155</v>
      </c>
      <c r="I1384">
        <v>87</v>
      </c>
      <c r="J1384">
        <v>19</v>
      </c>
      <c r="K1384">
        <v>4</v>
      </c>
      <c r="L1384">
        <v>12</v>
      </c>
      <c r="M1384">
        <v>2</v>
      </c>
      <c r="N1384">
        <v>2</v>
      </c>
      <c r="O1384">
        <v>6</v>
      </c>
      <c r="P1384">
        <v>1</v>
      </c>
      <c r="Q1384">
        <v>1</v>
      </c>
      <c r="R1384">
        <v>0</v>
      </c>
      <c r="S1384">
        <v>3</v>
      </c>
      <c r="T1384">
        <v>5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3</v>
      </c>
      <c r="AB1384">
        <v>11</v>
      </c>
      <c r="AC1384">
        <v>0</v>
      </c>
      <c r="AD1384" t="str">
        <f t="shared" si="273"/>
        <v>Ok</v>
      </c>
      <c r="AE1384" t="str">
        <f>IF(AND(Audit_Data[[#This Row],[Year_Birth]]&gt;=1900,Audit_Data[[#This Row],[Year_Birth]]&lt;=2010),"OK","Invalid")</f>
        <v>OK</v>
      </c>
      <c r="AF1384" t="str">
        <f t="shared" si="274"/>
        <v>Valid</v>
      </c>
      <c r="AG1384" t="str">
        <f t="shared" si="275"/>
        <v>Valid</v>
      </c>
      <c r="AH1384" t="str">
        <f t="shared" si="276"/>
        <v>Invalid</v>
      </c>
      <c r="AI1384" t="str">
        <f t="shared" si="277"/>
        <v>Valid</v>
      </c>
      <c r="AJ1384" t="str">
        <f t="shared" si="278"/>
        <v>Valid</v>
      </c>
      <c r="AK1384" t="str">
        <f t="shared" si="285"/>
        <v xml:space="preserve">Valid </v>
      </c>
      <c r="AL1384" t="str">
        <f>IF(AND(Audit_Data[[#This Row],[Recency]]&gt;=0,Audit_Data[[#This Row],[Recency]]&lt;=100),"Valid","Invalid")</f>
        <v>Valid</v>
      </c>
      <c r="AM1384" t="str">
        <f t="shared" si="279"/>
        <v>Valid</v>
      </c>
      <c r="AN1384" t="str">
        <f t="shared" si="280"/>
        <v>Valid</v>
      </c>
      <c r="AO1384" t="str">
        <f t="shared" si="281"/>
        <v>Valid</v>
      </c>
      <c r="AP1384" t="str">
        <f t="shared" si="282"/>
        <v>Valid</v>
      </c>
      <c r="AQ1384" t="str">
        <f>IF(Audit_Data[[#This Row],[Z_CostContact]]=3,"Valid","Invalid")</f>
        <v>Valid</v>
      </c>
      <c r="AR1384" t="str">
        <f t="shared" si="283"/>
        <v>Valid</v>
      </c>
      <c r="AS1384" t="str">
        <f t="shared" si="284"/>
        <v>Valid</v>
      </c>
    </row>
    <row r="1385" spans="1:45" x14ac:dyDescent="0.3">
      <c r="A1385">
        <v>4345</v>
      </c>
      <c r="B1385">
        <v>1964</v>
      </c>
      <c r="C1385" t="s">
        <v>37</v>
      </c>
      <c r="D1385" t="s">
        <v>30</v>
      </c>
      <c r="F1385">
        <v>1</v>
      </c>
      <c r="G1385">
        <v>1</v>
      </c>
      <c r="H1385" s="1">
        <v>41651</v>
      </c>
      <c r="I1385">
        <v>49</v>
      </c>
      <c r="J1385">
        <v>5</v>
      </c>
      <c r="K1385">
        <v>1</v>
      </c>
      <c r="L1385">
        <v>9</v>
      </c>
      <c r="M1385">
        <v>2</v>
      </c>
      <c r="N1385">
        <v>0</v>
      </c>
      <c r="O1385">
        <v>4</v>
      </c>
      <c r="P1385">
        <v>1</v>
      </c>
      <c r="Q1385">
        <v>1</v>
      </c>
      <c r="R1385">
        <v>0</v>
      </c>
      <c r="S1385">
        <v>2</v>
      </c>
      <c r="T1385">
        <v>7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3</v>
      </c>
      <c r="AB1385">
        <v>11</v>
      </c>
      <c r="AC1385">
        <v>0</v>
      </c>
      <c r="AD1385" t="str">
        <f t="shared" si="273"/>
        <v>Ok</v>
      </c>
      <c r="AE1385" t="str">
        <f>IF(AND(Audit_Data[[#This Row],[Year_Birth]]&gt;=1900,Audit_Data[[#This Row],[Year_Birth]]&lt;=2010),"OK","Invalid")</f>
        <v>OK</v>
      </c>
      <c r="AF1385" t="str">
        <f t="shared" si="274"/>
        <v>Valid</v>
      </c>
      <c r="AG1385" t="str">
        <f t="shared" si="275"/>
        <v>Valid</v>
      </c>
      <c r="AH1385" t="str">
        <f t="shared" si="276"/>
        <v>Invalid</v>
      </c>
      <c r="AI1385" t="str">
        <f t="shared" si="277"/>
        <v>Valid</v>
      </c>
      <c r="AJ1385" t="str">
        <f t="shared" si="278"/>
        <v>Valid</v>
      </c>
      <c r="AK1385" t="str">
        <f t="shared" si="285"/>
        <v xml:space="preserve">Valid </v>
      </c>
      <c r="AL1385" t="str">
        <f>IF(AND(Audit_Data[[#This Row],[Recency]]&gt;=0,Audit_Data[[#This Row],[Recency]]&lt;=100),"Valid","Invalid")</f>
        <v>Valid</v>
      </c>
      <c r="AM1385" t="str">
        <f t="shared" si="279"/>
        <v>Valid</v>
      </c>
      <c r="AN1385" t="str">
        <f t="shared" si="280"/>
        <v>Valid</v>
      </c>
      <c r="AO1385" t="str">
        <f t="shared" si="281"/>
        <v>Valid</v>
      </c>
      <c r="AP1385" t="str">
        <f t="shared" si="282"/>
        <v>Valid</v>
      </c>
      <c r="AQ1385" t="str">
        <f>IF(Audit_Data[[#This Row],[Z_CostContact]]=3,"Valid","Invalid")</f>
        <v>Valid</v>
      </c>
      <c r="AR1385" t="str">
        <f t="shared" si="283"/>
        <v>Valid</v>
      </c>
      <c r="AS1385" t="str">
        <f t="shared" si="284"/>
        <v>Valid</v>
      </c>
    </row>
    <row r="1386" spans="1:45" x14ac:dyDescent="0.3">
      <c r="A1386">
        <v>793</v>
      </c>
      <c r="B1386">
        <v>1973</v>
      </c>
      <c r="C1386" t="s">
        <v>29</v>
      </c>
      <c r="D1386" t="s">
        <v>33</v>
      </c>
      <c r="E1386">
        <v>20895</v>
      </c>
      <c r="F1386">
        <v>1</v>
      </c>
      <c r="G1386">
        <v>0</v>
      </c>
      <c r="H1386" s="1">
        <v>41188</v>
      </c>
      <c r="I1386">
        <v>24</v>
      </c>
      <c r="J1386">
        <v>18</v>
      </c>
      <c r="K1386">
        <v>3</v>
      </c>
      <c r="L1386">
        <v>17</v>
      </c>
      <c r="M1386">
        <v>3</v>
      </c>
      <c r="N1386">
        <v>0</v>
      </c>
      <c r="O1386">
        <v>4</v>
      </c>
      <c r="P1386">
        <v>1</v>
      </c>
      <c r="Q1386">
        <v>2</v>
      </c>
      <c r="R1386">
        <v>0</v>
      </c>
      <c r="S1386">
        <v>3</v>
      </c>
      <c r="T1386">
        <v>9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3</v>
      </c>
      <c r="AB1386">
        <v>11</v>
      </c>
      <c r="AC1386">
        <v>0</v>
      </c>
      <c r="AD1386" t="str">
        <f t="shared" si="273"/>
        <v>Ok</v>
      </c>
      <c r="AE1386" t="str">
        <f>IF(AND(Audit_Data[[#This Row],[Year_Birth]]&gt;=1900,Audit_Data[[#This Row],[Year_Birth]]&lt;=2010),"OK","Invalid")</f>
        <v>OK</v>
      </c>
      <c r="AF1386" t="str">
        <f t="shared" si="274"/>
        <v>Valid</v>
      </c>
      <c r="AG1386" t="str">
        <f t="shared" si="275"/>
        <v>Valid</v>
      </c>
      <c r="AH1386" t="str">
        <f t="shared" si="276"/>
        <v>Valid</v>
      </c>
      <c r="AI1386" t="str">
        <f t="shared" si="277"/>
        <v>Valid</v>
      </c>
      <c r="AJ1386" t="str">
        <f t="shared" si="278"/>
        <v>Valid</v>
      </c>
      <c r="AK1386" t="str">
        <f t="shared" si="285"/>
        <v xml:space="preserve">Valid </v>
      </c>
      <c r="AL1386" t="str">
        <f>IF(AND(Audit_Data[[#This Row],[Recency]]&gt;=0,Audit_Data[[#This Row],[Recency]]&lt;=100),"Valid","Invalid")</f>
        <v>Valid</v>
      </c>
      <c r="AM1386" t="str">
        <f t="shared" si="279"/>
        <v>Valid</v>
      </c>
      <c r="AN1386" t="str">
        <f t="shared" si="280"/>
        <v>Valid</v>
      </c>
      <c r="AO1386" t="str">
        <f t="shared" si="281"/>
        <v>Valid</v>
      </c>
      <c r="AP1386" t="str">
        <f t="shared" si="282"/>
        <v>Valid</v>
      </c>
      <c r="AQ1386" t="str">
        <f>IF(Audit_Data[[#This Row],[Z_CostContact]]=3,"Valid","Invalid")</f>
        <v>Valid</v>
      </c>
      <c r="AR1386" t="str">
        <f t="shared" si="283"/>
        <v>Valid</v>
      </c>
      <c r="AS1386" t="str">
        <f t="shared" si="284"/>
        <v>Valid</v>
      </c>
    </row>
    <row r="1387" spans="1:45" x14ac:dyDescent="0.3">
      <c r="A1387">
        <v>10909</v>
      </c>
      <c r="B1387">
        <v>1948</v>
      </c>
      <c r="C1387" t="s">
        <v>29</v>
      </c>
      <c r="D1387" t="s">
        <v>33</v>
      </c>
      <c r="E1387">
        <v>92344</v>
      </c>
      <c r="F1387">
        <v>0</v>
      </c>
      <c r="G1387">
        <v>0</v>
      </c>
      <c r="H1387" s="1">
        <v>41654</v>
      </c>
      <c r="I1387">
        <v>9</v>
      </c>
      <c r="J1387">
        <v>992</v>
      </c>
      <c r="K1387">
        <v>24</v>
      </c>
      <c r="L1387">
        <v>694</v>
      </c>
      <c r="M1387">
        <v>51</v>
      </c>
      <c r="N1387">
        <v>19</v>
      </c>
      <c r="O1387">
        <v>119</v>
      </c>
      <c r="P1387">
        <v>0</v>
      </c>
      <c r="Q1387">
        <v>5</v>
      </c>
      <c r="R1387">
        <v>10</v>
      </c>
      <c r="S1387">
        <v>5</v>
      </c>
      <c r="T1387">
        <v>1</v>
      </c>
      <c r="U1387">
        <v>1</v>
      </c>
      <c r="V1387">
        <v>0</v>
      </c>
      <c r="W1387">
        <v>1</v>
      </c>
      <c r="X1387">
        <v>0</v>
      </c>
      <c r="Y1387">
        <v>0</v>
      </c>
      <c r="Z1387">
        <v>0</v>
      </c>
      <c r="AA1387">
        <v>3</v>
      </c>
      <c r="AB1387">
        <v>11</v>
      </c>
      <c r="AC1387">
        <v>0</v>
      </c>
      <c r="AD1387" t="str">
        <f t="shared" si="273"/>
        <v>Ok</v>
      </c>
      <c r="AE1387" t="str">
        <f>IF(AND(Audit_Data[[#This Row],[Year_Birth]]&gt;=1900,Audit_Data[[#This Row],[Year_Birth]]&lt;=2010),"OK","Invalid")</f>
        <v>OK</v>
      </c>
      <c r="AF1387" t="str">
        <f t="shared" si="274"/>
        <v>Valid</v>
      </c>
      <c r="AG1387" t="str">
        <f t="shared" si="275"/>
        <v>Valid</v>
      </c>
      <c r="AH1387" t="str">
        <f t="shared" si="276"/>
        <v>Valid</v>
      </c>
      <c r="AI1387" t="str">
        <f t="shared" si="277"/>
        <v>Valid</v>
      </c>
      <c r="AJ1387" t="str">
        <f t="shared" si="278"/>
        <v>Valid</v>
      </c>
      <c r="AK1387" t="str">
        <f t="shared" si="285"/>
        <v xml:space="preserve">Valid </v>
      </c>
      <c r="AL1387" t="str">
        <f>IF(AND(Audit_Data[[#This Row],[Recency]]&gt;=0,Audit_Data[[#This Row],[Recency]]&lt;=100),"Valid","Invalid")</f>
        <v>Valid</v>
      </c>
      <c r="AM1387" t="str">
        <f t="shared" si="279"/>
        <v>Valid</v>
      </c>
      <c r="AN1387" t="str">
        <f t="shared" si="280"/>
        <v>Valid</v>
      </c>
      <c r="AO1387" t="str">
        <f t="shared" si="281"/>
        <v>Valid</v>
      </c>
      <c r="AP1387" t="str">
        <f t="shared" si="282"/>
        <v>Valid</v>
      </c>
      <c r="AQ1387" t="str">
        <f>IF(Audit_Data[[#This Row],[Z_CostContact]]=3,"Valid","Invalid")</f>
        <v>Valid</v>
      </c>
      <c r="AR1387" t="str">
        <f t="shared" si="283"/>
        <v>Valid</v>
      </c>
      <c r="AS1387" t="str">
        <f t="shared" si="284"/>
        <v>Valid</v>
      </c>
    </row>
    <row r="1388" spans="1:45" x14ac:dyDescent="0.3">
      <c r="A1388">
        <v>3769</v>
      </c>
      <c r="B1388">
        <v>1972</v>
      </c>
      <c r="C1388" t="s">
        <v>32</v>
      </c>
      <c r="D1388" t="s">
        <v>31</v>
      </c>
      <c r="F1388">
        <v>1</v>
      </c>
      <c r="G1388">
        <v>0</v>
      </c>
      <c r="H1388" s="1">
        <v>41700</v>
      </c>
      <c r="I1388">
        <v>17</v>
      </c>
      <c r="J1388">
        <v>25</v>
      </c>
      <c r="K1388">
        <v>1</v>
      </c>
      <c r="L1388">
        <v>13</v>
      </c>
      <c r="M1388">
        <v>0</v>
      </c>
      <c r="N1388">
        <v>0</v>
      </c>
      <c r="O1388">
        <v>3</v>
      </c>
      <c r="P1388">
        <v>1</v>
      </c>
      <c r="Q1388">
        <v>1</v>
      </c>
      <c r="R1388">
        <v>0</v>
      </c>
      <c r="S1388">
        <v>3</v>
      </c>
      <c r="T1388">
        <v>7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3</v>
      </c>
      <c r="AB1388">
        <v>11</v>
      </c>
      <c r="AC1388">
        <v>0</v>
      </c>
      <c r="AD1388" t="str">
        <f t="shared" si="273"/>
        <v>Ok</v>
      </c>
      <c r="AE1388" t="str">
        <f>IF(AND(Audit_Data[[#This Row],[Year_Birth]]&gt;=1900,Audit_Data[[#This Row],[Year_Birth]]&lt;=2010),"OK","Invalid")</f>
        <v>OK</v>
      </c>
      <c r="AF1388" t="str">
        <f t="shared" si="274"/>
        <v>Valid</v>
      </c>
      <c r="AG1388" t="str">
        <f t="shared" si="275"/>
        <v>Valid</v>
      </c>
      <c r="AH1388" t="str">
        <f t="shared" si="276"/>
        <v>Invalid</v>
      </c>
      <c r="AI1388" t="str">
        <f t="shared" si="277"/>
        <v>Valid</v>
      </c>
      <c r="AJ1388" t="str">
        <f t="shared" si="278"/>
        <v>Valid</v>
      </c>
      <c r="AK1388" t="str">
        <f t="shared" si="285"/>
        <v xml:space="preserve">Valid </v>
      </c>
      <c r="AL1388" t="str">
        <f>IF(AND(Audit_Data[[#This Row],[Recency]]&gt;=0,Audit_Data[[#This Row],[Recency]]&lt;=100),"Valid","Invalid")</f>
        <v>Valid</v>
      </c>
      <c r="AM1388" t="str">
        <f t="shared" si="279"/>
        <v>Valid</v>
      </c>
      <c r="AN1388" t="str">
        <f t="shared" si="280"/>
        <v>Valid</v>
      </c>
      <c r="AO1388" t="str">
        <f t="shared" si="281"/>
        <v>Valid</v>
      </c>
      <c r="AP1388" t="str">
        <f t="shared" si="282"/>
        <v>Valid</v>
      </c>
      <c r="AQ1388" t="str">
        <f>IF(Audit_Data[[#This Row],[Z_CostContact]]=3,"Valid","Invalid")</f>
        <v>Valid</v>
      </c>
      <c r="AR1388" t="str">
        <f t="shared" si="283"/>
        <v>Valid</v>
      </c>
      <c r="AS1388" t="str">
        <f t="shared" si="284"/>
        <v>Valid</v>
      </c>
    </row>
    <row r="1389" spans="1:45" x14ac:dyDescent="0.3">
      <c r="A1389">
        <v>8702</v>
      </c>
      <c r="B1389">
        <v>1976</v>
      </c>
      <c r="C1389" t="s">
        <v>37</v>
      </c>
      <c r="D1389" t="s">
        <v>31</v>
      </c>
      <c r="E1389">
        <v>26907</v>
      </c>
      <c r="F1389">
        <v>1</v>
      </c>
      <c r="G1389">
        <v>1</v>
      </c>
      <c r="H1389" s="1">
        <v>41506</v>
      </c>
      <c r="I1389">
        <v>10</v>
      </c>
      <c r="J1389">
        <v>9</v>
      </c>
      <c r="K1389">
        <v>1</v>
      </c>
      <c r="L1389">
        <v>7</v>
      </c>
      <c r="M1389">
        <v>0</v>
      </c>
      <c r="N1389">
        <v>3</v>
      </c>
      <c r="O1389">
        <v>2</v>
      </c>
      <c r="P1389">
        <v>2</v>
      </c>
      <c r="Q1389">
        <v>1</v>
      </c>
      <c r="R1389">
        <v>0</v>
      </c>
      <c r="S1389">
        <v>3</v>
      </c>
      <c r="T1389">
        <v>7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3</v>
      </c>
      <c r="AB1389">
        <v>11</v>
      </c>
      <c r="AC1389">
        <v>0</v>
      </c>
      <c r="AD1389" t="str">
        <f t="shared" si="273"/>
        <v>Ok</v>
      </c>
      <c r="AE1389" t="str">
        <f>IF(AND(Audit_Data[[#This Row],[Year_Birth]]&gt;=1900,Audit_Data[[#This Row],[Year_Birth]]&lt;=2010),"OK","Invalid")</f>
        <v>OK</v>
      </c>
      <c r="AF1389" t="str">
        <f t="shared" si="274"/>
        <v>Valid</v>
      </c>
      <c r="AG1389" t="str">
        <f t="shared" si="275"/>
        <v>Valid</v>
      </c>
      <c r="AH1389" t="str">
        <f t="shared" si="276"/>
        <v>Valid</v>
      </c>
      <c r="AI1389" t="str">
        <f t="shared" si="277"/>
        <v>Valid</v>
      </c>
      <c r="AJ1389" t="str">
        <f t="shared" si="278"/>
        <v>Valid</v>
      </c>
      <c r="AK1389" t="str">
        <f t="shared" si="285"/>
        <v xml:space="preserve">Valid </v>
      </c>
      <c r="AL1389" t="str">
        <f>IF(AND(Audit_Data[[#This Row],[Recency]]&gt;=0,Audit_Data[[#This Row],[Recency]]&lt;=100),"Valid","Invalid")</f>
        <v>Valid</v>
      </c>
      <c r="AM1389" t="str">
        <f t="shared" si="279"/>
        <v>Valid</v>
      </c>
      <c r="AN1389" t="str">
        <f t="shared" si="280"/>
        <v>Valid</v>
      </c>
      <c r="AO1389" t="str">
        <f t="shared" si="281"/>
        <v>Valid</v>
      </c>
      <c r="AP1389" t="str">
        <f t="shared" si="282"/>
        <v>Valid</v>
      </c>
      <c r="AQ1389" t="str">
        <f>IF(Audit_Data[[#This Row],[Z_CostContact]]=3,"Valid","Invalid")</f>
        <v>Valid</v>
      </c>
      <c r="AR1389" t="str">
        <f t="shared" si="283"/>
        <v>Valid</v>
      </c>
      <c r="AS1389" t="str">
        <f t="shared" si="284"/>
        <v>Valid</v>
      </c>
    </row>
    <row r="1390" spans="1:45" x14ac:dyDescent="0.3">
      <c r="A1390">
        <v>4791</v>
      </c>
      <c r="B1390">
        <v>1980</v>
      </c>
      <c r="C1390" t="s">
        <v>29</v>
      </c>
      <c r="D1390" t="s">
        <v>31</v>
      </c>
      <c r="E1390">
        <v>44964</v>
      </c>
      <c r="F1390">
        <v>1</v>
      </c>
      <c r="G1390">
        <v>1</v>
      </c>
      <c r="H1390" s="1">
        <v>41259</v>
      </c>
      <c r="I1390">
        <v>35</v>
      </c>
      <c r="J1390">
        <v>19</v>
      </c>
      <c r="K1390">
        <v>1</v>
      </c>
      <c r="L1390">
        <v>17</v>
      </c>
      <c r="M1390">
        <v>2</v>
      </c>
      <c r="N1390">
        <v>0</v>
      </c>
      <c r="O1390">
        <v>2</v>
      </c>
      <c r="P1390">
        <v>1</v>
      </c>
      <c r="Q1390">
        <v>1</v>
      </c>
      <c r="R1390">
        <v>0</v>
      </c>
      <c r="S1390">
        <v>3</v>
      </c>
      <c r="T1390">
        <v>8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3</v>
      </c>
      <c r="AB1390">
        <v>11</v>
      </c>
      <c r="AC1390">
        <v>0</v>
      </c>
      <c r="AD1390" t="str">
        <f t="shared" si="273"/>
        <v>Ok</v>
      </c>
      <c r="AE1390" t="str">
        <f>IF(AND(Audit_Data[[#This Row],[Year_Birth]]&gt;=1900,Audit_Data[[#This Row],[Year_Birth]]&lt;=2010),"OK","Invalid")</f>
        <v>OK</v>
      </c>
      <c r="AF1390" t="str">
        <f t="shared" si="274"/>
        <v>Valid</v>
      </c>
      <c r="AG1390" t="str">
        <f t="shared" si="275"/>
        <v>Valid</v>
      </c>
      <c r="AH1390" t="str">
        <f t="shared" si="276"/>
        <v>Valid</v>
      </c>
      <c r="AI1390" t="str">
        <f t="shared" si="277"/>
        <v>Valid</v>
      </c>
      <c r="AJ1390" t="str">
        <f t="shared" si="278"/>
        <v>Valid</v>
      </c>
      <c r="AK1390" t="str">
        <f t="shared" si="285"/>
        <v xml:space="preserve">Valid </v>
      </c>
      <c r="AL1390" t="str">
        <f>IF(AND(Audit_Data[[#This Row],[Recency]]&gt;=0,Audit_Data[[#This Row],[Recency]]&lt;=100),"Valid","Invalid")</f>
        <v>Valid</v>
      </c>
      <c r="AM1390" t="str">
        <f t="shared" si="279"/>
        <v>Valid</v>
      </c>
      <c r="AN1390" t="str">
        <f t="shared" si="280"/>
        <v>Valid</v>
      </c>
      <c r="AO1390" t="str">
        <f t="shared" si="281"/>
        <v>Valid</v>
      </c>
      <c r="AP1390" t="str">
        <f t="shared" si="282"/>
        <v>Valid</v>
      </c>
      <c r="AQ1390" t="str">
        <f>IF(Audit_Data[[#This Row],[Z_CostContact]]=3,"Valid","Invalid")</f>
        <v>Valid</v>
      </c>
      <c r="AR1390" t="str">
        <f t="shared" si="283"/>
        <v>Valid</v>
      </c>
      <c r="AS1390" t="str">
        <f t="shared" si="284"/>
        <v>Valid</v>
      </c>
    </row>
    <row r="1391" spans="1:45" x14ac:dyDescent="0.3">
      <c r="A1391">
        <v>2963</v>
      </c>
      <c r="B1391">
        <v>1979</v>
      </c>
      <c r="C1391" t="s">
        <v>29</v>
      </c>
      <c r="D1391" t="s">
        <v>31</v>
      </c>
      <c r="E1391">
        <v>75507</v>
      </c>
      <c r="F1391">
        <v>0</v>
      </c>
      <c r="G1391">
        <v>0</v>
      </c>
      <c r="H1391" s="1">
        <v>41761</v>
      </c>
      <c r="I1391">
        <v>56</v>
      </c>
      <c r="J1391">
        <v>709</v>
      </c>
      <c r="K1391">
        <v>93</v>
      </c>
      <c r="L1391">
        <v>374</v>
      </c>
      <c r="M1391">
        <v>104</v>
      </c>
      <c r="N1391">
        <v>80</v>
      </c>
      <c r="O1391">
        <v>80</v>
      </c>
      <c r="P1391">
        <v>1</v>
      </c>
      <c r="Q1391">
        <v>8</v>
      </c>
      <c r="R1391">
        <v>6</v>
      </c>
      <c r="S1391">
        <v>6</v>
      </c>
      <c r="T1391">
        <v>3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3</v>
      </c>
      <c r="AB1391">
        <v>11</v>
      </c>
      <c r="AC1391">
        <v>0</v>
      </c>
      <c r="AD1391" t="str">
        <f t="shared" si="273"/>
        <v>Ok</v>
      </c>
      <c r="AE1391" t="str">
        <f>IF(AND(Audit_Data[[#This Row],[Year_Birth]]&gt;=1900,Audit_Data[[#This Row],[Year_Birth]]&lt;=2010),"OK","Invalid")</f>
        <v>OK</v>
      </c>
      <c r="AF1391" t="str">
        <f t="shared" si="274"/>
        <v>Valid</v>
      </c>
      <c r="AG1391" t="str">
        <f t="shared" si="275"/>
        <v>Valid</v>
      </c>
      <c r="AH1391" t="str">
        <f t="shared" si="276"/>
        <v>Valid</v>
      </c>
      <c r="AI1391" t="str">
        <f t="shared" si="277"/>
        <v>Valid</v>
      </c>
      <c r="AJ1391" t="str">
        <f t="shared" si="278"/>
        <v>Valid</v>
      </c>
      <c r="AK1391" t="str">
        <f t="shared" si="285"/>
        <v xml:space="preserve">Valid </v>
      </c>
      <c r="AL1391" t="str">
        <f>IF(AND(Audit_Data[[#This Row],[Recency]]&gt;=0,Audit_Data[[#This Row],[Recency]]&lt;=100),"Valid","Invalid")</f>
        <v>Valid</v>
      </c>
      <c r="AM1391" t="str">
        <f t="shared" si="279"/>
        <v>Valid</v>
      </c>
      <c r="AN1391" t="str">
        <f t="shared" si="280"/>
        <v>Valid</v>
      </c>
      <c r="AO1391" t="str">
        <f t="shared" si="281"/>
        <v>Valid</v>
      </c>
      <c r="AP1391" t="str">
        <f t="shared" si="282"/>
        <v>Valid</v>
      </c>
      <c r="AQ1391" t="str">
        <f>IF(Audit_Data[[#This Row],[Z_CostContact]]=3,"Valid","Invalid")</f>
        <v>Valid</v>
      </c>
      <c r="AR1391" t="str">
        <f t="shared" si="283"/>
        <v>Valid</v>
      </c>
      <c r="AS1391" t="str">
        <f t="shared" si="284"/>
        <v>Valid</v>
      </c>
    </row>
    <row r="1392" spans="1:45" x14ac:dyDescent="0.3">
      <c r="A1392">
        <v>8216</v>
      </c>
      <c r="B1392">
        <v>1972</v>
      </c>
      <c r="C1392" t="s">
        <v>34</v>
      </c>
      <c r="D1392" t="s">
        <v>33</v>
      </c>
      <c r="E1392">
        <v>53761</v>
      </c>
      <c r="F1392">
        <v>1</v>
      </c>
      <c r="G1392">
        <v>1</v>
      </c>
      <c r="H1392" s="1">
        <v>41558</v>
      </c>
      <c r="I1392">
        <v>7</v>
      </c>
      <c r="J1392">
        <v>158</v>
      </c>
      <c r="K1392">
        <v>0</v>
      </c>
      <c r="L1392">
        <v>76</v>
      </c>
      <c r="M1392">
        <v>13</v>
      </c>
      <c r="N1392">
        <v>7</v>
      </c>
      <c r="O1392">
        <v>71</v>
      </c>
      <c r="P1392">
        <v>6</v>
      </c>
      <c r="Q1392">
        <v>4</v>
      </c>
      <c r="R1392">
        <v>4</v>
      </c>
      <c r="S1392">
        <v>3</v>
      </c>
      <c r="T1392">
        <v>5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3</v>
      </c>
      <c r="AB1392">
        <v>11</v>
      </c>
      <c r="AC1392">
        <v>0</v>
      </c>
      <c r="AD1392" t="str">
        <f t="shared" si="273"/>
        <v>Ok</v>
      </c>
      <c r="AE1392" t="str">
        <f>IF(AND(Audit_Data[[#This Row],[Year_Birth]]&gt;=1900,Audit_Data[[#This Row],[Year_Birth]]&lt;=2010),"OK","Invalid")</f>
        <v>OK</v>
      </c>
      <c r="AF1392" t="str">
        <f t="shared" si="274"/>
        <v>Valid</v>
      </c>
      <c r="AG1392" t="str">
        <f t="shared" si="275"/>
        <v>Valid</v>
      </c>
      <c r="AH1392" t="str">
        <f t="shared" si="276"/>
        <v>Valid</v>
      </c>
      <c r="AI1392" t="str">
        <f t="shared" si="277"/>
        <v>Valid</v>
      </c>
      <c r="AJ1392" t="str">
        <f t="shared" si="278"/>
        <v>Valid</v>
      </c>
      <c r="AK1392" t="str">
        <f t="shared" si="285"/>
        <v xml:space="preserve">Valid </v>
      </c>
      <c r="AL1392" t="str">
        <f>IF(AND(Audit_Data[[#This Row],[Recency]]&gt;=0,Audit_Data[[#This Row],[Recency]]&lt;=100),"Valid","Invalid")</f>
        <v>Valid</v>
      </c>
      <c r="AM1392" t="str">
        <f t="shared" si="279"/>
        <v>Valid</v>
      </c>
      <c r="AN1392" t="str">
        <f t="shared" si="280"/>
        <v>Valid</v>
      </c>
      <c r="AO1392" t="str">
        <f t="shared" si="281"/>
        <v>Valid</v>
      </c>
      <c r="AP1392" t="str">
        <f t="shared" si="282"/>
        <v>Valid</v>
      </c>
      <c r="AQ1392" t="str">
        <f>IF(Audit_Data[[#This Row],[Z_CostContact]]=3,"Valid","Invalid")</f>
        <v>Valid</v>
      </c>
      <c r="AR1392" t="str">
        <f t="shared" si="283"/>
        <v>Valid</v>
      </c>
      <c r="AS1392" t="str">
        <f t="shared" si="284"/>
        <v>Valid</v>
      </c>
    </row>
    <row r="1393" spans="1:45" x14ac:dyDescent="0.3">
      <c r="A1393">
        <v>8140</v>
      </c>
      <c r="B1393">
        <v>1973</v>
      </c>
      <c r="C1393" t="s">
        <v>29</v>
      </c>
      <c r="D1393" t="s">
        <v>31</v>
      </c>
      <c r="E1393">
        <v>22682</v>
      </c>
      <c r="F1393">
        <v>1</v>
      </c>
      <c r="G1393">
        <v>0</v>
      </c>
      <c r="H1393" s="1">
        <v>41550</v>
      </c>
      <c r="I1393">
        <v>51</v>
      </c>
      <c r="J1393">
        <v>10</v>
      </c>
      <c r="K1393">
        <v>14</v>
      </c>
      <c r="L1393">
        <v>29</v>
      </c>
      <c r="M1393">
        <v>4</v>
      </c>
      <c r="N1393">
        <v>2</v>
      </c>
      <c r="O1393">
        <v>36</v>
      </c>
      <c r="P1393">
        <v>3</v>
      </c>
      <c r="Q1393">
        <v>2</v>
      </c>
      <c r="R1393">
        <v>1</v>
      </c>
      <c r="S1393">
        <v>4</v>
      </c>
      <c r="T1393">
        <v>4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3</v>
      </c>
      <c r="AB1393">
        <v>11</v>
      </c>
      <c r="AC1393">
        <v>0</v>
      </c>
      <c r="AD1393" t="str">
        <f t="shared" si="273"/>
        <v>Ok</v>
      </c>
      <c r="AE1393" t="str">
        <f>IF(AND(Audit_Data[[#This Row],[Year_Birth]]&gt;=1900,Audit_Data[[#This Row],[Year_Birth]]&lt;=2010),"OK","Invalid")</f>
        <v>OK</v>
      </c>
      <c r="AF1393" t="str">
        <f t="shared" si="274"/>
        <v>Valid</v>
      </c>
      <c r="AG1393" t="str">
        <f t="shared" si="275"/>
        <v>Valid</v>
      </c>
      <c r="AH1393" t="str">
        <f t="shared" si="276"/>
        <v>Valid</v>
      </c>
      <c r="AI1393" t="str">
        <f t="shared" si="277"/>
        <v>Valid</v>
      </c>
      <c r="AJ1393" t="str">
        <f t="shared" si="278"/>
        <v>Valid</v>
      </c>
      <c r="AK1393" t="str">
        <f t="shared" si="285"/>
        <v xml:space="preserve">Valid </v>
      </c>
      <c r="AL1393" t="str">
        <f>IF(AND(Audit_Data[[#This Row],[Recency]]&gt;=0,Audit_Data[[#This Row],[Recency]]&lt;=100),"Valid","Invalid")</f>
        <v>Valid</v>
      </c>
      <c r="AM1393" t="str">
        <f t="shared" si="279"/>
        <v>Valid</v>
      </c>
      <c r="AN1393" t="str">
        <f t="shared" si="280"/>
        <v>Valid</v>
      </c>
      <c r="AO1393" t="str">
        <f t="shared" si="281"/>
        <v>Valid</v>
      </c>
      <c r="AP1393" t="str">
        <f t="shared" si="282"/>
        <v>Valid</v>
      </c>
      <c r="AQ1393" t="str">
        <f>IF(Audit_Data[[#This Row],[Z_CostContact]]=3,"Valid","Invalid")</f>
        <v>Valid</v>
      </c>
      <c r="AR1393" t="str">
        <f t="shared" si="283"/>
        <v>Valid</v>
      </c>
      <c r="AS1393" t="str">
        <f t="shared" si="284"/>
        <v>Valid</v>
      </c>
    </row>
    <row r="1394" spans="1:45" x14ac:dyDescent="0.3">
      <c r="A1394">
        <v>10146</v>
      </c>
      <c r="B1394">
        <v>1972</v>
      </c>
      <c r="C1394" t="s">
        <v>32</v>
      </c>
      <c r="D1394" t="s">
        <v>31</v>
      </c>
      <c r="E1394">
        <v>38887</v>
      </c>
      <c r="F1394">
        <v>1</v>
      </c>
      <c r="G1394">
        <v>0</v>
      </c>
      <c r="H1394" s="1">
        <v>41700</v>
      </c>
      <c r="I1394">
        <v>17</v>
      </c>
      <c r="J1394">
        <v>25</v>
      </c>
      <c r="K1394">
        <v>1</v>
      </c>
      <c r="L1394">
        <v>13</v>
      </c>
      <c r="M1394">
        <v>0</v>
      </c>
      <c r="N1394">
        <v>0</v>
      </c>
      <c r="O1394">
        <v>3</v>
      </c>
      <c r="P1394">
        <v>1</v>
      </c>
      <c r="Q1394">
        <v>1</v>
      </c>
      <c r="R1394">
        <v>0</v>
      </c>
      <c r="S1394">
        <v>3</v>
      </c>
      <c r="T1394">
        <v>7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3</v>
      </c>
      <c r="AB1394">
        <v>11</v>
      </c>
      <c r="AC1394">
        <v>0</v>
      </c>
      <c r="AD1394" t="str">
        <f t="shared" si="273"/>
        <v>Ok</v>
      </c>
      <c r="AE1394" t="str">
        <f>IF(AND(Audit_Data[[#This Row],[Year_Birth]]&gt;=1900,Audit_Data[[#This Row],[Year_Birth]]&lt;=2010),"OK","Invalid")</f>
        <v>OK</v>
      </c>
      <c r="AF1394" t="str">
        <f t="shared" si="274"/>
        <v>Valid</v>
      </c>
      <c r="AG1394" t="str">
        <f t="shared" si="275"/>
        <v>Valid</v>
      </c>
      <c r="AH1394" t="str">
        <f t="shared" si="276"/>
        <v>Valid</v>
      </c>
      <c r="AI1394" t="str">
        <f t="shared" si="277"/>
        <v>Valid</v>
      </c>
      <c r="AJ1394" t="str">
        <f t="shared" si="278"/>
        <v>Valid</v>
      </c>
      <c r="AK1394" t="str">
        <f t="shared" si="285"/>
        <v xml:space="preserve">Valid </v>
      </c>
      <c r="AL1394" t="str">
        <f>IF(AND(Audit_Data[[#This Row],[Recency]]&gt;=0,Audit_Data[[#This Row],[Recency]]&lt;=100),"Valid","Invalid")</f>
        <v>Valid</v>
      </c>
      <c r="AM1394" t="str">
        <f t="shared" si="279"/>
        <v>Valid</v>
      </c>
      <c r="AN1394" t="str">
        <f t="shared" si="280"/>
        <v>Valid</v>
      </c>
      <c r="AO1394" t="str">
        <f t="shared" si="281"/>
        <v>Valid</v>
      </c>
      <c r="AP1394" t="str">
        <f t="shared" si="282"/>
        <v>Valid</v>
      </c>
      <c r="AQ1394" t="str">
        <f>IF(Audit_Data[[#This Row],[Z_CostContact]]=3,"Valid","Invalid")</f>
        <v>Valid</v>
      </c>
      <c r="AR1394" t="str">
        <f t="shared" si="283"/>
        <v>Valid</v>
      </c>
      <c r="AS1394" t="str">
        <f t="shared" si="284"/>
        <v>Valid</v>
      </c>
    </row>
    <row r="1395" spans="1:45" x14ac:dyDescent="0.3">
      <c r="A1395">
        <v>5289</v>
      </c>
      <c r="B1395">
        <v>1975</v>
      </c>
      <c r="C1395" t="s">
        <v>37</v>
      </c>
      <c r="D1395" t="s">
        <v>30</v>
      </c>
      <c r="E1395">
        <v>41658</v>
      </c>
      <c r="F1395">
        <v>1</v>
      </c>
      <c r="G1395">
        <v>1</v>
      </c>
      <c r="H1395" s="1">
        <v>41222</v>
      </c>
      <c r="I1395">
        <v>30</v>
      </c>
      <c r="J1395">
        <v>8</v>
      </c>
      <c r="K1395">
        <v>4</v>
      </c>
      <c r="L1395">
        <v>12</v>
      </c>
      <c r="M1395">
        <v>15</v>
      </c>
      <c r="N1395">
        <v>4</v>
      </c>
      <c r="O1395">
        <v>29</v>
      </c>
      <c r="P1395">
        <v>2</v>
      </c>
      <c r="Q1395">
        <v>1</v>
      </c>
      <c r="R1395">
        <v>1</v>
      </c>
      <c r="S1395">
        <v>2</v>
      </c>
      <c r="T1395">
        <v>4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3</v>
      </c>
      <c r="AB1395">
        <v>11</v>
      </c>
      <c r="AC1395">
        <v>0</v>
      </c>
      <c r="AD1395" t="str">
        <f t="shared" si="273"/>
        <v>Ok</v>
      </c>
      <c r="AE1395" t="str">
        <f>IF(AND(Audit_Data[[#This Row],[Year_Birth]]&gt;=1900,Audit_Data[[#This Row],[Year_Birth]]&lt;=2010),"OK","Invalid")</f>
        <v>OK</v>
      </c>
      <c r="AF1395" t="str">
        <f t="shared" si="274"/>
        <v>Valid</v>
      </c>
      <c r="AG1395" t="str">
        <f t="shared" si="275"/>
        <v>Valid</v>
      </c>
      <c r="AH1395" t="str">
        <f t="shared" si="276"/>
        <v>Valid</v>
      </c>
      <c r="AI1395" t="str">
        <f t="shared" si="277"/>
        <v>Valid</v>
      </c>
      <c r="AJ1395" t="str">
        <f t="shared" si="278"/>
        <v>Valid</v>
      </c>
      <c r="AK1395" t="str">
        <f t="shared" si="285"/>
        <v xml:space="preserve">Valid </v>
      </c>
      <c r="AL1395" t="str">
        <f>IF(AND(Audit_Data[[#This Row],[Recency]]&gt;=0,Audit_Data[[#This Row],[Recency]]&lt;=100),"Valid","Invalid")</f>
        <v>Valid</v>
      </c>
      <c r="AM1395" t="str">
        <f t="shared" si="279"/>
        <v>Valid</v>
      </c>
      <c r="AN1395" t="str">
        <f t="shared" si="280"/>
        <v>Valid</v>
      </c>
      <c r="AO1395" t="str">
        <f t="shared" si="281"/>
        <v>Valid</v>
      </c>
      <c r="AP1395" t="str">
        <f t="shared" si="282"/>
        <v>Valid</v>
      </c>
      <c r="AQ1395" t="str">
        <f>IF(Audit_Data[[#This Row],[Z_CostContact]]=3,"Valid","Invalid")</f>
        <v>Valid</v>
      </c>
      <c r="AR1395" t="str">
        <f t="shared" si="283"/>
        <v>Valid</v>
      </c>
      <c r="AS1395" t="str">
        <f t="shared" si="284"/>
        <v>Valid</v>
      </c>
    </row>
    <row r="1396" spans="1:45" x14ac:dyDescent="0.3">
      <c r="A1396">
        <v>2587</v>
      </c>
      <c r="B1396">
        <v>1972</v>
      </c>
      <c r="C1396" t="s">
        <v>32</v>
      </c>
      <c r="D1396" t="s">
        <v>33</v>
      </c>
      <c r="E1396">
        <v>29791</v>
      </c>
      <c r="F1396">
        <v>1</v>
      </c>
      <c r="G1396">
        <v>0</v>
      </c>
      <c r="H1396" s="1">
        <v>41774</v>
      </c>
      <c r="I1396">
        <v>21</v>
      </c>
      <c r="J1396">
        <v>14</v>
      </c>
      <c r="K1396">
        <v>0</v>
      </c>
      <c r="L1396">
        <v>6</v>
      </c>
      <c r="M1396">
        <v>0</v>
      </c>
      <c r="N1396">
        <v>0</v>
      </c>
      <c r="O1396">
        <v>0</v>
      </c>
      <c r="P1396">
        <v>2</v>
      </c>
      <c r="Q1396">
        <v>2</v>
      </c>
      <c r="R1396">
        <v>0</v>
      </c>
      <c r="S1396">
        <v>3</v>
      </c>
      <c r="T1396">
        <v>5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3</v>
      </c>
      <c r="AB1396">
        <v>11</v>
      </c>
      <c r="AC1396">
        <v>0</v>
      </c>
      <c r="AD1396" t="str">
        <f t="shared" si="273"/>
        <v>Ok</v>
      </c>
      <c r="AE1396" t="str">
        <f>IF(AND(Audit_Data[[#This Row],[Year_Birth]]&gt;=1900,Audit_Data[[#This Row],[Year_Birth]]&lt;=2010),"OK","Invalid")</f>
        <v>OK</v>
      </c>
      <c r="AF1396" t="str">
        <f t="shared" si="274"/>
        <v>Valid</v>
      </c>
      <c r="AG1396" t="str">
        <f t="shared" si="275"/>
        <v>Valid</v>
      </c>
      <c r="AH1396" t="str">
        <f t="shared" si="276"/>
        <v>Valid</v>
      </c>
      <c r="AI1396" t="str">
        <f t="shared" si="277"/>
        <v>Valid</v>
      </c>
      <c r="AJ1396" t="str">
        <f t="shared" si="278"/>
        <v>Valid</v>
      </c>
      <c r="AK1396" t="str">
        <f t="shared" si="285"/>
        <v xml:space="preserve">Valid </v>
      </c>
      <c r="AL1396" t="str">
        <f>IF(AND(Audit_Data[[#This Row],[Recency]]&gt;=0,Audit_Data[[#This Row],[Recency]]&lt;=100),"Valid","Invalid")</f>
        <v>Valid</v>
      </c>
      <c r="AM1396" t="str">
        <f t="shared" si="279"/>
        <v>Valid</v>
      </c>
      <c r="AN1396" t="str">
        <f t="shared" si="280"/>
        <v>Valid</v>
      </c>
      <c r="AO1396" t="str">
        <f t="shared" si="281"/>
        <v>Valid</v>
      </c>
      <c r="AP1396" t="str">
        <f t="shared" si="282"/>
        <v>Valid</v>
      </c>
      <c r="AQ1396" t="str">
        <f>IF(Audit_Data[[#This Row],[Z_CostContact]]=3,"Valid","Invalid")</f>
        <v>Valid</v>
      </c>
      <c r="AR1396" t="str">
        <f t="shared" si="283"/>
        <v>Valid</v>
      </c>
      <c r="AS1396" t="str">
        <f t="shared" si="284"/>
        <v>Valid</v>
      </c>
    </row>
    <row r="1397" spans="1:45" x14ac:dyDescent="0.3">
      <c r="A1397">
        <v>4405</v>
      </c>
      <c r="B1397">
        <v>1956</v>
      </c>
      <c r="C1397" t="s">
        <v>34</v>
      </c>
      <c r="D1397" t="s">
        <v>33</v>
      </c>
      <c r="E1397">
        <v>63915</v>
      </c>
      <c r="F1397">
        <v>0</v>
      </c>
      <c r="G1397">
        <v>2</v>
      </c>
      <c r="H1397" s="1">
        <v>41485</v>
      </c>
      <c r="I1397">
        <v>2</v>
      </c>
      <c r="J1397">
        <v>622</v>
      </c>
      <c r="K1397">
        <v>7</v>
      </c>
      <c r="L1397">
        <v>115</v>
      </c>
      <c r="M1397">
        <v>30</v>
      </c>
      <c r="N1397">
        <v>0</v>
      </c>
      <c r="O1397">
        <v>15</v>
      </c>
      <c r="P1397">
        <v>2</v>
      </c>
      <c r="Q1397">
        <v>6</v>
      </c>
      <c r="R1397">
        <v>3</v>
      </c>
      <c r="S1397">
        <v>12</v>
      </c>
      <c r="T1397">
        <v>5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3</v>
      </c>
      <c r="AB1397">
        <v>11</v>
      </c>
      <c r="AC1397">
        <v>0</v>
      </c>
      <c r="AD1397" t="str">
        <f t="shared" si="273"/>
        <v>Ok</v>
      </c>
      <c r="AE1397" t="str">
        <f>IF(AND(Audit_Data[[#This Row],[Year_Birth]]&gt;=1900,Audit_Data[[#This Row],[Year_Birth]]&lt;=2010),"OK","Invalid")</f>
        <v>OK</v>
      </c>
      <c r="AF1397" t="str">
        <f t="shared" si="274"/>
        <v>Valid</v>
      </c>
      <c r="AG1397" t="str">
        <f t="shared" si="275"/>
        <v>Valid</v>
      </c>
      <c r="AH1397" t="str">
        <f t="shared" si="276"/>
        <v>Valid</v>
      </c>
      <c r="AI1397" t="str">
        <f t="shared" si="277"/>
        <v>Valid</v>
      </c>
      <c r="AJ1397" t="str">
        <f t="shared" si="278"/>
        <v>Valid</v>
      </c>
      <c r="AK1397" t="str">
        <f t="shared" si="285"/>
        <v xml:space="preserve">Valid </v>
      </c>
      <c r="AL1397" t="str">
        <f>IF(AND(Audit_Data[[#This Row],[Recency]]&gt;=0,Audit_Data[[#This Row],[Recency]]&lt;=100),"Valid","Invalid")</f>
        <v>Valid</v>
      </c>
      <c r="AM1397" t="str">
        <f t="shared" si="279"/>
        <v>Valid</v>
      </c>
      <c r="AN1397" t="str">
        <f t="shared" si="280"/>
        <v>Valid</v>
      </c>
      <c r="AO1397" t="str">
        <f t="shared" si="281"/>
        <v>Valid</v>
      </c>
      <c r="AP1397" t="str">
        <f t="shared" si="282"/>
        <v>Valid</v>
      </c>
      <c r="AQ1397" t="str">
        <f>IF(Audit_Data[[#This Row],[Z_CostContact]]=3,"Valid","Invalid")</f>
        <v>Valid</v>
      </c>
      <c r="AR1397" t="str">
        <f t="shared" si="283"/>
        <v>Valid</v>
      </c>
      <c r="AS1397" t="str">
        <f t="shared" si="284"/>
        <v>Valid</v>
      </c>
    </row>
    <row r="1398" spans="1:45" x14ac:dyDescent="0.3">
      <c r="A1398">
        <v>8663</v>
      </c>
      <c r="B1398">
        <v>1974</v>
      </c>
      <c r="C1398" t="s">
        <v>29</v>
      </c>
      <c r="D1398" t="s">
        <v>35</v>
      </c>
      <c r="E1398">
        <v>39996</v>
      </c>
      <c r="F1398">
        <v>1</v>
      </c>
      <c r="G1398">
        <v>1</v>
      </c>
      <c r="H1398" s="1">
        <v>41781</v>
      </c>
      <c r="I1398">
        <v>85</v>
      </c>
      <c r="J1398">
        <v>11</v>
      </c>
      <c r="K1398">
        <v>0</v>
      </c>
      <c r="L1398">
        <v>3</v>
      </c>
      <c r="M1398">
        <v>0</v>
      </c>
      <c r="N1398">
        <v>0</v>
      </c>
      <c r="O1398">
        <v>1</v>
      </c>
      <c r="P1398">
        <v>1</v>
      </c>
      <c r="Q1398">
        <v>1</v>
      </c>
      <c r="R1398">
        <v>0</v>
      </c>
      <c r="S1398">
        <v>2</v>
      </c>
      <c r="T1398">
        <v>6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3</v>
      </c>
      <c r="AB1398">
        <v>11</v>
      </c>
      <c r="AC1398">
        <v>0</v>
      </c>
      <c r="AD1398" t="str">
        <f t="shared" si="273"/>
        <v>Ok</v>
      </c>
      <c r="AE1398" t="str">
        <f>IF(AND(Audit_Data[[#This Row],[Year_Birth]]&gt;=1900,Audit_Data[[#This Row],[Year_Birth]]&lt;=2010),"OK","Invalid")</f>
        <v>OK</v>
      </c>
      <c r="AF1398" t="str">
        <f t="shared" si="274"/>
        <v>Valid</v>
      </c>
      <c r="AG1398" t="str">
        <f t="shared" si="275"/>
        <v>Valid</v>
      </c>
      <c r="AH1398" t="str">
        <f t="shared" si="276"/>
        <v>Valid</v>
      </c>
      <c r="AI1398" t="str">
        <f t="shared" si="277"/>
        <v>Valid</v>
      </c>
      <c r="AJ1398" t="str">
        <f t="shared" si="278"/>
        <v>Valid</v>
      </c>
      <c r="AK1398" t="str">
        <f t="shared" si="285"/>
        <v xml:space="preserve">Valid </v>
      </c>
      <c r="AL1398" t="str">
        <f>IF(AND(Audit_Data[[#This Row],[Recency]]&gt;=0,Audit_Data[[#This Row],[Recency]]&lt;=100),"Valid","Invalid")</f>
        <v>Valid</v>
      </c>
      <c r="AM1398" t="str">
        <f t="shared" si="279"/>
        <v>Valid</v>
      </c>
      <c r="AN1398" t="str">
        <f t="shared" si="280"/>
        <v>Valid</v>
      </c>
      <c r="AO1398" t="str">
        <f t="shared" si="281"/>
        <v>Valid</v>
      </c>
      <c r="AP1398" t="str">
        <f t="shared" si="282"/>
        <v>Valid</v>
      </c>
      <c r="AQ1398" t="str">
        <f>IF(Audit_Data[[#This Row],[Z_CostContact]]=3,"Valid","Invalid")</f>
        <v>Valid</v>
      </c>
      <c r="AR1398" t="str">
        <f t="shared" si="283"/>
        <v>Valid</v>
      </c>
      <c r="AS1398" t="str">
        <f t="shared" si="284"/>
        <v>Valid</v>
      </c>
    </row>
    <row r="1399" spans="1:45" x14ac:dyDescent="0.3">
      <c r="A1399">
        <v>2589</v>
      </c>
      <c r="B1399">
        <v>1972</v>
      </c>
      <c r="C1399" t="s">
        <v>29</v>
      </c>
      <c r="D1399" t="s">
        <v>35</v>
      </c>
      <c r="E1399">
        <v>26759</v>
      </c>
      <c r="F1399">
        <v>1</v>
      </c>
      <c r="G1399">
        <v>0</v>
      </c>
      <c r="H1399" s="1">
        <v>41677</v>
      </c>
      <c r="I1399">
        <v>65</v>
      </c>
      <c r="J1399">
        <v>25</v>
      </c>
      <c r="K1399">
        <v>3</v>
      </c>
      <c r="L1399">
        <v>16</v>
      </c>
      <c r="M1399">
        <v>8</v>
      </c>
      <c r="N1399">
        <v>5</v>
      </c>
      <c r="O1399">
        <v>2</v>
      </c>
      <c r="P1399">
        <v>2</v>
      </c>
      <c r="Q1399">
        <v>2</v>
      </c>
      <c r="R1399">
        <v>1</v>
      </c>
      <c r="S1399">
        <v>3</v>
      </c>
      <c r="T1399">
        <v>6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3</v>
      </c>
      <c r="AB1399">
        <v>11</v>
      </c>
      <c r="AC1399">
        <v>0</v>
      </c>
      <c r="AD1399" t="str">
        <f t="shared" si="273"/>
        <v>Ok</v>
      </c>
      <c r="AE1399" t="str">
        <f>IF(AND(Audit_Data[[#This Row],[Year_Birth]]&gt;=1900,Audit_Data[[#This Row],[Year_Birth]]&lt;=2010),"OK","Invalid")</f>
        <v>OK</v>
      </c>
      <c r="AF1399" t="str">
        <f t="shared" si="274"/>
        <v>Valid</v>
      </c>
      <c r="AG1399" t="str">
        <f t="shared" si="275"/>
        <v>Valid</v>
      </c>
      <c r="AH1399" t="str">
        <f t="shared" si="276"/>
        <v>Valid</v>
      </c>
      <c r="AI1399" t="str">
        <f t="shared" si="277"/>
        <v>Valid</v>
      </c>
      <c r="AJ1399" t="str">
        <f t="shared" si="278"/>
        <v>Valid</v>
      </c>
      <c r="AK1399" t="str">
        <f t="shared" si="285"/>
        <v xml:space="preserve">Valid </v>
      </c>
      <c r="AL1399" t="str">
        <f>IF(AND(Audit_Data[[#This Row],[Recency]]&gt;=0,Audit_Data[[#This Row],[Recency]]&lt;=100),"Valid","Invalid")</f>
        <v>Valid</v>
      </c>
      <c r="AM1399" t="str">
        <f t="shared" si="279"/>
        <v>Valid</v>
      </c>
      <c r="AN1399" t="str">
        <f t="shared" si="280"/>
        <v>Valid</v>
      </c>
      <c r="AO1399" t="str">
        <f t="shared" si="281"/>
        <v>Valid</v>
      </c>
      <c r="AP1399" t="str">
        <f t="shared" si="282"/>
        <v>Valid</v>
      </c>
      <c r="AQ1399" t="str">
        <f>IF(Audit_Data[[#This Row],[Z_CostContact]]=3,"Valid","Invalid")</f>
        <v>Valid</v>
      </c>
      <c r="AR1399" t="str">
        <f t="shared" si="283"/>
        <v>Valid</v>
      </c>
      <c r="AS1399" t="str">
        <f t="shared" si="284"/>
        <v>Valid</v>
      </c>
    </row>
    <row r="1400" spans="1:45" x14ac:dyDescent="0.3">
      <c r="A1400">
        <v>3421</v>
      </c>
      <c r="B1400">
        <v>1968</v>
      </c>
      <c r="C1400" t="s">
        <v>34</v>
      </c>
      <c r="D1400" t="s">
        <v>35</v>
      </c>
      <c r="E1400">
        <v>63841</v>
      </c>
      <c r="F1400">
        <v>0</v>
      </c>
      <c r="G1400">
        <v>1</v>
      </c>
      <c r="H1400" s="1">
        <v>41385</v>
      </c>
      <c r="I1400">
        <v>64</v>
      </c>
      <c r="J1400">
        <v>635</v>
      </c>
      <c r="K1400">
        <v>15</v>
      </c>
      <c r="L1400">
        <v>100</v>
      </c>
      <c r="M1400">
        <v>20</v>
      </c>
      <c r="N1400">
        <v>7</v>
      </c>
      <c r="O1400">
        <v>131</v>
      </c>
      <c r="P1400">
        <v>1</v>
      </c>
      <c r="Q1400">
        <v>9</v>
      </c>
      <c r="R1400">
        <v>3</v>
      </c>
      <c r="S1400">
        <v>9</v>
      </c>
      <c r="T1400">
        <v>6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3</v>
      </c>
      <c r="AB1400">
        <v>11</v>
      </c>
      <c r="AC1400">
        <v>0</v>
      </c>
      <c r="AD1400" t="str">
        <f t="shared" si="273"/>
        <v>Ok</v>
      </c>
      <c r="AE1400" t="str">
        <f>IF(AND(Audit_Data[[#This Row],[Year_Birth]]&gt;=1900,Audit_Data[[#This Row],[Year_Birth]]&lt;=2010),"OK","Invalid")</f>
        <v>OK</v>
      </c>
      <c r="AF1400" t="str">
        <f t="shared" si="274"/>
        <v>Valid</v>
      </c>
      <c r="AG1400" t="str">
        <f t="shared" si="275"/>
        <v>Valid</v>
      </c>
      <c r="AH1400" t="str">
        <f t="shared" si="276"/>
        <v>Valid</v>
      </c>
      <c r="AI1400" t="str">
        <f t="shared" si="277"/>
        <v>Valid</v>
      </c>
      <c r="AJ1400" t="str">
        <f t="shared" si="278"/>
        <v>Valid</v>
      </c>
      <c r="AK1400" t="str">
        <f t="shared" si="285"/>
        <v xml:space="preserve">Valid </v>
      </c>
      <c r="AL1400" t="str">
        <f>IF(AND(Audit_Data[[#This Row],[Recency]]&gt;=0,Audit_Data[[#This Row],[Recency]]&lt;=100),"Valid","Invalid")</f>
        <v>Valid</v>
      </c>
      <c r="AM1400" t="str">
        <f t="shared" si="279"/>
        <v>Valid</v>
      </c>
      <c r="AN1400" t="str">
        <f t="shared" si="280"/>
        <v>Valid</v>
      </c>
      <c r="AO1400" t="str">
        <f t="shared" si="281"/>
        <v>Valid</v>
      </c>
      <c r="AP1400" t="str">
        <f t="shared" si="282"/>
        <v>Valid</v>
      </c>
      <c r="AQ1400" t="str">
        <f>IF(Audit_Data[[#This Row],[Z_CostContact]]=3,"Valid","Invalid")</f>
        <v>Valid</v>
      </c>
      <c r="AR1400" t="str">
        <f t="shared" si="283"/>
        <v>Valid</v>
      </c>
      <c r="AS1400" t="str">
        <f t="shared" si="284"/>
        <v>Valid</v>
      </c>
    </row>
    <row r="1401" spans="1:45" x14ac:dyDescent="0.3">
      <c r="A1401">
        <v>10490</v>
      </c>
      <c r="B1401">
        <v>1969</v>
      </c>
      <c r="C1401" t="s">
        <v>32</v>
      </c>
      <c r="D1401" t="s">
        <v>33</v>
      </c>
      <c r="E1401">
        <v>51039</v>
      </c>
      <c r="F1401">
        <v>1</v>
      </c>
      <c r="G1401">
        <v>1</v>
      </c>
      <c r="H1401" s="1">
        <v>41253</v>
      </c>
      <c r="I1401">
        <v>11</v>
      </c>
      <c r="J1401">
        <v>100</v>
      </c>
      <c r="K1401">
        <v>64</v>
      </c>
      <c r="L1401">
        <v>79</v>
      </c>
      <c r="M1401">
        <v>65</v>
      </c>
      <c r="N1401">
        <v>0</v>
      </c>
      <c r="O1401">
        <v>109</v>
      </c>
      <c r="P1401">
        <v>2</v>
      </c>
      <c r="Q1401">
        <v>6</v>
      </c>
      <c r="R1401">
        <v>2</v>
      </c>
      <c r="S1401">
        <v>4</v>
      </c>
      <c r="T1401">
        <v>7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3</v>
      </c>
      <c r="AB1401">
        <v>11</v>
      </c>
      <c r="AC1401">
        <v>0</v>
      </c>
      <c r="AD1401" t="str">
        <f t="shared" si="273"/>
        <v>Ok</v>
      </c>
      <c r="AE1401" t="str">
        <f>IF(AND(Audit_Data[[#This Row],[Year_Birth]]&gt;=1900,Audit_Data[[#This Row],[Year_Birth]]&lt;=2010),"OK","Invalid")</f>
        <v>OK</v>
      </c>
      <c r="AF1401" t="str">
        <f t="shared" si="274"/>
        <v>Valid</v>
      </c>
      <c r="AG1401" t="str">
        <f t="shared" si="275"/>
        <v>Valid</v>
      </c>
      <c r="AH1401" t="str">
        <f t="shared" si="276"/>
        <v>Valid</v>
      </c>
      <c r="AI1401" t="str">
        <f t="shared" si="277"/>
        <v>Valid</v>
      </c>
      <c r="AJ1401" t="str">
        <f t="shared" si="278"/>
        <v>Valid</v>
      </c>
      <c r="AK1401" t="str">
        <f t="shared" si="285"/>
        <v xml:space="preserve">Valid </v>
      </c>
      <c r="AL1401" t="str">
        <f>IF(AND(Audit_Data[[#This Row],[Recency]]&gt;=0,Audit_Data[[#This Row],[Recency]]&lt;=100),"Valid","Invalid")</f>
        <v>Valid</v>
      </c>
      <c r="AM1401" t="str">
        <f t="shared" si="279"/>
        <v>Valid</v>
      </c>
      <c r="AN1401" t="str">
        <f t="shared" si="280"/>
        <v>Valid</v>
      </c>
      <c r="AO1401" t="str">
        <f t="shared" si="281"/>
        <v>Valid</v>
      </c>
      <c r="AP1401" t="str">
        <f t="shared" si="282"/>
        <v>Valid</v>
      </c>
      <c r="AQ1401" t="str">
        <f>IF(Audit_Data[[#This Row],[Z_CostContact]]=3,"Valid","Invalid")</f>
        <v>Valid</v>
      </c>
      <c r="AR1401" t="str">
        <f t="shared" si="283"/>
        <v>Valid</v>
      </c>
      <c r="AS1401" t="str">
        <f t="shared" si="284"/>
        <v>Valid</v>
      </c>
    </row>
    <row r="1402" spans="1:45" x14ac:dyDescent="0.3">
      <c r="A1402">
        <v>4094</v>
      </c>
      <c r="B1402">
        <v>1961</v>
      </c>
      <c r="C1402" t="s">
        <v>29</v>
      </c>
      <c r="D1402" t="s">
        <v>33</v>
      </c>
      <c r="E1402">
        <v>60544</v>
      </c>
      <c r="F1402">
        <v>1</v>
      </c>
      <c r="G1402">
        <v>1</v>
      </c>
      <c r="H1402" s="1">
        <v>41146</v>
      </c>
      <c r="I1402">
        <v>92</v>
      </c>
      <c r="J1402">
        <v>201</v>
      </c>
      <c r="K1402">
        <v>2</v>
      </c>
      <c r="L1402">
        <v>43</v>
      </c>
      <c r="M1402">
        <v>3</v>
      </c>
      <c r="N1402">
        <v>5</v>
      </c>
      <c r="O1402">
        <v>35</v>
      </c>
      <c r="P1402">
        <v>4</v>
      </c>
      <c r="Q1402">
        <v>5</v>
      </c>
      <c r="R1402">
        <v>1</v>
      </c>
      <c r="S1402">
        <v>5</v>
      </c>
      <c r="T1402">
        <v>6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3</v>
      </c>
      <c r="AB1402">
        <v>11</v>
      </c>
      <c r="AC1402">
        <v>0</v>
      </c>
      <c r="AD1402" t="str">
        <f t="shared" si="273"/>
        <v>Ok</v>
      </c>
      <c r="AE1402" t="str">
        <f>IF(AND(Audit_Data[[#This Row],[Year_Birth]]&gt;=1900,Audit_Data[[#This Row],[Year_Birth]]&lt;=2010),"OK","Invalid")</f>
        <v>OK</v>
      </c>
      <c r="AF1402" t="str">
        <f t="shared" si="274"/>
        <v>Valid</v>
      </c>
      <c r="AG1402" t="str">
        <f t="shared" si="275"/>
        <v>Valid</v>
      </c>
      <c r="AH1402" t="str">
        <f t="shared" si="276"/>
        <v>Valid</v>
      </c>
      <c r="AI1402" t="str">
        <f t="shared" si="277"/>
        <v>Valid</v>
      </c>
      <c r="AJ1402" t="str">
        <f t="shared" si="278"/>
        <v>Valid</v>
      </c>
      <c r="AK1402" t="str">
        <f t="shared" si="285"/>
        <v xml:space="preserve">Valid </v>
      </c>
      <c r="AL1402" t="str">
        <f>IF(AND(Audit_Data[[#This Row],[Recency]]&gt;=0,Audit_Data[[#This Row],[Recency]]&lt;=100),"Valid","Invalid")</f>
        <v>Valid</v>
      </c>
      <c r="AM1402" t="str">
        <f t="shared" si="279"/>
        <v>Valid</v>
      </c>
      <c r="AN1402" t="str">
        <f t="shared" si="280"/>
        <v>Valid</v>
      </c>
      <c r="AO1402" t="str">
        <f t="shared" si="281"/>
        <v>Valid</v>
      </c>
      <c r="AP1402" t="str">
        <f t="shared" si="282"/>
        <v>Valid</v>
      </c>
      <c r="AQ1402" t="str">
        <f>IF(Audit_Data[[#This Row],[Z_CostContact]]=3,"Valid","Invalid")</f>
        <v>Valid</v>
      </c>
      <c r="AR1402" t="str">
        <f t="shared" si="283"/>
        <v>Valid</v>
      </c>
      <c r="AS1402" t="str">
        <f t="shared" si="284"/>
        <v>Valid</v>
      </c>
    </row>
    <row r="1403" spans="1:45" x14ac:dyDescent="0.3">
      <c r="A1403">
        <v>9958</v>
      </c>
      <c r="B1403">
        <v>1972</v>
      </c>
      <c r="C1403" t="s">
        <v>29</v>
      </c>
      <c r="D1403" t="s">
        <v>33</v>
      </c>
      <c r="E1403">
        <v>65685</v>
      </c>
      <c r="F1403">
        <v>0</v>
      </c>
      <c r="G1403">
        <v>1</v>
      </c>
      <c r="H1403" s="1">
        <v>41727</v>
      </c>
      <c r="I1403">
        <v>54</v>
      </c>
      <c r="J1403">
        <v>642</v>
      </c>
      <c r="K1403">
        <v>14</v>
      </c>
      <c r="L1403">
        <v>49</v>
      </c>
      <c r="M1403">
        <v>0</v>
      </c>
      <c r="N1403">
        <v>7</v>
      </c>
      <c r="O1403">
        <v>57</v>
      </c>
      <c r="P1403">
        <v>1</v>
      </c>
      <c r="Q1403">
        <v>9</v>
      </c>
      <c r="R1403">
        <v>2</v>
      </c>
      <c r="S1403">
        <v>9</v>
      </c>
      <c r="T1403">
        <v>5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3</v>
      </c>
      <c r="AB1403">
        <v>11</v>
      </c>
      <c r="AC1403">
        <v>0</v>
      </c>
      <c r="AD1403" t="str">
        <f t="shared" si="273"/>
        <v>Ok</v>
      </c>
      <c r="AE1403" t="str">
        <f>IF(AND(Audit_Data[[#This Row],[Year_Birth]]&gt;=1900,Audit_Data[[#This Row],[Year_Birth]]&lt;=2010),"OK","Invalid")</f>
        <v>OK</v>
      </c>
      <c r="AF1403" t="str">
        <f t="shared" si="274"/>
        <v>Valid</v>
      </c>
      <c r="AG1403" t="str">
        <f t="shared" si="275"/>
        <v>Valid</v>
      </c>
      <c r="AH1403" t="str">
        <f t="shared" si="276"/>
        <v>Valid</v>
      </c>
      <c r="AI1403" t="str">
        <f t="shared" si="277"/>
        <v>Valid</v>
      </c>
      <c r="AJ1403" t="str">
        <f t="shared" si="278"/>
        <v>Valid</v>
      </c>
      <c r="AK1403" t="str">
        <f t="shared" si="285"/>
        <v xml:space="preserve">Valid </v>
      </c>
      <c r="AL1403" t="str">
        <f>IF(AND(Audit_Data[[#This Row],[Recency]]&gt;=0,Audit_Data[[#This Row],[Recency]]&lt;=100),"Valid","Invalid")</f>
        <v>Valid</v>
      </c>
      <c r="AM1403" t="str">
        <f t="shared" si="279"/>
        <v>Valid</v>
      </c>
      <c r="AN1403" t="str">
        <f t="shared" si="280"/>
        <v>Valid</v>
      </c>
      <c r="AO1403" t="str">
        <f t="shared" si="281"/>
        <v>Valid</v>
      </c>
      <c r="AP1403" t="str">
        <f t="shared" si="282"/>
        <v>Valid</v>
      </c>
      <c r="AQ1403" t="str">
        <f>IF(Audit_Data[[#This Row],[Z_CostContact]]=3,"Valid","Invalid")</f>
        <v>Valid</v>
      </c>
      <c r="AR1403" t="str">
        <f t="shared" si="283"/>
        <v>Valid</v>
      </c>
      <c r="AS1403" t="str">
        <f t="shared" si="284"/>
        <v>Valid</v>
      </c>
    </row>
    <row r="1404" spans="1:45" x14ac:dyDescent="0.3">
      <c r="A1404">
        <v>2534</v>
      </c>
      <c r="B1404">
        <v>1953</v>
      </c>
      <c r="C1404" t="s">
        <v>29</v>
      </c>
      <c r="D1404" t="s">
        <v>33</v>
      </c>
      <c r="E1404">
        <v>37716</v>
      </c>
      <c r="F1404">
        <v>0</v>
      </c>
      <c r="G1404">
        <v>1</v>
      </c>
      <c r="H1404" s="1">
        <v>41750</v>
      </c>
      <c r="I1404">
        <v>4</v>
      </c>
      <c r="J1404">
        <v>97</v>
      </c>
      <c r="K1404">
        <v>1</v>
      </c>
      <c r="L1404">
        <v>41</v>
      </c>
      <c r="M1404">
        <v>6</v>
      </c>
      <c r="N1404">
        <v>2</v>
      </c>
      <c r="O1404">
        <v>41</v>
      </c>
      <c r="P1404">
        <v>2</v>
      </c>
      <c r="Q1404">
        <v>4</v>
      </c>
      <c r="R1404">
        <v>1</v>
      </c>
      <c r="S1404">
        <v>3</v>
      </c>
      <c r="T1404">
        <v>7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3</v>
      </c>
      <c r="AB1404">
        <v>11</v>
      </c>
      <c r="AC1404">
        <v>0</v>
      </c>
      <c r="AD1404" t="str">
        <f t="shared" si="273"/>
        <v>Ok</v>
      </c>
      <c r="AE1404" t="str">
        <f>IF(AND(Audit_Data[[#This Row],[Year_Birth]]&gt;=1900,Audit_Data[[#This Row],[Year_Birth]]&lt;=2010),"OK","Invalid")</f>
        <v>OK</v>
      </c>
      <c r="AF1404" t="str">
        <f t="shared" si="274"/>
        <v>Valid</v>
      </c>
      <c r="AG1404" t="str">
        <f t="shared" si="275"/>
        <v>Valid</v>
      </c>
      <c r="AH1404" t="str">
        <f t="shared" si="276"/>
        <v>Valid</v>
      </c>
      <c r="AI1404" t="str">
        <f t="shared" si="277"/>
        <v>Valid</v>
      </c>
      <c r="AJ1404" t="str">
        <f t="shared" si="278"/>
        <v>Valid</v>
      </c>
      <c r="AK1404" t="str">
        <f t="shared" si="285"/>
        <v xml:space="preserve">Valid </v>
      </c>
      <c r="AL1404" t="str">
        <f>IF(AND(Audit_Data[[#This Row],[Recency]]&gt;=0,Audit_Data[[#This Row],[Recency]]&lt;=100),"Valid","Invalid")</f>
        <v>Valid</v>
      </c>
      <c r="AM1404" t="str">
        <f t="shared" si="279"/>
        <v>Valid</v>
      </c>
      <c r="AN1404" t="str">
        <f t="shared" si="280"/>
        <v>Valid</v>
      </c>
      <c r="AO1404" t="str">
        <f t="shared" si="281"/>
        <v>Valid</v>
      </c>
      <c r="AP1404" t="str">
        <f t="shared" si="282"/>
        <v>Valid</v>
      </c>
      <c r="AQ1404" t="str">
        <f>IF(Audit_Data[[#This Row],[Z_CostContact]]=3,"Valid","Invalid")</f>
        <v>Valid</v>
      </c>
      <c r="AR1404" t="str">
        <f t="shared" si="283"/>
        <v>Valid</v>
      </c>
      <c r="AS1404" t="str">
        <f t="shared" si="284"/>
        <v>Valid</v>
      </c>
    </row>
    <row r="1405" spans="1:45" x14ac:dyDescent="0.3">
      <c r="A1405">
        <v>4188</v>
      </c>
      <c r="B1405">
        <v>1957</v>
      </c>
      <c r="C1405" t="s">
        <v>29</v>
      </c>
      <c r="D1405" t="s">
        <v>30</v>
      </c>
      <c r="E1405">
        <v>36864</v>
      </c>
      <c r="F1405">
        <v>0</v>
      </c>
      <c r="G1405">
        <v>1</v>
      </c>
      <c r="H1405" s="1">
        <v>41134</v>
      </c>
      <c r="I1405">
        <v>53</v>
      </c>
      <c r="J1405">
        <v>204</v>
      </c>
      <c r="K1405">
        <v>5</v>
      </c>
      <c r="L1405">
        <v>39</v>
      </c>
      <c r="M1405">
        <v>17</v>
      </c>
      <c r="N1405">
        <v>0</v>
      </c>
      <c r="O1405">
        <v>89</v>
      </c>
      <c r="P1405">
        <v>3</v>
      </c>
      <c r="Q1405">
        <v>5</v>
      </c>
      <c r="R1405">
        <v>2</v>
      </c>
      <c r="S1405">
        <v>4</v>
      </c>
      <c r="T1405">
        <v>8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3</v>
      </c>
      <c r="AB1405">
        <v>11</v>
      </c>
      <c r="AC1405">
        <v>1</v>
      </c>
      <c r="AD1405" t="str">
        <f t="shared" si="273"/>
        <v>Ok</v>
      </c>
      <c r="AE1405" t="str">
        <f>IF(AND(Audit_Data[[#This Row],[Year_Birth]]&gt;=1900,Audit_Data[[#This Row],[Year_Birth]]&lt;=2010),"OK","Invalid")</f>
        <v>OK</v>
      </c>
      <c r="AF1405" t="str">
        <f t="shared" si="274"/>
        <v>Valid</v>
      </c>
      <c r="AG1405" t="str">
        <f t="shared" si="275"/>
        <v>Valid</v>
      </c>
      <c r="AH1405" t="str">
        <f t="shared" si="276"/>
        <v>Valid</v>
      </c>
      <c r="AI1405" t="str">
        <f t="shared" si="277"/>
        <v>Valid</v>
      </c>
      <c r="AJ1405" t="str">
        <f t="shared" si="278"/>
        <v>Valid</v>
      </c>
      <c r="AK1405" t="str">
        <f t="shared" si="285"/>
        <v xml:space="preserve">Valid </v>
      </c>
      <c r="AL1405" t="str">
        <f>IF(AND(Audit_Data[[#This Row],[Recency]]&gt;=0,Audit_Data[[#This Row],[Recency]]&lt;=100),"Valid","Invalid")</f>
        <v>Valid</v>
      </c>
      <c r="AM1405" t="str">
        <f t="shared" si="279"/>
        <v>Valid</v>
      </c>
      <c r="AN1405" t="str">
        <f t="shared" si="280"/>
        <v>Valid</v>
      </c>
      <c r="AO1405" t="str">
        <f t="shared" si="281"/>
        <v>Valid</v>
      </c>
      <c r="AP1405" t="str">
        <f t="shared" si="282"/>
        <v>Valid</v>
      </c>
      <c r="AQ1405" t="str">
        <f>IF(Audit_Data[[#This Row],[Z_CostContact]]=3,"Valid","Invalid")</f>
        <v>Valid</v>
      </c>
      <c r="AR1405" t="str">
        <f t="shared" si="283"/>
        <v>Valid</v>
      </c>
      <c r="AS1405" t="str">
        <f t="shared" si="284"/>
        <v>Valid</v>
      </c>
    </row>
    <row r="1406" spans="1:45" x14ac:dyDescent="0.3">
      <c r="A1406">
        <v>6613</v>
      </c>
      <c r="B1406">
        <v>1970</v>
      </c>
      <c r="C1406" t="s">
        <v>34</v>
      </c>
      <c r="D1406" t="s">
        <v>33</v>
      </c>
      <c r="E1406">
        <v>44511</v>
      </c>
      <c r="F1406">
        <v>1</v>
      </c>
      <c r="G1406">
        <v>0</v>
      </c>
      <c r="H1406" s="1">
        <v>41194</v>
      </c>
      <c r="I1406">
        <v>39</v>
      </c>
      <c r="J1406">
        <v>513</v>
      </c>
      <c r="K1406">
        <v>7</v>
      </c>
      <c r="L1406">
        <v>133</v>
      </c>
      <c r="M1406">
        <v>46</v>
      </c>
      <c r="N1406">
        <v>14</v>
      </c>
      <c r="O1406">
        <v>14</v>
      </c>
      <c r="P1406">
        <v>6</v>
      </c>
      <c r="Q1406">
        <v>8</v>
      </c>
      <c r="R1406">
        <v>4</v>
      </c>
      <c r="S1406">
        <v>8</v>
      </c>
      <c r="T1406">
        <v>8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3</v>
      </c>
      <c r="AB1406">
        <v>11</v>
      </c>
      <c r="AC1406">
        <v>0</v>
      </c>
      <c r="AD1406" t="str">
        <f t="shared" si="273"/>
        <v>Ok</v>
      </c>
      <c r="AE1406" t="str">
        <f>IF(AND(Audit_Data[[#This Row],[Year_Birth]]&gt;=1900,Audit_Data[[#This Row],[Year_Birth]]&lt;=2010),"OK","Invalid")</f>
        <v>OK</v>
      </c>
      <c r="AF1406" t="str">
        <f t="shared" si="274"/>
        <v>Valid</v>
      </c>
      <c r="AG1406" t="str">
        <f t="shared" si="275"/>
        <v>Valid</v>
      </c>
      <c r="AH1406" t="str">
        <f t="shared" si="276"/>
        <v>Valid</v>
      </c>
      <c r="AI1406" t="str">
        <f t="shared" si="277"/>
        <v>Valid</v>
      </c>
      <c r="AJ1406" t="str">
        <f t="shared" si="278"/>
        <v>Valid</v>
      </c>
      <c r="AK1406" t="str">
        <f t="shared" si="285"/>
        <v xml:space="preserve">Valid </v>
      </c>
      <c r="AL1406" t="str">
        <f>IF(AND(Audit_Data[[#This Row],[Recency]]&gt;=0,Audit_Data[[#This Row],[Recency]]&lt;=100),"Valid","Invalid")</f>
        <v>Valid</v>
      </c>
      <c r="AM1406" t="str">
        <f t="shared" si="279"/>
        <v>Valid</v>
      </c>
      <c r="AN1406" t="str">
        <f t="shared" si="280"/>
        <v>Valid</v>
      </c>
      <c r="AO1406" t="str">
        <f t="shared" si="281"/>
        <v>Valid</v>
      </c>
      <c r="AP1406" t="str">
        <f t="shared" si="282"/>
        <v>Valid</v>
      </c>
      <c r="AQ1406" t="str">
        <f>IF(Audit_Data[[#This Row],[Z_CostContact]]=3,"Valid","Invalid")</f>
        <v>Valid</v>
      </c>
      <c r="AR1406" t="str">
        <f t="shared" si="283"/>
        <v>Valid</v>
      </c>
      <c r="AS1406" t="str">
        <f t="shared" si="284"/>
        <v>Valid</v>
      </c>
    </row>
    <row r="1407" spans="1:45" x14ac:dyDescent="0.3">
      <c r="A1407">
        <v>10827</v>
      </c>
      <c r="B1407">
        <v>1967</v>
      </c>
      <c r="C1407" t="s">
        <v>32</v>
      </c>
      <c r="D1407" t="s">
        <v>33</v>
      </c>
      <c r="E1407">
        <v>36947</v>
      </c>
      <c r="F1407">
        <v>1</v>
      </c>
      <c r="G1407">
        <v>1</v>
      </c>
      <c r="H1407" s="1">
        <v>41128</v>
      </c>
      <c r="I1407">
        <v>49</v>
      </c>
      <c r="J1407">
        <v>88</v>
      </c>
      <c r="K1407">
        <v>3</v>
      </c>
      <c r="L1407">
        <v>21</v>
      </c>
      <c r="M1407">
        <v>4</v>
      </c>
      <c r="N1407">
        <v>1</v>
      </c>
      <c r="O1407">
        <v>29</v>
      </c>
      <c r="P1407">
        <v>4</v>
      </c>
      <c r="Q1407">
        <v>3</v>
      </c>
      <c r="R1407">
        <v>0</v>
      </c>
      <c r="S1407">
        <v>4</v>
      </c>
      <c r="T1407">
        <v>9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3</v>
      </c>
      <c r="AB1407">
        <v>11</v>
      </c>
      <c r="AC1407">
        <v>0</v>
      </c>
      <c r="AD1407" t="str">
        <f t="shared" si="273"/>
        <v>Ok</v>
      </c>
      <c r="AE1407" t="str">
        <f>IF(AND(Audit_Data[[#This Row],[Year_Birth]]&gt;=1900,Audit_Data[[#This Row],[Year_Birth]]&lt;=2010),"OK","Invalid")</f>
        <v>OK</v>
      </c>
      <c r="AF1407" t="str">
        <f t="shared" si="274"/>
        <v>Valid</v>
      </c>
      <c r="AG1407" t="str">
        <f t="shared" si="275"/>
        <v>Valid</v>
      </c>
      <c r="AH1407" t="str">
        <f t="shared" si="276"/>
        <v>Valid</v>
      </c>
      <c r="AI1407" t="str">
        <f t="shared" si="277"/>
        <v>Valid</v>
      </c>
      <c r="AJ1407" t="str">
        <f t="shared" si="278"/>
        <v>Valid</v>
      </c>
      <c r="AK1407" t="str">
        <f t="shared" si="285"/>
        <v xml:space="preserve">Valid </v>
      </c>
      <c r="AL1407" t="str">
        <f>IF(AND(Audit_Data[[#This Row],[Recency]]&gt;=0,Audit_Data[[#This Row],[Recency]]&lt;=100),"Valid","Invalid")</f>
        <v>Valid</v>
      </c>
      <c r="AM1407" t="str">
        <f t="shared" si="279"/>
        <v>Valid</v>
      </c>
      <c r="AN1407" t="str">
        <f t="shared" si="280"/>
        <v>Valid</v>
      </c>
      <c r="AO1407" t="str">
        <f t="shared" si="281"/>
        <v>Valid</v>
      </c>
      <c r="AP1407" t="str">
        <f t="shared" si="282"/>
        <v>Valid</v>
      </c>
      <c r="AQ1407" t="str">
        <f>IF(Audit_Data[[#This Row],[Z_CostContact]]=3,"Valid","Invalid")</f>
        <v>Valid</v>
      </c>
      <c r="AR1407" t="str">
        <f t="shared" si="283"/>
        <v>Valid</v>
      </c>
      <c r="AS1407" t="str">
        <f t="shared" si="284"/>
        <v>Valid</v>
      </c>
    </row>
    <row r="1408" spans="1:45" x14ac:dyDescent="0.3">
      <c r="A1408">
        <v>5491</v>
      </c>
      <c r="B1408">
        <v>1951</v>
      </c>
      <c r="C1408" t="s">
        <v>34</v>
      </c>
      <c r="D1408" t="s">
        <v>31</v>
      </c>
      <c r="E1408">
        <v>47352</v>
      </c>
      <c r="F1408">
        <v>0</v>
      </c>
      <c r="G1408">
        <v>1</v>
      </c>
      <c r="H1408" s="1">
        <v>41375</v>
      </c>
      <c r="I1408">
        <v>70</v>
      </c>
      <c r="J1408">
        <v>172</v>
      </c>
      <c r="K1408">
        <v>12</v>
      </c>
      <c r="L1408">
        <v>112</v>
      </c>
      <c r="M1408">
        <v>8</v>
      </c>
      <c r="N1408">
        <v>0</v>
      </c>
      <c r="O1408">
        <v>15</v>
      </c>
      <c r="P1408">
        <v>4</v>
      </c>
      <c r="Q1408">
        <v>6</v>
      </c>
      <c r="R1408">
        <v>1</v>
      </c>
      <c r="S1408">
        <v>5</v>
      </c>
      <c r="T1408">
        <v>7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3</v>
      </c>
      <c r="AB1408">
        <v>11</v>
      </c>
      <c r="AC1408">
        <v>0</v>
      </c>
      <c r="AD1408" t="str">
        <f t="shared" si="273"/>
        <v>Ok</v>
      </c>
      <c r="AE1408" t="str">
        <f>IF(AND(Audit_Data[[#This Row],[Year_Birth]]&gt;=1900,Audit_Data[[#This Row],[Year_Birth]]&lt;=2010),"OK","Invalid")</f>
        <v>OK</v>
      </c>
      <c r="AF1408" t="str">
        <f t="shared" si="274"/>
        <v>Valid</v>
      </c>
      <c r="AG1408" t="str">
        <f t="shared" si="275"/>
        <v>Valid</v>
      </c>
      <c r="AH1408" t="str">
        <f t="shared" si="276"/>
        <v>Valid</v>
      </c>
      <c r="AI1408" t="str">
        <f t="shared" si="277"/>
        <v>Valid</v>
      </c>
      <c r="AJ1408" t="str">
        <f t="shared" si="278"/>
        <v>Valid</v>
      </c>
      <c r="AK1408" t="str">
        <f t="shared" si="285"/>
        <v xml:space="preserve">Valid </v>
      </c>
      <c r="AL1408" t="str">
        <f>IF(AND(Audit_Data[[#This Row],[Recency]]&gt;=0,Audit_Data[[#This Row],[Recency]]&lt;=100),"Valid","Invalid")</f>
        <v>Valid</v>
      </c>
      <c r="AM1408" t="str">
        <f t="shared" si="279"/>
        <v>Valid</v>
      </c>
      <c r="AN1408" t="str">
        <f t="shared" si="280"/>
        <v>Valid</v>
      </c>
      <c r="AO1408" t="str">
        <f t="shared" si="281"/>
        <v>Valid</v>
      </c>
      <c r="AP1408" t="str">
        <f t="shared" si="282"/>
        <v>Valid</v>
      </c>
      <c r="AQ1408" t="str">
        <f>IF(Audit_Data[[#This Row],[Z_CostContact]]=3,"Valid","Invalid")</f>
        <v>Valid</v>
      </c>
      <c r="AR1408" t="str">
        <f t="shared" si="283"/>
        <v>Valid</v>
      </c>
      <c r="AS1408" t="str">
        <f t="shared" si="284"/>
        <v>Valid</v>
      </c>
    </row>
    <row r="1409" spans="1:45" x14ac:dyDescent="0.3">
      <c r="A1409">
        <v>8402</v>
      </c>
      <c r="B1409">
        <v>1953</v>
      </c>
      <c r="C1409" t="s">
        <v>34</v>
      </c>
      <c r="D1409" t="s">
        <v>33</v>
      </c>
      <c r="E1409">
        <v>67087</v>
      </c>
      <c r="F1409">
        <v>0</v>
      </c>
      <c r="G1409">
        <v>1</v>
      </c>
      <c r="H1409" s="1">
        <v>41625</v>
      </c>
      <c r="I1409">
        <v>40</v>
      </c>
      <c r="J1409">
        <v>329</v>
      </c>
      <c r="K1409">
        <v>35</v>
      </c>
      <c r="L1409">
        <v>222</v>
      </c>
      <c r="M1409">
        <v>130</v>
      </c>
      <c r="N1409">
        <v>35</v>
      </c>
      <c r="O1409">
        <v>43</v>
      </c>
      <c r="P1409">
        <v>2</v>
      </c>
      <c r="Q1409">
        <v>7</v>
      </c>
      <c r="R1409">
        <v>5</v>
      </c>
      <c r="S1409">
        <v>8</v>
      </c>
      <c r="T1409">
        <v>4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3</v>
      </c>
      <c r="AB1409">
        <v>11</v>
      </c>
      <c r="AC1409">
        <v>0</v>
      </c>
      <c r="AD1409" t="str">
        <f t="shared" si="273"/>
        <v>Ok</v>
      </c>
      <c r="AE1409" t="str">
        <f>IF(AND(Audit_Data[[#This Row],[Year_Birth]]&gt;=1900,Audit_Data[[#This Row],[Year_Birth]]&lt;=2010),"OK","Invalid")</f>
        <v>OK</v>
      </c>
      <c r="AF1409" t="str">
        <f t="shared" si="274"/>
        <v>Valid</v>
      </c>
      <c r="AG1409" t="str">
        <f t="shared" si="275"/>
        <v>Valid</v>
      </c>
      <c r="AH1409" t="str">
        <f t="shared" si="276"/>
        <v>Valid</v>
      </c>
      <c r="AI1409" t="str">
        <f t="shared" si="277"/>
        <v>Valid</v>
      </c>
      <c r="AJ1409" t="str">
        <f t="shared" si="278"/>
        <v>Valid</v>
      </c>
      <c r="AK1409" t="str">
        <f t="shared" si="285"/>
        <v xml:space="preserve">Valid </v>
      </c>
      <c r="AL1409" t="str">
        <f>IF(AND(Audit_Data[[#This Row],[Recency]]&gt;=0,Audit_Data[[#This Row],[Recency]]&lt;=100),"Valid","Invalid")</f>
        <v>Valid</v>
      </c>
      <c r="AM1409" t="str">
        <f t="shared" si="279"/>
        <v>Valid</v>
      </c>
      <c r="AN1409" t="str">
        <f t="shared" si="280"/>
        <v>Valid</v>
      </c>
      <c r="AO1409" t="str">
        <f t="shared" si="281"/>
        <v>Valid</v>
      </c>
      <c r="AP1409" t="str">
        <f t="shared" si="282"/>
        <v>Valid</v>
      </c>
      <c r="AQ1409" t="str">
        <f>IF(Audit_Data[[#This Row],[Z_CostContact]]=3,"Valid","Invalid")</f>
        <v>Valid</v>
      </c>
      <c r="AR1409" t="str">
        <f t="shared" si="283"/>
        <v>Valid</v>
      </c>
      <c r="AS1409" t="str">
        <f t="shared" si="284"/>
        <v>Valid</v>
      </c>
    </row>
    <row r="1410" spans="1:45" x14ac:dyDescent="0.3">
      <c r="A1410">
        <v>8783</v>
      </c>
      <c r="B1410">
        <v>1950</v>
      </c>
      <c r="C1410" t="s">
        <v>29</v>
      </c>
      <c r="D1410" t="s">
        <v>33</v>
      </c>
      <c r="E1410">
        <v>57045</v>
      </c>
      <c r="F1410">
        <v>0</v>
      </c>
      <c r="G1410">
        <v>1</v>
      </c>
      <c r="H1410" s="1">
        <v>41160</v>
      </c>
      <c r="I1410">
        <v>40</v>
      </c>
      <c r="J1410">
        <v>296</v>
      </c>
      <c r="K1410">
        <v>13</v>
      </c>
      <c r="L1410">
        <v>104</v>
      </c>
      <c r="M1410">
        <v>11</v>
      </c>
      <c r="N1410">
        <v>13</v>
      </c>
      <c r="O1410">
        <v>17</v>
      </c>
      <c r="P1410">
        <v>3</v>
      </c>
      <c r="Q1410">
        <v>4</v>
      </c>
      <c r="R1410">
        <v>2</v>
      </c>
      <c r="S1410">
        <v>9</v>
      </c>
      <c r="T1410">
        <v>3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3</v>
      </c>
      <c r="AB1410">
        <v>11</v>
      </c>
      <c r="AC1410">
        <v>0</v>
      </c>
      <c r="AD1410" t="str">
        <f t="shared" ref="AD1410:AD1473" si="286">IF(COUNTIF(A:A,A1410)&gt;1,"Duplicate","Ok")</f>
        <v>Ok</v>
      </c>
      <c r="AE1410" t="str">
        <f>IF(AND(Audit_Data[[#This Row],[Year_Birth]]&gt;=1900,Audit_Data[[#This Row],[Year_Birth]]&lt;=2010),"OK","Invalid")</f>
        <v>OK</v>
      </c>
      <c r="AF1410" t="str">
        <f t="shared" ref="AF1410:AF1473" si="287">IF(OR(C1410="Graduation",C1410="phD",C1410="Master",C1410="Basic",C1410="2n Cycle"),"Valid","Invalid")</f>
        <v>Valid</v>
      </c>
      <c r="AG1410" t="str">
        <f t="shared" ref="AG1410:AG1473" si="288">IF(OR(D1410="Single",D1410="Married",D1410="Divorced",D1410="Together",D1410="Widow",D1410="Alone"),"Valid","Invalid")</f>
        <v>Valid</v>
      </c>
      <c r="AH1410" t="str">
        <f t="shared" ref="AH1410:AH1473" si="289">IF(AND(ISNUMBER(E1410),E1410&lt;&gt;""),"Valid","Invalid")</f>
        <v>Valid</v>
      </c>
      <c r="AI1410" t="str">
        <f t="shared" ref="AI1410:AI1473" si="290">IF(AND(F1410&gt;=0,F1410&lt;=2),"Valid","Invalid")</f>
        <v>Valid</v>
      </c>
      <c r="AJ1410" t="str">
        <f t="shared" ref="AJ1410:AJ1473" si="291">IF(AND(G1410&gt;=0,G1410&lt;=2),"Valid","Invalid")</f>
        <v>Valid</v>
      </c>
      <c r="AK1410" t="str">
        <f t="shared" si="285"/>
        <v xml:space="preserve">Valid </v>
      </c>
      <c r="AL1410" t="str">
        <f>IF(AND(Audit_Data[[#This Row],[Recency]]&gt;=0,Audit_Data[[#This Row],[Recency]]&lt;=100),"Valid","Invalid")</f>
        <v>Valid</v>
      </c>
      <c r="AM1410" t="str">
        <f t="shared" ref="AM1410:AM1473" si="292">IF(AND(ISNUMBER(J1410),J1410&gt;=0,ISNUMBER(K1410),K1410&gt;=0,ISNUMBER(L1410),L1410&gt;=0,ISNUMBER(M1410),M1410&gt;=0,ISNUMBER(N1410),N1410&gt;=0,ISNUMBER(O1410),O1410&gt;=0),"Valid","Invalid")</f>
        <v>Valid</v>
      </c>
      <c r="AN1410" t="str">
        <f t="shared" ref="AN1410:AN1473" si="293">IF(AND(ISNUMBER(P1410),P1410&gt;=0,ISNUMBER(Q1410),Q1410&gt;=0,ISNUMBER(R1410),R1410&gt;=0,ISNUMBER(S1410),S1410&gt;=0,ISNUMBER(T1410),T1410&gt;=0),"Valid","Invalid")</f>
        <v>Valid</v>
      </c>
      <c r="AO1410" t="str">
        <f t="shared" ref="AO1410:AO1473" si="294">IF(AND(U1410&lt;=1,V1410&lt;=1,W1410&lt;=1,X1410&lt;=1,Y1410&lt;=1),"Valid","Invalid")</f>
        <v>Valid</v>
      </c>
      <c r="AP1410" t="str">
        <f t="shared" ref="AP1410:AP1473" si="295">IF(OR(Z1410=0,Z1410=1),"Valid","Invalid")</f>
        <v>Valid</v>
      </c>
      <c r="AQ1410" t="str">
        <f>IF(Audit_Data[[#This Row],[Z_CostContact]]=3,"Valid","Invalid")</f>
        <v>Valid</v>
      </c>
      <c r="AR1410" t="str">
        <f t="shared" ref="AR1410:AR1473" si="296">IF(AB1410=11,"Valid","Invalid")</f>
        <v>Valid</v>
      </c>
      <c r="AS1410" t="str">
        <f t="shared" ref="AS1410:AS1473" si="297">IF(OR(AC1410=0,AC1410=1),"Valid","Invalid")</f>
        <v>Valid</v>
      </c>
    </row>
    <row r="1411" spans="1:45" x14ac:dyDescent="0.3">
      <c r="A1411">
        <v>10010</v>
      </c>
      <c r="B1411">
        <v>1953</v>
      </c>
      <c r="C1411" t="s">
        <v>32</v>
      </c>
      <c r="D1411" t="s">
        <v>35</v>
      </c>
      <c r="E1411">
        <v>36957</v>
      </c>
      <c r="F1411">
        <v>1</v>
      </c>
      <c r="G1411">
        <v>1</v>
      </c>
      <c r="H1411" s="1">
        <v>41158</v>
      </c>
      <c r="I1411">
        <v>43</v>
      </c>
      <c r="J1411">
        <v>100</v>
      </c>
      <c r="K1411">
        <v>2</v>
      </c>
      <c r="L1411">
        <v>16</v>
      </c>
      <c r="M1411">
        <v>2</v>
      </c>
      <c r="N1411">
        <v>1</v>
      </c>
      <c r="O1411">
        <v>31</v>
      </c>
      <c r="P1411">
        <v>4</v>
      </c>
      <c r="Q1411">
        <v>3</v>
      </c>
      <c r="R1411">
        <v>2</v>
      </c>
      <c r="S1411">
        <v>2</v>
      </c>
      <c r="T1411">
        <v>9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3</v>
      </c>
      <c r="AB1411">
        <v>11</v>
      </c>
      <c r="AC1411">
        <v>1</v>
      </c>
      <c r="AD1411" t="str">
        <f t="shared" si="286"/>
        <v>Ok</v>
      </c>
      <c r="AE1411" t="str">
        <f>IF(AND(Audit_Data[[#This Row],[Year_Birth]]&gt;=1900,Audit_Data[[#This Row],[Year_Birth]]&lt;=2010),"OK","Invalid")</f>
        <v>OK</v>
      </c>
      <c r="AF1411" t="str">
        <f t="shared" si="287"/>
        <v>Valid</v>
      </c>
      <c r="AG1411" t="str">
        <f t="shared" si="288"/>
        <v>Valid</v>
      </c>
      <c r="AH1411" t="str">
        <f t="shared" si="289"/>
        <v>Valid</v>
      </c>
      <c r="AI1411" t="str">
        <f t="shared" si="290"/>
        <v>Valid</v>
      </c>
      <c r="AJ1411" t="str">
        <f t="shared" si="291"/>
        <v>Valid</v>
      </c>
      <c r="AK1411" t="str">
        <f t="shared" ref="AK1411:AK1474" si="298">IF(AND(ISNUMBER(H1411),H1411&gt;=DATE(2012,1,1),H1411&lt;=DATE(2014,12,31)),"Valid ","Invalid")</f>
        <v xml:space="preserve">Valid </v>
      </c>
      <c r="AL1411" t="str">
        <f>IF(AND(Audit_Data[[#This Row],[Recency]]&gt;=0,Audit_Data[[#This Row],[Recency]]&lt;=100),"Valid","Invalid")</f>
        <v>Valid</v>
      </c>
      <c r="AM1411" t="str">
        <f t="shared" si="292"/>
        <v>Valid</v>
      </c>
      <c r="AN1411" t="str">
        <f t="shared" si="293"/>
        <v>Valid</v>
      </c>
      <c r="AO1411" t="str">
        <f t="shared" si="294"/>
        <v>Valid</v>
      </c>
      <c r="AP1411" t="str">
        <f t="shared" si="295"/>
        <v>Valid</v>
      </c>
      <c r="AQ1411" t="str">
        <f>IF(Audit_Data[[#This Row],[Z_CostContact]]=3,"Valid","Invalid")</f>
        <v>Valid</v>
      </c>
      <c r="AR1411" t="str">
        <f t="shared" si="296"/>
        <v>Valid</v>
      </c>
      <c r="AS1411" t="str">
        <f t="shared" si="297"/>
        <v>Valid</v>
      </c>
    </row>
    <row r="1412" spans="1:45" x14ac:dyDescent="0.3">
      <c r="A1412">
        <v>618</v>
      </c>
      <c r="B1412">
        <v>1977</v>
      </c>
      <c r="C1412" t="s">
        <v>32</v>
      </c>
      <c r="D1412" t="s">
        <v>33</v>
      </c>
      <c r="E1412">
        <v>69389</v>
      </c>
      <c r="F1412">
        <v>0</v>
      </c>
      <c r="G1412">
        <v>1</v>
      </c>
      <c r="H1412" s="1">
        <v>41180</v>
      </c>
      <c r="I1412">
        <v>17</v>
      </c>
      <c r="J1412">
        <v>422</v>
      </c>
      <c r="K1412">
        <v>7</v>
      </c>
      <c r="L1412">
        <v>238</v>
      </c>
      <c r="M1412">
        <v>69</v>
      </c>
      <c r="N1412">
        <v>46</v>
      </c>
      <c r="O1412">
        <v>15</v>
      </c>
      <c r="P1412">
        <v>1</v>
      </c>
      <c r="Q1412">
        <v>7</v>
      </c>
      <c r="R1412">
        <v>2</v>
      </c>
      <c r="S1412">
        <v>12</v>
      </c>
      <c r="T1412">
        <v>4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3</v>
      </c>
      <c r="AB1412">
        <v>11</v>
      </c>
      <c r="AC1412">
        <v>0</v>
      </c>
      <c r="AD1412" t="str">
        <f t="shared" si="286"/>
        <v>Ok</v>
      </c>
      <c r="AE1412" t="str">
        <f>IF(AND(Audit_Data[[#This Row],[Year_Birth]]&gt;=1900,Audit_Data[[#This Row],[Year_Birth]]&lt;=2010),"OK","Invalid")</f>
        <v>OK</v>
      </c>
      <c r="AF1412" t="str">
        <f t="shared" si="287"/>
        <v>Valid</v>
      </c>
      <c r="AG1412" t="str">
        <f t="shared" si="288"/>
        <v>Valid</v>
      </c>
      <c r="AH1412" t="str">
        <f t="shared" si="289"/>
        <v>Valid</v>
      </c>
      <c r="AI1412" t="str">
        <f t="shared" si="290"/>
        <v>Valid</v>
      </c>
      <c r="AJ1412" t="str">
        <f t="shared" si="291"/>
        <v>Valid</v>
      </c>
      <c r="AK1412" t="str">
        <f t="shared" si="298"/>
        <v xml:space="preserve">Valid </v>
      </c>
      <c r="AL1412" t="str">
        <f>IF(AND(Audit_Data[[#This Row],[Recency]]&gt;=0,Audit_Data[[#This Row],[Recency]]&lt;=100),"Valid","Invalid")</f>
        <v>Valid</v>
      </c>
      <c r="AM1412" t="str">
        <f t="shared" si="292"/>
        <v>Valid</v>
      </c>
      <c r="AN1412" t="str">
        <f t="shared" si="293"/>
        <v>Valid</v>
      </c>
      <c r="AO1412" t="str">
        <f t="shared" si="294"/>
        <v>Valid</v>
      </c>
      <c r="AP1412" t="str">
        <f t="shared" si="295"/>
        <v>Valid</v>
      </c>
      <c r="AQ1412" t="str">
        <f>IF(Audit_Data[[#This Row],[Z_CostContact]]=3,"Valid","Invalid")</f>
        <v>Valid</v>
      </c>
      <c r="AR1412" t="str">
        <f t="shared" si="296"/>
        <v>Valid</v>
      </c>
      <c r="AS1412" t="str">
        <f t="shared" si="297"/>
        <v>Valid</v>
      </c>
    </row>
    <row r="1413" spans="1:45" x14ac:dyDescent="0.3">
      <c r="A1413">
        <v>9121</v>
      </c>
      <c r="B1413">
        <v>1972</v>
      </c>
      <c r="C1413" t="s">
        <v>29</v>
      </c>
      <c r="D1413" t="s">
        <v>33</v>
      </c>
      <c r="E1413">
        <v>80134</v>
      </c>
      <c r="F1413">
        <v>1</v>
      </c>
      <c r="G1413">
        <v>0</v>
      </c>
      <c r="H1413" s="1">
        <v>41414</v>
      </c>
      <c r="I1413">
        <v>40</v>
      </c>
      <c r="J1413">
        <v>1218</v>
      </c>
      <c r="K1413">
        <v>16</v>
      </c>
      <c r="L1413">
        <v>272</v>
      </c>
      <c r="M1413">
        <v>104</v>
      </c>
      <c r="N1413">
        <v>0</v>
      </c>
      <c r="O1413">
        <v>80</v>
      </c>
      <c r="P1413">
        <v>2</v>
      </c>
      <c r="Q1413">
        <v>5</v>
      </c>
      <c r="R1413">
        <v>3</v>
      </c>
      <c r="S1413">
        <v>6</v>
      </c>
      <c r="T1413">
        <v>6</v>
      </c>
      <c r="U1413">
        <v>0</v>
      </c>
      <c r="V1413">
        <v>1</v>
      </c>
      <c r="W1413">
        <v>1</v>
      </c>
      <c r="X1413">
        <v>1</v>
      </c>
      <c r="Y1413">
        <v>0</v>
      </c>
      <c r="Z1413">
        <v>0</v>
      </c>
      <c r="AA1413">
        <v>3</v>
      </c>
      <c r="AB1413">
        <v>11</v>
      </c>
      <c r="AC1413">
        <v>1</v>
      </c>
      <c r="AD1413" t="str">
        <f t="shared" si="286"/>
        <v>Ok</v>
      </c>
      <c r="AE1413" t="str">
        <f>IF(AND(Audit_Data[[#This Row],[Year_Birth]]&gt;=1900,Audit_Data[[#This Row],[Year_Birth]]&lt;=2010),"OK","Invalid")</f>
        <v>OK</v>
      </c>
      <c r="AF1413" t="str">
        <f t="shared" si="287"/>
        <v>Valid</v>
      </c>
      <c r="AG1413" t="str">
        <f t="shared" si="288"/>
        <v>Valid</v>
      </c>
      <c r="AH1413" t="str">
        <f t="shared" si="289"/>
        <v>Valid</v>
      </c>
      <c r="AI1413" t="str">
        <f t="shared" si="290"/>
        <v>Valid</v>
      </c>
      <c r="AJ1413" t="str">
        <f t="shared" si="291"/>
        <v>Valid</v>
      </c>
      <c r="AK1413" t="str">
        <f t="shared" si="298"/>
        <v xml:space="preserve">Valid </v>
      </c>
      <c r="AL1413" t="str">
        <f>IF(AND(Audit_Data[[#This Row],[Recency]]&gt;=0,Audit_Data[[#This Row],[Recency]]&lt;=100),"Valid","Invalid")</f>
        <v>Valid</v>
      </c>
      <c r="AM1413" t="str">
        <f t="shared" si="292"/>
        <v>Valid</v>
      </c>
      <c r="AN1413" t="str">
        <f t="shared" si="293"/>
        <v>Valid</v>
      </c>
      <c r="AO1413" t="str">
        <f t="shared" si="294"/>
        <v>Valid</v>
      </c>
      <c r="AP1413" t="str">
        <f t="shared" si="295"/>
        <v>Valid</v>
      </c>
      <c r="AQ1413" t="str">
        <f>IF(Audit_Data[[#This Row],[Z_CostContact]]=3,"Valid","Invalid")</f>
        <v>Valid</v>
      </c>
      <c r="AR1413" t="str">
        <f t="shared" si="296"/>
        <v>Valid</v>
      </c>
      <c r="AS1413" t="str">
        <f t="shared" si="297"/>
        <v>Valid</v>
      </c>
    </row>
    <row r="1414" spans="1:45" x14ac:dyDescent="0.3">
      <c r="A1414">
        <v>361</v>
      </c>
      <c r="B1414">
        <v>1969</v>
      </c>
      <c r="C1414" t="s">
        <v>34</v>
      </c>
      <c r="D1414" t="s">
        <v>33</v>
      </c>
      <c r="E1414">
        <v>43142</v>
      </c>
      <c r="F1414">
        <v>1</v>
      </c>
      <c r="G1414">
        <v>1</v>
      </c>
      <c r="H1414" s="1">
        <v>41688</v>
      </c>
      <c r="I1414">
        <v>84</v>
      </c>
      <c r="J1414">
        <v>5</v>
      </c>
      <c r="K1414">
        <v>1</v>
      </c>
      <c r="L1414">
        <v>7</v>
      </c>
      <c r="M1414">
        <v>2</v>
      </c>
      <c r="N1414">
        <v>1</v>
      </c>
      <c r="O1414">
        <v>4</v>
      </c>
      <c r="P1414">
        <v>1</v>
      </c>
      <c r="Q1414">
        <v>1</v>
      </c>
      <c r="R1414">
        <v>0</v>
      </c>
      <c r="S1414">
        <v>2</v>
      </c>
      <c r="T1414">
        <v>7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3</v>
      </c>
      <c r="AB1414">
        <v>11</v>
      </c>
      <c r="AC1414">
        <v>0</v>
      </c>
      <c r="AD1414" t="str">
        <f t="shared" si="286"/>
        <v>Ok</v>
      </c>
      <c r="AE1414" t="str">
        <f>IF(AND(Audit_Data[[#This Row],[Year_Birth]]&gt;=1900,Audit_Data[[#This Row],[Year_Birth]]&lt;=2010),"OK","Invalid")</f>
        <v>OK</v>
      </c>
      <c r="AF1414" t="str">
        <f t="shared" si="287"/>
        <v>Valid</v>
      </c>
      <c r="AG1414" t="str">
        <f t="shared" si="288"/>
        <v>Valid</v>
      </c>
      <c r="AH1414" t="str">
        <f t="shared" si="289"/>
        <v>Valid</v>
      </c>
      <c r="AI1414" t="str">
        <f t="shared" si="290"/>
        <v>Valid</v>
      </c>
      <c r="AJ1414" t="str">
        <f t="shared" si="291"/>
        <v>Valid</v>
      </c>
      <c r="AK1414" t="str">
        <f t="shared" si="298"/>
        <v xml:space="preserve">Valid </v>
      </c>
      <c r="AL1414" t="str">
        <f>IF(AND(Audit_Data[[#This Row],[Recency]]&gt;=0,Audit_Data[[#This Row],[Recency]]&lt;=100),"Valid","Invalid")</f>
        <v>Valid</v>
      </c>
      <c r="AM1414" t="str">
        <f t="shared" si="292"/>
        <v>Valid</v>
      </c>
      <c r="AN1414" t="str">
        <f t="shared" si="293"/>
        <v>Valid</v>
      </c>
      <c r="AO1414" t="str">
        <f t="shared" si="294"/>
        <v>Valid</v>
      </c>
      <c r="AP1414" t="str">
        <f t="shared" si="295"/>
        <v>Valid</v>
      </c>
      <c r="AQ1414" t="str">
        <f>IF(Audit_Data[[#This Row],[Z_CostContact]]=3,"Valid","Invalid")</f>
        <v>Valid</v>
      </c>
      <c r="AR1414" t="str">
        <f t="shared" si="296"/>
        <v>Valid</v>
      </c>
      <c r="AS1414" t="str">
        <f t="shared" si="297"/>
        <v>Valid</v>
      </c>
    </row>
    <row r="1415" spans="1:45" x14ac:dyDescent="0.3">
      <c r="A1415">
        <v>4310</v>
      </c>
      <c r="B1415">
        <v>1944</v>
      </c>
      <c r="C1415" t="s">
        <v>29</v>
      </c>
      <c r="D1415" t="s">
        <v>33</v>
      </c>
      <c r="E1415">
        <v>80589</v>
      </c>
      <c r="F1415">
        <v>0</v>
      </c>
      <c r="G1415">
        <v>0</v>
      </c>
      <c r="H1415" s="1">
        <v>41661</v>
      </c>
      <c r="I1415">
        <v>25</v>
      </c>
      <c r="J1415">
        <v>507</v>
      </c>
      <c r="K1415">
        <v>93</v>
      </c>
      <c r="L1415">
        <v>520</v>
      </c>
      <c r="M1415">
        <v>242</v>
      </c>
      <c r="N1415">
        <v>40</v>
      </c>
      <c r="O1415">
        <v>26</v>
      </c>
      <c r="P1415">
        <v>1</v>
      </c>
      <c r="Q1415">
        <v>5</v>
      </c>
      <c r="R1415">
        <v>10</v>
      </c>
      <c r="S1415">
        <v>5</v>
      </c>
      <c r="T1415">
        <v>1</v>
      </c>
      <c r="U1415">
        <v>0</v>
      </c>
      <c r="V1415">
        <v>0</v>
      </c>
      <c r="W1415">
        <v>0</v>
      </c>
      <c r="X1415">
        <v>1</v>
      </c>
      <c r="Y1415">
        <v>0</v>
      </c>
      <c r="Z1415">
        <v>0</v>
      </c>
      <c r="AA1415">
        <v>3</v>
      </c>
      <c r="AB1415">
        <v>11</v>
      </c>
      <c r="AC1415">
        <v>1</v>
      </c>
      <c r="AD1415" t="str">
        <f t="shared" si="286"/>
        <v>Ok</v>
      </c>
      <c r="AE1415" t="str">
        <f>IF(AND(Audit_Data[[#This Row],[Year_Birth]]&gt;=1900,Audit_Data[[#This Row],[Year_Birth]]&lt;=2010),"OK","Invalid")</f>
        <v>OK</v>
      </c>
      <c r="AF1415" t="str">
        <f t="shared" si="287"/>
        <v>Valid</v>
      </c>
      <c r="AG1415" t="str">
        <f t="shared" si="288"/>
        <v>Valid</v>
      </c>
      <c r="AH1415" t="str">
        <f t="shared" si="289"/>
        <v>Valid</v>
      </c>
      <c r="AI1415" t="str">
        <f t="shared" si="290"/>
        <v>Valid</v>
      </c>
      <c r="AJ1415" t="str">
        <f t="shared" si="291"/>
        <v>Valid</v>
      </c>
      <c r="AK1415" t="str">
        <f t="shared" si="298"/>
        <v xml:space="preserve">Valid </v>
      </c>
      <c r="AL1415" t="str">
        <f>IF(AND(Audit_Data[[#This Row],[Recency]]&gt;=0,Audit_Data[[#This Row],[Recency]]&lt;=100),"Valid","Invalid")</f>
        <v>Valid</v>
      </c>
      <c r="AM1415" t="str">
        <f t="shared" si="292"/>
        <v>Valid</v>
      </c>
      <c r="AN1415" t="str">
        <f t="shared" si="293"/>
        <v>Valid</v>
      </c>
      <c r="AO1415" t="str">
        <f t="shared" si="294"/>
        <v>Valid</v>
      </c>
      <c r="AP1415" t="str">
        <f t="shared" si="295"/>
        <v>Valid</v>
      </c>
      <c r="AQ1415" t="str">
        <f>IF(Audit_Data[[#This Row],[Z_CostContact]]=3,"Valid","Invalid")</f>
        <v>Valid</v>
      </c>
      <c r="AR1415" t="str">
        <f t="shared" si="296"/>
        <v>Valid</v>
      </c>
      <c r="AS1415" t="str">
        <f t="shared" si="297"/>
        <v>Valid</v>
      </c>
    </row>
    <row r="1416" spans="1:45" x14ac:dyDescent="0.3">
      <c r="A1416">
        <v>2678</v>
      </c>
      <c r="B1416">
        <v>1990</v>
      </c>
      <c r="C1416" t="s">
        <v>29</v>
      </c>
      <c r="D1416" t="s">
        <v>30</v>
      </c>
      <c r="E1416">
        <v>34412</v>
      </c>
      <c r="F1416">
        <v>1</v>
      </c>
      <c r="G1416">
        <v>0</v>
      </c>
      <c r="H1416" s="1">
        <v>41318</v>
      </c>
      <c r="I1416">
        <v>62</v>
      </c>
      <c r="J1416">
        <v>52</v>
      </c>
      <c r="K1416">
        <v>12</v>
      </c>
      <c r="L1416">
        <v>50</v>
      </c>
      <c r="M1416">
        <v>4</v>
      </c>
      <c r="N1416">
        <v>36</v>
      </c>
      <c r="O1416">
        <v>55</v>
      </c>
      <c r="P1416">
        <v>3</v>
      </c>
      <c r="Q1416">
        <v>5</v>
      </c>
      <c r="R1416">
        <v>0</v>
      </c>
      <c r="S1416">
        <v>3</v>
      </c>
      <c r="T1416">
        <v>9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3</v>
      </c>
      <c r="AB1416">
        <v>11</v>
      </c>
      <c r="AC1416">
        <v>0</v>
      </c>
      <c r="AD1416" t="str">
        <f t="shared" si="286"/>
        <v>Ok</v>
      </c>
      <c r="AE1416" t="str">
        <f>IF(AND(Audit_Data[[#This Row],[Year_Birth]]&gt;=1900,Audit_Data[[#This Row],[Year_Birth]]&lt;=2010),"OK","Invalid")</f>
        <v>OK</v>
      </c>
      <c r="AF1416" t="str">
        <f t="shared" si="287"/>
        <v>Valid</v>
      </c>
      <c r="AG1416" t="str">
        <f t="shared" si="288"/>
        <v>Valid</v>
      </c>
      <c r="AH1416" t="str">
        <f t="shared" si="289"/>
        <v>Valid</v>
      </c>
      <c r="AI1416" t="str">
        <f t="shared" si="290"/>
        <v>Valid</v>
      </c>
      <c r="AJ1416" t="str">
        <f t="shared" si="291"/>
        <v>Valid</v>
      </c>
      <c r="AK1416" t="str">
        <f t="shared" si="298"/>
        <v xml:space="preserve">Valid </v>
      </c>
      <c r="AL1416" t="str">
        <f>IF(AND(Audit_Data[[#This Row],[Recency]]&gt;=0,Audit_Data[[#This Row],[Recency]]&lt;=100),"Valid","Invalid")</f>
        <v>Valid</v>
      </c>
      <c r="AM1416" t="str">
        <f t="shared" si="292"/>
        <v>Valid</v>
      </c>
      <c r="AN1416" t="str">
        <f t="shared" si="293"/>
        <v>Valid</v>
      </c>
      <c r="AO1416" t="str">
        <f t="shared" si="294"/>
        <v>Valid</v>
      </c>
      <c r="AP1416" t="str">
        <f t="shared" si="295"/>
        <v>Valid</v>
      </c>
      <c r="AQ1416" t="str">
        <f>IF(Audit_Data[[#This Row],[Z_CostContact]]=3,"Valid","Invalid")</f>
        <v>Valid</v>
      </c>
      <c r="AR1416" t="str">
        <f t="shared" si="296"/>
        <v>Valid</v>
      </c>
      <c r="AS1416" t="str">
        <f t="shared" si="297"/>
        <v>Valid</v>
      </c>
    </row>
    <row r="1417" spans="1:45" x14ac:dyDescent="0.3">
      <c r="A1417">
        <v>6376</v>
      </c>
      <c r="B1417">
        <v>1979</v>
      </c>
      <c r="C1417" t="s">
        <v>29</v>
      </c>
      <c r="D1417" t="s">
        <v>30</v>
      </c>
      <c r="E1417">
        <v>57537</v>
      </c>
      <c r="F1417">
        <v>1</v>
      </c>
      <c r="G1417">
        <v>0</v>
      </c>
      <c r="H1417" s="1">
        <v>41435</v>
      </c>
      <c r="I1417">
        <v>83</v>
      </c>
      <c r="J1417">
        <v>191</v>
      </c>
      <c r="K1417">
        <v>56</v>
      </c>
      <c r="L1417">
        <v>139</v>
      </c>
      <c r="M1417">
        <v>51</v>
      </c>
      <c r="N1417">
        <v>8</v>
      </c>
      <c r="O1417">
        <v>100</v>
      </c>
      <c r="P1417">
        <v>4</v>
      </c>
      <c r="Q1417">
        <v>4</v>
      </c>
      <c r="R1417">
        <v>3</v>
      </c>
      <c r="S1417">
        <v>8</v>
      </c>
      <c r="T1417">
        <v>4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3</v>
      </c>
      <c r="AB1417">
        <v>11</v>
      </c>
      <c r="AC1417">
        <v>0</v>
      </c>
      <c r="AD1417" t="str">
        <f t="shared" si="286"/>
        <v>Ok</v>
      </c>
      <c r="AE1417" t="str">
        <f>IF(AND(Audit_Data[[#This Row],[Year_Birth]]&gt;=1900,Audit_Data[[#This Row],[Year_Birth]]&lt;=2010),"OK","Invalid")</f>
        <v>OK</v>
      </c>
      <c r="AF1417" t="str">
        <f t="shared" si="287"/>
        <v>Valid</v>
      </c>
      <c r="AG1417" t="str">
        <f t="shared" si="288"/>
        <v>Valid</v>
      </c>
      <c r="AH1417" t="str">
        <f t="shared" si="289"/>
        <v>Valid</v>
      </c>
      <c r="AI1417" t="str">
        <f t="shared" si="290"/>
        <v>Valid</v>
      </c>
      <c r="AJ1417" t="str">
        <f t="shared" si="291"/>
        <v>Valid</v>
      </c>
      <c r="AK1417" t="str">
        <f t="shared" si="298"/>
        <v xml:space="preserve">Valid </v>
      </c>
      <c r="AL1417" t="str">
        <f>IF(AND(Audit_Data[[#This Row],[Recency]]&gt;=0,Audit_Data[[#This Row],[Recency]]&lt;=100),"Valid","Invalid")</f>
        <v>Valid</v>
      </c>
      <c r="AM1417" t="str">
        <f t="shared" si="292"/>
        <v>Valid</v>
      </c>
      <c r="AN1417" t="str">
        <f t="shared" si="293"/>
        <v>Valid</v>
      </c>
      <c r="AO1417" t="str">
        <f t="shared" si="294"/>
        <v>Valid</v>
      </c>
      <c r="AP1417" t="str">
        <f t="shared" si="295"/>
        <v>Valid</v>
      </c>
      <c r="AQ1417" t="str">
        <f>IF(Audit_Data[[#This Row],[Z_CostContact]]=3,"Valid","Invalid")</f>
        <v>Valid</v>
      </c>
      <c r="AR1417" t="str">
        <f t="shared" si="296"/>
        <v>Valid</v>
      </c>
      <c r="AS1417" t="str">
        <f t="shared" si="297"/>
        <v>Valid</v>
      </c>
    </row>
    <row r="1418" spans="1:45" x14ac:dyDescent="0.3">
      <c r="A1418">
        <v>524</v>
      </c>
      <c r="B1418">
        <v>1966</v>
      </c>
      <c r="C1418" t="s">
        <v>36</v>
      </c>
      <c r="D1418" t="s">
        <v>31</v>
      </c>
      <c r="E1418">
        <v>22634</v>
      </c>
      <c r="F1418">
        <v>0</v>
      </c>
      <c r="G1418">
        <v>0</v>
      </c>
      <c r="H1418" s="1">
        <v>41290</v>
      </c>
      <c r="I1418">
        <v>47</v>
      </c>
      <c r="J1418">
        <v>2</v>
      </c>
      <c r="K1418">
        <v>23</v>
      </c>
      <c r="L1418">
        <v>11</v>
      </c>
      <c r="M1418">
        <v>8</v>
      </c>
      <c r="N1418">
        <v>6</v>
      </c>
      <c r="O1418">
        <v>46</v>
      </c>
      <c r="P1418">
        <v>1</v>
      </c>
      <c r="Q1418">
        <v>2</v>
      </c>
      <c r="R1418">
        <v>1</v>
      </c>
      <c r="S1418">
        <v>2</v>
      </c>
      <c r="T1418">
        <v>8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3</v>
      </c>
      <c r="AB1418">
        <v>11</v>
      </c>
      <c r="AC1418">
        <v>0</v>
      </c>
      <c r="AD1418" t="str">
        <f t="shared" si="286"/>
        <v>Ok</v>
      </c>
      <c r="AE1418" t="str">
        <f>IF(AND(Audit_Data[[#This Row],[Year_Birth]]&gt;=1900,Audit_Data[[#This Row],[Year_Birth]]&lt;=2010),"OK","Invalid")</f>
        <v>OK</v>
      </c>
      <c r="AF1418" t="str">
        <f t="shared" si="287"/>
        <v>Valid</v>
      </c>
      <c r="AG1418" t="str">
        <f t="shared" si="288"/>
        <v>Valid</v>
      </c>
      <c r="AH1418" t="str">
        <f t="shared" si="289"/>
        <v>Valid</v>
      </c>
      <c r="AI1418" t="str">
        <f t="shared" si="290"/>
        <v>Valid</v>
      </c>
      <c r="AJ1418" t="str">
        <f t="shared" si="291"/>
        <v>Valid</v>
      </c>
      <c r="AK1418" t="str">
        <f t="shared" si="298"/>
        <v xml:space="preserve">Valid </v>
      </c>
      <c r="AL1418" t="str">
        <f>IF(AND(Audit_Data[[#This Row],[Recency]]&gt;=0,Audit_Data[[#This Row],[Recency]]&lt;=100),"Valid","Invalid")</f>
        <v>Valid</v>
      </c>
      <c r="AM1418" t="str">
        <f t="shared" si="292"/>
        <v>Valid</v>
      </c>
      <c r="AN1418" t="str">
        <f t="shared" si="293"/>
        <v>Valid</v>
      </c>
      <c r="AO1418" t="str">
        <f t="shared" si="294"/>
        <v>Valid</v>
      </c>
      <c r="AP1418" t="str">
        <f t="shared" si="295"/>
        <v>Valid</v>
      </c>
      <c r="AQ1418" t="str">
        <f>IF(Audit_Data[[#This Row],[Z_CostContact]]=3,"Valid","Invalid")</f>
        <v>Valid</v>
      </c>
      <c r="AR1418" t="str">
        <f t="shared" si="296"/>
        <v>Valid</v>
      </c>
      <c r="AS1418" t="str">
        <f t="shared" si="297"/>
        <v>Valid</v>
      </c>
    </row>
    <row r="1419" spans="1:45" x14ac:dyDescent="0.3">
      <c r="A1419">
        <v>10341</v>
      </c>
      <c r="B1419">
        <v>1948</v>
      </c>
      <c r="C1419" t="s">
        <v>29</v>
      </c>
      <c r="D1419" t="s">
        <v>31</v>
      </c>
      <c r="E1419">
        <v>51315</v>
      </c>
      <c r="F1419">
        <v>0</v>
      </c>
      <c r="G1419">
        <v>0</v>
      </c>
      <c r="H1419" s="1">
        <v>41693</v>
      </c>
      <c r="I1419">
        <v>45</v>
      </c>
      <c r="J1419">
        <v>68</v>
      </c>
      <c r="K1419">
        <v>28</v>
      </c>
      <c r="L1419">
        <v>39</v>
      </c>
      <c r="M1419">
        <v>16</v>
      </c>
      <c r="N1419">
        <v>30</v>
      </c>
      <c r="O1419">
        <v>41</v>
      </c>
      <c r="P1419">
        <v>1</v>
      </c>
      <c r="Q1419">
        <v>2</v>
      </c>
      <c r="R1419">
        <v>2</v>
      </c>
      <c r="S1419">
        <v>5</v>
      </c>
      <c r="T1419">
        <v>2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3</v>
      </c>
      <c r="AB1419">
        <v>11</v>
      </c>
      <c r="AC1419">
        <v>0</v>
      </c>
      <c r="AD1419" t="str">
        <f t="shared" si="286"/>
        <v>Ok</v>
      </c>
      <c r="AE1419" t="str">
        <f>IF(AND(Audit_Data[[#This Row],[Year_Birth]]&gt;=1900,Audit_Data[[#This Row],[Year_Birth]]&lt;=2010),"OK","Invalid")</f>
        <v>OK</v>
      </c>
      <c r="AF1419" t="str">
        <f t="shared" si="287"/>
        <v>Valid</v>
      </c>
      <c r="AG1419" t="str">
        <f t="shared" si="288"/>
        <v>Valid</v>
      </c>
      <c r="AH1419" t="str">
        <f t="shared" si="289"/>
        <v>Valid</v>
      </c>
      <c r="AI1419" t="str">
        <f t="shared" si="290"/>
        <v>Valid</v>
      </c>
      <c r="AJ1419" t="str">
        <f t="shared" si="291"/>
        <v>Valid</v>
      </c>
      <c r="AK1419" t="str">
        <f t="shared" si="298"/>
        <v xml:space="preserve">Valid </v>
      </c>
      <c r="AL1419" t="str">
        <f>IF(AND(Audit_Data[[#This Row],[Recency]]&gt;=0,Audit_Data[[#This Row],[Recency]]&lt;=100),"Valid","Invalid")</f>
        <v>Valid</v>
      </c>
      <c r="AM1419" t="str">
        <f t="shared" si="292"/>
        <v>Valid</v>
      </c>
      <c r="AN1419" t="str">
        <f t="shared" si="293"/>
        <v>Valid</v>
      </c>
      <c r="AO1419" t="str">
        <f t="shared" si="294"/>
        <v>Valid</v>
      </c>
      <c r="AP1419" t="str">
        <f t="shared" si="295"/>
        <v>Valid</v>
      </c>
      <c r="AQ1419" t="str">
        <f>IF(Audit_Data[[#This Row],[Z_CostContact]]=3,"Valid","Invalid")</f>
        <v>Valid</v>
      </c>
      <c r="AR1419" t="str">
        <f t="shared" si="296"/>
        <v>Valid</v>
      </c>
      <c r="AS1419" t="str">
        <f t="shared" si="297"/>
        <v>Valid</v>
      </c>
    </row>
    <row r="1420" spans="1:45" x14ac:dyDescent="0.3">
      <c r="A1420">
        <v>5654</v>
      </c>
      <c r="B1420">
        <v>1972</v>
      </c>
      <c r="C1420" t="s">
        <v>29</v>
      </c>
      <c r="D1420" t="s">
        <v>33</v>
      </c>
      <c r="E1420">
        <v>36026</v>
      </c>
      <c r="F1420">
        <v>2</v>
      </c>
      <c r="G1420">
        <v>1</v>
      </c>
      <c r="H1420" s="1">
        <v>41714</v>
      </c>
      <c r="I1420">
        <v>34</v>
      </c>
      <c r="J1420">
        <v>20</v>
      </c>
      <c r="K1420">
        <v>4</v>
      </c>
      <c r="L1420">
        <v>10</v>
      </c>
      <c r="M1420">
        <v>6</v>
      </c>
      <c r="N1420">
        <v>4</v>
      </c>
      <c r="O1420">
        <v>17</v>
      </c>
      <c r="P1420">
        <v>2</v>
      </c>
      <c r="Q1420">
        <v>2</v>
      </c>
      <c r="R1420">
        <v>0</v>
      </c>
      <c r="S1420">
        <v>3</v>
      </c>
      <c r="T1420">
        <v>6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3</v>
      </c>
      <c r="AB1420">
        <v>11</v>
      </c>
      <c r="AC1420">
        <v>0</v>
      </c>
      <c r="AD1420" t="str">
        <f t="shared" si="286"/>
        <v>Ok</v>
      </c>
      <c r="AE1420" t="str">
        <f>IF(AND(Audit_Data[[#This Row],[Year_Birth]]&gt;=1900,Audit_Data[[#This Row],[Year_Birth]]&lt;=2010),"OK","Invalid")</f>
        <v>OK</v>
      </c>
      <c r="AF1420" t="str">
        <f t="shared" si="287"/>
        <v>Valid</v>
      </c>
      <c r="AG1420" t="str">
        <f t="shared" si="288"/>
        <v>Valid</v>
      </c>
      <c r="AH1420" t="str">
        <f t="shared" si="289"/>
        <v>Valid</v>
      </c>
      <c r="AI1420" t="str">
        <f t="shared" si="290"/>
        <v>Valid</v>
      </c>
      <c r="AJ1420" t="str">
        <f t="shared" si="291"/>
        <v>Valid</v>
      </c>
      <c r="AK1420" t="str">
        <f t="shared" si="298"/>
        <v xml:space="preserve">Valid </v>
      </c>
      <c r="AL1420" t="str">
        <f>IF(AND(Audit_Data[[#This Row],[Recency]]&gt;=0,Audit_Data[[#This Row],[Recency]]&lt;=100),"Valid","Invalid")</f>
        <v>Valid</v>
      </c>
      <c r="AM1420" t="str">
        <f t="shared" si="292"/>
        <v>Valid</v>
      </c>
      <c r="AN1420" t="str">
        <f t="shared" si="293"/>
        <v>Valid</v>
      </c>
      <c r="AO1420" t="str">
        <f t="shared" si="294"/>
        <v>Valid</v>
      </c>
      <c r="AP1420" t="str">
        <f t="shared" si="295"/>
        <v>Valid</v>
      </c>
      <c r="AQ1420" t="str">
        <f>IF(Audit_Data[[#This Row],[Z_CostContact]]=3,"Valid","Invalid")</f>
        <v>Valid</v>
      </c>
      <c r="AR1420" t="str">
        <f t="shared" si="296"/>
        <v>Valid</v>
      </c>
      <c r="AS1420" t="str">
        <f t="shared" si="297"/>
        <v>Valid</v>
      </c>
    </row>
    <row r="1421" spans="1:45" x14ac:dyDescent="0.3">
      <c r="A1421">
        <v>4098</v>
      </c>
      <c r="B1421">
        <v>1973</v>
      </c>
      <c r="C1421" t="s">
        <v>29</v>
      </c>
      <c r="D1421" t="s">
        <v>33</v>
      </c>
      <c r="E1421">
        <v>24639</v>
      </c>
      <c r="F1421">
        <v>1</v>
      </c>
      <c r="G1421">
        <v>1</v>
      </c>
      <c r="H1421" s="1">
        <v>41667</v>
      </c>
      <c r="I1421">
        <v>3</v>
      </c>
      <c r="J1421">
        <v>20</v>
      </c>
      <c r="K1421">
        <v>3</v>
      </c>
      <c r="L1421">
        <v>16</v>
      </c>
      <c r="M1421">
        <v>0</v>
      </c>
      <c r="N1421">
        <v>4</v>
      </c>
      <c r="O1421">
        <v>1</v>
      </c>
      <c r="P1421">
        <v>3</v>
      </c>
      <c r="Q1421">
        <v>2</v>
      </c>
      <c r="R1421">
        <v>0</v>
      </c>
      <c r="S1421">
        <v>4</v>
      </c>
      <c r="T1421">
        <v>6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3</v>
      </c>
      <c r="AB1421">
        <v>11</v>
      </c>
      <c r="AC1421">
        <v>0</v>
      </c>
      <c r="AD1421" t="str">
        <f t="shared" si="286"/>
        <v>Ok</v>
      </c>
      <c r="AE1421" t="str">
        <f>IF(AND(Audit_Data[[#This Row],[Year_Birth]]&gt;=1900,Audit_Data[[#This Row],[Year_Birth]]&lt;=2010),"OK","Invalid")</f>
        <v>OK</v>
      </c>
      <c r="AF1421" t="str">
        <f t="shared" si="287"/>
        <v>Valid</v>
      </c>
      <c r="AG1421" t="str">
        <f t="shared" si="288"/>
        <v>Valid</v>
      </c>
      <c r="AH1421" t="str">
        <f t="shared" si="289"/>
        <v>Valid</v>
      </c>
      <c r="AI1421" t="str">
        <f t="shared" si="290"/>
        <v>Valid</v>
      </c>
      <c r="AJ1421" t="str">
        <f t="shared" si="291"/>
        <v>Valid</v>
      </c>
      <c r="AK1421" t="str">
        <f t="shared" si="298"/>
        <v xml:space="preserve">Valid </v>
      </c>
      <c r="AL1421" t="str">
        <f>IF(AND(Audit_Data[[#This Row],[Recency]]&gt;=0,Audit_Data[[#This Row],[Recency]]&lt;=100),"Valid","Invalid")</f>
        <v>Valid</v>
      </c>
      <c r="AM1421" t="str">
        <f t="shared" si="292"/>
        <v>Valid</v>
      </c>
      <c r="AN1421" t="str">
        <f t="shared" si="293"/>
        <v>Valid</v>
      </c>
      <c r="AO1421" t="str">
        <f t="shared" si="294"/>
        <v>Valid</v>
      </c>
      <c r="AP1421" t="str">
        <f t="shared" si="295"/>
        <v>Valid</v>
      </c>
      <c r="AQ1421" t="str">
        <f>IF(Audit_Data[[#This Row],[Z_CostContact]]=3,"Valid","Invalid")</f>
        <v>Valid</v>
      </c>
      <c r="AR1421" t="str">
        <f t="shared" si="296"/>
        <v>Valid</v>
      </c>
      <c r="AS1421" t="str">
        <f t="shared" si="297"/>
        <v>Valid</v>
      </c>
    </row>
    <row r="1422" spans="1:45" x14ac:dyDescent="0.3">
      <c r="A1422">
        <v>5824</v>
      </c>
      <c r="B1422">
        <v>1972</v>
      </c>
      <c r="C1422" t="s">
        <v>32</v>
      </c>
      <c r="D1422" t="s">
        <v>31</v>
      </c>
      <c r="E1422">
        <v>34578</v>
      </c>
      <c r="F1422">
        <v>2</v>
      </c>
      <c r="G1422">
        <v>1</v>
      </c>
      <c r="H1422" s="1">
        <v>41740</v>
      </c>
      <c r="I1422">
        <v>1</v>
      </c>
      <c r="J1422">
        <v>7</v>
      </c>
      <c r="K1422">
        <v>0</v>
      </c>
      <c r="L1422">
        <v>1</v>
      </c>
      <c r="M1422">
        <v>0</v>
      </c>
      <c r="N1422">
        <v>0</v>
      </c>
      <c r="O1422">
        <v>0</v>
      </c>
      <c r="P1422">
        <v>1</v>
      </c>
      <c r="Q1422">
        <v>1</v>
      </c>
      <c r="R1422">
        <v>0</v>
      </c>
      <c r="S1422">
        <v>2</v>
      </c>
      <c r="T1422">
        <v>6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3</v>
      </c>
      <c r="AB1422">
        <v>11</v>
      </c>
      <c r="AC1422">
        <v>0</v>
      </c>
      <c r="AD1422" t="str">
        <f t="shared" si="286"/>
        <v>Ok</v>
      </c>
      <c r="AE1422" t="str">
        <f>IF(AND(Audit_Data[[#This Row],[Year_Birth]]&gt;=1900,Audit_Data[[#This Row],[Year_Birth]]&lt;=2010),"OK","Invalid")</f>
        <v>OK</v>
      </c>
      <c r="AF1422" t="str">
        <f t="shared" si="287"/>
        <v>Valid</v>
      </c>
      <c r="AG1422" t="str">
        <f t="shared" si="288"/>
        <v>Valid</v>
      </c>
      <c r="AH1422" t="str">
        <f t="shared" si="289"/>
        <v>Valid</v>
      </c>
      <c r="AI1422" t="str">
        <f t="shared" si="290"/>
        <v>Valid</v>
      </c>
      <c r="AJ1422" t="str">
        <f t="shared" si="291"/>
        <v>Valid</v>
      </c>
      <c r="AK1422" t="str">
        <f t="shared" si="298"/>
        <v xml:space="preserve">Valid </v>
      </c>
      <c r="AL1422" t="str">
        <f>IF(AND(Audit_Data[[#This Row],[Recency]]&gt;=0,Audit_Data[[#This Row],[Recency]]&lt;=100),"Valid","Invalid")</f>
        <v>Valid</v>
      </c>
      <c r="AM1422" t="str">
        <f t="shared" si="292"/>
        <v>Valid</v>
      </c>
      <c r="AN1422" t="str">
        <f t="shared" si="293"/>
        <v>Valid</v>
      </c>
      <c r="AO1422" t="str">
        <f t="shared" si="294"/>
        <v>Valid</v>
      </c>
      <c r="AP1422" t="str">
        <f t="shared" si="295"/>
        <v>Valid</v>
      </c>
      <c r="AQ1422" t="str">
        <f>IF(Audit_Data[[#This Row],[Z_CostContact]]=3,"Valid","Invalid")</f>
        <v>Valid</v>
      </c>
      <c r="AR1422" t="str">
        <f t="shared" si="296"/>
        <v>Valid</v>
      </c>
      <c r="AS1422" t="str">
        <f t="shared" si="297"/>
        <v>Valid</v>
      </c>
    </row>
    <row r="1423" spans="1:45" x14ac:dyDescent="0.3">
      <c r="A1423">
        <v>7000</v>
      </c>
      <c r="B1423">
        <v>1972</v>
      </c>
      <c r="C1423" t="s">
        <v>37</v>
      </c>
      <c r="D1423" t="s">
        <v>30</v>
      </c>
      <c r="E1423">
        <v>65704</v>
      </c>
      <c r="F1423">
        <v>0</v>
      </c>
      <c r="G1423">
        <v>0</v>
      </c>
      <c r="H1423" s="1">
        <v>41560</v>
      </c>
      <c r="I1423">
        <v>18</v>
      </c>
      <c r="J1423">
        <v>279</v>
      </c>
      <c r="K1423">
        <v>172</v>
      </c>
      <c r="L1423">
        <v>74</v>
      </c>
      <c r="M1423">
        <v>38</v>
      </c>
      <c r="N1423">
        <v>8</v>
      </c>
      <c r="O1423">
        <v>246</v>
      </c>
      <c r="P1423">
        <v>1</v>
      </c>
      <c r="Q1423">
        <v>2</v>
      </c>
      <c r="R1423">
        <v>10</v>
      </c>
      <c r="S1423">
        <v>10</v>
      </c>
      <c r="T1423">
        <v>1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3</v>
      </c>
      <c r="AB1423">
        <v>11</v>
      </c>
      <c r="AC1423">
        <v>0</v>
      </c>
      <c r="AD1423" t="str">
        <f t="shared" si="286"/>
        <v>Ok</v>
      </c>
      <c r="AE1423" t="str">
        <f>IF(AND(Audit_Data[[#This Row],[Year_Birth]]&gt;=1900,Audit_Data[[#This Row],[Year_Birth]]&lt;=2010),"OK","Invalid")</f>
        <v>OK</v>
      </c>
      <c r="AF1423" t="str">
        <f t="shared" si="287"/>
        <v>Valid</v>
      </c>
      <c r="AG1423" t="str">
        <f t="shared" si="288"/>
        <v>Valid</v>
      </c>
      <c r="AH1423" t="str">
        <f t="shared" si="289"/>
        <v>Valid</v>
      </c>
      <c r="AI1423" t="str">
        <f t="shared" si="290"/>
        <v>Valid</v>
      </c>
      <c r="AJ1423" t="str">
        <f t="shared" si="291"/>
        <v>Valid</v>
      </c>
      <c r="AK1423" t="str">
        <f t="shared" si="298"/>
        <v xml:space="preserve">Valid </v>
      </c>
      <c r="AL1423" t="str">
        <f>IF(AND(Audit_Data[[#This Row],[Recency]]&gt;=0,Audit_Data[[#This Row],[Recency]]&lt;=100),"Valid","Invalid")</f>
        <v>Valid</v>
      </c>
      <c r="AM1423" t="str">
        <f t="shared" si="292"/>
        <v>Valid</v>
      </c>
      <c r="AN1423" t="str">
        <f t="shared" si="293"/>
        <v>Valid</v>
      </c>
      <c r="AO1423" t="str">
        <f t="shared" si="294"/>
        <v>Valid</v>
      </c>
      <c r="AP1423" t="str">
        <f t="shared" si="295"/>
        <v>Valid</v>
      </c>
      <c r="AQ1423" t="str">
        <f>IF(Audit_Data[[#This Row],[Z_CostContact]]=3,"Valid","Invalid")</f>
        <v>Valid</v>
      </c>
      <c r="AR1423" t="str">
        <f t="shared" si="296"/>
        <v>Valid</v>
      </c>
      <c r="AS1423" t="str">
        <f t="shared" si="297"/>
        <v>Valid</v>
      </c>
    </row>
    <row r="1424" spans="1:45" x14ac:dyDescent="0.3">
      <c r="A1424">
        <v>2561</v>
      </c>
      <c r="B1424">
        <v>1966</v>
      </c>
      <c r="C1424" t="s">
        <v>29</v>
      </c>
      <c r="D1424" t="s">
        <v>30</v>
      </c>
      <c r="E1424">
        <v>63810</v>
      </c>
      <c r="F1424">
        <v>0</v>
      </c>
      <c r="G1424">
        <v>1</v>
      </c>
      <c r="H1424" s="1">
        <v>41224</v>
      </c>
      <c r="I1424">
        <v>45</v>
      </c>
      <c r="J1424">
        <v>977</v>
      </c>
      <c r="K1424">
        <v>12</v>
      </c>
      <c r="L1424">
        <v>253</v>
      </c>
      <c r="M1424">
        <v>16</v>
      </c>
      <c r="N1424">
        <v>12</v>
      </c>
      <c r="O1424">
        <v>101</v>
      </c>
      <c r="P1424">
        <v>4</v>
      </c>
      <c r="Q1424">
        <v>4</v>
      </c>
      <c r="R1424">
        <v>3</v>
      </c>
      <c r="S1424">
        <v>12</v>
      </c>
      <c r="T1424">
        <v>8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3</v>
      </c>
      <c r="AB1424">
        <v>11</v>
      </c>
      <c r="AC1424">
        <v>0</v>
      </c>
      <c r="AD1424" t="str">
        <f t="shared" si="286"/>
        <v>Ok</v>
      </c>
      <c r="AE1424" t="str">
        <f>IF(AND(Audit_Data[[#This Row],[Year_Birth]]&gt;=1900,Audit_Data[[#This Row],[Year_Birth]]&lt;=2010),"OK","Invalid")</f>
        <v>OK</v>
      </c>
      <c r="AF1424" t="str">
        <f t="shared" si="287"/>
        <v>Valid</v>
      </c>
      <c r="AG1424" t="str">
        <f t="shared" si="288"/>
        <v>Valid</v>
      </c>
      <c r="AH1424" t="str">
        <f t="shared" si="289"/>
        <v>Valid</v>
      </c>
      <c r="AI1424" t="str">
        <f t="shared" si="290"/>
        <v>Valid</v>
      </c>
      <c r="AJ1424" t="str">
        <f t="shared" si="291"/>
        <v>Valid</v>
      </c>
      <c r="AK1424" t="str">
        <f t="shared" si="298"/>
        <v xml:space="preserve">Valid </v>
      </c>
      <c r="AL1424" t="str">
        <f>IF(AND(Audit_Data[[#This Row],[Recency]]&gt;=0,Audit_Data[[#This Row],[Recency]]&lt;=100),"Valid","Invalid")</f>
        <v>Valid</v>
      </c>
      <c r="AM1424" t="str">
        <f t="shared" si="292"/>
        <v>Valid</v>
      </c>
      <c r="AN1424" t="str">
        <f t="shared" si="293"/>
        <v>Valid</v>
      </c>
      <c r="AO1424" t="str">
        <f t="shared" si="294"/>
        <v>Valid</v>
      </c>
      <c r="AP1424" t="str">
        <f t="shared" si="295"/>
        <v>Valid</v>
      </c>
      <c r="AQ1424" t="str">
        <f>IF(Audit_Data[[#This Row],[Z_CostContact]]=3,"Valid","Invalid")</f>
        <v>Valid</v>
      </c>
      <c r="AR1424" t="str">
        <f t="shared" si="296"/>
        <v>Valid</v>
      </c>
      <c r="AS1424" t="str">
        <f t="shared" si="297"/>
        <v>Valid</v>
      </c>
    </row>
    <row r="1425" spans="1:45" x14ac:dyDescent="0.3">
      <c r="A1425">
        <v>5229</v>
      </c>
      <c r="B1425">
        <v>1969</v>
      </c>
      <c r="C1425" t="s">
        <v>32</v>
      </c>
      <c r="D1425" t="s">
        <v>31</v>
      </c>
      <c r="E1425">
        <v>54132</v>
      </c>
      <c r="F1425">
        <v>0</v>
      </c>
      <c r="G1425">
        <v>1</v>
      </c>
      <c r="H1425" s="1">
        <v>41686</v>
      </c>
      <c r="I1425">
        <v>81</v>
      </c>
      <c r="J1425">
        <v>30</v>
      </c>
      <c r="K1425">
        <v>1</v>
      </c>
      <c r="L1425">
        <v>8</v>
      </c>
      <c r="M1425">
        <v>0</v>
      </c>
      <c r="N1425">
        <v>0</v>
      </c>
      <c r="O1425">
        <v>3</v>
      </c>
      <c r="P1425">
        <v>1</v>
      </c>
      <c r="Q1425">
        <v>1</v>
      </c>
      <c r="R1425">
        <v>0</v>
      </c>
      <c r="S1425">
        <v>3</v>
      </c>
      <c r="T1425">
        <v>7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3</v>
      </c>
      <c r="AB1425">
        <v>11</v>
      </c>
      <c r="AC1425">
        <v>0</v>
      </c>
      <c r="AD1425" t="str">
        <f t="shared" si="286"/>
        <v>Ok</v>
      </c>
      <c r="AE1425" t="str">
        <f>IF(AND(Audit_Data[[#This Row],[Year_Birth]]&gt;=1900,Audit_Data[[#This Row],[Year_Birth]]&lt;=2010),"OK","Invalid")</f>
        <v>OK</v>
      </c>
      <c r="AF1425" t="str">
        <f t="shared" si="287"/>
        <v>Valid</v>
      </c>
      <c r="AG1425" t="str">
        <f t="shared" si="288"/>
        <v>Valid</v>
      </c>
      <c r="AH1425" t="str">
        <f t="shared" si="289"/>
        <v>Valid</v>
      </c>
      <c r="AI1425" t="str">
        <f t="shared" si="290"/>
        <v>Valid</v>
      </c>
      <c r="AJ1425" t="str">
        <f t="shared" si="291"/>
        <v>Valid</v>
      </c>
      <c r="AK1425" t="str">
        <f t="shared" si="298"/>
        <v xml:space="preserve">Valid </v>
      </c>
      <c r="AL1425" t="str">
        <f>IF(AND(Audit_Data[[#This Row],[Recency]]&gt;=0,Audit_Data[[#This Row],[Recency]]&lt;=100),"Valid","Invalid")</f>
        <v>Valid</v>
      </c>
      <c r="AM1425" t="str">
        <f t="shared" si="292"/>
        <v>Valid</v>
      </c>
      <c r="AN1425" t="str">
        <f t="shared" si="293"/>
        <v>Valid</v>
      </c>
      <c r="AO1425" t="str">
        <f t="shared" si="294"/>
        <v>Valid</v>
      </c>
      <c r="AP1425" t="str">
        <f t="shared" si="295"/>
        <v>Valid</v>
      </c>
      <c r="AQ1425" t="str">
        <f>IF(Audit_Data[[#This Row],[Z_CostContact]]=3,"Valid","Invalid")</f>
        <v>Valid</v>
      </c>
      <c r="AR1425" t="str">
        <f t="shared" si="296"/>
        <v>Valid</v>
      </c>
      <c r="AS1425" t="str">
        <f t="shared" si="297"/>
        <v>Valid</v>
      </c>
    </row>
    <row r="1426" spans="1:45" x14ac:dyDescent="0.3">
      <c r="A1426">
        <v>4086</v>
      </c>
      <c r="B1426">
        <v>1959</v>
      </c>
      <c r="C1426" t="s">
        <v>29</v>
      </c>
      <c r="D1426" t="s">
        <v>33</v>
      </c>
      <c r="E1426">
        <v>18690</v>
      </c>
      <c r="F1426">
        <v>0</v>
      </c>
      <c r="G1426">
        <v>0</v>
      </c>
      <c r="H1426" s="1">
        <v>41271</v>
      </c>
      <c r="I1426">
        <v>77</v>
      </c>
      <c r="J1426">
        <v>6</v>
      </c>
      <c r="K1426">
        <v>1</v>
      </c>
      <c r="L1426">
        <v>7</v>
      </c>
      <c r="M1426">
        <v>23</v>
      </c>
      <c r="N1426">
        <v>4</v>
      </c>
      <c r="O1426">
        <v>19</v>
      </c>
      <c r="P1426">
        <v>1</v>
      </c>
      <c r="Q1426">
        <v>1</v>
      </c>
      <c r="R1426">
        <v>1</v>
      </c>
      <c r="S1426">
        <v>2</v>
      </c>
      <c r="T1426">
        <v>8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3</v>
      </c>
      <c r="AB1426">
        <v>11</v>
      </c>
      <c r="AC1426">
        <v>0</v>
      </c>
      <c r="AD1426" t="str">
        <f t="shared" si="286"/>
        <v>Ok</v>
      </c>
      <c r="AE1426" t="str">
        <f>IF(AND(Audit_Data[[#This Row],[Year_Birth]]&gt;=1900,Audit_Data[[#This Row],[Year_Birth]]&lt;=2010),"OK","Invalid")</f>
        <v>OK</v>
      </c>
      <c r="AF1426" t="str">
        <f t="shared" si="287"/>
        <v>Valid</v>
      </c>
      <c r="AG1426" t="str">
        <f t="shared" si="288"/>
        <v>Valid</v>
      </c>
      <c r="AH1426" t="str">
        <f t="shared" si="289"/>
        <v>Valid</v>
      </c>
      <c r="AI1426" t="str">
        <f t="shared" si="290"/>
        <v>Valid</v>
      </c>
      <c r="AJ1426" t="str">
        <f t="shared" si="291"/>
        <v>Valid</v>
      </c>
      <c r="AK1426" t="str">
        <f t="shared" si="298"/>
        <v xml:space="preserve">Valid </v>
      </c>
      <c r="AL1426" t="str">
        <f>IF(AND(Audit_Data[[#This Row],[Recency]]&gt;=0,Audit_Data[[#This Row],[Recency]]&lt;=100),"Valid","Invalid")</f>
        <v>Valid</v>
      </c>
      <c r="AM1426" t="str">
        <f t="shared" si="292"/>
        <v>Valid</v>
      </c>
      <c r="AN1426" t="str">
        <f t="shared" si="293"/>
        <v>Valid</v>
      </c>
      <c r="AO1426" t="str">
        <f t="shared" si="294"/>
        <v>Valid</v>
      </c>
      <c r="AP1426" t="str">
        <f t="shared" si="295"/>
        <v>Valid</v>
      </c>
      <c r="AQ1426" t="str">
        <f>IF(Audit_Data[[#This Row],[Z_CostContact]]=3,"Valid","Invalid")</f>
        <v>Valid</v>
      </c>
      <c r="AR1426" t="str">
        <f t="shared" si="296"/>
        <v>Valid</v>
      </c>
      <c r="AS1426" t="str">
        <f t="shared" si="297"/>
        <v>Valid</v>
      </c>
    </row>
    <row r="1427" spans="1:45" x14ac:dyDescent="0.3">
      <c r="A1427">
        <v>2428</v>
      </c>
      <c r="B1427">
        <v>1970</v>
      </c>
      <c r="C1427" t="s">
        <v>29</v>
      </c>
      <c r="D1427" t="s">
        <v>33</v>
      </c>
      <c r="E1427">
        <v>28164</v>
      </c>
      <c r="F1427">
        <v>1</v>
      </c>
      <c r="G1427">
        <v>0</v>
      </c>
      <c r="H1427" s="1">
        <v>41398</v>
      </c>
      <c r="I1427">
        <v>23</v>
      </c>
      <c r="J1427">
        <v>3</v>
      </c>
      <c r="K1427">
        <v>18</v>
      </c>
      <c r="L1427">
        <v>26</v>
      </c>
      <c r="M1427">
        <v>11</v>
      </c>
      <c r="N1427">
        <v>8</v>
      </c>
      <c r="O1427">
        <v>12</v>
      </c>
      <c r="P1427">
        <v>3</v>
      </c>
      <c r="Q1427">
        <v>2</v>
      </c>
      <c r="R1427">
        <v>0</v>
      </c>
      <c r="S1427">
        <v>4</v>
      </c>
      <c r="T1427">
        <v>7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3</v>
      </c>
      <c r="AB1427">
        <v>11</v>
      </c>
      <c r="AC1427">
        <v>0</v>
      </c>
      <c r="AD1427" t="str">
        <f t="shared" si="286"/>
        <v>Ok</v>
      </c>
      <c r="AE1427" t="str">
        <f>IF(AND(Audit_Data[[#This Row],[Year_Birth]]&gt;=1900,Audit_Data[[#This Row],[Year_Birth]]&lt;=2010),"OK","Invalid")</f>
        <v>OK</v>
      </c>
      <c r="AF1427" t="str">
        <f t="shared" si="287"/>
        <v>Valid</v>
      </c>
      <c r="AG1427" t="str">
        <f t="shared" si="288"/>
        <v>Valid</v>
      </c>
      <c r="AH1427" t="str">
        <f t="shared" si="289"/>
        <v>Valid</v>
      </c>
      <c r="AI1427" t="str">
        <f t="shared" si="290"/>
        <v>Valid</v>
      </c>
      <c r="AJ1427" t="str">
        <f t="shared" si="291"/>
        <v>Valid</v>
      </c>
      <c r="AK1427" t="str">
        <f t="shared" si="298"/>
        <v xml:space="preserve">Valid </v>
      </c>
      <c r="AL1427" t="str">
        <f>IF(AND(Audit_Data[[#This Row],[Recency]]&gt;=0,Audit_Data[[#This Row],[Recency]]&lt;=100),"Valid","Invalid")</f>
        <v>Valid</v>
      </c>
      <c r="AM1427" t="str">
        <f t="shared" si="292"/>
        <v>Valid</v>
      </c>
      <c r="AN1427" t="str">
        <f t="shared" si="293"/>
        <v>Valid</v>
      </c>
      <c r="AO1427" t="str">
        <f t="shared" si="294"/>
        <v>Valid</v>
      </c>
      <c r="AP1427" t="str">
        <f t="shared" si="295"/>
        <v>Valid</v>
      </c>
      <c r="AQ1427" t="str">
        <f>IF(Audit_Data[[#This Row],[Z_CostContact]]=3,"Valid","Invalid")</f>
        <v>Valid</v>
      </c>
      <c r="AR1427" t="str">
        <f t="shared" si="296"/>
        <v>Valid</v>
      </c>
      <c r="AS1427" t="str">
        <f t="shared" si="297"/>
        <v>Valid</v>
      </c>
    </row>
    <row r="1428" spans="1:45" x14ac:dyDescent="0.3">
      <c r="A1428">
        <v>8254</v>
      </c>
      <c r="B1428">
        <v>1974</v>
      </c>
      <c r="C1428" t="s">
        <v>32</v>
      </c>
      <c r="D1428" t="s">
        <v>33</v>
      </c>
      <c r="E1428">
        <v>34596</v>
      </c>
      <c r="F1428">
        <v>1</v>
      </c>
      <c r="G1428">
        <v>0</v>
      </c>
      <c r="H1428" s="1">
        <v>41377</v>
      </c>
      <c r="I1428">
        <v>48</v>
      </c>
      <c r="J1428">
        <v>14</v>
      </c>
      <c r="K1428">
        <v>0</v>
      </c>
      <c r="L1428">
        <v>2</v>
      </c>
      <c r="M1428">
        <v>0</v>
      </c>
      <c r="N1428">
        <v>0</v>
      </c>
      <c r="O1428">
        <v>7</v>
      </c>
      <c r="P1428">
        <v>1</v>
      </c>
      <c r="Q1428">
        <v>1</v>
      </c>
      <c r="R1428">
        <v>0</v>
      </c>
      <c r="S1428">
        <v>2</v>
      </c>
      <c r="T1428">
        <v>8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3</v>
      </c>
      <c r="AB1428">
        <v>11</v>
      </c>
      <c r="AC1428">
        <v>0</v>
      </c>
      <c r="AD1428" t="str">
        <f t="shared" si="286"/>
        <v>Ok</v>
      </c>
      <c r="AE1428" t="str">
        <f>IF(AND(Audit_Data[[#This Row],[Year_Birth]]&gt;=1900,Audit_Data[[#This Row],[Year_Birth]]&lt;=2010),"OK","Invalid")</f>
        <v>OK</v>
      </c>
      <c r="AF1428" t="str">
        <f t="shared" si="287"/>
        <v>Valid</v>
      </c>
      <c r="AG1428" t="str">
        <f t="shared" si="288"/>
        <v>Valid</v>
      </c>
      <c r="AH1428" t="str">
        <f t="shared" si="289"/>
        <v>Valid</v>
      </c>
      <c r="AI1428" t="str">
        <f t="shared" si="290"/>
        <v>Valid</v>
      </c>
      <c r="AJ1428" t="str">
        <f t="shared" si="291"/>
        <v>Valid</v>
      </c>
      <c r="AK1428" t="str">
        <f t="shared" si="298"/>
        <v xml:space="preserve">Valid </v>
      </c>
      <c r="AL1428" t="str">
        <f>IF(AND(Audit_Data[[#This Row],[Recency]]&gt;=0,Audit_Data[[#This Row],[Recency]]&lt;=100),"Valid","Invalid")</f>
        <v>Valid</v>
      </c>
      <c r="AM1428" t="str">
        <f t="shared" si="292"/>
        <v>Valid</v>
      </c>
      <c r="AN1428" t="str">
        <f t="shared" si="293"/>
        <v>Valid</v>
      </c>
      <c r="AO1428" t="str">
        <f t="shared" si="294"/>
        <v>Valid</v>
      </c>
      <c r="AP1428" t="str">
        <f t="shared" si="295"/>
        <v>Valid</v>
      </c>
      <c r="AQ1428" t="str">
        <f>IF(Audit_Data[[#This Row],[Z_CostContact]]=3,"Valid","Invalid")</f>
        <v>Valid</v>
      </c>
      <c r="AR1428" t="str">
        <f t="shared" si="296"/>
        <v>Valid</v>
      </c>
      <c r="AS1428" t="str">
        <f t="shared" si="297"/>
        <v>Valid</v>
      </c>
    </row>
    <row r="1429" spans="1:45" x14ac:dyDescent="0.3">
      <c r="A1429">
        <v>2836</v>
      </c>
      <c r="B1429">
        <v>1972</v>
      </c>
      <c r="C1429" t="s">
        <v>32</v>
      </c>
      <c r="D1429" t="s">
        <v>33</v>
      </c>
      <c r="E1429">
        <v>43269</v>
      </c>
      <c r="F1429">
        <v>1</v>
      </c>
      <c r="G1429">
        <v>0</v>
      </c>
      <c r="H1429" s="1">
        <v>41533</v>
      </c>
      <c r="I1429">
        <v>61</v>
      </c>
      <c r="J1429">
        <v>10</v>
      </c>
      <c r="K1429">
        <v>1</v>
      </c>
      <c r="L1429">
        <v>7</v>
      </c>
      <c r="M1429">
        <v>0</v>
      </c>
      <c r="N1429">
        <v>0</v>
      </c>
      <c r="O1429">
        <v>1</v>
      </c>
      <c r="P1429">
        <v>1</v>
      </c>
      <c r="Q1429">
        <v>1</v>
      </c>
      <c r="R1429">
        <v>0</v>
      </c>
      <c r="S1429">
        <v>2</v>
      </c>
      <c r="T1429">
        <v>8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3</v>
      </c>
      <c r="AB1429">
        <v>11</v>
      </c>
      <c r="AC1429">
        <v>0</v>
      </c>
      <c r="AD1429" t="str">
        <f t="shared" si="286"/>
        <v>Ok</v>
      </c>
      <c r="AE1429" t="str">
        <f>IF(AND(Audit_Data[[#This Row],[Year_Birth]]&gt;=1900,Audit_Data[[#This Row],[Year_Birth]]&lt;=2010),"OK","Invalid")</f>
        <v>OK</v>
      </c>
      <c r="AF1429" t="str">
        <f t="shared" si="287"/>
        <v>Valid</v>
      </c>
      <c r="AG1429" t="str">
        <f t="shared" si="288"/>
        <v>Valid</v>
      </c>
      <c r="AH1429" t="str">
        <f t="shared" si="289"/>
        <v>Valid</v>
      </c>
      <c r="AI1429" t="str">
        <f t="shared" si="290"/>
        <v>Valid</v>
      </c>
      <c r="AJ1429" t="str">
        <f t="shared" si="291"/>
        <v>Valid</v>
      </c>
      <c r="AK1429" t="str">
        <f t="shared" si="298"/>
        <v xml:space="preserve">Valid </v>
      </c>
      <c r="AL1429" t="str">
        <f>IF(AND(Audit_Data[[#This Row],[Recency]]&gt;=0,Audit_Data[[#This Row],[Recency]]&lt;=100),"Valid","Invalid")</f>
        <v>Valid</v>
      </c>
      <c r="AM1429" t="str">
        <f t="shared" si="292"/>
        <v>Valid</v>
      </c>
      <c r="AN1429" t="str">
        <f t="shared" si="293"/>
        <v>Valid</v>
      </c>
      <c r="AO1429" t="str">
        <f t="shared" si="294"/>
        <v>Valid</v>
      </c>
      <c r="AP1429" t="str">
        <f t="shared" si="295"/>
        <v>Valid</v>
      </c>
      <c r="AQ1429" t="str">
        <f>IF(Audit_Data[[#This Row],[Z_CostContact]]=3,"Valid","Invalid")</f>
        <v>Valid</v>
      </c>
      <c r="AR1429" t="str">
        <f t="shared" si="296"/>
        <v>Valid</v>
      </c>
      <c r="AS1429" t="str">
        <f t="shared" si="297"/>
        <v>Valid</v>
      </c>
    </row>
    <row r="1430" spans="1:45" x14ac:dyDescent="0.3">
      <c r="A1430">
        <v>8418</v>
      </c>
      <c r="B1430">
        <v>1958</v>
      </c>
      <c r="C1430" t="s">
        <v>37</v>
      </c>
      <c r="D1430" t="s">
        <v>30</v>
      </c>
      <c r="E1430">
        <v>38741</v>
      </c>
      <c r="F1430">
        <v>1</v>
      </c>
      <c r="G1430">
        <v>1</v>
      </c>
      <c r="H1430" s="1">
        <v>41728</v>
      </c>
      <c r="I1430">
        <v>60</v>
      </c>
      <c r="J1430">
        <v>7</v>
      </c>
      <c r="K1430">
        <v>10</v>
      </c>
      <c r="L1430">
        <v>17</v>
      </c>
      <c r="M1430">
        <v>8</v>
      </c>
      <c r="N1430">
        <v>6</v>
      </c>
      <c r="O1430">
        <v>13</v>
      </c>
      <c r="P1430">
        <v>2</v>
      </c>
      <c r="Q1430">
        <v>2</v>
      </c>
      <c r="R1430">
        <v>0</v>
      </c>
      <c r="S1430">
        <v>3</v>
      </c>
      <c r="T1430">
        <v>7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3</v>
      </c>
      <c r="AB1430">
        <v>11</v>
      </c>
      <c r="AC1430">
        <v>0</v>
      </c>
      <c r="AD1430" t="str">
        <f t="shared" si="286"/>
        <v>Ok</v>
      </c>
      <c r="AE1430" t="str">
        <f>IF(AND(Audit_Data[[#This Row],[Year_Birth]]&gt;=1900,Audit_Data[[#This Row],[Year_Birth]]&lt;=2010),"OK","Invalid")</f>
        <v>OK</v>
      </c>
      <c r="AF1430" t="str">
        <f t="shared" si="287"/>
        <v>Valid</v>
      </c>
      <c r="AG1430" t="str">
        <f t="shared" si="288"/>
        <v>Valid</v>
      </c>
      <c r="AH1430" t="str">
        <f t="shared" si="289"/>
        <v>Valid</v>
      </c>
      <c r="AI1430" t="str">
        <f t="shared" si="290"/>
        <v>Valid</v>
      </c>
      <c r="AJ1430" t="str">
        <f t="shared" si="291"/>
        <v>Valid</v>
      </c>
      <c r="AK1430" t="str">
        <f t="shared" si="298"/>
        <v xml:space="preserve">Valid </v>
      </c>
      <c r="AL1430" t="str">
        <f>IF(AND(Audit_Data[[#This Row],[Recency]]&gt;=0,Audit_Data[[#This Row],[Recency]]&lt;=100),"Valid","Invalid")</f>
        <v>Valid</v>
      </c>
      <c r="AM1430" t="str">
        <f t="shared" si="292"/>
        <v>Valid</v>
      </c>
      <c r="AN1430" t="str">
        <f t="shared" si="293"/>
        <v>Valid</v>
      </c>
      <c r="AO1430" t="str">
        <f t="shared" si="294"/>
        <v>Valid</v>
      </c>
      <c r="AP1430" t="str">
        <f t="shared" si="295"/>
        <v>Valid</v>
      </c>
      <c r="AQ1430" t="str">
        <f>IF(Audit_Data[[#This Row],[Z_CostContact]]=3,"Valid","Invalid")</f>
        <v>Valid</v>
      </c>
      <c r="AR1430" t="str">
        <f t="shared" si="296"/>
        <v>Valid</v>
      </c>
      <c r="AS1430" t="str">
        <f t="shared" si="297"/>
        <v>Valid</v>
      </c>
    </row>
    <row r="1431" spans="1:45" x14ac:dyDescent="0.3">
      <c r="A1431">
        <v>1362</v>
      </c>
      <c r="B1431">
        <v>1972</v>
      </c>
      <c r="C1431" t="s">
        <v>29</v>
      </c>
      <c r="D1431" t="s">
        <v>30</v>
      </c>
      <c r="E1431">
        <v>31907</v>
      </c>
      <c r="F1431">
        <v>0</v>
      </c>
      <c r="G1431">
        <v>0</v>
      </c>
      <c r="H1431" s="1">
        <v>41337</v>
      </c>
      <c r="I1431">
        <v>75</v>
      </c>
      <c r="J1431">
        <v>33</v>
      </c>
      <c r="K1431">
        <v>87</v>
      </c>
      <c r="L1431">
        <v>64</v>
      </c>
      <c r="M1431">
        <v>175</v>
      </c>
      <c r="N1431">
        <v>16</v>
      </c>
      <c r="O1431">
        <v>74</v>
      </c>
      <c r="P1431">
        <v>1</v>
      </c>
      <c r="Q1431">
        <v>6</v>
      </c>
      <c r="R1431">
        <v>1</v>
      </c>
      <c r="S1431">
        <v>6</v>
      </c>
      <c r="T1431">
        <v>7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3</v>
      </c>
      <c r="AB1431">
        <v>11</v>
      </c>
      <c r="AC1431">
        <v>0</v>
      </c>
      <c r="AD1431" t="str">
        <f t="shared" si="286"/>
        <v>Ok</v>
      </c>
      <c r="AE1431" t="str">
        <f>IF(AND(Audit_Data[[#This Row],[Year_Birth]]&gt;=1900,Audit_Data[[#This Row],[Year_Birth]]&lt;=2010),"OK","Invalid")</f>
        <v>OK</v>
      </c>
      <c r="AF1431" t="str">
        <f t="shared" si="287"/>
        <v>Valid</v>
      </c>
      <c r="AG1431" t="str">
        <f t="shared" si="288"/>
        <v>Valid</v>
      </c>
      <c r="AH1431" t="str">
        <f t="shared" si="289"/>
        <v>Valid</v>
      </c>
      <c r="AI1431" t="str">
        <f t="shared" si="290"/>
        <v>Valid</v>
      </c>
      <c r="AJ1431" t="str">
        <f t="shared" si="291"/>
        <v>Valid</v>
      </c>
      <c r="AK1431" t="str">
        <f t="shared" si="298"/>
        <v xml:space="preserve">Valid </v>
      </c>
      <c r="AL1431" t="str">
        <f>IF(AND(Audit_Data[[#This Row],[Recency]]&gt;=0,Audit_Data[[#This Row],[Recency]]&lt;=100),"Valid","Invalid")</f>
        <v>Valid</v>
      </c>
      <c r="AM1431" t="str">
        <f t="shared" si="292"/>
        <v>Valid</v>
      </c>
      <c r="AN1431" t="str">
        <f t="shared" si="293"/>
        <v>Valid</v>
      </c>
      <c r="AO1431" t="str">
        <f t="shared" si="294"/>
        <v>Valid</v>
      </c>
      <c r="AP1431" t="str">
        <f t="shared" si="295"/>
        <v>Valid</v>
      </c>
      <c r="AQ1431" t="str">
        <f>IF(Audit_Data[[#This Row],[Z_CostContact]]=3,"Valid","Invalid")</f>
        <v>Valid</v>
      </c>
      <c r="AR1431" t="str">
        <f t="shared" si="296"/>
        <v>Valid</v>
      </c>
      <c r="AS1431" t="str">
        <f t="shared" si="297"/>
        <v>Valid</v>
      </c>
    </row>
    <row r="1432" spans="1:45" x14ac:dyDescent="0.3">
      <c r="A1432">
        <v>7152</v>
      </c>
      <c r="B1432">
        <v>1983</v>
      </c>
      <c r="C1432" t="s">
        <v>34</v>
      </c>
      <c r="D1432" t="s">
        <v>33</v>
      </c>
      <c r="E1432">
        <v>27100</v>
      </c>
      <c r="F1432">
        <v>1</v>
      </c>
      <c r="G1432">
        <v>0</v>
      </c>
      <c r="H1432" s="1">
        <v>41369</v>
      </c>
      <c r="I1432">
        <v>64</v>
      </c>
      <c r="J1432">
        <v>12</v>
      </c>
      <c r="K1432">
        <v>0</v>
      </c>
      <c r="L1432">
        <v>13</v>
      </c>
      <c r="M1432">
        <v>2</v>
      </c>
      <c r="N1432">
        <v>0</v>
      </c>
      <c r="O1432">
        <v>10</v>
      </c>
      <c r="P1432">
        <v>1</v>
      </c>
      <c r="Q1432">
        <v>1</v>
      </c>
      <c r="R1432">
        <v>0</v>
      </c>
      <c r="S1432">
        <v>3</v>
      </c>
      <c r="T1432">
        <v>7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3</v>
      </c>
      <c r="AB1432">
        <v>11</v>
      </c>
      <c r="AC1432">
        <v>0</v>
      </c>
      <c r="AD1432" t="str">
        <f t="shared" si="286"/>
        <v>Ok</v>
      </c>
      <c r="AE1432" t="str">
        <f>IF(AND(Audit_Data[[#This Row],[Year_Birth]]&gt;=1900,Audit_Data[[#This Row],[Year_Birth]]&lt;=2010),"OK","Invalid")</f>
        <v>OK</v>
      </c>
      <c r="AF1432" t="str">
        <f t="shared" si="287"/>
        <v>Valid</v>
      </c>
      <c r="AG1432" t="str">
        <f t="shared" si="288"/>
        <v>Valid</v>
      </c>
      <c r="AH1432" t="str">
        <f t="shared" si="289"/>
        <v>Valid</v>
      </c>
      <c r="AI1432" t="str">
        <f t="shared" si="290"/>
        <v>Valid</v>
      </c>
      <c r="AJ1432" t="str">
        <f t="shared" si="291"/>
        <v>Valid</v>
      </c>
      <c r="AK1432" t="str">
        <f t="shared" si="298"/>
        <v xml:space="preserve">Valid </v>
      </c>
      <c r="AL1432" t="str">
        <f>IF(AND(Audit_Data[[#This Row],[Recency]]&gt;=0,Audit_Data[[#This Row],[Recency]]&lt;=100),"Valid","Invalid")</f>
        <v>Valid</v>
      </c>
      <c r="AM1432" t="str">
        <f t="shared" si="292"/>
        <v>Valid</v>
      </c>
      <c r="AN1432" t="str">
        <f t="shared" si="293"/>
        <v>Valid</v>
      </c>
      <c r="AO1432" t="str">
        <f t="shared" si="294"/>
        <v>Valid</v>
      </c>
      <c r="AP1432" t="str">
        <f t="shared" si="295"/>
        <v>Valid</v>
      </c>
      <c r="AQ1432" t="str">
        <f>IF(Audit_Data[[#This Row],[Z_CostContact]]=3,"Valid","Invalid")</f>
        <v>Valid</v>
      </c>
      <c r="AR1432" t="str">
        <f t="shared" si="296"/>
        <v>Valid</v>
      </c>
      <c r="AS1432" t="str">
        <f t="shared" si="297"/>
        <v>Valid</v>
      </c>
    </row>
    <row r="1433" spans="1:45" x14ac:dyDescent="0.3">
      <c r="A1433">
        <v>10033</v>
      </c>
      <c r="B1433">
        <v>1973</v>
      </c>
      <c r="C1433" t="s">
        <v>37</v>
      </c>
      <c r="D1433" t="s">
        <v>35</v>
      </c>
      <c r="E1433">
        <v>31163</v>
      </c>
      <c r="F1433">
        <v>1</v>
      </c>
      <c r="G1433">
        <v>0</v>
      </c>
      <c r="H1433" s="1">
        <v>41683</v>
      </c>
      <c r="I1433">
        <v>54</v>
      </c>
      <c r="J1433">
        <v>2</v>
      </c>
      <c r="K1433">
        <v>3</v>
      </c>
      <c r="L1433">
        <v>10</v>
      </c>
      <c r="M1433">
        <v>11</v>
      </c>
      <c r="N1433">
        <v>2</v>
      </c>
      <c r="O1433">
        <v>10</v>
      </c>
      <c r="P1433">
        <v>1</v>
      </c>
      <c r="Q1433">
        <v>1</v>
      </c>
      <c r="R1433">
        <v>0</v>
      </c>
      <c r="S1433">
        <v>3</v>
      </c>
      <c r="T1433">
        <v>6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3</v>
      </c>
      <c r="AB1433">
        <v>11</v>
      </c>
      <c r="AC1433">
        <v>0</v>
      </c>
      <c r="AD1433" t="str">
        <f t="shared" si="286"/>
        <v>Ok</v>
      </c>
      <c r="AE1433" t="str">
        <f>IF(AND(Audit_Data[[#This Row],[Year_Birth]]&gt;=1900,Audit_Data[[#This Row],[Year_Birth]]&lt;=2010),"OK","Invalid")</f>
        <v>OK</v>
      </c>
      <c r="AF1433" t="str">
        <f t="shared" si="287"/>
        <v>Valid</v>
      </c>
      <c r="AG1433" t="str">
        <f t="shared" si="288"/>
        <v>Valid</v>
      </c>
      <c r="AH1433" t="str">
        <f t="shared" si="289"/>
        <v>Valid</v>
      </c>
      <c r="AI1433" t="str">
        <f t="shared" si="290"/>
        <v>Valid</v>
      </c>
      <c r="AJ1433" t="str">
        <f t="shared" si="291"/>
        <v>Valid</v>
      </c>
      <c r="AK1433" t="str">
        <f t="shared" si="298"/>
        <v xml:space="preserve">Valid </v>
      </c>
      <c r="AL1433" t="str">
        <f>IF(AND(Audit_Data[[#This Row],[Recency]]&gt;=0,Audit_Data[[#This Row],[Recency]]&lt;=100),"Valid","Invalid")</f>
        <v>Valid</v>
      </c>
      <c r="AM1433" t="str">
        <f t="shared" si="292"/>
        <v>Valid</v>
      </c>
      <c r="AN1433" t="str">
        <f t="shared" si="293"/>
        <v>Valid</v>
      </c>
      <c r="AO1433" t="str">
        <f t="shared" si="294"/>
        <v>Valid</v>
      </c>
      <c r="AP1433" t="str">
        <f t="shared" si="295"/>
        <v>Valid</v>
      </c>
      <c r="AQ1433" t="str">
        <f>IF(Audit_Data[[#This Row],[Z_CostContact]]=3,"Valid","Invalid")</f>
        <v>Valid</v>
      </c>
      <c r="AR1433" t="str">
        <f t="shared" si="296"/>
        <v>Valid</v>
      </c>
      <c r="AS1433" t="str">
        <f t="shared" si="297"/>
        <v>Valid</v>
      </c>
    </row>
    <row r="1434" spans="1:45" x14ac:dyDescent="0.3">
      <c r="A1434">
        <v>9349</v>
      </c>
      <c r="B1434">
        <v>1985</v>
      </c>
      <c r="C1434" t="s">
        <v>29</v>
      </c>
      <c r="D1434" t="s">
        <v>33</v>
      </c>
      <c r="E1434">
        <v>92533</v>
      </c>
      <c r="F1434">
        <v>0</v>
      </c>
      <c r="G1434">
        <v>0</v>
      </c>
      <c r="H1434" s="1">
        <v>41627</v>
      </c>
      <c r="I1434">
        <v>84</v>
      </c>
      <c r="J1434">
        <v>693</v>
      </c>
      <c r="K1434">
        <v>21</v>
      </c>
      <c r="L1434">
        <v>118</v>
      </c>
      <c r="M1434">
        <v>110</v>
      </c>
      <c r="N1434">
        <v>147</v>
      </c>
      <c r="O1434">
        <v>42</v>
      </c>
      <c r="P1434">
        <v>1</v>
      </c>
      <c r="Q1434">
        <v>6</v>
      </c>
      <c r="R1434">
        <v>5</v>
      </c>
      <c r="S1434">
        <v>11</v>
      </c>
      <c r="T1434">
        <v>2</v>
      </c>
      <c r="U1434">
        <v>0</v>
      </c>
      <c r="V1434">
        <v>0</v>
      </c>
      <c r="W1434">
        <v>1</v>
      </c>
      <c r="X1434">
        <v>1</v>
      </c>
      <c r="Y1434">
        <v>0</v>
      </c>
      <c r="Z1434">
        <v>0</v>
      </c>
      <c r="AA1434">
        <v>3</v>
      </c>
      <c r="AB1434">
        <v>11</v>
      </c>
      <c r="AC1434">
        <v>0</v>
      </c>
      <c r="AD1434" t="str">
        <f t="shared" si="286"/>
        <v>Ok</v>
      </c>
      <c r="AE1434" t="str">
        <f>IF(AND(Audit_Data[[#This Row],[Year_Birth]]&gt;=1900,Audit_Data[[#This Row],[Year_Birth]]&lt;=2010),"OK","Invalid")</f>
        <v>OK</v>
      </c>
      <c r="AF1434" t="str">
        <f t="shared" si="287"/>
        <v>Valid</v>
      </c>
      <c r="AG1434" t="str">
        <f t="shared" si="288"/>
        <v>Valid</v>
      </c>
      <c r="AH1434" t="str">
        <f t="shared" si="289"/>
        <v>Valid</v>
      </c>
      <c r="AI1434" t="str">
        <f t="shared" si="290"/>
        <v>Valid</v>
      </c>
      <c r="AJ1434" t="str">
        <f t="shared" si="291"/>
        <v>Valid</v>
      </c>
      <c r="AK1434" t="str">
        <f t="shared" si="298"/>
        <v xml:space="preserve">Valid </v>
      </c>
      <c r="AL1434" t="str">
        <f>IF(AND(Audit_Data[[#This Row],[Recency]]&gt;=0,Audit_Data[[#This Row],[Recency]]&lt;=100),"Valid","Invalid")</f>
        <v>Valid</v>
      </c>
      <c r="AM1434" t="str">
        <f t="shared" si="292"/>
        <v>Valid</v>
      </c>
      <c r="AN1434" t="str">
        <f t="shared" si="293"/>
        <v>Valid</v>
      </c>
      <c r="AO1434" t="str">
        <f t="shared" si="294"/>
        <v>Valid</v>
      </c>
      <c r="AP1434" t="str">
        <f t="shared" si="295"/>
        <v>Valid</v>
      </c>
      <c r="AQ1434" t="str">
        <f>IF(Audit_Data[[#This Row],[Z_CostContact]]=3,"Valid","Invalid")</f>
        <v>Valid</v>
      </c>
      <c r="AR1434" t="str">
        <f t="shared" si="296"/>
        <v>Valid</v>
      </c>
      <c r="AS1434" t="str">
        <f t="shared" si="297"/>
        <v>Valid</v>
      </c>
    </row>
    <row r="1435" spans="1:45" x14ac:dyDescent="0.3">
      <c r="A1435">
        <v>274</v>
      </c>
      <c r="B1435">
        <v>1973</v>
      </c>
      <c r="C1435" t="s">
        <v>29</v>
      </c>
      <c r="D1435" t="s">
        <v>30</v>
      </c>
      <c r="E1435">
        <v>34853</v>
      </c>
      <c r="F1435">
        <v>1</v>
      </c>
      <c r="G1435">
        <v>1</v>
      </c>
      <c r="H1435" s="1">
        <v>41631</v>
      </c>
      <c r="I1435">
        <v>75</v>
      </c>
      <c r="J1435">
        <v>9</v>
      </c>
      <c r="K1435">
        <v>3</v>
      </c>
      <c r="L1435">
        <v>15</v>
      </c>
      <c r="M1435">
        <v>2</v>
      </c>
      <c r="N1435">
        <v>3</v>
      </c>
      <c r="O1435">
        <v>2</v>
      </c>
      <c r="P1435">
        <v>2</v>
      </c>
      <c r="Q1435">
        <v>2</v>
      </c>
      <c r="R1435">
        <v>0</v>
      </c>
      <c r="S1435">
        <v>3</v>
      </c>
      <c r="T1435">
        <v>6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3</v>
      </c>
      <c r="AB1435">
        <v>11</v>
      </c>
      <c r="AC1435">
        <v>0</v>
      </c>
      <c r="AD1435" t="str">
        <f t="shared" si="286"/>
        <v>Ok</v>
      </c>
      <c r="AE1435" t="str">
        <f>IF(AND(Audit_Data[[#This Row],[Year_Birth]]&gt;=1900,Audit_Data[[#This Row],[Year_Birth]]&lt;=2010),"OK","Invalid")</f>
        <v>OK</v>
      </c>
      <c r="AF1435" t="str">
        <f t="shared" si="287"/>
        <v>Valid</v>
      </c>
      <c r="AG1435" t="str">
        <f t="shared" si="288"/>
        <v>Valid</v>
      </c>
      <c r="AH1435" t="str">
        <f t="shared" si="289"/>
        <v>Valid</v>
      </c>
      <c r="AI1435" t="str">
        <f t="shared" si="290"/>
        <v>Valid</v>
      </c>
      <c r="AJ1435" t="str">
        <f t="shared" si="291"/>
        <v>Valid</v>
      </c>
      <c r="AK1435" t="str">
        <f t="shared" si="298"/>
        <v xml:space="preserve">Valid </v>
      </c>
      <c r="AL1435" t="str">
        <f>IF(AND(Audit_Data[[#This Row],[Recency]]&gt;=0,Audit_Data[[#This Row],[Recency]]&lt;=100),"Valid","Invalid")</f>
        <v>Valid</v>
      </c>
      <c r="AM1435" t="str">
        <f t="shared" si="292"/>
        <v>Valid</v>
      </c>
      <c r="AN1435" t="str">
        <f t="shared" si="293"/>
        <v>Valid</v>
      </c>
      <c r="AO1435" t="str">
        <f t="shared" si="294"/>
        <v>Valid</v>
      </c>
      <c r="AP1435" t="str">
        <f t="shared" si="295"/>
        <v>Valid</v>
      </c>
      <c r="AQ1435" t="str">
        <f>IF(Audit_Data[[#This Row],[Z_CostContact]]=3,"Valid","Invalid")</f>
        <v>Valid</v>
      </c>
      <c r="AR1435" t="str">
        <f t="shared" si="296"/>
        <v>Valid</v>
      </c>
      <c r="AS1435" t="str">
        <f t="shared" si="297"/>
        <v>Valid</v>
      </c>
    </row>
    <row r="1436" spans="1:45" x14ac:dyDescent="0.3">
      <c r="A1436">
        <v>3388</v>
      </c>
      <c r="B1436">
        <v>1967</v>
      </c>
      <c r="C1436" t="s">
        <v>29</v>
      </c>
      <c r="D1436" t="s">
        <v>35</v>
      </c>
      <c r="E1436">
        <v>70844</v>
      </c>
      <c r="F1436">
        <v>1</v>
      </c>
      <c r="G1436">
        <v>1</v>
      </c>
      <c r="H1436" s="1">
        <v>41577</v>
      </c>
      <c r="I1436">
        <v>16</v>
      </c>
      <c r="J1436">
        <v>129</v>
      </c>
      <c r="K1436">
        <v>26</v>
      </c>
      <c r="L1436">
        <v>67</v>
      </c>
      <c r="M1436">
        <v>3</v>
      </c>
      <c r="N1436">
        <v>67</v>
      </c>
      <c r="O1436">
        <v>2</v>
      </c>
      <c r="P1436">
        <v>5</v>
      </c>
      <c r="Q1436">
        <v>6</v>
      </c>
      <c r="R1436">
        <v>1</v>
      </c>
      <c r="S1436">
        <v>5</v>
      </c>
      <c r="T1436">
        <v>7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3</v>
      </c>
      <c r="AB1436">
        <v>11</v>
      </c>
      <c r="AC1436">
        <v>0</v>
      </c>
      <c r="AD1436" t="str">
        <f t="shared" si="286"/>
        <v>Ok</v>
      </c>
      <c r="AE1436" t="str">
        <f>IF(AND(Audit_Data[[#This Row],[Year_Birth]]&gt;=1900,Audit_Data[[#This Row],[Year_Birth]]&lt;=2010),"OK","Invalid")</f>
        <v>OK</v>
      </c>
      <c r="AF1436" t="str">
        <f t="shared" si="287"/>
        <v>Valid</v>
      </c>
      <c r="AG1436" t="str">
        <f t="shared" si="288"/>
        <v>Valid</v>
      </c>
      <c r="AH1436" t="str">
        <f t="shared" si="289"/>
        <v>Valid</v>
      </c>
      <c r="AI1436" t="str">
        <f t="shared" si="290"/>
        <v>Valid</v>
      </c>
      <c r="AJ1436" t="str">
        <f t="shared" si="291"/>
        <v>Valid</v>
      </c>
      <c r="AK1436" t="str">
        <f t="shared" si="298"/>
        <v xml:space="preserve">Valid </v>
      </c>
      <c r="AL1436" t="str">
        <f>IF(AND(Audit_Data[[#This Row],[Recency]]&gt;=0,Audit_Data[[#This Row],[Recency]]&lt;=100),"Valid","Invalid")</f>
        <v>Valid</v>
      </c>
      <c r="AM1436" t="str">
        <f t="shared" si="292"/>
        <v>Valid</v>
      </c>
      <c r="AN1436" t="str">
        <f t="shared" si="293"/>
        <v>Valid</v>
      </c>
      <c r="AO1436" t="str">
        <f t="shared" si="294"/>
        <v>Valid</v>
      </c>
      <c r="AP1436" t="str">
        <f t="shared" si="295"/>
        <v>Valid</v>
      </c>
      <c r="AQ1436" t="str">
        <f>IF(Audit_Data[[#This Row],[Z_CostContact]]=3,"Valid","Invalid")</f>
        <v>Valid</v>
      </c>
      <c r="AR1436" t="str">
        <f t="shared" si="296"/>
        <v>Valid</v>
      </c>
      <c r="AS1436" t="str">
        <f t="shared" si="297"/>
        <v>Valid</v>
      </c>
    </row>
    <row r="1437" spans="1:45" x14ac:dyDescent="0.3">
      <c r="A1437">
        <v>922</v>
      </c>
      <c r="B1437">
        <v>1979</v>
      </c>
      <c r="C1437" t="s">
        <v>37</v>
      </c>
      <c r="D1437" t="s">
        <v>33</v>
      </c>
      <c r="E1437">
        <v>31086</v>
      </c>
      <c r="F1437">
        <v>1</v>
      </c>
      <c r="G1437">
        <v>1</v>
      </c>
      <c r="H1437" s="1">
        <v>41398</v>
      </c>
      <c r="I1437">
        <v>79</v>
      </c>
      <c r="J1437">
        <v>16</v>
      </c>
      <c r="K1437">
        <v>2</v>
      </c>
      <c r="L1437">
        <v>11</v>
      </c>
      <c r="M1437">
        <v>3</v>
      </c>
      <c r="N1437">
        <v>0</v>
      </c>
      <c r="O1437">
        <v>16</v>
      </c>
      <c r="P1437">
        <v>2</v>
      </c>
      <c r="Q1437">
        <v>1</v>
      </c>
      <c r="R1437">
        <v>1</v>
      </c>
      <c r="S1437">
        <v>2</v>
      </c>
      <c r="T1437">
        <v>8</v>
      </c>
      <c r="U1437">
        <v>1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3</v>
      </c>
      <c r="AB1437">
        <v>11</v>
      </c>
      <c r="AC1437">
        <v>0</v>
      </c>
      <c r="AD1437" t="str">
        <f t="shared" si="286"/>
        <v>Ok</v>
      </c>
      <c r="AE1437" t="str">
        <f>IF(AND(Audit_Data[[#This Row],[Year_Birth]]&gt;=1900,Audit_Data[[#This Row],[Year_Birth]]&lt;=2010),"OK","Invalid")</f>
        <v>OK</v>
      </c>
      <c r="AF1437" t="str">
        <f t="shared" si="287"/>
        <v>Valid</v>
      </c>
      <c r="AG1437" t="str">
        <f t="shared" si="288"/>
        <v>Valid</v>
      </c>
      <c r="AH1437" t="str">
        <f t="shared" si="289"/>
        <v>Valid</v>
      </c>
      <c r="AI1437" t="str">
        <f t="shared" si="290"/>
        <v>Valid</v>
      </c>
      <c r="AJ1437" t="str">
        <f t="shared" si="291"/>
        <v>Valid</v>
      </c>
      <c r="AK1437" t="str">
        <f t="shared" si="298"/>
        <v xml:space="preserve">Valid </v>
      </c>
      <c r="AL1437" t="str">
        <f>IF(AND(Audit_Data[[#This Row],[Recency]]&gt;=0,Audit_Data[[#This Row],[Recency]]&lt;=100),"Valid","Invalid")</f>
        <v>Valid</v>
      </c>
      <c r="AM1437" t="str">
        <f t="shared" si="292"/>
        <v>Valid</v>
      </c>
      <c r="AN1437" t="str">
        <f t="shared" si="293"/>
        <v>Valid</v>
      </c>
      <c r="AO1437" t="str">
        <f t="shared" si="294"/>
        <v>Valid</v>
      </c>
      <c r="AP1437" t="str">
        <f t="shared" si="295"/>
        <v>Valid</v>
      </c>
      <c r="AQ1437" t="str">
        <f>IF(Audit_Data[[#This Row],[Z_CostContact]]=3,"Valid","Invalid")</f>
        <v>Valid</v>
      </c>
      <c r="AR1437" t="str">
        <f t="shared" si="296"/>
        <v>Valid</v>
      </c>
      <c r="AS1437" t="str">
        <f t="shared" si="297"/>
        <v>Valid</v>
      </c>
    </row>
    <row r="1438" spans="1:45" x14ac:dyDescent="0.3">
      <c r="A1438">
        <v>8588</v>
      </c>
      <c r="B1438">
        <v>1961</v>
      </c>
      <c r="C1438" t="s">
        <v>29</v>
      </c>
      <c r="D1438" t="s">
        <v>33</v>
      </c>
      <c r="E1438">
        <v>60544</v>
      </c>
      <c r="F1438">
        <v>1</v>
      </c>
      <c r="G1438">
        <v>1</v>
      </c>
      <c r="H1438" s="1">
        <v>41146</v>
      </c>
      <c r="I1438">
        <v>92</v>
      </c>
      <c r="J1438">
        <v>201</v>
      </c>
      <c r="K1438">
        <v>2</v>
      </c>
      <c r="L1438">
        <v>43</v>
      </c>
      <c r="M1438">
        <v>3</v>
      </c>
      <c r="N1438">
        <v>5</v>
      </c>
      <c r="O1438">
        <v>35</v>
      </c>
      <c r="P1438">
        <v>4</v>
      </c>
      <c r="Q1438">
        <v>5</v>
      </c>
      <c r="R1438">
        <v>1</v>
      </c>
      <c r="S1438">
        <v>5</v>
      </c>
      <c r="T1438">
        <v>6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3</v>
      </c>
      <c r="AB1438">
        <v>11</v>
      </c>
      <c r="AC1438">
        <v>0</v>
      </c>
      <c r="AD1438" t="str">
        <f t="shared" si="286"/>
        <v>Ok</v>
      </c>
      <c r="AE1438" t="str">
        <f>IF(AND(Audit_Data[[#This Row],[Year_Birth]]&gt;=1900,Audit_Data[[#This Row],[Year_Birth]]&lt;=2010),"OK","Invalid")</f>
        <v>OK</v>
      </c>
      <c r="AF1438" t="str">
        <f t="shared" si="287"/>
        <v>Valid</v>
      </c>
      <c r="AG1438" t="str">
        <f t="shared" si="288"/>
        <v>Valid</v>
      </c>
      <c r="AH1438" t="str">
        <f t="shared" si="289"/>
        <v>Valid</v>
      </c>
      <c r="AI1438" t="str">
        <f t="shared" si="290"/>
        <v>Valid</v>
      </c>
      <c r="AJ1438" t="str">
        <f t="shared" si="291"/>
        <v>Valid</v>
      </c>
      <c r="AK1438" t="str">
        <f t="shared" si="298"/>
        <v xml:space="preserve">Valid </v>
      </c>
      <c r="AL1438" t="str">
        <f>IF(AND(Audit_Data[[#This Row],[Recency]]&gt;=0,Audit_Data[[#This Row],[Recency]]&lt;=100),"Valid","Invalid")</f>
        <v>Valid</v>
      </c>
      <c r="AM1438" t="str">
        <f t="shared" si="292"/>
        <v>Valid</v>
      </c>
      <c r="AN1438" t="str">
        <f t="shared" si="293"/>
        <v>Valid</v>
      </c>
      <c r="AO1438" t="str">
        <f t="shared" si="294"/>
        <v>Valid</v>
      </c>
      <c r="AP1438" t="str">
        <f t="shared" si="295"/>
        <v>Valid</v>
      </c>
      <c r="AQ1438" t="str">
        <f>IF(Audit_Data[[#This Row],[Z_CostContact]]=3,"Valid","Invalid")</f>
        <v>Valid</v>
      </c>
      <c r="AR1438" t="str">
        <f t="shared" si="296"/>
        <v>Valid</v>
      </c>
      <c r="AS1438" t="str">
        <f t="shared" si="297"/>
        <v>Valid</v>
      </c>
    </row>
    <row r="1439" spans="1:45" x14ac:dyDescent="0.3">
      <c r="A1439">
        <v>2518</v>
      </c>
      <c r="B1439">
        <v>1986</v>
      </c>
      <c r="C1439" t="s">
        <v>37</v>
      </c>
      <c r="D1439" t="s">
        <v>31</v>
      </c>
      <c r="E1439">
        <v>20491</v>
      </c>
      <c r="F1439">
        <v>0</v>
      </c>
      <c r="G1439">
        <v>0</v>
      </c>
      <c r="H1439" s="1">
        <v>41299</v>
      </c>
      <c r="I1439">
        <v>16</v>
      </c>
      <c r="J1439">
        <v>5</v>
      </c>
      <c r="K1439">
        <v>4</v>
      </c>
      <c r="L1439">
        <v>5</v>
      </c>
      <c r="M1439">
        <v>4</v>
      </c>
      <c r="N1439">
        <v>2</v>
      </c>
      <c r="O1439">
        <v>10</v>
      </c>
      <c r="P1439">
        <v>1</v>
      </c>
      <c r="Q1439">
        <v>0</v>
      </c>
      <c r="R1439">
        <v>1</v>
      </c>
      <c r="S1439">
        <v>2</v>
      </c>
      <c r="T1439">
        <v>7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3</v>
      </c>
      <c r="AB1439">
        <v>11</v>
      </c>
      <c r="AC1439">
        <v>0</v>
      </c>
      <c r="AD1439" t="str">
        <f t="shared" si="286"/>
        <v>Ok</v>
      </c>
      <c r="AE1439" t="str">
        <f>IF(AND(Audit_Data[[#This Row],[Year_Birth]]&gt;=1900,Audit_Data[[#This Row],[Year_Birth]]&lt;=2010),"OK","Invalid")</f>
        <v>OK</v>
      </c>
      <c r="AF1439" t="str">
        <f t="shared" si="287"/>
        <v>Valid</v>
      </c>
      <c r="AG1439" t="str">
        <f t="shared" si="288"/>
        <v>Valid</v>
      </c>
      <c r="AH1439" t="str">
        <f t="shared" si="289"/>
        <v>Valid</v>
      </c>
      <c r="AI1439" t="str">
        <f t="shared" si="290"/>
        <v>Valid</v>
      </c>
      <c r="AJ1439" t="str">
        <f t="shared" si="291"/>
        <v>Valid</v>
      </c>
      <c r="AK1439" t="str">
        <f t="shared" si="298"/>
        <v xml:space="preserve">Valid </v>
      </c>
      <c r="AL1439" t="str">
        <f>IF(AND(Audit_Data[[#This Row],[Recency]]&gt;=0,Audit_Data[[#This Row],[Recency]]&lt;=100),"Valid","Invalid")</f>
        <v>Valid</v>
      </c>
      <c r="AM1439" t="str">
        <f t="shared" si="292"/>
        <v>Valid</v>
      </c>
      <c r="AN1439" t="str">
        <f t="shared" si="293"/>
        <v>Valid</v>
      </c>
      <c r="AO1439" t="str">
        <f t="shared" si="294"/>
        <v>Valid</v>
      </c>
      <c r="AP1439" t="str">
        <f t="shared" si="295"/>
        <v>Valid</v>
      </c>
      <c r="AQ1439" t="str">
        <f>IF(Audit_Data[[#This Row],[Z_CostContact]]=3,"Valid","Invalid")</f>
        <v>Valid</v>
      </c>
      <c r="AR1439" t="str">
        <f t="shared" si="296"/>
        <v>Valid</v>
      </c>
      <c r="AS1439" t="str">
        <f t="shared" si="297"/>
        <v>Valid</v>
      </c>
    </row>
    <row r="1440" spans="1:45" x14ac:dyDescent="0.3">
      <c r="A1440">
        <v>574</v>
      </c>
      <c r="B1440">
        <v>1964</v>
      </c>
      <c r="C1440" t="s">
        <v>29</v>
      </c>
      <c r="D1440" t="s">
        <v>33</v>
      </c>
      <c r="E1440">
        <v>42523</v>
      </c>
      <c r="F1440">
        <v>0</v>
      </c>
      <c r="G1440">
        <v>0</v>
      </c>
      <c r="H1440" s="1">
        <v>41752</v>
      </c>
      <c r="I1440">
        <v>96</v>
      </c>
      <c r="J1440">
        <v>14</v>
      </c>
      <c r="K1440">
        <v>36</v>
      </c>
      <c r="L1440">
        <v>11</v>
      </c>
      <c r="M1440">
        <v>3</v>
      </c>
      <c r="N1440">
        <v>26</v>
      </c>
      <c r="O1440">
        <v>35</v>
      </c>
      <c r="P1440">
        <v>1</v>
      </c>
      <c r="Q1440">
        <v>1</v>
      </c>
      <c r="R1440">
        <v>1</v>
      </c>
      <c r="S1440">
        <v>4</v>
      </c>
      <c r="T1440">
        <v>2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3</v>
      </c>
      <c r="AB1440">
        <v>11</v>
      </c>
      <c r="AC1440">
        <v>0</v>
      </c>
      <c r="AD1440" t="str">
        <f t="shared" si="286"/>
        <v>Ok</v>
      </c>
      <c r="AE1440" t="str">
        <f>IF(AND(Audit_Data[[#This Row],[Year_Birth]]&gt;=1900,Audit_Data[[#This Row],[Year_Birth]]&lt;=2010),"OK","Invalid")</f>
        <v>OK</v>
      </c>
      <c r="AF1440" t="str">
        <f t="shared" si="287"/>
        <v>Valid</v>
      </c>
      <c r="AG1440" t="str">
        <f t="shared" si="288"/>
        <v>Valid</v>
      </c>
      <c r="AH1440" t="str">
        <f t="shared" si="289"/>
        <v>Valid</v>
      </c>
      <c r="AI1440" t="str">
        <f t="shared" si="290"/>
        <v>Valid</v>
      </c>
      <c r="AJ1440" t="str">
        <f t="shared" si="291"/>
        <v>Valid</v>
      </c>
      <c r="AK1440" t="str">
        <f t="shared" si="298"/>
        <v xml:space="preserve">Valid </v>
      </c>
      <c r="AL1440" t="str">
        <f>IF(AND(Audit_Data[[#This Row],[Recency]]&gt;=0,Audit_Data[[#This Row],[Recency]]&lt;=100),"Valid","Invalid")</f>
        <v>Valid</v>
      </c>
      <c r="AM1440" t="str">
        <f t="shared" si="292"/>
        <v>Valid</v>
      </c>
      <c r="AN1440" t="str">
        <f t="shared" si="293"/>
        <v>Valid</v>
      </c>
      <c r="AO1440" t="str">
        <f t="shared" si="294"/>
        <v>Valid</v>
      </c>
      <c r="AP1440" t="str">
        <f t="shared" si="295"/>
        <v>Valid</v>
      </c>
      <c r="AQ1440" t="str">
        <f>IF(Audit_Data[[#This Row],[Z_CostContact]]=3,"Valid","Invalid")</f>
        <v>Valid</v>
      </c>
      <c r="AR1440" t="str">
        <f t="shared" si="296"/>
        <v>Valid</v>
      </c>
      <c r="AS1440" t="str">
        <f t="shared" si="297"/>
        <v>Valid</v>
      </c>
    </row>
    <row r="1441" spans="1:45" x14ac:dyDescent="0.3">
      <c r="A1441">
        <v>3220</v>
      </c>
      <c r="B1441">
        <v>1983</v>
      </c>
      <c r="C1441" t="s">
        <v>29</v>
      </c>
      <c r="D1441" t="s">
        <v>33</v>
      </c>
      <c r="E1441">
        <v>39922</v>
      </c>
      <c r="F1441">
        <v>1</v>
      </c>
      <c r="G1441">
        <v>0</v>
      </c>
      <c r="H1441" s="1">
        <v>41319</v>
      </c>
      <c r="I1441">
        <v>30</v>
      </c>
      <c r="J1441">
        <v>29</v>
      </c>
      <c r="K1441">
        <v>12</v>
      </c>
      <c r="L1441">
        <v>59</v>
      </c>
      <c r="M1441">
        <v>19</v>
      </c>
      <c r="N1441">
        <v>1</v>
      </c>
      <c r="O1441">
        <v>36</v>
      </c>
      <c r="P1441">
        <v>2</v>
      </c>
      <c r="Q1441">
        <v>3</v>
      </c>
      <c r="R1441">
        <v>0</v>
      </c>
      <c r="S1441">
        <v>4</v>
      </c>
      <c r="T1441">
        <v>8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3</v>
      </c>
      <c r="AB1441">
        <v>11</v>
      </c>
      <c r="AC1441">
        <v>0</v>
      </c>
      <c r="AD1441" t="str">
        <f t="shared" si="286"/>
        <v>Ok</v>
      </c>
      <c r="AE1441" t="str">
        <f>IF(AND(Audit_Data[[#This Row],[Year_Birth]]&gt;=1900,Audit_Data[[#This Row],[Year_Birth]]&lt;=2010),"OK","Invalid")</f>
        <v>OK</v>
      </c>
      <c r="AF1441" t="str">
        <f t="shared" si="287"/>
        <v>Valid</v>
      </c>
      <c r="AG1441" t="str">
        <f t="shared" si="288"/>
        <v>Valid</v>
      </c>
      <c r="AH1441" t="str">
        <f t="shared" si="289"/>
        <v>Valid</v>
      </c>
      <c r="AI1441" t="str">
        <f t="shared" si="290"/>
        <v>Valid</v>
      </c>
      <c r="AJ1441" t="str">
        <f t="shared" si="291"/>
        <v>Valid</v>
      </c>
      <c r="AK1441" t="str">
        <f t="shared" si="298"/>
        <v xml:space="preserve">Valid </v>
      </c>
      <c r="AL1441" t="str">
        <f>IF(AND(Audit_Data[[#This Row],[Recency]]&gt;=0,Audit_Data[[#This Row],[Recency]]&lt;=100),"Valid","Invalid")</f>
        <v>Valid</v>
      </c>
      <c r="AM1441" t="str">
        <f t="shared" si="292"/>
        <v>Valid</v>
      </c>
      <c r="AN1441" t="str">
        <f t="shared" si="293"/>
        <v>Valid</v>
      </c>
      <c r="AO1441" t="str">
        <f t="shared" si="294"/>
        <v>Valid</v>
      </c>
      <c r="AP1441" t="str">
        <f t="shared" si="295"/>
        <v>Valid</v>
      </c>
      <c r="AQ1441" t="str">
        <f>IF(Audit_Data[[#This Row],[Z_CostContact]]=3,"Valid","Invalid")</f>
        <v>Valid</v>
      </c>
      <c r="AR1441" t="str">
        <f t="shared" si="296"/>
        <v>Valid</v>
      </c>
      <c r="AS1441" t="str">
        <f t="shared" si="297"/>
        <v>Valid</v>
      </c>
    </row>
    <row r="1442" spans="1:45" x14ac:dyDescent="0.3">
      <c r="A1442">
        <v>5967</v>
      </c>
      <c r="B1442">
        <v>1952</v>
      </c>
      <c r="C1442" t="s">
        <v>29</v>
      </c>
      <c r="D1442" t="s">
        <v>31</v>
      </c>
      <c r="E1442">
        <v>33402</v>
      </c>
      <c r="F1442">
        <v>1</v>
      </c>
      <c r="G1442">
        <v>1</v>
      </c>
      <c r="H1442" s="1">
        <v>41473</v>
      </c>
      <c r="I1442">
        <v>60</v>
      </c>
      <c r="J1442">
        <v>26</v>
      </c>
      <c r="K1442">
        <v>2</v>
      </c>
      <c r="L1442">
        <v>19</v>
      </c>
      <c r="M1442">
        <v>10</v>
      </c>
      <c r="N1442">
        <v>5</v>
      </c>
      <c r="O1442">
        <v>8</v>
      </c>
      <c r="P1442">
        <v>3</v>
      </c>
      <c r="Q1442">
        <v>2</v>
      </c>
      <c r="R1442">
        <v>1</v>
      </c>
      <c r="S1442">
        <v>3</v>
      </c>
      <c r="T1442">
        <v>8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3</v>
      </c>
      <c r="AB1442">
        <v>11</v>
      </c>
      <c r="AC1442">
        <v>0</v>
      </c>
      <c r="AD1442" t="str">
        <f t="shared" si="286"/>
        <v>Ok</v>
      </c>
      <c r="AE1442" t="str">
        <f>IF(AND(Audit_Data[[#This Row],[Year_Birth]]&gt;=1900,Audit_Data[[#This Row],[Year_Birth]]&lt;=2010),"OK","Invalid")</f>
        <v>OK</v>
      </c>
      <c r="AF1442" t="str">
        <f t="shared" si="287"/>
        <v>Valid</v>
      </c>
      <c r="AG1442" t="str">
        <f t="shared" si="288"/>
        <v>Valid</v>
      </c>
      <c r="AH1442" t="str">
        <f t="shared" si="289"/>
        <v>Valid</v>
      </c>
      <c r="AI1442" t="str">
        <f t="shared" si="290"/>
        <v>Valid</v>
      </c>
      <c r="AJ1442" t="str">
        <f t="shared" si="291"/>
        <v>Valid</v>
      </c>
      <c r="AK1442" t="str">
        <f t="shared" si="298"/>
        <v xml:space="preserve">Valid </v>
      </c>
      <c r="AL1442" t="str">
        <f>IF(AND(Audit_Data[[#This Row],[Recency]]&gt;=0,Audit_Data[[#This Row],[Recency]]&lt;=100),"Valid","Invalid")</f>
        <v>Valid</v>
      </c>
      <c r="AM1442" t="str">
        <f t="shared" si="292"/>
        <v>Valid</v>
      </c>
      <c r="AN1442" t="str">
        <f t="shared" si="293"/>
        <v>Valid</v>
      </c>
      <c r="AO1442" t="str">
        <f t="shared" si="294"/>
        <v>Valid</v>
      </c>
      <c r="AP1442" t="str">
        <f t="shared" si="295"/>
        <v>Valid</v>
      </c>
      <c r="AQ1442" t="str">
        <f>IF(Audit_Data[[#This Row],[Z_CostContact]]=3,"Valid","Invalid")</f>
        <v>Valid</v>
      </c>
      <c r="AR1442" t="str">
        <f t="shared" si="296"/>
        <v>Valid</v>
      </c>
      <c r="AS1442" t="str">
        <f t="shared" si="297"/>
        <v>Valid</v>
      </c>
    </row>
    <row r="1443" spans="1:45" x14ac:dyDescent="0.3">
      <c r="A1443">
        <v>1183</v>
      </c>
      <c r="B1443">
        <v>1949</v>
      </c>
      <c r="C1443" t="s">
        <v>34</v>
      </c>
      <c r="D1443" t="s">
        <v>33</v>
      </c>
      <c r="E1443">
        <v>36408</v>
      </c>
      <c r="F1443">
        <v>1</v>
      </c>
      <c r="G1443">
        <v>1</v>
      </c>
      <c r="H1443" s="1">
        <v>41538</v>
      </c>
      <c r="I1443">
        <v>11</v>
      </c>
      <c r="J1443">
        <v>9</v>
      </c>
      <c r="K1443">
        <v>1</v>
      </c>
      <c r="L1443">
        <v>4</v>
      </c>
      <c r="M1443">
        <v>3</v>
      </c>
      <c r="N1443">
        <v>2</v>
      </c>
      <c r="O1443">
        <v>3</v>
      </c>
      <c r="P1443">
        <v>1</v>
      </c>
      <c r="Q1443">
        <v>1</v>
      </c>
      <c r="R1443">
        <v>0</v>
      </c>
      <c r="S1443">
        <v>2</v>
      </c>
      <c r="T1443">
        <v>6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3</v>
      </c>
      <c r="AB1443">
        <v>11</v>
      </c>
      <c r="AC1443">
        <v>0</v>
      </c>
      <c r="AD1443" t="str">
        <f t="shared" si="286"/>
        <v>Ok</v>
      </c>
      <c r="AE1443" t="str">
        <f>IF(AND(Audit_Data[[#This Row],[Year_Birth]]&gt;=1900,Audit_Data[[#This Row],[Year_Birth]]&lt;=2010),"OK","Invalid")</f>
        <v>OK</v>
      </c>
      <c r="AF1443" t="str">
        <f t="shared" si="287"/>
        <v>Valid</v>
      </c>
      <c r="AG1443" t="str">
        <f t="shared" si="288"/>
        <v>Valid</v>
      </c>
      <c r="AH1443" t="str">
        <f t="shared" si="289"/>
        <v>Valid</v>
      </c>
      <c r="AI1443" t="str">
        <f t="shared" si="290"/>
        <v>Valid</v>
      </c>
      <c r="AJ1443" t="str">
        <f t="shared" si="291"/>
        <v>Valid</v>
      </c>
      <c r="AK1443" t="str">
        <f t="shared" si="298"/>
        <v xml:space="preserve">Valid </v>
      </c>
      <c r="AL1443" t="str">
        <f>IF(AND(Audit_Data[[#This Row],[Recency]]&gt;=0,Audit_Data[[#This Row],[Recency]]&lt;=100),"Valid","Invalid")</f>
        <v>Valid</v>
      </c>
      <c r="AM1443" t="str">
        <f t="shared" si="292"/>
        <v>Valid</v>
      </c>
      <c r="AN1443" t="str">
        <f t="shared" si="293"/>
        <v>Valid</v>
      </c>
      <c r="AO1443" t="str">
        <f t="shared" si="294"/>
        <v>Valid</v>
      </c>
      <c r="AP1443" t="str">
        <f t="shared" si="295"/>
        <v>Valid</v>
      </c>
      <c r="AQ1443" t="str">
        <f>IF(Audit_Data[[#This Row],[Z_CostContact]]=3,"Valid","Invalid")</f>
        <v>Valid</v>
      </c>
      <c r="AR1443" t="str">
        <f t="shared" si="296"/>
        <v>Valid</v>
      </c>
      <c r="AS1443" t="str">
        <f t="shared" si="297"/>
        <v>Valid</v>
      </c>
    </row>
    <row r="1444" spans="1:45" x14ac:dyDescent="0.3">
      <c r="A1444">
        <v>6856</v>
      </c>
      <c r="B1444">
        <v>1979</v>
      </c>
      <c r="C1444" t="s">
        <v>29</v>
      </c>
      <c r="D1444" t="s">
        <v>31</v>
      </c>
      <c r="E1444">
        <v>21645</v>
      </c>
      <c r="F1444">
        <v>1</v>
      </c>
      <c r="G1444">
        <v>0</v>
      </c>
      <c r="H1444" s="1">
        <v>41155</v>
      </c>
      <c r="I1444">
        <v>75</v>
      </c>
      <c r="J1444">
        <v>14</v>
      </c>
      <c r="K1444">
        <v>0</v>
      </c>
      <c r="L1444">
        <v>23</v>
      </c>
      <c r="M1444">
        <v>4</v>
      </c>
      <c r="N1444">
        <v>5</v>
      </c>
      <c r="O1444">
        <v>19</v>
      </c>
      <c r="P1444">
        <v>3</v>
      </c>
      <c r="Q1444">
        <v>3</v>
      </c>
      <c r="R1444">
        <v>0</v>
      </c>
      <c r="S1444">
        <v>3</v>
      </c>
      <c r="T1444">
        <v>9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3</v>
      </c>
      <c r="AB1444">
        <v>11</v>
      </c>
      <c r="AC1444">
        <v>1</v>
      </c>
      <c r="AD1444" t="str">
        <f t="shared" si="286"/>
        <v>Ok</v>
      </c>
      <c r="AE1444" t="str">
        <f>IF(AND(Audit_Data[[#This Row],[Year_Birth]]&gt;=1900,Audit_Data[[#This Row],[Year_Birth]]&lt;=2010),"OK","Invalid")</f>
        <v>OK</v>
      </c>
      <c r="AF1444" t="str">
        <f t="shared" si="287"/>
        <v>Valid</v>
      </c>
      <c r="AG1444" t="str">
        <f t="shared" si="288"/>
        <v>Valid</v>
      </c>
      <c r="AH1444" t="str">
        <f t="shared" si="289"/>
        <v>Valid</v>
      </c>
      <c r="AI1444" t="str">
        <f t="shared" si="290"/>
        <v>Valid</v>
      </c>
      <c r="AJ1444" t="str">
        <f t="shared" si="291"/>
        <v>Valid</v>
      </c>
      <c r="AK1444" t="str">
        <f t="shared" si="298"/>
        <v xml:space="preserve">Valid </v>
      </c>
      <c r="AL1444" t="str">
        <f>IF(AND(Audit_Data[[#This Row],[Recency]]&gt;=0,Audit_Data[[#This Row],[Recency]]&lt;=100),"Valid","Invalid")</f>
        <v>Valid</v>
      </c>
      <c r="AM1444" t="str">
        <f t="shared" si="292"/>
        <v>Valid</v>
      </c>
      <c r="AN1444" t="str">
        <f t="shared" si="293"/>
        <v>Valid</v>
      </c>
      <c r="AO1444" t="str">
        <f t="shared" si="294"/>
        <v>Valid</v>
      </c>
      <c r="AP1444" t="str">
        <f t="shared" si="295"/>
        <v>Valid</v>
      </c>
      <c r="AQ1444" t="str">
        <f>IF(Audit_Data[[#This Row],[Z_CostContact]]=3,"Valid","Invalid")</f>
        <v>Valid</v>
      </c>
      <c r="AR1444" t="str">
        <f t="shared" si="296"/>
        <v>Valid</v>
      </c>
      <c r="AS1444" t="str">
        <f t="shared" si="297"/>
        <v>Valid</v>
      </c>
    </row>
    <row r="1445" spans="1:45" x14ac:dyDescent="0.3">
      <c r="A1445">
        <v>4530</v>
      </c>
      <c r="B1445">
        <v>1948</v>
      </c>
      <c r="C1445" t="s">
        <v>34</v>
      </c>
      <c r="D1445" t="s">
        <v>38</v>
      </c>
      <c r="E1445">
        <v>78427</v>
      </c>
      <c r="F1445">
        <v>0</v>
      </c>
      <c r="G1445">
        <v>0</v>
      </c>
      <c r="H1445" s="1">
        <v>41206</v>
      </c>
      <c r="I1445">
        <v>36</v>
      </c>
      <c r="J1445">
        <v>972</v>
      </c>
      <c r="K1445">
        <v>19</v>
      </c>
      <c r="L1445">
        <v>595</v>
      </c>
      <c r="M1445">
        <v>180</v>
      </c>
      <c r="N1445">
        <v>26</v>
      </c>
      <c r="O1445">
        <v>138</v>
      </c>
      <c r="P1445">
        <v>3</v>
      </c>
      <c r="Q1445">
        <v>3</v>
      </c>
      <c r="R1445">
        <v>7</v>
      </c>
      <c r="S1445">
        <v>10</v>
      </c>
      <c r="T1445">
        <v>3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0</v>
      </c>
      <c r="AA1445">
        <v>3</v>
      </c>
      <c r="AB1445">
        <v>11</v>
      </c>
      <c r="AC1445">
        <v>1</v>
      </c>
      <c r="AD1445" t="str">
        <f t="shared" si="286"/>
        <v>Ok</v>
      </c>
      <c r="AE1445" t="str">
        <f>IF(AND(Audit_Data[[#This Row],[Year_Birth]]&gt;=1900,Audit_Data[[#This Row],[Year_Birth]]&lt;=2010),"OK","Invalid")</f>
        <v>OK</v>
      </c>
      <c r="AF1445" t="str">
        <f t="shared" si="287"/>
        <v>Valid</v>
      </c>
      <c r="AG1445" t="str">
        <f t="shared" si="288"/>
        <v>Valid</v>
      </c>
      <c r="AH1445" t="str">
        <f t="shared" si="289"/>
        <v>Valid</v>
      </c>
      <c r="AI1445" t="str">
        <f t="shared" si="290"/>
        <v>Valid</v>
      </c>
      <c r="AJ1445" t="str">
        <f t="shared" si="291"/>
        <v>Valid</v>
      </c>
      <c r="AK1445" t="str">
        <f t="shared" si="298"/>
        <v xml:space="preserve">Valid </v>
      </c>
      <c r="AL1445" t="str">
        <f>IF(AND(Audit_Data[[#This Row],[Recency]]&gt;=0,Audit_Data[[#This Row],[Recency]]&lt;=100),"Valid","Invalid")</f>
        <v>Valid</v>
      </c>
      <c r="AM1445" t="str">
        <f t="shared" si="292"/>
        <v>Valid</v>
      </c>
      <c r="AN1445" t="str">
        <f t="shared" si="293"/>
        <v>Valid</v>
      </c>
      <c r="AO1445" t="str">
        <f t="shared" si="294"/>
        <v>Valid</v>
      </c>
      <c r="AP1445" t="str">
        <f t="shared" si="295"/>
        <v>Valid</v>
      </c>
      <c r="AQ1445" t="str">
        <f>IF(Audit_Data[[#This Row],[Z_CostContact]]=3,"Valid","Invalid")</f>
        <v>Valid</v>
      </c>
      <c r="AR1445" t="str">
        <f t="shared" si="296"/>
        <v>Valid</v>
      </c>
      <c r="AS1445" t="str">
        <f t="shared" si="297"/>
        <v>Valid</v>
      </c>
    </row>
    <row r="1446" spans="1:45" x14ac:dyDescent="0.3">
      <c r="A1446">
        <v>1553</v>
      </c>
      <c r="B1446">
        <v>1946</v>
      </c>
      <c r="C1446" t="s">
        <v>29</v>
      </c>
      <c r="D1446" t="s">
        <v>31</v>
      </c>
      <c r="E1446">
        <v>82657</v>
      </c>
      <c r="F1446">
        <v>0</v>
      </c>
      <c r="G1446">
        <v>0</v>
      </c>
      <c r="H1446" s="1">
        <v>41544</v>
      </c>
      <c r="I1446">
        <v>71</v>
      </c>
      <c r="J1446">
        <v>966</v>
      </c>
      <c r="K1446">
        <v>168</v>
      </c>
      <c r="L1446">
        <v>672</v>
      </c>
      <c r="M1446">
        <v>246</v>
      </c>
      <c r="N1446">
        <v>105</v>
      </c>
      <c r="O1446">
        <v>126</v>
      </c>
      <c r="P1446">
        <v>1</v>
      </c>
      <c r="Q1446">
        <v>7</v>
      </c>
      <c r="R1446">
        <v>5</v>
      </c>
      <c r="S1446">
        <v>10</v>
      </c>
      <c r="T1446">
        <v>4</v>
      </c>
      <c r="U1446">
        <v>0</v>
      </c>
      <c r="V1446">
        <v>1</v>
      </c>
      <c r="W1446">
        <v>0</v>
      </c>
      <c r="X1446">
        <v>1</v>
      </c>
      <c r="Y1446">
        <v>0</v>
      </c>
      <c r="Z1446">
        <v>0</v>
      </c>
      <c r="AA1446">
        <v>3</v>
      </c>
      <c r="AB1446">
        <v>11</v>
      </c>
      <c r="AC1446">
        <v>0</v>
      </c>
      <c r="AD1446" t="str">
        <f t="shared" si="286"/>
        <v>Ok</v>
      </c>
      <c r="AE1446" t="str">
        <f>IF(AND(Audit_Data[[#This Row],[Year_Birth]]&gt;=1900,Audit_Data[[#This Row],[Year_Birth]]&lt;=2010),"OK","Invalid")</f>
        <v>OK</v>
      </c>
      <c r="AF1446" t="str">
        <f t="shared" si="287"/>
        <v>Valid</v>
      </c>
      <c r="AG1446" t="str">
        <f t="shared" si="288"/>
        <v>Valid</v>
      </c>
      <c r="AH1446" t="str">
        <f t="shared" si="289"/>
        <v>Valid</v>
      </c>
      <c r="AI1446" t="str">
        <f t="shared" si="290"/>
        <v>Valid</v>
      </c>
      <c r="AJ1446" t="str">
        <f t="shared" si="291"/>
        <v>Valid</v>
      </c>
      <c r="AK1446" t="str">
        <f t="shared" si="298"/>
        <v xml:space="preserve">Valid </v>
      </c>
      <c r="AL1446" t="str">
        <f>IF(AND(Audit_Data[[#This Row],[Recency]]&gt;=0,Audit_Data[[#This Row],[Recency]]&lt;=100),"Valid","Invalid")</f>
        <v>Valid</v>
      </c>
      <c r="AM1446" t="str">
        <f t="shared" si="292"/>
        <v>Valid</v>
      </c>
      <c r="AN1446" t="str">
        <f t="shared" si="293"/>
        <v>Valid</v>
      </c>
      <c r="AO1446" t="str">
        <f t="shared" si="294"/>
        <v>Valid</v>
      </c>
      <c r="AP1446" t="str">
        <f t="shared" si="295"/>
        <v>Valid</v>
      </c>
      <c r="AQ1446" t="str">
        <f>IF(Audit_Data[[#This Row],[Z_CostContact]]=3,"Valid","Invalid")</f>
        <v>Valid</v>
      </c>
      <c r="AR1446" t="str">
        <f t="shared" si="296"/>
        <v>Valid</v>
      </c>
      <c r="AS1446" t="str">
        <f t="shared" si="297"/>
        <v>Valid</v>
      </c>
    </row>
    <row r="1447" spans="1:45" x14ac:dyDescent="0.3">
      <c r="A1447">
        <v>4682</v>
      </c>
      <c r="B1447">
        <v>1958</v>
      </c>
      <c r="C1447" t="s">
        <v>29</v>
      </c>
      <c r="D1447" t="s">
        <v>33</v>
      </c>
      <c r="E1447">
        <v>51876</v>
      </c>
      <c r="F1447">
        <v>0</v>
      </c>
      <c r="G1447">
        <v>0</v>
      </c>
      <c r="H1447" s="1">
        <v>41562</v>
      </c>
      <c r="I1447">
        <v>88</v>
      </c>
      <c r="J1447">
        <v>99</v>
      </c>
      <c r="K1447">
        <v>27</v>
      </c>
      <c r="L1447">
        <v>102</v>
      </c>
      <c r="M1447">
        <v>28</v>
      </c>
      <c r="N1447">
        <v>48</v>
      </c>
      <c r="O1447">
        <v>6</v>
      </c>
      <c r="P1447">
        <v>1</v>
      </c>
      <c r="Q1447">
        <v>2</v>
      </c>
      <c r="R1447">
        <v>2</v>
      </c>
      <c r="S1447">
        <v>8</v>
      </c>
      <c r="T1447">
        <v>1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3</v>
      </c>
      <c r="AB1447">
        <v>11</v>
      </c>
      <c r="AC1447">
        <v>0</v>
      </c>
      <c r="AD1447" t="str">
        <f t="shared" si="286"/>
        <v>Ok</v>
      </c>
      <c r="AE1447" t="str">
        <f>IF(AND(Audit_Data[[#This Row],[Year_Birth]]&gt;=1900,Audit_Data[[#This Row],[Year_Birth]]&lt;=2010),"OK","Invalid")</f>
        <v>OK</v>
      </c>
      <c r="AF1447" t="str">
        <f t="shared" si="287"/>
        <v>Valid</v>
      </c>
      <c r="AG1447" t="str">
        <f t="shared" si="288"/>
        <v>Valid</v>
      </c>
      <c r="AH1447" t="str">
        <f t="shared" si="289"/>
        <v>Valid</v>
      </c>
      <c r="AI1447" t="str">
        <f t="shared" si="290"/>
        <v>Valid</v>
      </c>
      <c r="AJ1447" t="str">
        <f t="shared" si="291"/>
        <v>Valid</v>
      </c>
      <c r="AK1447" t="str">
        <f t="shared" si="298"/>
        <v xml:space="preserve">Valid </v>
      </c>
      <c r="AL1447" t="str">
        <f>IF(AND(Audit_Data[[#This Row],[Recency]]&gt;=0,Audit_Data[[#This Row],[Recency]]&lt;=100),"Valid","Invalid")</f>
        <v>Valid</v>
      </c>
      <c r="AM1447" t="str">
        <f t="shared" si="292"/>
        <v>Valid</v>
      </c>
      <c r="AN1447" t="str">
        <f t="shared" si="293"/>
        <v>Valid</v>
      </c>
      <c r="AO1447" t="str">
        <f t="shared" si="294"/>
        <v>Valid</v>
      </c>
      <c r="AP1447" t="str">
        <f t="shared" si="295"/>
        <v>Valid</v>
      </c>
      <c r="AQ1447" t="str">
        <f>IF(Audit_Data[[#This Row],[Z_CostContact]]=3,"Valid","Invalid")</f>
        <v>Valid</v>
      </c>
      <c r="AR1447" t="str">
        <f t="shared" si="296"/>
        <v>Valid</v>
      </c>
      <c r="AS1447" t="str">
        <f t="shared" si="297"/>
        <v>Valid</v>
      </c>
    </row>
    <row r="1448" spans="1:45" x14ac:dyDescent="0.3">
      <c r="A1448">
        <v>8204</v>
      </c>
      <c r="B1448">
        <v>1971</v>
      </c>
      <c r="C1448" t="s">
        <v>37</v>
      </c>
      <c r="D1448" t="s">
        <v>33</v>
      </c>
      <c r="E1448">
        <v>78041</v>
      </c>
      <c r="F1448">
        <v>0</v>
      </c>
      <c r="G1448">
        <v>0</v>
      </c>
      <c r="H1448" s="1">
        <v>41259</v>
      </c>
      <c r="I1448">
        <v>93</v>
      </c>
      <c r="J1448">
        <v>482</v>
      </c>
      <c r="K1448">
        <v>35</v>
      </c>
      <c r="L1448">
        <v>553</v>
      </c>
      <c r="M1448">
        <v>72</v>
      </c>
      <c r="N1448">
        <v>160</v>
      </c>
      <c r="O1448">
        <v>17</v>
      </c>
      <c r="P1448">
        <v>1</v>
      </c>
      <c r="Q1448">
        <v>4</v>
      </c>
      <c r="R1448">
        <v>4</v>
      </c>
      <c r="S1448">
        <v>9</v>
      </c>
      <c r="T1448">
        <v>2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3</v>
      </c>
      <c r="AB1448">
        <v>11</v>
      </c>
      <c r="AC1448">
        <v>0</v>
      </c>
      <c r="AD1448" t="str">
        <f t="shared" si="286"/>
        <v>Ok</v>
      </c>
      <c r="AE1448" t="str">
        <f>IF(AND(Audit_Data[[#This Row],[Year_Birth]]&gt;=1900,Audit_Data[[#This Row],[Year_Birth]]&lt;=2010),"OK","Invalid")</f>
        <v>OK</v>
      </c>
      <c r="AF1448" t="str">
        <f t="shared" si="287"/>
        <v>Valid</v>
      </c>
      <c r="AG1448" t="str">
        <f t="shared" si="288"/>
        <v>Valid</v>
      </c>
      <c r="AH1448" t="str">
        <f t="shared" si="289"/>
        <v>Valid</v>
      </c>
      <c r="AI1448" t="str">
        <f t="shared" si="290"/>
        <v>Valid</v>
      </c>
      <c r="AJ1448" t="str">
        <f t="shared" si="291"/>
        <v>Valid</v>
      </c>
      <c r="AK1448" t="str">
        <f t="shared" si="298"/>
        <v xml:space="preserve">Valid </v>
      </c>
      <c r="AL1448" t="str">
        <f>IF(AND(Audit_Data[[#This Row],[Recency]]&gt;=0,Audit_Data[[#This Row],[Recency]]&lt;=100),"Valid","Invalid")</f>
        <v>Valid</v>
      </c>
      <c r="AM1448" t="str">
        <f t="shared" si="292"/>
        <v>Valid</v>
      </c>
      <c r="AN1448" t="str">
        <f t="shared" si="293"/>
        <v>Valid</v>
      </c>
      <c r="AO1448" t="str">
        <f t="shared" si="294"/>
        <v>Valid</v>
      </c>
      <c r="AP1448" t="str">
        <f t="shared" si="295"/>
        <v>Valid</v>
      </c>
      <c r="AQ1448" t="str">
        <f>IF(Audit_Data[[#This Row],[Z_CostContact]]=3,"Valid","Invalid")</f>
        <v>Valid</v>
      </c>
      <c r="AR1448" t="str">
        <f t="shared" si="296"/>
        <v>Valid</v>
      </c>
      <c r="AS1448" t="str">
        <f t="shared" si="297"/>
        <v>Valid</v>
      </c>
    </row>
    <row r="1449" spans="1:45" x14ac:dyDescent="0.3">
      <c r="A1449">
        <v>5221</v>
      </c>
      <c r="B1449">
        <v>1957</v>
      </c>
      <c r="C1449" t="s">
        <v>29</v>
      </c>
      <c r="D1449" t="s">
        <v>33</v>
      </c>
      <c r="E1449">
        <v>52852</v>
      </c>
      <c r="F1449">
        <v>0</v>
      </c>
      <c r="G1449">
        <v>1</v>
      </c>
      <c r="H1449" s="1">
        <v>41244</v>
      </c>
      <c r="I1449">
        <v>93</v>
      </c>
      <c r="J1449">
        <v>714</v>
      </c>
      <c r="K1449">
        <v>8</v>
      </c>
      <c r="L1449">
        <v>99</v>
      </c>
      <c r="M1449">
        <v>11</v>
      </c>
      <c r="N1449">
        <v>0</v>
      </c>
      <c r="O1449">
        <v>47</v>
      </c>
      <c r="P1449">
        <v>4</v>
      </c>
      <c r="Q1449">
        <v>10</v>
      </c>
      <c r="R1449">
        <v>7</v>
      </c>
      <c r="S1449">
        <v>5</v>
      </c>
      <c r="T1449">
        <v>8</v>
      </c>
      <c r="U1449">
        <v>1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3</v>
      </c>
      <c r="AB1449">
        <v>11</v>
      </c>
      <c r="AC1449">
        <v>0</v>
      </c>
      <c r="AD1449" t="str">
        <f t="shared" si="286"/>
        <v>Ok</v>
      </c>
      <c r="AE1449" t="str">
        <f>IF(AND(Audit_Data[[#This Row],[Year_Birth]]&gt;=1900,Audit_Data[[#This Row],[Year_Birth]]&lt;=2010),"OK","Invalid")</f>
        <v>OK</v>
      </c>
      <c r="AF1449" t="str">
        <f t="shared" si="287"/>
        <v>Valid</v>
      </c>
      <c r="AG1449" t="str">
        <f t="shared" si="288"/>
        <v>Valid</v>
      </c>
      <c r="AH1449" t="str">
        <f t="shared" si="289"/>
        <v>Valid</v>
      </c>
      <c r="AI1449" t="str">
        <f t="shared" si="290"/>
        <v>Valid</v>
      </c>
      <c r="AJ1449" t="str">
        <f t="shared" si="291"/>
        <v>Valid</v>
      </c>
      <c r="AK1449" t="str">
        <f t="shared" si="298"/>
        <v xml:space="preserve">Valid </v>
      </c>
      <c r="AL1449" t="str">
        <f>IF(AND(Audit_Data[[#This Row],[Recency]]&gt;=0,Audit_Data[[#This Row],[Recency]]&lt;=100),"Valid","Invalid")</f>
        <v>Valid</v>
      </c>
      <c r="AM1449" t="str">
        <f t="shared" si="292"/>
        <v>Valid</v>
      </c>
      <c r="AN1449" t="str">
        <f t="shared" si="293"/>
        <v>Valid</v>
      </c>
      <c r="AO1449" t="str">
        <f t="shared" si="294"/>
        <v>Valid</v>
      </c>
      <c r="AP1449" t="str">
        <f t="shared" si="295"/>
        <v>Valid</v>
      </c>
      <c r="AQ1449" t="str">
        <f>IF(Audit_Data[[#This Row],[Z_CostContact]]=3,"Valid","Invalid")</f>
        <v>Valid</v>
      </c>
      <c r="AR1449" t="str">
        <f t="shared" si="296"/>
        <v>Valid</v>
      </c>
      <c r="AS1449" t="str">
        <f t="shared" si="297"/>
        <v>Valid</v>
      </c>
    </row>
    <row r="1450" spans="1:45" x14ac:dyDescent="0.3">
      <c r="A1450">
        <v>1232</v>
      </c>
      <c r="B1450">
        <v>1982</v>
      </c>
      <c r="C1450" t="s">
        <v>32</v>
      </c>
      <c r="D1450" t="s">
        <v>31</v>
      </c>
      <c r="E1450">
        <v>70038</v>
      </c>
      <c r="F1450">
        <v>0</v>
      </c>
      <c r="G1450">
        <v>0</v>
      </c>
      <c r="H1450" s="1">
        <v>41572</v>
      </c>
      <c r="I1450">
        <v>54</v>
      </c>
      <c r="J1450">
        <v>587</v>
      </c>
      <c r="K1450">
        <v>54</v>
      </c>
      <c r="L1450">
        <v>348</v>
      </c>
      <c r="M1450">
        <v>71</v>
      </c>
      <c r="N1450">
        <v>54</v>
      </c>
      <c r="O1450">
        <v>130</v>
      </c>
      <c r="P1450">
        <v>1</v>
      </c>
      <c r="Q1450">
        <v>4</v>
      </c>
      <c r="R1450">
        <v>4</v>
      </c>
      <c r="S1450">
        <v>8</v>
      </c>
      <c r="T1450">
        <v>2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3</v>
      </c>
      <c r="AB1450">
        <v>11</v>
      </c>
      <c r="AC1450">
        <v>0</v>
      </c>
      <c r="AD1450" t="str">
        <f t="shared" si="286"/>
        <v>Ok</v>
      </c>
      <c r="AE1450" t="str">
        <f>IF(AND(Audit_Data[[#This Row],[Year_Birth]]&gt;=1900,Audit_Data[[#This Row],[Year_Birth]]&lt;=2010),"OK","Invalid")</f>
        <v>OK</v>
      </c>
      <c r="AF1450" t="str">
        <f t="shared" si="287"/>
        <v>Valid</v>
      </c>
      <c r="AG1450" t="str">
        <f t="shared" si="288"/>
        <v>Valid</v>
      </c>
      <c r="AH1450" t="str">
        <f t="shared" si="289"/>
        <v>Valid</v>
      </c>
      <c r="AI1450" t="str">
        <f t="shared" si="290"/>
        <v>Valid</v>
      </c>
      <c r="AJ1450" t="str">
        <f t="shared" si="291"/>
        <v>Valid</v>
      </c>
      <c r="AK1450" t="str">
        <f t="shared" si="298"/>
        <v xml:space="preserve">Valid </v>
      </c>
      <c r="AL1450" t="str">
        <f>IF(AND(Audit_Data[[#This Row],[Recency]]&gt;=0,Audit_Data[[#This Row],[Recency]]&lt;=100),"Valid","Invalid")</f>
        <v>Valid</v>
      </c>
      <c r="AM1450" t="str">
        <f t="shared" si="292"/>
        <v>Valid</v>
      </c>
      <c r="AN1450" t="str">
        <f t="shared" si="293"/>
        <v>Valid</v>
      </c>
      <c r="AO1450" t="str">
        <f t="shared" si="294"/>
        <v>Valid</v>
      </c>
      <c r="AP1450" t="str">
        <f t="shared" si="295"/>
        <v>Valid</v>
      </c>
      <c r="AQ1450" t="str">
        <f>IF(Audit_Data[[#This Row],[Z_CostContact]]=3,"Valid","Invalid")</f>
        <v>Valid</v>
      </c>
      <c r="AR1450" t="str">
        <f t="shared" si="296"/>
        <v>Valid</v>
      </c>
      <c r="AS1450" t="str">
        <f t="shared" si="297"/>
        <v>Valid</v>
      </c>
    </row>
    <row r="1451" spans="1:45" x14ac:dyDescent="0.3">
      <c r="A1451">
        <v>1927</v>
      </c>
      <c r="B1451">
        <v>1973</v>
      </c>
      <c r="C1451" t="s">
        <v>37</v>
      </c>
      <c r="D1451" t="s">
        <v>31</v>
      </c>
      <c r="E1451">
        <v>69401</v>
      </c>
      <c r="F1451">
        <v>0</v>
      </c>
      <c r="G1451">
        <v>1</v>
      </c>
      <c r="H1451" s="1">
        <v>41721</v>
      </c>
      <c r="I1451">
        <v>41</v>
      </c>
      <c r="J1451">
        <v>399</v>
      </c>
      <c r="K1451">
        <v>27</v>
      </c>
      <c r="L1451">
        <v>159</v>
      </c>
      <c r="M1451">
        <v>58</v>
      </c>
      <c r="N1451">
        <v>8</v>
      </c>
      <c r="O1451">
        <v>39</v>
      </c>
      <c r="P1451">
        <v>4</v>
      </c>
      <c r="Q1451">
        <v>4</v>
      </c>
      <c r="R1451">
        <v>4</v>
      </c>
      <c r="S1451">
        <v>5</v>
      </c>
      <c r="T1451">
        <v>2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3</v>
      </c>
      <c r="AB1451">
        <v>11</v>
      </c>
      <c r="AC1451">
        <v>0</v>
      </c>
      <c r="AD1451" t="str">
        <f t="shared" si="286"/>
        <v>Ok</v>
      </c>
      <c r="AE1451" t="str">
        <f>IF(AND(Audit_Data[[#This Row],[Year_Birth]]&gt;=1900,Audit_Data[[#This Row],[Year_Birth]]&lt;=2010),"OK","Invalid")</f>
        <v>OK</v>
      </c>
      <c r="AF1451" t="str">
        <f t="shared" si="287"/>
        <v>Valid</v>
      </c>
      <c r="AG1451" t="str">
        <f t="shared" si="288"/>
        <v>Valid</v>
      </c>
      <c r="AH1451" t="str">
        <f t="shared" si="289"/>
        <v>Valid</v>
      </c>
      <c r="AI1451" t="str">
        <f t="shared" si="290"/>
        <v>Valid</v>
      </c>
      <c r="AJ1451" t="str">
        <f t="shared" si="291"/>
        <v>Valid</v>
      </c>
      <c r="AK1451" t="str">
        <f t="shared" si="298"/>
        <v xml:space="preserve">Valid </v>
      </c>
      <c r="AL1451" t="str">
        <f>IF(AND(Audit_Data[[#This Row],[Recency]]&gt;=0,Audit_Data[[#This Row],[Recency]]&lt;=100),"Valid","Invalid")</f>
        <v>Valid</v>
      </c>
      <c r="AM1451" t="str">
        <f t="shared" si="292"/>
        <v>Valid</v>
      </c>
      <c r="AN1451" t="str">
        <f t="shared" si="293"/>
        <v>Valid</v>
      </c>
      <c r="AO1451" t="str">
        <f t="shared" si="294"/>
        <v>Valid</v>
      </c>
      <c r="AP1451" t="str">
        <f t="shared" si="295"/>
        <v>Valid</v>
      </c>
      <c r="AQ1451" t="str">
        <f>IF(Audit_Data[[#This Row],[Z_CostContact]]=3,"Valid","Invalid")</f>
        <v>Valid</v>
      </c>
      <c r="AR1451" t="str">
        <f t="shared" si="296"/>
        <v>Valid</v>
      </c>
      <c r="AS1451" t="str">
        <f t="shared" si="297"/>
        <v>Valid</v>
      </c>
    </row>
    <row r="1452" spans="1:45" x14ac:dyDescent="0.3">
      <c r="A1452">
        <v>5788</v>
      </c>
      <c r="B1452">
        <v>1972</v>
      </c>
      <c r="C1452" t="s">
        <v>29</v>
      </c>
      <c r="D1452" t="s">
        <v>31</v>
      </c>
      <c r="E1452">
        <v>46053</v>
      </c>
      <c r="F1452">
        <v>1</v>
      </c>
      <c r="G1452">
        <v>0</v>
      </c>
      <c r="H1452" s="1">
        <v>41322</v>
      </c>
      <c r="I1452">
        <v>46</v>
      </c>
      <c r="J1452">
        <v>56</v>
      </c>
      <c r="K1452">
        <v>10</v>
      </c>
      <c r="L1452">
        <v>92</v>
      </c>
      <c r="M1452">
        <v>19</v>
      </c>
      <c r="N1452">
        <v>7</v>
      </c>
      <c r="O1452">
        <v>25</v>
      </c>
      <c r="P1452">
        <v>3</v>
      </c>
      <c r="Q1452">
        <v>3</v>
      </c>
      <c r="R1452">
        <v>2</v>
      </c>
      <c r="S1452">
        <v>4</v>
      </c>
      <c r="T1452">
        <v>5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3</v>
      </c>
      <c r="AB1452">
        <v>11</v>
      </c>
      <c r="AC1452">
        <v>0</v>
      </c>
      <c r="AD1452" t="str">
        <f t="shared" si="286"/>
        <v>Ok</v>
      </c>
      <c r="AE1452" t="str">
        <f>IF(AND(Audit_Data[[#This Row],[Year_Birth]]&gt;=1900,Audit_Data[[#This Row],[Year_Birth]]&lt;=2010),"OK","Invalid")</f>
        <v>OK</v>
      </c>
      <c r="AF1452" t="str">
        <f t="shared" si="287"/>
        <v>Valid</v>
      </c>
      <c r="AG1452" t="str">
        <f t="shared" si="288"/>
        <v>Valid</v>
      </c>
      <c r="AH1452" t="str">
        <f t="shared" si="289"/>
        <v>Valid</v>
      </c>
      <c r="AI1452" t="str">
        <f t="shared" si="290"/>
        <v>Valid</v>
      </c>
      <c r="AJ1452" t="str">
        <f t="shared" si="291"/>
        <v>Valid</v>
      </c>
      <c r="AK1452" t="str">
        <f t="shared" si="298"/>
        <v xml:space="preserve">Valid </v>
      </c>
      <c r="AL1452" t="str">
        <f>IF(AND(Audit_Data[[#This Row],[Recency]]&gt;=0,Audit_Data[[#This Row],[Recency]]&lt;=100),"Valid","Invalid")</f>
        <v>Valid</v>
      </c>
      <c r="AM1452" t="str">
        <f t="shared" si="292"/>
        <v>Valid</v>
      </c>
      <c r="AN1452" t="str">
        <f t="shared" si="293"/>
        <v>Valid</v>
      </c>
      <c r="AO1452" t="str">
        <f t="shared" si="294"/>
        <v>Valid</v>
      </c>
      <c r="AP1452" t="str">
        <f t="shared" si="295"/>
        <v>Valid</v>
      </c>
      <c r="AQ1452" t="str">
        <f>IF(Audit_Data[[#This Row],[Z_CostContact]]=3,"Valid","Invalid")</f>
        <v>Valid</v>
      </c>
      <c r="AR1452" t="str">
        <f t="shared" si="296"/>
        <v>Valid</v>
      </c>
      <c r="AS1452" t="str">
        <f t="shared" si="297"/>
        <v>Valid</v>
      </c>
    </row>
    <row r="1453" spans="1:45" x14ac:dyDescent="0.3">
      <c r="A1453">
        <v>6652</v>
      </c>
      <c r="B1453">
        <v>1965</v>
      </c>
      <c r="C1453" t="s">
        <v>29</v>
      </c>
      <c r="D1453" t="s">
        <v>33</v>
      </c>
      <c r="E1453">
        <v>77343</v>
      </c>
      <c r="F1453">
        <v>0</v>
      </c>
      <c r="G1453">
        <v>0</v>
      </c>
      <c r="H1453" s="1">
        <v>41799</v>
      </c>
      <c r="I1453">
        <v>28</v>
      </c>
      <c r="J1453">
        <v>227</v>
      </c>
      <c r="K1453">
        <v>151</v>
      </c>
      <c r="L1453">
        <v>573</v>
      </c>
      <c r="M1453">
        <v>98</v>
      </c>
      <c r="N1453">
        <v>54</v>
      </c>
      <c r="O1453">
        <v>31</v>
      </c>
      <c r="P1453">
        <v>1</v>
      </c>
      <c r="Q1453">
        <v>3</v>
      </c>
      <c r="R1453">
        <v>4</v>
      </c>
      <c r="S1453">
        <v>9</v>
      </c>
      <c r="T1453">
        <v>1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3</v>
      </c>
      <c r="AB1453">
        <v>11</v>
      </c>
      <c r="AC1453">
        <v>0</v>
      </c>
      <c r="AD1453" t="str">
        <f t="shared" si="286"/>
        <v>Ok</v>
      </c>
      <c r="AE1453" t="str">
        <f>IF(AND(Audit_Data[[#This Row],[Year_Birth]]&gt;=1900,Audit_Data[[#This Row],[Year_Birth]]&lt;=2010),"OK","Invalid")</f>
        <v>OK</v>
      </c>
      <c r="AF1453" t="str">
        <f t="shared" si="287"/>
        <v>Valid</v>
      </c>
      <c r="AG1453" t="str">
        <f t="shared" si="288"/>
        <v>Valid</v>
      </c>
      <c r="AH1453" t="str">
        <f t="shared" si="289"/>
        <v>Valid</v>
      </c>
      <c r="AI1453" t="str">
        <f t="shared" si="290"/>
        <v>Valid</v>
      </c>
      <c r="AJ1453" t="str">
        <f t="shared" si="291"/>
        <v>Valid</v>
      </c>
      <c r="AK1453" t="str">
        <f t="shared" si="298"/>
        <v xml:space="preserve">Valid </v>
      </c>
      <c r="AL1453" t="str">
        <f>IF(AND(Audit_Data[[#This Row],[Recency]]&gt;=0,Audit_Data[[#This Row],[Recency]]&lt;=100),"Valid","Invalid")</f>
        <v>Valid</v>
      </c>
      <c r="AM1453" t="str">
        <f t="shared" si="292"/>
        <v>Valid</v>
      </c>
      <c r="AN1453" t="str">
        <f t="shared" si="293"/>
        <v>Valid</v>
      </c>
      <c r="AO1453" t="str">
        <f t="shared" si="294"/>
        <v>Valid</v>
      </c>
      <c r="AP1453" t="str">
        <f t="shared" si="295"/>
        <v>Valid</v>
      </c>
      <c r="AQ1453" t="str">
        <f>IF(Audit_Data[[#This Row],[Z_CostContact]]=3,"Valid","Invalid")</f>
        <v>Valid</v>
      </c>
      <c r="AR1453" t="str">
        <f t="shared" si="296"/>
        <v>Valid</v>
      </c>
      <c r="AS1453" t="str">
        <f t="shared" si="297"/>
        <v>Valid</v>
      </c>
    </row>
    <row r="1454" spans="1:45" x14ac:dyDescent="0.3">
      <c r="A1454">
        <v>6246</v>
      </c>
      <c r="B1454">
        <v>1953</v>
      </c>
      <c r="C1454" t="s">
        <v>29</v>
      </c>
      <c r="D1454" t="s">
        <v>30</v>
      </c>
      <c r="E1454">
        <v>73892</v>
      </c>
      <c r="F1454">
        <v>0</v>
      </c>
      <c r="G1454">
        <v>0</v>
      </c>
      <c r="H1454" s="1">
        <v>41591</v>
      </c>
      <c r="I1454">
        <v>40</v>
      </c>
      <c r="J1454">
        <v>703</v>
      </c>
      <c r="K1454">
        <v>102</v>
      </c>
      <c r="L1454">
        <v>601</v>
      </c>
      <c r="M1454">
        <v>0</v>
      </c>
      <c r="N1454">
        <v>58</v>
      </c>
      <c r="O1454">
        <v>43</v>
      </c>
      <c r="P1454">
        <v>1</v>
      </c>
      <c r="Q1454">
        <v>3</v>
      </c>
      <c r="R1454">
        <v>11</v>
      </c>
      <c r="S1454">
        <v>8</v>
      </c>
      <c r="T1454">
        <v>1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3</v>
      </c>
      <c r="AB1454">
        <v>11</v>
      </c>
      <c r="AC1454">
        <v>1</v>
      </c>
      <c r="AD1454" t="str">
        <f t="shared" si="286"/>
        <v>Ok</v>
      </c>
      <c r="AE1454" t="str">
        <f>IF(AND(Audit_Data[[#This Row],[Year_Birth]]&gt;=1900,Audit_Data[[#This Row],[Year_Birth]]&lt;=2010),"OK","Invalid")</f>
        <v>OK</v>
      </c>
      <c r="AF1454" t="str">
        <f t="shared" si="287"/>
        <v>Valid</v>
      </c>
      <c r="AG1454" t="str">
        <f t="shared" si="288"/>
        <v>Valid</v>
      </c>
      <c r="AH1454" t="str">
        <f t="shared" si="289"/>
        <v>Valid</v>
      </c>
      <c r="AI1454" t="str">
        <f t="shared" si="290"/>
        <v>Valid</v>
      </c>
      <c r="AJ1454" t="str">
        <f t="shared" si="291"/>
        <v>Valid</v>
      </c>
      <c r="AK1454" t="str">
        <f t="shared" si="298"/>
        <v xml:space="preserve">Valid </v>
      </c>
      <c r="AL1454" t="str">
        <f>IF(AND(Audit_Data[[#This Row],[Recency]]&gt;=0,Audit_Data[[#This Row],[Recency]]&lt;=100),"Valid","Invalid")</f>
        <v>Valid</v>
      </c>
      <c r="AM1454" t="str">
        <f t="shared" si="292"/>
        <v>Valid</v>
      </c>
      <c r="AN1454" t="str">
        <f t="shared" si="293"/>
        <v>Valid</v>
      </c>
      <c r="AO1454" t="str">
        <f t="shared" si="294"/>
        <v>Valid</v>
      </c>
      <c r="AP1454" t="str">
        <f t="shared" si="295"/>
        <v>Valid</v>
      </c>
      <c r="AQ1454" t="str">
        <f>IF(Audit_Data[[#This Row],[Z_CostContact]]=3,"Valid","Invalid")</f>
        <v>Valid</v>
      </c>
      <c r="AR1454" t="str">
        <f t="shared" si="296"/>
        <v>Valid</v>
      </c>
      <c r="AS1454" t="str">
        <f t="shared" si="297"/>
        <v>Valid</v>
      </c>
    </row>
    <row r="1455" spans="1:45" x14ac:dyDescent="0.3">
      <c r="A1455">
        <v>5975</v>
      </c>
      <c r="B1455">
        <v>1967</v>
      </c>
      <c r="C1455" t="s">
        <v>32</v>
      </c>
      <c r="D1455" t="s">
        <v>30</v>
      </c>
      <c r="E1455">
        <v>40304</v>
      </c>
      <c r="F1455">
        <v>1</v>
      </c>
      <c r="G1455">
        <v>0</v>
      </c>
      <c r="H1455" s="1">
        <v>41547</v>
      </c>
      <c r="I1455">
        <v>82</v>
      </c>
      <c r="J1455">
        <v>37</v>
      </c>
      <c r="K1455">
        <v>0</v>
      </c>
      <c r="L1455">
        <v>17</v>
      </c>
      <c r="M1455">
        <v>0</v>
      </c>
      <c r="N1455">
        <v>0</v>
      </c>
      <c r="O1455">
        <v>3</v>
      </c>
      <c r="P1455">
        <v>1</v>
      </c>
      <c r="Q1455">
        <v>2</v>
      </c>
      <c r="R1455">
        <v>0</v>
      </c>
      <c r="S1455">
        <v>3</v>
      </c>
      <c r="T1455">
        <v>7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3</v>
      </c>
      <c r="AB1455">
        <v>11</v>
      </c>
      <c r="AC1455">
        <v>0</v>
      </c>
      <c r="AD1455" t="str">
        <f t="shared" si="286"/>
        <v>Ok</v>
      </c>
      <c r="AE1455" t="str">
        <f>IF(AND(Audit_Data[[#This Row],[Year_Birth]]&gt;=1900,Audit_Data[[#This Row],[Year_Birth]]&lt;=2010),"OK","Invalid")</f>
        <v>OK</v>
      </c>
      <c r="AF1455" t="str">
        <f t="shared" si="287"/>
        <v>Valid</v>
      </c>
      <c r="AG1455" t="str">
        <f t="shared" si="288"/>
        <v>Valid</v>
      </c>
      <c r="AH1455" t="str">
        <f t="shared" si="289"/>
        <v>Valid</v>
      </c>
      <c r="AI1455" t="str">
        <f t="shared" si="290"/>
        <v>Valid</v>
      </c>
      <c r="AJ1455" t="str">
        <f t="shared" si="291"/>
        <v>Valid</v>
      </c>
      <c r="AK1455" t="str">
        <f t="shared" si="298"/>
        <v xml:space="preserve">Valid </v>
      </c>
      <c r="AL1455" t="str">
        <f>IF(AND(Audit_Data[[#This Row],[Recency]]&gt;=0,Audit_Data[[#This Row],[Recency]]&lt;=100),"Valid","Invalid")</f>
        <v>Valid</v>
      </c>
      <c r="AM1455" t="str">
        <f t="shared" si="292"/>
        <v>Valid</v>
      </c>
      <c r="AN1455" t="str">
        <f t="shared" si="293"/>
        <v>Valid</v>
      </c>
      <c r="AO1455" t="str">
        <f t="shared" si="294"/>
        <v>Valid</v>
      </c>
      <c r="AP1455" t="str">
        <f t="shared" si="295"/>
        <v>Valid</v>
      </c>
      <c r="AQ1455" t="str">
        <f>IF(Audit_Data[[#This Row],[Z_CostContact]]=3,"Valid","Invalid")</f>
        <v>Valid</v>
      </c>
      <c r="AR1455" t="str">
        <f t="shared" si="296"/>
        <v>Valid</v>
      </c>
      <c r="AS1455" t="str">
        <f t="shared" si="297"/>
        <v>Valid</v>
      </c>
    </row>
    <row r="1456" spans="1:45" x14ac:dyDescent="0.3">
      <c r="A1456">
        <v>6875</v>
      </c>
      <c r="B1456">
        <v>1965</v>
      </c>
      <c r="C1456" t="s">
        <v>32</v>
      </c>
      <c r="D1456" t="s">
        <v>31</v>
      </c>
      <c r="E1456">
        <v>32727</v>
      </c>
      <c r="F1456">
        <v>0</v>
      </c>
      <c r="G1456">
        <v>0</v>
      </c>
      <c r="H1456" s="1">
        <v>41149</v>
      </c>
      <c r="I1456">
        <v>38</v>
      </c>
      <c r="J1456">
        <v>167</v>
      </c>
      <c r="K1456">
        <v>13</v>
      </c>
      <c r="L1456">
        <v>180</v>
      </c>
      <c r="M1456">
        <v>86</v>
      </c>
      <c r="N1456">
        <v>13</v>
      </c>
      <c r="O1456">
        <v>70</v>
      </c>
      <c r="P1456">
        <v>2</v>
      </c>
      <c r="Q1456">
        <v>7</v>
      </c>
      <c r="R1456">
        <v>3</v>
      </c>
      <c r="S1456">
        <v>5</v>
      </c>
      <c r="T1456">
        <v>8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3</v>
      </c>
      <c r="AB1456">
        <v>11</v>
      </c>
      <c r="AC1456">
        <v>0</v>
      </c>
      <c r="AD1456" t="str">
        <f t="shared" si="286"/>
        <v>Ok</v>
      </c>
      <c r="AE1456" t="str">
        <f>IF(AND(Audit_Data[[#This Row],[Year_Birth]]&gt;=1900,Audit_Data[[#This Row],[Year_Birth]]&lt;=2010),"OK","Invalid")</f>
        <v>OK</v>
      </c>
      <c r="AF1456" t="str">
        <f t="shared" si="287"/>
        <v>Valid</v>
      </c>
      <c r="AG1456" t="str">
        <f t="shared" si="288"/>
        <v>Valid</v>
      </c>
      <c r="AH1456" t="str">
        <f t="shared" si="289"/>
        <v>Valid</v>
      </c>
      <c r="AI1456" t="str">
        <f t="shared" si="290"/>
        <v>Valid</v>
      </c>
      <c r="AJ1456" t="str">
        <f t="shared" si="291"/>
        <v>Valid</v>
      </c>
      <c r="AK1456" t="str">
        <f t="shared" si="298"/>
        <v xml:space="preserve">Valid </v>
      </c>
      <c r="AL1456" t="str">
        <f>IF(AND(Audit_Data[[#This Row],[Recency]]&gt;=0,Audit_Data[[#This Row],[Recency]]&lt;=100),"Valid","Invalid")</f>
        <v>Valid</v>
      </c>
      <c r="AM1456" t="str">
        <f t="shared" si="292"/>
        <v>Valid</v>
      </c>
      <c r="AN1456" t="str">
        <f t="shared" si="293"/>
        <v>Valid</v>
      </c>
      <c r="AO1456" t="str">
        <f t="shared" si="294"/>
        <v>Valid</v>
      </c>
      <c r="AP1456" t="str">
        <f t="shared" si="295"/>
        <v>Valid</v>
      </c>
      <c r="AQ1456" t="str">
        <f>IF(Audit_Data[[#This Row],[Z_CostContact]]=3,"Valid","Invalid")</f>
        <v>Valid</v>
      </c>
      <c r="AR1456" t="str">
        <f t="shared" si="296"/>
        <v>Valid</v>
      </c>
      <c r="AS1456" t="str">
        <f t="shared" si="297"/>
        <v>Valid</v>
      </c>
    </row>
    <row r="1457" spans="1:45" x14ac:dyDescent="0.3">
      <c r="A1457">
        <v>4399</v>
      </c>
      <c r="B1457">
        <v>1969</v>
      </c>
      <c r="C1457" t="s">
        <v>29</v>
      </c>
      <c r="D1457" t="s">
        <v>31</v>
      </c>
      <c r="E1457">
        <v>68695</v>
      </c>
      <c r="F1457">
        <v>0</v>
      </c>
      <c r="G1457">
        <v>0</v>
      </c>
      <c r="H1457" s="1">
        <v>41815</v>
      </c>
      <c r="I1457">
        <v>3</v>
      </c>
      <c r="J1457">
        <v>458</v>
      </c>
      <c r="K1457">
        <v>81</v>
      </c>
      <c r="L1457">
        <v>356</v>
      </c>
      <c r="M1457">
        <v>106</v>
      </c>
      <c r="N1457">
        <v>50</v>
      </c>
      <c r="O1457">
        <v>40</v>
      </c>
      <c r="P1457">
        <v>1</v>
      </c>
      <c r="Q1457">
        <v>4</v>
      </c>
      <c r="R1457">
        <v>4</v>
      </c>
      <c r="S1457">
        <v>7</v>
      </c>
      <c r="T1457">
        <v>2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3</v>
      </c>
      <c r="AB1457">
        <v>11</v>
      </c>
      <c r="AC1457">
        <v>0</v>
      </c>
      <c r="AD1457" t="str">
        <f t="shared" si="286"/>
        <v>Ok</v>
      </c>
      <c r="AE1457" t="str">
        <f>IF(AND(Audit_Data[[#This Row],[Year_Birth]]&gt;=1900,Audit_Data[[#This Row],[Year_Birth]]&lt;=2010),"OK","Invalid")</f>
        <v>OK</v>
      </c>
      <c r="AF1457" t="str">
        <f t="shared" si="287"/>
        <v>Valid</v>
      </c>
      <c r="AG1457" t="str">
        <f t="shared" si="288"/>
        <v>Valid</v>
      </c>
      <c r="AH1457" t="str">
        <f t="shared" si="289"/>
        <v>Valid</v>
      </c>
      <c r="AI1457" t="str">
        <f t="shared" si="290"/>
        <v>Valid</v>
      </c>
      <c r="AJ1457" t="str">
        <f t="shared" si="291"/>
        <v>Valid</v>
      </c>
      <c r="AK1457" t="str">
        <f t="shared" si="298"/>
        <v xml:space="preserve">Valid </v>
      </c>
      <c r="AL1457" t="str">
        <f>IF(AND(Audit_Data[[#This Row],[Recency]]&gt;=0,Audit_Data[[#This Row],[Recency]]&lt;=100),"Valid","Invalid")</f>
        <v>Valid</v>
      </c>
      <c r="AM1457" t="str">
        <f t="shared" si="292"/>
        <v>Valid</v>
      </c>
      <c r="AN1457" t="str">
        <f t="shared" si="293"/>
        <v>Valid</v>
      </c>
      <c r="AO1457" t="str">
        <f t="shared" si="294"/>
        <v>Valid</v>
      </c>
      <c r="AP1457" t="str">
        <f t="shared" si="295"/>
        <v>Valid</v>
      </c>
      <c r="AQ1457" t="str">
        <f>IF(Audit_Data[[#This Row],[Z_CostContact]]=3,"Valid","Invalid")</f>
        <v>Valid</v>
      </c>
      <c r="AR1457" t="str">
        <f t="shared" si="296"/>
        <v>Valid</v>
      </c>
      <c r="AS1457" t="str">
        <f t="shared" si="297"/>
        <v>Valid</v>
      </c>
    </row>
    <row r="1458" spans="1:45" x14ac:dyDescent="0.3">
      <c r="A1458">
        <v>4042</v>
      </c>
      <c r="B1458">
        <v>1971</v>
      </c>
      <c r="C1458" t="s">
        <v>29</v>
      </c>
      <c r="D1458" t="s">
        <v>35</v>
      </c>
      <c r="E1458">
        <v>43300</v>
      </c>
      <c r="F1458">
        <v>0</v>
      </c>
      <c r="G1458">
        <v>1</v>
      </c>
      <c r="H1458" s="1">
        <v>41195</v>
      </c>
      <c r="I1458">
        <v>87</v>
      </c>
      <c r="J1458">
        <v>91</v>
      </c>
      <c r="K1458">
        <v>3</v>
      </c>
      <c r="L1458">
        <v>52</v>
      </c>
      <c r="M1458">
        <v>2</v>
      </c>
      <c r="N1458">
        <v>1</v>
      </c>
      <c r="O1458">
        <v>31</v>
      </c>
      <c r="P1458">
        <v>3</v>
      </c>
      <c r="Q1458">
        <v>4</v>
      </c>
      <c r="R1458">
        <v>0</v>
      </c>
      <c r="S1458">
        <v>4</v>
      </c>
      <c r="T1458">
        <v>8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3</v>
      </c>
      <c r="AB1458">
        <v>11</v>
      </c>
      <c r="AC1458">
        <v>1</v>
      </c>
      <c r="AD1458" t="str">
        <f t="shared" si="286"/>
        <v>Ok</v>
      </c>
      <c r="AE1458" t="str">
        <f>IF(AND(Audit_Data[[#This Row],[Year_Birth]]&gt;=1900,Audit_Data[[#This Row],[Year_Birth]]&lt;=2010),"OK","Invalid")</f>
        <v>OK</v>
      </c>
      <c r="AF1458" t="str">
        <f t="shared" si="287"/>
        <v>Valid</v>
      </c>
      <c r="AG1458" t="str">
        <f t="shared" si="288"/>
        <v>Valid</v>
      </c>
      <c r="AH1458" t="str">
        <f t="shared" si="289"/>
        <v>Valid</v>
      </c>
      <c r="AI1458" t="str">
        <f t="shared" si="290"/>
        <v>Valid</v>
      </c>
      <c r="AJ1458" t="str">
        <f t="shared" si="291"/>
        <v>Valid</v>
      </c>
      <c r="AK1458" t="str">
        <f t="shared" si="298"/>
        <v xml:space="preserve">Valid </v>
      </c>
      <c r="AL1458" t="str">
        <f>IF(AND(Audit_Data[[#This Row],[Recency]]&gt;=0,Audit_Data[[#This Row],[Recency]]&lt;=100),"Valid","Invalid")</f>
        <v>Valid</v>
      </c>
      <c r="AM1458" t="str">
        <f t="shared" si="292"/>
        <v>Valid</v>
      </c>
      <c r="AN1458" t="str">
        <f t="shared" si="293"/>
        <v>Valid</v>
      </c>
      <c r="AO1458" t="str">
        <f t="shared" si="294"/>
        <v>Valid</v>
      </c>
      <c r="AP1458" t="str">
        <f t="shared" si="295"/>
        <v>Valid</v>
      </c>
      <c r="AQ1458" t="str">
        <f>IF(Audit_Data[[#This Row],[Z_CostContact]]=3,"Valid","Invalid")</f>
        <v>Valid</v>
      </c>
      <c r="AR1458" t="str">
        <f t="shared" si="296"/>
        <v>Valid</v>
      </c>
      <c r="AS1458" t="str">
        <f t="shared" si="297"/>
        <v>Valid</v>
      </c>
    </row>
    <row r="1459" spans="1:45" x14ac:dyDescent="0.3">
      <c r="A1459">
        <v>2157</v>
      </c>
      <c r="B1459">
        <v>1972</v>
      </c>
      <c r="C1459" t="s">
        <v>29</v>
      </c>
      <c r="D1459" t="s">
        <v>31</v>
      </c>
      <c r="E1459">
        <v>26290</v>
      </c>
      <c r="F1459">
        <v>1</v>
      </c>
      <c r="G1459">
        <v>1</v>
      </c>
      <c r="H1459" s="1">
        <v>41286</v>
      </c>
      <c r="I1459">
        <v>49</v>
      </c>
      <c r="J1459">
        <v>15</v>
      </c>
      <c r="K1459">
        <v>8</v>
      </c>
      <c r="L1459">
        <v>16</v>
      </c>
      <c r="M1459">
        <v>11</v>
      </c>
      <c r="N1459">
        <v>5</v>
      </c>
      <c r="O1459">
        <v>22</v>
      </c>
      <c r="P1459">
        <v>4</v>
      </c>
      <c r="Q1459">
        <v>2</v>
      </c>
      <c r="R1459">
        <v>0</v>
      </c>
      <c r="S1459">
        <v>4</v>
      </c>
      <c r="T1459">
        <v>6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3</v>
      </c>
      <c r="AB1459">
        <v>11</v>
      </c>
      <c r="AC1459">
        <v>0</v>
      </c>
      <c r="AD1459" t="str">
        <f t="shared" si="286"/>
        <v>Ok</v>
      </c>
      <c r="AE1459" t="str">
        <f>IF(AND(Audit_Data[[#This Row],[Year_Birth]]&gt;=1900,Audit_Data[[#This Row],[Year_Birth]]&lt;=2010),"OK","Invalid")</f>
        <v>OK</v>
      </c>
      <c r="AF1459" t="str">
        <f t="shared" si="287"/>
        <v>Valid</v>
      </c>
      <c r="AG1459" t="str">
        <f t="shared" si="288"/>
        <v>Valid</v>
      </c>
      <c r="AH1459" t="str">
        <f t="shared" si="289"/>
        <v>Valid</v>
      </c>
      <c r="AI1459" t="str">
        <f t="shared" si="290"/>
        <v>Valid</v>
      </c>
      <c r="AJ1459" t="str">
        <f t="shared" si="291"/>
        <v>Valid</v>
      </c>
      <c r="AK1459" t="str">
        <f t="shared" si="298"/>
        <v xml:space="preserve">Valid </v>
      </c>
      <c r="AL1459" t="str">
        <f>IF(AND(Audit_Data[[#This Row],[Recency]]&gt;=0,Audit_Data[[#This Row],[Recency]]&lt;=100),"Valid","Invalid")</f>
        <v>Valid</v>
      </c>
      <c r="AM1459" t="str">
        <f t="shared" si="292"/>
        <v>Valid</v>
      </c>
      <c r="AN1459" t="str">
        <f t="shared" si="293"/>
        <v>Valid</v>
      </c>
      <c r="AO1459" t="str">
        <f t="shared" si="294"/>
        <v>Valid</v>
      </c>
      <c r="AP1459" t="str">
        <f t="shared" si="295"/>
        <v>Valid</v>
      </c>
      <c r="AQ1459" t="str">
        <f>IF(Audit_Data[[#This Row],[Z_CostContact]]=3,"Valid","Invalid")</f>
        <v>Valid</v>
      </c>
      <c r="AR1459" t="str">
        <f t="shared" si="296"/>
        <v>Valid</v>
      </c>
      <c r="AS1459" t="str">
        <f t="shared" si="297"/>
        <v>Valid</v>
      </c>
    </row>
    <row r="1460" spans="1:45" x14ac:dyDescent="0.3">
      <c r="A1460">
        <v>10133</v>
      </c>
      <c r="B1460">
        <v>1970</v>
      </c>
      <c r="C1460" t="s">
        <v>29</v>
      </c>
      <c r="D1460" t="s">
        <v>30</v>
      </c>
      <c r="E1460">
        <v>93790</v>
      </c>
      <c r="F1460">
        <v>0</v>
      </c>
      <c r="G1460">
        <v>0</v>
      </c>
      <c r="H1460" s="1">
        <v>41682</v>
      </c>
      <c r="I1460">
        <v>16</v>
      </c>
      <c r="J1460">
        <v>1302</v>
      </c>
      <c r="K1460">
        <v>68</v>
      </c>
      <c r="L1460">
        <v>731</v>
      </c>
      <c r="M1460">
        <v>89</v>
      </c>
      <c r="N1460">
        <v>114</v>
      </c>
      <c r="O1460">
        <v>45</v>
      </c>
      <c r="P1460">
        <v>0</v>
      </c>
      <c r="Q1460">
        <v>6</v>
      </c>
      <c r="R1460">
        <v>7</v>
      </c>
      <c r="S1460">
        <v>12</v>
      </c>
      <c r="T1460">
        <v>2</v>
      </c>
      <c r="U1460">
        <v>0</v>
      </c>
      <c r="V1460">
        <v>1</v>
      </c>
      <c r="W1460">
        <v>1</v>
      </c>
      <c r="X1460">
        <v>1</v>
      </c>
      <c r="Y1460">
        <v>0</v>
      </c>
      <c r="Z1460">
        <v>0</v>
      </c>
      <c r="AA1460">
        <v>3</v>
      </c>
      <c r="AB1460">
        <v>11</v>
      </c>
      <c r="AC1460">
        <v>1</v>
      </c>
      <c r="AD1460" t="str">
        <f t="shared" si="286"/>
        <v>Ok</v>
      </c>
      <c r="AE1460" t="str">
        <f>IF(AND(Audit_Data[[#This Row],[Year_Birth]]&gt;=1900,Audit_Data[[#This Row],[Year_Birth]]&lt;=2010),"OK","Invalid")</f>
        <v>OK</v>
      </c>
      <c r="AF1460" t="str">
        <f t="shared" si="287"/>
        <v>Valid</v>
      </c>
      <c r="AG1460" t="str">
        <f t="shared" si="288"/>
        <v>Valid</v>
      </c>
      <c r="AH1460" t="str">
        <f t="shared" si="289"/>
        <v>Valid</v>
      </c>
      <c r="AI1460" t="str">
        <f t="shared" si="290"/>
        <v>Valid</v>
      </c>
      <c r="AJ1460" t="str">
        <f t="shared" si="291"/>
        <v>Valid</v>
      </c>
      <c r="AK1460" t="str">
        <f t="shared" si="298"/>
        <v xml:space="preserve">Valid </v>
      </c>
      <c r="AL1460" t="str">
        <f>IF(AND(Audit_Data[[#This Row],[Recency]]&gt;=0,Audit_Data[[#This Row],[Recency]]&lt;=100),"Valid","Invalid")</f>
        <v>Valid</v>
      </c>
      <c r="AM1460" t="str">
        <f t="shared" si="292"/>
        <v>Valid</v>
      </c>
      <c r="AN1460" t="str">
        <f t="shared" si="293"/>
        <v>Valid</v>
      </c>
      <c r="AO1460" t="str">
        <f t="shared" si="294"/>
        <v>Valid</v>
      </c>
      <c r="AP1460" t="str">
        <f t="shared" si="295"/>
        <v>Valid</v>
      </c>
      <c r="AQ1460" t="str">
        <f>IF(Audit_Data[[#This Row],[Z_CostContact]]=3,"Valid","Invalid")</f>
        <v>Valid</v>
      </c>
      <c r="AR1460" t="str">
        <f t="shared" si="296"/>
        <v>Valid</v>
      </c>
      <c r="AS1460" t="str">
        <f t="shared" si="297"/>
        <v>Valid</v>
      </c>
    </row>
    <row r="1461" spans="1:45" x14ac:dyDescent="0.3">
      <c r="A1461">
        <v>2525</v>
      </c>
      <c r="B1461">
        <v>1974</v>
      </c>
      <c r="C1461" t="s">
        <v>32</v>
      </c>
      <c r="D1461" t="s">
        <v>33</v>
      </c>
      <c r="E1461">
        <v>38410</v>
      </c>
      <c r="F1461">
        <v>0</v>
      </c>
      <c r="G1461">
        <v>0</v>
      </c>
      <c r="H1461" s="1">
        <v>41166</v>
      </c>
      <c r="I1461">
        <v>65</v>
      </c>
      <c r="J1461">
        <v>153</v>
      </c>
      <c r="K1461">
        <v>64</v>
      </c>
      <c r="L1461">
        <v>123</v>
      </c>
      <c r="M1461">
        <v>116</v>
      </c>
      <c r="N1461">
        <v>64</v>
      </c>
      <c r="O1461">
        <v>14</v>
      </c>
      <c r="P1461">
        <v>2</v>
      </c>
      <c r="Q1461">
        <v>5</v>
      </c>
      <c r="R1461">
        <v>2</v>
      </c>
      <c r="S1461">
        <v>9</v>
      </c>
      <c r="T1461">
        <v>6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3</v>
      </c>
      <c r="AB1461">
        <v>11</v>
      </c>
      <c r="AC1461">
        <v>1</v>
      </c>
      <c r="AD1461" t="str">
        <f t="shared" si="286"/>
        <v>Ok</v>
      </c>
      <c r="AE1461" t="str">
        <f>IF(AND(Audit_Data[[#This Row],[Year_Birth]]&gt;=1900,Audit_Data[[#This Row],[Year_Birth]]&lt;=2010),"OK","Invalid")</f>
        <v>OK</v>
      </c>
      <c r="AF1461" t="str">
        <f t="shared" si="287"/>
        <v>Valid</v>
      </c>
      <c r="AG1461" t="str">
        <f t="shared" si="288"/>
        <v>Valid</v>
      </c>
      <c r="AH1461" t="str">
        <f t="shared" si="289"/>
        <v>Valid</v>
      </c>
      <c r="AI1461" t="str">
        <f t="shared" si="290"/>
        <v>Valid</v>
      </c>
      <c r="AJ1461" t="str">
        <f t="shared" si="291"/>
        <v>Valid</v>
      </c>
      <c r="AK1461" t="str">
        <f t="shared" si="298"/>
        <v xml:space="preserve">Valid </v>
      </c>
      <c r="AL1461" t="str">
        <f>IF(AND(Audit_Data[[#This Row],[Recency]]&gt;=0,Audit_Data[[#This Row],[Recency]]&lt;=100),"Valid","Invalid")</f>
        <v>Valid</v>
      </c>
      <c r="AM1461" t="str">
        <f t="shared" si="292"/>
        <v>Valid</v>
      </c>
      <c r="AN1461" t="str">
        <f t="shared" si="293"/>
        <v>Valid</v>
      </c>
      <c r="AO1461" t="str">
        <f t="shared" si="294"/>
        <v>Valid</v>
      </c>
      <c r="AP1461" t="str">
        <f t="shared" si="295"/>
        <v>Valid</v>
      </c>
      <c r="AQ1461" t="str">
        <f>IF(Audit_Data[[#This Row],[Z_CostContact]]=3,"Valid","Invalid")</f>
        <v>Valid</v>
      </c>
      <c r="AR1461" t="str">
        <f t="shared" si="296"/>
        <v>Valid</v>
      </c>
      <c r="AS1461" t="str">
        <f t="shared" si="297"/>
        <v>Valid</v>
      </c>
    </row>
    <row r="1462" spans="1:45" x14ac:dyDescent="0.3">
      <c r="A1462">
        <v>8233</v>
      </c>
      <c r="B1462">
        <v>1950</v>
      </c>
      <c r="C1462" t="s">
        <v>34</v>
      </c>
      <c r="D1462" t="s">
        <v>38</v>
      </c>
      <c r="E1462">
        <v>64866</v>
      </c>
      <c r="F1462">
        <v>0</v>
      </c>
      <c r="G1462">
        <v>1</v>
      </c>
      <c r="H1462" s="1">
        <v>41665</v>
      </c>
      <c r="I1462">
        <v>9</v>
      </c>
      <c r="J1462">
        <v>508</v>
      </c>
      <c r="K1462">
        <v>5</v>
      </c>
      <c r="L1462">
        <v>21</v>
      </c>
      <c r="M1462">
        <v>7</v>
      </c>
      <c r="N1462">
        <v>5</v>
      </c>
      <c r="O1462">
        <v>10</v>
      </c>
      <c r="P1462">
        <v>4</v>
      </c>
      <c r="Q1462">
        <v>7</v>
      </c>
      <c r="R1462">
        <v>3</v>
      </c>
      <c r="S1462">
        <v>7</v>
      </c>
      <c r="T1462">
        <v>5</v>
      </c>
      <c r="U1462">
        <v>0</v>
      </c>
      <c r="V1462">
        <v>1</v>
      </c>
      <c r="W1462">
        <v>0</v>
      </c>
      <c r="X1462">
        <v>0</v>
      </c>
      <c r="Y1462">
        <v>0</v>
      </c>
      <c r="Z1462">
        <v>0</v>
      </c>
      <c r="AA1462">
        <v>3</v>
      </c>
      <c r="AB1462">
        <v>11</v>
      </c>
      <c r="AC1462">
        <v>0</v>
      </c>
      <c r="AD1462" t="str">
        <f t="shared" si="286"/>
        <v>Ok</v>
      </c>
      <c r="AE1462" t="str">
        <f>IF(AND(Audit_Data[[#This Row],[Year_Birth]]&gt;=1900,Audit_Data[[#This Row],[Year_Birth]]&lt;=2010),"OK","Invalid")</f>
        <v>OK</v>
      </c>
      <c r="AF1462" t="str">
        <f t="shared" si="287"/>
        <v>Valid</v>
      </c>
      <c r="AG1462" t="str">
        <f t="shared" si="288"/>
        <v>Valid</v>
      </c>
      <c r="AH1462" t="str">
        <f t="shared" si="289"/>
        <v>Valid</v>
      </c>
      <c r="AI1462" t="str">
        <f t="shared" si="290"/>
        <v>Valid</v>
      </c>
      <c r="AJ1462" t="str">
        <f t="shared" si="291"/>
        <v>Valid</v>
      </c>
      <c r="AK1462" t="str">
        <f t="shared" si="298"/>
        <v xml:space="preserve">Valid </v>
      </c>
      <c r="AL1462" t="str">
        <f>IF(AND(Audit_Data[[#This Row],[Recency]]&gt;=0,Audit_Data[[#This Row],[Recency]]&lt;=100),"Valid","Invalid")</f>
        <v>Valid</v>
      </c>
      <c r="AM1462" t="str">
        <f t="shared" si="292"/>
        <v>Valid</v>
      </c>
      <c r="AN1462" t="str">
        <f t="shared" si="293"/>
        <v>Valid</v>
      </c>
      <c r="AO1462" t="str">
        <f t="shared" si="294"/>
        <v>Valid</v>
      </c>
      <c r="AP1462" t="str">
        <f t="shared" si="295"/>
        <v>Valid</v>
      </c>
      <c r="AQ1462" t="str">
        <f>IF(Audit_Data[[#This Row],[Z_CostContact]]=3,"Valid","Invalid")</f>
        <v>Valid</v>
      </c>
      <c r="AR1462" t="str">
        <f t="shared" si="296"/>
        <v>Valid</v>
      </c>
      <c r="AS1462" t="str">
        <f t="shared" si="297"/>
        <v>Valid</v>
      </c>
    </row>
    <row r="1463" spans="1:45" x14ac:dyDescent="0.3">
      <c r="A1463">
        <v>9483</v>
      </c>
      <c r="B1463">
        <v>1959</v>
      </c>
      <c r="C1463" t="s">
        <v>29</v>
      </c>
      <c r="D1463" t="s">
        <v>31</v>
      </c>
      <c r="E1463">
        <v>57957</v>
      </c>
      <c r="F1463">
        <v>0</v>
      </c>
      <c r="G1463">
        <v>1</v>
      </c>
      <c r="H1463" s="1">
        <v>41505</v>
      </c>
      <c r="I1463">
        <v>24</v>
      </c>
      <c r="J1463">
        <v>290</v>
      </c>
      <c r="K1463">
        <v>59</v>
      </c>
      <c r="L1463">
        <v>177</v>
      </c>
      <c r="M1463">
        <v>77</v>
      </c>
      <c r="N1463">
        <v>5</v>
      </c>
      <c r="O1463">
        <v>29</v>
      </c>
      <c r="P1463">
        <v>7</v>
      </c>
      <c r="Q1463">
        <v>4</v>
      </c>
      <c r="R1463">
        <v>6</v>
      </c>
      <c r="S1463">
        <v>8</v>
      </c>
      <c r="T1463">
        <v>3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1</v>
      </c>
      <c r="AA1463">
        <v>3</v>
      </c>
      <c r="AB1463">
        <v>11</v>
      </c>
      <c r="AC1463">
        <v>0</v>
      </c>
      <c r="AD1463" t="str">
        <f t="shared" si="286"/>
        <v>Ok</v>
      </c>
      <c r="AE1463" t="str">
        <f>IF(AND(Audit_Data[[#This Row],[Year_Birth]]&gt;=1900,Audit_Data[[#This Row],[Year_Birth]]&lt;=2010),"OK","Invalid")</f>
        <v>OK</v>
      </c>
      <c r="AF1463" t="str">
        <f t="shared" si="287"/>
        <v>Valid</v>
      </c>
      <c r="AG1463" t="str">
        <f t="shared" si="288"/>
        <v>Valid</v>
      </c>
      <c r="AH1463" t="str">
        <f t="shared" si="289"/>
        <v>Valid</v>
      </c>
      <c r="AI1463" t="str">
        <f t="shared" si="290"/>
        <v>Valid</v>
      </c>
      <c r="AJ1463" t="str">
        <f t="shared" si="291"/>
        <v>Valid</v>
      </c>
      <c r="AK1463" t="str">
        <f t="shared" si="298"/>
        <v xml:space="preserve">Valid </v>
      </c>
      <c r="AL1463" t="str">
        <f>IF(AND(Audit_Data[[#This Row],[Recency]]&gt;=0,Audit_Data[[#This Row],[Recency]]&lt;=100),"Valid","Invalid")</f>
        <v>Valid</v>
      </c>
      <c r="AM1463" t="str">
        <f t="shared" si="292"/>
        <v>Valid</v>
      </c>
      <c r="AN1463" t="str">
        <f t="shared" si="293"/>
        <v>Valid</v>
      </c>
      <c r="AO1463" t="str">
        <f t="shared" si="294"/>
        <v>Valid</v>
      </c>
      <c r="AP1463" t="str">
        <f t="shared" si="295"/>
        <v>Valid</v>
      </c>
      <c r="AQ1463" t="str">
        <f>IF(Audit_Data[[#This Row],[Z_CostContact]]=3,"Valid","Invalid")</f>
        <v>Valid</v>
      </c>
      <c r="AR1463" t="str">
        <f t="shared" si="296"/>
        <v>Valid</v>
      </c>
      <c r="AS1463" t="str">
        <f t="shared" si="297"/>
        <v>Valid</v>
      </c>
    </row>
    <row r="1464" spans="1:45" x14ac:dyDescent="0.3">
      <c r="A1464">
        <v>2945</v>
      </c>
      <c r="B1464">
        <v>1955</v>
      </c>
      <c r="C1464" t="s">
        <v>32</v>
      </c>
      <c r="D1464" t="s">
        <v>31</v>
      </c>
      <c r="E1464">
        <v>46015</v>
      </c>
      <c r="F1464">
        <v>1</v>
      </c>
      <c r="G1464">
        <v>1</v>
      </c>
      <c r="H1464" s="1">
        <v>41742</v>
      </c>
      <c r="I1464">
        <v>25</v>
      </c>
      <c r="J1464">
        <v>38</v>
      </c>
      <c r="K1464">
        <v>0</v>
      </c>
      <c r="L1464">
        <v>2</v>
      </c>
      <c r="M1464">
        <v>0</v>
      </c>
      <c r="N1464">
        <v>0</v>
      </c>
      <c r="O1464">
        <v>6</v>
      </c>
      <c r="P1464">
        <v>1</v>
      </c>
      <c r="Q1464">
        <v>1</v>
      </c>
      <c r="R1464">
        <v>0</v>
      </c>
      <c r="S1464">
        <v>3</v>
      </c>
      <c r="T1464">
        <v>7</v>
      </c>
      <c r="U1464">
        <v>1</v>
      </c>
      <c r="V1464">
        <v>0</v>
      </c>
      <c r="W1464">
        <v>0</v>
      </c>
      <c r="X1464">
        <v>0</v>
      </c>
      <c r="Y1464">
        <v>1</v>
      </c>
      <c r="Z1464">
        <v>0</v>
      </c>
      <c r="AA1464">
        <v>3</v>
      </c>
      <c r="AB1464">
        <v>11</v>
      </c>
      <c r="AC1464">
        <v>0</v>
      </c>
      <c r="AD1464" t="str">
        <f t="shared" si="286"/>
        <v>Ok</v>
      </c>
      <c r="AE1464" t="str">
        <f>IF(AND(Audit_Data[[#This Row],[Year_Birth]]&gt;=1900,Audit_Data[[#This Row],[Year_Birth]]&lt;=2010),"OK","Invalid")</f>
        <v>OK</v>
      </c>
      <c r="AF1464" t="str">
        <f t="shared" si="287"/>
        <v>Valid</v>
      </c>
      <c r="AG1464" t="str">
        <f t="shared" si="288"/>
        <v>Valid</v>
      </c>
      <c r="AH1464" t="str">
        <f t="shared" si="289"/>
        <v>Valid</v>
      </c>
      <c r="AI1464" t="str">
        <f t="shared" si="290"/>
        <v>Valid</v>
      </c>
      <c r="AJ1464" t="str">
        <f t="shared" si="291"/>
        <v>Valid</v>
      </c>
      <c r="AK1464" t="str">
        <f t="shared" si="298"/>
        <v xml:space="preserve">Valid </v>
      </c>
      <c r="AL1464" t="str">
        <f>IF(AND(Audit_Data[[#This Row],[Recency]]&gt;=0,Audit_Data[[#This Row],[Recency]]&lt;=100),"Valid","Invalid")</f>
        <v>Valid</v>
      </c>
      <c r="AM1464" t="str">
        <f t="shared" si="292"/>
        <v>Valid</v>
      </c>
      <c r="AN1464" t="str">
        <f t="shared" si="293"/>
        <v>Valid</v>
      </c>
      <c r="AO1464" t="str">
        <f t="shared" si="294"/>
        <v>Valid</v>
      </c>
      <c r="AP1464" t="str">
        <f t="shared" si="295"/>
        <v>Valid</v>
      </c>
      <c r="AQ1464" t="str">
        <f>IF(Audit_Data[[#This Row],[Z_CostContact]]=3,"Valid","Invalid")</f>
        <v>Valid</v>
      </c>
      <c r="AR1464" t="str">
        <f t="shared" si="296"/>
        <v>Valid</v>
      </c>
      <c r="AS1464" t="str">
        <f t="shared" si="297"/>
        <v>Valid</v>
      </c>
    </row>
    <row r="1465" spans="1:45" x14ac:dyDescent="0.3">
      <c r="A1465">
        <v>10403</v>
      </c>
      <c r="B1465">
        <v>1978</v>
      </c>
      <c r="C1465" t="s">
        <v>29</v>
      </c>
      <c r="D1465" t="s">
        <v>31</v>
      </c>
      <c r="E1465">
        <v>16531</v>
      </c>
      <c r="F1465">
        <v>1</v>
      </c>
      <c r="G1465">
        <v>0</v>
      </c>
      <c r="H1465" s="1">
        <v>41808</v>
      </c>
      <c r="I1465">
        <v>43</v>
      </c>
      <c r="J1465">
        <v>2</v>
      </c>
      <c r="K1465">
        <v>13</v>
      </c>
      <c r="L1465">
        <v>6</v>
      </c>
      <c r="M1465">
        <v>7</v>
      </c>
      <c r="N1465">
        <v>5</v>
      </c>
      <c r="O1465">
        <v>11</v>
      </c>
      <c r="P1465">
        <v>3</v>
      </c>
      <c r="Q1465">
        <v>3</v>
      </c>
      <c r="R1465">
        <v>0</v>
      </c>
      <c r="S1465">
        <v>3</v>
      </c>
      <c r="T1465">
        <v>7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3</v>
      </c>
      <c r="AB1465">
        <v>11</v>
      </c>
      <c r="AC1465">
        <v>0</v>
      </c>
      <c r="AD1465" t="str">
        <f t="shared" si="286"/>
        <v>Ok</v>
      </c>
      <c r="AE1465" t="str">
        <f>IF(AND(Audit_Data[[#This Row],[Year_Birth]]&gt;=1900,Audit_Data[[#This Row],[Year_Birth]]&lt;=2010),"OK","Invalid")</f>
        <v>OK</v>
      </c>
      <c r="AF1465" t="str">
        <f t="shared" si="287"/>
        <v>Valid</v>
      </c>
      <c r="AG1465" t="str">
        <f t="shared" si="288"/>
        <v>Valid</v>
      </c>
      <c r="AH1465" t="str">
        <f t="shared" si="289"/>
        <v>Valid</v>
      </c>
      <c r="AI1465" t="str">
        <f t="shared" si="290"/>
        <v>Valid</v>
      </c>
      <c r="AJ1465" t="str">
        <f t="shared" si="291"/>
        <v>Valid</v>
      </c>
      <c r="AK1465" t="str">
        <f t="shared" si="298"/>
        <v xml:space="preserve">Valid </v>
      </c>
      <c r="AL1465" t="str">
        <f>IF(AND(Audit_Data[[#This Row],[Recency]]&gt;=0,Audit_Data[[#This Row],[Recency]]&lt;=100),"Valid","Invalid")</f>
        <v>Valid</v>
      </c>
      <c r="AM1465" t="str">
        <f t="shared" si="292"/>
        <v>Valid</v>
      </c>
      <c r="AN1465" t="str">
        <f t="shared" si="293"/>
        <v>Valid</v>
      </c>
      <c r="AO1465" t="str">
        <f t="shared" si="294"/>
        <v>Valid</v>
      </c>
      <c r="AP1465" t="str">
        <f t="shared" si="295"/>
        <v>Valid</v>
      </c>
      <c r="AQ1465" t="str">
        <f>IF(Audit_Data[[#This Row],[Z_CostContact]]=3,"Valid","Invalid")</f>
        <v>Valid</v>
      </c>
      <c r="AR1465" t="str">
        <f t="shared" si="296"/>
        <v>Valid</v>
      </c>
      <c r="AS1465" t="str">
        <f t="shared" si="297"/>
        <v>Valid</v>
      </c>
    </row>
    <row r="1466" spans="1:45" x14ac:dyDescent="0.3">
      <c r="A1466">
        <v>5074</v>
      </c>
      <c r="B1466">
        <v>1986</v>
      </c>
      <c r="C1466" t="s">
        <v>34</v>
      </c>
      <c r="D1466" t="s">
        <v>33</v>
      </c>
      <c r="E1466">
        <v>28072</v>
      </c>
      <c r="F1466">
        <v>1</v>
      </c>
      <c r="G1466">
        <v>0</v>
      </c>
      <c r="H1466" s="1">
        <v>41463</v>
      </c>
      <c r="I1466">
        <v>10</v>
      </c>
      <c r="J1466">
        <v>30</v>
      </c>
      <c r="K1466">
        <v>0</v>
      </c>
      <c r="L1466">
        <v>10</v>
      </c>
      <c r="M1466">
        <v>2</v>
      </c>
      <c r="N1466">
        <v>0</v>
      </c>
      <c r="O1466">
        <v>5</v>
      </c>
      <c r="P1466">
        <v>1</v>
      </c>
      <c r="Q1466">
        <v>1</v>
      </c>
      <c r="R1466">
        <v>0</v>
      </c>
      <c r="S1466">
        <v>3</v>
      </c>
      <c r="T1466">
        <v>7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3</v>
      </c>
      <c r="AB1466">
        <v>11</v>
      </c>
      <c r="AC1466">
        <v>0</v>
      </c>
      <c r="AD1466" t="str">
        <f t="shared" si="286"/>
        <v>Ok</v>
      </c>
      <c r="AE1466" t="str">
        <f>IF(AND(Audit_Data[[#This Row],[Year_Birth]]&gt;=1900,Audit_Data[[#This Row],[Year_Birth]]&lt;=2010),"OK","Invalid")</f>
        <v>OK</v>
      </c>
      <c r="AF1466" t="str">
        <f t="shared" si="287"/>
        <v>Valid</v>
      </c>
      <c r="AG1466" t="str">
        <f t="shared" si="288"/>
        <v>Valid</v>
      </c>
      <c r="AH1466" t="str">
        <f t="shared" si="289"/>
        <v>Valid</v>
      </c>
      <c r="AI1466" t="str">
        <f t="shared" si="290"/>
        <v>Valid</v>
      </c>
      <c r="AJ1466" t="str">
        <f t="shared" si="291"/>
        <v>Valid</v>
      </c>
      <c r="AK1466" t="str">
        <f t="shared" si="298"/>
        <v xml:space="preserve">Valid </v>
      </c>
      <c r="AL1466" t="str">
        <f>IF(AND(Audit_Data[[#This Row],[Recency]]&gt;=0,Audit_Data[[#This Row],[Recency]]&lt;=100),"Valid","Invalid")</f>
        <v>Valid</v>
      </c>
      <c r="AM1466" t="str">
        <f t="shared" si="292"/>
        <v>Valid</v>
      </c>
      <c r="AN1466" t="str">
        <f t="shared" si="293"/>
        <v>Valid</v>
      </c>
      <c r="AO1466" t="str">
        <f t="shared" si="294"/>
        <v>Valid</v>
      </c>
      <c r="AP1466" t="str">
        <f t="shared" si="295"/>
        <v>Valid</v>
      </c>
      <c r="AQ1466" t="str">
        <f>IF(Audit_Data[[#This Row],[Z_CostContact]]=3,"Valid","Invalid")</f>
        <v>Valid</v>
      </c>
      <c r="AR1466" t="str">
        <f t="shared" si="296"/>
        <v>Valid</v>
      </c>
      <c r="AS1466" t="str">
        <f t="shared" si="297"/>
        <v>Valid</v>
      </c>
    </row>
    <row r="1467" spans="1:45" x14ac:dyDescent="0.3">
      <c r="A1467">
        <v>10524</v>
      </c>
      <c r="B1467">
        <v>1963</v>
      </c>
      <c r="C1467" t="s">
        <v>34</v>
      </c>
      <c r="D1467" t="s">
        <v>35</v>
      </c>
      <c r="E1467">
        <v>49476</v>
      </c>
      <c r="F1467">
        <v>0</v>
      </c>
      <c r="G1467">
        <v>1</v>
      </c>
      <c r="H1467" s="1">
        <v>41445</v>
      </c>
      <c r="I1467">
        <v>29</v>
      </c>
      <c r="J1467">
        <v>386</v>
      </c>
      <c r="K1467">
        <v>23</v>
      </c>
      <c r="L1467">
        <v>95</v>
      </c>
      <c r="M1467">
        <v>54</v>
      </c>
      <c r="N1467">
        <v>41</v>
      </c>
      <c r="O1467">
        <v>196</v>
      </c>
      <c r="P1467">
        <v>4</v>
      </c>
      <c r="Q1467">
        <v>2</v>
      </c>
      <c r="R1467">
        <v>11</v>
      </c>
      <c r="S1467">
        <v>5</v>
      </c>
      <c r="T1467">
        <v>2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3</v>
      </c>
      <c r="AB1467">
        <v>11</v>
      </c>
      <c r="AC1467">
        <v>0</v>
      </c>
      <c r="AD1467" t="str">
        <f t="shared" si="286"/>
        <v>Ok</v>
      </c>
      <c r="AE1467" t="str">
        <f>IF(AND(Audit_Data[[#This Row],[Year_Birth]]&gt;=1900,Audit_Data[[#This Row],[Year_Birth]]&lt;=2010),"OK","Invalid")</f>
        <v>OK</v>
      </c>
      <c r="AF1467" t="str">
        <f t="shared" si="287"/>
        <v>Valid</v>
      </c>
      <c r="AG1467" t="str">
        <f t="shared" si="288"/>
        <v>Valid</v>
      </c>
      <c r="AH1467" t="str">
        <f t="shared" si="289"/>
        <v>Valid</v>
      </c>
      <c r="AI1467" t="str">
        <f t="shared" si="290"/>
        <v>Valid</v>
      </c>
      <c r="AJ1467" t="str">
        <f t="shared" si="291"/>
        <v>Valid</v>
      </c>
      <c r="AK1467" t="str">
        <f t="shared" si="298"/>
        <v xml:space="preserve">Valid </v>
      </c>
      <c r="AL1467" t="str">
        <f>IF(AND(Audit_Data[[#This Row],[Recency]]&gt;=0,Audit_Data[[#This Row],[Recency]]&lt;=100),"Valid","Invalid")</f>
        <v>Valid</v>
      </c>
      <c r="AM1467" t="str">
        <f t="shared" si="292"/>
        <v>Valid</v>
      </c>
      <c r="AN1467" t="str">
        <f t="shared" si="293"/>
        <v>Valid</v>
      </c>
      <c r="AO1467" t="str">
        <f t="shared" si="294"/>
        <v>Valid</v>
      </c>
      <c r="AP1467" t="str">
        <f t="shared" si="295"/>
        <v>Valid</v>
      </c>
      <c r="AQ1467" t="str">
        <f>IF(Audit_Data[[#This Row],[Z_CostContact]]=3,"Valid","Invalid")</f>
        <v>Valid</v>
      </c>
      <c r="AR1467" t="str">
        <f t="shared" si="296"/>
        <v>Valid</v>
      </c>
      <c r="AS1467" t="str">
        <f t="shared" si="297"/>
        <v>Valid</v>
      </c>
    </row>
    <row r="1468" spans="1:45" x14ac:dyDescent="0.3">
      <c r="A1468">
        <v>4690</v>
      </c>
      <c r="B1468">
        <v>1953</v>
      </c>
      <c r="C1468" t="s">
        <v>29</v>
      </c>
      <c r="D1468" t="s">
        <v>33</v>
      </c>
      <c r="E1468">
        <v>50725</v>
      </c>
      <c r="F1468">
        <v>0</v>
      </c>
      <c r="G1468">
        <v>1</v>
      </c>
      <c r="H1468" s="1">
        <v>41318</v>
      </c>
      <c r="I1468">
        <v>45</v>
      </c>
      <c r="J1468">
        <v>443</v>
      </c>
      <c r="K1468">
        <v>10</v>
      </c>
      <c r="L1468">
        <v>75</v>
      </c>
      <c r="M1468">
        <v>0</v>
      </c>
      <c r="N1468">
        <v>10</v>
      </c>
      <c r="O1468">
        <v>48</v>
      </c>
      <c r="P1468">
        <v>4</v>
      </c>
      <c r="Q1468">
        <v>8</v>
      </c>
      <c r="R1468">
        <v>1</v>
      </c>
      <c r="S1468">
        <v>8</v>
      </c>
      <c r="T1468">
        <v>8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3</v>
      </c>
      <c r="AB1468">
        <v>11</v>
      </c>
      <c r="AC1468">
        <v>0</v>
      </c>
      <c r="AD1468" t="str">
        <f t="shared" si="286"/>
        <v>Ok</v>
      </c>
      <c r="AE1468" t="str">
        <f>IF(AND(Audit_Data[[#This Row],[Year_Birth]]&gt;=1900,Audit_Data[[#This Row],[Year_Birth]]&lt;=2010),"OK","Invalid")</f>
        <v>OK</v>
      </c>
      <c r="AF1468" t="str">
        <f t="shared" si="287"/>
        <v>Valid</v>
      </c>
      <c r="AG1468" t="str">
        <f t="shared" si="288"/>
        <v>Valid</v>
      </c>
      <c r="AH1468" t="str">
        <f t="shared" si="289"/>
        <v>Valid</v>
      </c>
      <c r="AI1468" t="str">
        <f t="shared" si="290"/>
        <v>Valid</v>
      </c>
      <c r="AJ1468" t="str">
        <f t="shared" si="291"/>
        <v>Valid</v>
      </c>
      <c r="AK1468" t="str">
        <f t="shared" si="298"/>
        <v xml:space="preserve">Valid </v>
      </c>
      <c r="AL1468" t="str">
        <f>IF(AND(Audit_Data[[#This Row],[Recency]]&gt;=0,Audit_Data[[#This Row],[Recency]]&lt;=100),"Valid","Invalid")</f>
        <v>Valid</v>
      </c>
      <c r="AM1468" t="str">
        <f t="shared" si="292"/>
        <v>Valid</v>
      </c>
      <c r="AN1468" t="str">
        <f t="shared" si="293"/>
        <v>Valid</v>
      </c>
      <c r="AO1468" t="str">
        <f t="shared" si="294"/>
        <v>Valid</v>
      </c>
      <c r="AP1468" t="str">
        <f t="shared" si="295"/>
        <v>Valid</v>
      </c>
      <c r="AQ1468" t="str">
        <f>IF(Audit_Data[[#This Row],[Z_CostContact]]=3,"Valid","Invalid")</f>
        <v>Valid</v>
      </c>
      <c r="AR1468" t="str">
        <f t="shared" si="296"/>
        <v>Valid</v>
      </c>
      <c r="AS1468" t="str">
        <f t="shared" si="297"/>
        <v>Valid</v>
      </c>
    </row>
    <row r="1469" spans="1:45" x14ac:dyDescent="0.3">
      <c r="A1469">
        <v>7521</v>
      </c>
      <c r="B1469">
        <v>1952</v>
      </c>
      <c r="C1469" t="s">
        <v>29</v>
      </c>
      <c r="D1469" t="s">
        <v>31</v>
      </c>
      <c r="E1469">
        <v>83844</v>
      </c>
      <c r="F1469">
        <v>0</v>
      </c>
      <c r="G1469">
        <v>0</v>
      </c>
      <c r="H1469" s="1">
        <v>41406</v>
      </c>
      <c r="I1469">
        <v>57</v>
      </c>
      <c r="J1469">
        <v>901</v>
      </c>
      <c r="K1469">
        <v>31</v>
      </c>
      <c r="L1469">
        <v>345</v>
      </c>
      <c r="M1469">
        <v>75</v>
      </c>
      <c r="N1469">
        <v>31</v>
      </c>
      <c r="O1469">
        <v>191</v>
      </c>
      <c r="P1469">
        <v>1</v>
      </c>
      <c r="Q1469">
        <v>4</v>
      </c>
      <c r="R1469">
        <v>4</v>
      </c>
      <c r="S1469">
        <v>11</v>
      </c>
      <c r="T1469">
        <v>1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3</v>
      </c>
      <c r="AB1469">
        <v>11</v>
      </c>
      <c r="AC1469">
        <v>0</v>
      </c>
      <c r="AD1469" t="str">
        <f t="shared" si="286"/>
        <v>Ok</v>
      </c>
      <c r="AE1469" t="str">
        <f>IF(AND(Audit_Data[[#This Row],[Year_Birth]]&gt;=1900,Audit_Data[[#This Row],[Year_Birth]]&lt;=2010),"OK","Invalid")</f>
        <v>OK</v>
      </c>
      <c r="AF1469" t="str">
        <f t="shared" si="287"/>
        <v>Valid</v>
      </c>
      <c r="AG1469" t="str">
        <f t="shared" si="288"/>
        <v>Valid</v>
      </c>
      <c r="AH1469" t="str">
        <f t="shared" si="289"/>
        <v>Valid</v>
      </c>
      <c r="AI1469" t="str">
        <f t="shared" si="290"/>
        <v>Valid</v>
      </c>
      <c r="AJ1469" t="str">
        <f t="shared" si="291"/>
        <v>Valid</v>
      </c>
      <c r="AK1469" t="str">
        <f t="shared" si="298"/>
        <v xml:space="preserve">Valid </v>
      </c>
      <c r="AL1469" t="str">
        <f>IF(AND(Audit_Data[[#This Row],[Recency]]&gt;=0,Audit_Data[[#This Row],[Recency]]&lt;=100),"Valid","Invalid")</f>
        <v>Valid</v>
      </c>
      <c r="AM1469" t="str">
        <f t="shared" si="292"/>
        <v>Valid</v>
      </c>
      <c r="AN1469" t="str">
        <f t="shared" si="293"/>
        <v>Valid</v>
      </c>
      <c r="AO1469" t="str">
        <f t="shared" si="294"/>
        <v>Valid</v>
      </c>
      <c r="AP1469" t="str">
        <f t="shared" si="295"/>
        <v>Valid</v>
      </c>
      <c r="AQ1469" t="str">
        <f>IF(Audit_Data[[#This Row],[Z_CostContact]]=3,"Valid","Invalid")</f>
        <v>Valid</v>
      </c>
      <c r="AR1469" t="str">
        <f t="shared" si="296"/>
        <v>Valid</v>
      </c>
      <c r="AS1469" t="str">
        <f t="shared" si="297"/>
        <v>Valid</v>
      </c>
    </row>
    <row r="1470" spans="1:45" x14ac:dyDescent="0.3">
      <c r="A1470">
        <v>7196</v>
      </c>
      <c r="B1470">
        <v>1950</v>
      </c>
      <c r="C1470" t="s">
        <v>32</v>
      </c>
      <c r="D1470" t="s">
        <v>33</v>
      </c>
      <c r="E1470">
        <v>41145</v>
      </c>
      <c r="F1470">
        <v>1</v>
      </c>
      <c r="G1470">
        <v>1</v>
      </c>
      <c r="H1470" s="1">
        <v>41678</v>
      </c>
      <c r="I1470">
        <v>20</v>
      </c>
      <c r="J1470">
        <v>9</v>
      </c>
      <c r="K1470">
        <v>0</v>
      </c>
      <c r="L1470">
        <v>3</v>
      </c>
      <c r="M1470">
        <v>0</v>
      </c>
      <c r="N1470">
        <v>0</v>
      </c>
      <c r="O1470">
        <v>1</v>
      </c>
      <c r="P1470">
        <v>1</v>
      </c>
      <c r="Q1470">
        <v>0</v>
      </c>
      <c r="R1470">
        <v>0</v>
      </c>
      <c r="S1470">
        <v>3</v>
      </c>
      <c r="T1470">
        <v>3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3</v>
      </c>
      <c r="AB1470">
        <v>11</v>
      </c>
      <c r="AC1470">
        <v>0</v>
      </c>
      <c r="AD1470" t="str">
        <f t="shared" si="286"/>
        <v>Ok</v>
      </c>
      <c r="AE1470" t="str">
        <f>IF(AND(Audit_Data[[#This Row],[Year_Birth]]&gt;=1900,Audit_Data[[#This Row],[Year_Birth]]&lt;=2010),"OK","Invalid")</f>
        <v>OK</v>
      </c>
      <c r="AF1470" t="str">
        <f t="shared" si="287"/>
        <v>Valid</v>
      </c>
      <c r="AG1470" t="str">
        <f t="shared" si="288"/>
        <v>Valid</v>
      </c>
      <c r="AH1470" t="str">
        <f t="shared" si="289"/>
        <v>Valid</v>
      </c>
      <c r="AI1470" t="str">
        <f t="shared" si="290"/>
        <v>Valid</v>
      </c>
      <c r="AJ1470" t="str">
        <f t="shared" si="291"/>
        <v>Valid</v>
      </c>
      <c r="AK1470" t="str">
        <f t="shared" si="298"/>
        <v xml:space="preserve">Valid </v>
      </c>
      <c r="AL1470" t="str">
        <f>IF(AND(Audit_Data[[#This Row],[Recency]]&gt;=0,Audit_Data[[#This Row],[Recency]]&lt;=100),"Valid","Invalid")</f>
        <v>Valid</v>
      </c>
      <c r="AM1470" t="str">
        <f t="shared" si="292"/>
        <v>Valid</v>
      </c>
      <c r="AN1470" t="str">
        <f t="shared" si="293"/>
        <v>Valid</v>
      </c>
      <c r="AO1470" t="str">
        <f t="shared" si="294"/>
        <v>Valid</v>
      </c>
      <c r="AP1470" t="str">
        <f t="shared" si="295"/>
        <v>Valid</v>
      </c>
      <c r="AQ1470" t="str">
        <f>IF(Audit_Data[[#This Row],[Z_CostContact]]=3,"Valid","Invalid")</f>
        <v>Valid</v>
      </c>
      <c r="AR1470" t="str">
        <f t="shared" si="296"/>
        <v>Valid</v>
      </c>
      <c r="AS1470" t="str">
        <f t="shared" si="297"/>
        <v>Valid</v>
      </c>
    </row>
    <row r="1471" spans="1:45" x14ac:dyDescent="0.3">
      <c r="A1471">
        <v>4406</v>
      </c>
      <c r="B1471">
        <v>1970</v>
      </c>
      <c r="C1471" t="s">
        <v>29</v>
      </c>
      <c r="D1471" t="s">
        <v>31</v>
      </c>
      <c r="E1471">
        <v>67419</v>
      </c>
      <c r="F1471">
        <v>0</v>
      </c>
      <c r="G1471">
        <v>1</v>
      </c>
      <c r="H1471" s="1">
        <v>41290</v>
      </c>
      <c r="I1471">
        <v>29</v>
      </c>
      <c r="J1471">
        <v>846</v>
      </c>
      <c r="K1471">
        <v>84</v>
      </c>
      <c r="L1471">
        <v>352</v>
      </c>
      <c r="M1471">
        <v>91</v>
      </c>
      <c r="N1471">
        <v>56</v>
      </c>
      <c r="O1471">
        <v>42</v>
      </c>
      <c r="P1471">
        <v>4</v>
      </c>
      <c r="Q1471">
        <v>9</v>
      </c>
      <c r="R1471">
        <v>4</v>
      </c>
      <c r="S1471">
        <v>8</v>
      </c>
      <c r="T1471">
        <v>5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3</v>
      </c>
      <c r="AB1471">
        <v>11</v>
      </c>
      <c r="AC1471">
        <v>0</v>
      </c>
      <c r="AD1471" t="str">
        <f t="shared" si="286"/>
        <v>Ok</v>
      </c>
      <c r="AE1471" t="str">
        <f>IF(AND(Audit_Data[[#This Row],[Year_Birth]]&gt;=1900,Audit_Data[[#This Row],[Year_Birth]]&lt;=2010),"OK","Invalid")</f>
        <v>OK</v>
      </c>
      <c r="AF1471" t="str">
        <f t="shared" si="287"/>
        <v>Valid</v>
      </c>
      <c r="AG1471" t="str">
        <f t="shared" si="288"/>
        <v>Valid</v>
      </c>
      <c r="AH1471" t="str">
        <f t="shared" si="289"/>
        <v>Valid</v>
      </c>
      <c r="AI1471" t="str">
        <f t="shared" si="290"/>
        <v>Valid</v>
      </c>
      <c r="AJ1471" t="str">
        <f t="shared" si="291"/>
        <v>Valid</v>
      </c>
      <c r="AK1471" t="str">
        <f t="shared" si="298"/>
        <v xml:space="preserve">Valid </v>
      </c>
      <c r="AL1471" t="str">
        <f>IF(AND(Audit_Data[[#This Row],[Recency]]&gt;=0,Audit_Data[[#This Row],[Recency]]&lt;=100),"Valid","Invalid")</f>
        <v>Valid</v>
      </c>
      <c r="AM1471" t="str">
        <f t="shared" si="292"/>
        <v>Valid</v>
      </c>
      <c r="AN1471" t="str">
        <f t="shared" si="293"/>
        <v>Valid</v>
      </c>
      <c r="AO1471" t="str">
        <f t="shared" si="294"/>
        <v>Valid</v>
      </c>
      <c r="AP1471" t="str">
        <f t="shared" si="295"/>
        <v>Valid</v>
      </c>
      <c r="AQ1471" t="str">
        <f>IF(Audit_Data[[#This Row],[Z_CostContact]]=3,"Valid","Invalid")</f>
        <v>Valid</v>
      </c>
      <c r="AR1471" t="str">
        <f t="shared" si="296"/>
        <v>Valid</v>
      </c>
      <c r="AS1471" t="str">
        <f t="shared" si="297"/>
        <v>Valid</v>
      </c>
    </row>
    <row r="1472" spans="1:45" x14ac:dyDescent="0.3">
      <c r="A1472">
        <v>9672</v>
      </c>
      <c r="B1472">
        <v>1970</v>
      </c>
      <c r="C1472" t="s">
        <v>37</v>
      </c>
      <c r="D1472" t="s">
        <v>33</v>
      </c>
      <c r="E1472">
        <v>23162</v>
      </c>
      <c r="F1472">
        <v>1</v>
      </c>
      <c r="G1472">
        <v>1</v>
      </c>
      <c r="H1472" s="1">
        <v>41629</v>
      </c>
      <c r="I1472">
        <v>82</v>
      </c>
      <c r="J1472">
        <v>8</v>
      </c>
      <c r="K1472">
        <v>3</v>
      </c>
      <c r="L1472">
        <v>9</v>
      </c>
      <c r="M1472">
        <v>19</v>
      </c>
      <c r="N1472">
        <v>4</v>
      </c>
      <c r="O1472">
        <v>22</v>
      </c>
      <c r="P1472">
        <v>3</v>
      </c>
      <c r="Q1472">
        <v>1</v>
      </c>
      <c r="R1472">
        <v>1</v>
      </c>
      <c r="S1472">
        <v>3</v>
      </c>
      <c r="T1472">
        <v>6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3</v>
      </c>
      <c r="AB1472">
        <v>11</v>
      </c>
      <c r="AC1472">
        <v>0</v>
      </c>
      <c r="AD1472" t="str">
        <f t="shared" si="286"/>
        <v>Ok</v>
      </c>
      <c r="AE1472" t="str">
        <f>IF(AND(Audit_Data[[#This Row],[Year_Birth]]&gt;=1900,Audit_Data[[#This Row],[Year_Birth]]&lt;=2010),"OK","Invalid")</f>
        <v>OK</v>
      </c>
      <c r="AF1472" t="str">
        <f t="shared" si="287"/>
        <v>Valid</v>
      </c>
      <c r="AG1472" t="str">
        <f t="shared" si="288"/>
        <v>Valid</v>
      </c>
      <c r="AH1472" t="str">
        <f t="shared" si="289"/>
        <v>Valid</v>
      </c>
      <c r="AI1472" t="str">
        <f t="shared" si="290"/>
        <v>Valid</v>
      </c>
      <c r="AJ1472" t="str">
        <f t="shared" si="291"/>
        <v>Valid</v>
      </c>
      <c r="AK1472" t="str">
        <f t="shared" si="298"/>
        <v xml:space="preserve">Valid </v>
      </c>
      <c r="AL1472" t="str">
        <f>IF(AND(Audit_Data[[#This Row],[Recency]]&gt;=0,Audit_Data[[#This Row],[Recency]]&lt;=100),"Valid","Invalid")</f>
        <v>Valid</v>
      </c>
      <c r="AM1472" t="str">
        <f t="shared" si="292"/>
        <v>Valid</v>
      </c>
      <c r="AN1472" t="str">
        <f t="shared" si="293"/>
        <v>Valid</v>
      </c>
      <c r="AO1472" t="str">
        <f t="shared" si="294"/>
        <v>Valid</v>
      </c>
      <c r="AP1472" t="str">
        <f t="shared" si="295"/>
        <v>Valid</v>
      </c>
      <c r="AQ1472" t="str">
        <f>IF(Audit_Data[[#This Row],[Z_CostContact]]=3,"Valid","Invalid")</f>
        <v>Valid</v>
      </c>
      <c r="AR1472" t="str">
        <f t="shared" si="296"/>
        <v>Valid</v>
      </c>
      <c r="AS1472" t="str">
        <f t="shared" si="297"/>
        <v>Valid</v>
      </c>
    </row>
    <row r="1473" spans="1:45" x14ac:dyDescent="0.3">
      <c r="A1473">
        <v>4864</v>
      </c>
      <c r="B1473">
        <v>1977</v>
      </c>
      <c r="C1473" t="s">
        <v>29</v>
      </c>
      <c r="D1473" t="s">
        <v>33</v>
      </c>
      <c r="E1473">
        <v>34380</v>
      </c>
      <c r="F1473">
        <v>1</v>
      </c>
      <c r="G1473">
        <v>0</v>
      </c>
      <c r="H1473" s="1">
        <v>41396</v>
      </c>
      <c r="I1473">
        <v>68</v>
      </c>
      <c r="J1473">
        <v>72</v>
      </c>
      <c r="K1473">
        <v>7</v>
      </c>
      <c r="L1473">
        <v>58</v>
      </c>
      <c r="M1473">
        <v>13</v>
      </c>
      <c r="N1473">
        <v>1</v>
      </c>
      <c r="O1473">
        <v>24</v>
      </c>
      <c r="P1473">
        <v>4</v>
      </c>
      <c r="Q1473">
        <v>4</v>
      </c>
      <c r="R1473">
        <v>1</v>
      </c>
      <c r="S1473">
        <v>3</v>
      </c>
      <c r="T1473">
        <v>8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3</v>
      </c>
      <c r="AB1473">
        <v>11</v>
      </c>
      <c r="AC1473">
        <v>0</v>
      </c>
      <c r="AD1473" t="str">
        <f t="shared" si="286"/>
        <v>Ok</v>
      </c>
      <c r="AE1473" t="str">
        <f>IF(AND(Audit_Data[[#This Row],[Year_Birth]]&gt;=1900,Audit_Data[[#This Row],[Year_Birth]]&lt;=2010),"OK","Invalid")</f>
        <v>OK</v>
      </c>
      <c r="AF1473" t="str">
        <f t="shared" si="287"/>
        <v>Valid</v>
      </c>
      <c r="AG1473" t="str">
        <f t="shared" si="288"/>
        <v>Valid</v>
      </c>
      <c r="AH1473" t="str">
        <f t="shared" si="289"/>
        <v>Valid</v>
      </c>
      <c r="AI1473" t="str">
        <f t="shared" si="290"/>
        <v>Valid</v>
      </c>
      <c r="AJ1473" t="str">
        <f t="shared" si="291"/>
        <v>Valid</v>
      </c>
      <c r="AK1473" t="str">
        <f t="shared" si="298"/>
        <v xml:space="preserve">Valid </v>
      </c>
      <c r="AL1473" t="str">
        <f>IF(AND(Audit_Data[[#This Row],[Recency]]&gt;=0,Audit_Data[[#This Row],[Recency]]&lt;=100),"Valid","Invalid")</f>
        <v>Valid</v>
      </c>
      <c r="AM1473" t="str">
        <f t="shared" si="292"/>
        <v>Valid</v>
      </c>
      <c r="AN1473" t="str">
        <f t="shared" si="293"/>
        <v>Valid</v>
      </c>
      <c r="AO1473" t="str">
        <f t="shared" si="294"/>
        <v>Valid</v>
      </c>
      <c r="AP1473" t="str">
        <f t="shared" si="295"/>
        <v>Valid</v>
      </c>
      <c r="AQ1473" t="str">
        <f>IF(Audit_Data[[#This Row],[Z_CostContact]]=3,"Valid","Invalid")</f>
        <v>Valid</v>
      </c>
      <c r="AR1473" t="str">
        <f t="shared" si="296"/>
        <v>Valid</v>
      </c>
      <c r="AS1473" t="str">
        <f t="shared" si="297"/>
        <v>Valid</v>
      </c>
    </row>
    <row r="1474" spans="1:45" x14ac:dyDescent="0.3">
      <c r="A1474">
        <v>4706</v>
      </c>
      <c r="B1474">
        <v>1966</v>
      </c>
      <c r="C1474" t="s">
        <v>29</v>
      </c>
      <c r="D1474" t="s">
        <v>30</v>
      </c>
      <c r="E1474">
        <v>34704</v>
      </c>
      <c r="F1474">
        <v>0</v>
      </c>
      <c r="G1474">
        <v>1</v>
      </c>
      <c r="H1474" s="1">
        <v>41391</v>
      </c>
      <c r="I1474">
        <v>65</v>
      </c>
      <c r="J1474">
        <v>29</v>
      </c>
      <c r="K1474">
        <v>0</v>
      </c>
      <c r="L1474">
        <v>5</v>
      </c>
      <c r="M1474">
        <v>0</v>
      </c>
      <c r="N1474">
        <v>1</v>
      </c>
      <c r="O1474">
        <v>5</v>
      </c>
      <c r="P1474">
        <v>1</v>
      </c>
      <c r="Q1474">
        <v>1</v>
      </c>
      <c r="R1474">
        <v>0</v>
      </c>
      <c r="S1474">
        <v>3</v>
      </c>
      <c r="T1474">
        <v>5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3</v>
      </c>
      <c r="AB1474">
        <v>11</v>
      </c>
      <c r="AC1474">
        <v>0</v>
      </c>
      <c r="AD1474" t="str">
        <f t="shared" ref="AD1474:AD1537" si="299">IF(COUNTIF(A:A,A1474)&gt;1,"Duplicate","Ok")</f>
        <v>Ok</v>
      </c>
      <c r="AE1474" t="str">
        <f>IF(AND(Audit_Data[[#This Row],[Year_Birth]]&gt;=1900,Audit_Data[[#This Row],[Year_Birth]]&lt;=2010),"OK","Invalid")</f>
        <v>OK</v>
      </c>
      <c r="AF1474" t="str">
        <f t="shared" ref="AF1474:AF1537" si="300">IF(OR(C1474="Graduation",C1474="phD",C1474="Master",C1474="Basic",C1474="2n Cycle"),"Valid","Invalid")</f>
        <v>Valid</v>
      </c>
      <c r="AG1474" t="str">
        <f t="shared" ref="AG1474:AG1537" si="301">IF(OR(D1474="Single",D1474="Married",D1474="Divorced",D1474="Together",D1474="Widow",D1474="Alone"),"Valid","Invalid")</f>
        <v>Valid</v>
      </c>
      <c r="AH1474" t="str">
        <f t="shared" ref="AH1474:AH1537" si="302">IF(AND(ISNUMBER(E1474),E1474&lt;&gt;""),"Valid","Invalid")</f>
        <v>Valid</v>
      </c>
      <c r="AI1474" t="str">
        <f t="shared" ref="AI1474:AI1537" si="303">IF(AND(F1474&gt;=0,F1474&lt;=2),"Valid","Invalid")</f>
        <v>Valid</v>
      </c>
      <c r="AJ1474" t="str">
        <f t="shared" ref="AJ1474:AJ1537" si="304">IF(AND(G1474&gt;=0,G1474&lt;=2),"Valid","Invalid")</f>
        <v>Valid</v>
      </c>
      <c r="AK1474" t="str">
        <f t="shared" si="298"/>
        <v xml:space="preserve">Valid </v>
      </c>
      <c r="AL1474" t="str">
        <f>IF(AND(Audit_Data[[#This Row],[Recency]]&gt;=0,Audit_Data[[#This Row],[Recency]]&lt;=100),"Valid","Invalid")</f>
        <v>Valid</v>
      </c>
      <c r="AM1474" t="str">
        <f t="shared" ref="AM1474:AM1537" si="305">IF(AND(ISNUMBER(J1474),J1474&gt;=0,ISNUMBER(K1474),K1474&gt;=0,ISNUMBER(L1474),L1474&gt;=0,ISNUMBER(M1474),M1474&gt;=0,ISNUMBER(N1474),N1474&gt;=0,ISNUMBER(O1474),O1474&gt;=0),"Valid","Invalid")</f>
        <v>Valid</v>
      </c>
      <c r="AN1474" t="str">
        <f t="shared" ref="AN1474:AN1537" si="306">IF(AND(ISNUMBER(P1474),P1474&gt;=0,ISNUMBER(Q1474),Q1474&gt;=0,ISNUMBER(R1474),R1474&gt;=0,ISNUMBER(S1474),S1474&gt;=0,ISNUMBER(T1474),T1474&gt;=0),"Valid","Invalid")</f>
        <v>Valid</v>
      </c>
      <c r="AO1474" t="str">
        <f t="shared" ref="AO1474:AO1537" si="307">IF(AND(U1474&lt;=1,V1474&lt;=1,W1474&lt;=1,X1474&lt;=1,Y1474&lt;=1),"Valid","Invalid")</f>
        <v>Valid</v>
      </c>
      <c r="AP1474" t="str">
        <f t="shared" ref="AP1474:AP1537" si="308">IF(OR(Z1474=0,Z1474=1),"Valid","Invalid")</f>
        <v>Valid</v>
      </c>
      <c r="AQ1474" t="str">
        <f>IF(Audit_Data[[#This Row],[Z_CostContact]]=3,"Valid","Invalid")</f>
        <v>Valid</v>
      </c>
      <c r="AR1474" t="str">
        <f t="shared" ref="AR1474:AR1537" si="309">IF(AB1474=11,"Valid","Invalid")</f>
        <v>Valid</v>
      </c>
      <c r="AS1474" t="str">
        <f t="shared" ref="AS1474:AS1537" si="310">IF(OR(AC1474=0,AC1474=1),"Valid","Invalid")</f>
        <v>Valid</v>
      </c>
    </row>
    <row r="1475" spans="1:45" x14ac:dyDescent="0.3">
      <c r="A1475">
        <v>4070</v>
      </c>
      <c r="B1475">
        <v>1969</v>
      </c>
      <c r="C1475" t="s">
        <v>32</v>
      </c>
      <c r="D1475" t="s">
        <v>33</v>
      </c>
      <c r="E1475">
        <v>94871</v>
      </c>
      <c r="F1475">
        <v>0</v>
      </c>
      <c r="G1475">
        <v>2</v>
      </c>
      <c r="H1475" s="1">
        <v>41153</v>
      </c>
      <c r="I1475">
        <v>99</v>
      </c>
      <c r="J1475">
        <v>169</v>
      </c>
      <c r="K1475">
        <v>24</v>
      </c>
      <c r="L1475">
        <v>553</v>
      </c>
      <c r="M1475">
        <v>188</v>
      </c>
      <c r="N1475">
        <v>0</v>
      </c>
      <c r="O1475">
        <v>144</v>
      </c>
      <c r="P1475">
        <v>1</v>
      </c>
      <c r="Q1475">
        <v>8</v>
      </c>
      <c r="R1475">
        <v>5</v>
      </c>
      <c r="S1475">
        <v>4</v>
      </c>
      <c r="T1475">
        <v>7</v>
      </c>
      <c r="U1475">
        <v>0</v>
      </c>
      <c r="V1475">
        <v>1</v>
      </c>
      <c r="W1475">
        <v>1</v>
      </c>
      <c r="X1475">
        <v>0</v>
      </c>
      <c r="Y1475">
        <v>0</v>
      </c>
      <c r="Z1475">
        <v>0</v>
      </c>
      <c r="AA1475">
        <v>3</v>
      </c>
      <c r="AB1475">
        <v>11</v>
      </c>
      <c r="AC1475">
        <v>1</v>
      </c>
      <c r="AD1475" t="str">
        <f t="shared" si="299"/>
        <v>Ok</v>
      </c>
      <c r="AE1475" t="str">
        <f>IF(AND(Audit_Data[[#This Row],[Year_Birth]]&gt;=1900,Audit_Data[[#This Row],[Year_Birth]]&lt;=2010),"OK","Invalid")</f>
        <v>OK</v>
      </c>
      <c r="AF1475" t="str">
        <f t="shared" si="300"/>
        <v>Valid</v>
      </c>
      <c r="AG1475" t="str">
        <f t="shared" si="301"/>
        <v>Valid</v>
      </c>
      <c r="AH1475" t="str">
        <f t="shared" si="302"/>
        <v>Valid</v>
      </c>
      <c r="AI1475" t="str">
        <f t="shared" si="303"/>
        <v>Valid</v>
      </c>
      <c r="AJ1475" t="str">
        <f t="shared" si="304"/>
        <v>Valid</v>
      </c>
      <c r="AK1475" t="str">
        <f t="shared" ref="AK1475:AK1538" si="311">IF(AND(ISNUMBER(H1475),H1475&gt;=DATE(2012,1,1),H1475&lt;=DATE(2014,12,31)),"Valid ","Invalid")</f>
        <v xml:space="preserve">Valid </v>
      </c>
      <c r="AL1475" t="str">
        <f>IF(AND(Audit_Data[[#This Row],[Recency]]&gt;=0,Audit_Data[[#This Row],[Recency]]&lt;=100),"Valid","Invalid")</f>
        <v>Valid</v>
      </c>
      <c r="AM1475" t="str">
        <f t="shared" si="305"/>
        <v>Valid</v>
      </c>
      <c r="AN1475" t="str">
        <f t="shared" si="306"/>
        <v>Valid</v>
      </c>
      <c r="AO1475" t="str">
        <f t="shared" si="307"/>
        <v>Valid</v>
      </c>
      <c r="AP1475" t="str">
        <f t="shared" si="308"/>
        <v>Valid</v>
      </c>
      <c r="AQ1475" t="str">
        <f>IF(Audit_Data[[#This Row],[Z_CostContact]]=3,"Valid","Invalid")</f>
        <v>Valid</v>
      </c>
      <c r="AR1475" t="str">
        <f t="shared" si="309"/>
        <v>Valid</v>
      </c>
      <c r="AS1475" t="str">
        <f t="shared" si="310"/>
        <v>Valid</v>
      </c>
    </row>
    <row r="1476" spans="1:45" x14ac:dyDescent="0.3">
      <c r="A1476">
        <v>25</v>
      </c>
      <c r="B1476">
        <v>1958</v>
      </c>
      <c r="C1476" t="s">
        <v>29</v>
      </c>
      <c r="D1476" t="s">
        <v>33</v>
      </c>
      <c r="E1476">
        <v>65148</v>
      </c>
      <c r="F1476">
        <v>0</v>
      </c>
      <c r="G1476">
        <v>1</v>
      </c>
      <c r="H1476" s="1">
        <v>41229</v>
      </c>
      <c r="I1476">
        <v>9</v>
      </c>
      <c r="J1476">
        <v>460</v>
      </c>
      <c r="K1476">
        <v>35</v>
      </c>
      <c r="L1476">
        <v>422</v>
      </c>
      <c r="M1476">
        <v>33</v>
      </c>
      <c r="N1476">
        <v>12</v>
      </c>
      <c r="O1476">
        <v>153</v>
      </c>
      <c r="P1476">
        <v>2</v>
      </c>
      <c r="Q1476">
        <v>6</v>
      </c>
      <c r="R1476">
        <v>6</v>
      </c>
      <c r="S1476">
        <v>7</v>
      </c>
      <c r="T1476">
        <v>4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3</v>
      </c>
      <c r="AB1476">
        <v>11</v>
      </c>
      <c r="AC1476">
        <v>0</v>
      </c>
      <c r="AD1476" t="str">
        <f t="shared" si="299"/>
        <v>Ok</v>
      </c>
      <c r="AE1476" t="str">
        <f>IF(AND(Audit_Data[[#This Row],[Year_Birth]]&gt;=1900,Audit_Data[[#This Row],[Year_Birth]]&lt;=2010),"OK","Invalid")</f>
        <v>OK</v>
      </c>
      <c r="AF1476" t="str">
        <f t="shared" si="300"/>
        <v>Valid</v>
      </c>
      <c r="AG1476" t="str">
        <f t="shared" si="301"/>
        <v>Valid</v>
      </c>
      <c r="AH1476" t="str">
        <f t="shared" si="302"/>
        <v>Valid</v>
      </c>
      <c r="AI1476" t="str">
        <f t="shared" si="303"/>
        <v>Valid</v>
      </c>
      <c r="AJ1476" t="str">
        <f t="shared" si="304"/>
        <v>Valid</v>
      </c>
      <c r="AK1476" t="str">
        <f t="shared" si="311"/>
        <v xml:space="preserve">Valid </v>
      </c>
      <c r="AL1476" t="str">
        <f>IF(AND(Audit_Data[[#This Row],[Recency]]&gt;=0,Audit_Data[[#This Row],[Recency]]&lt;=100),"Valid","Invalid")</f>
        <v>Valid</v>
      </c>
      <c r="AM1476" t="str">
        <f t="shared" si="305"/>
        <v>Valid</v>
      </c>
      <c r="AN1476" t="str">
        <f t="shared" si="306"/>
        <v>Valid</v>
      </c>
      <c r="AO1476" t="str">
        <f t="shared" si="307"/>
        <v>Valid</v>
      </c>
      <c r="AP1476" t="str">
        <f t="shared" si="308"/>
        <v>Valid</v>
      </c>
      <c r="AQ1476" t="str">
        <f>IF(Audit_Data[[#This Row],[Z_CostContact]]=3,"Valid","Invalid")</f>
        <v>Valid</v>
      </c>
      <c r="AR1476" t="str">
        <f t="shared" si="309"/>
        <v>Valid</v>
      </c>
      <c r="AS1476" t="str">
        <f t="shared" si="310"/>
        <v>Valid</v>
      </c>
    </row>
    <row r="1477" spans="1:45" x14ac:dyDescent="0.3">
      <c r="A1477">
        <v>3697</v>
      </c>
      <c r="B1477">
        <v>1954</v>
      </c>
      <c r="C1477" t="s">
        <v>29</v>
      </c>
      <c r="D1477" t="s">
        <v>31</v>
      </c>
      <c r="E1477">
        <v>39898</v>
      </c>
      <c r="F1477">
        <v>0</v>
      </c>
      <c r="G1477">
        <v>1</v>
      </c>
      <c r="H1477" s="1">
        <v>41317</v>
      </c>
      <c r="I1477">
        <v>20</v>
      </c>
      <c r="J1477">
        <v>69</v>
      </c>
      <c r="K1477">
        <v>8</v>
      </c>
      <c r="L1477">
        <v>26</v>
      </c>
      <c r="M1477">
        <v>12</v>
      </c>
      <c r="N1477">
        <v>7</v>
      </c>
      <c r="O1477">
        <v>12</v>
      </c>
      <c r="P1477">
        <v>2</v>
      </c>
      <c r="Q1477">
        <v>3</v>
      </c>
      <c r="R1477">
        <v>0</v>
      </c>
      <c r="S1477">
        <v>4</v>
      </c>
      <c r="T1477">
        <v>7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3</v>
      </c>
      <c r="AB1477">
        <v>11</v>
      </c>
      <c r="AC1477">
        <v>0</v>
      </c>
      <c r="AD1477" t="str">
        <f t="shared" si="299"/>
        <v>Ok</v>
      </c>
      <c r="AE1477" t="str">
        <f>IF(AND(Audit_Data[[#This Row],[Year_Birth]]&gt;=1900,Audit_Data[[#This Row],[Year_Birth]]&lt;=2010),"OK","Invalid")</f>
        <v>OK</v>
      </c>
      <c r="AF1477" t="str">
        <f t="shared" si="300"/>
        <v>Valid</v>
      </c>
      <c r="AG1477" t="str">
        <f t="shared" si="301"/>
        <v>Valid</v>
      </c>
      <c r="AH1477" t="str">
        <f t="shared" si="302"/>
        <v>Valid</v>
      </c>
      <c r="AI1477" t="str">
        <f t="shared" si="303"/>
        <v>Valid</v>
      </c>
      <c r="AJ1477" t="str">
        <f t="shared" si="304"/>
        <v>Valid</v>
      </c>
      <c r="AK1477" t="str">
        <f t="shared" si="311"/>
        <v xml:space="preserve">Valid </v>
      </c>
      <c r="AL1477" t="str">
        <f>IF(AND(Audit_Data[[#This Row],[Recency]]&gt;=0,Audit_Data[[#This Row],[Recency]]&lt;=100),"Valid","Invalid")</f>
        <v>Valid</v>
      </c>
      <c r="AM1477" t="str">
        <f t="shared" si="305"/>
        <v>Valid</v>
      </c>
      <c r="AN1477" t="str">
        <f t="shared" si="306"/>
        <v>Valid</v>
      </c>
      <c r="AO1477" t="str">
        <f t="shared" si="307"/>
        <v>Valid</v>
      </c>
      <c r="AP1477" t="str">
        <f t="shared" si="308"/>
        <v>Valid</v>
      </c>
      <c r="AQ1477" t="str">
        <f>IF(Audit_Data[[#This Row],[Z_CostContact]]=3,"Valid","Invalid")</f>
        <v>Valid</v>
      </c>
      <c r="AR1477" t="str">
        <f t="shared" si="309"/>
        <v>Valid</v>
      </c>
      <c r="AS1477" t="str">
        <f t="shared" si="310"/>
        <v>Valid</v>
      </c>
    </row>
    <row r="1478" spans="1:45" x14ac:dyDescent="0.3">
      <c r="A1478">
        <v>217</v>
      </c>
      <c r="B1478">
        <v>1956</v>
      </c>
      <c r="C1478" t="s">
        <v>34</v>
      </c>
      <c r="D1478" t="s">
        <v>30</v>
      </c>
      <c r="E1478">
        <v>64857</v>
      </c>
      <c r="F1478">
        <v>0</v>
      </c>
      <c r="G1478">
        <v>0</v>
      </c>
      <c r="H1478" s="1">
        <v>41236</v>
      </c>
      <c r="I1478">
        <v>78</v>
      </c>
      <c r="J1478">
        <v>556</v>
      </c>
      <c r="K1478">
        <v>14</v>
      </c>
      <c r="L1478">
        <v>717</v>
      </c>
      <c r="M1478">
        <v>210</v>
      </c>
      <c r="N1478">
        <v>0</v>
      </c>
      <c r="O1478">
        <v>43</v>
      </c>
      <c r="P1478">
        <v>1</v>
      </c>
      <c r="Q1478">
        <v>7</v>
      </c>
      <c r="R1478">
        <v>5</v>
      </c>
      <c r="S1478">
        <v>10</v>
      </c>
      <c r="T1478">
        <v>4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3</v>
      </c>
      <c r="AB1478">
        <v>11</v>
      </c>
      <c r="AC1478">
        <v>0</v>
      </c>
      <c r="AD1478" t="str">
        <f t="shared" si="299"/>
        <v>Ok</v>
      </c>
      <c r="AE1478" t="str">
        <f>IF(AND(Audit_Data[[#This Row],[Year_Birth]]&gt;=1900,Audit_Data[[#This Row],[Year_Birth]]&lt;=2010),"OK","Invalid")</f>
        <v>OK</v>
      </c>
      <c r="AF1478" t="str">
        <f t="shared" si="300"/>
        <v>Valid</v>
      </c>
      <c r="AG1478" t="str">
        <f t="shared" si="301"/>
        <v>Valid</v>
      </c>
      <c r="AH1478" t="str">
        <f t="shared" si="302"/>
        <v>Valid</v>
      </c>
      <c r="AI1478" t="str">
        <f t="shared" si="303"/>
        <v>Valid</v>
      </c>
      <c r="AJ1478" t="str">
        <f t="shared" si="304"/>
        <v>Valid</v>
      </c>
      <c r="AK1478" t="str">
        <f t="shared" si="311"/>
        <v xml:space="preserve">Valid </v>
      </c>
      <c r="AL1478" t="str">
        <f>IF(AND(Audit_Data[[#This Row],[Recency]]&gt;=0,Audit_Data[[#This Row],[Recency]]&lt;=100),"Valid","Invalid")</f>
        <v>Valid</v>
      </c>
      <c r="AM1478" t="str">
        <f t="shared" si="305"/>
        <v>Valid</v>
      </c>
      <c r="AN1478" t="str">
        <f t="shared" si="306"/>
        <v>Valid</v>
      </c>
      <c r="AO1478" t="str">
        <f t="shared" si="307"/>
        <v>Valid</v>
      </c>
      <c r="AP1478" t="str">
        <f t="shared" si="308"/>
        <v>Valid</v>
      </c>
      <c r="AQ1478" t="str">
        <f>IF(Audit_Data[[#This Row],[Z_CostContact]]=3,"Valid","Invalid")</f>
        <v>Valid</v>
      </c>
      <c r="AR1478" t="str">
        <f t="shared" si="309"/>
        <v>Valid</v>
      </c>
      <c r="AS1478" t="str">
        <f t="shared" si="310"/>
        <v>Valid</v>
      </c>
    </row>
    <row r="1479" spans="1:45" x14ac:dyDescent="0.3">
      <c r="A1479">
        <v>4220</v>
      </c>
      <c r="B1479">
        <v>1970</v>
      </c>
      <c r="C1479" t="s">
        <v>32</v>
      </c>
      <c r="D1479" t="s">
        <v>33</v>
      </c>
      <c r="E1479">
        <v>59892</v>
      </c>
      <c r="F1479">
        <v>0</v>
      </c>
      <c r="G1479">
        <v>1</v>
      </c>
      <c r="H1479" s="1">
        <v>41580</v>
      </c>
      <c r="I1479">
        <v>26</v>
      </c>
      <c r="J1479">
        <v>73</v>
      </c>
      <c r="K1479">
        <v>0</v>
      </c>
      <c r="L1479">
        <v>13</v>
      </c>
      <c r="M1479">
        <v>0</v>
      </c>
      <c r="N1479">
        <v>1</v>
      </c>
      <c r="O1479">
        <v>0</v>
      </c>
      <c r="P1479">
        <v>1</v>
      </c>
      <c r="Q1479">
        <v>2</v>
      </c>
      <c r="R1479">
        <v>1</v>
      </c>
      <c r="S1479">
        <v>3</v>
      </c>
      <c r="T1479">
        <v>3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3</v>
      </c>
      <c r="AB1479">
        <v>11</v>
      </c>
      <c r="AC1479">
        <v>0</v>
      </c>
      <c r="AD1479" t="str">
        <f t="shared" si="299"/>
        <v>Ok</v>
      </c>
      <c r="AE1479" t="str">
        <f>IF(AND(Audit_Data[[#This Row],[Year_Birth]]&gt;=1900,Audit_Data[[#This Row],[Year_Birth]]&lt;=2010),"OK","Invalid")</f>
        <v>OK</v>
      </c>
      <c r="AF1479" t="str">
        <f t="shared" si="300"/>
        <v>Valid</v>
      </c>
      <c r="AG1479" t="str">
        <f t="shared" si="301"/>
        <v>Valid</v>
      </c>
      <c r="AH1479" t="str">
        <f t="shared" si="302"/>
        <v>Valid</v>
      </c>
      <c r="AI1479" t="str">
        <f t="shared" si="303"/>
        <v>Valid</v>
      </c>
      <c r="AJ1479" t="str">
        <f t="shared" si="304"/>
        <v>Valid</v>
      </c>
      <c r="AK1479" t="str">
        <f t="shared" si="311"/>
        <v xml:space="preserve">Valid </v>
      </c>
      <c r="AL1479" t="str">
        <f>IF(AND(Audit_Data[[#This Row],[Recency]]&gt;=0,Audit_Data[[#This Row],[Recency]]&lt;=100),"Valid","Invalid")</f>
        <v>Valid</v>
      </c>
      <c r="AM1479" t="str">
        <f t="shared" si="305"/>
        <v>Valid</v>
      </c>
      <c r="AN1479" t="str">
        <f t="shared" si="306"/>
        <v>Valid</v>
      </c>
      <c r="AO1479" t="str">
        <f t="shared" si="307"/>
        <v>Valid</v>
      </c>
      <c r="AP1479" t="str">
        <f t="shared" si="308"/>
        <v>Valid</v>
      </c>
      <c r="AQ1479" t="str">
        <f>IF(Audit_Data[[#This Row],[Z_CostContact]]=3,"Valid","Invalid")</f>
        <v>Valid</v>
      </c>
      <c r="AR1479" t="str">
        <f t="shared" si="309"/>
        <v>Valid</v>
      </c>
      <c r="AS1479" t="str">
        <f t="shared" si="310"/>
        <v>Valid</v>
      </c>
    </row>
    <row r="1480" spans="1:45" x14ac:dyDescent="0.3">
      <c r="A1480">
        <v>5286</v>
      </c>
      <c r="B1480">
        <v>1987</v>
      </c>
      <c r="C1480" t="s">
        <v>34</v>
      </c>
      <c r="D1480" t="s">
        <v>30</v>
      </c>
      <c r="E1480">
        <v>41020</v>
      </c>
      <c r="F1480">
        <v>0</v>
      </c>
      <c r="G1480">
        <v>0</v>
      </c>
      <c r="H1480" s="1">
        <v>41575</v>
      </c>
      <c r="I1480">
        <v>68</v>
      </c>
      <c r="J1480">
        <v>112</v>
      </c>
      <c r="K1480">
        <v>1</v>
      </c>
      <c r="L1480">
        <v>54</v>
      </c>
      <c r="M1480">
        <v>7</v>
      </c>
      <c r="N1480">
        <v>7</v>
      </c>
      <c r="O1480">
        <v>36</v>
      </c>
      <c r="P1480">
        <v>1</v>
      </c>
      <c r="Q1480">
        <v>3</v>
      </c>
      <c r="R1480">
        <v>2</v>
      </c>
      <c r="S1480">
        <v>4</v>
      </c>
      <c r="T1480">
        <v>3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3</v>
      </c>
      <c r="AB1480">
        <v>11</v>
      </c>
      <c r="AC1480">
        <v>0</v>
      </c>
      <c r="AD1480" t="str">
        <f t="shared" si="299"/>
        <v>Ok</v>
      </c>
      <c r="AE1480" t="str">
        <f>IF(AND(Audit_Data[[#This Row],[Year_Birth]]&gt;=1900,Audit_Data[[#This Row],[Year_Birth]]&lt;=2010),"OK","Invalid")</f>
        <v>OK</v>
      </c>
      <c r="AF1480" t="str">
        <f t="shared" si="300"/>
        <v>Valid</v>
      </c>
      <c r="AG1480" t="str">
        <f t="shared" si="301"/>
        <v>Valid</v>
      </c>
      <c r="AH1480" t="str">
        <f t="shared" si="302"/>
        <v>Valid</v>
      </c>
      <c r="AI1480" t="str">
        <f t="shared" si="303"/>
        <v>Valid</v>
      </c>
      <c r="AJ1480" t="str">
        <f t="shared" si="304"/>
        <v>Valid</v>
      </c>
      <c r="AK1480" t="str">
        <f t="shared" si="311"/>
        <v xml:space="preserve">Valid </v>
      </c>
      <c r="AL1480" t="str">
        <f>IF(AND(Audit_Data[[#This Row],[Recency]]&gt;=0,Audit_Data[[#This Row],[Recency]]&lt;=100),"Valid","Invalid")</f>
        <v>Valid</v>
      </c>
      <c r="AM1480" t="str">
        <f t="shared" si="305"/>
        <v>Valid</v>
      </c>
      <c r="AN1480" t="str">
        <f t="shared" si="306"/>
        <v>Valid</v>
      </c>
      <c r="AO1480" t="str">
        <f t="shared" si="307"/>
        <v>Valid</v>
      </c>
      <c r="AP1480" t="str">
        <f t="shared" si="308"/>
        <v>Valid</v>
      </c>
      <c r="AQ1480" t="str">
        <f>IF(Audit_Data[[#This Row],[Z_CostContact]]=3,"Valid","Invalid")</f>
        <v>Valid</v>
      </c>
      <c r="AR1480" t="str">
        <f t="shared" si="309"/>
        <v>Valid</v>
      </c>
      <c r="AS1480" t="str">
        <f t="shared" si="310"/>
        <v>Valid</v>
      </c>
    </row>
    <row r="1481" spans="1:45" x14ac:dyDescent="0.3">
      <c r="A1481">
        <v>9559</v>
      </c>
      <c r="B1481">
        <v>1961</v>
      </c>
      <c r="C1481" t="s">
        <v>32</v>
      </c>
      <c r="D1481" t="s">
        <v>33</v>
      </c>
      <c r="E1481">
        <v>57072</v>
      </c>
      <c r="F1481">
        <v>0</v>
      </c>
      <c r="G1481">
        <v>1</v>
      </c>
      <c r="H1481" s="1">
        <v>41663</v>
      </c>
      <c r="I1481">
        <v>79</v>
      </c>
      <c r="J1481">
        <v>944</v>
      </c>
      <c r="K1481">
        <v>0</v>
      </c>
      <c r="L1481">
        <v>60</v>
      </c>
      <c r="M1481">
        <v>0</v>
      </c>
      <c r="N1481">
        <v>0</v>
      </c>
      <c r="O1481">
        <v>30</v>
      </c>
      <c r="P1481">
        <v>2</v>
      </c>
      <c r="Q1481">
        <v>7</v>
      </c>
      <c r="R1481">
        <v>5</v>
      </c>
      <c r="S1481">
        <v>13</v>
      </c>
      <c r="T1481">
        <v>5</v>
      </c>
      <c r="U1481">
        <v>1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3</v>
      </c>
      <c r="AB1481">
        <v>11</v>
      </c>
      <c r="AC1481">
        <v>0</v>
      </c>
      <c r="AD1481" t="str">
        <f t="shared" si="299"/>
        <v>Ok</v>
      </c>
      <c r="AE1481" t="str">
        <f>IF(AND(Audit_Data[[#This Row],[Year_Birth]]&gt;=1900,Audit_Data[[#This Row],[Year_Birth]]&lt;=2010),"OK","Invalid")</f>
        <v>OK</v>
      </c>
      <c r="AF1481" t="str">
        <f t="shared" si="300"/>
        <v>Valid</v>
      </c>
      <c r="AG1481" t="str">
        <f t="shared" si="301"/>
        <v>Valid</v>
      </c>
      <c r="AH1481" t="str">
        <f t="shared" si="302"/>
        <v>Valid</v>
      </c>
      <c r="AI1481" t="str">
        <f t="shared" si="303"/>
        <v>Valid</v>
      </c>
      <c r="AJ1481" t="str">
        <f t="shared" si="304"/>
        <v>Valid</v>
      </c>
      <c r="AK1481" t="str">
        <f t="shared" si="311"/>
        <v xml:space="preserve">Valid </v>
      </c>
      <c r="AL1481" t="str">
        <f>IF(AND(Audit_Data[[#This Row],[Recency]]&gt;=0,Audit_Data[[#This Row],[Recency]]&lt;=100),"Valid","Invalid")</f>
        <v>Valid</v>
      </c>
      <c r="AM1481" t="str">
        <f t="shared" si="305"/>
        <v>Valid</v>
      </c>
      <c r="AN1481" t="str">
        <f t="shared" si="306"/>
        <v>Valid</v>
      </c>
      <c r="AO1481" t="str">
        <f t="shared" si="307"/>
        <v>Valid</v>
      </c>
      <c r="AP1481" t="str">
        <f t="shared" si="308"/>
        <v>Valid</v>
      </c>
      <c r="AQ1481" t="str">
        <f>IF(Audit_Data[[#This Row],[Z_CostContact]]=3,"Valid","Invalid")</f>
        <v>Valid</v>
      </c>
      <c r="AR1481" t="str">
        <f t="shared" si="309"/>
        <v>Valid</v>
      </c>
      <c r="AS1481" t="str">
        <f t="shared" si="310"/>
        <v>Valid</v>
      </c>
    </row>
    <row r="1482" spans="1:45" x14ac:dyDescent="0.3">
      <c r="A1482">
        <v>2849</v>
      </c>
      <c r="B1482">
        <v>1979</v>
      </c>
      <c r="C1482" t="s">
        <v>29</v>
      </c>
      <c r="D1482" t="s">
        <v>30</v>
      </c>
      <c r="E1482">
        <v>60474</v>
      </c>
      <c r="F1482">
        <v>0</v>
      </c>
      <c r="G1482">
        <v>1</v>
      </c>
      <c r="H1482" s="1">
        <v>41365</v>
      </c>
      <c r="I1482">
        <v>25</v>
      </c>
      <c r="J1482">
        <v>265</v>
      </c>
      <c r="K1482">
        <v>199</v>
      </c>
      <c r="L1482">
        <v>303</v>
      </c>
      <c r="M1482">
        <v>234</v>
      </c>
      <c r="N1482">
        <v>9</v>
      </c>
      <c r="O1482">
        <v>170</v>
      </c>
      <c r="P1482">
        <v>7</v>
      </c>
      <c r="Q1482">
        <v>10</v>
      </c>
      <c r="R1482">
        <v>2</v>
      </c>
      <c r="S1482">
        <v>12</v>
      </c>
      <c r="T1482">
        <v>7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3</v>
      </c>
      <c r="AB1482">
        <v>11</v>
      </c>
      <c r="AC1482">
        <v>0</v>
      </c>
      <c r="AD1482" t="str">
        <f t="shared" si="299"/>
        <v>Ok</v>
      </c>
      <c r="AE1482" t="str">
        <f>IF(AND(Audit_Data[[#This Row],[Year_Birth]]&gt;=1900,Audit_Data[[#This Row],[Year_Birth]]&lt;=2010),"OK","Invalid")</f>
        <v>OK</v>
      </c>
      <c r="AF1482" t="str">
        <f t="shared" si="300"/>
        <v>Valid</v>
      </c>
      <c r="AG1482" t="str">
        <f t="shared" si="301"/>
        <v>Valid</v>
      </c>
      <c r="AH1482" t="str">
        <f t="shared" si="302"/>
        <v>Valid</v>
      </c>
      <c r="AI1482" t="str">
        <f t="shared" si="303"/>
        <v>Valid</v>
      </c>
      <c r="AJ1482" t="str">
        <f t="shared" si="304"/>
        <v>Valid</v>
      </c>
      <c r="AK1482" t="str">
        <f t="shared" si="311"/>
        <v xml:space="preserve">Valid </v>
      </c>
      <c r="AL1482" t="str">
        <f>IF(AND(Audit_Data[[#This Row],[Recency]]&gt;=0,Audit_Data[[#This Row],[Recency]]&lt;=100),"Valid","Invalid")</f>
        <v>Valid</v>
      </c>
      <c r="AM1482" t="str">
        <f t="shared" si="305"/>
        <v>Valid</v>
      </c>
      <c r="AN1482" t="str">
        <f t="shared" si="306"/>
        <v>Valid</v>
      </c>
      <c r="AO1482" t="str">
        <f t="shared" si="307"/>
        <v>Valid</v>
      </c>
      <c r="AP1482" t="str">
        <f t="shared" si="308"/>
        <v>Valid</v>
      </c>
      <c r="AQ1482" t="str">
        <f>IF(Audit_Data[[#This Row],[Z_CostContact]]=3,"Valid","Invalid")</f>
        <v>Valid</v>
      </c>
      <c r="AR1482" t="str">
        <f t="shared" si="309"/>
        <v>Valid</v>
      </c>
      <c r="AS1482" t="str">
        <f t="shared" si="310"/>
        <v>Valid</v>
      </c>
    </row>
    <row r="1483" spans="1:45" x14ac:dyDescent="0.3">
      <c r="A1483">
        <v>7787</v>
      </c>
      <c r="B1483">
        <v>1960</v>
      </c>
      <c r="C1483" t="s">
        <v>29</v>
      </c>
      <c r="D1483" t="s">
        <v>31</v>
      </c>
      <c r="E1483">
        <v>62807</v>
      </c>
      <c r="F1483">
        <v>0</v>
      </c>
      <c r="G1483">
        <v>1</v>
      </c>
      <c r="H1483" s="1">
        <v>41152</v>
      </c>
      <c r="I1483">
        <v>83</v>
      </c>
      <c r="J1483">
        <v>526</v>
      </c>
      <c r="K1483">
        <v>28</v>
      </c>
      <c r="L1483">
        <v>135</v>
      </c>
      <c r="M1483">
        <v>10</v>
      </c>
      <c r="N1483">
        <v>21</v>
      </c>
      <c r="O1483">
        <v>99</v>
      </c>
      <c r="P1483">
        <v>3</v>
      </c>
      <c r="Q1483">
        <v>5</v>
      </c>
      <c r="R1483">
        <v>3</v>
      </c>
      <c r="S1483">
        <v>12</v>
      </c>
      <c r="T1483">
        <v>5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3</v>
      </c>
      <c r="AB1483">
        <v>11</v>
      </c>
      <c r="AC1483">
        <v>0</v>
      </c>
      <c r="AD1483" t="str">
        <f t="shared" si="299"/>
        <v>Ok</v>
      </c>
      <c r="AE1483" t="str">
        <f>IF(AND(Audit_Data[[#This Row],[Year_Birth]]&gt;=1900,Audit_Data[[#This Row],[Year_Birth]]&lt;=2010),"OK","Invalid")</f>
        <v>OK</v>
      </c>
      <c r="AF1483" t="str">
        <f t="shared" si="300"/>
        <v>Valid</v>
      </c>
      <c r="AG1483" t="str">
        <f t="shared" si="301"/>
        <v>Valid</v>
      </c>
      <c r="AH1483" t="str">
        <f t="shared" si="302"/>
        <v>Valid</v>
      </c>
      <c r="AI1483" t="str">
        <f t="shared" si="303"/>
        <v>Valid</v>
      </c>
      <c r="AJ1483" t="str">
        <f t="shared" si="304"/>
        <v>Valid</v>
      </c>
      <c r="AK1483" t="str">
        <f t="shared" si="311"/>
        <v xml:space="preserve">Valid </v>
      </c>
      <c r="AL1483" t="str">
        <f>IF(AND(Audit_Data[[#This Row],[Recency]]&gt;=0,Audit_Data[[#This Row],[Recency]]&lt;=100),"Valid","Invalid")</f>
        <v>Valid</v>
      </c>
      <c r="AM1483" t="str">
        <f t="shared" si="305"/>
        <v>Valid</v>
      </c>
      <c r="AN1483" t="str">
        <f t="shared" si="306"/>
        <v>Valid</v>
      </c>
      <c r="AO1483" t="str">
        <f t="shared" si="307"/>
        <v>Valid</v>
      </c>
      <c r="AP1483" t="str">
        <f t="shared" si="308"/>
        <v>Valid</v>
      </c>
      <c r="AQ1483" t="str">
        <f>IF(Audit_Data[[#This Row],[Z_CostContact]]=3,"Valid","Invalid")</f>
        <v>Valid</v>
      </c>
      <c r="AR1483" t="str">
        <f t="shared" si="309"/>
        <v>Valid</v>
      </c>
      <c r="AS1483" t="str">
        <f t="shared" si="310"/>
        <v>Valid</v>
      </c>
    </row>
    <row r="1484" spans="1:45" x14ac:dyDescent="0.3">
      <c r="A1484">
        <v>3102</v>
      </c>
      <c r="B1484">
        <v>1981</v>
      </c>
      <c r="C1484" t="s">
        <v>37</v>
      </c>
      <c r="D1484" t="s">
        <v>31</v>
      </c>
      <c r="E1484">
        <v>19414</v>
      </c>
      <c r="F1484">
        <v>1</v>
      </c>
      <c r="G1484">
        <v>0</v>
      </c>
      <c r="H1484" s="1">
        <v>41563</v>
      </c>
      <c r="I1484">
        <v>32</v>
      </c>
      <c r="J1484">
        <v>2</v>
      </c>
      <c r="K1484">
        <v>3</v>
      </c>
      <c r="L1484">
        <v>12</v>
      </c>
      <c r="M1484">
        <v>3</v>
      </c>
      <c r="N1484">
        <v>5</v>
      </c>
      <c r="O1484">
        <v>7</v>
      </c>
      <c r="P1484">
        <v>1</v>
      </c>
      <c r="Q1484">
        <v>1</v>
      </c>
      <c r="R1484">
        <v>0</v>
      </c>
      <c r="S1484">
        <v>3</v>
      </c>
      <c r="T1484">
        <v>8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3</v>
      </c>
      <c r="AB1484">
        <v>11</v>
      </c>
      <c r="AC1484">
        <v>0</v>
      </c>
      <c r="AD1484" t="str">
        <f t="shared" si="299"/>
        <v>Ok</v>
      </c>
      <c r="AE1484" t="str">
        <f>IF(AND(Audit_Data[[#This Row],[Year_Birth]]&gt;=1900,Audit_Data[[#This Row],[Year_Birth]]&lt;=2010),"OK","Invalid")</f>
        <v>OK</v>
      </c>
      <c r="AF1484" t="str">
        <f t="shared" si="300"/>
        <v>Valid</v>
      </c>
      <c r="AG1484" t="str">
        <f t="shared" si="301"/>
        <v>Valid</v>
      </c>
      <c r="AH1484" t="str">
        <f t="shared" si="302"/>
        <v>Valid</v>
      </c>
      <c r="AI1484" t="str">
        <f t="shared" si="303"/>
        <v>Valid</v>
      </c>
      <c r="AJ1484" t="str">
        <f t="shared" si="304"/>
        <v>Valid</v>
      </c>
      <c r="AK1484" t="str">
        <f t="shared" si="311"/>
        <v xml:space="preserve">Valid </v>
      </c>
      <c r="AL1484" t="str">
        <f>IF(AND(Audit_Data[[#This Row],[Recency]]&gt;=0,Audit_Data[[#This Row],[Recency]]&lt;=100),"Valid","Invalid")</f>
        <v>Valid</v>
      </c>
      <c r="AM1484" t="str">
        <f t="shared" si="305"/>
        <v>Valid</v>
      </c>
      <c r="AN1484" t="str">
        <f t="shared" si="306"/>
        <v>Valid</v>
      </c>
      <c r="AO1484" t="str">
        <f t="shared" si="307"/>
        <v>Valid</v>
      </c>
      <c r="AP1484" t="str">
        <f t="shared" si="308"/>
        <v>Valid</v>
      </c>
      <c r="AQ1484" t="str">
        <f>IF(Audit_Data[[#This Row],[Z_CostContact]]=3,"Valid","Invalid")</f>
        <v>Valid</v>
      </c>
      <c r="AR1484" t="str">
        <f t="shared" si="309"/>
        <v>Valid</v>
      </c>
      <c r="AS1484" t="str">
        <f t="shared" si="310"/>
        <v>Valid</v>
      </c>
    </row>
    <row r="1485" spans="1:45" x14ac:dyDescent="0.3">
      <c r="A1485">
        <v>5868</v>
      </c>
      <c r="B1485">
        <v>1980</v>
      </c>
      <c r="C1485" t="s">
        <v>29</v>
      </c>
      <c r="D1485" t="s">
        <v>33</v>
      </c>
      <c r="E1485">
        <v>19107</v>
      </c>
      <c r="F1485">
        <v>1</v>
      </c>
      <c r="G1485">
        <v>0</v>
      </c>
      <c r="H1485" s="1">
        <v>41508</v>
      </c>
      <c r="I1485">
        <v>49</v>
      </c>
      <c r="J1485">
        <v>2</v>
      </c>
      <c r="K1485">
        <v>4</v>
      </c>
      <c r="L1485">
        <v>9</v>
      </c>
      <c r="M1485">
        <v>10</v>
      </c>
      <c r="N1485">
        <v>5</v>
      </c>
      <c r="O1485">
        <v>16</v>
      </c>
      <c r="P1485">
        <v>2</v>
      </c>
      <c r="Q1485">
        <v>1</v>
      </c>
      <c r="R1485">
        <v>0</v>
      </c>
      <c r="S1485">
        <v>3</v>
      </c>
      <c r="T1485">
        <v>7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3</v>
      </c>
      <c r="AB1485">
        <v>11</v>
      </c>
      <c r="AC1485">
        <v>0</v>
      </c>
      <c r="AD1485" t="str">
        <f t="shared" si="299"/>
        <v>Ok</v>
      </c>
      <c r="AE1485" t="str">
        <f>IF(AND(Audit_Data[[#This Row],[Year_Birth]]&gt;=1900,Audit_Data[[#This Row],[Year_Birth]]&lt;=2010),"OK","Invalid")</f>
        <v>OK</v>
      </c>
      <c r="AF1485" t="str">
        <f t="shared" si="300"/>
        <v>Valid</v>
      </c>
      <c r="AG1485" t="str">
        <f t="shared" si="301"/>
        <v>Valid</v>
      </c>
      <c r="AH1485" t="str">
        <f t="shared" si="302"/>
        <v>Valid</v>
      </c>
      <c r="AI1485" t="str">
        <f t="shared" si="303"/>
        <v>Valid</v>
      </c>
      <c r="AJ1485" t="str">
        <f t="shared" si="304"/>
        <v>Valid</v>
      </c>
      <c r="AK1485" t="str">
        <f t="shared" si="311"/>
        <v xml:space="preserve">Valid </v>
      </c>
      <c r="AL1485" t="str">
        <f>IF(AND(Audit_Data[[#This Row],[Recency]]&gt;=0,Audit_Data[[#This Row],[Recency]]&lt;=100),"Valid","Invalid")</f>
        <v>Valid</v>
      </c>
      <c r="AM1485" t="str">
        <f t="shared" si="305"/>
        <v>Valid</v>
      </c>
      <c r="AN1485" t="str">
        <f t="shared" si="306"/>
        <v>Valid</v>
      </c>
      <c r="AO1485" t="str">
        <f t="shared" si="307"/>
        <v>Valid</v>
      </c>
      <c r="AP1485" t="str">
        <f t="shared" si="308"/>
        <v>Valid</v>
      </c>
      <c r="AQ1485" t="str">
        <f>IF(Audit_Data[[#This Row],[Z_CostContact]]=3,"Valid","Invalid")</f>
        <v>Valid</v>
      </c>
      <c r="AR1485" t="str">
        <f t="shared" si="309"/>
        <v>Valid</v>
      </c>
      <c r="AS1485" t="str">
        <f t="shared" si="310"/>
        <v>Valid</v>
      </c>
    </row>
    <row r="1486" spans="1:45" x14ac:dyDescent="0.3">
      <c r="A1486">
        <v>8370</v>
      </c>
      <c r="B1486">
        <v>1976</v>
      </c>
      <c r="C1486" t="s">
        <v>37</v>
      </c>
      <c r="D1486" t="s">
        <v>31</v>
      </c>
      <c r="E1486">
        <v>75484</v>
      </c>
      <c r="F1486">
        <v>0</v>
      </c>
      <c r="G1486">
        <v>1</v>
      </c>
      <c r="H1486" s="1">
        <v>41123</v>
      </c>
      <c r="I1486">
        <v>50</v>
      </c>
      <c r="J1486">
        <v>378</v>
      </c>
      <c r="K1486">
        <v>97</v>
      </c>
      <c r="L1486">
        <v>259</v>
      </c>
      <c r="M1486">
        <v>197</v>
      </c>
      <c r="N1486">
        <v>194</v>
      </c>
      <c r="O1486">
        <v>34</v>
      </c>
      <c r="P1486">
        <v>2</v>
      </c>
      <c r="Q1486">
        <v>7</v>
      </c>
      <c r="R1486">
        <v>3</v>
      </c>
      <c r="S1486">
        <v>6</v>
      </c>
      <c r="T1486">
        <v>4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3</v>
      </c>
      <c r="AB1486">
        <v>11</v>
      </c>
      <c r="AC1486">
        <v>0</v>
      </c>
      <c r="AD1486" t="str">
        <f t="shared" si="299"/>
        <v>Ok</v>
      </c>
      <c r="AE1486" t="str">
        <f>IF(AND(Audit_Data[[#This Row],[Year_Birth]]&gt;=1900,Audit_Data[[#This Row],[Year_Birth]]&lt;=2010),"OK","Invalid")</f>
        <v>OK</v>
      </c>
      <c r="AF1486" t="str">
        <f t="shared" si="300"/>
        <v>Valid</v>
      </c>
      <c r="AG1486" t="str">
        <f t="shared" si="301"/>
        <v>Valid</v>
      </c>
      <c r="AH1486" t="str">
        <f t="shared" si="302"/>
        <v>Valid</v>
      </c>
      <c r="AI1486" t="str">
        <f t="shared" si="303"/>
        <v>Valid</v>
      </c>
      <c r="AJ1486" t="str">
        <f t="shared" si="304"/>
        <v>Valid</v>
      </c>
      <c r="AK1486" t="str">
        <f t="shared" si="311"/>
        <v xml:space="preserve">Valid </v>
      </c>
      <c r="AL1486" t="str">
        <f>IF(AND(Audit_Data[[#This Row],[Recency]]&gt;=0,Audit_Data[[#This Row],[Recency]]&lt;=100),"Valid","Invalid")</f>
        <v>Valid</v>
      </c>
      <c r="AM1486" t="str">
        <f t="shared" si="305"/>
        <v>Valid</v>
      </c>
      <c r="AN1486" t="str">
        <f t="shared" si="306"/>
        <v>Valid</v>
      </c>
      <c r="AO1486" t="str">
        <f t="shared" si="307"/>
        <v>Valid</v>
      </c>
      <c r="AP1486" t="str">
        <f t="shared" si="308"/>
        <v>Valid</v>
      </c>
      <c r="AQ1486" t="str">
        <f>IF(Audit_Data[[#This Row],[Z_CostContact]]=3,"Valid","Invalid")</f>
        <v>Valid</v>
      </c>
      <c r="AR1486" t="str">
        <f t="shared" si="309"/>
        <v>Valid</v>
      </c>
      <c r="AS1486" t="str">
        <f t="shared" si="310"/>
        <v>Valid</v>
      </c>
    </row>
    <row r="1487" spans="1:45" x14ac:dyDescent="0.3">
      <c r="A1487">
        <v>9988</v>
      </c>
      <c r="B1487">
        <v>1976</v>
      </c>
      <c r="C1487" t="s">
        <v>34</v>
      </c>
      <c r="D1487" t="s">
        <v>30</v>
      </c>
      <c r="E1487">
        <v>70379</v>
      </c>
      <c r="F1487">
        <v>0</v>
      </c>
      <c r="G1487">
        <v>1</v>
      </c>
      <c r="H1487" s="1">
        <v>41336</v>
      </c>
      <c r="I1487">
        <v>84</v>
      </c>
      <c r="J1487">
        <v>553</v>
      </c>
      <c r="K1487">
        <v>25</v>
      </c>
      <c r="L1487">
        <v>142</v>
      </c>
      <c r="M1487">
        <v>65</v>
      </c>
      <c r="N1487">
        <v>67</v>
      </c>
      <c r="O1487">
        <v>8</v>
      </c>
      <c r="P1487">
        <v>3</v>
      </c>
      <c r="Q1487">
        <v>6</v>
      </c>
      <c r="R1487">
        <v>3</v>
      </c>
      <c r="S1487">
        <v>13</v>
      </c>
      <c r="T1487">
        <v>4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3</v>
      </c>
      <c r="AB1487">
        <v>11</v>
      </c>
      <c r="AC1487">
        <v>0</v>
      </c>
      <c r="AD1487" t="str">
        <f t="shared" si="299"/>
        <v>Ok</v>
      </c>
      <c r="AE1487" t="str">
        <f>IF(AND(Audit_Data[[#This Row],[Year_Birth]]&gt;=1900,Audit_Data[[#This Row],[Year_Birth]]&lt;=2010),"OK","Invalid")</f>
        <v>OK</v>
      </c>
      <c r="AF1487" t="str">
        <f t="shared" si="300"/>
        <v>Valid</v>
      </c>
      <c r="AG1487" t="str">
        <f t="shared" si="301"/>
        <v>Valid</v>
      </c>
      <c r="AH1487" t="str">
        <f t="shared" si="302"/>
        <v>Valid</v>
      </c>
      <c r="AI1487" t="str">
        <f t="shared" si="303"/>
        <v>Valid</v>
      </c>
      <c r="AJ1487" t="str">
        <f t="shared" si="304"/>
        <v>Valid</v>
      </c>
      <c r="AK1487" t="str">
        <f t="shared" si="311"/>
        <v xml:space="preserve">Valid </v>
      </c>
      <c r="AL1487" t="str">
        <f>IF(AND(Audit_Data[[#This Row],[Recency]]&gt;=0,Audit_Data[[#This Row],[Recency]]&lt;=100),"Valid","Invalid")</f>
        <v>Valid</v>
      </c>
      <c r="AM1487" t="str">
        <f t="shared" si="305"/>
        <v>Valid</v>
      </c>
      <c r="AN1487" t="str">
        <f t="shared" si="306"/>
        <v>Valid</v>
      </c>
      <c r="AO1487" t="str">
        <f t="shared" si="307"/>
        <v>Valid</v>
      </c>
      <c r="AP1487" t="str">
        <f t="shared" si="308"/>
        <v>Valid</v>
      </c>
      <c r="AQ1487" t="str">
        <f>IF(Audit_Data[[#This Row],[Z_CostContact]]=3,"Valid","Invalid")</f>
        <v>Valid</v>
      </c>
      <c r="AR1487" t="str">
        <f t="shared" si="309"/>
        <v>Valid</v>
      </c>
      <c r="AS1487" t="str">
        <f t="shared" si="310"/>
        <v>Valid</v>
      </c>
    </row>
    <row r="1488" spans="1:45" x14ac:dyDescent="0.3">
      <c r="A1488">
        <v>2939</v>
      </c>
      <c r="B1488">
        <v>1970</v>
      </c>
      <c r="C1488" t="s">
        <v>34</v>
      </c>
      <c r="D1488" t="s">
        <v>31</v>
      </c>
      <c r="E1488">
        <v>79419</v>
      </c>
      <c r="F1488">
        <v>0</v>
      </c>
      <c r="G1488">
        <v>0</v>
      </c>
      <c r="H1488" s="1">
        <v>41812</v>
      </c>
      <c r="I1488">
        <v>96</v>
      </c>
      <c r="J1488">
        <v>751</v>
      </c>
      <c r="K1488">
        <v>127</v>
      </c>
      <c r="L1488">
        <v>687</v>
      </c>
      <c r="M1488">
        <v>20</v>
      </c>
      <c r="N1488">
        <v>15</v>
      </c>
      <c r="O1488">
        <v>31</v>
      </c>
      <c r="P1488">
        <v>1</v>
      </c>
      <c r="Q1488">
        <v>4</v>
      </c>
      <c r="R1488">
        <v>6</v>
      </c>
      <c r="S1488">
        <v>4</v>
      </c>
      <c r="T1488">
        <v>2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3</v>
      </c>
      <c r="AB1488">
        <v>11</v>
      </c>
      <c r="AC1488">
        <v>0</v>
      </c>
      <c r="AD1488" t="str">
        <f t="shared" si="299"/>
        <v>Ok</v>
      </c>
      <c r="AE1488" t="str">
        <f>IF(AND(Audit_Data[[#This Row],[Year_Birth]]&gt;=1900,Audit_Data[[#This Row],[Year_Birth]]&lt;=2010),"OK","Invalid")</f>
        <v>OK</v>
      </c>
      <c r="AF1488" t="str">
        <f t="shared" si="300"/>
        <v>Valid</v>
      </c>
      <c r="AG1488" t="str">
        <f t="shared" si="301"/>
        <v>Valid</v>
      </c>
      <c r="AH1488" t="str">
        <f t="shared" si="302"/>
        <v>Valid</v>
      </c>
      <c r="AI1488" t="str">
        <f t="shared" si="303"/>
        <v>Valid</v>
      </c>
      <c r="AJ1488" t="str">
        <f t="shared" si="304"/>
        <v>Valid</v>
      </c>
      <c r="AK1488" t="str">
        <f t="shared" si="311"/>
        <v xml:space="preserve">Valid </v>
      </c>
      <c r="AL1488" t="str">
        <f>IF(AND(Audit_Data[[#This Row],[Recency]]&gt;=0,Audit_Data[[#This Row],[Recency]]&lt;=100),"Valid","Invalid")</f>
        <v>Valid</v>
      </c>
      <c r="AM1488" t="str">
        <f t="shared" si="305"/>
        <v>Valid</v>
      </c>
      <c r="AN1488" t="str">
        <f t="shared" si="306"/>
        <v>Valid</v>
      </c>
      <c r="AO1488" t="str">
        <f t="shared" si="307"/>
        <v>Valid</v>
      </c>
      <c r="AP1488" t="str">
        <f t="shared" si="308"/>
        <v>Valid</v>
      </c>
      <c r="AQ1488" t="str">
        <f>IF(Audit_Data[[#This Row],[Z_CostContact]]=3,"Valid","Invalid")</f>
        <v>Valid</v>
      </c>
      <c r="AR1488" t="str">
        <f t="shared" si="309"/>
        <v>Valid</v>
      </c>
      <c r="AS1488" t="str">
        <f t="shared" si="310"/>
        <v>Valid</v>
      </c>
    </row>
    <row r="1489" spans="1:45" x14ac:dyDescent="0.3">
      <c r="A1489">
        <v>5529</v>
      </c>
      <c r="B1489">
        <v>1946</v>
      </c>
      <c r="C1489" t="s">
        <v>32</v>
      </c>
      <c r="D1489" t="s">
        <v>31</v>
      </c>
      <c r="E1489">
        <v>64014</v>
      </c>
      <c r="F1489">
        <v>2</v>
      </c>
      <c r="G1489">
        <v>1</v>
      </c>
      <c r="H1489" s="1">
        <v>41800</v>
      </c>
      <c r="I1489">
        <v>56</v>
      </c>
      <c r="J1489">
        <v>406</v>
      </c>
      <c r="K1489">
        <v>0</v>
      </c>
      <c r="L1489">
        <v>30</v>
      </c>
      <c r="M1489">
        <v>0</v>
      </c>
      <c r="N1489">
        <v>0</v>
      </c>
      <c r="O1489">
        <v>8</v>
      </c>
      <c r="P1489">
        <v>7</v>
      </c>
      <c r="Q1489">
        <v>8</v>
      </c>
      <c r="R1489">
        <v>2</v>
      </c>
      <c r="S1489">
        <v>5</v>
      </c>
      <c r="T1489">
        <v>7</v>
      </c>
      <c r="U1489">
        <v>0</v>
      </c>
      <c r="V1489">
        <v>0</v>
      </c>
      <c r="W1489">
        <v>0</v>
      </c>
      <c r="X1489">
        <v>1</v>
      </c>
      <c r="Y1489">
        <v>0</v>
      </c>
      <c r="Z1489">
        <v>0</v>
      </c>
      <c r="AA1489">
        <v>3</v>
      </c>
      <c r="AB1489">
        <v>11</v>
      </c>
      <c r="AC1489">
        <v>0</v>
      </c>
      <c r="AD1489" t="str">
        <f t="shared" si="299"/>
        <v>Ok</v>
      </c>
      <c r="AE1489" t="str">
        <f>IF(AND(Audit_Data[[#This Row],[Year_Birth]]&gt;=1900,Audit_Data[[#This Row],[Year_Birth]]&lt;=2010),"OK","Invalid")</f>
        <v>OK</v>
      </c>
      <c r="AF1489" t="str">
        <f t="shared" si="300"/>
        <v>Valid</v>
      </c>
      <c r="AG1489" t="str">
        <f t="shared" si="301"/>
        <v>Valid</v>
      </c>
      <c r="AH1489" t="str">
        <f t="shared" si="302"/>
        <v>Valid</v>
      </c>
      <c r="AI1489" t="str">
        <f t="shared" si="303"/>
        <v>Valid</v>
      </c>
      <c r="AJ1489" t="str">
        <f t="shared" si="304"/>
        <v>Valid</v>
      </c>
      <c r="AK1489" t="str">
        <f t="shared" si="311"/>
        <v xml:space="preserve">Valid </v>
      </c>
      <c r="AL1489" t="str">
        <f>IF(AND(Audit_Data[[#This Row],[Recency]]&gt;=0,Audit_Data[[#This Row],[Recency]]&lt;=100),"Valid","Invalid")</f>
        <v>Valid</v>
      </c>
      <c r="AM1489" t="str">
        <f t="shared" si="305"/>
        <v>Valid</v>
      </c>
      <c r="AN1489" t="str">
        <f t="shared" si="306"/>
        <v>Valid</v>
      </c>
      <c r="AO1489" t="str">
        <f t="shared" si="307"/>
        <v>Valid</v>
      </c>
      <c r="AP1489" t="str">
        <f t="shared" si="308"/>
        <v>Valid</v>
      </c>
      <c r="AQ1489" t="str">
        <f>IF(Audit_Data[[#This Row],[Z_CostContact]]=3,"Valid","Invalid")</f>
        <v>Valid</v>
      </c>
      <c r="AR1489" t="str">
        <f t="shared" si="309"/>
        <v>Valid</v>
      </c>
      <c r="AS1489" t="str">
        <f t="shared" si="310"/>
        <v>Valid</v>
      </c>
    </row>
    <row r="1490" spans="1:45" x14ac:dyDescent="0.3">
      <c r="A1490">
        <v>9743</v>
      </c>
      <c r="B1490">
        <v>1955</v>
      </c>
      <c r="C1490" t="s">
        <v>29</v>
      </c>
      <c r="D1490" t="s">
        <v>33</v>
      </c>
      <c r="E1490">
        <v>76998</v>
      </c>
      <c r="F1490">
        <v>0</v>
      </c>
      <c r="G1490">
        <v>1</v>
      </c>
      <c r="H1490" s="1">
        <v>41285</v>
      </c>
      <c r="I1490">
        <v>85</v>
      </c>
      <c r="J1490">
        <v>1449</v>
      </c>
      <c r="K1490">
        <v>89</v>
      </c>
      <c r="L1490">
        <v>161</v>
      </c>
      <c r="M1490">
        <v>69</v>
      </c>
      <c r="N1490">
        <v>35</v>
      </c>
      <c r="O1490">
        <v>107</v>
      </c>
      <c r="P1490">
        <v>2</v>
      </c>
      <c r="Q1490">
        <v>11</v>
      </c>
      <c r="R1490">
        <v>8</v>
      </c>
      <c r="S1490">
        <v>8</v>
      </c>
      <c r="T1490">
        <v>6</v>
      </c>
      <c r="U1490">
        <v>0</v>
      </c>
      <c r="V1490">
        <v>0</v>
      </c>
      <c r="W1490">
        <v>1</v>
      </c>
      <c r="X1490">
        <v>0</v>
      </c>
      <c r="Y1490">
        <v>0</v>
      </c>
      <c r="Z1490">
        <v>0</v>
      </c>
      <c r="AA1490">
        <v>3</v>
      </c>
      <c r="AB1490">
        <v>11</v>
      </c>
      <c r="AC1490">
        <v>0</v>
      </c>
      <c r="AD1490" t="str">
        <f t="shared" si="299"/>
        <v>Ok</v>
      </c>
      <c r="AE1490" t="str">
        <f>IF(AND(Audit_Data[[#This Row],[Year_Birth]]&gt;=1900,Audit_Data[[#This Row],[Year_Birth]]&lt;=2010),"OK","Invalid")</f>
        <v>OK</v>
      </c>
      <c r="AF1490" t="str">
        <f t="shared" si="300"/>
        <v>Valid</v>
      </c>
      <c r="AG1490" t="str">
        <f t="shared" si="301"/>
        <v>Valid</v>
      </c>
      <c r="AH1490" t="str">
        <f t="shared" si="302"/>
        <v>Valid</v>
      </c>
      <c r="AI1490" t="str">
        <f t="shared" si="303"/>
        <v>Valid</v>
      </c>
      <c r="AJ1490" t="str">
        <f t="shared" si="304"/>
        <v>Valid</v>
      </c>
      <c r="AK1490" t="str">
        <f t="shared" si="311"/>
        <v xml:space="preserve">Valid </v>
      </c>
      <c r="AL1490" t="str">
        <f>IF(AND(Audit_Data[[#This Row],[Recency]]&gt;=0,Audit_Data[[#This Row],[Recency]]&lt;=100),"Valid","Invalid")</f>
        <v>Valid</v>
      </c>
      <c r="AM1490" t="str">
        <f t="shared" si="305"/>
        <v>Valid</v>
      </c>
      <c r="AN1490" t="str">
        <f t="shared" si="306"/>
        <v>Valid</v>
      </c>
      <c r="AO1490" t="str">
        <f t="shared" si="307"/>
        <v>Valid</v>
      </c>
      <c r="AP1490" t="str">
        <f t="shared" si="308"/>
        <v>Valid</v>
      </c>
      <c r="AQ1490" t="str">
        <f>IF(Audit_Data[[#This Row],[Z_CostContact]]=3,"Valid","Invalid")</f>
        <v>Valid</v>
      </c>
      <c r="AR1490" t="str">
        <f t="shared" si="309"/>
        <v>Valid</v>
      </c>
      <c r="AS1490" t="str">
        <f t="shared" si="310"/>
        <v>Valid</v>
      </c>
    </row>
    <row r="1491" spans="1:45" x14ac:dyDescent="0.3">
      <c r="A1491">
        <v>5763</v>
      </c>
      <c r="B1491">
        <v>1972</v>
      </c>
      <c r="C1491" t="s">
        <v>34</v>
      </c>
      <c r="D1491" t="s">
        <v>31</v>
      </c>
      <c r="E1491">
        <v>49854</v>
      </c>
      <c r="F1491">
        <v>1</v>
      </c>
      <c r="G1491">
        <v>0</v>
      </c>
      <c r="H1491" s="1">
        <v>41588</v>
      </c>
      <c r="I1491">
        <v>63</v>
      </c>
      <c r="J1491">
        <v>123</v>
      </c>
      <c r="K1491">
        <v>17</v>
      </c>
      <c r="L1491">
        <v>171</v>
      </c>
      <c r="M1491">
        <v>39</v>
      </c>
      <c r="N1491">
        <v>0</v>
      </c>
      <c r="O1491">
        <v>30</v>
      </c>
      <c r="P1491">
        <v>5</v>
      </c>
      <c r="Q1491">
        <v>6</v>
      </c>
      <c r="R1491">
        <v>2</v>
      </c>
      <c r="S1491">
        <v>5</v>
      </c>
      <c r="T1491">
        <v>6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3</v>
      </c>
      <c r="AB1491">
        <v>11</v>
      </c>
      <c r="AC1491">
        <v>0</v>
      </c>
      <c r="AD1491" t="str">
        <f t="shared" si="299"/>
        <v>Ok</v>
      </c>
      <c r="AE1491" t="str">
        <f>IF(AND(Audit_Data[[#This Row],[Year_Birth]]&gt;=1900,Audit_Data[[#This Row],[Year_Birth]]&lt;=2010),"OK","Invalid")</f>
        <v>OK</v>
      </c>
      <c r="AF1491" t="str">
        <f t="shared" si="300"/>
        <v>Valid</v>
      </c>
      <c r="AG1491" t="str">
        <f t="shared" si="301"/>
        <v>Valid</v>
      </c>
      <c r="AH1491" t="str">
        <f t="shared" si="302"/>
        <v>Valid</v>
      </c>
      <c r="AI1491" t="str">
        <f t="shared" si="303"/>
        <v>Valid</v>
      </c>
      <c r="AJ1491" t="str">
        <f t="shared" si="304"/>
        <v>Valid</v>
      </c>
      <c r="AK1491" t="str">
        <f t="shared" si="311"/>
        <v xml:space="preserve">Valid </v>
      </c>
      <c r="AL1491" t="str">
        <f>IF(AND(Audit_Data[[#This Row],[Recency]]&gt;=0,Audit_Data[[#This Row],[Recency]]&lt;=100),"Valid","Invalid")</f>
        <v>Valid</v>
      </c>
      <c r="AM1491" t="str">
        <f t="shared" si="305"/>
        <v>Valid</v>
      </c>
      <c r="AN1491" t="str">
        <f t="shared" si="306"/>
        <v>Valid</v>
      </c>
      <c r="AO1491" t="str">
        <f t="shared" si="307"/>
        <v>Valid</v>
      </c>
      <c r="AP1491" t="str">
        <f t="shared" si="308"/>
        <v>Valid</v>
      </c>
      <c r="AQ1491" t="str">
        <f>IF(Audit_Data[[#This Row],[Z_CostContact]]=3,"Valid","Invalid")</f>
        <v>Valid</v>
      </c>
      <c r="AR1491" t="str">
        <f t="shared" si="309"/>
        <v>Valid</v>
      </c>
      <c r="AS1491" t="str">
        <f t="shared" si="310"/>
        <v>Valid</v>
      </c>
    </row>
    <row r="1492" spans="1:45" x14ac:dyDescent="0.3">
      <c r="A1492">
        <v>3478</v>
      </c>
      <c r="B1492">
        <v>1971</v>
      </c>
      <c r="C1492" t="s">
        <v>32</v>
      </c>
      <c r="D1492" t="s">
        <v>33</v>
      </c>
      <c r="E1492">
        <v>60585</v>
      </c>
      <c r="F1492">
        <v>1</v>
      </c>
      <c r="G1492">
        <v>1</v>
      </c>
      <c r="H1492" s="1">
        <v>41449</v>
      </c>
      <c r="I1492">
        <v>17</v>
      </c>
      <c r="J1492">
        <v>267</v>
      </c>
      <c r="K1492">
        <v>42</v>
      </c>
      <c r="L1492">
        <v>309</v>
      </c>
      <c r="M1492">
        <v>55</v>
      </c>
      <c r="N1492">
        <v>42</v>
      </c>
      <c r="O1492">
        <v>21</v>
      </c>
      <c r="P1492">
        <v>10</v>
      </c>
      <c r="Q1492">
        <v>7</v>
      </c>
      <c r="R1492">
        <v>4</v>
      </c>
      <c r="S1492">
        <v>9</v>
      </c>
      <c r="T1492">
        <v>5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3</v>
      </c>
      <c r="AB1492">
        <v>11</v>
      </c>
      <c r="AC1492">
        <v>1</v>
      </c>
      <c r="AD1492" t="str">
        <f t="shared" si="299"/>
        <v>Ok</v>
      </c>
      <c r="AE1492" t="str">
        <f>IF(AND(Audit_Data[[#This Row],[Year_Birth]]&gt;=1900,Audit_Data[[#This Row],[Year_Birth]]&lt;=2010),"OK","Invalid")</f>
        <v>OK</v>
      </c>
      <c r="AF1492" t="str">
        <f t="shared" si="300"/>
        <v>Valid</v>
      </c>
      <c r="AG1492" t="str">
        <f t="shared" si="301"/>
        <v>Valid</v>
      </c>
      <c r="AH1492" t="str">
        <f t="shared" si="302"/>
        <v>Valid</v>
      </c>
      <c r="AI1492" t="str">
        <f t="shared" si="303"/>
        <v>Valid</v>
      </c>
      <c r="AJ1492" t="str">
        <f t="shared" si="304"/>
        <v>Valid</v>
      </c>
      <c r="AK1492" t="str">
        <f t="shared" si="311"/>
        <v xml:space="preserve">Valid </v>
      </c>
      <c r="AL1492" t="str">
        <f>IF(AND(Audit_Data[[#This Row],[Recency]]&gt;=0,Audit_Data[[#This Row],[Recency]]&lt;=100),"Valid","Invalid")</f>
        <v>Valid</v>
      </c>
      <c r="AM1492" t="str">
        <f t="shared" si="305"/>
        <v>Valid</v>
      </c>
      <c r="AN1492" t="str">
        <f t="shared" si="306"/>
        <v>Valid</v>
      </c>
      <c r="AO1492" t="str">
        <f t="shared" si="307"/>
        <v>Valid</v>
      </c>
      <c r="AP1492" t="str">
        <f t="shared" si="308"/>
        <v>Valid</v>
      </c>
      <c r="AQ1492" t="str">
        <f>IF(Audit_Data[[#This Row],[Z_CostContact]]=3,"Valid","Invalid")</f>
        <v>Valid</v>
      </c>
      <c r="AR1492" t="str">
        <f t="shared" si="309"/>
        <v>Valid</v>
      </c>
      <c r="AS1492" t="str">
        <f t="shared" si="310"/>
        <v>Valid</v>
      </c>
    </row>
    <row r="1493" spans="1:45" x14ac:dyDescent="0.3">
      <c r="A1493">
        <v>7494</v>
      </c>
      <c r="B1493">
        <v>1950</v>
      </c>
      <c r="C1493" t="s">
        <v>32</v>
      </c>
      <c r="D1493" t="s">
        <v>35</v>
      </c>
      <c r="E1493">
        <v>42873</v>
      </c>
      <c r="F1493">
        <v>1</v>
      </c>
      <c r="G1493">
        <v>1</v>
      </c>
      <c r="H1493" s="1">
        <v>41295</v>
      </c>
      <c r="I1493">
        <v>11</v>
      </c>
      <c r="J1493">
        <v>209</v>
      </c>
      <c r="K1493">
        <v>0</v>
      </c>
      <c r="L1493">
        <v>40</v>
      </c>
      <c r="M1493">
        <v>3</v>
      </c>
      <c r="N1493">
        <v>2</v>
      </c>
      <c r="O1493">
        <v>15</v>
      </c>
      <c r="P1493">
        <v>4</v>
      </c>
      <c r="Q1493">
        <v>6</v>
      </c>
      <c r="R1493">
        <v>1</v>
      </c>
      <c r="S1493">
        <v>4</v>
      </c>
      <c r="T1493">
        <v>8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3</v>
      </c>
      <c r="AB1493">
        <v>11</v>
      </c>
      <c r="AC1493">
        <v>0</v>
      </c>
      <c r="AD1493" t="str">
        <f t="shared" si="299"/>
        <v>Ok</v>
      </c>
      <c r="AE1493" t="str">
        <f>IF(AND(Audit_Data[[#This Row],[Year_Birth]]&gt;=1900,Audit_Data[[#This Row],[Year_Birth]]&lt;=2010),"OK","Invalid")</f>
        <v>OK</v>
      </c>
      <c r="AF1493" t="str">
        <f t="shared" si="300"/>
        <v>Valid</v>
      </c>
      <c r="AG1493" t="str">
        <f t="shared" si="301"/>
        <v>Valid</v>
      </c>
      <c r="AH1493" t="str">
        <f t="shared" si="302"/>
        <v>Valid</v>
      </c>
      <c r="AI1493" t="str">
        <f t="shared" si="303"/>
        <v>Valid</v>
      </c>
      <c r="AJ1493" t="str">
        <f t="shared" si="304"/>
        <v>Valid</v>
      </c>
      <c r="AK1493" t="str">
        <f t="shared" si="311"/>
        <v xml:space="preserve">Valid </v>
      </c>
      <c r="AL1493" t="str">
        <f>IF(AND(Audit_Data[[#This Row],[Recency]]&gt;=0,Audit_Data[[#This Row],[Recency]]&lt;=100),"Valid","Invalid")</f>
        <v>Valid</v>
      </c>
      <c r="AM1493" t="str">
        <f t="shared" si="305"/>
        <v>Valid</v>
      </c>
      <c r="AN1493" t="str">
        <f t="shared" si="306"/>
        <v>Valid</v>
      </c>
      <c r="AO1493" t="str">
        <f t="shared" si="307"/>
        <v>Valid</v>
      </c>
      <c r="AP1493" t="str">
        <f t="shared" si="308"/>
        <v>Valid</v>
      </c>
      <c r="AQ1493" t="str">
        <f>IF(Audit_Data[[#This Row],[Z_CostContact]]=3,"Valid","Invalid")</f>
        <v>Valid</v>
      </c>
      <c r="AR1493" t="str">
        <f t="shared" si="309"/>
        <v>Valid</v>
      </c>
      <c r="AS1493" t="str">
        <f t="shared" si="310"/>
        <v>Valid</v>
      </c>
    </row>
    <row r="1494" spans="1:45" x14ac:dyDescent="0.3">
      <c r="A1494">
        <v>1763</v>
      </c>
      <c r="B1494">
        <v>1988</v>
      </c>
      <c r="C1494" t="s">
        <v>29</v>
      </c>
      <c r="D1494" t="s">
        <v>31</v>
      </c>
      <c r="E1494">
        <v>87679</v>
      </c>
      <c r="F1494">
        <v>0</v>
      </c>
      <c r="G1494">
        <v>0</v>
      </c>
      <c r="H1494" s="1">
        <v>41482</v>
      </c>
      <c r="I1494">
        <v>62</v>
      </c>
      <c r="J1494">
        <v>1259</v>
      </c>
      <c r="K1494">
        <v>172</v>
      </c>
      <c r="L1494">
        <v>815</v>
      </c>
      <c r="M1494">
        <v>97</v>
      </c>
      <c r="N1494">
        <v>148</v>
      </c>
      <c r="O1494">
        <v>33</v>
      </c>
      <c r="P1494">
        <v>1</v>
      </c>
      <c r="Q1494">
        <v>7</v>
      </c>
      <c r="R1494">
        <v>11</v>
      </c>
      <c r="S1494">
        <v>10</v>
      </c>
      <c r="T1494">
        <v>4</v>
      </c>
      <c r="U1494">
        <v>1</v>
      </c>
      <c r="V1494">
        <v>0</v>
      </c>
      <c r="W1494">
        <v>1</v>
      </c>
      <c r="X1494">
        <v>1</v>
      </c>
      <c r="Y1494">
        <v>0</v>
      </c>
      <c r="Z1494">
        <v>0</v>
      </c>
      <c r="AA1494">
        <v>3</v>
      </c>
      <c r="AB1494">
        <v>11</v>
      </c>
      <c r="AC1494">
        <v>1</v>
      </c>
      <c r="AD1494" t="str">
        <f t="shared" si="299"/>
        <v>Ok</v>
      </c>
      <c r="AE1494" t="str">
        <f>IF(AND(Audit_Data[[#This Row],[Year_Birth]]&gt;=1900,Audit_Data[[#This Row],[Year_Birth]]&lt;=2010),"OK","Invalid")</f>
        <v>OK</v>
      </c>
      <c r="AF1494" t="str">
        <f t="shared" si="300"/>
        <v>Valid</v>
      </c>
      <c r="AG1494" t="str">
        <f t="shared" si="301"/>
        <v>Valid</v>
      </c>
      <c r="AH1494" t="str">
        <f t="shared" si="302"/>
        <v>Valid</v>
      </c>
      <c r="AI1494" t="str">
        <f t="shared" si="303"/>
        <v>Valid</v>
      </c>
      <c r="AJ1494" t="str">
        <f t="shared" si="304"/>
        <v>Valid</v>
      </c>
      <c r="AK1494" t="str">
        <f t="shared" si="311"/>
        <v xml:space="preserve">Valid </v>
      </c>
      <c r="AL1494" t="str">
        <f>IF(AND(Audit_Data[[#This Row],[Recency]]&gt;=0,Audit_Data[[#This Row],[Recency]]&lt;=100),"Valid","Invalid")</f>
        <v>Valid</v>
      </c>
      <c r="AM1494" t="str">
        <f t="shared" si="305"/>
        <v>Valid</v>
      </c>
      <c r="AN1494" t="str">
        <f t="shared" si="306"/>
        <v>Valid</v>
      </c>
      <c r="AO1494" t="str">
        <f t="shared" si="307"/>
        <v>Valid</v>
      </c>
      <c r="AP1494" t="str">
        <f t="shared" si="308"/>
        <v>Valid</v>
      </c>
      <c r="AQ1494" t="str">
        <f>IF(Audit_Data[[#This Row],[Z_CostContact]]=3,"Valid","Invalid")</f>
        <v>Valid</v>
      </c>
      <c r="AR1494" t="str">
        <f t="shared" si="309"/>
        <v>Valid</v>
      </c>
      <c r="AS1494" t="str">
        <f t="shared" si="310"/>
        <v>Valid</v>
      </c>
    </row>
    <row r="1495" spans="1:45" x14ac:dyDescent="0.3">
      <c r="A1495">
        <v>7250</v>
      </c>
      <c r="B1495">
        <v>1978</v>
      </c>
      <c r="C1495" t="s">
        <v>29</v>
      </c>
      <c r="D1495" t="s">
        <v>31</v>
      </c>
      <c r="E1495">
        <v>57867</v>
      </c>
      <c r="F1495">
        <v>1</v>
      </c>
      <c r="G1495">
        <v>0</v>
      </c>
      <c r="H1495" s="1">
        <v>41548</v>
      </c>
      <c r="I1495">
        <v>48</v>
      </c>
      <c r="J1495">
        <v>344</v>
      </c>
      <c r="K1495">
        <v>35</v>
      </c>
      <c r="L1495">
        <v>178</v>
      </c>
      <c r="M1495">
        <v>15</v>
      </c>
      <c r="N1495">
        <v>23</v>
      </c>
      <c r="O1495">
        <v>17</v>
      </c>
      <c r="P1495">
        <v>7</v>
      </c>
      <c r="Q1495">
        <v>7</v>
      </c>
      <c r="R1495">
        <v>2</v>
      </c>
      <c r="S1495">
        <v>9</v>
      </c>
      <c r="T1495">
        <v>6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3</v>
      </c>
      <c r="AB1495">
        <v>11</v>
      </c>
      <c r="AC1495">
        <v>0</v>
      </c>
      <c r="AD1495" t="str">
        <f t="shared" si="299"/>
        <v>Ok</v>
      </c>
      <c r="AE1495" t="str">
        <f>IF(AND(Audit_Data[[#This Row],[Year_Birth]]&gt;=1900,Audit_Data[[#This Row],[Year_Birth]]&lt;=2010),"OK","Invalid")</f>
        <v>OK</v>
      </c>
      <c r="AF1495" t="str">
        <f t="shared" si="300"/>
        <v>Valid</v>
      </c>
      <c r="AG1495" t="str">
        <f t="shared" si="301"/>
        <v>Valid</v>
      </c>
      <c r="AH1495" t="str">
        <f t="shared" si="302"/>
        <v>Valid</v>
      </c>
      <c r="AI1495" t="str">
        <f t="shared" si="303"/>
        <v>Valid</v>
      </c>
      <c r="AJ1495" t="str">
        <f t="shared" si="304"/>
        <v>Valid</v>
      </c>
      <c r="AK1495" t="str">
        <f t="shared" si="311"/>
        <v xml:space="preserve">Valid </v>
      </c>
      <c r="AL1495" t="str">
        <f>IF(AND(Audit_Data[[#This Row],[Recency]]&gt;=0,Audit_Data[[#This Row],[Recency]]&lt;=100),"Valid","Invalid")</f>
        <v>Valid</v>
      </c>
      <c r="AM1495" t="str">
        <f t="shared" si="305"/>
        <v>Valid</v>
      </c>
      <c r="AN1495" t="str">
        <f t="shared" si="306"/>
        <v>Valid</v>
      </c>
      <c r="AO1495" t="str">
        <f t="shared" si="307"/>
        <v>Valid</v>
      </c>
      <c r="AP1495" t="str">
        <f t="shared" si="308"/>
        <v>Valid</v>
      </c>
      <c r="AQ1495" t="str">
        <f>IF(Audit_Data[[#This Row],[Z_CostContact]]=3,"Valid","Invalid")</f>
        <v>Valid</v>
      </c>
      <c r="AR1495" t="str">
        <f t="shared" si="309"/>
        <v>Valid</v>
      </c>
      <c r="AS1495" t="str">
        <f t="shared" si="310"/>
        <v>Valid</v>
      </c>
    </row>
    <row r="1496" spans="1:45" x14ac:dyDescent="0.3">
      <c r="A1496">
        <v>2005</v>
      </c>
      <c r="B1496">
        <v>1990</v>
      </c>
      <c r="C1496" t="s">
        <v>29</v>
      </c>
      <c r="D1496" t="s">
        <v>33</v>
      </c>
      <c r="E1496">
        <v>35765</v>
      </c>
      <c r="F1496">
        <v>1</v>
      </c>
      <c r="G1496">
        <v>0</v>
      </c>
      <c r="H1496" s="1">
        <v>41619</v>
      </c>
      <c r="I1496">
        <v>86</v>
      </c>
      <c r="J1496">
        <v>22</v>
      </c>
      <c r="K1496">
        <v>3</v>
      </c>
      <c r="L1496">
        <v>30</v>
      </c>
      <c r="M1496">
        <v>0</v>
      </c>
      <c r="N1496">
        <v>5</v>
      </c>
      <c r="O1496">
        <v>15</v>
      </c>
      <c r="P1496">
        <v>2</v>
      </c>
      <c r="Q1496">
        <v>2</v>
      </c>
      <c r="R1496">
        <v>0</v>
      </c>
      <c r="S1496">
        <v>4</v>
      </c>
      <c r="T1496">
        <v>6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3</v>
      </c>
      <c r="AB1496">
        <v>11</v>
      </c>
      <c r="AC1496">
        <v>0</v>
      </c>
      <c r="AD1496" t="str">
        <f t="shared" si="299"/>
        <v>Ok</v>
      </c>
      <c r="AE1496" t="str">
        <f>IF(AND(Audit_Data[[#This Row],[Year_Birth]]&gt;=1900,Audit_Data[[#This Row],[Year_Birth]]&lt;=2010),"OK","Invalid")</f>
        <v>OK</v>
      </c>
      <c r="AF1496" t="str">
        <f t="shared" si="300"/>
        <v>Valid</v>
      </c>
      <c r="AG1496" t="str">
        <f t="shared" si="301"/>
        <v>Valid</v>
      </c>
      <c r="AH1496" t="str">
        <f t="shared" si="302"/>
        <v>Valid</v>
      </c>
      <c r="AI1496" t="str">
        <f t="shared" si="303"/>
        <v>Valid</v>
      </c>
      <c r="AJ1496" t="str">
        <f t="shared" si="304"/>
        <v>Valid</v>
      </c>
      <c r="AK1496" t="str">
        <f t="shared" si="311"/>
        <v xml:space="preserve">Valid </v>
      </c>
      <c r="AL1496" t="str">
        <f>IF(AND(Audit_Data[[#This Row],[Recency]]&gt;=0,Audit_Data[[#This Row],[Recency]]&lt;=100),"Valid","Invalid")</f>
        <v>Valid</v>
      </c>
      <c r="AM1496" t="str">
        <f t="shared" si="305"/>
        <v>Valid</v>
      </c>
      <c r="AN1496" t="str">
        <f t="shared" si="306"/>
        <v>Valid</v>
      </c>
      <c r="AO1496" t="str">
        <f t="shared" si="307"/>
        <v>Valid</v>
      </c>
      <c r="AP1496" t="str">
        <f t="shared" si="308"/>
        <v>Valid</v>
      </c>
      <c r="AQ1496" t="str">
        <f>IF(Audit_Data[[#This Row],[Z_CostContact]]=3,"Valid","Invalid")</f>
        <v>Valid</v>
      </c>
      <c r="AR1496" t="str">
        <f t="shared" si="309"/>
        <v>Valid</v>
      </c>
      <c r="AS1496" t="str">
        <f t="shared" si="310"/>
        <v>Valid</v>
      </c>
    </row>
    <row r="1497" spans="1:45" x14ac:dyDescent="0.3">
      <c r="A1497">
        <v>10770</v>
      </c>
      <c r="B1497">
        <v>1959</v>
      </c>
      <c r="C1497" t="s">
        <v>29</v>
      </c>
      <c r="D1497" t="s">
        <v>33</v>
      </c>
      <c r="E1497">
        <v>65492</v>
      </c>
      <c r="F1497">
        <v>0</v>
      </c>
      <c r="G1497">
        <v>0</v>
      </c>
      <c r="H1497" s="1">
        <v>41665</v>
      </c>
      <c r="I1497">
        <v>73</v>
      </c>
      <c r="J1497">
        <v>247</v>
      </c>
      <c r="K1497">
        <v>161</v>
      </c>
      <c r="L1497">
        <v>295</v>
      </c>
      <c r="M1497">
        <v>210</v>
      </c>
      <c r="N1497">
        <v>85</v>
      </c>
      <c r="O1497">
        <v>47</v>
      </c>
      <c r="P1497">
        <v>2</v>
      </c>
      <c r="Q1497">
        <v>4</v>
      </c>
      <c r="R1497">
        <v>7</v>
      </c>
      <c r="S1497">
        <v>13</v>
      </c>
      <c r="T1497">
        <v>2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3</v>
      </c>
      <c r="AB1497">
        <v>11</v>
      </c>
      <c r="AC1497">
        <v>0</v>
      </c>
      <c r="AD1497" t="str">
        <f t="shared" si="299"/>
        <v>Ok</v>
      </c>
      <c r="AE1497" t="str">
        <f>IF(AND(Audit_Data[[#This Row],[Year_Birth]]&gt;=1900,Audit_Data[[#This Row],[Year_Birth]]&lt;=2010),"OK","Invalid")</f>
        <v>OK</v>
      </c>
      <c r="AF1497" t="str">
        <f t="shared" si="300"/>
        <v>Valid</v>
      </c>
      <c r="AG1497" t="str">
        <f t="shared" si="301"/>
        <v>Valid</v>
      </c>
      <c r="AH1497" t="str">
        <f t="shared" si="302"/>
        <v>Valid</v>
      </c>
      <c r="AI1497" t="str">
        <f t="shared" si="303"/>
        <v>Valid</v>
      </c>
      <c r="AJ1497" t="str">
        <f t="shared" si="304"/>
        <v>Valid</v>
      </c>
      <c r="AK1497" t="str">
        <f t="shared" si="311"/>
        <v xml:space="preserve">Valid </v>
      </c>
      <c r="AL1497" t="str">
        <f>IF(AND(Audit_Data[[#This Row],[Recency]]&gt;=0,Audit_Data[[#This Row],[Recency]]&lt;=100),"Valid","Invalid")</f>
        <v>Valid</v>
      </c>
      <c r="AM1497" t="str">
        <f t="shared" si="305"/>
        <v>Valid</v>
      </c>
      <c r="AN1497" t="str">
        <f t="shared" si="306"/>
        <v>Valid</v>
      </c>
      <c r="AO1497" t="str">
        <f t="shared" si="307"/>
        <v>Valid</v>
      </c>
      <c r="AP1497" t="str">
        <f t="shared" si="308"/>
        <v>Valid</v>
      </c>
      <c r="AQ1497" t="str">
        <f>IF(Audit_Data[[#This Row],[Z_CostContact]]=3,"Valid","Invalid")</f>
        <v>Valid</v>
      </c>
      <c r="AR1497" t="str">
        <f t="shared" si="309"/>
        <v>Valid</v>
      </c>
      <c r="AS1497" t="str">
        <f t="shared" si="310"/>
        <v>Valid</v>
      </c>
    </row>
    <row r="1498" spans="1:45" x14ac:dyDescent="0.3">
      <c r="A1498">
        <v>6885</v>
      </c>
      <c r="B1498">
        <v>1977</v>
      </c>
      <c r="C1498" t="s">
        <v>29</v>
      </c>
      <c r="D1498" t="s">
        <v>35</v>
      </c>
      <c r="E1498">
        <v>32952</v>
      </c>
      <c r="F1498">
        <v>1</v>
      </c>
      <c r="G1498">
        <v>0</v>
      </c>
      <c r="H1498" s="1">
        <v>41609</v>
      </c>
      <c r="I1498">
        <v>36</v>
      </c>
      <c r="J1498">
        <v>38</v>
      </c>
      <c r="K1498">
        <v>0</v>
      </c>
      <c r="L1498">
        <v>12</v>
      </c>
      <c r="M1498">
        <v>3</v>
      </c>
      <c r="N1498">
        <v>1</v>
      </c>
      <c r="O1498">
        <v>1</v>
      </c>
      <c r="P1498">
        <v>1</v>
      </c>
      <c r="Q1498">
        <v>2</v>
      </c>
      <c r="R1498">
        <v>0</v>
      </c>
      <c r="S1498">
        <v>3</v>
      </c>
      <c r="T1498">
        <v>7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3</v>
      </c>
      <c r="AB1498">
        <v>11</v>
      </c>
      <c r="AC1498">
        <v>0</v>
      </c>
      <c r="AD1498" t="str">
        <f t="shared" si="299"/>
        <v>Ok</v>
      </c>
      <c r="AE1498" t="str">
        <f>IF(AND(Audit_Data[[#This Row],[Year_Birth]]&gt;=1900,Audit_Data[[#This Row],[Year_Birth]]&lt;=2010),"OK","Invalid")</f>
        <v>OK</v>
      </c>
      <c r="AF1498" t="str">
        <f t="shared" si="300"/>
        <v>Valid</v>
      </c>
      <c r="AG1498" t="str">
        <f t="shared" si="301"/>
        <v>Valid</v>
      </c>
      <c r="AH1498" t="str">
        <f t="shared" si="302"/>
        <v>Valid</v>
      </c>
      <c r="AI1498" t="str">
        <f t="shared" si="303"/>
        <v>Valid</v>
      </c>
      <c r="AJ1498" t="str">
        <f t="shared" si="304"/>
        <v>Valid</v>
      </c>
      <c r="AK1498" t="str">
        <f t="shared" si="311"/>
        <v xml:space="preserve">Valid </v>
      </c>
      <c r="AL1498" t="str">
        <f>IF(AND(Audit_Data[[#This Row],[Recency]]&gt;=0,Audit_Data[[#This Row],[Recency]]&lt;=100),"Valid","Invalid")</f>
        <v>Valid</v>
      </c>
      <c r="AM1498" t="str">
        <f t="shared" si="305"/>
        <v>Valid</v>
      </c>
      <c r="AN1498" t="str">
        <f t="shared" si="306"/>
        <v>Valid</v>
      </c>
      <c r="AO1498" t="str">
        <f t="shared" si="307"/>
        <v>Valid</v>
      </c>
      <c r="AP1498" t="str">
        <f t="shared" si="308"/>
        <v>Valid</v>
      </c>
      <c r="AQ1498" t="str">
        <f>IF(Audit_Data[[#This Row],[Z_CostContact]]=3,"Valid","Invalid")</f>
        <v>Valid</v>
      </c>
      <c r="AR1498" t="str">
        <f t="shared" si="309"/>
        <v>Valid</v>
      </c>
      <c r="AS1498" t="str">
        <f t="shared" si="310"/>
        <v>Valid</v>
      </c>
    </row>
    <row r="1499" spans="1:45" x14ac:dyDescent="0.3">
      <c r="A1499">
        <v>2072</v>
      </c>
      <c r="B1499">
        <v>1969</v>
      </c>
      <c r="C1499" t="s">
        <v>32</v>
      </c>
      <c r="D1499" t="s">
        <v>31</v>
      </c>
      <c r="E1499">
        <v>53374</v>
      </c>
      <c r="F1499">
        <v>0</v>
      </c>
      <c r="G1499">
        <v>1</v>
      </c>
      <c r="H1499" s="1">
        <v>41137</v>
      </c>
      <c r="I1499">
        <v>34</v>
      </c>
      <c r="J1499">
        <v>896</v>
      </c>
      <c r="K1499">
        <v>10</v>
      </c>
      <c r="L1499">
        <v>101</v>
      </c>
      <c r="M1499">
        <v>13</v>
      </c>
      <c r="N1499">
        <v>10</v>
      </c>
      <c r="O1499">
        <v>34</v>
      </c>
      <c r="P1499">
        <v>6</v>
      </c>
      <c r="Q1499">
        <v>4</v>
      </c>
      <c r="R1499">
        <v>2</v>
      </c>
      <c r="S1499">
        <v>9</v>
      </c>
      <c r="T1499">
        <v>9</v>
      </c>
      <c r="U1499">
        <v>1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3</v>
      </c>
      <c r="AB1499">
        <v>11</v>
      </c>
      <c r="AC1499">
        <v>1</v>
      </c>
      <c r="AD1499" t="str">
        <f t="shared" si="299"/>
        <v>Ok</v>
      </c>
      <c r="AE1499" t="str">
        <f>IF(AND(Audit_Data[[#This Row],[Year_Birth]]&gt;=1900,Audit_Data[[#This Row],[Year_Birth]]&lt;=2010),"OK","Invalid")</f>
        <v>OK</v>
      </c>
      <c r="AF1499" t="str">
        <f t="shared" si="300"/>
        <v>Valid</v>
      </c>
      <c r="AG1499" t="str">
        <f t="shared" si="301"/>
        <v>Valid</v>
      </c>
      <c r="AH1499" t="str">
        <f t="shared" si="302"/>
        <v>Valid</v>
      </c>
      <c r="AI1499" t="str">
        <f t="shared" si="303"/>
        <v>Valid</v>
      </c>
      <c r="AJ1499" t="str">
        <f t="shared" si="304"/>
        <v>Valid</v>
      </c>
      <c r="AK1499" t="str">
        <f t="shared" si="311"/>
        <v xml:space="preserve">Valid </v>
      </c>
      <c r="AL1499" t="str">
        <f>IF(AND(Audit_Data[[#This Row],[Recency]]&gt;=0,Audit_Data[[#This Row],[Recency]]&lt;=100),"Valid","Invalid")</f>
        <v>Valid</v>
      </c>
      <c r="AM1499" t="str">
        <f t="shared" si="305"/>
        <v>Valid</v>
      </c>
      <c r="AN1499" t="str">
        <f t="shared" si="306"/>
        <v>Valid</v>
      </c>
      <c r="AO1499" t="str">
        <f t="shared" si="307"/>
        <v>Valid</v>
      </c>
      <c r="AP1499" t="str">
        <f t="shared" si="308"/>
        <v>Valid</v>
      </c>
      <c r="AQ1499" t="str">
        <f>IF(Audit_Data[[#This Row],[Z_CostContact]]=3,"Valid","Invalid")</f>
        <v>Valid</v>
      </c>
      <c r="AR1499" t="str">
        <f t="shared" si="309"/>
        <v>Valid</v>
      </c>
      <c r="AS1499" t="str">
        <f t="shared" si="310"/>
        <v>Valid</v>
      </c>
    </row>
    <row r="1500" spans="1:45" x14ac:dyDescent="0.3">
      <c r="A1500">
        <v>9463</v>
      </c>
      <c r="B1500">
        <v>1959</v>
      </c>
      <c r="C1500" t="s">
        <v>29</v>
      </c>
      <c r="D1500" t="s">
        <v>31</v>
      </c>
      <c r="E1500">
        <v>71706</v>
      </c>
      <c r="F1500">
        <v>0</v>
      </c>
      <c r="G1500">
        <v>1</v>
      </c>
      <c r="H1500" s="1">
        <v>41226</v>
      </c>
      <c r="I1500">
        <v>16</v>
      </c>
      <c r="J1500">
        <v>931</v>
      </c>
      <c r="K1500">
        <v>56</v>
      </c>
      <c r="L1500">
        <v>253</v>
      </c>
      <c r="M1500">
        <v>91</v>
      </c>
      <c r="N1500">
        <v>98</v>
      </c>
      <c r="O1500">
        <v>14</v>
      </c>
      <c r="P1500">
        <v>4</v>
      </c>
      <c r="Q1500">
        <v>9</v>
      </c>
      <c r="R1500">
        <v>5</v>
      </c>
      <c r="S1500">
        <v>7</v>
      </c>
      <c r="T1500">
        <v>5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3</v>
      </c>
      <c r="AB1500">
        <v>11</v>
      </c>
      <c r="AC1500">
        <v>0</v>
      </c>
      <c r="AD1500" t="str">
        <f t="shared" si="299"/>
        <v>Ok</v>
      </c>
      <c r="AE1500" t="str">
        <f>IF(AND(Audit_Data[[#This Row],[Year_Birth]]&gt;=1900,Audit_Data[[#This Row],[Year_Birth]]&lt;=2010),"OK","Invalid")</f>
        <v>OK</v>
      </c>
      <c r="AF1500" t="str">
        <f t="shared" si="300"/>
        <v>Valid</v>
      </c>
      <c r="AG1500" t="str">
        <f t="shared" si="301"/>
        <v>Valid</v>
      </c>
      <c r="AH1500" t="str">
        <f t="shared" si="302"/>
        <v>Valid</v>
      </c>
      <c r="AI1500" t="str">
        <f t="shared" si="303"/>
        <v>Valid</v>
      </c>
      <c r="AJ1500" t="str">
        <f t="shared" si="304"/>
        <v>Valid</v>
      </c>
      <c r="AK1500" t="str">
        <f t="shared" si="311"/>
        <v xml:space="preserve">Valid </v>
      </c>
      <c r="AL1500" t="str">
        <f>IF(AND(Audit_Data[[#This Row],[Recency]]&gt;=0,Audit_Data[[#This Row],[Recency]]&lt;=100),"Valid","Invalid")</f>
        <v>Valid</v>
      </c>
      <c r="AM1500" t="str">
        <f t="shared" si="305"/>
        <v>Valid</v>
      </c>
      <c r="AN1500" t="str">
        <f t="shared" si="306"/>
        <v>Valid</v>
      </c>
      <c r="AO1500" t="str">
        <f t="shared" si="307"/>
        <v>Valid</v>
      </c>
      <c r="AP1500" t="str">
        <f t="shared" si="308"/>
        <v>Valid</v>
      </c>
      <c r="AQ1500" t="str">
        <f>IF(Audit_Data[[#This Row],[Z_CostContact]]=3,"Valid","Invalid")</f>
        <v>Valid</v>
      </c>
      <c r="AR1500" t="str">
        <f t="shared" si="309"/>
        <v>Valid</v>
      </c>
      <c r="AS1500" t="str">
        <f t="shared" si="310"/>
        <v>Valid</v>
      </c>
    </row>
    <row r="1501" spans="1:45" x14ac:dyDescent="0.3">
      <c r="A1501">
        <v>6318</v>
      </c>
      <c r="B1501">
        <v>1988</v>
      </c>
      <c r="C1501" t="s">
        <v>29</v>
      </c>
      <c r="D1501" t="s">
        <v>33</v>
      </c>
      <c r="E1501">
        <v>68487</v>
      </c>
      <c r="F1501">
        <v>0</v>
      </c>
      <c r="G1501">
        <v>0</v>
      </c>
      <c r="H1501" s="1">
        <v>41287</v>
      </c>
      <c r="I1501">
        <v>48</v>
      </c>
      <c r="J1501">
        <v>758</v>
      </c>
      <c r="K1501">
        <v>12</v>
      </c>
      <c r="L1501">
        <v>385</v>
      </c>
      <c r="M1501">
        <v>33</v>
      </c>
      <c r="N1501">
        <v>89</v>
      </c>
      <c r="O1501">
        <v>89</v>
      </c>
      <c r="P1501">
        <v>1</v>
      </c>
      <c r="Q1501">
        <v>9</v>
      </c>
      <c r="R1501">
        <v>7</v>
      </c>
      <c r="S1501">
        <v>13</v>
      </c>
      <c r="T1501">
        <v>4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3</v>
      </c>
      <c r="AB1501">
        <v>11</v>
      </c>
      <c r="AC1501">
        <v>0</v>
      </c>
      <c r="AD1501" t="str">
        <f t="shared" si="299"/>
        <v>Ok</v>
      </c>
      <c r="AE1501" t="str">
        <f>IF(AND(Audit_Data[[#This Row],[Year_Birth]]&gt;=1900,Audit_Data[[#This Row],[Year_Birth]]&lt;=2010),"OK","Invalid")</f>
        <v>OK</v>
      </c>
      <c r="AF1501" t="str">
        <f t="shared" si="300"/>
        <v>Valid</v>
      </c>
      <c r="AG1501" t="str">
        <f t="shared" si="301"/>
        <v>Valid</v>
      </c>
      <c r="AH1501" t="str">
        <f t="shared" si="302"/>
        <v>Valid</v>
      </c>
      <c r="AI1501" t="str">
        <f t="shared" si="303"/>
        <v>Valid</v>
      </c>
      <c r="AJ1501" t="str">
        <f t="shared" si="304"/>
        <v>Valid</v>
      </c>
      <c r="AK1501" t="str">
        <f t="shared" si="311"/>
        <v xml:space="preserve">Valid </v>
      </c>
      <c r="AL1501" t="str">
        <f>IF(AND(Audit_Data[[#This Row],[Recency]]&gt;=0,Audit_Data[[#This Row],[Recency]]&lt;=100),"Valid","Invalid")</f>
        <v>Valid</v>
      </c>
      <c r="AM1501" t="str">
        <f t="shared" si="305"/>
        <v>Valid</v>
      </c>
      <c r="AN1501" t="str">
        <f t="shared" si="306"/>
        <v>Valid</v>
      </c>
      <c r="AO1501" t="str">
        <f t="shared" si="307"/>
        <v>Valid</v>
      </c>
      <c r="AP1501" t="str">
        <f t="shared" si="308"/>
        <v>Valid</v>
      </c>
      <c r="AQ1501" t="str">
        <f>IF(Audit_Data[[#This Row],[Z_CostContact]]=3,"Valid","Invalid")</f>
        <v>Valid</v>
      </c>
      <c r="AR1501" t="str">
        <f t="shared" si="309"/>
        <v>Valid</v>
      </c>
      <c r="AS1501" t="str">
        <f t="shared" si="310"/>
        <v>Valid</v>
      </c>
    </row>
    <row r="1502" spans="1:45" x14ac:dyDescent="0.3">
      <c r="A1502">
        <v>4093</v>
      </c>
      <c r="B1502">
        <v>1975</v>
      </c>
      <c r="C1502" t="s">
        <v>34</v>
      </c>
      <c r="D1502" t="s">
        <v>31</v>
      </c>
      <c r="E1502">
        <v>53253</v>
      </c>
      <c r="F1502">
        <v>1</v>
      </c>
      <c r="G1502">
        <v>1</v>
      </c>
      <c r="H1502" s="1">
        <v>41316</v>
      </c>
      <c r="I1502">
        <v>61</v>
      </c>
      <c r="J1502">
        <v>216</v>
      </c>
      <c r="K1502">
        <v>9</v>
      </c>
      <c r="L1502">
        <v>57</v>
      </c>
      <c r="M1502">
        <v>20</v>
      </c>
      <c r="N1502">
        <v>9</v>
      </c>
      <c r="O1502">
        <v>125</v>
      </c>
      <c r="P1502">
        <v>7</v>
      </c>
      <c r="Q1502">
        <v>4</v>
      </c>
      <c r="R1502">
        <v>3</v>
      </c>
      <c r="S1502">
        <v>5</v>
      </c>
      <c r="T1502">
        <v>5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3</v>
      </c>
      <c r="AB1502">
        <v>11</v>
      </c>
      <c r="AC1502">
        <v>0</v>
      </c>
      <c r="AD1502" t="str">
        <f t="shared" si="299"/>
        <v>Ok</v>
      </c>
      <c r="AE1502" t="str">
        <f>IF(AND(Audit_Data[[#This Row],[Year_Birth]]&gt;=1900,Audit_Data[[#This Row],[Year_Birth]]&lt;=2010),"OK","Invalid")</f>
        <v>OK</v>
      </c>
      <c r="AF1502" t="str">
        <f t="shared" si="300"/>
        <v>Valid</v>
      </c>
      <c r="AG1502" t="str">
        <f t="shared" si="301"/>
        <v>Valid</v>
      </c>
      <c r="AH1502" t="str">
        <f t="shared" si="302"/>
        <v>Valid</v>
      </c>
      <c r="AI1502" t="str">
        <f t="shared" si="303"/>
        <v>Valid</v>
      </c>
      <c r="AJ1502" t="str">
        <f t="shared" si="304"/>
        <v>Valid</v>
      </c>
      <c r="AK1502" t="str">
        <f t="shared" si="311"/>
        <v xml:space="preserve">Valid </v>
      </c>
      <c r="AL1502" t="str">
        <f>IF(AND(Audit_Data[[#This Row],[Recency]]&gt;=0,Audit_Data[[#This Row],[Recency]]&lt;=100),"Valid","Invalid")</f>
        <v>Valid</v>
      </c>
      <c r="AM1502" t="str">
        <f t="shared" si="305"/>
        <v>Valid</v>
      </c>
      <c r="AN1502" t="str">
        <f t="shared" si="306"/>
        <v>Valid</v>
      </c>
      <c r="AO1502" t="str">
        <f t="shared" si="307"/>
        <v>Valid</v>
      </c>
      <c r="AP1502" t="str">
        <f t="shared" si="308"/>
        <v>Valid</v>
      </c>
      <c r="AQ1502" t="str">
        <f>IF(Audit_Data[[#This Row],[Z_CostContact]]=3,"Valid","Invalid")</f>
        <v>Valid</v>
      </c>
      <c r="AR1502" t="str">
        <f t="shared" si="309"/>
        <v>Valid</v>
      </c>
      <c r="AS1502" t="str">
        <f t="shared" si="310"/>
        <v>Valid</v>
      </c>
    </row>
    <row r="1503" spans="1:45" x14ac:dyDescent="0.3">
      <c r="A1503">
        <v>5751</v>
      </c>
      <c r="B1503">
        <v>1973</v>
      </c>
      <c r="C1503" t="s">
        <v>37</v>
      </c>
      <c r="D1503" t="s">
        <v>35</v>
      </c>
      <c r="E1503">
        <v>31163</v>
      </c>
      <c r="F1503">
        <v>1</v>
      </c>
      <c r="G1503">
        <v>0</v>
      </c>
      <c r="H1503" s="1">
        <v>41683</v>
      </c>
      <c r="I1503">
        <v>54</v>
      </c>
      <c r="J1503">
        <v>2</v>
      </c>
      <c r="K1503">
        <v>3</v>
      </c>
      <c r="L1503">
        <v>10</v>
      </c>
      <c r="M1503">
        <v>11</v>
      </c>
      <c r="N1503">
        <v>2</v>
      </c>
      <c r="O1503">
        <v>10</v>
      </c>
      <c r="P1503">
        <v>1</v>
      </c>
      <c r="Q1503">
        <v>1</v>
      </c>
      <c r="R1503">
        <v>0</v>
      </c>
      <c r="S1503">
        <v>3</v>
      </c>
      <c r="T1503">
        <v>6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3</v>
      </c>
      <c r="AB1503">
        <v>11</v>
      </c>
      <c r="AC1503">
        <v>0</v>
      </c>
      <c r="AD1503" t="str">
        <f t="shared" si="299"/>
        <v>Ok</v>
      </c>
      <c r="AE1503" t="str">
        <f>IF(AND(Audit_Data[[#This Row],[Year_Birth]]&gt;=1900,Audit_Data[[#This Row],[Year_Birth]]&lt;=2010),"OK","Invalid")</f>
        <v>OK</v>
      </c>
      <c r="AF1503" t="str">
        <f t="shared" si="300"/>
        <v>Valid</v>
      </c>
      <c r="AG1503" t="str">
        <f t="shared" si="301"/>
        <v>Valid</v>
      </c>
      <c r="AH1503" t="str">
        <f t="shared" si="302"/>
        <v>Valid</v>
      </c>
      <c r="AI1503" t="str">
        <f t="shared" si="303"/>
        <v>Valid</v>
      </c>
      <c r="AJ1503" t="str">
        <f t="shared" si="304"/>
        <v>Valid</v>
      </c>
      <c r="AK1503" t="str">
        <f t="shared" si="311"/>
        <v xml:space="preserve">Valid </v>
      </c>
      <c r="AL1503" t="str">
        <f>IF(AND(Audit_Data[[#This Row],[Recency]]&gt;=0,Audit_Data[[#This Row],[Recency]]&lt;=100),"Valid","Invalid")</f>
        <v>Valid</v>
      </c>
      <c r="AM1503" t="str">
        <f t="shared" si="305"/>
        <v>Valid</v>
      </c>
      <c r="AN1503" t="str">
        <f t="shared" si="306"/>
        <v>Valid</v>
      </c>
      <c r="AO1503" t="str">
        <f t="shared" si="307"/>
        <v>Valid</v>
      </c>
      <c r="AP1503" t="str">
        <f t="shared" si="308"/>
        <v>Valid</v>
      </c>
      <c r="AQ1503" t="str">
        <f>IF(Audit_Data[[#This Row],[Z_CostContact]]=3,"Valid","Invalid")</f>
        <v>Valid</v>
      </c>
      <c r="AR1503" t="str">
        <f t="shared" si="309"/>
        <v>Valid</v>
      </c>
      <c r="AS1503" t="str">
        <f t="shared" si="310"/>
        <v>Valid</v>
      </c>
    </row>
    <row r="1504" spans="1:45" x14ac:dyDescent="0.3">
      <c r="A1504">
        <v>3340</v>
      </c>
      <c r="B1504">
        <v>1977</v>
      </c>
      <c r="C1504" t="s">
        <v>29</v>
      </c>
      <c r="D1504" t="s">
        <v>33</v>
      </c>
      <c r="E1504">
        <v>42014</v>
      </c>
      <c r="F1504">
        <v>1</v>
      </c>
      <c r="G1504">
        <v>0</v>
      </c>
      <c r="H1504" s="1">
        <v>41138</v>
      </c>
      <c r="I1504">
        <v>56</v>
      </c>
      <c r="J1504">
        <v>244</v>
      </c>
      <c r="K1504">
        <v>15</v>
      </c>
      <c r="L1504">
        <v>108</v>
      </c>
      <c r="M1504">
        <v>4</v>
      </c>
      <c r="N1504">
        <v>15</v>
      </c>
      <c r="O1504">
        <v>50</v>
      </c>
      <c r="P1504">
        <v>6</v>
      </c>
      <c r="Q1504">
        <v>7</v>
      </c>
      <c r="R1504">
        <v>1</v>
      </c>
      <c r="S1504">
        <v>6</v>
      </c>
      <c r="T1504">
        <v>8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3</v>
      </c>
      <c r="AB1504">
        <v>11</v>
      </c>
      <c r="AC1504">
        <v>1</v>
      </c>
      <c r="AD1504" t="str">
        <f t="shared" si="299"/>
        <v>Ok</v>
      </c>
      <c r="AE1504" t="str">
        <f>IF(AND(Audit_Data[[#This Row],[Year_Birth]]&gt;=1900,Audit_Data[[#This Row],[Year_Birth]]&lt;=2010),"OK","Invalid")</f>
        <v>OK</v>
      </c>
      <c r="AF1504" t="str">
        <f t="shared" si="300"/>
        <v>Valid</v>
      </c>
      <c r="AG1504" t="str">
        <f t="shared" si="301"/>
        <v>Valid</v>
      </c>
      <c r="AH1504" t="str">
        <f t="shared" si="302"/>
        <v>Valid</v>
      </c>
      <c r="AI1504" t="str">
        <f t="shared" si="303"/>
        <v>Valid</v>
      </c>
      <c r="AJ1504" t="str">
        <f t="shared" si="304"/>
        <v>Valid</v>
      </c>
      <c r="AK1504" t="str">
        <f t="shared" si="311"/>
        <v xml:space="preserve">Valid </v>
      </c>
      <c r="AL1504" t="str">
        <f>IF(AND(Audit_Data[[#This Row],[Recency]]&gt;=0,Audit_Data[[#This Row],[Recency]]&lt;=100),"Valid","Invalid")</f>
        <v>Valid</v>
      </c>
      <c r="AM1504" t="str">
        <f t="shared" si="305"/>
        <v>Valid</v>
      </c>
      <c r="AN1504" t="str">
        <f t="shared" si="306"/>
        <v>Valid</v>
      </c>
      <c r="AO1504" t="str">
        <f t="shared" si="307"/>
        <v>Valid</v>
      </c>
      <c r="AP1504" t="str">
        <f t="shared" si="308"/>
        <v>Valid</v>
      </c>
      <c r="AQ1504" t="str">
        <f>IF(Audit_Data[[#This Row],[Z_CostContact]]=3,"Valid","Invalid")</f>
        <v>Valid</v>
      </c>
      <c r="AR1504" t="str">
        <f t="shared" si="309"/>
        <v>Valid</v>
      </c>
      <c r="AS1504" t="str">
        <f t="shared" si="310"/>
        <v>Valid</v>
      </c>
    </row>
    <row r="1505" spans="1:45" x14ac:dyDescent="0.3">
      <c r="A1505">
        <v>3594</v>
      </c>
      <c r="B1505">
        <v>1973</v>
      </c>
      <c r="C1505" t="s">
        <v>34</v>
      </c>
      <c r="D1505" t="s">
        <v>33</v>
      </c>
      <c r="E1505">
        <v>54108</v>
      </c>
      <c r="F1505">
        <v>1</v>
      </c>
      <c r="G1505">
        <v>1</v>
      </c>
      <c r="H1505" s="1">
        <v>41218</v>
      </c>
      <c r="I1505">
        <v>74</v>
      </c>
      <c r="J1505">
        <v>539</v>
      </c>
      <c r="K1505">
        <v>6</v>
      </c>
      <c r="L1505">
        <v>91</v>
      </c>
      <c r="M1505">
        <v>8</v>
      </c>
      <c r="N1505">
        <v>6</v>
      </c>
      <c r="O1505">
        <v>97</v>
      </c>
      <c r="P1505">
        <v>13</v>
      </c>
      <c r="Q1505">
        <v>8</v>
      </c>
      <c r="R1505">
        <v>2</v>
      </c>
      <c r="S1505">
        <v>9</v>
      </c>
      <c r="T1505">
        <v>8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3</v>
      </c>
      <c r="AB1505">
        <v>11</v>
      </c>
      <c r="AC1505">
        <v>0</v>
      </c>
      <c r="AD1505" t="str">
        <f t="shared" si="299"/>
        <v>Ok</v>
      </c>
      <c r="AE1505" t="str">
        <f>IF(AND(Audit_Data[[#This Row],[Year_Birth]]&gt;=1900,Audit_Data[[#This Row],[Year_Birth]]&lt;=2010),"OK","Invalid")</f>
        <v>OK</v>
      </c>
      <c r="AF1505" t="str">
        <f t="shared" si="300"/>
        <v>Valid</v>
      </c>
      <c r="AG1505" t="str">
        <f t="shared" si="301"/>
        <v>Valid</v>
      </c>
      <c r="AH1505" t="str">
        <f t="shared" si="302"/>
        <v>Valid</v>
      </c>
      <c r="AI1505" t="str">
        <f t="shared" si="303"/>
        <v>Valid</v>
      </c>
      <c r="AJ1505" t="str">
        <f t="shared" si="304"/>
        <v>Valid</v>
      </c>
      <c r="AK1505" t="str">
        <f t="shared" si="311"/>
        <v xml:space="preserve">Valid </v>
      </c>
      <c r="AL1505" t="str">
        <f>IF(AND(Audit_Data[[#This Row],[Recency]]&gt;=0,Audit_Data[[#This Row],[Recency]]&lt;=100),"Valid","Invalid")</f>
        <v>Valid</v>
      </c>
      <c r="AM1505" t="str">
        <f t="shared" si="305"/>
        <v>Valid</v>
      </c>
      <c r="AN1505" t="str">
        <f t="shared" si="306"/>
        <v>Valid</v>
      </c>
      <c r="AO1505" t="str">
        <f t="shared" si="307"/>
        <v>Valid</v>
      </c>
      <c r="AP1505" t="str">
        <f t="shared" si="308"/>
        <v>Valid</v>
      </c>
      <c r="AQ1505" t="str">
        <f>IF(Audit_Data[[#This Row],[Z_CostContact]]=3,"Valid","Invalid")</f>
        <v>Valid</v>
      </c>
      <c r="AR1505" t="str">
        <f t="shared" si="309"/>
        <v>Valid</v>
      </c>
      <c r="AS1505" t="str">
        <f t="shared" si="310"/>
        <v>Valid</v>
      </c>
    </row>
    <row r="1506" spans="1:45" x14ac:dyDescent="0.3">
      <c r="A1506">
        <v>3584</v>
      </c>
      <c r="B1506">
        <v>1955</v>
      </c>
      <c r="C1506" t="s">
        <v>32</v>
      </c>
      <c r="D1506" t="s">
        <v>30</v>
      </c>
      <c r="E1506">
        <v>49667</v>
      </c>
      <c r="F1506">
        <v>0</v>
      </c>
      <c r="G1506">
        <v>0</v>
      </c>
      <c r="H1506" s="1">
        <v>41141</v>
      </c>
      <c r="I1506">
        <v>35</v>
      </c>
      <c r="J1506">
        <v>1181</v>
      </c>
      <c r="K1506">
        <v>26</v>
      </c>
      <c r="L1506">
        <v>120</v>
      </c>
      <c r="M1506">
        <v>17</v>
      </c>
      <c r="N1506">
        <v>13</v>
      </c>
      <c r="O1506">
        <v>39</v>
      </c>
      <c r="P1506">
        <v>2</v>
      </c>
      <c r="Q1506">
        <v>5</v>
      </c>
      <c r="R1506">
        <v>10</v>
      </c>
      <c r="S1506">
        <v>5</v>
      </c>
      <c r="T1506">
        <v>8</v>
      </c>
      <c r="U1506">
        <v>1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3</v>
      </c>
      <c r="AB1506">
        <v>11</v>
      </c>
      <c r="AC1506">
        <v>1</v>
      </c>
      <c r="AD1506" t="str">
        <f t="shared" si="299"/>
        <v>Ok</v>
      </c>
      <c r="AE1506" t="str">
        <f>IF(AND(Audit_Data[[#This Row],[Year_Birth]]&gt;=1900,Audit_Data[[#This Row],[Year_Birth]]&lt;=2010),"OK","Invalid")</f>
        <v>OK</v>
      </c>
      <c r="AF1506" t="str">
        <f t="shared" si="300"/>
        <v>Valid</v>
      </c>
      <c r="AG1506" t="str">
        <f t="shared" si="301"/>
        <v>Valid</v>
      </c>
      <c r="AH1506" t="str">
        <f t="shared" si="302"/>
        <v>Valid</v>
      </c>
      <c r="AI1506" t="str">
        <f t="shared" si="303"/>
        <v>Valid</v>
      </c>
      <c r="AJ1506" t="str">
        <f t="shared" si="304"/>
        <v>Valid</v>
      </c>
      <c r="AK1506" t="str">
        <f t="shared" si="311"/>
        <v xml:space="preserve">Valid </v>
      </c>
      <c r="AL1506" t="str">
        <f>IF(AND(Audit_Data[[#This Row],[Recency]]&gt;=0,Audit_Data[[#This Row],[Recency]]&lt;=100),"Valid","Invalid")</f>
        <v>Valid</v>
      </c>
      <c r="AM1506" t="str">
        <f t="shared" si="305"/>
        <v>Valid</v>
      </c>
      <c r="AN1506" t="str">
        <f t="shared" si="306"/>
        <v>Valid</v>
      </c>
      <c r="AO1506" t="str">
        <f t="shared" si="307"/>
        <v>Valid</v>
      </c>
      <c r="AP1506" t="str">
        <f t="shared" si="308"/>
        <v>Valid</v>
      </c>
      <c r="AQ1506" t="str">
        <f>IF(Audit_Data[[#This Row],[Z_CostContact]]=3,"Valid","Invalid")</f>
        <v>Valid</v>
      </c>
      <c r="AR1506" t="str">
        <f t="shared" si="309"/>
        <v>Valid</v>
      </c>
      <c r="AS1506" t="str">
        <f t="shared" si="310"/>
        <v>Valid</v>
      </c>
    </row>
    <row r="1507" spans="1:45" x14ac:dyDescent="0.3">
      <c r="A1507">
        <v>3643</v>
      </c>
      <c r="B1507">
        <v>1974</v>
      </c>
      <c r="C1507" t="s">
        <v>34</v>
      </c>
      <c r="D1507" t="s">
        <v>33</v>
      </c>
      <c r="E1507">
        <v>63206</v>
      </c>
      <c r="F1507">
        <v>0</v>
      </c>
      <c r="G1507">
        <v>0</v>
      </c>
      <c r="H1507" s="1">
        <v>41718</v>
      </c>
      <c r="I1507">
        <v>65</v>
      </c>
      <c r="J1507">
        <v>750</v>
      </c>
      <c r="K1507">
        <v>8</v>
      </c>
      <c r="L1507">
        <v>125</v>
      </c>
      <c r="M1507">
        <v>11</v>
      </c>
      <c r="N1507">
        <v>8</v>
      </c>
      <c r="O1507">
        <v>26</v>
      </c>
      <c r="P1507">
        <v>1</v>
      </c>
      <c r="Q1507">
        <v>4</v>
      </c>
      <c r="R1507">
        <v>3</v>
      </c>
      <c r="S1507">
        <v>6</v>
      </c>
      <c r="T1507">
        <v>2</v>
      </c>
      <c r="U1507">
        <v>0</v>
      </c>
      <c r="V1507">
        <v>0</v>
      </c>
      <c r="W1507">
        <v>1</v>
      </c>
      <c r="X1507">
        <v>0</v>
      </c>
      <c r="Y1507">
        <v>0</v>
      </c>
      <c r="Z1507">
        <v>0</v>
      </c>
      <c r="AA1507">
        <v>3</v>
      </c>
      <c r="AB1507">
        <v>11</v>
      </c>
      <c r="AC1507">
        <v>0</v>
      </c>
      <c r="AD1507" t="str">
        <f t="shared" si="299"/>
        <v>Ok</v>
      </c>
      <c r="AE1507" t="str">
        <f>IF(AND(Audit_Data[[#This Row],[Year_Birth]]&gt;=1900,Audit_Data[[#This Row],[Year_Birth]]&lt;=2010),"OK","Invalid")</f>
        <v>OK</v>
      </c>
      <c r="AF1507" t="str">
        <f t="shared" si="300"/>
        <v>Valid</v>
      </c>
      <c r="AG1507" t="str">
        <f t="shared" si="301"/>
        <v>Valid</v>
      </c>
      <c r="AH1507" t="str">
        <f t="shared" si="302"/>
        <v>Valid</v>
      </c>
      <c r="AI1507" t="str">
        <f t="shared" si="303"/>
        <v>Valid</v>
      </c>
      <c r="AJ1507" t="str">
        <f t="shared" si="304"/>
        <v>Valid</v>
      </c>
      <c r="AK1507" t="str">
        <f t="shared" si="311"/>
        <v xml:space="preserve">Valid </v>
      </c>
      <c r="AL1507" t="str">
        <f>IF(AND(Audit_Data[[#This Row],[Recency]]&gt;=0,Audit_Data[[#This Row],[Recency]]&lt;=100),"Valid","Invalid")</f>
        <v>Valid</v>
      </c>
      <c r="AM1507" t="str">
        <f t="shared" si="305"/>
        <v>Valid</v>
      </c>
      <c r="AN1507" t="str">
        <f t="shared" si="306"/>
        <v>Valid</v>
      </c>
      <c r="AO1507" t="str">
        <f t="shared" si="307"/>
        <v>Valid</v>
      </c>
      <c r="AP1507" t="str">
        <f t="shared" si="308"/>
        <v>Valid</v>
      </c>
      <c r="AQ1507" t="str">
        <f>IF(Audit_Data[[#This Row],[Z_CostContact]]=3,"Valid","Invalid")</f>
        <v>Valid</v>
      </c>
      <c r="AR1507" t="str">
        <f t="shared" si="309"/>
        <v>Valid</v>
      </c>
      <c r="AS1507" t="str">
        <f t="shared" si="310"/>
        <v>Valid</v>
      </c>
    </row>
    <row r="1508" spans="1:45" x14ac:dyDescent="0.3">
      <c r="A1508">
        <v>851</v>
      </c>
      <c r="B1508">
        <v>1972</v>
      </c>
      <c r="C1508" t="s">
        <v>34</v>
      </c>
      <c r="D1508" t="s">
        <v>33</v>
      </c>
      <c r="E1508">
        <v>57136</v>
      </c>
      <c r="F1508">
        <v>1</v>
      </c>
      <c r="G1508">
        <v>1</v>
      </c>
      <c r="H1508" s="1">
        <v>41464</v>
      </c>
      <c r="I1508">
        <v>48</v>
      </c>
      <c r="J1508">
        <v>306</v>
      </c>
      <c r="K1508">
        <v>5</v>
      </c>
      <c r="L1508">
        <v>109</v>
      </c>
      <c r="M1508">
        <v>21</v>
      </c>
      <c r="N1508">
        <v>109</v>
      </c>
      <c r="O1508">
        <v>92</v>
      </c>
      <c r="P1508">
        <v>9</v>
      </c>
      <c r="Q1508">
        <v>5</v>
      </c>
      <c r="R1508">
        <v>2</v>
      </c>
      <c r="S1508">
        <v>10</v>
      </c>
      <c r="T1508">
        <v>6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3</v>
      </c>
      <c r="AB1508">
        <v>11</v>
      </c>
      <c r="AC1508">
        <v>0</v>
      </c>
      <c r="AD1508" t="str">
        <f t="shared" si="299"/>
        <v>Ok</v>
      </c>
      <c r="AE1508" t="str">
        <f>IF(AND(Audit_Data[[#This Row],[Year_Birth]]&gt;=1900,Audit_Data[[#This Row],[Year_Birth]]&lt;=2010),"OK","Invalid")</f>
        <v>OK</v>
      </c>
      <c r="AF1508" t="str">
        <f t="shared" si="300"/>
        <v>Valid</v>
      </c>
      <c r="AG1508" t="str">
        <f t="shared" si="301"/>
        <v>Valid</v>
      </c>
      <c r="AH1508" t="str">
        <f t="shared" si="302"/>
        <v>Valid</v>
      </c>
      <c r="AI1508" t="str">
        <f t="shared" si="303"/>
        <v>Valid</v>
      </c>
      <c r="AJ1508" t="str">
        <f t="shared" si="304"/>
        <v>Valid</v>
      </c>
      <c r="AK1508" t="str">
        <f t="shared" si="311"/>
        <v xml:space="preserve">Valid </v>
      </c>
      <c r="AL1508" t="str">
        <f>IF(AND(Audit_Data[[#This Row],[Recency]]&gt;=0,Audit_Data[[#This Row],[Recency]]&lt;=100),"Valid","Invalid")</f>
        <v>Valid</v>
      </c>
      <c r="AM1508" t="str">
        <f t="shared" si="305"/>
        <v>Valid</v>
      </c>
      <c r="AN1508" t="str">
        <f t="shared" si="306"/>
        <v>Valid</v>
      </c>
      <c r="AO1508" t="str">
        <f t="shared" si="307"/>
        <v>Valid</v>
      </c>
      <c r="AP1508" t="str">
        <f t="shared" si="308"/>
        <v>Valid</v>
      </c>
      <c r="AQ1508" t="str">
        <f>IF(Audit_Data[[#This Row],[Z_CostContact]]=3,"Valid","Invalid")</f>
        <v>Valid</v>
      </c>
      <c r="AR1508" t="str">
        <f t="shared" si="309"/>
        <v>Valid</v>
      </c>
      <c r="AS1508" t="str">
        <f t="shared" si="310"/>
        <v>Valid</v>
      </c>
    </row>
    <row r="1509" spans="1:45" x14ac:dyDescent="0.3">
      <c r="A1509">
        <v>7706</v>
      </c>
      <c r="B1509">
        <v>1975</v>
      </c>
      <c r="C1509" t="s">
        <v>37</v>
      </c>
      <c r="D1509" t="s">
        <v>31</v>
      </c>
      <c r="E1509">
        <v>46772</v>
      </c>
      <c r="F1509">
        <v>0</v>
      </c>
      <c r="G1509">
        <v>1</v>
      </c>
      <c r="H1509" s="1">
        <v>41220</v>
      </c>
      <c r="I1509">
        <v>88</v>
      </c>
      <c r="J1509">
        <v>350</v>
      </c>
      <c r="K1509">
        <v>104</v>
      </c>
      <c r="L1509">
        <v>189</v>
      </c>
      <c r="M1509">
        <v>197</v>
      </c>
      <c r="N1509">
        <v>151</v>
      </c>
      <c r="O1509">
        <v>57</v>
      </c>
      <c r="P1509">
        <v>6</v>
      </c>
      <c r="Q1509">
        <v>11</v>
      </c>
      <c r="R1509">
        <v>8</v>
      </c>
      <c r="S1509">
        <v>5</v>
      </c>
      <c r="T1509">
        <v>8</v>
      </c>
      <c r="U1509">
        <v>1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3</v>
      </c>
      <c r="AB1509">
        <v>11</v>
      </c>
      <c r="AC1509">
        <v>0</v>
      </c>
      <c r="AD1509" t="str">
        <f t="shared" si="299"/>
        <v>Ok</v>
      </c>
      <c r="AE1509" t="str">
        <f>IF(AND(Audit_Data[[#This Row],[Year_Birth]]&gt;=1900,Audit_Data[[#This Row],[Year_Birth]]&lt;=2010),"OK","Invalid")</f>
        <v>OK</v>
      </c>
      <c r="AF1509" t="str">
        <f t="shared" si="300"/>
        <v>Valid</v>
      </c>
      <c r="AG1509" t="str">
        <f t="shared" si="301"/>
        <v>Valid</v>
      </c>
      <c r="AH1509" t="str">
        <f t="shared" si="302"/>
        <v>Valid</v>
      </c>
      <c r="AI1509" t="str">
        <f t="shared" si="303"/>
        <v>Valid</v>
      </c>
      <c r="AJ1509" t="str">
        <f t="shared" si="304"/>
        <v>Valid</v>
      </c>
      <c r="AK1509" t="str">
        <f t="shared" si="311"/>
        <v xml:space="preserve">Valid </v>
      </c>
      <c r="AL1509" t="str">
        <f>IF(AND(Audit_Data[[#This Row],[Recency]]&gt;=0,Audit_Data[[#This Row],[Recency]]&lt;=100),"Valid","Invalid")</f>
        <v>Valid</v>
      </c>
      <c r="AM1509" t="str">
        <f t="shared" si="305"/>
        <v>Valid</v>
      </c>
      <c r="AN1509" t="str">
        <f t="shared" si="306"/>
        <v>Valid</v>
      </c>
      <c r="AO1509" t="str">
        <f t="shared" si="307"/>
        <v>Valid</v>
      </c>
      <c r="AP1509" t="str">
        <f t="shared" si="308"/>
        <v>Valid</v>
      </c>
      <c r="AQ1509" t="str">
        <f>IF(Audit_Data[[#This Row],[Z_CostContact]]=3,"Valid","Invalid")</f>
        <v>Valid</v>
      </c>
      <c r="AR1509" t="str">
        <f t="shared" si="309"/>
        <v>Valid</v>
      </c>
      <c r="AS1509" t="str">
        <f t="shared" si="310"/>
        <v>Valid</v>
      </c>
    </row>
    <row r="1510" spans="1:45" x14ac:dyDescent="0.3">
      <c r="A1510">
        <v>3967</v>
      </c>
      <c r="B1510">
        <v>1971</v>
      </c>
      <c r="C1510" t="s">
        <v>32</v>
      </c>
      <c r="D1510" t="s">
        <v>33</v>
      </c>
      <c r="E1510">
        <v>78931</v>
      </c>
      <c r="F1510">
        <v>0</v>
      </c>
      <c r="G1510">
        <v>0</v>
      </c>
      <c r="H1510" s="1">
        <v>41572</v>
      </c>
      <c r="I1510">
        <v>19</v>
      </c>
      <c r="J1510">
        <v>331</v>
      </c>
      <c r="K1510">
        <v>197</v>
      </c>
      <c r="L1510">
        <v>170</v>
      </c>
      <c r="M1510">
        <v>58</v>
      </c>
      <c r="N1510">
        <v>152</v>
      </c>
      <c r="O1510">
        <v>35</v>
      </c>
      <c r="P1510">
        <v>1</v>
      </c>
      <c r="Q1510">
        <v>2</v>
      </c>
      <c r="R1510">
        <v>8</v>
      </c>
      <c r="S1510">
        <v>13</v>
      </c>
      <c r="T1510">
        <v>1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3</v>
      </c>
      <c r="AB1510">
        <v>11</v>
      </c>
      <c r="AC1510">
        <v>0</v>
      </c>
      <c r="AD1510" t="str">
        <f t="shared" si="299"/>
        <v>Ok</v>
      </c>
      <c r="AE1510" t="str">
        <f>IF(AND(Audit_Data[[#This Row],[Year_Birth]]&gt;=1900,Audit_Data[[#This Row],[Year_Birth]]&lt;=2010),"OK","Invalid")</f>
        <v>OK</v>
      </c>
      <c r="AF1510" t="str">
        <f t="shared" si="300"/>
        <v>Valid</v>
      </c>
      <c r="AG1510" t="str">
        <f t="shared" si="301"/>
        <v>Valid</v>
      </c>
      <c r="AH1510" t="str">
        <f t="shared" si="302"/>
        <v>Valid</v>
      </c>
      <c r="AI1510" t="str">
        <f t="shared" si="303"/>
        <v>Valid</v>
      </c>
      <c r="AJ1510" t="str">
        <f t="shared" si="304"/>
        <v>Valid</v>
      </c>
      <c r="AK1510" t="str">
        <f t="shared" si="311"/>
        <v xml:space="preserve">Valid </v>
      </c>
      <c r="AL1510" t="str">
        <f>IF(AND(Audit_Data[[#This Row],[Recency]]&gt;=0,Audit_Data[[#This Row],[Recency]]&lt;=100),"Valid","Invalid")</f>
        <v>Valid</v>
      </c>
      <c r="AM1510" t="str">
        <f t="shared" si="305"/>
        <v>Valid</v>
      </c>
      <c r="AN1510" t="str">
        <f t="shared" si="306"/>
        <v>Valid</v>
      </c>
      <c r="AO1510" t="str">
        <f t="shared" si="307"/>
        <v>Valid</v>
      </c>
      <c r="AP1510" t="str">
        <f t="shared" si="308"/>
        <v>Valid</v>
      </c>
      <c r="AQ1510" t="str">
        <f>IF(Audit_Data[[#This Row],[Z_CostContact]]=3,"Valid","Invalid")</f>
        <v>Valid</v>
      </c>
      <c r="AR1510" t="str">
        <f t="shared" si="309"/>
        <v>Valid</v>
      </c>
      <c r="AS1510" t="str">
        <f t="shared" si="310"/>
        <v>Valid</v>
      </c>
    </row>
    <row r="1511" spans="1:45" x14ac:dyDescent="0.3">
      <c r="A1511">
        <v>10128</v>
      </c>
      <c r="B1511">
        <v>1958</v>
      </c>
      <c r="C1511" t="s">
        <v>29</v>
      </c>
      <c r="D1511" t="s">
        <v>31</v>
      </c>
      <c r="E1511">
        <v>53977</v>
      </c>
      <c r="F1511">
        <v>0</v>
      </c>
      <c r="G1511">
        <v>1</v>
      </c>
      <c r="H1511" s="1">
        <v>41433</v>
      </c>
      <c r="I1511">
        <v>21</v>
      </c>
      <c r="J1511">
        <v>620</v>
      </c>
      <c r="K1511">
        <v>16</v>
      </c>
      <c r="L1511">
        <v>165</v>
      </c>
      <c r="M1511">
        <v>0</v>
      </c>
      <c r="N1511">
        <v>24</v>
      </c>
      <c r="O1511">
        <v>82</v>
      </c>
      <c r="P1511">
        <v>5</v>
      </c>
      <c r="Q1511">
        <v>5</v>
      </c>
      <c r="R1511">
        <v>5</v>
      </c>
      <c r="S1511">
        <v>12</v>
      </c>
      <c r="T1511">
        <v>5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3</v>
      </c>
      <c r="AB1511">
        <v>11</v>
      </c>
      <c r="AC1511">
        <v>0</v>
      </c>
      <c r="AD1511" t="str">
        <f t="shared" si="299"/>
        <v>Ok</v>
      </c>
      <c r="AE1511" t="str">
        <f>IF(AND(Audit_Data[[#This Row],[Year_Birth]]&gt;=1900,Audit_Data[[#This Row],[Year_Birth]]&lt;=2010),"OK","Invalid")</f>
        <v>OK</v>
      </c>
      <c r="AF1511" t="str">
        <f t="shared" si="300"/>
        <v>Valid</v>
      </c>
      <c r="AG1511" t="str">
        <f t="shared" si="301"/>
        <v>Valid</v>
      </c>
      <c r="AH1511" t="str">
        <f t="shared" si="302"/>
        <v>Valid</v>
      </c>
      <c r="AI1511" t="str">
        <f t="shared" si="303"/>
        <v>Valid</v>
      </c>
      <c r="AJ1511" t="str">
        <f t="shared" si="304"/>
        <v>Valid</v>
      </c>
      <c r="AK1511" t="str">
        <f t="shared" si="311"/>
        <v xml:space="preserve">Valid </v>
      </c>
      <c r="AL1511" t="str">
        <f>IF(AND(Audit_Data[[#This Row],[Recency]]&gt;=0,Audit_Data[[#This Row],[Recency]]&lt;=100),"Valid","Invalid")</f>
        <v>Valid</v>
      </c>
      <c r="AM1511" t="str">
        <f t="shared" si="305"/>
        <v>Valid</v>
      </c>
      <c r="AN1511" t="str">
        <f t="shared" si="306"/>
        <v>Valid</v>
      </c>
      <c r="AO1511" t="str">
        <f t="shared" si="307"/>
        <v>Valid</v>
      </c>
      <c r="AP1511" t="str">
        <f t="shared" si="308"/>
        <v>Valid</v>
      </c>
      <c r="AQ1511" t="str">
        <f>IF(Audit_Data[[#This Row],[Z_CostContact]]=3,"Valid","Invalid")</f>
        <v>Valid</v>
      </c>
      <c r="AR1511" t="str">
        <f t="shared" si="309"/>
        <v>Valid</v>
      </c>
      <c r="AS1511" t="str">
        <f t="shared" si="310"/>
        <v>Valid</v>
      </c>
    </row>
    <row r="1512" spans="1:45" x14ac:dyDescent="0.3">
      <c r="A1512">
        <v>486</v>
      </c>
      <c r="B1512">
        <v>1988</v>
      </c>
      <c r="C1512" t="s">
        <v>29</v>
      </c>
      <c r="D1512" t="s">
        <v>33</v>
      </c>
      <c r="E1512">
        <v>84219</v>
      </c>
      <c r="F1512">
        <v>0</v>
      </c>
      <c r="G1512">
        <v>0</v>
      </c>
      <c r="H1512" s="1">
        <v>41672</v>
      </c>
      <c r="I1512">
        <v>27</v>
      </c>
      <c r="J1512">
        <v>434</v>
      </c>
      <c r="K1512">
        <v>137</v>
      </c>
      <c r="L1512">
        <v>400</v>
      </c>
      <c r="M1512">
        <v>45</v>
      </c>
      <c r="N1512">
        <v>137</v>
      </c>
      <c r="O1512">
        <v>45</v>
      </c>
      <c r="P1512">
        <v>1</v>
      </c>
      <c r="Q1512">
        <v>3</v>
      </c>
      <c r="R1512">
        <v>4</v>
      </c>
      <c r="S1512">
        <v>10</v>
      </c>
      <c r="T1512">
        <v>1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3</v>
      </c>
      <c r="AB1512">
        <v>11</v>
      </c>
      <c r="AC1512">
        <v>0</v>
      </c>
      <c r="AD1512" t="str">
        <f t="shared" si="299"/>
        <v>Ok</v>
      </c>
      <c r="AE1512" t="str">
        <f>IF(AND(Audit_Data[[#This Row],[Year_Birth]]&gt;=1900,Audit_Data[[#This Row],[Year_Birth]]&lt;=2010),"OK","Invalid")</f>
        <v>OK</v>
      </c>
      <c r="AF1512" t="str">
        <f t="shared" si="300"/>
        <v>Valid</v>
      </c>
      <c r="AG1512" t="str">
        <f t="shared" si="301"/>
        <v>Valid</v>
      </c>
      <c r="AH1512" t="str">
        <f t="shared" si="302"/>
        <v>Valid</v>
      </c>
      <c r="AI1512" t="str">
        <f t="shared" si="303"/>
        <v>Valid</v>
      </c>
      <c r="AJ1512" t="str">
        <f t="shared" si="304"/>
        <v>Valid</v>
      </c>
      <c r="AK1512" t="str">
        <f t="shared" si="311"/>
        <v xml:space="preserve">Valid </v>
      </c>
      <c r="AL1512" t="str">
        <f>IF(AND(Audit_Data[[#This Row],[Recency]]&gt;=0,Audit_Data[[#This Row],[Recency]]&lt;=100),"Valid","Invalid")</f>
        <v>Valid</v>
      </c>
      <c r="AM1512" t="str">
        <f t="shared" si="305"/>
        <v>Valid</v>
      </c>
      <c r="AN1512" t="str">
        <f t="shared" si="306"/>
        <v>Valid</v>
      </c>
      <c r="AO1512" t="str">
        <f t="shared" si="307"/>
        <v>Valid</v>
      </c>
      <c r="AP1512" t="str">
        <f t="shared" si="308"/>
        <v>Valid</v>
      </c>
      <c r="AQ1512" t="str">
        <f>IF(Audit_Data[[#This Row],[Z_CostContact]]=3,"Valid","Invalid")</f>
        <v>Valid</v>
      </c>
      <c r="AR1512" t="str">
        <f t="shared" si="309"/>
        <v>Valid</v>
      </c>
      <c r="AS1512" t="str">
        <f t="shared" si="310"/>
        <v>Valid</v>
      </c>
    </row>
    <row r="1513" spans="1:45" x14ac:dyDescent="0.3">
      <c r="A1513">
        <v>9</v>
      </c>
      <c r="B1513">
        <v>1975</v>
      </c>
      <c r="C1513" t="s">
        <v>34</v>
      </c>
      <c r="D1513" t="s">
        <v>30</v>
      </c>
      <c r="E1513">
        <v>46098</v>
      </c>
      <c r="F1513">
        <v>1</v>
      </c>
      <c r="G1513">
        <v>1</v>
      </c>
      <c r="H1513" s="1">
        <v>41139</v>
      </c>
      <c r="I1513">
        <v>86</v>
      </c>
      <c r="J1513">
        <v>57</v>
      </c>
      <c r="K1513">
        <v>0</v>
      </c>
      <c r="L1513">
        <v>27</v>
      </c>
      <c r="M1513">
        <v>0</v>
      </c>
      <c r="N1513">
        <v>0</v>
      </c>
      <c r="O1513">
        <v>36</v>
      </c>
      <c r="P1513">
        <v>4</v>
      </c>
      <c r="Q1513">
        <v>3</v>
      </c>
      <c r="R1513">
        <v>2</v>
      </c>
      <c r="S1513">
        <v>2</v>
      </c>
      <c r="T1513">
        <v>8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3</v>
      </c>
      <c r="AB1513">
        <v>11</v>
      </c>
      <c r="AC1513">
        <v>0</v>
      </c>
      <c r="AD1513" t="str">
        <f t="shared" si="299"/>
        <v>Ok</v>
      </c>
      <c r="AE1513" t="str">
        <f>IF(AND(Audit_Data[[#This Row],[Year_Birth]]&gt;=1900,Audit_Data[[#This Row],[Year_Birth]]&lt;=2010),"OK","Invalid")</f>
        <v>OK</v>
      </c>
      <c r="AF1513" t="str">
        <f t="shared" si="300"/>
        <v>Valid</v>
      </c>
      <c r="AG1513" t="str">
        <f t="shared" si="301"/>
        <v>Valid</v>
      </c>
      <c r="AH1513" t="str">
        <f t="shared" si="302"/>
        <v>Valid</v>
      </c>
      <c r="AI1513" t="str">
        <f t="shared" si="303"/>
        <v>Valid</v>
      </c>
      <c r="AJ1513" t="str">
        <f t="shared" si="304"/>
        <v>Valid</v>
      </c>
      <c r="AK1513" t="str">
        <f t="shared" si="311"/>
        <v xml:space="preserve">Valid </v>
      </c>
      <c r="AL1513" t="str">
        <f>IF(AND(Audit_Data[[#This Row],[Recency]]&gt;=0,Audit_Data[[#This Row],[Recency]]&lt;=100),"Valid","Invalid")</f>
        <v>Valid</v>
      </c>
      <c r="AM1513" t="str">
        <f t="shared" si="305"/>
        <v>Valid</v>
      </c>
      <c r="AN1513" t="str">
        <f t="shared" si="306"/>
        <v>Valid</v>
      </c>
      <c r="AO1513" t="str">
        <f t="shared" si="307"/>
        <v>Valid</v>
      </c>
      <c r="AP1513" t="str">
        <f t="shared" si="308"/>
        <v>Valid</v>
      </c>
      <c r="AQ1513" t="str">
        <f>IF(Audit_Data[[#This Row],[Z_CostContact]]=3,"Valid","Invalid")</f>
        <v>Valid</v>
      </c>
      <c r="AR1513" t="str">
        <f t="shared" si="309"/>
        <v>Valid</v>
      </c>
      <c r="AS1513" t="str">
        <f t="shared" si="310"/>
        <v>Valid</v>
      </c>
    </row>
    <row r="1514" spans="1:45" x14ac:dyDescent="0.3">
      <c r="A1514">
        <v>9451</v>
      </c>
      <c r="B1514">
        <v>1965</v>
      </c>
      <c r="C1514" t="s">
        <v>29</v>
      </c>
      <c r="D1514" t="s">
        <v>33</v>
      </c>
      <c r="E1514">
        <v>73538</v>
      </c>
      <c r="F1514">
        <v>0</v>
      </c>
      <c r="G1514">
        <v>1</v>
      </c>
      <c r="H1514" s="1">
        <v>41238</v>
      </c>
      <c r="I1514">
        <v>92</v>
      </c>
      <c r="J1514">
        <v>811</v>
      </c>
      <c r="K1514">
        <v>76</v>
      </c>
      <c r="L1514">
        <v>428</v>
      </c>
      <c r="M1514">
        <v>99</v>
      </c>
      <c r="N1514">
        <v>137</v>
      </c>
      <c r="O1514">
        <v>107</v>
      </c>
      <c r="P1514">
        <v>3</v>
      </c>
      <c r="Q1514">
        <v>10</v>
      </c>
      <c r="R1514">
        <v>4</v>
      </c>
      <c r="S1514">
        <v>9</v>
      </c>
      <c r="T1514">
        <v>7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3</v>
      </c>
      <c r="AB1514">
        <v>11</v>
      </c>
      <c r="AC1514">
        <v>0</v>
      </c>
      <c r="AD1514" t="str">
        <f t="shared" si="299"/>
        <v>Ok</v>
      </c>
      <c r="AE1514" t="str">
        <f>IF(AND(Audit_Data[[#This Row],[Year_Birth]]&gt;=1900,Audit_Data[[#This Row],[Year_Birth]]&lt;=2010),"OK","Invalid")</f>
        <v>OK</v>
      </c>
      <c r="AF1514" t="str">
        <f t="shared" si="300"/>
        <v>Valid</v>
      </c>
      <c r="AG1514" t="str">
        <f t="shared" si="301"/>
        <v>Valid</v>
      </c>
      <c r="AH1514" t="str">
        <f t="shared" si="302"/>
        <v>Valid</v>
      </c>
      <c r="AI1514" t="str">
        <f t="shared" si="303"/>
        <v>Valid</v>
      </c>
      <c r="AJ1514" t="str">
        <f t="shared" si="304"/>
        <v>Valid</v>
      </c>
      <c r="AK1514" t="str">
        <f t="shared" si="311"/>
        <v xml:space="preserve">Valid </v>
      </c>
      <c r="AL1514" t="str">
        <f>IF(AND(Audit_Data[[#This Row],[Recency]]&gt;=0,Audit_Data[[#This Row],[Recency]]&lt;=100),"Valid","Invalid")</f>
        <v>Valid</v>
      </c>
      <c r="AM1514" t="str">
        <f t="shared" si="305"/>
        <v>Valid</v>
      </c>
      <c r="AN1514" t="str">
        <f t="shared" si="306"/>
        <v>Valid</v>
      </c>
      <c r="AO1514" t="str">
        <f t="shared" si="307"/>
        <v>Valid</v>
      </c>
      <c r="AP1514" t="str">
        <f t="shared" si="308"/>
        <v>Valid</v>
      </c>
      <c r="AQ1514" t="str">
        <f>IF(Audit_Data[[#This Row],[Z_CostContact]]=3,"Valid","Invalid")</f>
        <v>Valid</v>
      </c>
      <c r="AR1514" t="str">
        <f t="shared" si="309"/>
        <v>Valid</v>
      </c>
      <c r="AS1514" t="str">
        <f t="shared" si="310"/>
        <v>Valid</v>
      </c>
    </row>
    <row r="1515" spans="1:45" x14ac:dyDescent="0.3">
      <c r="A1515">
        <v>9264</v>
      </c>
      <c r="B1515">
        <v>1986</v>
      </c>
      <c r="C1515" t="s">
        <v>29</v>
      </c>
      <c r="D1515" t="s">
        <v>33</v>
      </c>
      <c r="E1515">
        <v>79529</v>
      </c>
      <c r="F1515">
        <v>0</v>
      </c>
      <c r="G1515">
        <v>0</v>
      </c>
      <c r="H1515" s="1">
        <v>41756</v>
      </c>
      <c r="I1515">
        <v>1</v>
      </c>
      <c r="J1515">
        <v>423</v>
      </c>
      <c r="K1515">
        <v>42</v>
      </c>
      <c r="L1515">
        <v>706</v>
      </c>
      <c r="M1515">
        <v>73</v>
      </c>
      <c r="N1515">
        <v>197</v>
      </c>
      <c r="O1515">
        <v>197</v>
      </c>
      <c r="P1515">
        <v>1</v>
      </c>
      <c r="Q1515">
        <v>4</v>
      </c>
      <c r="R1515">
        <v>8</v>
      </c>
      <c r="S1515">
        <v>9</v>
      </c>
      <c r="T1515">
        <v>2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3</v>
      </c>
      <c r="AB1515">
        <v>11</v>
      </c>
      <c r="AC1515">
        <v>0</v>
      </c>
      <c r="AD1515" t="str">
        <f t="shared" si="299"/>
        <v>Ok</v>
      </c>
      <c r="AE1515" t="str">
        <f>IF(AND(Audit_Data[[#This Row],[Year_Birth]]&gt;=1900,Audit_Data[[#This Row],[Year_Birth]]&lt;=2010),"OK","Invalid")</f>
        <v>OK</v>
      </c>
      <c r="AF1515" t="str">
        <f t="shared" si="300"/>
        <v>Valid</v>
      </c>
      <c r="AG1515" t="str">
        <f t="shared" si="301"/>
        <v>Valid</v>
      </c>
      <c r="AH1515" t="str">
        <f t="shared" si="302"/>
        <v>Valid</v>
      </c>
      <c r="AI1515" t="str">
        <f t="shared" si="303"/>
        <v>Valid</v>
      </c>
      <c r="AJ1515" t="str">
        <f t="shared" si="304"/>
        <v>Valid</v>
      </c>
      <c r="AK1515" t="str">
        <f t="shared" si="311"/>
        <v xml:space="preserve">Valid </v>
      </c>
      <c r="AL1515" t="str">
        <f>IF(AND(Audit_Data[[#This Row],[Recency]]&gt;=0,Audit_Data[[#This Row],[Recency]]&lt;=100),"Valid","Invalid")</f>
        <v>Valid</v>
      </c>
      <c r="AM1515" t="str">
        <f t="shared" si="305"/>
        <v>Valid</v>
      </c>
      <c r="AN1515" t="str">
        <f t="shared" si="306"/>
        <v>Valid</v>
      </c>
      <c r="AO1515" t="str">
        <f t="shared" si="307"/>
        <v>Valid</v>
      </c>
      <c r="AP1515" t="str">
        <f t="shared" si="308"/>
        <v>Valid</v>
      </c>
      <c r="AQ1515" t="str">
        <f>IF(Audit_Data[[#This Row],[Z_CostContact]]=3,"Valid","Invalid")</f>
        <v>Valid</v>
      </c>
      <c r="AR1515" t="str">
        <f t="shared" si="309"/>
        <v>Valid</v>
      </c>
      <c r="AS1515" t="str">
        <f t="shared" si="310"/>
        <v>Valid</v>
      </c>
    </row>
    <row r="1516" spans="1:45" x14ac:dyDescent="0.3">
      <c r="A1516">
        <v>3865</v>
      </c>
      <c r="B1516">
        <v>1977</v>
      </c>
      <c r="C1516" t="s">
        <v>37</v>
      </c>
      <c r="D1516" t="s">
        <v>31</v>
      </c>
      <c r="E1516">
        <v>20981</v>
      </c>
      <c r="F1516">
        <v>0</v>
      </c>
      <c r="G1516">
        <v>0</v>
      </c>
      <c r="H1516" s="1">
        <v>41394</v>
      </c>
      <c r="I1516">
        <v>14</v>
      </c>
      <c r="J1516">
        <v>2</v>
      </c>
      <c r="K1516">
        <v>12</v>
      </c>
      <c r="L1516">
        <v>10</v>
      </c>
      <c r="M1516">
        <v>6</v>
      </c>
      <c r="N1516">
        <v>13</v>
      </c>
      <c r="O1516">
        <v>30</v>
      </c>
      <c r="P1516">
        <v>1</v>
      </c>
      <c r="Q1516">
        <v>3</v>
      </c>
      <c r="R1516">
        <v>1</v>
      </c>
      <c r="S1516">
        <v>2</v>
      </c>
      <c r="T1516">
        <v>8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3</v>
      </c>
      <c r="AB1516">
        <v>11</v>
      </c>
      <c r="AC1516">
        <v>1</v>
      </c>
      <c r="AD1516" t="str">
        <f t="shared" si="299"/>
        <v>Ok</v>
      </c>
      <c r="AE1516" t="str">
        <f>IF(AND(Audit_Data[[#This Row],[Year_Birth]]&gt;=1900,Audit_Data[[#This Row],[Year_Birth]]&lt;=2010),"OK","Invalid")</f>
        <v>OK</v>
      </c>
      <c r="AF1516" t="str">
        <f t="shared" si="300"/>
        <v>Valid</v>
      </c>
      <c r="AG1516" t="str">
        <f t="shared" si="301"/>
        <v>Valid</v>
      </c>
      <c r="AH1516" t="str">
        <f t="shared" si="302"/>
        <v>Valid</v>
      </c>
      <c r="AI1516" t="str">
        <f t="shared" si="303"/>
        <v>Valid</v>
      </c>
      <c r="AJ1516" t="str">
        <f t="shared" si="304"/>
        <v>Valid</v>
      </c>
      <c r="AK1516" t="str">
        <f t="shared" si="311"/>
        <v xml:space="preserve">Valid </v>
      </c>
      <c r="AL1516" t="str">
        <f>IF(AND(Audit_Data[[#This Row],[Recency]]&gt;=0,Audit_Data[[#This Row],[Recency]]&lt;=100),"Valid","Invalid")</f>
        <v>Valid</v>
      </c>
      <c r="AM1516" t="str">
        <f t="shared" si="305"/>
        <v>Valid</v>
      </c>
      <c r="AN1516" t="str">
        <f t="shared" si="306"/>
        <v>Valid</v>
      </c>
      <c r="AO1516" t="str">
        <f t="shared" si="307"/>
        <v>Valid</v>
      </c>
      <c r="AP1516" t="str">
        <f t="shared" si="308"/>
        <v>Valid</v>
      </c>
      <c r="AQ1516" t="str">
        <f>IF(Audit_Data[[#This Row],[Z_CostContact]]=3,"Valid","Invalid")</f>
        <v>Valid</v>
      </c>
      <c r="AR1516" t="str">
        <f t="shared" si="309"/>
        <v>Valid</v>
      </c>
      <c r="AS1516" t="str">
        <f t="shared" si="310"/>
        <v>Valid</v>
      </c>
    </row>
    <row r="1517" spans="1:45" x14ac:dyDescent="0.3">
      <c r="A1517">
        <v>2853</v>
      </c>
      <c r="B1517">
        <v>1980</v>
      </c>
      <c r="C1517" t="s">
        <v>29</v>
      </c>
      <c r="D1517" t="s">
        <v>30</v>
      </c>
      <c r="E1517">
        <v>51766</v>
      </c>
      <c r="F1517">
        <v>1</v>
      </c>
      <c r="G1517">
        <v>0</v>
      </c>
      <c r="H1517" s="1">
        <v>41709</v>
      </c>
      <c r="I1517">
        <v>74</v>
      </c>
      <c r="J1517">
        <v>60</v>
      </c>
      <c r="K1517">
        <v>51</v>
      </c>
      <c r="L1517">
        <v>87</v>
      </c>
      <c r="M1517">
        <v>6</v>
      </c>
      <c r="N1517">
        <v>20</v>
      </c>
      <c r="O1517">
        <v>51</v>
      </c>
      <c r="P1517">
        <v>2</v>
      </c>
      <c r="Q1517">
        <v>4</v>
      </c>
      <c r="R1517">
        <v>2</v>
      </c>
      <c r="S1517">
        <v>4</v>
      </c>
      <c r="T1517">
        <v>5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3</v>
      </c>
      <c r="AB1517">
        <v>11</v>
      </c>
      <c r="AC1517">
        <v>0</v>
      </c>
      <c r="AD1517" t="str">
        <f t="shared" si="299"/>
        <v>Ok</v>
      </c>
      <c r="AE1517" t="str">
        <f>IF(AND(Audit_Data[[#This Row],[Year_Birth]]&gt;=1900,Audit_Data[[#This Row],[Year_Birth]]&lt;=2010),"OK","Invalid")</f>
        <v>OK</v>
      </c>
      <c r="AF1517" t="str">
        <f t="shared" si="300"/>
        <v>Valid</v>
      </c>
      <c r="AG1517" t="str">
        <f t="shared" si="301"/>
        <v>Valid</v>
      </c>
      <c r="AH1517" t="str">
        <f t="shared" si="302"/>
        <v>Valid</v>
      </c>
      <c r="AI1517" t="str">
        <f t="shared" si="303"/>
        <v>Valid</v>
      </c>
      <c r="AJ1517" t="str">
        <f t="shared" si="304"/>
        <v>Valid</v>
      </c>
      <c r="AK1517" t="str">
        <f t="shared" si="311"/>
        <v xml:space="preserve">Valid </v>
      </c>
      <c r="AL1517" t="str">
        <f>IF(AND(Audit_Data[[#This Row],[Recency]]&gt;=0,Audit_Data[[#This Row],[Recency]]&lt;=100),"Valid","Invalid")</f>
        <v>Valid</v>
      </c>
      <c r="AM1517" t="str">
        <f t="shared" si="305"/>
        <v>Valid</v>
      </c>
      <c r="AN1517" t="str">
        <f t="shared" si="306"/>
        <v>Valid</v>
      </c>
      <c r="AO1517" t="str">
        <f t="shared" si="307"/>
        <v>Valid</v>
      </c>
      <c r="AP1517" t="str">
        <f t="shared" si="308"/>
        <v>Valid</v>
      </c>
      <c r="AQ1517" t="str">
        <f>IF(Audit_Data[[#This Row],[Z_CostContact]]=3,"Valid","Invalid")</f>
        <v>Valid</v>
      </c>
      <c r="AR1517" t="str">
        <f t="shared" si="309"/>
        <v>Valid</v>
      </c>
      <c r="AS1517" t="str">
        <f t="shared" si="310"/>
        <v>Valid</v>
      </c>
    </row>
    <row r="1518" spans="1:45" x14ac:dyDescent="0.3">
      <c r="A1518">
        <v>1490</v>
      </c>
      <c r="B1518">
        <v>1962</v>
      </c>
      <c r="C1518" t="s">
        <v>29</v>
      </c>
      <c r="D1518" t="s">
        <v>33</v>
      </c>
      <c r="E1518">
        <v>55759</v>
      </c>
      <c r="F1518">
        <v>0</v>
      </c>
      <c r="G1518">
        <v>1</v>
      </c>
      <c r="H1518" s="1">
        <v>41241</v>
      </c>
      <c r="I1518">
        <v>84</v>
      </c>
      <c r="J1518">
        <v>675</v>
      </c>
      <c r="K1518">
        <v>0</v>
      </c>
      <c r="L1518">
        <v>85</v>
      </c>
      <c r="M1518">
        <v>10</v>
      </c>
      <c r="N1518">
        <v>7</v>
      </c>
      <c r="O1518">
        <v>77</v>
      </c>
      <c r="P1518">
        <v>5</v>
      </c>
      <c r="Q1518">
        <v>10</v>
      </c>
      <c r="R1518">
        <v>3</v>
      </c>
      <c r="S1518">
        <v>8</v>
      </c>
      <c r="T1518">
        <v>8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3</v>
      </c>
      <c r="AB1518">
        <v>11</v>
      </c>
      <c r="AC1518">
        <v>0</v>
      </c>
      <c r="AD1518" t="str">
        <f t="shared" si="299"/>
        <v>Ok</v>
      </c>
      <c r="AE1518" t="str">
        <f>IF(AND(Audit_Data[[#This Row],[Year_Birth]]&gt;=1900,Audit_Data[[#This Row],[Year_Birth]]&lt;=2010),"OK","Invalid")</f>
        <v>OK</v>
      </c>
      <c r="AF1518" t="str">
        <f t="shared" si="300"/>
        <v>Valid</v>
      </c>
      <c r="AG1518" t="str">
        <f t="shared" si="301"/>
        <v>Valid</v>
      </c>
      <c r="AH1518" t="str">
        <f t="shared" si="302"/>
        <v>Valid</v>
      </c>
      <c r="AI1518" t="str">
        <f t="shared" si="303"/>
        <v>Valid</v>
      </c>
      <c r="AJ1518" t="str">
        <f t="shared" si="304"/>
        <v>Valid</v>
      </c>
      <c r="AK1518" t="str">
        <f t="shared" si="311"/>
        <v xml:space="preserve">Valid </v>
      </c>
      <c r="AL1518" t="str">
        <f>IF(AND(Audit_Data[[#This Row],[Recency]]&gt;=0,Audit_Data[[#This Row],[Recency]]&lt;=100),"Valid","Invalid")</f>
        <v>Valid</v>
      </c>
      <c r="AM1518" t="str">
        <f t="shared" si="305"/>
        <v>Valid</v>
      </c>
      <c r="AN1518" t="str">
        <f t="shared" si="306"/>
        <v>Valid</v>
      </c>
      <c r="AO1518" t="str">
        <f t="shared" si="307"/>
        <v>Valid</v>
      </c>
      <c r="AP1518" t="str">
        <f t="shared" si="308"/>
        <v>Valid</v>
      </c>
      <c r="AQ1518" t="str">
        <f>IF(Audit_Data[[#This Row],[Z_CostContact]]=3,"Valid","Invalid")</f>
        <v>Valid</v>
      </c>
      <c r="AR1518" t="str">
        <f t="shared" si="309"/>
        <v>Valid</v>
      </c>
      <c r="AS1518" t="str">
        <f t="shared" si="310"/>
        <v>Valid</v>
      </c>
    </row>
    <row r="1519" spans="1:45" x14ac:dyDescent="0.3">
      <c r="A1519">
        <v>6310</v>
      </c>
      <c r="B1519">
        <v>1978</v>
      </c>
      <c r="C1519" t="s">
        <v>29</v>
      </c>
      <c r="D1519" t="s">
        <v>33</v>
      </c>
      <c r="E1519">
        <v>33039</v>
      </c>
      <c r="F1519">
        <v>1</v>
      </c>
      <c r="G1519">
        <v>0</v>
      </c>
      <c r="H1519" s="1">
        <v>41526</v>
      </c>
      <c r="I1519">
        <v>4</v>
      </c>
      <c r="J1519">
        <v>30</v>
      </c>
      <c r="K1519">
        <v>8</v>
      </c>
      <c r="L1519">
        <v>12</v>
      </c>
      <c r="M1519">
        <v>8</v>
      </c>
      <c r="N1519">
        <v>8</v>
      </c>
      <c r="O1519">
        <v>12</v>
      </c>
      <c r="P1519">
        <v>1</v>
      </c>
      <c r="Q1519">
        <v>2</v>
      </c>
      <c r="R1519">
        <v>0</v>
      </c>
      <c r="S1519">
        <v>4</v>
      </c>
      <c r="T1519">
        <v>5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3</v>
      </c>
      <c r="AB1519">
        <v>11</v>
      </c>
      <c r="AC1519">
        <v>0</v>
      </c>
      <c r="AD1519" t="str">
        <f t="shared" si="299"/>
        <v>Ok</v>
      </c>
      <c r="AE1519" t="str">
        <f>IF(AND(Audit_Data[[#This Row],[Year_Birth]]&gt;=1900,Audit_Data[[#This Row],[Year_Birth]]&lt;=2010),"OK","Invalid")</f>
        <v>OK</v>
      </c>
      <c r="AF1519" t="str">
        <f t="shared" si="300"/>
        <v>Valid</v>
      </c>
      <c r="AG1519" t="str">
        <f t="shared" si="301"/>
        <v>Valid</v>
      </c>
      <c r="AH1519" t="str">
        <f t="shared" si="302"/>
        <v>Valid</v>
      </c>
      <c r="AI1519" t="str">
        <f t="shared" si="303"/>
        <v>Valid</v>
      </c>
      <c r="AJ1519" t="str">
        <f t="shared" si="304"/>
        <v>Valid</v>
      </c>
      <c r="AK1519" t="str">
        <f t="shared" si="311"/>
        <v xml:space="preserve">Valid </v>
      </c>
      <c r="AL1519" t="str">
        <f>IF(AND(Audit_Data[[#This Row],[Recency]]&gt;=0,Audit_Data[[#This Row],[Recency]]&lt;=100),"Valid","Invalid")</f>
        <v>Valid</v>
      </c>
      <c r="AM1519" t="str">
        <f t="shared" si="305"/>
        <v>Valid</v>
      </c>
      <c r="AN1519" t="str">
        <f t="shared" si="306"/>
        <v>Valid</v>
      </c>
      <c r="AO1519" t="str">
        <f t="shared" si="307"/>
        <v>Valid</v>
      </c>
      <c r="AP1519" t="str">
        <f t="shared" si="308"/>
        <v>Valid</v>
      </c>
      <c r="AQ1519" t="str">
        <f>IF(Audit_Data[[#This Row],[Z_CostContact]]=3,"Valid","Invalid")</f>
        <v>Valid</v>
      </c>
      <c r="AR1519" t="str">
        <f t="shared" si="309"/>
        <v>Valid</v>
      </c>
      <c r="AS1519" t="str">
        <f t="shared" si="310"/>
        <v>Valid</v>
      </c>
    </row>
    <row r="1520" spans="1:45" x14ac:dyDescent="0.3">
      <c r="A1520">
        <v>10380</v>
      </c>
      <c r="B1520">
        <v>1972</v>
      </c>
      <c r="C1520" t="s">
        <v>34</v>
      </c>
      <c r="D1520" t="s">
        <v>33</v>
      </c>
      <c r="E1520">
        <v>37787</v>
      </c>
      <c r="F1520">
        <v>1</v>
      </c>
      <c r="G1520">
        <v>0</v>
      </c>
      <c r="H1520" s="1">
        <v>41537</v>
      </c>
      <c r="I1520">
        <v>50</v>
      </c>
      <c r="J1520">
        <v>40</v>
      </c>
      <c r="K1520">
        <v>1</v>
      </c>
      <c r="L1520">
        <v>40</v>
      </c>
      <c r="M1520">
        <v>4</v>
      </c>
      <c r="N1520">
        <v>3</v>
      </c>
      <c r="O1520">
        <v>18</v>
      </c>
      <c r="P1520">
        <v>1</v>
      </c>
      <c r="Q1520">
        <v>3</v>
      </c>
      <c r="R1520">
        <v>0</v>
      </c>
      <c r="S1520">
        <v>3</v>
      </c>
      <c r="T1520">
        <v>8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3</v>
      </c>
      <c r="AB1520">
        <v>11</v>
      </c>
      <c r="AC1520">
        <v>0</v>
      </c>
      <c r="AD1520" t="str">
        <f t="shared" si="299"/>
        <v>Ok</v>
      </c>
      <c r="AE1520" t="str">
        <f>IF(AND(Audit_Data[[#This Row],[Year_Birth]]&gt;=1900,Audit_Data[[#This Row],[Year_Birth]]&lt;=2010),"OK","Invalid")</f>
        <v>OK</v>
      </c>
      <c r="AF1520" t="str">
        <f t="shared" si="300"/>
        <v>Valid</v>
      </c>
      <c r="AG1520" t="str">
        <f t="shared" si="301"/>
        <v>Valid</v>
      </c>
      <c r="AH1520" t="str">
        <f t="shared" si="302"/>
        <v>Valid</v>
      </c>
      <c r="AI1520" t="str">
        <f t="shared" si="303"/>
        <v>Valid</v>
      </c>
      <c r="AJ1520" t="str">
        <f t="shared" si="304"/>
        <v>Valid</v>
      </c>
      <c r="AK1520" t="str">
        <f t="shared" si="311"/>
        <v xml:space="preserve">Valid </v>
      </c>
      <c r="AL1520" t="str">
        <f>IF(AND(Audit_Data[[#This Row],[Recency]]&gt;=0,Audit_Data[[#This Row],[Recency]]&lt;=100),"Valid","Invalid")</f>
        <v>Valid</v>
      </c>
      <c r="AM1520" t="str">
        <f t="shared" si="305"/>
        <v>Valid</v>
      </c>
      <c r="AN1520" t="str">
        <f t="shared" si="306"/>
        <v>Valid</v>
      </c>
      <c r="AO1520" t="str">
        <f t="shared" si="307"/>
        <v>Valid</v>
      </c>
      <c r="AP1520" t="str">
        <f t="shared" si="308"/>
        <v>Valid</v>
      </c>
      <c r="AQ1520" t="str">
        <f>IF(Audit_Data[[#This Row],[Z_CostContact]]=3,"Valid","Invalid")</f>
        <v>Valid</v>
      </c>
      <c r="AR1520" t="str">
        <f t="shared" si="309"/>
        <v>Valid</v>
      </c>
      <c r="AS1520" t="str">
        <f t="shared" si="310"/>
        <v>Valid</v>
      </c>
    </row>
    <row r="1521" spans="1:45" x14ac:dyDescent="0.3">
      <c r="A1521">
        <v>3887</v>
      </c>
      <c r="B1521">
        <v>1970</v>
      </c>
      <c r="C1521" t="s">
        <v>29</v>
      </c>
      <c r="D1521" t="s">
        <v>30</v>
      </c>
      <c r="E1521">
        <v>27242</v>
      </c>
      <c r="F1521">
        <v>1</v>
      </c>
      <c r="G1521">
        <v>0</v>
      </c>
      <c r="H1521" s="1">
        <v>41224</v>
      </c>
      <c r="I1521">
        <v>2</v>
      </c>
      <c r="J1521">
        <v>3</v>
      </c>
      <c r="K1521">
        <v>17</v>
      </c>
      <c r="L1521">
        <v>26</v>
      </c>
      <c r="M1521">
        <v>20</v>
      </c>
      <c r="N1521">
        <v>1</v>
      </c>
      <c r="O1521">
        <v>39</v>
      </c>
      <c r="P1521">
        <v>2</v>
      </c>
      <c r="Q1521">
        <v>2</v>
      </c>
      <c r="R1521">
        <v>0</v>
      </c>
      <c r="S1521">
        <v>3</v>
      </c>
      <c r="T1521">
        <v>9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3</v>
      </c>
      <c r="AB1521">
        <v>11</v>
      </c>
      <c r="AC1521">
        <v>1</v>
      </c>
      <c r="AD1521" t="str">
        <f t="shared" si="299"/>
        <v>Ok</v>
      </c>
      <c r="AE1521" t="str">
        <f>IF(AND(Audit_Data[[#This Row],[Year_Birth]]&gt;=1900,Audit_Data[[#This Row],[Year_Birth]]&lt;=2010),"OK","Invalid")</f>
        <v>OK</v>
      </c>
      <c r="AF1521" t="str">
        <f t="shared" si="300"/>
        <v>Valid</v>
      </c>
      <c r="AG1521" t="str">
        <f t="shared" si="301"/>
        <v>Valid</v>
      </c>
      <c r="AH1521" t="str">
        <f t="shared" si="302"/>
        <v>Valid</v>
      </c>
      <c r="AI1521" t="str">
        <f t="shared" si="303"/>
        <v>Valid</v>
      </c>
      <c r="AJ1521" t="str">
        <f t="shared" si="304"/>
        <v>Valid</v>
      </c>
      <c r="AK1521" t="str">
        <f t="shared" si="311"/>
        <v xml:space="preserve">Valid </v>
      </c>
      <c r="AL1521" t="str">
        <f>IF(AND(Audit_Data[[#This Row],[Recency]]&gt;=0,Audit_Data[[#This Row],[Recency]]&lt;=100),"Valid","Invalid")</f>
        <v>Valid</v>
      </c>
      <c r="AM1521" t="str">
        <f t="shared" si="305"/>
        <v>Valid</v>
      </c>
      <c r="AN1521" t="str">
        <f t="shared" si="306"/>
        <v>Valid</v>
      </c>
      <c r="AO1521" t="str">
        <f t="shared" si="307"/>
        <v>Valid</v>
      </c>
      <c r="AP1521" t="str">
        <f t="shared" si="308"/>
        <v>Valid</v>
      </c>
      <c r="AQ1521" t="str">
        <f>IF(Audit_Data[[#This Row],[Z_CostContact]]=3,"Valid","Invalid")</f>
        <v>Valid</v>
      </c>
      <c r="AR1521" t="str">
        <f t="shared" si="309"/>
        <v>Valid</v>
      </c>
      <c r="AS1521" t="str">
        <f t="shared" si="310"/>
        <v>Valid</v>
      </c>
    </row>
    <row r="1522" spans="1:45" x14ac:dyDescent="0.3">
      <c r="A1522">
        <v>4278</v>
      </c>
      <c r="B1522">
        <v>1983</v>
      </c>
      <c r="C1522" t="s">
        <v>32</v>
      </c>
      <c r="D1522" t="s">
        <v>30</v>
      </c>
      <c r="E1522">
        <v>87188</v>
      </c>
      <c r="F1522">
        <v>0</v>
      </c>
      <c r="G1522">
        <v>0</v>
      </c>
      <c r="H1522" s="1">
        <v>41428</v>
      </c>
      <c r="I1522">
        <v>73</v>
      </c>
      <c r="J1522">
        <v>910</v>
      </c>
      <c r="K1522">
        <v>111</v>
      </c>
      <c r="L1522">
        <v>724</v>
      </c>
      <c r="M1522">
        <v>49</v>
      </c>
      <c r="N1522">
        <v>74</v>
      </c>
      <c r="O1522">
        <v>55</v>
      </c>
      <c r="P1522">
        <v>1</v>
      </c>
      <c r="Q1522">
        <v>10</v>
      </c>
      <c r="R1522">
        <v>2</v>
      </c>
      <c r="S1522">
        <v>6</v>
      </c>
      <c r="T1522">
        <v>3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3</v>
      </c>
      <c r="AB1522">
        <v>11</v>
      </c>
      <c r="AC1522">
        <v>1</v>
      </c>
      <c r="AD1522" t="str">
        <f t="shared" si="299"/>
        <v>Ok</v>
      </c>
      <c r="AE1522" t="str">
        <f>IF(AND(Audit_Data[[#This Row],[Year_Birth]]&gt;=1900,Audit_Data[[#This Row],[Year_Birth]]&lt;=2010),"OK","Invalid")</f>
        <v>OK</v>
      </c>
      <c r="AF1522" t="str">
        <f t="shared" si="300"/>
        <v>Valid</v>
      </c>
      <c r="AG1522" t="str">
        <f t="shared" si="301"/>
        <v>Valid</v>
      </c>
      <c r="AH1522" t="str">
        <f t="shared" si="302"/>
        <v>Valid</v>
      </c>
      <c r="AI1522" t="str">
        <f t="shared" si="303"/>
        <v>Valid</v>
      </c>
      <c r="AJ1522" t="str">
        <f t="shared" si="304"/>
        <v>Valid</v>
      </c>
      <c r="AK1522" t="str">
        <f t="shared" si="311"/>
        <v xml:space="preserve">Valid </v>
      </c>
      <c r="AL1522" t="str">
        <f>IF(AND(Audit_Data[[#This Row],[Recency]]&gt;=0,Audit_Data[[#This Row],[Recency]]&lt;=100),"Valid","Invalid")</f>
        <v>Valid</v>
      </c>
      <c r="AM1522" t="str">
        <f t="shared" si="305"/>
        <v>Valid</v>
      </c>
      <c r="AN1522" t="str">
        <f t="shared" si="306"/>
        <v>Valid</v>
      </c>
      <c r="AO1522" t="str">
        <f t="shared" si="307"/>
        <v>Valid</v>
      </c>
      <c r="AP1522" t="str">
        <f t="shared" si="308"/>
        <v>Valid</v>
      </c>
      <c r="AQ1522" t="str">
        <f>IF(Audit_Data[[#This Row],[Z_CostContact]]=3,"Valid","Invalid")</f>
        <v>Valid</v>
      </c>
      <c r="AR1522" t="str">
        <f t="shared" si="309"/>
        <v>Valid</v>
      </c>
      <c r="AS1522" t="str">
        <f t="shared" si="310"/>
        <v>Valid</v>
      </c>
    </row>
    <row r="1523" spans="1:45" x14ac:dyDescent="0.3">
      <c r="A1523">
        <v>8643</v>
      </c>
      <c r="B1523">
        <v>1971</v>
      </c>
      <c r="C1523" t="s">
        <v>29</v>
      </c>
      <c r="D1523" t="s">
        <v>31</v>
      </c>
      <c r="E1523">
        <v>69930</v>
      </c>
      <c r="F1523">
        <v>0</v>
      </c>
      <c r="G1523">
        <v>0</v>
      </c>
      <c r="H1523" s="1">
        <v>41420</v>
      </c>
      <c r="I1523">
        <v>21</v>
      </c>
      <c r="J1523">
        <v>252</v>
      </c>
      <c r="K1523">
        <v>98</v>
      </c>
      <c r="L1523">
        <v>827</v>
      </c>
      <c r="M1523">
        <v>219</v>
      </c>
      <c r="N1523">
        <v>70</v>
      </c>
      <c r="O1523">
        <v>196</v>
      </c>
      <c r="P1523">
        <v>1</v>
      </c>
      <c r="Q1523">
        <v>4</v>
      </c>
      <c r="R1523">
        <v>5</v>
      </c>
      <c r="S1523">
        <v>12</v>
      </c>
      <c r="T1523">
        <v>3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3</v>
      </c>
      <c r="AB1523">
        <v>11</v>
      </c>
      <c r="AC1523">
        <v>0</v>
      </c>
      <c r="AD1523" t="str">
        <f t="shared" si="299"/>
        <v>Ok</v>
      </c>
      <c r="AE1523" t="str">
        <f>IF(AND(Audit_Data[[#This Row],[Year_Birth]]&gt;=1900,Audit_Data[[#This Row],[Year_Birth]]&lt;=2010),"OK","Invalid")</f>
        <v>OK</v>
      </c>
      <c r="AF1523" t="str">
        <f t="shared" si="300"/>
        <v>Valid</v>
      </c>
      <c r="AG1523" t="str">
        <f t="shared" si="301"/>
        <v>Valid</v>
      </c>
      <c r="AH1523" t="str">
        <f t="shared" si="302"/>
        <v>Valid</v>
      </c>
      <c r="AI1523" t="str">
        <f t="shared" si="303"/>
        <v>Valid</v>
      </c>
      <c r="AJ1523" t="str">
        <f t="shared" si="304"/>
        <v>Valid</v>
      </c>
      <c r="AK1523" t="str">
        <f t="shared" si="311"/>
        <v xml:space="preserve">Valid </v>
      </c>
      <c r="AL1523" t="str">
        <f>IF(AND(Audit_Data[[#This Row],[Recency]]&gt;=0,Audit_Data[[#This Row],[Recency]]&lt;=100),"Valid","Invalid")</f>
        <v>Valid</v>
      </c>
      <c r="AM1523" t="str">
        <f t="shared" si="305"/>
        <v>Valid</v>
      </c>
      <c r="AN1523" t="str">
        <f t="shared" si="306"/>
        <v>Valid</v>
      </c>
      <c r="AO1523" t="str">
        <f t="shared" si="307"/>
        <v>Valid</v>
      </c>
      <c r="AP1523" t="str">
        <f t="shared" si="308"/>
        <v>Valid</v>
      </c>
      <c r="AQ1523" t="str">
        <f>IF(Audit_Data[[#This Row],[Z_CostContact]]=3,"Valid","Invalid")</f>
        <v>Valid</v>
      </c>
      <c r="AR1523" t="str">
        <f t="shared" si="309"/>
        <v>Valid</v>
      </c>
      <c r="AS1523" t="str">
        <f t="shared" si="310"/>
        <v>Valid</v>
      </c>
    </row>
    <row r="1524" spans="1:45" x14ac:dyDescent="0.3">
      <c r="A1524">
        <v>1998</v>
      </c>
      <c r="B1524">
        <v>1976</v>
      </c>
      <c r="C1524" t="s">
        <v>29</v>
      </c>
      <c r="D1524" t="s">
        <v>30</v>
      </c>
      <c r="E1524">
        <v>37697</v>
      </c>
      <c r="F1524">
        <v>1</v>
      </c>
      <c r="G1524">
        <v>0</v>
      </c>
      <c r="H1524" s="1">
        <v>41677</v>
      </c>
      <c r="I1524">
        <v>82</v>
      </c>
      <c r="J1524">
        <v>34</v>
      </c>
      <c r="K1524">
        <v>6</v>
      </c>
      <c r="L1524">
        <v>21</v>
      </c>
      <c r="M1524">
        <v>11</v>
      </c>
      <c r="N1524">
        <v>4</v>
      </c>
      <c r="O1524">
        <v>8</v>
      </c>
      <c r="P1524">
        <v>1</v>
      </c>
      <c r="Q1524">
        <v>2</v>
      </c>
      <c r="R1524">
        <v>1</v>
      </c>
      <c r="S1524">
        <v>3</v>
      </c>
      <c r="T1524">
        <v>6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3</v>
      </c>
      <c r="AB1524">
        <v>11</v>
      </c>
      <c r="AC1524">
        <v>0</v>
      </c>
      <c r="AD1524" t="str">
        <f t="shared" si="299"/>
        <v>Ok</v>
      </c>
      <c r="AE1524" t="str">
        <f>IF(AND(Audit_Data[[#This Row],[Year_Birth]]&gt;=1900,Audit_Data[[#This Row],[Year_Birth]]&lt;=2010),"OK","Invalid")</f>
        <v>OK</v>
      </c>
      <c r="AF1524" t="str">
        <f t="shared" si="300"/>
        <v>Valid</v>
      </c>
      <c r="AG1524" t="str">
        <f t="shared" si="301"/>
        <v>Valid</v>
      </c>
      <c r="AH1524" t="str">
        <f t="shared" si="302"/>
        <v>Valid</v>
      </c>
      <c r="AI1524" t="str">
        <f t="shared" si="303"/>
        <v>Valid</v>
      </c>
      <c r="AJ1524" t="str">
        <f t="shared" si="304"/>
        <v>Valid</v>
      </c>
      <c r="AK1524" t="str">
        <f t="shared" si="311"/>
        <v xml:space="preserve">Valid </v>
      </c>
      <c r="AL1524" t="str">
        <f>IF(AND(Audit_Data[[#This Row],[Recency]]&gt;=0,Audit_Data[[#This Row],[Recency]]&lt;=100),"Valid","Invalid")</f>
        <v>Valid</v>
      </c>
      <c r="AM1524" t="str">
        <f t="shared" si="305"/>
        <v>Valid</v>
      </c>
      <c r="AN1524" t="str">
        <f t="shared" si="306"/>
        <v>Valid</v>
      </c>
      <c r="AO1524" t="str">
        <f t="shared" si="307"/>
        <v>Valid</v>
      </c>
      <c r="AP1524" t="str">
        <f t="shared" si="308"/>
        <v>Valid</v>
      </c>
      <c r="AQ1524" t="str">
        <f>IF(Audit_Data[[#This Row],[Z_CostContact]]=3,"Valid","Invalid")</f>
        <v>Valid</v>
      </c>
      <c r="AR1524" t="str">
        <f t="shared" si="309"/>
        <v>Valid</v>
      </c>
      <c r="AS1524" t="str">
        <f t="shared" si="310"/>
        <v>Valid</v>
      </c>
    </row>
    <row r="1525" spans="1:45" x14ac:dyDescent="0.3">
      <c r="A1525">
        <v>10795</v>
      </c>
      <c r="B1525">
        <v>1973</v>
      </c>
      <c r="C1525" t="s">
        <v>32</v>
      </c>
      <c r="D1525" t="s">
        <v>33</v>
      </c>
      <c r="E1525">
        <v>37401</v>
      </c>
      <c r="F1525">
        <v>1</v>
      </c>
      <c r="G1525">
        <v>0</v>
      </c>
      <c r="H1525" s="1">
        <v>41765</v>
      </c>
      <c r="I1525">
        <v>14</v>
      </c>
      <c r="J1525">
        <v>19</v>
      </c>
      <c r="K1525">
        <v>3</v>
      </c>
      <c r="L1525">
        <v>19</v>
      </c>
      <c r="M1525">
        <v>3</v>
      </c>
      <c r="N1525">
        <v>1</v>
      </c>
      <c r="O1525">
        <v>3</v>
      </c>
      <c r="P1525">
        <v>2</v>
      </c>
      <c r="Q1525">
        <v>2</v>
      </c>
      <c r="R1525">
        <v>0</v>
      </c>
      <c r="S1525">
        <v>3</v>
      </c>
      <c r="T1525">
        <v>7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3</v>
      </c>
      <c r="AB1525">
        <v>11</v>
      </c>
      <c r="AC1525">
        <v>0</v>
      </c>
      <c r="AD1525" t="str">
        <f t="shared" si="299"/>
        <v>Ok</v>
      </c>
      <c r="AE1525" t="str">
        <f>IF(AND(Audit_Data[[#This Row],[Year_Birth]]&gt;=1900,Audit_Data[[#This Row],[Year_Birth]]&lt;=2010),"OK","Invalid")</f>
        <v>OK</v>
      </c>
      <c r="AF1525" t="str">
        <f t="shared" si="300"/>
        <v>Valid</v>
      </c>
      <c r="AG1525" t="str">
        <f t="shared" si="301"/>
        <v>Valid</v>
      </c>
      <c r="AH1525" t="str">
        <f t="shared" si="302"/>
        <v>Valid</v>
      </c>
      <c r="AI1525" t="str">
        <f t="shared" si="303"/>
        <v>Valid</v>
      </c>
      <c r="AJ1525" t="str">
        <f t="shared" si="304"/>
        <v>Valid</v>
      </c>
      <c r="AK1525" t="str">
        <f t="shared" si="311"/>
        <v xml:space="preserve">Valid </v>
      </c>
      <c r="AL1525" t="str">
        <f>IF(AND(Audit_Data[[#This Row],[Recency]]&gt;=0,Audit_Data[[#This Row],[Recency]]&lt;=100),"Valid","Invalid")</f>
        <v>Valid</v>
      </c>
      <c r="AM1525" t="str">
        <f t="shared" si="305"/>
        <v>Valid</v>
      </c>
      <c r="AN1525" t="str">
        <f t="shared" si="306"/>
        <v>Valid</v>
      </c>
      <c r="AO1525" t="str">
        <f t="shared" si="307"/>
        <v>Valid</v>
      </c>
      <c r="AP1525" t="str">
        <f t="shared" si="308"/>
        <v>Valid</v>
      </c>
      <c r="AQ1525" t="str">
        <f>IF(Audit_Data[[#This Row],[Z_CostContact]]=3,"Valid","Invalid")</f>
        <v>Valid</v>
      </c>
      <c r="AR1525" t="str">
        <f t="shared" si="309"/>
        <v>Valid</v>
      </c>
      <c r="AS1525" t="str">
        <f t="shared" si="310"/>
        <v>Valid</v>
      </c>
    </row>
    <row r="1526" spans="1:45" x14ac:dyDescent="0.3">
      <c r="A1526">
        <v>11110</v>
      </c>
      <c r="B1526">
        <v>1973</v>
      </c>
      <c r="C1526" t="s">
        <v>29</v>
      </c>
      <c r="D1526" t="s">
        <v>30</v>
      </c>
      <c r="E1526">
        <v>3502</v>
      </c>
      <c r="F1526">
        <v>1</v>
      </c>
      <c r="G1526">
        <v>0</v>
      </c>
      <c r="H1526" s="1">
        <v>41377</v>
      </c>
      <c r="I1526">
        <v>56</v>
      </c>
      <c r="J1526">
        <v>2</v>
      </c>
      <c r="K1526">
        <v>1</v>
      </c>
      <c r="L1526">
        <v>1</v>
      </c>
      <c r="M1526">
        <v>0</v>
      </c>
      <c r="N1526">
        <v>0</v>
      </c>
      <c r="O1526">
        <v>1</v>
      </c>
      <c r="P1526">
        <v>0</v>
      </c>
      <c r="Q1526">
        <v>0</v>
      </c>
      <c r="R1526">
        <v>0</v>
      </c>
      <c r="S1526">
        <v>0</v>
      </c>
      <c r="T1526">
        <v>14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3</v>
      </c>
      <c r="AB1526">
        <v>11</v>
      </c>
      <c r="AC1526">
        <v>0</v>
      </c>
      <c r="AD1526" t="str">
        <f t="shared" si="299"/>
        <v>Ok</v>
      </c>
      <c r="AE1526" t="str">
        <f>IF(AND(Audit_Data[[#This Row],[Year_Birth]]&gt;=1900,Audit_Data[[#This Row],[Year_Birth]]&lt;=2010),"OK","Invalid")</f>
        <v>OK</v>
      </c>
      <c r="AF1526" t="str">
        <f t="shared" si="300"/>
        <v>Valid</v>
      </c>
      <c r="AG1526" t="str">
        <f t="shared" si="301"/>
        <v>Valid</v>
      </c>
      <c r="AH1526" t="str">
        <f t="shared" si="302"/>
        <v>Valid</v>
      </c>
      <c r="AI1526" t="str">
        <f t="shared" si="303"/>
        <v>Valid</v>
      </c>
      <c r="AJ1526" t="str">
        <f t="shared" si="304"/>
        <v>Valid</v>
      </c>
      <c r="AK1526" t="str">
        <f t="shared" si="311"/>
        <v xml:space="preserve">Valid </v>
      </c>
      <c r="AL1526" t="str">
        <f>IF(AND(Audit_Data[[#This Row],[Recency]]&gt;=0,Audit_Data[[#This Row],[Recency]]&lt;=100),"Valid","Invalid")</f>
        <v>Valid</v>
      </c>
      <c r="AM1526" t="str">
        <f t="shared" si="305"/>
        <v>Valid</v>
      </c>
      <c r="AN1526" t="str">
        <f t="shared" si="306"/>
        <v>Valid</v>
      </c>
      <c r="AO1526" t="str">
        <f t="shared" si="307"/>
        <v>Valid</v>
      </c>
      <c r="AP1526" t="str">
        <f t="shared" si="308"/>
        <v>Valid</v>
      </c>
      <c r="AQ1526" t="str">
        <f>IF(Audit_Data[[#This Row],[Z_CostContact]]=3,"Valid","Invalid")</f>
        <v>Valid</v>
      </c>
      <c r="AR1526" t="str">
        <f t="shared" si="309"/>
        <v>Valid</v>
      </c>
      <c r="AS1526" t="str">
        <f t="shared" si="310"/>
        <v>Valid</v>
      </c>
    </row>
    <row r="1527" spans="1:45" x14ac:dyDescent="0.3">
      <c r="A1527">
        <v>2408</v>
      </c>
      <c r="B1527">
        <v>1976</v>
      </c>
      <c r="C1527" t="s">
        <v>29</v>
      </c>
      <c r="D1527" t="s">
        <v>33</v>
      </c>
      <c r="E1527">
        <v>58597</v>
      </c>
      <c r="F1527">
        <v>1</v>
      </c>
      <c r="G1527">
        <v>1</v>
      </c>
      <c r="H1527" s="1">
        <v>41233</v>
      </c>
      <c r="I1527">
        <v>20</v>
      </c>
      <c r="J1527">
        <v>490</v>
      </c>
      <c r="K1527">
        <v>0</v>
      </c>
      <c r="L1527">
        <v>184</v>
      </c>
      <c r="M1527">
        <v>10</v>
      </c>
      <c r="N1527">
        <v>28</v>
      </c>
      <c r="O1527">
        <v>21</v>
      </c>
      <c r="P1527">
        <v>12</v>
      </c>
      <c r="Q1527">
        <v>7</v>
      </c>
      <c r="R1527">
        <v>4</v>
      </c>
      <c r="S1527">
        <v>9</v>
      </c>
      <c r="T1527">
        <v>7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3</v>
      </c>
      <c r="AB1527">
        <v>11</v>
      </c>
      <c r="AC1527">
        <v>0</v>
      </c>
      <c r="AD1527" t="str">
        <f t="shared" si="299"/>
        <v>Ok</v>
      </c>
      <c r="AE1527" t="str">
        <f>IF(AND(Audit_Data[[#This Row],[Year_Birth]]&gt;=1900,Audit_Data[[#This Row],[Year_Birth]]&lt;=2010),"OK","Invalid")</f>
        <v>OK</v>
      </c>
      <c r="AF1527" t="str">
        <f t="shared" si="300"/>
        <v>Valid</v>
      </c>
      <c r="AG1527" t="str">
        <f t="shared" si="301"/>
        <v>Valid</v>
      </c>
      <c r="AH1527" t="str">
        <f t="shared" si="302"/>
        <v>Valid</v>
      </c>
      <c r="AI1527" t="str">
        <f t="shared" si="303"/>
        <v>Valid</v>
      </c>
      <c r="AJ1527" t="str">
        <f t="shared" si="304"/>
        <v>Valid</v>
      </c>
      <c r="AK1527" t="str">
        <f t="shared" si="311"/>
        <v xml:space="preserve">Valid </v>
      </c>
      <c r="AL1527" t="str">
        <f>IF(AND(Audit_Data[[#This Row],[Recency]]&gt;=0,Audit_Data[[#This Row],[Recency]]&lt;=100),"Valid","Invalid")</f>
        <v>Valid</v>
      </c>
      <c r="AM1527" t="str">
        <f t="shared" si="305"/>
        <v>Valid</v>
      </c>
      <c r="AN1527" t="str">
        <f t="shared" si="306"/>
        <v>Valid</v>
      </c>
      <c r="AO1527" t="str">
        <f t="shared" si="307"/>
        <v>Valid</v>
      </c>
      <c r="AP1527" t="str">
        <f t="shared" si="308"/>
        <v>Valid</v>
      </c>
      <c r="AQ1527" t="str">
        <f>IF(Audit_Data[[#This Row],[Z_CostContact]]=3,"Valid","Invalid")</f>
        <v>Valid</v>
      </c>
      <c r="AR1527" t="str">
        <f t="shared" si="309"/>
        <v>Valid</v>
      </c>
      <c r="AS1527" t="str">
        <f t="shared" si="310"/>
        <v>Valid</v>
      </c>
    </row>
    <row r="1528" spans="1:45" x14ac:dyDescent="0.3">
      <c r="A1528">
        <v>202</v>
      </c>
      <c r="B1528">
        <v>1948</v>
      </c>
      <c r="C1528" t="s">
        <v>32</v>
      </c>
      <c r="D1528" t="s">
        <v>38</v>
      </c>
      <c r="E1528">
        <v>82032</v>
      </c>
      <c r="F1528">
        <v>0</v>
      </c>
      <c r="G1528">
        <v>0</v>
      </c>
      <c r="H1528" s="1">
        <v>41734</v>
      </c>
      <c r="I1528">
        <v>54</v>
      </c>
      <c r="J1528">
        <v>332</v>
      </c>
      <c r="K1528">
        <v>194</v>
      </c>
      <c r="L1528">
        <v>377</v>
      </c>
      <c r="M1528">
        <v>149</v>
      </c>
      <c r="N1528">
        <v>125</v>
      </c>
      <c r="O1528">
        <v>57</v>
      </c>
      <c r="P1528">
        <v>0</v>
      </c>
      <c r="Q1528">
        <v>4</v>
      </c>
      <c r="R1528">
        <v>6</v>
      </c>
      <c r="S1528">
        <v>7</v>
      </c>
      <c r="T1528">
        <v>1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3</v>
      </c>
      <c r="AB1528">
        <v>11</v>
      </c>
      <c r="AC1528">
        <v>0</v>
      </c>
      <c r="AD1528" t="str">
        <f t="shared" si="299"/>
        <v>Ok</v>
      </c>
      <c r="AE1528" t="str">
        <f>IF(AND(Audit_Data[[#This Row],[Year_Birth]]&gt;=1900,Audit_Data[[#This Row],[Year_Birth]]&lt;=2010),"OK","Invalid")</f>
        <v>OK</v>
      </c>
      <c r="AF1528" t="str">
        <f t="shared" si="300"/>
        <v>Valid</v>
      </c>
      <c r="AG1528" t="str">
        <f t="shared" si="301"/>
        <v>Valid</v>
      </c>
      <c r="AH1528" t="str">
        <f t="shared" si="302"/>
        <v>Valid</v>
      </c>
      <c r="AI1528" t="str">
        <f t="shared" si="303"/>
        <v>Valid</v>
      </c>
      <c r="AJ1528" t="str">
        <f t="shared" si="304"/>
        <v>Valid</v>
      </c>
      <c r="AK1528" t="str">
        <f t="shared" si="311"/>
        <v xml:space="preserve">Valid </v>
      </c>
      <c r="AL1528" t="str">
        <f>IF(AND(Audit_Data[[#This Row],[Recency]]&gt;=0,Audit_Data[[#This Row],[Recency]]&lt;=100),"Valid","Invalid")</f>
        <v>Valid</v>
      </c>
      <c r="AM1528" t="str">
        <f t="shared" si="305"/>
        <v>Valid</v>
      </c>
      <c r="AN1528" t="str">
        <f t="shared" si="306"/>
        <v>Valid</v>
      </c>
      <c r="AO1528" t="str">
        <f t="shared" si="307"/>
        <v>Valid</v>
      </c>
      <c r="AP1528" t="str">
        <f t="shared" si="308"/>
        <v>Valid</v>
      </c>
      <c r="AQ1528" t="str">
        <f>IF(Audit_Data[[#This Row],[Z_CostContact]]=3,"Valid","Invalid")</f>
        <v>Valid</v>
      </c>
      <c r="AR1528" t="str">
        <f t="shared" si="309"/>
        <v>Valid</v>
      </c>
      <c r="AS1528" t="str">
        <f t="shared" si="310"/>
        <v>Valid</v>
      </c>
    </row>
    <row r="1529" spans="1:45" x14ac:dyDescent="0.3">
      <c r="A1529">
        <v>7998</v>
      </c>
      <c r="B1529">
        <v>1958</v>
      </c>
      <c r="C1529" t="s">
        <v>29</v>
      </c>
      <c r="D1529" t="s">
        <v>31</v>
      </c>
      <c r="E1529">
        <v>28087</v>
      </c>
      <c r="F1529">
        <v>1</v>
      </c>
      <c r="G1529">
        <v>1</v>
      </c>
      <c r="H1529" s="1">
        <v>41254</v>
      </c>
      <c r="I1529">
        <v>77</v>
      </c>
      <c r="J1529">
        <v>53</v>
      </c>
      <c r="K1529">
        <v>8</v>
      </c>
      <c r="L1529">
        <v>17</v>
      </c>
      <c r="M1529">
        <v>13</v>
      </c>
      <c r="N1529">
        <v>0</v>
      </c>
      <c r="O1529">
        <v>21</v>
      </c>
      <c r="P1529">
        <v>3</v>
      </c>
      <c r="Q1529">
        <v>2</v>
      </c>
      <c r="R1529">
        <v>2</v>
      </c>
      <c r="S1529">
        <v>2</v>
      </c>
      <c r="T1529">
        <v>7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3</v>
      </c>
      <c r="AB1529">
        <v>11</v>
      </c>
      <c r="AC1529">
        <v>0</v>
      </c>
      <c r="AD1529" t="str">
        <f t="shared" si="299"/>
        <v>Ok</v>
      </c>
      <c r="AE1529" t="str">
        <f>IF(AND(Audit_Data[[#This Row],[Year_Birth]]&gt;=1900,Audit_Data[[#This Row],[Year_Birth]]&lt;=2010),"OK","Invalid")</f>
        <v>OK</v>
      </c>
      <c r="AF1529" t="str">
        <f t="shared" si="300"/>
        <v>Valid</v>
      </c>
      <c r="AG1529" t="str">
        <f t="shared" si="301"/>
        <v>Valid</v>
      </c>
      <c r="AH1529" t="str">
        <f t="shared" si="302"/>
        <v>Valid</v>
      </c>
      <c r="AI1529" t="str">
        <f t="shared" si="303"/>
        <v>Valid</v>
      </c>
      <c r="AJ1529" t="str">
        <f t="shared" si="304"/>
        <v>Valid</v>
      </c>
      <c r="AK1529" t="str">
        <f t="shared" si="311"/>
        <v xml:space="preserve">Valid </v>
      </c>
      <c r="AL1529" t="str">
        <f>IF(AND(Audit_Data[[#This Row],[Recency]]&gt;=0,Audit_Data[[#This Row],[Recency]]&lt;=100),"Valid","Invalid")</f>
        <v>Valid</v>
      </c>
      <c r="AM1529" t="str">
        <f t="shared" si="305"/>
        <v>Valid</v>
      </c>
      <c r="AN1529" t="str">
        <f t="shared" si="306"/>
        <v>Valid</v>
      </c>
      <c r="AO1529" t="str">
        <f t="shared" si="307"/>
        <v>Valid</v>
      </c>
      <c r="AP1529" t="str">
        <f t="shared" si="308"/>
        <v>Valid</v>
      </c>
      <c r="AQ1529" t="str">
        <f>IF(Audit_Data[[#This Row],[Z_CostContact]]=3,"Valid","Invalid")</f>
        <v>Valid</v>
      </c>
      <c r="AR1529" t="str">
        <f t="shared" si="309"/>
        <v>Valid</v>
      </c>
      <c r="AS1529" t="str">
        <f t="shared" si="310"/>
        <v>Valid</v>
      </c>
    </row>
    <row r="1530" spans="1:45" x14ac:dyDescent="0.3">
      <c r="A1530">
        <v>830</v>
      </c>
      <c r="B1530">
        <v>1987</v>
      </c>
      <c r="C1530" t="s">
        <v>32</v>
      </c>
      <c r="D1530" t="s">
        <v>30</v>
      </c>
      <c r="E1530">
        <v>74004</v>
      </c>
      <c r="F1530">
        <v>0</v>
      </c>
      <c r="G1530">
        <v>0</v>
      </c>
      <c r="H1530" s="1">
        <v>41694</v>
      </c>
      <c r="I1530">
        <v>5</v>
      </c>
      <c r="J1530">
        <v>784</v>
      </c>
      <c r="K1530">
        <v>48</v>
      </c>
      <c r="L1530">
        <v>560</v>
      </c>
      <c r="M1530">
        <v>42</v>
      </c>
      <c r="N1530">
        <v>176</v>
      </c>
      <c r="O1530">
        <v>48</v>
      </c>
      <c r="P1530">
        <v>1</v>
      </c>
      <c r="Q1530">
        <v>4</v>
      </c>
      <c r="R1530">
        <v>6</v>
      </c>
      <c r="S1530">
        <v>4</v>
      </c>
      <c r="T1530">
        <v>3</v>
      </c>
      <c r="U1530">
        <v>0</v>
      </c>
      <c r="V1530">
        <v>0</v>
      </c>
      <c r="W1530">
        <v>1</v>
      </c>
      <c r="X1530">
        <v>1</v>
      </c>
      <c r="Y1530">
        <v>0</v>
      </c>
      <c r="Z1530">
        <v>0</v>
      </c>
      <c r="AA1530">
        <v>3</v>
      </c>
      <c r="AB1530">
        <v>11</v>
      </c>
      <c r="AC1530">
        <v>1</v>
      </c>
      <c r="AD1530" t="str">
        <f t="shared" si="299"/>
        <v>Ok</v>
      </c>
      <c r="AE1530" t="str">
        <f>IF(AND(Audit_Data[[#This Row],[Year_Birth]]&gt;=1900,Audit_Data[[#This Row],[Year_Birth]]&lt;=2010),"OK","Invalid")</f>
        <v>OK</v>
      </c>
      <c r="AF1530" t="str">
        <f t="shared" si="300"/>
        <v>Valid</v>
      </c>
      <c r="AG1530" t="str">
        <f t="shared" si="301"/>
        <v>Valid</v>
      </c>
      <c r="AH1530" t="str">
        <f t="shared" si="302"/>
        <v>Valid</v>
      </c>
      <c r="AI1530" t="str">
        <f t="shared" si="303"/>
        <v>Valid</v>
      </c>
      <c r="AJ1530" t="str">
        <f t="shared" si="304"/>
        <v>Valid</v>
      </c>
      <c r="AK1530" t="str">
        <f t="shared" si="311"/>
        <v xml:space="preserve">Valid </v>
      </c>
      <c r="AL1530" t="str">
        <f>IF(AND(Audit_Data[[#This Row],[Recency]]&gt;=0,Audit_Data[[#This Row],[Recency]]&lt;=100),"Valid","Invalid")</f>
        <v>Valid</v>
      </c>
      <c r="AM1530" t="str">
        <f t="shared" si="305"/>
        <v>Valid</v>
      </c>
      <c r="AN1530" t="str">
        <f t="shared" si="306"/>
        <v>Valid</v>
      </c>
      <c r="AO1530" t="str">
        <f t="shared" si="307"/>
        <v>Valid</v>
      </c>
      <c r="AP1530" t="str">
        <f t="shared" si="308"/>
        <v>Valid</v>
      </c>
      <c r="AQ1530" t="str">
        <f>IF(Audit_Data[[#This Row],[Z_CostContact]]=3,"Valid","Invalid")</f>
        <v>Valid</v>
      </c>
      <c r="AR1530" t="str">
        <f t="shared" si="309"/>
        <v>Valid</v>
      </c>
      <c r="AS1530" t="str">
        <f t="shared" si="310"/>
        <v>Valid</v>
      </c>
    </row>
    <row r="1531" spans="1:45" x14ac:dyDescent="0.3">
      <c r="A1531">
        <v>3536</v>
      </c>
      <c r="B1531">
        <v>1960</v>
      </c>
      <c r="C1531" t="s">
        <v>29</v>
      </c>
      <c r="D1531" t="s">
        <v>31</v>
      </c>
      <c r="E1531">
        <v>19740</v>
      </c>
      <c r="F1531">
        <v>0</v>
      </c>
      <c r="G1531">
        <v>1</v>
      </c>
      <c r="H1531" s="1">
        <v>41357</v>
      </c>
      <c r="I1531">
        <v>65</v>
      </c>
      <c r="J1531">
        <v>7</v>
      </c>
      <c r="K1531">
        <v>11</v>
      </c>
      <c r="L1531">
        <v>3</v>
      </c>
      <c r="M1531">
        <v>10</v>
      </c>
      <c r="N1531">
        <v>4</v>
      </c>
      <c r="O1531">
        <v>20</v>
      </c>
      <c r="P1531">
        <v>2</v>
      </c>
      <c r="Q1531">
        <v>1</v>
      </c>
      <c r="R1531">
        <v>1</v>
      </c>
      <c r="S1531">
        <v>3</v>
      </c>
      <c r="T1531">
        <v>5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3</v>
      </c>
      <c r="AB1531">
        <v>11</v>
      </c>
      <c r="AC1531">
        <v>0</v>
      </c>
      <c r="AD1531" t="str">
        <f t="shared" si="299"/>
        <v>Ok</v>
      </c>
      <c r="AE1531" t="str">
        <f>IF(AND(Audit_Data[[#This Row],[Year_Birth]]&gt;=1900,Audit_Data[[#This Row],[Year_Birth]]&lt;=2010),"OK","Invalid")</f>
        <v>OK</v>
      </c>
      <c r="AF1531" t="str">
        <f t="shared" si="300"/>
        <v>Valid</v>
      </c>
      <c r="AG1531" t="str">
        <f t="shared" si="301"/>
        <v>Valid</v>
      </c>
      <c r="AH1531" t="str">
        <f t="shared" si="302"/>
        <v>Valid</v>
      </c>
      <c r="AI1531" t="str">
        <f t="shared" si="303"/>
        <v>Valid</v>
      </c>
      <c r="AJ1531" t="str">
        <f t="shared" si="304"/>
        <v>Valid</v>
      </c>
      <c r="AK1531" t="str">
        <f t="shared" si="311"/>
        <v xml:space="preserve">Valid </v>
      </c>
      <c r="AL1531" t="str">
        <f>IF(AND(Audit_Data[[#This Row],[Recency]]&gt;=0,Audit_Data[[#This Row],[Recency]]&lt;=100),"Valid","Invalid")</f>
        <v>Valid</v>
      </c>
      <c r="AM1531" t="str">
        <f t="shared" si="305"/>
        <v>Valid</v>
      </c>
      <c r="AN1531" t="str">
        <f t="shared" si="306"/>
        <v>Valid</v>
      </c>
      <c r="AO1531" t="str">
        <f t="shared" si="307"/>
        <v>Valid</v>
      </c>
      <c r="AP1531" t="str">
        <f t="shared" si="308"/>
        <v>Valid</v>
      </c>
      <c r="AQ1531" t="str">
        <f>IF(Audit_Data[[#This Row],[Z_CostContact]]=3,"Valid","Invalid")</f>
        <v>Valid</v>
      </c>
      <c r="AR1531" t="str">
        <f t="shared" si="309"/>
        <v>Valid</v>
      </c>
      <c r="AS1531" t="str">
        <f t="shared" si="310"/>
        <v>Valid</v>
      </c>
    </row>
    <row r="1532" spans="1:45" x14ac:dyDescent="0.3">
      <c r="A1532">
        <v>6050</v>
      </c>
      <c r="B1532">
        <v>1975</v>
      </c>
      <c r="C1532" t="s">
        <v>37</v>
      </c>
      <c r="D1532" t="s">
        <v>33</v>
      </c>
      <c r="E1532">
        <v>57036</v>
      </c>
      <c r="F1532">
        <v>0</v>
      </c>
      <c r="G1532">
        <v>1</v>
      </c>
      <c r="H1532" s="1">
        <v>41254</v>
      </c>
      <c r="I1532">
        <v>33</v>
      </c>
      <c r="J1532">
        <v>1171</v>
      </c>
      <c r="K1532">
        <v>43</v>
      </c>
      <c r="L1532">
        <v>219</v>
      </c>
      <c r="M1532">
        <v>19</v>
      </c>
      <c r="N1532">
        <v>14</v>
      </c>
      <c r="O1532">
        <v>47</v>
      </c>
      <c r="P1532">
        <v>4</v>
      </c>
      <c r="Q1532">
        <v>6</v>
      </c>
      <c r="R1532">
        <v>3</v>
      </c>
      <c r="S1532">
        <v>13</v>
      </c>
      <c r="T1532">
        <v>9</v>
      </c>
      <c r="U1532">
        <v>1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3</v>
      </c>
      <c r="AB1532">
        <v>11</v>
      </c>
      <c r="AC1532">
        <v>0</v>
      </c>
      <c r="AD1532" t="str">
        <f t="shared" si="299"/>
        <v>Ok</v>
      </c>
      <c r="AE1532" t="str">
        <f>IF(AND(Audit_Data[[#This Row],[Year_Birth]]&gt;=1900,Audit_Data[[#This Row],[Year_Birth]]&lt;=2010),"OK","Invalid")</f>
        <v>OK</v>
      </c>
      <c r="AF1532" t="str">
        <f t="shared" si="300"/>
        <v>Valid</v>
      </c>
      <c r="AG1532" t="str">
        <f t="shared" si="301"/>
        <v>Valid</v>
      </c>
      <c r="AH1532" t="str">
        <f t="shared" si="302"/>
        <v>Valid</v>
      </c>
      <c r="AI1532" t="str">
        <f t="shared" si="303"/>
        <v>Valid</v>
      </c>
      <c r="AJ1532" t="str">
        <f t="shared" si="304"/>
        <v>Valid</v>
      </c>
      <c r="AK1532" t="str">
        <f t="shared" si="311"/>
        <v xml:space="preserve">Valid </v>
      </c>
      <c r="AL1532" t="str">
        <f>IF(AND(Audit_Data[[#This Row],[Recency]]&gt;=0,Audit_Data[[#This Row],[Recency]]&lt;=100),"Valid","Invalid")</f>
        <v>Valid</v>
      </c>
      <c r="AM1532" t="str">
        <f t="shared" si="305"/>
        <v>Valid</v>
      </c>
      <c r="AN1532" t="str">
        <f t="shared" si="306"/>
        <v>Valid</v>
      </c>
      <c r="AO1532" t="str">
        <f t="shared" si="307"/>
        <v>Valid</v>
      </c>
      <c r="AP1532" t="str">
        <f t="shared" si="308"/>
        <v>Valid</v>
      </c>
      <c r="AQ1532" t="str">
        <f>IF(Audit_Data[[#This Row],[Z_CostContact]]=3,"Valid","Invalid")</f>
        <v>Valid</v>
      </c>
      <c r="AR1532" t="str">
        <f t="shared" si="309"/>
        <v>Valid</v>
      </c>
      <c r="AS1532" t="str">
        <f t="shared" si="310"/>
        <v>Valid</v>
      </c>
    </row>
    <row r="1533" spans="1:45" x14ac:dyDescent="0.3">
      <c r="A1533">
        <v>125</v>
      </c>
      <c r="B1533">
        <v>1958</v>
      </c>
      <c r="C1533" t="s">
        <v>37</v>
      </c>
      <c r="D1533" t="s">
        <v>31</v>
      </c>
      <c r="E1533">
        <v>53083</v>
      </c>
      <c r="F1533">
        <v>1</v>
      </c>
      <c r="G1533">
        <v>1</v>
      </c>
      <c r="H1533" s="1">
        <v>41409</v>
      </c>
      <c r="I1533">
        <v>65</v>
      </c>
      <c r="J1533">
        <v>215</v>
      </c>
      <c r="K1533">
        <v>7</v>
      </c>
      <c r="L1533">
        <v>33</v>
      </c>
      <c r="M1533">
        <v>3</v>
      </c>
      <c r="N1533">
        <v>0</v>
      </c>
      <c r="O1533">
        <v>13</v>
      </c>
      <c r="P1533">
        <v>6</v>
      </c>
      <c r="Q1533">
        <v>5</v>
      </c>
      <c r="R1533">
        <v>1</v>
      </c>
      <c r="S1533">
        <v>5</v>
      </c>
      <c r="T1533">
        <v>7</v>
      </c>
      <c r="U1533">
        <v>0</v>
      </c>
      <c r="V1533">
        <v>1</v>
      </c>
      <c r="W1533">
        <v>0</v>
      </c>
      <c r="X1533">
        <v>0</v>
      </c>
      <c r="Y1533">
        <v>0</v>
      </c>
      <c r="Z1533">
        <v>0</v>
      </c>
      <c r="AA1533">
        <v>3</v>
      </c>
      <c r="AB1533">
        <v>11</v>
      </c>
      <c r="AC1533">
        <v>0</v>
      </c>
      <c r="AD1533" t="str">
        <f t="shared" si="299"/>
        <v>Ok</v>
      </c>
      <c r="AE1533" t="str">
        <f>IF(AND(Audit_Data[[#This Row],[Year_Birth]]&gt;=1900,Audit_Data[[#This Row],[Year_Birth]]&lt;=2010),"OK","Invalid")</f>
        <v>OK</v>
      </c>
      <c r="AF1533" t="str">
        <f t="shared" si="300"/>
        <v>Valid</v>
      </c>
      <c r="AG1533" t="str">
        <f t="shared" si="301"/>
        <v>Valid</v>
      </c>
      <c r="AH1533" t="str">
        <f t="shared" si="302"/>
        <v>Valid</v>
      </c>
      <c r="AI1533" t="str">
        <f t="shared" si="303"/>
        <v>Valid</v>
      </c>
      <c r="AJ1533" t="str">
        <f t="shared" si="304"/>
        <v>Valid</v>
      </c>
      <c r="AK1533" t="str">
        <f t="shared" si="311"/>
        <v xml:space="preserve">Valid </v>
      </c>
      <c r="AL1533" t="str">
        <f>IF(AND(Audit_Data[[#This Row],[Recency]]&gt;=0,Audit_Data[[#This Row],[Recency]]&lt;=100),"Valid","Invalid")</f>
        <v>Valid</v>
      </c>
      <c r="AM1533" t="str">
        <f t="shared" si="305"/>
        <v>Valid</v>
      </c>
      <c r="AN1533" t="str">
        <f t="shared" si="306"/>
        <v>Valid</v>
      </c>
      <c r="AO1533" t="str">
        <f t="shared" si="307"/>
        <v>Valid</v>
      </c>
      <c r="AP1533" t="str">
        <f t="shared" si="308"/>
        <v>Valid</v>
      </c>
      <c r="AQ1533" t="str">
        <f>IF(Audit_Data[[#This Row],[Z_CostContact]]=3,"Valid","Invalid")</f>
        <v>Valid</v>
      </c>
      <c r="AR1533" t="str">
        <f t="shared" si="309"/>
        <v>Valid</v>
      </c>
      <c r="AS1533" t="str">
        <f t="shared" si="310"/>
        <v>Valid</v>
      </c>
    </row>
    <row r="1534" spans="1:45" x14ac:dyDescent="0.3">
      <c r="A1534">
        <v>3463</v>
      </c>
      <c r="B1534">
        <v>1975</v>
      </c>
      <c r="C1534" t="s">
        <v>32</v>
      </c>
      <c r="D1534" t="s">
        <v>33</v>
      </c>
      <c r="E1534">
        <v>69283</v>
      </c>
      <c r="F1534">
        <v>0</v>
      </c>
      <c r="G1534">
        <v>1</v>
      </c>
      <c r="H1534" s="1">
        <v>41804</v>
      </c>
      <c r="I1534">
        <v>41</v>
      </c>
      <c r="J1534">
        <v>674</v>
      </c>
      <c r="K1534">
        <v>62</v>
      </c>
      <c r="L1534">
        <v>134</v>
      </c>
      <c r="M1534">
        <v>0</v>
      </c>
      <c r="N1534">
        <v>26</v>
      </c>
      <c r="O1534">
        <v>8</v>
      </c>
      <c r="P1534">
        <v>4</v>
      </c>
      <c r="Q1534">
        <v>7</v>
      </c>
      <c r="R1534">
        <v>3</v>
      </c>
      <c r="S1534">
        <v>13</v>
      </c>
      <c r="T1534">
        <v>5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3</v>
      </c>
      <c r="AB1534">
        <v>11</v>
      </c>
      <c r="AC1534">
        <v>0</v>
      </c>
      <c r="AD1534" t="str">
        <f t="shared" si="299"/>
        <v>Ok</v>
      </c>
      <c r="AE1534" t="str">
        <f>IF(AND(Audit_Data[[#This Row],[Year_Birth]]&gt;=1900,Audit_Data[[#This Row],[Year_Birth]]&lt;=2010),"OK","Invalid")</f>
        <v>OK</v>
      </c>
      <c r="AF1534" t="str">
        <f t="shared" si="300"/>
        <v>Valid</v>
      </c>
      <c r="AG1534" t="str">
        <f t="shared" si="301"/>
        <v>Valid</v>
      </c>
      <c r="AH1534" t="str">
        <f t="shared" si="302"/>
        <v>Valid</v>
      </c>
      <c r="AI1534" t="str">
        <f t="shared" si="303"/>
        <v>Valid</v>
      </c>
      <c r="AJ1534" t="str">
        <f t="shared" si="304"/>
        <v>Valid</v>
      </c>
      <c r="AK1534" t="str">
        <f t="shared" si="311"/>
        <v xml:space="preserve">Valid </v>
      </c>
      <c r="AL1534" t="str">
        <f>IF(AND(Audit_Data[[#This Row],[Recency]]&gt;=0,Audit_Data[[#This Row],[Recency]]&lt;=100),"Valid","Invalid")</f>
        <v>Valid</v>
      </c>
      <c r="AM1534" t="str">
        <f t="shared" si="305"/>
        <v>Valid</v>
      </c>
      <c r="AN1534" t="str">
        <f t="shared" si="306"/>
        <v>Valid</v>
      </c>
      <c r="AO1534" t="str">
        <f t="shared" si="307"/>
        <v>Valid</v>
      </c>
      <c r="AP1534" t="str">
        <f t="shared" si="308"/>
        <v>Valid</v>
      </c>
      <c r="AQ1534" t="str">
        <f>IF(Audit_Data[[#This Row],[Z_CostContact]]=3,"Valid","Invalid")</f>
        <v>Valid</v>
      </c>
      <c r="AR1534" t="str">
        <f t="shared" si="309"/>
        <v>Valid</v>
      </c>
      <c r="AS1534" t="str">
        <f t="shared" si="310"/>
        <v>Valid</v>
      </c>
    </row>
    <row r="1535" spans="1:45" x14ac:dyDescent="0.3">
      <c r="A1535">
        <v>2804</v>
      </c>
      <c r="B1535">
        <v>1975</v>
      </c>
      <c r="C1535" t="s">
        <v>34</v>
      </c>
      <c r="D1535" t="s">
        <v>30</v>
      </c>
      <c r="E1535">
        <v>46098</v>
      </c>
      <c r="F1535">
        <v>1</v>
      </c>
      <c r="G1535">
        <v>1</v>
      </c>
      <c r="H1535" s="1">
        <v>41139</v>
      </c>
      <c r="I1535">
        <v>86</v>
      </c>
      <c r="J1535">
        <v>57</v>
      </c>
      <c r="K1535">
        <v>0</v>
      </c>
      <c r="L1535">
        <v>27</v>
      </c>
      <c r="M1535">
        <v>0</v>
      </c>
      <c r="N1535">
        <v>0</v>
      </c>
      <c r="O1535">
        <v>36</v>
      </c>
      <c r="P1535">
        <v>4</v>
      </c>
      <c r="Q1535">
        <v>3</v>
      </c>
      <c r="R1535">
        <v>2</v>
      </c>
      <c r="S1535">
        <v>2</v>
      </c>
      <c r="T1535">
        <v>8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3</v>
      </c>
      <c r="AB1535">
        <v>11</v>
      </c>
      <c r="AC1535">
        <v>1</v>
      </c>
      <c r="AD1535" t="str">
        <f t="shared" si="299"/>
        <v>Ok</v>
      </c>
      <c r="AE1535" t="str">
        <f>IF(AND(Audit_Data[[#This Row],[Year_Birth]]&gt;=1900,Audit_Data[[#This Row],[Year_Birth]]&lt;=2010),"OK","Invalid")</f>
        <v>OK</v>
      </c>
      <c r="AF1535" t="str">
        <f t="shared" si="300"/>
        <v>Valid</v>
      </c>
      <c r="AG1535" t="str">
        <f t="shared" si="301"/>
        <v>Valid</v>
      </c>
      <c r="AH1535" t="str">
        <f t="shared" si="302"/>
        <v>Valid</v>
      </c>
      <c r="AI1535" t="str">
        <f t="shared" si="303"/>
        <v>Valid</v>
      </c>
      <c r="AJ1535" t="str">
        <f t="shared" si="304"/>
        <v>Valid</v>
      </c>
      <c r="AK1535" t="str">
        <f t="shared" si="311"/>
        <v xml:space="preserve">Valid </v>
      </c>
      <c r="AL1535" t="str">
        <f>IF(AND(Audit_Data[[#This Row],[Recency]]&gt;=0,Audit_Data[[#This Row],[Recency]]&lt;=100),"Valid","Invalid")</f>
        <v>Valid</v>
      </c>
      <c r="AM1535" t="str">
        <f t="shared" si="305"/>
        <v>Valid</v>
      </c>
      <c r="AN1535" t="str">
        <f t="shared" si="306"/>
        <v>Valid</v>
      </c>
      <c r="AO1535" t="str">
        <f t="shared" si="307"/>
        <v>Valid</v>
      </c>
      <c r="AP1535" t="str">
        <f t="shared" si="308"/>
        <v>Valid</v>
      </c>
      <c r="AQ1535" t="str">
        <f>IF(Audit_Data[[#This Row],[Z_CostContact]]=3,"Valid","Invalid")</f>
        <v>Valid</v>
      </c>
      <c r="AR1535" t="str">
        <f t="shared" si="309"/>
        <v>Valid</v>
      </c>
      <c r="AS1535" t="str">
        <f t="shared" si="310"/>
        <v>Valid</v>
      </c>
    </row>
    <row r="1536" spans="1:45" x14ac:dyDescent="0.3">
      <c r="A1536">
        <v>3745</v>
      </c>
      <c r="B1536">
        <v>1988</v>
      </c>
      <c r="C1536" t="s">
        <v>37</v>
      </c>
      <c r="D1536" t="s">
        <v>33</v>
      </c>
      <c r="E1536">
        <v>23331</v>
      </c>
      <c r="F1536">
        <v>1</v>
      </c>
      <c r="G1536">
        <v>0</v>
      </c>
      <c r="H1536" s="1">
        <v>41156</v>
      </c>
      <c r="I1536">
        <v>92</v>
      </c>
      <c r="J1536">
        <v>5</v>
      </c>
      <c r="K1536">
        <v>36</v>
      </c>
      <c r="L1536">
        <v>7</v>
      </c>
      <c r="M1536">
        <v>0</v>
      </c>
      <c r="N1536">
        <v>10</v>
      </c>
      <c r="O1536">
        <v>45</v>
      </c>
      <c r="P1536">
        <v>2</v>
      </c>
      <c r="Q1536">
        <v>3</v>
      </c>
      <c r="R1536">
        <v>0</v>
      </c>
      <c r="S1536">
        <v>3</v>
      </c>
      <c r="T1536">
        <v>8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3</v>
      </c>
      <c r="AB1536">
        <v>11</v>
      </c>
      <c r="AC1536">
        <v>0</v>
      </c>
      <c r="AD1536" t="str">
        <f t="shared" si="299"/>
        <v>Ok</v>
      </c>
      <c r="AE1536" t="str">
        <f>IF(AND(Audit_Data[[#This Row],[Year_Birth]]&gt;=1900,Audit_Data[[#This Row],[Year_Birth]]&lt;=2010),"OK","Invalid")</f>
        <v>OK</v>
      </c>
      <c r="AF1536" t="str">
        <f t="shared" si="300"/>
        <v>Valid</v>
      </c>
      <c r="AG1536" t="str">
        <f t="shared" si="301"/>
        <v>Valid</v>
      </c>
      <c r="AH1536" t="str">
        <f t="shared" si="302"/>
        <v>Valid</v>
      </c>
      <c r="AI1536" t="str">
        <f t="shared" si="303"/>
        <v>Valid</v>
      </c>
      <c r="AJ1536" t="str">
        <f t="shared" si="304"/>
        <v>Valid</v>
      </c>
      <c r="AK1536" t="str">
        <f t="shared" si="311"/>
        <v xml:space="preserve">Valid </v>
      </c>
      <c r="AL1536" t="str">
        <f>IF(AND(Audit_Data[[#This Row],[Recency]]&gt;=0,Audit_Data[[#This Row],[Recency]]&lt;=100),"Valid","Invalid")</f>
        <v>Valid</v>
      </c>
      <c r="AM1536" t="str">
        <f t="shared" si="305"/>
        <v>Valid</v>
      </c>
      <c r="AN1536" t="str">
        <f t="shared" si="306"/>
        <v>Valid</v>
      </c>
      <c r="AO1536" t="str">
        <f t="shared" si="307"/>
        <v>Valid</v>
      </c>
      <c r="AP1536" t="str">
        <f t="shared" si="308"/>
        <v>Valid</v>
      </c>
      <c r="AQ1536" t="str">
        <f>IF(Audit_Data[[#This Row],[Z_CostContact]]=3,"Valid","Invalid")</f>
        <v>Valid</v>
      </c>
      <c r="AR1536" t="str">
        <f t="shared" si="309"/>
        <v>Valid</v>
      </c>
      <c r="AS1536" t="str">
        <f t="shared" si="310"/>
        <v>Valid</v>
      </c>
    </row>
    <row r="1537" spans="1:45" x14ac:dyDescent="0.3">
      <c r="A1537">
        <v>9771</v>
      </c>
      <c r="B1537">
        <v>1988</v>
      </c>
      <c r="C1537" t="s">
        <v>37</v>
      </c>
      <c r="D1537" t="s">
        <v>30</v>
      </c>
      <c r="E1537">
        <v>23331</v>
      </c>
      <c r="F1537">
        <v>1</v>
      </c>
      <c r="G1537">
        <v>0</v>
      </c>
      <c r="H1537" s="1">
        <v>41187</v>
      </c>
      <c r="I1537">
        <v>97</v>
      </c>
      <c r="J1537">
        <v>104</v>
      </c>
      <c r="K1537">
        <v>20</v>
      </c>
      <c r="L1537">
        <v>101</v>
      </c>
      <c r="M1537">
        <v>24</v>
      </c>
      <c r="N1537">
        <v>15</v>
      </c>
      <c r="O1537">
        <v>5</v>
      </c>
      <c r="P1537">
        <v>6</v>
      </c>
      <c r="Q1537">
        <v>5</v>
      </c>
      <c r="R1537">
        <v>1</v>
      </c>
      <c r="S1537">
        <v>5</v>
      </c>
      <c r="T1537">
        <v>9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3</v>
      </c>
      <c r="AB1537">
        <v>11</v>
      </c>
      <c r="AC1537">
        <v>0</v>
      </c>
      <c r="AD1537" t="str">
        <f t="shared" si="299"/>
        <v>Ok</v>
      </c>
      <c r="AE1537" t="str">
        <f>IF(AND(Audit_Data[[#This Row],[Year_Birth]]&gt;=1900,Audit_Data[[#This Row],[Year_Birth]]&lt;=2010),"OK","Invalid")</f>
        <v>OK</v>
      </c>
      <c r="AF1537" t="str">
        <f t="shared" si="300"/>
        <v>Valid</v>
      </c>
      <c r="AG1537" t="str">
        <f t="shared" si="301"/>
        <v>Valid</v>
      </c>
      <c r="AH1537" t="str">
        <f t="shared" si="302"/>
        <v>Valid</v>
      </c>
      <c r="AI1537" t="str">
        <f t="shared" si="303"/>
        <v>Valid</v>
      </c>
      <c r="AJ1537" t="str">
        <f t="shared" si="304"/>
        <v>Valid</v>
      </c>
      <c r="AK1537" t="str">
        <f t="shared" si="311"/>
        <v xml:space="preserve">Valid </v>
      </c>
      <c r="AL1537" t="str">
        <f>IF(AND(Audit_Data[[#This Row],[Recency]]&gt;=0,Audit_Data[[#This Row],[Recency]]&lt;=100),"Valid","Invalid")</f>
        <v>Valid</v>
      </c>
      <c r="AM1537" t="str">
        <f t="shared" si="305"/>
        <v>Valid</v>
      </c>
      <c r="AN1537" t="str">
        <f t="shared" si="306"/>
        <v>Valid</v>
      </c>
      <c r="AO1537" t="str">
        <f t="shared" si="307"/>
        <v>Valid</v>
      </c>
      <c r="AP1537" t="str">
        <f t="shared" si="308"/>
        <v>Valid</v>
      </c>
      <c r="AQ1537" t="str">
        <f>IF(Audit_Data[[#This Row],[Z_CostContact]]=3,"Valid","Invalid")</f>
        <v>Valid</v>
      </c>
      <c r="AR1537" t="str">
        <f t="shared" si="309"/>
        <v>Valid</v>
      </c>
      <c r="AS1537" t="str">
        <f t="shared" si="310"/>
        <v>Valid</v>
      </c>
    </row>
    <row r="1538" spans="1:45" x14ac:dyDescent="0.3">
      <c r="A1538">
        <v>451</v>
      </c>
      <c r="B1538">
        <v>1989</v>
      </c>
      <c r="C1538" t="s">
        <v>29</v>
      </c>
      <c r="D1538" t="s">
        <v>30</v>
      </c>
      <c r="E1538">
        <v>9255</v>
      </c>
      <c r="F1538">
        <v>1</v>
      </c>
      <c r="G1538">
        <v>0</v>
      </c>
      <c r="H1538" s="1">
        <v>41628</v>
      </c>
      <c r="I1538">
        <v>91</v>
      </c>
      <c r="J1538">
        <v>9</v>
      </c>
      <c r="K1538">
        <v>0</v>
      </c>
      <c r="L1538">
        <v>7</v>
      </c>
      <c r="M1538">
        <v>2</v>
      </c>
      <c r="N1538">
        <v>0</v>
      </c>
      <c r="O1538">
        <v>4</v>
      </c>
      <c r="P1538">
        <v>1</v>
      </c>
      <c r="Q1538">
        <v>1</v>
      </c>
      <c r="R1538">
        <v>1</v>
      </c>
      <c r="S1538">
        <v>2</v>
      </c>
      <c r="T1538">
        <v>8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3</v>
      </c>
      <c r="AB1538">
        <v>11</v>
      </c>
      <c r="AC1538">
        <v>0</v>
      </c>
      <c r="AD1538" t="str">
        <f t="shared" ref="AD1538:AD1601" si="312">IF(COUNTIF(A:A,A1538)&gt;1,"Duplicate","Ok")</f>
        <v>Ok</v>
      </c>
      <c r="AE1538" t="str">
        <f>IF(AND(Audit_Data[[#This Row],[Year_Birth]]&gt;=1900,Audit_Data[[#This Row],[Year_Birth]]&lt;=2010),"OK","Invalid")</f>
        <v>OK</v>
      </c>
      <c r="AF1538" t="str">
        <f t="shared" ref="AF1538:AF1601" si="313">IF(OR(C1538="Graduation",C1538="phD",C1538="Master",C1538="Basic",C1538="2n Cycle"),"Valid","Invalid")</f>
        <v>Valid</v>
      </c>
      <c r="AG1538" t="str">
        <f t="shared" ref="AG1538:AG1601" si="314">IF(OR(D1538="Single",D1538="Married",D1538="Divorced",D1538="Together",D1538="Widow",D1538="Alone"),"Valid","Invalid")</f>
        <v>Valid</v>
      </c>
      <c r="AH1538" t="str">
        <f t="shared" ref="AH1538:AH1601" si="315">IF(AND(ISNUMBER(E1538),E1538&lt;&gt;""),"Valid","Invalid")</f>
        <v>Valid</v>
      </c>
      <c r="AI1538" t="str">
        <f t="shared" ref="AI1538:AI1601" si="316">IF(AND(F1538&gt;=0,F1538&lt;=2),"Valid","Invalid")</f>
        <v>Valid</v>
      </c>
      <c r="AJ1538" t="str">
        <f t="shared" ref="AJ1538:AJ1601" si="317">IF(AND(G1538&gt;=0,G1538&lt;=2),"Valid","Invalid")</f>
        <v>Valid</v>
      </c>
      <c r="AK1538" t="str">
        <f t="shared" si="311"/>
        <v xml:space="preserve">Valid </v>
      </c>
      <c r="AL1538" t="str">
        <f>IF(AND(Audit_Data[[#This Row],[Recency]]&gt;=0,Audit_Data[[#This Row],[Recency]]&lt;=100),"Valid","Invalid")</f>
        <v>Valid</v>
      </c>
      <c r="AM1538" t="str">
        <f t="shared" ref="AM1538:AM1601" si="318">IF(AND(ISNUMBER(J1538),J1538&gt;=0,ISNUMBER(K1538),K1538&gt;=0,ISNUMBER(L1538),L1538&gt;=0,ISNUMBER(M1538),M1538&gt;=0,ISNUMBER(N1538),N1538&gt;=0,ISNUMBER(O1538),O1538&gt;=0),"Valid","Invalid")</f>
        <v>Valid</v>
      </c>
      <c r="AN1538" t="str">
        <f t="shared" ref="AN1538:AN1601" si="319">IF(AND(ISNUMBER(P1538),P1538&gt;=0,ISNUMBER(Q1538),Q1538&gt;=0,ISNUMBER(R1538),R1538&gt;=0,ISNUMBER(S1538),S1538&gt;=0,ISNUMBER(T1538),T1538&gt;=0),"Valid","Invalid")</f>
        <v>Valid</v>
      </c>
      <c r="AO1538" t="str">
        <f t="shared" ref="AO1538:AO1601" si="320">IF(AND(U1538&lt;=1,V1538&lt;=1,W1538&lt;=1,X1538&lt;=1,Y1538&lt;=1),"Valid","Invalid")</f>
        <v>Valid</v>
      </c>
      <c r="AP1538" t="str">
        <f t="shared" ref="AP1538:AP1601" si="321">IF(OR(Z1538=0,Z1538=1),"Valid","Invalid")</f>
        <v>Valid</v>
      </c>
      <c r="AQ1538" t="str">
        <f>IF(Audit_Data[[#This Row],[Z_CostContact]]=3,"Valid","Invalid")</f>
        <v>Valid</v>
      </c>
      <c r="AR1538" t="str">
        <f t="shared" ref="AR1538:AR1601" si="322">IF(AB1538=11,"Valid","Invalid")</f>
        <v>Valid</v>
      </c>
      <c r="AS1538" t="str">
        <f t="shared" ref="AS1538:AS1601" si="323">IF(OR(AC1538=0,AC1538=1),"Valid","Invalid")</f>
        <v>Valid</v>
      </c>
    </row>
    <row r="1539" spans="1:45" x14ac:dyDescent="0.3">
      <c r="A1539">
        <v>10530</v>
      </c>
      <c r="B1539">
        <v>1959</v>
      </c>
      <c r="C1539" t="s">
        <v>32</v>
      </c>
      <c r="D1539" t="s">
        <v>38</v>
      </c>
      <c r="E1539">
        <v>67786</v>
      </c>
      <c r="F1539">
        <v>0</v>
      </c>
      <c r="G1539">
        <v>0</v>
      </c>
      <c r="H1539" s="1">
        <v>41615</v>
      </c>
      <c r="I1539">
        <v>0</v>
      </c>
      <c r="J1539">
        <v>431</v>
      </c>
      <c r="K1539">
        <v>82</v>
      </c>
      <c r="L1539">
        <v>441</v>
      </c>
      <c r="M1539">
        <v>80</v>
      </c>
      <c r="N1539">
        <v>20</v>
      </c>
      <c r="O1539">
        <v>102</v>
      </c>
      <c r="P1539">
        <v>1</v>
      </c>
      <c r="Q1539">
        <v>3</v>
      </c>
      <c r="R1539">
        <v>6</v>
      </c>
      <c r="S1539">
        <v>6</v>
      </c>
      <c r="T1539">
        <v>1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3</v>
      </c>
      <c r="AB1539">
        <v>11</v>
      </c>
      <c r="AC1539">
        <v>1</v>
      </c>
      <c r="AD1539" t="str">
        <f t="shared" si="312"/>
        <v>Ok</v>
      </c>
      <c r="AE1539" t="str">
        <f>IF(AND(Audit_Data[[#This Row],[Year_Birth]]&gt;=1900,Audit_Data[[#This Row],[Year_Birth]]&lt;=2010),"OK","Invalid")</f>
        <v>OK</v>
      </c>
      <c r="AF1539" t="str">
        <f t="shared" si="313"/>
        <v>Valid</v>
      </c>
      <c r="AG1539" t="str">
        <f t="shared" si="314"/>
        <v>Valid</v>
      </c>
      <c r="AH1539" t="str">
        <f t="shared" si="315"/>
        <v>Valid</v>
      </c>
      <c r="AI1539" t="str">
        <f t="shared" si="316"/>
        <v>Valid</v>
      </c>
      <c r="AJ1539" t="str">
        <f t="shared" si="317"/>
        <v>Valid</v>
      </c>
      <c r="AK1539" t="str">
        <f t="shared" ref="AK1539:AK1602" si="324">IF(AND(ISNUMBER(H1539),H1539&gt;=DATE(2012,1,1),H1539&lt;=DATE(2014,12,31)),"Valid ","Invalid")</f>
        <v xml:space="preserve">Valid </v>
      </c>
      <c r="AL1539" t="str">
        <f>IF(AND(Audit_Data[[#This Row],[Recency]]&gt;=0,Audit_Data[[#This Row],[Recency]]&lt;=100),"Valid","Invalid")</f>
        <v>Valid</v>
      </c>
      <c r="AM1539" t="str">
        <f t="shared" si="318"/>
        <v>Valid</v>
      </c>
      <c r="AN1539" t="str">
        <f t="shared" si="319"/>
        <v>Valid</v>
      </c>
      <c r="AO1539" t="str">
        <f t="shared" si="320"/>
        <v>Valid</v>
      </c>
      <c r="AP1539" t="str">
        <f t="shared" si="321"/>
        <v>Valid</v>
      </c>
      <c r="AQ1539" t="str">
        <f>IF(Audit_Data[[#This Row],[Z_CostContact]]=3,"Valid","Invalid")</f>
        <v>Valid</v>
      </c>
      <c r="AR1539" t="str">
        <f t="shared" si="322"/>
        <v>Valid</v>
      </c>
      <c r="AS1539" t="str">
        <f t="shared" si="323"/>
        <v>Valid</v>
      </c>
    </row>
    <row r="1540" spans="1:45" x14ac:dyDescent="0.3">
      <c r="A1540">
        <v>1079</v>
      </c>
      <c r="B1540">
        <v>1971</v>
      </c>
      <c r="C1540" t="s">
        <v>32</v>
      </c>
      <c r="D1540" t="s">
        <v>33</v>
      </c>
      <c r="E1540">
        <v>71969</v>
      </c>
      <c r="F1540">
        <v>0</v>
      </c>
      <c r="G1540">
        <v>1</v>
      </c>
      <c r="H1540" s="1">
        <v>41198</v>
      </c>
      <c r="I1540">
        <v>59</v>
      </c>
      <c r="J1540">
        <v>1000</v>
      </c>
      <c r="K1540">
        <v>0</v>
      </c>
      <c r="L1540">
        <v>76</v>
      </c>
      <c r="M1540">
        <v>0</v>
      </c>
      <c r="N1540">
        <v>0</v>
      </c>
      <c r="O1540">
        <v>10</v>
      </c>
      <c r="P1540">
        <v>3</v>
      </c>
      <c r="Q1540">
        <v>3</v>
      </c>
      <c r="R1540">
        <v>4</v>
      </c>
      <c r="S1540">
        <v>9</v>
      </c>
      <c r="T1540">
        <v>8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3</v>
      </c>
      <c r="AB1540">
        <v>11</v>
      </c>
      <c r="AC1540">
        <v>0</v>
      </c>
      <c r="AD1540" t="str">
        <f t="shared" si="312"/>
        <v>Ok</v>
      </c>
      <c r="AE1540" t="str">
        <f>IF(AND(Audit_Data[[#This Row],[Year_Birth]]&gt;=1900,Audit_Data[[#This Row],[Year_Birth]]&lt;=2010),"OK","Invalid")</f>
        <v>OK</v>
      </c>
      <c r="AF1540" t="str">
        <f t="shared" si="313"/>
        <v>Valid</v>
      </c>
      <c r="AG1540" t="str">
        <f t="shared" si="314"/>
        <v>Valid</v>
      </c>
      <c r="AH1540" t="str">
        <f t="shared" si="315"/>
        <v>Valid</v>
      </c>
      <c r="AI1540" t="str">
        <f t="shared" si="316"/>
        <v>Valid</v>
      </c>
      <c r="AJ1540" t="str">
        <f t="shared" si="317"/>
        <v>Valid</v>
      </c>
      <c r="AK1540" t="str">
        <f t="shared" si="324"/>
        <v xml:space="preserve">Valid </v>
      </c>
      <c r="AL1540" t="str">
        <f>IF(AND(Audit_Data[[#This Row],[Recency]]&gt;=0,Audit_Data[[#This Row],[Recency]]&lt;=100),"Valid","Invalid")</f>
        <v>Valid</v>
      </c>
      <c r="AM1540" t="str">
        <f t="shared" si="318"/>
        <v>Valid</v>
      </c>
      <c r="AN1540" t="str">
        <f t="shared" si="319"/>
        <v>Valid</v>
      </c>
      <c r="AO1540" t="str">
        <f t="shared" si="320"/>
        <v>Valid</v>
      </c>
      <c r="AP1540" t="str">
        <f t="shared" si="321"/>
        <v>Valid</v>
      </c>
      <c r="AQ1540" t="str">
        <f>IF(Audit_Data[[#This Row],[Z_CostContact]]=3,"Valid","Invalid")</f>
        <v>Valid</v>
      </c>
      <c r="AR1540" t="str">
        <f t="shared" si="322"/>
        <v>Valid</v>
      </c>
      <c r="AS1540" t="str">
        <f t="shared" si="323"/>
        <v>Valid</v>
      </c>
    </row>
    <row r="1541" spans="1:45" x14ac:dyDescent="0.3">
      <c r="A1541">
        <v>8920</v>
      </c>
      <c r="B1541">
        <v>1967</v>
      </c>
      <c r="C1541" t="s">
        <v>34</v>
      </c>
      <c r="D1541" t="s">
        <v>30</v>
      </c>
      <c r="E1541">
        <v>59235</v>
      </c>
      <c r="F1541">
        <v>1</v>
      </c>
      <c r="G1541">
        <v>0</v>
      </c>
      <c r="H1541" s="1">
        <v>41286</v>
      </c>
      <c r="I1541">
        <v>4</v>
      </c>
      <c r="J1541">
        <v>448</v>
      </c>
      <c r="K1541">
        <v>40</v>
      </c>
      <c r="L1541">
        <v>469</v>
      </c>
      <c r="M1541">
        <v>80</v>
      </c>
      <c r="N1541">
        <v>0</v>
      </c>
      <c r="O1541">
        <v>91</v>
      </c>
      <c r="P1541">
        <v>3</v>
      </c>
      <c r="Q1541">
        <v>11</v>
      </c>
      <c r="R1541">
        <v>2</v>
      </c>
      <c r="S1541">
        <v>12</v>
      </c>
      <c r="T1541">
        <v>7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3</v>
      </c>
      <c r="AB1541">
        <v>11</v>
      </c>
      <c r="AC1541">
        <v>0</v>
      </c>
      <c r="AD1541" t="str">
        <f t="shared" si="312"/>
        <v>Ok</v>
      </c>
      <c r="AE1541" t="str">
        <f>IF(AND(Audit_Data[[#This Row],[Year_Birth]]&gt;=1900,Audit_Data[[#This Row],[Year_Birth]]&lt;=2010),"OK","Invalid")</f>
        <v>OK</v>
      </c>
      <c r="AF1541" t="str">
        <f t="shared" si="313"/>
        <v>Valid</v>
      </c>
      <c r="AG1541" t="str">
        <f t="shared" si="314"/>
        <v>Valid</v>
      </c>
      <c r="AH1541" t="str">
        <f t="shared" si="315"/>
        <v>Valid</v>
      </c>
      <c r="AI1541" t="str">
        <f t="shared" si="316"/>
        <v>Valid</v>
      </c>
      <c r="AJ1541" t="str">
        <f t="shared" si="317"/>
        <v>Valid</v>
      </c>
      <c r="AK1541" t="str">
        <f t="shared" si="324"/>
        <v xml:space="preserve">Valid </v>
      </c>
      <c r="AL1541" t="str">
        <f>IF(AND(Audit_Data[[#This Row],[Recency]]&gt;=0,Audit_Data[[#This Row],[Recency]]&lt;=100),"Valid","Invalid")</f>
        <v>Valid</v>
      </c>
      <c r="AM1541" t="str">
        <f t="shared" si="318"/>
        <v>Valid</v>
      </c>
      <c r="AN1541" t="str">
        <f t="shared" si="319"/>
        <v>Valid</v>
      </c>
      <c r="AO1541" t="str">
        <f t="shared" si="320"/>
        <v>Valid</v>
      </c>
      <c r="AP1541" t="str">
        <f t="shared" si="321"/>
        <v>Valid</v>
      </c>
      <c r="AQ1541" t="str">
        <f>IF(Audit_Data[[#This Row],[Z_CostContact]]=3,"Valid","Invalid")</f>
        <v>Valid</v>
      </c>
      <c r="AR1541" t="str">
        <f t="shared" si="322"/>
        <v>Valid</v>
      </c>
      <c r="AS1541" t="str">
        <f t="shared" si="323"/>
        <v>Valid</v>
      </c>
    </row>
    <row r="1542" spans="1:45" x14ac:dyDescent="0.3">
      <c r="A1542">
        <v>6678</v>
      </c>
      <c r="B1542">
        <v>1989</v>
      </c>
      <c r="C1542" t="s">
        <v>29</v>
      </c>
      <c r="D1542" t="s">
        <v>31</v>
      </c>
      <c r="E1542">
        <v>31928</v>
      </c>
      <c r="F1542">
        <v>1</v>
      </c>
      <c r="G1542">
        <v>0</v>
      </c>
      <c r="H1542" s="1">
        <v>41726</v>
      </c>
      <c r="I1542">
        <v>5</v>
      </c>
      <c r="J1542">
        <v>33</v>
      </c>
      <c r="K1542">
        <v>4</v>
      </c>
      <c r="L1542">
        <v>24</v>
      </c>
      <c r="M1542">
        <v>4</v>
      </c>
      <c r="N1542">
        <v>2</v>
      </c>
      <c r="O1542">
        <v>5</v>
      </c>
      <c r="P1542">
        <v>2</v>
      </c>
      <c r="Q1542">
        <v>3</v>
      </c>
      <c r="R1542">
        <v>0</v>
      </c>
      <c r="S1542">
        <v>4</v>
      </c>
      <c r="T1542">
        <v>7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3</v>
      </c>
      <c r="AB1542">
        <v>11</v>
      </c>
      <c r="AC1542">
        <v>0</v>
      </c>
      <c r="AD1542" t="str">
        <f t="shared" si="312"/>
        <v>Ok</v>
      </c>
      <c r="AE1542" t="str">
        <f>IF(AND(Audit_Data[[#This Row],[Year_Birth]]&gt;=1900,Audit_Data[[#This Row],[Year_Birth]]&lt;=2010),"OK","Invalid")</f>
        <v>OK</v>
      </c>
      <c r="AF1542" t="str">
        <f t="shared" si="313"/>
        <v>Valid</v>
      </c>
      <c r="AG1542" t="str">
        <f t="shared" si="314"/>
        <v>Valid</v>
      </c>
      <c r="AH1542" t="str">
        <f t="shared" si="315"/>
        <v>Valid</v>
      </c>
      <c r="AI1542" t="str">
        <f t="shared" si="316"/>
        <v>Valid</v>
      </c>
      <c r="AJ1542" t="str">
        <f t="shared" si="317"/>
        <v>Valid</v>
      </c>
      <c r="AK1542" t="str">
        <f t="shared" si="324"/>
        <v xml:space="preserve">Valid </v>
      </c>
      <c r="AL1542" t="str">
        <f>IF(AND(Audit_Data[[#This Row],[Recency]]&gt;=0,Audit_Data[[#This Row],[Recency]]&lt;=100),"Valid","Invalid")</f>
        <v>Valid</v>
      </c>
      <c r="AM1542" t="str">
        <f t="shared" si="318"/>
        <v>Valid</v>
      </c>
      <c r="AN1542" t="str">
        <f t="shared" si="319"/>
        <v>Valid</v>
      </c>
      <c r="AO1542" t="str">
        <f t="shared" si="320"/>
        <v>Valid</v>
      </c>
      <c r="AP1542" t="str">
        <f t="shared" si="321"/>
        <v>Valid</v>
      </c>
      <c r="AQ1542" t="str">
        <f>IF(Audit_Data[[#This Row],[Z_CostContact]]=3,"Valid","Invalid")</f>
        <v>Valid</v>
      </c>
      <c r="AR1542" t="str">
        <f t="shared" si="322"/>
        <v>Valid</v>
      </c>
      <c r="AS1542" t="str">
        <f t="shared" si="323"/>
        <v>Valid</v>
      </c>
    </row>
    <row r="1543" spans="1:45" x14ac:dyDescent="0.3">
      <c r="A1543">
        <v>3852</v>
      </c>
      <c r="B1543">
        <v>1961</v>
      </c>
      <c r="C1543" t="s">
        <v>34</v>
      </c>
      <c r="D1543" t="s">
        <v>31</v>
      </c>
      <c r="E1543">
        <v>74881</v>
      </c>
      <c r="F1543">
        <v>1</v>
      </c>
      <c r="G1543">
        <v>1</v>
      </c>
      <c r="H1543" s="1">
        <v>41341</v>
      </c>
      <c r="I1543">
        <v>48</v>
      </c>
      <c r="J1543">
        <v>505</v>
      </c>
      <c r="K1543">
        <v>72</v>
      </c>
      <c r="L1543">
        <v>270</v>
      </c>
      <c r="M1543">
        <v>36</v>
      </c>
      <c r="N1543">
        <v>27</v>
      </c>
      <c r="O1543">
        <v>54</v>
      </c>
      <c r="P1543">
        <v>4</v>
      </c>
      <c r="Q1543">
        <v>9</v>
      </c>
      <c r="R1543">
        <v>2</v>
      </c>
      <c r="S1543">
        <v>12</v>
      </c>
      <c r="T1543">
        <v>5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3</v>
      </c>
      <c r="AB1543">
        <v>11</v>
      </c>
      <c r="AC1543">
        <v>0</v>
      </c>
      <c r="AD1543" t="str">
        <f t="shared" si="312"/>
        <v>Ok</v>
      </c>
      <c r="AE1543" t="str">
        <f>IF(AND(Audit_Data[[#This Row],[Year_Birth]]&gt;=1900,Audit_Data[[#This Row],[Year_Birth]]&lt;=2010),"OK","Invalid")</f>
        <v>OK</v>
      </c>
      <c r="AF1543" t="str">
        <f t="shared" si="313"/>
        <v>Valid</v>
      </c>
      <c r="AG1543" t="str">
        <f t="shared" si="314"/>
        <v>Valid</v>
      </c>
      <c r="AH1543" t="str">
        <f t="shared" si="315"/>
        <v>Valid</v>
      </c>
      <c r="AI1543" t="str">
        <f t="shared" si="316"/>
        <v>Valid</v>
      </c>
      <c r="AJ1543" t="str">
        <f t="shared" si="317"/>
        <v>Valid</v>
      </c>
      <c r="AK1543" t="str">
        <f t="shared" si="324"/>
        <v xml:space="preserve">Valid </v>
      </c>
      <c r="AL1543" t="str">
        <f>IF(AND(Audit_Data[[#This Row],[Recency]]&gt;=0,Audit_Data[[#This Row],[Recency]]&lt;=100),"Valid","Invalid")</f>
        <v>Valid</v>
      </c>
      <c r="AM1543" t="str">
        <f t="shared" si="318"/>
        <v>Valid</v>
      </c>
      <c r="AN1543" t="str">
        <f t="shared" si="319"/>
        <v>Valid</v>
      </c>
      <c r="AO1543" t="str">
        <f t="shared" si="320"/>
        <v>Valid</v>
      </c>
      <c r="AP1543" t="str">
        <f t="shared" si="321"/>
        <v>Valid</v>
      </c>
      <c r="AQ1543" t="str">
        <f>IF(Audit_Data[[#This Row],[Z_CostContact]]=3,"Valid","Invalid")</f>
        <v>Valid</v>
      </c>
      <c r="AR1543" t="str">
        <f t="shared" si="322"/>
        <v>Valid</v>
      </c>
      <c r="AS1543" t="str">
        <f t="shared" si="323"/>
        <v>Valid</v>
      </c>
    </row>
    <row r="1544" spans="1:45" x14ac:dyDescent="0.3">
      <c r="A1544">
        <v>528</v>
      </c>
      <c r="B1544">
        <v>1978</v>
      </c>
      <c r="C1544" t="s">
        <v>29</v>
      </c>
      <c r="D1544" t="s">
        <v>33</v>
      </c>
      <c r="E1544">
        <v>65819</v>
      </c>
      <c r="F1544">
        <v>0</v>
      </c>
      <c r="G1544">
        <v>0</v>
      </c>
      <c r="H1544" s="1">
        <v>41242</v>
      </c>
      <c r="I1544">
        <v>99</v>
      </c>
      <c r="J1544">
        <v>267</v>
      </c>
      <c r="K1544">
        <v>38</v>
      </c>
      <c r="L1544">
        <v>701</v>
      </c>
      <c r="M1544">
        <v>149</v>
      </c>
      <c r="N1544">
        <v>165</v>
      </c>
      <c r="O1544">
        <v>63</v>
      </c>
      <c r="P1544">
        <v>1</v>
      </c>
      <c r="Q1544">
        <v>5</v>
      </c>
      <c r="R1544">
        <v>4</v>
      </c>
      <c r="S1544">
        <v>10</v>
      </c>
      <c r="T1544">
        <v>3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3</v>
      </c>
      <c r="AB1544">
        <v>11</v>
      </c>
      <c r="AC1544">
        <v>0</v>
      </c>
      <c r="AD1544" t="str">
        <f t="shared" si="312"/>
        <v>Ok</v>
      </c>
      <c r="AE1544" t="str">
        <f>IF(AND(Audit_Data[[#This Row],[Year_Birth]]&gt;=1900,Audit_Data[[#This Row],[Year_Birth]]&lt;=2010),"OK","Invalid")</f>
        <v>OK</v>
      </c>
      <c r="AF1544" t="str">
        <f t="shared" si="313"/>
        <v>Valid</v>
      </c>
      <c r="AG1544" t="str">
        <f t="shared" si="314"/>
        <v>Valid</v>
      </c>
      <c r="AH1544" t="str">
        <f t="shared" si="315"/>
        <v>Valid</v>
      </c>
      <c r="AI1544" t="str">
        <f t="shared" si="316"/>
        <v>Valid</v>
      </c>
      <c r="AJ1544" t="str">
        <f t="shared" si="317"/>
        <v>Valid</v>
      </c>
      <c r="AK1544" t="str">
        <f t="shared" si="324"/>
        <v xml:space="preserve">Valid </v>
      </c>
      <c r="AL1544" t="str">
        <f>IF(AND(Audit_Data[[#This Row],[Recency]]&gt;=0,Audit_Data[[#This Row],[Recency]]&lt;=100),"Valid","Invalid")</f>
        <v>Valid</v>
      </c>
      <c r="AM1544" t="str">
        <f t="shared" si="318"/>
        <v>Valid</v>
      </c>
      <c r="AN1544" t="str">
        <f t="shared" si="319"/>
        <v>Valid</v>
      </c>
      <c r="AO1544" t="str">
        <f t="shared" si="320"/>
        <v>Valid</v>
      </c>
      <c r="AP1544" t="str">
        <f t="shared" si="321"/>
        <v>Valid</v>
      </c>
      <c r="AQ1544" t="str">
        <f>IF(Audit_Data[[#This Row],[Z_CostContact]]=3,"Valid","Invalid")</f>
        <v>Valid</v>
      </c>
      <c r="AR1544" t="str">
        <f t="shared" si="322"/>
        <v>Valid</v>
      </c>
      <c r="AS1544" t="str">
        <f t="shared" si="323"/>
        <v>Valid</v>
      </c>
    </row>
    <row r="1545" spans="1:45" x14ac:dyDescent="0.3">
      <c r="A1545">
        <v>73</v>
      </c>
      <c r="B1545">
        <v>1953</v>
      </c>
      <c r="C1545" t="s">
        <v>32</v>
      </c>
      <c r="D1545" t="s">
        <v>30</v>
      </c>
      <c r="E1545">
        <v>51411</v>
      </c>
      <c r="F1545">
        <v>1</v>
      </c>
      <c r="G1545">
        <v>2</v>
      </c>
      <c r="H1545" s="1">
        <v>41420</v>
      </c>
      <c r="I1545">
        <v>81</v>
      </c>
      <c r="J1545">
        <v>14</v>
      </c>
      <c r="K1545">
        <v>0</v>
      </c>
      <c r="L1545">
        <v>3</v>
      </c>
      <c r="M1545">
        <v>0</v>
      </c>
      <c r="N1545">
        <v>0</v>
      </c>
      <c r="O1545">
        <v>1</v>
      </c>
      <c r="P1545">
        <v>1</v>
      </c>
      <c r="Q1545">
        <v>0</v>
      </c>
      <c r="R1545">
        <v>0</v>
      </c>
      <c r="S1545">
        <v>3</v>
      </c>
      <c r="T1545">
        <v>5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3</v>
      </c>
      <c r="AB1545">
        <v>11</v>
      </c>
      <c r="AC1545">
        <v>0</v>
      </c>
      <c r="AD1545" t="str">
        <f t="shared" si="312"/>
        <v>Ok</v>
      </c>
      <c r="AE1545" t="str">
        <f>IF(AND(Audit_Data[[#This Row],[Year_Birth]]&gt;=1900,Audit_Data[[#This Row],[Year_Birth]]&lt;=2010),"OK","Invalid")</f>
        <v>OK</v>
      </c>
      <c r="AF1545" t="str">
        <f t="shared" si="313"/>
        <v>Valid</v>
      </c>
      <c r="AG1545" t="str">
        <f t="shared" si="314"/>
        <v>Valid</v>
      </c>
      <c r="AH1545" t="str">
        <f t="shared" si="315"/>
        <v>Valid</v>
      </c>
      <c r="AI1545" t="str">
        <f t="shared" si="316"/>
        <v>Valid</v>
      </c>
      <c r="AJ1545" t="str">
        <f t="shared" si="317"/>
        <v>Valid</v>
      </c>
      <c r="AK1545" t="str">
        <f t="shared" si="324"/>
        <v xml:space="preserve">Valid </v>
      </c>
      <c r="AL1545" t="str">
        <f>IF(AND(Audit_Data[[#This Row],[Recency]]&gt;=0,Audit_Data[[#This Row],[Recency]]&lt;=100),"Valid","Invalid")</f>
        <v>Valid</v>
      </c>
      <c r="AM1545" t="str">
        <f t="shared" si="318"/>
        <v>Valid</v>
      </c>
      <c r="AN1545" t="str">
        <f t="shared" si="319"/>
        <v>Valid</v>
      </c>
      <c r="AO1545" t="str">
        <f t="shared" si="320"/>
        <v>Valid</v>
      </c>
      <c r="AP1545" t="str">
        <f t="shared" si="321"/>
        <v>Valid</v>
      </c>
      <c r="AQ1545" t="str">
        <f>IF(Audit_Data[[#This Row],[Z_CostContact]]=3,"Valid","Invalid")</f>
        <v>Valid</v>
      </c>
      <c r="AR1545" t="str">
        <f t="shared" si="322"/>
        <v>Valid</v>
      </c>
      <c r="AS1545" t="str">
        <f t="shared" si="323"/>
        <v>Valid</v>
      </c>
    </row>
    <row r="1546" spans="1:45" x14ac:dyDescent="0.3">
      <c r="A1546">
        <v>5589</v>
      </c>
      <c r="B1546">
        <v>1964</v>
      </c>
      <c r="C1546" t="s">
        <v>29</v>
      </c>
      <c r="D1546" t="s">
        <v>35</v>
      </c>
      <c r="E1546">
        <v>51983</v>
      </c>
      <c r="F1546">
        <v>0</v>
      </c>
      <c r="G1546">
        <v>1</v>
      </c>
      <c r="H1546" s="1">
        <v>41152</v>
      </c>
      <c r="I1546">
        <v>95</v>
      </c>
      <c r="J1546">
        <v>631</v>
      </c>
      <c r="K1546">
        <v>0</v>
      </c>
      <c r="L1546">
        <v>115</v>
      </c>
      <c r="M1546">
        <v>10</v>
      </c>
      <c r="N1546">
        <v>7</v>
      </c>
      <c r="O1546">
        <v>30</v>
      </c>
      <c r="P1546">
        <v>3</v>
      </c>
      <c r="Q1546">
        <v>9</v>
      </c>
      <c r="R1546">
        <v>2</v>
      </c>
      <c r="S1546">
        <v>10</v>
      </c>
      <c r="T1546">
        <v>7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3</v>
      </c>
      <c r="AB1546">
        <v>11</v>
      </c>
      <c r="AC1546">
        <v>0</v>
      </c>
      <c r="AD1546" t="str">
        <f t="shared" si="312"/>
        <v>Ok</v>
      </c>
      <c r="AE1546" t="str">
        <f>IF(AND(Audit_Data[[#This Row],[Year_Birth]]&gt;=1900,Audit_Data[[#This Row],[Year_Birth]]&lt;=2010),"OK","Invalid")</f>
        <v>OK</v>
      </c>
      <c r="AF1546" t="str">
        <f t="shared" si="313"/>
        <v>Valid</v>
      </c>
      <c r="AG1546" t="str">
        <f t="shared" si="314"/>
        <v>Valid</v>
      </c>
      <c r="AH1546" t="str">
        <f t="shared" si="315"/>
        <v>Valid</v>
      </c>
      <c r="AI1546" t="str">
        <f t="shared" si="316"/>
        <v>Valid</v>
      </c>
      <c r="AJ1546" t="str">
        <f t="shared" si="317"/>
        <v>Valid</v>
      </c>
      <c r="AK1546" t="str">
        <f t="shared" si="324"/>
        <v xml:space="preserve">Valid </v>
      </c>
      <c r="AL1546" t="str">
        <f>IF(AND(Audit_Data[[#This Row],[Recency]]&gt;=0,Audit_Data[[#This Row],[Recency]]&lt;=100),"Valid","Invalid")</f>
        <v>Valid</v>
      </c>
      <c r="AM1546" t="str">
        <f t="shared" si="318"/>
        <v>Valid</v>
      </c>
      <c r="AN1546" t="str">
        <f t="shared" si="319"/>
        <v>Valid</v>
      </c>
      <c r="AO1546" t="str">
        <f t="shared" si="320"/>
        <v>Valid</v>
      </c>
      <c r="AP1546" t="str">
        <f t="shared" si="321"/>
        <v>Valid</v>
      </c>
      <c r="AQ1546" t="str">
        <f>IF(Audit_Data[[#This Row],[Z_CostContact]]=3,"Valid","Invalid")</f>
        <v>Valid</v>
      </c>
      <c r="AR1546" t="str">
        <f t="shared" si="322"/>
        <v>Valid</v>
      </c>
      <c r="AS1546" t="str">
        <f t="shared" si="323"/>
        <v>Valid</v>
      </c>
    </row>
    <row r="1547" spans="1:45" x14ac:dyDescent="0.3">
      <c r="A1547">
        <v>10212</v>
      </c>
      <c r="B1547">
        <v>1986</v>
      </c>
      <c r="C1547" t="s">
        <v>34</v>
      </c>
      <c r="D1547" t="s">
        <v>31</v>
      </c>
      <c r="E1547">
        <v>42386</v>
      </c>
      <c r="F1547">
        <v>1</v>
      </c>
      <c r="G1547">
        <v>0</v>
      </c>
      <c r="H1547" s="1">
        <v>41287</v>
      </c>
      <c r="I1547">
        <v>43</v>
      </c>
      <c r="J1547">
        <v>65</v>
      </c>
      <c r="K1547">
        <v>4</v>
      </c>
      <c r="L1547">
        <v>16</v>
      </c>
      <c r="M1547">
        <v>0</v>
      </c>
      <c r="N1547">
        <v>4</v>
      </c>
      <c r="O1547">
        <v>11</v>
      </c>
      <c r="P1547">
        <v>1</v>
      </c>
      <c r="Q1547">
        <v>3</v>
      </c>
      <c r="R1547">
        <v>0</v>
      </c>
      <c r="S1547">
        <v>3</v>
      </c>
      <c r="T1547">
        <v>8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3</v>
      </c>
      <c r="AB1547">
        <v>11</v>
      </c>
      <c r="AC1547">
        <v>0</v>
      </c>
      <c r="AD1547" t="str">
        <f t="shared" si="312"/>
        <v>Ok</v>
      </c>
      <c r="AE1547" t="str">
        <f>IF(AND(Audit_Data[[#This Row],[Year_Birth]]&gt;=1900,Audit_Data[[#This Row],[Year_Birth]]&lt;=2010),"OK","Invalid")</f>
        <v>OK</v>
      </c>
      <c r="AF1547" t="str">
        <f t="shared" si="313"/>
        <v>Valid</v>
      </c>
      <c r="AG1547" t="str">
        <f t="shared" si="314"/>
        <v>Valid</v>
      </c>
      <c r="AH1547" t="str">
        <f t="shared" si="315"/>
        <v>Valid</v>
      </c>
      <c r="AI1547" t="str">
        <f t="shared" si="316"/>
        <v>Valid</v>
      </c>
      <c r="AJ1547" t="str">
        <f t="shared" si="317"/>
        <v>Valid</v>
      </c>
      <c r="AK1547" t="str">
        <f t="shared" si="324"/>
        <v xml:space="preserve">Valid </v>
      </c>
      <c r="AL1547" t="str">
        <f>IF(AND(Audit_Data[[#This Row],[Recency]]&gt;=0,Audit_Data[[#This Row],[Recency]]&lt;=100),"Valid","Invalid")</f>
        <v>Valid</v>
      </c>
      <c r="AM1547" t="str">
        <f t="shared" si="318"/>
        <v>Valid</v>
      </c>
      <c r="AN1547" t="str">
        <f t="shared" si="319"/>
        <v>Valid</v>
      </c>
      <c r="AO1547" t="str">
        <f t="shared" si="320"/>
        <v>Valid</v>
      </c>
      <c r="AP1547" t="str">
        <f t="shared" si="321"/>
        <v>Valid</v>
      </c>
      <c r="AQ1547" t="str">
        <f>IF(Audit_Data[[#This Row],[Z_CostContact]]=3,"Valid","Invalid")</f>
        <v>Valid</v>
      </c>
      <c r="AR1547" t="str">
        <f t="shared" si="322"/>
        <v>Valid</v>
      </c>
      <c r="AS1547" t="str">
        <f t="shared" si="323"/>
        <v>Valid</v>
      </c>
    </row>
    <row r="1548" spans="1:45" x14ac:dyDescent="0.3">
      <c r="A1548">
        <v>6365</v>
      </c>
      <c r="B1548">
        <v>1987</v>
      </c>
      <c r="C1548" t="s">
        <v>37</v>
      </c>
      <c r="D1548" t="s">
        <v>33</v>
      </c>
      <c r="E1548">
        <v>30390</v>
      </c>
      <c r="F1548">
        <v>0</v>
      </c>
      <c r="G1548">
        <v>0</v>
      </c>
      <c r="H1548" s="1">
        <v>41519</v>
      </c>
      <c r="I1548">
        <v>5</v>
      </c>
      <c r="J1548">
        <v>10</v>
      </c>
      <c r="K1548">
        <v>12</v>
      </c>
      <c r="L1548">
        <v>12</v>
      </c>
      <c r="M1548">
        <v>25</v>
      </c>
      <c r="N1548">
        <v>1</v>
      </c>
      <c r="O1548">
        <v>20</v>
      </c>
      <c r="P1548">
        <v>1</v>
      </c>
      <c r="Q1548">
        <v>2</v>
      </c>
      <c r="R1548">
        <v>0</v>
      </c>
      <c r="S1548">
        <v>3</v>
      </c>
      <c r="T1548">
        <v>6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3</v>
      </c>
      <c r="AB1548">
        <v>11</v>
      </c>
      <c r="AC1548">
        <v>0</v>
      </c>
      <c r="AD1548" t="str">
        <f t="shared" si="312"/>
        <v>Ok</v>
      </c>
      <c r="AE1548" t="str">
        <f>IF(AND(Audit_Data[[#This Row],[Year_Birth]]&gt;=1900,Audit_Data[[#This Row],[Year_Birth]]&lt;=2010),"OK","Invalid")</f>
        <v>OK</v>
      </c>
      <c r="AF1548" t="str">
        <f t="shared" si="313"/>
        <v>Valid</v>
      </c>
      <c r="AG1548" t="str">
        <f t="shared" si="314"/>
        <v>Valid</v>
      </c>
      <c r="AH1548" t="str">
        <f t="shared" si="315"/>
        <v>Valid</v>
      </c>
      <c r="AI1548" t="str">
        <f t="shared" si="316"/>
        <v>Valid</v>
      </c>
      <c r="AJ1548" t="str">
        <f t="shared" si="317"/>
        <v>Valid</v>
      </c>
      <c r="AK1548" t="str">
        <f t="shared" si="324"/>
        <v xml:space="preserve">Valid </v>
      </c>
      <c r="AL1548" t="str">
        <f>IF(AND(Audit_Data[[#This Row],[Recency]]&gt;=0,Audit_Data[[#This Row],[Recency]]&lt;=100),"Valid","Invalid")</f>
        <v>Valid</v>
      </c>
      <c r="AM1548" t="str">
        <f t="shared" si="318"/>
        <v>Valid</v>
      </c>
      <c r="AN1548" t="str">
        <f t="shared" si="319"/>
        <v>Valid</v>
      </c>
      <c r="AO1548" t="str">
        <f t="shared" si="320"/>
        <v>Valid</v>
      </c>
      <c r="AP1548" t="str">
        <f t="shared" si="321"/>
        <v>Valid</v>
      </c>
      <c r="AQ1548" t="str">
        <f>IF(Audit_Data[[#This Row],[Z_CostContact]]=3,"Valid","Invalid")</f>
        <v>Valid</v>
      </c>
      <c r="AR1548" t="str">
        <f t="shared" si="322"/>
        <v>Valid</v>
      </c>
      <c r="AS1548" t="str">
        <f t="shared" si="323"/>
        <v>Valid</v>
      </c>
    </row>
    <row r="1549" spans="1:45" x14ac:dyDescent="0.3">
      <c r="A1549">
        <v>5636</v>
      </c>
      <c r="B1549">
        <v>1963</v>
      </c>
      <c r="C1549" t="s">
        <v>29</v>
      </c>
      <c r="D1549" t="s">
        <v>30</v>
      </c>
      <c r="E1549">
        <v>30983</v>
      </c>
      <c r="F1549">
        <v>0</v>
      </c>
      <c r="G1549">
        <v>0</v>
      </c>
      <c r="H1549" s="1">
        <v>41222</v>
      </c>
      <c r="I1549">
        <v>50</v>
      </c>
      <c r="J1549">
        <v>51</v>
      </c>
      <c r="K1549">
        <v>4</v>
      </c>
      <c r="L1549">
        <v>50</v>
      </c>
      <c r="M1549">
        <v>12</v>
      </c>
      <c r="N1549">
        <v>1</v>
      </c>
      <c r="O1549">
        <v>49</v>
      </c>
      <c r="P1549">
        <v>1</v>
      </c>
      <c r="Q1549">
        <v>4</v>
      </c>
      <c r="R1549">
        <v>0</v>
      </c>
      <c r="S1549">
        <v>3</v>
      </c>
      <c r="T1549">
        <v>8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3</v>
      </c>
      <c r="AB1549">
        <v>11</v>
      </c>
      <c r="AC1549">
        <v>1</v>
      </c>
      <c r="AD1549" t="str">
        <f t="shared" si="312"/>
        <v>Ok</v>
      </c>
      <c r="AE1549" t="str">
        <f>IF(AND(Audit_Data[[#This Row],[Year_Birth]]&gt;=1900,Audit_Data[[#This Row],[Year_Birth]]&lt;=2010),"OK","Invalid")</f>
        <v>OK</v>
      </c>
      <c r="AF1549" t="str">
        <f t="shared" si="313"/>
        <v>Valid</v>
      </c>
      <c r="AG1549" t="str">
        <f t="shared" si="314"/>
        <v>Valid</v>
      </c>
      <c r="AH1549" t="str">
        <f t="shared" si="315"/>
        <v>Valid</v>
      </c>
      <c r="AI1549" t="str">
        <f t="shared" si="316"/>
        <v>Valid</v>
      </c>
      <c r="AJ1549" t="str">
        <f t="shared" si="317"/>
        <v>Valid</v>
      </c>
      <c r="AK1549" t="str">
        <f t="shared" si="324"/>
        <v xml:space="preserve">Valid </v>
      </c>
      <c r="AL1549" t="str">
        <f>IF(AND(Audit_Data[[#This Row],[Recency]]&gt;=0,Audit_Data[[#This Row],[Recency]]&lt;=100),"Valid","Invalid")</f>
        <v>Valid</v>
      </c>
      <c r="AM1549" t="str">
        <f t="shared" si="318"/>
        <v>Valid</v>
      </c>
      <c r="AN1549" t="str">
        <f t="shared" si="319"/>
        <v>Valid</v>
      </c>
      <c r="AO1549" t="str">
        <f t="shared" si="320"/>
        <v>Valid</v>
      </c>
      <c r="AP1549" t="str">
        <f t="shared" si="321"/>
        <v>Valid</v>
      </c>
      <c r="AQ1549" t="str">
        <f>IF(Audit_Data[[#This Row],[Z_CostContact]]=3,"Valid","Invalid")</f>
        <v>Valid</v>
      </c>
      <c r="AR1549" t="str">
        <f t="shared" si="322"/>
        <v>Valid</v>
      </c>
      <c r="AS1549" t="str">
        <f t="shared" si="323"/>
        <v>Valid</v>
      </c>
    </row>
    <row r="1550" spans="1:45" x14ac:dyDescent="0.3">
      <c r="A1550">
        <v>591</v>
      </c>
      <c r="B1550">
        <v>1957</v>
      </c>
      <c r="C1550" t="s">
        <v>29</v>
      </c>
      <c r="D1550" t="s">
        <v>38</v>
      </c>
      <c r="E1550">
        <v>66033</v>
      </c>
      <c r="F1550">
        <v>0</v>
      </c>
      <c r="G1550">
        <v>1</v>
      </c>
      <c r="H1550" s="1">
        <v>41294</v>
      </c>
      <c r="I1550">
        <v>76</v>
      </c>
      <c r="J1550">
        <v>293</v>
      </c>
      <c r="K1550">
        <v>35</v>
      </c>
      <c r="L1550">
        <v>179</v>
      </c>
      <c r="M1550">
        <v>46</v>
      </c>
      <c r="N1550">
        <v>59</v>
      </c>
      <c r="O1550">
        <v>65</v>
      </c>
      <c r="P1550">
        <v>2</v>
      </c>
      <c r="Q1550">
        <v>8</v>
      </c>
      <c r="R1550">
        <v>3</v>
      </c>
      <c r="S1550">
        <v>7</v>
      </c>
      <c r="T1550">
        <v>7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3</v>
      </c>
      <c r="AB1550">
        <v>11</v>
      </c>
      <c r="AC1550">
        <v>0</v>
      </c>
      <c r="AD1550" t="str">
        <f t="shared" si="312"/>
        <v>Ok</v>
      </c>
      <c r="AE1550" t="str">
        <f>IF(AND(Audit_Data[[#This Row],[Year_Birth]]&gt;=1900,Audit_Data[[#This Row],[Year_Birth]]&lt;=2010),"OK","Invalid")</f>
        <v>OK</v>
      </c>
      <c r="AF1550" t="str">
        <f t="shared" si="313"/>
        <v>Valid</v>
      </c>
      <c r="AG1550" t="str">
        <f t="shared" si="314"/>
        <v>Valid</v>
      </c>
      <c r="AH1550" t="str">
        <f t="shared" si="315"/>
        <v>Valid</v>
      </c>
      <c r="AI1550" t="str">
        <f t="shared" si="316"/>
        <v>Valid</v>
      </c>
      <c r="AJ1550" t="str">
        <f t="shared" si="317"/>
        <v>Valid</v>
      </c>
      <c r="AK1550" t="str">
        <f t="shared" si="324"/>
        <v xml:space="preserve">Valid </v>
      </c>
      <c r="AL1550" t="str">
        <f>IF(AND(Audit_Data[[#This Row],[Recency]]&gt;=0,Audit_Data[[#This Row],[Recency]]&lt;=100),"Valid","Invalid")</f>
        <v>Valid</v>
      </c>
      <c r="AM1550" t="str">
        <f t="shared" si="318"/>
        <v>Valid</v>
      </c>
      <c r="AN1550" t="str">
        <f t="shared" si="319"/>
        <v>Valid</v>
      </c>
      <c r="AO1550" t="str">
        <f t="shared" si="320"/>
        <v>Valid</v>
      </c>
      <c r="AP1550" t="str">
        <f t="shared" si="321"/>
        <v>Valid</v>
      </c>
      <c r="AQ1550" t="str">
        <f>IF(Audit_Data[[#This Row],[Z_CostContact]]=3,"Valid","Invalid")</f>
        <v>Valid</v>
      </c>
      <c r="AR1550" t="str">
        <f t="shared" si="322"/>
        <v>Valid</v>
      </c>
      <c r="AS1550" t="str">
        <f t="shared" si="323"/>
        <v>Valid</v>
      </c>
    </row>
    <row r="1551" spans="1:45" x14ac:dyDescent="0.3">
      <c r="A1551">
        <v>2217</v>
      </c>
      <c r="B1551">
        <v>1975</v>
      </c>
      <c r="C1551" t="s">
        <v>37</v>
      </c>
      <c r="D1551" t="s">
        <v>33</v>
      </c>
      <c r="E1551">
        <v>37284</v>
      </c>
      <c r="F1551">
        <v>1</v>
      </c>
      <c r="G1551">
        <v>1</v>
      </c>
      <c r="H1551" s="1">
        <v>41362</v>
      </c>
      <c r="I1551">
        <v>46</v>
      </c>
      <c r="J1551">
        <v>11</v>
      </c>
      <c r="K1551">
        <v>1</v>
      </c>
      <c r="L1551">
        <v>2</v>
      </c>
      <c r="M1551">
        <v>2</v>
      </c>
      <c r="N1551">
        <v>1</v>
      </c>
      <c r="O1551">
        <v>6</v>
      </c>
      <c r="P1551">
        <v>1</v>
      </c>
      <c r="Q1551">
        <v>0</v>
      </c>
      <c r="R1551">
        <v>0</v>
      </c>
      <c r="S1551">
        <v>3</v>
      </c>
      <c r="T1551">
        <v>6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3</v>
      </c>
      <c r="AB1551">
        <v>11</v>
      </c>
      <c r="AC1551">
        <v>0</v>
      </c>
      <c r="AD1551" t="str">
        <f t="shared" si="312"/>
        <v>Ok</v>
      </c>
      <c r="AE1551" t="str">
        <f>IF(AND(Audit_Data[[#This Row],[Year_Birth]]&gt;=1900,Audit_Data[[#This Row],[Year_Birth]]&lt;=2010),"OK","Invalid")</f>
        <v>OK</v>
      </c>
      <c r="AF1551" t="str">
        <f t="shared" si="313"/>
        <v>Valid</v>
      </c>
      <c r="AG1551" t="str">
        <f t="shared" si="314"/>
        <v>Valid</v>
      </c>
      <c r="AH1551" t="str">
        <f t="shared" si="315"/>
        <v>Valid</v>
      </c>
      <c r="AI1551" t="str">
        <f t="shared" si="316"/>
        <v>Valid</v>
      </c>
      <c r="AJ1551" t="str">
        <f t="shared" si="317"/>
        <v>Valid</v>
      </c>
      <c r="AK1551" t="str">
        <f t="shared" si="324"/>
        <v xml:space="preserve">Valid </v>
      </c>
      <c r="AL1551" t="str">
        <f>IF(AND(Audit_Data[[#This Row],[Recency]]&gt;=0,Audit_Data[[#This Row],[Recency]]&lt;=100),"Valid","Invalid")</f>
        <v>Valid</v>
      </c>
      <c r="AM1551" t="str">
        <f t="shared" si="318"/>
        <v>Valid</v>
      </c>
      <c r="AN1551" t="str">
        <f t="shared" si="319"/>
        <v>Valid</v>
      </c>
      <c r="AO1551" t="str">
        <f t="shared" si="320"/>
        <v>Valid</v>
      </c>
      <c r="AP1551" t="str">
        <f t="shared" si="321"/>
        <v>Valid</v>
      </c>
      <c r="AQ1551" t="str">
        <f>IF(Audit_Data[[#This Row],[Z_CostContact]]=3,"Valid","Invalid")</f>
        <v>Valid</v>
      </c>
      <c r="AR1551" t="str">
        <f t="shared" si="322"/>
        <v>Valid</v>
      </c>
      <c r="AS1551" t="str">
        <f t="shared" si="323"/>
        <v>Valid</v>
      </c>
    </row>
    <row r="1552" spans="1:45" x14ac:dyDescent="0.3">
      <c r="A1552">
        <v>2544</v>
      </c>
      <c r="B1552">
        <v>1951</v>
      </c>
      <c r="C1552" t="s">
        <v>34</v>
      </c>
      <c r="D1552" t="s">
        <v>35</v>
      </c>
      <c r="E1552">
        <v>57530</v>
      </c>
      <c r="F1552">
        <v>0</v>
      </c>
      <c r="G1552">
        <v>1</v>
      </c>
      <c r="H1552" s="1">
        <v>41559</v>
      </c>
      <c r="I1552">
        <v>68</v>
      </c>
      <c r="J1552">
        <v>50</v>
      </c>
      <c r="K1552">
        <v>1</v>
      </c>
      <c r="L1552">
        <v>27</v>
      </c>
      <c r="M1552">
        <v>6</v>
      </c>
      <c r="N1552">
        <v>7</v>
      </c>
      <c r="O1552">
        <v>1</v>
      </c>
      <c r="P1552">
        <v>1</v>
      </c>
      <c r="Q1552">
        <v>1</v>
      </c>
      <c r="R1552">
        <v>1</v>
      </c>
      <c r="S1552">
        <v>4</v>
      </c>
      <c r="T1552">
        <v>1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3</v>
      </c>
      <c r="AB1552">
        <v>11</v>
      </c>
      <c r="AC1552">
        <v>0</v>
      </c>
      <c r="AD1552" t="str">
        <f t="shared" si="312"/>
        <v>Ok</v>
      </c>
      <c r="AE1552" t="str">
        <f>IF(AND(Audit_Data[[#This Row],[Year_Birth]]&gt;=1900,Audit_Data[[#This Row],[Year_Birth]]&lt;=2010),"OK","Invalid")</f>
        <v>OK</v>
      </c>
      <c r="AF1552" t="str">
        <f t="shared" si="313"/>
        <v>Valid</v>
      </c>
      <c r="AG1552" t="str">
        <f t="shared" si="314"/>
        <v>Valid</v>
      </c>
      <c r="AH1552" t="str">
        <f t="shared" si="315"/>
        <v>Valid</v>
      </c>
      <c r="AI1552" t="str">
        <f t="shared" si="316"/>
        <v>Valid</v>
      </c>
      <c r="AJ1552" t="str">
        <f t="shared" si="317"/>
        <v>Valid</v>
      </c>
      <c r="AK1552" t="str">
        <f t="shared" si="324"/>
        <v xml:space="preserve">Valid </v>
      </c>
      <c r="AL1552" t="str">
        <f>IF(AND(Audit_Data[[#This Row],[Recency]]&gt;=0,Audit_Data[[#This Row],[Recency]]&lt;=100),"Valid","Invalid")</f>
        <v>Valid</v>
      </c>
      <c r="AM1552" t="str">
        <f t="shared" si="318"/>
        <v>Valid</v>
      </c>
      <c r="AN1552" t="str">
        <f t="shared" si="319"/>
        <v>Valid</v>
      </c>
      <c r="AO1552" t="str">
        <f t="shared" si="320"/>
        <v>Valid</v>
      </c>
      <c r="AP1552" t="str">
        <f t="shared" si="321"/>
        <v>Valid</v>
      </c>
      <c r="AQ1552" t="str">
        <f>IF(Audit_Data[[#This Row],[Z_CostContact]]=3,"Valid","Invalid")</f>
        <v>Valid</v>
      </c>
      <c r="AR1552" t="str">
        <f t="shared" si="322"/>
        <v>Valid</v>
      </c>
      <c r="AS1552" t="str">
        <f t="shared" si="323"/>
        <v>Valid</v>
      </c>
    </row>
    <row r="1553" spans="1:45" x14ac:dyDescent="0.3">
      <c r="A1553">
        <v>7725</v>
      </c>
      <c r="B1553">
        <v>1965</v>
      </c>
      <c r="C1553" t="s">
        <v>37</v>
      </c>
      <c r="D1553" t="s">
        <v>33</v>
      </c>
      <c r="E1553">
        <v>76800</v>
      </c>
      <c r="F1553">
        <v>0</v>
      </c>
      <c r="G1553">
        <v>0</v>
      </c>
      <c r="H1553" s="1">
        <v>41706</v>
      </c>
      <c r="I1553">
        <v>33</v>
      </c>
      <c r="J1553">
        <v>173</v>
      </c>
      <c r="K1553">
        <v>26</v>
      </c>
      <c r="L1553">
        <v>255</v>
      </c>
      <c r="M1553">
        <v>35</v>
      </c>
      <c r="N1553">
        <v>71</v>
      </c>
      <c r="O1553">
        <v>81</v>
      </c>
      <c r="P1553">
        <v>1</v>
      </c>
      <c r="Q1553">
        <v>4</v>
      </c>
      <c r="R1553">
        <v>4</v>
      </c>
      <c r="S1553">
        <v>7</v>
      </c>
      <c r="T1553">
        <v>1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3</v>
      </c>
      <c r="AB1553">
        <v>11</v>
      </c>
      <c r="AC1553">
        <v>0</v>
      </c>
      <c r="AD1553" t="str">
        <f t="shared" si="312"/>
        <v>Ok</v>
      </c>
      <c r="AE1553" t="str">
        <f>IF(AND(Audit_Data[[#This Row],[Year_Birth]]&gt;=1900,Audit_Data[[#This Row],[Year_Birth]]&lt;=2010),"OK","Invalid")</f>
        <v>OK</v>
      </c>
      <c r="AF1553" t="str">
        <f t="shared" si="313"/>
        <v>Valid</v>
      </c>
      <c r="AG1553" t="str">
        <f t="shared" si="314"/>
        <v>Valid</v>
      </c>
      <c r="AH1553" t="str">
        <f t="shared" si="315"/>
        <v>Valid</v>
      </c>
      <c r="AI1553" t="str">
        <f t="shared" si="316"/>
        <v>Valid</v>
      </c>
      <c r="AJ1553" t="str">
        <f t="shared" si="317"/>
        <v>Valid</v>
      </c>
      <c r="AK1553" t="str">
        <f t="shared" si="324"/>
        <v xml:space="preserve">Valid </v>
      </c>
      <c r="AL1553" t="str">
        <f>IF(AND(Audit_Data[[#This Row],[Recency]]&gt;=0,Audit_Data[[#This Row],[Recency]]&lt;=100),"Valid","Invalid")</f>
        <v>Valid</v>
      </c>
      <c r="AM1553" t="str">
        <f t="shared" si="318"/>
        <v>Valid</v>
      </c>
      <c r="AN1553" t="str">
        <f t="shared" si="319"/>
        <v>Valid</v>
      </c>
      <c r="AO1553" t="str">
        <f t="shared" si="320"/>
        <v>Valid</v>
      </c>
      <c r="AP1553" t="str">
        <f t="shared" si="321"/>
        <v>Valid</v>
      </c>
      <c r="AQ1553" t="str">
        <f>IF(Audit_Data[[#This Row],[Z_CostContact]]=3,"Valid","Invalid")</f>
        <v>Valid</v>
      </c>
      <c r="AR1553" t="str">
        <f t="shared" si="322"/>
        <v>Valid</v>
      </c>
      <c r="AS1553" t="str">
        <f t="shared" si="323"/>
        <v>Valid</v>
      </c>
    </row>
    <row r="1554" spans="1:45" x14ac:dyDescent="0.3">
      <c r="A1554">
        <v>8091</v>
      </c>
      <c r="B1554">
        <v>1956</v>
      </c>
      <c r="C1554" t="s">
        <v>29</v>
      </c>
      <c r="D1554" t="s">
        <v>33</v>
      </c>
      <c r="E1554">
        <v>63943</v>
      </c>
      <c r="F1554">
        <v>0</v>
      </c>
      <c r="G1554">
        <v>1</v>
      </c>
      <c r="H1554" s="1">
        <v>41154</v>
      </c>
      <c r="I1554">
        <v>50</v>
      </c>
      <c r="J1554">
        <v>423</v>
      </c>
      <c r="K1554">
        <v>184</v>
      </c>
      <c r="L1554">
        <v>368</v>
      </c>
      <c r="M1554">
        <v>13</v>
      </c>
      <c r="N1554">
        <v>97</v>
      </c>
      <c r="O1554">
        <v>21</v>
      </c>
      <c r="P1554">
        <v>1</v>
      </c>
      <c r="Q1554">
        <v>6</v>
      </c>
      <c r="R1554">
        <v>4</v>
      </c>
      <c r="S1554">
        <v>6</v>
      </c>
      <c r="T1554">
        <v>5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3</v>
      </c>
      <c r="AB1554">
        <v>11</v>
      </c>
      <c r="AC1554">
        <v>0</v>
      </c>
      <c r="AD1554" t="str">
        <f t="shared" si="312"/>
        <v>Ok</v>
      </c>
      <c r="AE1554" t="str">
        <f>IF(AND(Audit_Data[[#This Row],[Year_Birth]]&gt;=1900,Audit_Data[[#This Row],[Year_Birth]]&lt;=2010),"OK","Invalid")</f>
        <v>OK</v>
      </c>
      <c r="AF1554" t="str">
        <f t="shared" si="313"/>
        <v>Valid</v>
      </c>
      <c r="AG1554" t="str">
        <f t="shared" si="314"/>
        <v>Valid</v>
      </c>
      <c r="AH1554" t="str">
        <f t="shared" si="315"/>
        <v>Valid</v>
      </c>
      <c r="AI1554" t="str">
        <f t="shared" si="316"/>
        <v>Valid</v>
      </c>
      <c r="AJ1554" t="str">
        <f t="shared" si="317"/>
        <v>Valid</v>
      </c>
      <c r="AK1554" t="str">
        <f t="shared" si="324"/>
        <v xml:space="preserve">Valid </v>
      </c>
      <c r="AL1554" t="str">
        <f>IF(AND(Audit_Data[[#This Row],[Recency]]&gt;=0,Audit_Data[[#This Row],[Recency]]&lt;=100),"Valid","Invalid")</f>
        <v>Valid</v>
      </c>
      <c r="AM1554" t="str">
        <f t="shared" si="318"/>
        <v>Valid</v>
      </c>
      <c r="AN1554" t="str">
        <f t="shared" si="319"/>
        <v>Valid</v>
      </c>
      <c r="AO1554" t="str">
        <f t="shared" si="320"/>
        <v>Valid</v>
      </c>
      <c r="AP1554" t="str">
        <f t="shared" si="321"/>
        <v>Valid</v>
      </c>
      <c r="AQ1554" t="str">
        <f>IF(Audit_Data[[#This Row],[Z_CostContact]]=3,"Valid","Invalid")</f>
        <v>Valid</v>
      </c>
      <c r="AR1554" t="str">
        <f t="shared" si="322"/>
        <v>Valid</v>
      </c>
      <c r="AS1554" t="str">
        <f t="shared" si="323"/>
        <v>Valid</v>
      </c>
    </row>
    <row r="1555" spans="1:45" x14ac:dyDescent="0.3">
      <c r="A1555">
        <v>7321</v>
      </c>
      <c r="B1555">
        <v>1962</v>
      </c>
      <c r="C1555" t="s">
        <v>29</v>
      </c>
      <c r="D1555" t="s">
        <v>31</v>
      </c>
      <c r="E1555">
        <v>76081</v>
      </c>
      <c r="F1555">
        <v>0</v>
      </c>
      <c r="G1555">
        <v>0</v>
      </c>
      <c r="H1555" s="1">
        <v>41782</v>
      </c>
      <c r="I1555">
        <v>85</v>
      </c>
      <c r="J1555">
        <v>292</v>
      </c>
      <c r="K1555">
        <v>30</v>
      </c>
      <c r="L1555">
        <v>415</v>
      </c>
      <c r="M1555">
        <v>63</v>
      </c>
      <c r="N1555">
        <v>33</v>
      </c>
      <c r="O1555">
        <v>200</v>
      </c>
      <c r="P1555">
        <v>1</v>
      </c>
      <c r="Q1555">
        <v>4</v>
      </c>
      <c r="R1555">
        <v>5</v>
      </c>
      <c r="S1555">
        <v>4</v>
      </c>
      <c r="T1555">
        <v>2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>
        <v>3</v>
      </c>
      <c r="AB1555">
        <v>11</v>
      </c>
      <c r="AC1555">
        <v>0</v>
      </c>
      <c r="AD1555" t="str">
        <f t="shared" si="312"/>
        <v>Ok</v>
      </c>
      <c r="AE1555" t="str">
        <f>IF(AND(Audit_Data[[#This Row],[Year_Birth]]&gt;=1900,Audit_Data[[#This Row],[Year_Birth]]&lt;=2010),"OK","Invalid")</f>
        <v>OK</v>
      </c>
      <c r="AF1555" t="str">
        <f t="shared" si="313"/>
        <v>Valid</v>
      </c>
      <c r="AG1555" t="str">
        <f t="shared" si="314"/>
        <v>Valid</v>
      </c>
      <c r="AH1555" t="str">
        <f t="shared" si="315"/>
        <v>Valid</v>
      </c>
      <c r="AI1555" t="str">
        <f t="shared" si="316"/>
        <v>Valid</v>
      </c>
      <c r="AJ1555" t="str">
        <f t="shared" si="317"/>
        <v>Valid</v>
      </c>
      <c r="AK1555" t="str">
        <f t="shared" si="324"/>
        <v xml:space="preserve">Valid </v>
      </c>
      <c r="AL1555" t="str">
        <f>IF(AND(Audit_Data[[#This Row],[Recency]]&gt;=0,Audit_Data[[#This Row],[Recency]]&lt;=100),"Valid","Invalid")</f>
        <v>Valid</v>
      </c>
      <c r="AM1555" t="str">
        <f t="shared" si="318"/>
        <v>Valid</v>
      </c>
      <c r="AN1555" t="str">
        <f t="shared" si="319"/>
        <v>Valid</v>
      </c>
      <c r="AO1555" t="str">
        <f t="shared" si="320"/>
        <v>Valid</v>
      </c>
      <c r="AP1555" t="str">
        <f t="shared" si="321"/>
        <v>Valid</v>
      </c>
      <c r="AQ1555" t="str">
        <f>IF(Audit_Data[[#This Row],[Z_CostContact]]=3,"Valid","Invalid")</f>
        <v>Valid</v>
      </c>
      <c r="AR1555" t="str">
        <f t="shared" si="322"/>
        <v>Valid</v>
      </c>
      <c r="AS1555" t="str">
        <f t="shared" si="323"/>
        <v>Valid</v>
      </c>
    </row>
    <row r="1556" spans="1:45" x14ac:dyDescent="0.3">
      <c r="A1556">
        <v>5462</v>
      </c>
      <c r="B1556">
        <v>1974</v>
      </c>
      <c r="C1556" t="s">
        <v>29</v>
      </c>
      <c r="D1556" t="s">
        <v>33</v>
      </c>
      <c r="E1556">
        <v>67445</v>
      </c>
      <c r="F1556">
        <v>0</v>
      </c>
      <c r="G1556">
        <v>1</v>
      </c>
      <c r="H1556" s="1">
        <v>41133</v>
      </c>
      <c r="I1556">
        <v>63</v>
      </c>
      <c r="J1556">
        <v>757</v>
      </c>
      <c r="K1556">
        <v>80</v>
      </c>
      <c r="L1556">
        <v>217</v>
      </c>
      <c r="M1556">
        <v>29</v>
      </c>
      <c r="N1556">
        <v>80</v>
      </c>
      <c r="O1556">
        <v>11</v>
      </c>
      <c r="P1556">
        <v>5</v>
      </c>
      <c r="Q1556">
        <v>9</v>
      </c>
      <c r="R1556">
        <v>6</v>
      </c>
      <c r="S1556">
        <v>12</v>
      </c>
      <c r="T1556">
        <v>6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3</v>
      </c>
      <c r="AB1556">
        <v>11</v>
      </c>
      <c r="AC1556">
        <v>0</v>
      </c>
      <c r="AD1556" t="str">
        <f t="shared" si="312"/>
        <v>Ok</v>
      </c>
      <c r="AE1556" t="str">
        <f>IF(AND(Audit_Data[[#This Row],[Year_Birth]]&gt;=1900,Audit_Data[[#This Row],[Year_Birth]]&lt;=2010),"OK","Invalid")</f>
        <v>OK</v>
      </c>
      <c r="AF1556" t="str">
        <f t="shared" si="313"/>
        <v>Valid</v>
      </c>
      <c r="AG1556" t="str">
        <f t="shared" si="314"/>
        <v>Valid</v>
      </c>
      <c r="AH1556" t="str">
        <f t="shared" si="315"/>
        <v>Valid</v>
      </c>
      <c r="AI1556" t="str">
        <f t="shared" si="316"/>
        <v>Valid</v>
      </c>
      <c r="AJ1556" t="str">
        <f t="shared" si="317"/>
        <v>Valid</v>
      </c>
      <c r="AK1556" t="str">
        <f t="shared" si="324"/>
        <v xml:space="preserve">Valid </v>
      </c>
      <c r="AL1556" t="str">
        <f>IF(AND(Audit_Data[[#This Row],[Recency]]&gt;=0,Audit_Data[[#This Row],[Recency]]&lt;=100),"Valid","Invalid")</f>
        <v>Valid</v>
      </c>
      <c r="AM1556" t="str">
        <f t="shared" si="318"/>
        <v>Valid</v>
      </c>
      <c r="AN1556" t="str">
        <f t="shared" si="319"/>
        <v>Valid</v>
      </c>
      <c r="AO1556" t="str">
        <f t="shared" si="320"/>
        <v>Valid</v>
      </c>
      <c r="AP1556" t="str">
        <f t="shared" si="321"/>
        <v>Valid</v>
      </c>
      <c r="AQ1556" t="str">
        <f>IF(Audit_Data[[#This Row],[Z_CostContact]]=3,"Valid","Invalid")</f>
        <v>Valid</v>
      </c>
      <c r="AR1556" t="str">
        <f t="shared" si="322"/>
        <v>Valid</v>
      </c>
      <c r="AS1556" t="str">
        <f t="shared" si="323"/>
        <v>Valid</v>
      </c>
    </row>
    <row r="1557" spans="1:45" x14ac:dyDescent="0.3">
      <c r="A1557">
        <v>7791</v>
      </c>
      <c r="B1557">
        <v>1967</v>
      </c>
      <c r="C1557" t="s">
        <v>34</v>
      </c>
      <c r="D1557" t="s">
        <v>33</v>
      </c>
      <c r="E1557">
        <v>37054</v>
      </c>
      <c r="F1557">
        <v>1</v>
      </c>
      <c r="G1557">
        <v>1</v>
      </c>
      <c r="H1557" s="1">
        <v>41532</v>
      </c>
      <c r="I1557">
        <v>89</v>
      </c>
      <c r="J1557">
        <v>12</v>
      </c>
      <c r="K1557">
        <v>1</v>
      </c>
      <c r="L1557">
        <v>6</v>
      </c>
      <c r="M1557">
        <v>0</v>
      </c>
      <c r="N1557">
        <v>1</v>
      </c>
      <c r="O1557">
        <v>5</v>
      </c>
      <c r="P1557">
        <v>2</v>
      </c>
      <c r="Q1557">
        <v>1</v>
      </c>
      <c r="R1557">
        <v>0</v>
      </c>
      <c r="S1557">
        <v>3</v>
      </c>
      <c r="T1557">
        <v>7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3</v>
      </c>
      <c r="AB1557">
        <v>11</v>
      </c>
      <c r="AC1557">
        <v>0</v>
      </c>
      <c r="AD1557" t="str">
        <f t="shared" si="312"/>
        <v>Ok</v>
      </c>
      <c r="AE1557" t="str">
        <f>IF(AND(Audit_Data[[#This Row],[Year_Birth]]&gt;=1900,Audit_Data[[#This Row],[Year_Birth]]&lt;=2010),"OK","Invalid")</f>
        <v>OK</v>
      </c>
      <c r="AF1557" t="str">
        <f t="shared" si="313"/>
        <v>Valid</v>
      </c>
      <c r="AG1557" t="str">
        <f t="shared" si="314"/>
        <v>Valid</v>
      </c>
      <c r="AH1557" t="str">
        <f t="shared" si="315"/>
        <v>Valid</v>
      </c>
      <c r="AI1557" t="str">
        <f t="shared" si="316"/>
        <v>Valid</v>
      </c>
      <c r="AJ1557" t="str">
        <f t="shared" si="317"/>
        <v>Valid</v>
      </c>
      <c r="AK1557" t="str">
        <f t="shared" si="324"/>
        <v xml:space="preserve">Valid </v>
      </c>
      <c r="AL1557" t="str">
        <f>IF(AND(Audit_Data[[#This Row],[Recency]]&gt;=0,Audit_Data[[#This Row],[Recency]]&lt;=100),"Valid","Invalid")</f>
        <v>Valid</v>
      </c>
      <c r="AM1557" t="str">
        <f t="shared" si="318"/>
        <v>Valid</v>
      </c>
      <c r="AN1557" t="str">
        <f t="shared" si="319"/>
        <v>Valid</v>
      </c>
      <c r="AO1557" t="str">
        <f t="shared" si="320"/>
        <v>Valid</v>
      </c>
      <c r="AP1557" t="str">
        <f t="shared" si="321"/>
        <v>Valid</v>
      </c>
      <c r="AQ1557" t="str">
        <f>IF(Audit_Data[[#This Row],[Z_CostContact]]=3,"Valid","Invalid")</f>
        <v>Valid</v>
      </c>
      <c r="AR1557" t="str">
        <f t="shared" si="322"/>
        <v>Valid</v>
      </c>
      <c r="AS1557" t="str">
        <f t="shared" si="323"/>
        <v>Valid</v>
      </c>
    </row>
    <row r="1558" spans="1:45" x14ac:dyDescent="0.3">
      <c r="A1558">
        <v>955</v>
      </c>
      <c r="B1558">
        <v>1962</v>
      </c>
      <c r="C1558" t="s">
        <v>34</v>
      </c>
      <c r="D1558" t="s">
        <v>31</v>
      </c>
      <c r="E1558">
        <v>47175</v>
      </c>
      <c r="F1558">
        <v>1</v>
      </c>
      <c r="G1558">
        <v>1</v>
      </c>
      <c r="H1558" s="1">
        <v>41210</v>
      </c>
      <c r="I1558">
        <v>81</v>
      </c>
      <c r="J1558">
        <v>167</v>
      </c>
      <c r="K1558">
        <v>2</v>
      </c>
      <c r="L1558">
        <v>44</v>
      </c>
      <c r="M1558">
        <v>6</v>
      </c>
      <c r="N1558">
        <v>2</v>
      </c>
      <c r="O1558">
        <v>19</v>
      </c>
      <c r="P1558">
        <v>7</v>
      </c>
      <c r="Q1558">
        <v>4</v>
      </c>
      <c r="R1558">
        <v>2</v>
      </c>
      <c r="S1558">
        <v>4</v>
      </c>
      <c r="T1558">
        <v>8</v>
      </c>
      <c r="U1558">
        <v>1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3</v>
      </c>
      <c r="AB1558">
        <v>11</v>
      </c>
      <c r="AC1558">
        <v>1</v>
      </c>
      <c r="AD1558" t="str">
        <f t="shared" si="312"/>
        <v>Ok</v>
      </c>
      <c r="AE1558" t="str">
        <f>IF(AND(Audit_Data[[#This Row],[Year_Birth]]&gt;=1900,Audit_Data[[#This Row],[Year_Birth]]&lt;=2010),"OK","Invalid")</f>
        <v>OK</v>
      </c>
      <c r="AF1558" t="str">
        <f t="shared" si="313"/>
        <v>Valid</v>
      </c>
      <c r="AG1558" t="str">
        <f t="shared" si="314"/>
        <v>Valid</v>
      </c>
      <c r="AH1558" t="str">
        <f t="shared" si="315"/>
        <v>Valid</v>
      </c>
      <c r="AI1558" t="str">
        <f t="shared" si="316"/>
        <v>Valid</v>
      </c>
      <c r="AJ1558" t="str">
        <f t="shared" si="317"/>
        <v>Valid</v>
      </c>
      <c r="AK1558" t="str">
        <f t="shared" si="324"/>
        <v xml:space="preserve">Valid </v>
      </c>
      <c r="AL1558" t="str">
        <f>IF(AND(Audit_Data[[#This Row],[Recency]]&gt;=0,Audit_Data[[#This Row],[Recency]]&lt;=100),"Valid","Invalid")</f>
        <v>Valid</v>
      </c>
      <c r="AM1558" t="str">
        <f t="shared" si="318"/>
        <v>Valid</v>
      </c>
      <c r="AN1558" t="str">
        <f t="shared" si="319"/>
        <v>Valid</v>
      </c>
      <c r="AO1558" t="str">
        <f t="shared" si="320"/>
        <v>Valid</v>
      </c>
      <c r="AP1558" t="str">
        <f t="shared" si="321"/>
        <v>Valid</v>
      </c>
      <c r="AQ1558" t="str">
        <f>IF(Audit_Data[[#This Row],[Z_CostContact]]=3,"Valid","Invalid")</f>
        <v>Valid</v>
      </c>
      <c r="AR1558" t="str">
        <f t="shared" si="322"/>
        <v>Valid</v>
      </c>
      <c r="AS1558" t="str">
        <f t="shared" si="323"/>
        <v>Valid</v>
      </c>
    </row>
    <row r="1559" spans="1:45" x14ac:dyDescent="0.3">
      <c r="A1559">
        <v>4037</v>
      </c>
      <c r="B1559">
        <v>1976</v>
      </c>
      <c r="C1559" t="s">
        <v>29</v>
      </c>
      <c r="D1559" t="s">
        <v>35</v>
      </c>
      <c r="E1559">
        <v>31859</v>
      </c>
      <c r="F1559">
        <v>1</v>
      </c>
      <c r="G1559">
        <v>0</v>
      </c>
      <c r="H1559" s="1">
        <v>41439</v>
      </c>
      <c r="I1559">
        <v>77</v>
      </c>
      <c r="J1559">
        <v>3</v>
      </c>
      <c r="K1559">
        <v>1</v>
      </c>
      <c r="L1559">
        <v>3</v>
      </c>
      <c r="M1559">
        <v>8</v>
      </c>
      <c r="N1559">
        <v>0</v>
      </c>
      <c r="O1559">
        <v>5</v>
      </c>
      <c r="P1559">
        <v>1</v>
      </c>
      <c r="Q1559">
        <v>1</v>
      </c>
      <c r="R1559">
        <v>0</v>
      </c>
      <c r="S1559">
        <v>2</v>
      </c>
      <c r="T1559">
        <v>7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3</v>
      </c>
      <c r="AB1559">
        <v>11</v>
      </c>
      <c r="AC1559">
        <v>0</v>
      </c>
      <c r="AD1559" t="str">
        <f t="shared" si="312"/>
        <v>Ok</v>
      </c>
      <c r="AE1559" t="str">
        <f>IF(AND(Audit_Data[[#This Row],[Year_Birth]]&gt;=1900,Audit_Data[[#This Row],[Year_Birth]]&lt;=2010),"OK","Invalid")</f>
        <v>OK</v>
      </c>
      <c r="AF1559" t="str">
        <f t="shared" si="313"/>
        <v>Valid</v>
      </c>
      <c r="AG1559" t="str">
        <f t="shared" si="314"/>
        <v>Valid</v>
      </c>
      <c r="AH1559" t="str">
        <f t="shared" si="315"/>
        <v>Valid</v>
      </c>
      <c r="AI1559" t="str">
        <f t="shared" si="316"/>
        <v>Valid</v>
      </c>
      <c r="AJ1559" t="str">
        <f t="shared" si="317"/>
        <v>Valid</v>
      </c>
      <c r="AK1559" t="str">
        <f t="shared" si="324"/>
        <v xml:space="preserve">Valid </v>
      </c>
      <c r="AL1559" t="str">
        <f>IF(AND(Audit_Data[[#This Row],[Recency]]&gt;=0,Audit_Data[[#This Row],[Recency]]&lt;=100),"Valid","Invalid")</f>
        <v>Valid</v>
      </c>
      <c r="AM1559" t="str">
        <f t="shared" si="318"/>
        <v>Valid</v>
      </c>
      <c r="AN1559" t="str">
        <f t="shared" si="319"/>
        <v>Valid</v>
      </c>
      <c r="AO1559" t="str">
        <f t="shared" si="320"/>
        <v>Valid</v>
      </c>
      <c r="AP1559" t="str">
        <f t="shared" si="321"/>
        <v>Valid</v>
      </c>
      <c r="AQ1559" t="str">
        <f>IF(Audit_Data[[#This Row],[Z_CostContact]]=3,"Valid","Invalid")</f>
        <v>Valid</v>
      </c>
      <c r="AR1559" t="str">
        <f t="shared" si="322"/>
        <v>Valid</v>
      </c>
      <c r="AS1559" t="str">
        <f t="shared" si="323"/>
        <v>Valid</v>
      </c>
    </row>
    <row r="1560" spans="1:45" x14ac:dyDescent="0.3">
      <c r="A1560">
        <v>6642</v>
      </c>
      <c r="B1560">
        <v>1961</v>
      </c>
      <c r="C1560" t="s">
        <v>29</v>
      </c>
      <c r="D1560" t="s">
        <v>35</v>
      </c>
      <c r="E1560">
        <v>27215</v>
      </c>
      <c r="F1560">
        <v>2</v>
      </c>
      <c r="G1560">
        <v>1</v>
      </c>
      <c r="H1560" s="1">
        <v>41297</v>
      </c>
      <c r="I1560">
        <v>50</v>
      </c>
      <c r="J1560">
        <v>30</v>
      </c>
      <c r="K1560">
        <v>5</v>
      </c>
      <c r="L1560">
        <v>22</v>
      </c>
      <c r="M1560">
        <v>8</v>
      </c>
      <c r="N1560">
        <v>9</v>
      </c>
      <c r="O1560">
        <v>28</v>
      </c>
      <c r="P1560">
        <v>4</v>
      </c>
      <c r="Q1560">
        <v>2</v>
      </c>
      <c r="R1560">
        <v>1</v>
      </c>
      <c r="S1560">
        <v>4</v>
      </c>
      <c r="T1560">
        <v>6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3</v>
      </c>
      <c r="AB1560">
        <v>11</v>
      </c>
      <c r="AC1560">
        <v>0</v>
      </c>
      <c r="AD1560" t="str">
        <f t="shared" si="312"/>
        <v>Ok</v>
      </c>
      <c r="AE1560" t="str">
        <f>IF(AND(Audit_Data[[#This Row],[Year_Birth]]&gt;=1900,Audit_Data[[#This Row],[Year_Birth]]&lt;=2010),"OK","Invalid")</f>
        <v>OK</v>
      </c>
      <c r="AF1560" t="str">
        <f t="shared" si="313"/>
        <v>Valid</v>
      </c>
      <c r="AG1560" t="str">
        <f t="shared" si="314"/>
        <v>Valid</v>
      </c>
      <c r="AH1560" t="str">
        <f t="shared" si="315"/>
        <v>Valid</v>
      </c>
      <c r="AI1560" t="str">
        <f t="shared" si="316"/>
        <v>Valid</v>
      </c>
      <c r="AJ1560" t="str">
        <f t="shared" si="317"/>
        <v>Valid</v>
      </c>
      <c r="AK1560" t="str">
        <f t="shared" si="324"/>
        <v xml:space="preserve">Valid </v>
      </c>
      <c r="AL1560" t="str">
        <f>IF(AND(Audit_Data[[#This Row],[Recency]]&gt;=0,Audit_Data[[#This Row],[Recency]]&lt;=100),"Valid","Invalid")</f>
        <v>Valid</v>
      </c>
      <c r="AM1560" t="str">
        <f t="shared" si="318"/>
        <v>Valid</v>
      </c>
      <c r="AN1560" t="str">
        <f t="shared" si="319"/>
        <v>Valid</v>
      </c>
      <c r="AO1560" t="str">
        <f t="shared" si="320"/>
        <v>Valid</v>
      </c>
      <c r="AP1560" t="str">
        <f t="shared" si="321"/>
        <v>Valid</v>
      </c>
      <c r="AQ1560" t="str">
        <f>IF(Audit_Data[[#This Row],[Z_CostContact]]=3,"Valid","Invalid")</f>
        <v>Valid</v>
      </c>
      <c r="AR1560" t="str">
        <f t="shared" si="322"/>
        <v>Valid</v>
      </c>
      <c r="AS1560" t="str">
        <f t="shared" si="323"/>
        <v>Valid</v>
      </c>
    </row>
    <row r="1561" spans="1:45" x14ac:dyDescent="0.3">
      <c r="A1561">
        <v>2793</v>
      </c>
      <c r="B1561">
        <v>1976</v>
      </c>
      <c r="C1561" t="s">
        <v>32</v>
      </c>
      <c r="D1561" t="s">
        <v>35</v>
      </c>
      <c r="E1561">
        <v>70179</v>
      </c>
      <c r="F1561">
        <v>0</v>
      </c>
      <c r="G1561">
        <v>1</v>
      </c>
      <c r="H1561" s="1">
        <v>41476</v>
      </c>
      <c r="I1561">
        <v>10</v>
      </c>
      <c r="J1561">
        <v>532</v>
      </c>
      <c r="K1561">
        <v>88</v>
      </c>
      <c r="L1561">
        <v>168</v>
      </c>
      <c r="M1561">
        <v>69</v>
      </c>
      <c r="N1561">
        <v>44</v>
      </c>
      <c r="O1561">
        <v>133</v>
      </c>
      <c r="P1561">
        <v>3</v>
      </c>
      <c r="Q1561">
        <v>7</v>
      </c>
      <c r="R1561">
        <v>3</v>
      </c>
      <c r="S1561">
        <v>13</v>
      </c>
      <c r="T1561">
        <v>5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3</v>
      </c>
      <c r="AB1561">
        <v>11</v>
      </c>
      <c r="AC1561">
        <v>0</v>
      </c>
      <c r="AD1561" t="str">
        <f t="shared" si="312"/>
        <v>Ok</v>
      </c>
      <c r="AE1561" t="str">
        <f>IF(AND(Audit_Data[[#This Row],[Year_Birth]]&gt;=1900,Audit_Data[[#This Row],[Year_Birth]]&lt;=2010),"OK","Invalid")</f>
        <v>OK</v>
      </c>
      <c r="AF1561" t="str">
        <f t="shared" si="313"/>
        <v>Valid</v>
      </c>
      <c r="AG1561" t="str">
        <f t="shared" si="314"/>
        <v>Valid</v>
      </c>
      <c r="AH1561" t="str">
        <f t="shared" si="315"/>
        <v>Valid</v>
      </c>
      <c r="AI1561" t="str">
        <f t="shared" si="316"/>
        <v>Valid</v>
      </c>
      <c r="AJ1561" t="str">
        <f t="shared" si="317"/>
        <v>Valid</v>
      </c>
      <c r="AK1561" t="str">
        <f t="shared" si="324"/>
        <v xml:space="preserve">Valid </v>
      </c>
      <c r="AL1561" t="str">
        <f>IF(AND(Audit_Data[[#This Row],[Recency]]&gt;=0,Audit_Data[[#This Row],[Recency]]&lt;=100),"Valid","Invalid")</f>
        <v>Valid</v>
      </c>
      <c r="AM1561" t="str">
        <f t="shared" si="318"/>
        <v>Valid</v>
      </c>
      <c r="AN1561" t="str">
        <f t="shared" si="319"/>
        <v>Valid</v>
      </c>
      <c r="AO1561" t="str">
        <f t="shared" si="320"/>
        <v>Valid</v>
      </c>
      <c r="AP1561" t="str">
        <f t="shared" si="321"/>
        <v>Valid</v>
      </c>
      <c r="AQ1561" t="str">
        <f>IF(Audit_Data[[#This Row],[Z_CostContact]]=3,"Valid","Invalid")</f>
        <v>Valid</v>
      </c>
      <c r="AR1561" t="str">
        <f t="shared" si="322"/>
        <v>Valid</v>
      </c>
      <c r="AS1561" t="str">
        <f t="shared" si="323"/>
        <v>Valid</v>
      </c>
    </row>
    <row r="1562" spans="1:45" x14ac:dyDescent="0.3">
      <c r="A1562">
        <v>5424</v>
      </c>
      <c r="B1562">
        <v>1983</v>
      </c>
      <c r="C1562" t="s">
        <v>29</v>
      </c>
      <c r="D1562" t="s">
        <v>33</v>
      </c>
      <c r="E1562">
        <v>39922</v>
      </c>
      <c r="F1562">
        <v>1</v>
      </c>
      <c r="G1562">
        <v>0</v>
      </c>
      <c r="H1562" s="1">
        <v>41319</v>
      </c>
      <c r="I1562">
        <v>30</v>
      </c>
      <c r="J1562">
        <v>29</v>
      </c>
      <c r="K1562">
        <v>12</v>
      </c>
      <c r="L1562">
        <v>59</v>
      </c>
      <c r="M1562">
        <v>19</v>
      </c>
      <c r="N1562">
        <v>1</v>
      </c>
      <c r="O1562">
        <v>36</v>
      </c>
      <c r="P1562">
        <v>2</v>
      </c>
      <c r="Q1562">
        <v>3</v>
      </c>
      <c r="R1562">
        <v>0</v>
      </c>
      <c r="S1562">
        <v>4</v>
      </c>
      <c r="T1562">
        <v>8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3</v>
      </c>
      <c r="AB1562">
        <v>11</v>
      </c>
      <c r="AC1562">
        <v>0</v>
      </c>
      <c r="AD1562" t="str">
        <f t="shared" si="312"/>
        <v>Ok</v>
      </c>
      <c r="AE1562" t="str">
        <f>IF(AND(Audit_Data[[#This Row],[Year_Birth]]&gt;=1900,Audit_Data[[#This Row],[Year_Birth]]&lt;=2010),"OK","Invalid")</f>
        <v>OK</v>
      </c>
      <c r="AF1562" t="str">
        <f t="shared" si="313"/>
        <v>Valid</v>
      </c>
      <c r="AG1562" t="str">
        <f t="shared" si="314"/>
        <v>Valid</v>
      </c>
      <c r="AH1562" t="str">
        <f t="shared" si="315"/>
        <v>Valid</v>
      </c>
      <c r="AI1562" t="str">
        <f t="shared" si="316"/>
        <v>Valid</v>
      </c>
      <c r="AJ1562" t="str">
        <f t="shared" si="317"/>
        <v>Valid</v>
      </c>
      <c r="AK1562" t="str">
        <f t="shared" si="324"/>
        <v xml:space="preserve">Valid </v>
      </c>
      <c r="AL1562" t="str">
        <f>IF(AND(Audit_Data[[#This Row],[Recency]]&gt;=0,Audit_Data[[#This Row],[Recency]]&lt;=100),"Valid","Invalid")</f>
        <v>Valid</v>
      </c>
      <c r="AM1562" t="str">
        <f t="shared" si="318"/>
        <v>Valid</v>
      </c>
      <c r="AN1562" t="str">
        <f t="shared" si="319"/>
        <v>Valid</v>
      </c>
      <c r="AO1562" t="str">
        <f t="shared" si="320"/>
        <v>Valid</v>
      </c>
      <c r="AP1562" t="str">
        <f t="shared" si="321"/>
        <v>Valid</v>
      </c>
      <c r="AQ1562" t="str">
        <f>IF(Audit_Data[[#This Row],[Z_CostContact]]=3,"Valid","Invalid")</f>
        <v>Valid</v>
      </c>
      <c r="AR1562" t="str">
        <f t="shared" si="322"/>
        <v>Valid</v>
      </c>
      <c r="AS1562" t="str">
        <f t="shared" si="323"/>
        <v>Valid</v>
      </c>
    </row>
    <row r="1563" spans="1:45" x14ac:dyDescent="0.3">
      <c r="A1563">
        <v>879</v>
      </c>
      <c r="B1563">
        <v>1976</v>
      </c>
      <c r="C1563" t="s">
        <v>34</v>
      </c>
      <c r="D1563" t="s">
        <v>33</v>
      </c>
      <c r="E1563">
        <v>49681</v>
      </c>
      <c r="F1563">
        <v>0</v>
      </c>
      <c r="G1563">
        <v>2</v>
      </c>
      <c r="H1563" s="1">
        <v>41582</v>
      </c>
      <c r="I1563">
        <v>66</v>
      </c>
      <c r="J1563">
        <v>411</v>
      </c>
      <c r="K1563">
        <v>0</v>
      </c>
      <c r="L1563">
        <v>26</v>
      </c>
      <c r="M1563">
        <v>0</v>
      </c>
      <c r="N1563">
        <v>0</v>
      </c>
      <c r="O1563">
        <v>21</v>
      </c>
      <c r="P1563">
        <v>6</v>
      </c>
      <c r="Q1563">
        <v>7</v>
      </c>
      <c r="R1563">
        <v>1</v>
      </c>
      <c r="S1563">
        <v>7</v>
      </c>
      <c r="T1563">
        <v>7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3</v>
      </c>
      <c r="AB1563">
        <v>11</v>
      </c>
      <c r="AC1563">
        <v>0</v>
      </c>
      <c r="AD1563" t="str">
        <f t="shared" si="312"/>
        <v>Ok</v>
      </c>
      <c r="AE1563" t="str">
        <f>IF(AND(Audit_Data[[#This Row],[Year_Birth]]&gt;=1900,Audit_Data[[#This Row],[Year_Birth]]&lt;=2010),"OK","Invalid")</f>
        <v>OK</v>
      </c>
      <c r="AF1563" t="str">
        <f t="shared" si="313"/>
        <v>Valid</v>
      </c>
      <c r="AG1563" t="str">
        <f t="shared" si="314"/>
        <v>Valid</v>
      </c>
      <c r="AH1563" t="str">
        <f t="shared" si="315"/>
        <v>Valid</v>
      </c>
      <c r="AI1563" t="str">
        <f t="shared" si="316"/>
        <v>Valid</v>
      </c>
      <c r="AJ1563" t="str">
        <f t="shared" si="317"/>
        <v>Valid</v>
      </c>
      <c r="AK1563" t="str">
        <f t="shared" si="324"/>
        <v xml:space="preserve">Valid </v>
      </c>
      <c r="AL1563" t="str">
        <f>IF(AND(Audit_Data[[#This Row],[Recency]]&gt;=0,Audit_Data[[#This Row],[Recency]]&lt;=100),"Valid","Invalid")</f>
        <v>Valid</v>
      </c>
      <c r="AM1563" t="str">
        <f t="shared" si="318"/>
        <v>Valid</v>
      </c>
      <c r="AN1563" t="str">
        <f t="shared" si="319"/>
        <v>Valid</v>
      </c>
      <c r="AO1563" t="str">
        <f t="shared" si="320"/>
        <v>Valid</v>
      </c>
      <c r="AP1563" t="str">
        <f t="shared" si="321"/>
        <v>Valid</v>
      </c>
      <c r="AQ1563" t="str">
        <f>IF(Audit_Data[[#This Row],[Z_CostContact]]=3,"Valid","Invalid")</f>
        <v>Valid</v>
      </c>
      <c r="AR1563" t="str">
        <f t="shared" si="322"/>
        <v>Valid</v>
      </c>
      <c r="AS1563" t="str">
        <f t="shared" si="323"/>
        <v>Valid</v>
      </c>
    </row>
    <row r="1564" spans="1:45" x14ac:dyDescent="0.3">
      <c r="A1564">
        <v>9530</v>
      </c>
      <c r="B1564">
        <v>1988</v>
      </c>
      <c r="C1564" t="s">
        <v>29</v>
      </c>
      <c r="D1564" t="s">
        <v>33</v>
      </c>
      <c r="E1564">
        <v>24645</v>
      </c>
      <c r="F1564">
        <v>1</v>
      </c>
      <c r="G1564">
        <v>0</v>
      </c>
      <c r="H1564" s="1">
        <v>41214</v>
      </c>
      <c r="I1564">
        <v>16</v>
      </c>
      <c r="J1564">
        <v>5</v>
      </c>
      <c r="K1564">
        <v>3</v>
      </c>
      <c r="L1564">
        <v>4</v>
      </c>
      <c r="M1564">
        <v>4</v>
      </c>
      <c r="N1564">
        <v>1</v>
      </c>
      <c r="O1564">
        <v>0</v>
      </c>
      <c r="P1564">
        <v>1</v>
      </c>
      <c r="Q1564">
        <v>1</v>
      </c>
      <c r="R1564">
        <v>0</v>
      </c>
      <c r="S1564">
        <v>2</v>
      </c>
      <c r="T1564">
        <v>8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3</v>
      </c>
      <c r="AB1564">
        <v>11</v>
      </c>
      <c r="AC1564">
        <v>0</v>
      </c>
      <c r="AD1564" t="str">
        <f t="shared" si="312"/>
        <v>Ok</v>
      </c>
      <c r="AE1564" t="str">
        <f>IF(AND(Audit_Data[[#This Row],[Year_Birth]]&gt;=1900,Audit_Data[[#This Row],[Year_Birth]]&lt;=2010),"OK","Invalid")</f>
        <v>OK</v>
      </c>
      <c r="AF1564" t="str">
        <f t="shared" si="313"/>
        <v>Valid</v>
      </c>
      <c r="AG1564" t="str">
        <f t="shared" si="314"/>
        <v>Valid</v>
      </c>
      <c r="AH1564" t="str">
        <f t="shared" si="315"/>
        <v>Valid</v>
      </c>
      <c r="AI1564" t="str">
        <f t="shared" si="316"/>
        <v>Valid</v>
      </c>
      <c r="AJ1564" t="str">
        <f t="shared" si="317"/>
        <v>Valid</v>
      </c>
      <c r="AK1564" t="str">
        <f t="shared" si="324"/>
        <v xml:space="preserve">Valid </v>
      </c>
      <c r="AL1564" t="str">
        <f>IF(AND(Audit_Data[[#This Row],[Recency]]&gt;=0,Audit_Data[[#This Row],[Recency]]&lt;=100),"Valid","Invalid")</f>
        <v>Valid</v>
      </c>
      <c r="AM1564" t="str">
        <f t="shared" si="318"/>
        <v>Valid</v>
      </c>
      <c r="AN1564" t="str">
        <f t="shared" si="319"/>
        <v>Valid</v>
      </c>
      <c r="AO1564" t="str">
        <f t="shared" si="320"/>
        <v>Valid</v>
      </c>
      <c r="AP1564" t="str">
        <f t="shared" si="321"/>
        <v>Valid</v>
      </c>
      <c r="AQ1564" t="str">
        <f>IF(Audit_Data[[#This Row],[Z_CostContact]]=3,"Valid","Invalid")</f>
        <v>Valid</v>
      </c>
      <c r="AR1564" t="str">
        <f t="shared" si="322"/>
        <v>Valid</v>
      </c>
      <c r="AS1564" t="str">
        <f t="shared" si="323"/>
        <v>Valid</v>
      </c>
    </row>
    <row r="1565" spans="1:45" x14ac:dyDescent="0.3">
      <c r="A1565">
        <v>4828</v>
      </c>
      <c r="B1565">
        <v>1954</v>
      </c>
      <c r="C1565" t="s">
        <v>29</v>
      </c>
      <c r="D1565" t="s">
        <v>35</v>
      </c>
      <c r="E1565">
        <v>79865</v>
      </c>
      <c r="F1565">
        <v>0</v>
      </c>
      <c r="G1565">
        <v>1</v>
      </c>
      <c r="H1565" s="1">
        <v>41808</v>
      </c>
      <c r="I1565">
        <v>12</v>
      </c>
      <c r="J1565">
        <v>71</v>
      </c>
      <c r="K1565">
        <v>99</v>
      </c>
      <c r="L1565">
        <v>278</v>
      </c>
      <c r="M1565">
        <v>185</v>
      </c>
      <c r="N1565">
        <v>121</v>
      </c>
      <c r="O1565">
        <v>38</v>
      </c>
      <c r="P1565">
        <v>1</v>
      </c>
      <c r="Q1565">
        <v>5</v>
      </c>
      <c r="R1565">
        <v>10</v>
      </c>
      <c r="S1565">
        <v>5</v>
      </c>
      <c r="T1565">
        <v>1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3</v>
      </c>
      <c r="AB1565">
        <v>11</v>
      </c>
      <c r="AC1565">
        <v>0</v>
      </c>
      <c r="AD1565" t="str">
        <f t="shared" si="312"/>
        <v>Ok</v>
      </c>
      <c r="AE1565" t="str">
        <f>IF(AND(Audit_Data[[#This Row],[Year_Birth]]&gt;=1900,Audit_Data[[#This Row],[Year_Birth]]&lt;=2010),"OK","Invalid")</f>
        <v>OK</v>
      </c>
      <c r="AF1565" t="str">
        <f t="shared" si="313"/>
        <v>Valid</v>
      </c>
      <c r="AG1565" t="str">
        <f t="shared" si="314"/>
        <v>Valid</v>
      </c>
      <c r="AH1565" t="str">
        <f t="shared" si="315"/>
        <v>Valid</v>
      </c>
      <c r="AI1565" t="str">
        <f t="shared" si="316"/>
        <v>Valid</v>
      </c>
      <c r="AJ1565" t="str">
        <f t="shared" si="317"/>
        <v>Valid</v>
      </c>
      <c r="AK1565" t="str">
        <f t="shared" si="324"/>
        <v xml:space="preserve">Valid </v>
      </c>
      <c r="AL1565" t="str">
        <f>IF(AND(Audit_Data[[#This Row],[Recency]]&gt;=0,Audit_Data[[#This Row],[Recency]]&lt;=100),"Valid","Invalid")</f>
        <v>Valid</v>
      </c>
      <c r="AM1565" t="str">
        <f t="shared" si="318"/>
        <v>Valid</v>
      </c>
      <c r="AN1565" t="str">
        <f t="shared" si="319"/>
        <v>Valid</v>
      </c>
      <c r="AO1565" t="str">
        <f t="shared" si="320"/>
        <v>Valid</v>
      </c>
      <c r="AP1565" t="str">
        <f t="shared" si="321"/>
        <v>Valid</v>
      </c>
      <c r="AQ1565" t="str">
        <f>IF(Audit_Data[[#This Row],[Z_CostContact]]=3,"Valid","Invalid")</f>
        <v>Valid</v>
      </c>
      <c r="AR1565" t="str">
        <f t="shared" si="322"/>
        <v>Valid</v>
      </c>
      <c r="AS1565" t="str">
        <f t="shared" si="323"/>
        <v>Valid</v>
      </c>
    </row>
    <row r="1566" spans="1:45" x14ac:dyDescent="0.3">
      <c r="A1566">
        <v>10699</v>
      </c>
      <c r="B1566">
        <v>1985</v>
      </c>
      <c r="C1566" t="s">
        <v>29</v>
      </c>
      <c r="D1566" t="s">
        <v>33</v>
      </c>
      <c r="E1566">
        <v>44322</v>
      </c>
      <c r="F1566">
        <v>1</v>
      </c>
      <c r="G1566">
        <v>0</v>
      </c>
      <c r="H1566" s="1">
        <v>41806</v>
      </c>
      <c r="I1566">
        <v>30</v>
      </c>
      <c r="J1566">
        <v>46</v>
      </c>
      <c r="K1566">
        <v>0</v>
      </c>
      <c r="L1566">
        <v>40</v>
      </c>
      <c r="M1566">
        <v>3</v>
      </c>
      <c r="N1566">
        <v>0</v>
      </c>
      <c r="O1566">
        <v>3</v>
      </c>
      <c r="P1566">
        <v>2</v>
      </c>
      <c r="Q1566">
        <v>3</v>
      </c>
      <c r="R1566">
        <v>0</v>
      </c>
      <c r="S1566">
        <v>3</v>
      </c>
      <c r="T1566">
        <v>8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3</v>
      </c>
      <c r="AB1566">
        <v>11</v>
      </c>
      <c r="AC1566">
        <v>0</v>
      </c>
      <c r="AD1566" t="str">
        <f t="shared" si="312"/>
        <v>Ok</v>
      </c>
      <c r="AE1566" t="str">
        <f>IF(AND(Audit_Data[[#This Row],[Year_Birth]]&gt;=1900,Audit_Data[[#This Row],[Year_Birth]]&lt;=2010),"OK","Invalid")</f>
        <v>OK</v>
      </c>
      <c r="AF1566" t="str">
        <f t="shared" si="313"/>
        <v>Valid</v>
      </c>
      <c r="AG1566" t="str">
        <f t="shared" si="314"/>
        <v>Valid</v>
      </c>
      <c r="AH1566" t="str">
        <f t="shared" si="315"/>
        <v>Valid</v>
      </c>
      <c r="AI1566" t="str">
        <f t="shared" si="316"/>
        <v>Valid</v>
      </c>
      <c r="AJ1566" t="str">
        <f t="shared" si="317"/>
        <v>Valid</v>
      </c>
      <c r="AK1566" t="str">
        <f t="shared" si="324"/>
        <v xml:space="preserve">Valid </v>
      </c>
      <c r="AL1566" t="str">
        <f>IF(AND(Audit_Data[[#This Row],[Recency]]&gt;=0,Audit_Data[[#This Row],[Recency]]&lt;=100),"Valid","Invalid")</f>
        <v>Valid</v>
      </c>
      <c r="AM1566" t="str">
        <f t="shared" si="318"/>
        <v>Valid</v>
      </c>
      <c r="AN1566" t="str">
        <f t="shared" si="319"/>
        <v>Valid</v>
      </c>
      <c r="AO1566" t="str">
        <f t="shared" si="320"/>
        <v>Valid</v>
      </c>
      <c r="AP1566" t="str">
        <f t="shared" si="321"/>
        <v>Valid</v>
      </c>
      <c r="AQ1566" t="str">
        <f>IF(Audit_Data[[#This Row],[Z_CostContact]]=3,"Valid","Invalid")</f>
        <v>Valid</v>
      </c>
      <c r="AR1566" t="str">
        <f t="shared" si="322"/>
        <v>Valid</v>
      </c>
      <c r="AS1566" t="str">
        <f t="shared" si="323"/>
        <v>Valid</v>
      </c>
    </row>
    <row r="1567" spans="1:45" x14ac:dyDescent="0.3">
      <c r="A1567">
        <v>1497</v>
      </c>
      <c r="B1567">
        <v>1952</v>
      </c>
      <c r="C1567" t="s">
        <v>29</v>
      </c>
      <c r="D1567" t="s">
        <v>30</v>
      </c>
      <c r="E1567">
        <v>47958</v>
      </c>
      <c r="F1567">
        <v>0</v>
      </c>
      <c r="G1567">
        <v>1</v>
      </c>
      <c r="H1567" s="1">
        <v>41293</v>
      </c>
      <c r="I1567">
        <v>8</v>
      </c>
      <c r="J1567">
        <v>268</v>
      </c>
      <c r="K1567">
        <v>11</v>
      </c>
      <c r="L1567">
        <v>88</v>
      </c>
      <c r="M1567">
        <v>15</v>
      </c>
      <c r="N1567">
        <v>3</v>
      </c>
      <c r="O1567">
        <v>22</v>
      </c>
      <c r="P1567">
        <v>2</v>
      </c>
      <c r="Q1567">
        <v>6</v>
      </c>
      <c r="R1567">
        <v>3</v>
      </c>
      <c r="S1567">
        <v>5</v>
      </c>
      <c r="T1567">
        <v>5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3</v>
      </c>
      <c r="AB1567">
        <v>11</v>
      </c>
      <c r="AC1567">
        <v>0</v>
      </c>
      <c r="AD1567" t="str">
        <f t="shared" si="312"/>
        <v>Ok</v>
      </c>
      <c r="AE1567" t="str">
        <f>IF(AND(Audit_Data[[#This Row],[Year_Birth]]&gt;=1900,Audit_Data[[#This Row],[Year_Birth]]&lt;=2010),"OK","Invalid")</f>
        <v>OK</v>
      </c>
      <c r="AF1567" t="str">
        <f t="shared" si="313"/>
        <v>Valid</v>
      </c>
      <c r="AG1567" t="str">
        <f t="shared" si="314"/>
        <v>Valid</v>
      </c>
      <c r="AH1567" t="str">
        <f t="shared" si="315"/>
        <v>Valid</v>
      </c>
      <c r="AI1567" t="str">
        <f t="shared" si="316"/>
        <v>Valid</v>
      </c>
      <c r="AJ1567" t="str">
        <f t="shared" si="317"/>
        <v>Valid</v>
      </c>
      <c r="AK1567" t="str">
        <f t="shared" si="324"/>
        <v xml:space="preserve">Valid </v>
      </c>
      <c r="AL1567" t="str">
        <f>IF(AND(Audit_Data[[#This Row],[Recency]]&gt;=0,Audit_Data[[#This Row],[Recency]]&lt;=100),"Valid","Invalid")</f>
        <v>Valid</v>
      </c>
      <c r="AM1567" t="str">
        <f t="shared" si="318"/>
        <v>Valid</v>
      </c>
      <c r="AN1567" t="str">
        <f t="shared" si="319"/>
        <v>Valid</v>
      </c>
      <c r="AO1567" t="str">
        <f t="shared" si="320"/>
        <v>Valid</v>
      </c>
      <c r="AP1567" t="str">
        <f t="shared" si="321"/>
        <v>Valid</v>
      </c>
      <c r="AQ1567" t="str">
        <f>IF(Audit_Data[[#This Row],[Z_CostContact]]=3,"Valid","Invalid")</f>
        <v>Valid</v>
      </c>
      <c r="AR1567" t="str">
        <f t="shared" si="322"/>
        <v>Valid</v>
      </c>
      <c r="AS1567" t="str">
        <f t="shared" si="323"/>
        <v>Valid</v>
      </c>
    </row>
    <row r="1568" spans="1:45" x14ac:dyDescent="0.3">
      <c r="A1568">
        <v>7476</v>
      </c>
      <c r="B1568">
        <v>1964</v>
      </c>
      <c r="C1568" t="s">
        <v>34</v>
      </c>
      <c r="D1568" t="s">
        <v>30</v>
      </c>
      <c r="E1568">
        <v>63972</v>
      </c>
      <c r="F1568">
        <v>0</v>
      </c>
      <c r="G1568">
        <v>1</v>
      </c>
      <c r="H1568" s="1">
        <v>41245</v>
      </c>
      <c r="I1568">
        <v>93</v>
      </c>
      <c r="J1568">
        <v>928</v>
      </c>
      <c r="K1568">
        <v>63</v>
      </c>
      <c r="L1568">
        <v>254</v>
      </c>
      <c r="M1568">
        <v>0</v>
      </c>
      <c r="N1568">
        <v>12</v>
      </c>
      <c r="O1568">
        <v>12</v>
      </c>
      <c r="P1568">
        <v>4</v>
      </c>
      <c r="Q1568">
        <v>5</v>
      </c>
      <c r="R1568">
        <v>4</v>
      </c>
      <c r="S1568">
        <v>10</v>
      </c>
      <c r="T1568">
        <v>4</v>
      </c>
      <c r="U1568">
        <v>0</v>
      </c>
      <c r="V1568">
        <v>1</v>
      </c>
      <c r="W1568">
        <v>0</v>
      </c>
      <c r="X1568">
        <v>0</v>
      </c>
      <c r="Y1568">
        <v>0</v>
      </c>
      <c r="Z1568">
        <v>0</v>
      </c>
      <c r="AA1568">
        <v>3</v>
      </c>
      <c r="AB1568">
        <v>11</v>
      </c>
      <c r="AC1568">
        <v>0</v>
      </c>
      <c r="AD1568" t="str">
        <f t="shared" si="312"/>
        <v>Ok</v>
      </c>
      <c r="AE1568" t="str">
        <f>IF(AND(Audit_Data[[#This Row],[Year_Birth]]&gt;=1900,Audit_Data[[#This Row],[Year_Birth]]&lt;=2010),"OK","Invalid")</f>
        <v>OK</v>
      </c>
      <c r="AF1568" t="str">
        <f t="shared" si="313"/>
        <v>Valid</v>
      </c>
      <c r="AG1568" t="str">
        <f t="shared" si="314"/>
        <v>Valid</v>
      </c>
      <c r="AH1568" t="str">
        <f t="shared" si="315"/>
        <v>Valid</v>
      </c>
      <c r="AI1568" t="str">
        <f t="shared" si="316"/>
        <v>Valid</v>
      </c>
      <c r="AJ1568" t="str">
        <f t="shared" si="317"/>
        <v>Valid</v>
      </c>
      <c r="AK1568" t="str">
        <f t="shared" si="324"/>
        <v xml:space="preserve">Valid </v>
      </c>
      <c r="AL1568" t="str">
        <f>IF(AND(Audit_Data[[#This Row],[Recency]]&gt;=0,Audit_Data[[#This Row],[Recency]]&lt;=100),"Valid","Invalid")</f>
        <v>Valid</v>
      </c>
      <c r="AM1568" t="str">
        <f t="shared" si="318"/>
        <v>Valid</v>
      </c>
      <c r="AN1568" t="str">
        <f t="shared" si="319"/>
        <v>Valid</v>
      </c>
      <c r="AO1568" t="str">
        <f t="shared" si="320"/>
        <v>Valid</v>
      </c>
      <c r="AP1568" t="str">
        <f t="shared" si="321"/>
        <v>Valid</v>
      </c>
      <c r="AQ1568" t="str">
        <f>IF(Audit_Data[[#This Row],[Z_CostContact]]=3,"Valid","Invalid")</f>
        <v>Valid</v>
      </c>
      <c r="AR1568" t="str">
        <f t="shared" si="322"/>
        <v>Valid</v>
      </c>
      <c r="AS1568" t="str">
        <f t="shared" si="323"/>
        <v>Valid</v>
      </c>
    </row>
    <row r="1569" spans="1:45" x14ac:dyDescent="0.3">
      <c r="A1569">
        <v>4390</v>
      </c>
      <c r="B1569">
        <v>1954</v>
      </c>
      <c r="C1569" t="s">
        <v>29</v>
      </c>
      <c r="D1569" t="s">
        <v>31</v>
      </c>
      <c r="E1569">
        <v>75315</v>
      </c>
      <c r="F1569">
        <v>0</v>
      </c>
      <c r="G1569">
        <v>1</v>
      </c>
      <c r="H1569" s="1">
        <v>41744</v>
      </c>
      <c r="I1569">
        <v>14</v>
      </c>
      <c r="J1569">
        <v>459</v>
      </c>
      <c r="K1569">
        <v>15</v>
      </c>
      <c r="L1569">
        <v>171</v>
      </c>
      <c r="M1569">
        <v>142</v>
      </c>
      <c r="N1569">
        <v>23</v>
      </c>
      <c r="O1569">
        <v>31</v>
      </c>
      <c r="P1569">
        <v>2</v>
      </c>
      <c r="Q1569">
        <v>5</v>
      </c>
      <c r="R1569">
        <v>4</v>
      </c>
      <c r="S1569">
        <v>12</v>
      </c>
      <c r="T1569">
        <v>2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3</v>
      </c>
      <c r="AB1569">
        <v>11</v>
      </c>
      <c r="AC1569">
        <v>0</v>
      </c>
      <c r="AD1569" t="str">
        <f t="shared" si="312"/>
        <v>Ok</v>
      </c>
      <c r="AE1569" t="str">
        <f>IF(AND(Audit_Data[[#This Row],[Year_Birth]]&gt;=1900,Audit_Data[[#This Row],[Year_Birth]]&lt;=2010),"OK","Invalid")</f>
        <v>OK</v>
      </c>
      <c r="AF1569" t="str">
        <f t="shared" si="313"/>
        <v>Valid</v>
      </c>
      <c r="AG1569" t="str">
        <f t="shared" si="314"/>
        <v>Valid</v>
      </c>
      <c r="AH1569" t="str">
        <f t="shared" si="315"/>
        <v>Valid</v>
      </c>
      <c r="AI1569" t="str">
        <f t="shared" si="316"/>
        <v>Valid</v>
      </c>
      <c r="AJ1569" t="str">
        <f t="shared" si="317"/>
        <v>Valid</v>
      </c>
      <c r="AK1569" t="str">
        <f t="shared" si="324"/>
        <v xml:space="preserve">Valid </v>
      </c>
      <c r="AL1569" t="str">
        <f>IF(AND(Audit_Data[[#This Row],[Recency]]&gt;=0,Audit_Data[[#This Row],[Recency]]&lt;=100),"Valid","Invalid")</f>
        <v>Valid</v>
      </c>
      <c r="AM1569" t="str">
        <f t="shared" si="318"/>
        <v>Valid</v>
      </c>
      <c r="AN1569" t="str">
        <f t="shared" si="319"/>
        <v>Valid</v>
      </c>
      <c r="AO1569" t="str">
        <f t="shared" si="320"/>
        <v>Valid</v>
      </c>
      <c r="AP1569" t="str">
        <f t="shared" si="321"/>
        <v>Valid</v>
      </c>
      <c r="AQ1569" t="str">
        <f>IF(Audit_Data[[#This Row],[Z_CostContact]]=3,"Valid","Invalid")</f>
        <v>Valid</v>
      </c>
      <c r="AR1569" t="str">
        <f t="shared" si="322"/>
        <v>Valid</v>
      </c>
      <c r="AS1569" t="str">
        <f t="shared" si="323"/>
        <v>Valid</v>
      </c>
    </row>
    <row r="1570" spans="1:45" x14ac:dyDescent="0.3">
      <c r="A1570">
        <v>10478</v>
      </c>
      <c r="B1570">
        <v>1950</v>
      </c>
      <c r="C1570" t="s">
        <v>32</v>
      </c>
      <c r="D1570" t="s">
        <v>33</v>
      </c>
      <c r="E1570">
        <v>55517</v>
      </c>
      <c r="F1570">
        <v>1</v>
      </c>
      <c r="G1570">
        <v>1</v>
      </c>
      <c r="H1570" s="1">
        <v>41179</v>
      </c>
      <c r="I1570">
        <v>53</v>
      </c>
      <c r="J1570">
        <v>483</v>
      </c>
      <c r="K1570">
        <v>0</v>
      </c>
      <c r="L1570">
        <v>108</v>
      </c>
      <c r="M1570">
        <v>0</v>
      </c>
      <c r="N1570">
        <v>6</v>
      </c>
      <c r="O1570">
        <v>36</v>
      </c>
      <c r="P1570">
        <v>5</v>
      </c>
      <c r="Q1570">
        <v>11</v>
      </c>
      <c r="R1570">
        <v>1</v>
      </c>
      <c r="S1570">
        <v>6</v>
      </c>
      <c r="T1570">
        <v>9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3</v>
      </c>
      <c r="AB1570">
        <v>11</v>
      </c>
      <c r="AC1570">
        <v>1</v>
      </c>
      <c r="AD1570" t="str">
        <f t="shared" si="312"/>
        <v>Ok</v>
      </c>
      <c r="AE1570" t="str">
        <f>IF(AND(Audit_Data[[#This Row],[Year_Birth]]&gt;=1900,Audit_Data[[#This Row],[Year_Birth]]&lt;=2010),"OK","Invalid")</f>
        <v>OK</v>
      </c>
      <c r="AF1570" t="str">
        <f t="shared" si="313"/>
        <v>Valid</v>
      </c>
      <c r="AG1570" t="str">
        <f t="shared" si="314"/>
        <v>Valid</v>
      </c>
      <c r="AH1570" t="str">
        <f t="shared" si="315"/>
        <v>Valid</v>
      </c>
      <c r="AI1570" t="str">
        <f t="shared" si="316"/>
        <v>Valid</v>
      </c>
      <c r="AJ1570" t="str">
        <f t="shared" si="317"/>
        <v>Valid</v>
      </c>
      <c r="AK1570" t="str">
        <f t="shared" si="324"/>
        <v xml:space="preserve">Valid </v>
      </c>
      <c r="AL1570" t="str">
        <f>IF(AND(Audit_Data[[#This Row],[Recency]]&gt;=0,Audit_Data[[#This Row],[Recency]]&lt;=100),"Valid","Invalid")</f>
        <v>Valid</v>
      </c>
      <c r="AM1570" t="str">
        <f t="shared" si="318"/>
        <v>Valid</v>
      </c>
      <c r="AN1570" t="str">
        <f t="shared" si="319"/>
        <v>Valid</v>
      </c>
      <c r="AO1570" t="str">
        <f t="shared" si="320"/>
        <v>Valid</v>
      </c>
      <c r="AP1570" t="str">
        <f t="shared" si="321"/>
        <v>Valid</v>
      </c>
      <c r="AQ1570" t="str">
        <f>IF(Audit_Data[[#This Row],[Z_CostContact]]=3,"Valid","Invalid")</f>
        <v>Valid</v>
      </c>
      <c r="AR1570" t="str">
        <f t="shared" si="322"/>
        <v>Valid</v>
      </c>
      <c r="AS1570" t="str">
        <f t="shared" si="323"/>
        <v>Valid</v>
      </c>
    </row>
    <row r="1571" spans="1:45" x14ac:dyDescent="0.3">
      <c r="A1571">
        <v>1081</v>
      </c>
      <c r="B1571">
        <v>1957</v>
      </c>
      <c r="C1571" t="s">
        <v>32</v>
      </c>
      <c r="D1571" t="s">
        <v>33</v>
      </c>
      <c r="E1571">
        <v>75283</v>
      </c>
      <c r="F1571">
        <v>1</v>
      </c>
      <c r="G1571">
        <v>2</v>
      </c>
      <c r="H1571" s="1">
        <v>41360</v>
      </c>
      <c r="I1571">
        <v>26</v>
      </c>
      <c r="J1571">
        <v>733</v>
      </c>
      <c r="K1571">
        <v>9</v>
      </c>
      <c r="L1571">
        <v>180</v>
      </c>
      <c r="M1571">
        <v>12</v>
      </c>
      <c r="N1571">
        <v>19</v>
      </c>
      <c r="O1571">
        <v>66</v>
      </c>
      <c r="P1571">
        <v>11</v>
      </c>
      <c r="Q1571">
        <v>6</v>
      </c>
      <c r="R1571">
        <v>3</v>
      </c>
      <c r="S1571">
        <v>5</v>
      </c>
      <c r="T1571">
        <v>4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3</v>
      </c>
      <c r="AB1571">
        <v>11</v>
      </c>
      <c r="AC1571">
        <v>0</v>
      </c>
      <c r="AD1571" t="str">
        <f t="shared" si="312"/>
        <v>Ok</v>
      </c>
      <c r="AE1571" t="str">
        <f>IF(AND(Audit_Data[[#This Row],[Year_Birth]]&gt;=1900,Audit_Data[[#This Row],[Year_Birth]]&lt;=2010),"OK","Invalid")</f>
        <v>OK</v>
      </c>
      <c r="AF1571" t="str">
        <f t="shared" si="313"/>
        <v>Valid</v>
      </c>
      <c r="AG1571" t="str">
        <f t="shared" si="314"/>
        <v>Valid</v>
      </c>
      <c r="AH1571" t="str">
        <f t="shared" si="315"/>
        <v>Valid</v>
      </c>
      <c r="AI1571" t="str">
        <f t="shared" si="316"/>
        <v>Valid</v>
      </c>
      <c r="AJ1571" t="str">
        <f t="shared" si="317"/>
        <v>Valid</v>
      </c>
      <c r="AK1571" t="str">
        <f t="shared" si="324"/>
        <v xml:space="preserve">Valid </v>
      </c>
      <c r="AL1571" t="str">
        <f>IF(AND(Audit_Data[[#This Row],[Recency]]&gt;=0,Audit_Data[[#This Row],[Recency]]&lt;=100),"Valid","Invalid")</f>
        <v>Valid</v>
      </c>
      <c r="AM1571" t="str">
        <f t="shared" si="318"/>
        <v>Valid</v>
      </c>
      <c r="AN1571" t="str">
        <f t="shared" si="319"/>
        <v>Valid</v>
      </c>
      <c r="AO1571" t="str">
        <f t="shared" si="320"/>
        <v>Valid</v>
      </c>
      <c r="AP1571" t="str">
        <f t="shared" si="321"/>
        <v>Valid</v>
      </c>
      <c r="AQ1571" t="str">
        <f>IF(Audit_Data[[#This Row],[Z_CostContact]]=3,"Valid","Invalid")</f>
        <v>Valid</v>
      </c>
      <c r="AR1571" t="str">
        <f t="shared" si="322"/>
        <v>Valid</v>
      </c>
      <c r="AS1571" t="str">
        <f t="shared" si="323"/>
        <v>Valid</v>
      </c>
    </row>
    <row r="1572" spans="1:45" x14ac:dyDescent="0.3">
      <c r="A1572">
        <v>4261</v>
      </c>
      <c r="B1572">
        <v>1946</v>
      </c>
      <c r="C1572" t="s">
        <v>32</v>
      </c>
      <c r="D1572" t="s">
        <v>30</v>
      </c>
      <c r="E1572">
        <v>82800</v>
      </c>
      <c r="F1572">
        <v>0</v>
      </c>
      <c r="G1572">
        <v>0</v>
      </c>
      <c r="H1572" s="1">
        <v>41237</v>
      </c>
      <c r="I1572">
        <v>23</v>
      </c>
      <c r="J1572">
        <v>1006</v>
      </c>
      <c r="K1572">
        <v>22</v>
      </c>
      <c r="L1572">
        <v>115</v>
      </c>
      <c r="M1572">
        <v>59</v>
      </c>
      <c r="N1572">
        <v>68</v>
      </c>
      <c r="O1572">
        <v>45</v>
      </c>
      <c r="P1572">
        <v>1</v>
      </c>
      <c r="Q1572">
        <v>7</v>
      </c>
      <c r="R1572">
        <v>6</v>
      </c>
      <c r="S1572">
        <v>12</v>
      </c>
      <c r="T1572">
        <v>3</v>
      </c>
      <c r="U1572">
        <v>0</v>
      </c>
      <c r="V1572">
        <v>0</v>
      </c>
      <c r="W1572">
        <v>1</v>
      </c>
      <c r="X1572">
        <v>1</v>
      </c>
      <c r="Y1572">
        <v>0</v>
      </c>
      <c r="Z1572">
        <v>0</v>
      </c>
      <c r="AA1572">
        <v>3</v>
      </c>
      <c r="AB1572">
        <v>11</v>
      </c>
      <c r="AC1572">
        <v>1</v>
      </c>
      <c r="AD1572" t="str">
        <f t="shared" si="312"/>
        <v>Ok</v>
      </c>
      <c r="AE1572" t="str">
        <f>IF(AND(Audit_Data[[#This Row],[Year_Birth]]&gt;=1900,Audit_Data[[#This Row],[Year_Birth]]&lt;=2010),"OK","Invalid")</f>
        <v>OK</v>
      </c>
      <c r="AF1572" t="str">
        <f t="shared" si="313"/>
        <v>Valid</v>
      </c>
      <c r="AG1572" t="str">
        <f t="shared" si="314"/>
        <v>Valid</v>
      </c>
      <c r="AH1572" t="str">
        <f t="shared" si="315"/>
        <v>Valid</v>
      </c>
      <c r="AI1572" t="str">
        <f t="shared" si="316"/>
        <v>Valid</v>
      </c>
      <c r="AJ1572" t="str">
        <f t="shared" si="317"/>
        <v>Valid</v>
      </c>
      <c r="AK1572" t="str">
        <f t="shared" si="324"/>
        <v xml:space="preserve">Valid </v>
      </c>
      <c r="AL1572" t="str">
        <f>IF(AND(Audit_Data[[#This Row],[Recency]]&gt;=0,Audit_Data[[#This Row],[Recency]]&lt;=100),"Valid","Invalid")</f>
        <v>Valid</v>
      </c>
      <c r="AM1572" t="str">
        <f t="shared" si="318"/>
        <v>Valid</v>
      </c>
      <c r="AN1572" t="str">
        <f t="shared" si="319"/>
        <v>Valid</v>
      </c>
      <c r="AO1572" t="str">
        <f t="shared" si="320"/>
        <v>Valid</v>
      </c>
      <c r="AP1572" t="str">
        <f t="shared" si="321"/>
        <v>Valid</v>
      </c>
      <c r="AQ1572" t="str">
        <f>IF(Audit_Data[[#This Row],[Z_CostContact]]=3,"Valid","Invalid")</f>
        <v>Valid</v>
      </c>
      <c r="AR1572" t="str">
        <f t="shared" si="322"/>
        <v>Valid</v>
      </c>
      <c r="AS1572" t="str">
        <f t="shared" si="323"/>
        <v>Valid</v>
      </c>
    </row>
    <row r="1573" spans="1:45" x14ac:dyDescent="0.3">
      <c r="A1573">
        <v>9916</v>
      </c>
      <c r="B1573">
        <v>1954</v>
      </c>
      <c r="C1573" t="s">
        <v>29</v>
      </c>
      <c r="D1573" t="s">
        <v>33</v>
      </c>
      <c r="E1573">
        <v>38998</v>
      </c>
      <c r="F1573">
        <v>1</v>
      </c>
      <c r="G1573">
        <v>1</v>
      </c>
      <c r="H1573" s="1">
        <v>41216</v>
      </c>
      <c r="I1573">
        <v>92</v>
      </c>
      <c r="J1573">
        <v>34</v>
      </c>
      <c r="K1573">
        <v>1</v>
      </c>
      <c r="L1573">
        <v>14</v>
      </c>
      <c r="M1573">
        <v>0</v>
      </c>
      <c r="N1573">
        <v>0</v>
      </c>
      <c r="O1573">
        <v>5</v>
      </c>
      <c r="P1573">
        <v>3</v>
      </c>
      <c r="Q1573">
        <v>2</v>
      </c>
      <c r="R1573">
        <v>0</v>
      </c>
      <c r="S1573">
        <v>3</v>
      </c>
      <c r="T1573">
        <v>8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1</v>
      </c>
      <c r="AA1573">
        <v>3</v>
      </c>
      <c r="AB1573">
        <v>11</v>
      </c>
      <c r="AC1573">
        <v>0</v>
      </c>
      <c r="AD1573" t="str">
        <f t="shared" si="312"/>
        <v>Ok</v>
      </c>
      <c r="AE1573" t="str">
        <f>IF(AND(Audit_Data[[#This Row],[Year_Birth]]&gt;=1900,Audit_Data[[#This Row],[Year_Birth]]&lt;=2010),"OK","Invalid")</f>
        <v>OK</v>
      </c>
      <c r="AF1573" t="str">
        <f t="shared" si="313"/>
        <v>Valid</v>
      </c>
      <c r="AG1573" t="str">
        <f t="shared" si="314"/>
        <v>Valid</v>
      </c>
      <c r="AH1573" t="str">
        <f t="shared" si="315"/>
        <v>Valid</v>
      </c>
      <c r="AI1573" t="str">
        <f t="shared" si="316"/>
        <v>Valid</v>
      </c>
      <c r="AJ1573" t="str">
        <f t="shared" si="317"/>
        <v>Valid</v>
      </c>
      <c r="AK1573" t="str">
        <f t="shared" si="324"/>
        <v xml:space="preserve">Valid </v>
      </c>
      <c r="AL1573" t="str">
        <f>IF(AND(Audit_Data[[#This Row],[Recency]]&gt;=0,Audit_Data[[#This Row],[Recency]]&lt;=100),"Valid","Invalid")</f>
        <v>Valid</v>
      </c>
      <c r="AM1573" t="str">
        <f t="shared" si="318"/>
        <v>Valid</v>
      </c>
      <c r="AN1573" t="str">
        <f t="shared" si="319"/>
        <v>Valid</v>
      </c>
      <c r="AO1573" t="str">
        <f t="shared" si="320"/>
        <v>Valid</v>
      </c>
      <c r="AP1573" t="str">
        <f t="shared" si="321"/>
        <v>Valid</v>
      </c>
      <c r="AQ1573" t="str">
        <f>IF(Audit_Data[[#This Row],[Z_CostContact]]=3,"Valid","Invalid")</f>
        <v>Valid</v>
      </c>
      <c r="AR1573" t="str">
        <f t="shared" si="322"/>
        <v>Valid</v>
      </c>
      <c r="AS1573" t="str">
        <f t="shared" si="323"/>
        <v>Valid</v>
      </c>
    </row>
    <row r="1574" spans="1:45" x14ac:dyDescent="0.3">
      <c r="A1574">
        <v>5350</v>
      </c>
      <c r="B1574">
        <v>1991</v>
      </c>
      <c r="C1574" t="s">
        <v>34</v>
      </c>
      <c r="D1574" t="s">
        <v>30</v>
      </c>
      <c r="E1574">
        <v>90638</v>
      </c>
      <c r="F1574">
        <v>0</v>
      </c>
      <c r="G1574">
        <v>0</v>
      </c>
      <c r="H1574" s="1">
        <v>41683</v>
      </c>
      <c r="I1574">
        <v>29</v>
      </c>
      <c r="J1574">
        <v>1156</v>
      </c>
      <c r="K1574">
        <v>120</v>
      </c>
      <c r="L1574">
        <v>915</v>
      </c>
      <c r="M1574">
        <v>94</v>
      </c>
      <c r="N1574">
        <v>144</v>
      </c>
      <c r="O1574">
        <v>96</v>
      </c>
      <c r="P1574">
        <v>1</v>
      </c>
      <c r="Q1574">
        <v>3</v>
      </c>
      <c r="R1574">
        <v>4</v>
      </c>
      <c r="S1574">
        <v>10</v>
      </c>
      <c r="T1574">
        <v>1</v>
      </c>
      <c r="U1574">
        <v>0</v>
      </c>
      <c r="V1574">
        <v>0</v>
      </c>
      <c r="W1574">
        <v>1</v>
      </c>
      <c r="X1574">
        <v>0</v>
      </c>
      <c r="Y1574">
        <v>0</v>
      </c>
      <c r="Z1574">
        <v>0</v>
      </c>
      <c r="AA1574">
        <v>3</v>
      </c>
      <c r="AB1574">
        <v>11</v>
      </c>
      <c r="AC1574">
        <v>1</v>
      </c>
      <c r="AD1574" t="str">
        <f t="shared" si="312"/>
        <v>Ok</v>
      </c>
      <c r="AE1574" t="str">
        <f>IF(AND(Audit_Data[[#This Row],[Year_Birth]]&gt;=1900,Audit_Data[[#This Row],[Year_Birth]]&lt;=2010),"OK","Invalid")</f>
        <v>OK</v>
      </c>
      <c r="AF1574" t="str">
        <f t="shared" si="313"/>
        <v>Valid</v>
      </c>
      <c r="AG1574" t="str">
        <f t="shared" si="314"/>
        <v>Valid</v>
      </c>
      <c r="AH1574" t="str">
        <f t="shared" si="315"/>
        <v>Valid</v>
      </c>
      <c r="AI1574" t="str">
        <f t="shared" si="316"/>
        <v>Valid</v>
      </c>
      <c r="AJ1574" t="str">
        <f t="shared" si="317"/>
        <v>Valid</v>
      </c>
      <c r="AK1574" t="str">
        <f t="shared" si="324"/>
        <v xml:space="preserve">Valid </v>
      </c>
      <c r="AL1574" t="str">
        <f>IF(AND(Audit_Data[[#This Row],[Recency]]&gt;=0,Audit_Data[[#This Row],[Recency]]&lt;=100),"Valid","Invalid")</f>
        <v>Valid</v>
      </c>
      <c r="AM1574" t="str">
        <f t="shared" si="318"/>
        <v>Valid</v>
      </c>
      <c r="AN1574" t="str">
        <f t="shared" si="319"/>
        <v>Valid</v>
      </c>
      <c r="AO1574" t="str">
        <f t="shared" si="320"/>
        <v>Valid</v>
      </c>
      <c r="AP1574" t="str">
        <f t="shared" si="321"/>
        <v>Valid</v>
      </c>
      <c r="AQ1574" t="str">
        <f>IF(Audit_Data[[#This Row],[Z_CostContact]]=3,"Valid","Invalid")</f>
        <v>Valid</v>
      </c>
      <c r="AR1574" t="str">
        <f t="shared" si="322"/>
        <v>Valid</v>
      </c>
      <c r="AS1574" t="str">
        <f t="shared" si="323"/>
        <v>Valid</v>
      </c>
    </row>
    <row r="1575" spans="1:45" x14ac:dyDescent="0.3">
      <c r="A1575">
        <v>8135</v>
      </c>
      <c r="B1575">
        <v>1986</v>
      </c>
      <c r="C1575" t="s">
        <v>34</v>
      </c>
      <c r="D1575" t="s">
        <v>33</v>
      </c>
      <c r="E1575">
        <v>27161</v>
      </c>
      <c r="F1575">
        <v>1</v>
      </c>
      <c r="G1575">
        <v>0</v>
      </c>
      <c r="H1575" s="1">
        <v>41575</v>
      </c>
      <c r="I1575">
        <v>41</v>
      </c>
      <c r="J1575">
        <v>7</v>
      </c>
      <c r="K1575">
        <v>4</v>
      </c>
      <c r="L1575">
        <v>23</v>
      </c>
      <c r="M1575">
        <v>7</v>
      </c>
      <c r="N1575">
        <v>0</v>
      </c>
      <c r="O1575">
        <v>11</v>
      </c>
      <c r="P1575">
        <v>1</v>
      </c>
      <c r="Q1575">
        <v>1</v>
      </c>
      <c r="R1575">
        <v>0</v>
      </c>
      <c r="S1575">
        <v>3</v>
      </c>
      <c r="T1575">
        <v>7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3</v>
      </c>
      <c r="AB1575">
        <v>11</v>
      </c>
      <c r="AC1575">
        <v>0</v>
      </c>
      <c r="AD1575" t="str">
        <f t="shared" si="312"/>
        <v>Ok</v>
      </c>
      <c r="AE1575" t="str">
        <f>IF(AND(Audit_Data[[#This Row],[Year_Birth]]&gt;=1900,Audit_Data[[#This Row],[Year_Birth]]&lt;=2010),"OK","Invalid")</f>
        <v>OK</v>
      </c>
      <c r="AF1575" t="str">
        <f t="shared" si="313"/>
        <v>Valid</v>
      </c>
      <c r="AG1575" t="str">
        <f t="shared" si="314"/>
        <v>Valid</v>
      </c>
      <c r="AH1575" t="str">
        <f t="shared" si="315"/>
        <v>Valid</v>
      </c>
      <c r="AI1575" t="str">
        <f t="shared" si="316"/>
        <v>Valid</v>
      </c>
      <c r="AJ1575" t="str">
        <f t="shared" si="317"/>
        <v>Valid</v>
      </c>
      <c r="AK1575" t="str">
        <f t="shared" si="324"/>
        <v xml:space="preserve">Valid </v>
      </c>
      <c r="AL1575" t="str">
        <f>IF(AND(Audit_Data[[#This Row],[Recency]]&gt;=0,Audit_Data[[#This Row],[Recency]]&lt;=100),"Valid","Invalid")</f>
        <v>Valid</v>
      </c>
      <c r="AM1575" t="str">
        <f t="shared" si="318"/>
        <v>Valid</v>
      </c>
      <c r="AN1575" t="str">
        <f t="shared" si="319"/>
        <v>Valid</v>
      </c>
      <c r="AO1575" t="str">
        <f t="shared" si="320"/>
        <v>Valid</v>
      </c>
      <c r="AP1575" t="str">
        <f t="shared" si="321"/>
        <v>Valid</v>
      </c>
      <c r="AQ1575" t="str">
        <f>IF(Audit_Data[[#This Row],[Z_CostContact]]=3,"Valid","Invalid")</f>
        <v>Valid</v>
      </c>
      <c r="AR1575" t="str">
        <f t="shared" si="322"/>
        <v>Valid</v>
      </c>
      <c r="AS1575" t="str">
        <f t="shared" si="323"/>
        <v>Valid</v>
      </c>
    </row>
    <row r="1576" spans="1:45" x14ac:dyDescent="0.3">
      <c r="A1576">
        <v>8685</v>
      </c>
      <c r="B1576">
        <v>1977</v>
      </c>
      <c r="C1576" t="s">
        <v>29</v>
      </c>
      <c r="D1576" t="s">
        <v>33</v>
      </c>
      <c r="E1576">
        <v>42014</v>
      </c>
      <c r="F1576">
        <v>1</v>
      </c>
      <c r="G1576">
        <v>0</v>
      </c>
      <c r="H1576" s="1">
        <v>41138</v>
      </c>
      <c r="I1576">
        <v>56</v>
      </c>
      <c r="J1576">
        <v>244</v>
      </c>
      <c r="K1576">
        <v>15</v>
      </c>
      <c r="L1576">
        <v>108</v>
      </c>
      <c r="M1576">
        <v>4</v>
      </c>
      <c r="N1576">
        <v>15</v>
      </c>
      <c r="O1576">
        <v>50</v>
      </c>
      <c r="P1576">
        <v>6</v>
      </c>
      <c r="Q1576">
        <v>7</v>
      </c>
      <c r="R1576">
        <v>1</v>
      </c>
      <c r="S1576">
        <v>6</v>
      </c>
      <c r="T1576">
        <v>8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3</v>
      </c>
      <c r="AB1576">
        <v>11</v>
      </c>
      <c r="AC1576">
        <v>1</v>
      </c>
      <c r="AD1576" t="str">
        <f t="shared" si="312"/>
        <v>Ok</v>
      </c>
      <c r="AE1576" t="str">
        <f>IF(AND(Audit_Data[[#This Row],[Year_Birth]]&gt;=1900,Audit_Data[[#This Row],[Year_Birth]]&lt;=2010),"OK","Invalid")</f>
        <v>OK</v>
      </c>
      <c r="AF1576" t="str">
        <f t="shared" si="313"/>
        <v>Valid</v>
      </c>
      <c r="AG1576" t="str">
        <f t="shared" si="314"/>
        <v>Valid</v>
      </c>
      <c r="AH1576" t="str">
        <f t="shared" si="315"/>
        <v>Valid</v>
      </c>
      <c r="AI1576" t="str">
        <f t="shared" si="316"/>
        <v>Valid</v>
      </c>
      <c r="AJ1576" t="str">
        <f t="shared" si="317"/>
        <v>Valid</v>
      </c>
      <c r="AK1576" t="str">
        <f t="shared" si="324"/>
        <v xml:space="preserve">Valid </v>
      </c>
      <c r="AL1576" t="str">
        <f>IF(AND(Audit_Data[[#This Row],[Recency]]&gt;=0,Audit_Data[[#This Row],[Recency]]&lt;=100),"Valid","Invalid")</f>
        <v>Valid</v>
      </c>
      <c r="AM1576" t="str">
        <f t="shared" si="318"/>
        <v>Valid</v>
      </c>
      <c r="AN1576" t="str">
        <f t="shared" si="319"/>
        <v>Valid</v>
      </c>
      <c r="AO1576" t="str">
        <f t="shared" si="320"/>
        <v>Valid</v>
      </c>
      <c r="AP1576" t="str">
        <f t="shared" si="321"/>
        <v>Valid</v>
      </c>
      <c r="AQ1576" t="str">
        <f>IF(Audit_Data[[#This Row],[Z_CostContact]]=3,"Valid","Invalid")</f>
        <v>Valid</v>
      </c>
      <c r="AR1576" t="str">
        <f t="shared" si="322"/>
        <v>Valid</v>
      </c>
      <c r="AS1576" t="str">
        <f t="shared" si="323"/>
        <v>Valid</v>
      </c>
    </row>
    <row r="1577" spans="1:45" x14ac:dyDescent="0.3">
      <c r="A1577">
        <v>4967</v>
      </c>
      <c r="B1577">
        <v>1960</v>
      </c>
      <c r="C1577" t="s">
        <v>32</v>
      </c>
      <c r="D1577" t="s">
        <v>31</v>
      </c>
      <c r="E1577">
        <v>38201</v>
      </c>
      <c r="F1577">
        <v>0</v>
      </c>
      <c r="G1577">
        <v>1</v>
      </c>
      <c r="H1577" s="1">
        <v>41362</v>
      </c>
      <c r="I1577">
        <v>19</v>
      </c>
      <c r="J1577">
        <v>233</v>
      </c>
      <c r="K1577">
        <v>0</v>
      </c>
      <c r="L1577">
        <v>23</v>
      </c>
      <c r="M1577">
        <v>0</v>
      </c>
      <c r="N1577">
        <v>0</v>
      </c>
      <c r="O1577">
        <v>12</v>
      </c>
      <c r="P1577">
        <v>4</v>
      </c>
      <c r="Q1577">
        <v>5</v>
      </c>
      <c r="R1577">
        <v>1</v>
      </c>
      <c r="S1577">
        <v>5</v>
      </c>
      <c r="T1577">
        <v>8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3</v>
      </c>
      <c r="AB1577">
        <v>11</v>
      </c>
      <c r="AC1577">
        <v>0</v>
      </c>
      <c r="AD1577" t="str">
        <f t="shared" si="312"/>
        <v>Ok</v>
      </c>
      <c r="AE1577" t="str">
        <f>IF(AND(Audit_Data[[#This Row],[Year_Birth]]&gt;=1900,Audit_Data[[#This Row],[Year_Birth]]&lt;=2010),"OK","Invalid")</f>
        <v>OK</v>
      </c>
      <c r="AF1577" t="str">
        <f t="shared" si="313"/>
        <v>Valid</v>
      </c>
      <c r="AG1577" t="str">
        <f t="shared" si="314"/>
        <v>Valid</v>
      </c>
      <c r="AH1577" t="str">
        <f t="shared" si="315"/>
        <v>Valid</v>
      </c>
      <c r="AI1577" t="str">
        <f t="shared" si="316"/>
        <v>Valid</v>
      </c>
      <c r="AJ1577" t="str">
        <f t="shared" si="317"/>
        <v>Valid</v>
      </c>
      <c r="AK1577" t="str">
        <f t="shared" si="324"/>
        <v xml:space="preserve">Valid </v>
      </c>
      <c r="AL1577" t="str">
        <f>IF(AND(Audit_Data[[#This Row],[Recency]]&gt;=0,Audit_Data[[#This Row],[Recency]]&lt;=100),"Valid","Invalid")</f>
        <v>Valid</v>
      </c>
      <c r="AM1577" t="str">
        <f t="shared" si="318"/>
        <v>Valid</v>
      </c>
      <c r="AN1577" t="str">
        <f t="shared" si="319"/>
        <v>Valid</v>
      </c>
      <c r="AO1577" t="str">
        <f t="shared" si="320"/>
        <v>Valid</v>
      </c>
      <c r="AP1577" t="str">
        <f t="shared" si="321"/>
        <v>Valid</v>
      </c>
      <c r="AQ1577" t="str">
        <f>IF(Audit_Data[[#This Row],[Z_CostContact]]=3,"Valid","Invalid")</f>
        <v>Valid</v>
      </c>
      <c r="AR1577" t="str">
        <f t="shared" si="322"/>
        <v>Valid</v>
      </c>
      <c r="AS1577" t="str">
        <f t="shared" si="323"/>
        <v>Valid</v>
      </c>
    </row>
    <row r="1578" spans="1:45" x14ac:dyDescent="0.3">
      <c r="A1578">
        <v>2130</v>
      </c>
      <c r="B1578">
        <v>1982</v>
      </c>
      <c r="C1578" t="s">
        <v>29</v>
      </c>
      <c r="D1578" t="s">
        <v>31</v>
      </c>
      <c r="E1578">
        <v>45203</v>
      </c>
      <c r="F1578">
        <v>2</v>
      </c>
      <c r="G1578">
        <v>0</v>
      </c>
      <c r="H1578" s="1">
        <v>41721</v>
      </c>
      <c r="I1578">
        <v>4</v>
      </c>
      <c r="J1578">
        <v>35</v>
      </c>
      <c r="K1578">
        <v>3</v>
      </c>
      <c r="L1578">
        <v>67</v>
      </c>
      <c r="M1578">
        <v>10</v>
      </c>
      <c r="N1578">
        <v>8</v>
      </c>
      <c r="O1578">
        <v>24</v>
      </c>
      <c r="P1578">
        <v>1</v>
      </c>
      <c r="Q1578">
        <v>3</v>
      </c>
      <c r="R1578">
        <v>1</v>
      </c>
      <c r="S1578">
        <v>3</v>
      </c>
      <c r="T1578">
        <v>6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3</v>
      </c>
      <c r="AB1578">
        <v>11</v>
      </c>
      <c r="AC1578">
        <v>1</v>
      </c>
      <c r="AD1578" t="str">
        <f t="shared" si="312"/>
        <v>Ok</v>
      </c>
      <c r="AE1578" t="str">
        <f>IF(AND(Audit_Data[[#This Row],[Year_Birth]]&gt;=1900,Audit_Data[[#This Row],[Year_Birth]]&lt;=2010),"OK","Invalid")</f>
        <v>OK</v>
      </c>
      <c r="AF1578" t="str">
        <f t="shared" si="313"/>
        <v>Valid</v>
      </c>
      <c r="AG1578" t="str">
        <f t="shared" si="314"/>
        <v>Valid</v>
      </c>
      <c r="AH1578" t="str">
        <f t="shared" si="315"/>
        <v>Valid</v>
      </c>
      <c r="AI1578" t="str">
        <f t="shared" si="316"/>
        <v>Valid</v>
      </c>
      <c r="AJ1578" t="str">
        <f t="shared" si="317"/>
        <v>Valid</v>
      </c>
      <c r="AK1578" t="str">
        <f t="shared" si="324"/>
        <v xml:space="preserve">Valid </v>
      </c>
      <c r="AL1578" t="str">
        <f>IF(AND(Audit_Data[[#This Row],[Recency]]&gt;=0,Audit_Data[[#This Row],[Recency]]&lt;=100),"Valid","Invalid")</f>
        <v>Valid</v>
      </c>
      <c r="AM1578" t="str">
        <f t="shared" si="318"/>
        <v>Valid</v>
      </c>
      <c r="AN1578" t="str">
        <f t="shared" si="319"/>
        <v>Valid</v>
      </c>
      <c r="AO1578" t="str">
        <f t="shared" si="320"/>
        <v>Valid</v>
      </c>
      <c r="AP1578" t="str">
        <f t="shared" si="321"/>
        <v>Valid</v>
      </c>
      <c r="AQ1578" t="str">
        <f>IF(Audit_Data[[#This Row],[Z_CostContact]]=3,"Valid","Invalid")</f>
        <v>Valid</v>
      </c>
      <c r="AR1578" t="str">
        <f t="shared" si="322"/>
        <v>Valid</v>
      </c>
      <c r="AS1578" t="str">
        <f t="shared" si="323"/>
        <v>Valid</v>
      </c>
    </row>
    <row r="1579" spans="1:45" x14ac:dyDescent="0.3">
      <c r="A1579">
        <v>9298</v>
      </c>
      <c r="B1579">
        <v>1947</v>
      </c>
      <c r="C1579" t="s">
        <v>32</v>
      </c>
      <c r="D1579" t="s">
        <v>31</v>
      </c>
      <c r="E1579">
        <v>81574</v>
      </c>
      <c r="F1579">
        <v>0</v>
      </c>
      <c r="G1579">
        <v>0</v>
      </c>
      <c r="H1579" s="1">
        <v>41757</v>
      </c>
      <c r="I1579">
        <v>89</v>
      </c>
      <c r="J1579">
        <v>1252</v>
      </c>
      <c r="K1579">
        <v>0</v>
      </c>
      <c r="L1579">
        <v>465</v>
      </c>
      <c r="M1579">
        <v>46</v>
      </c>
      <c r="N1579">
        <v>35</v>
      </c>
      <c r="O1579">
        <v>0</v>
      </c>
      <c r="P1579">
        <v>1</v>
      </c>
      <c r="Q1579">
        <v>4</v>
      </c>
      <c r="R1579">
        <v>5</v>
      </c>
      <c r="S1579">
        <v>8</v>
      </c>
      <c r="T1579">
        <v>1</v>
      </c>
      <c r="U1579">
        <v>0</v>
      </c>
      <c r="V1579">
        <v>1</v>
      </c>
      <c r="W1579">
        <v>1</v>
      </c>
      <c r="X1579">
        <v>0</v>
      </c>
      <c r="Y1579">
        <v>0</v>
      </c>
      <c r="Z1579">
        <v>0</v>
      </c>
      <c r="AA1579">
        <v>3</v>
      </c>
      <c r="AB1579">
        <v>11</v>
      </c>
      <c r="AC1579">
        <v>0</v>
      </c>
      <c r="AD1579" t="str">
        <f t="shared" si="312"/>
        <v>Ok</v>
      </c>
      <c r="AE1579" t="str">
        <f>IF(AND(Audit_Data[[#This Row],[Year_Birth]]&gt;=1900,Audit_Data[[#This Row],[Year_Birth]]&lt;=2010),"OK","Invalid")</f>
        <v>OK</v>
      </c>
      <c r="AF1579" t="str">
        <f t="shared" si="313"/>
        <v>Valid</v>
      </c>
      <c r="AG1579" t="str">
        <f t="shared" si="314"/>
        <v>Valid</v>
      </c>
      <c r="AH1579" t="str">
        <f t="shared" si="315"/>
        <v>Valid</v>
      </c>
      <c r="AI1579" t="str">
        <f t="shared" si="316"/>
        <v>Valid</v>
      </c>
      <c r="AJ1579" t="str">
        <f t="shared" si="317"/>
        <v>Valid</v>
      </c>
      <c r="AK1579" t="str">
        <f t="shared" si="324"/>
        <v xml:space="preserve">Valid </v>
      </c>
      <c r="AL1579" t="str">
        <f>IF(AND(Audit_Data[[#This Row],[Recency]]&gt;=0,Audit_Data[[#This Row],[Recency]]&lt;=100),"Valid","Invalid")</f>
        <v>Valid</v>
      </c>
      <c r="AM1579" t="str">
        <f t="shared" si="318"/>
        <v>Valid</v>
      </c>
      <c r="AN1579" t="str">
        <f t="shared" si="319"/>
        <v>Valid</v>
      </c>
      <c r="AO1579" t="str">
        <f t="shared" si="320"/>
        <v>Valid</v>
      </c>
      <c r="AP1579" t="str">
        <f t="shared" si="321"/>
        <v>Valid</v>
      </c>
      <c r="AQ1579" t="str">
        <f>IF(Audit_Data[[#This Row],[Z_CostContact]]=3,"Valid","Invalid")</f>
        <v>Valid</v>
      </c>
      <c r="AR1579" t="str">
        <f t="shared" si="322"/>
        <v>Valid</v>
      </c>
      <c r="AS1579" t="str">
        <f t="shared" si="323"/>
        <v>Valid</v>
      </c>
    </row>
    <row r="1580" spans="1:45" x14ac:dyDescent="0.3">
      <c r="A1580">
        <v>8175</v>
      </c>
      <c r="B1580">
        <v>1992</v>
      </c>
      <c r="C1580" t="s">
        <v>29</v>
      </c>
      <c r="D1580" t="s">
        <v>33</v>
      </c>
      <c r="E1580">
        <v>34935</v>
      </c>
      <c r="F1580">
        <v>0</v>
      </c>
      <c r="G1580">
        <v>0</v>
      </c>
      <c r="H1580" s="1">
        <v>41446</v>
      </c>
      <c r="I1580">
        <v>71</v>
      </c>
      <c r="J1580">
        <v>34</v>
      </c>
      <c r="K1580">
        <v>4</v>
      </c>
      <c r="L1580">
        <v>66</v>
      </c>
      <c r="M1580">
        <v>3</v>
      </c>
      <c r="N1580">
        <v>10</v>
      </c>
      <c r="O1580">
        <v>20</v>
      </c>
      <c r="P1580">
        <v>1</v>
      </c>
      <c r="Q1580">
        <v>2</v>
      </c>
      <c r="R1580">
        <v>1</v>
      </c>
      <c r="S1580">
        <v>4</v>
      </c>
      <c r="T1580">
        <v>7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3</v>
      </c>
      <c r="AB1580">
        <v>11</v>
      </c>
      <c r="AC1580">
        <v>0</v>
      </c>
      <c r="AD1580" t="str">
        <f t="shared" si="312"/>
        <v>Ok</v>
      </c>
      <c r="AE1580" t="str">
        <f>IF(AND(Audit_Data[[#This Row],[Year_Birth]]&gt;=1900,Audit_Data[[#This Row],[Year_Birth]]&lt;=2010),"OK","Invalid")</f>
        <v>OK</v>
      </c>
      <c r="AF1580" t="str">
        <f t="shared" si="313"/>
        <v>Valid</v>
      </c>
      <c r="AG1580" t="str">
        <f t="shared" si="314"/>
        <v>Valid</v>
      </c>
      <c r="AH1580" t="str">
        <f t="shared" si="315"/>
        <v>Valid</v>
      </c>
      <c r="AI1580" t="str">
        <f t="shared" si="316"/>
        <v>Valid</v>
      </c>
      <c r="AJ1580" t="str">
        <f t="shared" si="317"/>
        <v>Valid</v>
      </c>
      <c r="AK1580" t="str">
        <f t="shared" si="324"/>
        <v xml:space="preserve">Valid </v>
      </c>
      <c r="AL1580" t="str">
        <f>IF(AND(Audit_Data[[#This Row],[Recency]]&gt;=0,Audit_Data[[#This Row],[Recency]]&lt;=100),"Valid","Invalid")</f>
        <v>Valid</v>
      </c>
      <c r="AM1580" t="str">
        <f t="shared" si="318"/>
        <v>Valid</v>
      </c>
      <c r="AN1580" t="str">
        <f t="shared" si="319"/>
        <v>Valid</v>
      </c>
      <c r="AO1580" t="str">
        <f t="shared" si="320"/>
        <v>Valid</v>
      </c>
      <c r="AP1580" t="str">
        <f t="shared" si="321"/>
        <v>Valid</v>
      </c>
      <c r="AQ1580" t="str">
        <f>IF(Audit_Data[[#This Row],[Z_CostContact]]=3,"Valid","Invalid")</f>
        <v>Valid</v>
      </c>
      <c r="AR1580" t="str">
        <f t="shared" si="322"/>
        <v>Valid</v>
      </c>
      <c r="AS1580" t="str">
        <f t="shared" si="323"/>
        <v>Valid</v>
      </c>
    </row>
    <row r="1581" spans="1:45" x14ac:dyDescent="0.3">
      <c r="A1581">
        <v>6257</v>
      </c>
      <c r="B1581">
        <v>1976</v>
      </c>
      <c r="C1581" t="s">
        <v>34</v>
      </c>
      <c r="D1581" t="s">
        <v>30</v>
      </c>
      <c r="E1581">
        <v>60482</v>
      </c>
      <c r="F1581">
        <v>0</v>
      </c>
      <c r="G1581">
        <v>1</v>
      </c>
      <c r="H1581" s="1">
        <v>41297</v>
      </c>
      <c r="I1581">
        <v>81</v>
      </c>
      <c r="J1581">
        <v>255</v>
      </c>
      <c r="K1581">
        <v>43</v>
      </c>
      <c r="L1581">
        <v>134</v>
      </c>
      <c r="M1581">
        <v>37</v>
      </c>
      <c r="N1581">
        <v>14</v>
      </c>
      <c r="O1581">
        <v>24</v>
      </c>
      <c r="P1581">
        <v>1</v>
      </c>
      <c r="Q1581">
        <v>7</v>
      </c>
      <c r="R1581">
        <v>2</v>
      </c>
      <c r="S1581">
        <v>7</v>
      </c>
      <c r="T1581">
        <v>7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3</v>
      </c>
      <c r="AB1581">
        <v>11</v>
      </c>
      <c r="AC1581">
        <v>0</v>
      </c>
      <c r="AD1581" t="str">
        <f t="shared" si="312"/>
        <v>Ok</v>
      </c>
      <c r="AE1581" t="str">
        <f>IF(AND(Audit_Data[[#This Row],[Year_Birth]]&gt;=1900,Audit_Data[[#This Row],[Year_Birth]]&lt;=2010),"OK","Invalid")</f>
        <v>OK</v>
      </c>
      <c r="AF1581" t="str">
        <f t="shared" si="313"/>
        <v>Valid</v>
      </c>
      <c r="AG1581" t="str">
        <f t="shared" si="314"/>
        <v>Valid</v>
      </c>
      <c r="AH1581" t="str">
        <f t="shared" si="315"/>
        <v>Valid</v>
      </c>
      <c r="AI1581" t="str">
        <f t="shared" si="316"/>
        <v>Valid</v>
      </c>
      <c r="AJ1581" t="str">
        <f t="shared" si="317"/>
        <v>Valid</v>
      </c>
      <c r="AK1581" t="str">
        <f t="shared" si="324"/>
        <v xml:space="preserve">Valid </v>
      </c>
      <c r="AL1581" t="str">
        <f>IF(AND(Audit_Data[[#This Row],[Recency]]&gt;=0,Audit_Data[[#This Row],[Recency]]&lt;=100),"Valid","Invalid")</f>
        <v>Valid</v>
      </c>
      <c r="AM1581" t="str">
        <f t="shared" si="318"/>
        <v>Valid</v>
      </c>
      <c r="AN1581" t="str">
        <f t="shared" si="319"/>
        <v>Valid</v>
      </c>
      <c r="AO1581" t="str">
        <f t="shared" si="320"/>
        <v>Valid</v>
      </c>
      <c r="AP1581" t="str">
        <f t="shared" si="321"/>
        <v>Valid</v>
      </c>
      <c r="AQ1581" t="str">
        <f>IF(Audit_Data[[#This Row],[Z_CostContact]]=3,"Valid","Invalid")</f>
        <v>Valid</v>
      </c>
      <c r="AR1581" t="str">
        <f t="shared" si="322"/>
        <v>Valid</v>
      </c>
      <c r="AS1581" t="str">
        <f t="shared" si="323"/>
        <v>Valid</v>
      </c>
    </row>
    <row r="1582" spans="1:45" x14ac:dyDescent="0.3">
      <c r="A1582">
        <v>3790</v>
      </c>
      <c r="B1582">
        <v>1956</v>
      </c>
      <c r="C1582" t="s">
        <v>29</v>
      </c>
      <c r="D1582" t="s">
        <v>31</v>
      </c>
      <c r="E1582">
        <v>34633</v>
      </c>
      <c r="F1582">
        <v>2</v>
      </c>
      <c r="G1582">
        <v>1</v>
      </c>
      <c r="H1582" s="1">
        <v>41662</v>
      </c>
      <c r="I1582">
        <v>31</v>
      </c>
      <c r="J1582">
        <v>8</v>
      </c>
      <c r="K1582">
        <v>1</v>
      </c>
      <c r="L1582">
        <v>5</v>
      </c>
      <c r="M1582">
        <v>0</v>
      </c>
      <c r="N1582">
        <v>0</v>
      </c>
      <c r="O1582">
        <v>1</v>
      </c>
      <c r="P1582">
        <v>1</v>
      </c>
      <c r="Q1582">
        <v>1</v>
      </c>
      <c r="R1582">
        <v>0</v>
      </c>
      <c r="S1582">
        <v>2</v>
      </c>
      <c r="T1582">
        <v>6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3</v>
      </c>
      <c r="AB1582">
        <v>11</v>
      </c>
      <c r="AC1582">
        <v>0</v>
      </c>
      <c r="AD1582" t="str">
        <f t="shared" si="312"/>
        <v>Ok</v>
      </c>
      <c r="AE1582" t="str">
        <f>IF(AND(Audit_Data[[#This Row],[Year_Birth]]&gt;=1900,Audit_Data[[#This Row],[Year_Birth]]&lt;=2010),"OK","Invalid")</f>
        <v>OK</v>
      </c>
      <c r="AF1582" t="str">
        <f t="shared" si="313"/>
        <v>Valid</v>
      </c>
      <c r="AG1582" t="str">
        <f t="shared" si="314"/>
        <v>Valid</v>
      </c>
      <c r="AH1582" t="str">
        <f t="shared" si="315"/>
        <v>Valid</v>
      </c>
      <c r="AI1582" t="str">
        <f t="shared" si="316"/>
        <v>Valid</v>
      </c>
      <c r="AJ1582" t="str">
        <f t="shared" si="317"/>
        <v>Valid</v>
      </c>
      <c r="AK1582" t="str">
        <f t="shared" si="324"/>
        <v xml:space="preserve">Valid </v>
      </c>
      <c r="AL1582" t="str">
        <f>IF(AND(Audit_Data[[#This Row],[Recency]]&gt;=0,Audit_Data[[#This Row],[Recency]]&lt;=100),"Valid","Invalid")</f>
        <v>Valid</v>
      </c>
      <c r="AM1582" t="str">
        <f t="shared" si="318"/>
        <v>Valid</v>
      </c>
      <c r="AN1582" t="str">
        <f t="shared" si="319"/>
        <v>Valid</v>
      </c>
      <c r="AO1582" t="str">
        <f t="shared" si="320"/>
        <v>Valid</v>
      </c>
      <c r="AP1582" t="str">
        <f t="shared" si="321"/>
        <v>Valid</v>
      </c>
      <c r="AQ1582" t="str">
        <f>IF(Audit_Data[[#This Row],[Z_CostContact]]=3,"Valid","Invalid")</f>
        <v>Valid</v>
      </c>
      <c r="AR1582" t="str">
        <f t="shared" si="322"/>
        <v>Valid</v>
      </c>
      <c r="AS1582" t="str">
        <f t="shared" si="323"/>
        <v>Valid</v>
      </c>
    </row>
    <row r="1583" spans="1:45" x14ac:dyDescent="0.3">
      <c r="A1583">
        <v>9952</v>
      </c>
      <c r="B1583">
        <v>1947</v>
      </c>
      <c r="C1583" t="s">
        <v>34</v>
      </c>
      <c r="D1583" t="s">
        <v>31</v>
      </c>
      <c r="E1583">
        <v>78093</v>
      </c>
      <c r="F1583">
        <v>0</v>
      </c>
      <c r="G1583">
        <v>0</v>
      </c>
      <c r="H1583" s="1">
        <v>41619</v>
      </c>
      <c r="I1583">
        <v>53</v>
      </c>
      <c r="J1583">
        <v>368</v>
      </c>
      <c r="K1583">
        <v>32</v>
      </c>
      <c r="L1583">
        <v>639</v>
      </c>
      <c r="M1583">
        <v>13</v>
      </c>
      <c r="N1583">
        <v>43</v>
      </c>
      <c r="O1583">
        <v>10</v>
      </c>
      <c r="P1583">
        <v>1</v>
      </c>
      <c r="Q1583">
        <v>4</v>
      </c>
      <c r="R1583">
        <v>7</v>
      </c>
      <c r="S1583">
        <v>5</v>
      </c>
      <c r="T1583">
        <v>1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3</v>
      </c>
      <c r="AB1583">
        <v>11</v>
      </c>
      <c r="AC1583">
        <v>0</v>
      </c>
      <c r="AD1583" t="str">
        <f t="shared" si="312"/>
        <v>Ok</v>
      </c>
      <c r="AE1583" t="str">
        <f>IF(AND(Audit_Data[[#This Row],[Year_Birth]]&gt;=1900,Audit_Data[[#This Row],[Year_Birth]]&lt;=2010),"OK","Invalid")</f>
        <v>OK</v>
      </c>
      <c r="AF1583" t="str">
        <f t="shared" si="313"/>
        <v>Valid</v>
      </c>
      <c r="AG1583" t="str">
        <f t="shared" si="314"/>
        <v>Valid</v>
      </c>
      <c r="AH1583" t="str">
        <f t="shared" si="315"/>
        <v>Valid</v>
      </c>
      <c r="AI1583" t="str">
        <f t="shared" si="316"/>
        <v>Valid</v>
      </c>
      <c r="AJ1583" t="str">
        <f t="shared" si="317"/>
        <v>Valid</v>
      </c>
      <c r="AK1583" t="str">
        <f t="shared" si="324"/>
        <v xml:space="preserve">Valid </v>
      </c>
      <c r="AL1583" t="str">
        <f>IF(AND(Audit_Data[[#This Row],[Recency]]&gt;=0,Audit_Data[[#This Row],[Recency]]&lt;=100),"Valid","Invalid")</f>
        <v>Valid</v>
      </c>
      <c r="AM1583" t="str">
        <f t="shared" si="318"/>
        <v>Valid</v>
      </c>
      <c r="AN1583" t="str">
        <f t="shared" si="319"/>
        <v>Valid</v>
      </c>
      <c r="AO1583" t="str">
        <f t="shared" si="320"/>
        <v>Valid</v>
      </c>
      <c r="AP1583" t="str">
        <f t="shared" si="321"/>
        <v>Valid</v>
      </c>
      <c r="AQ1583" t="str">
        <f>IF(Audit_Data[[#This Row],[Z_CostContact]]=3,"Valid","Invalid")</f>
        <v>Valid</v>
      </c>
      <c r="AR1583" t="str">
        <f t="shared" si="322"/>
        <v>Valid</v>
      </c>
      <c r="AS1583" t="str">
        <f t="shared" si="323"/>
        <v>Valid</v>
      </c>
    </row>
    <row r="1584" spans="1:45" x14ac:dyDescent="0.3">
      <c r="A1584">
        <v>3503</v>
      </c>
      <c r="B1584">
        <v>1950</v>
      </c>
      <c r="C1584" t="s">
        <v>29</v>
      </c>
      <c r="D1584" t="s">
        <v>35</v>
      </c>
      <c r="E1584">
        <v>82460</v>
      </c>
      <c r="F1584">
        <v>0</v>
      </c>
      <c r="G1584">
        <v>0</v>
      </c>
      <c r="H1584" s="1">
        <v>41610</v>
      </c>
      <c r="I1584">
        <v>78</v>
      </c>
      <c r="J1584">
        <v>255</v>
      </c>
      <c r="K1584">
        <v>47</v>
      </c>
      <c r="L1584">
        <v>573</v>
      </c>
      <c r="M1584">
        <v>52</v>
      </c>
      <c r="N1584">
        <v>32</v>
      </c>
      <c r="O1584">
        <v>15</v>
      </c>
      <c r="P1584">
        <v>1</v>
      </c>
      <c r="Q1584">
        <v>5</v>
      </c>
      <c r="R1584">
        <v>3</v>
      </c>
      <c r="S1584">
        <v>6</v>
      </c>
      <c r="T1584">
        <v>1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3</v>
      </c>
      <c r="AB1584">
        <v>11</v>
      </c>
      <c r="AC1584">
        <v>0</v>
      </c>
      <c r="AD1584" t="str">
        <f t="shared" si="312"/>
        <v>Ok</v>
      </c>
      <c r="AE1584" t="str">
        <f>IF(AND(Audit_Data[[#This Row],[Year_Birth]]&gt;=1900,Audit_Data[[#This Row],[Year_Birth]]&lt;=2010),"OK","Invalid")</f>
        <v>OK</v>
      </c>
      <c r="AF1584" t="str">
        <f t="shared" si="313"/>
        <v>Valid</v>
      </c>
      <c r="AG1584" t="str">
        <f t="shared" si="314"/>
        <v>Valid</v>
      </c>
      <c r="AH1584" t="str">
        <f t="shared" si="315"/>
        <v>Valid</v>
      </c>
      <c r="AI1584" t="str">
        <f t="shared" si="316"/>
        <v>Valid</v>
      </c>
      <c r="AJ1584" t="str">
        <f t="shared" si="317"/>
        <v>Valid</v>
      </c>
      <c r="AK1584" t="str">
        <f t="shared" si="324"/>
        <v xml:space="preserve">Valid </v>
      </c>
      <c r="AL1584" t="str">
        <f>IF(AND(Audit_Data[[#This Row],[Recency]]&gt;=0,Audit_Data[[#This Row],[Recency]]&lt;=100),"Valid","Invalid")</f>
        <v>Valid</v>
      </c>
      <c r="AM1584" t="str">
        <f t="shared" si="318"/>
        <v>Valid</v>
      </c>
      <c r="AN1584" t="str">
        <f t="shared" si="319"/>
        <v>Valid</v>
      </c>
      <c r="AO1584" t="str">
        <f t="shared" si="320"/>
        <v>Valid</v>
      </c>
      <c r="AP1584" t="str">
        <f t="shared" si="321"/>
        <v>Valid</v>
      </c>
      <c r="AQ1584" t="str">
        <f>IF(Audit_Data[[#This Row],[Z_CostContact]]=3,"Valid","Invalid")</f>
        <v>Valid</v>
      </c>
      <c r="AR1584" t="str">
        <f t="shared" si="322"/>
        <v>Valid</v>
      </c>
      <c r="AS1584" t="str">
        <f t="shared" si="323"/>
        <v>Valid</v>
      </c>
    </row>
    <row r="1585" spans="1:45" x14ac:dyDescent="0.3">
      <c r="A1585">
        <v>5223</v>
      </c>
      <c r="B1585">
        <v>1966</v>
      </c>
      <c r="C1585" t="s">
        <v>34</v>
      </c>
      <c r="D1585" t="s">
        <v>31</v>
      </c>
      <c r="E1585">
        <v>45903</v>
      </c>
      <c r="F1585">
        <v>0</v>
      </c>
      <c r="G1585">
        <v>1</v>
      </c>
      <c r="H1585" s="1">
        <v>41752</v>
      </c>
      <c r="I1585">
        <v>80</v>
      </c>
      <c r="J1585">
        <v>33</v>
      </c>
      <c r="K1585">
        <v>8</v>
      </c>
      <c r="L1585">
        <v>10</v>
      </c>
      <c r="M1585">
        <v>2</v>
      </c>
      <c r="N1585">
        <v>10</v>
      </c>
      <c r="O1585">
        <v>3</v>
      </c>
      <c r="P1585">
        <v>2</v>
      </c>
      <c r="Q1585">
        <v>2</v>
      </c>
      <c r="R1585">
        <v>1</v>
      </c>
      <c r="S1585">
        <v>3</v>
      </c>
      <c r="T1585">
        <v>4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3</v>
      </c>
      <c r="AB1585">
        <v>11</v>
      </c>
      <c r="AC1585">
        <v>0</v>
      </c>
      <c r="AD1585" t="str">
        <f t="shared" si="312"/>
        <v>Ok</v>
      </c>
      <c r="AE1585" t="str">
        <f>IF(AND(Audit_Data[[#This Row],[Year_Birth]]&gt;=1900,Audit_Data[[#This Row],[Year_Birth]]&lt;=2010),"OK","Invalid")</f>
        <v>OK</v>
      </c>
      <c r="AF1585" t="str">
        <f t="shared" si="313"/>
        <v>Valid</v>
      </c>
      <c r="AG1585" t="str">
        <f t="shared" si="314"/>
        <v>Valid</v>
      </c>
      <c r="AH1585" t="str">
        <f t="shared" si="315"/>
        <v>Valid</v>
      </c>
      <c r="AI1585" t="str">
        <f t="shared" si="316"/>
        <v>Valid</v>
      </c>
      <c r="AJ1585" t="str">
        <f t="shared" si="317"/>
        <v>Valid</v>
      </c>
      <c r="AK1585" t="str">
        <f t="shared" si="324"/>
        <v xml:space="preserve">Valid </v>
      </c>
      <c r="AL1585" t="str">
        <f>IF(AND(Audit_Data[[#This Row],[Recency]]&gt;=0,Audit_Data[[#This Row],[Recency]]&lt;=100),"Valid","Invalid")</f>
        <v>Valid</v>
      </c>
      <c r="AM1585" t="str">
        <f t="shared" si="318"/>
        <v>Valid</v>
      </c>
      <c r="AN1585" t="str">
        <f t="shared" si="319"/>
        <v>Valid</v>
      </c>
      <c r="AO1585" t="str">
        <f t="shared" si="320"/>
        <v>Valid</v>
      </c>
      <c r="AP1585" t="str">
        <f t="shared" si="321"/>
        <v>Valid</v>
      </c>
      <c r="AQ1585" t="str">
        <f>IF(Audit_Data[[#This Row],[Z_CostContact]]=3,"Valid","Invalid")</f>
        <v>Valid</v>
      </c>
      <c r="AR1585" t="str">
        <f t="shared" si="322"/>
        <v>Valid</v>
      </c>
      <c r="AS1585" t="str">
        <f t="shared" si="323"/>
        <v>Valid</v>
      </c>
    </row>
    <row r="1586" spans="1:45" x14ac:dyDescent="0.3">
      <c r="A1586">
        <v>4608</v>
      </c>
      <c r="B1586">
        <v>1987</v>
      </c>
      <c r="C1586" t="s">
        <v>29</v>
      </c>
      <c r="D1586" t="s">
        <v>35</v>
      </c>
      <c r="E1586">
        <v>81361</v>
      </c>
      <c r="F1586">
        <v>0</v>
      </c>
      <c r="G1586">
        <v>0</v>
      </c>
      <c r="H1586" s="1">
        <v>41695</v>
      </c>
      <c r="I1586">
        <v>18</v>
      </c>
      <c r="J1586">
        <v>163</v>
      </c>
      <c r="K1586">
        <v>23</v>
      </c>
      <c r="L1586">
        <v>424</v>
      </c>
      <c r="M1586">
        <v>27</v>
      </c>
      <c r="N1586">
        <v>65</v>
      </c>
      <c r="O1586">
        <v>76</v>
      </c>
      <c r="P1586">
        <v>1</v>
      </c>
      <c r="Q1586">
        <v>3</v>
      </c>
      <c r="R1586">
        <v>10</v>
      </c>
      <c r="S1586">
        <v>13</v>
      </c>
      <c r="T1586">
        <v>1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3</v>
      </c>
      <c r="AB1586">
        <v>11</v>
      </c>
      <c r="AC1586">
        <v>1</v>
      </c>
      <c r="AD1586" t="str">
        <f t="shared" si="312"/>
        <v>Ok</v>
      </c>
      <c r="AE1586" t="str">
        <f>IF(AND(Audit_Data[[#This Row],[Year_Birth]]&gt;=1900,Audit_Data[[#This Row],[Year_Birth]]&lt;=2010),"OK","Invalid")</f>
        <v>OK</v>
      </c>
      <c r="AF1586" t="str">
        <f t="shared" si="313"/>
        <v>Valid</v>
      </c>
      <c r="AG1586" t="str">
        <f t="shared" si="314"/>
        <v>Valid</v>
      </c>
      <c r="AH1586" t="str">
        <f t="shared" si="315"/>
        <v>Valid</v>
      </c>
      <c r="AI1586" t="str">
        <f t="shared" si="316"/>
        <v>Valid</v>
      </c>
      <c r="AJ1586" t="str">
        <f t="shared" si="317"/>
        <v>Valid</v>
      </c>
      <c r="AK1586" t="str">
        <f t="shared" si="324"/>
        <v xml:space="preserve">Valid </v>
      </c>
      <c r="AL1586" t="str">
        <f>IF(AND(Audit_Data[[#This Row],[Recency]]&gt;=0,Audit_Data[[#This Row],[Recency]]&lt;=100),"Valid","Invalid")</f>
        <v>Valid</v>
      </c>
      <c r="AM1586" t="str">
        <f t="shared" si="318"/>
        <v>Valid</v>
      </c>
      <c r="AN1586" t="str">
        <f t="shared" si="319"/>
        <v>Valid</v>
      </c>
      <c r="AO1586" t="str">
        <f t="shared" si="320"/>
        <v>Valid</v>
      </c>
      <c r="AP1586" t="str">
        <f t="shared" si="321"/>
        <v>Valid</v>
      </c>
      <c r="AQ1586" t="str">
        <f>IF(Audit_Data[[#This Row],[Z_CostContact]]=3,"Valid","Invalid")</f>
        <v>Valid</v>
      </c>
      <c r="AR1586" t="str">
        <f t="shared" si="322"/>
        <v>Valid</v>
      </c>
      <c r="AS1586" t="str">
        <f t="shared" si="323"/>
        <v>Valid</v>
      </c>
    </row>
    <row r="1587" spans="1:45" x14ac:dyDescent="0.3">
      <c r="A1587">
        <v>1626</v>
      </c>
      <c r="B1587">
        <v>1973</v>
      </c>
      <c r="C1587" t="s">
        <v>32</v>
      </c>
      <c r="D1587" t="s">
        <v>35</v>
      </c>
      <c r="E1587">
        <v>35860</v>
      </c>
      <c r="F1587">
        <v>1</v>
      </c>
      <c r="G1587">
        <v>1</v>
      </c>
      <c r="H1587" s="1">
        <v>41778</v>
      </c>
      <c r="I1587">
        <v>37</v>
      </c>
      <c r="J1587">
        <v>15</v>
      </c>
      <c r="K1587">
        <v>0</v>
      </c>
      <c r="L1587">
        <v>8</v>
      </c>
      <c r="M1587">
        <v>4</v>
      </c>
      <c r="N1587">
        <v>2</v>
      </c>
      <c r="O1587">
        <v>20</v>
      </c>
      <c r="P1587">
        <v>2</v>
      </c>
      <c r="Q1587">
        <v>1</v>
      </c>
      <c r="R1587">
        <v>1</v>
      </c>
      <c r="S1587">
        <v>2</v>
      </c>
      <c r="T1587">
        <v>5</v>
      </c>
      <c r="U1587">
        <v>1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3</v>
      </c>
      <c r="AB1587">
        <v>11</v>
      </c>
      <c r="AC1587">
        <v>1</v>
      </c>
      <c r="AD1587" t="str">
        <f t="shared" si="312"/>
        <v>Ok</v>
      </c>
      <c r="AE1587" t="str">
        <f>IF(AND(Audit_Data[[#This Row],[Year_Birth]]&gt;=1900,Audit_Data[[#This Row],[Year_Birth]]&lt;=2010),"OK","Invalid")</f>
        <v>OK</v>
      </c>
      <c r="AF1587" t="str">
        <f t="shared" si="313"/>
        <v>Valid</v>
      </c>
      <c r="AG1587" t="str">
        <f t="shared" si="314"/>
        <v>Valid</v>
      </c>
      <c r="AH1587" t="str">
        <f t="shared" si="315"/>
        <v>Valid</v>
      </c>
      <c r="AI1587" t="str">
        <f t="shared" si="316"/>
        <v>Valid</v>
      </c>
      <c r="AJ1587" t="str">
        <f t="shared" si="317"/>
        <v>Valid</v>
      </c>
      <c r="AK1587" t="str">
        <f t="shared" si="324"/>
        <v xml:space="preserve">Valid </v>
      </c>
      <c r="AL1587" t="str">
        <f>IF(AND(Audit_Data[[#This Row],[Recency]]&gt;=0,Audit_Data[[#This Row],[Recency]]&lt;=100),"Valid","Invalid")</f>
        <v>Valid</v>
      </c>
      <c r="AM1587" t="str">
        <f t="shared" si="318"/>
        <v>Valid</v>
      </c>
      <c r="AN1587" t="str">
        <f t="shared" si="319"/>
        <v>Valid</v>
      </c>
      <c r="AO1587" t="str">
        <f t="shared" si="320"/>
        <v>Valid</v>
      </c>
      <c r="AP1587" t="str">
        <f t="shared" si="321"/>
        <v>Valid</v>
      </c>
      <c r="AQ1587" t="str">
        <f>IF(Audit_Data[[#This Row],[Z_CostContact]]=3,"Valid","Invalid")</f>
        <v>Valid</v>
      </c>
      <c r="AR1587" t="str">
        <f t="shared" si="322"/>
        <v>Valid</v>
      </c>
      <c r="AS1587" t="str">
        <f t="shared" si="323"/>
        <v>Valid</v>
      </c>
    </row>
    <row r="1588" spans="1:45" x14ac:dyDescent="0.3">
      <c r="A1588">
        <v>4764</v>
      </c>
      <c r="B1588">
        <v>1952</v>
      </c>
      <c r="C1588" t="s">
        <v>34</v>
      </c>
      <c r="D1588" t="s">
        <v>31</v>
      </c>
      <c r="E1588">
        <v>40442</v>
      </c>
      <c r="F1588">
        <v>1</v>
      </c>
      <c r="G1588">
        <v>1</v>
      </c>
      <c r="H1588" s="1">
        <v>41140</v>
      </c>
      <c r="I1588">
        <v>52</v>
      </c>
      <c r="J1588">
        <v>45</v>
      </c>
      <c r="K1588">
        <v>12</v>
      </c>
      <c r="L1588">
        <v>52</v>
      </c>
      <c r="M1588">
        <v>25</v>
      </c>
      <c r="N1588">
        <v>22</v>
      </c>
      <c r="O1588">
        <v>13</v>
      </c>
      <c r="P1588">
        <v>4</v>
      </c>
      <c r="Q1588">
        <v>3</v>
      </c>
      <c r="R1588">
        <v>1</v>
      </c>
      <c r="S1588">
        <v>4</v>
      </c>
      <c r="T1588">
        <v>7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3</v>
      </c>
      <c r="AB1588">
        <v>11</v>
      </c>
      <c r="AC1588">
        <v>1</v>
      </c>
      <c r="AD1588" t="str">
        <f t="shared" si="312"/>
        <v>Ok</v>
      </c>
      <c r="AE1588" t="str">
        <f>IF(AND(Audit_Data[[#This Row],[Year_Birth]]&gt;=1900,Audit_Data[[#This Row],[Year_Birth]]&lt;=2010),"OK","Invalid")</f>
        <v>OK</v>
      </c>
      <c r="AF1588" t="str">
        <f t="shared" si="313"/>
        <v>Valid</v>
      </c>
      <c r="AG1588" t="str">
        <f t="shared" si="314"/>
        <v>Valid</v>
      </c>
      <c r="AH1588" t="str">
        <f t="shared" si="315"/>
        <v>Valid</v>
      </c>
      <c r="AI1588" t="str">
        <f t="shared" si="316"/>
        <v>Valid</v>
      </c>
      <c r="AJ1588" t="str">
        <f t="shared" si="317"/>
        <v>Valid</v>
      </c>
      <c r="AK1588" t="str">
        <f t="shared" si="324"/>
        <v xml:space="preserve">Valid </v>
      </c>
      <c r="AL1588" t="str">
        <f>IF(AND(Audit_Data[[#This Row],[Recency]]&gt;=0,Audit_Data[[#This Row],[Recency]]&lt;=100),"Valid","Invalid")</f>
        <v>Valid</v>
      </c>
      <c r="AM1588" t="str">
        <f t="shared" si="318"/>
        <v>Valid</v>
      </c>
      <c r="AN1588" t="str">
        <f t="shared" si="319"/>
        <v>Valid</v>
      </c>
      <c r="AO1588" t="str">
        <f t="shared" si="320"/>
        <v>Valid</v>
      </c>
      <c r="AP1588" t="str">
        <f t="shared" si="321"/>
        <v>Valid</v>
      </c>
      <c r="AQ1588" t="str">
        <f>IF(Audit_Data[[#This Row],[Z_CostContact]]=3,"Valid","Invalid")</f>
        <v>Valid</v>
      </c>
      <c r="AR1588" t="str">
        <f t="shared" si="322"/>
        <v>Valid</v>
      </c>
      <c r="AS1588" t="str">
        <f t="shared" si="323"/>
        <v>Valid</v>
      </c>
    </row>
    <row r="1589" spans="1:45" x14ac:dyDescent="0.3">
      <c r="A1589">
        <v>2471</v>
      </c>
      <c r="B1589">
        <v>1965</v>
      </c>
      <c r="C1589" t="s">
        <v>29</v>
      </c>
      <c r="D1589" t="s">
        <v>33</v>
      </c>
      <c r="E1589">
        <v>61482</v>
      </c>
      <c r="F1589">
        <v>0</v>
      </c>
      <c r="G1589">
        <v>0</v>
      </c>
      <c r="H1589" s="1">
        <v>41817</v>
      </c>
      <c r="I1589">
        <v>39</v>
      </c>
      <c r="J1589">
        <v>48</v>
      </c>
      <c r="K1589">
        <v>58</v>
      </c>
      <c r="L1589">
        <v>68</v>
      </c>
      <c r="M1589">
        <v>16</v>
      </c>
      <c r="N1589">
        <v>66</v>
      </c>
      <c r="O1589">
        <v>43</v>
      </c>
      <c r="P1589">
        <v>1</v>
      </c>
      <c r="Q1589">
        <v>3</v>
      </c>
      <c r="R1589">
        <v>2</v>
      </c>
      <c r="S1589">
        <v>6</v>
      </c>
      <c r="T1589">
        <v>2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3</v>
      </c>
      <c r="AB1589">
        <v>11</v>
      </c>
      <c r="AC1589">
        <v>0</v>
      </c>
      <c r="AD1589" t="str">
        <f t="shared" si="312"/>
        <v>Ok</v>
      </c>
      <c r="AE1589" t="str">
        <f>IF(AND(Audit_Data[[#This Row],[Year_Birth]]&gt;=1900,Audit_Data[[#This Row],[Year_Birth]]&lt;=2010),"OK","Invalid")</f>
        <v>OK</v>
      </c>
      <c r="AF1589" t="str">
        <f t="shared" si="313"/>
        <v>Valid</v>
      </c>
      <c r="AG1589" t="str">
        <f t="shared" si="314"/>
        <v>Valid</v>
      </c>
      <c r="AH1589" t="str">
        <f t="shared" si="315"/>
        <v>Valid</v>
      </c>
      <c r="AI1589" t="str">
        <f t="shared" si="316"/>
        <v>Valid</v>
      </c>
      <c r="AJ1589" t="str">
        <f t="shared" si="317"/>
        <v>Valid</v>
      </c>
      <c r="AK1589" t="str">
        <f t="shared" si="324"/>
        <v xml:space="preserve">Valid </v>
      </c>
      <c r="AL1589" t="str">
        <f>IF(AND(Audit_Data[[#This Row],[Recency]]&gt;=0,Audit_Data[[#This Row],[Recency]]&lt;=100),"Valid","Invalid")</f>
        <v>Valid</v>
      </c>
      <c r="AM1589" t="str">
        <f t="shared" si="318"/>
        <v>Valid</v>
      </c>
      <c r="AN1589" t="str">
        <f t="shared" si="319"/>
        <v>Valid</v>
      </c>
      <c r="AO1589" t="str">
        <f t="shared" si="320"/>
        <v>Valid</v>
      </c>
      <c r="AP1589" t="str">
        <f t="shared" si="321"/>
        <v>Valid</v>
      </c>
      <c r="AQ1589" t="str">
        <f>IF(Audit_Data[[#This Row],[Z_CostContact]]=3,"Valid","Invalid")</f>
        <v>Valid</v>
      </c>
      <c r="AR1589" t="str">
        <f t="shared" si="322"/>
        <v>Valid</v>
      </c>
      <c r="AS1589" t="str">
        <f t="shared" si="323"/>
        <v>Valid</v>
      </c>
    </row>
    <row r="1590" spans="1:45" x14ac:dyDescent="0.3">
      <c r="A1590">
        <v>5892</v>
      </c>
      <c r="B1590">
        <v>1980</v>
      </c>
      <c r="C1590" t="s">
        <v>29</v>
      </c>
      <c r="D1590" t="s">
        <v>33</v>
      </c>
      <c r="E1590">
        <v>34968</v>
      </c>
      <c r="F1590">
        <v>1</v>
      </c>
      <c r="G1590">
        <v>0</v>
      </c>
      <c r="H1590" s="1">
        <v>41374</v>
      </c>
      <c r="I1590">
        <v>11</v>
      </c>
      <c r="J1590">
        <v>158</v>
      </c>
      <c r="K1590">
        <v>6</v>
      </c>
      <c r="L1590">
        <v>45</v>
      </c>
      <c r="M1590">
        <v>8</v>
      </c>
      <c r="N1590">
        <v>2</v>
      </c>
      <c r="O1590">
        <v>2</v>
      </c>
      <c r="P1590">
        <v>7</v>
      </c>
      <c r="Q1590">
        <v>3</v>
      </c>
      <c r="R1590">
        <v>2</v>
      </c>
      <c r="S1590">
        <v>5</v>
      </c>
      <c r="T1590">
        <v>7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3</v>
      </c>
      <c r="AB1590">
        <v>11</v>
      </c>
      <c r="AC1590">
        <v>0</v>
      </c>
      <c r="AD1590" t="str">
        <f t="shared" si="312"/>
        <v>Ok</v>
      </c>
      <c r="AE1590" t="str">
        <f>IF(AND(Audit_Data[[#This Row],[Year_Birth]]&gt;=1900,Audit_Data[[#This Row],[Year_Birth]]&lt;=2010),"OK","Invalid")</f>
        <v>OK</v>
      </c>
      <c r="AF1590" t="str">
        <f t="shared" si="313"/>
        <v>Valid</v>
      </c>
      <c r="AG1590" t="str">
        <f t="shared" si="314"/>
        <v>Valid</v>
      </c>
      <c r="AH1590" t="str">
        <f t="shared" si="315"/>
        <v>Valid</v>
      </c>
      <c r="AI1590" t="str">
        <f t="shared" si="316"/>
        <v>Valid</v>
      </c>
      <c r="AJ1590" t="str">
        <f t="shared" si="317"/>
        <v>Valid</v>
      </c>
      <c r="AK1590" t="str">
        <f t="shared" si="324"/>
        <v xml:space="preserve">Valid </v>
      </c>
      <c r="AL1590" t="str">
        <f>IF(AND(Audit_Data[[#This Row],[Recency]]&gt;=0,Audit_Data[[#This Row],[Recency]]&lt;=100),"Valid","Invalid")</f>
        <v>Valid</v>
      </c>
      <c r="AM1590" t="str">
        <f t="shared" si="318"/>
        <v>Valid</v>
      </c>
      <c r="AN1590" t="str">
        <f t="shared" si="319"/>
        <v>Valid</v>
      </c>
      <c r="AO1590" t="str">
        <f t="shared" si="320"/>
        <v>Valid</v>
      </c>
      <c r="AP1590" t="str">
        <f t="shared" si="321"/>
        <v>Valid</v>
      </c>
      <c r="AQ1590" t="str">
        <f>IF(Audit_Data[[#This Row],[Z_CostContact]]=3,"Valid","Invalid")</f>
        <v>Valid</v>
      </c>
      <c r="AR1590" t="str">
        <f t="shared" si="322"/>
        <v>Valid</v>
      </c>
      <c r="AS1590" t="str">
        <f t="shared" si="323"/>
        <v>Valid</v>
      </c>
    </row>
    <row r="1591" spans="1:45" x14ac:dyDescent="0.3">
      <c r="A1591">
        <v>2612</v>
      </c>
      <c r="B1591">
        <v>1987</v>
      </c>
      <c r="C1591" t="s">
        <v>29</v>
      </c>
      <c r="D1591" t="s">
        <v>33</v>
      </c>
      <c r="E1591">
        <v>75794</v>
      </c>
      <c r="F1591">
        <v>0</v>
      </c>
      <c r="G1591">
        <v>0</v>
      </c>
      <c r="H1591" s="1">
        <v>41632</v>
      </c>
      <c r="I1591">
        <v>33</v>
      </c>
      <c r="J1591">
        <v>754</v>
      </c>
      <c r="K1591">
        <v>160</v>
      </c>
      <c r="L1591">
        <v>625</v>
      </c>
      <c r="M1591">
        <v>63</v>
      </c>
      <c r="N1591">
        <v>32</v>
      </c>
      <c r="O1591">
        <v>48</v>
      </c>
      <c r="P1591">
        <v>1</v>
      </c>
      <c r="Q1591">
        <v>7</v>
      </c>
      <c r="R1591">
        <v>5</v>
      </c>
      <c r="S1591">
        <v>12</v>
      </c>
      <c r="T1591">
        <v>3</v>
      </c>
      <c r="U1591">
        <v>0</v>
      </c>
      <c r="V1591">
        <v>0</v>
      </c>
      <c r="W1591">
        <v>0</v>
      </c>
      <c r="X1591">
        <v>1</v>
      </c>
      <c r="Y1591">
        <v>0</v>
      </c>
      <c r="Z1591">
        <v>0</v>
      </c>
      <c r="AA1591">
        <v>3</v>
      </c>
      <c r="AB1591">
        <v>11</v>
      </c>
      <c r="AC1591">
        <v>0</v>
      </c>
      <c r="AD1591" t="str">
        <f t="shared" si="312"/>
        <v>Ok</v>
      </c>
      <c r="AE1591" t="str">
        <f>IF(AND(Audit_Data[[#This Row],[Year_Birth]]&gt;=1900,Audit_Data[[#This Row],[Year_Birth]]&lt;=2010),"OK","Invalid")</f>
        <v>OK</v>
      </c>
      <c r="AF1591" t="str">
        <f t="shared" si="313"/>
        <v>Valid</v>
      </c>
      <c r="AG1591" t="str">
        <f t="shared" si="314"/>
        <v>Valid</v>
      </c>
      <c r="AH1591" t="str">
        <f t="shared" si="315"/>
        <v>Valid</v>
      </c>
      <c r="AI1591" t="str">
        <f t="shared" si="316"/>
        <v>Valid</v>
      </c>
      <c r="AJ1591" t="str">
        <f t="shared" si="317"/>
        <v>Valid</v>
      </c>
      <c r="AK1591" t="str">
        <f t="shared" si="324"/>
        <v xml:space="preserve">Valid </v>
      </c>
      <c r="AL1591" t="str">
        <f>IF(AND(Audit_Data[[#This Row],[Recency]]&gt;=0,Audit_Data[[#This Row],[Recency]]&lt;=100),"Valid","Invalid")</f>
        <v>Valid</v>
      </c>
      <c r="AM1591" t="str">
        <f t="shared" si="318"/>
        <v>Valid</v>
      </c>
      <c r="AN1591" t="str">
        <f t="shared" si="319"/>
        <v>Valid</v>
      </c>
      <c r="AO1591" t="str">
        <f t="shared" si="320"/>
        <v>Valid</v>
      </c>
      <c r="AP1591" t="str">
        <f t="shared" si="321"/>
        <v>Valid</v>
      </c>
      <c r="AQ1591" t="str">
        <f>IF(Audit_Data[[#This Row],[Z_CostContact]]=3,"Valid","Invalid")</f>
        <v>Valid</v>
      </c>
      <c r="AR1591" t="str">
        <f t="shared" si="322"/>
        <v>Valid</v>
      </c>
      <c r="AS1591" t="str">
        <f t="shared" si="323"/>
        <v>Valid</v>
      </c>
    </row>
    <row r="1592" spans="1:45" x14ac:dyDescent="0.3">
      <c r="A1592">
        <v>4971</v>
      </c>
      <c r="B1592">
        <v>1962</v>
      </c>
      <c r="C1592" t="s">
        <v>32</v>
      </c>
      <c r="D1592" t="s">
        <v>31</v>
      </c>
      <c r="E1592">
        <v>31497</v>
      </c>
      <c r="F1592">
        <v>0</v>
      </c>
      <c r="G1592">
        <v>1</v>
      </c>
      <c r="H1592" s="1">
        <v>41249</v>
      </c>
      <c r="I1592">
        <v>22</v>
      </c>
      <c r="J1592">
        <v>108</v>
      </c>
      <c r="K1592">
        <v>1</v>
      </c>
      <c r="L1592">
        <v>28</v>
      </c>
      <c r="M1592">
        <v>13</v>
      </c>
      <c r="N1592">
        <v>1</v>
      </c>
      <c r="O1592">
        <v>4</v>
      </c>
      <c r="P1592">
        <v>2</v>
      </c>
      <c r="Q1592">
        <v>3</v>
      </c>
      <c r="R1592">
        <v>1</v>
      </c>
      <c r="S1592">
        <v>4</v>
      </c>
      <c r="T1592">
        <v>8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3</v>
      </c>
      <c r="AB1592">
        <v>11</v>
      </c>
      <c r="AC1592">
        <v>0</v>
      </c>
      <c r="AD1592" t="str">
        <f t="shared" si="312"/>
        <v>Ok</v>
      </c>
      <c r="AE1592" t="str">
        <f>IF(AND(Audit_Data[[#This Row],[Year_Birth]]&gt;=1900,Audit_Data[[#This Row],[Year_Birth]]&lt;=2010),"OK","Invalid")</f>
        <v>OK</v>
      </c>
      <c r="AF1592" t="str">
        <f t="shared" si="313"/>
        <v>Valid</v>
      </c>
      <c r="AG1592" t="str">
        <f t="shared" si="314"/>
        <v>Valid</v>
      </c>
      <c r="AH1592" t="str">
        <f t="shared" si="315"/>
        <v>Valid</v>
      </c>
      <c r="AI1592" t="str">
        <f t="shared" si="316"/>
        <v>Valid</v>
      </c>
      <c r="AJ1592" t="str">
        <f t="shared" si="317"/>
        <v>Valid</v>
      </c>
      <c r="AK1592" t="str">
        <f t="shared" si="324"/>
        <v xml:space="preserve">Valid </v>
      </c>
      <c r="AL1592" t="str">
        <f>IF(AND(Audit_Data[[#This Row],[Recency]]&gt;=0,Audit_Data[[#This Row],[Recency]]&lt;=100),"Valid","Invalid")</f>
        <v>Valid</v>
      </c>
      <c r="AM1592" t="str">
        <f t="shared" si="318"/>
        <v>Valid</v>
      </c>
      <c r="AN1592" t="str">
        <f t="shared" si="319"/>
        <v>Valid</v>
      </c>
      <c r="AO1592" t="str">
        <f t="shared" si="320"/>
        <v>Valid</v>
      </c>
      <c r="AP1592" t="str">
        <f t="shared" si="321"/>
        <v>Valid</v>
      </c>
      <c r="AQ1592" t="str">
        <f>IF(Audit_Data[[#This Row],[Z_CostContact]]=3,"Valid","Invalid")</f>
        <v>Valid</v>
      </c>
      <c r="AR1592" t="str">
        <f t="shared" si="322"/>
        <v>Valid</v>
      </c>
      <c r="AS1592" t="str">
        <f t="shared" si="323"/>
        <v>Valid</v>
      </c>
    </row>
    <row r="1593" spans="1:45" x14ac:dyDescent="0.3">
      <c r="A1593">
        <v>5185</v>
      </c>
      <c r="B1593">
        <v>1955</v>
      </c>
      <c r="C1593" t="s">
        <v>29</v>
      </c>
      <c r="D1593" t="s">
        <v>33</v>
      </c>
      <c r="E1593">
        <v>74268</v>
      </c>
      <c r="F1593">
        <v>0</v>
      </c>
      <c r="G1593">
        <v>0</v>
      </c>
      <c r="H1593" s="1">
        <v>41319</v>
      </c>
      <c r="I1593">
        <v>83</v>
      </c>
      <c r="J1593">
        <v>199</v>
      </c>
      <c r="K1593">
        <v>66</v>
      </c>
      <c r="L1593">
        <v>315</v>
      </c>
      <c r="M1593">
        <v>97</v>
      </c>
      <c r="N1593">
        <v>174</v>
      </c>
      <c r="O1593">
        <v>41</v>
      </c>
      <c r="P1593">
        <v>1</v>
      </c>
      <c r="Q1593">
        <v>4</v>
      </c>
      <c r="R1593">
        <v>3</v>
      </c>
      <c r="S1593">
        <v>5</v>
      </c>
      <c r="T1593">
        <v>2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3</v>
      </c>
      <c r="AB1593">
        <v>11</v>
      </c>
      <c r="AC1593">
        <v>0</v>
      </c>
      <c r="AD1593" t="str">
        <f t="shared" si="312"/>
        <v>Ok</v>
      </c>
      <c r="AE1593" t="str">
        <f>IF(AND(Audit_Data[[#This Row],[Year_Birth]]&gt;=1900,Audit_Data[[#This Row],[Year_Birth]]&lt;=2010),"OK","Invalid")</f>
        <v>OK</v>
      </c>
      <c r="AF1593" t="str">
        <f t="shared" si="313"/>
        <v>Valid</v>
      </c>
      <c r="AG1593" t="str">
        <f t="shared" si="314"/>
        <v>Valid</v>
      </c>
      <c r="AH1593" t="str">
        <f t="shared" si="315"/>
        <v>Valid</v>
      </c>
      <c r="AI1593" t="str">
        <f t="shared" si="316"/>
        <v>Valid</v>
      </c>
      <c r="AJ1593" t="str">
        <f t="shared" si="317"/>
        <v>Valid</v>
      </c>
      <c r="AK1593" t="str">
        <f t="shared" si="324"/>
        <v xml:space="preserve">Valid </v>
      </c>
      <c r="AL1593" t="str">
        <f>IF(AND(Audit_Data[[#This Row],[Recency]]&gt;=0,Audit_Data[[#This Row],[Recency]]&lt;=100),"Valid","Invalid")</f>
        <v>Valid</v>
      </c>
      <c r="AM1593" t="str">
        <f t="shared" si="318"/>
        <v>Valid</v>
      </c>
      <c r="AN1593" t="str">
        <f t="shared" si="319"/>
        <v>Valid</v>
      </c>
      <c r="AO1593" t="str">
        <f t="shared" si="320"/>
        <v>Valid</v>
      </c>
      <c r="AP1593" t="str">
        <f t="shared" si="321"/>
        <v>Valid</v>
      </c>
      <c r="AQ1593" t="str">
        <f>IF(Audit_Data[[#This Row],[Z_CostContact]]=3,"Valid","Invalid")</f>
        <v>Valid</v>
      </c>
      <c r="AR1593" t="str">
        <f t="shared" si="322"/>
        <v>Valid</v>
      </c>
      <c r="AS1593" t="str">
        <f t="shared" si="323"/>
        <v>Valid</v>
      </c>
    </row>
    <row r="1594" spans="1:45" x14ac:dyDescent="0.3">
      <c r="A1594">
        <v>10069</v>
      </c>
      <c r="B1594">
        <v>1988</v>
      </c>
      <c r="C1594" t="s">
        <v>36</v>
      </c>
      <c r="D1594" t="s">
        <v>31</v>
      </c>
      <c r="E1594">
        <v>13724</v>
      </c>
      <c r="F1594">
        <v>1</v>
      </c>
      <c r="G1594">
        <v>0</v>
      </c>
      <c r="H1594" s="1">
        <v>41152</v>
      </c>
      <c r="I1594">
        <v>43</v>
      </c>
      <c r="J1594">
        <v>2</v>
      </c>
      <c r="K1594">
        <v>7</v>
      </c>
      <c r="L1594">
        <v>5</v>
      </c>
      <c r="M1594">
        <v>2</v>
      </c>
      <c r="N1594">
        <v>15</v>
      </c>
      <c r="O1594">
        <v>27</v>
      </c>
      <c r="P1594">
        <v>1</v>
      </c>
      <c r="Q1594">
        <v>2</v>
      </c>
      <c r="R1594">
        <v>0</v>
      </c>
      <c r="S1594">
        <v>2</v>
      </c>
      <c r="T1594">
        <v>9</v>
      </c>
      <c r="U1594">
        <v>1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3</v>
      </c>
      <c r="AB1594">
        <v>11</v>
      </c>
      <c r="AC1594">
        <v>0</v>
      </c>
      <c r="AD1594" t="str">
        <f t="shared" si="312"/>
        <v>Ok</v>
      </c>
      <c r="AE1594" t="str">
        <f>IF(AND(Audit_Data[[#This Row],[Year_Birth]]&gt;=1900,Audit_Data[[#This Row],[Year_Birth]]&lt;=2010),"OK","Invalid")</f>
        <v>OK</v>
      </c>
      <c r="AF1594" t="str">
        <f t="shared" si="313"/>
        <v>Valid</v>
      </c>
      <c r="AG1594" t="str">
        <f t="shared" si="314"/>
        <v>Valid</v>
      </c>
      <c r="AH1594" t="str">
        <f t="shared" si="315"/>
        <v>Valid</v>
      </c>
      <c r="AI1594" t="str">
        <f t="shared" si="316"/>
        <v>Valid</v>
      </c>
      <c r="AJ1594" t="str">
        <f t="shared" si="317"/>
        <v>Valid</v>
      </c>
      <c r="AK1594" t="str">
        <f t="shared" si="324"/>
        <v xml:space="preserve">Valid </v>
      </c>
      <c r="AL1594" t="str">
        <f>IF(AND(Audit_Data[[#This Row],[Recency]]&gt;=0,Audit_Data[[#This Row],[Recency]]&lt;=100),"Valid","Invalid")</f>
        <v>Valid</v>
      </c>
      <c r="AM1594" t="str">
        <f t="shared" si="318"/>
        <v>Valid</v>
      </c>
      <c r="AN1594" t="str">
        <f t="shared" si="319"/>
        <v>Valid</v>
      </c>
      <c r="AO1594" t="str">
        <f t="shared" si="320"/>
        <v>Valid</v>
      </c>
      <c r="AP1594" t="str">
        <f t="shared" si="321"/>
        <v>Valid</v>
      </c>
      <c r="AQ1594" t="str">
        <f>IF(Audit_Data[[#This Row],[Z_CostContact]]=3,"Valid","Invalid")</f>
        <v>Valid</v>
      </c>
      <c r="AR1594" t="str">
        <f t="shared" si="322"/>
        <v>Valid</v>
      </c>
      <c r="AS1594" t="str">
        <f t="shared" si="323"/>
        <v>Valid</v>
      </c>
    </row>
    <row r="1595" spans="1:45" x14ac:dyDescent="0.3">
      <c r="A1595">
        <v>2262</v>
      </c>
      <c r="B1595">
        <v>1965</v>
      </c>
      <c r="C1595" t="s">
        <v>34</v>
      </c>
      <c r="D1595" t="s">
        <v>31</v>
      </c>
      <c r="E1595">
        <v>45143</v>
      </c>
      <c r="F1595">
        <v>0</v>
      </c>
      <c r="G1595">
        <v>1</v>
      </c>
      <c r="H1595" s="1">
        <v>41512</v>
      </c>
      <c r="I1595">
        <v>74</v>
      </c>
      <c r="J1595">
        <v>202</v>
      </c>
      <c r="K1595">
        <v>5</v>
      </c>
      <c r="L1595">
        <v>74</v>
      </c>
      <c r="M1595">
        <v>11</v>
      </c>
      <c r="N1595">
        <v>5</v>
      </c>
      <c r="O1595">
        <v>14</v>
      </c>
      <c r="P1595">
        <v>3</v>
      </c>
      <c r="Q1595">
        <v>6</v>
      </c>
      <c r="R1595">
        <v>1</v>
      </c>
      <c r="S1595">
        <v>5</v>
      </c>
      <c r="T1595">
        <v>7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3</v>
      </c>
      <c r="AB1595">
        <v>11</v>
      </c>
      <c r="AC1595">
        <v>0</v>
      </c>
      <c r="AD1595" t="str">
        <f t="shared" si="312"/>
        <v>Ok</v>
      </c>
      <c r="AE1595" t="str">
        <f>IF(AND(Audit_Data[[#This Row],[Year_Birth]]&gt;=1900,Audit_Data[[#This Row],[Year_Birth]]&lt;=2010),"OK","Invalid")</f>
        <v>OK</v>
      </c>
      <c r="AF1595" t="str">
        <f t="shared" si="313"/>
        <v>Valid</v>
      </c>
      <c r="AG1595" t="str">
        <f t="shared" si="314"/>
        <v>Valid</v>
      </c>
      <c r="AH1595" t="str">
        <f t="shared" si="315"/>
        <v>Valid</v>
      </c>
      <c r="AI1595" t="str">
        <f t="shared" si="316"/>
        <v>Valid</v>
      </c>
      <c r="AJ1595" t="str">
        <f t="shared" si="317"/>
        <v>Valid</v>
      </c>
      <c r="AK1595" t="str">
        <f t="shared" si="324"/>
        <v xml:space="preserve">Valid </v>
      </c>
      <c r="AL1595" t="str">
        <f>IF(AND(Audit_Data[[#This Row],[Recency]]&gt;=0,Audit_Data[[#This Row],[Recency]]&lt;=100),"Valid","Invalid")</f>
        <v>Valid</v>
      </c>
      <c r="AM1595" t="str">
        <f t="shared" si="318"/>
        <v>Valid</v>
      </c>
      <c r="AN1595" t="str">
        <f t="shared" si="319"/>
        <v>Valid</v>
      </c>
      <c r="AO1595" t="str">
        <f t="shared" si="320"/>
        <v>Valid</v>
      </c>
      <c r="AP1595" t="str">
        <f t="shared" si="321"/>
        <v>Valid</v>
      </c>
      <c r="AQ1595" t="str">
        <f>IF(Audit_Data[[#This Row],[Z_CostContact]]=3,"Valid","Invalid")</f>
        <v>Valid</v>
      </c>
      <c r="AR1595" t="str">
        <f t="shared" si="322"/>
        <v>Valid</v>
      </c>
      <c r="AS1595" t="str">
        <f t="shared" si="323"/>
        <v>Valid</v>
      </c>
    </row>
    <row r="1596" spans="1:45" x14ac:dyDescent="0.3">
      <c r="A1596">
        <v>1131</v>
      </c>
      <c r="B1596">
        <v>1967</v>
      </c>
      <c r="C1596" t="s">
        <v>32</v>
      </c>
      <c r="D1596" t="s">
        <v>30</v>
      </c>
      <c r="E1596">
        <v>52569</v>
      </c>
      <c r="F1596">
        <v>0</v>
      </c>
      <c r="G1596">
        <v>1</v>
      </c>
      <c r="H1596" s="1">
        <v>41734</v>
      </c>
      <c r="I1596">
        <v>54</v>
      </c>
      <c r="J1596">
        <v>85</v>
      </c>
      <c r="K1596">
        <v>0</v>
      </c>
      <c r="L1596">
        <v>3</v>
      </c>
      <c r="M1596">
        <v>0</v>
      </c>
      <c r="N1596">
        <v>0</v>
      </c>
      <c r="O1596">
        <v>7</v>
      </c>
      <c r="P1596">
        <v>1</v>
      </c>
      <c r="Q1596">
        <v>2</v>
      </c>
      <c r="R1596">
        <v>0</v>
      </c>
      <c r="S1596">
        <v>4</v>
      </c>
      <c r="T1596">
        <v>3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3</v>
      </c>
      <c r="AB1596">
        <v>11</v>
      </c>
      <c r="AC1596">
        <v>0</v>
      </c>
      <c r="AD1596" t="str">
        <f t="shared" si="312"/>
        <v>Ok</v>
      </c>
      <c r="AE1596" t="str">
        <f>IF(AND(Audit_Data[[#This Row],[Year_Birth]]&gt;=1900,Audit_Data[[#This Row],[Year_Birth]]&lt;=2010),"OK","Invalid")</f>
        <v>OK</v>
      </c>
      <c r="AF1596" t="str">
        <f t="shared" si="313"/>
        <v>Valid</v>
      </c>
      <c r="AG1596" t="str">
        <f t="shared" si="314"/>
        <v>Valid</v>
      </c>
      <c r="AH1596" t="str">
        <f t="shared" si="315"/>
        <v>Valid</v>
      </c>
      <c r="AI1596" t="str">
        <f t="shared" si="316"/>
        <v>Valid</v>
      </c>
      <c r="AJ1596" t="str">
        <f t="shared" si="317"/>
        <v>Valid</v>
      </c>
      <c r="AK1596" t="str">
        <f t="shared" si="324"/>
        <v xml:space="preserve">Valid </v>
      </c>
      <c r="AL1596" t="str">
        <f>IF(AND(Audit_Data[[#This Row],[Recency]]&gt;=0,Audit_Data[[#This Row],[Recency]]&lt;=100),"Valid","Invalid")</f>
        <v>Valid</v>
      </c>
      <c r="AM1596" t="str">
        <f t="shared" si="318"/>
        <v>Valid</v>
      </c>
      <c r="AN1596" t="str">
        <f t="shared" si="319"/>
        <v>Valid</v>
      </c>
      <c r="AO1596" t="str">
        <f t="shared" si="320"/>
        <v>Valid</v>
      </c>
      <c r="AP1596" t="str">
        <f t="shared" si="321"/>
        <v>Valid</v>
      </c>
      <c r="AQ1596" t="str">
        <f>IF(Audit_Data[[#This Row],[Z_CostContact]]=3,"Valid","Invalid")</f>
        <v>Valid</v>
      </c>
      <c r="AR1596" t="str">
        <f t="shared" si="322"/>
        <v>Valid</v>
      </c>
      <c r="AS1596" t="str">
        <f t="shared" si="323"/>
        <v>Valid</v>
      </c>
    </row>
    <row r="1597" spans="1:45" x14ac:dyDescent="0.3">
      <c r="A1597">
        <v>1041</v>
      </c>
      <c r="B1597">
        <v>1973</v>
      </c>
      <c r="C1597" t="s">
        <v>32</v>
      </c>
      <c r="D1597" t="s">
        <v>30</v>
      </c>
      <c r="E1597">
        <v>48432</v>
      </c>
      <c r="F1597">
        <v>0</v>
      </c>
      <c r="G1597">
        <v>1</v>
      </c>
      <c r="H1597" s="1">
        <v>41200</v>
      </c>
      <c r="I1597">
        <v>3</v>
      </c>
      <c r="J1597">
        <v>322</v>
      </c>
      <c r="K1597">
        <v>3</v>
      </c>
      <c r="L1597">
        <v>50</v>
      </c>
      <c r="M1597">
        <v>4</v>
      </c>
      <c r="N1597">
        <v>3</v>
      </c>
      <c r="O1597">
        <v>42</v>
      </c>
      <c r="P1597">
        <v>5</v>
      </c>
      <c r="Q1597">
        <v>7</v>
      </c>
      <c r="R1597">
        <v>1</v>
      </c>
      <c r="S1597">
        <v>6</v>
      </c>
      <c r="T1597">
        <v>8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3</v>
      </c>
      <c r="AB1597">
        <v>11</v>
      </c>
      <c r="AC1597">
        <v>1</v>
      </c>
      <c r="AD1597" t="str">
        <f t="shared" si="312"/>
        <v>Ok</v>
      </c>
      <c r="AE1597" t="str">
        <f>IF(AND(Audit_Data[[#This Row],[Year_Birth]]&gt;=1900,Audit_Data[[#This Row],[Year_Birth]]&lt;=2010),"OK","Invalid")</f>
        <v>OK</v>
      </c>
      <c r="AF1597" t="str">
        <f t="shared" si="313"/>
        <v>Valid</v>
      </c>
      <c r="AG1597" t="str">
        <f t="shared" si="314"/>
        <v>Valid</v>
      </c>
      <c r="AH1597" t="str">
        <f t="shared" si="315"/>
        <v>Valid</v>
      </c>
      <c r="AI1597" t="str">
        <f t="shared" si="316"/>
        <v>Valid</v>
      </c>
      <c r="AJ1597" t="str">
        <f t="shared" si="317"/>
        <v>Valid</v>
      </c>
      <c r="AK1597" t="str">
        <f t="shared" si="324"/>
        <v xml:space="preserve">Valid </v>
      </c>
      <c r="AL1597" t="str">
        <f>IF(AND(Audit_Data[[#This Row],[Recency]]&gt;=0,Audit_Data[[#This Row],[Recency]]&lt;=100),"Valid","Invalid")</f>
        <v>Valid</v>
      </c>
      <c r="AM1597" t="str">
        <f t="shared" si="318"/>
        <v>Valid</v>
      </c>
      <c r="AN1597" t="str">
        <f t="shared" si="319"/>
        <v>Valid</v>
      </c>
      <c r="AO1597" t="str">
        <f t="shared" si="320"/>
        <v>Valid</v>
      </c>
      <c r="AP1597" t="str">
        <f t="shared" si="321"/>
        <v>Valid</v>
      </c>
      <c r="AQ1597" t="str">
        <f>IF(Audit_Data[[#This Row],[Z_CostContact]]=3,"Valid","Invalid")</f>
        <v>Valid</v>
      </c>
      <c r="AR1597" t="str">
        <f t="shared" si="322"/>
        <v>Valid</v>
      </c>
      <c r="AS1597" t="str">
        <f t="shared" si="323"/>
        <v>Valid</v>
      </c>
    </row>
    <row r="1598" spans="1:45" x14ac:dyDescent="0.3">
      <c r="A1598">
        <v>24</v>
      </c>
      <c r="B1598">
        <v>1960</v>
      </c>
      <c r="C1598" t="s">
        <v>34</v>
      </c>
      <c r="D1598" t="s">
        <v>31</v>
      </c>
      <c r="E1598">
        <v>17144</v>
      </c>
      <c r="F1598">
        <v>1</v>
      </c>
      <c r="G1598">
        <v>1</v>
      </c>
      <c r="H1598" s="1">
        <v>41685</v>
      </c>
      <c r="I1598">
        <v>96</v>
      </c>
      <c r="J1598">
        <v>18</v>
      </c>
      <c r="K1598">
        <v>2</v>
      </c>
      <c r="L1598">
        <v>19</v>
      </c>
      <c r="M1598">
        <v>0</v>
      </c>
      <c r="N1598">
        <v>2</v>
      </c>
      <c r="O1598">
        <v>6</v>
      </c>
      <c r="P1598">
        <v>5</v>
      </c>
      <c r="Q1598">
        <v>3</v>
      </c>
      <c r="R1598">
        <v>0</v>
      </c>
      <c r="S1598">
        <v>4</v>
      </c>
      <c r="T1598">
        <v>7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3</v>
      </c>
      <c r="AB1598">
        <v>11</v>
      </c>
      <c r="AC1598">
        <v>0</v>
      </c>
      <c r="AD1598" t="str">
        <f t="shared" si="312"/>
        <v>Ok</v>
      </c>
      <c r="AE1598" t="str">
        <f>IF(AND(Audit_Data[[#This Row],[Year_Birth]]&gt;=1900,Audit_Data[[#This Row],[Year_Birth]]&lt;=2010),"OK","Invalid")</f>
        <v>OK</v>
      </c>
      <c r="AF1598" t="str">
        <f t="shared" si="313"/>
        <v>Valid</v>
      </c>
      <c r="AG1598" t="str">
        <f t="shared" si="314"/>
        <v>Valid</v>
      </c>
      <c r="AH1598" t="str">
        <f t="shared" si="315"/>
        <v>Valid</v>
      </c>
      <c r="AI1598" t="str">
        <f t="shared" si="316"/>
        <v>Valid</v>
      </c>
      <c r="AJ1598" t="str">
        <f t="shared" si="317"/>
        <v>Valid</v>
      </c>
      <c r="AK1598" t="str">
        <f t="shared" si="324"/>
        <v xml:space="preserve">Valid </v>
      </c>
      <c r="AL1598" t="str">
        <f>IF(AND(Audit_Data[[#This Row],[Recency]]&gt;=0,Audit_Data[[#This Row],[Recency]]&lt;=100),"Valid","Invalid")</f>
        <v>Valid</v>
      </c>
      <c r="AM1598" t="str">
        <f t="shared" si="318"/>
        <v>Valid</v>
      </c>
      <c r="AN1598" t="str">
        <f t="shared" si="319"/>
        <v>Valid</v>
      </c>
      <c r="AO1598" t="str">
        <f t="shared" si="320"/>
        <v>Valid</v>
      </c>
      <c r="AP1598" t="str">
        <f t="shared" si="321"/>
        <v>Valid</v>
      </c>
      <c r="AQ1598" t="str">
        <f>IF(Audit_Data[[#This Row],[Z_CostContact]]=3,"Valid","Invalid")</f>
        <v>Valid</v>
      </c>
      <c r="AR1598" t="str">
        <f t="shared" si="322"/>
        <v>Valid</v>
      </c>
      <c r="AS1598" t="str">
        <f t="shared" si="323"/>
        <v>Valid</v>
      </c>
    </row>
    <row r="1599" spans="1:45" x14ac:dyDescent="0.3">
      <c r="A1599">
        <v>3409</v>
      </c>
      <c r="B1599">
        <v>1984</v>
      </c>
      <c r="C1599" t="s">
        <v>29</v>
      </c>
      <c r="D1599" t="s">
        <v>30</v>
      </c>
      <c r="E1599">
        <v>36108</v>
      </c>
      <c r="F1599">
        <v>1</v>
      </c>
      <c r="G1599">
        <v>0</v>
      </c>
      <c r="H1599" s="1">
        <v>41562</v>
      </c>
      <c r="I1599">
        <v>68</v>
      </c>
      <c r="J1599">
        <v>141</v>
      </c>
      <c r="K1599">
        <v>8</v>
      </c>
      <c r="L1599">
        <v>129</v>
      </c>
      <c r="M1599">
        <v>3</v>
      </c>
      <c r="N1599">
        <v>11</v>
      </c>
      <c r="O1599">
        <v>47</v>
      </c>
      <c r="P1599">
        <v>3</v>
      </c>
      <c r="Q1599">
        <v>7</v>
      </c>
      <c r="R1599">
        <v>1</v>
      </c>
      <c r="S1599">
        <v>4</v>
      </c>
      <c r="T1599">
        <v>9</v>
      </c>
      <c r="U1599">
        <v>1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3</v>
      </c>
      <c r="AB1599">
        <v>11</v>
      </c>
      <c r="AC1599">
        <v>0</v>
      </c>
      <c r="AD1599" t="str">
        <f t="shared" si="312"/>
        <v>Ok</v>
      </c>
      <c r="AE1599" t="str">
        <f>IF(AND(Audit_Data[[#This Row],[Year_Birth]]&gt;=1900,Audit_Data[[#This Row],[Year_Birth]]&lt;=2010),"OK","Invalid")</f>
        <v>OK</v>
      </c>
      <c r="AF1599" t="str">
        <f t="shared" si="313"/>
        <v>Valid</v>
      </c>
      <c r="AG1599" t="str">
        <f t="shared" si="314"/>
        <v>Valid</v>
      </c>
      <c r="AH1599" t="str">
        <f t="shared" si="315"/>
        <v>Valid</v>
      </c>
      <c r="AI1599" t="str">
        <f t="shared" si="316"/>
        <v>Valid</v>
      </c>
      <c r="AJ1599" t="str">
        <f t="shared" si="317"/>
        <v>Valid</v>
      </c>
      <c r="AK1599" t="str">
        <f t="shared" si="324"/>
        <v xml:space="preserve">Valid </v>
      </c>
      <c r="AL1599" t="str">
        <f>IF(AND(Audit_Data[[#This Row],[Recency]]&gt;=0,Audit_Data[[#This Row],[Recency]]&lt;=100),"Valid","Invalid")</f>
        <v>Valid</v>
      </c>
      <c r="AM1599" t="str">
        <f t="shared" si="318"/>
        <v>Valid</v>
      </c>
      <c r="AN1599" t="str">
        <f t="shared" si="319"/>
        <v>Valid</v>
      </c>
      <c r="AO1599" t="str">
        <f t="shared" si="320"/>
        <v>Valid</v>
      </c>
      <c r="AP1599" t="str">
        <f t="shared" si="321"/>
        <v>Valid</v>
      </c>
      <c r="AQ1599" t="str">
        <f>IF(Audit_Data[[#This Row],[Z_CostContact]]=3,"Valid","Invalid")</f>
        <v>Valid</v>
      </c>
      <c r="AR1599" t="str">
        <f t="shared" si="322"/>
        <v>Valid</v>
      </c>
      <c r="AS1599" t="str">
        <f t="shared" si="323"/>
        <v>Valid</v>
      </c>
    </row>
    <row r="1600" spans="1:45" x14ac:dyDescent="0.3">
      <c r="A1600">
        <v>7022</v>
      </c>
      <c r="B1600">
        <v>1971</v>
      </c>
      <c r="C1600" t="s">
        <v>29</v>
      </c>
      <c r="D1600" t="s">
        <v>33</v>
      </c>
      <c r="E1600">
        <v>76445</v>
      </c>
      <c r="F1600">
        <v>1</v>
      </c>
      <c r="G1600">
        <v>0</v>
      </c>
      <c r="H1600" s="1">
        <v>41180</v>
      </c>
      <c r="I1600">
        <v>2</v>
      </c>
      <c r="J1600">
        <v>739</v>
      </c>
      <c r="K1600">
        <v>107</v>
      </c>
      <c r="L1600">
        <v>309</v>
      </c>
      <c r="M1600">
        <v>140</v>
      </c>
      <c r="N1600">
        <v>80</v>
      </c>
      <c r="O1600">
        <v>35</v>
      </c>
      <c r="P1600">
        <v>1</v>
      </c>
      <c r="Q1600">
        <v>2</v>
      </c>
      <c r="R1600">
        <v>5</v>
      </c>
      <c r="S1600">
        <v>13</v>
      </c>
      <c r="T1600">
        <v>6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3</v>
      </c>
      <c r="AB1600">
        <v>11</v>
      </c>
      <c r="AC1600">
        <v>0</v>
      </c>
      <c r="AD1600" t="str">
        <f t="shared" si="312"/>
        <v>Ok</v>
      </c>
      <c r="AE1600" t="str">
        <f>IF(AND(Audit_Data[[#This Row],[Year_Birth]]&gt;=1900,Audit_Data[[#This Row],[Year_Birth]]&lt;=2010),"OK","Invalid")</f>
        <v>OK</v>
      </c>
      <c r="AF1600" t="str">
        <f t="shared" si="313"/>
        <v>Valid</v>
      </c>
      <c r="AG1600" t="str">
        <f t="shared" si="314"/>
        <v>Valid</v>
      </c>
      <c r="AH1600" t="str">
        <f t="shared" si="315"/>
        <v>Valid</v>
      </c>
      <c r="AI1600" t="str">
        <f t="shared" si="316"/>
        <v>Valid</v>
      </c>
      <c r="AJ1600" t="str">
        <f t="shared" si="317"/>
        <v>Valid</v>
      </c>
      <c r="AK1600" t="str">
        <f t="shared" si="324"/>
        <v xml:space="preserve">Valid </v>
      </c>
      <c r="AL1600" t="str">
        <f>IF(AND(Audit_Data[[#This Row],[Recency]]&gt;=0,Audit_Data[[#This Row],[Recency]]&lt;=100),"Valid","Invalid")</f>
        <v>Valid</v>
      </c>
      <c r="AM1600" t="str">
        <f t="shared" si="318"/>
        <v>Valid</v>
      </c>
      <c r="AN1600" t="str">
        <f t="shared" si="319"/>
        <v>Valid</v>
      </c>
      <c r="AO1600" t="str">
        <f t="shared" si="320"/>
        <v>Valid</v>
      </c>
      <c r="AP1600" t="str">
        <f t="shared" si="321"/>
        <v>Valid</v>
      </c>
      <c r="AQ1600" t="str">
        <f>IF(Audit_Data[[#This Row],[Z_CostContact]]=3,"Valid","Invalid")</f>
        <v>Valid</v>
      </c>
      <c r="AR1600" t="str">
        <f t="shared" si="322"/>
        <v>Valid</v>
      </c>
      <c r="AS1600" t="str">
        <f t="shared" si="323"/>
        <v>Valid</v>
      </c>
    </row>
    <row r="1601" spans="1:45" x14ac:dyDescent="0.3">
      <c r="A1601">
        <v>7943</v>
      </c>
      <c r="B1601">
        <v>1975</v>
      </c>
      <c r="C1601" t="s">
        <v>32</v>
      </c>
      <c r="D1601" t="s">
        <v>33</v>
      </c>
      <c r="E1601">
        <v>36663</v>
      </c>
      <c r="F1601">
        <v>1</v>
      </c>
      <c r="G1601">
        <v>0</v>
      </c>
      <c r="H1601" s="1">
        <v>41754</v>
      </c>
      <c r="I1601">
        <v>40</v>
      </c>
      <c r="J1601">
        <v>18</v>
      </c>
      <c r="K1601">
        <v>0</v>
      </c>
      <c r="L1601">
        <v>6</v>
      </c>
      <c r="M1601">
        <v>3</v>
      </c>
      <c r="N1601">
        <v>3</v>
      </c>
      <c r="O1601">
        <v>5</v>
      </c>
      <c r="P1601">
        <v>1</v>
      </c>
      <c r="Q1601">
        <v>1</v>
      </c>
      <c r="R1601">
        <v>1</v>
      </c>
      <c r="S1601">
        <v>3</v>
      </c>
      <c r="T1601">
        <v>2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3</v>
      </c>
      <c r="AB1601">
        <v>11</v>
      </c>
      <c r="AC1601">
        <v>0</v>
      </c>
      <c r="AD1601" t="str">
        <f t="shared" si="312"/>
        <v>Ok</v>
      </c>
      <c r="AE1601" t="str">
        <f>IF(AND(Audit_Data[[#This Row],[Year_Birth]]&gt;=1900,Audit_Data[[#This Row],[Year_Birth]]&lt;=2010),"OK","Invalid")</f>
        <v>OK</v>
      </c>
      <c r="AF1601" t="str">
        <f t="shared" si="313"/>
        <v>Valid</v>
      </c>
      <c r="AG1601" t="str">
        <f t="shared" si="314"/>
        <v>Valid</v>
      </c>
      <c r="AH1601" t="str">
        <f t="shared" si="315"/>
        <v>Valid</v>
      </c>
      <c r="AI1601" t="str">
        <f t="shared" si="316"/>
        <v>Valid</v>
      </c>
      <c r="AJ1601" t="str">
        <f t="shared" si="317"/>
        <v>Valid</v>
      </c>
      <c r="AK1601" t="str">
        <f t="shared" si="324"/>
        <v xml:space="preserve">Valid </v>
      </c>
      <c r="AL1601" t="str">
        <f>IF(AND(Audit_Data[[#This Row],[Recency]]&gt;=0,Audit_Data[[#This Row],[Recency]]&lt;=100),"Valid","Invalid")</f>
        <v>Valid</v>
      </c>
      <c r="AM1601" t="str">
        <f t="shared" si="318"/>
        <v>Valid</v>
      </c>
      <c r="AN1601" t="str">
        <f t="shared" si="319"/>
        <v>Valid</v>
      </c>
      <c r="AO1601" t="str">
        <f t="shared" si="320"/>
        <v>Valid</v>
      </c>
      <c r="AP1601" t="str">
        <f t="shared" si="321"/>
        <v>Valid</v>
      </c>
      <c r="AQ1601" t="str">
        <f>IF(Audit_Data[[#This Row],[Z_CostContact]]=3,"Valid","Invalid")</f>
        <v>Valid</v>
      </c>
      <c r="AR1601" t="str">
        <f t="shared" si="322"/>
        <v>Valid</v>
      </c>
      <c r="AS1601" t="str">
        <f t="shared" si="323"/>
        <v>Valid</v>
      </c>
    </row>
    <row r="1602" spans="1:45" x14ac:dyDescent="0.3">
      <c r="A1602">
        <v>5272</v>
      </c>
      <c r="B1602">
        <v>1965</v>
      </c>
      <c r="C1602" t="s">
        <v>34</v>
      </c>
      <c r="D1602" t="s">
        <v>33</v>
      </c>
      <c r="E1602">
        <v>53843</v>
      </c>
      <c r="F1602">
        <v>0</v>
      </c>
      <c r="G1602">
        <v>1</v>
      </c>
      <c r="H1602" s="1">
        <v>41452</v>
      </c>
      <c r="I1602">
        <v>64</v>
      </c>
      <c r="J1602">
        <v>378</v>
      </c>
      <c r="K1602">
        <v>0</v>
      </c>
      <c r="L1602">
        <v>88</v>
      </c>
      <c r="M1602">
        <v>19</v>
      </c>
      <c r="N1602">
        <v>4</v>
      </c>
      <c r="O1602">
        <v>73</v>
      </c>
      <c r="P1602">
        <v>4</v>
      </c>
      <c r="Q1602">
        <v>8</v>
      </c>
      <c r="R1602">
        <v>5</v>
      </c>
      <c r="S1602">
        <v>3</v>
      </c>
      <c r="T1602">
        <v>7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3</v>
      </c>
      <c r="AB1602">
        <v>11</v>
      </c>
      <c r="AC1602">
        <v>0</v>
      </c>
      <c r="AD1602" t="str">
        <f t="shared" ref="AD1602:AD1665" si="325">IF(COUNTIF(A:A,A1602)&gt;1,"Duplicate","Ok")</f>
        <v>Ok</v>
      </c>
      <c r="AE1602" t="str">
        <f>IF(AND(Audit_Data[[#This Row],[Year_Birth]]&gt;=1900,Audit_Data[[#This Row],[Year_Birth]]&lt;=2010),"OK","Invalid")</f>
        <v>OK</v>
      </c>
      <c r="AF1602" t="str">
        <f t="shared" ref="AF1602:AF1665" si="326">IF(OR(C1602="Graduation",C1602="phD",C1602="Master",C1602="Basic",C1602="2n Cycle"),"Valid","Invalid")</f>
        <v>Valid</v>
      </c>
      <c r="AG1602" t="str">
        <f t="shared" ref="AG1602:AG1665" si="327">IF(OR(D1602="Single",D1602="Married",D1602="Divorced",D1602="Together",D1602="Widow",D1602="Alone"),"Valid","Invalid")</f>
        <v>Valid</v>
      </c>
      <c r="AH1602" t="str">
        <f t="shared" ref="AH1602:AH1665" si="328">IF(AND(ISNUMBER(E1602),E1602&lt;&gt;""),"Valid","Invalid")</f>
        <v>Valid</v>
      </c>
      <c r="AI1602" t="str">
        <f t="shared" ref="AI1602:AI1665" si="329">IF(AND(F1602&gt;=0,F1602&lt;=2),"Valid","Invalid")</f>
        <v>Valid</v>
      </c>
      <c r="AJ1602" t="str">
        <f t="shared" ref="AJ1602:AJ1665" si="330">IF(AND(G1602&gt;=0,G1602&lt;=2),"Valid","Invalid")</f>
        <v>Valid</v>
      </c>
      <c r="AK1602" t="str">
        <f t="shared" si="324"/>
        <v xml:space="preserve">Valid </v>
      </c>
      <c r="AL1602" t="str">
        <f>IF(AND(Audit_Data[[#This Row],[Recency]]&gt;=0,Audit_Data[[#This Row],[Recency]]&lt;=100),"Valid","Invalid")</f>
        <v>Valid</v>
      </c>
      <c r="AM1602" t="str">
        <f t="shared" ref="AM1602:AM1665" si="331">IF(AND(ISNUMBER(J1602),J1602&gt;=0,ISNUMBER(K1602),K1602&gt;=0,ISNUMBER(L1602),L1602&gt;=0,ISNUMBER(M1602),M1602&gt;=0,ISNUMBER(N1602),N1602&gt;=0,ISNUMBER(O1602),O1602&gt;=0),"Valid","Invalid")</f>
        <v>Valid</v>
      </c>
      <c r="AN1602" t="str">
        <f t="shared" ref="AN1602:AN1665" si="332">IF(AND(ISNUMBER(P1602),P1602&gt;=0,ISNUMBER(Q1602),Q1602&gt;=0,ISNUMBER(R1602),R1602&gt;=0,ISNUMBER(S1602),S1602&gt;=0,ISNUMBER(T1602),T1602&gt;=0),"Valid","Invalid")</f>
        <v>Valid</v>
      </c>
      <c r="AO1602" t="str">
        <f t="shared" ref="AO1602:AO1665" si="333">IF(AND(U1602&lt;=1,V1602&lt;=1,W1602&lt;=1,X1602&lt;=1,Y1602&lt;=1),"Valid","Invalid")</f>
        <v>Valid</v>
      </c>
      <c r="AP1602" t="str">
        <f t="shared" ref="AP1602:AP1665" si="334">IF(OR(Z1602=0,Z1602=1),"Valid","Invalid")</f>
        <v>Valid</v>
      </c>
      <c r="AQ1602" t="str">
        <f>IF(Audit_Data[[#This Row],[Z_CostContact]]=3,"Valid","Invalid")</f>
        <v>Valid</v>
      </c>
      <c r="AR1602" t="str">
        <f t="shared" ref="AR1602:AR1665" si="335">IF(AB1602=11,"Valid","Invalid")</f>
        <v>Valid</v>
      </c>
      <c r="AS1602" t="str">
        <f t="shared" ref="AS1602:AS1665" si="336">IF(OR(AC1602=0,AC1602=1),"Valid","Invalid")</f>
        <v>Valid</v>
      </c>
    </row>
    <row r="1603" spans="1:45" x14ac:dyDescent="0.3">
      <c r="A1603">
        <v>5453</v>
      </c>
      <c r="B1603">
        <v>1956</v>
      </c>
      <c r="C1603" t="s">
        <v>34</v>
      </c>
      <c r="D1603" t="s">
        <v>33</v>
      </c>
      <c r="E1603">
        <v>90226</v>
      </c>
      <c r="F1603">
        <v>0</v>
      </c>
      <c r="G1603">
        <v>0</v>
      </c>
      <c r="H1603" s="1">
        <v>41178</v>
      </c>
      <c r="I1603">
        <v>26</v>
      </c>
      <c r="J1603">
        <v>1083</v>
      </c>
      <c r="K1603">
        <v>108</v>
      </c>
      <c r="L1603">
        <v>649</v>
      </c>
      <c r="M1603">
        <v>253</v>
      </c>
      <c r="N1603">
        <v>151</v>
      </c>
      <c r="O1603">
        <v>108</v>
      </c>
      <c r="P1603">
        <v>1</v>
      </c>
      <c r="Q1603">
        <v>4</v>
      </c>
      <c r="R1603">
        <v>7</v>
      </c>
      <c r="S1603">
        <v>12</v>
      </c>
      <c r="T1603">
        <v>2</v>
      </c>
      <c r="U1603">
        <v>0</v>
      </c>
      <c r="V1603">
        <v>0</v>
      </c>
      <c r="W1603">
        <v>0</v>
      </c>
      <c r="X1603">
        <v>1</v>
      </c>
      <c r="Y1603">
        <v>0</v>
      </c>
      <c r="Z1603">
        <v>0</v>
      </c>
      <c r="AA1603">
        <v>3</v>
      </c>
      <c r="AB1603">
        <v>11</v>
      </c>
      <c r="AC1603">
        <v>0</v>
      </c>
      <c r="AD1603" t="str">
        <f t="shared" si="325"/>
        <v>Ok</v>
      </c>
      <c r="AE1603" t="str">
        <f>IF(AND(Audit_Data[[#This Row],[Year_Birth]]&gt;=1900,Audit_Data[[#This Row],[Year_Birth]]&lt;=2010),"OK","Invalid")</f>
        <v>OK</v>
      </c>
      <c r="AF1603" t="str">
        <f t="shared" si="326"/>
        <v>Valid</v>
      </c>
      <c r="AG1603" t="str">
        <f t="shared" si="327"/>
        <v>Valid</v>
      </c>
      <c r="AH1603" t="str">
        <f t="shared" si="328"/>
        <v>Valid</v>
      </c>
      <c r="AI1603" t="str">
        <f t="shared" si="329"/>
        <v>Valid</v>
      </c>
      <c r="AJ1603" t="str">
        <f t="shared" si="330"/>
        <v>Valid</v>
      </c>
      <c r="AK1603" t="str">
        <f t="shared" ref="AK1603:AK1666" si="337">IF(AND(ISNUMBER(H1603),H1603&gt;=DATE(2012,1,1),H1603&lt;=DATE(2014,12,31)),"Valid ","Invalid")</f>
        <v xml:space="preserve">Valid </v>
      </c>
      <c r="AL1603" t="str">
        <f>IF(AND(Audit_Data[[#This Row],[Recency]]&gt;=0,Audit_Data[[#This Row],[Recency]]&lt;=100),"Valid","Invalid")</f>
        <v>Valid</v>
      </c>
      <c r="AM1603" t="str">
        <f t="shared" si="331"/>
        <v>Valid</v>
      </c>
      <c r="AN1603" t="str">
        <f t="shared" si="332"/>
        <v>Valid</v>
      </c>
      <c r="AO1603" t="str">
        <f t="shared" si="333"/>
        <v>Valid</v>
      </c>
      <c r="AP1603" t="str">
        <f t="shared" si="334"/>
        <v>Valid</v>
      </c>
      <c r="AQ1603" t="str">
        <f>IF(Audit_Data[[#This Row],[Z_CostContact]]=3,"Valid","Invalid")</f>
        <v>Valid</v>
      </c>
      <c r="AR1603" t="str">
        <f t="shared" si="335"/>
        <v>Valid</v>
      </c>
      <c r="AS1603" t="str">
        <f t="shared" si="336"/>
        <v>Valid</v>
      </c>
    </row>
    <row r="1604" spans="1:45" x14ac:dyDescent="0.3">
      <c r="A1604">
        <v>2565</v>
      </c>
      <c r="B1604">
        <v>1955</v>
      </c>
      <c r="C1604" t="s">
        <v>34</v>
      </c>
      <c r="D1604" t="s">
        <v>35</v>
      </c>
      <c r="E1604">
        <v>70638</v>
      </c>
      <c r="F1604">
        <v>0</v>
      </c>
      <c r="G1604">
        <v>0</v>
      </c>
      <c r="H1604" s="1">
        <v>41426</v>
      </c>
      <c r="I1604">
        <v>69</v>
      </c>
      <c r="J1604">
        <v>1016</v>
      </c>
      <c r="K1604">
        <v>12</v>
      </c>
      <c r="L1604">
        <v>215</v>
      </c>
      <c r="M1604">
        <v>16</v>
      </c>
      <c r="N1604">
        <v>12</v>
      </c>
      <c r="O1604">
        <v>63</v>
      </c>
      <c r="P1604">
        <v>1</v>
      </c>
      <c r="Q1604">
        <v>4</v>
      </c>
      <c r="R1604">
        <v>5</v>
      </c>
      <c r="S1604">
        <v>10</v>
      </c>
      <c r="T1604">
        <v>3</v>
      </c>
      <c r="U1604">
        <v>0</v>
      </c>
      <c r="V1604">
        <v>1</v>
      </c>
      <c r="W1604">
        <v>0</v>
      </c>
      <c r="X1604">
        <v>0</v>
      </c>
      <c r="Y1604">
        <v>0</v>
      </c>
      <c r="Z1604">
        <v>0</v>
      </c>
      <c r="AA1604">
        <v>3</v>
      </c>
      <c r="AB1604">
        <v>11</v>
      </c>
      <c r="AC1604">
        <v>0</v>
      </c>
      <c r="AD1604" t="str">
        <f t="shared" si="325"/>
        <v>Ok</v>
      </c>
      <c r="AE1604" t="str">
        <f>IF(AND(Audit_Data[[#This Row],[Year_Birth]]&gt;=1900,Audit_Data[[#This Row],[Year_Birth]]&lt;=2010),"OK","Invalid")</f>
        <v>OK</v>
      </c>
      <c r="AF1604" t="str">
        <f t="shared" si="326"/>
        <v>Valid</v>
      </c>
      <c r="AG1604" t="str">
        <f t="shared" si="327"/>
        <v>Valid</v>
      </c>
      <c r="AH1604" t="str">
        <f t="shared" si="328"/>
        <v>Valid</v>
      </c>
      <c r="AI1604" t="str">
        <f t="shared" si="329"/>
        <v>Valid</v>
      </c>
      <c r="AJ1604" t="str">
        <f t="shared" si="330"/>
        <v>Valid</v>
      </c>
      <c r="AK1604" t="str">
        <f t="shared" si="337"/>
        <v xml:space="preserve">Valid </v>
      </c>
      <c r="AL1604" t="str">
        <f>IF(AND(Audit_Data[[#This Row],[Recency]]&gt;=0,Audit_Data[[#This Row],[Recency]]&lt;=100),"Valid","Invalid")</f>
        <v>Valid</v>
      </c>
      <c r="AM1604" t="str">
        <f t="shared" si="331"/>
        <v>Valid</v>
      </c>
      <c r="AN1604" t="str">
        <f t="shared" si="332"/>
        <v>Valid</v>
      </c>
      <c r="AO1604" t="str">
        <f t="shared" si="333"/>
        <v>Valid</v>
      </c>
      <c r="AP1604" t="str">
        <f t="shared" si="334"/>
        <v>Valid</v>
      </c>
      <c r="AQ1604" t="str">
        <f>IF(Audit_Data[[#This Row],[Z_CostContact]]=3,"Valid","Invalid")</f>
        <v>Valid</v>
      </c>
      <c r="AR1604" t="str">
        <f t="shared" si="335"/>
        <v>Valid</v>
      </c>
      <c r="AS1604" t="str">
        <f t="shared" si="336"/>
        <v>Valid</v>
      </c>
    </row>
    <row r="1605" spans="1:45" x14ac:dyDescent="0.3">
      <c r="A1605">
        <v>800</v>
      </c>
      <c r="B1605">
        <v>1960</v>
      </c>
      <c r="C1605" t="s">
        <v>29</v>
      </c>
      <c r="D1605" t="s">
        <v>31</v>
      </c>
      <c r="E1605">
        <v>44512</v>
      </c>
      <c r="F1605">
        <v>1</v>
      </c>
      <c r="G1605">
        <v>1</v>
      </c>
      <c r="H1605" s="1">
        <v>41516</v>
      </c>
      <c r="I1605">
        <v>57</v>
      </c>
      <c r="J1605">
        <v>23</v>
      </c>
      <c r="K1605">
        <v>1</v>
      </c>
      <c r="L1605">
        <v>6</v>
      </c>
      <c r="M1605">
        <v>0</v>
      </c>
      <c r="N1605">
        <v>0</v>
      </c>
      <c r="O1605">
        <v>2</v>
      </c>
      <c r="P1605">
        <v>2</v>
      </c>
      <c r="Q1605">
        <v>1</v>
      </c>
      <c r="R1605">
        <v>0</v>
      </c>
      <c r="S1605">
        <v>3</v>
      </c>
      <c r="T1605">
        <v>4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3</v>
      </c>
      <c r="AB1605">
        <v>11</v>
      </c>
      <c r="AC1605">
        <v>0</v>
      </c>
      <c r="AD1605" t="str">
        <f t="shared" si="325"/>
        <v>Ok</v>
      </c>
      <c r="AE1605" t="str">
        <f>IF(AND(Audit_Data[[#This Row],[Year_Birth]]&gt;=1900,Audit_Data[[#This Row],[Year_Birth]]&lt;=2010),"OK","Invalid")</f>
        <v>OK</v>
      </c>
      <c r="AF1605" t="str">
        <f t="shared" si="326"/>
        <v>Valid</v>
      </c>
      <c r="AG1605" t="str">
        <f t="shared" si="327"/>
        <v>Valid</v>
      </c>
      <c r="AH1605" t="str">
        <f t="shared" si="328"/>
        <v>Valid</v>
      </c>
      <c r="AI1605" t="str">
        <f t="shared" si="329"/>
        <v>Valid</v>
      </c>
      <c r="AJ1605" t="str">
        <f t="shared" si="330"/>
        <v>Valid</v>
      </c>
      <c r="AK1605" t="str">
        <f t="shared" si="337"/>
        <v xml:space="preserve">Valid </v>
      </c>
      <c r="AL1605" t="str">
        <f>IF(AND(Audit_Data[[#This Row],[Recency]]&gt;=0,Audit_Data[[#This Row],[Recency]]&lt;=100),"Valid","Invalid")</f>
        <v>Valid</v>
      </c>
      <c r="AM1605" t="str">
        <f t="shared" si="331"/>
        <v>Valid</v>
      </c>
      <c r="AN1605" t="str">
        <f t="shared" si="332"/>
        <v>Valid</v>
      </c>
      <c r="AO1605" t="str">
        <f t="shared" si="333"/>
        <v>Valid</v>
      </c>
      <c r="AP1605" t="str">
        <f t="shared" si="334"/>
        <v>Valid</v>
      </c>
      <c r="AQ1605" t="str">
        <f>IF(Audit_Data[[#This Row],[Z_CostContact]]=3,"Valid","Invalid")</f>
        <v>Valid</v>
      </c>
      <c r="AR1605" t="str">
        <f t="shared" si="335"/>
        <v>Valid</v>
      </c>
      <c r="AS1605" t="str">
        <f t="shared" si="336"/>
        <v>Valid</v>
      </c>
    </row>
    <row r="1606" spans="1:45" x14ac:dyDescent="0.3">
      <c r="A1606">
        <v>11092</v>
      </c>
      <c r="B1606">
        <v>1961</v>
      </c>
      <c r="C1606" t="s">
        <v>29</v>
      </c>
      <c r="D1606" t="s">
        <v>33</v>
      </c>
      <c r="E1606">
        <v>27116</v>
      </c>
      <c r="F1606">
        <v>1</v>
      </c>
      <c r="G1606">
        <v>1</v>
      </c>
      <c r="H1606" s="1">
        <v>41700</v>
      </c>
      <c r="I1606">
        <v>78</v>
      </c>
      <c r="J1606">
        <v>12</v>
      </c>
      <c r="K1606">
        <v>1</v>
      </c>
      <c r="L1606">
        <v>21</v>
      </c>
      <c r="M1606">
        <v>2</v>
      </c>
      <c r="N1606">
        <v>2</v>
      </c>
      <c r="O1606">
        <v>3</v>
      </c>
      <c r="P1606">
        <v>2</v>
      </c>
      <c r="Q1606">
        <v>2</v>
      </c>
      <c r="R1606">
        <v>0</v>
      </c>
      <c r="S1606">
        <v>3</v>
      </c>
      <c r="T1606">
        <v>7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3</v>
      </c>
      <c r="AB1606">
        <v>11</v>
      </c>
      <c r="AC1606">
        <v>0</v>
      </c>
      <c r="AD1606" t="str">
        <f t="shared" si="325"/>
        <v>Ok</v>
      </c>
      <c r="AE1606" t="str">
        <f>IF(AND(Audit_Data[[#This Row],[Year_Birth]]&gt;=1900,Audit_Data[[#This Row],[Year_Birth]]&lt;=2010),"OK","Invalid")</f>
        <v>OK</v>
      </c>
      <c r="AF1606" t="str">
        <f t="shared" si="326"/>
        <v>Valid</v>
      </c>
      <c r="AG1606" t="str">
        <f t="shared" si="327"/>
        <v>Valid</v>
      </c>
      <c r="AH1606" t="str">
        <f t="shared" si="328"/>
        <v>Valid</v>
      </c>
      <c r="AI1606" t="str">
        <f t="shared" si="329"/>
        <v>Valid</v>
      </c>
      <c r="AJ1606" t="str">
        <f t="shared" si="330"/>
        <v>Valid</v>
      </c>
      <c r="AK1606" t="str">
        <f t="shared" si="337"/>
        <v xml:space="preserve">Valid </v>
      </c>
      <c r="AL1606" t="str">
        <f>IF(AND(Audit_Data[[#This Row],[Recency]]&gt;=0,Audit_Data[[#This Row],[Recency]]&lt;=100),"Valid","Invalid")</f>
        <v>Valid</v>
      </c>
      <c r="AM1606" t="str">
        <f t="shared" si="331"/>
        <v>Valid</v>
      </c>
      <c r="AN1606" t="str">
        <f t="shared" si="332"/>
        <v>Valid</v>
      </c>
      <c r="AO1606" t="str">
        <f t="shared" si="333"/>
        <v>Valid</v>
      </c>
      <c r="AP1606" t="str">
        <f t="shared" si="334"/>
        <v>Valid</v>
      </c>
      <c r="AQ1606" t="str">
        <f>IF(Audit_Data[[#This Row],[Z_CostContact]]=3,"Valid","Invalid")</f>
        <v>Valid</v>
      </c>
      <c r="AR1606" t="str">
        <f t="shared" si="335"/>
        <v>Valid</v>
      </c>
      <c r="AS1606" t="str">
        <f t="shared" si="336"/>
        <v>Valid</v>
      </c>
    </row>
    <row r="1607" spans="1:45" x14ac:dyDescent="0.3">
      <c r="A1607">
        <v>5062</v>
      </c>
      <c r="B1607">
        <v>1963</v>
      </c>
      <c r="C1607" t="s">
        <v>32</v>
      </c>
      <c r="D1607" t="s">
        <v>33</v>
      </c>
      <c r="E1607">
        <v>54072</v>
      </c>
      <c r="F1607">
        <v>1</v>
      </c>
      <c r="G1607">
        <v>1</v>
      </c>
      <c r="H1607" s="1">
        <v>41482</v>
      </c>
      <c r="I1607">
        <v>71</v>
      </c>
      <c r="J1607">
        <v>35</v>
      </c>
      <c r="K1607">
        <v>0</v>
      </c>
      <c r="L1607">
        <v>4</v>
      </c>
      <c r="M1607">
        <v>0</v>
      </c>
      <c r="N1607">
        <v>0</v>
      </c>
      <c r="O1607">
        <v>0</v>
      </c>
      <c r="P1607">
        <v>1</v>
      </c>
      <c r="Q1607">
        <v>2</v>
      </c>
      <c r="R1607">
        <v>0</v>
      </c>
      <c r="S1607">
        <v>2</v>
      </c>
      <c r="T1607">
        <v>8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3</v>
      </c>
      <c r="AB1607">
        <v>11</v>
      </c>
      <c r="AC1607">
        <v>0</v>
      </c>
      <c r="AD1607" t="str">
        <f t="shared" si="325"/>
        <v>Ok</v>
      </c>
      <c r="AE1607" t="str">
        <f>IF(AND(Audit_Data[[#This Row],[Year_Birth]]&gt;=1900,Audit_Data[[#This Row],[Year_Birth]]&lt;=2010),"OK","Invalid")</f>
        <v>OK</v>
      </c>
      <c r="AF1607" t="str">
        <f t="shared" si="326"/>
        <v>Valid</v>
      </c>
      <c r="AG1607" t="str">
        <f t="shared" si="327"/>
        <v>Valid</v>
      </c>
      <c r="AH1607" t="str">
        <f t="shared" si="328"/>
        <v>Valid</v>
      </c>
      <c r="AI1607" t="str">
        <f t="shared" si="329"/>
        <v>Valid</v>
      </c>
      <c r="AJ1607" t="str">
        <f t="shared" si="330"/>
        <v>Valid</v>
      </c>
      <c r="AK1607" t="str">
        <f t="shared" si="337"/>
        <v xml:space="preserve">Valid </v>
      </c>
      <c r="AL1607" t="str">
        <f>IF(AND(Audit_Data[[#This Row],[Recency]]&gt;=0,Audit_Data[[#This Row],[Recency]]&lt;=100),"Valid","Invalid")</f>
        <v>Valid</v>
      </c>
      <c r="AM1607" t="str">
        <f t="shared" si="331"/>
        <v>Valid</v>
      </c>
      <c r="AN1607" t="str">
        <f t="shared" si="332"/>
        <v>Valid</v>
      </c>
      <c r="AO1607" t="str">
        <f t="shared" si="333"/>
        <v>Valid</v>
      </c>
      <c r="AP1607" t="str">
        <f t="shared" si="334"/>
        <v>Valid</v>
      </c>
      <c r="AQ1607" t="str">
        <f>IF(Audit_Data[[#This Row],[Z_CostContact]]=3,"Valid","Invalid")</f>
        <v>Valid</v>
      </c>
      <c r="AR1607" t="str">
        <f t="shared" si="335"/>
        <v>Valid</v>
      </c>
      <c r="AS1607" t="str">
        <f t="shared" si="336"/>
        <v>Valid</v>
      </c>
    </row>
    <row r="1608" spans="1:45" x14ac:dyDescent="0.3">
      <c r="A1608">
        <v>8969</v>
      </c>
      <c r="B1608">
        <v>1977</v>
      </c>
      <c r="C1608" t="s">
        <v>29</v>
      </c>
      <c r="D1608" t="s">
        <v>33</v>
      </c>
      <c r="E1608">
        <v>71855</v>
      </c>
      <c r="F1608">
        <v>0</v>
      </c>
      <c r="G1608">
        <v>1</v>
      </c>
      <c r="H1608" s="1">
        <v>41290</v>
      </c>
      <c r="I1608">
        <v>59</v>
      </c>
      <c r="J1608">
        <v>548</v>
      </c>
      <c r="K1608">
        <v>31</v>
      </c>
      <c r="L1608">
        <v>422</v>
      </c>
      <c r="M1608">
        <v>0</v>
      </c>
      <c r="N1608">
        <v>112</v>
      </c>
      <c r="O1608">
        <v>28</v>
      </c>
      <c r="P1608">
        <v>4</v>
      </c>
      <c r="Q1608">
        <v>5</v>
      </c>
      <c r="R1608">
        <v>5</v>
      </c>
      <c r="S1608">
        <v>11</v>
      </c>
      <c r="T1608">
        <v>3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3</v>
      </c>
      <c r="AB1608">
        <v>11</v>
      </c>
      <c r="AC1608">
        <v>0</v>
      </c>
      <c r="AD1608" t="str">
        <f t="shared" si="325"/>
        <v>Ok</v>
      </c>
      <c r="AE1608" t="str">
        <f>IF(AND(Audit_Data[[#This Row],[Year_Birth]]&gt;=1900,Audit_Data[[#This Row],[Year_Birth]]&lt;=2010),"OK","Invalid")</f>
        <v>OK</v>
      </c>
      <c r="AF1608" t="str">
        <f t="shared" si="326"/>
        <v>Valid</v>
      </c>
      <c r="AG1608" t="str">
        <f t="shared" si="327"/>
        <v>Valid</v>
      </c>
      <c r="AH1608" t="str">
        <f t="shared" si="328"/>
        <v>Valid</v>
      </c>
      <c r="AI1608" t="str">
        <f t="shared" si="329"/>
        <v>Valid</v>
      </c>
      <c r="AJ1608" t="str">
        <f t="shared" si="330"/>
        <v>Valid</v>
      </c>
      <c r="AK1608" t="str">
        <f t="shared" si="337"/>
        <v xml:space="preserve">Valid </v>
      </c>
      <c r="AL1608" t="str">
        <f>IF(AND(Audit_Data[[#This Row],[Recency]]&gt;=0,Audit_Data[[#This Row],[Recency]]&lt;=100),"Valid","Invalid")</f>
        <v>Valid</v>
      </c>
      <c r="AM1608" t="str">
        <f t="shared" si="331"/>
        <v>Valid</v>
      </c>
      <c r="AN1608" t="str">
        <f t="shared" si="332"/>
        <v>Valid</v>
      </c>
      <c r="AO1608" t="str">
        <f t="shared" si="333"/>
        <v>Valid</v>
      </c>
      <c r="AP1608" t="str">
        <f t="shared" si="334"/>
        <v>Valid</v>
      </c>
      <c r="AQ1608" t="str">
        <f>IF(Audit_Data[[#This Row],[Z_CostContact]]=3,"Valid","Invalid")</f>
        <v>Valid</v>
      </c>
      <c r="AR1608" t="str">
        <f t="shared" si="335"/>
        <v>Valid</v>
      </c>
      <c r="AS1608" t="str">
        <f t="shared" si="336"/>
        <v>Valid</v>
      </c>
    </row>
    <row r="1609" spans="1:45" x14ac:dyDescent="0.3">
      <c r="A1609">
        <v>4656</v>
      </c>
      <c r="B1609">
        <v>1990</v>
      </c>
      <c r="C1609" t="s">
        <v>37</v>
      </c>
      <c r="D1609" t="s">
        <v>30</v>
      </c>
      <c r="E1609">
        <v>51250</v>
      </c>
      <c r="F1609">
        <v>1</v>
      </c>
      <c r="G1609">
        <v>0</v>
      </c>
      <c r="H1609" s="1">
        <v>41363</v>
      </c>
      <c r="I1609">
        <v>28</v>
      </c>
      <c r="J1609">
        <v>342</v>
      </c>
      <c r="K1609">
        <v>32</v>
      </c>
      <c r="L1609">
        <v>230</v>
      </c>
      <c r="M1609">
        <v>34</v>
      </c>
      <c r="N1609">
        <v>32</v>
      </c>
      <c r="O1609">
        <v>40</v>
      </c>
      <c r="P1609">
        <v>5</v>
      </c>
      <c r="Q1609">
        <v>10</v>
      </c>
      <c r="R1609">
        <v>5</v>
      </c>
      <c r="S1609">
        <v>4</v>
      </c>
      <c r="T1609">
        <v>9</v>
      </c>
      <c r="U1609">
        <v>1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3</v>
      </c>
      <c r="AB1609">
        <v>11</v>
      </c>
      <c r="AC1609">
        <v>0</v>
      </c>
      <c r="AD1609" t="str">
        <f t="shared" si="325"/>
        <v>Ok</v>
      </c>
      <c r="AE1609" t="str">
        <f>IF(AND(Audit_Data[[#This Row],[Year_Birth]]&gt;=1900,Audit_Data[[#This Row],[Year_Birth]]&lt;=2010),"OK","Invalid")</f>
        <v>OK</v>
      </c>
      <c r="AF1609" t="str">
        <f t="shared" si="326"/>
        <v>Valid</v>
      </c>
      <c r="AG1609" t="str">
        <f t="shared" si="327"/>
        <v>Valid</v>
      </c>
      <c r="AH1609" t="str">
        <f t="shared" si="328"/>
        <v>Valid</v>
      </c>
      <c r="AI1609" t="str">
        <f t="shared" si="329"/>
        <v>Valid</v>
      </c>
      <c r="AJ1609" t="str">
        <f t="shared" si="330"/>
        <v>Valid</v>
      </c>
      <c r="AK1609" t="str">
        <f t="shared" si="337"/>
        <v xml:space="preserve">Valid </v>
      </c>
      <c r="AL1609" t="str">
        <f>IF(AND(Audit_Data[[#This Row],[Recency]]&gt;=0,Audit_Data[[#This Row],[Recency]]&lt;=100),"Valid","Invalid")</f>
        <v>Valid</v>
      </c>
      <c r="AM1609" t="str">
        <f t="shared" si="331"/>
        <v>Valid</v>
      </c>
      <c r="AN1609" t="str">
        <f t="shared" si="332"/>
        <v>Valid</v>
      </c>
      <c r="AO1609" t="str">
        <f t="shared" si="333"/>
        <v>Valid</v>
      </c>
      <c r="AP1609" t="str">
        <f t="shared" si="334"/>
        <v>Valid</v>
      </c>
      <c r="AQ1609" t="str">
        <f>IF(Audit_Data[[#This Row],[Z_CostContact]]=3,"Valid","Invalid")</f>
        <v>Valid</v>
      </c>
      <c r="AR1609" t="str">
        <f t="shared" si="335"/>
        <v>Valid</v>
      </c>
      <c r="AS1609" t="str">
        <f t="shared" si="336"/>
        <v>Valid</v>
      </c>
    </row>
    <row r="1610" spans="1:45" x14ac:dyDescent="0.3">
      <c r="A1610">
        <v>4480</v>
      </c>
      <c r="B1610">
        <v>1973</v>
      </c>
      <c r="C1610" t="s">
        <v>34</v>
      </c>
      <c r="D1610" t="s">
        <v>33</v>
      </c>
      <c r="E1610">
        <v>60432</v>
      </c>
      <c r="F1610">
        <v>0</v>
      </c>
      <c r="G1610">
        <v>1</v>
      </c>
      <c r="H1610" s="1">
        <v>41707</v>
      </c>
      <c r="I1610">
        <v>61</v>
      </c>
      <c r="J1610">
        <v>365</v>
      </c>
      <c r="K1610">
        <v>3</v>
      </c>
      <c r="L1610">
        <v>15</v>
      </c>
      <c r="M1610">
        <v>4</v>
      </c>
      <c r="N1610">
        <v>3</v>
      </c>
      <c r="O1610">
        <v>11</v>
      </c>
      <c r="P1610">
        <v>5</v>
      </c>
      <c r="Q1610">
        <v>7</v>
      </c>
      <c r="R1610">
        <v>2</v>
      </c>
      <c r="S1610">
        <v>5</v>
      </c>
      <c r="T1610">
        <v>6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3</v>
      </c>
      <c r="AB1610">
        <v>11</v>
      </c>
      <c r="AC1610">
        <v>0</v>
      </c>
      <c r="AD1610" t="str">
        <f t="shared" si="325"/>
        <v>Ok</v>
      </c>
      <c r="AE1610" t="str">
        <f>IF(AND(Audit_Data[[#This Row],[Year_Birth]]&gt;=1900,Audit_Data[[#This Row],[Year_Birth]]&lt;=2010),"OK","Invalid")</f>
        <v>OK</v>
      </c>
      <c r="AF1610" t="str">
        <f t="shared" si="326"/>
        <v>Valid</v>
      </c>
      <c r="AG1610" t="str">
        <f t="shared" si="327"/>
        <v>Valid</v>
      </c>
      <c r="AH1610" t="str">
        <f t="shared" si="328"/>
        <v>Valid</v>
      </c>
      <c r="AI1610" t="str">
        <f t="shared" si="329"/>
        <v>Valid</v>
      </c>
      <c r="AJ1610" t="str">
        <f t="shared" si="330"/>
        <v>Valid</v>
      </c>
      <c r="AK1610" t="str">
        <f t="shared" si="337"/>
        <v xml:space="preserve">Valid </v>
      </c>
      <c r="AL1610" t="str">
        <f>IF(AND(Audit_Data[[#This Row],[Recency]]&gt;=0,Audit_Data[[#This Row],[Recency]]&lt;=100),"Valid","Invalid")</f>
        <v>Valid</v>
      </c>
      <c r="AM1610" t="str">
        <f t="shared" si="331"/>
        <v>Valid</v>
      </c>
      <c r="AN1610" t="str">
        <f t="shared" si="332"/>
        <v>Valid</v>
      </c>
      <c r="AO1610" t="str">
        <f t="shared" si="333"/>
        <v>Valid</v>
      </c>
      <c r="AP1610" t="str">
        <f t="shared" si="334"/>
        <v>Valid</v>
      </c>
      <c r="AQ1610" t="str">
        <f>IF(Audit_Data[[#This Row],[Z_CostContact]]=3,"Valid","Invalid")</f>
        <v>Valid</v>
      </c>
      <c r="AR1610" t="str">
        <f t="shared" si="335"/>
        <v>Valid</v>
      </c>
      <c r="AS1610" t="str">
        <f t="shared" si="336"/>
        <v>Valid</v>
      </c>
    </row>
    <row r="1611" spans="1:45" x14ac:dyDescent="0.3">
      <c r="A1611">
        <v>9971</v>
      </c>
      <c r="B1611">
        <v>1964</v>
      </c>
      <c r="C1611" t="s">
        <v>32</v>
      </c>
      <c r="D1611" t="s">
        <v>33</v>
      </c>
      <c r="E1611">
        <v>65526</v>
      </c>
      <c r="F1611">
        <v>0</v>
      </c>
      <c r="G1611">
        <v>1</v>
      </c>
      <c r="H1611" s="1">
        <v>41740</v>
      </c>
      <c r="I1611">
        <v>22</v>
      </c>
      <c r="J1611">
        <v>397</v>
      </c>
      <c r="K1611">
        <v>19</v>
      </c>
      <c r="L1611">
        <v>69</v>
      </c>
      <c r="M1611">
        <v>12</v>
      </c>
      <c r="N1611">
        <v>0</v>
      </c>
      <c r="O1611">
        <v>9</v>
      </c>
      <c r="P1611">
        <v>1</v>
      </c>
      <c r="Q1611">
        <v>4</v>
      </c>
      <c r="R1611">
        <v>4</v>
      </c>
      <c r="S1611">
        <v>8</v>
      </c>
      <c r="T1611">
        <v>2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3</v>
      </c>
      <c r="AB1611">
        <v>11</v>
      </c>
      <c r="AC1611">
        <v>0</v>
      </c>
      <c r="AD1611" t="str">
        <f t="shared" si="325"/>
        <v>Ok</v>
      </c>
      <c r="AE1611" t="str">
        <f>IF(AND(Audit_Data[[#This Row],[Year_Birth]]&gt;=1900,Audit_Data[[#This Row],[Year_Birth]]&lt;=2010),"OK","Invalid")</f>
        <v>OK</v>
      </c>
      <c r="AF1611" t="str">
        <f t="shared" si="326"/>
        <v>Valid</v>
      </c>
      <c r="AG1611" t="str">
        <f t="shared" si="327"/>
        <v>Valid</v>
      </c>
      <c r="AH1611" t="str">
        <f t="shared" si="328"/>
        <v>Valid</v>
      </c>
      <c r="AI1611" t="str">
        <f t="shared" si="329"/>
        <v>Valid</v>
      </c>
      <c r="AJ1611" t="str">
        <f t="shared" si="330"/>
        <v>Valid</v>
      </c>
      <c r="AK1611" t="str">
        <f t="shared" si="337"/>
        <v xml:space="preserve">Valid </v>
      </c>
      <c r="AL1611" t="str">
        <f>IF(AND(Audit_Data[[#This Row],[Recency]]&gt;=0,Audit_Data[[#This Row],[Recency]]&lt;=100),"Valid","Invalid")</f>
        <v>Valid</v>
      </c>
      <c r="AM1611" t="str">
        <f t="shared" si="331"/>
        <v>Valid</v>
      </c>
      <c r="AN1611" t="str">
        <f t="shared" si="332"/>
        <v>Valid</v>
      </c>
      <c r="AO1611" t="str">
        <f t="shared" si="333"/>
        <v>Valid</v>
      </c>
      <c r="AP1611" t="str">
        <f t="shared" si="334"/>
        <v>Valid</v>
      </c>
      <c r="AQ1611" t="str">
        <f>IF(Audit_Data[[#This Row],[Z_CostContact]]=3,"Valid","Invalid")</f>
        <v>Valid</v>
      </c>
      <c r="AR1611" t="str">
        <f t="shared" si="335"/>
        <v>Valid</v>
      </c>
      <c r="AS1611" t="str">
        <f t="shared" si="336"/>
        <v>Valid</v>
      </c>
    </row>
    <row r="1612" spans="1:45" x14ac:dyDescent="0.3">
      <c r="A1612">
        <v>6729</v>
      </c>
      <c r="B1612">
        <v>1988</v>
      </c>
      <c r="C1612" t="s">
        <v>29</v>
      </c>
      <c r="D1612" t="s">
        <v>30</v>
      </c>
      <c r="E1612">
        <v>68655</v>
      </c>
      <c r="F1612">
        <v>0</v>
      </c>
      <c r="G1612">
        <v>0</v>
      </c>
      <c r="H1612" s="1">
        <v>41131</v>
      </c>
      <c r="I1612">
        <v>95</v>
      </c>
      <c r="J1612">
        <v>456</v>
      </c>
      <c r="K1612">
        <v>19</v>
      </c>
      <c r="L1612">
        <v>832</v>
      </c>
      <c r="M1612">
        <v>75</v>
      </c>
      <c r="N1612">
        <v>118</v>
      </c>
      <c r="O1612">
        <v>38</v>
      </c>
      <c r="P1612">
        <v>1</v>
      </c>
      <c r="Q1612">
        <v>4</v>
      </c>
      <c r="R1612">
        <v>5</v>
      </c>
      <c r="S1612">
        <v>11</v>
      </c>
      <c r="T1612">
        <v>3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3</v>
      </c>
      <c r="AB1612">
        <v>11</v>
      </c>
      <c r="AC1612">
        <v>0</v>
      </c>
      <c r="AD1612" t="str">
        <f t="shared" si="325"/>
        <v>Ok</v>
      </c>
      <c r="AE1612" t="str">
        <f>IF(AND(Audit_Data[[#This Row],[Year_Birth]]&gt;=1900,Audit_Data[[#This Row],[Year_Birth]]&lt;=2010),"OK","Invalid")</f>
        <v>OK</v>
      </c>
      <c r="AF1612" t="str">
        <f t="shared" si="326"/>
        <v>Valid</v>
      </c>
      <c r="AG1612" t="str">
        <f t="shared" si="327"/>
        <v>Valid</v>
      </c>
      <c r="AH1612" t="str">
        <f t="shared" si="328"/>
        <v>Valid</v>
      </c>
      <c r="AI1612" t="str">
        <f t="shared" si="329"/>
        <v>Valid</v>
      </c>
      <c r="AJ1612" t="str">
        <f t="shared" si="330"/>
        <v>Valid</v>
      </c>
      <c r="AK1612" t="str">
        <f t="shared" si="337"/>
        <v xml:space="preserve">Valid </v>
      </c>
      <c r="AL1612" t="str">
        <f>IF(AND(Audit_Data[[#This Row],[Recency]]&gt;=0,Audit_Data[[#This Row],[Recency]]&lt;=100),"Valid","Invalid")</f>
        <v>Valid</v>
      </c>
      <c r="AM1612" t="str">
        <f t="shared" si="331"/>
        <v>Valid</v>
      </c>
      <c r="AN1612" t="str">
        <f t="shared" si="332"/>
        <v>Valid</v>
      </c>
      <c r="AO1612" t="str">
        <f t="shared" si="333"/>
        <v>Valid</v>
      </c>
      <c r="AP1612" t="str">
        <f t="shared" si="334"/>
        <v>Valid</v>
      </c>
      <c r="AQ1612" t="str">
        <f>IF(Audit_Data[[#This Row],[Z_CostContact]]=3,"Valid","Invalid")</f>
        <v>Valid</v>
      </c>
      <c r="AR1612" t="str">
        <f t="shared" si="335"/>
        <v>Valid</v>
      </c>
      <c r="AS1612" t="str">
        <f t="shared" si="336"/>
        <v>Valid</v>
      </c>
    </row>
    <row r="1613" spans="1:45" x14ac:dyDescent="0.3">
      <c r="A1613">
        <v>1773</v>
      </c>
      <c r="B1613">
        <v>1978</v>
      </c>
      <c r="C1613" t="s">
        <v>37</v>
      </c>
      <c r="D1613" t="s">
        <v>33</v>
      </c>
      <c r="E1613">
        <v>12393</v>
      </c>
      <c r="F1613">
        <v>0</v>
      </c>
      <c r="G1613">
        <v>0</v>
      </c>
      <c r="H1613" s="1">
        <v>41247</v>
      </c>
      <c r="I1613">
        <v>38</v>
      </c>
      <c r="J1613">
        <v>5</v>
      </c>
      <c r="K1613">
        <v>6</v>
      </c>
      <c r="L1613">
        <v>15</v>
      </c>
      <c r="M1613">
        <v>11</v>
      </c>
      <c r="N1613">
        <v>7</v>
      </c>
      <c r="O1613">
        <v>13</v>
      </c>
      <c r="P1613">
        <v>1</v>
      </c>
      <c r="Q1613">
        <v>2</v>
      </c>
      <c r="R1613">
        <v>0</v>
      </c>
      <c r="S1613">
        <v>3</v>
      </c>
      <c r="T1613">
        <v>9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3</v>
      </c>
      <c r="AB1613">
        <v>11</v>
      </c>
      <c r="AC1613">
        <v>0</v>
      </c>
      <c r="AD1613" t="str">
        <f t="shared" si="325"/>
        <v>Ok</v>
      </c>
      <c r="AE1613" t="str">
        <f>IF(AND(Audit_Data[[#This Row],[Year_Birth]]&gt;=1900,Audit_Data[[#This Row],[Year_Birth]]&lt;=2010),"OK","Invalid")</f>
        <v>OK</v>
      </c>
      <c r="AF1613" t="str">
        <f t="shared" si="326"/>
        <v>Valid</v>
      </c>
      <c r="AG1613" t="str">
        <f t="shared" si="327"/>
        <v>Valid</v>
      </c>
      <c r="AH1613" t="str">
        <f t="shared" si="328"/>
        <v>Valid</v>
      </c>
      <c r="AI1613" t="str">
        <f t="shared" si="329"/>
        <v>Valid</v>
      </c>
      <c r="AJ1613" t="str">
        <f t="shared" si="330"/>
        <v>Valid</v>
      </c>
      <c r="AK1613" t="str">
        <f t="shared" si="337"/>
        <v xml:space="preserve">Valid </v>
      </c>
      <c r="AL1613" t="str">
        <f>IF(AND(Audit_Data[[#This Row],[Recency]]&gt;=0,Audit_Data[[#This Row],[Recency]]&lt;=100),"Valid","Invalid")</f>
        <v>Valid</v>
      </c>
      <c r="AM1613" t="str">
        <f t="shared" si="331"/>
        <v>Valid</v>
      </c>
      <c r="AN1613" t="str">
        <f t="shared" si="332"/>
        <v>Valid</v>
      </c>
      <c r="AO1613" t="str">
        <f t="shared" si="333"/>
        <v>Valid</v>
      </c>
      <c r="AP1613" t="str">
        <f t="shared" si="334"/>
        <v>Valid</v>
      </c>
      <c r="AQ1613" t="str">
        <f>IF(Audit_Data[[#This Row],[Z_CostContact]]=3,"Valid","Invalid")</f>
        <v>Valid</v>
      </c>
      <c r="AR1613" t="str">
        <f t="shared" si="335"/>
        <v>Valid</v>
      </c>
      <c r="AS1613" t="str">
        <f t="shared" si="336"/>
        <v>Valid</v>
      </c>
    </row>
    <row r="1614" spans="1:45" x14ac:dyDescent="0.3">
      <c r="A1614">
        <v>9242</v>
      </c>
      <c r="B1614">
        <v>1990</v>
      </c>
      <c r="C1614" t="s">
        <v>29</v>
      </c>
      <c r="D1614" t="s">
        <v>30</v>
      </c>
      <c r="E1614">
        <v>64509</v>
      </c>
      <c r="F1614">
        <v>0</v>
      </c>
      <c r="G1614">
        <v>0</v>
      </c>
      <c r="H1614" s="1">
        <v>41503</v>
      </c>
      <c r="I1614">
        <v>19</v>
      </c>
      <c r="J1614">
        <v>836</v>
      </c>
      <c r="K1614">
        <v>185</v>
      </c>
      <c r="L1614">
        <v>575</v>
      </c>
      <c r="M1614">
        <v>24</v>
      </c>
      <c r="N1614">
        <v>25</v>
      </c>
      <c r="O1614">
        <v>77</v>
      </c>
      <c r="P1614">
        <v>1</v>
      </c>
      <c r="Q1614">
        <v>6</v>
      </c>
      <c r="R1614">
        <v>3</v>
      </c>
      <c r="S1614">
        <v>9</v>
      </c>
      <c r="T1614">
        <v>4</v>
      </c>
      <c r="U1614">
        <v>1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3</v>
      </c>
      <c r="AB1614">
        <v>11</v>
      </c>
      <c r="AC1614">
        <v>1</v>
      </c>
      <c r="AD1614" t="str">
        <f t="shared" si="325"/>
        <v>Ok</v>
      </c>
      <c r="AE1614" t="str">
        <f>IF(AND(Audit_Data[[#This Row],[Year_Birth]]&gt;=1900,Audit_Data[[#This Row],[Year_Birth]]&lt;=2010),"OK","Invalid")</f>
        <v>OK</v>
      </c>
      <c r="AF1614" t="str">
        <f t="shared" si="326"/>
        <v>Valid</v>
      </c>
      <c r="AG1614" t="str">
        <f t="shared" si="327"/>
        <v>Valid</v>
      </c>
      <c r="AH1614" t="str">
        <f t="shared" si="328"/>
        <v>Valid</v>
      </c>
      <c r="AI1614" t="str">
        <f t="shared" si="329"/>
        <v>Valid</v>
      </c>
      <c r="AJ1614" t="str">
        <f t="shared" si="330"/>
        <v>Valid</v>
      </c>
      <c r="AK1614" t="str">
        <f t="shared" si="337"/>
        <v xml:space="preserve">Valid </v>
      </c>
      <c r="AL1614" t="str">
        <f>IF(AND(Audit_Data[[#This Row],[Recency]]&gt;=0,Audit_Data[[#This Row],[Recency]]&lt;=100),"Valid","Invalid")</f>
        <v>Valid</v>
      </c>
      <c r="AM1614" t="str">
        <f t="shared" si="331"/>
        <v>Valid</v>
      </c>
      <c r="AN1614" t="str">
        <f t="shared" si="332"/>
        <v>Valid</v>
      </c>
      <c r="AO1614" t="str">
        <f t="shared" si="333"/>
        <v>Valid</v>
      </c>
      <c r="AP1614" t="str">
        <f t="shared" si="334"/>
        <v>Valid</v>
      </c>
      <c r="AQ1614" t="str">
        <f>IF(Audit_Data[[#This Row],[Z_CostContact]]=3,"Valid","Invalid")</f>
        <v>Valid</v>
      </c>
      <c r="AR1614" t="str">
        <f t="shared" si="335"/>
        <v>Valid</v>
      </c>
      <c r="AS1614" t="str">
        <f t="shared" si="336"/>
        <v>Valid</v>
      </c>
    </row>
    <row r="1615" spans="1:45" x14ac:dyDescent="0.3">
      <c r="A1615">
        <v>1764</v>
      </c>
      <c r="B1615">
        <v>1975</v>
      </c>
      <c r="C1615" t="s">
        <v>29</v>
      </c>
      <c r="D1615" t="s">
        <v>30</v>
      </c>
      <c r="E1615">
        <v>33955</v>
      </c>
      <c r="F1615">
        <v>1</v>
      </c>
      <c r="G1615">
        <v>0</v>
      </c>
      <c r="H1615" s="1">
        <v>41495</v>
      </c>
      <c r="I1615">
        <v>92</v>
      </c>
      <c r="J1615">
        <v>100</v>
      </c>
      <c r="K1615">
        <v>2</v>
      </c>
      <c r="L1615">
        <v>128</v>
      </c>
      <c r="M1615">
        <v>23</v>
      </c>
      <c r="N1615">
        <v>7</v>
      </c>
      <c r="O1615">
        <v>10</v>
      </c>
      <c r="P1615">
        <v>4</v>
      </c>
      <c r="Q1615">
        <v>5</v>
      </c>
      <c r="R1615">
        <v>1</v>
      </c>
      <c r="S1615">
        <v>5</v>
      </c>
      <c r="T1615">
        <v>8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3</v>
      </c>
      <c r="AB1615">
        <v>11</v>
      </c>
      <c r="AC1615">
        <v>0</v>
      </c>
      <c r="AD1615" t="str">
        <f t="shared" si="325"/>
        <v>Ok</v>
      </c>
      <c r="AE1615" t="str">
        <f>IF(AND(Audit_Data[[#This Row],[Year_Birth]]&gt;=1900,Audit_Data[[#This Row],[Year_Birth]]&lt;=2010),"OK","Invalid")</f>
        <v>OK</v>
      </c>
      <c r="AF1615" t="str">
        <f t="shared" si="326"/>
        <v>Valid</v>
      </c>
      <c r="AG1615" t="str">
        <f t="shared" si="327"/>
        <v>Valid</v>
      </c>
      <c r="AH1615" t="str">
        <f t="shared" si="328"/>
        <v>Valid</v>
      </c>
      <c r="AI1615" t="str">
        <f t="shared" si="329"/>
        <v>Valid</v>
      </c>
      <c r="AJ1615" t="str">
        <f t="shared" si="330"/>
        <v>Valid</v>
      </c>
      <c r="AK1615" t="str">
        <f t="shared" si="337"/>
        <v xml:space="preserve">Valid </v>
      </c>
      <c r="AL1615" t="str">
        <f>IF(AND(Audit_Data[[#This Row],[Recency]]&gt;=0,Audit_Data[[#This Row],[Recency]]&lt;=100),"Valid","Invalid")</f>
        <v>Valid</v>
      </c>
      <c r="AM1615" t="str">
        <f t="shared" si="331"/>
        <v>Valid</v>
      </c>
      <c r="AN1615" t="str">
        <f t="shared" si="332"/>
        <v>Valid</v>
      </c>
      <c r="AO1615" t="str">
        <f t="shared" si="333"/>
        <v>Valid</v>
      </c>
      <c r="AP1615" t="str">
        <f t="shared" si="334"/>
        <v>Valid</v>
      </c>
      <c r="AQ1615" t="str">
        <f>IF(Audit_Data[[#This Row],[Z_CostContact]]=3,"Valid","Invalid")</f>
        <v>Valid</v>
      </c>
      <c r="AR1615" t="str">
        <f t="shared" si="335"/>
        <v>Valid</v>
      </c>
      <c r="AS1615" t="str">
        <f t="shared" si="336"/>
        <v>Valid</v>
      </c>
    </row>
    <row r="1616" spans="1:45" x14ac:dyDescent="0.3">
      <c r="A1616">
        <v>6215</v>
      </c>
      <c r="B1616">
        <v>1977</v>
      </c>
      <c r="C1616" t="s">
        <v>29</v>
      </c>
      <c r="D1616" t="s">
        <v>33</v>
      </c>
      <c r="E1616">
        <v>31353</v>
      </c>
      <c r="F1616">
        <v>1</v>
      </c>
      <c r="G1616">
        <v>1</v>
      </c>
      <c r="H1616" s="1">
        <v>41637</v>
      </c>
      <c r="I1616">
        <v>24</v>
      </c>
      <c r="J1616">
        <v>10</v>
      </c>
      <c r="K1616">
        <v>0</v>
      </c>
      <c r="L1616">
        <v>10</v>
      </c>
      <c r="M1616">
        <v>3</v>
      </c>
      <c r="N1616">
        <v>1</v>
      </c>
      <c r="O1616">
        <v>7</v>
      </c>
      <c r="P1616">
        <v>2</v>
      </c>
      <c r="Q1616">
        <v>1</v>
      </c>
      <c r="R1616">
        <v>1</v>
      </c>
      <c r="S1616">
        <v>2</v>
      </c>
      <c r="T1616">
        <v>8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3</v>
      </c>
      <c r="AB1616">
        <v>11</v>
      </c>
      <c r="AC1616">
        <v>1</v>
      </c>
      <c r="AD1616" t="str">
        <f t="shared" si="325"/>
        <v>Ok</v>
      </c>
      <c r="AE1616" t="str">
        <f>IF(AND(Audit_Data[[#This Row],[Year_Birth]]&gt;=1900,Audit_Data[[#This Row],[Year_Birth]]&lt;=2010),"OK","Invalid")</f>
        <v>OK</v>
      </c>
      <c r="AF1616" t="str">
        <f t="shared" si="326"/>
        <v>Valid</v>
      </c>
      <c r="AG1616" t="str">
        <f t="shared" si="327"/>
        <v>Valid</v>
      </c>
      <c r="AH1616" t="str">
        <f t="shared" si="328"/>
        <v>Valid</v>
      </c>
      <c r="AI1616" t="str">
        <f t="shared" si="329"/>
        <v>Valid</v>
      </c>
      <c r="AJ1616" t="str">
        <f t="shared" si="330"/>
        <v>Valid</v>
      </c>
      <c r="AK1616" t="str">
        <f t="shared" si="337"/>
        <v xml:space="preserve">Valid </v>
      </c>
      <c r="AL1616" t="str">
        <f>IF(AND(Audit_Data[[#This Row],[Recency]]&gt;=0,Audit_Data[[#This Row],[Recency]]&lt;=100),"Valid","Invalid")</f>
        <v>Valid</v>
      </c>
      <c r="AM1616" t="str">
        <f t="shared" si="331"/>
        <v>Valid</v>
      </c>
      <c r="AN1616" t="str">
        <f t="shared" si="332"/>
        <v>Valid</v>
      </c>
      <c r="AO1616" t="str">
        <f t="shared" si="333"/>
        <v>Valid</v>
      </c>
      <c r="AP1616" t="str">
        <f t="shared" si="334"/>
        <v>Valid</v>
      </c>
      <c r="AQ1616" t="str">
        <f>IF(Audit_Data[[#This Row],[Z_CostContact]]=3,"Valid","Invalid")</f>
        <v>Valid</v>
      </c>
      <c r="AR1616" t="str">
        <f t="shared" si="335"/>
        <v>Valid</v>
      </c>
      <c r="AS1616" t="str">
        <f t="shared" si="336"/>
        <v>Valid</v>
      </c>
    </row>
    <row r="1617" spans="1:45" x14ac:dyDescent="0.3">
      <c r="A1617">
        <v>10099</v>
      </c>
      <c r="B1617">
        <v>1984</v>
      </c>
      <c r="C1617" t="s">
        <v>29</v>
      </c>
      <c r="D1617" t="s">
        <v>33</v>
      </c>
      <c r="E1617">
        <v>55434</v>
      </c>
      <c r="F1617">
        <v>1</v>
      </c>
      <c r="G1617">
        <v>0</v>
      </c>
      <c r="H1617" s="1">
        <v>41552</v>
      </c>
      <c r="I1617">
        <v>21</v>
      </c>
      <c r="J1617">
        <v>238</v>
      </c>
      <c r="K1617">
        <v>115</v>
      </c>
      <c r="L1617">
        <v>215</v>
      </c>
      <c r="M1617">
        <v>169</v>
      </c>
      <c r="N1617">
        <v>69</v>
      </c>
      <c r="O1617">
        <v>76</v>
      </c>
      <c r="P1617">
        <v>3</v>
      </c>
      <c r="Q1617">
        <v>5</v>
      </c>
      <c r="R1617">
        <v>3</v>
      </c>
      <c r="S1617">
        <v>13</v>
      </c>
      <c r="T1617">
        <v>4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3</v>
      </c>
      <c r="AB1617">
        <v>11</v>
      </c>
      <c r="AC1617">
        <v>0</v>
      </c>
      <c r="AD1617" t="str">
        <f t="shared" si="325"/>
        <v>Ok</v>
      </c>
      <c r="AE1617" t="str">
        <f>IF(AND(Audit_Data[[#This Row],[Year_Birth]]&gt;=1900,Audit_Data[[#This Row],[Year_Birth]]&lt;=2010),"OK","Invalid")</f>
        <v>OK</v>
      </c>
      <c r="AF1617" t="str">
        <f t="shared" si="326"/>
        <v>Valid</v>
      </c>
      <c r="AG1617" t="str">
        <f t="shared" si="327"/>
        <v>Valid</v>
      </c>
      <c r="AH1617" t="str">
        <f t="shared" si="328"/>
        <v>Valid</v>
      </c>
      <c r="AI1617" t="str">
        <f t="shared" si="329"/>
        <v>Valid</v>
      </c>
      <c r="AJ1617" t="str">
        <f t="shared" si="330"/>
        <v>Valid</v>
      </c>
      <c r="AK1617" t="str">
        <f t="shared" si="337"/>
        <v xml:space="preserve">Valid </v>
      </c>
      <c r="AL1617" t="str">
        <f>IF(AND(Audit_Data[[#This Row],[Recency]]&gt;=0,Audit_Data[[#This Row],[Recency]]&lt;=100),"Valid","Invalid")</f>
        <v>Valid</v>
      </c>
      <c r="AM1617" t="str">
        <f t="shared" si="331"/>
        <v>Valid</v>
      </c>
      <c r="AN1617" t="str">
        <f t="shared" si="332"/>
        <v>Valid</v>
      </c>
      <c r="AO1617" t="str">
        <f t="shared" si="333"/>
        <v>Valid</v>
      </c>
      <c r="AP1617" t="str">
        <f t="shared" si="334"/>
        <v>Valid</v>
      </c>
      <c r="AQ1617" t="str">
        <f>IF(Audit_Data[[#This Row],[Z_CostContact]]=3,"Valid","Invalid")</f>
        <v>Valid</v>
      </c>
      <c r="AR1617" t="str">
        <f t="shared" si="335"/>
        <v>Valid</v>
      </c>
      <c r="AS1617" t="str">
        <f t="shared" si="336"/>
        <v>Valid</v>
      </c>
    </row>
    <row r="1618" spans="1:45" x14ac:dyDescent="0.3">
      <c r="A1618">
        <v>5423</v>
      </c>
      <c r="B1618">
        <v>1983</v>
      </c>
      <c r="C1618" t="s">
        <v>29</v>
      </c>
      <c r="D1618" t="s">
        <v>31</v>
      </c>
      <c r="E1618">
        <v>28359</v>
      </c>
      <c r="F1618">
        <v>1</v>
      </c>
      <c r="G1618">
        <v>0</v>
      </c>
      <c r="H1618" s="1">
        <v>41574</v>
      </c>
      <c r="I1618">
        <v>35</v>
      </c>
      <c r="J1618">
        <v>6</v>
      </c>
      <c r="K1618">
        <v>0</v>
      </c>
      <c r="L1618">
        <v>5</v>
      </c>
      <c r="M1618">
        <v>2</v>
      </c>
      <c r="N1618">
        <v>1</v>
      </c>
      <c r="O1618">
        <v>2</v>
      </c>
      <c r="P1618">
        <v>1</v>
      </c>
      <c r="Q1618">
        <v>1</v>
      </c>
      <c r="R1618">
        <v>0</v>
      </c>
      <c r="S1618">
        <v>2</v>
      </c>
      <c r="T1618">
        <v>7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3</v>
      </c>
      <c r="AB1618">
        <v>11</v>
      </c>
      <c r="AC1618">
        <v>0</v>
      </c>
      <c r="AD1618" t="str">
        <f t="shared" si="325"/>
        <v>Ok</v>
      </c>
      <c r="AE1618" t="str">
        <f>IF(AND(Audit_Data[[#This Row],[Year_Birth]]&gt;=1900,Audit_Data[[#This Row],[Year_Birth]]&lt;=2010),"OK","Invalid")</f>
        <v>OK</v>
      </c>
      <c r="AF1618" t="str">
        <f t="shared" si="326"/>
        <v>Valid</v>
      </c>
      <c r="AG1618" t="str">
        <f t="shared" si="327"/>
        <v>Valid</v>
      </c>
      <c r="AH1618" t="str">
        <f t="shared" si="328"/>
        <v>Valid</v>
      </c>
      <c r="AI1618" t="str">
        <f t="shared" si="329"/>
        <v>Valid</v>
      </c>
      <c r="AJ1618" t="str">
        <f t="shared" si="330"/>
        <v>Valid</v>
      </c>
      <c r="AK1618" t="str">
        <f t="shared" si="337"/>
        <v xml:space="preserve">Valid </v>
      </c>
      <c r="AL1618" t="str">
        <f>IF(AND(Audit_Data[[#This Row],[Recency]]&gt;=0,Audit_Data[[#This Row],[Recency]]&lt;=100),"Valid","Invalid")</f>
        <v>Valid</v>
      </c>
      <c r="AM1618" t="str">
        <f t="shared" si="331"/>
        <v>Valid</v>
      </c>
      <c r="AN1618" t="str">
        <f t="shared" si="332"/>
        <v>Valid</v>
      </c>
      <c r="AO1618" t="str">
        <f t="shared" si="333"/>
        <v>Valid</v>
      </c>
      <c r="AP1618" t="str">
        <f t="shared" si="334"/>
        <v>Valid</v>
      </c>
      <c r="AQ1618" t="str">
        <f>IF(Audit_Data[[#This Row],[Z_CostContact]]=3,"Valid","Invalid")</f>
        <v>Valid</v>
      </c>
      <c r="AR1618" t="str">
        <f t="shared" si="335"/>
        <v>Valid</v>
      </c>
      <c r="AS1618" t="str">
        <f t="shared" si="336"/>
        <v>Valid</v>
      </c>
    </row>
    <row r="1619" spans="1:45" x14ac:dyDescent="0.3">
      <c r="A1619">
        <v>940</v>
      </c>
      <c r="B1619">
        <v>1987</v>
      </c>
      <c r="C1619" t="s">
        <v>29</v>
      </c>
      <c r="D1619" t="s">
        <v>30</v>
      </c>
      <c r="E1619">
        <v>57100</v>
      </c>
      <c r="F1619">
        <v>1</v>
      </c>
      <c r="G1619">
        <v>0</v>
      </c>
      <c r="H1619" s="1">
        <v>41777</v>
      </c>
      <c r="I1619">
        <v>9</v>
      </c>
      <c r="J1619">
        <v>158</v>
      </c>
      <c r="K1619">
        <v>11</v>
      </c>
      <c r="L1619">
        <v>99</v>
      </c>
      <c r="M1619">
        <v>15</v>
      </c>
      <c r="N1619">
        <v>11</v>
      </c>
      <c r="O1619">
        <v>17</v>
      </c>
      <c r="P1619">
        <v>2</v>
      </c>
      <c r="Q1619">
        <v>3</v>
      </c>
      <c r="R1619">
        <v>2</v>
      </c>
      <c r="S1619">
        <v>7</v>
      </c>
      <c r="T1619">
        <v>3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3</v>
      </c>
      <c r="AB1619">
        <v>11</v>
      </c>
      <c r="AC1619">
        <v>0</v>
      </c>
      <c r="AD1619" t="str">
        <f t="shared" si="325"/>
        <v>Ok</v>
      </c>
      <c r="AE1619" t="str">
        <f>IF(AND(Audit_Data[[#This Row],[Year_Birth]]&gt;=1900,Audit_Data[[#This Row],[Year_Birth]]&lt;=2010),"OK","Invalid")</f>
        <v>OK</v>
      </c>
      <c r="AF1619" t="str">
        <f t="shared" si="326"/>
        <v>Valid</v>
      </c>
      <c r="AG1619" t="str">
        <f t="shared" si="327"/>
        <v>Valid</v>
      </c>
      <c r="AH1619" t="str">
        <f t="shared" si="328"/>
        <v>Valid</v>
      </c>
      <c r="AI1619" t="str">
        <f t="shared" si="329"/>
        <v>Valid</v>
      </c>
      <c r="AJ1619" t="str">
        <f t="shared" si="330"/>
        <v>Valid</v>
      </c>
      <c r="AK1619" t="str">
        <f t="shared" si="337"/>
        <v xml:space="preserve">Valid </v>
      </c>
      <c r="AL1619" t="str">
        <f>IF(AND(Audit_Data[[#This Row],[Recency]]&gt;=0,Audit_Data[[#This Row],[Recency]]&lt;=100),"Valid","Invalid")</f>
        <v>Valid</v>
      </c>
      <c r="AM1619" t="str">
        <f t="shared" si="331"/>
        <v>Valid</v>
      </c>
      <c r="AN1619" t="str">
        <f t="shared" si="332"/>
        <v>Valid</v>
      </c>
      <c r="AO1619" t="str">
        <f t="shared" si="333"/>
        <v>Valid</v>
      </c>
      <c r="AP1619" t="str">
        <f t="shared" si="334"/>
        <v>Valid</v>
      </c>
      <c r="AQ1619" t="str">
        <f>IF(Audit_Data[[#This Row],[Z_CostContact]]=3,"Valid","Invalid")</f>
        <v>Valid</v>
      </c>
      <c r="AR1619" t="str">
        <f t="shared" si="335"/>
        <v>Valid</v>
      </c>
      <c r="AS1619" t="str">
        <f t="shared" si="336"/>
        <v>Valid</v>
      </c>
    </row>
    <row r="1620" spans="1:45" x14ac:dyDescent="0.3">
      <c r="A1620">
        <v>3011</v>
      </c>
      <c r="B1620">
        <v>1965</v>
      </c>
      <c r="C1620" t="s">
        <v>29</v>
      </c>
      <c r="D1620" t="s">
        <v>33</v>
      </c>
      <c r="E1620">
        <v>69139</v>
      </c>
      <c r="F1620">
        <v>0</v>
      </c>
      <c r="G1620">
        <v>1</v>
      </c>
      <c r="H1620" s="1">
        <v>41666</v>
      </c>
      <c r="I1620">
        <v>23</v>
      </c>
      <c r="J1620">
        <v>86</v>
      </c>
      <c r="K1620">
        <v>12</v>
      </c>
      <c r="L1620">
        <v>75</v>
      </c>
      <c r="M1620">
        <v>33</v>
      </c>
      <c r="N1620">
        <v>15</v>
      </c>
      <c r="O1620">
        <v>6</v>
      </c>
      <c r="P1620">
        <v>1</v>
      </c>
      <c r="Q1620">
        <v>4</v>
      </c>
      <c r="R1620">
        <v>1</v>
      </c>
      <c r="S1620">
        <v>5</v>
      </c>
      <c r="T1620">
        <v>4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3</v>
      </c>
      <c r="AB1620">
        <v>11</v>
      </c>
      <c r="AC1620">
        <v>0</v>
      </c>
      <c r="AD1620" t="str">
        <f t="shared" si="325"/>
        <v>Ok</v>
      </c>
      <c r="AE1620" t="str">
        <f>IF(AND(Audit_Data[[#This Row],[Year_Birth]]&gt;=1900,Audit_Data[[#This Row],[Year_Birth]]&lt;=2010),"OK","Invalid")</f>
        <v>OK</v>
      </c>
      <c r="AF1620" t="str">
        <f t="shared" si="326"/>
        <v>Valid</v>
      </c>
      <c r="AG1620" t="str">
        <f t="shared" si="327"/>
        <v>Valid</v>
      </c>
      <c r="AH1620" t="str">
        <f t="shared" si="328"/>
        <v>Valid</v>
      </c>
      <c r="AI1620" t="str">
        <f t="shared" si="329"/>
        <v>Valid</v>
      </c>
      <c r="AJ1620" t="str">
        <f t="shared" si="330"/>
        <v>Valid</v>
      </c>
      <c r="AK1620" t="str">
        <f t="shared" si="337"/>
        <v xml:space="preserve">Valid </v>
      </c>
      <c r="AL1620" t="str">
        <f>IF(AND(Audit_Data[[#This Row],[Recency]]&gt;=0,Audit_Data[[#This Row],[Recency]]&lt;=100),"Valid","Invalid")</f>
        <v>Valid</v>
      </c>
      <c r="AM1620" t="str">
        <f t="shared" si="331"/>
        <v>Valid</v>
      </c>
      <c r="AN1620" t="str">
        <f t="shared" si="332"/>
        <v>Valid</v>
      </c>
      <c r="AO1620" t="str">
        <f t="shared" si="333"/>
        <v>Valid</v>
      </c>
      <c r="AP1620" t="str">
        <f t="shared" si="334"/>
        <v>Valid</v>
      </c>
      <c r="AQ1620" t="str">
        <f>IF(Audit_Data[[#This Row],[Z_CostContact]]=3,"Valid","Invalid")</f>
        <v>Valid</v>
      </c>
      <c r="AR1620" t="str">
        <f t="shared" si="335"/>
        <v>Valid</v>
      </c>
      <c r="AS1620" t="str">
        <f t="shared" si="336"/>
        <v>Valid</v>
      </c>
    </row>
    <row r="1621" spans="1:45" x14ac:dyDescent="0.3">
      <c r="A1621">
        <v>3298</v>
      </c>
      <c r="B1621">
        <v>1956</v>
      </c>
      <c r="C1621" t="s">
        <v>34</v>
      </c>
      <c r="D1621" t="s">
        <v>33</v>
      </c>
      <c r="E1621">
        <v>52973</v>
      </c>
      <c r="F1621">
        <v>0</v>
      </c>
      <c r="G1621">
        <v>1</v>
      </c>
      <c r="H1621" s="1">
        <v>41221</v>
      </c>
      <c r="I1621">
        <v>92</v>
      </c>
      <c r="J1621">
        <v>856</v>
      </c>
      <c r="K1621">
        <v>0</v>
      </c>
      <c r="L1621">
        <v>76</v>
      </c>
      <c r="M1621">
        <v>12</v>
      </c>
      <c r="N1621">
        <v>9</v>
      </c>
      <c r="O1621">
        <v>199</v>
      </c>
      <c r="P1621">
        <v>7</v>
      </c>
      <c r="Q1621">
        <v>9</v>
      </c>
      <c r="R1621">
        <v>6</v>
      </c>
      <c r="S1621">
        <v>9</v>
      </c>
      <c r="T1621">
        <v>8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3</v>
      </c>
      <c r="AB1621">
        <v>11</v>
      </c>
      <c r="AC1621">
        <v>0</v>
      </c>
      <c r="AD1621" t="str">
        <f t="shared" si="325"/>
        <v>Ok</v>
      </c>
      <c r="AE1621" t="str">
        <f>IF(AND(Audit_Data[[#This Row],[Year_Birth]]&gt;=1900,Audit_Data[[#This Row],[Year_Birth]]&lt;=2010),"OK","Invalid")</f>
        <v>OK</v>
      </c>
      <c r="AF1621" t="str">
        <f t="shared" si="326"/>
        <v>Valid</v>
      </c>
      <c r="AG1621" t="str">
        <f t="shared" si="327"/>
        <v>Valid</v>
      </c>
      <c r="AH1621" t="str">
        <f t="shared" si="328"/>
        <v>Valid</v>
      </c>
      <c r="AI1621" t="str">
        <f t="shared" si="329"/>
        <v>Valid</v>
      </c>
      <c r="AJ1621" t="str">
        <f t="shared" si="330"/>
        <v>Valid</v>
      </c>
      <c r="AK1621" t="str">
        <f t="shared" si="337"/>
        <v xml:space="preserve">Valid </v>
      </c>
      <c r="AL1621" t="str">
        <f>IF(AND(Audit_Data[[#This Row],[Recency]]&gt;=0,Audit_Data[[#This Row],[Recency]]&lt;=100),"Valid","Invalid")</f>
        <v>Valid</v>
      </c>
      <c r="AM1621" t="str">
        <f t="shared" si="331"/>
        <v>Valid</v>
      </c>
      <c r="AN1621" t="str">
        <f t="shared" si="332"/>
        <v>Valid</v>
      </c>
      <c r="AO1621" t="str">
        <f t="shared" si="333"/>
        <v>Valid</v>
      </c>
      <c r="AP1621" t="str">
        <f t="shared" si="334"/>
        <v>Valid</v>
      </c>
      <c r="AQ1621" t="str">
        <f>IF(Audit_Data[[#This Row],[Z_CostContact]]=3,"Valid","Invalid")</f>
        <v>Valid</v>
      </c>
      <c r="AR1621" t="str">
        <f t="shared" si="335"/>
        <v>Valid</v>
      </c>
      <c r="AS1621" t="str">
        <f t="shared" si="336"/>
        <v>Valid</v>
      </c>
    </row>
    <row r="1622" spans="1:45" x14ac:dyDescent="0.3">
      <c r="A1622">
        <v>8286</v>
      </c>
      <c r="B1622">
        <v>1965</v>
      </c>
      <c r="C1622" t="s">
        <v>32</v>
      </c>
      <c r="D1622" t="s">
        <v>31</v>
      </c>
      <c r="E1622">
        <v>51717</v>
      </c>
      <c r="F1622">
        <v>0</v>
      </c>
      <c r="G1622">
        <v>1</v>
      </c>
      <c r="H1622" s="1">
        <v>41506</v>
      </c>
      <c r="I1622">
        <v>55</v>
      </c>
      <c r="J1622">
        <v>98</v>
      </c>
      <c r="K1622">
        <v>1</v>
      </c>
      <c r="L1622">
        <v>17</v>
      </c>
      <c r="M1622">
        <v>0</v>
      </c>
      <c r="N1622">
        <v>1</v>
      </c>
      <c r="O1622">
        <v>5</v>
      </c>
      <c r="P1622">
        <v>1</v>
      </c>
      <c r="Q1622">
        <v>3</v>
      </c>
      <c r="R1622">
        <v>0</v>
      </c>
      <c r="S1622">
        <v>4</v>
      </c>
      <c r="T1622">
        <v>7</v>
      </c>
      <c r="U1622">
        <v>0</v>
      </c>
      <c r="V1622">
        <v>1</v>
      </c>
      <c r="W1622">
        <v>0</v>
      </c>
      <c r="X1622">
        <v>0</v>
      </c>
      <c r="Y1622">
        <v>0</v>
      </c>
      <c r="Z1622">
        <v>0</v>
      </c>
      <c r="AA1622">
        <v>3</v>
      </c>
      <c r="AB1622">
        <v>11</v>
      </c>
      <c r="AC1622">
        <v>0</v>
      </c>
      <c r="AD1622" t="str">
        <f t="shared" si="325"/>
        <v>Ok</v>
      </c>
      <c r="AE1622" t="str">
        <f>IF(AND(Audit_Data[[#This Row],[Year_Birth]]&gt;=1900,Audit_Data[[#This Row],[Year_Birth]]&lt;=2010),"OK","Invalid")</f>
        <v>OK</v>
      </c>
      <c r="AF1622" t="str">
        <f t="shared" si="326"/>
        <v>Valid</v>
      </c>
      <c r="AG1622" t="str">
        <f t="shared" si="327"/>
        <v>Valid</v>
      </c>
      <c r="AH1622" t="str">
        <f t="shared" si="328"/>
        <v>Valid</v>
      </c>
      <c r="AI1622" t="str">
        <f t="shared" si="329"/>
        <v>Valid</v>
      </c>
      <c r="AJ1622" t="str">
        <f t="shared" si="330"/>
        <v>Valid</v>
      </c>
      <c r="AK1622" t="str">
        <f t="shared" si="337"/>
        <v xml:space="preserve">Valid </v>
      </c>
      <c r="AL1622" t="str">
        <f>IF(AND(Audit_Data[[#This Row],[Recency]]&gt;=0,Audit_Data[[#This Row],[Recency]]&lt;=100),"Valid","Invalid")</f>
        <v>Valid</v>
      </c>
      <c r="AM1622" t="str">
        <f t="shared" si="331"/>
        <v>Valid</v>
      </c>
      <c r="AN1622" t="str">
        <f t="shared" si="332"/>
        <v>Valid</v>
      </c>
      <c r="AO1622" t="str">
        <f t="shared" si="333"/>
        <v>Valid</v>
      </c>
      <c r="AP1622" t="str">
        <f t="shared" si="334"/>
        <v>Valid</v>
      </c>
      <c r="AQ1622" t="str">
        <f>IF(Audit_Data[[#This Row],[Z_CostContact]]=3,"Valid","Invalid")</f>
        <v>Valid</v>
      </c>
      <c r="AR1622" t="str">
        <f t="shared" si="335"/>
        <v>Valid</v>
      </c>
      <c r="AS1622" t="str">
        <f t="shared" si="336"/>
        <v>Valid</v>
      </c>
    </row>
    <row r="1623" spans="1:45" x14ac:dyDescent="0.3">
      <c r="A1623">
        <v>9668</v>
      </c>
      <c r="B1623">
        <v>1971</v>
      </c>
      <c r="C1623" t="s">
        <v>29</v>
      </c>
      <c r="D1623" t="s">
        <v>33</v>
      </c>
      <c r="E1623">
        <v>18793</v>
      </c>
      <c r="F1623">
        <v>1</v>
      </c>
      <c r="G1623">
        <v>0</v>
      </c>
      <c r="H1623" s="1">
        <v>41286</v>
      </c>
      <c r="I1623">
        <v>14</v>
      </c>
      <c r="J1623">
        <v>4</v>
      </c>
      <c r="K1623">
        <v>16</v>
      </c>
      <c r="L1623">
        <v>20</v>
      </c>
      <c r="M1623">
        <v>0</v>
      </c>
      <c r="N1623">
        <v>17</v>
      </c>
      <c r="O1623">
        <v>20</v>
      </c>
      <c r="P1623">
        <v>3</v>
      </c>
      <c r="Q1623">
        <v>2</v>
      </c>
      <c r="R1623">
        <v>0</v>
      </c>
      <c r="S1623">
        <v>4</v>
      </c>
      <c r="T1623">
        <v>8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3</v>
      </c>
      <c r="AB1623">
        <v>11</v>
      </c>
      <c r="AC1623">
        <v>0</v>
      </c>
      <c r="AD1623" t="str">
        <f t="shared" si="325"/>
        <v>Ok</v>
      </c>
      <c r="AE1623" t="str">
        <f>IF(AND(Audit_Data[[#This Row],[Year_Birth]]&gt;=1900,Audit_Data[[#This Row],[Year_Birth]]&lt;=2010),"OK","Invalid")</f>
        <v>OK</v>
      </c>
      <c r="AF1623" t="str">
        <f t="shared" si="326"/>
        <v>Valid</v>
      </c>
      <c r="AG1623" t="str">
        <f t="shared" si="327"/>
        <v>Valid</v>
      </c>
      <c r="AH1623" t="str">
        <f t="shared" si="328"/>
        <v>Valid</v>
      </c>
      <c r="AI1623" t="str">
        <f t="shared" si="329"/>
        <v>Valid</v>
      </c>
      <c r="AJ1623" t="str">
        <f t="shared" si="330"/>
        <v>Valid</v>
      </c>
      <c r="AK1623" t="str">
        <f t="shared" si="337"/>
        <v xml:space="preserve">Valid </v>
      </c>
      <c r="AL1623" t="str">
        <f>IF(AND(Audit_Data[[#This Row],[Recency]]&gt;=0,Audit_Data[[#This Row],[Recency]]&lt;=100),"Valid","Invalid")</f>
        <v>Valid</v>
      </c>
      <c r="AM1623" t="str">
        <f t="shared" si="331"/>
        <v>Valid</v>
      </c>
      <c r="AN1623" t="str">
        <f t="shared" si="332"/>
        <v>Valid</v>
      </c>
      <c r="AO1623" t="str">
        <f t="shared" si="333"/>
        <v>Valid</v>
      </c>
      <c r="AP1623" t="str">
        <f t="shared" si="334"/>
        <v>Valid</v>
      </c>
      <c r="AQ1623" t="str">
        <f>IF(Audit_Data[[#This Row],[Z_CostContact]]=3,"Valid","Invalid")</f>
        <v>Valid</v>
      </c>
      <c r="AR1623" t="str">
        <f t="shared" si="335"/>
        <v>Valid</v>
      </c>
      <c r="AS1623" t="str">
        <f t="shared" si="336"/>
        <v>Valid</v>
      </c>
    </row>
    <row r="1624" spans="1:45" x14ac:dyDescent="0.3">
      <c r="A1624">
        <v>5120</v>
      </c>
      <c r="B1624">
        <v>1982</v>
      </c>
      <c r="C1624" t="s">
        <v>37</v>
      </c>
      <c r="D1624" t="s">
        <v>31</v>
      </c>
      <c r="E1624">
        <v>66664</v>
      </c>
      <c r="F1624">
        <v>0</v>
      </c>
      <c r="G1624">
        <v>0</v>
      </c>
      <c r="H1624" s="1">
        <v>41177</v>
      </c>
      <c r="I1624">
        <v>78</v>
      </c>
      <c r="J1624">
        <v>398</v>
      </c>
      <c r="K1624">
        <v>96</v>
      </c>
      <c r="L1624">
        <v>447</v>
      </c>
      <c r="M1624">
        <v>220</v>
      </c>
      <c r="N1624">
        <v>96</v>
      </c>
      <c r="O1624">
        <v>32</v>
      </c>
      <c r="P1624">
        <v>1</v>
      </c>
      <c r="Q1624">
        <v>5</v>
      </c>
      <c r="R1624">
        <v>7</v>
      </c>
      <c r="S1624">
        <v>6</v>
      </c>
      <c r="T1624">
        <v>3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3</v>
      </c>
      <c r="AB1624">
        <v>11</v>
      </c>
      <c r="AC1624">
        <v>0</v>
      </c>
      <c r="AD1624" t="str">
        <f t="shared" si="325"/>
        <v>Ok</v>
      </c>
      <c r="AE1624" t="str">
        <f>IF(AND(Audit_Data[[#This Row],[Year_Birth]]&gt;=1900,Audit_Data[[#This Row],[Year_Birth]]&lt;=2010),"OK","Invalid")</f>
        <v>OK</v>
      </c>
      <c r="AF1624" t="str">
        <f t="shared" si="326"/>
        <v>Valid</v>
      </c>
      <c r="AG1624" t="str">
        <f t="shared" si="327"/>
        <v>Valid</v>
      </c>
      <c r="AH1624" t="str">
        <f t="shared" si="328"/>
        <v>Valid</v>
      </c>
      <c r="AI1624" t="str">
        <f t="shared" si="329"/>
        <v>Valid</v>
      </c>
      <c r="AJ1624" t="str">
        <f t="shared" si="330"/>
        <v>Valid</v>
      </c>
      <c r="AK1624" t="str">
        <f t="shared" si="337"/>
        <v xml:space="preserve">Valid </v>
      </c>
      <c r="AL1624" t="str">
        <f>IF(AND(Audit_Data[[#This Row],[Recency]]&gt;=0,Audit_Data[[#This Row],[Recency]]&lt;=100),"Valid","Invalid")</f>
        <v>Valid</v>
      </c>
      <c r="AM1624" t="str">
        <f t="shared" si="331"/>
        <v>Valid</v>
      </c>
      <c r="AN1624" t="str">
        <f t="shared" si="332"/>
        <v>Valid</v>
      </c>
      <c r="AO1624" t="str">
        <f t="shared" si="333"/>
        <v>Valid</v>
      </c>
      <c r="AP1624" t="str">
        <f t="shared" si="334"/>
        <v>Valid</v>
      </c>
      <c r="AQ1624" t="str">
        <f>IF(Audit_Data[[#This Row],[Z_CostContact]]=3,"Valid","Invalid")</f>
        <v>Valid</v>
      </c>
      <c r="AR1624" t="str">
        <f t="shared" si="335"/>
        <v>Valid</v>
      </c>
      <c r="AS1624" t="str">
        <f t="shared" si="336"/>
        <v>Valid</v>
      </c>
    </row>
    <row r="1625" spans="1:45" x14ac:dyDescent="0.3">
      <c r="A1625">
        <v>6097</v>
      </c>
      <c r="B1625">
        <v>1959</v>
      </c>
      <c r="C1625" t="s">
        <v>29</v>
      </c>
      <c r="D1625" t="s">
        <v>30</v>
      </c>
      <c r="E1625">
        <v>50664</v>
      </c>
      <c r="F1625">
        <v>1</v>
      </c>
      <c r="G1625">
        <v>1</v>
      </c>
      <c r="H1625" s="1">
        <v>41290</v>
      </c>
      <c r="I1625">
        <v>64</v>
      </c>
      <c r="J1625">
        <v>313</v>
      </c>
      <c r="K1625">
        <v>8</v>
      </c>
      <c r="L1625">
        <v>104</v>
      </c>
      <c r="M1625">
        <v>6</v>
      </c>
      <c r="N1625">
        <v>4</v>
      </c>
      <c r="O1625">
        <v>126</v>
      </c>
      <c r="P1625">
        <v>9</v>
      </c>
      <c r="Q1625">
        <v>8</v>
      </c>
      <c r="R1625">
        <v>1</v>
      </c>
      <c r="S1625">
        <v>6</v>
      </c>
      <c r="T1625">
        <v>9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3</v>
      </c>
      <c r="AB1625">
        <v>11</v>
      </c>
      <c r="AC1625">
        <v>0</v>
      </c>
      <c r="AD1625" t="str">
        <f t="shared" si="325"/>
        <v>Ok</v>
      </c>
      <c r="AE1625" t="str">
        <f>IF(AND(Audit_Data[[#This Row],[Year_Birth]]&gt;=1900,Audit_Data[[#This Row],[Year_Birth]]&lt;=2010),"OK","Invalid")</f>
        <v>OK</v>
      </c>
      <c r="AF1625" t="str">
        <f t="shared" si="326"/>
        <v>Valid</v>
      </c>
      <c r="AG1625" t="str">
        <f t="shared" si="327"/>
        <v>Valid</v>
      </c>
      <c r="AH1625" t="str">
        <f t="shared" si="328"/>
        <v>Valid</v>
      </c>
      <c r="AI1625" t="str">
        <f t="shared" si="329"/>
        <v>Valid</v>
      </c>
      <c r="AJ1625" t="str">
        <f t="shared" si="330"/>
        <v>Valid</v>
      </c>
      <c r="AK1625" t="str">
        <f t="shared" si="337"/>
        <v xml:space="preserve">Valid </v>
      </c>
      <c r="AL1625" t="str">
        <f>IF(AND(Audit_Data[[#This Row],[Recency]]&gt;=0,Audit_Data[[#This Row],[Recency]]&lt;=100),"Valid","Invalid")</f>
        <v>Valid</v>
      </c>
      <c r="AM1625" t="str">
        <f t="shared" si="331"/>
        <v>Valid</v>
      </c>
      <c r="AN1625" t="str">
        <f t="shared" si="332"/>
        <v>Valid</v>
      </c>
      <c r="AO1625" t="str">
        <f t="shared" si="333"/>
        <v>Valid</v>
      </c>
      <c r="AP1625" t="str">
        <f t="shared" si="334"/>
        <v>Valid</v>
      </c>
      <c r="AQ1625" t="str">
        <f>IF(Audit_Data[[#This Row],[Z_CostContact]]=3,"Valid","Invalid")</f>
        <v>Valid</v>
      </c>
      <c r="AR1625" t="str">
        <f t="shared" si="335"/>
        <v>Valid</v>
      </c>
      <c r="AS1625" t="str">
        <f t="shared" si="336"/>
        <v>Valid</v>
      </c>
    </row>
    <row r="1626" spans="1:45" x14ac:dyDescent="0.3">
      <c r="A1626">
        <v>7019</v>
      </c>
      <c r="B1626">
        <v>1963</v>
      </c>
      <c r="C1626" t="s">
        <v>29</v>
      </c>
      <c r="D1626" t="s">
        <v>31</v>
      </c>
      <c r="E1626">
        <v>54414</v>
      </c>
      <c r="F1626">
        <v>1</v>
      </c>
      <c r="G1626">
        <v>1</v>
      </c>
      <c r="H1626" s="1">
        <v>41297</v>
      </c>
      <c r="I1626">
        <v>49</v>
      </c>
      <c r="J1626">
        <v>109</v>
      </c>
      <c r="K1626">
        <v>18</v>
      </c>
      <c r="L1626">
        <v>16</v>
      </c>
      <c r="M1626">
        <v>24</v>
      </c>
      <c r="N1626">
        <v>26</v>
      </c>
      <c r="O1626">
        <v>18</v>
      </c>
      <c r="P1626">
        <v>4</v>
      </c>
      <c r="Q1626">
        <v>3</v>
      </c>
      <c r="R1626">
        <v>1</v>
      </c>
      <c r="S1626">
        <v>5</v>
      </c>
      <c r="T1626">
        <v>4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3</v>
      </c>
      <c r="AB1626">
        <v>11</v>
      </c>
      <c r="AC1626">
        <v>0</v>
      </c>
      <c r="AD1626" t="str">
        <f t="shared" si="325"/>
        <v>Ok</v>
      </c>
      <c r="AE1626" t="str">
        <f>IF(AND(Audit_Data[[#This Row],[Year_Birth]]&gt;=1900,Audit_Data[[#This Row],[Year_Birth]]&lt;=2010),"OK","Invalid")</f>
        <v>OK</v>
      </c>
      <c r="AF1626" t="str">
        <f t="shared" si="326"/>
        <v>Valid</v>
      </c>
      <c r="AG1626" t="str">
        <f t="shared" si="327"/>
        <v>Valid</v>
      </c>
      <c r="AH1626" t="str">
        <f t="shared" si="328"/>
        <v>Valid</v>
      </c>
      <c r="AI1626" t="str">
        <f t="shared" si="329"/>
        <v>Valid</v>
      </c>
      <c r="AJ1626" t="str">
        <f t="shared" si="330"/>
        <v>Valid</v>
      </c>
      <c r="AK1626" t="str">
        <f t="shared" si="337"/>
        <v xml:space="preserve">Valid </v>
      </c>
      <c r="AL1626" t="str">
        <f>IF(AND(Audit_Data[[#This Row],[Recency]]&gt;=0,Audit_Data[[#This Row],[Recency]]&lt;=100),"Valid","Invalid")</f>
        <v>Valid</v>
      </c>
      <c r="AM1626" t="str">
        <f t="shared" si="331"/>
        <v>Valid</v>
      </c>
      <c r="AN1626" t="str">
        <f t="shared" si="332"/>
        <v>Valid</v>
      </c>
      <c r="AO1626" t="str">
        <f t="shared" si="333"/>
        <v>Valid</v>
      </c>
      <c r="AP1626" t="str">
        <f t="shared" si="334"/>
        <v>Valid</v>
      </c>
      <c r="AQ1626" t="str">
        <f>IF(Audit_Data[[#This Row],[Z_CostContact]]=3,"Valid","Invalid")</f>
        <v>Valid</v>
      </c>
      <c r="AR1626" t="str">
        <f t="shared" si="335"/>
        <v>Valid</v>
      </c>
      <c r="AS1626" t="str">
        <f t="shared" si="336"/>
        <v>Valid</v>
      </c>
    </row>
    <row r="1627" spans="1:45" x14ac:dyDescent="0.3">
      <c r="A1627">
        <v>7408</v>
      </c>
      <c r="B1627">
        <v>1952</v>
      </c>
      <c r="C1627" t="s">
        <v>32</v>
      </c>
      <c r="D1627" t="s">
        <v>33</v>
      </c>
      <c r="E1627">
        <v>54549</v>
      </c>
      <c r="F1627">
        <v>0</v>
      </c>
      <c r="G1627">
        <v>1</v>
      </c>
      <c r="H1627" s="1">
        <v>41701</v>
      </c>
      <c r="I1627">
        <v>8</v>
      </c>
      <c r="J1627">
        <v>216</v>
      </c>
      <c r="K1627">
        <v>2</v>
      </c>
      <c r="L1627">
        <v>6</v>
      </c>
      <c r="M1627">
        <v>0</v>
      </c>
      <c r="N1627">
        <v>0</v>
      </c>
      <c r="O1627">
        <v>9</v>
      </c>
      <c r="P1627">
        <v>2</v>
      </c>
      <c r="Q1627">
        <v>5</v>
      </c>
      <c r="R1627">
        <v>1</v>
      </c>
      <c r="S1627">
        <v>4</v>
      </c>
      <c r="T1627">
        <v>7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3</v>
      </c>
      <c r="AB1627">
        <v>11</v>
      </c>
      <c r="AC1627">
        <v>0</v>
      </c>
      <c r="AD1627" t="str">
        <f t="shared" si="325"/>
        <v>Ok</v>
      </c>
      <c r="AE1627" t="str">
        <f>IF(AND(Audit_Data[[#This Row],[Year_Birth]]&gt;=1900,Audit_Data[[#This Row],[Year_Birth]]&lt;=2010),"OK","Invalid")</f>
        <v>OK</v>
      </c>
      <c r="AF1627" t="str">
        <f t="shared" si="326"/>
        <v>Valid</v>
      </c>
      <c r="AG1627" t="str">
        <f t="shared" si="327"/>
        <v>Valid</v>
      </c>
      <c r="AH1627" t="str">
        <f t="shared" si="328"/>
        <v>Valid</v>
      </c>
      <c r="AI1627" t="str">
        <f t="shared" si="329"/>
        <v>Valid</v>
      </c>
      <c r="AJ1627" t="str">
        <f t="shared" si="330"/>
        <v>Valid</v>
      </c>
      <c r="AK1627" t="str">
        <f t="shared" si="337"/>
        <v xml:space="preserve">Valid </v>
      </c>
      <c r="AL1627" t="str">
        <f>IF(AND(Audit_Data[[#This Row],[Recency]]&gt;=0,Audit_Data[[#This Row],[Recency]]&lt;=100),"Valid","Invalid")</f>
        <v>Valid</v>
      </c>
      <c r="AM1627" t="str">
        <f t="shared" si="331"/>
        <v>Valid</v>
      </c>
      <c r="AN1627" t="str">
        <f t="shared" si="332"/>
        <v>Valid</v>
      </c>
      <c r="AO1627" t="str">
        <f t="shared" si="333"/>
        <v>Valid</v>
      </c>
      <c r="AP1627" t="str">
        <f t="shared" si="334"/>
        <v>Valid</v>
      </c>
      <c r="AQ1627" t="str">
        <f>IF(Audit_Data[[#This Row],[Z_CostContact]]=3,"Valid","Invalid")</f>
        <v>Valid</v>
      </c>
      <c r="AR1627" t="str">
        <f t="shared" si="335"/>
        <v>Valid</v>
      </c>
      <c r="AS1627" t="str">
        <f t="shared" si="336"/>
        <v>Valid</v>
      </c>
    </row>
    <row r="1628" spans="1:45" x14ac:dyDescent="0.3">
      <c r="A1628">
        <v>8041</v>
      </c>
      <c r="B1628">
        <v>1971</v>
      </c>
      <c r="C1628" t="s">
        <v>32</v>
      </c>
      <c r="D1628" t="s">
        <v>38</v>
      </c>
      <c r="E1628">
        <v>47111</v>
      </c>
      <c r="F1628">
        <v>0</v>
      </c>
      <c r="G1628">
        <v>1</v>
      </c>
      <c r="H1628" s="1">
        <v>41160</v>
      </c>
      <c r="I1628">
        <v>35</v>
      </c>
      <c r="J1628">
        <v>595</v>
      </c>
      <c r="K1628">
        <v>71</v>
      </c>
      <c r="L1628">
        <v>153</v>
      </c>
      <c r="M1628">
        <v>120</v>
      </c>
      <c r="N1628">
        <v>112</v>
      </c>
      <c r="O1628">
        <v>41</v>
      </c>
      <c r="P1628">
        <v>6</v>
      </c>
      <c r="Q1628">
        <v>3</v>
      </c>
      <c r="R1628">
        <v>2</v>
      </c>
      <c r="S1628">
        <v>10</v>
      </c>
      <c r="T1628">
        <v>9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3</v>
      </c>
      <c r="AB1628">
        <v>11</v>
      </c>
      <c r="AC1628">
        <v>0</v>
      </c>
      <c r="AD1628" t="str">
        <f t="shared" si="325"/>
        <v>Ok</v>
      </c>
      <c r="AE1628" t="str">
        <f>IF(AND(Audit_Data[[#This Row],[Year_Birth]]&gt;=1900,Audit_Data[[#This Row],[Year_Birth]]&lt;=2010),"OK","Invalid")</f>
        <v>OK</v>
      </c>
      <c r="AF1628" t="str">
        <f t="shared" si="326"/>
        <v>Valid</v>
      </c>
      <c r="AG1628" t="str">
        <f t="shared" si="327"/>
        <v>Valid</v>
      </c>
      <c r="AH1628" t="str">
        <f t="shared" si="328"/>
        <v>Valid</v>
      </c>
      <c r="AI1628" t="str">
        <f t="shared" si="329"/>
        <v>Valid</v>
      </c>
      <c r="AJ1628" t="str">
        <f t="shared" si="330"/>
        <v>Valid</v>
      </c>
      <c r="AK1628" t="str">
        <f t="shared" si="337"/>
        <v xml:space="preserve">Valid </v>
      </c>
      <c r="AL1628" t="str">
        <f>IF(AND(Audit_Data[[#This Row],[Recency]]&gt;=0,Audit_Data[[#This Row],[Recency]]&lt;=100),"Valid","Invalid")</f>
        <v>Valid</v>
      </c>
      <c r="AM1628" t="str">
        <f t="shared" si="331"/>
        <v>Valid</v>
      </c>
      <c r="AN1628" t="str">
        <f t="shared" si="332"/>
        <v>Valid</v>
      </c>
      <c r="AO1628" t="str">
        <f t="shared" si="333"/>
        <v>Valid</v>
      </c>
      <c r="AP1628" t="str">
        <f t="shared" si="334"/>
        <v>Valid</v>
      </c>
      <c r="AQ1628" t="str">
        <f>IF(Audit_Data[[#This Row],[Z_CostContact]]=3,"Valid","Invalid")</f>
        <v>Valid</v>
      </c>
      <c r="AR1628" t="str">
        <f t="shared" si="335"/>
        <v>Valid</v>
      </c>
      <c r="AS1628" t="str">
        <f t="shared" si="336"/>
        <v>Valid</v>
      </c>
    </row>
    <row r="1629" spans="1:45" x14ac:dyDescent="0.3">
      <c r="A1629">
        <v>252</v>
      </c>
      <c r="B1629">
        <v>1963</v>
      </c>
      <c r="C1629" t="s">
        <v>32</v>
      </c>
      <c r="D1629" t="s">
        <v>35</v>
      </c>
      <c r="E1629">
        <v>41003</v>
      </c>
      <c r="F1629">
        <v>0</v>
      </c>
      <c r="G1629">
        <v>0</v>
      </c>
      <c r="H1629" s="1">
        <v>41350</v>
      </c>
      <c r="I1629">
        <v>11</v>
      </c>
      <c r="J1629">
        <v>123</v>
      </c>
      <c r="K1629">
        <v>133</v>
      </c>
      <c r="L1629">
        <v>142</v>
      </c>
      <c r="M1629">
        <v>71</v>
      </c>
      <c r="N1629">
        <v>44</v>
      </c>
      <c r="O1629">
        <v>88</v>
      </c>
      <c r="P1629">
        <v>1</v>
      </c>
      <c r="Q1629">
        <v>6</v>
      </c>
      <c r="R1629">
        <v>2</v>
      </c>
      <c r="S1629">
        <v>8</v>
      </c>
      <c r="T1629">
        <v>6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3</v>
      </c>
      <c r="AB1629">
        <v>11</v>
      </c>
      <c r="AC1629">
        <v>0</v>
      </c>
      <c r="AD1629" t="str">
        <f t="shared" si="325"/>
        <v>Ok</v>
      </c>
      <c r="AE1629" t="str">
        <f>IF(AND(Audit_Data[[#This Row],[Year_Birth]]&gt;=1900,Audit_Data[[#This Row],[Year_Birth]]&lt;=2010),"OK","Invalid")</f>
        <v>OK</v>
      </c>
      <c r="AF1629" t="str">
        <f t="shared" si="326"/>
        <v>Valid</v>
      </c>
      <c r="AG1629" t="str">
        <f t="shared" si="327"/>
        <v>Valid</v>
      </c>
      <c r="AH1629" t="str">
        <f t="shared" si="328"/>
        <v>Valid</v>
      </c>
      <c r="AI1629" t="str">
        <f t="shared" si="329"/>
        <v>Valid</v>
      </c>
      <c r="AJ1629" t="str">
        <f t="shared" si="330"/>
        <v>Valid</v>
      </c>
      <c r="AK1629" t="str">
        <f t="shared" si="337"/>
        <v xml:space="preserve">Valid </v>
      </c>
      <c r="AL1629" t="str">
        <f>IF(AND(Audit_Data[[#This Row],[Recency]]&gt;=0,Audit_Data[[#This Row],[Recency]]&lt;=100),"Valid","Invalid")</f>
        <v>Valid</v>
      </c>
      <c r="AM1629" t="str">
        <f t="shared" si="331"/>
        <v>Valid</v>
      </c>
      <c r="AN1629" t="str">
        <f t="shared" si="332"/>
        <v>Valid</v>
      </c>
      <c r="AO1629" t="str">
        <f t="shared" si="333"/>
        <v>Valid</v>
      </c>
      <c r="AP1629" t="str">
        <f t="shared" si="334"/>
        <v>Valid</v>
      </c>
      <c r="AQ1629" t="str">
        <f>IF(Audit_Data[[#This Row],[Z_CostContact]]=3,"Valid","Invalid")</f>
        <v>Valid</v>
      </c>
      <c r="AR1629" t="str">
        <f t="shared" si="335"/>
        <v>Valid</v>
      </c>
      <c r="AS1629" t="str">
        <f t="shared" si="336"/>
        <v>Valid</v>
      </c>
    </row>
    <row r="1630" spans="1:45" x14ac:dyDescent="0.3">
      <c r="A1630">
        <v>9986</v>
      </c>
      <c r="B1630">
        <v>1982</v>
      </c>
      <c r="C1630" t="s">
        <v>29</v>
      </c>
      <c r="D1630" t="s">
        <v>31</v>
      </c>
      <c r="E1630">
        <v>19444</v>
      </c>
      <c r="F1630">
        <v>1</v>
      </c>
      <c r="G1630">
        <v>0</v>
      </c>
      <c r="H1630" s="1">
        <v>41692</v>
      </c>
      <c r="I1630">
        <v>8</v>
      </c>
      <c r="J1630">
        <v>16</v>
      </c>
      <c r="K1630">
        <v>0</v>
      </c>
      <c r="L1630">
        <v>23</v>
      </c>
      <c r="M1630">
        <v>3</v>
      </c>
      <c r="N1630">
        <v>2</v>
      </c>
      <c r="O1630">
        <v>10</v>
      </c>
      <c r="P1630">
        <v>3</v>
      </c>
      <c r="Q1630">
        <v>4</v>
      </c>
      <c r="R1630">
        <v>1</v>
      </c>
      <c r="S1630">
        <v>2</v>
      </c>
      <c r="T1630">
        <v>7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3</v>
      </c>
      <c r="AB1630">
        <v>11</v>
      </c>
      <c r="AC1630">
        <v>1</v>
      </c>
      <c r="AD1630" t="str">
        <f t="shared" si="325"/>
        <v>Ok</v>
      </c>
      <c r="AE1630" t="str">
        <f>IF(AND(Audit_Data[[#This Row],[Year_Birth]]&gt;=1900,Audit_Data[[#This Row],[Year_Birth]]&lt;=2010),"OK","Invalid")</f>
        <v>OK</v>
      </c>
      <c r="AF1630" t="str">
        <f t="shared" si="326"/>
        <v>Valid</v>
      </c>
      <c r="AG1630" t="str">
        <f t="shared" si="327"/>
        <v>Valid</v>
      </c>
      <c r="AH1630" t="str">
        <f t="shared" si="328"/>
        <v>Valid</v>
      </c>
      <c r="AI1630" t="str">
        <f t="shared" si="329"/>
        <v>Valid</v>
      </c>
      <c r="AJ1630" t="str">
        <f t="shared" si="330"/>
        <v>Valid</v>
      </c>
      <c r="AK1630" t="str">
        <f t="shared" si="337"/>
        <v xml:space="preserve">Valid </v>
      </c>
      <c r="AL1630" t="str">
        <f>IF(AND(Audit_Data[[#This Row],[Recency]]&gt;=0,Audit_Data[[#This Row],[Recency]]&lt;=100),"Valid","Invalid")</f>
        <v>Valid</v>
      </c>
      <c r="AM1630" t="str">
        <f t="shared" si="331"/>
        <v>Valid</v>
      </c>
      <c r="AN1630" t="str">
        <f t="shared" si="332"/>
        <v>Valid</v>
      </c>
      <c r="AO1630" t="str">
        <f t="shared" si="333"/>
        <v>Valid</v>
      </c>
      <c r="AP1630" t="str">
        <f t="shared" si="334"/>
        <v>Valid</v>
      </c>
      <c r="AQ1630" t="str">
        <f>IF(Audit_Data[[#This Row],[Z_CostContact]]=3,"Valid","Invalid")</f>
        <v>Valid</v>
      </c>
      <c r="AR1630" t="str">
        <f t="shared" si="335"/>
        <v>Valid</v>
      </c>
      <c r="AS1630" t="str">
        <f t="shared" si="336"/>
        <v>Valid</v>
      </c>
    </row>
    <row r="1631" spans="1:45" x14ac:dyDescent="0.3">
      <c r="A1631">
        <v>3276</v>
      </c>
      <c r="B1631">
        <v>1976</v>
      </c>
      <c r="C1631" t="s">
        <v>37</v>
      </c>
      <c r="D1631" t="s">
        <v>31</v>
      </c>
      <c r="E1631">
        <v>36301</v>
      </c>
      <c r="F1631">
        <v>1</v>
      </c>
      <c r="G1631">
        <v>0</v>
      </c>
      <c r="H1631" s="1">
        <v>41572</v>
      </c>
      <c r="I1631">
        <v>53</v>
      </c>
      <c r="J1631">
        <v>11</v>
      </c>
      <c r="K1631">
        <v>12</v>
      </c>
      <c r="L1631">
        <v>35</v>
      </c>
      <c r="M1631">
        <v>3</v>
      </c>
      <c r="N1631">
        <v>5</v>
      </c>
      <c r="O1631">
        <v>12</v>
      </c>
      <c r="P1631">
        <v>1</v>
      </c>
      <c r="Q1631">
        <v>3</v>
      </c>
      <c r="R1631">
        <v>0</v>
      </c>
      <c r="S1631">
        <v>3</v>
      </c>
      <c r="T1631">
        <v>7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3</v>
      </c>
      <c r="AB1631">
        <v>11</v>
      </c>
      <c r="AC1631">
        <v>0</v>
      </c>
      <c r="AD1631" t="str">
        <f t="shared" si="325"/>
        <v>Ok</v>
      </c>
      <c r="AE1631" t="str">
        <f>IF(AND(Audit_Data[[#This Row],[Year_Birth]]&gt;=1900,Audit_Data[[#This Row],[Year_Birth]]&lt;=2010),"OK","Invalid")</f>
        <v>OK</v>
      </c>
      <c r="AF1631" t="str">
        <f t="shared" si="326"/>
        <v>Valid</v>
      </c>
      <c r="AG1631" t="str">
        <f t="shared" si="327"/>
        <v>Valid</v>
      </c>
      <c r="AH1631" t="str">
        <f t="shared" si="328"/>
        <v>Valid</v>
      </c>
      <c r="AI1631" t="str">
        <f t="shared" si="329"/>
        <v>Valid</v>
      </c>
      <c r="AJ1631" t="str">
        <f t="shared" si="330"/>
        <v>Valid</v>
      </c>
      <c r="AK1631" t="str">
        <f t="shared" si="337"/>
        <v xml:space="preserve">Valid </v>
      </c>
      <c r="AL1631" t="str">
        <f>IF(AND(Audit_Data[[#This Row],[Recency]]&gt;=0,Audit_Data[[#This Row],[Recency]]&lt;=100),"Valid","Invalid")</f>
        <v>Valid</v>
      </c>
      <c r="AM1631" t="str">
        <f t="shared" si="331"/>
        <v>Valid</v>
      </c>
      <c r="AN1631" t="str">
        <f t="shared" si="332"/>
        <v>Valid</v>
      </c>
      <c r="AO1631" t="str">
        <f t="shared" si="333"/>
        <v>Valid</v>
      </c>
      <c r="AP1631" t="str">
        <f t="shared" si="334"/>
        <v>Valid</v>
      </c>
      <c r="AQ1631" t="str">
        <f>IF(Audit_Data[[#This Row],[Z_CostContact]]=3,"Valid","Invalid")</f>
        <v>Valid</v>
      </c>
      <c r="AR1631" t="str">
        <f t="shared" si="335"/>
        <v>Valid</v>
      </c>
      <c r="AS1631" t="str">
        <f t="shared" si="336"/>
        <v>Valid</v>
      </c>
    </row>
    <row r="1632" spans="1:45" x14ac:dyDescent="0.3">
      <c r="A1632">
        <v>3859</v>
      </c>
      <c r="B1632">
        <v>1947</v>
      </c>
      <c r="C1632" t="s">
        <v>32</v>
      </c>
      <c r="D1632" t="s">
        <v>31</v>
      </c>
      <c r="E1632">
        <v>73059</v>
      </c>
      <c r="F1632">
        <v>0</v>
      </c>
      <c r="G1632">
        <v>1</v>
      </c>
      <c r="H1632" s="1">
        <v>41517</v>
      </c>
      <c r="I1632">
        <v>36</v>
      </c>
      <c r="J1632">
        <v>410</v>
      </c>
      <c r="K1632">
        <v>112</v>
      </c>
      <c r="L1632">
        <v>420</v>
      </c>
      <c r="M1632">
        <v>0</v>
      </c>
      <c r="N1632">
        <v>82</v>
      </c>
      <c r="O1632">
        <v>71</v>
      </c>
      <c r="P1632">
        <v>1</v>
      </c>
      <c r="Q1632">
        <v>9</v>
      </c>
      <c r="R1632">
        <v>3</v>
      </c>
      <c r="S1632">
        <v>13</v>
      </c>
      <c r="T1632">
        <v>4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3</v>
      </c>
      <c r="AB1632">
        <v>11</v>
      </c>
      <c r="AC1632">
        <v>0</v>
      </c>
      <c r="AD1632" t="str">
        <f t="shared" si="325"/>
        <v>Ok</v>
      </c>
      <c r="AE1632" t="str">
        <f>IF(AND(Audit_Data[[#This Row],[Year_Birth]]&gt;=1900,Audit_Data[[#This Row],[Year_Birth]]&lt;=2010),"OK","Invalid")</f>
        <v>OK</v>
      </c>
      <c r="AF1632" t="str">
        <f t="shared" si="326"/>
        <v>Valid</v>
      </c>
      <c r="AG1632" t="str">
        <f t="shared" si="327"/>
        <v>Valid</v>
      </c>
      <c r="AH1632" t="str">
        <f t="shared" si="328"/>
        <v>Valid</v>
      </c>
      <c r="AI1632" t="str">
        <f t="shared" si="329"/>
        <v>Valid</v>
      </c>
      <c r="AJ1632" t="str">
        <f t="shared" si="330"/>
        <v>Valid</v>
      </c>
      <c r="AK1632" t="str">
        <f t="shared" si="337"/>
        <v xml:space="preserve">Valid </v>
      </c>
      <c r="AL1632" t="str">
        <f>IF(AND(Audit_Data[[#This Row],[Recency]]&gt;=0,Audit_Data[[#This Row],[Recency]]&lt;=100),"Valid","Invalid")</f>
        <v>Valid</v>
      </c>
      <c r="AM1632" t="str">
        <f t="shared" si="331"/>
        <v>Valid</v>
      </c>
      <c r="AN1632" t="str">
        <f t="shared" si="332"/>
        <v>Valid</v>
      </c>
      <c r="AO1632" t="str">
        <f t="shared" si="333"/>
        <v>Valid</v>
      </c>
      <c r="AP1632" t="str">
        <f t="shared" si="334"/>
        <v>Valid</v>
      </c>
      <c r="AQ1632" t="str">
        <f>IF(Audit_Data[[#This Row],[Z_CostContact]]=3,"Valid","Invalid")</f>
        <v>Valid</v>
      </c>
      <c r="AR1632" t="str">
        <f t="shared" si="335"/>
        <v>Valid</v>
      </c>
      <c r="AS1632" t="str">
        <f t="shared" si="336"/>
        <v>Valid</v>
      </c>
    </row>
    <row r="1633" spans="1:45" x14ac:dyDescent="0.3">
      <c r="A1633">
        <v>3570</v>
      </c>
      <c r="B1633">
        <v>1969</v>
      </c>
      <c r="C1633" t="s">
        <v>32</v>
      </c>
      <c r="D1633" t="s">
        <v>31</v>
      </c>
      <c r="E1633">
        <v>42731</v>
      </c>
      <c r="F1633">
        <v>1</v>
      </c>
      <c r="G1633">
        <v>0</v>
      </c>
      <c r="H1633" s="1">
        <v>41568</v>
      </c>
      <c r="I1633">
        <v>64</v>
      </c>
      <c r="J1633">
        <v>159</v>
      </c>
      <c r="K1633">
        <v>2</v>
      </c>
      <c r="L1633">
        <v>51</v>
      </c>
      <c r="M1633">
        <v>6</v>
      </c>
      <c r="N1633">
        <v>2</v>
      </c>
      <c r="O1633">
        <v>24</v>
      </c>
      <c r="P1633">
        <v>3</v>
      </c>
      <c r="Q1633">
        <v>4</v>
      </c>
      <c r="R1633">
        <v>1</v>
      </c>
      <c r="S1633">
        <v>5</v>
      </c>
      <c r="T1633">
        <v>5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3</v>
      </c>
      <c r="AB1633">
        <v>11</v>
      </c>
      <c r="AC1633">
        <v>0</v>
      </c>
      <c r="AD1633" t="str">
        <f t="shared" si="325"/>
        <v>Ok</v>
      </c>
      <c r="AE1633" t="str">
        <f>IF(AND(Audit_Data[[#This Row],[Year_Birth]]&gt;=1900,Audit_Data[[#This Row],[Year_Birth]]&lt;=2010),"OK","Invalid")</f>
        <v>OK</v>
      </c>
      <c r="AF1633" t="str">
        <f t="shared" si="326"/>
        <v>Valid</v>
      </c>
      <c r="AG1633" t="str">
        <f t="shared" si="327"/>
        <v>Valid</v>
      </c>
      <c r="AH1633" t="str">
        <f t="shared" si="328"/>
        <v>Valid</v>
      </c>
      <c r="AI1633" t="str">
        <f t="shared" si="329"/>
        <v>Valid</v>
      </c>
      <c r="AJ1633" t="str">
        <f t="shared" si="330"/>
        <v>Valid</v>
      </c>
      <c r="AK1633" t="str">
        <f t="shared" si="337"/>
        <v xml:space="preserve">Valid </v>
      </c>
      <c r="AL1633" t="str">
        <f>IF(AND(Audit_Data[[#This Row],[Recency]]&gt;=0,Audit_Data[[#This Row],[Recency]]&lt;=100),"Valid","Invalid")</f>
        <v>Valid</v>
      </c>
      <c r="AM1633" t="str">
        <f t="shared" si="331"/>
        <v>Valid</v>
      </c>
      <c r="AN1633" t="str">
        <f t="shared" si="332"/>
        <v>Valid</v>
      </c>
      <c r="AO1633" t="str">
        <f t="shared" si="333"/>
        <v>Valid</v>
      </c>
      <c r="AP1633" t="str">
        <f t="shared" si="334"/>
        <v>Valid</v>
      </c>
      <c r="AQ1633" t="str">
        <f>IF(Audit_Data[[#This Row],[Z_CostContact]]=3,"Valid","Invalid")</f>
        <v>Valid</v>
      </c>
      <c r="AR1633" t="str">
        <f t="shared" si="335"/>
        <v>Valid</v>
      </c>
      <c r="AS1633" t="str">
        <f t="shared" si="336"/>
        <v>Valid</v>
      </c>
    </row>
    <row r="1634" spans="1:45" x14ac:dyDescent="0.3">
      <c r="A1634">
        <v>3783</v>
      </c>
      <c r="B1634">
        <v>1959</v>
      </c>
      <c r="C1634" t="s">
        <v>32</v>
      </c>
      <c r="D1634" t="s">
        <v>33</v>
      </c>
      <c r="E1634">
        <v>52854</v>
      </c>
      <c r="F1634">
        <v>1</v>
      </c>
      <c r="G1634">
        <v>1</v>
      </c>
      <c r="H1634" s="1">
        <v>41722</v>
      </c>
      <c r="I1634">
        <v>43</v>
      </c>
      <c r="J1634">
        <v>105</v>
      </c>
      <c r="K1634">
        <v>0</v>
      </c>
      <c r="L1634">
        <v>10</v>
      </c>
      <c r="M1634">
        <v>0</v>
      </c>
      <c r="N1634">
        <v>1</v>
      </c>
      <c r="O1634">
        <v>0</v>
      </c>
      <c r="P1634">
        <v>2</v>
      </c>
      <c r="Q1634">
        <v>2</v>
      </c>
      <c r="R1634">
        <v>1</v>
      </c>
      <c r="S1634">
        <v>4</v>
      </c>
      <c r="T1634">
        <v>5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3</v>
      </c>
      <c r="AB1634">
        <v>11</v>
      </c>
      <c r="AC1634">
        <v>0</v>
      </c>
      <c r="AD1634" t="str">
        <f t="shared" si="325"/>
        <v>Ok</v>
      </c>
      <c r="AE1634" t="str">
        <f>IF(AND(Audit_Data[[#This Row],[Year_Birth]]&gt;=1900,Audit_Data[[#This Row],[Year_Birth]]&lt;=2010),"OK","Invalid")</f>
        <v>OK</v>
      </c>
      <c r="AF1634" t="str">
        <f t="shared" si="326"/>
        <v>Valid</v>
      </c>
      <c r="AG1634" t="str">
        <f t="shared" si="327"/>
        <v>Valid</v>
      </c>
      <c r="AH1634" t="str">
        <f t="shared" si="328"/>
        <v>Valid</v>
      </c>
      <c r="AI1634" t="str">
        <f t="shared" si="329"/>
        <v>Valid</v>
      </c>
      <c r="AJ1634" t="str">
        <f t="shared" si="330"/>
        <v>Valid</v>
      </c>
      <c r="AK1634" t="str">
        <f t="shared" si="337"/>
        <v xml:space="preserve">Valid </v>
      </c>
      <c r="AL1634" t="str">
        <f>IF(AND(Audit_Data[[#This Row],[Recency]]&gt;=0,Audit_Data[[#This Row],[Recency]]&lt;=100),"Valid","Invalid")</f>
        <v>Valid</v>
      </c>
      <c r="AM1634" t="str">
        <f t="shared" si="331"/>
        <v>Valid</v>
      </c>
      <c r="AN1634" t="str">
        <f t="shared" si="332"/>
        <v>Valid</v>
      </c>
      <c r="AO1634" t="str">
        <f t="shared" si="333"/>
        <v>Valid</v>
      </c>
      <c r="AP1634" t="str">
        <f t="shared" si="334"/>
        <v>Valid</v>
      </c>
      <c r="AQ1634" t="str">
        <f>IF(Audit_Data[[#This Row],[Z_CostContact]]=3,"Valid","Invalid")</f>
        <v>Valid</v>
      </c>
      <c r="AR1634" t="str">
        <f t="shared" si="335"/>
        <v>Valid</v>
      </c>
      <c r="AS1634" t="str">
        <f t="shared" si="336"/>
        <v>Valid</v>
      </c>
    </row>
    <row r="1635" spans="1:45" x14ac:dyDescent="0.3">
      <c r="A1635">
        <v>10207</v>
      </c>
      <c r="B1635">
        <v>1978</v>
      </c>
      <c r="C1635" t="s">
        <v>29</v>
      </c>
      <c r="D1635" t="s">
        <v>31</v>
      </c>
      <c r="E1635">
        <v>22775</v>
      </c>
      <c r="F1635">
        <v>1</v>
      </c>
      <c r="G1635">
        <v>0</v>
      </c>
      <c r="H1635" s="1">
        <v>41444</v>
      </c>
      <c r="I1635">
        <v>40</v>
      </c>
      <c r="J1635">
        <v>5</v>
      </c>
      <c r="K1635">
        <v>1</v>
      </c>
      <c r="L1635">
        <v>8</v>
      </c>
      <c r="M1635">
        <v>0</v>
      </c>
      <c r="N1635">
        <v>0</v>
      </c>
      <c r="O1635">
        <v>1</v>
      </c>
      <c r="P1635">
        <v>1</v>
      </c>
      <c r="Q1635">
        <v>1</v>
      </c>
      <c r="R1635">
        <v>0</v>
      </c>
      <c r="S1635">
        <v>2</v>
      </c>
      <c r="T1635">
        <v>8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3</v>
      </c>
      <c r="AB1635">
        <v>11</v>
      </c>
      <c r="AC1635">
        <v>0</v>
      </c>
      <c r="AD1635" t="str">
        <f t="shared" si="325"/>
        <v>Ok</v>
      </c>
      <c r="AE1635" t="str">
        <f>IF(AND(Audit_Data[[#This Row],[Year_Birth]]&gt;=1900,Audit_Data[[#This Row],[Year_Birth]]&lt;=2010),"OK","Invalid")</f>
        <v>OK</v>
      </c>
      <c r="AF1635" t="str">
        <f t="shared" si="326"/>
        <v>Valid</v>
      </c>
      <c r="AG1635" t="str">
        <f t="shared" si="327"/>
        <v>Valid</v>
      </c>
      <c r="AH1635" t="str">
        <f t="shared" si="328"/>
        <v>Valid</v>
      </c>
      <c r="AI1635" t="str">
        <f t="shared" si="329"/>
        <v>Valid</v>
      </c>
      <c r="AJ1635" t="str">
        <f t="shared" si="330"/>
        <v>Valid</v>
      </c>
      <c r="AK1635" t="str">
        <f t="shared" si="337"/>
        <v xml:space="preserve">Valid </v>
      </c>
      <c r="AL1635" t="str">
        <f>IF(AND(Audit_Data[[#This Row],[Recency]]&gt;=0,Audit_Data[[#This Row],[Recency]]&lt;=100),"Valid","Invalid")</f>
        <v>Valid</v>
      </c>
      <c r="AM1635" t="str">
        <f t="shared" si="331"/>
        <v>Valid</v>
      </c>
      <c r="AN1635" t="str">
        <f t="shared" si="332"/>
        <v>Valid</v>
      </c>
      <c r="AO1635" t="str">
        <f t="shared" si="333"/>
        <v>Valid</v>
      </c>
      <c r="AP1635" t="str">
        <f t="shared" si="334"/>
        <v>Valid</v>
      </c>
      <c r="AQ1635" t="str">
        <f>IF(Audit_Data[[#This Row],[Z_CostContact]]=3,"Valid","Invalid")</f>
        <v>Valid</v>
      </c>
      <c r="AR1635" t="str">
        <f t="shared" si="335"/>
        <v>Valid</v>
      </c>
      <c r="AS1635" t="str">
        <f t="shared" si="336"/>
        <v>Valid</v>
      </c>
    </row>
    <row r="1636" spans="1:45" x14ac:dyDescent="0.3">
      <c r="A1636">
        <v>10906</v>
      </c>
      <c r="B1636">
        <v>1948</v>
      </c>
      <c r="C1636" t="s">
        <v>32</v>
      </c>
      <c r="D1636" t="s">
        <v>31</v>
      </c>
      <c r="E1636">
        <v>46681</v>
      </c>
      <c r="F1636">
        <v>0</v>
      </c>
      <c r="G1636">
        <v>2</v>
      </c>
      <c r="H1636" s="1">
        <v>41555</v>
      </c>
      <c r="I1636">
        <v>52</v>
      </c>
      <c r="J1636">
        <v>269</v>
      </c>
      <c r="K1636">
        <v>15</v>
      </c>
      <c r="L1636">
        <v>69</v>
      </c>
      <c r="M1636">
        <v>15</v>
      </c>
      <c r="N1636">
        <v>19</v>
      </c>
      <c r="O1636">
        <v>38</v>
      </c>
      <c r="P1636">
        <v>2</v>
      </c>
      <c r="Q1636">
        <v>4</v>
      </c>
      <c r="R1636">
        <v>6</v>
      </c>
      <c r="S1636">
        <v>4</v>
      </c>
      <c r="T1636">
        <v>5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3</v>
      </c>
      <c r="AB1636">
        <v>11</v>
      </c>
      <c r="AC1636">
        <v>0</v>
      </c>
      <c r="AD1636" t="str">
        <f t="shared" si="325"/>
        <v>Ok</v>
      </c>
      <c r="AE1636" t="str">
        <f>IF(AND(Audit_Data[[#This Row],[Year_Birth]]&gt;=1900,Audit_Data[[#This Row],[Year_Birth]]&lt;=2010),"OK","Invalid")</f>
        <v>OK</v>
      </c>
      <c r="AF1636" t="str">
        <f t="shared" si="326"/>
        <v>Valid</v>
      </c>
      <c r="AG1636" t="str">
        <f t="shared" si="327"/>
        <v>Valid</v>
      </c>
      <c r="AH1636" t="str">
        <f t="shared" si="328"/>
        <v>Valid</v>
      </c>
      <c r="AI1636" t="str">
        <f t="shared" si="329"/>
        <v>Valid</v>
      </c>
      <c r="AJ1636" t="str">
        <f t="shared" si="330"/>
        <v>Valid</v>
      </c>
      <c r="AK1636" t="str">
        <f t="shared" si="337"/>
        <v xml:space="preserve">Valid </v>
      </c>
      <c r="AL1636" t="str">
        <f>IF(AND(Audit_Data[[#This Row],[Recency]]&gt;=0,Audit_Data[[#This Row],[Recency]]&lt;=100),"Valid","Invalid")</f>
        <v>Valid</v>
      </c>
      <c r="AM1636" t="str">
        <f t="shared" si="331"/>
        <v>Valid</v>
      </c>
      <c r="AN1636" t="str">
        <f t="shared" si="332"/>
        <v>Valid</v>
      </c>
      <c r="AO1636" t="str">
        <f t="shared" si="333"/>
        <v>Valid</v>
      </c>
      <c r="AP1636" t="str">
        <f t="shared" si="334"/>
        <v>Valid</v>
      </c>
      <c r="AQ1636" t="str">
        <f>IF(Audit_Data[[#This Row],[Z_CostContact]]=3,"Valid","Invalid")</f>
        <v>Valid</v>
      </c>
      <c r="AR1636" t="str">
        <f t="shared" si="335"/>
        <v>Valid</v>
      </c>
      <c r="AS1636" t="str">
        <f t="shared" si="336"/>
        <v>Valid</v>
      </c>
    </row>
    <row r="1637" spans="1:45" x14ac:dyDescent="0.3">
      <c r="A1637">
        <v>3427</v>
      </c>
      <c r="B1637">
        <v>1955</v>
      </c>
      <c r="C1637" t="s">
        <v>32</v>
      </c>
      <c r="D1637" t="s">
        <v>33</v>
      </c>
      <c r="E1637">
        <v>59821</v>
      </c>
      <c r="F1637">
        <v>0</v>
      </c>
      <c r="G1637">
        <v>1</v>
      </c>
      <c r="H1637" s="1">
        <v>41376</v>
      </c>
      <c r="I1637">
        <v>11</v>
      </c>
      <c r="J1637">
        <v>629</v>
      </c>
      <c r="K1637">
        <v>0</v>
      </c>
      <c r="L1637">
        <v>70</v>
      </c>
      <c r="M1637">
        <v>0</v>
      </c>
      <c r="N1637">
        <v>0</v>
      </c>
      <c r="O1637">
        <v>35</v>
      </c>
      <c r="P1637">
        <v>6</v>
      </c>
      <c r="Q1637">
        <v>11</v>
      </c>
      <c r="R1637">
        <v>2</v>
      </c>
      <c r="S1637">
        <v>7</v>
      </c>
      <c r="T1637">
        <v>8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3</v>
      </c>
      <c r="AB1637">
        <v>11</v>
      </c>
      <c r="AC1637">
        <v>0</v>
      </c>
      <c r="AD1637" t="str">
        <f t="shared" si="325"/>
        <v>Ok</v>
      </c>
      <c r="AE1637" t="str">
        <f>IF(AND(Audit_Data[[#This Row],[Year_Birth]]&gt;=1900,Audit_Data[[#This Row],[Year_Birth]]&lt;=2010),"OK","Invalid")</f>
        <v>OK</v>
      </c>
      <c r="AF1637" t="str">
        <f t="shared" si="326"/>
        <v>Valid</v>
      </c>
      <c r="AG1637" t="str">
        <f t="shared" si="327"/>
        <v>Valid</v>
      </c>
      <c r="AH1637" t="str">
        <f t="shared" si="328"/>
        <v>Valid</v>
      </c>
      <c r="AI1637" t="str">
        <f t="shared" si="329"/>
        <v>Valid</v>
      </c>
      <c r="AJ1637" t="str">
        <f t="shared" si="330"/>
        <v>Valid</v>
      </c>
      <c r="AK1637" t="str">
        <f t="shared" si="337"/>
        <v xml:space="preserve">Valid </v>
      </c>
      <c r="AL1637" t="str">
        <f>IF(AND(Audit_Data[[#This Row],[Recency]]&gt;=0,Audit_Data[[#This Row],[Recency]]&lt;=100),"Valid","Invalid")</f>
        <v>Valid</v>
      </c>
      <c r="AM1637" t="str">
        <f t="shared" si="331"/>
        <v>Valid</v>
      </c>
      <c r="AN1637" t="str">
        <f t="shared" si="332"/>
        <v>Valid</v>
      </c>
      <c r="AO1637" t="str">
        <f t="shared" si="333"/>
        <v>Valid</v>
      </c>
      <c r="AP1637" t="str">
        <f t="shared" si="334"/>
        <v>Valid</v>
      </c>
      <c r="AQ1637" t="str">
        <f>IF(Audit_Data[[#This Row],[Z_CostContact]]=3,"Valid","Invalid")</f>
        <v>Valid</v>
      </c>
      <c r="AR1637" t="str">
        <f t="shared" si="335"/>
        <v>Valid</v>
      </c>
      <c r="AS1637" t="str">
        <f t="shared" si="336"/>
        <v>Valid</v>
      </c>
    </row>
    <row r="1638" spans="1:45" x14ac:dyDescent="0.3">
      <c r="A1638">
        <v>5209</v>
      </c>
      <c r="B1638">
        <v>1954</v>
      </c>
      <c r="C1638" t="s">
        <v>29</v>
      </c>
      <c r="D1638" t="s">
        <v>35</v>
      </c>
      <c r="E1638">
        <v>50002</v>
      </c>
      <c r="F1638">
        <v>0</v>
      </c>
      <c r="G1638">
        <v>1</v>
      </c>
      <c r="H1638" s="1">
        <v>41442</v>
      </c>
      <c r="I1638">
        <v>21</v>
      </c>
      <c r="J1638">
        <v>443</v>
      </c>
      <c r="K1638">
        <v>5</v>
      </c>
      <c r="L1638">
        <v>71</v>
      </c>
      <c r="M1638">
        <v>21</v>
      </c>
      <c r="N1638">
        <v>16</v>
      </c>
      <c r="O1638">
        <v>82</v>
      </c>
      <c r="P1638">
        <v>2</v>
      </c>
      <c r="Q1638">
        <v>8</v>
      </c>
      <c r="R1638">
        <v>2</v>
      </c>
      <c r="S1638">
        <v>7</v>
      </c>
      <c r="T1638">
        <v>7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3</v>
      </c>
      <c r="AB1638">
        <v>11</v>
      </c>
      <c r="AC1638">
        <v>0</v>
      </c>
      <c r="AD1638" t="str">
        <f t="shared" si="325"/>
        <v>Ok</v>
      </c>
      <c r="AE1638" t="str">
        <f>IF(AND(Audit_Data[[#This Row],[Year_Birth]]&gt;=1900,Audit_Data[[#This Row],[Year_Birth]]&lt;=2010),"OK","Invalid")</f>
        <v>OK</v>
      </c>
      <c r="AF1638" t="str">
        <f t="shared" si="326"/>
        <v>Valid</v>
      </c>
      <c r="AG1638" t="str">
        <f t="shared" si="327"/>
        <v>Valid</v>
      </c>
      <c r="AH1638" t="str">
        <f t="shared" si="328"/>
        <v>Valid</v>
      </c>
      <c r="AI1638" t="str">
        <f t="shared" si="329"/>
        <v>Valid</v>
      </c>
      <c r="AJ1638" t="str">
        <f t="shared" si="330"/>
        <v>Valid</v>
      </c>
      <c r="AK1638" t="str">
        <f t="shared" si="337"/>
        <v xml:space="preserve">Valid </v>
      </c>
      <c r="AL1638" t="str">
        <f>IF(AND(Audit_Data[[#This Row],[Recency]]&gt;=0,Audit_Data[[#This Row],[Recency]]&lt;=100),"Valid","Invalid")</f>
        <v>Valid</v>
      </c>
      <c r="AM1638" t="str">
        <f t="shared" si="331"/>
        <v>Valid</v>
      </c>
      <c r="AN1638" t="str">
        <f t="shared" si="332"/>
        <v>Valid</v>
      </c>
      <c r="AO1638" t="str">
        <f t="shared" si="333"/>
        <v>Valid</v>
      </c>
      <c r="AP1638" t="str">
        <f t="shared" si="334"/>
        <v>Valid</v>
      </c>
      <c r="AQ1638" t="str">
        <f>IF(Audit_Data[[#This Row],[Z_CostContact]]=3,"Valid","Invalid")</f>
        <v>Valid</v>
      </c>
      <c r="AR1638" t="str">
        <f t="shared" si="335"/>
        <v>Valid</v>
      </c>
      <c r="AS1638" t="str">
        <f t="shared" si="336"/>
        <v>Valid</v>
      </c>
    </row>
    <row r="1639" spans="1:45" x14ac:dyDescent="0.3">
      <c r="A1639">
        <v>10711</v>
      </c>
      <c r="B1639">
        <v>1945</v>
      </c>
      <c r="C1639" t="s">
        <v>29</v>
      </c>
      <c r="D1639" t="s">
        <v>33</v>
      </c>
      <c r="E1639">
        <v>69755</v>
      </c>
      <c r="F1639">
        <v>0</v>
      </c>
      <c r="G1639">
        <v>0</v>
      </c>
      <c r="H1639" s="1">
        <v>41549</v>
      </c>
      <c r="I1639">
        <v>23</v>
      </c>
      <c r="J1639">
        <v>217</v>
      </c>
      <c r="K1639">
        <v>77</v>
      </c>
      <c r="L1639">
        <v>373</v>
      </c>
      <c r="M1639">
        <v>111</v>
      </c>
      <c r="N1639">
        <v>23</v>
      </c>
      <c r="O1639">
        <v>93</v>
      </c>
      <c r="P1639">
        <v>1</v>
      </c>
      <c r="Q1639">
        <v>3</v>
      </c>
      <c r="R1639">
        <v>6</v>
      </c>
      <c r="S1639">
        <v>12</v>
      </c>
      <c r="T1639">
        <v>1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3</v>
      </c>
      <c r="AB1639">
        <v>11</v>
      </c>
      <c r="AC1639">
        <v>0</v>
      </c>
      <c r="AD1639" t="str">
        <f t="shared" si="325"/>
        <v>Ok</v>
      </c>
      <c r="AE1639" t="str">
        <f>IF(AND(Audit_Data[[#This Row],[Year_Birth]]&gt;=1900,Audit_Data[[#This Row],[Year_Birth]]&lt;=2010),"OK","Invalid")</f>
        <v>OK</v>
      </c>
      <c r="AF1639" t="str">
        <f t="shared" si="326"/>
        <v>Valid</v>
      </c>
      <c r="AG1639" t="str">
        <f t="shared" si="327"/>
        <v>Valid</v>
      </c>
      <c r="AH1639" t="str">
        <f t="shared" si="328"/>
        <v>Valid</v>
      </c>
      <c r="AI1639" t="str">
        <f t="shared" si="329"/>
        <v>Valid</v>
      </c>
      <c r="AJ1639" t="str">
        <f t="shared" si="330"/>
        <v>Valid</v>
      </c>
      <c r="AK1639" t="str">
        <f t="shared" si="337"/>
        <v xml:space="preserve">Valid </v>
      </c>
      <c r="AL1639" t="str">
        <f>IF(AND(Audit_Data[[#This Row],[Recency]]&gt;=0,Audit_Data[[#This Row],[Recency]]&lt;=100),"Valid","Invalid")</f>
        <v>Valid</v>
      </c>
      <c r="AM1639" t="str">
        <f t="shared" si="331"/>
        <v>Valid</v>
      </c>
      <c r="AN1639" t="str">
        <f t="shared" si="332"/>
        <v>Valid</v>
      </c>
      <c r="AO1639" t="str">
        <f t="shared" si="333"/>
        <v>Valid</v>
      </c>
      <c r="AP1639" t="str">
        <f t="shared" si="334"/>
        <v>Valid</v>
      </c>
      <c r="AQ1639" t="str">
        <f>IF(Audit_Data[[#This Row],[Z_CostContact]]=3,"Valid","Invalid")</f>
        <v>Valid</v>
      </c>
      <c r="AR1639" t="str">
        <f t="shared" si="335"/>
        <v>Valid</v>
      </c>
      <c r="AS1639" t="str">
        <f t="shared" si="336"/>
        <v>Valid</v>
      </c>
    </row>
    <row r="1640" spans="1:45" x14ac:dyDescent="0.3">
      <c r="A1640">
        <v>10785</v>
      </c>
      <c r="B1640">
        <v>1969</v>
      </c>
      <c r="C1640" t="s">
        <v>29</v>
      </c>
      <c r="D1640" t="s">
        <v>33</v>
      </c>
      <c r="E1640">
        <v>44078</v>
      </c>
      <c r="F1640">
        <v>1</v>
      </c>
      <c r="G1640">
        <v>1</v>
      </c>
      <c r="H1640" s="1">
        <v>41809</v>
      </c>
      <c r="I1640">
        <v>17</v>
      </c>
      <c r="J1640">
        <v>24</v>
      </c>
      <c r="K1640">
        <v>1</v>
      </c>
      <c r="L1640">
        <v>10</v>
      </c>
      <c r="M1640">
        <v>2</v>
      </c>
      <c r="N1640">
        <v>0</v>
      </c>
      <c r="O1640">
        <v>4</v>
      </c>
      <c r="P1640">
        <v>2</v>
      </c>
      <c r="Q1640">
        <v>2</v>
      </c>
      <c r="R1640">
        <v>0</v>
      </c>
      <c r="S1640">
        <v>3</v>
      </c>
      <c r="T1640">
        <v>5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3</v>
      </c>
      <c r="AB1640">
        <v>11</v>
      </c>
      <c r="AC1640">
        <v>0</v>
      </c>
      <c r="AD1640" t="str">
        <f t="shared" si="325"/>
        <v>Ok</v>
      </c>
      <c r="AE1640" t="str">
        <f>IF(AND(Audit_Data[[#This Row],[Year_Birth]]&gt;=1900,Audit_Data[[#This Row],[Year_Birth]]&lt;=2010),"OK","Invalid")</f>
        <v>OK</v>
      </c>
      <c r="AF1640" t="str">
        <f t="shared" si="326"/>
        <v>Valid</v>
      </c>
      <c r="AG1640" t="str">
        <f t="shared" si="327"/>
        <v>Valid</v>
      </c>
      <c r="AH1640" t="str">
        <f t="shared" si="328"/>
        <v>Valid</v>
      </c>
      <c r="AI1640" t="str">
        <f t="shared" si="329"/>
        <v>Valid</v>
      </c>
      <c r="AJ1640" t="str">
        <f t="shared" si="330"/>
        <v>Valid</v>
      </c>
      <c r="AK1640" t="str">
        <f t="shared" si="337"/>
        <v xml:space="preserve">Valid </v>
      </c>
      <c r="AL1640" t="str">
        <f>IF(AND(Audit_Data[[#This Row],[Recency]]&gt;=0,Audit_Data[[#This Row],[Recency]]&lt;=100),"Valid","Invalid")</f>
        <v>Valid</v>
      </c>
      <c r="AM1640" t="str">
        <f t="shared" si="331"/>
        <v>Valid</v>
      </c>
      <c r="AN1640" t="str">
        <f t="shared" si="332"/>
        <v>Valid</v>
      </c>
      <c r="AO1640" t="str">
        <f t="shared" si="333"/>
        <v>Valid</v>
      </c>
      <c r="AP1640" t="str">
        <f t="shared" si="334"/>
        <v>Valid</v>
      </c>
      <c r="AQ1640" t="str">
        <f>IF(Audit_Data[[#This Row],[Z_CostContact]]=3,"Valid","Invalid")</f>
        <v>Valid</v>
      </c>
      <c r="AR1640" t="str">
        <f t="shared" si="335"/>
        <v>Valid</v>
      </c>
      <c r="AS1640" t="str">
        <f t="shared" si="336"/>
        <v>Valid</v>
      </c>
    </row>
    <row r="1641" spans="1:45" x14ac:dyDescent="0.3">
      <c r="A1641">
        <v>2814</v>
      </c>
      <c r="B1641">
        <v>1976</v>
      </c>
      <c r="C1641" t="s">
        <v>34</v>
      </c>
      <c r="D1641" t="s">
        <v>31</v>
      </c>
      <c r="E1641">
        <v>30560</v>
      </c>
      <c r="F1641">
        <v>1</v>
      </c>
      <c r="G1641">
        <v>0</v>
      </c>
      <c r="H1641" s="1">
        <v>41452</v>
      </c>
      <c r="I1641">
        <v>6</v>
      </c>
      <c r="J1641">
        <v>9</v>
      </c>
      <c r="K1641">
        <v>1</v>
      </c>
      <c r="L1641">
        <v>5</v>
      </c>
      <c r="M1641">
        <v>4</v>
      </c>
      <c r="N1641">
        <v>5</v>
      </c>
      <c r="O1641">
        <v>7</v>
      </c>
      <c r="P1641">
        <v>1</v>
      </c>
      <c r="Q1641">
        <v>1</v>
      </c>
      <c r="R1641">
        <v>0</v>
      </c>
      <c r="S1641">
        <v>3</v>
      </c>
      <c r="T1641">
        <v>7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3</v>
      </c>
      <c r="AB1641">
        <v>11</v>
      </c>
      <c r="AC1641">
        <v>0</v>
      </c>
      <c r="AD1641" t="str">
        <f t="shared" si="325"/>
        <v>Ok</v>
      </c>
      <c r="AE1641" t="str">
        <f>IF(AND(Audit_Data[[#This Row],[Year_Birth]]&gt;=1900,Audit_Data[[#This Row],[Year_Birth]]&lt;=2010),"OK","Invalid")</f>
        <v>OK</v>
      </c>
      <c r="AF1641" t="str">
        <f t="shared" si="326"/>
        <v>Valid</v>
      </c>
      <c r="AG1641" t="str">
        <f t="shared" si="327"/>
        <v>Valid</v>
      </c>
      <c r="AH1641" t="str">
        <f t="shared" si="328"/>
        <v>Valid</v>
      </c>
      <c r="AI1641" t="str">
        <f t="shared" si="329"/>
        <v>Valid</v>
      </c>
      <c r="AJ1641" t="str">
        <f t="shared" si="330"/>
        <v>Valid</v>
      </c>
      <c r="AK1641" t="str">
        <f t="shared" si="337"/>
        <v xml:space="preserve">Valid </v>
      </c>
      <c r="AL1641" t="str">
        <f>IF(AND(Audit_Data[[#This Row],[Recency]]&gt;=0,Audit_Data[[#This Row],[Recency]]&lt;=100),"Valid","Invalid")</f>
        <v>Valid</v>
      </c>
      <c r="AM1641" t="str">
        <f t="shared" si="331"/>
        <v>Valid</v>
      </c>
      <c r="AN1641" t="str">
        <f t="shared" si="332"/>
        <v>Valid</v>
      </c>
      <c r="AO1641" t="str">
        <f t="shared" si="333"/>
        <v>Valid</v>
      </c>
      <c r="AP1641" t="str">
        <f t="shared" si="334"/>
        <v>Valid</v>
      </c>
      <c r="AQ1641" t="str">
        <f>IF(Audit_Data[[#This Row],[Z_CostContact]]=3,"Valid","Invalid")</f>
        <v>Valid</v>
      </c>
      <c r="AR1641" t="str">
        <f t="shared" si="335"/>
        <v>Valid</v>
      </c>
      <c r="AS1641" t="str">
        <f t="shared" si="336"/>
        <v>Valid</v>
      </c>
    </row>
    <row r="1642" spans="1:45" x14ac:dyDescent="0.3">
      <c r="A1642">
        <v>6866</v>
      </c>
      <c r="B1642">
        <v>1969</v>
      </c>
      <c r="C1642" t="s">
        <v>34</v>
      </c>
      <c r="D1642" t="s">
        <v>31</v>
      </c>
      <c r="E1642">
        <v>35924</v>
      </c>
      <c r="F1642">
        <v>1</v>
      </c>
      <c r="G1642">
        <v>1</v>
      </c>
      <c r="H1642" s="1">
        <v>41721</v>
      </c>
      <c r="I1642">
        <v>56</v>
      </c>
      <c r="J1642">
        <v>8</v>
      </c>
      <c r="K1642">
        <v>0</v>
      </c>
      <c r="L1642">
        <v>14</v>
      </c>
      <c r="M1642">
        <v>2</v>
      </c>
      <c r="N1642">
        <v>3</v>
      </c>
      <c r="O1642">
        <v>7</v>
      </c>
      <c r="P1642">
        <v>1</v>
      </c>
      <c r="Q1642">
        <v>1</v>
      </c>
      <c r="R1642">
        <v>0</v>
      </c>
      <c r="S1642">
        <v>3</v>
      </c>
      <c r="T1642">
        <v>5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3</v>
      </c>
      <c r="AB1642">
        <v>11</v>
      </c>
      <c r="AC1642">
        <v>0</v>
      </c>
      <c r="AD1642" t="str">
        <f t="shared" si="325"/>
        <v>Ok</v>
      </c>
      <c r="AE1642" t="str">
        <f>IF(AND(Audit_Data[[#This Row],[Year_Birth]]&gt;=1900,Audit_Data[[#This Row],[Year_Birth]]&lt;=2010),"OK","Invalid")</f>
        <v>OK</v>
      </c>
      <c r="AF1642" t="str">
        <f t="shared" si="326"/>
        <v>Valid</v>
      </c>
      <c r="AG1642" t="str">
        <f t="shared" si="327"/>
        <v>Valid</v>
      </c>
      <c r="AH1642" t="str">
        <f t="shared" si="328"/>
        <v>Valid</v>
      </c>
      <c r="AI1642" t="str">
        <f t="shared" si="329"/>
        <v>Valid</v>
      </c>
      <c r="AJ1642" t="str">
        <f t="shared" si="330"/>
        <v>Valid</v>
      </c>
      <c r="AK1642" t="str">
        <f t="shared" si="337"/>
        <v xml:space="preserve">Valid </v>
      </c>
      <c r="AL1642" t="str">
        <f>IF(AND(Audit_Data[[#This Row],[Recency]]&gt;=0,Audit_Data[[#This Row],[Recency]]&lt;=100),"Valid","Invalid")</f>
        <v>Valid</v>
      </c>
      <c r="AM1642" t="str">
        <f t="shared" si="331"/>
        <v>Valid</v>
      </c>
      <c r="AN1642" t="str">
        <f t="shared" si="332"/>
        <v>Valid</v>
      </c>
      <c r="AO1642" t="str">
        <f t="shared" si="333"/>
        <v>Valid</v>
      </c>
      <c r="AP1642" t="str">
        <f t="shared" si="334"/>
        <v>Valid</v>
      </c>
      <c r="AQ1642" t="str">
        <f>IF(Audit_Data[[#This Row],[Z_CostContact]]=3,"Valid","Invalid")</f>
        <v>Valid</v>
      </c>
      <c r="AR1642" t="str">
        <f t="shared" si="335"/>
        <v>Valid</v>
      </c>
      <c r="AS1642" t="str">
        <f t="shared" si="336"/>
        <v>Valid</v>
      </c>
    </row>
    <row r="1643" spans="1:45" x14ac:dyDescent="0.3">
      <c r="A1643">
        <v>1665</v>
      </c>
      <c r="B1643">
        <v>1964</v>
      </c>
      <c r="C1643" t="s">
        <v>32</v>
      </c>
      <c r="D1643" t="s">
        <v>35</v>
      </c>
      <c r="E1643">
        <v>64140</v>
      </c>
      <c r="F1643">
        <v>0</v>
      </c>
      <c r="G1643">
        <v>2</v>
      </c>
      <c r="H1643" s="1">
        <v>41540</v>
      </c>
      <c r="I1643">
        <v>71</v>
      </c>
      <c r="J1643">
        <v>1459</v>
      </c>
      <c r="K1643">
        <v>0</v>
      </c>
      <c r="L1643">
        <v>61</v>
      </c>
      <c r="M1643">
        <v>0</v>
      </c>
      <c r="N1643">
        <v>15</v>
      </c>
      <c r="O1643">
        <v>215</v>
      </c>
      <c r="P1643">
        <v>5</v>
      </c>
      <c r="Q1643">
        <v>2</v>
      </c>
      <c r="R1643">
        <v>5</v>
      </c>
      <c r="S1643">
        <v>6</v>
      </c>
      <c r="T1643">
        <v>5</v>
      </c>
      <c r="U1643">
        <v>1</v>
      </c>
      <c r="V1643">
        <v>0</v>
      </c>
      <c r="W1643">
        <v>1</v>
      </c>
      <c r="X1643">
        <v>0</v>
      </c>
      <c r="Y1643">
        <v>1</v>
      </c>
      <c r="Z1643">
        <v>0</v>
      </c>
      <c r="AA1643">
        <v>3</v>
      </c>
      <c r="AB1643">
        <v>11</v>
      </c>
      <c r="AC1643">
        <v>1</v>
      </c>
      <c r="AD1643" t="str">
        <f t="shared" si="325"/>
        <v>Ok</v>
      </c>
      <c r="AE1643" t="str">
        <f>IF(AND(Audit_Data[[#This Row],[Year_Birth]]&gt;=1900,Audit_Data[[#This Row],[Year_Birth]]&lt;=2010),"OK","Invalid")</f>
        <v>OK</v>
      </c>
      <c r="AF1643" t="str">
        <f t="shared" si="326"/>
        <v>Valid</v>
      </c>
      <c r="AG1643" t="str">
        <f t="shared" si="327"/>
        <v>Valid</v>
      </c>
      <c r="AH1643" t="str">
        <f t="shared" si="328"/>
        <v>Valid</v>
      </c>
      <c r="AI1643" t="str">
        <f t="shared" si="329"/>
        <v>Valid</v>
      </c>
      <c r="AJ1643" t="str">
        <f t="shared" si="330"/>
        <v>Valid</v>
      </c>
      <c r="AK1643" t="str">
        <f t="shared" si="337"/>
        <v xml:space="preserve">Valid </v>
      </c>
      <c r="AL1643" t="str">
        <f>IF(AND(Audit_Data[[#This Row],[Recency]]&gt;=0,Audit_Data[[#This Row],[Recency]]&lt;=100),"Valid","Invalid")</f>
        <v>Valid</v>
      </c>
      <c r="AM1643" t="str">
        <f t="shared" si="331"/>
        <v>Valid</v>
      </c>
      <c r="AN1643" t="str">
        <f t="shared" si="332"/>
        <v>Valid</v>
      </c>
      <c r="AO1643" t="str">
        <f t="shared" si="333"/>
        <v>Valid</v>
      </c>
      <c r="AP1643" t="str">
        <f t="shared" si="334"/>
        <v>Valid</v>
      </c>
      <c r="AQ1643" t="str">
        <f>IF(Audit_Data[[#This Row],[Z_CostContact]]=3,"Valid","Invalid")</f>
        <v>Valid</v>
      </c>
      <c r="AR1643" t="str">
        <f t="shared" si="335"/>
        <v>Valid</v>
      </c>
      <c r="AS1643" t="str">
        <f t="shared" si="336"/>
        <v>Valid</v>
      </c>
    </row>
    <row r="1644" spans="1:45" x14ac:dyDescent="0.3">
      <c r="A1644">
        <v>6575</v>
      </c>
      <c r="B1644">
        <v>1981</v>
      </c>
      <c r="C1644" t="s">
        <v>29</v>
      </c>
      <c r="D1644" t="s">
        <v>31</v>
      </c>
      <c r="E1644">
        <v>56386</v>
      </c>
      <c r="F1644">
        <v>1</v>
      </c>
      <c r="G1644">
        <v>1</v>
      </c>
      <c r="H1644" s="1">
        <v>41209</v>
      </c>
      <c r="I1644">
        <v>51</v>
      </c>
      <c r="J1644">
        <v>230</v>
      </c>
      <c r="K1644">
        <v>48</v>
      </c>
      <c r="L1644">
        <v>214</v>
      </c>
      <c r="M1644">
        <v>13</v>
      </c>
      <c r="N1644">
        <v>32</v>
      </c>
      <c r="O1644">
        <v>75</v>
      </c>
      <c r="P1644">
        <v>8</v>
      </c>
      <c r="Q1644">
        <v>9</v>
      </c>
      <c r="R1644">
        <v>1</v>
      </c>
      <c r="S1644">
        <v>7</v>
      </c>
      <c r="T1644">
        <v>9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3</v>
      </c>
      <c r="AB1644">
        <v>11</v>
      </c>
      <c r="AC1644">
        <v>0</v>
      </c>
      <c r="AD1644" t="str">
        <f t="shared" si="325"/>
        <v>Ok</v>
      </c>
      <c r="AE1644" t="str">
        <f>IF(AND(Audit_Data[[#This Row],[Year_Birth]]&gt;=1900,Audit_Data[[#This Row],[Year_Birth]]&lt;=2010),"OK","Invalid")</f>
        <v>OK</v>
      </c>
      <c r="AF1644" t="str">
        <f t="shared" si="326"/>
        <v>Valid</v>
      </c>
      <c r="AG1644" t="str">
        <f t="shared" si="327"/>
        <v>Valid</v>
      </c>
      <c r="AH1644" t="str">
        <f t="shared" si="328"/>
        <v>Valid</v>
      </c>
      <c r="AI1644" t="str">
        <f t="shared" si="329"/>
        <v>Valid</v>
      </c>
      <c r="AJ1644" t="str">
        <f t="shared" si="330"/>
        <v>Valid</v>
      </c>
      <c r="AK1644" t="str">
        <f t="shared" si="337"/>
        <v xml:space="preserve">Valid </v>
      </c>
      <c r="AL1644" t="str">
        <f>IF(AND(Audit_Data[[#This Row],[Recency]]&gt;=0,Audit_Data[[#This Row],[Recency]]&lt;=100),"Valid","Invalid")</f>
        <v>Valid</v>
      </c>
      <c r="AM1644" t="str">
        <f t="shared" si="331"/>
        <v>Valid</v>
      </c>
      <c r="AN1644" t="str">
        <f t="shared" si="332"/>
        <v>Valid</v>
      </c>
      <c r="AO1644" t="str">
        <f t="shared" si="333"/>
        <v>Valid</v>
      </c>
      <c r="AP1644" t="str">
        <f t="shared" si="334"/>
        <v>Valid</v>
      </c>
      <c r="AQ1644" t="str">
        <f>IF(Audit_Data[[#This Row],[Z_CostContact]]=3,"Valid","Invalid")</f>
        <v>Valid</v>
      </c>
      <c r="AR1644" t="str">
        <f t="shared" si="335"/>
        <v>Valid</v>
      </c>
      <c r="AS1644" t="str">
        <f t="shared" si="336"/>
        <v>Valid</v>
      </c>
    </row>
    <row r="1645" spans="1:45" x14ac:dyDescent="0.3">
      <c r="A1645">
        <v>3829</v>
      </c>
      <c r="B1645">
        <v>1979</v>
      </c>
      <c r="C1645" t="s">
        <v>36</v>
      </c>
      <c r="D1645" t="s">
        <v>31</v>
      </c>
      <c r="E1645">
        <v>24594</v>
      </c>
      <c r="F1645">
        <v>1</v>
      </c>
      <c r="G1645">
        <v>0</v>
      </c>
      <c r="H1645" s="1">
        <v>41618</v>
      </c>
      <c r="I1645">
        <v>94</v>
      </c>
      <c r="J1645">
        <v>1</v>
      </c>
      <c r="K1645">
        <v>3</v>
      </c>
      <c r="L1645">
        <v>6</v>
      </c>
      <c r="M1645">
        <v>10</v>
      </c>
      <c r="N1645">
        <v>0</v>
      </c>
      <c r="O1645">
        <v>9</v>
      </c>
      <c r="P1645">
        <v>1</v>
      </c>
      <c r="Q1645">
        <v>1</v>
      </c>
      <c r="R1645">
        <v>0</v>
      </c>
      <c r="S1645">
        <v>3</v>
      </c>
      <c r="T1645">
        <v>5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3</v>
      </c>
      <c r="AB1645">
        <v>11</v>
      </c>
      <c r="AC1645">
        <v>0</v>
      </c>
      <c r="AD1645" t="str">
        <f t="shared" si="325"/>
        <v>Ok</v>
      </c>
      <c r="AE1645" t="str">
        <f>IF(AND(Audit_Data[[#This Row],[Year_Birth]]&gt;=1900,Audit_Data[[#This Row],[Year_Birth]]&lt;=2010),"OK","Invalid")</f>
        <v>OK</v>
      </c>
      <c r="AF1645" t="str">
        <f t="shared" si="326"/>
        <v>Valid</v>
      </c>
      <c r="AG1645" t="str">
        <f t="shared" si="327"/>
        <v>Valid</v>
      </c>
      <c r="AH1645" t="str">
        <f t="shared" si="328"/>
        <v>Valid</v>
      </c>
      <c r="AI1645" t="str">
        <f t="shared" si="329"/>
        <v>Valid</v>
      </c>
      <c r="AJ1645" t="str">
        <f t="shared" si="330"/>
        <v>Valid</v>
      </c>
      <c r="AK1645" t="str">
        <f t="shared" si="337"/>
        <v xml:space="preserve">Valid </v>
      </c>
      <c r="AL1645" t="str">
        <f>IF(AND(Audit_Data[[#This Row],[Recency]]&gt;=0,Audit_Data[[#This Row],[Recency]]&lt;=100),"Valid","Invalid")</f>
        <v>Valid</v>
      </c>
      <c r="AM1645" t="str">
        <f t="shared" si="331"/>
        <v>Valid</v>
      </c>
      <c r="AN1645" t="str">
        <f t="shared" si="332"/>
        <v>Valid</v>
      </c>
      <c r="AO1645" t="str">
        <f t="shared" si="333"/>
        <v>Valid</v>
      </c>
      <c r="AP1645" t="str">
        <f t="shared" si="334"/>
        <v>Valid</v>
      </c>
      <c r="AQ1645" t="str">
        <f>IF(Audit_Data[[#This Row],[Z_CostContact]]=3,"Valid","Invalid")</f>
        <v>Valid</v>
      </c>
      <c r="AR1645" t="str">
        <f t="shared" si="335"/>
        <v>Valid</v>
      </c>
      <c r="AS1645" t="str">
        <f t="shared" si="336"/>
        <v>Valid</v>
      </c>
    </row>
    <row r="1646" spans="1:45" x14ac:dyDescent="0.3">
      <c r="A1646">
        <v>3091</v>
      </c>
      <c r="B1646">
        <v>1981</v>
      </c>
      <c r="C1646" t="s">
        <v>37</v>
      </c>
      <c r="D1646" t="s">
        <v>31</v>
      </c>
      <c r="E1646">
        <v>75774</v>
      </c>
      <c r="F1646">
        <v>1</v>
      </c>
      <c r="G1646">
        <v>0</v>
      </c>
      <c r="H1646" s="1">
        <v>41761</v>
      </c>
      <c r="I1646">
        <v>27</v>
      </c>
      <c r="J1646">
        <v>340</v>
      </c>
      <c r="K1646">
        <v>21</v>
      </c>
      <c r="L1646">
        <v>134</v>
      </c>
      <c r="M1646">
        <v>258</v>
      </c>
      <c r="N1646">
        <v>14</v>
      </c>
      <c r="O1646">
        <v>56</v>
      </c>
      <c r="P1646">
        <v>1</v>
      </c>
      <c r="Q1646">
        <v>7</v>
      </c>
      <c r="R1646">
        <v>5</v>
      </c>
      <c r="S1646">
        <v>8</v>
      </c>
      <c r="T1646">
        <v>4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3</v>
      </c>
      <c r="AB1646">
        <v>11</v>
      </c>
      <c r="AC1646">
        <v>0</v>
      </c>
      <c r="AD1646" t="str">
        <f t="shared" si="325"/>
        <v>Ok</v>
      </c>
      <c r="AE1646" t="str">
        <f>IF(AND(Audit_Data[[#This Row],[Year_Birth]]&gt;=1900,Audit_Data[[#This Row],[Year_Birth]]&lt;=2010),"OK","Invalid")</f>
        <v>OK</v>
      </c>
      <c r="AF1646" t="str">
        <f t="shared" si="326"/>
        <v>Valid</v>
      </c>
      <c r="AG1646" t="str">
        <f t="shared" si="327"/>
        <v>Valid</v>
      </c>
      <c r="AH1646" t="str">
        <f t="shared" si="328"/>
        <v>Valid</v>
      </c>
      <c r="AI1646" t="str">
        <f t="shared" si="329"/>
        <v>Valid</v>
      </c>
      <c r="AJ1646" t="str">
        <f t="shared" si="330"/>
        <v>Valid</v>
      </c>
      <c r="AK1646" t="str">
        <f t="shared" si="337"/>
        <v xml:space="preserve">Valid </v>
      </c>
      <c r="AL1646" t="str">
        <f>IF(AND(Audit_Data[[#This Row],[Recency]]&gt;=0,Audit_Data[[#This Row],[Recency]]&lt;=100),"Valid","Invalid")</f>
        <v>Valid</v>
      </c>
      <c r="AM1646" t="str">
        <f t="shared" si="331"/>
        <v>Valid</v>
      </c>
      <c r="AN1646" t="str">
        <f t="shared" si="332"/>
        <v>Valid</v>
      </c>
      <c r="AO1646" t="str">
        <f t="shared" si="333"/>
        <v>Valid</v>
      </c>
      <c r="AP1646" t="str">
        <f t="shared" si="334"/>
        <v>Valid</v>
      </c>
      <c r="AQ1646" t="str">
        <f>IF(Audit_Data[[#This Row],[Z_CostContact]]=3,"Valid","Invalid")</f>
        <v>Valid</v>
      </c>
      <c r="AR1646" t="str">
        <f t="shared" si="335"/>
        <v>Valid</v>
      </c>
      <c r="AS1646" t="str">
        <f t="shared" si="336"/>
        <v>Valid</v>
      </c>
    </row>
    <row r="1647" spans="1:45" x14ac:dyDescent="0.3">
      <c r="A1647">
        <v>10141</v>
      </c>
      <c r="B1647">
        <v>1960</v>
      </c>
      <c r="C1647" t="s">
        <v>34</v>
      </c>
      <c r="D1647" t="s">
        <v>35</v>
      </c>
      <c r="E1647">
        <v>39228</v>
      </c>
      <c r="F1647">
        <v>0</v>
      </c>
      <c r="G1647">
        <v>0</v>
      </c>
      <c r="H1647" s="1">
        <v>41404</v>
      </c>
      <c r="I1647">
        <v>1</v>
      </c>
      <c r="J1647">
        <v>7</v>
      </c>
      <c r="K1647">
        <v>1</v>
      </c>
      <c r="L1647">
        <v>6</v>
      </c>
      <c r="M1647">
        <v>0</v>
      </c>
      <c r="N1647">
        <v>3</v>
      </c>
      <c r="O1647">
        <v>3</v>
      </c>
      <c r="P1647">
        <v>1</v>
      </c>
      <c r="Q1647">
        <v>0</v>
      </c>
      <c r="R1647">
        <v>0</v>
      </c>
      <c r="S1647">
        <v>3</v>
      </c>
      <c r="T1647">
        <v>4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3</v>
      </c>
      <c r="AB1647">
        <v>11</v>
      </c>
      <c r="AC1647">
        <v>0</v>
      </c>
      <c r="AD1647" t="str">
        <f t="shared" si="325"/>
        <v>Ok</v>
      </c>
      <c r="AE1647" t="str">
        <f>IF(AND(Audit_Data[[#This Row],[Year_Birth]]&gt;=1900,Audit_Data[[#This Row],[Year_Birth]]&lt;=2010),"OK","Invalid")</f>
        <v>OK</v>
      </c>
      <c r="AF1647" t="str">
        <f t="shared" si="326"/>
        <v>Valid</v>
      </c>
      <c r="AG1647" t="str">
        <f t="shared" si="327"/>
        <v>Valid</v>
      </c>
      <c r="AH1647" t="str">
        <f t="shared" si="328"/>
        <v>Valid</v>
      </c>
      <c r="AI1647" t="str">
        <f t="shared" si="329"/>
        <v>Valid</v>
      </c>
      <c r="AJ1647" t="str">
        <f t="shared" si="330"/>
        <v>Valid</v>
      </c>
      <c r="AK1647" t="str">
        <f t="shared" si="337"/>
        <v xml:space="preserve">Valid </v>
      </c>
      <c r="AL1647" t="str">
        <f>IF(AND(Audit_Data[[#This Row],[Recency]]&gt;=0,Audit_Data[[#This Row],[Recency]]&lt;=100),"Valid","Invalid")</f>
        <v>Valid</v>
      </c>
      <c r="AM1647" t="str">
        <f t="shared" si="331"/>
        <v>Valid</v>
      </c>
      <c r="AN1647" t="str">
        <f t="shared" si="332"/>
        <v>Valid</v>
      </c>
      <c r="AO1647" t="str">
        <f t="shared" si="333"/>
        <v>Valid</v>
      </c>
      <c r="AP1647" t="str">
        <f t="shared" si="334"/>
        <v>Valid</v>
      </c>
      <c r="AQ1647" t="str">
        <f>IF(Audit_Data[[#This Row],[Z_CostContact]]=3,"Valid","Invalid")</f>
        <v>Valid</v>
      </c>
      <c r="AR1647" t="str">
        <f t="shared" si="335"/>
        <v>Valid</v>
      </c>
      <c r="AS1647" t="str">
        <f t="shared" si="336"/>
        <v>Valid</v>
      </c>
    </row>
    <row r="1648" spans="1:45" x14ac:dyDescent="0.3">
      <c r="A1648">
        <v>5177</v>
      </c>
      <c r="B1648">
        <v>1974</v>
      </c>
      <c r="C1648" t="s">
        <v>34</v>
      </c>
      <c r="D1648" t="s">
        <v>33</v>
      </c>
      <c r="E1648">
        <v>58494</v>
      </c>
      <c r="F1648">
        <v>0</v>
      </c>
      <c r="G1648">
        <v>1</v>
      </c>
      <c r="H1648" s="1">
        <v>41620</v>
      </c>
      <c r="I1648">
        <v>56</v>
      </c>
      <c r="J1648">
        <v>298</v>
      </c>
      <c r="K1648">
        <v>7</v>
      </c>
      <c r="L1648">
        <v>68</v>
      </c>
      <c r="M1648">
        <v>4</v>
      </c>
      <c r="N1648">
        <v>0</v>
      </c>
      <c r="O1648">
        <v>19</v>
      </c>
      <c r="P1648">
        <v>2</v>
      </c>
      <c r="Q1648">
        <v>6</v>
      </c>
      <c r="R1648">
        <v>2</v>
      </c>
      <c r="S1648">
        <v>6</v>
      </c>
      <c r="T1648">
        <v>6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3</v>
      </c>
      <c r="AB1648">
        <v>11</v>
      </c>
      <c r="AC1648">
        <v>0</v>
      </c>
      <c r="AD1648" t="str">
        <f t="shared" si="325"/>
        <v>Ok</v>
      </c>
      <c r="AE1648" t="str">
        <f>IF(AND(Audit_Data[[#This Row],[Year_Birth]]&gt;=1900,Audit_Data[[#This Row],[Year_Birth]]&lt;=2010),"OK","Invalid")</f>
        <v>OK</v>
      </c>
      <c r="AF1648" t="str">
        <f t="shared" si="326"/>
        <v>Valid</v>
      </c>
      <c r="AG1648" t="str">
        <f t="shared" si="327"/>
        <v>Valid</v>
      </c>
      <c r="AH1648" t="str">
        <f t="shared" si="328"/>
        <v>Valid</v>
      </c>
      <c r="AI1648" t="str">
        <f t="shared" si="329"/>
        <v>Valid</v>
      </c>
      <c r="AJ1648" t="str">
        <f t="shared" si="330"/>
        <v>Valid</v>
      </c>
      <c r="AK1648" t="str">
        <f t="shared" si="337"/>
        <v xml:space="preserve">Valid </v>
      </c>
      <c r="AL1648" t="str">
        <f>IF(AND(Audit_Data[[#This Row],[Recency]]&gt;=0,Audit_Data[[#This Row],[Recency]]&lt;=100),"Valid","Invalid")</f>
        <v>Valid</v>
      </c>
      <c r="AM1648" t="str">
        <f t="shared" si="331"/>
        <v>Valid</v>
      </c>
      <c r="AN1648" t="str">
        <f t="shared" si="332"/>
        <v>Valid</v>
      </c>
      <c r="AO1648" t="str">
        <f t="shared" si="333"/>
        <v>Valid</v>
      </c>
      <c r="AP1648" t="str">
        <f t="shared" si="334"/>
        <v>Valid</v>
      </c>
      <c r="AQ1648" t="str">
        <f>IF(Audit_Data[[#This Row],[Z_CostContact]]=3,"Valid","Invalid")</f>
        <v>Valid</v>
      </c>
      <c r="AR1648" t="str">
        <f t="shared" si="335"/>
        <v>Valid</v>
      </c>
      <c r="AS1648" t="str">
        <f t="shared" si="336"/>
        <v>Valid</v>
      </c>
    </row>
    <row r="1649" spans="1:45" x14ac:dyDescent="0.3">
      <c r="A1649">
        <v>7005</v>
      </c>
      <c r="B1649">
        <v>1981</v>
      </c>
      <c r="C1649" t="s">
        <v>29</v>
      </c>
      <c r="D1649" t="s">
        <v>30</v>
      </c>
      <c r="E1649">
        <v>58684</v>
      </c>
      <c r="F1649">
        <v>0</v>
      </c>
      <c r="G1649">
        <v>0</v>
      </c>
      <c r="H1649" s="1">
        <v>41806</v>
      </c>
      <c r="I1649">
        <v>71</v>
      </c>
      <c r="J1649">
        <v>479</v>
      </c>
      <c r="K1649">
        <v>35</v>
      </c>
      <c r="L1649">
        <v>179</v>
      </c>
      <c r="M1649">
        <v>28</v>
      </c>
      <c r="N1649">
        <v>7</v>
      </c>
      <c r="O1649">
        <v>85</v>
      </c>
      <c r="P1649">
        <v>1</v>
      </c>
      <c r="Q1649">
        <v>5</v>
      </c>
      <c r="R1649">
        <v>3</v>
      </c>
      <c r="S1649">
        <v>12</v>
      </c>
      <c r="T1649">
        <v>2</v>
      </c>
      <c r="U1649">
        <v>0</v>
      </c>
      <c r="V1649">
        <v>1</v>
      </c>
      <c r="W1649">
        <v>0</v>
      </c>
      <c r="X1649">
        <v>0</v>
      </c>
      <c r="Y1649">
        <v>0</v>
      </c>
      <c r="Z1649">
        <v>0</v>
      </c>
      <c r="AA1649">
        <v>3</v>
      </c>
      <c r="AB1649">
        <v>11</v>
      </c>
      <c r="AC1649">
        <v>0</v>
      </c>
      <c r="AD1649" t="str">
        <f t="shared" si="325"/>
        <v>Ok</v>
      </c>
      <c r="AE1649" t="str">
        <f>IF(AND(Audit_Data[[#This Row],[Year_Birth]]&gt;=1900,Audit_Data[[#This Row],[Year_Birth]]&lt;=2010),"OK","Invalid")</f>
        <v>OK</v>
      </c>
      <c r="AF1649" t="str">
        <f t="shared" si="326"/>
        <v>Valid</v>
      </c>
      <c r="AG1649" t="str">
        <f t="shared" si="327"/>
        <v>Valid</v>
      </c>
      <c r="AH1649" t="str">
        <f t="shared" si="328"/>
        <v>Valid</v>
      </c>
      <c r="AI1649" t="str">
        <f t="shared" si="329"/>
        <v>Valid</v>
      </c>
      <c r="AJ1649" t="str">
        <f t="shared" si="330"/>
        <v>Valid</v>
      </c>
      <c r="AK1649" t="str">
        <f t="shared" si="337"/>
        <v xml:space="preserve">Valid </v>
      </c>
      <c r="AL1649" t="str">
        <f>IF(AND(Audit_Data[[#This Row],[Recency]]&gt;=0,Audit_Data[[#This Row],[Recency]]&lt;=100),"Valid","Invalid")</f>
        <v>Valid</v>
      </c>
      <c r="AM1649" t="str">
        <f t="shared" si="331"/>
        <v>Valid</v>
      </c>
      <c r="AN1649" t="str">
        <f t="shared" si="332"/>
        <v>Valid</v>
      </c>
      <c r="AO1649" t="str">
        <f t="shared" si="333"/>
        <v>Valid</v>
      </c>
      <c r="AP1649" t="str">
        <f t="shared" si="334"/>
        <v>Valid</v>
      </c>
      <c r="AQ1649" t="str">
        <f>IF(Audit_Data[[#This Row],[Z_CostContact]]=3,"Valid","Invalid")</f>
        <v>Valid</v>
      </c>
      <c r="AR1649" t="str">
        <f t="shared" si="335"/>
        <v>Valid</v>
      </c>
      <c r="AS1649" t="str">
        <f t="shared" si="336"/>
        <v>Valid</v>
      </c>
    </row>
    <row r="1650" spans="1:45" x14ac:dyDescent="0.3">
      <c r="A1650">
        <v>6409</v>
      </c>
      <c r="B1650">
        <v>1967</v>
      </c>
      <c r="C1650" t="s">
        <v>29</v>
      </c>
      <c r="D1650" t="s">
        <v>35</v>
      </c>
      <c r="E1650">
        <v>57136</v>
      </c>
      <c r="F1650">
        <v>0</v>
      </c>
      <c r="G1650">
        <v>0</v>
      </c>
      <c r="H1650" s="1">
        <v>41412</v>
      </c>
      <c r="I1650">
        <v>18</v>
      </c>
      <c r="J1650">
        <v>267</v>
      </c>
      <c r="K1650">
        <v>140</v>
      </c>
      <c r="L1650">
        <v>599</v>
      </c>
      <c r="M1650">
        <v>34</v>
      </c>
      <c r="N1650">
        <v>12</v>
      </c>
      <c r="O1650">
        <v>127</v>
      </c>
      <c r="P1650">
        <v>1</v>
      </c>
      <c r="Q1650">
        <v>7</v>
      </c>
      <c r="R1650">
        <v>5</v>
      </c>
      <c r="S1650">
        <v>7</v>
      </c>
      <c r="T1650">
        <v>6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3</v>
      </c>
      <c r="AB1650">
        <v>11</v>
      </c>
      <c r="AC1650">
        <v>1</v>
      </c>
      <c r="AD1650" t="str">
        <f t="shared" si="325"/>
        <v>Ok</v>
      </c>
      <c r="AE1650" t="str">
        <f>IF(AND(Audit_Data[[#This Row],[Year_Birth]]&gt;=1900,Audit_Data[[#This Row],[Year_Birth]]&lt;=2010),"OK","Invalid")</f>
        <v>OK</v>
      </c>
      <c r="AF1650" t="str">
        <f t="shared" si="326"/>
        <v>Valid</v>
      </c>
      <c r="AG1650" t="str">
        <f t="shared" si="327"/>
        <v>Valid</v>
      </c>
      <c r="AH1650" t="str">
        <f t="shared" si="328"/>
        <v>Valid</v>
      </c>
      <c r="AI1650" t="str">
        <f t="shared" si="329"/>
        <v>Valid</v>
      </c>
      <c r="AJ1650" t="str">
        <f t="shared" si="330"/>
        <v>Valid</v>
      </c>
      <c r="AK1650" t="str">
        <f t="shared" si="337"/>
        <v xml:space="preserve">Valid </v>
      </c>
      <c r="AL1650" t="str">
        <f>IF(AND(Audit_Data[[#This Row],[Recency]]&gt;=0,Audit_Data[[#This Row],[Recency]]&lt;=100),"Valid","Invalid")</f>
        <v>Valid</v>
      </c>
      <c r="AM1650" t="str">
        <f t="shared" si="331"/>
        <v>Valid</v>
      </c>
      <c r="AN1650" t="str">
        <f t="shared" si="332"/>
        <v>Valid</v>
      </c>
      <c r="AO1650" t="str">
        <f t="shared" si="333"/>
        <v>Valid</v>
      </c>
      <c r="AP1650" t="str">
        <f t="shared" si="334"/>
        <v>Valid</v>
      </c>
      <c r="AQ1650" t="str">
        <f>IF(Audit_Data[[#This Row],[Z_CostContact]]=3,"Valid","Invalid")</f>
        <v>Valid</v>
      </c>
      <c r="AR1650" t="str">
        <f t="shared" si="335"/>
        <v>Valid</v>
      </c>
      <c r="AS1650" t="str">
        <f t="shared" si="336"/>
        <v>Valid</v>
      </c>
    </row>
    <row r="1651" spans="1:45" x14ac:dyDescent="0.3">
      <c r="A1651">
        <v>7485</v>
      </c>
      <c r="B1651">
        <v>1950</v>
      </c>
      <c r="C1651" t="s">
        <v>32</v>
      </c>
      <c r="D1651" t="s">
        <v>38</v>
      </c>
      <c r="E1651">
        <v>56551</v>
      </c>
      <c r="F1651">
        <v>1</v>
      </c>
      <c r="G1651">
        <v>1</v>
      </c>
      <c r="H1651" s="1">
        <v>41766</v>
      </c>
      <c r="I1651">
        <v>48</v>
      </c>
      <c r="J1651">
        <v>67</v>
      </c>
      <c r="K1651">
        <v>4</v>
      </c>
      <c r="L1651">
        <v>32</v>
      </c>
      <c r="M1651">
        <v>17</v>
      </c>
      <c r="N1651">
        <v>2</v>
      </c>
      <c r="O1651">
        <v>16</v>
      </c>
      <c r="P1651">
        <v>3</v>
      </c>
      <c r="Q1651">
        <v>2</v>
      </c>
      <c r="R1651">
        <v>1</v>
      </c>
      <c r="S1651">
        <v>4</v>
      </c>
      <c r="T1651">
        <v>4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3</v>
      </c>
      <c r="AB1651">
        <v>11</v>
      </c>
      <c r="AC1651">
        <v>0</v>
      </c>
      <c r="AD1651" t="str">
        <f t="shared" si="325"/>
        <v>Ok</v>
      </c>
      <c r="AE1651" t="str">
        <f>IF(AND(Audit_Data[[#This Row],[Year_Birth]]&gt;=1900,Audit_Data[[#This Row],[Year_Birth]]&lt;=2010),"OK","Invalid")</f>
        <v>OK</v>
      </c>
      <c r="AF1651" t="str">
        <f t="shared" si="326"/>
        <v>Valid</v>
      </c>
      <c r="AG1651" t="str">
        <f t="shared" si="327"/>
        <v>Valid</v>
      </c>
      <c r="AH1651" t="str">
        <f t="shared" si="328"/>
        <v>Valid</v>
      </c>
      <c r="AI1651" t="str">
        <f t="shared" si="329"/>
        <v>Valid</v>
      </c>
      <c r="AJ1651" t="str">
        <f t="shared" si="330"/>
        <v>Valid</v>
      </c>
      <c r="AK1651" t="str">
        <f t="shared" si="337"/>
        <v xml:space="preserve">Valid </v>
      </c>
      <c r="AL1651" t="str">
        <f>IF(AND(Audit_Data[[#This Row],[Recency]]&gt;=0,Audit_Data[[#This Row],[Recency]]&lt;=100),"Valid","Invalid")</f>
        <v>Valid</v>
      </c>
      <c r="AM1651" t="str">
        <f t="shared" si="331"/>
        <v>Valid</v>
      </c>
      <c r="AN1651" t="str">
        <f t="shared" si="332"/>
        <v>Valid</v>
      </c>
      <c r="AO1651" t="str">
        <f t="shared" si="333"/>
        <v>Valid</v>
      </c>
      <c r="AP1651" t="str">
        <f t="shared" si="334"/>
        <v>Valid</v>
      </c>
      <c r="AQ1651" t="str">
        <f>IF(Audit_Data[[#This Row],[Z_CostContact]]=3,"Valid","Invalid")</f>
        <v>Valid</v>
      </c>
      <c r="AR1651" t="str">
        <f t="shared" si="335"/>
        <v>Valid</v>
      </c>
      <c r="AS1651" t="str">
        <f t="shared" si="336"/>
        <v>Valid</v>
      </c>
    </row>
    <row r="1652" spans="1:45" x14ac:dyDescent="0.3">
      <c r="A1652">
        <v>8079</v>
      </c>
      <c r="B1652">
        <v>1982</v>
      </c>
      <c r="C1652" t="s">
        <v>29</v>
      </c>
      <c r="D1652" t="s">
        <v>33</v>
      </c>
      <c r="E1652">
        <v>22448</v>
      </c>
      <c r="F1652">
        <v>1</v>
      </c>
      <c r="G1652">
        <v>0</v>
      </c>
      <c r="H1652" s="1">
        <v>41696</v>
      </c>
      <c r="I1652">
        <v>86</v>
      </c>
      <c r="J1652">
        <v>3</v>
      </c>
      <c r="K1652">
        <v>1</v>
      </c>
      <c r="L1652">
        <v>8</v>
      </c>
      <c r="M1652">
        <v>23</v>
      </c>
      <c r="N1652">
        <v>2</v>
      </c>
      <c r="O1652">
        <v>18</v>
      </c>
      <c r="P1652">
        <v>3</v>
      </c>
      <c r="Q1652">
        <v>2</v>
      </c>
      <c r="R1652">
        <v>1</v>
      </c>
      <c r="S1652">
        <v>3</v>
      </c>
      <c r="T1652">
        <v>3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3</v>
      </c>
      <c r="AB1652">
        <v>11</v>
      </c>
      <c r="AC1652">
        <v>0</v>
      </c>
      <c r="AD1652" t="str">
        <f t="shared" si="325"/>
        <v>Ok</v>
      </c>
      <c r="AE1652" t="str">
        <f>IF(AND(Audit_Data[[#This Row],[Year_Birth]]&gt;=1900,Audit_Data[[#This Row],[Year_Birth]]&lt;=2010),"OK","Invalid")</f>
        <v>OK</v>
      </c>
      <c r="AF1652" t="str">
        <f t="shared" si="326"/>
        <v>Valid</v>
      </c>
      <c r="AG1652" t="str">
        <f t="shared" si="327"/>
        <v>Valid</v>
      </c>
      <c r="AH1652" t="str">
        <f t="shared" si="328"/>
        <v>Valid</v>
      </c>
      <c r="AI1652" t="str">
        <f t="shared" si="329"/>
        <v>Valid</v>
      </c>
      <c r="AJ1652" t="str">
        <f t="shared" si="330"/>
        <v>Valid</v>
      </c>
      <c r="AK1652" t="str">
        <f t="shared" si="337"/>
        <v xml:space="preserve">Valid </v>
      </c>
      <c r="AL1652" t="str">
        <f>IF(AND(Audit_Data[[#This Row],[Recency]]&gt;=0,Audit_Data[[#This Row],[Recency]]&lt;=100),"Valid","Invalid")</f>
        <v>Valid</v>
      </c>
      <c r="AM1652" t="str">
        <f t="shared" si="331"/>
        <v>Valid</v>
      </c>
      <c r="AN1652" t="str">
        <f t="shared" si="332"/>
        <v>Valid</v>
      </c>
      <c r="AO1652" t="str">
        <f t="shared" si="333"/>
        <v>Valid</v>
      </c>
      <c r="AP1652" t="str">
        <f t="shared" si="334"/>
        <v>Valid</v>
      </c>
      <c r="AQ1652" t="str">
        <f>IF(Audit_Data[[#This Row],[Z_CostContact]]=3,"Valid","Invalid")</f>
        <v>Valid</v>
      </c>
      <c r="AR1652" t="str">
        <f t="shared" si="335"/>
        <v>Valid</v>
      </c>
      <c r="AS1652" t="str">
        <f t="shared" si="336"/>
        <v>Valid</v>
      </c>
    </row>
    <row r="1653" spans="1:45" x14ac:dyDescent="0.3">
      <c r="A1653">
        <v>8395</v>
      </c>
      <c r="B1653">
        <v>1961</v>
      </c>
      <c r="C1653" t="s">
        <v>29</v>
      </c>
      <c r="D1653" t="s">
        <v>30</v>
      </c>
      <c r="E1653">
        <v>82014</v>
      </c>
      <c r="F1653">
        <v>0</v>
      </c>
      <c r="G1653">
        <v>0</v>
      </c>
      <c r="H1653" s="1">
        <v>41141</v>
      </c>
      <c r="I1653">
        <v>48</v>
      </c>
      <c r="J1653">
        <v>980</v>
      </c>
      <c r="K1653">
        <v>37</v>
      </c>
      <c r="L1653">
        <v>265</v>
      </c>
      <c r="M1653">
        <v>35</v>
      </c>
      <c r="N1653">
        <v>163</v>
      </c>
      <c r="O1653">
        <v>31</v>
      </c>
      <c r="P1653">
        <v>1</v>
      </c>
      <c r="Q1653">
        <v>3</v>
      </c>
      <c r="R1653">
        <v>6</v>
      </c>
      <c r="S1653">
        <v>12</v>
      </c>
      <c r="T1653">
        <v>6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3</v>
      </c>
      <c r="AB1653">
        <v>11</v>
      </c>
      <c r="AC1653">
        <v>1</v>
      </c>
      <c r="AD1653" t="str">
        <f t="shared" si="325"/>
        <v>Ok</v>
      </c>
      <c r="AE1653" t="str">
        <f>IF(AND(Audit_Data[[#This Row],[Year_Birth]]&gt;=1900,Audit_Data[[#This Row],[Year_Birth]]&lt;=2010),"OK","Invalid")</f>
        <v>OK</v>
      </c>
      <c r="AF1653" t="str">
        <f t="shared" si="326"/>
        <v>Valid</v>
      </c>
      <c r="AG1653" t="str">
        <f t="shared" si="327"/>
        <v>Valid</v>
      </c>
      <c r="AH1653" t="str">
        <f t="shared" si="328"/>
        <v>Valid</v>
      </c>
      <c r="AI1653" t="str">
        <f t="shared" si="329"/>
        <v>Valid</v>
      </c>
      <c r="AJ1653" t="str">
        <f t="shared" si="330"/>
        <v>Valid</v>
      </c>
      <c r="AK1653" t="str">
        <f t="shared" si="337"/>
        <v xml:space="preserve">Valid </v>
      </c>
      <c r="AL1653" t="str">
        <f>IF(AND(Audit_Data[[#This Row],[Recency]]&gt;=0,Audit_Data[[#This Row],[Recency]]&lt;=100),"Valid","Invalid")</f>
        <v>Valid</v>
      </c>
      <c r="AM1653" t="str">
        <f t="shared" si="331"/>
        <v>Valid</v>
      </c>
      <c r="AN1653" t="str">
        <f t="shared" si="332"/>
        <v>Valid</v>
      </c>
      <c r="AO1653" t="str">
        <f t="shared" si="333"/>
        <v>Valid</v>
      </c>
      <c r="AP1653" t="str">
        <f t="shared" si="334"/>
        <v>Valid</v>
      </c>
      <c r="AQ1653" t="str">
        <f>IF(Audit_Data[[#This Row],[Z_CostContact]]=3,"Valid","Invalid")</f>
        <v>Valid</v>
      </c>
      <c r="AR1653" t="str">
        <f t="shared" si="335"/>
        <v>Valid</v>
      </c>
      <c r="AS1653" t="str">
        <f t="shared" si="336"/>
        <v>Valid</v>
      </c>
    </row>
    <row r="1654" spans="1:45" x14ac:dyDescent="0.3">
      <c r="A1654">
        <v>10352</v>
      </c>
      <c r="B1654">
        <v>1963</v>
      </c>
      <c r="C1654" t="s">
        <v>29</v>
      </c>
      <c r="D1654" t="s">
        <v>38</v>
      </c>
      <c r="E1654">
        <v>34213</v>
      </c>
      <c r="F1654">
        <v>1</v>
      </c>
      <c r="G1654">
        <v>1</v>
      </c>
      <c r="H1654" s="1">
        <v>41159</v>
      </c>
      <c r="I1654">
        <v>2</v>
      </c>
      <c r="J1654">
        <v>50</v>
      </c>
      <c r="K1654">
        <v>4</v>
      </c>
      <c r="L1654">
        <v>28</v>
      </c>
      <c r="M1654">
        <v>6</v>
      </c>
      <c r="N1654">
        <v>3</v>
      </c>
      <c r="O1654">
        <v>26</v>
      </c>
      <c r="P1654">
        <v>3</v>
      </c>
      <c r="Q1654">
        <v>3</v>
      </c>
      <c r="R1654">
        <v>1</v>
      </c>
      <c r="S1654">
        <v>2</v>
      </c>
      <c r="T1654">
        <v>9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3</v>
      </c>
      <c r="AB1654">
        <v>11</v>
      </c>
      <c r="AC1654">
        <v>1</v>
      </c>
      <c r="AD1654" t="str">
        <f t="shared" si="325"/>
        <v>Ok</v>
      </c>
      <c r="AE1654" t="str">
        <f>IF(AND(Audit_Data[[#This Row],[Year_Birth]]&gt;=1900,Audit_Data[[#This Row],[Year_Birth]]&lt;=2010),"OK","Invalid")</f>
        <v>OK</v>
      </c>
      <c r="AF1654" t="str">
        <f t="shared" si="326"/>
        <v>Valid</v>
      </c>
      <c r="AG1654" t="str">
        <f t="shared" si="327"/>
        <v>Valid</v>
      </c>
      <c r="AH1654" t="str">
        <f t="shared" si="328"/>
        <v>Valid</v>
      </c>
      <c r="AI1654" t="str">
        <f t="shared" si="329"/>
        <v>Valid</v>
      </c>
      <c r="AJ1654" t="str">
        <f t="shared" si="330"/>
        <v>Valid</v>
      </c>
      <c r="AK1654" t="str">
        <f t="shared" si="337"/>
        <v xml:space="preserve">Valid </v>
      </c>
      <c r="AL1654" t="str">
        <f>IF(AND(Audit_Data[[#This Row],[Recency]]&gt;=0,Audit_Data[[#This Row],[Recency]]&lt;=100),"Valid","Invalid")</f>
        <v>Valid</v>
      </c>
      <c r="AM1654" t="str">
        <f t="shared" si="331"/>
        <v>Valid</v>
      </c>
      <c r="AN1654" t="str">
        <f t="shared" si="332"/>
        <v>Valid</v>
      </c>
      <c r="AO1654" t="str">
        <f t="shared" si="333"/>
        <v>Valid</v>
      </c>
      <c r="AP1654" t="str">
        <f t="shared" si="334"/>
        <v>Valid</v>
      </c>
      <c r="AQ1654" t="str">
        <f>IF(Audit_Data[[#This Row],[Z_CostContact]]=3,"Valid","Invalid")</f>
        <v>Valid</v>
      </c>
      <c r="AR1654" t="str">
        <f t="shared" si="335"/>
        <v>Valid</v>
      </c>
      <c r="AS1654" t="str">
        <f t="shared" si="336"/>
        <v>Valid</v>
      </c>
    </row>
    <row r="1655" spans="1:45" x14ac:dyDescent="0.3">
      <c r="A1655">
        <v>4931</v>
      </c>
      <c r="B1655">
        <v>1977</v>
      </c>
      <c r="C1655" t="s">
        <v>29</v>
      </c>
      <c r="D1655" t="s">
        <v>31</v>
      </c>
      <c r="E1655">
        <v>157146</v>
      </c>
      <c r="F1655">
        <v>0</v>
      </c>
      <c r="G1655">
        <v>0</v>
      </c>
      <c r="H1655" s="1">
        <v>41393</v>
      </c>
      <c r="I1655">
        <v>13</v>
      </c>
      <c r="J1655">
        <v>1</v>
      </c>
      <c r="K1655">
        <v>0</v>
      </c>
      <c r="L1655">
        <v>1725</v>
      </c>
      <c r="M1655">
        <v>2</v>
      </c>
      <c r="N1655">
        <v>1</v>
      </c>
      <c r="O1655">
        <v>1</v>
      </c>
      <c r="P1655">
        <v>0</v>
      </c>
      <c r="Q1655">
        <v>0</v>
      </c>
      <c r="R1655">
        <v>28</v>
      </c>
      <c r="S1655">
        <v>0</v>
      </c>
      <c r="T1655">
        <v>1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3</v>
      </c>
      <c r="AB1655">
        <v>11</v>
      </c>
      <c r="AC1655">
        <v>0</v>
      </c>
      <c r="AD1655" t="str">
        <f t="shared" si="325"/>
        <v>Ok</v>
      </c>
      <c r="AE1655" t="str">
        <f>IF(AND(Audit_Data[[#This Row],[Year_Birth]]&gt;=1900,Audit_Data[[#This Row],[Year_Birth]]&lt;=2010),"OK","Invalid")</f>
        <v>OK</v>
      </c>
      <c r="AF1655" t="str">
        <f t="shared" si="326"/>
        <v>Valid</v>
      </c>
      <c r="AG1655" t="str">
        <f t="shared" si="327"/>
        <v>Valid</v>
      </c>
      <c r="AH1655" t="str">
        <f t="shared" si="328"/>
        <v>Valid</v>
      </c>
      <c r="AI1655" t="str">
        <f t="shared" si="329"/>
        <v>Valid</v>
      </c>
      <c r="AJ1655" t="str">
        <f t="shared" si="330"/>
        <v>Valid</v>
      </c>
      <c r="AK1655" t="str">
        <f t="shared" si="337"/>
        <v xml:space="preserve">Valid </v>
      </c>
      <c r="AL1655" t="str">
        <f>IF(AND(Audit_Data[[#This Row],[Recency]]&gt;=0,Audit_Data[[#This Row],[Recency]]&lt;=100),"Valid","Invalid")</f>
        <v>Valid</v>
      </c>
      <c r="AM1655" t="str">
        <f t="shared" si="331"/>
        <v>Valid</v>
      </c>
      <c r="AN1655" t="str">
        <f t="shared" si="332"/>
        <v>Valid</v>
      </c>
      <c r="AO1655" t="str">
        <f t="shared" si="333"/>
        <v>Valid</v>
      </c>
      <c r="AP1655" t="str">
        <f t="shared" si="334"/>
        <v>Valid</v>
      </c>
      <c r="AQ1655" t="str">
        <f>IF(Audit_Data[[#This Row],[Z_CostContact]]=3,"Valid","Invalid")</f>
        <v>Valid</v>
      </c>
      <c r="AR1655" t="str">
        <f t="shared" si="335"/>
        <v>Valid</v>
      </c>
      <c r="AS1655" t="str">
        <f t="shared" si="336"/>
        <v>Valid</v>
      </c>
    </row>
    <row r="1656" spans="1:45" x14ac:dyDescent="0.3">
      <c r="A1656">
        <v>13</v>
      </c>
      <c r="B1656">
        <v>1947</v>
      </c>
      <c r="C1656" t="s">
        <v>32</v>
      </c>
      <c r="D1656" t="s">
        <v>38</v>
      </c>
      <c r="E1656">
        <v>25358</v>
      </c>
      <c r="F1656">
        <v>0</v>
      </c>
      <c r="G1656">
        <v>1</v>
      </c>
      <c r="H1656" s="1">
        <v>41477</v>
      </c>
      <c r="I1656">
        <v>57</v>
      </c>
      <c r="J1656">
        <v>19</v>
      </c>
      <c r="K1656">
        <v>0</v>
      </c>
      <c r="L1656">
        <v>5</v>
      </c>
      <c r="M1656">
        <v>0</v>
      </c>
      <c r="N1656">
        <v>0</v>
      </c>
      <c r="O1656">
        <v>8</v>
      </c>
      <c r="P1656">
        <v>2</v>
      </c>
      <c r="Q1656">
        <v>1</v>
      </c>
      <c r="R1656">
        <v>0</v>
      </c>
      <c r="S1656">
        <v>3</v>
      </c>
      <c r="T1656">
        <v>6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3</v>
      </c>
      <c r="AB1656">
        <v>11</v>
      </c>
      <c r="AC1656">
        <v>0</v>
      </c>
      <c r="AD1656" t="str">
        <f t="shared" si="325"/>
        <v>Ok</v>
      </c>
      <c r="AE1656" t="str">
        <f>IF(AND(Audit_Data[[#This Row],[Year_Birth]]&gt;=1900,Audit_Data[[#This Row],[Year_Birth]]&lt;=2010),"OK","Invalid")</f>
        <v>OK</v>
      </c>
      <c r="AF1656" t="str">
        <f t="shared" si="326"/>
        <v>Valid</v>
      </c>
      <c r="AG1656" t="str">
        <f t="shared" si="327"/>
        <v>Valid</v>
      </c>
      <c r="AH1656" t="str">
        <f t="shared" si="328"/>
        <v>Valid</v>
      </c>
      <c r="AI1656" t="str">
        <f t="shared" si="329"/>
        <v>Valid</v>
      </c>
      <c r="AJ1656" t="str">
        <f t="shared" si="330"/>
        <v>Valid</v>
      </c>
      <c r="AK1656" t="str">
        <f t="shared" si="337"/>
        <v xml:space="preserve">Valid </v>
      </c>
      <c r="AL1656" t="str">
        <f>IF(AND(Audit_Data[[#This Row],[Recency]]&gt;=0,Audit_Data[[#This Row],[Recency]]&lt;=100),"Valid","Invalid")</f>
        <v>Valid</v>
      </c>
      <c r="AM1656" t="str">
        <f t="shared" si="331"/>
        <v>Valid</v>
      </c>
      <c r="AN1656" t="str">
        <f t="shared" si="332"/>
        <v>Valid</v>
      </c>
      <c r="AO1656" t="str">
        <f t="shared" si="333"/>
        <v>Valid</v>
      </c>
      <c r="AP1656" t="str">
        <f t="shared" si="334"/>
        <v>Valid</v>
      </c>
      <c r="AQ1656" t="str">
        <f>IF(Audit_Data[[#This Row],[Z_CostContact]]=3,"Valid","Invalid")</f>
        <v>Valid</v>
      </c>
      <c r="AR1656" t="str">
        <f t="shared" si="335"/>
        <v>Valid</v>
      </c>
      <c r="AS1656" t="str">
        <f t="shared" si="336"/>
        <v>Valid</v>
      </c>
    </row>
    <row r="1657" spans="1:45" x14ac:dyDescent="0.3">
      <c r="A1657">
        <v>1834</v>
      </c>
      <c r="B1657">
        <v>1978</v>
      </c>
      <c r="C1657" t="s">
        <v>34</v>
      </c>
      <c r="D1657" t="s">
        <v>30</v>
      </c>
      <c r="E1657">
        <v>35544</v>
      </c>
      <c r="F1657">
        <v>1</v>
      </c>
      <c r="G1657">
        <v>0</v>
      </c>
      <c r="H1657" s="1">
        <v>41706</v>
      </c>
      <c r="I1657">
        <v>77</v>
      </c>
      <c r="J1657">
        <v>30</v>
      </c>
      <c r="K1657">
        <v>5</v>
      </c>
      <c r="L1657">
        <v>23</v>
      </c>
      <c r="M1657">
        <v>4</v>
      </c>
      <c r="N1657">
        <v>1</v>
      </c>
      <c r="O1657">
        <v>4</v>
      </c>
      <c r="P1657">
        <v>1</v>
      </c>
      <c r="Q1657">
        <v>2</v>
      </c>
      <c r="R1657">
        <v>0</v>
      </c>
      <c r="S1657">
        <v>3</v>
      </c>
      <c r="T1657">
        <v>7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3</v>
      </c>
      <c r="AB1657">
        <v>11</v>
      </c>
      <c r="AC1657">
        <v>0</v>
      </c>
      <c r="AD1657" t="str">
        <f t="shared" si="325"/>
        <v>Ok</v>
      </c>
      <c r="AE1657" t="str">
        <f>IF(AND(Audit_Data[[#This Row],[Year_Birth]]&gt;=1900,Audit_Data[[#This Row],[Year_Birth]]&lt;=2010),"OK","Invalid")</f>
        <v>OK</v>
      </c>
      <c r="AF1657" t="str">
        <f t="shared" si="326"/>
        <v>Valid</v>
      </c>
      <c r="AG1657" t="str">
        <f t="shared" si="327"/>
        <v>Valid</v>
      </c>
      <c r="AH1657" t="str">
        <f t="shared" si="328"/>
        <v>Valid</v>
      </c>
      <c r="AI1657" t="str">
        <f t="shared" si="329"/>
        <v>Valid</v>
      </c>
      <c r="AJ1657" t="str">
        <f t="shared" si="330"/>
        <v>Valid</v>
      </c>
      <c r="AK1657" t="str">
        <f t="shared" si="337"/>
        <v xml:space="preserve">Valid </v>
      </c>
      <c r="AL1657" t="str">
        <f>IF(AND(Audit_Data[[#This Row],[Recency]]&gt;=0,Audit_Data[[#This Row],[Recency]]&lt;=100),"Valid","Invalid")</f>
        <v>Valid</v>
      </c>
      <c r="AM1657" t="str">
        <f t="shared" si="331"/>
        <v>Valid</v>
      </c>
      <c r="AN1657" t="str">
        <f t="shared" si="332"/>
        <v>Valid</v>
      </c>
      <c r="AO1657" t="str">
        <f t="shared" si="333"/>
        <v>Valid</v>
      </c>
      <c r="AP1657" t="str">
        <f t="shared" si="334"/>
        <v>Valid</v>
      </c>
      <c r="AQ1657" t="str">
        <f>IF(Audit_Data[[#This Row],[Z_CostContact]]=3,"Valid","Invalid")</f>
        <v>Valid</v>
      </c>
      <c r="AR1657" t="str">
        <f t="shared" si="335"/>
        <v>Valid</v>
      </c>
      <c r="AS1657" t="str">
        <f t="shared" si="336"/>
        <v>Valid</v>
      </c>
    </row>
    <row r="1658" spans="1:45" x14ac:dyDescent="0.3">
      <c r="A1658">
        <v>2285</v>
      </c>
      <c r="B1658">
        <v>1954</v>
      </c>
      <c r="C1658" t="s">
        <v>34</v>
      </c>
      <c r="D1658" t="s">
        <v>31</v>
      </c>
      <c r="E1658">
        <v>36634</v>
      </c>
      <c r="F1658">
        <v>0</v>
      </c>
      <c r="G1658">
        <v>1</v>
      </c>
      <c r="H1658" s="1">
        <v>41422</v>
      </c>
      <c r="I1658">
        <v>0</v>
      </c>
      <c r="J1658">
        <v>213</v>
      </c>
      <c r="K1658">
        <v>9</v>
      </c>
      <c r="L1658">
        <v>76</v>
      </c>
      <c r="M1658">
        <v>4</v>
      </c>
      <c r="N1658">
        <v>3</v>
      </c>
      <c r="O1658">
        <v>30</v>
      </c>
      <c r="P1658">
        <v>3</v>
      </c>
      <c r="Q1658">
        <v>5</v>
      </c>
      <c r="R1658">
        <v>2</v>
      </c>
      <c r="S1658">
        <v>5</v>
      </c>
      <c r="T1658">
        <v>7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3</v>
      </c>
      <c r="AB1658">
        <v>11</v>
      </c>
      <c r="AC1658">
        <v>0</v>
      </c>
      <c r="AD1658" t="str">
        <f t="shared" si="325"/>
        <v>Ok</v>
      </c>
      <c r="AE1658" t="str">
        <f>IF(AND(Audit_Data[[#This Row],[Year_Birth]]&gt;=1900,Audit_Data[[#This Row],[Year_Birth]]&lt;=2010),"OK","Invalid")</f>
        <v>OK</v>
      </c>
      <c r="AF1658" t="str">
        <f t="shared" si="326"/>
        <v>Valid</v>
      </c>
      <c r="AG1658" t="str">
        <f t="shared" si="327"/>
        <v>Valid</v>
      </c>
      <c r="AH1658" t="str">
        <f t="shared" si="328"/>
        <v>Valid</v>
      </c>
      <c r="AI1658" t="str">
        <f t="shared" si="329"/>
        <v>Valid</v>
      </c>
      <c r="AJ1658" t="str">
        <f t="shared" si="330"/>
        <v>Valid</v>
      </c>
      <c r="AK1658" t="str">
        <f t="shared" si="337"/>
        <v xml:space="preserve">Valid </v>
      </c>
      <c r="AL1658" t="str">
        <f>IF(AND(Audit_Data[[#This Row],[Recency]]&gt;=0,Audit_Data[[#This Row],[Recency]]&lt;=100),"Valid","Invalid")</f>
        <v>Valid</v>
      </c>
      <c r="AM1658" t="str">
        <f t="shared" si="331"/>
        <v>Valid</v>
      </c>
      <c r="AN1658" t="str">
        <f t="shared" si="332"/>
        <v>Valid</v>
      </c>
      <c r="AO1658" t="str">
        <f t="shared" si="333"/>
        <v>Valid</v>
      </c>
      <c r="AP1658" t="str">
        <f t="shared" si="334"/>
        <v>Valid</v>
      </c>
      <c r="AQ1658" t="str">
        <f>IF(Audit_Data[[#This Row],[Z_CostContact]]=3,"Valid","Invalid")</f>
        <v>Valid</v>
      </c>
      <c r="AR1658" t="str">
        <f t="shared" si="335"/>
        <v>Valid</v>
      </c>
      <c r="AS1658" t="str">
        <f t="shared" si="336"/>
        <v>Valid</v>
      </c>
    </row>
    <row r="1659" spans="1:45" x14ac:dyDescent="0.3">
      <c r="A1659">
        <v>2295</v>
      </c>
      <c r="B1659">
        <v>1954</v>
      </c>
      <c r="C1659" t="s">
        <v>32</v>
      </c>
      <c r="D1659" t="s">
        <v>33</v>
      </c>
      <c r="E1659">
        <v>62670</v>
      </c>
      <c r="F1659">
        <v>0</v>
      </c>
      <c r="G1659">
        <v>1</v>
      </c>
      <c r="H1659" s="1">
        <v>41672</v>
      </c>
      <c r="I1659">
        <v>57</v>
      </c>
      <c r="J1659">
        <v>539</v>
      </c>
      <c r="K1659">
        <v>30</v>
      </c>
      <c r="L1659">
        <v>92</v>
      </c>
      <c r="M1659">
        <v>80</v>
      </c>
      <c r="N1659">
        <v>46</v>
      </c>
      <c r="O1659">
        <v>38</v>
      </c>
      <c r="P1659">
        <v>1</v>
      </c>
      <c r="Q1659">
        <v>5</v>
      </c>
      <c r="R1659">
        <v>3</v>
      </c>
      <c r="S1659">
        <v>13</v>
      </c>
      <c r="T1659">
        <v>3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3</v>
      </c>
      <c r="AB1659">
        <v>11</v>
      </c>
      <c r="AC1659">
        <v>0</v>
      </c>
      <c r="AD1659" t="str">
        <f t="shared" si="325"/>
        <v>Ok</v>
      </c>
      <c r="AE1659" t="str">
        <f>IF(AND(Audit_Data[[#This Row],[Year_Birth]]&gt;=1900,Audit_Data[[#This Row],[Year_Birth]]&lt;=2010),"OK","Invalid")</f>
        <v>OK</v>
      </c>
      <c r="AF1659" t="str">
        <f t="shared" si="326"/>
        <v>Valid</v>
      </c>
      <c r="AG1659" t="str">
        <f t="shared" si="327"/>
        <v>Valid</v>
      </c>
      <c r="AH1659" t="str">
        <f t="shared" si="328"/>
        <v>Valid</v>
      </c>
      <c r="AI1659" t="str">
        <f t="shared" si="329"/>
        <v>Valid</v>
      </c>
      <c r="AJ1659" t="str">
        <f t="shared" si="330"/>
        <v>Valid</v>
      </c>
      <c r="AK1659" t="str">
        <f t="shared" si="337"/>
        <v xml:space="preserve">Valid </v>
      </c>
      <c r="AL1659" t="str">
        <f>IF(AND(Audit_Data[[#This Row],[Recency]]&gt;=0,Audit_Data[[#This Row],[Recency]]&lt;=100),"Valid","Invalid")</f>
        <v>Valid</v>
      </c>
      <c r="AM1659" t="str">
        <f t="shared" si="331"/>
        <v>Valid</v>
      </c>
      <c r="AN1659" t="str">
        <f t="shared" si="332"/>
        <v>Valid</v>
      </c>
      <c r="AO1659" t="str">
        <f t="shared" si="333"/>
        <v>Valid</v>
      </c>
      <c r="AP1659" t="str">
        <f t="shared" si="334"/>
        <v>Valid</v>
      </c>
      <c r="AQ1659" t="str">
        <f>IF(Audit_Data[[#This Row],[Z_CostContact]]=3,"Valid","Invalid")</f>
        <v>Valid</v>
      </c>
      <c r="AR1659" t="str">
        <f t="shared" si="335"/>
        <v>Valid</v>
      </c>
      <c r="AS1659" t="str">
        <f t="shared" si="336"/>
        <v>Valid</v>
      </c>
    </row>
    <row r="1660" spans="1:45" x14ac:dyDescent="0.3">
      <c r="A1660">
        <v>1378</v>
      </c>
      <c r="B1660">
        <v>1972</v>
      </c>
      <c r="C1660" t="s">
        <v>37</v>
      </c>
      <c r="D1660" t="s">
        <v>31</v>
      </c>
      <c r="E1660">
        <v>50334</v>
      </c>
      <c r="F1660">
        <v>0</v>
      </c>
      <c r="G1660">
        <v>1</v>
      </c>
      <c r="H1660" s="1">
        <v>41479</v>
      </c>
      <c r="I1660">
        <v>24</v>
      </c>
      <c r="J1660">
        <v>284</v>
      </c>
      <c r="K1660">
        <v>16</v>
      </c>
      <c r="L1660">
        <v>160</v>
      </c>
      <c r="M1660">
        <v>84</v>
      </c>
      <c r="N1660">
        <v>16</v>
      </c>
      <c r="O1660">
        <v>134</v>
      </c>
      <c r="P1660">
        <v>6</v>
      </c>
      <c r="Q1660">
        <v>7</v>
      </c>
      <c r="R1660">
        <v>4</v>
      </c>
      <c r="S1660">
        <v>6</v>
      </c>
      <c r="T1660">
        <v>6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3</v>
      </c>
      <c r="AB1660">
        <v>11</v>
      </c>
      <c r="AC1660">
        <v>0</v>
      </c>
      <c r="AD1660" t="str">
        <f t="shared" si="325"/>
        <v>Ok</v>
      </c>
      <c r="AE1660" t="str">
        <f>IF(AND(Audit_Data[[#This Row],[Year_Birth]]&gt;=1900,Audit_Data[[#This Row],[Year_Birth]]&lt;=2010),"OK","Invalid")</f>
        <v>OK</v>
      </c>
      <c r="AF1660" t="str">
        <f t="shared" si="326"/>
        <v>Valid</v>
      </c>
      <c r="AG1660" t="str">
        <f t="shared" si="327"/>
        <v>Valid</v>
      </c>
      <c r="AH1660" t="str">
        <f t="shared" si="328"/>
        <v>Valid</v>
      </c>
      <c r="AI1660" t="str">
        <f t="shared" si="329"/>
        <v>Valid</v>
      </c>
      <c r="AJ1660" t="str">
        <f t="shared" si="330"/>
        <v>Valid</v>
      </c>
      <c r="AK1660" t="str">
        <f t="shared" si="337"/>
        <v xml:space="preserve">Valid </v>
      </c>
      <c r="AL1660" t="str">
        <f>IF(AND(Audit_Data[[#This Row],[Recency]]&gt;=0,Audit_Data[[#This Row],[Recency]]&lt;=100),"Valid","Invalid")</f>
        <v>Valid</v>
      </c>
      <c r="AM1660" t="str">
        <f t="shared" si="331"/>
        <v>Valid</v>
      </c>
      <c r="AN1660" t="str">
        <f t="shared" si="332"/>
        <v>Valid</v>
      </c>
      <c r="AO1660" t="str">
        <f t="shared" si="333"/>
        <v>Valid</v>
      </c>
      <c r="AP1660" t="str">
        <f t="shared" si="334"/>
        <v>Valid</v>
      </c>
      <c r="AQ1660" t="str">
        <f>IF(Audit_Data[[#This Row],[Z_CostContact]]=3,"Valid","Invalid")</f>
        <v>Valid</v>
      </c>
      <c r="AR1660" t="str">
        <f t="shared" si="335"/>
        <v>Valid</v>
      </c>
      <c r="AS1660" t="str">
        <f t="shared" si="336"/>
        <v>Valid</v>
      </c>
    </row>
    <row r="1661" spans="1:45" x14ac:dyDescent="0.3">
      <c r="A1661">
        <v>2781</v>
      </c>
      <c r="B1661">
        <v>1981</v>
      </c>
      <c r="C1661" t="s">
        <v>29</v>
      </c>
      <c r="D1661" t="s">
        <v>30</v>
      </c>
      <c r="E1661">
        <v>72066</v>
      </c>
      <c r="F1661">
        <v>0</v>
      </c>
      <c r="G1661">
        <v>0</v>
      </c>
      <c r="H1661" s="1">
        <v>41813</v>
      </c>
      <c r="I1661">
        <v>55</v>
      </c>
      <c r="J1661">
        <v>1003</v>
      </c>
      <c r="K1661">
        <v>34</v>
      </c>
      <c r="L1661">
        <v>536</v>
      </c>
      <c r="M1661">
        <v>134</v>
      </c>
      <c r="N1661">
        <v>51</v>
      </c>
      <c r="O1661">
        <v>34</v>
      </c>
      <c r="P1661">
        <v>1</v>
      </c>
      <c r="Q1661">
        <v>4</v>
      </c>
      <c r="R1661">
        <v>6</v>
      </c>
      <c r="S1661">
        <v>6</v>
      </c>
      <c r="T1661">
        <v>2</v>
      </c>
      <c r="U1661">
        <v>0</v>
      </c>
      <c r="V1661">
        <v>0</v>
      </c>
      <c r="W1661">
        <v>1</v>
      </c>
      <c r="X1661">
        <v>1</v>
      </c>
      <c r="Y1661">
        <v>0</v>
      </c>
      <c r="Z1661">
        <v>0</v>
      </c>
      <c r="AA1661">
        <v>3</v>
      </c>
      <c r="AB1661">
        <v>11</v>
      </c>
      <c r="AC1661">
        <v>1</v>
      </c>
      <c r="AD1661" t="str">
        <f t="shared" si="325"/>
        <v>Ok</v>
      </c>
      <c r="AE1661" t="str">
        <f>IF(AND(Audit_Data[[#This Row],[Year_Birth]]&gt;=1900,Audit_Data[[#This Row],[Year_Birth]]&lt;=2010),"OK","Invalid")</f>
        <v>OK</v>
      </c>
      <c r="AF1661" t="str">
        <f t="shared" si="326"/>
        <v>Valid</v>
      </c>
      <c r="AG1661" t="str">
        <f t="shared" si="327"/>
        <v>Valid</v>
      </c>
      <c r="AH1661" t="str">
        <f t="shared" si="328"/>
        <v>Valid</v>
      </c>
      <c r="AI1661" t="str">
        <f t="shared" si="329"/>
        <v>Valid</v>
      </c>
      <c r="AJ1661" t="str">
        <f t="shared" si="330"/>
        <v>Valid</v>
      </c>
      <c r="AK1661" t="str">
        <f t="shared" si="337"/>
        <v xml:space="preserve">Valid </v>
      </c>
      <c r="AL1661" t="str">
        <f>IF(AND(Audit_Data[[#This Row],[Recency]]&gt;=0,Audit_Data[[#This Row],[Recency]]&lt;=100),"Valid","Invalid")</f>
        <v>Valid</v>
      </c>
      <c r="AM1661" t="str">
        <f t="shared" si="331"/>
        <v>Valid</v>
      </c>
      <c r="AN1661" t="str">
        <f t="shared" si="332"/>
        <v>Valid</v>
      </c>
      <c r="AO1661" t="str">
        <f t="shared" si="333"/>
        <v>Valid</v>
      </c>
      <c r="AP1661" t="str">
        <f t="shared" si="334"/>
        <v>Valid</v>
      </c>
      <c r="AQ1661" t="str">
        <f>IF(Audit_Data[[#This Row],[Z_CostContact]]=3,"Valid","Invalid")</f>
        <v>Valid</v>
      </c>
      <c r="AR1661" t="str">
        <f t="shared" si="335"/>
        <v>Valid</v>
      </c>
      <c r="AS1661" t="str">
        <f t="shared" si="336"/>
        <v>Valid</v>
      </c>
    </row>
    <row r="1662" spans="1:45" x14ac:dyDescent="0.3">
      <c r="A1662">
        <v>1165</v>
      </c>
      <c r="B1662">
        <v>1958</v>
      </c>
      <c r="C1662" t="s">
        <v>32</v>
      </c>
      <c r="D1662" t="s">
        <v>30</v>
      </c>
      <c r="E1662">
        <v>50729</v>
      </c>
      <c r="F1662">
        <v>1</v>
      </c>
      <c r="G1662">
        <v>1</v>
      </c>
      <c r="H1662" s="1">
        <v>41396</v>
      </c>
      <c r="I1662">
        <v>62</v>
      </c>
      <c r="J1662">
        <v>239</v>
      </c>
      <c r="K1662">
        <v>13</v>
      </c>
      <c r="L1662">
        <v>143</v>
      </c>
      <c r="M1662">
        <v>45</v>
      </c>
      <c r="N1662">
        <v>4</v>
      </c>
      <c r="O1662">
        <v>52</v>
      </c>
      <c r="P1662">
        <v>9</v>
      </c>
      <c r="Q1662">
        <v>6</v>
      </c>
      <c r="R1662">
        <v>2</v>
      </c>
      <c r="S1662">
        <v>7</v>
      </c>
      <c r="T1662">
        <v>6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3</v>
      </c>
      <c r="AB1662">
        <v>11</v>
      </c>
      <c r="AC1662">
        <v>0</v>
      </c>
      <c r="AD1662" t="str">
        <f t="shared" si="325"/>
        <v>Ok</v>
      </c>
      <c r="AE1662" t="str">
        <f>IF(AND(Audit_Data[[#This Row],[Year_Birth]]&gt;=1900,Audit_Data[[#This Row],[Year_Birth]]&lt;=2010),"OK","Invalid")</f>
        <v>OK</v>
      </c>
      <c r="AF1662" t="str">
        <f t="shared" si="326"/>
        <v>Valid</v>
      </c>
      <c r="AG1662" t="str">
        <f t="shared" si="327"/>
        <v>Valid</v>
      </c>
      <c r="AH1662" t="str">
        <f t="shared" si="328"/>
        <v>Valid</v>
      </c>
      <c r="AI1662" t="str">
        <f t="shared" si="329"/>
        <v>Valid</v>
      </c>
      <c r="AJ1662" t="str">
        <f t="shared" si="330"/>
        <v>Valid</v>
      </c>
      <c r="AK1662" t="str">
        <f t="shared" si="337"/>
        <v xml:space="preserve">Valid </v>
      </c>
      <c r="AL1662" t="str">
        <f>IF(AND(Audit_Data[[#This Row],[Recency]]&gt;=0,Audit_Data[[#This Row],[Recency]]&lt;=100),"Valid","Invalid")</f>
        <v>Valid</v>
      </c>
      <c r="AM1662" t="str">
        <f t="shared" si="331"/>
        <v>Valid</v>
      </c>
      <c r="AN1662" t="str">
        <f t="shared" si="332"/>
        <v>Valid</v>
      </c>
      <c r="AO1662" t="str">
        <f t="shared" si="333"/>
        <v>Valid</v>
      </c>
      <c r="AP1662" t="str">
        <f t="shared" si="334"/>
        <v>Valid</v>
      </c>
      <c r="AQ1662" t="str">
        <f>IF(Audit_Data[[#This Row],[Z_CostContact]]=3,"Valid","Invalid")</f>
        <v>Valid</v>
      </c>
      <c r="AR1662" t="str">
        <f t="shared" si="335"/>
        <v>Valid</v>
      </c>
      <c r="AS1662" t="str">
        <f t="shared" si="336"/>
        <v>Valid</v>
      </c>
    </row>
    <row r="1663" spans="1:45" x14ac:dyDescent="0.3">
      <c r="A1663">
        <v>1404</v>
      </c>
      <c r="B1663">
        <v>1968</v>
      </c>
      <c r="C1663" t="s">
        <v>29</v>
      </c>
      <c r="D1663" t="s">
        <v>31</v>
      </c>
      <c r="E1663">
        <v>34916</v>
      </c>
      <c r="F1663">
        <v>2</v>
      </c>
      <c r="G1663">
        <v>0</v>
      </c>
      <c r="H1663" s="1">
        <v>41409</v>
      </c>
      <c r="I1663">
        <v>89</v>
      </c>
      <c r="J1663">
        <v>51</v>
      </c>
      <c r="K1663">
        <v>23</v>
      </c>
      <c r="L1663">
        <v>82</v>
      </c>
      <c r="M1663">
        <v>33</v>
      </c>
      <c r="N1663">
        <v>0</v>
      </c>
      <c r="O1663">
        <v>42</v>
      </c>
      <c r="P1663">
        <v>4</v>
      </c>
      <c r="Q1663">
        <v>5</v>
      </c>
      <c r="R1663">
        <v>1</v>
      </c>
      <c r="S1663">
        <v>3</v>
      </c>
      <c r="T1663">
        <v>9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3</v>
      </c>
      <c r="AB1663">
        <v>11</v>
      </c>
      <c r="AC1663">
        <v>0</v>
      </c>
      <c r="AD1663" t="str">
        <f t="shared" si="325"/>
        <v>Ok</v>
      </c>
      <c r="AE1663" t="str">
        <f>IF(AND(Audit_Data[[#This Row],[Year_Birth]]&gt;=1900,Audit_Data[[#This Row],[Year_Birth]]&lt;=2010),"OK","Invalid")</f>
        <v>OK</v>
      </c>
      <c r="AF1663" t="str">
        <f t="shared" si="326"/>
        <v>Valid</v>
      </c>
      <c r="AG1663" t="str">
        <f t="shared" si="327"/>
        <v>Valid</v>
      </c>
      <c r="AH1663" t="str">
        <f t="shared" si="328"/>
        <v>Valid</v>
      </c>
      <c r="AI1663" t="str">
        <f t="shared" si="329"/>
        <v>Valid</v>
      </c>
      <c r="AJ1663" t="str">
        <f t="shared" si="330"/>
        <v>Valid</v>
      </c>
      <c r="AK1663" t="str">
        <f t="shared" si="337"/>
        <v xml:space="preserve">Valid </v>
      </c>
      <c r="AL1663" t="str">
        <f>IF(AND(Audit_Data[[#This Row],[Recency]]&gt;=0,Audit_Data[[#This Row],[Recency]]&lt;=100),"Valid","Invalid")</f>
        <v>Valid</v>
      </c>
      <c r="AM1663" t="str">
        <f t="shared" si="331"/>
        <v>Valid</v>
      </c>
      <c r="AN1663" t="str">
        <f t="shared" si="332"/>
        <v>Valid</v>
      </c>
      <c r="AO1663" t="str">
        <f t="shared" si="333"/>
        <v>Valid</v>
      </c>
      <c r="AP1663" t="str">
        <f t="shared" si="334"/>
        <v>Valid</v>
      </c>
      <c r="AQ1663" t="str">
        <f>IF(Audit_Data[[#This Row],[Z_CostContact]]=3,"Valid","Invalid")</f>
        <v>Valid</v>
      </c>
      <c r="AR1663" t="str">
        <f t="shared" si="335"/>
        <v>Valid</v>
      </c>
      <c r="AS1663" t="str">
        <f t="shared" si="336"/>
        <v>Valid</v>
      </c>
    </row>
    <row r="1664" spans="1:45" x14ac:dyDescent="0.3">
      <c r="A1664">
        <v>6457</v>
      </c>
      <c r="B1664">
        <v>1976</v>
      </c>
      <c r="C1664" t="s">
        <v>29</v>
      </c>
      <c r="D1664" t="s">
        <v>35</v>
      </c>
      <c r="E1664">
        <v>64892</v>
      </c>
      <c r="F1664">
        <v>0</v>
      </c>
      <c r="G1664">
        <v>1</v>
      </c>
      <c r="H1664" s="1">
        <v>41788</v>
      </c>
      <c r="I1664">
        <v>77</v>
      </c>
      <c r="J1664">
        <v>527</v>
      </c>
      <c r="K1664">
        <v>24</v>
      </c>
      <c r="L1664">
        <v>230</v>
      </c>
      <c r="M1664">
        <v>32</v>
      </c>
      <c r="N1664">
        <v>24</v>
      </c>
      <c r="O1664">
        <v>65</v>
      </c>
      <c r="P1664">
        <v>2</v>
      </c>
      <c r="Q1664">
        <v>6</v>
      </c>
      <c r="R1664">
        <v>4</v>
      </c>
      <c r="S1664">
        <v>12</v>
      </c>
      <c r="T1664">
        <v>4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3</v>
      </c>
      <c r="AB1664">
        <v>11</v>
      </c>
      <c r="AC1664">
        <v>0</v>
      </c>
      <c r="AD1664" t="str">
        <f t="shared" si="325"/>
        <v>Ok</v>
      </c>
      <c r="AE1664" t="str">
        <f>IF(AND(Audit_Data[[#This Row],[Year_Birth]]&gt;=1900,Audit_Data[[#This Row],[Year_Birth]]&lt;=2010),"OK","Invalid")</f>
        <v>OK</v>
      </c>
      <c r="AF1664" t="str">
        <f t="shared" si="326"/>
        <v>Valid</v>
      </c>
      <c r="AG1664" t="str">
        <f t="shared" si="327"/>
        <v>Valid</v>
      </c>
      <c r="AH1664" t="str">
        <f t="shared" si="328"/>
        <v>Valid</v>
      </c>
      <c r="AI1664" t="str">
        <f t="shared" si="329"/>
        <v>Valid</v>
      </c>
      <c r="AJ1664" t="str">
        <f t="shared" si="330"/>
        <v>Valid</v>
      </c>
      <c r="AK1664" t="str">
        <f t="shared" si="337"/>
        <v xml:space="preserve">Valid </v>
      </c>
      <c r="AL1664" t="str">
        <f>IF(AND(Audit_Data[[#This Row],[Recency]]&gt;=0,Audit_Data[[#This Row],[Recency]]&lt;=100),"Valid","Invalid")</f>
        <v>Valid</v>
      </c>
      <c r="AM1664" t="str">
        <f t="shared" si="331"/>
        <v>Valid</v>
      </c>
      <c r="AN1664" t="str">
        <f t="shared" si="332"/>
        <v>Valid</v>
      </c>
      <c r="AO1664" t="str">
        <f t="shared" si="333"/>
        <v>Valid</v>
      </c>
      <c r="AP1664" t="str">
        <f t="shared" si="334"/>
        <v>Valid</v>
      </c>
      <c r="AQ1664" t="str">
        <f>IF(Audit_Data[[#This Row],[Z_CostContact]]=3,"Valid","Invalid")</f>
        <v>Valid</v>
      </c>
      <c r="AR1664" t="str">
        <f t="shared" si="335"/>
        <v>Valid</v>
      </c>
      <c r="AS1664" t="str">
        <f t="shared" si="336"/>
        <v>Valid</v>
      </c>
    </row>
    <row r="1665" spans="1:45" x14ac:dyDescent="0.3">
      <c r="A1665">
        <v>2639</v>
      </c>
      <c r="B1665">
        <v>1966</v>
      </c>
      <c r="C1665" t="s">
        <v>29</v>
      </c>
      <c r="D1665" t="s">
        <v>30</v>
      </c>
      <c r="E1665">
        <v>43602</v>
      </c>
      <c r="F1665">
        <v>1</v>
      </c>
      <c r="G1665">
        <v>1</v>
      </c>
      <c r="H1665" s="1">
        <v>41649</v>
      </c>
      <c r="I1665">
        <v>45</v>
      </c>
      <c r="J1665">
        <v>19</v>
      </c>
      <c r="K1665">
        <v>5</v>
      </c>
      <c r="L1665">
        <v>12</v>
      </c>
      <c r="M1665">
        <v>10</v>
      </c>
      <c r="N1665">
        <v>3</v>
      </c>
      <c r="O1665">
        <v>19</v>
      </c>
      <c r="P1665">
        <v>3</v>
      </c>
      <c r="Q1665">
        <v>3</v>
      </c>
      <c r="R1665">
        <v>1</v>
      </c>
      <c r="S1665">
        <v>2</v>
      </c>
      <c r="T1665">
        <v>6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3</v>
      </c>
      <c r="AB1665">
        <v>11</v>
      </c>
      <c r="AC1665">
        <v>0</v>
      </c>
      <c r="AD1665" t="str">
        <f t="shared" si="325"/>
        <v>Ok</v>
      </c>
      <c r="AE1665" t="str">
        <f>IF(AND(Audit_Data[[#This Row],[Year_Birth]]&gt;=1900,Audit_Data[[#This Row],[Year_Birth]]&lt;=2010),"OK","Invalid")</f>
        <v>OK</v>
      </c>
      <c r="AF1665" t="str">
        <f t="shared" si="326"/>
        <v>Valid</v>
      </c>
      <c r="AG1665" t="str">
        <f t="shared" si="327"/>
        <v>Valid</v>
      </c>
      <c r="AH1665" t="str">
        <f t="shared" si="328"/>
        <v>Valid</v>
      </c>
      <c r="AI1665" t="str">
        <f t="shared" si="329"/>
        <v>Valid</v>
      </c>
      <c r="AJ1665" t="str">
        <f t="shared" si="330"/>
        <v>Valid</v>
      </c>
      <c r="AK1665" t="str">
        <f t="shared" si="337"/>
        <v xml:space="preserve">Valid </v>
      </c>
      <c r="AL1665" t="str">
        <f>IF(AND(Audit_Data[[#This Row],[Recency]]&gt;=0,Audit_Data[[#This Row],[Recency]]&lt;=100),"Valid","Invalid")</f>
        <v>Valid</v>
      </c>
      <c r="AM1665" t="str">
        <f t="shared" si="331"/>
        <v>Valid</v>
      </c>
      <c r="AN1665" t="str">
        <f t="shared" si="332"/>
        <v>Valid</v>
      </c>
      <c r="AO1665" t="str">
        <f t="shared" si="333"/>
        <v>Valid</v>
      </c>
      <c r="AP1665" t="str">
        <f t="shared" si="334"/>
        <v>Valid</v>
      </c>
      <c r="AQ1665" t="str">
        <f>IF(Audit_Data[[#This Row],[Z_CostContact]]=3,"Valid","Invalid")</f>
        <v>Valid</v>
      </c>
      <c r="AR1665" t="str">
        <f t="shared" si="335"/>
        <v>Valid</v>
      </c>
      <c r="AS1665" t="str">
        <f t="shared" si="336"/>
        <v>Valid</v>
      </c>
    </row>
    <row r="1666" spans="1:45" x14ac:dyDescent="0.3">
      <c r="A1666">
        <v>8299</v>
      </c>
      <c r="B1666">
        <v>1989</v>
      </c>
      <c r="C1666" t="s">
        <v>32</v>
      </c>
      <c r="D1666" t="s">
        <v>30</v>
      </c>
      <c r="E1666">
        <v>33996</v>
      </c>
      <c r="F1666">
        <v>0</v>
      </c>
      <c r="G1666">
        <v>0</v>
      </c>
      <c r="H1666" s="1">
        <v>41528</v>
      </c>
      <c r="I1666">
        <v>46</v>
      </c>
      <c r="J1666">
        <v>40</v>
      </c>
      <c r="K1666">
        <v>2</v>
      </c>
      <c r="L1666">
        <v>15</v>
      </c>
      <c r="M1666">
        <v>8</v>
      </c>
      <c r="N1666">
        <v>0</v>
      </c>
      <c r="O1666">
        <v>6</v>
      </c>
      <c r="P1666">
        <v>1</v>
      </c>
      <c r="Q1666">
        <v>1</v>
      </c>
      <c r="R1666">
        <v>1</v>
      </c>
      <c r="S1666">
        <v>3</v>
      </c>
      <c r="T1666">
        <v>4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3</v>
      </c>
      <c r="AB1666">
        <v>11</v>
      </c>
      <c r="AC1666">
        <v>0</v>
      </c>
      <c r="AD1666" t="str">
        <f t="shared" ref="AD1666:AD1729" si="338">IF(COUNTIF(A:A,A1666)&gt;1,"Duplicate","Ok")</f>
        <v>Ok</v>
      </c>
      <c r="AE1666" t="str">
        <f>IF(AND(Audit_Data[[#This Row],[Year_Birth]]&gt;=1900,Audit_Data[[#This Row],[Year_Birth]]&lt;=2010),"OK","Invalid")</f>
        <v>OK</v>
      </c>
      <c r="AF1666" t="str">
        <f t="shared" ref="AF1666:AF1729" si="339">IF(OR(C1666="Graduation",C1666="phD",C1666="Master",C1666="Basic",C1666="2n Cycle"),"Valid","Invalid")</f>
        <v>Valid</v>
      </c>
      <c r="AG1666" t="str">
        <f t="shared" ref="AG1666:AG1729" si="340">IF(OR(D1666="Single",D1666="Married",D1666="Divorced",D1666="Together",D1666="Widow",D1666="Alone"),"Valid","Invalid")</f>
        <v>Valid</v>
      </c>
      <c r="AH1666" t="str">
        <f t="shared" ref="AH1666:AH1729" si="341">IF(AND(ISNUMBER(E1666),E1666&lt;&gt;""),"Valid","Invalid")</f>
        <v>Valid</v>
      </c>
      <c r="AI1666" t="str">
        <f t="shared" ref="AI1666:AI1729" si="342">IF(AND(F1666&gt;=0,F1666&lt;=2),"Valid","Invalid")</f>
        <v>Valid</v>
      </c>
      <c r="AJ1666" t="str">
        <f t="shared" ref="AJ1666:AJ1729" si="343">IF(AND(G1666&gt;=0,G1666&lt;=2),"Valid","Invalid")</f>
        <v>Valid</v>
      </c>
      <c r="AK1666" t="str">
        <f t="shared" si="337"/>
        <v xml:space="preserve">Valid </v>
      </c>
      <c r="AL1666" t="str">
        <f>IF(AND(Audit_Data[[#This Row],[Recency]]&gt;=0,Audit_Data[[#This Row],[Recency]]&lt;=100),"Valid","Invalid")</f>
        <v>Valid</v>
      </c>
      <c r="AM1666" t="str">
        <f t="shared" ref="AM1666:AM1729" si="344">IF(AND(ISNUMBER(J1666),J1666&gt;=0,ISNUMBER(K1666),K1666&gt;=0,ISNUMBER(L1666),L1666&gt;=0,ISNUMBER(M1666),M1666&gt;=0,ISNUMBER(N1666),N1666&gt;=0,ISNUMBER(O1666),O1666&gt;=0),"Valid","Invalid")</f>
        <v>Valid</v>
      </c>
      <c r="AN1666" t="str">
        <f t="shared" ref="AN1666:AN1729" si="345">IF(AND(ISNUMBER(P1666),P1666&gt;=0,ISNUMBER(Q1666),Q1666&gt;=0,ISNUMBER(R1666),R1666&gt;=0,ISNUMBER(S1666),S1666&gt;=0,ISNUMBER(T1666),T1666&gt;=0),"Valid","Invalid")</f>
        <v>Valid</v>
      </c>
      <c r="AO1666" t="str">
        <f t="shared" ref="AO1666:AO1729" si="346">IF(AND(U1666&lt;=1,V1666&lt;=1,W1666&lt;=1,X1666&lt;=1,Y1666&lt;=1),"Valid","Invalid")</f>
        <v>Valid</v>
      </c>
      <c r="AP1666" t="str">
        <f t="shared" ref="AP1666:AP1729" si="347">IF(OR(Z1666=0,Z1666=1),"Valid","Invalid")</f>
        <v>Valid</v>
      </c>
      <c r="AQ1666" t="str">
        <f>IF(Audit_Data[[#This Row],[Z_CostContact]]=3,"Valid","Invalid")</f>
        <v>Valid</v>
      </c>
      <c r="AR1666" t="str">
        <f t="shared" ref="AR1666:AR1729" si="348">IF(AB1666=11,"Valid","Invalid")</f>
        <v>Valid</v>
      </c>
      <c r="AS1666" t="str">
        <f t="shared" ref="AS1666:AS1729" si="349">IF(OR(AC1666=0,AC1666=1),"Valid","Invalid")</f>
        <v>Valid</v>
      </c>
    </row>
    <row r="1667" spans="1:45" x14ac:dyDescent="0.3">
      <c r="A1667">
        <v>6437</v>
      </c>
      <c r="B1667">
        <v>1985</v>
      </c>
      <c r="C1667" t="s">
        <v>37</v>
      </c>
      <c r="D1667" t="s">
        <v>30</v>
      </c>
      <c r="E1667">
        <v>41473</v>
      </c>
      <c r="F1667">
        <v>1</v>
      </c>
      <c r="G1667">
        <v>0</v>
      </c>
      <c r="H1667" s="1">
        <v>41444</v>
      </c>
      <c r="I1667">
        <v>80</v>
      </c>
      <c r="J1667">
        <v>21</v>
      </c>
      <c r="K1667">
        <v>8</v>
      </c>
      <c r="L1667">
        <v>20</v>
      </c>
      <c r="M1667">
        <v>15</v>
      </c>
      <c r="N1667">
        <v>3</v>
      </c>
      <c r="O1667">
        <v>9</v>
      </c>
      <c r="P1667">
        <v>1</v>
      </c>
      <c r="Q1667">
        <v>2</v>
      </c>
      <c r="R1667">
        <v>0</v>
      </c>
      <c r="S1667">
        <v>3</v>
      </c>
      <c r="T1667">
        <v>7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3</v>
      </c>
      <c r="AB1667">
        <v>11</v>
      </c>
      <c r="AC1667">
        <v>0</v>
      </c>
      <c r="AD1667" t="str">
        <f t="shared" si="338"/>
        <v>Ok</v>
      </c>
      <c r="AE1667" t="str">
        <f>IF(AND(Audit_Data[[#This Row],[Year_Birth]]&gt;=1900,Audit_Data[[#This Row],[Year_Birth]]&lt;=2010),"OK","Invalid")</f>
        <v>OK</v>
      </c>
      <c r="AF1667" t="str">
        <f t="shared" si="339"/>
        <v>Valid</v>
      </c>
      <c r="AG1667" t="str">
        <f t="shared" si="340"/>
        <v>Valid</v>
      </c>
      <c r="AH1667" t="str">
        <f t="shared" si="341"/>
        <v>Valid</v>
      </c>
      <c r="AI1667" t="str">
        <f t="shared" si="342"/>
        <v>Valid</v>
      </c>
      <c r="AJ1667" t="str">
        <f t="shared" si="343"/>
        <v>Valid</v>
      </c>
      <c r="AK1667" t="str">
        <f t="shared" ref="AK1667:AK1730" si="350">IF(AND(ISNUMBER(H1667),H1667&gt;=DATE(2012,1,1),H1667&lt;=DATE(2014,12,31)),"Valid ","Invalid")</f>
        <v xml:space="preserve">Valid </v>
      </c>
      <c r="AL1667" t="str">
        <f>IF(AND(Audit_Data[[#This Row],[Recency]]&gt;=0,Audit_Data[[#This Row],[Recency]]&lt;=100),"Valid","Invalid")</f>
        <v>Valid</v>
      </c>
      <c r="AM1667" t="str">
        <f t="shared" si="344"/>
        <v>Valid</v>
      </c>
      <c r="AN1667" t="str">
        <f t="shared" si="345"/>
        <v>Valid</v>
      </c>
      <c r="AO1667" t="str">
        <f t="shared" si="346"/>
        <v>Valid</v>
      </c>
      <c r="AP1667" t="str">
        <f t="shared" si="347"/>
        <v>Valid</v>
      </c>
      <c r="AQ1667" t="str">
        <f>IF(Audit_Data[[#This Row],[Z_CostContact]]=3,"Valid","Invalid")</f>
        <v>Valid</v>
      </c>
      <c r="AR1667" t="str">
        <f t="shared" si="348"/>
        <v>Valid</v>
      </c>
      <c r="AS1667" t="str">
        <f t="shared" si="349"/>
        <v>Valid</v>
      </c>
    </row>
    <row r="1668" spans="1:45" x14ac:dyDescent="0.3">
      <c r="A1668">
        <v>6912</v>
      </c>
      <c r="B1668">
        <v>1967</v>
      </c>
      <c r="C1668" t="s">
        <v>32</v>
      </c>
      <c r="D1668" t="s">
        <v>33</v>
      </c>
      <c r="E1668">
        <v>63246</v>
      </c>
      <c r="F1668">
        <v>0</v>
      </c>
      <c r="G1668">
        <v>2</v>
      </c>
      <c r="H1668" s="1">
        <v>41506</v>
      </c>
      <c r="I1668">
        <v>60</v>
      </c>
      <c r="J1668">
        <v>593</v>
      </c>
      <c r="K1668">
        <v>30</v>
      </c>
      <c r="L1668">
        <v>91</v>
      </c>
      <c r="M1668">
        <v>29</v>
      </c>
      <c r="N1668">
        <v>22</v>
      </c>
      <c r="O1668">
        <v>7</v>
      </c>
      <c r="P1668">
        <v>1</v>
      </c>
      <c r="Q1668">
        <v>6</v>
      </c>
      <c r="R1668">
        <v>3</v>
      </c>
      <c r="S1668">
        <v>12</v>
      </c>
      <c r="T1668">
        <v>4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3</v>
      </c>
      <c r="AB1668">
        <v>11</v>
      </c>
      <c r="AC1668">
        <v>0</v>
      </c>
      <c r="AD1668" t="str">
        <f t="shared" si="338"/>
        <v>Ok</v>
      </c>
      <c r="AE1668" t="str">
        <f>IF(AND(Audit_Data[[#This Row],[Year_Birth]]&gt;=1900,Audit_Data[[#This Row],[Year_Birth]]&lt;=2010),"OK","Invalid")</f>
        <v>OK</v>
      </c>
      <c r="AF1668" t="str">
        <f t="shared" si="339"/>
        <v>Valid</v>
      </c>
      <c r="AG1668" t="str">
        <f t="shared" si="340"/>
        <v>Valid</v>
      </c>
      <c r="AH1668" t="str">
        <f t="shared" si="341"/>
        <v>Valid</v>
      </c>
      <c r="AI1668" t="str">
        <f t="shared" si="342"/>
        <v>Valid</v>
      </c>
      <c r="AJ1668" t="str">
        <f t="shared" si="343"/>
        <v>Valid</v>
      </c>
      <c r="AK1668" t="str">
        <f t="shared" si="350"/>
        <v xml:space="preserve">Valid </v>
      </c>
      <c r="AL1668" t="str">
        <f>IF(AND(Audit_Data[[#This Row],[Recency]]&gt;=0,Audit_Data[[#This Row],[Recency]]&lt;=100),"Valid","Invalid")</f>
        <v>Valid</v>
      </c>
      <c r="AM1668" t="str">
        <f t="shared" si="344"/>
        <v>Valid</v>
      </c>
      <c r="AN1668" t="str">
        <f t="shared" si="345"/>
        <v>Valid</v>
      </c>
      <c r="AO1668" t="str">
        <f t="shared" si="346"/>
        <v>Valid</v>
      </c>
      <c r="AP1668" t="str">
        <f t="shared" si="347"/>
        <v>Valid</v>
      </c>
      <c r="AQ1668" t="str">
        <f>IF(Audit_Data[[#This Row],[Z_CostContact]]=3,"Valid","Invalid")</f>
        <v>Valid</v>
      </c>
      <c r="AR1668" t="str">
        <f t="shared" si="348"/>
        <v>Valid</v>
      </c>
      <c r="AS1668" t="str">
        <f t="shared" si="349"/>
        <v>Valid</v>
      </c>
    </row>
    <row r="1669" spans="1:45" x14ac:dyDescent="0.3">
      <c r="A1669">
        <v>7327</v>
      </c>
      <c r="B1669">
        <v>1959</v>
      </c>
      <c r="C1669" t="s">
        <v>32</v>
      </c>
      <c r="D1669" t="s">
        <v>33</v>
      </c>
      <c r="E1669">
        <v>36732</v>
      </c>
      <c r="F1669">
        <v>1</v>
      </c>
      <c r="G1669">
        <v>1</v>
      </c>
      <c r="H1669" s="1">
        <v>41637</v>
      </c>
      <c r="I1669">
        <v>71</v>
      </c>
      <c r="J1669">
        <v>21</v>
      </c>
      <c r="K1669">
        <v>5</v>
      </c>
      <c r="L1669">
        <v>3</v>
      </c>
      <c r="M1669">
        <v>10</v>
      </c>
      <c r="N1669">
        <v>1</v>
      </c>
      <c r="O1669">
        <v>7</v>
      </c>
      <c r="P1669">
        <v>3</v>
      </c>
      <c r="Q1669">
        <v>1</v>
      </c>
      <c r="R1669">
        <v>1</v>
      </c>
      <c r="S1669">
        <v>4</v>
      </c>
      <c r="T1669">
        <v>2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3</v>
      </c>
      <c r="AB1669">
        <v>11</v>
      </c>
      <c r="AC1669">
        <v>0</v>
      </c>
      <c r="AD1669" t="str">
        <f t="shared" si="338"/>
        <v>Ok</v>
      </c>
      <c r="AE1669" t="str">
        <f>IF(AND(Audit_Data[[#This Row],[Year_Birth]]&gt;=1900,Audit_Data[[#This Row],[Year_Birth]]&lt;=2010),"OK","Invalid")</f>
        <v>OK</v>
      </c>
      <c r="AF1669" t="str">
        <f t="shared" si="339"/>
        <v>Valid</v>
      </c>
      <c r="AG1669" t="str">
        <f t="shared" si="340"/>
        <v>Valid</v>
      </c>
      <c r="AH1669" t="str">
        <f t="shared" si="341"/>
        <v>Valid</v>
      </c>
      <c r="AI1669" t="str">
        <f t="shared" si="342"/>
        <v>Valid</v>
      </c>
      <c r="AJ1669" t="str">
        <f t="shared" si="343"/>
        <v>Valid</v>
      </c>
      <c r="AK1669" t="str">
        <f t="shared" si="350"/>
        <v xml:space="preserve">Valid </v>
      </c>
      <c r="AL1669" t="str">
        <f>IF(AND(Audit_Data[[#This Row],[Recency]]&gt;=0,Audit_Data[[#This Row],[Recency]]&lt;=100),"Valid","Invalid")</f>
        <v>Valid</v>
      </c>
      <c r="AM1669" t="str">
        <f t="shared" si="344"/>
        <v>Valid</v>
      </c>
      <c r="AN1669" t="str">
        <f t="shared" si="345"/>
        <v>Valid</v>
      </c>
      <c r="AO1669" t="str">
        <f t="shared" si="346"/>
        <v>Valid</v>
      </c>
      <c r="AP1669" t="str">
        <f t="shared" si="347"/>
        <v>Valid</v>
      </c>
      <c r="AQ1669" t="str">
        <f>IF(Audit_Data[[#This Row],[Z_CostContact]]=3,"Valid","Invalid")</f>
        <v>Valid</v>
      </c>
      <c r="AR1669" t="str">
        <f t="shared" si="348"/>
        <v>Valid</v>
      </c>
      <c r="AS1669" t="str">
        <f t="shared" si="349"/>
        <v>Valid</v>
      </c>
    </row>
    <row r="1670" spans="1:45" x14ac:dyDescent="0.3">
      <c r="A1670">
        <v>5299</v>
      </c>
      <c r="B1670">
        <v>1970</v>
      </c>
      <c r="C1670" t="s">
        <v>32</v>
      </c>
      <c r="D1670" t="s">
        <v>33</v>
      </c>
      <c r="E1670">
        <v>69084</v>
      </c>
      <c r="F1670">
        <v>1</v>
      </c>
      <c r="G1670">
        <v>0</v>
      </c>
      <c r="H1670" s="1">
        <v>41597</v>
      </c>
      <c r="I1670">
        <v>43</v>
      </c>
      <c r="J1670">
        <v>1181</v>
      </c>
      <c r="K1670">
        <v>107</v>
      </c>
      <c r="L1670">
        <v>199</v>
      </c>
      <c r="M1670">
        <v>39</v>
      </c>
      <c r="N1670">
        <v>30</v>
      </c>
      <c r="O1670">
        <v>30</v>
      </c>
      <c r="P1670">
        <v>2</v>
      </c>
      <c r="Q1670">
        <v>7</v>
      </c>
      <c r="R1670">
        <v>3</v>
      </c>
      <c r="S1670">
        <v>13</v>
      </c>
      <c r="T1670">
        <v>8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3</v>
      </c>
      <c r="AB1670">
        <v>11</v>
      </c>
      <c r="AC1670">
        <v>0</v>
      </c>
      <c r="AD1670" t="str">
        <f t="shared" si="338"/>
        <v>Ok</v>
      </c>
      <c r="AE1670" t="str">
        <f>IF(AND(Audit_Data[[#This Row],[Year_Birth]]&gt;=1900,Audit_Data[[#This Row],[Year_Birth]]&lt;=2010),"OK","Invalid")</f>
        <v>OK</v>
      </c>
      <c r="AF1670" t="str">
        <f t="shared" si="339"/>
        <v>Valid</v>
      </c>
      <c r="AG1670" t="str">
        <f t="shared" si="340"/>
        <v>Valid</v>
      </c>
      <c r="AH1670" t="str">
        <f t="shared" si="341"/>
        <v>Valid</v>
      </c>
      <c r="AI1670" t="str">
        <f t="shared" si="342"/>
        <v>Valid</v>
      </c>
      <c r="AJ1670" t="str">
        <f t="shared" si="343"/>
        <v>Valid</v>
      </c>
      <c r="AK1670" t="str">
        <f t="shared" si="350"/>
        <v xml:space="preserve">Valid </v>
      </c>
      <c r="AL1670" t="str">
        <f>IF(AND(Audit_Data[[#This Row],[Recency]]&gt;=0,Audit_Data[[#This Row],[Recency]]&lt;=100),"Valid","Invalid")</f>
        <v>Valid</v>
      </c>
      <c r="AM1670" t="str">
        <f t="shared" si="344"/>
        <v>Valid</v>
      </c>
      <c r="AN1670" t="str">
        <f t="shared" si="345"/>
        <v>Valid</v>
      </c>
      <c r="AO1670" t="str">
        <f t="shared" si="346"/>
        <v>Valid</v>
      </c>
      <c r="AP1670" t="str">
        <f t="shared" si="347"/>
        <v>Valid</v>
      </c>
      <c r="AQ1670" t="str">
        <f>IF(Audit_Data[[#This Row],[Z_CostContact]]=3,"Valid","Invalid")</f>
        <v>Valid</v>
      </c>
      <c r="AR1670" t="str">
        <f t="shared" si="348"/>
        <v>Valid</v>
      </c>
      <c r="AS1670" t="str">
        <f t="shared" si="349"/>
        <v>Valid</v>
      </c>
    </row>
    <row r="1671" spans="1:45" x14ac:dyDescent="0.3">
      <c r="A1671">
        <v>4127</v>
      </c>
      <c r="B1671">
        <v>1967</v>
      </c>
      <c r="C1671" t="s">
        <v>32</v>
      </c>
      <c r="D1671" t="s">
        <v>33</v>
      </c>
      <c r="E1671">
        <v>77766</v>
      </c>
      <c r="F1671">
        <v>0</v>
      </c>
      <c r="G1671">
        <v>1</v>
      </c>
      <c r="H1671" s="1">
        <v>41327</v>
      </c>
      <c r="I1671">
        <v>97</v>
      </c>
      <c r="J1671">
        <v>1004</v>
      </c>
      <c r="K1671">
        <v>59</v>
      </c>
      <c r="L1671">
        <v>265</v>
      </c>
      <c r="M1671">
        <v>115</v>
      </c>
      <c r="N1671">
        <v>59</v>
      </c>
      <c r="O1671">
        <v>27</v>
      </c>
      <c r="P1671">
        <v>2</v>
      </c>
      <c r="Q1671">
        <v>11</v>
      </c>
      <c r="R1671">
        <v>10</v>
      </c>
      <c r="S1671">
        <v>11</v>
      </c>
      <c r="T1671">
        <v>6</v>
      </c>
      <c r="U1671">
        <v>1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3</v>
      </c>
      <c r="AB1671">
        <v>11</v>
      </c>
      <c r="AC1671">
        <v>1</v>
      </c>
      <c r="AD1671" t="str">
        <f t="shared" si="338"/>
        <v>Ok</v>
      </c>
      <c r="AE1671" t="str">
        <f>IF(AND(Audit_Data[[#This Row],[Year_Birth]]&gt;=1900,Audit_Data[[#This Row],[Year_Birth]]&lt;=2010),"OK","Invalid")</f>
        <v>OK</v>
      </c>
      <c r="AF1671" t="str">
        <f t="shared" si="339"/>
        <v>Valid</v>
      </c>
      <c r="AG1671" t="str">
        <f t="shared" si="340"/>
        <v>Valid</v>
      </c>
      <c r="AH1671" t="str">
        <f t="shared" si="341"/>
        <v>Valid</v>
      </c>
      <c r="AI1671" t="str">
        <f t="shared" si="342"/>
        <v>Valid</v>
      </c>
      <c r="AJ1671" t="str">
        <f t="shared" si="343"/>
        <v>Valid</v>
      </c>
      <c r="AK1671" t="str">
        <f t="shared" si="350"/>
        <v xml:space="preserve">Valid </v>
      </c>
      <c r="AL1671" t="str">
        <f>IF(AND(Audit_Data[[#This Row],[Recency]]&gt;=0,Audit_Data[[#This Row],[Recency]]&lt;=100),"Valid","Invalid")</f>
        <v>Valid</v>
      </c>
      <c r="AM1671" t="str">
        <f t="shared" si="344"/>
        <v>Valid</v>
      </c>
      <c r="AN1671" t="str">
        <f t="shared" si="345"/>
        <v>Valid</v>
      </c>
      <c r="AO1671" t="str">
        <f t="shared" si="346"/>
        <v>Valid</v>
      </c>
      <c r="AP1671" t="str">
        <f t="shared" si="347"/>
        <v>Valid</v>
      </c>
      <c r="AQ1671" t="str">
        <f>IF(Audit_Data[[#This Row],[Z_CostContact]]=3,"Valid","Invalid")</f>
        <v>Valid</v>
      </c>
      <c r="AR1671" t="str">
        <f t="shared" si="348"/>
        <v>Valid</v>
      </c>
      <c r="AS1671" t="str">
        <f t="shared" si="349"/>
        <v>Valid</v>
      </c>
    </row>
    <row r="1672" spans="1:45" x14ac:dyDescent="0.3">
      <c r="A1672">
        <v>8143</v>
      </c>
      <c r="B1672">
        <v>1985</v>
      </c>
      <c r="C1672" t="s">
        <v>32</v>
      </c>
      <c r="D1672" t="s">
        <v>30</v>
      </c>
      <c r="E1672">
        <v>37929</v>
      </c>
      <c r="F1672">
        <v>0</v>
      </c>
      <c r="G1672">
        <v>0</v>
      </c>
      <c r="H1672" s="1">
        <v>41485</v>
      </c>
      <c r="I1672">
        <v>49</v>
      </c>
      <c r="J1672">
        <v>202</v>
      </c>
      <c r="K1672">
        <v>2</v>
      </c>
      <c r="L1672">
        <v>46</v>
      </c>
      <c r="M1672">
        <v>3</v>
      </c>
      <c r="N1672">
        <v>2</v>
      </c>
      <c r="O1672">
        <v>10</v>
      </c>
      <c r="P1672">
        <v>2</v>
      </c>
      <c r="Q1672">
        <v>4</v>
      </c>
      <c r="R1672">
        <v>2</v>
      </c>
      <c r="S1672">
        <v>5</v>
      </c>
      <c r="T1672">
        <v>7</v>
      </c>
      <c r="U1672">
        <v>0</v>
      </c>
      <c r="V1672">
        <v>1</v>
      </c>
      <c r="W1672">
        <v>0</v>
      </c>
      <c r="X1672">
        <v>1</v>
      </c>
      <c r="Y1672">
        <v>0</v>
      </c>
      <c r="Z1672">
        <v>0</v>
      </c>
      <c r="AA1672">
        <v>3</v>
      </c>
      <c r="AB1672">
        <v>11</v>
      </c>
      <c r="AC1672">
        <v>1</v>
      </c>
      <c r="AD1672" t="str">
        <f t="shared" si="338"/>
        <v>Ok</v>
      </c>
      <c r="AE1672" t="str">
        <f>IF(AND(Audit_Data[[#This Row],[Year_Birth]]&gt;=1900,Audit_Data[[#This Row],[Year_Birth]]&lt;=2010),"OK","Invalid")</f>
        <v>OK</v>
      </c>
      <c r="AF1672" t="str">
        <f t="shared" si="339"/>
        <v>Valid</v>
      </c>
      <c r="AG1672" t="str">
        <f t="shared" si="340"/>
        <v>Valid</v>
      </c>
      <c r="AH1672" t="str">
        <f t="shared" si="341"/>
        <v>Valid</v>
      </c>
      <c r="AI1672" t="str">
        <f t="shared" si="342"/>
        <v>Valid</v>
      </c>
      <c r="AJ1672" t="str">
        <f t="shared" si="343"/>
        <v>Valid</v>
      </c>
      <c r="AK1672" t="str">
        <f t="shared" si="350"/>
        <v xml:space="preserve">Valid </v>
      </c>
      <c r="AL1672" t="str">
        <f>IF(AND(Audit_Data[[#This Row],[Recency]]&gt;=0,Audit_Data[[#This Row],[Recency]]&lt;=100),"Valid","Invalid")</f>
        <v>Valid</v>
      </c>
      <c r="AM1672" t="str">
        <f t="shared" si="344"/>
        <v>Valid</v>
      </c>
      <c r="AN1672" t="str">
        <f t="shared" si="345"/>
        <v>Valid</v>
      </c>
      <c r="AO1672" t="str">
        <f t="shared" si="346"/>
        <v>Valid</v>
      </c>
      <c r="AP1672" t="str">
        <f t="shared" si="347"/>
        <v>Valid</v>
      </c>
      <c r="AQ1672" t="str">
        <f>IF(Audit_Data[[#This Row],[Z_CostContact]]=3,"Valid","Invalid")</f>
        <v>Valid</v>
      </c>
      <c r="AR1672" t="str">
        <f t="shared" si="348"/>
        <v>Valid</v>
      </c>
      <c r="AS1672" t="str">
        <f t="shared" si="349"/>
        <v>Valid</v>
      </c>
    </row>
    <row r="1673" spans="1:45" x14ac:dyDescent="0.3">
      <c r="A1673">
        <v>1964</v>
      </c>
      <c r="B1673">
        <v>1951</v>
      </c>
      <c r="C1673" t="s">
        <v>29</v>
      </c>
      <c r="D1673" t="s">
        <v>31</v>
      </c>
      <c r="E1673">
        <v>86610</v>
      </c>
      <c r="F1673">
        <v>0</v>
      </c>
      <c r="G1673">
        <v>0</v>
      </c>
      <c r="H1673" s="1">
        <v>41522</v>
      </c>
      <c r="I1673">
        <v>66</v>
      </c>
      <c r="J1673">
        <v>446</v>
      </c>
      <c r="K1673">
        <v>107</v>
      </c>
      <c r="L1673">
        <v>768</v>
      </c>
      <c r="M1673">
        <v>33</v>
      </c>
      <c r="N1673">
        <v>196</v>
      </c>
      <c r="O1673">
        <v>53</v>
      </c>
      <c r="P1673">
        <v>1</v>
      </c>
      <c r="Q1673">
        <v>5</v>
      </c>
      <c r="R1673">
        <v>6</v>
      </c>
      <c r="S1673">
        <v>6</v>
      </c>
      <c r="T1673">
        <v>2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3</v>
      </c>
      <c r="AB1673">
        <v>11</v>
      </c>
      <c r="AC1673">
        <v>0</v>
      </c>
      <c r="AD1673" t="str">
        <f t="shared" si="338"/>
        <v>Ok</v>
      </c>
      <c r="AE1673" t="str">
        <f>IF(AND(Audit_Data[[#This Row],[Year_Birth]]&gt;=1900,Audit_Data[[#This Row],[Year_Birth]]&lt;=2010),"OK","Invalid")</f>
        <v>OK</v>
      </c>
      <c r="AF1673" t="str">
        <f t="shared" si="339"/>
        <v>Valid</v>
      </c>
      <c r="AG1673" t="str">
        <f t="shared" si="340"/>
        <v>Valid</v>
      </c>
      <c r="AH1673" t="str">
        <f t="shared" si="341"/>
        <v>Valid</v>
      </c>
      <c r="AI1673" t="str">
        <f t="shared" si="342"/>
        <v>Valid</v>
      </c>
      <c r="AJ1673" t="str">
        <f t="shared" si="343"/>
        <v>Valid</v>
      </c>
      <c r="AK1673" t="str">
        <f t="shared" si="350"/>
        <v xml:space="preserve">Valid </v>
      </c>
      <c r="AL1673" t="str">
        <f>IF(AND(Audit_Data[[#This Row],[Recency]]&gt;=0,Audit_Data[[#This Row],[Recency]]&lt;=100),"Valid","Invalid")</f>
        <v>Valid</v>
      </c>
      <c r="AM1673" t="str">
        <f t="shared" si="344"/>
        <v>Valid</v>
      </c>
      <c r="AN1673" t="str">
        <f t="shared" si="345"/>
        <v>Valid</v>
      </c>
      <c r="AO1673" t="str">
        <f t="shared" si="346"/>
        <v>Valid</v>
      </c>
      <c r="AP1673" t="str">
        <f t="shared" si="347"/>
        <v>Valid</v>
      </c>
      <c r="AQ1673" t="str">
        <f>IF(Audit_Data[[#This Row],[Z_CostContact]]=3,"Valid","Invalid")</f>
        <v>Valid</v>
      </c>
      <c r="AR1673" t="str">
        <f t="shared" si="348"/>
        <v>Valid</v>
      </c>
      <c r="AS1673" t="str">
        <f t="shared" si="349"/>
        <v>Valid</v>
      </c>
    </row>
    <row r="1674" spans="1:45" x14ac:dyDescent="0.3">
      <c r="A1674">
        <v>3690</v>
      </c>
      <c r="B1674">
        <v>1986</v>
      </c>
      <c r="C1674" t="s">
        <v>34</v>
      </c>
      <c r="D1674" t="s">
        <v>33</v>
      </c>
      <c r="E1674">
        <v>80141</v>
      </c>
      <c r="F1674">
        <v>0</v>
      </c>
      <c r="G1674">
        <v>0</v>
      </c>
      <c r="H1674" s="1">
        <v>41285</v>
      </c>
      <c r="I1674">
        <v>20</v>
      </c>
      <c r="J1674">
        <v>1184</v>
      </c>
      <c r="K1674">
        <v>102</v>
      </c>
      <c r="L1674">
        <v>673</v>
      </c>
      <c r="M1674">
        <v>52</v>
      </c>
      <c r="N1674">
        <v>40</v>
      </c>
      <c r="O1674">
        <v>40</v>
      </c>
      <c r="P1674">
        <v>1</v>
      </c>
      <c r="Q1674">
        <v>7</v>
      </c>
      <c r="R1674">
        <v>4</v>
      </c>
      <c r="S1674">
        <v>10</v>
      </c>
      <c r="T1674">
        <v>6</v>
      </c>
      <c r="U1674">
        <v>0</v>
      </c>
      <c r="V1674">
        <v>0</v>
      </c>
      <c r="W1674">
        <v>1</v>
      </c>
      <c r="X1674">
        <v>0</v>
      </c>
      <c r="Y1674">
        <v>0</v>
      </c>
      <c r="Z1674">
        <v>0</v>
      </c>
      <c r="AA1674">
        <v>3</v>
      </c>
      <c r="AB1674">
        <v>11</v>
      </c>
      <c r="AC1674">
        <v>1</v>
      </c>
      <c r="AD1674" t="str">
        <f t="shared" si="338"/>
        <v>Ok</v>
      </c>
      <c r="AE1674" t="str">
        <f>IF(AND(Audit_Data[[#This Row],[Year_Birth]]&gt;=1900,Audit_Data[[#This Row],[Year_Birth]]&lt;=2010),"OK","Invalid")</f>
        <v>OK</v>
      </c>
      <c r="AF1674" t="str">
        <f t="shared" si="339"/>
        <v>Valid</v>
      </c>
      <c r="AG1674" t="str">
        <f t="shared" si="340"/>
        <v>Valid</v>
      </c>
      <c r="AH1674" t="str">
        <f t="shared" si="341"/>
        <v>Valid</v>
      </c>
      <c r="AI1674" t="str">
        <f t="shared" si="342"/>
        <v>Valid</v>
      </c>
      <c r="AJ1674" t="str">
        <f t="shared" si="343"/>
        <v>Valid</v>
      </c>
      <c r="AK1674" t="str">
        <f t="shared" si="350"/>
        <v xml:space="preserve">Valid </v>
      </c>
      <c r="AL1674" t="str">
        <f>IF(AND(Audit_Data[[#This Row],[Recency]]&gt;=0,Audit_Data[[#This Row],[Recency]]&lt;=100),"Valid","Invalid")</f>
        <v>Valid</v>
      </c>
      <c r="AM1674" t="str">
        <f t="shared" si="344"/>
        <v>Valid</v>
      </c>
      <c r="AN1674" t="str">
        <f t="shared" si="345"/>
        <v>Valid</v>
      </c>
      <c r="AO1674" t="str">
        <f t="shared" si="346"/>
        <v>Valid</v>
      </c>
      <c r="AP1674" t="str">
        <f t="shared" si="347"/>
        <v>Valid</v>
      </c>
      <c r="AQ1674" t="str">
        <f>IF(Audit_Data[[#This Row],[Z_CostContact]]=3,"Valid","Invalid")</f>
        <v>Valid</v>
      </c>
      <c r="AR1674" t="str">
        <f t="shared" si="348"/>
        <v>Valid</v>
      </c>
      <c r="AS1674" t="str">
        <f t="shared" si="349"/>
        <v>Valid</v>
      </c>
    </row>
    <row r="1675" spans="1:45" x14ac:dyDescent="0.3">
      <c r="A1675">
        <v>3433</v>
      </c>
      <c r="B1675">
        <v>1955</v>
      </c>
      <c r="C1675" t="s">
        <v>37</v>
      </c>
      <c r="D1675" t="s">
        <v>33</v>
      </c>
      <c r="E1675">
        <v>72635</v>
      </c>
      <c r="F1675">
        <v>0</v>
      </c>
      <c r="G1675">
        <v>0</v>
      </c>
      <c r="H1675" s="1">
        <v>41428</v>
      </c>
      <c r="I1675">
        <v>54</v>
      </c>
      <c r="J1675">
        <v>390</v>
      </c>
      <c r="K1675">
        <v>22</v>
      </c>
      <c r="L1675">
        <v>323</v>
      </c>
      <c r="M1675">
        <v>104</v>
      </c>
      <c r="N1675">
        <v>35</v>
      </c>
      <c r="O1675">
        <v>107</v>
      </c>
      <c r="P1675">
        <v>1</v>
      </c>
      <c r="Q1675">
        <v>6</v>
      </c>
      <c r="R1675">
        <v>8</v>
      </c>
      <c r="S1675">
        <v>6</v>
      </c>
      <c r="T1675">
        <v>3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>
        <v>3</v>
      </c>
      <c r="AB1675">
        <v>11</v>
      </c>
      <c r="AC1675">
        <v>0</v>
      </c>
      <c r="AD1675" t="str">
        <f t="shared" si="338"/>
        <v>Ok</v>
      </c>
      <c r="AE1675" t="str">
        <f>IF(AND(Audit_Data[[#This Row],[Year_Birth]]&gt;=1900,Audit_Data[[#This Row],[Year_Birth]]&lt;=2010),"OK","Invalid")</f>
        <v>OK</v>
      </c>
      <c r="AF1675" t="str">
        <f t="shared" si="339"/>
        <v>Valid</v>
      </c>
      <c r="AG1675" t="str">
        <f t="shared" si="340"/>
        <v>Valid</v>
      </c>
      <c r="AH1675" t="str">
        <f t="shared" si="341"/>
        <v>Valid</v>
      </c>
      <c r="AI1675" t="str">
        <f t="shared" si="342"/>
        <v>Valid</v>
      </c>
      <c r="AJ1675" t="str">
        <f t="shared" si="343"/>
        <v>Valid</v>
      </c>
      <c r="AK1675" t="str">
        <f t="shared" si="350"/>
        <v xml:space="preserve">Valid </v>
      </c>
      <c r="AL1675" t="str">
        <f>IF(AND(Audit_Data[[#This Row],[Recency]]&gt;=0,Audit_Data[[#This Row],[Recency]]&lt;=100),"Valid","Invalid")</f>
        <v>Valid</v>
      </c>
      <c r="AM1675" t="str">
        <f t="shared" si="344"/>
        <v>Valid</v>
      </c>
      <c r="AN1675" t="str">
        <f t="shared" si="345"/>
        <v>Valid</v>
      </c>
      <c r="AO1675" t="str">
        <f t="shared" si="346"/>
        <v>Valid</v>
      </c>
      <c r="AP1675" t="str">
        <f t="shared" si="347"/>
        <v>Valid</v>
      </c>
      <c r="AQ1675" t="str">
        <f>IF(Audit_Data[[#This Row],[Z_CostContact]]=3,"Valid","Invalid")</f>
        <v>Valid</v>
      </c>
      <c r="AR1675" t="str">
        <f t="shared" si="348"/>
        <v>Valid</v>
      </c>
      <c r="AS1675" t="str">
        <f t="shared" si="349"/>
        <v>Valid</v>
      </c>
    </row>
    <row r="1676" spans="1:45" x14ac:dyDescent="0.3">
      <c r="A1676">
        <v>3389</v>
      </c>
      <c r="B1676">
        <v>1970</v>
      </c>
      <c r="C1676" t="s">
        <v>29</v>
      </c>
      <c r="D1676" t="s">
        <v>33</v>
      </c>
      <c r="E1676">
        <v>69016</v>
      </c>
      <c r="F1676">
        <v>0</v>
      </c>
      <c r="G1676">
        <v>1</v>
      </c>
      <c r="H1676" s="1">
        <v>41235</v>
      </c>
      <c r="I1676">
        <v>61</v>
      </c>
      <c r="J1676">
        <v>726</v>
      </c>
      <c r="K1676">
        <v>53</v>
      </c>
      <c r="L1676">
        <v>363</v>
      </c>
      <c r="M1676">
        <v>123</v>
      </c>
      <c r="N1676">
        <v>107</v>
      </c>
      <c r="O1676">
        <v>161</v>
      </c>
      <c r="P1676">
        <v>4</v>
      </c>
      <c r="Q1676">
        <v>8</v>
      </c>
      <c r="R1676">
        <v>9</v>
      </c>
      <c r="S1676">
        <v>13</v>
      </c>
      <c r="T1676">
        <v>5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3</v>
      </c>
      <c r="AB1676">
        <v>11</v>
      </c>
      <c r="AC1676">
        <v>0</v>
      </c>
      <c r="AD1676" t="str">
        <f t="shared" si="338"/>
        <v>Ok</v>
      </c>
      <c r="AE1676" t="str">
        <f>IF(AND(Audit_Data[[#This Row],[Year_Birth]]&gt;=1900,Audit_Data[[#This Row],[Year_Birth]]&lt;=2010),"OK","Invalid")</f>
        <v>OK</v>
      </c>
      <c r="AF1676" t="str">
        <f t="shared" si="339"/>
        <v>Valid</v>
      </c>
      <c r="AG1676" t="str">
        <f t="shared" si="340"/>
        <v>Valid</v>
      </c>
      <c r="AH1676" t="str">
        <f t="shared" si="341"/>
        <v>Valid</v>
      </c>
      <c r="AI1676" t="str">
        <f t="shared" si="342"/>
        <v>Valid</v>
      </c>
      <c r="AJ1676" t="str">
        <f t="shared" si="343"/>
        <v>Valid</v>
      </c>
      <c r="AK1676" t="str">
        <f t="shared" si="350"/>
        <v xml:space="preserve">Valid </v>
      </c>
      <c r="AL1676" t="str">
        <f>IF(AND(Audit_Data[[#This Row],[Recency]]&gt;=0,Audit_Data[[#This Row],[Recency]]&lt;=100),"Valid","Invalid")</f>
        <v>Valid</v>
      </c>
      <c r="AM1676" t="str">
        <f t="shared" si="344"/>
        <v>Valid</v>
      </c>
      <c r="AN1676" t="str">
        <f t="shared" si="345"/>
        <v>Valid</v>
      </c>
      <c r="AO1676" t="str">
        <f t="shared" si="346"/>
        <v>Valid</v>
      </c>
      <c r="AP1676" t="str">
        <f t="shared" si="347"/>
        <v>Valid</v>
      </c>
      <c r="AQ1676" t="str">
        <f>IF(Audit_Data[[#This Row],[Z_CostContact]]=3,"Valid","Invalid")</f>
        <v>Valid</v>
      </c>
      <c r="AR1676" t="str">
        <f t="shared" si="348"/>
        <v>Valid</v>
      </c>
      <c r="AS1676" t="str">
        <f t="shared" si="349"/>
        <v>Valid</v>
      </c>
    </row>
    <row r="1677" spans="1:45" x14ac:dyDescent="0.3">
      <c r="A1677">
        <v>4712</v>
      </c>
      <c r="B1677">
        <v>1991</v>
      </c>
      <c r="C1677" t="s">
        <v>37</v>
      </c>
      <c r="D1677" t="s">
        <v>31</v>
      </c>
      <c r="E1677">
        <v>20193</v>
      </c>
      <c r="F1677">
        <v>0</v>
      </c>
      <c r="G1677">
        <v>0</v>
      </c>
      <c r="H1677" s="1">
        <v>41241</v>
      </c>
      <c r="I1677">
        <v>18</v>
      </c>
      <c r="J1677">
        <v>8</v>
      </c>
      <c r="K1677">
        <v>8</v>
      </c>
      <c r="L1677">
        <v>22</v>
      </c>
      <c r="M1677">
        <v>24</v>
      </c>
      <c r="N1677">
        <v>11</v>
      </c>
      <c r="O1677">
        <v>9</v>
      </c>
      <c r="P1677">
        <v>1</v>
      </c>
      <c r="Q1677">
        <v>1</v>
      </c>
      <c r="R1677">
        <v>1</v>
      </c>
      <c r="S1677">
        <v>4</v>
      </c>
      <c r="T1677">
        <v>4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3</v>
      </c>
      <c r="AB1677">
        <v>11</v>
      </c>
      <c r="AC1677">
        <v>0</v>
      </c>
      <c r="AD1677" t="str">
        <f t="shared" si="338"/>
        <v>Ok</v>
      </c>
      <c r="AE1677" t="str">
        <f>IF(AND(Audit_Data[[#This Row],[Year_Birth]]&gt;=1900,Audit_Data[[#This Row],[Year_Birth]]&lt;=2010),"OK","Invalid")</f>
        <v>OK</v>
      </c>
      <c r="AF1677" t="str">
        <f t="shared" si="339"/>
        <v>Valid</v>
      </c>
      <c r="AG1677" t="str">
        <f t="shared" si="340"/>
        <v>Valid</v>
      </c>
      <c r="AH1677" t="str">
        <f t="shared" si="341"/>
        <v>Valid</v>
      </c>
      <c r="AI1677" t="str">
        <f t="shared" si="342"/>
        <v>Valid</v>
      </c>
      <c r="AJ1677" t="str">
        <f t="shared" si="343"/>
        <v>Valid</v>
      </c>
      <c r="AK1677" t="str">
        <f t="shared" si="350"/>
        <v xml:space="preserve">Valid </v>
      </c>
      <c r="AL1677" t="str">
        <f>IF(AND(Audit_Data[[#This Row],[Recency]]&gt;=0,Audit_Data[[#This Row],[Recency]]&lt;=100),"Valid","Invalid")</f>
        <v>Valid</v>
      </c>
      <c r="AM1677" t="str">
        <f t="shared" si="344"/>
        <v>Valid</v>
      </c>
      <c r="AN1677" t="str">
        <f t="shared" si="345"/>
        <v>Valid</v>
      </c>
      <c r="AO1677" t="str">
        <f t="shared" si="346"/>
        <v>Valid</v>
      </c>
      <c r="AP1677" t="str">
        <f t="shared" si="347"/>
        <v>Valid</v>
      </c>
      <c r="AQ1677" t="str">
        <f>IF(Audit_Data[[#This Row],[Z_CostContact]]=3,"Valid","Invalid")</f>
        <v>Valid</v>
      </c>
      <c r="AR1677" t="str">
        <f t="shared" si="348"/>
        <v>Valid</v>
      </c>
      <c r="AS1677" t="str">
        <f t="shared" si="349"/>
        <v>Valid</v>
      </c>
    </row>
    <row r="1678" spans="1:45" x14ac:dyDescent="0.3">
      <c r="A1678">
        <v>1170</v>
      </c>
      <c r="B1678">
        <v>1975</v>
      </c>
      <c r="C1678" t="s">
        <v>29</v>
      </c>
      <c r="D1678" t="s">
        <v>33</v>
      </c>
      <c r="E1678">
        <v>27573</v>
      </c>
      <c r="F1678">
        <v>1</v>
      </c>
      <c r="G1678">
        <v>0</v>
      </c>
      <c r="H1678" s="1">
        <v>41358</v>
      </c>
      <c r="I1678">
        <v>45</v>
      </c>
      <c r="J1678">
        <v>50</v>
      </c>
      <c r="K1678">
        <v>15</v>
      </c>
      <c r="L1678">
        <v>110</v>
      </c>
      <c r="M1678">
        <v>39</v>
      </c>
      <c r="N1678">
        <v>15</v>
      </c>
      <c r="O1678">
        <v>15</v>
      </c>
      <c r="P1678">
        <v>4</v>
      </c>
      <c r="Q1678">
        <v>5</v>
      </c>
      <c r="R1678">
        <v>1</v>
      </c>
      <c r="S1678">
        <v>4</v>
      </c>
      <c r="T1678">
        <v>8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3</v>
      </c>
      <c r="AB1678">
        <v>11</v>
      </c>
      <c r="AC1678">
        <v>0</v>
      </c>
      <c r="AD1678" t="str">
        <f t="shared" si="338"/>
        <v>Ok</v>
      </c>
      <c r="AE1678" t="str">
        <f>IF(AND(Audit_Data[[#This Row],[Year_Birth]]&gt;=1900,Audit_Data[[#This Row],[Year_Birth]]&lt;=2010),"OK","Invalid")</f>
        <v>OK</v>
      </c>
      <c r="AF1678" t="str">
        <f t="shared" si="339"/>
        <v>Valid</v>
      </c>
      <c r="AG1678" t="str">
        <f t="shared" si="340"/>
        <v>Valid</v>
      </c>
      <c r="AH1678" t="str">
        <f t="shared" si="341"/>
        <v>Valid</v>
      </c>
      <c r="AI1678" t="str">
        <f t="shared" si="342"/>
        <v>Valid</v>
      </c>
      <c r="AJ1678" t="str">
        <f t="shared" si="343"/>
        <v>Valid</v>
      </c>
      <c r="AK1678" t="str">
        <f t="shared" si="350"/>
        <v xml:space="preserve">Valid </v>
      </c>
      <c r="AL1678" t="str">
        <f>IF(AND(Audit_Data[[#This Row],[Recency]]&gt;=0,Audit_Data[[#This Row],[Recency]]&lt;=100),"Valid","Invalid")</f>
        <v>Valid</v>
      </c>
      <c r="AM1678" t="str">
        <f t="shared" si="344"/>
        <v>Valid</v>
      </c>
      <c r="AN1678" t="str">
        <f t="shared" si="345"/>
        <v>Valid</v>
      </c>
      <c r="AO1678" t="str">
        <f t="shared" si="346"/>
        <v>Valid</v>
      </c>
      <c r="AP1678" t="str">
        <f t="shared" si="347"/>
        <v>Valid</v>
      </c>
      <c r="AQ1678" t="str">
        <f>IF(Audit_Data[[#This Row],[Z_CostContact]]=3,"Valid","Invalid")</f>
        <v>Valid</v>
      </c>
      <c r="AR1678" t="str">
        <f t="shared" si="348"/>
        <v>Valid</v>
      </c>
      <c r="AS1678" t="str">
        <f t="shared" si="349"/>
        <v>Valid</v>
      </c>
    </row>
    <row r="1679" spans="1:45" x14ac:dyDescent="0.3">
      <c r="A1679">
        <v>6347</v>
      </c>
      <c r="B1679">
        <v>1979</v>
      </c>
      <c r="C1679" t="s">
        <v>36</v>
      </c>
      <c r="D1679" t="s">
        <v>30</v>
      </c>
      <c r="E1679">
        <v>15862</v>
      </c>
      <c r="F1679">
        <v>1</v>
      </c>
      <c r="G1679">
        <v>0</v>
      </c>
      <c r="H1679" s="1">
        <v>41452</v>
      </c>
      <c r="I1679">
        <v>26</v>
      </c>
      <c r="J1679">
        <v>1</v>
      </c>
      <c r="K1679">
        <v>1</v>
      </c>
      <c r="L1679">
        <v>4</v>
      </c>
      <c r="M1679">
        <v>11</v>
      </c>
      <c r="N1679">
        <v>9</v>
      </c>
      <c r="O1679">
        <v>10</v>
      </c>
      <c r="P1679">
        <v>1</v>
      </c>
      <c r="Q1679">
        <v>1</v>
      </c>
      <c r="R1679">
        <v>0</v>
      </c>
      <c r="S1679">
        <v>3</v>
      </c>
      <c r="T1679">
        <v>8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3</v>
      </c>
      <c r="AB1679">
        <v>11</v>
      </c>
      <c r="AC1679">
        <v>0</v>
      </c>
      <c r="AD1679" t="str">
        <f t="shared" si="338"/>
        <v>Ok</v>
      </c>
      <c r="AE1679" t="str">
        <f>IF(AND(Audit_Data[[#This Row],[Year_Birth]]&gt;=1900,Audit_Data[[#This Row],[Year_Birth]]&lt;=2010),"OK","Invalid")</f>
        <v>OK</v>
      </c>
      <c r="AF1679" t="str">
        <f t="shared" si="339"/>
        <v>Valid</v>
      </c>
      <c r="AG1679" t="str">
        <f t="shared" si="340"/>
        <v>Valid</v>
      </c>
      <c r="AH1679" t="str">
        <f t="shared" si="341"/>
        <v>Valid</v>
      </c>
      <c r="AI1679" t="str">
        <f t="shared" si="342"/>
        <v>Valid</v>
      </c>
      <c r="AJ1679" t="str">
        <f t="shared" si="343"/>
        <v>Valid</v>
      </c>
      <c r="AK1679" t="str">
        <f t="shared" si="350"/>
        <v xml:space="preserve">Valid </v>
      </c>
      <c r="AL1679" t="str">
        <f>IF(AND(Audit_Data[[#This Row],[Recency]]&gt;=0,Audit_Data[[#This Row],[Recency]]&lt;=100),"Valid","Invalid")</f>
        <v>Valid</v>
      </c>
      <c r="AM1679" t="str">
        <f t="shared" si="344"/>
        <v>Valid</v>
      </c>
      <c r="AN1679" t="str">
        <f t="shared" si="345"/>
        <v>Valid</v>
      </c>
      <c r="AO1679" t="str">
        <f t="shared" si="346"/>
        <v>Valid</v>
      </c>
      <c r="AP1679" t="str">
        <f t="shared" si="347"/>
        <v>Valid</v>
      </c>
      <c r="AQ1679" t="str">
        <f>IF(Audit_Data[[#This Row],[Z_CostContact]]=3,"Valid","Invalid")</f>
        <v>Valid</v>
      </c>
      <c r="AR1679" t="str">
        <f t="shared" si="348"/>
        <v>Valid</v>
      </c>
      <c r="AS1679" t="str">
        <f t="shared" si="349"/>
        <v>Valid</v>
      </c>
    </row>
    <row r="1680" spans="1:45" x14ac:dyDescent="0.3">
      <c r="A1680">
        <v>4065</v>
      </c>
      <c r="B1680">
        <v>1976</v>
      </c>
      <c r="C1680" t="s">
        <v>32</v>
      </c>
      <c r="D1680" t="s">
        <v>33</v>
      </c>
      <c r="E1680">
        <v>49544</v>
      </c>
      <c r="F1680">
        <v>1</v>
      </c>
      <c r="G1680">
        <v>0</v>
      </c>
      <c r="H1680" s="1">
        <v>41317</v>
      </c>
      <c r="I1680">
        <v>0</v>
      </c>
      <c r="J1680">
        <v>308</v>
      </c>
      <c r="K1680">
        <v>0</v>
      </c>
      <c r="L1680">
        <v>73</v>
      </c>
      <c r="M1680">
        <v>0</v>
      </c>
      <c r="N1680">
        <v>0</v>
      </c>
      <c r="O1680">
        <v>23</v>
      </c>
      <c r="P1680">
        <v>2</v>
      </c>
      <c r="Q1680">
        <v>5</v>
      </c>
      <c r="R1680">
        <v>1</v>
      </c>
      <c r="S1680">
        <v>8</v>
      </c>
      <c r="T1680">
        <v>7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3</v>
      </c>
      <c r="AB1680">
        <v>11</v>
      </c>
      <c r="AC1680">
        <v>0</v>
      </c>
      <c r="AD1680" t="str">
        <f t="shared" si="338"/>
        <v>Ok</v>
      </c>
      <c r="AE1680" t="str">
        <f>IF(AND(Audit_Data[[#This Row],[Year_Birth]]&gt;=1900,Audit_Data[[#This Row],[Year_Birth]]&lt;=2010),"OK","Invalid")</f>
        <v>OK</v>
      </c>
      <c r="AF1680" t="str">
        <f t="shared" si="339"/>
        <v>Valid</v>
      </c>
      <c r="AG1680" t="str">
        <f t="shared" si="340"/>
        <v>Valid</v>
      </c>
      <c r="AH1680" t="str">
        <f t="shared" si="341"/>
        <v>Valid</v>
      </c>
      <c r="AI1680" t="str">
        <f t="shared" si="342"/>
        <v>Valid</v>
      </c>
      <c r="AJ1680" t="str">
        <f t="shared" si="343"/>
        <v>Valid</v>
      </c>
      <c r="AK1680" t="str">
        <f t="shared" si="350"/>
        <v xml:space="preserve">Valid </v>
      </c>
      <c r="AL1680" t="str">
        <f>IF(AND(Audit_Data[[#This Row],[Recency]]&gt;=0,Audit_Data[[#This Row],[Recency]]&lt;=100),"Valid","Invalid")</f>
        <v>Valid</v>
      </c>
      <c r="AM1680" t="str">
        <f t="shared" si="344"/>
        <v>Valid</v>
      </c>
      <c r="AN1680" t="str">
        <f t="shared" si="345"/>
        <v>Valid</v>
      </c>
      <c r="AO1680" t="str">
        <f t="shared" si="346"/>
        <v>Valid</v>
      </c>
      <c r="AP1680" t="str">
        <f t="shared" si="347"/>
        <v>Valid</v>
      </c>
      <c r="AQ1680" t="str">
        <f>IF(Audit_Data[[#This Row],[Z_CostContact]]=3,"Valid","Invalid")</f>
        <v>Valid</v>
      </c>
      <c r="AR1680" t="str">
        <f t="shared" si="348"/>
        <v>Valid</v>
      </c>
      <c r="AS1680" t="str">
        <f t="shared" si="349"/>
        <v>Valid</v>
      </c>
    </row>
    <row r="1681" spans="1:45" x14ac:dyDescent="0.3">
      <c r="A1681">
        <v>8230</v>
      </c>
      <c r="B1681">
        <v>1980</v>
      </c>
      <c r="C1681" t="s">
        <v>29</v>
      </c>
      <c r="D1681" t="s">
        <v>33</v>
      </c>
      <c r="E1681">
        <v>33228</v>
      </c>
      <c r="F1681">
        <v>1</v>
      </c>
      <c r="G1681">
        <v>0</v>
      </c>
      <c r="H1681" s="1">
        <v>41662</v>
      </c>
      <c r="I1681">
        <v>28</v>
      </c>
      <c r="J1681">
        <v>22</v>
      </c>
      <c r="K1681">
        <v>2</v>
      </c>
      <c r="L1681">
        <v>31</v>
      </c>
      <c r="M1681">
        <v>7</v>
      </c>
      <c r="N1681">
        <v>4</v>
      </c>
      <c r="O1681">
        <v>5</v>
      </c>
      <c r="P1681">
        <v>1</v>
      </c>
      <c r="Q1681">
        <v>2</v>
      </c>
      <c r="R1681">
        <v>0</v>
      </c>
      <c r="S1681">
        <v>3</v>
      </c>
      <c r="T1681">
        <v>7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3</v>
      </c>
      <c r="AB1681">
        <v>11</v>
      </c>
      <c r="AC1681">
        <v>0</v>
      </c>
      <c r="AD1681" t="str">
        <f t="shared" si="338"/>
        <v>Ok</v>
      </c>
      <c r="AE1681" t="str">
        <f>IF(AND(Audit_Data[[#This Row],[Year_Birth]]&gt;=1900,Audit_Data[[#This Row],[Year_Birth]]&lt;=2010),"OK","Invalid")</f>
        <v>OK</v>
      </c>
      <c r="AF1681" t="str">
        <f t="shared" si="339"/>
        <v>Valid</v>
      </c>
      <c r="AG1681" t="str">
        <f t="shared" si="340"/>
        <v>Valid</v>
      </c>
      <c r="AH1681" t="str">
        <f t="shared" si="341"/>
        <v>Valid</v>
      </c>
      <c r="AI1681" t="str">
        <f t="shared" si="342"/>
        <v>Valid</v>
      </c>
      <c r="AJ1681" t="str">
        <f t="shared" si="343"/>
        <v>Valid</v>
      </c>
      <c r="AK1681" t="str">
        <f t="shared" si="350"/>
        <v xml:space="preserve">Valid </v>
      </c>
      <c r="AL1681" t="str">
        <f>IF(AND(Audit_Data[[#This Row],[Recency]]&gt;=0,Audit_Data[[#This Row],[Recency]]&lt;=100),"Valid","Invalid")</f>
        <v>Valid</v>
      </c>
      <c r="AM1681" t="str">
        <f t="shared" si="344"/>
        <v>Valid</v>
      </c>
      <c r="AN1681" t="str">
        <f t="shared" si="345"/>
        <v>Valid</v>
      </c>
      <c r="AO1681" t="str">
        <f t="shared" si="346"/>
        <v>Valid</v>
      </c>
      <c r="AP1681" t="str">
        <f t="shared" si="347"/>
        <v>Valid</v>
      </c>
      <c r="AQ1681" t="str">
        <f>IF(Audit_Data[[#This Row],[Z_CostContact]]=3,"Valid","Invalid")</f>
        <v>Valid</v>
      </c>
      <c r="AR1681" t="str">
        <f t="shared" si="348"/>
        <v>Valid</v>
      </c>
      <c r="AS1681" t="str">
        <f t="shared" si="349"/>
        <v>Valid</v>
      </c>
    </row>
    <row r="1682" spans="1:45" x14ac:dyDescent="0.3">
      <c r="A1682">
        <v>1215</v>
      </c>
      <c r="B1682">
        <v>1978</v>
      </c>
      <c r="C1682" t="s">
        <v>29</v>
      </c>
      <c r="D1682" t="s">
        <v>31</v>
      </c>
      <c r="E1682">
        <v>70440</v>
      </c>
      <c r="F1682">
        <v>0</v>
      </c>
      <c r="G1682">
        <v>0</v>
      </c>
      <c r="H1682" s="1">
        <v>41555</v>
      </c>
      <c r="I1682">
        <v>49</v>
      </c>
      <c r="J1682">
        <v>690</v>
      </c>
      <c r="K1682">
        <v>117</v>
      </c>
      <c r="L1682">
        <v>499</v>
      </c>
      <c r="M1682">
        <v>76</v>
      </c>
      <c r="N1682">
        <v>102</v>
      </c>
      <c r="O1682">
        <v>88</v>
      </c>
      <c r="P1682">
        <v>1</v>
      </c>
      <c r="Q1682">
        <v>5</v>
      </c>
      <c r="R1682">
        <v>10</v>
      </c>
      <c r="S1682">
        <v>7</v>
      </c>
      <c r="T1682">
        <v>3</v>
      </c>
      <c r="U1682">
        <v>0</v>
      </c>
      <c r="V1682">
        <v>0</v>
      </c>
      <c r="W1682">
        <v>0</v>
      </c>
      <c r="X1682">
        <v>1</v>
      </c>
      <c r="Y1682">
        <v>0</v>
      </c>
      <c r="Z1682">
        <v>0</v>
      </c>
      <c r="AA1682">
        <v>3</v>
      </c>
      <c r="AB1682">
        <v>11</v>
      </c>
      <c r="AC1682">
        <v>0</v>
      </c>
      <c r="AD1682" t="str">
        <f t="shared" si="338"/>
        <v>Ok</v>
      </c>
      <c r="AE1682" t="str">
        <f>IF(AND(Audit_Data[[#This Row],[Year_Birth]]&gt;=1900,Audit_Data[[#This Row],[Year_Birth]]&lt;=2010),"OK","Invalid")</f>
        <v>OK</v>
      </c>
      <c r="AF1682" t="str">
        <f t="shared" si="339"/>
        <v>Valid</v>
      </c>
      <c r="AG1682" t="str">
        <f t="shared" si="340"/>
        <v>Valid</v>
      </c>
      <c r="AH1682" t="str">
        <f t="shared" si="341"/>
        <v>Valid</v>
      </c>
      <c r="AI1682" t="str">
        <f t="shared" si="342"/>
        <v>Valid</v>
      </c>
      <c r="AJ1682" t="str">
        <f t="shared" si="343"/>
        <v>Valid</v>
      </c>
      <c r="AK1682" t="str">
        <f t="shared" si="350"/>
        <v xml:space="preserve">Valid </v>
      </c>
      <c r="AL1682" t="str">
        <f>IF(AND(Audit_Data[[#This Row],[Recency]]&gt;=0,Audit_Data[[#This Row],[Recency]]&lt;=100),"Valid","Invalid")</f>
        <v>Valid</v>
      </c>
      <c r="AM1682" t="str">
        <f t="shared" si="344"/>
        <v>Valid</v>
      </c>
      <c r="AN1682" t="str">
        <f t="shared" si="345"/>
        <v>Valid</v>
      </c>
      <c r="AO1682" t="str">
        <f t="shared" si="346"/>
        <v>Valid</v>
      </c>
      <c r="AP1682" t="str">
        <f t="shared" si="347"/>
        <v>Valid</v>
      </c>
      <c r="AQ1682" t="str">
        <f>IF(Audit_Data[[#This Row],[Z_CostContact]]=3,"Valid","Invalid")</f>
        <v>Valid</v>
      </c>
      <c r="AR1682" t="str">
        <f t="shared" si="348"/>
        <v>Valid</v>
      </c>
      <c r="AS1682" t="str">
        <f t="shared" si="349"/>
        <v>Valid</v>
      </c>
    </row>
    <row r="1683" spans="1:45" x14ac:dyDescent="0.3">
      <c r="A1683">
        <v>5939</v>
      </c>
      <c r="B1683">
        <v>1971</v>
      </c>
      <c r="C1683" t="s">
        <v>29</v>
      </c>
      <c r="D1683" t="s">
        <v>31</v>
      </c>
      <c r="E1683">
        <v>38232</v>
      </c>
      <c r="F1683">
        <v>1</v>
      </c>
      <c r="G1683">
        <v>1</v>
      </c>
      <c r="H1683" s="1">
        <v>41656</v>
      </c>
      <c r="I1683">
        <v>84</v>
      </c>
      <c r="J1683">
        <v>43</v>
      </c>
      <c r="K1683">
        <v>5</v>
      </c>
      <c r="L1683">
        <v>28</v>
      </c>
      <c r="M1683">
        <v>7</v>
      </c>
      <c r="N1683">
        <v>6</v>
      </c>
      <c r="O1683">
        <v>33</v>
      </c>
      <c r="P1683">
        <v>4</v>
      </c>
      <c r="Q1683">
        <v>3</v>
      </c>
      <c r="R1683">
        <v>1</v>
      </c>
      <c r="S1683">
        <v>3</v>
      </c>
      <c r="T1683">
        <v>5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3</v>
      </c>
      <c r="AB1683">
        <v>11</v>
      </c>
      <c r="AC1683">
        <v>0</v>
      </c>
      <c r="AD1683" t="str">
        <f t="shared" si="338"/>
        <v>Ok</v>
      </c>
      <c r="AE1683" t="str">
        <f>IF(AND(Audit_Data[[#This Row],[Year_Birth]]&gt;=1900,Audit_Data[[#This Row],[Year_Birth]]&lt;=2010),"OK","Invalid")</f>
        <v>OK</v>
      </c>
      <c r="AF1683" t="str">
        <f t="shared" si="339"/>
        <v>Valid</v>
      </c>
      <c r="AG1683" t="str">
        <f t="shared" si="340"/>
        <v>Valid</v>
      </c>
      <c r="AH1683" t="str">
        <f t="shared" si="341"/>
        <v>Valid</v>
      </c>
      <c r="AI1683" t="str">
        <f t="shared" si="342"/>
        <v>Valid</v>
      </c>
      <c r="AJ1683" t="str">
        <f t="shared" si="343"/>
        <v>Valid</v>
      </c>
      <c r="AK1683" t="str">
        <f t="shared" si="350"/>
        <v xml:space="preserve">Valid </v>
      </c>
      <c r="AL1683" t="str">
        <f>IF(AND(Audit_Data[[#This Row],[Recency]]&gt;=0,Audit_Data[[#This Row],[Recency]]&lt;=100),"Valid","Invalid")</f>
        <v>Valid</v>
      </c>
      <c r="AM1683" t="str">
        <f t="shared" si="344"/>
        <v>Valid</v>
      </c>
      <c r="AN1683" t="str">
        <f t="shared" si="345"/>
        <v>Valid</v>
      </c>
      <c r="AO1683" t="str">
        <f t="shared" si="346"/>
        <v>Valid</v>
      </c>
      <c r="AP1683" t="str">
        <f t="shared" si="347"/>
        <v>Valid</v>
      </c>
      <c r="AQ1683" t="str">
        <f>IF(Audit_Data[[#This Row],[Z_CostContact]]=3,"Valid","Invalid")</f>
        <v>Valid</v>
      </c>
      <c r="AR1683" t="str">
        <f t="shared" si="348"/>
        <v>Valid</v>
      </c>
      <c r="AS1683" t="str">
        <f t="shared" si="349"/>
        <v>Valid</v>
      </c>
    </row>
    <row r="1684" spans="1:45" x14ac:dyDescent="0.3">
      <c r="A1684">
        <v>2156</v>
      </c>
      <c r="B1684">
        <v>1955</v>
      </c>
      <c r="C1684" t="s">
        <v>32</v>
      </c>
      <c r="D1684" t="s">
        <v>33</v>
      </c>
      <c r="E1684">
        <v>22554</v>
      </c>
      <c r="F1684">
        <v>1</v>
      </c>
      <c r="G1684">
        <v>1</v>
      </c>
      <c r="H1684" s="1">
        <v>41216</v>
      </c>
      <c r="I1684">
        <v>38</v>
      </c>
      <c r="J1684">
        <v>27</v>
      </c>
      <c r="K1684">
        <v>0</v>
      </c>
      <c r="L1684">
        <v>10</v>
      </c>
      <c r="M1684">
        <v>0</v>
      </c>
      <c r="N1684">
        <v>0</v>
      </c>
      <c r="O1684">
        <v>4</v>
      </c>
      <c r="P1684">
        <v>4</v>
      </c>
      <c r="Q1684">
        <v>2</v>
      </c>
      <c r="R1684">
        <v>0</v>
      </c>
      <c r="S1684">
        <v>4</v>
      </c>
      <c r="T1684">
        <v>5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3</v>
      </c>
      <c r="AB1684">
        <v>11</v>
      </c>
      <c r="AC1684">
        <v>0</v>
      </c>
      <c r="AD1684" t="str">
        <f t="shared" si="338"/>
        <v>Ok</v>
      </c>
      <c r="AE1684" t="str">
        <f>IF(AND(Audit_Data[[#This Row],[Year_Birth]]&gt;=1900,Audit_Data[[#This Row],[Year_Birth]]&lt;=2010),"OK","Invalid")</f>
        <v>OK</v>
      </c>
      <c r="AF1684" t="str">
        <f t="shared" si="339"/>
        <v>Valid</v>
      </c>
      <c r="AG1684" t="str">
        <f t="shared" si="340"/>
        <v>Valid</v>
      </c>
      <c r="AH1684" t="str">
        <f t="shared" si="341"/>
        <v>Valid</v>
      </c>
      <c r="AI1684" t="str">
        <f t="shared" si="342"/>
        <v>Valid</v>
      </c>
      <c r="AJ1684" t="str">
        <f t="shared" si="343"/>
        <v>Valid</v>
      </c>
      <c r="AK1684" t="str">
        <f t="shared" si="350"/>
        <v xml:space="preserve">Valid </v>
      </c>
      <c r="AL1684" t="str">
        <f>IF(AND(Audit_Data[[#This Row],[Recency]]&gt;=0,Audit_Data[[#This Row],[Recency]]&lt;=100),"Valid","Invalid")</f>
        <v>Valid</v>
      </c>
      <c r="AM1684" t="str">
        <f t="shared" si="344"/>
        <v>Valid</v>
      </c>
      <c r="AN1684" t="str">
        <f t="shared" si="345"/>
        <v>Valid</v>
      </c>
      <c r="AO1684" t="str">
        <f t="shared" si="346"/>
        <v>Valid</v>
      </c>
      <c r="AP1684" t="str">
        <f t="shared" si="347"/>
        <v>Valid</v>
      </c>
      <c r="AQ1684" t="str">
        <f>IF(Audit_Data[[#This Row],[Z_CostContact]]=3,"Valid","Invalid")</f>
        <v>Valid</v>
      </c>
      <c r="AR1684" t="str">
        <f t="shared" si="348"/>
        <v>Valid</v>
      </c>
      <c r="AS1684" t="str">
        <f t="shared" si="349"/>
        <v>Valid</v>
      </c>
    </row>
    <row r="1685" spans="1:45" x14ac:dyDescent="0.3">
      <c r="A1685">
        <v>7788</v>
      </c>
      <c r="B1685">
        <v>1983</v>
      </c>
      <c r="C1685" t="s">
        <v>32</v>
      </c>
      <c r="D1685" t="s">
        <v>33</v>
      </c>
      <c r="E1685">
        <v>23536</v>
      </c>
      <c r="F1685">
        <v>1</v>
      </c>
      <c r="G1685">
        <v>0</v>
      </c>
      <c r="H1685" s="1">
        <v>41794</v>
      </c>
      <c r="I1685">
        <v>53</v>
      </c>
      <c r="J1685">
        <v>6</v>
      </c>
      <c r="K1685">
        <v>0</v>
      </c>
      <c r="L1685">
        <v>3</v>
      </c>
      <c r="M1685">
        <v>0</v>
      </c>
      <c r="N1685">
        <v>0</v>
      </c>
      <c r="O1685">
        <v>1</v>
      </c>
      <c r="P1685">
        <v>1</v>
      </c>
      <c r="Q1685">
        <v>0</v>
      </c>
      <c r="R1685">
        <v>0</v>
      </c>
      <c r="S1685">
        <v>3</v>
      </c>
      <c r="T1685">
        <v>3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3</v>
      </c>
      <c r="AB1685">
        <v>11</v>
      </c>
      <c r="AC1685">
        <v>0</v>
      </c>
      <c r="AD1685" t="str">
        <f t="shared" si="338"/>
        <v>Ok</v>
      </c>
      <c r="AE1685" t="str">
        <f>IF(AND(Audit_Data[[#This Row],[Year_Birth]]&gt;=1900,Audit_Data[[#This Row],[Year_Birth]]&lt;=2010),"OK","Invalid")</f>
        <v>OK</v>
      </c>
      <c r="AF1685" t="str">
        <f t="shared" si="339"/>
        <v>Valid</v>
      </c>
      <c r="AG1685" t="str">
        <f t="shared" si="340"/>
        <v>Valid</v>
      </c>
      <c r="AH1685" t="str">
        <f t="shared" si="341"/>
        <v>Valid</v>
      </c>
      <c r="AI1685" t="str">
        <f t="shared" si="342"/>
        <v>Valid</v>
      </c>
      <c r="AJ1685" t="str">
        <f t="shared" si="343"/>
        <v>Valid</v>
      </c>
      <c r="AK1685" t="str">
        <f t="shared" si="350"/>
        <v xml:space="preserve">Valid </v>
      </c>
      <c r="AL1685" t="str">
        <f>IF(AND(Audit_Data[[#This Row],[Recency]]&gt;=0,Audit_Data[[#This Row],[Recency]]&lt;=100),"Valid","Invalid")</f>
        <v>Valid</v>
      </c>
      <c r="AM1685" t="str">
        <f t="shared" si="344"/>
        <v>Valid</v>
      </c>
      <c r="AN1685" t="str">
        <f t="shared" si="345"/>
        <v>Valid</v>
      </c>
      <c r="AO1685" t="str">
        <f t="shared" si="346"/>
        <v>Valid</v>
      </c>
      <c r="AP1685" t="str">
        <f t="shared" si="347"/>
        <v>Valid</v>
      </c>
      <c r="AQ1685" t="str">
        <f>IF(Audit_Data[[#This Row],[Z_CostContact]]=3,"Valid","Invalid")</f>
        <v>Valid</v>
      </c>
      <c r="AR1685" t="str">
        <f t="shared" si="348"/>
        <v>Valid</v>
      </c>
      <c r="AS1685" t="str">
        <f t="shared" si="349"/>
        <v>Valid</v>
      </c>
    </row>
    <row r="1686" spans="1:45" x14ac:dyDescent="0.3">
      <c r="A1686">
        <v>10323</v>
      </c>
      <c r="B1686">
        <v>1952</v>
      </c>
      <c r="C1686" t="s">
        <v>29</v>
      </c>
      <c r="D1686" t="s">
        <v>33</v>
      </c>
      <c r="E1686">
        <v>49413</v>
      </c>
      <c r="F1686">
        <v>0</v>
      </c>
      <c r="G1686">
        <v>1</v>
      </c>
      <c r="H1686" s="1">
        <v>41572</v>
      </c>
      <c r="I1686">
        <v>88</v>
      </c>
      <c r="J1686">
        <v>205</v>
      </c>
      <c r="K1686">
        <v>7</v>
      </c>
      <c r="L1686">
        <v>41</v>
      </c>
      <c r="M1686">
        <v>3</v>
      </c>
      <c r="N1686">
        <v>2</v>
      </c>
      <c r="O1686">
        <v>46</v>
      </c>
      <c r="P1686">
        <v>2</v>
      </c>
      <c r="Q1686">
        <v>4</v>
      </c>
      <c r="R1686">
        <v>2</v>
      </c>
      <c r="S1686">
        <v>5</v>
      </c>
      <c r="T1686">
        <v>5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3</v>
      </c>
      <c r="AB1686">
        <v>11</v>
      </c>
      <c r="AC1686">
        <v>0</v>
      </c>
      <c r="AD1686" t="str">
        <f t="shared" si="338"/>
        <v>Ok</v>
      </c>
      <c r="AE1686" t="str">
        <f>IF(AND(Audit_Data[[#This Row],[Year_Birth]]&gt;=1900,Audit_Data[[#This Row],[Year_Birth]]&lt;=2010),"OK","Invalid")</f>
        <v>OK</v>
      </c>
      <c r="AF1686" t="str">
        <f t="shared" si="339"/>
        <v>Valid</v>
      </c>
      <c r="AG1686" t="str">
        <f t="shared" si="340"/>
        <v>Valid</v>
      </c>
      <c r="AH1686" t="str">
        <f t="shared" si="341"/>
        <v>Valid</v>
      </c>
      <c r="AI1686" t="str">
        <f t="shared" si="342"/>
        <v>Valid</v>
      </c>
      <c r="AJ1686" t="str">
        <f t="shared" si="343"/>
        <v>Valid</v>
      </c>
      <c r="AK1686" t="str">
        <f t="shared" si="350"/>
        <v xml:space="preserve">Valid </v>
      </c>
      <c r="AL1686" t="str">
        <f>IF(AND(Audit_Data[[#This Row],[Recency]]&gt;=0,Audit_Data[[#This Row],[Recency]]&lt;=100),"Valid","Invalid")</f>
        <v>Valid</v>
      </c>
      <c r="AM1686" t="str">
        <f t="shared" si="344"/>
        <v>Valid</v>
      </c>
      <c r="AN1686" t="str">
        <f t="shared" si="345"/>
        <v>Valid</v>
      </c>
      <c r="AO1686" t="str">
        <f t="shared" si="346"/>
        <v>Valid</v>
      </c>
      <c r="AP1686" t="str">
        <f t="shared" si="347"/>
        <v>Valid</v>
      </c>
      <c r="AQ1686" t="str">
        <f>IF(Audit_Data[[#This Row],[Z_CostContact]]=3,"Valid","Invalid")</f>
        <v>Valid</v>
      </c>
      <c r="AR1686" t="str">
        <f t="shared" si="348"/>
        <v>Valid</v>
      </c>
      <c r="AS1686" t="str">
        <f t="shared" si="349"/>
        <v>Valid</v>
      </c>
    </row>
    <row r="1687" spans="1:45" x14ac:dyDescent="0.3">
      <c r="A1687">
        <v>7947</v>
      </c>
      <c r="B1687">
        <v>1969</v>
      </c>
      <c r="C1687" t="s">
        <v>29</v>
      </c>
      <c r="D1687" t="s">
        <v>33</v>
      </c>
      <c r="E1687">
        <v>42231</v>
      </c>
      <c r="F1687">
        <v>1</v>
      </c>
      <c r="G1687">
        <v>1</v>
      </c>
      <c r="H1687" s="1">
        <v>41723</v>
      </c>
      <c r="I1687">
        <v>99</v>
      </c>
      <c r="J1687">
        <v>24</v>
      </c>
      <c r="K1687">
        <v>0</v>
      </c>
      <c r="L1687">
        <v>8</v>
      </c>
      <c r="M1687">
        <v>0</v>
      </c>
      <c r="N1687">
        <v>1</v>
      </c>
      <c r="O1687">
        <v>4</v>
      </c>
      <c r="P1687">
        <v>1</v>
      </c>
      <c r="Q1687">
        <v>1</v>
      </c>
      <c r="R1687">
        <v>0</v>
      </c>
      <c r="S1687">
        <v>3</v>
      </c>
      <c r="T1687">
        <v>5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3</v>
      </c>
      <c r="AB1687">
        <v>11</v>
      </c>
      <c r="AC1687">
        <v>0</v>
      </c>
      <c r="AD1687" t="str">
        <f t="shared" si="338"/>
        <v>Ok</v>
      </c>
      <c r="AE1687" t="str">
        <f>IF(AND(Audit_Data[[#This Row],[Year_Birth]]&gt;=1900,Audit_Data[[#This Row],[Year_Birth]]&lt;=2010),"OK","Invalid")</f>
        <v>OK</v>
      </c>
      <c r="AF1687" t="str">
        <f t="shared" si="339"/>
        <v>Valid</v>
      </c>
      <c r="AG1687" t="str">
        <f t="shared" si="340"/>
        <v>Valid</v>
      </c>
      <c r="AH1687" t="str">
        <f t="shared" si="341"/>
        <v>Valid</v>
      </c>
      <c r="AI1687" t="str">
        <f t="shared" si="342"/>
        <v>Valid</v>
      </c>
      <c r="AJ1687" t="str">
        <f t="shared" si="343"/>
        <v>Valid</v>
      </c>
      <c r="AK1687" t="str">
        <f t="shared" si="350"/>
        <v xml:space="preserve">Valid </v>
      </c>
      <c r="AL1687" t="str">
        <f>IF(AND(Audit_Data[[#This Row],[Recency]]&gt;=0,Audit_Data[[#This Row],[Recency]]&lt;=100),"Valid","Invalid")</f>
        <v>Valid</v>
      </c>
      <c r="AM1687" t="str">
        <f t="shared" si="344"/>
        <v>Valid</v>
      </c>
      <c r="AN1687" t="str">
        <f t="shared" si="345"/>
        <v>Valid</v>
      </c>
      <c r="AO1687" t="str">
        <f t="shared" si="346"/>
        <v>Valid</v>
      </c>
      <c r="AP1687" t="str">
        <f t="shared" si="347"/>
        <v>Valid</v>
      </c>
      <c r="AQ1687" t="str">
        <f>IF(Audit_Data[[#This Row],[Z_CostContact]]=3,"Valid","Invalid")</f>
        <v>Valid</v>
      </c>
      <c r="AR1687" t="str">
        <f t="shared" si="348"/>
        <v>Valid</v>
      </c>
      <c r="AS1687" t="str">
        <f t="shared" si="349"/>
        <v>Valid</v>
      </c>
    </row>
    <row r="1688" spans="1:45" x14ac:dyDescent="0.3">
      <c r="A1688">
        <v>1891</v>
      </c>
      <c r="B1688">
        <v>1980</v>
      </c>
      <c r="C1688" t="s">
        <v>34</v>
      </c>
      <c r="D1688" t="s">
        <v>35</v>
      </c>
      <c r="E1688">
        <v>78789</v>
      </c>
      <c r="F1688">
        <v>0</v>
      </c>
      <c r="G1688">
        <v>0</v>
      </c>
      <c r="H1688" s="1">
        <v>41129</v>
      </c>
      <c r="I1688">
        <v>12</v>
      </c>
      <c r="J1688">
        <v>667</v>
      </c>
      <c r="K1688">
        <v>50</v>
      </c>
      <c r="L1688">
        <v>850</v>
      </c>
      <c r="M1688">
        <v>21</v>
      </c>
      <c r="N1688">
        <v>83</v>
      </c>
      <c r="O1688">
        <v>83</v>
      </c>
      <c r="P1688">
        <v>1</v>
      </c>
      <c r="Q1688">
        <v>4</v>
      </c>
      <c r="R1688">
        <v>6</v>
      </c>
      <c r="S1688">
        <v>5</v>
      </c>
      <c r="T1688">
        <v>2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3</v>
      </c>
      <c r="AB1688">
        <v>11</v>
      </c>
      <c r="AC1688">
        <v>1</v>
      </c>
      <c r="AD1688" t="str">
        <f t="shared" si="338"/>
        <v>Ok</v>
      </c>
      <c r="AE1688" t="str">
        <f>IF(AND(Audit_Data[[#This Row],[Year_Birth]]&gt;=1900,Audit_Data[[#This Row],[Year_Birth]]&lt;=2010),"OK","Invalid")</f>
        <v>OK</v>
      </c>
      <c r="AF1688" t="str">
        <f t="shared" si="339"/>
        <v>Valid</v>
      </c>
      <c r="AG1688" t="str">
        <f t="shared" si="340"/>
        <v>Valid</v>
      </c>
      <c r="AH1688" t="str">
        <f t="shared" si="341"/>
        <v>Valid</v>
      </c>
      <c r="AI1688" t="str">
        <f t="shared" si="342"/>
        <v>Valid</v>
      </c>
      <c r="AJ1688" t="str">
        <f t="shared" si="343"/>
        <v>Valid</v>
      </c>
      <c r="AK1688" t="str">
        <f t="shared" si="350"/>
        <v xml:space="preserve">Valid </v>
      </c>
      <c r="AL1688" t="str">
        <f>IF(AND(Audit_Data[[#This Row],[Recency]]&gt;=0,Audit_Data[[#This Row],[Recency]]&lt;=100),"Valid","Invalid")</f>
        <v>Valid</v>
      </c>
      <c r="AM1688" t="str">
        <f t="shared" si="344"/>
        <v>Valid</v>
      </c>
      <c r="AN1688" t="str">
        <f t="shared" si="345"/>
        <v>Valid</v>
      </c>
      <c r="AO1688" t="str">
        <f t="shared" si="346"/>
        <v>Valid</v>
      </c>
      <c r="AP1688" t="str">
        <f t="shared" si="347"/>
        <v>Valid</v>
      </c>
      <c r="AQ1688" t="str">
        <f>IF(Audit_Data[[#This Row],[Z_CostContact]]=3,"Valid","Invalid")</f>
        <v>Valid</v>
      </c>
      <c r="AR1688" t="str">
        <f t="shared" si="348"/>
        <v>Valid</v>
      </c>
      <c r="AS1688" t="str">
        <f t="shared" si="349"/>
        <v>Valid</v>
      </c>
    </row>
    <row r="1689" spans="1:45" x14ac:dyDescent="0.3">
      <c r="A1689">
        <v>2570</v>
      </c>
      <c r="B1689">
        <v>1968</v>
      </c>
      <c r="C1689" t="s">
        <v>29</v>
      </c>
      <c r="D1689" t="s">
        <v>31</v>
      </c>
      <c r="E1689">
        <v>56534</v>
      </c>
      <c r="F1689">
        <v>0</v>
      </c>
      <c r="G1689">
        <v>1</v>
      </c>
      <c r="H1689" s="1">
        <v>41478</v>
      </c>
      <c r="I1689">
        <v>35</v>
      </c>
      <c r="J1689">
        <v>691</v>
      </c>
      <c r="K1689">
        <v>7</v>
      </c>
      <c r="L1689">
        <v>61</v>
      </c>
      <c r="M1689">
        <v>10</v>
      </c>
      <c r="N1689">
        <v>0</v>
      </c>
      <c r="O1689">
        <v>46</v>
      </c>
      <c r="P1689">
        <v>4</v>
      </c>
      <c r="Q1689">
        <v>10</v>
      </c>
      <c r="R1689">
        <v>4</v>
      </c>
      <c r="S1689">
        <v>7</v>
      </c>
      <c r="T1689">
        <v>8</v>
      </c>
      <c r="U1689">
        <v>0</v>
      </c>
      <c r="V1689">
        <v>1</v>
      </c>
      <c r="W1689">
        <v>0</v>
      </c>
      <c r="X1689">
        <v>0</v>
      </c>
      <c r="Y1689">
        <v>1</v>
      </c>
      <c r="Z1689">
        <v>0</v>
      </c>
      <c r="AA1689">
        <v>3</v>
      </c>
      <c r="AB1689">
        <v>11</v>
      </c>
      <c r="AC1689">
        <v>1</v>
      </c>
      <c r="AD1689" t="str">
        <f t="shared" si="338"/>
        <v>Ok</v>
      </c>
      <c r="AE1689" t="str">
        <f>IF(AND(Audit_Data[[#This Row],[Year_Birth]]&gt;=1900,Audit_Data[[#This Row],[Year_Birth]]&lt;=2010),"OK","Invalid")</f>
        <v>OK</v>
      </c>
      <c r="AF1689" t="str">
        <f t="shared" si="339"/>
        <v>Valid</v>
      </c>
      <c r="AG1689" t="str">
        <f t="shared" si="340"/>
        <v>Valid</v>
      </c>
      <c r="AH1689" t="str">
        <f t="shared" si="341"/>
        <v>Valid</v>
      </c>
      <c r="AI1689" t="str">
        <f t="shared" si="342"/>
        <v>Valid</v>
      </c>
      <c r="AJ1689" t="str">
        <f t="shared" si="343"/>
        <v>Valid</v>
      </c>
      <c r="AK1689" t="str">
        <f t="shared" si="350"/>
        <v xml:space="preserve">Valid </v>
      </c>
      <c r="AL1689" t="str">
        <f>IF(AND(Audit_Data[[#This Row],[Recency]]&gt;=0,Audit_Data[[#This Row],[Recency]]&lt;=100),"Valid","Invalid")</f>
        <v>Valid</v>
      </c>
      <c r="AM1689" t="str">
        <f t="shared" si="344"/>
        <v>Valid</v>
      </c>
      <c r="AN1689" t="str">
        <f t="shared" si="345"/>
        <v>Valid</v>
      </c>
      <c r="AO1689" t="str">
        <f t="shared" si="346"/>
        <v>Valid</v>
      </c>
      <c r="AP1689" t="str">
        <f t="shared" si="347"/>
        <v>Valid</v>
      </c>
      <c r="AQ1689" t="str">
        <f>IF(Audit_Data[[#This Row],[Z_CostContact]]=3,"Valid","Invalid")</f>
        <v>Valid</v>
      </c>
      <c r="AR1689" t="str">
        <f t="shared" si="348"/>
        <v>Valid</v>
      </c>
      <c r="AS1689" t="str">
        <f t="shared" si="349"/>
        <v>Valid</v>
      </c>
    </row>
    <row r="1690" spans="1:45" x14ac:dyDescent="0.3">
      <c r="A1690">
        <v>9256</v>
      </c>
      <c r="B1690">
        <v>1971</v>
      </c>
      <c r="C1690" t="s">
        <v>29</v>
      </c>
      <c r="D1690" t="s">
        <v>30</v>
      </c>
      <c r="E1690">
        <v>58350</v>
      </c>
      <c r="F1690">
        <v>0</v>
      </c>
      <c r="G1690">
        <v>1</v>
      </c>
      <c r="H1690" s="1">
        <v>41278</v>
      </c>
      <c r="I1690">
        <v>5</v>
      </c>
      <c r="J1690">
        <v>493</v>
      </c>
      <c r="K1690">
        <v>26</v>
      </c>
      <c r="L1690">
        <v>206</v>
      </c>
      <c r="M1690">
        <v>116</v>
      </c>
      <c r="N1690">
        <v>80</v>
      </c>
      <c r="O1690">
        <v>80</v>
      </c>
      <c r="P1690">
        <v>4</v>
      </c>
      <c r="Q1690">
        <v>8</v>
      </c>
      <c r="R1690">
        <v>3</v>
      </c>
      <c r="S1690">
        <v>12</v>
      </c>
      <c r="T1690">
        <v>6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3</v>
      </c>
      <c r="AB1690">
        <v>11</v>
      </c>
      <c r="AC1690">
        <v>0</v>
      </c>
      <c r="AD1690" t="str">
        <f t="shared" si="338"/>
        <v>Ok</v>
      </c>
      <c r="AE1690" t="str">
        <f>IF(AND(Audit_Data[[#This Row],[Year_Birth]]&gt;=1900,Audit_Data[[#This Row],[Year_Birth]]&lt;=2010),"OK","Invalid")</f>
        <v>OK</v>
      </c>
      <c r="AF1690" t="str">
        <f t="shared" si="339"/>
        <v>Valid</v>
      </c>
      <c r="AG1690" t="str">
        <f t="shared" si="340"/>
        <v>Valid</v>
      </c>
      <c r="AH1690" t="str">
        <f t="shared" si="341"/>
        <v>Valid</v>
      </c>
      <c r="AI1690" t="str">
        <f t="shared" si="342"/>
        <v>Valid</v>
      </c>
      <c r="AJ1690" t="str">
        <f t="shared" si="343"/>
        <v>Valid</v>
      </c>
      <c r="AK1690" t="str">
        <f t="shared" si="350"/>
        <v xml:space="preserve">Valid </v>
      </c>
      <c r="AL1690" t="str">
        <f>IF(AND(Audit_Data[[#This Row],[Recency]]&gt;=0,Audit_Data[[#This Row],[Recency]]&lt;=100),"Valid","Invalid")</f>
        <v>Valid</v>
      </c>
      <c r="AM1690" t="str">
        <f t="shared" si="344"/>
        <v>Valid</v>
      </c>
      <c r="AN1690" t="str">
        <f t="shared" si="345"/>
        <v>Valid</v>
      </c>
      <c r="AO1690" t="str">
        <f t="shared" si="346"/>
        <v>Valid</v>
      </c>
      <c r="AP1690" t="str">
        <f t="shared" si="347"/>
        <v>Valid</v>
      </c>
      <c r="AQ1690" t="str">
        <f>IF(Audit_Data[[#This Row],[Z_CostContact]]=3,"Valid","Invalid")</f>
        <v>Valid</v>
      </c>
      <c r="AR1690" t="str">
        <f t="shared" si="348"/>
        <v>Valid</v>
      </c>
      <c r="AS1690" t="str">
        <f t="shared" si="349"/>
        <v>Valid</v>
      </c>
    </row>
    <row r="1691" spans="1:45" x14ac:dyDescent="0.3">
      <c r="A1691">
        <v>295</v>
      </c>
      <c r="B1691">
        <v>1989</v>
      </c>
      <c r="C1691" t="s">
        <v>29</v>
      </c>
      <c r="D1691" t="s">
        <v>30</v>
      </c>
      <c r="E1691">
        <v>81217</v>
      </c>
      <c r="F1691">
        <v>0</v>
      </c>
      <c r="G1691">
        <v>0</v>
      </c>
      <c r="H1691" s="1">
        <v>41474</v>
      </c>
      <c r="I1691">
        <v>77</v>
      </c>
      <c r="J1691">
        <v>493</v>
      </c>
      <c r="K1691">
        <v>70</v>
      </c>
      <c r="L1691">
        <v>324</v>
      </c>
      <c r="M1691">
        <v>146</v>
      </c>
      <c r="N1691">
        <v>40</v>
      </c>
      <c r="O1691">
        <v>84</v>
      </c>
      <c r="P1691">
        <v>1</v>
      </c>
      <c r="Q1691">
        <v>3</v>
      </c>
      <c r="R1691">
        <v>7</v>
      </c>
      <c r="S1691">
        <v>11</v>
      </c>
      <c r="T1691">
        <v>1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3</v>
      </c>
      <c r="AB1691">
        <v>11</v>
      </c>
      <c r="AC1691">
        <v>0</v>
      </c>
      <c r="AD1691" t="str">
        <f t="shared" si="338"/>
        <v>Ok</v>
      </c>
      <c r="AE1691" t="str">
        <f>IF(AND(Audit_Data[[#This Row],[Year_Birth]]&gt;=1900,Audit_Data[[#This Row],[Year_Birth]]&lt;=2010),"OK","Invalid")</f>
        <v>OK</v>
      </c>
      <c r="AF1691" t="str">
        <f t="shared" si="339"/>
        <v>Valid</v>
      </c>
      <c r="AG1691" t="str">
        <f t="shared" si="340"/>
        <v>Valid</v>
      </c>
      <c r="AH1691" t="str">
        <f t="shared" si="341"/>
        <v>Valid</v>
      </c>
      <c r="AI1691" t="str">
        <f t="shared" si="342"/>
        <v>Valid</v>
      </c>
      <c r="AJ1691" t="str">
        <f t="shared" si="343"/>
        <v>Valid</v>
      </c>
      <c r="AK1691" t="str">
        <f t="shared" si="350"/>
        <v xml:space="preserve">Valid </v>
      </c>
      <c r="AL1691" t="str">
        <f>IF(AND(Audit_Data[[#This Row],[Recency]]&gt;=0,Audit_Data[[#This Row],[Recency]]&lt;=100),"Valid","Invalid")</f>
        <v>Valid</v>
      </c>
      <c r="AM1691" t="str">
        <f t="shared" si="344"/>
        <v>Valid</v>
      </c>
      <c r="AN1691" t="str">
        <f t="shared" si="345"/>
        <v>Valid</v>
      </c>
      <c r="AO1691" t="str">
        <f t="shared" si="346"/>
        <v>Valid</v>
      </c>
      <c r="AP1691" t="str">
        <f t="shared" si="347"/>
        <v>Valid</v>
      </c>
      <c r="AQ1691" t="str">
        <f>IF(Audit_Data[[#This Row],[Z_CostContact]]=3,"Valid","Invalid")</f>
        <v>Valid</v>
      </c>
      <c r="AR1691" t="str">
        <f t="shared" si="348"/>
        <v>Valid</v>
      </c>
      <c r="AS1691" t="str">
        <f t="shared" si="349"/>
        <v>Valid</v>
      </c>
    </row>
    <row r="1692" spans="1:45" x14ac:dyDescent="0.3">
      <c r="A1692">
        <v>7397</v>
      </c>
      <c r="B1692">
        <v>1951</v>
      </c>
      <c r="C1692" t="s">
        <v>29</v>
      </c>
      <c r="D1692" t="s">
        <v>30</v>
      </c>
      <c r="E1692">
        <v>49090</v>
      </c>
      <c r="F1692">
        <v>0</v>
      </c>
      <c r="G1692">
        <v>1</v>
      </c>
      <c r="H1692" s="1">
        <v>41474</v>
      </c>
      <c r="I1692">
        <v>45</v>
      </c>
      <c r="J1692">
        <v>494</v>
      </c>
      <c r="K1692">
        <v>5</v>
      </c>
      <c r="L1692">
        <v>82</v>
      </c>
      <c r="M1692">
        <v>7</v>
      </c>
      <c r="N1692">
        <v>0</v>
      </c>
      <c r="O1692">
        <v>100</v>
      </c>
      <c r="P1692">
        <v>3</v>
      </c>
      <c r="Q1692">
        <v>7</v>
      </c>
      <c r="R1692">
        <v>2</v>
      </c>
      <c r="S1692">
        <v>9</v>
      </c>
      <c r="T1692">
        <v>7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3</v>
      </c>
      <c r="AB1692">
        <v>11</v>
      </c>
      <c r="AC1692">
        <v>0</v>
      </c>
      <c r="AD1692" t="str">
        <f t="shared" si="338"/>
        <v>Ok</v>
      </c>
      <c r="AE1692" t="str">
        <f>IF(AND(Audit_Data[[#This Row],[Year_Birth]]&gt;=1900,Audit_Data[[#This Row],[Year_Birth]]&lt;=2010),"OK","Invalid")</f>
        <v>OK</v>
      </c>
      <c r="AF1692" t="str">
        <f t="shared" si="339"/>
        <v>Valid</v>
      </c>
      <c r="AG1692" t="str">
        <f t="shared" si="340"/>
        <v>Valid</v>
      </c>
      <c r="AH1692" t="str">
        <f t="shared" si="341"/>
        <v>Valid</v>
      </c>
      <c r="AI1692" t="str">
        <f t="shared" si="342"/>
        <v>Valid</v>
      </c>
      <c r="AJ1692" t="str">
        <f t="shared" si="343"/>
        <v>Valid</v>
      </c>
      <c r="AK1692" t="str">
        <f t="shared" si="350"/>
        <v xml:space="preserve">Valid </v>
      </c>
      <c r="AL1692" t="str">
        <f>IF(AND(Audit_Data[[#This Row],[Recency]]&gt;=0,Audit_Data[[#This Row],[Recency]]&lt;=100),"Valid","Invalid")</f>
        <v>Valid</v>
      </c>
      <c r="AM1692" t="str">
        <f t="shared" si="344"/>
        <v>Valid</v>
      </c>
      <c r="AN1692" t="str">
        <f t="shared" si="345"/>
        <v>Valid</v>
      </c>
      <c r="AO1692" t="str">
        <f t="shared" si="346"/>
        <v>Valid</v>
      </c>
      <c r="AP1692" t="str">
        <f t="shared" si="347"/>
        <v>Valid</v>
      </c>
      <c r="AQ1692" t="str">
        <f>IF(Audit_Data[[#This Row],[Z_CostContact]]=3,"Valid","Invalid")</f>
        <v>Valid</v>
      </c>
      <c r="AR1692" t="str">
        <f t="shared" si="348"/>
        <v>Valid</v>
      </c>
      <c r="AS1692" t="str">
        <f t="shared" si="349"/>
        <v>Valid</v>
      </c>
    </row>
    <row r="1693" spans="1:45" x14ac:dyDescent="0.3">
      <c r="A1693">
        <v>6349</v>
      </c>
      <c r="B1693">
        <v>1987</v>
      </c>
      <c r="C1693" t="s">
        <v>34</v>
      </c>
      <c r="D1693" t="s">
        <v>35</v>
      </c>
      <c r="E1693">
        <v>61787</v>
      </c>
      <c r="F1693">
        <v>0</v>
      </c>
      <c r="G1693">
        <v>0</v>
      </c>
      <c r="H1693" s="1">
        <v>41461</v>
      </c>
      <c r="I1693">
        <v>71</v>
      </c>
      <c r="J1693">
        <v>621</v>
      </c>
      <c r="K1693">
        <v>73</v>
      </c>
      <c r="L1693">
        <v>414</v>
      </c>
      <c r="M1693">
        <v>78</v>
      </c>
      <c r="N1693">
        <v>48</v>
      </c>
      <c r="O1693">
        <v>85</v>
      </c>
      <c r="P1693">
        <v>1</v>
      </c>
      <c r="Q1693">
        <v>8</v>
      </c>
      <c r="R1693">
        <v>4</v>
      </c>
      <c r="S1693">
        <v>6</v>
      </c>
      <c r="T1693">
        <v>5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3</v>
      </c>
      <c r="AB1693">
        <v>11</v>
      </c>
      <c r="AC1693">
        <v>0</v>
      </c>
      <c r="AD1693" t="str">
        <f t="shared" si="338"/>
        <v>Ok</v>
      </c>
      <c r="AE1693" t="str">
        <f>IF(AND(Audit_Data[[#This Row],[Year_Birth]]&gt;=1900,Audit_Data[[#This Row],[Year_Birth]]&lt;=2010),"OK","Invalid")</f>
        <v>OK</v>
      </c>
      <c r="AF1693" t="str">
        <f t="shared" si="339"/>
        <v>Valid</v>
      </c>
      <c r="AG1693" t="str">
        <f t="shared" si="340"/>
        <v>Valid</v>
      </c>
      <c r="AH1693" t="str">
        <f t="shared" si="341"/>
        <v>Valid</v>
      </c>
      <c r="AI1693" t="str">
        <f t="shared" si="342"/>
        <v>Valid</v>
      </c>
      <c r="AJ1693" t="str">
        <f t="shared" si="343"/>
        <v>Valid</v>
      </c>
      <c r="AK1693" t="str">
        <f t="shared" si="350"/>
        <v xml:space="preserve">Valid </v>
      </c>
      <c r="AL1693" t="str">
        <f>IF(AND(Audit_Data[[#This Row],[Recency]]&gt;=0,Audit_Data[[#This Row],[Recency]]&lt;=100),"Valid","Invalid")</f>
        <v>Valid</v>
      </c>
      <c r="AM1693" t="str">
        <f t="shared" si="344"/>
        <v>Valid</v>
      </c>
      <c r="AN1693" t="str">
        <f t="shared" si="345"/>
        <v>Valid</v>
      </c>
      <c r="AO1693" t="str">
        <f t="shared" si="346"/>
        <v>Valid</v>
      </c>
      <c r="AP1693" t="str">
        <f t="shared" si="347"/>
        <v>Valid</v>
      </c>
      <c r="AQ1693" t="str">
        <f>IF(Audit_Data[[#This Row],[Z_CostContact]]=3,"Valid","Invalid")</f>
        <v>Valid</v>
      </c>
      <c r="AR1693" t="str">
        <f t="shared" si="348"/>
        <v>Valid</v>
      </c>
      <c r="AS1693" t="str">
        <f t="shared" si="349"/>
        <v>Valid</v>
      </c>
    </row>
    <row r="1694" spans="1:45" x14ac:dyDescent="0.3">
      <c r="A1694">
        <v>10790</v>
      </c>
      <c r="B1694">
        <v>1985</v>
      </c>
      <c r="C1694" t="s">
        <v>32</v>
      </c>
      <c r="D1694" t="s">
        <v>33</v>
      </c>
      <c r="E1694">
        <v>18169</v>
      </c>
      <c r="F1694">
        <v>1</v>
      </c>
      <c r="G1694">
        <v>0</v>
      </c>
      <c r="H1694" s="1">
        <v>41324</v>
      </c>
      <c r="I1694">
        <v>40</v>
      </c>
      <c r="J1694">
        <v>9</v>
      </c>
      <c r="K1694">
        <v>0</v>
      </c>
      <c r="L1694">
        <v>5</v>
      </c>
      <c r="M1694">
        <v>0</v>
      </c>
      <c r="N1694">
        <v>0</v>
      </c>
      <c r="O1694">
        <v>7</v>
      </c>
      <c r="P1694">
        <v>1</v>
      </c>
      <c r="Q1694">
        <v>1</v>
      </c>
      <c r="R1694">
        <v>0</v>
      </c>
      <c r="S1694">
        <v>2</v>
      </c>
      <c r="T1694">
        <v>8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3</v>
      </c>
      <c r="AB1694">
        <v>11</v>
      </c>
      <c r="AC1694">
        <v>0</v>
      </c>
      <c r="AD1694" t="str">
        <f t="shared" si="338"/>
        <v>Ok</v>
      </c>
      <c r="AE1694" t="str">
        <f>IF(AND(Audit_Data[[#This Row],[Year_Birth]]&gt;=1900,Audit_Data[[#This Row],[Year_Birth]]&lt;=2010),"OK","Invalid")</f>
        <v>OK</v>
      </c>
      <c r="AF1694" t="str">
        <f t="shared" si="339"/>
        <v>Valid</v>
      </c>
      <c r="AG1694" t="str">
        <f t="shared" si="340"/>
        <v>Valid</v>
      </c>
      <c r="AH1694" t="str">
        <f t="shared" si="341"/>
        <v>Valid</v>
      </c>
      <c r="AI1694" t="str">
        <f t="shared" si="342"/>
        <v>Valid</v>
      </c>
      <c r="AJ1694" t="str">
        <f t="shared" si="343"/>
        <v>Valid</v>
      </c>
      <c r="AK1694" t="str">
        <f t="shared" si="350"/>
        <v xml:space="preserve">Valid </v>
      </c>
      <c r="AL1694" t="str">
        <f>IF(AND(Audit_Data[[#This Row],[Recency]]&gt;=0,Audit_Data[[#This Row],[Recency]]&lt;=100),"Valid","Invalid")</f>
        <v>Valid</v>
      </c>
      <c r="AM1694" t="str">
        <f t="shared" si="344"/>
        <v>Valid</v>
      </c>
      <c r="AN1694" t="str">
        <f t="shared" si="345"/>
        <v>Valid</v>
      </c>
      <c r="AO1694" t="str">
        <f t="shared" si="346"/>
        <v>Valid</v>
      </c>
      <c r="AP1694" t="str">
        <f t="shared" si="347"/>
        <v>Valid</v>
      </c>
      <c r="AQ1694" t="str">
        <f>IF(Audit_Data[[#This Row],[Z_CostContact]]=3,"Valid","Invalid")</f>
        <v>Valid</v>
      </c>
      <c r="AR1694" t="str">
        <f t="shared" si="348"/>
        <v>Valid</v>
      </c>
      <c r="AS1694" t="str">
        <f t="shared" si="349"/>
        <v>Valid</v>
      </c>
    </row>
    <row r="1695" spans="1:45" x14ac:dyDescent="0.3">
      <c r="A1695">
        <v>10398</v>
      </c>
      <c r="B1695">
        <v>1981</v>
      </c>
      <c r="C1695" t="s">
        <v>37</v>
      </c>
      <c r="D1695" t="s">
        <v>30</v>
      </c>
      <c r="E1695">
        <v>24336</v>
      </c>
      <c r="F1695">
        <v>1</v>
      </c>
      <c r="G1695">
        <v>0</v>
      </c>
      <c r="H1695" s="1">
        <v>41148</v>
      </c>
      <c r="I1695">
        <v>82</v>
      </c>
      <c r="J1695">
        <v>1</v>
      </c>
      <c r="K1695">
        <v>6</v>
      </c>
      <c r="L1695">
        <v>2</v>
      </c>
      <c r="M1695">
        <v>8</v>
      </c>
      <c r="N1695">
        <v>2</v>
      </c>
      <c r="O1695">
        <v>12</v>
      </c>
      <c r="P1695">
        <v>1</v>
      </c>
      <c r="Q1695">
        <v>1</v>
      </c>
      <c r="R1695">
        <v>0</v>
      </c>
      <c r="S1695">
        <v>2</v>
      </c>
      <c r="T1695">
        <v>7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3</v>
      </c>
      <c r="AB1695">
        <v>11</v>
      </c>
      <c r="AC1695">
        <v>0</v>
      </c>
      <c r="AD1695" t="str">
        <f t="shared" si="338"/>
        <v>Ok</v>
      </c>
      <c r="AE1695" t="str">
        <f>IF(AND(Audit_Data[[#This Row],[Year_Birth]]&gt;=1900,Audit_Data[[#This Row],[Year_Birth]]&lt;=2010),"OK","Invalid")</f>
        <v>OK</v>
      </c>
      <c r="AF1695" t="str">
        <f t="shared" si="339"/>
        <v>Valid</v>
      </c>
      <c r="AG1695" t="str">
        <f t="shared" si="340"/>
        <v>Valid</v>
      </c>
      <c r="AH1695" t="str">
        <f t="shared" si="341"/>
        <v>Valid</v>
      </c>
      <c r="AI1695" t="str">
        <f t="shared" si="342"/>
        <v>Valid</v>
      </c>
      <c r="AJ1695" t="str">
        <f t="shared" si="343"/>
        <v>Valid</v>
      </c>
      <c r="AK1695" t="str">
        <f t="shared" si="350"/>
        <v xml:space="preserve">Valid </v>
      </c>
      <c r="AL1695" t="str">
        <f>IF(AND(Audit_Data[[#This Row],[Recency]]&gt;=0,Audit_Data[[#This Row],[Recency]]&lt;=100),"Valid","Invalid")</f>
        <v>Valid</v>
      </c>
      <c r="AM1695" t="str">
        <f t="shared" si="344"/>
        <v>Valid</v>
      </c>
      <c r="AN1695" t="str">
        <f t="shared" si="345"/>
        <v>Valid</v>
      </c>
      <c r="AO1695" t="str">
        <f t="shared" si="346"/>
        <v>Valid</v>
      </c>
      <c r="AP1695" t="str">
        <f t="shared" si="347"/>
        <v>Valid</v>
      </c>
      <c r="AQ1695" t="str">
        <f>IF(Audit_Data[[#This Row],[Z_CostContact]]=3,"Valid","Invalid")</f>
        <v>Valid</v>
      </c>
      <c r="AR1695" t="str">
        <f t="shared" si="348"/>
        <v>Valid</v>
      </c>
      <c r="AS1695" t="str">
        <f t="shared" si="349"/>
        <v>Valid</v>
      </c>
    </row>
    <row r="1696" spans="1:45" x14ac:dyDescent="0.3">
      <c r="A1696">
        <v>2431</v>
      </c>
      <c r="B1696">
        <v>1990</v>
      </c>
      <c r="C1696" t="s">
        <v>29</v>
      </c>
      <c r="D1696" t="s">
        <v>33</v>
      </c>
      <c r="E1696">
        <v>18222</v>
      </c>
      <c r="F1696">
        <v>0</v>
      </c>
      <c r="G1696">
        <v>0</v>
      </c>
      <c r="H1696" s="1">
        <v>41274</v>
      </c>
      <c r="I1696">
        <v>70</v>
      </c>
      <c r="J1696">
        <v>12</v>
      </c>
      <c r="K1696">
        <v>4</v>
      </c>
      <c r="L1696">
        <v>19</v>
      </c>
      <c r="M1696">
        <v>12</v>
      </c>
      <c r="N1696">
        <v>6</v>
      </c>
      <c r="O1696">
        <v>14</v>
      </c>
      <c r="P1696">
        <v>1</v>
      </c>
      <c r="Q1696">
        <v>2</v>
      </c>
      <c r="R1696">
        <v>0</v>
      </c>
      <c r="S1696">
        <v>3</v>
      </c>
      <c r="T1696">
        <v>8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3</v>
      </c>
      <c r="AB1696">
        <v>11</v>
      </c>
      <c r="AC1696">
        <v>0</v>
      </c>
      <c r="AD1696" t="str">
        <f t="shared" si="338"/>
        <v>Ok</v>
      </c>
      <c r="AE1696" t="str">
        <f>IF(AND(Audit_Data[[#This Row],[Year_Birth]]&gt;=1900,Audit_Data[[#This Row],[Year_Birth]]&lt;=2010),"OK","Invalid")</f>
        <v>OK</v>
      </c>
      <c r="AF1696" t="str">
        <f t="shared" si="339"/>
        <v>Valid</v>
      </c>
      <c r="AG1696" t="str">
        <f t="shared" si="340"/>
        <v>Valid</v>
      </c>
      <c r="AH1696" t="str">
        <f t="shared" si="341"/>
        <v>Valid</v>
      </c>
      <c r="AI1696" t="str">
        <f t="shared" si="342"/>
        <v>Valid</v>
      </c>
      <c r="AJ1696" t="str">
        <f t="shared" si="343"/>
        <v>Valid</v>
      </c>
      <c r="AK1696" t="str">
        <f t="shared" si="350"/>
        <v xml:space="preserve">Valid </v>
      </c>
      <c r="AL1696" t="str">
        <f>IF(AND(Audit_Data[[#This Row],[Recency]]&gt;=0,Audit_Data[[#This Row],[Recency]]&lt;=100),"Valid","Invalid")</f>
        <v>Valid</v>
      </c>
      <c r="AM1696" t="str">
        <f t="shared" si="344"/>
        <v>Valid</v>
      </c>
      <c r="AN1696" t="str">
        <f t="shared" si="345"/>
        <v>Valid</v>
      </c>
      <c r="AO1696" t="str">
        <f t="shared" si="346"/>
        <v>Valid</v>
      </c>
      <c r="AP1696" t="str">
        <f t="shared" si="347"/>
        <v>Valid</v>
      </c>
      <c r="AQ1696" t="str">
        <f>IF(Audit_Data[[#This Row],[Z_CostContact]]=3,"Valid","Invalid")</f>
        <v>Valid</v>
      </c>
      <c r="AR1696" t="str">
        <f t="shared" si="348"/>
        <v>Valid</v>
      </c>
      <c r="AS1696" t="str">
        <f t="shared" si="349"/>
        <v>Valid</v>
      </c>
    </row>
    <row r="1697" spans="1:45" x14ac:dyDescent="0.3">
      <c r="A1697">
        <v>550</v>
      </c>
      <c r="B1697">
        <v>1952</v>
      </c>
      <c r="C1697" t="s">
        <v>29</v>
      </c>
      <c r="D1697" t="s">
        <v>35</v>
      </c>
      <c r="E1697">
        <v>62335</v>
      </c>
      <c r="F1697">
        <v>0</v>
      </c>
      <c r="G1697">
        <v>1</v>
      </c>
      <c r="H1697" s="1">
        <v>41417</v>
      </c>
      <c r="I1697">
        <v>87</v>
      </c>
      <c r="J1697">
        <v>243</v>
      </c>
      <c r="K1697">
        <v>131</v>
      </c>
      <c r="L1697">
        <v>217</v>
      </c>
      <c r="M1697">
        <v>85</v>
      </c>
      <c r="N1697">
        <v>6</v>
      </c>
      <c r="O1697">
        <v>26</v>
      </c>
      <c r="P1697">
        <v>2</v>
      </c>
      <c r="Q1697">
        <v>3</v>
      </c>
      <c r="R1697">
        <v>3</v>
      </c>
      <c r="S1697">
        <v>13</v>
      </c>
      <c r="T1697">
        <v>2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3</v>
      </c>
      <c r="AB1697">
        <v>11</v>
      </c>
      <c r="AC1697">
        <v>0</v>
      </c>
      <c r="AD1697" t="str">
        <f t="shared" si="338"/>
        <v>Ok</v>
      </c>
      <c r="AE1697" t="str">
        <f>IF(AND(Audit_Data[[#This Row],[Year_Birth]]&gt;=1900,Audit_Data[[#This Row],[Year_Birth]]&lt;=2010),"OK","Invalid")</f>
        <v>OK</v>
      </c>
      <c r="AF1697" t="str">
        <f t="shared" si="339"/>
        <v>Valid</v>
      </c>
      <c r="AG1697" t="str">
        <f t="shared" si="340"/>
        <v>Valid</v>
      </c>
      <c r="AH1697" t="str">
        <f t="shared" si="341"/>
        <v>Valid</v>
      </c>
      <c r="AI1697" t="str">
        <f t="shared" si="342"/>
        <v>Valid</v>
      </c>
      <c r="AJ1697" t="str">
        <f t="shared" si="343"/>
        <v>Valid</v>
      </c>
      <c r="AK1697" t="str">
        <f t="shared" si="350"/>
        <v xml:space="preserve">Valid </v>
      </c>
      <c r="AL1697" t="str">
        <f>IF(AND(Audit_Data[[#This Row],[Recency]]&gt;=0,Audit_Data[[#This Row],[Recency]]&lt;=100),"Valid","Invalid")</f>
        <v>Valid</v>
      </c>
      <c r="AM1697" t="str">
        <f t="shared" si="344"/>
        <v>Valid</v>
      </c>
      <c r="AN1697" t="str">
        <f t="shared" si="345"/>
        <v>Valid</v>
      </c>
      <c r="AO1697" t="str">
        <f t="shared" si="346"/>
        <v>Valid</v>
      </c>
      <c r="AP1697" t="str">
        <f t="shared" si="347"/>
        <v>Valid</v>
      </c>
      <c r="AQ1697" t="str">
        <f>IF(Audit_Data[[#This Row],[Z_CostContact]]=3,"Valid","Invalid")</f>
        <v>Valid</v>
      </c>
      <c r="AR1697" t="str">
        <f t="shared" si="348"/>
        <v>Valid</v>
      </c>
      <c r="AS1697" t="str">
        <f t="shared" si="349"/>
        <v>Valid</v>
      </c>
    </row>
    <row r="1698" spans="1:45" x14ac:dyDescent="0.3">
      <c r="A1698">
        <v>1890</v>
      </c>
      <c r="B1698">
        <v>1971</v>
      </c>
      <c r="C1698" t="s">
        <v>37</v>
      </c>
      <c r="D1698" t="s">
        <v>31</v>
      </c>
      <c r="E1698">
        <v>42033</v>
      </c>
      <c r="F1698">
        <v>1</v>
      </c>
      <c r="G1698">
        <v>1</v>
      </c>
      <c r="H1698" s="1">
        <v>41171</v>
      </c>
      <c r="I1698">
        <v>95</v>
      </c>
      <c r="J1698">
        <v>11</v>
      </c>
      <c r="K1698">
        <v>1</v>
      </c>
      <c r="L1698">
        <v>4</v>
      </c>
      <c r="M1698">
        <v>2</v>
      </c>
      <c r="N1698">
        <v>0</v>
      </c>
      <c r="O1698">
        <v>7</v>
      </c>
      <c r="P1698">
        <v>1</v>
      </c>
      <c r="Q1698">
        <v>1</v>
      </c>
      <c r="R1698">
        <v>0</v>
      </c>
      <c r="S1698">
        <v>2</v>
      </c>
      <c r="T1698">
        <v>7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3</v>
      </c>
      <c r="AB1698">
        <v>11</v>
      </c>
      <c r="AC1698">
        <v>0</v>
      </c>
      <c r="AD1698" t="str">
        <f t="shared" si="338"/>
        <v>Ok</v>
      </c>
      <c r="AE1698" t="str">
        <f>IF(AND(Audit_Data[[#This Row],[Year_Birth]]&gt;=1900,Audit_Data[[#This Row],[Year_Birth]]&lt;=2010),"OK","Invalid")</f>
        <v>OK</v>
      </c>
      <c r="AF1698" t="str">
        <f t="shared" si="339"/>
        <v>Valid</v>
      </c>
      <c r="AG1698" t="str">
        <f t="shared" si="340"/>
        <v>Valid</v>
      </c>
      <c r="AH1698" t="str">
        <f t="shared" si="341"/>
        <v>Valid</v>
      </c>
      <c r="AI1698" t="str">
        <f t="shared" si="342"/>
        <v>Valid</v>
      </c>
      <c r="AJ1698" t="str">
        <f t="shared" si="343"/>
        <v>Valid</v>
      </c>
      <c r="AK1698" t="str">
        <f t="shared" si="350"/>
        <v xml:space="preserve">Valid </v>
      </c>
      <c r="AL1698" t="str">
        <f>IF(AND(Audit_Data[[#This Row],[Recency]]&gt;=0,Audit_Data[[#This Row],[Recency]]&lt;=100),"Valid","Invalid")</f>
        <v>Valid</v>
      </c>
      <c r="AM1698" t="str">
        <f t="shared" si="344"/>
        <v>Valid</v>
      </c>
      <c r="AN1698" t="str">
        <f t="shared" si="345"/>
        <v>Valid</v>
      </c>
      <c r="AO1698" t="str">
        <f t="shared" si="346"/>
        <v>Valid</v>
      </c>
      <c r="AP1698" t="str">
        <f t="shared" si="347"/>
        <v>Valid</v>
      </c>
      <c r="AQ1698" t="str">
        <f>IF(Audit_Data[[#This Row],[Z_CostContact]]=3,"Valid","Invalid")</f>
        <v>Valid</v>
      </c>
      <c r="AR1698" t="str">
        <f t="shared" si="348"/>
        <v>Valid</v>
      </c>
      <c r="AS1698" t="str">
        <f t="shared" si="349"/>
        <v>Valid</v>
      </c>
    </row>
    <row r="1699" spans="1:45" x14ac:dyDescent="0.3">
      <c r="A1699">
        <v>10742</v>
      </c>
      <c r="B1699">
        <v>1983</v>
      </c>
      <c r="C1699" t="s">
        <v>32</v>
      </c>
      <c r="D1699" t="s">
        <v>33</v>
      </c>
      <c r="E1699">
        <v>86580</v>
      </c>
      <c r="F1699">
        <v>0</v>
      </c>
      <c r="G1699">
        <v>0</v>
      </c>
      <c r="H1699" s="1">
        <v>41332</v>
      </c>
      <c r="I1699">
        <v>72</v>
      </c>
      <c r="J1699">
        <v>532</v>
      </c>
      <c r="K1699">
        <v>21</v>
      </c>
      <c r="L1699">
        <v>127</v>
      </c>
      <c r="M1699">
        <v>26</v>
      </c>
      <c r="N1699">
        <v>20</v>
      </c>
      <c r="O1699">
        <v>20</v>
      </c>
      <c r="P1699">
        <v>0</v>
      </c>
      <c r="Q1699">
        <v>4</v>
      </c>
      <c r="R1699">
        <v>2</v>
      </c>
      <c r="S1699">
        <v>5</v>
      </c>
      <c r="T1699">
        <v>1</v>
      </c>
      <c r="U1699">
        <v>0</v>
      </c>
      <c r="V1699">
        <v>0</v>
      </c>
      <c r="W1699">
        <v>1</v>
      </c>
      <c r="X1699">
        <v>0</v>
      </c>
      <c r="Y1699">
        <v>0</v>
      </c>
      <c r="Z1699">
        <v>0</v>
      </c>
      <c r="AA1699">
        <v>3</v>
      </c>
      <c r="AB1699">
        <v>11</v>
      </c>
      <c r="AC1699">
        <v>0</v>
      </c>
      <c r="AD1699" t="str">
        <f t="shared" si="338"/>
        <v>Ok</v>
      </c>
      <c r="AE1699" t="str">
        <f>IF(AND(Audit_Data[[#This Row],[Year_Birth]]&gt;=1900,Audit_Data[[#This Row],[Year_Birth]]&lt;=2010),"OK","Invalid")</f>
        <v>OK</v>
      </c>
      <c r="AF1699" t="str">
        <f t="shared" si="339"/>
        <v>Valid</v>
      </c>
      <c r="AG1699" t="str">
        <f t="shared" si="340"/>
        <v>Valid</v>
      </c>
      <c r="AH1699" t="str">
        <f t="shared" si="341"/>
        <v>Valid</v>
      </c>
      <c r="AI1699" t="str">
        <f t="shared" si="342"/>
        <v>Valid</v>
      </c>
      <c r="AJ1699" t="str">
        <f t="shared" si="343"/>
        <v>Valid</v>
      </c>
      <c r="AK1699" t="str">
        <f t="shared" si="350"/>
        <v xml:space="preserve">Valid </v>
      </c>
      <c r="AL1699" t="str">
        <f>IF(AND(Audit_Data[[#This Row],[Recency]]&gt;=0,Audit_Data[[#This Row],[Recency]]&lt;=100),"Valid","Invalid")</f>
        <v>Valid</v>
      </c>
      <c r="AM1699" t="str">
        <f t="shared" si="344"/>
        <v>Valid</v>
      </c>
      <c r="AN1699" t="str">
        <f t="shared" si="345"/>
        <v>Valid</v>
      </c>
      <c r="AO1699" t="str">
        <f t="shared" si="346"/>
        <v>Valid</v>
      </c>
      <c r="AP1699" t="str">
        <f t="shared" si="347"/>
        <v>Valid</v>
      </c>
      <c r="AQ1699" t="str">
        <f>IF(Audit_Data[[#This Row],[Z_CostContact]]=3,"Valid","Invalid")</f>
        <v>Valid</v>
      </c>
      <c r="AR1699" t="str">
        <f t="shared" si="348"/>
        <v>Valid</v>
      </c>
      <c r="AS1699" t="str">
        <f t="shared" si="349"/>
        <v>Valid</v>
      </c>
    </row>
    <row r="1700" spans="1:45" x14ac:dyDescent="0.3">
      <c r="A1700">
        <v>10356</v>
      </c>
      <c r="B1700">
        <v>1957</v>
      </c>
      <c r="C1700" t="s">
        <v>32</v>
      </c>
      <c r="D1700" t="s">
        <v>35</v>
      </c>
      <c r="E1700">
        <v>41437</v>
      </c>
      <c r="F1700">
        <v>1</v>
      </c>
      <c r="G1700">
        <v>1</v>
      </c>
      <c r="H1700" s="1">
        <v>41174</v>
      </c>
      <c r="I1700">
        <v>5</v>
      </c>
      <c r="J1700">
        <v>29</v>
      </c>
      <c r="K1700">
        <v>0</v>
      </c>
      <c r="L1700">
        <v>2</v>
      </c>
      <c r="M1700">
        <v>0</v>
      </c>
      <c r="N1700">
        <v>0</v>
      </c>
      <c r="O1700">
        <v>1</v>
      </c>
      <c r="P1700">
        <v>1</v>
      </c>
      <c r="Q1700">
        <v>1</v>
      </c>
      <c r="R1700">
        <v>0</v>
      </c>
      <c r="S1700">
        <v>3</v>
      </c>
      <c r="T1700">
        <v>7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3</v>
      </c>
      <c r="AB1700">
        <v>11</v>
      </c>
      <c r="AC1700">
        <v>0</v>
      </c>
      <c r="AD1700" t="str">
        <f t="shared" si="338"/>
        <v>Ok</v>
      </c>
      <c r="AE1700" t="str">
        <f>IF(AND(Audit_Data[[#This Row],[Year_Birth]]&gt;=1900,Audit_Data[[#This Row],[Year_Birth]]&lt;=2010),"OK","Invalid")</f>
        <v>OK</v>
      </c>
      <c r="AF1700" t="str">
        <f t="shared" si="339"/>
        <v>Valid</v>
      </c>
      <c r="AG1700" t="str">
        <f t="shared" si="340"/>
        <v>Valid</v>
      </c>
      <c r="AH1700" t="str">
        <f t="shared" si="341"/>
        <v>Valid</v>
      </c>
      <c r="AI1700" t="str">
        <f t="shared" si="342"/>
        <v>Valid</v>
      </c>
      <c r="AJ1700" t="str">
        <f t="shared" si="343"/>
        <v>Valid</v>
      </c>
      <c r="AK1700" t="str">
        <f t="shared" si="350"/>
        <v xml:space="preserve">Valid </v>
      </c>
      <c r="AL1700" t="str">
        <f>IF(AND(Audit_Data[[#This Row],[Recency]]&gt;=0,Audit_Data[[#This Row],[Recency]]&lt;=100),"Valid","Invalid")</f>
        <v>Valid</v>
      </c>
      <c r="AM1700" t="str">
        <f t="shared" si="344"/>
        <v>Valid</v>
      </c>
      <c r="AN1700" t="str">
        <f t="shared" si="345"/>
        <v>Valid</v>
      </c>
      <c r="AO1700" t="str">
        <f t="shared" si="346"/>
        <v>Valid</v>
      </c>
      <c r="AP1700" t="str">
        <f t="shared" si="347"/>
        <v>Valid</v>
      </c>
      <c r="AQ1700" t="str">
        <f>IF(Audit_Data[[#This Row],[Z_CostContact]]=3,"Valid","Invalid")</f>
        <v>Valid</v>
      </c>
      <c r="AR1700" t="str">
        <f t="shared" si="348"/>
        <v>Valid</v>
      </c>
      <c r="AS1700" t="str">
        <f t="shared" si="349"/>
        <v>Valid</v>
      </c>
    </row>
    <row r="1701" spans="1:45" x14ac:dyDescent="0.3">
      <c r="A1701">
        <v>4676</v>
      </c>
      <c r="B1701">
        <v>1951</v>
      </c>
      <c r="C1701" t="s">
        <v>34</v>
      </c>
      <c r="D1701" t="s">
        <v>38</v>
      </c>
      <c r="E1701">
        <v>73705</v>
      </c>
      <c r="F1701">
        <v>0</v>
      </c>
      <c r="G1701">
        <v>2</v>
      </c>
      <c r="H1701" s="1">
        <v>41703</v>
      </c>
      <c r="I1701">
        <v>86</v>
      </c>
      <c r="J1701">
        <v>612</v>
      </c>
      <c r="K1701">
        <v>91</v>
      </c>
      <c r="L1701">
        <v>520</v>
      </c>
      <c r="M1701">
        <v>258</v>
      </c>
      <c r="N1701">
        <v>107</v>
      </c>
      <c r="O1701">
        <v>107</v>
      </c>
      <c r="P1701">
        <v>2</v>
      </c>
      <c r="Q1701">
        <v>9</v>
      </c>
      <c r="R1701">
        <v>6</v>
      </c>
      <c r="S1701">
        <v>8</v>
      </c>
      <c r="T1701">
        <v>5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3</v>
      </c>
      <c r="AB1701">
        <v>11</v>
      </c>
      <c r="AC1701">
        <v>0</v>
      </c>
      <c r="AD1701" t="str">
        <f t="shared" si="338"/>
        <v>Ok</v>
      </c>
      <c r="AE1701" t="str">
        <f>IF(AND(Audit_Data[[#This Row],[Year_Birth]]&gt;=1900,Audit_Data[[#This Row],[Year_Birth]]&lt;=2010),"OK","Invalid")</f>
        <v>OK</v>
      </c>
      <c r="AF1701" t="str">
        <f t="shared" si="339"/>
        <v>Valid</v>
      </c>
      <c r="AG1701" t="str">
        <f t="shared" si="340"/>
        <v>Valid</v>
      </c>
      <c r="AH1701" t="str">
        <f t="shared" si="341"/>
        <v>Valid</v>
      </c>
      <c r="AI1701" t="str">
        <f t="shared" si="342"/>
        <v>Valid</v>
      </c>
      <c r="AJ1701" t="str">
        <f t="shared" si="343"/>
        <v>Valid</v>
      </c>
      <c r="AK1701" t="str">
        <f t="shared" si="350"/>
        <v xml:space="preserve">Valid </v>
      </c>
      <c r="AL1701" t="str">
        <f>IF(AND(Audit_Data[[#This Row],[Recency]]&gt;=0,Audit_Data[[#This Row],[Recency]]&lt;=100),"Valid","Invalid")</f>
        <v>Valid</v>
      </c>
      <c r="AM1701" t="str">
        <f t="shared" si="344"/>
        <v>Valid</v>
      </c>
      <c r="AN1701" t="str">
        <f t="shared" si="345"/>
        <v>Valid</v>
      </c>
      <c r="AO1701" t="str">
        <f t="shared" si="346"/>
        <v>Valid</v>
      </c>
      <c r="AP1701" t="str">
        <f t="shared" si="347"/>
        <v>Valid</v>
      </c>
      <c r="AQ1701" t="str">
        <f>IF(Audit_Data[[#This Row],[Z_CostContact]]=3,"Valid","Invalid")</f>
        <v>Valid</v>
      </c>
      <c r="AR1701" t="str">
        <f t="shared" si="348"/>
        <v>Valid</v>
      </c>
      <c r="AS1701" t="str">
        <f t="shared" si="349"/>
        <v>Valid</v>
      </c>
    </row>
    <row r="1702" spans="1:45" x14ac:dyDescent="0.3">
      <c r="A1702">
        <v>8852</v>
      </c>
      <c r="B1702">
        <v>1976</v>
      </c>
      <c r="C1702" t="s">
        <v>29</v>
      </c>
      <c r="D1702" t="s">
        <v>33</v>
      </c>
      <c r="E1702">
        <v>61064</v>
      </c>
      <c r="F1702">
        <v>0</v>
      </c>
      <c r="G1702">
        <v>1</v>
      </c>
      <c r="H1702" s="1">
        <v>41152</v>
      </c>
      <c r="I1702">
        <v>80</v>
      </c>
      <c r="J1702">
        <v>387</v>
      </c>
      <c r="K1702">
        <v>126</v>
      </c>
      <c r="L1702">
        <v>342</v>
      </c>
      <c r="M1702">
        <v>0</v>
      </c>
      <c r="N1702">
        <v>45</v>
      </c>
      <c r="O1702">
        <v>180</v>
      </c>
      <c r="P1702">
        <v>5</v>
      </c>
      <c r="Q1702">
        <v>8</v>
      </c>
      <c r="R1702">
        <v>4</v>
      </c>
      <c r="S1702">
        <v>11</v>
      </c>
      <c r="T1702">
        <v>6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3</v>
      </c>
      <c r="AB1702">
        <v>11</v>
      </c>
      <c r="AC1702">
        <v>0</v>
      </c>
      <c r="AD1702" t="str">
        <f t="shared" si="338"/>
        <v>Ok</v>
      </c>
      <c r="AE1702" t="str">
        <f>IF(AND(Audit_Data[[#This Row],[Year_Birth]]&gt;=1900,Audit_Data[[#This Row],[Year_Birth]]&lt;=2010),"OK","Invalid")</f>
        <v>OK</v>
      </c>
      <c r="AF1702" t="str">
        <f t="shared" si="339"/>
        <v>Valid</v>
      </c>
      <c r="AG1702" t="str">
        <f t="shared" si="340"/>
        <v>Valid</v>
      </c>
      <c r="AH1702" t="str">
        <f t="shared" si="341"/>
        <v>Valid</v>
      </c>
      <c r="AI1702" t="str">
        <f t="shared" si="342"/>
        <v>Valid</v>
      </c>
      <c r="AJ1702" t="str">
        <f t="shared" si="343"/>
        <v>Valid</v>
      </c>
      <c r="AK1702" t="str">
        <f t="shared" si="350"/>
        <v xml:space="preserve">Valid </v>
      </c>
      <c r="AL1702" t="str">
        <f>IF(AND(Audit_Data[[#This Row],[Recency]]&gt;=0,Audit_Data[[#This Row],[Recency]]&lt;=100),"Valid","Invalid")</f>
        <v>Valid</v>
      </c>
      <c r="AM1702" t="str">
        <f t="shared" si="344"/>
        <v>Valid</v>
      </c>
      <c r="AN1702" t="str">
        <f t="shared" si="345"/>
        <v>Valid</v>
      </c>
      <c r="AO1702" t="str">
        <f t="shared" si="346"/>
        <v>Valid</v>
      </c>
      <c r="AP1702" t="str">
        <f t="shared" si="347"/>
        <v>Valid</v>
      </c>
      <c r="AQ1702" t="str">
        <f>IF(Audit_Data[[#This Row],[Z_CostContact]]=3,"Valid","Invalid")</f>
        <v>Valid</v>
      </c>
      <c r="AR1702" t="str">
        <f t="shared" si="348"/>
        <v>Valid</v>
      </c>
      <c r="AS1702" t="str">
        <f t="shared" si="349"/>
        <v>Valid</v>
      </c>
    </row>
    <row r="1703" spans="1:45" x14ac:dyDescent="0.3">
      <c r="A1703">
        <v>3565</v>
      </c>
      <c r="B1703">
        <v>1955</v>
      </c>
      <c r="C1703" t="s">
        <v>34</v>
      </c>
      <c r="D1703" t="s">
        <v>33</v>
      </c>
      <c r="E1703">
        <v>38452</v>
      </c>
      <c r="F1703">
        <v>1</v>
      </c>
      <c r="G1703">
        <v>1</v>
      </c>
      <c r="H1703" s="1">
        <v>41728</v>
      </c>
      <c r="I1703">
        <v>62</v>
      </c>
      <c r="J1703">
        <v>56</v>
      </c>
      <c r="K1703">
        <v>0</v>
      </c>
      <c r="L1703">
        <v>14</v>
      </c>
      <c r="M1703">
        <v>0</v>
      </c>
      <c r="N1703">
        <v>0</v>
      </c>
      <c r="O1703">
        <v>2</v>
      </c>
      <c r="P1703">
        <v>3</v>
      </c>
      <c r="Q1703">
        <v>3</v>
      </c>
      <c r="R1703">
        <v>0</v>
      </c>
      <c r="S1703">
        <v>3</v>
      </c>
      <c r="T1703">
        <v>7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3</v>
      </c>
      <c r="AB1703">
        <v>11</v>
      </c>
      <c r="AC1703">
        <v>0</v>
      </c>
      <c r="AD1703" t="str">
        <f t="shared" si="338"/>
        <v>Ok</v>
      </c>
      <c r="AE1703" t="str">
        <f>IF(AND(Audit_Data[[#This Row],[Year_Birth]]&gt;=1900,Audit_Data[[#This Row],[Year_Birth]]&lt;=2010),"OK","Invalid")</f>
        <v>OK</v>
      </c>
      <c r="AF1703" t="str">
        <f t="shared" si="339"/>
        <v>Valid</v>
      </c>
      <c r="AG1703" t="str">
        <f t="shared" si="340"/>
        <v>Valid</v>
      </c>
      <c r="AH1703" t="str">
        <f t="shared" si="341"/>
        <v>Valid</v>
      </c>
      <c r="AI1703" t="str">
        <f t="shared" si="342"/>
        <v>Valid</v>
      </c>
      <c r="AJ1703" t="str">
        <f t="shared" si="343"/>
        <v>Valid</v>
      </c>
      <c r="AK1703" t="str">
        <f t="shared" si="350"/>
        <v xml:space="preserve">Valid </v>
      </c>
      <c r="AL1703" t="str">
        <f>IF(AND(Audit_Data[[#This Row],[Recency]]&gt;=0,Audit_Data[[#This Row],[Recency]]&lt;=100),"Valid","Invalid")</f>
        <v>Valid</v>
      </c>
      <c r="AM1703" t="str">
        <f t="shared" si="344"/>
        <v>Valid</v>
      </c>
      <c r="AN1703" t="str">
        <f t="shared" si="345"/>
        <v>Valid</v>
      </c>
      <c r="AO1703" t="str">
        <f t="shared" si="346"/>
        <v>Valid</v>
      </c>
      <c r="AP1703" t="str">
        <f t="shared" si="347"/>
        <v>Valid</v>
      </c>
      <c r="AQ1703" t="str">
        <f>IF(Audit_Data[[#This Row],[Z_CostContact]]=3,"Valid","Invalid")</f>
        <v>Valid</v>
      </c>
      <c r="AR1703" t="str">
        <f t="shared" si="348"/>
        <v>Valid</v>
      </c>
      <c r="AS1703" t="str">
        <f t="shared" si="349"/>
        <v>Valid</v>
      </c>
    </row>
    <row r="1704" spans="1:45" x14ac:dyDescent="0.3">
      <c r="A1704">
        <v>5294</v>
      </c>
      <c r="B1704">
        <v>1989</v>
      </c>
      <c r="C1704" t="s">
        <v>29</v>
      </c>
      <c r="D1704" t="s">
        <v>30</v>
      </c>
      <c r="E1704">
        <v>18358</v>
      </c>
      <c r="F1704">
        <v>1</v>
      </c>
      <c r="G1704">
        <v>0</v>
      </c>
      <c r="H1704" s="1">
        <v>41598</v>
      </c>
      <c r="I1704">
        <v>49</v>
      </c>
      <c r="J1704">
        <v>6</v>
      </c>
      <c r="K1704">
        <v>8</v>
      </c>
      <c r="L1704">
        <v>19</v>
      </c>
      <c r="M1704">
        <v>16</v>
      </c>
      <c r="N1704">
        <v>4</v>
      </c>
      <c r="O1704">
        <v>4</v>
      </c>
      <c r="P1704">
        <v>3</v>
      </c>
      <c r="Q1704">
        <v>3</v>
      </c>
      <c r="R1704">
        <v>0</v>
      </c>
      <c r="S1704">
        <v>4</v>
      </c>
      <c r="T1704">
        <v>7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3</v>
      </c>
      <c r="AB1704">
        <v>11</v>
      </c>
      <c r="AC1704">
        <v>0</v>
      </c>
      <c r="AD1704" t="str">
        <f t="shared" si="338"/>
        <v>Ok</v>
      </c>
      <c r="AE1704" t="str">
        <f>IF(AND(Audit_Data[[#This Row],[Year_Birth]]&gt;=1900,Audit_Data[[#This Row],[Year_Birth]]&lt;=2010),"OK","Invalid")</f>
        <v>OK</v>
      </c>
      <c r="AF1704" t="str">
        <f t="shared" si="339"/>
        <v>Valid</v>
      </c>
      <c r="AG1704" t="str">
        <f t="shared" si="340"/>
        <v>Valid</v>
      </c>
      <c r="AH1704" t="str">
        <f t="shared" si="341"/>
        <v>Valid</v>
      </c>
      <c r="AI1704" t="str">
        <f t="shared" si="342"/>
        <v>Valid</v>
      </c>
      <c r="AJ1704" t="str">
        <f t="shared" si="343"/>
        <v>Valid</v>
      </c>
      <c r="AK1704" t="str">
        <f t="shared" si="350"/>
        <v xml:space="preserve">Valid </v>
      </c>
      <c r="AL1704" t="str">
        <f>IF(AND(Audit_Data[[#This Row],[Recency]]&gt;=0,Audit_Data[[#This Row],[Recency]]&lt;=100),"Valid","Invalid")</f>
        <v>Valid</v>
      </c>
      <c r="AM1704" t="str">
        <f t="shared" si="344"/>
        <v>Valid</v>
      </c>
      <c r="AN1704" t="str">
        <f t="shared" si="345"/>
        <v>Valid</v>
      </c>
      <c r="AO1704" t="str">
        <f t="shared" si="346"/>
        <v>Valid</v>
      </c>
      <c r="AP1704" t="str">
        <f t="shared" si="347"/>
        <v>Valid</v>
      </c>
      <c r="AQ1704" t="str">
        <f>IF(Audit_Data[[#This Row],[Z_CostContact]]=3,"Valid","Invalid")</f>
        <v>Valid</v>
      </c>
      <c r="AR1704" t="str">
        <f t="shared" si="348"/>
        <v>Valid</v>
      </c>
      <c r="AS1704" t="str">
        <f t="shared" si="349"/>
        <v>Valid</v>
      </c>
    </row>
    <row r="1705" spans="1:45" x14ac:dyDescent="0.3">
      <c r="A1705">
        <v>1958</v>
      </c>
      <c r="B1705">
        <v>1973</v>
      </c>
      <c r="C1705" t="s">
        <v>32</v>
      </c>
      <c r="D1705" t="s">
        <v>31</v>
      </c>
      <c r="E1705">
        <v>55012</v>
      </c>
      <c r="F1705">
        <v>0</v>
      </c>
      <c r="G1705">
        <v>1</v>
      </c>
      <c r="H1705" s="1">
        <v>41719</v>
      </c>
      <c r="I1705">
        <v>85</v>
      </c>
      <c r="J1705">
        <v>582</v>
      </c>
      <c r="K1705">
        <v>0</v>
      </c>
      <c r="L1705">
        <v>65</v>
      </c>
      <c r="M1705">
        <v>0</v>
      </c>
      <c r="N1705">
        <v>0</v>
      </c>
      <c r="O1705">
        <v>13</v>
      </c>
      <c r="P1705">
        <v>6</v>
      </c>
      <c r="Q1705">
        <v>8</v>
      </c>
      <c r="R1705">
        <v>2</v>
      </c>
      <c r="S1705">
        <v>9</v>
      </c>
      <c r="T1705">
        <v>5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3</v>
      </c>
      <c r="AB1705">
        <v>11</v>
      </c>
      <c r="AC1705">
        <v>0</v>
      </c>
      <c r="AD1705" t="str">
        <f t="shared" si="338"/>
        <v>Ok</v>
      </c>
      <c r="AE1705" t="str">
        <f>IF(AND(Audit_Data[[#This Row],[Year_Birth]]&gt;=1900,Audit_Data[[#This Row],[Year_Birth]]&lt;=2010),"OK","Invalid")</f>
        <v>OK</v>
      </c>
      <c r="AF1705" t="str">
        <f t="shared" si="339"/>
        <v>Valid</v>
      </c>
      <c r="AG1705" t="str">
        <f t="shared" si="340"/>
        <v>Valid</v>
      </c>
      <c r="AH1705" t="str">
        <f t="shared" si="341"/>
        <v>Valid</v>
      </c>
      <c r="AI1705" t="str">
        <f t="shared" si="342"/>
        <v>Valid</v>
      </c>
      <c r="AJ1705" t="str">
        <f t="shared" si="343"/>
        <v>Valid</v>
      </c>
      <c r="AK1705" t="str">
        <f t="shared" si="350"/>
        <v xml:space="preserve">Valid </v>
      </c>
      <c r="AL1705" t="str">
        <f>IF(AND(Audit_Data[[#This Row],[Recency]]&gt;=0,Audit_Data[[#This Row],[Recency]]&lt;=100),"Valid","Invalid")</f>
        <v>Valid</v>
      </c>
      <c r="AM1705" t="str">
        <f t="shared" si="344"/>
        <v>Valid</v>
      </c>
      <c r="AN1705" t="str">
        <f t="shared" si="345"/>
        <v>Valid</v>
      </c>
      <c r="AO1705" t="str">
        <f t="shared" si="346"/>
        <v>Valid</v>
      </c>
      <c r="AP1705" t="str">
        <f t="shared" si="347"/>
        <v>Valid</v>
      </c>
      <c r="AQ1705" t="str">
        <f>IF(Audit_Data[[#This Row],[Z_CostContact]]=3,"Valid","Invalid")</f>
        <v>Valid</v>
      </c>
      <c r="AR1705" t="str">
        <f t="shared" si="348"/>
        <v>Valid</v>
      </c>
      <c r="AS1705" t="str">
        <f t="shared" si="349"/>
        <v>Valid</v>
      </c>
    </row>
    <row r="1706" spans="1:45" x14ac:dyDescent="0.3">
      <c r="A1706">
        <v>7349</v>
      </c>
      <c r="B1706">
        <v>1973</v>
      </c>
      <c r="C1706" t="s">
        <v>36</v>
      </c>
      <c r="D1706" t="s">
        <v>31</v>
      </c>
      <c r="E1706">
        <v>9722</v>
      </c>
      <c r="F1706">
        <v>1</v>
      </c>
      <c r="G1706">
        <v>0</v>
      </c>
      <c r="H1706" s="1">
        <v>41184</v>
      </c>
      <c r="I1706">
        <v>7</v>
      </c>
      <c r="J1706">
        <v>6</v>
      </c>
      <c r="K1706">
        <v>17</v>
      </c>
      <c r="L1706">
        <v>16</v>
      </c>
      <c r="M1706">
        <v>6</v>
      </c>
      <c r="N1706">
        <v>16</v>
      </c>
      <c r="O1706">
        <v>42</v>
      </c>
      <c r="P1706">
        <v>4</v>
      </c>
      <c r="Q1706">
        <v>3</v>
      </c>
      <c r="R1706">
        <v>1</v>
      </c>
      <c r="S1706">
        <v>3</v>
      </c>
      <c r="T1706">
        <v>8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3</v>
      </c>
      <c r="AB1706">
        <v>11</v>
      </c>
      <c r="AC1706">
        <v>1</v>
      </c>
      <c r="AD1706" t="str">
        <f t="shared" si="338"/>
        <v>Ok</v>
      </c>
      <c r="AE1706" t="str">
        <f>IF(AND(Audit_Data[[#This Row],[Year_Birth]]&gt;=1900,Audit_Data[[#This Row],[Year_Birth]]&lt;=2010),"OK","Invalid")</f>
        <v>OK</v>
      </c>
      <c r="AF1706" t="str">
        <f t="shared" si="339"/>
        <v>Valid</v>
      </c>
      <c r="AG1706" t="str">
        <f t="shared" si="340"/>
        <v>Valid</v>
      </c>
      <c r="AH1706" t="str">
        <f t="shared" si="341"/>
        <v>Valid</v>
      </c>
      <c r="AI1706" t="str">
        <f t="shared" si="342"/>
        <v>Valid</v>
      </c>
      <c r="AJ1706" t="str">
        <f t="shared" si="343"/>
        <v>Valid</v>
      </c>
      <c r="AK1706" t="str">
        <f t="shared" si="350"/>
        <v xml:space="preserve">Valid </v>
      </c>
      <c r="AL1706" t="str">
        <f>IF(AND(Audit_Data[[#This Row],[Recency]]&gt;=0,Audit_Data[[#This Row],[Recency]]&lt;=100),"Valid","Invalid")</f>
        <v>Valid</v>
      </c>
      <c r="AM1706" t="str">
        <f t="shared" si="344"/>
        <v>Valid</v>
      </c>
      <c r="AN1706" t="str">
        <f t="shared" si="345"/>
        <v>Valid</v>
      </c>
      <c r="AO1706" t="str">
        <f t="shared" si="346"/>
        <v>Valid</v>
      </c>
      <c r="AP1706" t="str">
        <f t="shared" si="347"/>
        <v>Valid</v>
      </c>
      <c r="AQ1706" t="str">
        <f>IF(Audit_Data[[#This Row],[Z_CostContact]]=3,"Valid","Invalid")</f>
        <v>Valid</v>
      </c>
      <c r="AR1706" t="str">
        <f t="shared" si="348"/>
        <v>Valid</v>
      </c>
      <c r="AS1706" t="str">
        <f t="shared" si="349"/>
        <v>Valid</v>
      </c>
    </row>
    <row r="1707" spans="1:45" x14ac:dyDescent="0.3">
      <c r="A1707">
        <v>8799</v>
      </c>
      <c r="B1707">
        <v>1984</v>
      </c>
      <c r="C1707" t="s">
        <v>32</v>
      </c>
      <c r="D1707" t="s">
        <v>33</v>
      </c>
      <c r="E1707">
        <v>38175</v>
      </c>
      <c r="F1707">
        <v>1</v>
      </c>
      <c r="G1707">
        <v>0</v>
      </c>
      <c r="H1707" s="1">
        <v>41540</v>
      </c>
      <c r="I1707">
        <v>6</v>
      </c>
      <c r="J1707">
        <v>70</v>
      </c>
      <c r="K1707">
        <v>6</v>
      </c>
      <c r="L1707">
        <v>69</v>
      </c>
      <c r="M1707">
        <v>2</v>
      </c>
      <c r="N1707">
        <v>3</v>
      </c>
      <c r="O1707">
        <v>3</v>
      </c>
      <c r="P1707">
        <v>3</v>
      </c>
      <c r="Q1707">
        <v>3</v>
      </c>
      <c r="R1707">
        <v>1</v>
      </c>
      <c r="S1707">
        <v>4</v>
      </c>
      <c r="T1707">
        <v>7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3</v>
      </c>
      <c r="AB1707">
        <v>11</v>
      </c>
      <c r="AC1707">
        <v>0</v>
      </c>
      <c r="AD1707" t="str">
        <f t="shared" si="338"/>
        <v>Ok</v>
      </c>
      <c r="AE1707" t="str">
        <f>IF(AND(Audit_Data[[#This Row],[Year_Birth]]&gt;=1900,Audit_Data[[#This Row],[Year_Birth]]&lt;=2010),"OK","Invalid")</f>
        <v>OK</v>
      </c>
      <c r="AF1707" t="str">
        <f t="shared" si="339"/>
        <v>Valid</v>
      </c>
      <c r="AG1707" t="str">
        <f t="shared" si="340"/>
        <v>Valid</v>
      </c>
      <c r="AH1707" t="str">
        <f t="shared" si="341"/>
        <v>Valid</v>
      </c>
      <c r="AI1707" t="str">
        <f t="shared" si="342"/>
        <v>Valid</v>
      </c>
      <c r="AJ1707" t="str">
        <f t="shared" si="343"/>
        <v>Valid</v>
      </c>
      <c r="AK1707" t="str">
        <f t="shared" si="350"/>
        <v xml:space="preserve">Valid </v>
      </c>
      <c r="AL1707" t="str">
        <f>IF(AND(Audit_Data[[#This Row],[Recency]]&gt;=0,Audit_Data[[#This Row],[Recency]]&lt;=100),"Valid","Invalid")</f>
        <v>Valid</v>
      </c>
      <c r="AM1707" t="str">
        <f t="shared" si="344"/>
        <v>Valid</v>
      </c>
      <c r="AN1707" t="str">
        <f t="shared" si="345"/>
        <v>Valid</v>
      </c>
      <c r="AO1707" t="str">
        <f t="shared" si="346"/>
        <v>Valid</v>
      </c>
      <c r="AP1707" t="str">
        <f t="shared" si="347"/>
        <v>Valid</v>
      </c>
      <c r="AQ1707" t="str">
        <f>IF(Audit_Data[[#This Row],[Z_CostContact]]=3,"Valid","Invalid")</f>
        <v>Valid</v>
      </c>
      <c r="AR1707" t="str">
        <f t="shared" si="348"/>
        <v>Valid</v>
      </c>
      <c r="AS1707" t="str">
        <f t="shared" si="349"/>
        <v>Valid</v>
      </c>
    </row>
    <row r="1708" spans="1:45" x14ac:dyDescent="0.3">
      <c r="A1708">
        <v>1351</v>
      </c>
      <c r="B1708">
        <v>1956</v>
      </c>
      <c r="C1708" t="s">
        <v>34</v>
      </c>
      <c r="D1708" t="s">
        <v>31</v>
      </c>
      <c r="E1708">
        <v>58656</v>
      </c>
      <c r="F1708">
        <v>0</v>
      </c>
      <c r="G1708">
        <v>1</v>
      </c>
      <c r="H1708" s="1">
        <v>41172</v>
      </c>
      <c r="I1708">
        <v>25</v>
      </c>
      <c r="J1708">
        <v>962</v>
      </c>
      <c r="K1708">
        <v>12</v>
      </c>
      <c r="L1708">
        <v>194</v>
      </c>
      <c r="M1708">
        <v>16</v>
      </c>
      <c r="N1708">
        <v>24</v>
      </c>
      <c r="O1708">
        <v>12</v>
      </c>
      <c r="P1708">
        <v>4</v>
      </c>
      <c r="Q1708">
        <v>7</v>
      </c>
      <c r="R1708">
        <v>8</v>
      </c>
      <c r="S1708">
        <v>13</v>
      </c>
      <c r="T1708">
        <v>6</v>
      </c>
      <c r="U1708">
        <v>0</v>
      </c>
      <c r="V1708">
        <v>0</v>
      </c>
      <c r="W1708">
        <v>1</v>
      </c>
      <c r="X1708">
        <v>0</v>
      </c>
      <c r="Y1708">
        <v>0</v>
      </c>
      <c r="Z1708">
        <v>0</v>
      </c>
      <c r="AA1708">
        <v>3</v>
      </c>
      <c r="AB1708">
        <v>11</v>
      </c>
      <c r="AC1708">
        <v>0</v>
      </c>
      <c r="AD1708" t="str">
        <f t="shared" si="338"/>
        <v>Ok</v>
      </c>
      <c r="AE1708" t="str">
        <f>IF(AND(Audit_Data[[#This Row],[Year_Birth]]&gt;=1900,Audit_Data[[#This Row],[Year_Birth]]&lt;=2010),"OK","Invalid")</f>
        <v>OK</v>
      </c>
      <c r="AF1708" t="str">
        <f t="shared" si="339"/>
        <v>Valid</v>
      </c>
      <c r="AG1708" t="str">
        <f t="shared" si="340"/>
        <v>Valid</v>
      </c>
      <c r="AH1708" t="str">
        <f t="shared" si="341"/>
        <v>Valid</v>
      </c>
      <c r="AI1708" t="str">
        <f t="shared" si="342"/>
        <v>Valid</v>
      </c>
      <c r="AJ1708" t="str">
        <f t="shared" si="343"/>
        <v>Valid</v>
      </c>
      <c r="AK1708" t="str">
        <f t="shared" si="350"/>
        <v xml:space="preserve">Valid </v>
      </c>
      <c r="AL1708" t="str">
        <f>IF(AND(Audit_Data[[#This Row],[Recency]]&gt;=0,Audit_Data[[#This Row],[Recency]]&lt;=100),"Valid","Invalid")</f>
        <v>Valid</v>
      </c>
      <c r="AM1708" t="str">
        <f t="shared" si="344"/>
        <v>Valid</v>
      </c>
      <c r="AN1708" t="str">
        <f t="shared" si="345"/>
        <v>Valid</v>
      </c>
      <c r="AO1708" t="str">
        <f t="shared" si="346"/>
        <v>Valid</v>
      </c>
      <c r="AP1708" t="str">
        <f t="shared" si="347"/>
        <v>Valid</v>
      </c>
      <c r="AQ1708" t="str">
        <f>IF(Audit_Data[[#This Row],[Z_CostContact]]=3,"Valid","Invalid")</f>
        <v>Valid</v>
      </c>
      <c r="AR1708" t="str">
        <f t="shared" si="348"/>
        <v>Valid</v>
      </c>
      <c r="AS1708" t="str">
        <f t="shared" si="349"/>
        <v>Valid</v>
      </c>
    </row>
    <row r="1709" spans="1:45" x14ac:dyDescent="0.3">
      <c r="A1709">
        <v>1045</v>
      </c>
      <c r="B1709">
        <v>1965</v>
      </c>
      <c r="C1709" t="s">
        <v>29</v>
      </c>
      <c r="D1709" t="s">
        <v>31</v>
      </c>
      <c r="E1709">
        <v>52117</v>
      </c>
      <c r="F1709">
        <v>0</v>
      </c>
      <c r="G1709">
        <v>1</v>
      </c>
      <c r="H1709" s="1">
        <v>41137</v>
      </c>
      <c r="I1709">
        <v>55</v>
      </c>
      <c r="J1709">
        <v>112</v>
      </c>
      <c r="K1709">
        <v>10</v>
      </c>
      <c r="L1709">
        <v>107</v>
      </c>
      <c r="M1709">
        <v>30</v>
      </c>
      <c r="N1709">
        <v>0</v>
      </c>
      <c r="O1709">
        <v>20</v>
      </c>
      <c r="P1709">
        <v>2</v>
      </c>
      <c r="Q1709">
        <v>5</v>
      </c>
      <c r="R1709">
        <v>2</v>
      </c>
      <c r="S1709">
        <v>4</v>
      </c>
      <c r="T1709">
        <v>7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3</v>
      </c>
      <c r="AB1709">
        <v>11</v>
      </c>
      <c r="AC1709">
        <v>0</v>
      </c>
      <c r="AD1709" t="str">
        <f t="shared" si="338"/>
        <v>Ok</v>
      </c>
      <c r="AE1709" t="str">
        <f>IF(AND(Audit_Data[[#This Row],[Year_Birth]]&gt;=1900,Audit_Data[[#This Row],[Year_Birth]]&lt;=2010),"OK","Invalid")</f>
        <v>OK</v>
      </c>
      <c r="AF1709" t="str">
        <f t="shared" si="339"/>
        <v>Valid</v>
      </c>
      <c r="AG1709" t="str">
        <f t="shared" si="340"/>
        <v>Valid</v>
      </c>
      <c r="AH1709" t="str">
        <f t="shared" si="341"/>
        <v>Valid</v>
      </c>
      <c r="AI1709" t="str">
        <f t="shared" si="342"/>
        <v>Valid</v>
      </c>
      <c r="AJ1709" t="str">
        <f t="shared" si="343"/>
        <v>Valid</v>
      </c>
      <c r="AK1709" t="str">
        <f t="shared" si="350"/>
        <v xml:space="preserve">Valid </v>
      </c>
      <c r="AL1709" t="str">
        <f>IF(AND(Audit_Data[[#This Row],[Recency]]&gt;=0,Audit_Data[[#This Row],[Recency]]&lt;=100),"Valid","Invalid")</f>
        <v>Valid</v>
      </c>
      <c r="AM1709" t="str">
        <f t="shared" si="344"/>
        <v>Valid</v>
      </c>
      <c r="AN1709" t="str">
        <f t="shared" si="345"/>
        <v>Valid</v>
      </c>
      <c r="AO1709" t="str">
        <f t="shared" si="346"/>
        <v>Valid</v>
      </c>
      <c r="AP1709" t="str">
        <f t="shared" si="347"/>
        <v>Valid</v>
      </c>
      <c r="AQ1709" t="str">
        <f>IF(Audit_Data[[#This Row],[Z_CostContact]]=3,"Valid","Invalid")</f>
        <v>Valid</v>
      </c>
      <c r="AR1709" t="str">
        <f t="shared" si="348"/>
        <v>Valid</v>
      </c>
      <c r="AS1709" t="str">
        <f t="shared" si="349"/>
        <v>Valid</v>
      </c>
    </row>
    <row r="1710" spans="1:45" x14ac:dyDescent="0.3">
      <c r="A1710">
        <v>7732</v>
      </c>
      <c r="B1710">
        <v>1978</v>
      </c>
      <c r="C1710" t="s">
        <v>29</v>
      </c>
      <c r="D1710" t="s">
        <v>33</v>
      </c>
      <c r="E1710">
        <v>64813</v>
      </c>
      <c r="F1710">
        <v>1</v>
      </c>
      <c r="G1710">
        <v>0</v>
      </c>
      <c r="H1710" s="1">
        <v>41641</v>
      </c>
      <c r="I1710">
        <v>81</v>
      </c>
      <c r="J1710">
        <v>293</v>
      </c>
      <c r="K1710">
        <v>0</v>
      </c>
      <c r="L1710">
        <v>124</v>
      </c>
      <c r="M1710">
        <v>179</v>
      </c>
      <c r="N1710">
        <v>97</v>
      </c>
      <c r="O1710">
        <v>52</v>
      </c>
      <c r="P1710">
        <v>1</v>
      </c>
      <c r="Q1710">
        <v>7</v>
      </c>
      <c r="R1710">
        <v>2</v>
      </c>
      <c r="S1710">
        <v>10</v>
      </c>
      <c r="T1710">
        <v>5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3</v>
      </c>
      <c r="AB1710">
        <v>11</v>
      </c>
      <c r="AC1710">
        <v>0</v>
      </c>
      <c r="AD1710" t="str">
        <f t="shared" si="338"/>
        <v>Ok</v>
      </c>
      <c r="AE1710" t="str">
        <f>IF(AND(Audit_Data[[#This Row],[Year_Birth]]&gt;=1900,Audit_Data[[#This Row],[Year_Birth]]&lt;=2010),"OK","Invalid")</f>
        <v>OK</v>
      </c>
      <c r="AF1710" t="str">
        <f t="shared" si="339"/>
        <v>Valid</v>
      </c>
      <c r="AG1710" t="str">
        <f t="shared" si="340"/>
        <v>Valid</v>
      </c>
      <c r="AH1710" t="str">
        <f t="shared" si="341"/>
        <v>Valid</v>
      </c>
      <c r="AI1710" t="str">
        <f t="shared" si="342"/>
        <v>Valid</v>
      </c>
      <c r="AJ1710" t="str">
        <f t="shared" si="343"/>
        <v>Valid</v>
      </c>
      <c r="AK1710" t="str">
        <f t="shared" si="350"/>
        <v xml:space="preserve">Valid </v>
      </c>
      <c r="AL1710" t="str">
        <f>IF(AND(Audit_Data[[#This Row],[Recency]]&gt;=0,Audit_Data[[#This Row],[Recency]]&lt;=100),"Valid","Invalid")</f>
        <v>Valid</v>
      </c>
      <c r="AM1710" t="str">
        <f t="shared" si="344"/>
        <v>Valid</v>
      </c>
      <c r="AN1710" t="str">
        <f t="shared" si="345"/>
        <v>Valid</v>
      </c>
      <c r="AO1710" t="str">
        <f t="shared" si="346"/>
        <v>Valid</v>
      </c>
      <c r="AP1710" t="str">
        <f t="shared" si="347"/>
        <v>Valid</v>
      </c>
      <c r="AQ1710" t="str">
        <f>IF(Audit_Data[[#This Row],[Z_CostContact]]=3,"Valid","Invalid")</f>
        <v>Valid</v>
      </c>
      <c r="AR1710" t="str">
        <f t="shared" si="348"/>
        <v>Valid</v>
      </c>
      <c r="AS1710" t="str">
        <f t="shared" si="349"/>
        <v>Valid</v>
      </c>
    </row>
    <row r="1711" spans="1:45" x14ac:dyDescent="0.3">
      <c r="A1711">
        <v>8070</v>
      </c>
      <c r="B1711">
        <v>1973</v>
      </c>
      <c r="C1711" t="s">
        <v>32</v>
      </c>
      <c r="D1711" t="s">
        <v>33</v>
      </c>
      <c r="E1711">
        <v>54222</v>
      </c>
      <c r="F1711">
        <v>0</v>
      </c>
      <c r="G1711">
        <v>1</v>
      </c>
      <c r="H1711" s="1">
        <v>41699</v>
      </c>
      <c r="I1711">
        <v>98</v>
      </c>
      <c r="J1711">
        <v>199</v>
      </c>
      <c r="K1711">
        <v>12</v>
      </c>
      <c r="L1711">
        <v>31</v>
      </c>
      <c r="M1711">
        <v>3</v>
      </c>
      <c r="N1711">
        <v>12</v>
      </c>
      <c r="O1711">
        <v>7</v>
      </c>
      <c r="P1711">
        <v>1</v>
      </c>
      <c r="Q1711">
        <v>3</v>
      </c>
      <c r="R1711">
        <v>3</v>
      </c>
      <c r="S1711">
        <v>5</v>
      </c>
      <c r="T1711">
        <v>3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3</v>
      </c>
      <c r="AB1711">
        <v>11</v>
      </c>
      <c r="AC1711">
        <v>0</v>
      </c>
      <c r="AD1711" t="str">
        <f t="shared" si="338"/>
        <v>Ok</v>
      </c>
      <c r="AE1711" t="str">
        <f>IF(AND(Audit_Data[[#This Row],[Year_Birth]]&gt;=1900,Audit_Data[[#This Row],[Year_Birth]]&lt;=2010),"OK","Invalid")</f>
        <v>OK</v>
      </c>
      <c r="AF1711" t="str">
        <f t="shared" si="339"/>
        <v>Valid</v>
      </c>
      <c r="AG1711" t="str">
        <f t="shared" si="340"/>
        <v>Valid</v>
      </c>
      <c r="AH1711" t="str">
        <f t="shared" si="341"/>
        <v>Valid</v>
      </c>
      <c r="AI1711" t="str">
        <f t="shared" si="342"/>
        <v>Valid</v>
      </c>
      <c r="AJ1711" t="str">
        <f t="shared" si="343"/>
        <v>Valid</v>
      </c>
      <c r="AK1711" t="str">
        <f t="shared" si="350"/>
        <v xml:space="preserve">Valid </v>
      </c>
      <c r="AL1711" t="str">
        <f>IF(AND(Audit_Data[[#This Row],[Recency]]&gt;=0,Audit_Data[[#This Row],[Recency]]&lt;=100),"Valid","Invalid")</f>
        <v>Valid</v>
      </c>
      <c r="AM1711" t="str">
        <f t="shared" si="344"/>
        <v>Valid</v>
      </c>
      <c r="AN1711" t="str">
        <f t="shared" si="345"/>
        <v>Valid</v>
      </c>
      <c r="AO1711" t="str">
        <f t="shared" si="346"/>
        <v>Valid</v>
      </c>
      <c r="AP1711" t="str">
        <f t="shared" si="347"/>
        <v>Valid</v>
      </c>
      <c r="AQ1711" t="str">
        <f>IF(Audit_Data[[#This Row],[Z_CostContact]]=3,"Valid","Invalid")</f>
        <v>Valid</v>
      </c>
      <c r="AR1711" t="str">
        <f t="shared" si="348"/>
        <v>Valid</v>
      </c>
      <c r="AS1711" t="str">
        <f t="shared" si="349"/>
        <v>Valid</v>
      </c>
    </row>
    <row r="1712" spans="1:45" x14ac:dyDescent="0.3">
      <c r="A1712">
        <v>477</v>
      </c>
      <c r="B1712">
        <v>1986</v>
      </c>
      <c r="C1712" t="s">
        <v>29</v>
      </c>
      <c r="D1712" t="s">
        <v>33</v>
      </c>
      <c r="E1712">
        <v>83512</v>
      </c>
      <c r="F1712">
        <v>0</v>
      </c>
      <c r="G1712">
        <v>0</v>
      </c>
      <c r="H1712" s="1">
        <v>41807</v>
      </c>
      <c r="I1712">
        <v>31</v>
      </c>
      <c r="J1712">
        <v>1060</v>
      </c>
      <c r="K1712">
        <v>61</v>
      </c>
      <c r="L1712">
        <v>835</v>
      </c>
      <c r="M1712">
        <v>80</v>
      </c>
      <c r="N1712">
        <v>20</v>
      </c>
      <c r="O1712">
        <v>101</v>
      </c>
      <c r="P1712">
        <v>1</v>
      </c>
      <c r="Q1712">
        <v>4</v>
      </c>
      <c r="R1712">
        <v>7</v>
      </c>
      <c r="S1712">
        <v>10</v>
      </c>
      <c r="T1712">
        <v>1</v>
      </c>
      <c r="U1712">
        <v>1</v>
      </c>
      <c r="V1712">
        <v>0</v>
      </c>
      <c r="W1712">
        <v>1</v>
      </c>
      <c r="X1712">
        <v>1</v>
      </c>
      <c r="Y1712">
        <v>1</v>
      </c>
      <c r="Z1712">
        <v>0</v>
      </c>
      <c r="AA1712">
        <v>3</v>
      </c>
      <c r="AB1712">
        <v>11</v>
      </c>
      <c r="AC1712">
        <v>1</v>
      </c>
      <c r="AD1712" t="str">
        <f t="shared" si="338"/>
        <v>Ok</v>
      </c>
      <c r="AE1712" t="str">
        <f>IF(AND(Audit_Data[[#This Row],[Year_Birth]]&gt;=1900,Audit_Data[[#This Row],[Year_Birth]]&lt;=2010),"OK","Invalid")</f>
        <v>OK</v>
      </c>
      <c r="AF1712" t="str">
        <f t="shared" si="339"/>
        <v>Valid</v>
      </c>
      <c r="AG1712" t="str">
        <f t="shared" si="340"/>
        <v>Valid</v>
      </c>
      <c r="AH1712" t="str">
        <f t="shared" si="341"/>
        <v>Valid</v>
      </c>
      <c r="AI1712" t="str">
        <f t="shared" si="342"/>
        <v>Valid</v>
      </c>
      <c r="AJ1712" t="str">
        <f t="shared" si="343"/>
        <v>Valid</v>
      </c>
      <c r="AK1712" t="str">
        <f t="shared" si="350"/>
        <v xml:space="preserve">Valid </v>
      </c>
      <c r="AL1712" t="str">
        <f>IF(AND(Audit_Data[[#This Row],[Recency]]&gt;=0,Audit_Data[[#This Row],[Recency]]&lt;=100),"Valid","Invalid")</f>
        <v>Valid</v>
      </c>
      <c r="AM1712" t="str">
        <f t="shared" si="344"/>
        <v>Valid</v>
      </c>
      <c r="AN1712" t="str">
        <f t="shared" si="345"/>
        <v>Valid</v>
      </c>
      <c r="AO1712" t="str">
        <f t="shared" si="346"/>
        <v>Valid</v>
      </c>
      <c r="AP1712" t="str">
        <f t="shared" si="347"/>
        <v>Valid</v>
      </c>
      <c r="AQ1712" t="str">
        <f>IF(Audit_Data[[#This Row],[Z_CostContact]]=3,"Valid","Invalid")</f>
        <v>Valid</v>
      </c>
      <c r="AR1712" t="str">
        <f t="shared" si="348"/>
        <v>Valid</v>
      </c>
      <c r="AS1712" t="str">
        <f t="shared" si="349"/>
        <v>Valid</v>
      </c>
    </row>
    <row r="1713" spans="1:45" x14ac:dyDescent="0.3">
      <c r="A1713">
        <v>7832</v>
      </c>
      <c r="B1713">
        <v>1959</v>
      </c>
      <c r="C1713" t="s">
        <v>34</v>
      </c>
      <c r="D1713" t="s">
        <v>33</v>
      </c>
      <c r="E1713">
        <v>77520</v>
      </c>
      <c r="F1713">
        <v>0</v>
      </c>
      <c r="G1713">
        <v>1</v>
      </c>
      <c r="H1713" s="1">
        <v>41514</v>
      </c>
      <c r="I1713">
        <v>30</v>
      </c>
      <c r="J1713">
        <v>940</v>
      </c>
      <c r="K1713">
        <v>44</v>
      </c>
      <c r="L1713">
        <v>396</v>
      </c>
      <c r="M1713">
        <v>0</v>
      </c>
      <c r="N1713">
        <v>88</v>
      </c>
      <c r="O1713">
        <v>58</v>
      </c>
      <c r="P1713">
        <v>1</v>
      </c>
      <c r="Q1713">
        <v>8</v>
      </c>
      <c r="R1713">
        <v>7</v>
      </c>
      <c r="S1713">
        <v>7</v>
      </c>
      <c r="T1713">
        <v>4</v>
      </c>
      <c r="U1713">
        <v>1</v>
      </c>
      <c r="V1713">
        <v>0</v>
      </c>
      <c r="W1713">
        <v>1</v>
      </c>
      <c r="X1713">
        <v>1</v>
      </c>
      <c r="Y1713">
        <v>0</v>
      </c>
      <c r="Z1713">
        <v>0</v>
      </c>
      <c r="AA1713">
        <v>3</v>
      </c>
      <c r="AB1713">
        <v>11</v>
      </c>
      <c r="AC1713">
        <v>1</v>
      </c>
      <c r="AD1713" t="str">
        <f t="shared" si="338"/>
        <v>Ok</v>
      </c>
      <c r="AE1713" t="str">
        <f>IF(AND(Audit_Data[[#This Row],[Year_Birth]]&gt;=1900,Audit_Data[[#This Row],[Year_Birth]]&lt;=2010),"OK","Invalid")</f>
        <v>OK</v>
      </c>
      <c r="AF1713" t="str">
        <f t="shared" si="339"/>
        <v>Valid</v>
      </c>
      <c r="AG1713" t="str">
        <f t="shared" si="340"/>
        <v>Valid</v>
      </c>
      <c r="AH1713" t="str">
        <f t="shared" si="341"/>
        <v>Valid</v>
      </c>
      <c r="AI1713" t="str">
        <f t="shared" si="342"/>
        <v>Valid</v>
      </c>
      <c r="AJ1713" t="str">
        <f t="shared" si="343"/>
        <v>Valid</v>
      </c>
      <c r="AK1713" t="str">
        <f t="shared" si="350"/>
        <v xml:space="preserve">Valid </v>
      </c>
      <c r="AL1713" t="str">
        <f>IF(AND(Audit_Data[[#This Row],[Recency]]&gt;=0,Audit_Data[[#This Row],[Recency]]&lt;=100),"Valid","Invalid")</f>
        <v>Valid</v>
      </c>
      <c r="AM1713" t="str">
        <f t="shared" si="344"/>
        <v>Valid</v>
      </c>
      <c r="AN1713" t="str">
        <f t="shared" si="345"/>
        <v>Valid</v>
      </c>
      <c r="AO1713" t="str">
        <f t="shared" si="346"/>
        <v>Valid</v>
      </c>
      <c r="AP1713" t="str">
        <f t="shared" si="347"/>
        <v>Valid</v>
      </c>
      <c r="AQ1713" t="str">
        <f>IF(Audit_Data[[#This Row],[Z_CostContact]]=3,"Valid","Invalid")</f>
        <v>Valid</v>
      </c>
      <c r="AR1713" t="str">
        <f t="shared" si="348"/>
        <v>Valid</v>
      </c>
      <c r="AS1713" t="str">
        <f t="shared" si="349"/>
        <v>Valid</v>
      </c>
    </row>
    <row r="1714" spans="1:45" x14ac:dyDescent="0.3">
      <c r="A1714">
        <v>2202</v>
      </c>
      <c r="B1714">
        <v>1978</v>
      </c>
      <c r="C1714" t="s">
        <v>29</v>
      </c>
      <c r="D1714" t="s">
        <v>31</v>
      </c>
      <c r="E1714">
        <v>41154</v>
      </c>
      <c r="F1714">
        <v>0</v>
      </c>
      <c r="G1714">
        <v>1</v>
      </c>
      <c r="H1714" s="1">
        <v>41373</v>
      </c>
      <c r="I1714">
        <v>98</v>
      </c>
      <c r="J1714">
        <v>44</v>
      </c>
      <c r="K1714">
        <v>2</v>
      </c>
      <c r="L1714">
        <v>11</v>
      </c>
      <c r="M1714">
        <v>2</v>
      </c>
      <c r="N1714">
        <v>3</v>
      </c>
      <c r="O1714">
        <v>7</v>
      </c>
      <c r="P1714">
        <v>1</v>
      </c>
      <c r="Q1714">
        <v>1</v>
      </c>
      <c r="R1714">
        <v>0</v>
      </c>
      <c r="S1714">
        <v>4</v>
      </c>
      <c r="T1714">
        <v>5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3</v>
      </c>
      <c r="AB1714">
        <v>11</v>
      </c>
      <c r="AC1714">
        <v>0</v>
      </c>
      <c r="AD1714" t="str">
        <f t="shared" si="338"/>
        <v>Ok</v>
      </c>
      <c r="AE1714" t="str">
        <f>IF(AND(Audit_Data[[#This Row],[Year_Birth]]&gt;=1900,Audit_Data[[#This Row],[Year_Birth]]&lt;=2010),"OK","Invalid")</f>
        <v>OK</v>
      </c>
      <c r="AF1714" t="str">
        <f t="shared" si="339"/>
        <v>Valid</v>
      </c>
      <c r="AG1714" t="str">
        <f t="shared" si="340"/>
        <v>Valid</v>
      </c>
      <c r="AH1714" t="str">
        <f t="shared" si="341"/>
        <v>Valid</v>
      </c>
      <c r="AI1714" t="str">
        <f t="shared" si="342"/>
        <v>Valid</v>
      </c>
      <c r="AJ1714" t="str">
        <f t="shared" si="343"/>
        <v>Valid</v>
      </c>
      <c r="AK1714" t="str">
        <f t="shared" si="350"/>
        <v xml:space="preserve">Valid </v>
      </c>
      <c r="AL1714" t="str">
        <f>IF(AND(Audit_Data[[#This Row],[Recency]]&gt;=0,Audit_Data[[#This Row],[Recency]]&lt;=100),"Valid","Invalid")</f>
        <v>Valid</v>
      </c>
      <c r="AM1714" t="str">
        <f t="shared" si="344"/>
        <v>Valid</v>
      </c>
      <c r="AN1714" t="str">
        <f t="shared" si="345"/>
        <v>Valid</v>
      </c>
      <c r="AO1714" t="str">
        <f t="shared" si="346"/>
        <v>Valid</v>
      </c>
      <c r="AP1714" t="str">
        <f t="shared" si="347"/>
        <v>Valid</v>
      </c>
      <c r="AQ1714" t="str">
        <f>IF(Audit_Data[[#This Row],[Z_CostContact]]=3,"Valid","Invalid")</f>
        <v>Valid</v>
      </c>
      <c r="AR1714" t="str">
        <f t="shared" si="348"/>
        <v>Valid</v>
      </c>
      <c r="AS1714" t="str">
        <f t="shared" si="349"/>
        <v>Valid</v>
      </c>
    </row>
    <row r="1715" spans="1:45" x14ac:dyDescent="0.3">
      <c r="A1715">
        <v>7396</v>
      </c>
      <c r="B1715">
        <v>1966</v>
      </c>
      <c r="C1715" t="s">
        <v>29</v>
      </c>
      <c r="D1715" t="s">
        <v>33</v>
      </c>
      <c r="E1715">
        <v>80398</v>
      </c>
      <c r="F1715">
        <v>0</v>
      </c>
      <c r="G1715">
        <v>0</v>
      </c>
      <c r="H1715" s="1">
        <v>41223</v>
      </c>
      <c r="I1715">
        <v>92</v>
      </c>
      <c r="J1715">
        <v>342</v>
      </c>
      <c r="K1715">
        <v>51</v>
      </c>
      <c r="L1715">
        <v>936</v>
      </c>
      <c r="M1715">
        <v>207</v>
      </c>
      <c r="N1715">
        <v>35</v>
      </c>
      <c r="O1715">
        <v>26</v>
      </c>
      <c r="P1715">
        <v>1</v>
      </c>
      <c r="Q1715">
        <v>5</v>
      </c>
      <c r="R1715">
        <v>8</v>
      </c>
      <c r="S1715">
        <v>12</v>
      </c>
      <c r="T1715">
        <v>3</v>
      </c>
      <c r="U1715">
        <v>0</v>
      </c>
      <c r="V1715">
        <v>0</v>
      </c>
      <c r="W1715">
        <v>1</v>
      </c>
      <c r="X1715">
        <v>0</v>
      </c>
      <c r="Y1715">
        <v>0</v>
      </c>
      <c r="Z1715">
        <v>0</v>
      </c>
      <c r="AA1715">
        <v>3</v>
      </c>
      <c r="AB1715">
        <v>11</v>
      </c>
      <c r="AC1715">
        <v>0</v>
      </c>
      <c r="AD1715" t="str">
        <f t="shared" si="338"/>
        <v>Ok</v>
      </c>
      <c r="AE1715" t="str">
        <f>IF(AND(Audit_Data[[#This Row],[Year_Birth]]&gt;=1900,Audit_Data[[#This Row],[Year_Birth]]&lt;=2010),"OK","Invalid")</f>
        <v>OK</v>
      </c>
      <c r="AF1715" t="str">
        <f t="shared" si="339"/>
        <v>Valid</v>
      </c>
      <c r="AG1715" t="str">
        <f t="shared" si="340"/>
        <v>Valid</v>
      </c>
      <c r="AH1715" t="str">
        <f t="shared" si="341"/>
        <v>Valid</v>
      </c>
      <c r="AI1715" t="str">
        <f t="shared" si="342"/>
        <v>Valid</v>
      </c>
      <c r="AJ1715" t="str">
        <f t="shared" si="343"/>
        <v>Valid</v>
      </c>
      <c r="AK1715" t="str">
        <f t="shared" si="350"/>
        <v xml:space="preserve">Valid </v>
      </c>
      <c r="AL1715" t="str">
        <f>IF(AND(Audit_Data[[#This Row],[Recency]]&gt;=0,Audit_Data[[#This Row],[Recency]]&lt;=100),"Valid","Invalid")</f>
        <v>Valid</v>
      </c>
      <c r="AM1715" t="str">
        <f t="shared" si="344"/>
        <v>Valid</v>
      </c>
      <c r="AN1715" t="str">
        <f t="shared" si="345"/>
        <v>Valid</v>
      </c>
      <c r="AO1715" t="str">
        <f t="shared" si="346"/>
        <v>Valid</v>
      </c>
      <c r="AP1715" t="str">
        <f t="shared" si="347"/>
        <v>Valid</v>
      </c>
      <c r="AQ1715" t="str">
        <f>IF(Audit_Data[[#This Row],[Z_CostContact]]=3,"Valid","Invalid")</f>
        <v>Valid</v>
      </c>
      <c r="AR1715" t="str">
        <f t="shared" si="348"/>
        <v>Valid</v>
      </c>
      <c r="AS1715" t="str">
        <f t="shared" si="349"/>
        <v>Valid</v>
      </c>
    </row>
    <row r="1716" spans="1:45" x14ac:dyDescent="0.3">
      <c r="A1716">
        <v>4055</v>
      </c>
      <c r="B1716">
        <v>1992</v>
      </c>
      <c r="C1716" t="s">
        <v>36</v>
      </c>
      <c r="D1716" t="s">
        <v>30</v>
      </c>
      <c r="E1716">
        <v>18746</v>
      </c>
      <c r="F1716">
        <v>1</v>
      </c>
      <c r="G1716">
        <v>0</v>
      </c>
      <c r="H1716" s="1">
        <v>41788</v>
      </c>
      <c r="I1716">
        <v>41</v>
      </c>
      <c r="J1716">
        <v>2</v>
      </c>
      <c r="K1716">
        <v>10</v>
      </c>
      <c r="L1716">
        <v>11</v>
      </c>
      <c r="M1716">
        <v>12</v>
      </c>
      <c r="N1716">
        <v>9</v>
      </c>
      <c r="O1716">
        <v>20</v>
      </c>
      <c r="P1716">
        <v>2</v>
      </c>
      <c r="Q1716">
        <v>3</v>
      </c>
      <c r="R1716">
        <v>0</v>
      </c>
      <c r="S1716">
        <v>3</v>
      </c>
      <c r="T1716">
        <v>6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3</v>
      </c>
      <c r="AB1716">
        <v>11</v>
      </c>
      <c r="AC1716">
        <v>0</v>
      </c>
      <c r="AD1716" t="str">
        <f t="shared" si="338"/>
        <v>Ok</v>
      </c>
      <c r="AE1716" t="str">
        <f>IF(AND(Audit_Data[[#This Row],[Year_Birth]]&gt;=1900,Audit_Data[[#This Row],[Year_Birth]]&lt;=2010),"OK","Invalid")</f>
        <v>OK</v>
      </c>
      <c r="AF1716" t="str">
        <f t="shared" si="339"/>
        <v>Valid</v>
      </c>
      <c r="AG1716" t="str">
        <f t="shared" si="340"/>
        <v>Valid</v>
      </c>
      <c r="AH1716" t="str">
        <f t="shared" si="341"/>
        <v>Valid</v>
      </c>
      <c r="AI1716" t="str">
        <f t="shared" si="342"/>
        <v>Valid</v>
      </c>
      <c r="AJ1716" t="str">
        <f t="shared" si="343"/>
        <v>Valid</v>
      </c>
      <c r="AK1716" t="str">
        <f t="shared" si="350"/>
        <v xml:space="preserve">Valid </v>
      </c>
      <c r="AL1716" t="str">
        <f>IF(AND(Audit_Data[[#This Row],[Recency]]&gt;=0,Audit_Data[[#This Row],[Recency]]&lt;=100),"Valid","Invalid")</f>
        <v>Valid</v>
      </c>
      <c r="AM1716" t="str">
        <f t="shared" si="344"/>
        <v>Valid</v>
      </c>
      <c r="AN1716" t="str">
        <f t="shared" si="345"/>
        <v>Valid</v>
      </c>
      <c r="AO1716" t="str">
        <f t="shared" si="346"/>
        <v>Valid</v>
      </c>
      <c r="AP1716" t="str">
        <f t="shared" si="347"/>
        <v>Valid</v>
      </c>
      <c r="AQ1716" t="str">
        <f>IF(Audit_Data[[#This Row],[Z_CostContact]]=3,"Valid","Invalid")</f>
        <v>Valid</v>
      </c>
      <c r="AR1716" t="str">
        <f t="shared" si="348"/>
        <v>Valid</v>
      </c>
      <c r="AS1716" t="str">
        <f t="shared" si="349"/>
        <v>Valid</v>
      </c>
    </row>
    <row r="1717" spans="1:45" x14ac:dyDescent="0.3">
      <c r="A1717">
        <v>10340</v>
      </c>
      <c r="B1717">
        <v>1984</v>
      </c>
      <c r="C1717" t="s">
        <v>29</v>
      </c>
      <c r="D1717" t="s">
        <v>31</v>
      </c>
      <c r="E1717">
        <v>35196</v>
      </c>
      <c r="F1717">
        <v>1</v>
      </c>
      <c r="G1717">
        <v>0</v>
      </c>
      <c r="H1717" s="1">
        <v>41226</v>
      </c>
      <c r="I1717">
        <v>68</v>
      </c>
      <c r="J1717">
        <v>75</v>
      </c>
      <c r="K1717">
        <v>12</v>
      </c>
      <c r="L1717">
        <v>141</v>
      </c>
      <c r="M1717">
        <v>43</v>
      </c>
      <c r="N1717">
        <v>39</v>
      </c>
      <c r="O1717">
        <v>187</v>
      </c>
      <c r="P1717">
        <v>6</v>
      </c>
      <c r="Q1717">
        <v>6</v>
      </c>
      <c r="R1717">
        <v>1</v>
      </c>
      <c r="S1717">
        <v>5</v>
      </c>
      <c r="T1717">
        <v>8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3</v>
      </c>
      <c r="AB1717">
        <v>11</v>
      </c>
      <c r="AC1717">
        <v>0</v>
      </c>
      <c r="AD1717" t="str">
        <f t="shared" si="338"/>
        <v>Ok</v>
      </c>
      <c r="AE1717" t="str">
        <f>IF(AND(Audit_Data[[#This Row],[Year_Birth]]&gt;=1900,Audit_Data[[#This Row],[Year_Birth]]&lt;=2010),"OK","Invalid")</f>
        <v>OK</v>
      </c>
      <c r="AF1717" t="str">
        <f t="shared" si="339"/>
        <v>Valid</v>
      </c>
      <c r="AG1717" t="str">
        <f t="shared" si="340"/>
        <v>Valid</v>
      </c>
      <c r="AH1717" t="str">
        <f t="shared" si="341"/>
        <v>Valid</v>
      </c>
      <c r="AI1717" t="str">
        <f t="shared" si="342"/>
        <v>Valid</v>
      </c>
      <c r="AJ1717" t="str">
        <f t="shared" si="343"/>
        <v>Valid</v>
      </c>
      <c r="AK1717" t="str">
        <f t="shared" si="350"/>
        <v xml:space="preserve">Valid </v>
      </c>
      <c r="AL1717" t="str">
        <f>IF(AND(Audit_Data[[#This Row],[Recency]]&gt;=0,Audit_Data[[#This Row],[Recency]]&lt;=100),"Valid","Invalid")</f>
        <v>Valid</v>
      </c>
      <c r="AM1717" t="str">
        <f t="shared" si="344"/>
        <v>Valid</v>
      </c>
      <c r="AN1717" t="str">
        <f t="shared" si="345"/>
        <v>Valid</v>
      </c>
      <c r="AO1717" t="str">
        <f t="shared" si="346"/>
        <v>Valid</v>
      </c>
      <c r="AP1717" t="str">
        <f t="shared" si="347"/>
        <v>Valid</v>
      </c>
      <c r="AQ1717" t="str">
        <f>IF(Audit_Data[[#This Row],[Z_CostContact]]=3,"Valid","Invalid")</f>
        <v>Valid</v>
      </c>
      <c r="AR1717" t="str">
        <f t="shared" si="348"/>
        <v>Valid</v>
      </c>
      <c r="AS1717" t="str">
        <f t="shared" si="349"/>
        <v>Valid</v>
      </c>
    </row>
    <row r="1718" spans="1:45" x14ac:dyDescent="0.3">
      <c r="A1718">
        <v>10091</v>
      </c>
      <c r="B1718">
        <v>1956</v>
      </c>
      <c r="C1718" t="s">
        <v>29</v>
      </c>
      <c r="D1718" t="s">
        <v>30</v>
      </c>
      <c r="E1718">
        <v>60230</v>
      </c>
      <c r="F1718">
        <v>0</v>
      </c>
      <c r="G1718">
        <v>1</v>
      </c>
      <c r="H1718" s="1">
        <v>41414</v>
      </c>
      <c r="I1718">
        <v>78</v>
      </c>
      <c r="J1718">
        <v>520</v>
      </c>
      <c r="K1718">
        <v>20</v>
      </c>
      <c r="L1718">
        <v>367</v>
      </c>
      <c r="M1718">
        <v>39</v>
      </c>
      <c r="N1718">
        <v>81</v>
      </c>
      <c r="O1718">
        <v>40</v>
      </c>
      <c r="P1718">
        <v>2</v>
      </c>
      <c r="Q1718">
        <v>6</v>
      </c>
      <c r="R1718">
        <v>3</v>
      </c>
      <c r="S1718">
        <v>6</v>
      </c>
      <c r="T1718">
        <v>5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3</v>
      </c>
      <c r="AB1718">
        <v>11</v>
      </c>
      <c r="AC1718">
        <v>0</v>
      </c>
      <c r="AD1718" t="str">
        <f t="shared" si="338"/>
        <v>Ok</v>
      </c>
      <c r="AE1718" t="str">
        <f>IF(AND(Audit_Data[[#This Row],[Year_Birth]]&gt;=1900,Audit_Data[[#This Row],[Year_Birth]]&lt;=2010),"OK","Invalid")</f>
        <v>OK</v>
      </c>
      <c r="AF1718" t="str">
        <f t="shared" si="339"/>
        <v>Valid</v>
      </c>
      <c r="AG1718" t="str">
        <f t="shared" si="340"/>
        <v>Valid</v>
      </c>
      <c r="AH1718" t="str">
        <f t="shared" si="341"/>
        <v>Valid</v>
      </c>
      <c r="AI1718" t="str">
        <f t="shared" si="342"/>
        <v>Valid</v>
      </c>
      <c r="AJ1718" t="str">
        <f t="shared" si="343"/>
        <v>Valid</v>
      </c>
      <c r="AK1718" t="str">
        <f t="shared" si="350"/>
        <v xml:space="preserve">Valid </v>
      </c>
      <c r="AL1718" t="str">
        <f>IF(AND(Audit_Data[[#This Row],[Recency]]&gt;=0,Audit_Data[[#This Row],[Recency]]&lt;=100),"Valid","Invalid")</f>
        <v>Valid</v>
      </c>
      <c r="AM1718" t="str">
        <f t="shared" si="344"/>
        <v>Valid</v>
      </c>
      <c r="AN1718" t="str">
        <f t="shared" si="345"/>
        <v>Valid</v>
      </c>
      <c r="AO1718" t="str">
        <f t="shared" si="346"/>
        <v>Valid</v>
      </c>
      <c r="AP1718" t="str">
        <f t="shared" si="347"/>
        <v>Valid</v>
      </c>
      <c r="AQ1718" t="str">
        <f>IF(Audit_Data[[#This Row],[Z_CostContact]]=3,"Valid","Invalid")</f>
        <v>Valid</v>
      </c>
      <c r="AR1718" t="str">
        <f t="shared" si="348"/>
        <v>Valid</v>
      </c>
      <c r="AS1718" t="str">
        <f t="shared" si="349"/>
        <v>Valid</v>
      </c>
    </row>
    <row r="1719" spans="1:45" x14ac:dyDescent="0.3">
      <c r="A1719">
        <v>7629</v>
      </c>
      <c r="B1719">
        <v>1977</v>
      </c>
      <c r="C1719" t="s">
        <v>29</v>
      </c>
      <c r="D1719" t="s">
        <v>33</v>
      </c>
      <c r="E1719">
        <v>22108</v>
      </c>
      <c r="F1719">
        <v>1</v>
      </c>
      <c r="G1719">
        <v>1</v>
      </c>
      <c r="H1719" s="1">
        <v>41767</v>
      </c>
      <c r="I1719">
        <v>46</v>
      </c>
      <c r="J1719">
        <v>5</v>
      </c>
      <c r="K1719">
        <v>3</v>
      </c>
      <c r="L1719">
        <v>9</v>
      </c>
      <c r="M1719">
        <v>6</v>
      </c>
      <c r="N1719">
        <v>2</v>
      </c>
      <c r="O1719">
        <v>6</v>
      </c>
      <c r="P1719">
        <v>2</v>
      </c>
      <c r="Q1719">
        <v>2</v>
      </c>
      <c r="R1719">
        <v>0</v>
      </c>
      <c r="S1719">
        <v>3</v>
      </c>
      <c r="T1719">
        <v>7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3</v>
      </c>
      <c r="AB1719">
        <v>11</v>
      </c>
      <c r="AC1719">
        <v>0</v>
      </c>
      <c r="AD1719" t="str">
        <f t="shared" si="338"/>
        <v>Ok</v>
      </c>
      <c r="AE1719" t="str">
        <f>IF(AND(Audit_Data[[#This Row],[Year_Birth]]&gt;=1900,Audit_Data[[#This Row],[Year_Birth]]&lt;=2010),"OK","Invalid")</f>
        <v>OK</v>
      </c>
      <c r="AF1719" t="str">
        <f t="shared" si="339"/>
        <v>Valid</v>
      </c>
      <c r="AG1719" t="str">
        <f t="shared" si="340"/>
        <v>Valid</v>
      </c>
      <c r="AH1719" t="str">
        <f t="shared" si="341"/>
        <v>Valid</v>
      </c>
      <c r="AI1719" t="str">
        <f t="shared" si="342"/>
        <v>Valid</v>
      </c>
      <c r="AJ1719" t="str">
        <f t="shared" si="343"/>
        <v>Valid</v>
      </c>
      <c r="AK1719" t="str">
        <f t="shared" si="350"/>
        <v xml:space="preserve">Valid </v>
      </c>
      <c r="AL1719" t="str">
        <f>IF(AND(Audit_Data[[#This Row],[Recency]]&gt;=0,Audit_Data[[#This Row],[Recency]]&lt;=100),"Valid","Invalid")</f>
        <v>Valid</v>
      </c>
      <c r="AM1719" t="str">
        <f t="shared" si="344"/>
        <v>Valid</v>
      </c>
      <c r="AN1719" t="str">
        <f t="shared" si="345"/>
        <v>Valid</v>
      </c>
      <c r="AO1719" t="str">
        <f t="shared" si="346"/>
        <v>Valid</v>
      </c>
      <c r="AP1719" t="str">
        <f t="shared" si="347"/>
        <v>Valid</v>
      </c>
      <c r="AQ1719" t="str">
        <f>IF(Audit_Data[[#This Row],[Z_CostContact]]=3,"Valid","Invalid")</f>
        <v>Valid</v>
      </c>
      <c r="AR1719" t="str">
        <f t="shared" si="348"/>
        <v>Valid</v>
      </c>
      <c r="AS1719" t="str">
        <f t="shared" si="349"/>
        <v>Valid</v>
      </c>
    </row>
    <row r="1720" spans="1:45" x14ac:dyDescent="0.3">
      <c r="A1720">
        <v>10640</v>
      </c>
      <c r="B1720">
        <v>1974</v>
      </c>
      <c r="C1720" t="s">
        <v>29</v>
      </c>
      <c r="D1720" t="s">
        <v>31</v>
      </c>
      <c r="E1720">
        <v>44392</v>
      </c>
      <c r="F1720">
        <v>1</v>
      </c>
      <c r="G1720">
        <v>1</v>
      </c>
      <c r="H1720" s="1">
        <v>41522</v>
      </c>
      <c r="I1720">
        <v>71</v>
      </c>
      <c r="J1720">
        <v>87</v>
      </c>
      <c r="K1720">
        <v>5</v>
      </c>
      <c r="L1720">
        <v>71</v>
      </c>
      <c r="M1720">
        <v>7</v>
      </c>
      <c r="N1720">
        <v>12</v>
      </c>
      <c r="O1720">
        <v>29</v>
      </c>
      <c r="P1720">
        <v>5</v>
      </c>
      <c r="Q1720">
        <v>4</v>
      </c>
      <c r="R1720">
        <v>1</v>
      </c>
      <c r="S1720">
        <v>4</v>
      </c>
      <c r="T1720">
        <v>7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3</v>
      </c>
      <c r="AB1720">
        <v>11</v>
      </c>
      <c r="AC1720">
        <v>0</v>
      </c>
      <c r="AD1720" t="str">
        <f t="shared" si="338"/>
        <v>Ok</v>
      </c>
      <c r="AE1720" t="str">
        <f>IF(AND(Audit_Data[[#This Row],[Year_Birth]]&gt;=1900,Audit_Data[[#This Row],[Year_Birth]]&lt;=2010),"OK","Invalid")</f>
        <v>OK</v>
      </c>
      <c r="AF1720" t="str">
        <f t="shared" si="339"/>
        <v>Valid</v>
      </c>
      <c r="AG1720" t="str">
        <f t="shared" si="340"/>
        <v>Valid</v>
      </c>
      <c r="AH1720" t="str">
        <f t="shared" si="341"/>
        <v>Valid</v>
      </c>
      <c r="AI1720" t="str">
        <f t="shared" si="342"/>
        <v>Valid</v>
      </c>
      <c r="AJ1720" t="str">
        <f t="shared" si="343"/>
        <v>Valid</v>
      </c>
      <c r="AK1720" t="str">
        <f t="shared" si="350"/>
        <v xml:space="preserve">Valid </v>
      </c>
      <c r="AL1720" t="str">
        <f>IF(AND(Audit_Data[[#This Row],[Recency]]&gt;=0,Audit_Data[[#This Row],[Recency]]&lt;=100),"Valid","Invalid")</f>
        <v>Valid</v>
      </c>
      <c r="AM1720" t="str">
        <f t="shared" si="344"/>
        <v>Valid</v>
      </c>
      <c r="AN1720" t="str">
        <f t="shared" si="345"/>
        <v>Valid</v>
      </c>
      <c r="AO1720" t="str">
        <f t="shared" si="346"/>
        <v>Valid</v>
      </c>
      <c r="AP1720" t="str">
        <f t="shared" si="347"/>
        <v>Valid</v>
      </c>
      <c r="AQ1720" t="str">
        <f>IF(Audit_Data[[#This Row],[Z_CostContact]]=3,"Valid","Invalid")</f>
        <v>Valid</v>
      </c>
      <c r="AR1720" t="str">
        <f t="shared" si="348"/>
        <v>Valid</v>
      </c>
      <c r="AS1720" t="str">
        <f t="shared" si="349"/>
        <v>Valid</v>
      </c>
    </row>
    <row r="1721" spans="1:45" x14ac:dyDescent="0.3">
      <c r="A1721">
        <v>3498</v>
      </c>
      <c r="B1721">
        <v>1976</v>
      </c>
      <c r="C1721" t="s">
        <v>32</v>
      </c>
      <c r="D1721" t="s">
        <v>33</v>
      </c>
      <c r="E1721">
        <v>55424</v>
      </c>
      <c r="F1721">
        <v>0</v>
      </c>
      <c r="G1721">
        <v>1</v>
      </c>
      <c r="H1721" s="1">
        <v>41238</v>
      </c>
      <c r="I1721">
        <v>6</v>
      </c>
      <c r="J1721">
        <v>462</v>
      </c>
      <c r="K1721">
        <v>61</v>
      </c>
      <c r="L1721">
        <v>184</v>
      </c>
      <c r="M1721">
        <v>10</v>
      </c>
      <c r="N1721">
        <v>53</v>
      </c>
      <c r="O1721">
        <v>107</v>
      </c>
      <c r="P1721">
        <v>4</v>
      </c>
      <c r="Q1721">
        <v>7</v>
      </c>
      <c r="R1721">
        <v>5</v>
      </c>
      <c r="S1721">
        <v>9</v>
      </c>
      <c r="T1721">
        <v>6</v>
      </c>
      <c r="U1721">
        <v>1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3</v>
      </c>
      <c r="AB1721">
        <v>11</v>
      </c>
      <c r="AC1721">
        <v>1</v>
      </c>
      <c r="AD1721" t="str">
        <f t="shared" si="338"/>
        <v>Ok</v>
      </c>
      <c r="AE1721" t="str">
        <f>IF(AND(Audit_Data[[#This Row],[Year_Birth]]&gt;=1900,Audit_Data[[#This Row],[Year_Birth]]&lt;=2010),"OK","Invalid")</f>
        <v>OK</v>
      </c>
      <c r="AF1721" t="str">
        <f t="shared" si="339"/>
        <v>Valid</v>
      </c>
      <c r="AG1721" t="str">
        <f t="shared" si="340"/>
        <v>Valid</v>
      </c>
      <c r="AH1721" t="str">
        <f t="shared" si="341"/>
        <v>Valid</v>
      </c>
      <c r="AI1721" t="str">
        <f t="shared" si="342"/>
        <v>Valid</v>
      </c>
      <c r="AJ1721" t="str">
        <f t="shared" si="343"/>
        <v>Valid</v>
      </c>
      <c r="AK1721" t="str">
        <f t="shared" si="350"/>
        <v xml:space="preserve">Valid </v>
      </c>
      <c r="AL1721" t="str">
        <f>IF(AND(Audit_Data[[#This Row],[Recency]]&gt;=0,Audit_Data[[#This Row],[Recency]]&lt;=100),"Valid","Invalid")</f>
        <v>Valid</v>
      </c>
      <c r="AM1721" t="str">
        <f t="shared" si="344"/>
        <v>Valid</v>
      </c>
      <c r="AN1721" t="str">
        <f t="shared" si="345"/>
        <v>Valid</v>
      </c>
      <c r="AO1721" t="str">
        <f t="shared" si="346"/>
        <v>Valid</v>
      </c>
      <c r="AP1721" t="str">
        <f t="shared" si="347"/>
        <v>Valid</v>
      </c>
      <c r="AQ1721" t="str">
        <f>IF(Audit_Data[[#This Row],[Z_CostContact]]=3,"Valid","Invalid")</f>
        <v>Valid</v>
      </c>
      <c r="AR1721" t="str">
        <f t="shared" si="348"/>
        <v>Valid</v>
      </c>
      <c r="AS1721" t="str">
        <f t="shared" si="349"/>
        <v>Valid</v>
      </c>
    </row>
    <row r="1722" spans="1:45" x14ac:dyDescent="0.3">
      <c r="A1722">
        <v>6742</v>
      </c>
      <c r="B1722">
        <v>1979</v>
      </c>
      <c r="C1722" t="s">
        <v>29</v>
      </c>
      <c r="D1722" t="s">
        <v>33</v>
      </c>
      <c r="E1722">
        <v>17688</v>
      </c>
      <c r="F1722">
        <v>1</v>
      </c>
      <c r="G1722">
        <v>0</v>
      </c>
      <c r="H1722" s="1">
        <v>41287</v>
      </c>
      <c r="I1722">
        <v>82</v>
      </c>
      <c r="J1722">
        <v>2</v>
      </c>
      <c r="K1722">
        <v>2</v>
      </c>
      <c r="L1722">
        <v>1</v>
      </c>
      <c r="M1722">
        <v>3</v>
      </c>
      <c r="N1722">
        <v>1</v>
      </c>
      <c r="O1722">
        <v>2</v>
      </c>
      <c r="P1722">
        <v>1</v>
      </c>
      <c r="Q1722">
        <v>1</v>
      </c>
      <c r="R1722">
        <v>0</v>
      </c>
      <c r="S1722">
        <v>2</v>
      </c>
      <c r="T1722">
        <v>8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1</v>
      </c>
      <c r="AA1722">
        <v>3</v>
      </c>
      <c r="AB1722">
        <v>11</v>
      </c>
      <c r="AC1722">
        <v>0</v>
      </c>
      <c r="AD1722" t="str">
        <f t="shared" si="338"/>
        <v>Ok</v>
      </c>
      <c r="AE1722" t="str">
        <f>IF(AND(Audit_Data[[#This Row],[Year_Birth]]&gt;=1900,Audit_Data[[#This Row],[Year_Birth]]&lt;=2010),"OK","Invalid")</f>
        <v>OK</v>
      </c>
      <c r="AF1722" t="str">
        <f t="shared" si="339"/>
        <v>Valid</v>
      </c>
      <c r="AG1722" t="str">
        <f t="shared" si="340"/>
        <v>Valid</v>
      </c>
      <c r="AH1722" t="str">
        <f t="shared" si="341"/>
        <v>Valid</v>
      </c>
      <c r="AI1722" t="str">
        <f t="shared" si="342"/>
        <v>Valid</v>
      </c>
      <c r="AJ1722" t="str">
        <f t="shared" si="343"/>
        <v>Valid</v>
      </c>
      <c r="AK1722" t="str">
        <f t="shared" si="350"/>
        <v xml:space="preserve">Valid </v>
      </c>
      <c r="AL1722" t="str">
        <f>IF(AND(Audit_Data[[#This Row],[Recency]]&gt;=0,Audit_Data[[#This Row],[Recency]]&lt;=100),"Valid","Invalid")</f>
        <v>Valid</v>
      </c>
      <c r="AM1722" t="str">
        <f t="shared" si="344"/>
        <v>Valid</v>
      </c>
      <c r="AN1722" t="str">
        <f t="shared" si="345"/>
        <v>Valid</v>
      </c>
      <c r="AO1722" t="str">
        <f t="shared" si="346"/>
        <v>Valid</v>
      </c>
      <c r="AP1722" t="str">
        <f t="shared" si="347"/>
        <v>Valid</v>
      </c>
      <c r="AQ1722" t="str">
        <f>IF(Audit_Data[[#This Row],[Z_CostContact]]=3,"Valid","Invalid")</f>
        <v>Valid</v>
      </c>
      <c r="AR1722" t="str">
        <f t="shared" si="348"/>
        <v>Valid</v>
      </c>
      <c r="AS1722" t="str">
        <f t="shared" si="349"/>
        <v>Valid</v>
      </c>
    </row>
    <row r="1723" spans="1:45" x14ac:dyDescent="0.3">
      <c r="A1723">
        <v>1172</v>
      </c>
      <c r="B1723">
        <v>1983</v>
      </c>
      <c r="C1723" t="s">
        <v>32</v>
      </c>
      <c r="D1723" t="s">
        <v>33</v>
      </c>
      <c r="E1723">
        <v>92491</v>
      </c>
      <c r="F1723">
        <v>0</v>
      </c>
      <c r="G1723">
        <v>0</v>
      </c>
      <c r="H1723" s="1">
        <v>41395</v>
      </c>
      <c r="I1723">
        <v>71</v>
      </c>
      <c r="J1723">
        <v>979</v>
      </c>
      <c r="K1723">
        <v>44</v>
      </c>
      <c r="L1723">
        <v>935</v>
      </c>
      <c r="M1723">
        <v>29</v>
      </c>
      <c r="N1723">
        <v>25</v>
      </c>
      <c r="O1723">
        <v>22</v>
      </c>
      <c r="P1723">
        <v>1</v>
      </c>
      <c r="Q1723">
        <v>7</v>
      </c>
      <c r="R1723">
        <v>5</v>
      </c>
      <c r="S1723">
        <v>12</v>
      </c>
      <c r="T1723">
        <v>3</v>
      </c>
      <c r="U1723">
        <v>0</v>
      </c>
      <c r="V1723">
        <v>1</v>
      </c>
      <c r="W1723">
        <v>1</v>
      </c>
      <c r="X1723">
        <v>1</v>
      </c>
      <c r="Y1723">
        <v>0</v>
      </c>
      <c r="Z1723">
        <v>0</v>
      </c>
      <c r="AA1723">
        <v>3</v>
      </c>
      <c r="AB1723">
        <v>11</v>
      </c>
      <c r="AC1723">
        <v>1</v>
      </c>
      <c r="AD1723" t="str">
        <f t="shared" si="338"/>
        <v>Ok</v>
      </c>
      <c r="AE1723" t="str">
        <f>IF(AND(Audit_Data[[#This Row],[Year_Birth]]&gt;=1900,Audit_Data[[#This Row],[Year_Birth]]&lt;=2010),"OK","Invalid")</f>
        <v>OK</v>
      </c>
      <c r="AF1723" t="str">
        <f t="shared" si="339"/>
        <v>Valid</v>
      </c>
      <c r="AG1723" t="str">
        <f t="shared" si="340"/>
        <v>Valid</v>
      </c>
      <c r="AH1723" t="str">
        <f t="shared" si="341"/>
        <v>Valid</v>
      </c>
      <c r="AI1723" t="str">
        <f t="shared" si="342"/>
        <v>Valid</v>
      </c>
      <c r="AJ1723" t="str">
        <f t="shared" si="343"/>
        <v>Valid</v>
      </c>
      <c r="AK1723" t="str">
        <f t="shared" si="350"/>
        <v xml:space="preserve">Valid </v>
      </c>
      <c r="AL1723" t="str">
        <f>IF(AND(Audit_Data[[#This Row],[Recency]]&gt;=0,Audit_Data[[#This Row],[Recency]]&lt;=100),"Valid","Invalid")</f>
        <v>Valid</v>
      </c>
      <c r="AM1723" t="str">
        <f t="shared" si="344"/>
        <v>Valid</v>
      </c>
      <c r="AN1723" t="str">
        <f t="shared" si="345"/>
        <v>Valid</v>
      </c>
      <c r="AO1723" t="str">
        <f t="shared" si="346"/>
        <v>Valid</v>
      </c>
      <c r="AP1723" t="str">
        <f t="shared" si="347"/>
        <v>Valid</v>
      </c>
      <c r="AQ1723" t="str">
        <f>IF(Audit_Data[[#This Row],[Z_CostContact]]=3,"Valid","Invalid")</f>
        <v>Valid</v>
      </c>
      <c r="AR1723" t="str">
        <f t="shared" si="348"/>
        <v>Valid</v>
      </c>
      <c r="AS1723" t="str">
        <f t="shared" si="349"/>
        <v>Valid</v>
      </c>
    </row>
    <row r="1724" spans="1:45" x14ac:dyDescent="0.3">
      <c r="A1724">
        <v>569</v>
      </c>
      <c r="B1724">
        <v>1991</v>
      </c>
      <c r="C1724" t="s">
        <v>29</v>
      </c>
      <c r="D1724" t="s">
        <v>30</v>
      </c>
      <c r="E1724">
        <v>90273</v>
      </c>
      <c r="F1724">
        <v>0</v>
      </c>
      <c r="G1724">
        <v>0</v>
      </c>
      <c r="H1724" s="1">
        <v>41622</v>
      </c>
      <c r="I1724">
        <v>32</v>
      </c>
      <c r="J1724">
        <v>704</v>
      </c>
      <c r="K1724">
        <v>129</v>
      </c>
      <c r="L1724">
        <v>853</v>
      </c>
      <c r="M1724">
        <v>120</v>
      </c>
      <c r="N1724">
        <v>74</v>
      </c>
      <c r="O1724">
        <v>111</v>
      </c>
      <c r="P1724">
        <v>1</v>
      </c>
      <c r="Q1724">
        <v>5</v>
      </c>
      <c r="R1724">
        <v>6</v>
      </c>
      <c r="S1724">
        <v>7</v>
      </c>
      <c r="T1724">
        <v>2</v>
      </c>
      <c r="U1724">
        <v>0</v>
      </c>
      <c r="V1724">
        <v>1</v>
      </c>
      <c r="W1724">
        <v>1</v>
      </c>
      <c r="X1724">
        <v>1</v>
      </c>
      <c r="Y1724">
        <v>0</v>
      </c>
      <c r="Z1724">
        <v>0</v>
      </c>
      <c r="AA1724">
        <v>3</v>
      </c>
      <c r="AB1724">
        <v>11</v>
      </c>
      <c r="AC1724">
        <v>1</v>
      </c>
      <c r="AD1724" t="str">
        <f t="shared" si="338"/>
        <v>Ok</v>
      </c>
      <c r="AE1724" t="str">
        <f>IF(AND(Audit_Data[[#This Row],[Year_Birth]]&gt;=1900,Audit_Data[[#This Row],[Year_Birth]]&lt;=2010),"OK","Invalid")</f>
        <v>OK</v>
      </c>
      <c r="AF1724" t="str">
        <f t="shared" si="339"/>
        <v>Valid</v>
      </c>
      <c r="AG1724" t="str">
        <f t="shared" si="340"/>
        <v>Valid</v>
      </c>
      <c r="AH1724" t="str">
        <f t="shared" si="341"/>
        <v>Valid</v>
      </c>
      <c r="AI1724" t="str">
        <f t="shared" si="342"/>
        <v>Valid</v>
      </c>
      <c r="AJ1724" t="str">
        <f t="shared" si="343"/>
        <v>Valid</v>
      </c>
      <c r="AK1724" t="str">
        <f t="shared" si="350"/>
        <v xml:space="preserve">Valid </v>
      </c>
      <c r="AL1724" t="str">
        <f>IF(AND(Audit_Data[[#This Row],[Recency]]&gt;=0,Audit_Data[[#This Row],[Recency]]&lt;=100),"Valid","Invalid")</f>
        <v>Valid</v>
      </c>
      <c r="AM1724" t="str">
        <f t="shared" si="344"/>
        <v>Valid</v>
      </c>
      <c r="AN1724" t="str">
        <f t="shared" si="345"/>
        <v>Valid</v>
      </c>
      <c r="AO1724" t="str">
        <f t="shared" si="346"/>
        <v>Valid</v>
      </c>
      <c r="AP1724" t="str">
        <f t="shared" si="347"/>
        <v>Valid</v>
      </c>
      <c r="AQ1724" t="str">
        <f>IF(Audit_Data[[#This Row],[Z_CostContact]]=3,"Valid","Invalid")</f>
        <v>Valid</v>
      </c>
      <c r="AR1724" t="str">
        <f t="shared" si="348"/>
        <v>Valid</v>
      </c>
      <c r="AS1724" t="str">
        <f t="shared" si="349"/>
        <v>Valid</v>
      </c>
    </row>
    <row r="1725" spans="1:45" x14ac:dyDescent="0.3">
      <c r="A1725">
        <v>4686</v>
      </c>
      <c r="B1725">
        <v>1962</v>
      </c>
      <c r="C1725" t="s">
        <v>32</v>
      </c>
      <c r="D1725" t="s">
        <v>38</v>
      </c>
      <c r="E1725">
        <v>82571</v>
      </c>
      <c r="F1725">
        <v>0</v>
      </c>
      <c r="G1725">
        <v>0</v>
      </c>
      <c r="H1725" s="1">
        <v>41731</v>
      </c>
      <c r="I1725">
        <v>28</v>
      </c>
      <c r="J1725">
        <v>861</v>
      </c>
      <c r="K1725">
        <v>31</v>
      </c>
      <c r="L1725">
        <v>558</v>
      </c>
      <c r="M1725">
        <v>62</v>
      </c>
      <c r="N1725">
        <v>95</v>
      </c>
      <c r="O1725">
        <v>79</v>
      </c>
      <c r="P1725">
        <v>0</v>
      </c>
      <c r="Q1725">
        <v>6</v>
      </c>
      <c r="R1725">
        <v>5</v>
      </c>
      <c r="S1725">
        <v>13</v>
      </c>
      <c r="T1725">
        <v>2</v>
      </c>
      <c r="U1725">
        <v>0</v>
      </c>
      <c r="V1725">
        <v>0</v>
      </c>
      <c r="W1725">
        <v>1</v>
      </c>
      <c r="X1725">
        <v>0</v>
      </c>
      <c r="Y1725">
        <v>0</v>
      </c>
      <c r="Z1725">
        <v>0</v>
      </c>
      <c r="AA1725">
        <v>3</v>
      </c>
      <c r="AB1725">
        <v>11</v>
      </c>
      <c r="AC1725">
        <v>0</v>
      </c>
      <c r="AD1725" t="str">
        <f t="shared" si="338"/>
        <v>Ok</v>
      </c>
      <c r="AE1725" t="str">
        <f>IF(AND(Audit_Data[[#This Row],[Year_Birth]]&gt;=1900,Audit_Data[[#This Row],[Year_Birth]]&lt;=2010),"OK","Invalid")</f>
        <v>OK</v>
      </c>
      <c r="AF1725" t="str">
        <f t="shared" si="339"/>
        <v>Valid</v>
      </c>
      <c r="AG1725" t="str">
        <f t="shared" si="340"/>
        <v>Valid</v>
      </c>
      <c r="AH1725" t="str">
        <f t="shared" si="341"/>
        <v>Valid</v>
      </c>
      <c r="AI1725" t="str">
        <f t="shared" si="342"/>
        <v>Valid</v>
      </c>
      <c r="AJ1725" t="str">
        <f t="shared" si="343"/>
        <v>Valid</v>
      </c>
      <c r="AK1725" t="str">
        <f t="shared" si="350"/>
        <v xml:space="preserve">Valid </v>
      </c>
      <c r="AL1725" t="str">
        <f>IF(AND(Audit_Data[[#This Row],[Recency]]&gt;=0,Audit_Data[[#This Row],[Recency]]&lt;=100),"Valid","Invalid")</f>
        <v>Valid</v>
      </c>
      <c r="AM1725" t="str">
        <f t="shared" si="344"/>
        <v>Valid</v>
      </c>
      <c r="AN1725" t="str">
        <f t="shared" si="345"/>
        <v>Valid</v>
      </c>
      <c r="AO1725" t="str">
        <f t="shared" si="346"/>
        <v>Valid</v>
      </c>
      <c r="AP1725" t="str">
        <f t="shared" si="347"/>
        <v>Valid</v>
      </c>
      <c r="AQ1725" t="str">
        <f>IF(Audit_Data[[#This Row],[Z_CostContact]]=3,"Valid","Invalid")</f>
        <v>Valid</v>
      </c>
      <c r="AR1725" t="str">
        <f t="shared" si="348"/>
        <v>Valid</v>
      </c>
      <c r="AS1725" t="str">
        <f t="shared" si="349"/>
        <v>Valid</v>
      </c>
    </row>
    <row r="1726" spans="1:45" x14ac:dyDescent="0.3">
      <c r="A1726">
        <v>1381</v>
      </c>
      <c r="B1726">
        <v>1982</v>
      </c>
      <c r="C1726" t="s">
        <v>32</v>
      </c>
      <c r="D1726" t="s">
        <v>30</v>
      </c>
      <c r="E1726">
        <v>38513</v>
      </c>
      <c r="F1726">
        <v>1</v>
      </c>
      <c r="G1726">
        <v>0</v>
      </c>
      <c r="H1726" s="1">
        <v>41667</v>
      </c>
      <c r="I1726">
        <v>20</v>
      </c>
      <c r="J1726">
        <v>172</v>
      </c>
      <c r="K1726">
        <v>3</v>
      </c>
      <c r="L1726">
        <v>115</v>
      </c>
      <c r="M1726">
        <v>16</v>
      </c>
      <c r="N1726">
        <v>0</v>
      </c>
      <c r="O1726">
        <v>18</v>
      </c>
      <c r="P1726">
        <v>5</v>
      </c>
      <c r="Q1726">
        <v>6</v>
      </c>
      <c r="R1726">
        <v>1</v>
      </c>
      <c r="S1726">
        <v>5</v>
      </c>
      <c r="T1726">
        <v>8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3</v>
      </c>
      <c r="AB1726">
        <v>11</v>
      </c>
      <c r="AC1726">
        <v>1</v>
      </c>
      <c r="AD1726" t="str">
        <f t="shared" si="338"/>
        <v>Ok</v>
      </c>
      <c r="AE1726" t="str">
        <f>IF(AND(Audit_Data[[#This Row],[Year_Birth]]&gt;=1900,Audit_Data[[#This Row],[Year_Birth]]&lt;=2010),"OK","Invalid")</f>
        <v>OK</v>
      </c>
      <c r="AF1726" t="str">
        <f t="shared" si="339"/>
        <v>Valid</v>
      </c>
      <c r="AG1726" t="str">
        <f t="shared" si="340"/>
        <v>Valid</v>
      </c>
      <c r="AH1726" t="str">
        <f t="shared" si="341"/>
        <v>Valid</v>
      </c>
      <c r="AI1726" t="str">
        <f t="shared" si="342"/>
        <v>Valid</v>
      </c>
      <c r="AJ1726" t="str">
        <f t="shared" si="343"/>
        <v>Valid</v>
      </c>
      <c r="AK1726" t="str">
        <f t="shared" si="350"/>
        <v xml:space="preserve">Valid </v>
      </c>
      <c r="AL1726" t="str">
        <f>IF(AND(Audit_Data[[#This Row],[Recency]]&gt;=0,Audit_Data[[#This Row],[Recency]]&lt;=100),"Valid","Invalid")</f>
        <v>Valid</v>
      </c>
      <c r="AM1726" t="str">
        <f t="shared" si="344"/>
        <v>Valid</v>
      </c>
      <c r="AN1726" t="str">
        <f t="shared" si="345"/>
        <v>Valid</v>
      </c>
      <c r="AO1726" t="str">
        <f t="shared" si="346"/>
        <v>Valid</v>
      </c>
      <c r="AP1726" t="str">
        <f t="shared" si="347"/>
        <v>Valid</v>
      </c>
      <c r="AQ1726" t="str">
        <f>IF(Audit_Data[[#This Row],[Z_CostContact]]=3,"Valid","Invalid")</f>
        <v>Valid</v>
      </c>
      <c r="AR1726" t="str">
        <f t="shared" si="348"/>
        <v>Valid</v>
      </c>
      <c r="AS1726" t="str">
        <f t="shared" si="349"/>
        <v>Valid</v>
      </c>
    </row>
    <row r="1727" spans="1:45" x14ac:dyDescent="0.3">
      <c r="A1727">
        <v>2634</v>
      </c>
      <c r="B1727">
        <v>1979</v>
      </c>
      <c r="C1727" t="s">
        <v>34</v>
      </c>
      <c r="D1727" t="s">
        <v>30</v>
      </c>
      <c r="E1727">
        <v>16653</v>
      </c>
      <c r="F1727">
        <v>1</v>
      </c>
      <c r="G1727">
        <v>0</v>
      </c>
      <c r="H1727" s="1">
        <v>41747</v>
      </c>
      <c r="I1727">
        <v>10</v>
      </c>
      <c r="J1727">
        <v>5</v>
      </c>
      <c r="K1727">
        <v>7</v>
      </c>
      <c r="L1727">
        <v>31</v>
      </c>
      <c r="M1727">
        <v>15</v>
      </c>
      <c r="N1727">
        <v>4</v>
      </c>
      <c r="O1727">
        <v>7</v>
      </c>
      <c r="P1727">
        <v>3</v>
      </c>
      <c r="Q1727">
        <v>2</v>
      </c>
      <c r="R1727">
        <v>1</v>
      </c>
      <c r="S1727">
        <v>3</v>
      </c>
      <c r="T1727">
        <v>6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3</v>
      </c>
      <c r="AB1727">
        <v>11</v>
      </c>
      <c r="AC1727">
        <v>1</v>
      </c>
      <c r="AD1727" t="str">
        <f t="shared" si="338"/>
        <v>Ok</v>
      </c>
      <c r="AE1727" t="str">
        <f>IF(AND(Audit_Data[[#This Row],[Year_Birth]]&gt;=1900,Audit_Data[[#This Row],[Year_Birth]]&lt;=2010),"OK","Invalid")</f>
        <v>OK</v>
      </c>
      <c r="AF1727" t="str">
        <f t="shared" si="339"/>
        <v>Valid</v>
      </c>
      <c r="AG1727" t="str">
        <f t="shared" si="340"/>
        <v>Valid</v>
      </c>
      <c r="AH1727" t="str">
        <f t="shared" si="341"/>
        <v>Valid</v>
      </c>
      <c r="AI1727" t="str">
        <f t="shared" si="342"/>
        <v>Valid</v>
      </c>
      <c r="AJ1727" t="str">
        <f t="shared" si="343"/>
        <v>Valid</v>
      </c>
      <c r="AK1727" t="str">
        <f t="shared" si="350"/>
        <v xml:space="preserve">Valid </v>
      </c>
      <c r="AL1727" t="str">
        <f>IF(AND(Audit_Data[[#This Row],[Recency]]&gt;=0,Audit_Data[[#This Row],[Recency]]&lt;=100),"Valid","Invalid")</f>
        <v>Valid</v>
      </c>
      <c r="AM1727" t="str">
        <f t="shared" si="344"/>
        <v>Valid</v>
      </c>
      <c r="AN1727" t="str">
        <f t="shared" si="345"/>
        <v>Valid</v>
      </c>
      <c r="AO1727" t="str">
        <f t="shared" si="346"/>
        <v>Valid</v>
      </c>
      <c r="AP1727" t="str">
        <f t="shared" si="347"/>
        <v>Valid</v>
      </c>
      <c r="AQ1727" t="str">
        <f>IF(Audit_Data[[#This Row],[Z_CostContact]]=3,"Valid","Invalid")</f>
        <v>Valid</v>
      </c>
      <c r="AR1727" t="str">
        <f t="shared" si="348"/>
        <v>Valid</v>
      </c>
      <c r="AS1727" t="str">
        <f t="shared" si="349"/>
        <v>Valid</v>
      </c>
    </row>
    <row r="1728" spans="1:45" x14ac:dyDescent="0.3">
      <c r="A1728">
        <v>10905</v>
      </c>
      <c r="B1728">
        <v>1955</v>
      </c>
      <c r="C1728" t="s">
        <v>29</v>
      </c>
      <c r="D1728" t="s">
        <v>31</v>
      </c>
      <c r="E1728">
        <v>42586</v>
      </c>
      <c r="F1728">
        <v>1</v>
      </c>
      <c r="G1728">
        <v>1</v>
      </c>
      <c r="H1728" s="1">
        <v>41211</v>
      </c>
      <c r="I1728">
        <v>7</v>
      </c>
      <c r="J1728">
        <v>194</v>
      </c>
      <c r="K1728">
        <v>2</v>
      </c>
      <c r="L1728">
        <v>56</v>
      </c>
      <c r="M1728">
        <v>0</v>
      </c>
      <c r="N1728">
        <v>0</v>
      </c>
      <c r="O1728">
        <v>0</v>
      </c>
      <c r="P1728">
        <v>5</v>
      </c>
      <c r="Q1728">
        <v>4</v>
      </c>
      <c r="R1728">
        <v>1</v>
      </c>
      <c r="S1728">
        <v>6</v>
      </c>
      <c r="T1728">
        <v>8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3</v>
      </c>
      <c r="AB1728">
        <v>11</v>
      </c>
      <c r="AC1728">
        <v>1</v>
      </c>
      <c r="AD1728" t="str">
        <f t="shared" si="338"/>
        <v>Ok</v>
      </c>
      <c r="AE1728" t="str">
        <f>IF(AND(Audit_Data[[#This Row],[Year_Birth]]&gt;=1900,Audit_Data[[#This Row],[Year_Birth]]&lt;=2010),"OK","Invalid")</f>
        <v>OK</v>
      </c>
      <c r="AF1728" t="str">
        <f t="shared" si="339"/>
        <v>Valid</v>
      </c>
      <c r="AG1728" t="str">
        <f t="shared" si="340"/>
        <v>Valid</v>
      </c>
      <c r="AH1728" t="str">
        <f t="shared" si="341"/>
        <v>Valid</v>
      </c>
      <c r="AI1728" t="str">
        <f t="shared" si="342"/>
        <v>Valid</v>
      </c>
      <c r="AJ1728" t="str">
        <f t="shared" si="343"/>
        <v>Valid</v>
      </c>
      <c r="AK1728" t="str">
        <f t="shared" si="350"/>
        <v xml:space="preserve">Valid </v>
      </c>
      <c r="AL1728" t="str">
        <f>IF(AND(Audit_Data[[#This Row],[Recency]]&gt;=0,Audit_Data[[#This Row],[Recency]]&lt;=100),"Valid","Invalid")</f>
        <v>Valid</v>
      </c>
      <c r="AM1728" t="str">
        <f t="shared" si="344"/>
        <v>Valid</v>
      </c>
      <c r="AN1728" t="str">
        <f t="shared" si="345"/>
        <v>Valid</v>
      </c>
      <c r="AO1728" t="str">
        <f t="shared" si="346"/>
        <v>Valid</v>
      </c>
      <c r="AP1728" t="str">
        <f t="shared" si="347"/>
        <v>Valid</v>
      </c>
      <c r="AQ1728" t="str">
        <f>IF(Audit_Data[[#This Row],[Z_CostContact]]=3,"Valid","Invalid")</f>
        <v>Valid</v>
      </c>
      <c r="AR1728" t="str">
        <f t="shared" si="348"/>
        <v>Valid</v>
      </c>
      <c r="AS1728" t="str">
        <f t="shared" si="349"/>
        <v>Valid</v>
      </c>
    </row>
    <row r="1729" spans="1:45" x14ac:dyDescent="0.3">
      <c r="A1729">
        <v>1744</v>
      </c>
      <c r="B1729">
        <v>1965</v>
      </c>
      <c r="C1729" t="s">
        <v>36</v>
      </c>
      <c r="D1729" t="s">
        <v>30</v>
      </c>
      <c r="E1729">
        <v>23529</v>
      </c>
      <c r="F1729">
        <v>0</v>
      </c>
      <c r="G1729">
        <v>1</v>
      </c>
      <c r="H1729" s="1">
        <v>41281</v>
      </c>
      <c r="I1729">
        <v>67</v>
      </c>
      <c r="J1729">
        <v>9</v>
      </c>
      <c r="K1729">
        <v>7</v>
      </c>
      <c r="L1729">
        <v>13</v>
      </c>
      <c r="M1729">
        <v>3</v>
      </c>
      <c r="N1729">
        <v>2</v>
      </c>
      <c r="O1729">
        <v>20</v>
      </c>
      <c r="P1729">
        <v>1</v>
      </c>
      <c r="Q1729">
        <v>1</v>
      </c>
      <c r="R1729">
        <v>1</v>
      </c>
      <c r="S1729">
        <v>2</v>
      </c>
      <c r="T1729">
        <v>6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3</v>
      </c>
      <c r="AB1729">
        <v>11</v>
      </c>
      <c r="AC1729">
        <v>0</v>
      </c>
      <c r="AD1729" t="str">
        <f t="shared" si="338"/>
        <v>Ok</v>
      </c>
      <c r="AE1729" t="str">
        <f>IF(AND(Audit_Data[[#This Row],[Year_Birth]]&gt;=1900,Audit_Data[[#This Row],[Year_Birth]]&lt;=2010),"OK","Invalid")</f>
        <v>OK</v>
      </c>
      <c r="AF1729" t="str">
        <f t="shared" si="339"/>
        <v>Valid</v>
      </c>
      <c r="AG1729" t="str">
        <f t="shared" si="340"/>
        <v>Valid</v>
      </c>
      <c r="AH1729" t="str">
        <f t="shared" si="341"/>
        <v>Valid</v>
      </c>
      <c r="AI1729" t="str">
        <f t="shared" si="342"/>
        <v>Valid</v>
      </c>
      <c r="AJ1729" t="str">
        <f t="shared" si="343"/>
        <v>Valid</v>
      </c>
      <c r="AK1729" t="str">
        <f t="shared" si="350"/>
        <v xml:space="preserve">Valid </v>
      </c>
      <c r="AL1729" t="str">
        <f>IF(AND(Audit_Data[[#This Row],[Recency]]&gt;=0,Audit_Data[[#This Row],[Recency]]&lt;=100),"Valid","Invalid")</f>
        <v>Valid</v>
      </c>
      <c r="AM1729" t="str">
        <f t="shared" si="344"/>
        <v>Valid</v>
      </c>
      <c r="AN1729" t="str">
        <f t="shared" si="345"/>
        <v>Valid</v>
      </c>
      <c r="AO1729" t="str">
        <f t="shared" si="346"/>
        <v>Valid</v>
      </c>
      <c r="AP1729" t="str">
        <f t="shared" si="347"/>
        <v>Valid</v>
      </c>
      <c r="AQ1729" t="str">
        <f>IF(Audit_Data[[#This Row],[Z_CostContact]]=3,"Valid","Invalid")</f>
        <v>Valid</v>
      </c>
      <c r="AR1729" t="str">
        <f t="shared" si="348"/>
        <v>Valid</v>
      </c>
      <c r="AS1729" t="str">
        <f t="shared" si="349"/>
        <v>Valid</v>
      </c>
    </row>
    <row r="1730" spans="1:45" x14ac:dyDescent="0.3">
      <c r="A1730">
        <v>1000</v>
      </c>
      <c r="B1730">
        <v>1961</v>
      </c>
      <c r="C1730" t="s">
        <v>34</v>
      </c>
      <c r="D1730" t="s">
        <v>31</v>
      </c>
      <c r="E1730">
        <v>74881</v>
      </c>
      <c r="F1730">
        <v>1</v>
      </c>
      <c r="G1730">
        <v>1</v>
      </c>
      <c r="H1730" s="1">
        <v>41341</v>
      </c>
      <c r="I1730">
        <v>48</v>
      </c>
      <c r="J1730">
        <v>505</v>
      </c>
      <c r="K1730">
        <v>72</v>
      </c>
      <c r="L1730">
        <v>270</v>
      </c>
      <c r="M1730">
        <v>36</v>
      </c>
      <c r="N1730">
        <v>27</v>
      </c>
      <c r="O1730">
        <v>54</v>
      </c>
      <c r="P1730">
        <v>4</v>
      </c>
      <c r="Q1730">
        <v>9</v>
      </c>
      <c r="R1730">
        <v>2</v>
      </c>
      <c r="S1730">
        <v>12</v>
      </c>
      <c r="T1730">
        <v>5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3</v>
      </c>
      <c r="AB1730">
        <v>11</v>
      </c>
      <c r="AC1730">
        <v>0</v>
      </c>
      <c r="AD1730" t="str">
        <f t="shared" ref="AD1730:AD1793" si="351">IF(COUNTIF(A:A,A1730)&gt;1,"Duplicate","Ok")</f>
        <v>Ok</v>
      </c>
      <c r="AE1730" t="str">
        <f>IF(AND(Audit_Data[[#This Row],[Year_Birth]]&gt;=1900,Audit_Data[[#This Row],[Year_Birth]]&lt;=2010),"OK","Invalid")</f>
        <v>OK</v>
      </c>
      <c r="AF1730" t="str">
        <f t="shared" ref="AF1730:AF1793" si="352">IF(OR(C1730="Graduation",C1730="phD",C1730="Master",C1730="Basic",C1730="2n Cycle"),"Valid","Invalid")</f>
        <v>Valid</v>
      </c>
      <c r="AG1730" t="str">
        <f t="shared" ref="AG1730:AG1793" si="353">IF(OR(D1730="Single",D1730="Married",D1730="Divorced",D1730="Together",D1730="Widow",D1730="Alone"),"Valid","Invalid")</f>
        <v>Valid</v>
      </c>
      <c r="AH1730" t="str">
        <f t="shared" ref="AH1730:AH1793" si="354">IF(AND(ISNUMBER(E1730),E1730&lt;&gt;""),"Valid","Invalid")</f>
        <v>Valid</v>
      </c>
      <c r="AI1730" t="str">
        <f t="shared" ref="AI1730:AI1793" si="355">IF(AND(F1730&gt;=0,F1730&lt;=2),"Valid","Invalid")</f>
        <v>Valid</v>
      </c>
      <c r="AJ1730" t="str">
        <f t="shared" ref="AJ1730:AJ1793" si="356">IF(AND(G1730&gt;=0,G1730&lt;=2),"Valid","Invalid")</f>
        <v>Valid</v>
      </c>
      <c r="AK1730" t="str">
        <f t="shared" si="350"/>
        <v xml:space="preserve">Valid </v>
      </c>
      <c r="AL1730" t="str">
        <f>IF(AND(Audit_Data[[#This Row],[Recency]]&gt;=0,Audit_Data[[#This Row],[Recency]]&lt;=100),"Valid","Invalid")</f>
        <v>Valid</v>
      </c>
      <c r="AM1730" t="str">
        <f t="shared" ref="AM1730:AM1793" si="357">IF(AND(ISNUMBER(J1730),J1730&gt;=0,ISNUMBER(K1730),K1730&gt;=0,ISNUMBER(L1730),L1730&gt;=0,ISNUMBER(M1730),M1730&gt;=0,ISNUMBER(N1730),N1730&gt;=0,ISNUMBER(O1730),O1730&gt;=0),"Valid","Invalid")</f>
        <v>Valid</v>
      </c>
      <c r="AN1730" t="str">
        <f t="shared" ref="AN1730:AN1793" si="358">IF(AND(ISNUMBER(P1730),P1730&gt;=0,ISNUMBER(Q1730),Q1730&gt;=0,ISNUMBER(R1730),R1730&gt;=0,ISNUMBER(S1730),S1730&gt;=0,ISNUMBER(T1730),T1730&gt;=0),"Valid","Invalid")</f>
        <v>Valid</v>
      </c>
      <c r="AO1730" t="str">
        <f t="shared" ref="AO1730:AO1793" si="359">IF(AND(U1730&lt;=1,V1730&lt;=1,W1730&lt;=1,X1730&lt;=1,Y1730&lt;=1),"Valid","Invalid")</f>
        <v>Valid</v>
      </c>
      <c r="AP1730" t="str">
        <f t="shared" ref="AP1730:AP1793" si="360">IF(OR(Z1730=0,Z1730=1),"Valid","Invalid")</f>
        <v>Valid</v>
      </c>
      <c r="AQ1730" t="str">
        <f>IF(Audit_Data[[#This Row],[Z_CostContact]]=3,"Valid","Invalid")</f>
        <v>Valid</v>
      </c>
      <c r="AR1730" t="str">
        <f t="shared" ref="AR1730:AR1793" si="361">IF(AB1730=11,"Valid","Invalid")</f>
        <v>Valid</v>
      </c>
      <c r="AS1730" t="str">
        <f t="shared" ref="AS1730:AS1793" si="362">IF(OR(AC1730=0,AC1730=1),"Valid","Invalid")</f>
        <v>Valid</v>
      </c>
    </row>
    <row r="1731" spans="1:45" x14ac:dyDescent="0.3">
      <c r="A1731">
        <v>3828</v>
      </c>
      <c r="B1731">
        <v>1951</v>
      </c>
      <c r="C1731" t="s">
        <v>29</v>
      </c>
      <c r="D1731" t="s">
        <v>33</v>
      </c>
      <c r="E1731">
        <v>71107</v>
      </c>
      <c r="F1731">
        <v>0</v>
      </c>
      <c r="G1731">
        <v>1</v>
      </c>
      <c r="H1731" s="1">
        <v>41322</v>
      </c>
      <c r="I1731">
        <v>61</v>
      </c>
      <c r="J1731">
        <v>533</v>
      </c>
      <c r="K1731">
        <v>10</v>
      </c>
      <c r="L1731">
        <v>217</v>
      </c>
      <c r="M1731">
        <v>198</v>
      </c>
      <c r="N1731">
        <v>174</v>
      </c>
      <c r="O1731">
        <v>195</v>
      </c>
      <c r="P1731">
        <v>2</v>
      </c>
      <c r="Q1731">
        <v>7</v>
      </c>
      <c r="R1731">
        <v>6</v>
      </c>
      <c r="S1731">
        <v>13</v>
      </c>
      <c r="T1731">
        <v>4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3</v>
      </c>
      <c r="AB1731">
        <v>11</v>
      </c>
      <c r="AC1731">
        <v>0</v>
      </c>
      <c r="AD1731" t="str">
        <f t="shared" si="351"/>
        <v>Ok</v>
      </c>
      <c r="AE1731" t="str">
        <f>IF(AND(Audit_Data[[#This Row],[Year_Birth]]&gt;=1900,Audit_Data[[#This Row],[Year_Birth]]&lt;=2010),"OK","Invalid")</f>
        <v>OK</v>
      </c>
      <c r="AF1731" t="str">
        <f t="shared" si="352"/>
        <v>Valid</v>
      </c>
      <c r="AG1731" t="str">
        <f t="shared" si="353"/>
        <v>Valid</v>
      </c>
      <c r="AH1731" t="str">
        <f t="shared" si="354"/>
        <v>Valid</v>
      </c>
      <c r="AI1731" t="str">
        <f t="shared" si="355"/>
        <v>Valid</v>
      </c>
      <c r="AJ1731" t="str">
        <f t="shared" si="356"/>
        <v>Valid</v>
      </c>
      <c r="AK1731" t="str">
        <f t="shared" ref="AK1731:AK1794" si="363">IF(AND(ISNUMBER(H1731),H1731&gt;=DATE(2012,1,1),H1731&lt;=DATE(2014,12,31)),"Valid ","Invalid")</f>
        <v xml:space="preserve">Valid </v>
      </c>
      <c r="AL1731" t="str">
        <f>IF(AND(Audit_Data[[#This Row],[Recency]]&gt;=0,Audit_Data[[#This Row],[Recency]]&lt;=100),"Valid","Invalid")</f>
        <v>Valid</v>
      </c>
      <c r="AM1731" t="str">
        <f t="shared" si="357"/>
        <v>Valid</v>
      </c>
      <c r="AN1731" t="str">
        <f t="shared" si="358"/>
        <v>Valid</v>
      </c>
      <c r="AO1731" t="str">
        <f t="shared" si="359"/>
        <v>Valid</v>
      </c>
      <c r="AP1731" t="str">
        <f t="shared" si="360"/>
        <v>Valid</v>
      </c>
      <c r="AQ1731" t="str">
        <f>IF(Audit_Data[[#This Row],[Z_CostContact]]=3,"Valid","Invalid")</f>
        <v>Valid</v>
      </c>
      <c r="AR1731" t="str">
        <f t="shared" si="361"/>
        <v>Valid</v>
      </c>
      <c r="AS1731" t="str">
        <f t="shared" si="362"/>
        <v>Valid</v>
      </c>
    </row>
    <row r="1732" spans="1:45" x14ac:dyDescent="0.3">
      <c r="A1732">
        <v>8605</v>
      </c>
      <c r="B1732">
        <v>1964</v>
      </c>
      <c r="C1732" t="s">
        <v>32</v>
      </c>
      <c r="D1732" t="s">
        <v>31</v>
      </c>
      <c r="E1732">
        <v>46910</v>
      </c>
      <c r="F1732">
        <v>1</v>
      </c>
      <c r="G1732">
        <v>1</v>
      </c>
      <c r="H1732" s="1">
        <v>41721</v>
      </c>
      <c r="I1732">
        <v>36</v>
      </c>
      <c r="J1732">
        <v>48</v>
      </c>
      <c r="K1732">
        <v>0</v>
      </c>
      <c r="L1732">
        <v>14</v>
      </c>
      <c r="M1732">
        <v>0</v>
      </c>
      <c r="N1732">
        <v>0</v>
      </c>
      <c r="O1732">
        <v>6</v>
      </c>
      <c r="P1732">
        <v>2</v>
      </c>
      <c r="Q1732">
        <v>2</v>
      </c>
      <c r="R1732">
        <v>0</v>
      </c>
      <c r="S1732">
        <v>3</v>
      </c>
      <c r="T1732">
        <v>6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3</v>
      </c>
      <c r="AB1732">
        <v>11</v>
      </c>
      <c r="AC1732">
        <v>0</v>
      </c>
      <c r="AD1732" t="str">
        <f t="shared" si="351"/>
        <v>Ok</v>
      </c>
      <c r="AE1732" t="str">
        <f>IF(AND(Audit_Data[[#This Row],[Year_Birth]]&gt;=1900,Audit_Data[[#This Row],[Year_Birth]]&lt;=2010),"OK","Invalid")</f>
        <v>OK</v>
      </c>
      <c r="AF1732" t="str">
        <f t="shared" si="352"/>
        <v>Valid</v>
      </c>
      <c r="AG1732" t="str">
        <f t="shared" si="353"/>
        <v>Valid</v>
      </c>
      <c r="AH1732" t="str">
        <f t="shared" si="354"/>
        <v>Valid</v>
      </c>
      <c r="AI1732" t="str">
        <f t="shared" si="355"/>
        <v>Valid</v>
      </c>
      <c r="AJ1732" t="str">
        <f t="shared" si="356"/>
        <v>Valid</v>
      </c>
      <c r="AK1732" t="str">
        <f t="shared" si="363"/>
        <v xml:space="preserve">Valid </v>
      </c>
      <c r="AL1732" t="str">
        <f>IF(AND(Audit_Data[[#This Row],[Recency]]&gt;=0,Audit_Data[[#This Row],[Recency]]&lt;=100),"Valid","Invalid")</f>
        <v>Valid</v>
      </c>
      <c r="AM1732" t="str">
        <f t="shared" si="357"/>
        <v>Valid</v>
      </c>
      <c r="AN1732" t="str">
        <f t="shared" si="358"/>
        <v>Valid</v>
      </c>
      <c r="AO1732" t="str">
        <f t="shared" si="359"/>
        <v>Valid</v>
      </c>
      <c r="AP1732" t="str">
        <f t="shared" si="360"/>
        <v>Valid</v>
      </c>
      <c r="AQ1732" t="str">
        <f>IF(Audit_Data[[#This Row],[Z_CostContact]]=3,"Valid","Invalid")</f>
        <v>Valid</v>
      </c>
      <c r="AR1732" t="str">
        <f t="shared" si="361"/>
        <v>Valid</v>
      </c>
      <c r="AS1732" t="str">
        <f t="shared" si="362"/>
        <v>Valid</v>
      </c>
    </row>
    <row r="1733" spans="1:45" x14ac:dyDescent="0.3">
      <c r="A1733">
        <v>10304</v>
      </c>
      <c r="B1733">
        <v>1959</v>
      </c>
      <c r="C1733" t="s">
        <v>29</v>
      </c>
      <c r="D1733" t="s">
        <v>33</v>
      </c>
      <c r="E1733">
        <v>18690</v>
      </c>
      <c r="F1733">
        <v>0</v>
      </c>
      <c r="G1733">
        <v>0</v>
      </c>
      <c r="H1733" s="1">
        <v>41271</v>
      </c>
      <c r="I1733">
        <v>77</v>
      </c>
      <c r="J1733">
        <v>6</v>
      </c>
      <c r="K1733">
        <v>1</v>
      </c>
      <c r="L1733">
        <v>7</v>
      </c>
      <c r="M1733">
        <v>23</v>
      </c>
      <c r="N1733">
        <v>4</v>
      </c>
      <c r="O1733">
        <v>19</v>
      </c>
      <c r="P1733">
        <v>1</v>
      </c>
      <c r="Q1733">
        <v>1</v>
      </c>
      <c r="R1733">
        <v>1</v>
      </c>
      <c r="S1733">
        <v>2</v>
      </c>
      <c r="T1733">
        <v>8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3</v>
      </c>
      <c r="AB1733">
        <v>11</v>
      </c>
      <c r="AC1733">
        <v>0</v>
      </c>
      <c r="AD1733" t="str">
        <f t="shared" si="351"/>
        <v>Ok</v>
      </c>
      <c r="AE1733" t="str">
        <f>IF(AND(Audit_Data[[#This Row],[Year_Birth]]&gt;=1900,Audit_Data[[#This Row],[Year_Birth]]&lt;=2010),"OK","Invalid")</f>
        <v>OK</v>
      </c>
      <c r="AF1733" t="str">
        <f t="shared" si="352"/>
        <v>Valid</v>
      </c>
      <c r="AG1733" t="str">
        <f t="shared" si="353"/>
        <v>Valid</v>
      </c>
      <c r="AH1733" t="str">
        <f t="shared" si="354"/>
        <v>Valid</v>
      </c>
      <c r="AI1733" t="str">
        <f t="shared" si="355"/>
        <v>Valid</v>
      </c>
      <c r="AJ1733" t="str">
        <f t="shared" si="356"/>
        <v>Valid</v>
      </c>
      <c r="AK1733" t="str">
        <f t="shared" si="363"/>
        <v xml:space="preserve">Valid </v>
      </c>
      <c r="AL1733" t="str">
        <f>IF(AND(Audit_Data[[#This Row],[Recency]]&gt;=0,Audit_Data[[#This Row],[Recency]]&lt;=100),"Valid","Invalid")</f>
        <v>Valid</v>
      </c>
      <c r="AM1733" t="str">
        <f t="shared" si="357"/>
        <v>Valid</v>
      </c>
      <c r="AN1733" t="str">
        <f t="shared" si="358"/>
        <v>Valid</v>
      </c>
      <c r="AO1733" t="str">
        <f t="shared" si="359"/>
        <v>Valid</v>
      </c>
      <c r="AP1733" t="str">
        <f t="shared" si="360"/>
        <v>Valid</v>
      </c>
      <c r="AQ1733" t="str">
        <f>IF(Audit_Data[[#This Row],[Z_CostContact]]=3,"Valid","Invalid")</f>
        <v>Valid</v>
      </c>
      <c r="AR1733" t="str">
        <f t="shared" si="361"/>
        <v>Valid</v>
      </c>
      <c r="AS1733" t="str">
        <f t="shared" si="362"/>
        <v>Valid</v>
      </c>
    </row>
    <row r="1734" spans="1:45" x14ac:dyDescent="0.3">
      <c r="A1734">
        <v>4351</v>
      </c>
      <c r="B1734">
        <v>1955</v>
      </c>
      <c r="C1734" t="s">
        <v>29</v>
      </c>
      <c r="D1734" t="s">
        <v>35</v>
      </c>
      <c r="E1734">
        <v>37244</v>
      </c>
      <c r="F1734">
        <v>1</v>
      </c>
      <c r="G1734">
        <v>1</v>
      </c>
      <c r="H1734" s="1">
        <v>41391</v>
      </c>
      <c r="I1734">
        <v>90</v>
      </c>
      <c r="J1734">
        <v>18</v>
      </c>
      <c r="K1734">
        <v>2</v>
      </c>
      <c r="L1734">
        <v>10</v>
      </c>
      <c r="M1734">
        <v>0</v>
      </c>
      <c r="N1734">
        <v>0</v>
      </c>
      <c r="O1734">
        <v>25</v>
      </c>
      <c r="P1734">
        <v>1</v>
      </c>
      <c r="Q1734">
        <v>1</v>
      </c>
      <c r="R1734">
        <v>1</v>
      </c>
      <c r="S1734">
        <v>2</v>
      </c>
      <c r="T1734">
        <v>7</v>
      </c>
      <c r="U1734">
        <v>1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3</v>
      </c>
      <c r="AB1734">
        <v>11</v>
      </c>
      <c r="AC1734">
        <v>0</v>
      </c>
      <c r="AD1734" t="str">
        <f t="shared" si="351"/>
        <v>Ok</v>
      </c>
      <c r="AE1734" t="str">
        <f>IF(AND(Audit_Data[[#This Row],[Year_Birth]]&gt;=1900,Audit_Data[[#This Row],[Year_Birth]]&lt;=2010),"OK","Invalid")</f>
        <v>OK</v>
      </c>
      <c r="AF1734" t="str">
        <f t="shared" si="352"/>
        <v>Valid</v>
      </c>
      <c r="AG1734" t="str">
        <f t="shared" si="353"/>
        <v>Valid</v>
      </c>
      <c r="AH1734" t="str">
        <f t="shared" si="354"/>
        <v>Valid</v>
      </c>
      <c r="AI1734" t="str">
        <f t="shared" si="355"/>
        <v>Valid</v>
      </c>
      <c r="AJ1734" t="str">
        <f t="shared" si="356"/>
        <v>Valid</v>
      </c>
      <c r="AK1734" t="str">
        <f t="shared" si="363"/>
        <v xml:space="preserve">Valid </v>
      </c>
      <c r="AL1734" t="str">
        <f>IF(AND(Audit_Data[[#This Row],[Recency]]&gt;=0,Audit_Data[[#This Row],[Recency]]&lt;=100),"Valid","Invalid")</f>
        <v>Valid</v>
      </c>
      <c r="AM1734" t="str">
        <f t="shared" si="357"/>
        <v>Valid</v>
      </c>
      <c r="AN1734" t="str">
        <f t="shared" si="358"/>
        <v>Valid</v>
      </c>
      <c r="AO1734" t="str">
        <f t="shared" si="359"/>
        <v>Valid</v>
      </c>
      <c r="AP1734" t="str">
        <f t="shared" si="360"/>
        <v>Valid</v>
      </c>
      <c r="AQ1734" t="str">
        <f>IF(Audit_Data[[#This Row],[Z_CostContact]]=3,"Valid","Invalid")</f>
        <v>Valid</v>
      </c>
      <c r="AR1734" t="str">
        <f t="shared" si="361"/>
        <v>Valid</v>
      </c>
      <c r="AS1734" t="str">
        <f t="shared" si="362"/>
        <v>Valid</v>
      </c>
    </row>
    <row r="1735" spans="1:45" x14ac:dyDescent="0.3">
      <c r="A1735">
        <v>10129</v>
      </c>
      <c r="B1735">
        <v>1966</v>
      </c>
      <c r="C1735" t="s">
        <v>29</v>
      </c>
      <c r="D1735" t="s">
        <v>31</v>
      </c>
      <c r="E1735">
        <v>82427</v>
      </c>
      <c r="F1735">
        <v>0</v>
      </c>
      <c r="G1735">
        <v>0</v>
      </c>
      <c r="H1735" s="1">
        <v>41710</v>
      </c>
      <c r="I1735">
        <v>35</v>
      </c>
      <c r="J1735">
        <v>482</v>
      </c>
      <c r="K1735">
        <v>147</v>
      </c>
      <c r="L1735">
        <v>509</v>
      </c>
      <c r="M1735">
        <v>104</v>
      </c>
      <c r="N1735">
        <v>107</v>
      </c>
      <c r="O1735">
        <v>107</v>
      </c>
      <c r="P1735">
        <v>1</v>
      </c>
      <c r="Q1735">
        <v>3</v>
      </c>
      <c r="R1735">
        <v>5</v>
      </c>
      <c r="S1735">
        <v>12</v>
      </c>
      <c r="T1735">
        <v>1</v>
      </c>
      <c r="U1735">
        <v>0</v>
      </c>
      <c r="V1735">
        <v>0</v>
      </c>
      <c r="W1735">
        <v>1</v>
      </c>
      <c r="X1735">
        <v>0</v>
      </c>
      <c r="Y1735">
        <v>0</v>
      </c>
      <c r="Z1735">
        <v>0</v>
      </c>
      <c r="AA1735">
        <v>3</v>
      </c>
      <c r="AB1735">
        <v>11</v>
      </c>
      <c r="AC1735">
        <v>0</v>
      </c>
      <c r="AD1735" t="str">
        <f t="shared" si="351"/>
        <v>Ok</v>
      </c>
      <c r="AE1735" t="str">
        <f>IF(AND(Audit_Data[[#This Row],[Year_Birth]]&gt;=1900,Audit_Data[[#This Row],[Year_Birth]]&lt;=2010),"OK","Invalid")</f>
        <v>OK</v>
      </c>
      <c r="AF1735" t="str">
        <f t="shared" si="352"/>
        <v>Valid</v>
      </c>
      <c r="AG1735" t="str">
        <f t="shared" si="353"/>
        <v>Valid</v>
      </c>
      <c r="AH1735" t="str">
        <f t="shared" si="354"/>
        <v>Valid</v>
      </c>
      <c r="AI1735" t="str">
        <f t="shared" si="355"/>
        <v>Valid</v>
      </c>
      <c r="AJ1735" t="str">
        <f t="shared" si="356"/>
        <v>Valid</v>
      </c>
      <c r="AK1735" t="str">
        <f t="shared" si="363"/>
        <v xml:space="preserve">Valid </v>
      </c>
      <c r="AL1735" t="str">
        <f>IF(AND(Audit_Data[[#This Row],[Recency]]&gt;=0,Audit_Data[[#This Row],[Recency]]&lt;=100),"Valid","Invalid")</f>
        <v>Valid</v>
      </c>
      <c r="AM1735" t="str">
        <f t="shared" si="357"/>
        <v>Valid</v>
      </c>
      <c r="AN1735" t="str">
        <f t="shared" si="358"/>
        <v>Valid</v>
      </c>
      <c r="AO1735" t="str">
        <f t="shared" si="359"/>
        <v>Valid</v>
      </c>
      <c r="AP1735" t="str">
        <f t="shared" si="360"/>
        <v>Valid</v>
      </c>
      <c r="AQ1735" t="str">
        <f>IF(Audit_Data[[#This Row],[Z_CostContact]]=3,"Valid","Invalid")</f>
        <v>Valid</v>
      </c>
      <c r="AR1735" t="str">
        <f t="shared" si="361"/>
        <v>Valid</v>
      </c>
      <c r="AS1735" t="str">
        <f t="shared" si="362"/>
        <v>Valid</v>
      </c>
    </row>
    <row r="1736" spans="1:45" x14ac:dyDescent="0.3">
      <c r="A1736">
        <v>2499</v>
      </c>
      <c r="B1736">
        <v>1958</v>
      </c>
      <c r="C1736" t="s">
        <v>37</v>
      </c>
      <c r="D1736" t="s">
        <v>30</v>
      </c>
      <c r="E1736">
        <v>75342</v>
      </c>
      <c r="F1736">
        <v>0</v>
      </c>
      <c r="G1736">
        <v>1</v>
      </c>
      <c r="H1736" s="1">
        <v>41400</v>
      </c>
      <c r="I1736">
        <v>38</v>
      </c>
      <c r="J1736">
        <v>204</v>
      </c>
      <c r="K1736">
        <v>97</v>
      </c>
      <c r="L1736">
        <v>97</v>
      </c>
      <c r="M1736">
        <v>21</v>
      </c>
      <c r="N1736">
        <v>118</v>
      </c>
      <c r="O1736">
        <v>26</v>
      </c>
      <c r="P1736">
        <v>1</v>
      </c>
      <c r="Q1736">
        <v>5</v>
      </c>
      <c r="R1736">
        <v>2</v>
      </c>
      <c r="S1736">
        <v>10</v>
      </c>
      <c r="T1736">
        <v>4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3</v>
      </c>
      <c r="AB1736">
        <v>11</v>
      </c>
      <c r="AC1736">
        <v>0</v>
      </c>
      <c r="AD1736" t="str">
        <f t="shared" si="351"/>
        <v>Ok</v>
      </c>
      <c r="AE1736" t="str">
        <f>IF(AND(Audit_Data[[#This Row],[Year_Birth]]&gt;=1900,Audit_Data[[#This Row],[Year_Birth]]&lt;=2010),"OK","Invalid")</f>
        <v>OK</v>
      </c>
      <c r="AF1736" t="str">
        <f t="shared" si="352"/>
        <v>Valid</v>
      </c>
      <c r="AG1736" t="str">
        <f t="shared" si="353"/>
        <v>Valid</v>
      </c>
      <c r="AH1736" t="str">
        <f t="shared" si="354"/>
        <v>Valid</v>
      </c>
      <c r="AI1736" t="str">
        <f t="shared" si="355"/>
        <v>Valid</v>
      </c>
      <c r="AJ1736" t="str">
        <f t="shared" si="356"/>
        <v>Valid</v>
      </c>
      <c r="AK1736" t="str">
        <f t="shared" si="363"/>
        <v xml:space="preserve">Valid </v>
      </c>
      <c r="AL1736" t="str">
        <f>IF(AND(Audit_Data[[#This Row],[Recency]]&gt;=0,Audit_Data[[#This Row],[Recency]]&lt;=100),"Valid","Invalid")</f>
        <v>Valid</v>
      </c>
      <c r="AM1736" t="str">
        <f t="shared" si="357"/>
        <v>Valid</v>
      </c>
      <c r="AN1736" t="str">
        <f t="shared" si="358"/>
        <v>Valid</v>
      </c>
      <c r="AO1736" t="str">
        <f t="shared" si="359"/>
        <v>Valid</v>
      </c>
      <c r="AP1736" t="str">
        <f t="shared" si="360"/>
        <v>Valid</v>
      </c>
      <c r="AQ1736" t="str">
        <f>IF(Audit_Data[[#This Row],[Z_CostContact]]=3,"Valid","Invalid")</f>
        <v>Valid</v>
      </c>
      <c r="AR1736" t="str">
        <f t="shared" si="361"/>
        <v>Valid</v>
      </c>
      <c r="AS1736" t="str">
        <f t="shared" si="362"/>
        <v>Valid</v>
      </c>
    </row>
    <row r="1737" spans="1:45" x14ac:dyDescent="0.3">
      <c r="A1737">
        <v>10092</v>
      </c>
      <c r="B1737">
        <v>1954</v>
      </c>
      <c r="C1737" t="s">
        <v>29</v>
      </c>
      <c r="D1737" t="s">
        <v>35</v>
      </c>
      <c r="E1737">
        <v>70044</v>
      </c>
      <c r="F1737">
        <v>0</v>
      </c>
      <c r="G1737">
        <v>1</v>
      </c>
      <c r="H1737" s="1">
        <v>41323</v>
      </c>
      <c r="I1737">
        <v>46</v>
      </c>
      <c r="J1737">
        <v>1073</v>
      </c>
      <c r="K1737">
        <v>0</v>
      </c>
      <c r="L1737">
        <v>250</v>
      </c>
      <c r="M1737">
        <v>153</v>
      </c>
      <c r="N1737">
        <v>14</v>
      </c>
      <c r="O1737">
        <v>14</v>
      </c>
      <c r="P1737">
        <v>4</v>
      </c>
      <c r="Q1737">
        <v>7</v>
      </c>
      <c r="R1737">
        <v>10</v>
      </c>
      <c r="S1737">
        <v>5</v>
      </c>
      <c r="T1737">
        <v>5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3</v>
      </c>
      <c r="AB1737">
        <v>11</v>
      </c>
      <c r="AC1737">
        <v>0</v>
      </c>
      <c r="AD1737" t="str">
        <f t="shared" si="351"/>
        <v>Ok</v>
      </c>
      <c r="AE1737" t="str">
        <f>IF(AND(Audit_Data[[#This Row],[Year_Birth]]&gt;=1900,Audit_Data[[#This Row],[Year_Birth]]&lt;=2010),"OK","Invalid")</f>
        <v>OK</v>
      </c>
      <c r="AF1737" t="str">
        <f t="shared" si="352"/>
        <v>Valid</v>
      </c>
      <c r="AG1737" t="str">
        <f t="shared" si="353"/>
        <v>Valid</v>
      </c>
      <c r="AH1737" t="str">
        <f t="shared" si="354"/>
        <v>Valid</v>
      </c>
      <c r="AI1737" t="str">
        <f t="shared" si="355"/>
        <v>Valid</v>
      </c>
      <c r="AJ1737" t="str">
        <f t="shared" si="356"/>
        <v>Valid</v>
      </c>
      <c r="AK1737" t="str">
        <f t="shared" si="363"/>
        <v xml:space="preserve">Valid </v>
      </c>
      <c r="AL1737" t="str">
        <f>IF(AND(Audit_Data[[#This Row],[Recency]]&gt;=0,Audit_Data[[#This Row],[Recency]]&lt;=100),"Valid","Invalid")</f>
        <v>Valid</v>
      </c>
      <c r="AM1737" t="str">
        <f t="shared" si="357"/>
        <v>Valid</v>
      </c>
      <c r="AN1737" t="str">
        <f t="shared" si="358"/>
        <v>Valid</v>
      </c>
      <c r="AO1737" t="str">
        <f t="shared" si="359"/>
        <v>Valid</v>
      </c>
      <c r="AP1737" t="str">
        <f t="shared" si="360"/>
        <v>Valid</v>
      </c>
      <c r="AQ1737" t="str">
        <f>IF(Audit_Data[[#This Row],[Z_CostContact]]=3,"Valid","Invalid")</f>
        <v>Valid</v>
      </c>
      <c r="AR1737" t="str">
        <f t="shared" si="361"/>
        <v>Valid</v>
      </c>
      <c r="AS1737" t="str">
        <f t="shared" si="362"/>
        <v>Valid</v>
      </c>
    </row>
    <row r="1738" spans="1:45" x14ac:dyDescent="0.3">
      <c r="A1738">
        <v>7500</v>
      </c>
      <c r="B1738">
        <v>1967</v>
      </c>
      <c r="C1738" t="s">
        <v>29</v>
      </c>
      <c r="D1738" t="s">
        <v>30</v>
      </c>
      <c r="E1738">
        <v>79146</v>
      </c>
      <c r="F1738">
        <v>1</v>
      </c>
      <c r="G1738">
        <v>1</v>
      </c>
      <c r="H1738" s="1">
        <v>41753</v>
      </c>
      <c r="I1738">
        <v>33</v>
      </c>
      <c r="J1738">
        <v>245</v>
      </c>
      <c r="K1738">
        <v>16</v>
      </c>
      <c r="L1738">
        <v>223</v>
      </c>
      <c r="M1738">
        <v>21</v>
      </c>
      <c r="N1738">
        <v>43</v>
      </c>
      <c r="O1738">
        <v>16</v>
      </c>
      <c r="P1738">
        <v>2</v>
      </c>
      <c r="Q1738">
        <v>8</v>
      </c>
      <c r="R1738">
        <v>1</v>
      </c>
      <c r="S1738">
        <v>8</v>
      </c>
      <c r="T1738">
        <v>6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3</v>
      </c>
      <c r="AB1738">
        <v>11</v>
      </c>
      <c r="AC1738">
        <v>0</v>
      </c>
      <c r="AD1738" t="str">
        <f t="shared" si="351"/>
        <v>Ok</v>
      </c>
      <c r="AE1738" t="str">
        <f>IF(AND(Audit_Data[[#This Row],[Year_Birth]]&gt;=1900,Audit_Data[[#This Row],[Year_Birth]]&lt;=2010),"OK","Invalid")</f>
        <v>OK</v>
      </c>
      <c r="AF1738" t="str">
        <f t="shared" si="352"/>
        <v>Valid</v>
      </c>
      <c r="AG1738" t="str">
        <f t="shared" si="353"/>
        <v>Valid</v>
      </c>
      <c r="AH1738" t="str">
        <f t="shared" si="354"/>
        <v>Valid</v>
      </c>
      <c r="AI1738" t="str">
        <f t="shared" si="355"/>
        <v>Valid</v>
      </c>
      <c r="AJ1738" t="str">
        <f t="shared" si="356"/>
        <v>Valid</v>
      </c>
      <c r="AK1738" t="str">
        <f t="shared" si="363"/>
        <v xml:space="preserve">Valid </v>
      </c>
      <c r="AL1738" t="str">
        <f>IF(AND(Audit_Data[[#This Row],[Recency]]&gt;=0,Audit_Data[[#This Row],[Recency]]&lt;=100),"Valid","Invalid")</f>
        <v>Valid</v>
      </c>
      <c r="AM1738" t="str">
        <f t="shared" si="357"/>
        <v>Valid</v>
      </c>
      <c r="AN1738" t="str">
        <f t="shared" si="358"/>
        <v>Valid</v>
      </c>
      <c r="AO1738" t="str">
        <f t="shared" si="359"/>
        <v>Valid</v>
      </c>
      <c r="AP1738" t="str">
        <f t="shared" si="360"/>
        <v>Valid</v>
      </c>
      <c r="AQ1738" t="str">
        <f>IF(Audit_Data[[#This Row],[Z_CostContact]]=3,"Valid","Invalid")</f>
        <v>Valid</v>
      </c>
      <c r="AR1738" t="str">
        <f t="shared" si="361"/>
        <v>Valid</v>
      </c>
      <c r="AS1738" t="str">
        <f t="shared" si="362"/>
        <v>Valid</v>
      </c>
    </row>
    <row r="1739" spans="1:45" x14ac:dyDescent="0.3">
      <c r="A1739">
        <v>5796</v>
      </c>
      <c r="B1739">
        <v>1963</v>
      </c>
      <c r="C1739" t="s">
        <v>29</v>
      </c>
      <c r="D1739" t="s">
        <v>33</v>
      </c>
      <c r="E1739">
        <v>77437</v>
      </c>
      <c r="F1739">
        <v>0</v>
      </c>
      <c r="G1739">
        <v>0</v>
      </c>
      <c r="H1739" s="1">
        <v>41604</v>
      </c>
      <c r="I1739">
        <v>70</v>
      </c>
      <c r="J1739">
        <v>560</v>
      </c>
      <c r="K1739">
        <v>21</v>
      </c>
      <c r="L1739">
        <v>442</v>
      </c>
      <c r="M1739">
        <v>29</v>
      </c>
      <c r="N1739">
        <v>44</v>
      </c>
      <c r="O1739">
        <v>29</v>
      </c>
      <c r="P1739">
        <v>1</v>
      </c>
      <c r="Q1739">
        <v>4</v>
      </c>
      <c r="R1739">
        <v>5</v>
      </c>
      <c r="S1739">
        <v>13</v>
      </c>
      <c r="T1739">
        <v>1</v>
      </c>
      <c r="U1739">
        <v>0</v>
      </c>
      <c r="V1739">
        <v>0</v>
      </c>
      <c r="W1739">
        <v>1</v>
      </c>
      <c r="X1739">
        <v>0</v>
      </c>
      <c r="Y1739">
        <v>0</v>
      </c>
      <c r="Z1739">
        <v>0</v>
      </c>
      <c r="AA1739">
        <v>3</v>
      </c>
      <c r="AB1739">
        <v>11</v>
      </c>
      <c r="AC1739">
        <v>0</v>
      </c>
      <c r="AD1739" t="str">
        <f t="shared" si="351"/>
        <v>Ok</v>
      </c>
      <c r="AE1739" t="str">
        <f>IF(AND(Audit_Data[[#This Row],[Year_Birth]]&gt;=1900,Audit_Data[[#This Row],[Year_Birth]]&lt;=2010),"OK","Invalid")</f>
        <v>OK</v>
      </c>
      <c r="AF1739" t="str">
        <f t="shared" si="352"/>
        <v>Valid</v>
      </c>
      <c r="AG1739" t="str">
        <f t="shared" si="353"/>
        <v>Valid</v>
      </c>
      <c r="AH1739" t="str">
        <f t="shared" si="354"/>
        <v>Valid</v>
      </c>
      <c r="AI1739" t="str">
        <f t="shared" si="355"/>
        <v>Valid</v>
      </c>
      <c r="AJ1739" t="str">
        <f t="shared" si="356"/>
        <v>Valid</v>
      </c>
      <c r="AK1739" t="str">
        <f t="shared" si="363"/>
        <v xml:space="preserve">Valid </v>
      </c>
      <c r="AL1739" t="str">
        <f>IF(AND(Audit_Data[[#This Row],[Recency]]&gt;=0,Audit_Data[[#This Row],[Recency]]&lt;=100),"Valid","Invalid")</f>
        <v>Valid</v>
      </c>
      <c r="AM1739" t="str">
        <f t="shared" si="357"/>
        <v>Valid</v>
      </c>
      <c r="AN1739" t="str">
        <f t="shared" si="358"/>
        <v>Valid</v>
      </c>
      <c r="AO1739" t="str">
        <f t="shared" si="359"/>
        <v>Valid</v>
      </c>
      <c r="AP1739" t="str">
        <f t="shared" si="360"/>
        <v>Valid</v>
      </c>
      <c r="AQ1739" t="str">
        <f>IF(Audit_Data[[#This Row],[Z_CostContact]]=3,"Valid","Invalid")</f>
        <v>Valid</v>
      </c>
      <c r="AR1739" t="str">
        <f t="shared" si="361"/>
        <v>Valid</v>
      </c>
      <c r="AS1739" t="str">
        <f t="shared" si="362"/>
        <v>Valid</v>
      </c>
    </row>
    <row r="1740" spans="1:45" x14ac:dyDescent="0.3">
      <c r="A1740">
        <v>10556</v>
      </c>
      <c r="B1740">
        <v>1959</v>
      </c>
      <c r="C1740" t="s">
        <v>29</v>
      </c>
      <c r="D1740" t="s">
        <v>33</v>
      </c>
      <c r="E1740">
        <v>54984</v>
      </c>
      <c r="F1740">
        <v>0</v>
      </c>
      <c r="G1740">
        <v>1</v>
      </c>
      <c r="H1740" s="1">
        <v>41783</v>
      </c>
      <c r="I1740">
        <v>51</v>
      </c>
      <c r="J1740">
        <v>173</v>
      </c>
      <c r="K1740">
        <v>13</v>
      </c>
      <c r="L1740">
        <v>131</v>
      </c>
      <c r="M1740">
        <v>32</v>
      </c>
      <c r="N1740">
        <v>3</v>
      </c>
      <c r="O1740">
        <v>6</v>
      </c>
      <c r="P1740">
        <v>4</v>
      </c>
      <c r="Q1740">
        <v>6</v>
      </c>
      <c r="R1740">
        <v>1</v>
      </c>
      <c r="S1740">
        <v>6</v>
      </c>
      <c r="T1740">
        <v>7</v>
      </c>
      <c r="U1740">
        <v>0</v>
      </c>
      <c r="V1740">
        <v>0</v>
      </c>
      <c r="W1740">
        <v>0</v>
      </c>
      <c r="X1740">
        <v>1</v>
      </c>
      <c r="Y1740">
        <v>0</v>
      </c>
      <c r="Z1740">
        <v>0</v>
      </c>
      <c r="AA1740">
        <v>3</v>
      </c>
      <c r="AB1740">
        <v>11</v>
      </c>
      <c r="AC1740">
        <v>0</v>
      </c>
      <c r="AD1740" t="str">
        <f t="shared" si="351"/>
        <v>Ok</v>
      </c>
      <c r="AE1740" t="str">
        <f>IF(AND(Audit_Data[[#This Row],[Year_Birth]]&gt;=1900,Audit_Data[[#This Row],[Year_Birth]]&lt;=2010),"OK","Invalid")</f>
        <v>OK</v>
      </c>
      <c r="AF1740" t="str">
        <f t="shared" si="352"/>
        <v>Valid</v>
      </c>
      <c r="AG1740" t="str">
        <f t="shared" si="353"/>
        <v>Valid</v>
      </c>
      <c r="AH1740" t="str">
        <f t="shared" si="354"/>
        <v>Valid</v>
      </c>
      <c r="AI1740" t="str">
        <f t="shared" si="355"/>
        <v>Valid</v>
      </c>
      <c r="AJ1740" t="str">
        <f t="shared" si="356"/>
        <v>Valid</v>
      </c>
      <c r="AK1740" t="str">
        <f t="shared" si="363"/>
        <v xml:space="preserve">Valid </v>
      </c>
      <c r="AL1740" t="str">
        <f>IF(AND(Audit_Data[[#This Row],[Recency]]&gt;=0,Audit_Data[[#This Row],[Recency]]&lt;=100),"Valid","Invalid")</f>
        <v>Valid</v>
      </c>
      <c r="AM1740" t="str">
        <f t="shared" si="357"/>
        <v>Valid</v>
      </c>
      <c r="AN1740" t="str">
        <f t="shared" si="358"/>
        <v>Valid</v>
      </c>
      <c r="AO1740" t="str">
        <f t="shared" si="359"/>
        <v>Valid</v>
      </c>
      <c r="AP1740" t="str">
        <f t="shared" si="360"/>
        <v>Valid</v>
      </c>
      <c r="AQ1740" t="str">
        <f>IF(Audit_Data[[#This Row],[Z_CostContact]]=3,"Valid","Invalid")</f>
        <v>Valid</v>
      </c>
      <c r="AR1740" t="str">
        <f t="shared" si="361"/>
        <v>Valid</v>
      </c>
      <c r="AS1740" t="str">
        <f t="shared" si="362"/>
        <v>Valid</v>
      </c>
    </row>
    <row r="1741" spans="1:45" x14ac:dyDescent="0.3">
      <c r="A1741">
        <v>1064</v>
      </c>
      <c r="B1741">
        <v>1971</v>
      </c>
      <c r="C1741" t="s">
        <v>32</v>
      </c>
      <c r="D1741" t="s">
        <v>33</v>
      </c>
      <c r="E1741">
        <v>42403</v>
      </c>
      <c r="F1741">
        <v>1</v>
      </c>
      <c r="G1741">
        <v>0</v>
      </c>
      <c r="H1741" s="1">
        <v>41619</v>
      </c>
      <c r="I1741">
        <v>18</v>
      </c>
      <c r="J1741">
        <v>22</v>
      </c>
      <c r="K1741">
        <v>1</v>
      </c>
      <c r="L1741">
        <v>11</v>
      </c>
      <c r="M1741">
        <v>0</v>
      </c>
      <c r="N1741">
        <v>5</v>
      </c>
      <c r="O1741">
        <v>3</v>
      </c>
      <c r="P1741">
        <v>1</v>
      </c>
      <c r="Q1741">
        <v>1</v>
      </c>
      <c r="R1741">
        <v>0</v>
      </c>
      <c r="S1741">
        <v>3</v>
      </c>
      <c r="T1741">
        <v>8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3</v>
      </c>
      <c r="AB1741">
        <v>11</v>
      </c>
      <c r="AC1741">
        <v>0</v>
      </c>
      <c r="AD1741" t="str">
        <f t="shared" si="351"/>
        <v>Ok</v>
      </c>
      <c r="AE1741" t="str">
        <f>IF(AND(Audit_Data[[#This Row],[Year_Birth]]&gt;=1900,Audit_Data[[#This Row],[Year_Birth]]&lt;=2010),"OK","Invalid")</f>
        <v>OK</v>
      </c>
      <c r="AF1741" t="str">
        <f t="shared" si="352"/>
        <v>Valid</v>
      </c>
      <c r="AG1741" t="str">
        <f t="shared" si="353"/>
        <v>Valid</v>
      </c>
      <c r="AH1741" t="str">
        <f t="shared" si="354"/>
        <v>Valid</v>
      </c>
      <c r="AI1741" t="str">
        <f t="shared" si="355"/>
        <v>Valid</v>
      </c>
      <c r="AJ1741" t="str">
        <f t="shared" si="356"/>
        <v>Valid</v>
      </c>
      <c r="AK1741" t="str">
        <f t="shared" si="363"/>
        <v xml:space="preserve">Valid </v>
      </c>
      <c r="AL1741" t="str">
        <f>IF(AND(Audit_Data[[#This Row],[Recency]]&gt;=0,Audit_Data[[#This Row],[Recency]]&lt;=100),"Valid","Invalid")</f>
        <v>Valid</v>
      </c>
      <c r="AM1741" t="str">
        <f t="shared" si="357"/>
        <v>Valid</v>
      </c>
      <c r="AN1741" t="str">
        <f t="shared" si="358"/>
        <v>Valid</v>
      </c>
      <c r="AO1741" t="str">
        <f t="shared" si="359"/>
        <v>Valid</v>
      </c>
      <c r="AP1741" t="str">
        <f t="shared" si="360"/>
        <v>Valid</v>
      </c>
      <c r="AQ1741" t="str">
        <f>IF(Audit_Data[[#This Row],[Z_CostContact]]=3,"Valid","Invalid")</f>
        <v>Valid</v>
      </c>
      <c r="AR1741" t="str">
        <f t="shared" si="361"/>
        <v>Valid</v>
      </c>
      <c r="AS1741" t="str">
        <f t="shared" si="362"/>
        <v>Valid</v>
      </c>
    </row>
    <row r="1742" spans="1:45" x14ac:dyDescent="0.3">
      <c r="A1742">
        <v>48</v>
      </c>
      <c r="B1742">
        <v>1964</v>
      </c>
      <c r="C1742" t="s">
        <v>29</v>
      </c>
      <c r="D1742" t="s">
        <v>31</v>
      </c>
      <c r="E1742">
        <v>55761</v>
      </c>
      <c r="F1742">
        <v>0</v>
      </c>
      <c r="G1742">
        <v>1</v>
      </c>
      <c r="H1742" s="1">
        <v>41753</v>
      </c>
      <c r="I1742">
        <v>97</v>
      </c>
      <c r="J1742">
        <v>136</v>
      </c>
      <c r="K1742">
        <v>1</v>
      </c>
      <c r="L1742">
        <v>12</v>
      </c>
      <c r="M1742">
        <v>0</v>
      </c>
      <c r="N1742">
        <v>3</v>
      </c>
      <c r="O1742">
        <v>32</v>
      </c>
      <c r="P1742">
        <v>2</v>
      </c>
      <c r="Q1742">
        <v>4</v>
      </c>
      <c r="R1742">
        <v>1</v>
      </c>
      <c r="S1742">
        <v>3</v>
      </c>
      <c r="T1742">
        <v>6</v>
      </c>
      <c r="U1742">
        <v>0</v>
      </c>
      <c r="V1742">
        <v>1</v>
      </c>
      <c r="W1742">
        <v>0</v>
      </c>
      <c r="X1742">
        <v>0</v>
      </c>
      <c r="Y1742">
        <v>0</v>
      </c>
      <c r="Z1742">
        <v>0</v>
      </c>
      <c r="AA1742">
        <v>3</v>
      </c>
      <c r="AB1742">
        <v>11</v>
      </c>
      <c r="AC1742">
        <v>0</v>
      </c>
      <c r="AD1742" t="str">
        <f t="shared" si="351"/>
        <v>Ok</v>
      </c>
      <c r="AE1742" t="str">
        <f>IF(AND(Audit_Data[[#This Row],[Year_Birth]]&gt;=1900,Audit_Data[[#This Row],[Year_Birth]]&lt;=2010),"OK","Invalid")</f>
        <v>OK</v>
      </c>
      <c r="AF1742" t="str">
        <f t="shared" si="352"/>
        <v>Valid</v>
      </c>
      <c r="AG1742" t="str">
        <f t="shared" si="353"/>
        <v>Valid</v>
      </c>
      <c r="AH1742" t="str">
        <f t="shared" si="354"/>
        <v>Valid</v>
      </c>
      <c r="AI1742" t="str">
        <f t="shared" si="355"/>
        <v>Valid</v>
      </c>
      <c r="AJ1742" t="str">
        <f t="shared" si="356"/>
        <v>Valid</v>
      </c>
      <c r="AK1742" t="str">
        <f t="shared" si="363"/>
        <v xml:space="preserve">Valid </v>
      </c>
      <c r="AL1742" t="str">
        <f>IF(AND(Audit_Data[[#This Row],[Recency]]&gt;=0,Audit_Data[[#This Row],[Recency]]&lt;=100),"Valid","Invalid")</f>
        <v>Valid</v>
      </c>
      <c r="AM1742" t="str">
        <f t="shared" si="357"/>
        <v>Valid</v>
      </c>
      <c r="AN1742" t="str">
        <f t="shared" si="358"/>
        <v>Valid</v>
      </c>
      <c r="AO1742" t="str">
        <f t="shared" si="359"/>
        <v>Valid</v>
      </c>
      <c r="AP1742" t="str">
        <f t="shared" si="360"/>
        <v>Valid</v>
      </c>
      <c r="AQ1742" t="str">
        <f>IF(Audit_Data[[#This Row],[Z_CostContact]]=3,"Valid","Invalid")</f>
        <v>Valid</v>
      </c>
      <c r="AR1742" t="str">
        <f t="shared" si="361"/>
        <v>Valid</v>
      </c>
      <c r="AS1742" t="str">
        <f t="shared" si="362"/>
        <v>Valid</v>
      </c>
    </row>
    <row r="1743" spans="1:45" x14ac:dyDescent="0.3">
      <c r="A1743">
        <v>7610</v>
      </c>
      <c r="B1743">
        <v>1983</v>
      </c>
      <c r="C1743" t="s">
        <v>29</v>
      </c>
      <c r="D1743" t="s">
        <v>31</v>
      </c>
      <c r="E1743">
        <v>37292</v>
      </c>
      <c r="F1743">
        <v>1</v>
      </c>
      <c r="G1743">
        <v>0</v>
      </c>
      <c r="H1743" s="1">
        <v>41382</v>
      </c>
      <c r="I1743">
        <v>32</v>
      </c>
      <c r="J1743">
        <v>275</v>
      </c>
      <c r="K1743">
        <v>0</v>
      </c>
      <c r="L1743">
        <v>86</v>
      </c>
      <c r="M1743">
        <v>10</v>
      </c>
      <c r="N1743">
        <v>23</v>
      </c>
      <c r="O1743">
        <v>66</v>
      </c>
      <c r="P1743">
        <v>5</v>
      </c>
      <c r="Q1743">
        <v>6</v>
      </c>
      <c r="R1743">
        <v>3</v>
      </c>
      <c r="S1743">
        <v>5</v>
      </c>
      <c r="T1743">
        <v>8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3</v>
      </c>
      <c r="AB1743">
        <v>11</v>
      </c>
      <c r="AC1743">
        <v>0</v>
      </c>
      <c r="AD1743" t="str">
        <f t="shared" si="351"/>
        <v>Ok</v>
      </c>
      <c r="AE1743" t="str">
        <f>IF(AND(Audit_Data[[#This Row],[Year_Birth]]&gt;=1900,Audit_Data[[#This Row],[Year_Birth]]&lt;=2010),"OK","Invalid")</f>
        <v>OK</v>
      </c>
      <c r="AF1743" t="str">
        <f t="shared" si="352"/>
        <v>Valid</v>
      </c>
      <c r="AG1743" t="str">
        <f t="shared" si="353"/>
        <v>Valid</v>
      </c>
      <c r="AH1743" t="str">
        <f t="shared" si="354"/>
        <v>Valid</v>
      </c>
      <c r="AI1743" t="str">
        <f t="shared" si="355"/>
        <v>Valid</v>
      </c>
      <c r="AJ1743" t="str">
        <f t="shared" si="356"/>
        <v>Valid</v>
      </c>
      <c r="AK1743" t="str">
        <f t="shared" si="363"/>
        <v xml:space="preserve">Valid </v>
      </c>
      <c r="AL1743" t="str">
        <f>IF(AND(Audit_Data[[#This Row],[Recency]]&gt;=0,Audit_Data[[#This Row],[Recency]]&lt;=100),"Valid","Invalid")</f>
        <v>Valid</v>
      </c>
      <c r="AM1743" t="str">
        <f t="shared" si="357"/>
        <v>Valid</v>
      </c>
      <c r="AN1743" t="str">
        <f t="shared" si="358"/>
        <v>Valid</v>
      </c>
      <c r="AO1743" t="str">
        <f t="shared" si="359"/>
        <v>Valid</v>
      </c>
      <c r="AP1743" t="str">
        <f t="shared" si="360"/>
        <v>Valid</v>
      </c>
      <c r="AQ1743" t="str">
        <f>IF(Audit_Data[[#This Row],[Z_CostContact]]=3,"Valid","Invalid")</f>
        <v>Valid</v>
      </c>
      <c r="AR1743" t="str">
        <f t="shared" si="361"/>
        <v>Valid</v>
      </c>
      <c r="AS1743" t="str">
        <f t="shared" si="362"/>
        <v>Valid</v>
      </c>
    </row>
    <row r="1744" spans="1:45" x14ac:dyDescent="0.3">
      <c r="A1744">
        <v>263</v>
      </c>
      <c r="B1744">
        <v>1945</v>
      </c>
      <c r="C1744" t="s">
        <v>32</v>
      </c>
      <c r="D1744" t="s">
        <v>30</v>
      </c>
      <c r="E1744">
        <v>45576</v>
      </c>
      <c r="F1744">
        <v>0</v>
      </c>
      <c r="G1744">
        <v>0</v>
      </c>
      <c r="H1744" s="1">
        <v>41787</v>
      </c>
      <c r="I1744">
        <v>9</v>
      </c>
      <c r="J1744">
        <v>56</v>
      </c>
      <c r="K1744">
        <v>19</v>
      </c>
      <c r="L1744">
        <v>29</v>
      </c>
      <c r="M1744">
        <v>2</v>
      </c>
      <c r="N1744">
        <v>14</v>
      </c>
      <c r="O1744">
        <v>25</v>
      </c>
      <c r="P1744">
        <v>1</v>
      </c>
      <c r="Q1744">
        <v>3</v>
      </c>
      <c r="R1744">
        <v>1</v>
      </c>
      <c r="S1744">
        <v>3</v>
      </c>
      <c r="T1744">
        <v>8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3</v>
      </c>
      <c r="AB1744">
        <v>11</v>
      </c>
      <c r="AC1744">
        <v>1</v>
      </c>
      <c r="AD1744" t="str">
        <f t="shared" si="351"/>
        <v>Ok</v>
      </c>
      <c r="AE1744" t="str">
        <f>IF(AND(Audit_Data[[#This Row],[Year_Birth]]&gt;=1900,Audit_Data[[#This Row],[Year_Birth]]&lt;=2010),"OK","Invalid")</f>
        <v>OK</v>
      </c>
      <c r="AF1744" t="str">
        <f t="shared" si="352"/>
        <v>Valid</v>
      </c>
      <c r="AG1744" t="str">
        <f t="shared" si="353"/>
        <v>Valid</v>
      </c>
      <c r="AH1744" t="str">
        <f t="shared" si="354"/>
        <v>Valid</v>
      </c>
      <c r="AI1744" t="str">
        <f t="shared" si="355"/>
        <v>Valid</v>
      </c>
      <c r="AJ1744" t="str">
        <f t="shared" si="356"/>
        <v>Valid</v>
      </c>
      <c r="AK1744" t="str">
        <f t="shared" si="363"/>
        <v xml:space="preserve">Valid </v>
      </c>
      <c r="AL1744" t="str">
        <f>IF(AND(Audit_Data[[#This Row],[Recency]]&gt;=0,Audit_Data[[#This Row],[Recency]]&lt;=100),"Valid","Invalid")</f>
        <v>Valid</v>
      </c>
      <c r="AM1744" t="str">
        <f t="shared" si="357"/>
        <v>Valid</v>
      </c>
      <c r="AN1744" t="str">
        <f t="shared" si="358"/>
        <v>Valid</v>
      </c>
      <c r="AO1744" t="str">
        <f t="shared" si="359"/>
        <v>Valid</v>
      </c>
      <c r="AP1744" t="str">
        <f t="shared" si="360"/>
        <v>Valid</v>
      </c>
      <c r="AQ1744" t="str">
        <f>IF(Audit_Data[[#This Row],[Z_CostContact]]=3,"Valid","Invalid")</f>
        <v>Valid</v>
      </c>
      <c r="AR1744" t="str">
        <f t="shared" si="361"/>
        <v>Valid</v>
      </c>
      <c r="AS1744" t="str">
        <f t="shared" si="362"/>
        <v>Valid</v>
      </c>
    </row>
    <row r="1745" spans="1:45" x14ac:dyDescent="0.3">
      <c r="A1745">
        <v>10814</v>
      </c>
      <c r="B1745">
        <v>1947</v>
      </c>
      <c r="C1745" t="s">
        <v>29</v>
      </c>
      <c r="D1745" t="s">
        <v>31</v>
      </c>
      <c r="E1745">
        <v>70321</v>
      </c>
      <c r="F1745">
        <v>0</v>
      </c>
      <c r="G1745">
        <v>0</v>
      </c>
      <c r="H1745" s="1">
        <v>41290</v>
      </c>
      <c r="I1745">
        <v>6</v>
      </c>
      <c r="J1745">
        <v>303</v>
      </c>
      <c r="K1745">
        <v>23</v>
      </c>
      <c r="L1745">
        <v>751</v>
      </c>
      <c r="M1745">
        <v>82</v>
      </c>
      <c r="N1745">
        <v>26</v>
      </c>
      <c r="O1745">
        <v>191</v>
      </c>
      <c r="P1745">
        <v>1</v>
      </c>
      <c r="Q1745">
        <v>6</v>
      </c>
      <c r="R1745">
        <v>5</v>
      </c>
      <c r="S1745">
        <v>13</v>
      </c>
      <c r="T1745">
        <v>4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3</v>
      </c>
      <c r="AB1745">
        <v>11</v>
      </c>
      <c r="AC1745">
        <v>1</v>
      </c>
      <c r="AD1745" t="str">
        <f t="shared" si="351"/>
        <v>Ok</v>
      </c>
      <c r="AE1745" t="str">
        <f>IF(AND(Audit_Data[[#This Row],[Year_Birth]]&gt;=1900,Audit_Data[[#This Row],[Year_Birth]]&lt;=2010),"OK","Invalid")</f>
        <v>OK</v>
      </c>
      <c r="AF1745" t="str">
        <f t="shared" si="352"/>
        <v>Valid</v>
      </c>
      <c r="AG1745" t="str">
        <f t="shared" si="353"/>
        <v>Valid</v>
      </c>
      <c r="AH1745" t="str">
        <f t="shared" si="354"/>
        <v>Valid</v>
      </c>
      <c r="AI1745" t="str">
        <f t="shared" si="355"/>
        <v>Valid</v>
      </c>
      <c r="AJ1745" t="str">
        <f t="shared" si="356"/>
        <v>Valid</v>
      </c>
      <c r="AK1745" t="str">
        <f t="shared" si="363"/>
        <v xml:space="preserve">Valid </v>
      </c>
      <c r="AL1745" t="str">
        <f>IF(AND(Audit_Data[[#This Row],[Recency]]&gt;=0,Audit_Data[[#This Row],[Recency]]&lt;=100),"Valid","Invalid")</f>
        <v>Valid</v>
      </c>
      <c r="AM1745" t="str">
        <f t="shared" si="357"/>
        <v>Valid</v>
      </c>
      <c r="AN1745" t="str">
        <f t="shared" si="358"/>
        <v>Valid</v>
      </c>
      <c r="AO1745" t="str">
        <f t="shared" si="359"/>
        <v>Valid</v>
      </c>
      <c r="AP1745" t="str">
        <f t="shared" si="360"/>
        <v>Valid</v>
      </c>
      <c r="AQ1745" t="str">
        <f>IF(Audit_Data[[#This Row],[Z_CostContact]]=3,"Valid","Invalid")</f>
        <v>Valid</v>
      </c>
      <c r="AR1745" t="str">
        <f t="shared" si="361"/>
        <v>Valid</v>
      </c>
      <c r="AS1745" t="str">
        <f t="shared" si="362"/>
        <v>Valid</v>
      </c>
    </row>
    <row r="1746" spans="1:45" x14ac:dyDescent="0.3">
      <c r="A1746">
        <v>9710</v>
      </c>
      <c r="B1746">
        <v>1969</v>
      </c>
      <c r="C1746" t="s">
        <v>32</v>
      </c>
      <c r="D1746" t="s">
        <v>35</v>
      </c>
      <c r="E1746">
        <v>58086</v>
      </c>
      <c r="F1746">
        <v>0</v>
      </c>
      <c r="G1746">
        <v>1</v>
      </c>
      <c r="H1746" s="1">
        <v>41294</v>
      </c>
      <c r="I1746">
        <v>80</v>
      </c>
      <c r="J1746">
        <v>708</v>
      </c>
      <c r="K1746">
        <v>7</v>
      </c>
      <c r="L1746">
        <v>62</v>
      </c>
      <c r="M1746">
        <v>0</v>
      </c>
      <c r="N1746">
        <v>0</v>
      </c>
      <c r="O1746">
        <v>15</v>
      </c>
      <c r="P1746">
        <v>2</v>
      </c>
      <c r="Q1746">
        <v>11</v>
      </c>
      <c r="R1746">
        <v>3</v>
      </c>
      <c r="S1746">
        <v>7</v>
      </c>
      <c r="T1746">
        <v>8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3</v>
      </c>
      <c r="AB1746">
        <v>11</v>
      </c>
      <c r="AC1746">
        <v>0</v>
      </c>
      <c r="AD1746" t="str">
        <f t="shared" si="351"/>
        <v>Ok</v>
      </c>
      <c r="AE1746" t="str">
        <f>IF(AND(Audit_Data[[#This Row],[Year_Birth]]&gt;=1900,Audit_Data[[#This Row],[Year_Birth]]&lt;=2010),"OK","Invalid")</f>
        <v>OK</v>
      </c>
      <c r="AF1746" t="str">
        <f t="shared" si="352"/>
        <v>Valid</v>
      </c>
      <c r="AG1746" t="str">
        <f t="shared" si="353"/>
        <v>Valid</v>
      </c>
      <c r="AH1746" t="str">
        <f t="shared" si="354"/>
        <v>Valid</v>
      </c>
      <c r="AI1746" t="str">
        <f t="shared" si="355"/>
        <v>Valid</v>
      </c>
      <c r="AJ1746" t="str">
        <f t="shared" si="356"/>
        <v>Valid</v>
      </c>
      <c r="AK1746" t="str">
        <f t="shared" si="363"/>
        <v xml:space="preserve">Valid </v>
      </c>
      <c r="AL1746" t="str">
        <f>IF(AND(Audit_Data[[#This Row],[Recency]]&gt;=0,Audit_Data[[#This Row],[Recency]]&lt;=100),"Valid","Invalid")</f>
        <v>Valid</v>
      </c>
      <c r="AM1746" t="str">
        <f t="shared" si="357"/>
        <v>Valid</v>
      </c>
      <c r="AN1746" t="str">
        <f t="shared" si="358"/>
        <v>Valid</v>
      </c>
      <c r="AO1746" t="str">
        <f t="shared" si="359"/>
        <v>Valid</v>
      </c>
      <c r="AP1746" t="str">
        <f t="shared" si="360"/>
        <v>Valid</v>
      </c>
      <c r="AQ1746" t="str">
        <f>IF(Audit_Data[[#This Row],[Z_CostContact]]=3,"Valid","Invalid")</f>
        <v>Valid</v>
      </c>
      <c r="AR1746" t="str">
        <f t="shared" si="361"/>
        <v>Valid</v>
      </c>
      <c r="AS1746" t="str">
        <f t="shared" si="362"/>
        <v>Valid</v>
      </c>
    </row>
    <row r="1747" spans="1:45" x14ac:dyDescent="0.3">
      <c r="A1747">
        <v>9292</v>
      </c>
      <c r="B1747">
        <v>1952</v>
      </c>
      <c r="C1747" t="s">
        <v>29</v>
      </c>
      <c r="D1747" t="s">
        <v>33</v>
      </c>
      <c r="E1747">
        <v>81795</v>
      </c>
      <c r="F1747">
        <v>0</v>
      </c>
      <c r="G1747">
        <v>0</v>
      </c>
      <c r="H1747" s="1">
        <v>41208</v>
      </c>
      <c r="I1747">
        <v>74</v>
      </c>
      <c r="J1747">
        <v>324</v>
      </c>
      <c r="K1747">
        <v>132</v>
      </c>
      <c r="L1747">
        <v>693</v>
      </c>
      <c r="M1747">
        <v>27</v>
      </c>
      <c r="N1747">
        <v>118</v>
      </c>
      <c r="O1747">
        <v>88</v>
      </c>
      <c r="P1747">
        <v>1</v>
      </c>
      <c r="Q1747">
        <v>4</v>
      </c>
      <c r="R1747">
        <v>11</v>
      </c>
      <c r="S1747">
        <v>7</v>
      </c>
      <c r="T1747">
        <v>2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3</v>
      </c>
      <c r="AB1747">
        <v>11</v>
      </c>
      <c r="AC1747">
        <v>0</v>
      </c>
      <c r="AD1747" t="str">
        <f t="shared" si="351"/>
        <v>Ok</v>
      </c>
      <c r="AE1747" t="str">
        <f>IF(AND(Audit_Data[[#This Row],[Year_Birth]]&gt;=1900,Audit_Data[[#This Row],[Year_Birth]]&lt;=2010),"OK","Invalid")</f>
        <v>OK</v>
      </c>
      <c r="AF1747" t="str">
        <f t="shared" si="352"/>
        <v>Valid</v>
      </c>
      <c r="AG1747" t="str">
        <f t="shared" si="353"/>
        <v>Valid</v>
      </c>
      <c r="AH1747" t="str">
        <f t="shared" si="354"/>
        <v>Valid</v>
      </c>
      <c r="AI1747" t="str">
        <f t="shared" si="355"/>
        <v>Valid</v>
      </c>
      <c r="AJ1747" t="str">
        <f t="shared" si="356"/>
        <v>Valid</v>
      </c>
      <c r="AK1747" t="str">
        <f t="shared" si="363"/>
        <v xml:space="preserve">Valid </v>
      </c>
      <c r="AL1747" t="str">
        <f>IF(AND(Audit_Data[[#This Row],[Recency]]&gt;=0,Audit_Data[[#This Row],[Recency]]&lt;=100),"Valid","Invalid")</f>
        <v>Valid</v>
      </c>
      <c r="AM1747" t="str">
        <f t="shared" si="357"/>
        <v>Valid</v>
      </c>
      <c r="AN1747" t="str">
        <f t="shared" si="358"/>
        <v>Valid</v>
      </c>
      <c r="AO1747" t="str">
        <f t="shared" si="359"/>
        <v>Valid</v>
      </c>
      <c r="AP1747" t="str">
        <f t="shared" si="360"/>
        <v>Valid</v>
      </c>
      <c r="AQ1747" t="str">
        <f>IF(Audit_Data[[#This Row],[Z_CostContact]]=3,"Valid","Invalid")</f>
        <v>Valid</v>
      </c>
      <c r="AR1747" t="str">
        <f t="shared" si="361"/>
        <v>Valid</v>
      </c>
      <c r="AS1747" t="str">
        <f t="shared" si="362"/>
        <v>Valid</v>
      </c>
    </row>
    <row r="1748" spans="1:45" x14ac:dyDescent="0.3">
      <c r="A1748">
        <v>10250</v>
      </c>
      <c r="B1748">
        <v>1947</v>
      </c>
      <c r="C1748" t="s">
        <v>36</v>
      </c>
      <c r="D1748" t="s">
        <v>31</v>
      </c>
      <c r="E1748">
        <v>28389</v>
      </c>
      <c r="F1748">
        <v>0</v>
      </c>
      <c r="G1748">
        <v>0</v>
      </c>
      <c r="H1748" s="1">
        <v>41233</v>
      </c>
      <c r="I1748">
        <v>49</v>
      </c>
      <c r="J1748">
        <v>1</v>
      </c>
      <c r="K1748">
        <v>5</v>
      </c>
      <c r="L1748">
        <v>3</v>
      </c>
      <c r="M1748">
        <v>7</v>
      </c>
      <c r="N1748">
        <v>4</v>
      </c>
      <c r="O1748">
        <v>8</v>
      </c>
      <c r="P1748">
        <v>1</v>
      </c>
      <c r="Q1748">
        <v>1</v>
      </c>
      <c r="R1748">
        <v>0</v>
      </c>
      <c r="S1748">
        <v>2</v>
      </c>
      <c r="T1748">
        <v>7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3</v>
      </c>
      <c r="AB1748">
        <v>11</v>
      </c>
      <c r="AC1748">
        <v>0</v>
      </c>
      <c r="AD1748" t="str">
        <f t="shared" si="351"/>
        <v>Ok</v>
      </c>
      <c r="AE1748" t="str">
        <f>IF(AND(Audit_Data[[#This Row],[Year_Birth]]&gt;=1900,Audit_Data[[#This Row],[Year_Birth]]&lt;=2010),"OK","Invalid")</f>
        <v>OK</v>
      </c>
      <c r="AF1748" t="str">
        <f t="shared" si="352"/>
        <v>Valid</v>
      </c>
      <c r="AG1748" t="str">
        <f t="shared" si="353"/>
        <v>Valid</v>
      </c>
      <c r="AH1748" t="str">
        <f t="shared" si="354"/>
        <v>Valid</v>
      </c>
      <c r="AI1748" t="str">
        <f t="shared" si="355"/>
        <v>Valid</v>
      </c>
      <c r="AJ1748" t="str">
        <f t="shared" si="356"/>
        <v>Valid</v>
      </c>
      <c r="AK1748" t="str">
        <f t="shared" si="363"/>
        <v xml:space="preserve">Valid </v>
      </c>
      <c r="AL1748" t="str">
        <f>IF(AND(Audit_Data[[#This Row],[Recency]]&gt;=0,Audit_Data[[#This Row],[Recency]]&lt;=100),"Valid","Invalid")</f>
        <v>Valid</v>
      </c>
      <c r="AM1748" t="str">
        <f t="shared" si="357"/>
        <v>Valid</v>
      </c>
      <c r="AN1748" t="str">
        <f t="shared" si="358"/>
        <v>Valid</v>
      </c>
      <c r="AO1748" t="str">
        <f t="shared" si="359"/>
        <v>Valid</v>
      </c>
      <c r="AP1748" t="str">
        <f t="shared" si="360"/>
        <v>Valid</v>
      </c>
      <c r="AQ1748" t="str">
        <f>IF(Audit_Data[[#This Row],[Z_CostContact]]=3,"Valid","Invalid")</f>
        <v>Valid</v>
      </c>
      <c r="AR1748" t="str">
        <f t="shared" si="361"/>
        <v>Valid</v>
      </c>
      <c r="AS1748" t="str">
        <f t="shared" si="362"/>
        <v>Valid</v>
      </c>
    </row>
    <row r="1749" spans="1:45" x14ac:dyDescent="0.3">
      <c r="A1749">
        <v>7881</v>
      </c>
      <c r="B1749">
        <v>1946</v>
      </c>
      <c r="C1749" t="s">
        <v>34</v>
      </c>
      <c r="D1749" t="s">
        <v>33</v>
      </c>
      <c r="E1749">
        <v>66835</v>
      </c>
      <c r="F1749">
        <v>0</v>
      </c>
      <c r="G1749">
        <v>0</v>
      </c>
      <c r="H1749" s="1">
        <v>41545</v>
      </c>
      <c r="I1749">
        <v>21</v>
      </c>
      <c r="J1749">
        <v>620</v>
      </c>
      <c r="K1749">
        <v>26</v>
      </c>
      <c r="L1749">
        <v>195</v>
      </c>
      <c r="M1749">
        <v>34</v>
      </c>
      <c r="N1749">
        <v>17</v>
      </c>
      <c r="O1749">
        <v>141</v>
      </c>
      <c r="P1749">
        <v>1</v>
      </c>
      <c r="Q1749">
        <v>6</v>
      </c>
      <c r="R1749">
        <v>4</v>
      </c>
      <c r="S1749">
        <v>13</v>
      </c>
      <c r="T1749">
        <v>2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3</v>
      </c>
      <c r="AB1749">
        <v>11</v>
      </c>
      <c r="AC1749">
        <v>0</v>
      </c>
      <c r="AD1749" t="str">
        <f t="shared" si="351"/>
        <v>Ok</v>
      </c>
      <c r="AE1749" t="str">
        <f>IF(AND(Audit_Data[[#This Row],[Year_Birth]]&gt;=1900,Audit_Data[[#This Row],[Year_Birth]]&lt;=2010),"OK","Invalid")</f>
        <v>OK</v>
      </c>
      <c r="AF1749" t="str">
        <f t="shared" si="352"/>
        <v>Valid</v>
      </c>
      <c r="AG1749" t="str">
        <f t="shared" si="353"/>
        <v>Valid</v>
      </c>
      <c r="AH1749" t="str">
        <f t="shared" si="354"/>
        <v>Valid</v>
      </c>
      <c r="AI1749" t="str">
        <f t="shared" si="355"/>
        <v>Valid</v>
      </c>
      <c r="AJ1749" t="str">
        <f t="shared" si="356"/>
        <v>Valid</v>
      </c>
      <c r="AK1749" t="str">
        <f t="shared" si="363"/>
        <v xml:space="preserve">Valid </v>
      </c>
      <c r="AL1749" t="str">
        <f>IF(AND(Audit_Data[[#This Row],[Recency]]&gt;=0,Audit_Data[[#This Row],[Recency]]&lt;=100),"Valid","Invalid")</f>
        <v>Valid</v>
      </c>
      <c r="AM1749" t="str">
        <f t="shared" si="357"/>
        <v>Valid</v>
      </c>
      <c r="AN1749" t="str">
        <f t="shared" si="358"/>
        <v>Valid</v>
      </c>
      <c r="AO1749" t="str">
        <f t="shared" si="359"/>
        <v>Valid</v>
      </c>
      <c r="AP1749" t="str">
        <f t="shared" si="360"/>
        <v>Valid</v>
      </c>
      <c r="AQ1749" t="str">
        <f>IF(Audit_Data[[#This Row],[Z_CostContact]]=3,"Valid","Invalid")</f>
        <v>Valid</v>
      </c>
      <c r="AR1749" t="str">
        <f t="shared" si="361"/>
        <v>Valid</v>
      </c>
      <c r="AS1749" t="str">
        <f t="shared" si="362"/>
        <v>Valid</v>
      </c>
    </row>
    <row r="1750" spans="1:45" x14ac:dyDescent="0.3">
      <c r="A1750">
        <v>5847</v>
      </c>
      <c r="B1750">
        <v>1969</v>
      </c>
      <c r="C1750" t="s">
        <v>29</v>
      </c>
      <c r="D1750" t="s">
        <v>35</v>
      </c>
      <c r="E1750">
        <v>69901</v>
      </c>
      <c r="F1750">
        <v>0</v>
      </c>
      <c r="G1750">
        <v>1</v>
      </c>
      <c r="H1750" s="1">
        <v>41423</v>
      </c>
      <c r="I1750">
        <v>95</v>
      </c>
      <c r="J1750">
        <v>312</v>
      </c>
      <c r="K1750">
        <v>21</v>
      </c>
      <c r="L1750">
        <v>206</v>
      </c>
      <c r="M1750">
        <v>102</v>
      </c>
      <c r="N1750">
        <v>92</v>
      </c>
      <c r="O1750">
        <v>149</v>
      </c>
      <c r="P1750">
        <v>3</v>
      </c>
      <c r="Q1750">
        <v>7</v>
      </c>
      <c r="R1750">
        <v>3</v>
      </c>
      <c r="S1750">
        <v>10</v>
      </c>
      <c r="T1750">
        <v>5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3</v>
      </c>
      <c r="AB1750">
        <v>11</v>
      </c>
      <c r="AC1750">
        <v>0</v>
      </c>
      <c r="AD1750" t="str">
        <f t="shared" si="351"/>
        <v>Ok</v>
      </c>
      <c r="AE1750" t="str">
        <f>IF(AND(Audit_Data[[#This Row],[Year_Birth]]&gt;=1900,Audit_Data[[#This Row],[Year_Birth]]&lt;=2010),"OK","Invalid")</f>
        <v>OK</v>
      </c>
      <c r="AF1750" t="str">
        <f t="shared" si="352"/>
        <v>Valid</v>
      </c>
      <c r="AG1750" t="str">
        <f t="shared" si="353"/>
        <v>Valid</v>
      </c>
      <c r="AH1750" t="str">
        <f t="shared" si="354"/>
        <v>Valid</v>
      </c>
      <c r="AI1750" t="str">
        <f t="shared" si="355"/>
        <v>Valid</v>
      </c>
      <c r="AJ1750" t="str">
        <f t="shared" si="356"/>
        <v>Valid</v>
      </c>
      <c r="AK1750" t="str">
        <f t="shared" si="363"/>
        <v xml:space="preserve">Valid </v>
      </c>
      <c r="AL1750" t="str">
        <f>IF(AND(Audit_Data[[#This Row],[Recency]]&gt;=0,Audit_Data[[#This Row],[Recency]]&lt;=100),"Valid","Invalid")</f>
        <v>Valid</v>
      </c>
      <c r="AM1750" t="str">
        <f t="shared" si="357"/>
        <v>Valid</v>
      </c>
      <c r="AN1750" t="str">
        <f t="shared" si="358"/>
        <v>Valid</v>
      </c>
      <c r="AO1750" t="str">
        <f t="shared" si="359"/>
        <v>Valid</v>
      </c>
      <c r="AP1750" t="str">
        <f t="shared" si="360"/>
        <v>Valid</v>
      </c>
      <c r="AQ1750" t="str">
        <f>IF(Audit_Data[[#This Row],[Z_CostContact]]=3,"Valid","Invalid")</f>
        <v>Valid</v>
      </c>
      <c r="AR1750" t="str">
        <f t="shared" si="361"/>
        <v>Valid</v>
      </c>
      <c r="AS1750" t="str">
        <f t="shared" si="362"/>
        <v>Valid</v>
      </c>
    </row>
    <row r="1751" spans="1:45" x14ac:dyDescent="0.3">
      <c r="A1751">
        <v>737</v>
      </c>
      <c r="B1751">
        <v>1949</v>
      </c>
      <c r="C1751" t="s">
        <v>32</v>
      </c>
      <c r="D1751" t="s">
        <v>33</v>
      </c>
      <c r="E1751">
        <v>80360</v>
      </c>
      <c r="F1751">
        <v>0</v>
      </c>
      <c r="G1751">
        <v>0</v>
      </c>
      <c r="H1751" s="1">
        <v>41336</v>
      </c>
      <c r="I1751">
        <v>56</v>
      </c>
      <c r="J1751">
        <v>1493</v>
      </c>
      <c r="K1751">
        <v>86</v>
      </c>
      <c r="L1751">
        <v>454</v>
      </c>
      <c r="M1751">
        <v>112</v>
      </c>
      <c r="N1751">
        <v>43</v>
      </c>
      <c r="O1751">
        <v>43</v>
      </c>
      <c r="P1751">
        <v>2</v>
      </c>
      <c r="Q1751">
        <v>4</v>
      </c>
      <c r="R1751">
        <v>4</v>
      </c>
      <c r="S1751">
        <v>5</v>
      </c>
      <c r="T1751">
        <v>2</v>
      </c>
      <c r="U1751">
        <v>0</v>
      </c>
      <c r="V1751">
        <v>1</v>
      </c>
      <c r="W1751">
        <v>1</v>
      </c>
      <c r="X1751">
        <v>1</v>
      </c>
      <c r="Y1751">
        <v>0</v>
      </c>
      <c r="Z1751">
        <v>0</v>
      </c>
      <c r="AA1751">
        <v>3</v>
      </c>
      <c r="AB1751">
        <v>11</v>
      </c>
      <c r="AC1751">
        <v>0</v>
      </c>
      <c r="AD1751" t="str">
        <f t="shared" si="351"/>
        <v>Ok</v>
      </c>
      <c r="AE1751" t="str">
        <f>IF(AND(Audit_Data[[#This Row],[Year_Birth]]&gt;=1900,Audit_Data[[#This Row],[Year_Birth]]&lt;=2010),"OK","Invalid")</f>
        <v>OK</v>
      </c>
      <c r="AF1751" t="str">
        <f t="shared" si="352"/>
        <v>Valid</v>
      </c>
      <c r="AG1751" t="str">
        <f t="shared" si="353"/>
        <v>Valid</v>
      </c>
      <c r="AH1751" t="str">
        <f t="shared" si="354"/>
        <v>Valid</v>
      </c>
      <c r="AI1751" t="str">
        <f t="shared" si="355"/>
        <v>Valid</v>
      </c>
      <c r="AJ1751" t="str">
        <f t="shared" si="356"/>
        <v>Valid</v>
      </c>
      <c r="AK1751" t="str">
        <f t="shared" si="363"/>
        <v xml:space="preserve">Valid </v>
      </c>
      <c r="AL1751" t="str">
        <f>IF(AND(Audit_Data[[#This Row],[Recency]]&gt;=0,Audit_Data[[#This Row],[Recency]]&lt;=100),"Valid","Invalid")</f>
        <v>Valid</v>
      </c>
      <c r="AM1751" t="str">
        <f t="shared" si="357"/>
        <v>Valid</v>
      </c>
      <c r="AN1751" t="str">
        <f t="shared" si="358"/>
        <v>Valid</v>
      </c>
      <c r="AO1751" t="str">
        <f t="shared" si="359"/>
        <v>Valid</v>
      </c>
      <c r="AP1751" t="str">
        <f t="shared" si="360"/>
        <v>Valid</v>
      </c>
      <c r="AQ1751" t="str">
        <f>IF(Audit_Data[[#This Row],[Z_CostContact]]=3,"Valid","Invalid")</f>
        <v>Valid</v>
      </c>
      <c r="AR1751" t="str">
        <f t="shared" si="361"/>
        <v>Valid</v>
      </c>
      <c r="AS1751" t="str">
        <f t="shared" si="362"/>
        <v>Valid</v>
      </c>
    </row>
    <row r="1752" spans="1:45" x14ac:dyDescent="0.3">
      <c r="A1752">
        <v>3571</v>
      </c>
      <c r="B1752">
        <v>1961</v>
      </c>
      <c r="C1752" t="s">
        <v>32</v>
      </c>
      <c r="D1752" t="s">
        <v>31</v>
      </c>
      <c r="E1752">
        <v>63342</v>
      </c>
      <c r="F1752">
        <v>0</v>
      </c>
      <c r="G1752">
        <v>1</v>
      </c>
      <c r="H1752" s="1">
        <v>41198</v>
      </c>
      <c r="I1752">
        <v>48</v>
      </c>
      <c r="J1752">
        <v>918</v>
      </c>
      <c r="K1752">
        <v>21</v>
      </c>
      <c r="L1752">
        <v>118</v>
      </c>
      <c r="M1752">
        <v>13</v>
      </c>
      <c r="N1752">
        <v>10</v>
      </c>
      <c r="O1752">
        <v>21</v>
      </c>
      <c r="P1752">
        <v>3</v>
      </c>
      <c r="Q1752">
        <v>8</v>
      </c>
      <c r="R1752">
        <v>3</v>
      </c>
      <c r="S1752">
        <v>5</v>
      </c>
      <c r="T1752">
        <v>6</v>
      </c>
      <c r="U1752">
        <v>0</v>
      </c>
      <c r="V1752">
        <v>1</v>
      </c>
      <c r="W1752">
        <v>0</v>
      </c>
      <c r="X1752">
        <v>0</v>
      </c>
      <c r="Y1752">
        <v>0</v>
      </c>
      <c r="Z1752">
        <v>0</v>
      </c>
      <c r="AA1752">
        <v>3</v>
      </c>
      <c r="AB1752">
        <v>11</v>
      </c>
      <c r="AC1752">
        <v>1</v>
      </c>
      <c r="AD1752" t="str">
        <f t="shared" si="351"/>
        <v>Ok</v>
      </c>
      <c r="AE1752" t="str">
        <f>IF(AND(Audit_Data[[#This Row],[Year_Birth]]&gt;=1900,Audit_Data[[#This Row],[Year_Birth]]&lt;=2010),"OK","Invalid")</f>
        <v>OK</v>
      </c>
      <c r="AF1752" t="str">
        <f t="shared" si="352"/>
        <v>Valid</v>
      </c>
      <c r="AG1752" t="str">
        <f t="shared" si="353"/>
        <v>Valid</v>
      </c>
      <c r="AH1752" t="str">
        <f t="shared" si="354"/>
        <v>Valid</v>
      </c>
      <c r="AI1752" t="str">
        <f t="shared" si="355"/>
        <v>Valid</v>
      </c>
      <c r="AJ1752" t="str">
        <f t="shared" si="356"/>
        <v>Valid</v>
      </c>
      <c r="AK1752" t="str">
        <f t="shared" si="363"/>
        <v xml:space="preserve">Valid </v>
      </c>
      <c r="AL1752" t="str">
        <f>IF(AND(Audit_Data[[#This Row],[Recency]]&gt;=0,Audit_Data[[#This Row],[Recency]]&lt;=100),"Valid","Invalid")</f>
        <v>Valid</v>
      </c>
      <c r="AM1752" t="str">
        <f t="shared" si="357"/>
        <v>Valid</v>
      </c>
      <c r="AN1752" t="str">
        <f t="shared" si="358"/>
        <v>Valid</v>
      </c>
      <c r="AO1752" t="str">
        <f t="shared" si="359"/>
        <v>Valid</v>
      </c>
      <c r="AP1752" t="str">
        <f t="shared" si="360"/>
        <v>Valid</v>
      </c>
      <c r="AQ1752" t="str">
        <f>IF(Audit_Data[[#This Row],[Z_CostContact]]=3,"Valid","Invalid")</f>
        <v>Valid</v>
      </c>
      <c r="AR1752" t="str">
        <f t="shared" si="361"/>
        <v>Valid</v>
      </c>
      <c r="AS1752" t="str">
        <f t="shared" si="362"/>
        <v>Valid</v>
      </c>
    </row>
    <row r="1753" spans="1:45" x14ac:dyDescent="0.3">
      <c r="A1753">
        <v>7807</v>
      </c>
      <c r="B1753">
        <v>1974</v>
      </c>
      <c r="C1753" t="s">
        <v>29</v>
      </c>
      <c r="D1753" t="s">
        <v>33</v>
      </c>
      <c r="E1753">
        <v>44989</v>
      </c>
      <c r="F1753">
        <v>0</v>
      </c>
      <c r="G1753">
        <v>1</v>
      </c>
      <c r="H1753" s="1">
        <v>41164</v>
      </c>
      <c r="I1753">
        <v>26</v>
      </c>
      <c r="J1753">
        <v>98</v>
      </c>
      <c r="K1753">
        <v>0</v>
      </c>
      <c r="L1753">
        <v>106</v>
      </c>
      <c r="M1753">
        <v>49</v>
      </c>
      <c r="N1753">
        <v>10</v>
      </c>
      <c r="O1753">
        <v>106</v>
      </c>
      <c r="P1753">
        <v>5</v>
      </c>
      <c r="Q1753">
        <v>5</v>
      </c>
      <c r="R1753">
        <v>1</v>
      </c>
      <c r="S1753">
        <v>5</v>
      </c>
      <c r="T1753">
        <v>6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3</v>
      </c>
      <c r="AB1753">
        <v>11</v>
      </c>
      <c r="AC1753">
        <v>0</v>
      </c>
      <c r="AD1753" t="str">
        <f t="shared" si="351"/>
        <v>Ok</v>
      </c>
      <c r="AE1753" t="str">
        <f>IF(AND(Audit_Data[[#This Row],[Year_Birth]]&gt;=1900,Audit_Data[[#This Row],[Year_Birth]]&lt;=2010),"OK","Invalid")</f>
        <v>OK</v>
      </c>
      <c r="AF1753" t="str">
        <f t="shared" si="352"/>
        <v>Valid</v>
      </c>
      <c r="AG1753" t="str">
        <f t="shared" si="353"/>
        <v>Valid</v>
      </c>
      <c r="AH1753" t="str">
        <f t="shared" si="354"/>
        <v>Valid</v>
      </c>
      <c r="AI1753" t="str">
        <f t="shared" si="355"/>
        <v>Valid</v>
      </c>
      <c r="AJ1753" t="str">
        <f t="shared" si="356"/>
        <v>Valid</v>
      </c>
      <c r="AK1753" t="str">
        <f t="shared" si="363"/>
        <v xml:space="preserve">Valid </v>
      </c>
      <c r="AL1753" t="str">
        <f>IF(AND(Audit_Data[[#This Row],[Recency]]&gt;=0,Audit_Data[[#This Row],[Recency]]&lt;=100),"Valid","Invalid")</f>
        <v>Valid</v>
      </c>
      <c r="AM1753" t="str">
        <f t="shared" si="357"/>
        <v>Valid</v>
      </c>
      <c r="AN1753" t="str">
        <f t="shared" si="358"/>
        <v>Valid</v>
      </c>
      <c r="AO1753" t="str">
        <f t="shared" si="359"/>
        <v>Valid</v>
      </c>
      <c r="AP1753" t="str">
        <f t="shared" si="360"/>
        <v>Valid</v>
      </c>
      <c r="AQ1753" t="str">
        <f>IF(Audit_Data[[#This Row],[Z_CostContact]]=3,"Valid","Invalid")</f>
        <v>Valid</v>
      </c>
      <c r="AR1753" t="str">
        <f t="shared" si="361"/>
        <v>Valid</v>
      </c>
      <c r="AS1753" t="str">
        <f t="shared" si="362"/>
        <v>Valid</v>
      </c>
    </row>
    <row r="1754" spans="1:45" x14ac:dyDescent="0.3">
      <c r="A1754">
        <v>3878</v>
      </c>
      <c r="B1754">
        <v>1980</v>
      </c>
      <c r="C1754" t="s">
        <v>37</v>
      </c>
      <c r="D1754" t="s">
        <v>30</v>
      </c>
      <c r="E1754">
        <v>31859</v>
      </c>
      <c r="F1754">
        <v>1</v>
      </c>
      <c r="G1754">
        <v>0</v>
      </c>
      <c r="H1754" s="1">
        <v>41697</v>
      </c>
      <c r="I1754">
        <v>3</v>
      </c>
      <c r="J1754">
        <v>3</v>
      </c>
      <c r="K1754">
        <v>4</v>
      </c>
      <c r="L1754">
        <v>7</v>
      </c>
      <c r="M1754">
        <v>15</v>
      </c>
      <c r="N1754">
        <v>8</v>
      </c>
      <c r="O1754">
        <v>11</v>
      </c>
      <c r="P1754">
        <v>1</v>
      </c>
      <c r="Q1754">
        <v>1</v>
      </c>
      <c r="R1754">
        <v>0</v>
      </c>
      <c r="S1754">
        <v>3</v>
      </c>
      <c r="T1754">
        <v>7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3</v>
      </c>
      <c r="AB1754">
        <v>11</v>
      </c>
      <c r="AC1754">
        <v>0</v>
      </c>
      <c r="AD1754" t="str">
        <f t="shared" si="351"/>
        <v>Ok</v>
      </c>
      <c r="AE1754" t="str">
        <f>IF(AND(Audit_Data[[#This Row],[Year_Birth]]&gt;=1900,Audit_Data[[#This Row],[Year_Birth]]&lt;=2010),"OK","Invalid")</f>
        <v>OK</v>
      </c>
      <c r="AF1754" t="str">
        <f t="shared" si="352"/>
        <v>Valid</v>
      </c>
      <c r="AG1754" t="str">
        <f t="shared" si="353"/>
        <v>Valid</v>
      </c>
      <c r="AH1754" t="str">
        <f t="shared" si="354"/>
        <v>Valid</v>
      </c>
      <c r="AI1754" t="str">
        <f t="shared" si="355"/>
        <v>Valid</v>
      </c>
      <c r="AJ1754" t="str">
        <f t="shared" si="356"/>
        <v>Valid</v>
      </c>
      <c r="AK1754" t="str">
        <f t="shared" si="363"/>
        <v xml:space="preserve">Valid </v>
      </c>
      <c r="AL1754" t="str">
        <f>IF(AND(Audit_Data[[#This Row],[Recency]]&gt;=0,Audit_Data[[#This Row],[Recency]]&lt;=100),"Valid","Invalid")</f>
        <v>Valid</v>
      </c>
      <c r="AM1754" t="str">
        <f t="shared" si="357"/>
        <v>Valid</v>
      </c>
      <c r="AN1754" t="str">
        <f t="shared" si="358"/>
        <v>Valid</v>
      </c>
      <c r="AO1754" t="str">
        <f t="shared" si="359"/>
        <v>Valid</v>
      </c>
      <c r="AP1754" t="str">
        <f t="shared" si="360"/>
        <v>Valid</v>
      </c>
      <c r="AQ1754" t="str">
        <f>IF(Audit_Data[[#This Row],[Z_CostContact]]=3,"Valid","Invalid")</f>
        <v>Valid</v>
      </c>
      <c r="AR1754" t="str">
        <f t="shared" si="361"/>
        <v>Valid</v>
      </c>
      <c r="AS1754" t="str">
        <f t="shared" si="362"/>
        <v>Valid</v>
      </c>
    </row>
    <row r="1755" spans="1:45" x14ac:dyDescent="0.3">
      <c r="A1755">
        <v>5092</v>
      </c>
      <c r="B1755">
        <v>1949</v>
      </c>
      <c r="C1755" t="s">
        <v>32</v>
      </c>
      <c r="D1755" t="s">
        <v>38</v>
      </c>
      <c r="E1755">
        <v>51569</v>
      </c>
      <c r="F1755">
        <v>0</v>
      </c>
      <c r="G1755">
        <v>1</v>
      </c>
      <c r="H1755" s="1">
        <v>41317</v>
      </c>
      <c r="I1755">
        <v>39</v>
      </c>
      <c r="J1755">
        <v>380</v>
      </c>
      <c r="K1755">
        <v>0</v>
      </c>
      <c r="L1755">
        <v>47</v>
      </c>
      <c r="M1755">
        <v>6</v>
      </c>
      <c r="N1755">
        <v>0</v>
      </c>
      <c r="O1755">
        <v>34</v>
      </c>
      <c r="P1755">
        <v>4</v>
      </c>
      <c r="Q1755">
        <v>7</v>
      </c>
      <c r="R1755">
        <v>1</v>
      </c>
      <c r="S1755">
        <v>7</v>
      </c>
      <c r="T1755">
        <v>8</v>
      </c>
      <c r="U1755">
        <v>0</v>
      </c>
      <c r="V1755">
        <v>1</v>
      </c>
      <c r="W1755">
        <v>0</v>
      </c>
      <c r="X1755">
        <v>0</v>
      </c>
      <c r="Y1755">
        <v>0</v>
      </c>
      <c r="Z1755">
        <v>0</v>
      </c>
      <c r="AA1755">
        <v>3</v>
      </c>
      <c r="AB1755">
        <v>11</v>
      </c>
      <c r="AC1755">
        <v>1</v>
      </c>
      <c r="AD1755" t="str">
        <f t="shared" si="351"/>
        <v>Ok</v>
      </c>
      <c r="AE1755" t="str">
        <f>IF(AND(Audit_Data[[#This Row],[Year_Birth]]&gt;=1900,Audit_Data[[#This Row],[Year_Birth]]&lt;=2010),"OK","Invalid")</f>
        <v>OK</v>
      </c>
      <c r="AF1755" t="str">
        <f t="shared" si="352"/>
        <v>Valid</v>
      </c>
      <c r="AG1755" t="str">
        <f t="shared" si="353"/>
        <v>Valid</v>
      </c>
      <c r="AH1755" t="str">
        <f t="shared" si="354"/>
        <v>Valid</v>
      </c>
      <c r="AI1755" t="str">
        <f t="shared" si="355"/>
        <v>Valid</v>
      </c>
      <c r="AJ1755" t="str">
        <f t="shared" si="356"/>
        <v>Valid</v>
      </c>
      <c r="AK1755" t="str">
        <f t="shared" si="363"/>
        <v xml:space="preserve">Valid </v>
      </c>
      <c r="AL1755" t="str">
        <f>IF(AND(Audit_Data[[#This Row],[Recency]]&gt;=0,Audit_Data[[#This Row],[Recency]]&lt;=100),"Valid","Invalid")</f>
        <v>Valid</v>
      </c>
      <c r="AM1755" t="str">
        <f t="shared" si="357"/>
        <v>Valid</v>
      </c>
      <c r="AN1755" t="str">
        <f t="shared" si="358"/>
        <v>Valid</v>
      </c>
      <c r="AO1755" t="str">
        <f t="shared" si="359"/>
        <v>Valid</v>
      </c>
      <c r="AP1755" t="str">
        <f t="shared" si="360"/>
        <v>Valid</v>
      </c>
      <c r="AQ1755" t="str">
        <f>IF(Audit_Data[[#This Row],[Z_CostContact]]=3,"Valid","Invalid")</f>
        <v>Valid</v>
      </c>
      <c r="AR1755" t="str">
        <f t="shared" si="361"/>
        <v>Valid</v>
      </c>
      <c r="AS1755" t="str">
        <f t="shared" si="362"/>
        <v>Valid</v>
      </c>
    </row>
    <row r="1756" spans="1:45" x14ac:dyDescent="0.3">
      <c r="A1756">
        <v>2154</v>
      </c>
      <c r="B1756">
        <v>1971</v>
      </c>
      <c r="C1756" t="s">
        <v>29</v>
      </c>
      <c r="D1756" t="s">
        <v>38</v>
      </c>
      <c r="E1756">
        <v>30372</v>
      </c>
      <c r="F1756">
        <v>1</v>
      </c>
      <c r="G1756">
        <v>1</v>
      </c>
      <c r="H1756" s="1">
        <v>41268</v>
      </c>
      <c r="I1756">
        <v>33</v>
      </c>
      <c r="J1756">
        <v>15</v>
      </c>
      <c r="K1756">
        <v>0</v>
      </c>
      <c r="L1756">
        <v>12</v>
      </c>
      <c r="M1756">
        <v>7</v>
      </c>
      <c r="N1756">
        <v>3</v>
      </c>
      <c r="O1756">
        <v>7</v>
      </c>
      <c r="P1756">
        <v>3</v>
      </c>
      <c r="Q1756">
        <v>2</v>
      </c>
      <c r="R1756">
        <v>0</v>
      </c>
      <c r="S1756">
        <v>3</v>
      </c>
      <c r="T1756">
        <v>7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3</v>
      </c>
      <c r="AB1756">
        <v>11</v>
      </c>
      <c r="AC1756">
        <v>0</v>
      </c>
      <c r="AD1756" t="str">
        <f t="shared" si="351"/>
        <v>Ok</v>
      </c>
      <c r="AE1756" t="str">
        <f>IF(AND(Audit_Data[[#This Row],[Year_Birth]]&gt;=1900,Audit_Data[[#This Row],[Year_Birth]]&lt;=2010),"OK","Invalid")</f>
        <v>OK</v>
      </c>
      <c r="AF1756" t="str">
        <f t="shared" si="352"/>
        <v>Valid</v>
      </c>
      <c r="AG1756" t="str">
        <f t="shared" si="353"/>
        <v>Valid</v>
      </c>
      <c r="AH1756" t="str">
        <f t="shared" si="354"/>
        <v>Valid</v>
      </c>
      <c r="AI1756" t="str">
        <f t="shared" si="355"/>
        <v>Valid</v>
      </c>
      <c r="AJ1756" t="str">
        <f t="shared" si="356"/>
        <v>Valid</v>
      </c>
      <c r="AK1756" t="str">
        <f t="shared" si="363"/>
        <v xml:space="preserve">Valid </v>
      </c>
      <c r="AL1756" t="str">
        <f>IF(AND(Audit_Data[[#This Row],[Recency]]&gt;=0,Audit_Data[[#This Row],[Recency]]&lt;=100),"Valid","Invalid")</f>
        <v>Valid</v>
      </c>
      <c r="AM1756" t="str">
        <f t="shared" si="357"/>
        <v>Valid</v>
      </c>
      <c r="AN1756" t="str">
        <f t="shared" si="358"/>
        <v>Valid</v>
      </c>
      <c r="AO1756" t="str">
        <f t="shared" si="359"/>
        <v>Valid</v>
      </c>
      <c r="AP1756" t="str">
        <f t="shared" si="360"/>
        <v>Valid</v>
      </c>
      <c r="AQ1756" t="str">
        <f>IF(Audit_Data[[#This Row],[Z_CostContact]]=3,"Valid","Invalid")</f>
        <v>Valid</v>
      </c>
      <c r="AR1756" t="str">
        <f t="shared" si="361"/>
        <v>Valid</v>
      </c>
      <c r="AS1756" t="str">
        <f t="shared" si="362"/>
        <v>Valid</v>
      </c>
    </row>
    <row r="1757" spans="1:45" x14ac:dyDescent="0.3">
      <c r="A1757">
        <v>5394</v>
      </c>
      <c r="B1757">
        <v>1979</v>
      </c>
      <c r="C1757" t="s">
        <v>36</v>
      </c>
      <c r="D1757" t="s">
        <v>30</v>
      </c>
      <c r="E1757">
        <v>16014</v>
      </c>
      <c r="F1757">
        <v>1</v>
      </c>
      <c r="G1757">
        <v>1</v>
      </c>
      <c r="H1757" s="1">
        <v>41350</v>
      </c>
      <c r="I1757">
        <v>42</v>
      </c>
      <c r="J1757">
        <v>3</v>
      </c>
      <c r="K1757">
        <v>9</v>
      </c>
      <c r="L1757">
        <v>4</v>
      </c>
      <c r="M1757">
        <v>7</v>
      </c>
      <c r="N1757">
        <v>8</v>
      </c>
      <c r="O1757">
        <v>7</v>
      </c>
      <c r="P1757">
        <v>4</v>
      </c>
      <c r="Q1757">
        <v>1</v>
      </c>
      <c r="R1757">
        <v>1</v>
      </c>
      <c r="S1757">
        <v>4</v>
      </c>
      <c r="T1757">
        <v>3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3</v>
      </c>
      <c r="AB1757">
        <v>11</v>
      </c>
      <c r="AC1757">
        <v>0</v>
      </c>
      <c r="AD1757" t="str">
        <f t="shared" si="351"/>
        <v>Ok</v>
      </c>
      <c r="AE1757" t="str">
        <f>IF(AND(Audit_Data[[#This Row],[Year_Birth]]&gt;=1900,Audit_Data[[#This Row],[Year_Birth]]&lt;=2010),"OK","Invalid")</f>
        <v>OK</v>
      </c>
      <c r="AF1757" t="str">
        <f t="shared" si="352"/>
        <v>Valid</v>
      </c>
      <c r="AG1757" t="str">
        <f t="shared" si="353"/>
        <v>Valid</v>
      </c>
      <c r="AH1757" t="str">
        <f t="shared" si="354"/>
        <v>Valid</v>
      </c>
      <c r="AI1757" t="str">
        <f t="shared" si="355"/>
        <v>Valid</v>
      </c>
      <c r="AJ1757" t="str">
        <f t="shared" si="356"/>
        <v>Valid</v>
      </c>
      <c r="AK1757" t="str">
        <f t="shared" si="363"/>
        <v xml:space="preserve">Valid </v>
      </c>
      <c r="AL1757" t="str">
        <f>IF(AND(Audit_Data[[#This Row],[Recency]]&gt;=0,Audit_Data[[#This Row],[Recency]]&lt;=100),"Valid","Invalid")</f>
        <v>Valid</v>
      </c>
      <c r="AM1757" t="str">
        <f t="shared" si="357"/>
        <v>Valid</v>
      </c>
      <c r="AN1757" t="str">
        <f t="shared" si="358"/>
        <v>Valid</v>
      </c>
      <c r="AO1757" t="str">
        <f t="shared" si="359"/>
        <v>Valid</v>
      </c>
      <c r="AP1757" t="str">
        <f t="shared" si="360"/>
        <v>Valid</v>
      </c>
      <c r="AQ1757" t="str">
        <f>IF(Audit_Data[[#This Row],[Z_CostContact]]=3,"Valid","Invalid")</f>
        <v>Valid</v>
      </c>
      <c r="AR1757" t="str">
        <f t="shared" si="361"/>
        <v>Valid</v>
      </c>
      <c r="AS1757" t="str">
        <f t="shared" si="362"/>
        <v>Valid</v>
      </c>
    </row>
    <row r="1758" spans="1:45" x14ac:dyDescent="0.3">
      <c r="A1758">
        <v>3798</v>
      </c>
      <c r="B1758">
        <v>1968</v>
      </c>
      <c r="C1758" t="s">
        <v>29</v>
      </c>
      <c r="D1758" t="s">
        <v>33</v>
      </c>
      <c r="E1758">
        <v>41120</v>
      </c>
      <c r="F1758">
        <v>1</v>
      </c>
      <c r="G1758">
        <v>1</v>
      </c>
      <c r="H1758" s="1">
        <v>41584</v>
      </c>
      <c r="I1758">
        <v>80</v>
      </c>
      <c r="J1758">
        <v>24</v>
      </c>
      <c r="K1758">
        <v>2</v>
      </c>
      <c r="L1758">
        <v>23</v>
      </c>
      <c r="M1758">
        <v>0</v>
      </c>
      <c r="N1758">
        <v>8</v>
      </c>
      <c r="O1758">
        <v>24</v>
      </c>
      <c r="P1758">
        <v>3</v>
      </c>
      <c r="Q1758">
        <v>2</v>
      </c>
      <c r="R1758">
        <v>1</v>
      </c>
      <c r="S1758">
        <v>3</v>
      </c>
      <c r="T1758">
        <v>6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3</v>
      </c>
      <c r="AB1758">
        <v>11</v>
      </c>
      <c r="AC1758">
        <v>0</v>
      </c>
      <c r="AD1758" t="str">
        <f t="shared" si="351"/>
        <v>Ok</v>
      </c>
      <c r="AE1758" t="str">
        <f>IF(AND(Audit_Data[[#This Row],[Year_Birth]]&gt;=1900,Audit_Data[[#This Row],[Year_Birth]]&lt;=2010),"OK","Invalid")</f>
        <v>OK</v>
      </c>
      <c r="AF1758" t="str">
        <f t="shared" si="352"/>
        <v>Valid</v>
      </c>
      <c r="AG1758" t="str">
        <f t="shared" si="353"/>
        <v>Valid</v>
      </c>
      <c r="AH1758" t="str">
        <f t="shared" si="354"/>
        <v>Valid</v>
      </c>
      <c r="AI1758" t="str">
        <f t="shared" si="355"/>
        <v>Valid</v>
      </c>
      <c r="AJ1758" t="str">
        <f t="shared" si="356"/>
        <v>Valid</v>
      </c>
      <c r="AK1758" t="str">
        <f t="shared" si="363"/>
        <v xml:space="preserve">Valid </v>
      </c>
      <c r="AL1758" t="str">
        <f>IF(AND(Audit_Data[[#This Row],[Recency]]&gt;=0,Audit_Data[[#This Row],[Recency]]&lt;=100),"Valid","Invalid")</f>
        <v>Valid</v>
      </c>
      <c r="AM1758" t="str">
        <f t="shared" si="357"/>
        <v>Valid</v>
      </c>
      <c r="AN1758" t="str">
        <f t="shared" si="358"/>
        <v>Valid</v>
      </c>
      <c r="AO1758" t="str">
        <f t="shared" si="359"/>
        <v>Valid</v>
      </c>
      <c r="AP1758" t="str">
        <f t="shared" si="360"/>
        <v>Valid</v>
      </c>
      <c r="AQ1758" t="str">
        <f>IF(Audit_Data[[#This Row],[Z_CostContact]]=3,"Valid","Invalid")</f>
        <v>Valid</v>
      </c>
      <c r="AR1758" t="str">
        <f t="shared" si="361"/>
        <v>Valid</v>
      </c>
      <c r="AS1758" t="str">
        <f t="shared" si="362"/>
        <v>Valid</v>
      </c>
    </row>
    <row r="1759" spans="1:45" x14ac:dyDescent="0.3">
      <c r="A1759">
        <v>3524</v>
      </c>
      <c r="B1759">
        <v>1971</v>
      </c>
      <c r="C1759" t="s">
        <v>34</v>
      </c>
      <c r="D1759" t="s">
        <v>30</v>
      </c>
      <c r="E1759">
        <v>39763</v>
      </c>
      <c r="F1759">
        <v>1</v>
      </c>
      <c r="G1759">
        <v>0</v>
      </c>
      <c r="H1759" s="1">
        <v>41490</v>
      </c>
      <c r="I1759">
        <v>9</v>
      </c>
      <c r="J1759">
        <v>80</v>
      </c>
      <c r="K1759">
        <v>1</v>
      </c>
      <c r="L1759">
        <v>60</v>
      </c>
      <c r="M1759">
        <v>4</v>
      </c>
      <c r="N1759">
        <v>6</v>
      </c>
      <c r="O1759">
        <v>16</v>
      </c>
      <c r="P1759">
        <v>2</v>
      </c>
      <c r="Q1759">
        <v>5</v>
      </c>
      <c r="R1759">
        <v>1</v>
      </c>
      <c r="S1759">
        <v>2</v>
      </c>
      <c r="T1759">
        <v>9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3</v>
      </c>
      <c r="AB1759">
        <v>11</v>
      </c>
      <c r="AC1759">
        <v>1</v>
      </c>
      <c r="AD1759" t="str">
        <f t="shared" si="351"/>
        <v>Ok</v>
      </c>
      <c r="AE1759" t="str">
        <f>IF(AND(Audit_Data[[#This Row],[Year_Birth]]&gt;=1900,Audit_Data[[#This Row],[Year_Birth]]&lt;=2010),"OK","Invalid")</f>
        <v>OK</v>
      </c>
      <c r="AF1759" t="str">
        <f t="shared" si="352"/>
        <v>Valid</v>
      </c>
      <c r="AG1759" t="str">
        <f t="shared" si="353"/>
        <v>Valid</v>
      </c>
      <c r="AH1759" t="str">
        <f t="shared" si="354"/>
        <v>Valid</v>
      </c>
      <c r="AI1759" t="str">
        <f t="shared" si="355"/>
        <v>Valid</v>
      </c>
      <c r="AJ1759" t="str">
        <f t="shared" si="356"/>
        <v>Valid</v>
      </c>
      <c r="AK1759" t="str">
        <f t="shared" si="363"/>
        <v xml:space="preserve">Valid </v>
      </c>
      <c r="AL1759" t="str">
        <f>IF(AND(Audit_Data[[#This Row],[Recency]]&gt;=0,Audit_Data[[#This Row],[Recency]]&lt;=100),"Valid","Invalid")</f>
        <v>Valid</v>
      </c>
      <c r="AM1759" t="str">
        <f t="shared" si="357"/>
        <v>Valid</v>
      </c>
      <c r="AN1759" t="str">
        <f t="shared" si="358"/>
        <v>Valid</v>
      </c>
      <c r="AO1759" t="str">
        <f t="shared" si="359"/>
        <v>Valid</v>
      </c>
      <c r="AP1759" t="str">
        <f t="shared" si="360"/>
        <v>Valid</v>
      </c>
      <c r="AQ1759" t="str">
        <f>IF(Audit_Data[[#This Row],[Z_CostContact]]=3,"Valid","Invalid")</f>
        <v>Valid</v>
      </c>
      <c r="AR1759" t="str">
        <f t="shared" si="361"/>
        <v>Valid</v>
      </c>
      <c r="AS1759" t="str">
        <f t="shared" si="362"/>
        <v>Valid</v>
      </c>
    </row>
    <row r="1760" spans="1:45" x14ac:dyDescent="0.3">
      <c r="A1760">
        <v>5247</v>
      </c>
      <c r="B1760">
        <v>1955</v>
      </c>
      <c r="C1760" t="s">
        <v>32</v>
      </c>
      <c r="D1760" t="s">
        <v>33</v>
      </c>
      <c r="E1760">
        <v>38725</v>
      </c>
      <c r="F1760">
        <v>1</v>
      </c>
      <c r="G1760">
        <v>1</v>
      </c>
      <c r="H1760" s="1">
        <v>41769</v>
      </c>
      <c r="I1760">
        <v>52</v>
      </c>
      <c r="J1760">
        <v>31</v>
      </c>
      <c r="K1760">
        <v>0</v>
      </c>
      <c r="L1760">
        <v>6</v>
      </c>
      <c r="M1760">
        <v>2</v>
      </c>
      <c r="N1760">
        <v>1</v>
      </c>
      <c r="O1760">
        <v>5</v>
      </c>
      <c r="P1760">
        <v>2</v>
      </c>
      <c r="Q1760">
        <v>1</v>
      </c>
      <c r="R1760">
        <v>0</v>
      </c>
      <c r="S1760">
        <v>4</v>
      </c>
      <c r="T1760">
        <v>4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3</v>
      </c>
      <c r="AB1760">
        <v>11</v>
      </c>
      <c r="AC1760">
        <v>0</v>
      </c>
      <c r="AD1760" t="str">
        <f t="shared" si="351"/>
        <v>Ok</v>
      </c>
      <c r="AE1760" t="str">
        <f>IF(AND(Audit_Data[[#This Row],[Year_Birth]]&gt;=1900,Audit_Data[[#This Row],[Year_Birth]]&lt;=2010),"OK","Invalid")</f>
        <v>OK</v>
      </c>
      <c r="AF1760" t="str">
        <f t="shared" si="352"/>
        <v>Valid</v>
      </c>
      <c r="AG1760" t="str">
        <f t="shared" si="353"/>
        <v>Valid</v>
      </c>
      <c r="AH1760" t="str">
        <f t="shared" si="354"/>
        <v>Valid</v>
      </c>
      <c r="AI1760" t="str">
        <f t="shared" si="355"/>
        <v>Valid</v>
      </c>
      <c r="AJ1760" t="str">
        <f t="shared" si="356"/>
        <v>Valid</v>
      </c>
      <c r="AK1760" t="str">
        <f t="shared" si="363"/>
        <v xml:space="preserve">Valid </v>
      </c>
      <c r="AL1760" t="str">
        <f>IF(AND(Audit_Data[[#This Row],[Recency]]&gt;=0,Audit_Data[[#This Row],[Recency]]&lt;=100),"Valid","Invalid")</f>
        <v>Valid</v>
      </c>
      <c r="AM1760" t="str">
        <f t="shared" si="357"/>
        <v>Valid</v>
      </c>
      <c r="AN1760" t="str">
        <f t="shared" si="358"/>
        <v>Valid</v>
      </c>
      <c r="AO1760" t="str">
        <f t="shared" si="359"/>
        <v>Valid</v>
      </c>
      <c r="AP1760" t="str">
        <f t="shared" si="360"/>
        <v>Valid</v>
      </c>
      <c r="AQ1760" t="str">
        <f>IF(Audit_Data[[#This Row],[Z_CostContact]]=3,"Valid","Invalid")</f>
        <v>Valid</v>
      </c>
      <c r="AR1760" t="str">
        <f t="shared" si="361"/>
        <v>Valid</v>
      </c>
      <c r="AS1760" t="str">
        <f t="shared" si="362"/>
        <v>Valid</v>
      </c>
    </row>
    <row r="1761" spans="1:45" x14ac:dyDescent="0.3">
      <c r="A1761">
        <v>5883</v>
      </c>
      <c r="B1761">
        <v>1972</v>
      </c>
      <c r="C1761" t="s">
        <v>29</v>
      </c>
      <c r="D1761" t="s">
        <v>33</v>
      </c>
      <c r="E1761">
        <v>77981</v>
      </c>
      <c r="F1761">
        <v>1</v>
      </c>
      <c r="G1761">
        <v>0</v>
      </c>
      <c r="H1761" s="1">
        <v>41420</v>
      </c>
      <c r="I1761">
        <v>78</v>
      </c>
      <c r="J1761">
        <v>138</v>
      </c>
      <c r="K1761">
        <v>120</v>
      </c>
      <c r="L1761">
        <v>204</v>
      </c>
      <c r="M1761">
        <v>16</v>
      </c>
      <c r="N1761">
        <v>126</v>
      </c>
      <c r="O1761">
        <v>60</v>
      </c>
      <c r="P1761">
        <v>3</v>
      </c>
      <c r="Q1761">
        <v>7</v>
      </c>
      <c r="R1761">
        <v>4</v>
      </c>
      <c r="S1761">
        <v>7</v>
      </c>
      <c r="T1761">
        <v>5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3</v>
      </c>
      <c r="AB1761">
        <v>11</v>
      </c>
      <c r="AC1761">
        <v>0</v>
      </c>
      <c r="AD1761" t="str">
        <f t="shared" si="351"/>
        <v>Ok</v>
      </c>
      <c r="AE1761" t="str">
        <f>IF(AND(Audit_Data[[#This Row],[Year_Birth]]&gt;=1900,Audit_Data[[#This Row],[Year_Birth]]&lt;=2010),"OK","Invalid")</f>
        <v>OK</v>
      </c>
      <c r="AF1761" t="str">
        <f t="shared" si="352"/>
        <v>Valid</v>
      </c>
      <c r="AG1761" t="str">
        <f t="shared" si="353"/>
        <v>Valid</v>
      </c>
      <c r="AH1761" t="str">
        <f t="shared" si="354"/>
        <v>Valid</v>
      </c>
      <c r="AI1761" t="str">
        <f t="shared" si="355"/>
        <v>Valid</v>
      </c>
      <c r="AJ1761" t="str">
        <f t="shared" si="356"/>
        <v>Valid</v>
      </c>
      <c r="AK1761" t="str">
        <f t="shared" si="363"/>
        <v xml:space="preserve">Valid </v>
      </c>
      <c r="AL1761" t="str">
        <f>IF(AND(Audit_Data[[#This Row],[Recency]]&gt;=0,Audit_Data[[#This Row],[Recency]]&lt;=100),"Valid","Invalid")</f>
        <v>Valid</v>
      </c>
      <c r="AM1761" t="str">
        <f t="shared" si="357"/>
        <v>Valid</v>
      </c>
      <c r="AN1761" t="str">
        <f t="shared" si="358"/>
        <v>Valid</v>
      </c>
      <c r="AO1761" t="str">
        <f t="shared" si="359"/>
        <v>Valid</v>
      </c>
      <c r="AP1761" t="str">
        <f t="shared" si="360"/>
        <v>Valid</v>
      </c>
      <c r="AQ1761" t="str">
        <f>IF(Audit_Data[[#This Row],[Z_CostContact]]=3,"Valid","Invalid")</f>
        <v>Valid</v>
      </c>
      <c r="AR1761" t="str">
        <f t="shared" si="361"/>
        <v>Valid</v>
      </c>
      <c r="AS1761" t="str">
        <f t="shared" si="362"/>
        <v>Valid</v>
      </c>
    </row>
    <row r="1762" spans="1:45" x14ac:dyDescent="0.3">
      <c r="A1762">
        <v>2118</v>
      </c>
      <c r="B1762">
        <v>1964</v>
      </c>
      <c r="C1762" t="s">
        <v>37</v>
      </c>
      <c r="D1762" t="s">
        <v>33</v>
      </c>
      <c r="E1762">
        <v>62905</v>
      </c>
      <c r="F1762">
        <v>0</v>
      </c>
      <c r="G1762">
        <v>1</v>
      </c>
      <c r="H1762" s="1">
        <v>41527</v>
      </c>
      <c r="I1762">
        <v>68</v>
      </c>
      <c r="J1762">
        <v>166</v>
      </c>
      <c r="K1762">
        <v>75</v>
      </c>
      <c r="L1762">
        <v>96</v>
      </c>
      <c r="M1762">
        <v>119</v>
      </c>
      <c r="N1762">
        <v>107</v>
      </c>
      <c r="O1762">
        <v>59</v>
      </c>
      <c r="P1762">
        <v>3</v>
      </c>
      <c r="Q1762">
        <v>7</v>
      </c>
      <c r="R1762">
        <v>2</v>
      </c>
      <c r="S1762">
        <v>8</v>
      </c>
      <c r="T1762">
        <v>4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3</v>
      </c>
      <c r="AB1762">
        <v>11</v>
      </c>
      <c r="AC1762">
        <v>0</v>
      </c>
      <c r="AD1762" t="str">
        <f t="shared" si="351"/>
        <v>Ok</v>
      </c>
      <c r="AE1762" t="str">
        <f>IF(AND(Audit_Data[[#This Row],[Year_Birth]]&gt;=1900,Audit_Data[[#This Row],[Year_Birth]]&lt;=2010),"OK","Invalid")</f>
        <v>OK</v>
      </c>
      <c r="AF1762" t="str">
        <f t="shared" si="352"/>
        <v>Valid</v>
      </c>
      <c r="AG1762" t="str">
        <f t="shared" si="353"/>
        <v>Valid</v>
      </c>
      <c r="AH1762" t="str">
        <f t="shared" si="354"/>
        <v>Valid</v>
      </c>
      <c r="AI1762" t="str">
        <f t="shared" si="355"/>
        <v>Valid</v>
      </c>
      <c r="AJ1762" t="str">
        <f t="shared" si="356"/>
        <v>Valid</v>
      </c>
      <c r="AK1762" t="str">
        <f t="shared" si="363"/>
        <v xml:space="preserve">Valid </v>
      </c>
      <c r="AL1762" t="str">
        <f>IF(AND(Audit_Data[[#This Row],[Recency]]&gt;=0,Audit_Data[[#This Row],[Recency]]&lt;=100),"Valid","Invalid")</f>
        <v>Valid</v>
      </c>
      <c r="AM1762" t="str">
        <f t="shared" si="357"/>
        <v>Valid</v>
      </c>
      <c r="AN1762" t="str">
        <f t="shared" si="358"/>
        <v>Valid</v>
      </c>
      <c r="AO1762" t="str">
        <f t="shared" si="359"/>
        <v>Valid</v>
      </c>
      <c r="AP1762" t="str">
        <f t="shared" si="360"/>
        <v>Valid</v>
      </c>
      <c r="AQ1762" t="str">
        <f>IF(Audit_Data[[#This Row],[Z_CostContact]]=3,"Valid","Invalid")</f>
        <v>Valid</v>
      </c>
      <c r="AR1762" t="str">
        <f t="shared" si="361"/>
        <v>Valid</v>
      </c>
      <c r="AS1762" t="str">
        <f t="shared" si="362"/>
        <v>Valid</v>
      </c>
    </row>
    <row r="1763" spans="1:45" x14ac:dyDescent="0.3">
      <c r="A1763">
        <v>8812</v>
      </c>
      <c r="B1763">
        <v>1979</v>
      </c>
      <c r="C1763" t="s">
        <v>37</v>
      </c>
      <c r="D1763" t="s">
        <v>35</v>
      </c>
      <c r="E1763">
        <v>13533</v>
      </c>
      <c r="F1763">
        <v>1</v>
      </c>
      <c r="G1763">
        <v>0</v>
      </c>
      <c r="H1763" s="1">
        <v>41343</v>
      </c>
      <c r="I1763">
        <v>45</v>
      </c>
      <c r="J1763">
        <v>12</v>
      </c>
      <c r="K1763">
        <v>3</v>
      </c>
      <c r="L1763">
        <v>8</v>
      </c>
      <c r="M1763">
        <v>8</v>
      </c>
      <c r="N1763">
        <v>0</v>
      </c>
      <c r="O1763">
        <v>17</v>
      </c>
      <c r="P1763">
        <v>2</v>
      </c>
      <c r="Q1763">
        <v>2</v>
      </c>
      <c r="R1763">
        <v>0</v>
      </c>
      <c r="S1763">
        <v>3</v>
      </c>
      <c r="T1763">
        <v>7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3</v>
      </c>
      <c r="AB1763">
        <v>11</v>
      </c>
      <c r="AC1763">
        <v>0</v>
      </c>
      <c r="AD1763" t="str">
        <f t="shared" si="351"/>
        <v>Ok</v>
      </c>
      <c r="AE1763" t="str">
        <f>IF(AND(Audit_Data[[#This Row],[Year_Birth]]&gt;=1900,Audit_Data[[#This Row],[Year_Birth]]&lt;=2010),"OK","Invalid")</f>
        <v>OK</v>
      </c>
      <c r="AF1763" t="str">
        <f t="shared" si="352"/>
        <v>Valid</v>
      </c>
      <c r="AG1763" t="str">
        <f t="shared" si="353"/>
        <v>Valid</v>
      </c>
      <c r="AH1763" t="str">
        <f t="shared" si="354"/>
        <v>Valid</v>
      </c>
      <c r="AI1763" t="str">
        <f t="shared" si="355"/>
        <v>Valid</v>
      </c>
      <c r="AJ1763" t="str">
        <f t="shared" si="356"/>
        <v>Valid</v>
      </c>
      <c r="AK1763" t="str">
        <f t="shared" si="363"/>
        <v xml:space="preserve">Valid </v>
      </c>
      <c r="AL1763" t="str">
        <f>IF(AND(Audit_Data[[#This Row],[Recency]]&gt;=0,Audit_Data[[#This Row],[Recency]]&lt;=100),"Valid","Invalid")</f>
        <v>Valid</v>
      </c>
      <c r="AM1763" t="str">
        <f t="shared" si="357"/>
        <v>Valid</v>
      </c>
      <c r="AN1763" t="str">
        <f t="shared" si="358"/>
        <v>Valid</v>
      </c>
      <c r="AO1763" t="str">
        <f t="shared" si="359"/>
        <v>Valid</v>
      </c>
      <c r="AP1763" t="str">
        <f t="shared" si="360"/>
        <v>Valid</v>
      </c>
      <c r="AQ1763" t="str">
        <f>IF(Audit_Data[[#This Row],[Z_CostContact]]=3,"Valid","Invalid")</f>
        <v>Valid</v>
      </c>
      <c r="AR1763" t="str">
        <f t="shared" si="361"/>
        <v>Valid</v>
      </c>
      <c r="AS1763" t="str">
        <f t="shared" si="362"/>
        <v>Valid</v>
      </c>
    </row>
    <row r="1764" spans="1:45" x14ac:dyDescent="0.3">
      <c r="A1764">
        <v>6616</v>
      </c>
      <c r="B1764">
        <v>1975</v>
      </c>
      <c r="C1764" t="s">
        <v>29</v>
      </c>
      <c r="D1764" t="s">
        <v>31</v>
      </c>
      <c r="E1764">
        <v>59481</v>
      </c>
      <c r="F1764">
        <v>0</v>
      </c>
      <c r="G1764">
        <v>1</v>
      </c>
      <c r="H1764" s="1">
        <v>41570</v>
      </c>
      <c r="I1764">
        <v>47</v>
      </c>
      <c r="J1764">
        <v>178</v>
      </c>
      <c r="K1764">
        <v>3</v>
      </c>
      <c r="L1764">
        <v>85</v>
      </c>
      <c r="M1764">
        <v>71</v>
      </c>
      <c r="N1764">
        <v>66</v>
      </c>
      <c r="O1764">
        <v>58</v>
      </c>
      <c r="P1764">
        <v>2</v>
      </c>
      <c r="Q1764">
        <v>3</v>
      </c>
      <c r="R1764">
        <v>3</v>
      </c>
      <c r="S1764">
        <v>8</v>
      </c>
      <c r="T1764">
        <v>2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3</v>
      </c>
      <c r="AB1764">
        <v>11</v>
      </c>
      <c r="AC1764">
        <v>0</v>
      </c>
      <c r="AD1764" t="str">
        <f t="shared" si="351"/>
        <v>Ok</v>
      </c>
      <c r="AE1764" t="str">
        <f>IF(AND(Audit_Data[[#This Row],[Year_Birth]]&gt;=1900,Audit_Data[[#This Row],[Year_Birth]]&lt;=2010),"OK","Invalid")</f>
        <v>OK</v>
      </c>
      <c r="AF1764" t="str">
        <f t="shared" si="352"/>
        <v>Valid</v>
      </c>
      <c r="AG1764" t="str">
        <f t="shared" si="353"/>
        <v>Valid</v>
      </c>
      <c r="AH1764" t="str">
        <f t="shared" si="354"/>
        <v>Valid</v>
      </c>
      <c r="AI1764" t="str">
        <f t="shared" si="355"/>
        <v>Valid</v>
      </c>
      <c r="AJ1764" t="str">
        <f t="shared" si="356"/>
        <v>Valid</v>
      </c>
      <c r="AK1764" t="str">
        <f t="shared" si="363"/>
        <v xml:space="preserve">Valid </v>
      </c>
      <c r="AL1764" t="str">
        <f>IF(AND(Audit_Data[[#This Row],[Recency]]&gt;=0,Audit_Data[[#This Row],[Recency]]&lt;=100),"Valid","Invalid")</f>
        <v>Valid</v>
      </c>
      <c r="AM1764" t="str">
        <f t="shared" si="357"/>
        <v>Valid</v>
      </c>
      <c r="AN1764" t="str">
        <f t="shared" si="358"/>
        <v>Valid</v>
      </c>
      <c r="AO1764" t="str">
        <f t="shared" si="359"/>
        <v>Valid</v>
      </c>
      <c r="AP1764" t="str">
        <f t="shared" si="360"/>
        <v>Valid</v>
      </c>
      <c r="AQ1764" t="str">
        <f>IF(Audit_Data[[#This Row],[Z_CostContact]]=3,"Valid","Invalid")</f>
        <v>Valid</v>
      </c>
      <c r="AR1764" t="str">
        <f t="shared" si="361"/>
        <v>Valid</v>
      </c>
      <c r="AS1764" t="str">
        <f t="shared" si="362"/>
        <v>Valid</v>
      </c>
    </row>
    <row r="1765" spans="1:45" x14ac:dyDescent="0.3">
      <c r="A1765">
        <v>2797</v>
      </c>
      <c r="B1765">
        <v>1977</v>
      </c>
      <c r="C1765" t="s">
        <v>29</v>
      </c>
      <c r="D1765" t="s">
        <v>33</v>
      </c>
      <c r="E1765">
        <v>72117</v>
      </c>
      <c r="F1765">
        <v>0</v>
      </c>
      <c r="G1765">
        <v>1</v>
      </c>
      <c r="H1765" s="1">
        <v>41506</v>
      </c>
      <c r="I1765">
        <v>34</v>
      </c>
      <c r="J1765">
        <v>707</v>
      </c>
      <c r="K1765">
        <v>20</v>
      </c>
      <c r="L1765">
        <v>171</v>
      </c>
      <c r="M1765">
        <v>65</v>
      </c>
      <c r="N1765">
        <v>60</v>
      </c>
      <c r="O1765">
        <v>50</v>
      </c>
      <c r="P1765">
        <v>1</v>
      </c>
      <c r="Q1765">
        <v>9</v>
      </c>
      <c r="R1765">
        <v>7</v>
      </c>
      <c r="S1765">
        <v>9</v>
      </c>
      <c r="T1765">
        <v>5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3</v>
      </c>
      <c r="AB1765">
        <v>11</v>
      </c>
      <c r="AC1765">
        <v>0</v>
      </c>
      <c r="AD1765" t="str">
        <f t="shared" si="351"/>
        <v>Ok</v>
      </c>
      <c r="AE1765" t="str">
        <f>IF(AND(Audit_Data[[#This Row],[Year_Birth]]&gt;=1900,Audit_Data[[#This Row],[Year_Birth]]&lt;=2010),"OK","Invalid")</f>
        <v>OK</v>
      </c>
      <c r="AF1765" t="str">
        <f t="shared" si="352"/>
        <v>Valid</v>
      </c>
      <c r="AG1765" t="str">
        <f t="shared" si="353"/>
        <v>Valid</v>
      </c>
      <c r="AH1765" t="str">
        <f t="shared" si="354"/>
        <v>Valid</v>
      </c>
      <c r="AI1765" t="str">
        <f t="shared" si="355"/>
        <v>Valid</v>
      </c>
      <c r="AJ1765" t="str">
        <f t="shared" si="356"/>
        <v>Valid</v>
      </c>
      <c r="AK1765" t="str">
        <f t="shared" si="363"/>
        <v xml:space="preserve">Valid </v>
      </c>
      <c r="AL1765" t="str">
        <f>IF(AND(Audit_Data[[#This Row],[Recency]]&gt;=0,Audit_Data[[#This Row],[Recency]]&lt;=100),"Valid","Invalid")</f>
        <v>Valid</v>
      </c>
      <c r="AM1765" t="str">
        <f t="shared" si="357"/>
        <v>Valid</v>
      </c>
      <c r="AN1765" t="str">
        <f t="shared" si="358"/>
        <v>Valid</v>
      </c>
      <c r="AO1765" t="str">
        <f t="shared" si="359"/>
        <v>Valid</v>
      </c>
      <c r="AP1765" t="str">
        <f t="shared" si="360"/>
        <v>Valid</v>
      </c>
      <c r="AQ1765" t="str">
        <f>IF(Audit_Data[[#This Row],[Z_CostContact]]=3,"Valid","Invalid")</f>
        <v>Valid</v>
      </c>
      <c r="AR1765" t="str">
        <f t="shared" si="361"/>
        <v>Valid</v>
      </c>
      <c r="AS1765" t="str">
        <f t="shared" si="362"/>
        <v>Valid</v>
      </c>
    </row>
    <row r="1766" spans="1:45" x14ac:dyDescent="0.3">
      <c r="A1766">
        <v>4328</v>
      </c>
      <c r="B1766">
        <v>1986</v>
      </c>
      <c r="C1766" t="s">
        <v>37</v>
      </c>
      <c r="D1766" t="s">
        <v>33</v>
      </c>
      <c r="E1766">
        <v>21955</v>
      </c>
      <c r="F1766">
        <v>1</v>
      </c>
      <c r="G1766">
        <v>0</v>
      </c>
      <c r="H1766" s="1">
        <v>41524</v>
      </c>
      <c r="I1766">
        <v>81</v>
      </c>
      <c r="J1766">
        <v>5</v>
      </c>
      <c r="K1766">
        <v>1</v>
      </c>
      <c r="L1766">
        <v>7</v>
      </c>
      <c r="M1766">
        <v>17</v>
      </c>
      <c r="N1766">
        <v>14</v>
      </c>
      <c r="O1766">
        <v>11</v>
      </c>
      <c r="P1766">
        <v>2</v>
      </c>
      <c r="Q1766">
        <v>2</v>
      </c>
      <c r="R1766">
        <v>1</v>
      </c>
      <c r="S1766">
        <v>3</v>
      </c>
      <c r="T1766">
        <v>6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3</v>
      </c>
      <c r="AB1766">
        <v>11</v>
      </c>
      <c r="AC1766">
        <v>0</v>
      </c>
      <c r="AD1766" t="str">
        <f t="shared" si="351"/>
        <v>Ok</v>
      </c>
      <c r="AE1766" t="str">
        <f>IF(AND(Audit_Data[[#This Row],[Year_Birth]]&gt;=1900,Audit_Data[[#This Row],[Year_Birth]]&lt;=2010),"OK","Invalid")</f>
        <v>OK</v>
      </c>
      <c r="AF1766" t="str">
        <f t="shared" si="352"/>
        <v>Valid</v>
      </c>
      <c r="AG1766" t="str">
        <f t="shared" si="353"/>
        <v>Valid</v>
      </c>
      <c r="AH1766" t="str">
        <f t="shared" si="354"/>
        <v>Valid</v>
      </c>
      <c r="AI1766" t="str">
        <f t="shared" si="355"/>
        <v>Valid</v>
      </c>
      <c r="AJ1766" t="str">
        <f t="shared" si="356"/>
        <v>Valid</v>
      </c>
      <c r="AK1766" t="str">
        <f t="shared" si="363"/>
        <v xml:space="preserve">Valid </v>
      </c>
      <c r="AL1766" t="str">
        <f>IF(AND(Audit_Data[[#This Row],[Recency]]&gt;=0,Audit_Data[[#This Row],[Recency]]&lt;=100),"Valid","Invalid")</f>
        <v>Valid</v>
      </c>
      <c r="AM1766" t="str">
        <f t="shared" si="357"/>
        <v>Valid</v>
      </c>
      <c r="AN1766" t="str">
        <f t="shared" si="358"/>
        <v>Valid</v>
      </c>
      <c r="AO1766" t="str">
        <f t="shared" si="359"/>
        <v>Valid</v>
      </c>
      <c r="AP1766" t="str">
        <f t="shared" si="360"/>
        <v>Valid</v>
      </c>
      <c r="AQ1766" t="str">
        <f>IF(Audit_Data[[#This Row],[Z_CostContact]]=3,"Valid","Invalid")</f>
        <v>Valid</v>
      </c>
      <c r="AR1766" t="str">
        <f t="shared" si="361"/>
        <v>Valid</v>
      </c>
      <c r="AS1766" t="str">
        <f t="shared" si="362"/>
        <v>Valid</v>
      </c>
    </row>
    <row r="1767" spans="1:45" x14ac:dyDescent="0.3">
      <c r="A1767">
        <v>9167</v>
      </c>
      <c r="B1767">
        <v>1956</v>
      </c>
      <c r="C1767" t="s">
        <v>29</v>
      </c>
      <c r="D1767" t="s">
        <v>33</v>
      </c>
      <c r="E1767">
        <v>67131</v>
      </c>
      <c r="F1767">
        <v>0</v>
      </c>
      <c r="G1767">
        <v>1</v>
      </c>
      <c r="H1767" s="1">
        <v>41359</v>
      </c>
      <c r="I1767">
        <v>72</v>
      </c>
      <c r="J1767">
        <v>465</v>
      </c>
      <c r="K1767">
        <v>71</v>
      </c>
      <c r="L1767">
        <v>250</v>
      </c>
      <c r="M1767">
        <v>93</v>
      </c>
      <c r="N1767">
        <v>35</v>
      </c>
      <c r="O1767">
        <v>62</v>
      </c>
      <c r="P1767">
        <v>3</v>
      </c>
      <c r="Q1767">
        <v>9</v>
      </c>
      <c r="R1767">
        <v>2</v>
      </c>
      <c r="S1767">
        <v>12</v>
      </c>
      <c r="T1767">
        <v>6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3</v>
      </c>
      <c r="AB1767">
        <v>11</v>
      </c>
      <c r="AC1767">
        <v>0</v>
      </c>
      <c r="AD1767" t="str">
        <f t="shared" si="351"/>
        <v>Ok</v>
      </c>
      <c r="AE1767" t="str">
        <f>IF(AND(Audit_Data[[#This Row],[Year_Birth]]&gt;=1900,Audit_Data[[#This Row],[Year_Birth]]&lt;=2010),"OK","Invalid")</f>
        <v>OK</v>
      </c>
      <c r="AF1767" t="str">
        <f t="shared" si="352"/>
        <v>Valid</v>
      </c>
      <c r="AG1767" t="str">
        <f t="shared" si="353"/>
        <v>Valid</v>
      </c>
      <c r="AH1767" t="str">
        <f t="shared" si="354"/>
        <v>Valid</v>
      </c>
      <c r="AI1767" t="str">
        <f t="shared" si="355"/>
        <v>Valid</v>
      </c>
      <c r="AJ1767" t="str">
        <f t="shared" si="356"/>
        <v>Valid</v>
      </c>
      <c r="AK1767" t="str">
        <f t="shared" si="363"/>
        <v xml:space="preserve">Valid </v>
      </c>
      <c r="AL1767" t="str">
        <f>IF(AND(Audit_Data[[#This Row],[Recency]]&gt;=0,Audit_Data[[#This Row],[Recency]]&lt;=100),"Valid","Invalid")</f>
        <v>Valid</v>
      </c>
      <c r="AM1767" t="str">
        <f t="shared" si="357"/>
        <v>Valid</v>
      </c>
      <c r="AN1767" t="str">
        <f t="shared" si="358"/>
        <v>Valid</v>
      </c>
      <c r="AO1767" t="str">
        <f t="shared" si="359"/>
        <v>Valid</v>
      </c>
      <c r="AP1767" t="str">
        <f t="shared" si="360"/>
        <v>Valid</v>
      </c>
      <c r="AQ1767" t="str">
        <f>IF(Audit_Data[[#This Row],[Z_CostContact]]=3,"Valid","Invalid")</f>
        <v>Valid</v>
      </c>
      <c r="AR1767" t="str">
        <f t="shared" si="361"/>
        <v>Valid</v>
      </c>
      <c r="AS1767" t="str">
        <f t="shared" si="362"/>
        <v>Valid</v>
      </c>
    </row>
    <row r="1768" spans="1:45" x14ac:dyDescent="0.3">
      <c r="A1768">
        <v>10560</v>
      </c>
      <c r="B1768">
        <v>1980</v>
      </c>
      <c r="C1768" t="s">
        <v>32</v>
      </c>
      <c r="D1768" t="s">
        <v>30</v>
      </c>
      <c r="E1768">
        <v>36802</v>
      </c>
      <c r="F1768">
        <v>1</v>
      </c>
      <c r="G1768">
        <v>0</v>
      </c>
      <c r="H1768" s="1">
        <v>41806</v>
      </c>
      <c r="I1768">
        <v>23</v>
      </c>
      <c r="J1768">
        <v>16</v>
      </c>
      <c r="K1768">
        <v>1</v>
      </c>
      <c r="L1768">
        <v>2</v>
      </c>
      <c r="M1768">
        <v>0</v>
      </c>
      <c r="N1768">
        <v>0</v>
      </c>
      <c r="O1768">
        <v>1</v>
      </c>
      <c r="P1768">
        <v>1</v>
      </c>
      <c r="Q1768">
        <v>1</v>
      </c>
      <c r="R1768">
        <v>0</v>
      </c>
      <c r="S1768">
        <v>3</v>
      </c>
      <c r="T1768">
        <v>5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3</v>
      </c>
      <c r="AB1768">
        <v>11</v>
      </c>
      <c r="AC1768">
        <v>0</v>
      </c>
      <c r="AD1768" t="str">
        <f t="shared" si="351"/>
        <v>Ok</v>
      </c>
      <c r="AE1768" t="str">
        <f>IF(AND(Audit_Data[[#This Row],[Year_Birth]]&gt;=1900,Audit_Data[[#This Row],[Year_Birth]]&lt;=2010),"OK","Invalid")</f>
        <v>OK</v>
      </c>
      <c r="AF1768" t="str">
        <f t="shared" si="352"/>
        <v>Valid</v>
      </c>
      <c r="AG1768" t="str">
        <f t="shared" si="353"/>
        <v>Valid</v>
      </c>
      <c r="AH1768" t="str">
        <f t="shared" si="354"/>
        <v>Valid</v>
      </c>
      <c r="AI1768" t="str">
        <f t="shared" si="355"/>
        <v>Valid</v>
      </c>
      <c r="AJ1768" t="str">
        <f t="shared" si="356"/>
        <v>Valid</v>
      </c>
      <c r="AK1768" t="str">
        <f t="shared" si="363"/>
        <v xml:space="preserve">Valid </v>
      </c>
      <c r="AL1768" t="str">
        <f>IF(AND(Audit_Data[[#This Row],[Recency]]&gt;=0,Audit_Data[[#This Row],[Recency]]&lt;=100),"Valid","Invalid")</f>
        <v>Valid</v>
      </c>
      <c r="AM1768" t="str">
        <f t="shared" si="357"/>
        <v>Valid</v>
      </c>
      <c r="AN1768" t="str">
        <f t="shared" si="358"/>
        <v>Valid</v>
      </c>
      <c r="AO1768" t="str">
        <f t="shared" si="359"/>
        <v>Valid</v>
      </c>
      <c r="AP1768" t="str">
        <f t="shared" si="360"/>
        <v>Valid</v>
      </c>
      <c r="AQ1768" t="str">
        <f>IF(Audit_Data[[#This Row],[Z_CostContact]]=3,"Valid","Invalid")</f>
        <v>Valid</v>
      </c>
      <c r="AR1768" t="str">
        <f t="shared" si="361"/>
        <v>Valid</v>
      </c>
      <c r="AS1768" t="str">
        <f t="shared" si="362"/>
        <v>Valid</v>
      </c>
    </row>
    <row r="1769" spans="1:45" x14ac:dyDescent="0.3">
      <c r="A1769">
        <v>2631</v>
      </c>
      <c r="B1769">
        <v>1982</v>
      </c>
      <c r="C1769" t="s">
        <v>29</v>
      </c>
      <c r="D1769" t="s">
        <v>31</v>
      </c>
      <c r="E1769">
        <v>71853</v>
      </c>
      <c r="F1769">
        <v>0</v>
      </c>
      <c r="G1769">
        <v>0</v>
      </c>
      <c r="H1769" s="1">
        <v>41402</v>
      </c>
      <c r="I1769">
        <v>29</v>
      </c>
      <c r="J1769">
        <v>358</v>
      </c>
      <c r="K1769">
        <v>108</v>
      </c>
      <c r="L1769">
        <v>413</v>
      </c>
      <c r="M1769">
        <v>141</v>
      </c>
      <c r="N1769">
        <v>97</v>
      </c>
      <c r="O1769">
        <v>32</v>
      </c>
      <c r="P1769">
        <v>1</v>
      </c>
      <c r="Q1769">
        <v>2</v>
      </c>
      <c r="R1769">
        <v>8</v>
      </c>
      <c r="S1769">
        <v>6</v>
      </c>
      <c r="T1769">
        <v>1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3</v>
      </c>
      <c r="AB1769">
        <v>11</v>
      </c>
      <c r="AC1769">
        <v>0</v>
      </c>
      <c r="AD1769" t="str">
        <f t="shared" si="351"/>
        <v>Ok</v>
      </c>
      <c r="AE1769" t="str">
        <f>IF(AND(Audit_Data[[#This Row],[Year_Birth]]&gt;=1900,Audit_Data[[#This Row],[Year_Birth]]&lt;=2010),"OK","Invalid")</f>
        <v>OK</v>
      </c>
      <c r="AF1769" t="str">
        <f t="shared" si="352"/>
        <v>Valid</v>
      </c>
      <c r="AG1769" t="str">
        <f t="shared" si="353"/>
        <v>Valid</v>
      </c>
      <c r="AH1769" t="str">
        <f t="shared" si="354"/>
        <v>Valid</v>
      </c>
      <c r="AI1769" t="str">
        <f t="shared" si="355"/>
        <v>Valid</v>
      </c>
      <c r="AJ1769" t="str">
        <f t="shared" si="356"/>
        <v>Valid</v>
      </c>
      <c r="AK1769" t="str">
        <f t="shared" si="363"/>
        <v xml:space="preserve">Valid </v>
      </c>
      <c r="AL1769" t="str">
        <f>IF(AND(Audit_Data[[#This Row],[Recency]]&gt;=0,Audit_Data[[#This Row],[Recency]]&lt;=100),"Valid","Invalid")</f>
        <v>Valid</v>
      </c>
      <c r="AM1769" t="str">
        <f t="shared" si="357"/>
        <v>Valid</v>
      </c>
      <c r="AN1769" t="str">
        <f t="shared" si="358"/>
        <v>Valid</v>
      </c>
      <c r="AO1769" t="str">
        <f t="shared" si="359"/>
        <v>Valid</v>
      </c>
      <c r="AP1769" t="str">
        <f t="shared" si="360"/>
        <v>Valid</v>
      </c>
      <c r="AQ1769" t="str">
        <f>IF(Audit_Data[[#This Row],[Z_CostContact]]=3,"Valid","Invalid")</f>
        <v>Valid</v>
      </c>
      <c r="AR1769" t="str">
        <f t="shared" si="361"/>
        <v>Valid</v>
      </c>
      <c r="AS1769" t="str">
        <f t="shared" si="362"/>
        <v>Valid</v>
      </c>
    </row>
    <row r="1770" spans="1:45" x14ac:dyDescent="0.3">
      <c r="A1770">
        <v>8312</v>
      </c>
      <c r="B1770">
        <v>1961</v>
      </c>
      <c r="C1770" t="s">
        <v>36</v>
      </c>
      <c r="D1770" t="s">
        <v>33</v>
      </c>
      <c r="E1770">
        <v>28249</v>
      </c>
      <c r="F1770">
        <v>0</v>
      </c>
      <c r="G1770">
        <v>0</v>
      </c>
      <c r="H1770" s="1">
        <v>41805</v>
      </c>
      <c r="I1770">
        <v>80</v>
      </c>
      <c r="J1770">
        <v>1</v>
      </c>
      <c r="K1770">
        <v>9</v>
      </c>
      <c r="L1770">
        <v>7</v>
      </c>
      <c r="M1770">
        <v>2</v>
      </c>
      <c r="N1770">
        <v>14</v>
      </c>
      <c r="O1770">
        <v>10</v>
      </c>
      <c r="P1770">
        <v>1</v>
      </c>
      <c r="Q1770">
        <v>2</v>
      </c>
      <c r="R1770">
        <v>0</v>
      </c>
      <c r="S1770">
        <v>3</v>
      </c>
      <c r="T1770">
        <v>6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3</v>
      </c>
      <c r="AB1770">
        <v>11</v>
      </c>
      <c r="AC1770">
        <v>0</v>
      </c>
      <c r="AD1770" t="str">
        <f t="shared" si="351"/>
        <v>Ok</v>
      </c>
      <c r="AE1770" t="str">
        <f>IF(AND(Audit_Data[[#This Row],[Year_Birth]]&gt;=1900,Audit_Data[[#This Row],[Year_Birth]]&lt;=2010),"OK","Invalid")</f>
        <v>OK</v>
      </c>
      <c r="AF1770" t="str">
        <f t="shared" si="352"/>
        <v>Valid</v>
      </c>
      <c r="AG1770" t="str">
        <f t="shared" si="353"/>
        <v>Valid</v>
      </c>
      <c r="AH1770" t="str">
        <f t="shared" si="354"/>
        <v>Valid</v>
      </c>
      <c r="AI1770" t="str">
        <f t="shared" si="355"/>
        <v>Valid</v>
      </c>
      <c r="AJ1770" t="str">
        <f t="shared" si="356"/>
        <v>Valid</v>
      </c>
      <c r="AK1770" t="str">
        <f t="shared" si="363"/>
        <v xml:space="preserve">Valid </v>
      </c>
      <c r="AL1770" t="str">
        <f>IF(AND(Audit_Data[[#This Row],[Recency]]&gt;=0,Audit_Data[[#This Row],[Recency]]&lt;=100),"Valid","Invalid")</f>
        <v>Valid</v>
      </c>
      <c r="AM1770" t="str">
        <f t="shared" si="357"/>
        <v>Valid</v>
      </c>
      <c r="AN1770" t="str">
        <f t="shared" si="358"/>
        <v>Valid</v>
      </c>
      <c r="AO1770" t="str">
        <f t="shared" si="359"/>
        <v>Valid</v>
      </c>
      <c r="AP1770" t="str">
        <f t="shared" si="360"/>
        <v>Valid</v>
      </c>
      <c r="AQ1770" t="str">
        <f>IF(Audit_Data[[#This Row],[Z_CostContact]]=3,"Valid","Invalid")</f>
        <v>Valid</v>
      </c>
      <c r="AR1770" t="str">
        <f t="shared" si="361"/>
        <v>Valid</v>
      </c>
      <c r="AS1770" t="str">
        <f t="shared" si="362"/>
        <v>Valid</v>
      </c>
    </row>
    <row r="1771" spans="1:45" x14ac:dyDescent="0.3">
      <c r="A1771">
        <v>5534</v>
      </c>
      <c r="B1771">
        <v>1975</v>
      </c>
      <c r="C1771" t="s">
        <v>34</v>
      </c>
      <c r="D1771" t="s">
        <v>33</v>
      </c>
      <c r="E1771">
        <v>47808</v>
      </c>
      <c r="F1771">
        <v>0</v>
      </c>
      <c r="G1771">
        <v>1</v>
      </c>
      <c r="H1771" s="1">
        <v>41567</v>
      </c>
      <c r="I1771">
        <v>30</v>
      </c>
      <c r="J1771">
        <v>123</v>
      </c>
      <c r="K1771">
        <v>1</v>
      </c>
      <c r="L1771">
        <v>26</v>
      </c>
      <c r="M1771">
        <v>2</v>
      </c>
      <c r="N1771">
        <v>0</v>
      </c>
      <c r="O1771">
        <v>72</v>
      </c>
      <c r="P1771">
        <v>2</v>
      </c>
      <c r="Q1771">
        <v>3</v>
      </c>
      <c r="R1771">
        <v>2</v>
      </c>
      <c r="S1771">
        <v>3</v>
      </c>
      <c r="T1771">
        <v>7</v>
      </c>
      <c r="U1771">
        <v>1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3</v>
      </c>
      <c r="AB1771">
        <v>11</v>
      </c>
      <c r="AC1771">
        <v>0</v>
      </c>
      <c r="AD1771" t="str">
        <f t="shared" si="351"/>
        <v>Ok</v>
      </c>
      <c r="AE1771" t="str">
        <f>IF(AND(Audit_Data[[#This Row],[Year_Birth]]&gt;=1900,Audit_Data[[#This Row],[Year_Birth]]&lt;=2010),"OK","Invalid")</f>
        <v>OK</v>
      </c>
      <c r="AF1771" t="str">
        <f t="shared" si="352"/>
        <v>Valid</v>
      </c>
      <c r="AG1771" t="str">
        <f t="shared" si="353"/>
        <v>Valid</v>
      </c>
      <c r="AH1771" t="str">
        <f t="shared" si="354"/>
        <v>Valid</v>
      </c>
      <c r="AI1771" t="str">
        <f t="shared" si="355"/>
        <v>Valid</v>
      </c>
      <c r="AJ1771" t="str">
        <f t="shared" si="356"/>
        <v>Valid</v>
      </c>
      <c r="AK1771" t="str">
        <f t="shared" si="363"/>
        <v xml:space="preserve">Valid </v>
      </c>
      <c r="AL1771" t="str">
        <f>IF(AND(Audit_Data[[#This Row],[Recency]]&gt;=0,Audit_Data[[#This Row],[Recency]]&lt;=100),"Valid","Invalid")</f>
        <v>Valid</v>
      </c>
      <c r="AM1771" t="str">
        <f t="shared" si="357"/>
        <v>Valid</v>
      </c>
      <c r="AN1771" t="str">
        <f t="shared" si="358"/>
        <v>Valid</v>
      </c>
      <c r="AO1771" t="str">
        <f t="shared" si="359"/>
        <v>Valid</v>
      </c>
      <c r="AP1771" t="str">
        <f t="shared" si="360"/>
        <v>Valid</v>
      </c>
      <c r="AQ1771" t="str">
        <f>IF(Audit_Data[[#This Row],[Z_CostContact]]=3,"Valid","Invalid")</f>
        <v>Valid</v>
      </c>
      <c r="AR1771" t="str">
        <f t="shared" si="361"/>
        <v>Valid</v>
      </c>
      <c r="AS1771" t="str">
        <f t="shared" si="362"/>
        <v>Valid</v>
      </c>
    </row>
    <row r="1772" spans="1:45" x14ac:dyDescent="0.3">
      <c r="A1772">
        <v>5093</v>
      </c>
      <c r="B1772">
        <v>1974</v>
      </c>
      <c r="C1772" t="s">
        <v>32</v>
      </c>
      <c r="D1772" t="s">
        <v>35</v>
      </c>
      <c r="E1772">
        <v>25509</v>
      </c>
      <c r="F1772">
        <v>1</v>
      </c>
      <c r="G1772">
        <v>0</v>
      </c>
      <c r="H1772" s="1">
        <v>41170</v>
      </c>
      <c r="I1772">
        <v>15</v>
      </c>
      <c r="J1772">
        <v>40</v>
      </c>
      <c r="K1772">
        <v>3</v>
      </c>
      <c r="L1772">
        <v>30</v>
      </c>
      <c r="M1772">
        <v>10</v>
      </c>
      <c r="N1772">
        <v>7</v>
      </c>
      <c r="O1772">
        <v>11</v>
      </c>
      <c r="P1772">
        <v>3</v>
      </c>
      <c r="Q1772">
        <v>3</v>
      </c>
      <c r="R1772">
        <v>0</v>
      </c>
      <c r="S1772">
        <v>3</v>
      </c>
      <c r="T1772">
        <v>9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3</v>
      </c>
      <c r="AB1772">
        <v>11</v>
      </c>
      <c r="AC1772">
        <v>1</v>
      </c>
      <c r="AD1772" t="str">
        <f t="shared" si="351"/>
        <v>Ok</v>
      </c>
      <c r="AE1772" t="str">
        <f>IF(AND(Audit_Data[[#This Row],[Year_Birth]]&gt;=1900,Audit_Data[[#This Row],[Year_Birth]]&lt;=2010),"OK","Invalid")</f>
        <v>OK</v>
      </c>
      <c r="AF1772" t="str">
        <f t="shared" si="352"/>
        <v>Valid</v>
      </c>
      <c r="AG1772" t="str">
        <f t="shared" si="353"/>
        <v>Valid</v>
      </c>
      <c r="AH1772" t="str">
        <f t="shared" si="354"/>
        <v>Valid</v>
      </c>
      <c r="AI1772" t="str">
        <f t="shared" si="355"/>
        <v>Valid</v>
      </c>
      <c r="AJ1772" t="str">
        <f t="shared" si="356"/>
        <v>Valid</v>
      </c>
      <c r="AK1772" t="str">
        <f t="shared" si="363"/>
        <v xml:space="preserve">Valid </v>
      </c>
      <c r="AL1772" t="str">
        <f>IF(AND(Audit_Data[[#This Row],[Recency]]&gt;=0,Audit_Data[[#This Row],[Recency]]&lt;=100),"Valid","Invalid")</f>
        <v>Valid</v>
      </c>
      <c r="AM1772" t="str">
        <f t="shared" si="357"/>
        <v>Valid</v>
      </c>
      <c r="AN1772" t="str">
        <f t="shared" si="358"/>
        <v>Valid</v>
      </c>
      <c r="AO1772" t="str">
        <f t="shared" si="359"/>
        <v>Valid</v>
      </c>
      <c r="AP1772" t="str">
        <f t="shared" si="360"/>
        <v>Valid</v>
      </c>
      <c r="AQ1772" t="str">
        <f>IF(Audit_Data[[#This Row],[Z_CostContact]]=3,"Valid","Invalid")</f>
        <v>Valid</v>
      </c>
      <c r="AR1772" t="str">
        <f t="shared" si="361"/>
        <v>Valid</v>
      </c>
      <c r="AS1772" t="str">
        <f t="shared" si="362"/>
        <v>Valid</v>
      </c>
    </row>
    <row r="1773" spans="1:45" x14ac:dyDescent="0.3">
      <c r="A1773">
        <v>7592</v>
      </c>
      <c r="B1773">
        <v>1946</v>
      </c>
      <c r="C1773" t="s">
        <v>32</v>
      </c>
      <c r="D1773" t="s">
        <v>33</v>
      </c>
      <c r="E1773">
        <v>51012</v>
      </c>
      <c r="F1773">
        <v>0</v>
      </c>
      <c r="G1773">
        <v>0</v>
      </c>
      <c r="H1773" s="1">
        <v>41382</v>
      </c>
      <c r="I1773">
        <v>86</v>
      </c>
      <c r="J1773">
        <v>102</v>
      </c>
      <c r="K1773">
        <v>9</v>
      </c>
      <c r="L1773">
        <v>63</v>
      </c>
      <c r="M1773">
        <v>2</v>
      </c>
      <c r="N1773">
        <v>9</v>
      </c>
      <c r="O1773">
        <v>24</v>
      </c>
      <c r="P1773">
        <v>1</v>
      </c>
      <c r="Q1773">
        <v>4</v>
      </c>
      <c r="R1773">
        <v>1</v>
      </c>
      <c r="S1773">
        <v>4</v>
      </c>
      <c r="T1773">
        <v>6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3</v>
      </c>
      <c r="AB1773">
        <v>11</v>
      </c>
      <c r="AC1773">
        <v>0</v>
      </c>
      <c r="AD1773" t="str">
        <f t="shared" si="351"/>
        <v>Ok</v>
      </c>
      <c r="AE1773" t="str">
        <f>IF(AND(Audit_Data[[#This Row],[Year_Birth]]&gt;=1900,Audit_Data[[#This Row],[Year_Birth]]&lt;=2010),"OK","Invalid")</f>
        <v>OK</v>
      </c>
      <c r="AF1773" t="str">
        <f t="shared" si="352"/>
        <v>Valid</v>
      </c>
      <c r="AG1773" t="str">
        <f t="shared" si="353"/>
        <v>Valid</v>
      </c>
      <c r="AH1773" t="str">
        <f t="shared" si="354"/>
        <v>Valid</v>
      </c>
      <c r="AI1773" t="str">
        <f t="shared" si="355"/>
        <v>Valid</v>
      </c>
      <c r="AJ1773" t="str">
        <f t="shared" si="356"/>
        <v>Valid</v>
      </c>
      <c r="AK1773" t="str">
        <f t="shared" si="363"/>
        <v xml:space="preserve">Valid </v>
      </c>
      <c r="AL1773" t="str">
        <f>IF(AND(Audit_Data[[#This Row],[Recency]]&gt;=0,Audit_Data[[#This Row],[Recency]]&lt;=100),"Valid","Invalid")</f>
        <v>Valid</v>
      </c>
      <c r="AM1773" t="str">
        <f t="shared" si="357"/>
        <v>Valid</v>
      </c>
      <c r="AN1773" t="str">
        <f t="shared" si="358"/>
        <v>Valid</v>
      </c>
      <c r="AO1773" t="str">
        <f t="shared" si="359"/>
        <v>Valid</v>
      </c>
      <c r="AP1773" t="str">
        <f t="shared" si="360"/>
        <v>Valid</v>
      </c>
      <c r="AQ1773" t="str">
        <f>IF(Audit_Data[[#This Row],[Z_CostContact]]=3,"Valid","Invalid")</f>
        <v>Valid</v>
      </c>
      <c r="AR1773" t="str">
        <f t="shared" si="361"/>
        <v>Valid</v>
      </c>
      <c r="AS1773" t="str">
        <f t="shared" si="362"/>
        <v>Valid</v>
      </c>
    </row>
    <row r="1774" spans="1:45" x14ac:dyDescent="0.3">
      <c r="A1774">
        <v>8895</v>
      </c>
      <c r="B1774">
        <v>1985</v>
      </c>
      <c r="C1774" t="s">
        <v>29</v>
      </c>
      <c r="D1774" t="s">
        <v>30</v>
      </c>
      <c r="E1774">
        <v>70596</v>
      </c>
      <c r="F1774">
        <v>0</v>
      </c>
      <c r="G1774">
        <v>0</v>
      </c>
      <c r="H1774" s="1">
        <v>41187</v>
      </c>
      <c r="I1774">
        <v>68</v>
      </c>
      <c r="J1774">
        <v>347</v>
      </c>
      <c r="K1774">
        <v>44</v>
      </c>
      <c r="L1774">
        <v>534</v>
      </c>
      <c r="M1774">
        <v>17</v>
      </c>
      <c r="N1774">
        <v>0</v>
      </c>
      <c r="O1774">
        <v>26</v>
      </c>
      <c r="P1774">
        <v>1</v>
      </c>
      <c r="Q1774">
        <v>3</v>
      </c>
      <c r="R1774">
        <v>5</v>
      </c>
      <c r="S1774">
        <v>12</v>
      </c>
      <c r="T1774">
        <v>2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3</v>
      </c>
      <c r="AB1774">
        <v>11</v>
      </c>
      <c r="AC1774">
        <v>0</v>
      </c>
      <c r="AD1774" t="str">
        <f t="shared" si="351"/>
        <v>Ok</v>
      </c>
      <c r="AE1774" t="str">
        <f>IF(AND(Audit_Data[[#This Row],[Year_Birth]]&gt;=1900,Audit_Data[[#This Row],[Year_Birth]]&lt;=2010),"OK","Invalid")</f>
        <v>OK</v>
      </c>
      <c r="AF1774" t="str">
        <f t="shared" si="352"/>
        <v>Valid</v>
      </c>
      <c r="AG1774" t="str">
        <f t="shared" si="353"/>
        <v>Valid</v>
      </c>
      <c r="AH1774" t="str">
        <f t="shared" si="354"/>
        <v>Valid</v>
      </c>
      <c r="AI1774" t="str">
        <f t="shared" si="355"/>
        <v>Valid</v>
      </c>
      <c r="AJ1774" t="str">
        <f t="shared" si="356"/>
        <v>Valid</v>
      </c>
      <c r="AK1774" t="str">
        <f t="shared" si="363"/>
        <v xml:space="preserve">Valid </v>
      </c>
      <c r="AL1774" t="str">
        <f>IF(AND(Audit_Data[[#This Row],[Recency]]&gt;=0,Audit_Data[[#This Row],[Recency]]&lt;=100),"Valid","Invalid")</f>
        <v>Valid</v>
      </c>
      <c r="AM1774" t="str">
        <f t="shared" si="357"/>
        <v>Valid</v>
      </c>
      <c r="AN1774" t="str">
        <f t="shared" si="358"/>
        <v>Valid</v>
      </c>
      <c r="AO1774" t="str">
        <f t="shared" si="359"/>
        <v>Valid</v>
      </c>
      <c r="AP1774" t="str">
        <f t="shared" si="360"/>
        <v>Valid</v>
      </c>
      <c r="AQ1774" t="str">
        <f>IF(Audit_Data[[#This Row],[Z_CostContact]]=3,"Valid","Invalid")</f>
        <v>Valid</v>
      </c>
      <c r="AR1774" t="str">
        <f t="shared" si="361"/>
        <v>Valid</v>
      </c>
      <c r="AS1774" t="str">
        <f t="shared" si="362"/>
        <v>Valid</v>
      </c>
    </row>
    <row r="1775" spans="1:45" x14ac:dyDescent="0.3">
      <c r="A1775">
        <v>8584</v>
      </c>
      <c r="B1775">
        <v>1952</v>
      </c>
      <c r="C1775" t="s">
        <v>32</v>
      </c>
      <c r="D1775" t="s">
        <v>31</v>
      </c>
      <c r="E1775">
        <v>85431</v>
      </c>
      <c r="F1775">
        <v>0</v>
      </c>
      <c r="G1775">
        <v>0</v>
      </c>
      <c r="H1775" s="1">
        <v>41433</v>
      </c>
      <c r="I1775">
        <v>54</v>
      </c>
      <c r="J1775">
        <v>376</v>
      </c>
      <c r="K1775">
        <v>53</v>
      </c>
      <c r="L1775">
        <v>462</v>
      </c>
      <c r="M1775">
        <v>168</v>
      </c>
      <c r="N1775">
        <v>53</v>
      </c>
      <c r="O1775">
        <v>53</v>
      </c>
      <c r="P1775">
        <v>1</v>
      </c>
      <c r="Q1775">
        <v>2</v>
      </c>
      <c r="R1775">
        <v>7</v>
      </c>
      <c r="S1775">
        <v>7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3</v>
      </c>
      <c r="AB1775">
        <v>11</v>
      </c>
      <c r="AC1775">
        <v>0</v>
      </c>
      <c r="AD1775" t="str">
        <f t="shared" si="351"/>
        <v>Ok</v>
      </c>
      <c r="AE1775" t="str">
        <f>IF(AND(Audit_Data[[#This Row],[Year_Birth]]&gt;=1900,Audit_Data[[#This Row],[Year_Birth]]&lt;=2010),"OK","Invalid")</f>
        <v>OK</v>
      </c>
      <c r="AF1775" t="str">
        <f t="shared" si="352"/>
        <v>Valid</v>
      </c>
      <c r="AG1775" t="str">
        <f t="shared" si="353"/>
        <v>Valid</v>
      </c>
      <c r="AH1775" t="str">
        <f t="shared" si="354"/>
        <v>Valid</v>
      </c>
      <c r="AI1775" t="str">
        <f t="shared" si="355"/>
        <v>Valid</v>
      </c>
      <c r="AJ1775" t="str">
        <f t="shared" si="356"/>
        <v>Valid</v>
      </c>
      <c r="AK1775" t="str">
        <f t="shared" si="363"/>
        <v xml:space="preserve">Valid </v>
      </c>
      <c r="AL1775" t="str">
        <f>IF(AND(Audit_Data[[#This Row],[Recency]]&gt;=0,Audit_Data[[#This Row],[Recency]]&lt;=100),"Valid","Invalid")</f>
        <v>Valid</v>
      </c>
      <c r="AM1775" t="str">
        <f t="shared" si="357"/>
        <v>Valid</v>
      </c>
      <c r="AN1775" t="str">
        <f t="shared" si="358"/>
        <v>Valid</v>
      </c>
      <c r="AO1775" t="str">
        <f t="shared" si="359"/>
        <v>Valid</v>
      </c>
      <c r="AP1775" t="str">
        <f t="shared" si="360"/>
        <v>Valid</v>
      </c>
      <c r="AQ1775" t="str">
        <f>IF(Audit_Data[[#This Row],[Z_CostContact]]=3,"Valid","Invalid")</f>
        <v>Valid</v>
      </c>
      <c r="AR1775" t="str">
        <f t="shared" si="361"/>
        <v>Valid</v>
      </c>
      <c r="AS1775" t="str">
        <f t="shared" si="362"/>
        <v>Valid</v>
      </c>
    </row>
    <row r="1776" spans="1:45" x14ac:dyDescent="0.3">
      <c r="A1776">
        <v>2694</v>
      </c>
      <c r="B1776">
        <v>1967</v>
      </c>
      <c r="C1776" t="s">
        <v>29</v>
      </c>
      <c r="D1776" t="s">
        <v>33</v>
      </c>
      <c r="E1776">
        <v>42664</v>
      </c>
      <c r="F1776">
        <v>0</v>
      </c>
      <c r="G1776">
        <v>1</v>
      </c>
      <c r="H1776" s="1">
        <v>41716</v>
      </c>
      <c r="I1776">
        <v>44</v>
      </c>
      <c r="J1776">
        <v>21</v>
      </c>
      <c r="K1776">
        <v>0</v>
      </c>
      <c r="L1776">
        <v>3</v>
      </c>
      <c r="M1776">
        <v>0</v>
      </c>
      <c r="N1776">
        <v>0</v>
      </c>
      <c r="O1776">
        <v>0</v>
      </c>
      <c r="P1776">
        <v>1</v>
      </c>
      <c r="Q1776">
        <v>1</v>
      </c>
      <c r="R1776">
        <v>0</v>
      </c>
      <c r="S1776">
        <v>3</v>
      </c>
      <c r="T1776">
        <v>6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3</v>
      </c>
      <c r="AB1776">
        <v>11</v>
      </c>
      <c r="AC1776">
        <v>0</v>
      </c>
      <c r="AD1776" t="str">
        <f t="shared" si="351"/>
        <v>Ok</v>
      </c>
      <c r="AE1776" t="str">
        <f>IF(AND(Audit_Data[[#This Row],[Year_Birth]]&gt;=1900,Audit_Data[[#This Row],[Year_Birth]]&lt;=2010),"OK","Invalid")</f>
        <v>OK</v>
      </c>
      <c r="AF1776" t="str">
        <f t="shared" si="352"/>
        <v>Valid</v>
      </c>
      <c r="AG1776" t="str">
        <f t="shared" si="353"/>
        <v>Valid</v>
      </c>
      <c r="AH1776" t="str">
        <f t="shared" si="354"/>
        <v>Valid</v>
      </c>
      <c r="AI1776" t="str">
        <f t="shared" si="355"/>
        <v>Valid</v>
      </c>
      <c r="AJ1776" t="str">
        <f t="shared" si="356"/>
        <v>Valid</v>
      </c>
      <c r="AK1776" t="str">
        <f t="shared" si="363"/>
        <v xml:space="preserve">Valid </v>
      </c>
      <c r="AL1776" t="str">
        <f>IF(AND(Audit_Data[[#This Row],[Recency]]&gt;=0,Audit_Data[[#This Row],[Recency]]&lt;=100),"Valid","Invalid")</f>
        <v>Valid</v>
      </c>
      <c r="AM1776" t="str">
        <f t="shared" si="357"/>
        <v>Valid</v>
      </c>
      <c r="AN1776" t="str">
        <f t="shared" si="358"/>
        <v>Valid</v>
      </c>
      <c r="AO1776" t="str">
        <f t="shared" si="359"/>
        <v>Valid</v>
      </c>
      <c r="AP1776" t="str">
        <f t="shared" si="360"/>
        <v>Valid</v>
      </c>
      <c r="AQ1776" t="str">
        <f>IF(Audit_Data[[#This Row],[Z_CostContact]]=3,"Valid","Invalid")</f>
        <v>Valid</v>
      </c>
      <c r="AR1776" t="str">
        <f t="shared" si="361"/>
        <v>Valid</v>
      </c>
      <c r="AS1776" t="str">
        <f t="shared" si="362"/>
        <v>Valid</v>
      </c>
    </row>
    <row r="1777" spans="1:45" x14ac:dyDescent="0.3">
      <c r="A1777">
        <v>8910</v>
      </c>
      <c r="B1777">
        <v>1955</v>
      </c>
      <c r="C1777" t="s">
        <v>29</v>
      </c>
      <c r="D1777" t="s">
        <v>31</v>
      </c>
      <c r="E1777">
        <v>42586</v>
      </c>
      <c r="F1777">
        <v>1</v>
      </c>
      <c r="G1777">
        <v>1</v>
      </c>
      <c r="H1777" s="1">
        <v>41211</v>
      </c>
      <c r="I1777">
        <v>7</v>
      </c>
      <c r="J1777">
        <v>194</v>
      </c>
      <c r="K1777">
        <v>2</v>
      </c>
      <c r="L1777">
        <v>56</v>
      </c>
      <c r="M1777">
        <v>0</v>
      </c>
      <c r="N1777">
        <v>0</v>
      </c>
      <c r="O1777">
        <v>0</v>
      </c>
      <c r="P1777">
        <v>5</v>
      </c>
      <c r="Q1777">
        <v>4</v>
      </c>
      <c r="R1777">
        <v>1</v>
      </c>
      <c r="S1777">
        <v>6</v>
      </c>
      <c r="T1777">
        <v>8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3</v>
      </c>
      <c r="AB1777">
        <v>11</v>
      </c>
      <c r="AC1777">
        <v>1</v>
      </c>
      <c r="AD1777" t="str">
        <f t="shared" si="351"/>
        <v>Ok</v>
      </c>
      <c r="AE1777" t="str">
        <f>IF(AND(Audit_Data[[#This Row],[Year_Birth]]&gt;=1900,Audit_Data[[#This Row],[Year_Birth]]&lt;=2010),"OK","Invalid")</f>
        <v>OK</v>
      </c>
      <c r="AF1777" t="str">
        <f t="shared" si="352"/>
        <v>Valid</v>
      </c>
      <c r="AG1777" t="str">
        <f t="shared" si="353"/>
        <v>Valid</v>
      </c>
      <c r="AH1777" t="str">
        <f t="shared" si="354"/>
        <v>Valid</v>
      </c>
      <c r="AI1777" t="str">
        <f t="shared" si="355"/>
        <v>Valid</v>
      </c>
      <c r="AJ1777" t="str">
        <f t="shared" si="356"/>
        <v>Valid</v>
      </c>
      <c r="AK1777" t="str">
        <f t="shared" si="363"/>
        <v xml:space="preserve">Valid </v>
      </c>
      <c r="AL1777" t="str">
        <f>IF(AND(Audit_Data[[#This Row],[Recency]]&gt;=0,Audit_Data[[#This Row],[Recency]]&lt;=100),"Valid","Invalid")</f>
        <v>Valid</v>
      </c>
      <c r="AM1777" t="str">
        <f t="shared" si="357"/>
        <v>Valid</v>
      </c>
      <c r="AN1777" t="str">
        <f t="shared" si="358"/>
        <v>Valid</v>
      </c>
      <c r="AO1777" t="str">
        <f t="shared" si="359"/>
        <v>Valid</v>
      </c>
      <c r="AP1777" t="str">
        <f t="shared" si="360"/>
        <v>Valid</v>
      </c>
      <c r="AQ1777" t="str">
        <f>IF(Audit_Data[[#This Row],[Z_CostContact]]=3,"Valid","Invalid")</f>
        <v>Valid</v>
      </c>
      <c r="AR1777" t="str">
        <f t="shared" si="361"/>
        <v>Valid</v>
      </c>
      <c r="AS1777" t="str">
        <f t="shared" si="362"/>
        <v>Valid</v>
      </c>
    </row>
    <row r="1778" spans="1:45" x14ac:dyDescent="0.3">
      <c r="A1778">
        <v>7433</v>
      </c>
      <c r="B1778">
        <v>1985</v>
      </c>
      <c r="C1778" t="s">
        <v>29</v>
      </c>
      <c r="D1778" t="s">
        <v>30</v>
      </c>
      <c r="E1778">
        <v>29760</v>
      </c>
      <c r="F1778">
        <v>1</v>
      </c>
      <c r="G1778">
        <v>0</v>
      </c>
      <c r="H1778" s="1">
        <v>41150</v>
      </c>
      <c r="I1778">
        <v>87</v>
      </c>
      <c r="J1778">
        <v>64</v>
      </c>
      <c r="K1778">
        <v>4</v>
      </c>
      <c r="L1778">
        <v>68</v>
      </c>
      <c r="M1778">
        <v>7</v>
      </c>
      <c r="N1778">
        <v>5</v>
      </c>
      <c r="O1778">
        <v>17</v>
      </c>
      <c r="P1778">
        <v>4</v>
      </c>
      <c r="Q1778">
        <v>3</v>
      </c>
      <c r="R1778">
        <v>1</v>
      </c>
      <c r="S1778">
        <v>4</v>
      </c>
      <c r="T1778">
        <v>8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3</v>
      </c>
      <c r="AB1778">
        <v>11</v>
      </c>
      <c r="AC1778">
        <v>0</v>
      </c>
      <c r="AD1778" t="str">
        <f t="shared" si="351"/>
        <v>Ok</v>
      </c>
      <c r="AE1778" t="str">
        <f>IF(AND(Audit_Data[[#This Row],[Year_Birth]]&gt;=1900,Audit_Data[[#This Row],[Year_Birth]]&lt;=2010),"OK","Invalid")</f>
        <v>OK</v>
      </c>
      <c r="AF1778" t="str">
        <f t="shared" si="352"/>
        <v>Valid</v>
      </c>
      <c r="AG1778" t="str">
        <f t="shared" si="353"/>
        <v>Valid</v>
      </c>
      <c r="AH1778" t="str">
        <f t="shared" si="354"/>
        <v>Valid</v>
      </c>
      <c r="AI1778" t="str">
        <f t="shared" si="355"/>
        <v>Valid</v>
      </c>
      <c r="AJ1778" t="str">
        <f t="shared" si="356"/>
        <v>Valid</v>
      </c>
      <c r="AK1778" t="str">
        <f t="shared" si="363"/>
        <v xml:space="preserve">Valid </v>
      </c>
      <c r="AL1778" t="str">
        <f>IF(AND(Audit_Data[[#This Row],[Recency]]&gt;=0,Audit_Data[[#This Row],[Recency]]&lt;=100),"Valid","Invalid")</f>
        <v>Valid</v>
      </c>
      <c r="AM1778" t="str">
        <f t="shared" si="357"/>
        <v>Valid</v>
      </c>
      <c r="AN1778" t="str">
        <f t="shared" si="358"/>
        <v>Valid</v>
      </c>
      <c r="AO1778" t="str">
        <f t="shared" si="359"/>
        <v>Valid</v>
      </c>
      <c r="AP1778" t="str">
        <f t="shared" si="360"/>
        <v>Valid</v>
      </c>
      <c r="AQ1778" t="str">
        <f>IF(Audit_Data[[#This Row],[Z_CostContact]]=3,"Valid","Invalid")</f>
        <v>Valid</v>
      </c>
      <c r="AR1778" t="str">
        <f t="shared" si="361"/>
        <v>Valid</v>
      </c>
      <c r="AS1778" t="str">
        <f t="shared" si="362"/>
        <v>Valid</v>
      </c>
    </row>
    <row r="1779" spans="1:45" x14ac:dyDescent="0.3">
      <c r="A1779">
        <v>164</v>
      </c>
      <c r="B1779">
        <v>1977</v>
      </c>
      <c r="C1779" t="s">
        <v>32</v>
      </c>
      <c r="D1779" t="s">
        <v>33</v>
      </c>
      <c r="E1779">
        <v>28973</v>
      </c>
      <c r="F1779">
        <v>0</v>
      </c>
      <c r="G1779">
        <v>0</v>
      </c>
      <c r="H1779" s="1">
        <v>41195</v>
      </c>
      <c r="I1779">
        <v>59</v>
      </c>
      <c r="J1779">
        <v>206</v>
      </c>
      <c r="K1779">
        <v>0</v>
      </c>
      <c r="L1779">
        <v>46</v>
      </c>
      <c r="M1779">
        <v>3</v>
      </c>
      <c r="N1779">
        <v>2</v>
      </c>
      <c r="O1779">
        <v>12</v>
      </c>
      <c r="P1779">
        <v>2</v>
      </c>
      <c r="Q1779">
        <v>5</v>
      </c>
      <c r="R1779">
        <v>1</v>
      </c>
      <c r="S1779">
        <v>5</v>
      </c>
      <c r="T1779">
        <v>8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3</v>
      </c>
      <c r="AB1779">
        <v>11</v>
      </c>
      <c r="AC1779">
        <v>0</v>
      </c>
      <c r="AD1779" t="str">
        <f t="shared" si="351"/>
        <v>Ok</v>
      </c>
      <c r="AE1779" t="str">
        <f>IF(AND(Audit_Data[[#This Row],[Year_Birth]]&gt;=1900,Audit_Data[[#This Row],[Year_Birth]]&lt;=2010),"OK","Invalid")</f>
        <v>OK</v>
      </c>
      <c r="AF1779" t="str">
        <f t="shared" si="352"/>
        <v>Valid</v>
      </c>
      <c r="AG1779" t="str">
        <f t="shared" si="353"/>
        <v>Valid</v>
      </c>
      <c r="AH1779" t="str">
        <f t="shared" si="354"/>
        <v>Valid</v>
      </c>
      <c r="AI1779" t="str">
        <f t="shared" si="355"/>
        <v>Valid</v>
      </c>
      <c r="AJ1779" t="str">
        <f t="shared" si="356"/>
        <v>Valid</v>
      </c>
      <c r="AK1779" t="str">
        <f t="shared" si="363"/>
        <v xml:space="preserve">Valid </v>
      </c>
      <c r="AL1779" t="str">
        <f>IF(AND(Audit_Data[[#This Row],[Recency]]&gt;=0,Audit_Data[[#This Row],[Recency]]&lt;=100),"Valid","Invalid")</f>
        <v>Valid</v>
      </c>
      <c r="AM1779" t="str">
        <f t="shared" si="357"/>
        <v>Valid</v>
      </c>
      <c r="AN1779" t="str">
        <f t="shared" si="358"/>
        <v>Valid</v>
      </c>
      <c r="AO1779" t="str">
        <f t="shared" si="359"/>
        <v>Valid</v>
      </c>
      <c r="AP1779" t="str">
        <f t="shared" si="360"/>
        <v>Valid</v>
      </c>
      <c r="AQ1779" t="str">
        <f>IF(Audit_Data[[#This Row],[Z_CostContact]]=3,"Valid","Invalid")</f>
        <v>Valid</v>
      </c>
      <c r="AR1779" t="str">
        <f t="shared" si="361"/>
        <v>Valid</v>
      </c>
      <c r="AS1779" t="str">
        <f t="shared" si="362"/>
        <v>Valid</v>
      </c>
    </row>
    <row r="1780" spans="1:45" x14ac:dyDescent="0.3">
      <c r="A1780">
        <v>10477</v>
      </c>
      <c r="B1780">
        <v>1973</v>
      </c>
      <c r="C1780" t="s">
        <v>32</v>
      </c>
      <c r="D1780" t="s">
        <v>31</v>
      </c>
      <c r="E1780">
        <v>39435</v>
      </c>
      <c r="F1780">
        <v>1</v>
      </c>
      <c r="G1780">
        <v>0</v>
      </c>
      <c r="H1780" s="1">
        <v>41492</v>
      </c>
      <c r="I1780">
        <v>16</v>
      </c>
      <c r="J1780">
        <v>71</v>
      </c>
      <c r="K1780">
        <v>0</v>
      </c>
      <c r="L1780">
        <v>18</v>
      </c>
      <c r="M1780">
        <v>0</v>
      </c>
      <c r="N1780">
        <v>0</v>
      </c>
      <c r="O1780">
        <v>13</v>
      </c>
      <c r="P1780">
        <v>1</v>
      </c>
      <c r="Q1780">
        <v>3</v>
      </c>
      <c r="R1780">
        <v>1</v>
      </c>
      <c r="S1780">
        <v>2</v>
      </c>
      <c r="T1780">
        <v>7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3</v>
      </c>
      <c r="AB1780">
        <v>11</v>
      </c>
      <c r="AC1780">
        <v>0</v>
      </c>
      <c r="AD1780" t="str">
        <f t="shared" si="351"/>
        <v>Ok</v>
      </c>
      <c r="AE1780" t="str">
        <f>IF(AND(Audit_Data[[#This Row],[Year_Birth]]&gt;=1900,Audit_Data[[#This Row],[Year_Birth]]&lt;=2010),"OK","Invalid")</f>
        <v>OK</v>
      </c>
      <c r="AF1780" t="str">
        <f t="shared" si="352"/>
        <v>Valid</v>
      </c>
      <c r="AG1780" t="str">
        <f t="shared" si="353"/>
        <v>Valid</v>
      </c>
      <c r="AH1780" t="str">
        <f t="shared" si="354"/>
        <v>Valid</v>
      </c>
      <c r="AI1780" t="str">
        <f t="shared" si="355"/>
        <v>Valid</v>
      </c>
      <c r="AJ1780" t="str">
        <f t="shared" si="356"/>
        <v>Valid</v>
      </c>
      <c r="AK1780" t="str">
        <f t="shared" si="363"/>
        <v xml:space="preserve">Valid </v>
      </c>
      <c r="AL1780" t="str">
        <f>IF(AND(Audit_Data[[#This Row],[Recency]]&gt;=0,Audit_Data[[#This Row],[Recency]]&lt;=100),"Valid","Invalid")</f>
        <v>Valid</v>
      </c>
      <c r="AM1780" t="str">
        <f t="shared" si="357"/>
        <v>Valid</v>
      </c>
      <c r="AN1780" t="str">
        <f t="shared" si="358"/>
        <v>Valid</v>
      </c>
      <c r="AO1780" t="str">
        <f t="shared" si="359"/>
        <v>Valid</v>
      </c>
      <c r="AP1780" t="str">
        <f t="shared" si="360"/>
        <v>Valid</v>
      </c>
      <c r="AQ1780" t="str">
        <f>IF(Audit_Data[[#This Row],[Z_CostContact]]=3,"Valid","Invalid")</f>
        <v>Valid</v>
      </c>
      <c r="AR1780" t="str">
        <f t="shared" si="361"/>
        <v>Valid</v>
      </c>
      <c r="AS1780" t="str">
        <f t="shared" si="362"/>
        <v>Valid</v>
      </c>
    </row>
    <row r="1781" spans="1:45" x14ac:dyDescent="0.3">
      <c r="A1781">
        <v>2681</v>
      </c>
      <c r="B1781">
        <v>1984</v>
      </c>
      <c r="C1781" t="s">
        <v>37</v>
      </c>
      <c r="D1781" t="s">
        <v>33</v>
      </c>
      <c r="E1781">
        <v>65370</v>
      </c>
      <c r="F1781">
        <v>0</v>
      </c>
      <c r="G1781">
        <v>0</v>
      </c>
      <c r="H1781" s="1">
        <v>41487</v>
      </c>
      <c r="I1781">
        <v>1</v>
      </c>
      <c r="J1781">
        <v>71</v>
      </c>
      <c r="K1781">
        <v>22</v>
      </c>
      <c r="L1781">
        <v>112</v>
      </c>
      <c r="M1781">
        <v>138</v>
      </c>
      <c r="N1781">
        <v>89</v>
      </c>
      <c r="O1781">
        <v>29</v>
      </c>
      <c r="P1781">
        <v>1</v>
      </c>
      <c r="Q1781">
        <v>2</v>
      </c>
      <c r="R1781">
        <v>3</v>
      </c>
      <c r="S1781">
        <v>13</v>
      </c>
      <c r="T1781">
        <v>1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3</v>
      </c>
      <c r="AB1781">
        <v>11</v>
      </c>
      <c r="AC1781">
        <v>0</v>
      </c>
      <c r="AD1781" t="str">
        <f t="shared" si="351"/>
        <v>Ok</v>
      </c>
      <c r="AE1781" t="str">
        <f>IF(AND(Audit_Data[[#This Row],[Year_Birth]]&gt;=1900,Audit_Data[[#This Row],[Year_Birth]]&lt;=2010),"OK","Invalid")</f>
        <v>OK</v>
      </c>
      <c r="AF1781" t="str">
        <f t="shared" si="352"/>
        <v>Valid</v>
      </c>
      <c r="AG1781" t="str">
        <f t="shared" si="353"/>
        <v>Valid</v>
      </c>
      <c r="AH1781" t="str">
        <f t="shared" si="354"/>
        <v>Valid</v>
      </c>
      <c r="AI1781" t="str">
        <f t="shared" si="355"/>
        <v>Valid</v>
      </c>
      <c r="AJ1781" t="str">
        <f t="shared" si="356"/>
        <v>Valid</v>
      </c>
      <c r="AK1781" t="str">
        <f t="shared" si="363"/>
        <v xml:space="preserve">Valid </v>
      </c>
      <c r="AL1781" t="str">
        <f>IF(AND(Audit_Data[[#This Row],[Recency]]&gt;=0,Audit_Data[[#This Row],[Recency]]&lt;=100),"Valid","Invalid")</f>
        <v>Valid</v>
      </c>
      <c r="AM1781" t="str">
        <f t="shared" si="357"/>
        <v>Valid</v>
      </c>
      <c r="AN1781" t="str">
        <f t="shared" si="358"/>
        <v>Valid</v>
      </c>
      <c r="AO1781" t="str">
        <f t="shared" si="359"/>
        <v>Valid</v>
      </c>
      <c r="AP1781" t="str">
        <f t="shared" si="360"/>
        <v>Valid</v>
      </c>
      <c r="AQ1781" t="str">
        <f>IF(Audit_Data[[#This Row],[Z_CostContact]]=3,"Valid","Invalid")</f>
        <v>Valid</v>
      </c>
      <c r="AR1781" t="str">
        <f t="shared" si="361"/>
        <v>Valid</v>
      </c>
      <c r="AS1781" t="str">
        <f t="shared" si="362"/>
        <v>Valid</v>
      </c>
    </row>
    <row r="1782" spans="1:45" x14ac:dyDescent="0.3">
      <c r="A1782">
        <v>5150</v>
      </c>
      <c r="B1782">
        <v>1979</v>
      </c>
      <c r="C1782" t="s">
        <v>36</v>
      </c>
      <c r="D1782" t="s">
        <v>30</v>
      </c>
      <c r="E1782">
        <v>20194</v>
      </c>
      <c r="F1782">
        <v>1</v>
      </c>
      <c r="G1782">
        <v>0</v>
      </c>
      <c r="H1782" s="1">
        <v>41260</v>
      </c>
      <c r="I1782">
        <v>64</v>
      </c>
      <c r="J1782">
        <v>0</v>
      </c>
      <c r="K1782">
        <v>4</v>
      </c>
      <c r="L1782">
        <v>7</v>
      </c>
      <c r="M1782">
        <v>11</v>
      </c>
      <c r="N1782">
        <v>10</v>
      </c>
      <c r="O1782">
        <v>15</v>
      </c>
      <c r="P1782">
        <v>2</v>
      </c>
      <c r="Q1782">
        <v>2</v>
      </c>
      <c r="R1782">
        <v>0</v>
      </c>
      <c r="S1782">
        <v>3</v>
      </c>
      <c r="T1782">
        <v>6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3</v>
      </c>
      <c r="AB1782">
        <v>11</v>
      </c>
      <c r="AC1782">
        <v>0</v>
      </c>
      <c r="AD1782" t="str">
        <f t="shared" si="351"/>
        <v>Ok</v>
      </c>
      <c r="AE1782" t="str">
        <f>IF(AND(Audit_Data[[#This Row],[Year_Birth]]&gt;=1900,Audit_Data[[#This Row],[Year_Birth]]&lt;=2010),"OK","Invalid")</f>
        <v>OK</v>
      </c>
      <c r="AF1782" t="str">
        <f t="shared" si="352"/>
        <v>Valid</v>
      </c>
      <c r="AG1782" t="str">
        <f t="shared" si="353"/>
        <v>Valid</v>
      </c>
      <c r="AH1782" t="str">
        <f t="shared" si="354"/>
        <v>Valid</v>
      </c>
      <c r="AI1782" t="str">
        <f t="shared" si="355"/>
        <v>Valid</v>
      </c>
      <c r="AJ1782" t="str">
        <f t="shared" si="356"/>
        <v>Valid</v>
      </c>
      <c r="AK1782" t="str">
        <f t="shared" si="363"/>
        <v xml:space="preserve">Valid </v>
      </c>
      <c r="AL1782" t="str">
        <f>IF(AND(Audit_Data[[#This Row],[Recency]]&gt;=0,Audit_Data[[#This Row],[Recency]]&lt;=100),"Valid","Invalid")</f>
        <v>Valid</v>
      </c>
      <c r="AM1782" t="str">
        <f t="shared" si="357"/>
        <v>Valid</v>
      </c>
      <c r="AN1782" t="str">
        <f t="shared" si="358"/>
        <v>Valid</v>
      </c>
      <c r="AO1782" t="str">
        <f t="shared" si="359"/>
        <v>Valid</v>
      </c>
      <c r="AP1782" t="str">
        <f t="shared" si="360"/>
        <v>Valid</v>
      </c>
      <c r="AQ1782" t="str">
        <f>IF(Audit_Data[[#This Row],[Z_CostContact]]=3,"Valid","Invalid")</f>
        <v>Valid</v>
      </c>
      <c r="AR1782" t="str">
        <f t="shared" si="361"/>
        <v>Valid</v>
      </c>
      <c r="AS1782" t="str">
        <f t="shared" si="362"/>
        <v>Valid</v>
      </c>
    </row>
    <row r="1783" spans="1:45" x14ac:dyDescent="0.3">
      <c r="A1783">
        <v>5283</v>
      </c>
      <c r="B1783">
        <v>1976</v>
      </c>
      <c r="C1783" t="s">
        <v>32</v>
      </c>
      <c r="D1783" t="s">
        <v>30</v>
      </c>
      <c r="E1783">
        <v>42473</v>
      </c>
      <c r="F1783">
        <v>1</v>
      </c>
      <c r="G1783">
        <v>1</v>
      </c>
      <c r="H1783" s="1">
        <v>41687</v>
      </c>
      <c r="I1783">
        <v>72</v>
      </c>
      <c r="J1783">
        <v>93</v>
      </c>
      <c r="K1783">
        <v>1</v>
      </c>
      <c r="L1783">
        <v>21</v>
      </c>
      <c r="M1783">
        <v>0</v>
      </c>
      <c r="N1783">
        <v>4</v>
      </c>
      <c r="O1783">
        <v>25</v>
      </c>
      <c r="P1783">
        <v>3</v>
      </c>
      <c r="Q1783">
        <v>2</v>
      </c>
      <c r="R1783">
        <v>1</v>
      </c>
      <c r="S1783">
        <v>4</v>
      </c>
      <c r="T1783">
        <v>5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3</v>
      </c>
      <c r="AB1783">
        <v>11</v>
      </c>
      <c r="AC1783">
        <v>0</v>
      </c>
      <c r="AD1783" t="str">
        <f t="shared" si="351"/>
        <v>Ok</v>
      </c>
      <c r="AE1783" t="str">
        <f>IF(AND(Audit_Data[[#This Row],[Year_Birth]]&gt;=1900,Audit_Data[[#This Row],[Year_Birth]]&lt;=2010),"OK","Invalid")</f>
        <v>OK</v>
      </c>
      <c r="AF1783" t="str">
        <f t="shared" si="352"/>
        <v>Valid</v>
      </c>
      <c r="AG1783" t="str">
        <f t="shared" si="353"/>
        <v>Valid</v>
      </c>
      <c r="AH1783" t="str">
        <f t="shared" si="354"/>
        <v>Valid</v>
      </c>
      <c r="AI1783" t="str">
        <f t="shared" si="355"/>
        <v>Valid</v>
      </c>
      <c r="AJ1783" t="str">
        <f t="shared" si="356"/>
        <v>Valid</v>
      </c>
      <c r="AK1783" t="str">
        <f t="shared" si="363"/>
        <v xml:space="preserve">Valid </v>
      </c>
      <c r="AL1783" t="str">
        <f>IF(AND(Audit_Data[[#This Row],[Recency]]&gt;=0,Audit_Data[[#This Row],[Recency]]&lt;=100),"Valid","Invalid")</f>
        <v>Valid</v>
      </c>
      <c r="AM1783" t="str">
        <f t="shared" si="357"/>
        <v>Valid</v>
      </c>
      <c r="AN1783" t="str">
        <f t="shared" si="358"/>
        <v>Valid</v>
      </c>
      <c r="AO1783" t="str">
        <f t="shared" si="359"/>
        <v>Valid</v>
      </c>
      <c r="AP1783" t="str">
        <f t="shared" si="360"/>
        <v>Valid</v>
      </c>
      <c r="AQ1783" t="str">
        <f>IF(Audit_Data[[#This Row],[Z_CostContact]]=3,"Valid","Invalid")</f>
        <v>Valid</v>
      </c>
      <c r="AR1783" t="str">
        <f t="shared" si="361"/>
        <v>Valid</v>
      </c>
      <c r="AS1783" t="str">
        <f t="shared" si="362"/>
        <v>Valid</v>
      </c>
    </row>
    <row r="1784" spans="1:45" x14ac:dyDescent="0.3">
      <c r="A1784">
        <v>9645</v>
      </c>
      <c r="B1784">
        <v>1968</v>
      </c>
      <c r="C1784" t="s">
        <v>29</v>
      </c>
      <c r="D1784" t="s">
        <v>33</v>
      </c>
      <c r="E1784">
        <v>64590</v>
      </c>
      <c r="F1784">
        <v>0</v>
      </c>
      <c r="G1784">
        <v>0</v>
      </c>
      <c r="H1784" s="1">
        <v>41196</v>
      </c>
      <c r="I1784">
        <v>98</v>
      </c>
      <c r="J1784">
        <v>920</v>
      </c>
      <c r="K1784">
        <v>138</v>
      </c>
      <c r="L1784">
        <v>168</v>
      </c>
      <c r="M1784">
        <v>36</v>
      </c>
      <c r="N1784">
        <v>46</v>
      </c>
      <c r="O1784">
        <v>30</v>
      </c>
      <c r="P1784">
        <v>1</v>
      </c>
      <c r="Q1784">
        <v>9</v>
      </c>
      <c r="R1784">
        <v>4</v>
      </c>
      <c r="S1784">
        <v>10</v>
      </c>
      <c r="T1784">
        <v>6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3</v>
      </c>
      <c r="AB1784">
        <v>11</v>
      </c>
      <c r="AC1784">
        <v>0</v>
      </c>
      <c r="AD1784" t="str">
        <f t="shared" si="351"/>
        <v>Ok</v>
      </c>
      <c r="AE1784" t="str">
        <f>IF(AND(Audit_Data[[#This Row],[Year_Birth]]&gt;=1900,Audit_Data[[#This Row],[Year_Birth]]&lt;=2010),"OK","Invalid")</f>
        <v>OK</v>
      </c>
      <c r="AF1784" t="str">
        <f t="shared" si="352"/>
        <v>Valid</v>
      </c>
      <c r="AG1784" t="str">
        <f t="shared" si="353"/>
        <v>Valid</v>
      </c>
      <c r="AH1784" t="str">
        <f t="shared" si="354"/>
        <v>Valid</v>
      </c>
      <c r="AI1784" t="str">
        <f t="shared" si="355"/>
        <v>Valid</v>
      </c>
      <c r="AJ1784" t="str">
        <f t="shared" si="356"/>
        <v>Valid</v>
      </c>
      <c r="AK1784" t="str">
        <f t="shared" si="363"/>
        <v xml:space="preserve">Valid </v>
      </c>
      <c r="AL1784" t="str">
        <f>IF(AND(Audit_Data[[#This Row],[Recency]]&gt;=0,Audit_Data[[#This Row],[Recency]]&lt;=100),"Valid","Invalid")</f>
        <v>Valid</v>
      </c>
      <c r="AM1784" t="str">
        <f t="shared" si="357"/>
        <v>Valid</v>
      </c>
      <c r="AN1784" t="str">
        <f t="shared" si="358"/>
        <v>Valid</v>
      </c>
      <c r="AO1784" t="str">
        <f t="shared" si="359"/>
        <v>Valid</v>
      </c>
      <c r="AP1784" t="str">
        <f t="shared" si="360"/>
        <v>Valid</v>
      </c>
      <c r="AQ1784" t="str">
        <f>IF(Audit_Data[[#This Row],[Z_CostContact]]=3,"Valid","Invalid")</f>
        <v>Valid</v>
      </c>
      <c r="AR1784" t="str">
        <f t="shared" si="361"/>
        <v>Valid</v>
      </c>
      <c r="AS1784" t="str">
        <f t="shared" si="362"/>
        <v>Valid</v>
      </c>
    </row>
    <row r="1785" spans="1:45" x14ac:dyDescent="0.3">
      <c r="A1785">
        <v>10678</v>
      </c>
      <c r="B1785">
        <v>1959</v>
      </c>
      <c r="C1785" t="s">
        <v>29</v>
      </c>
      <c r="D1785" t="s">
        <v>31</v>
      </c>
      <c r="E1785">
        <v>71232</v>
      </c>
      <c r="F1785">
        <v>0</v>
      </c>
      <c r="G1785">
        <v>1</v>
      </c>
      <c r="H1785" s="1">
        <v>41606</v>
      </c>
      <c r="I1785">
        <v>91</v>
      </c>
      <c r="J1785">
        <v>653</v>
      </c>
      <c r="K1785">
        <v>17</v>
      </c>
      <c r="L1785">
        <v>170</v>
      </c>
      <c r="M1785">
        <v>34</v>
      </c>
      <c r="N1785">
        <v>26</v>
      </c>
      <c r="O1785">
        <v>17</v>
      </c>
      <c r="P1785">
        <v>2</v>
      </c>
      <c r="Q1785">
        <v>11</v>
      </c>
      <c r="R1785">
        <v>2</v>
      </c>
      <c r="S1785">
        <v>10</v>
      </c>
      <c r="T1785">
        <v>7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3</v>
      </c>
      <c r="AB1785">
        <v>11</v>
      </c>
      <c r="AC1785">
        <v>0</v>
      </c>
      <c r="AD1785" t="str">
        <f t="shared" si="351"/>
        <v>Ok</v>
      </c>
      <c r="AE1785" t="str">
        <f>IF(AND(Audit_Data[[#This Row],[Year_Birth]]&gt;=1900,Audit_Data[[#This Row],[Year_Birth]]&lt;=2010),"OK","Invalid")</f>
        <v>OK</v>
      </c>
      <c r="AF1785" t="str">
        <f t="shared" si="352"/>
        <v>Valid</v>
      </c>
      <c r="AG1785" t="str">
        <f t="shared" si="353"/>
        <v>Valid</v>
      </c>
      <c r="AH1785" t="str">
        <f t="shared" si="354"/>
        <v>Valid</v>
      </c>
      <c r="AI1785" t="str">
        <f t="shared" si="355"/>
        <v>Valid</v>
      </c>
      <c r="AJ1785" t="str">
        <f t="shared" si="356"/>
        <v>Valid</v>
      </c>
      <c r="AK1785" t="str">
        <f t="shared" si="363"/>
        <v xml:space="preserve">Valid </v>
      </c>
      <c r="AL1785" t="str">
        <f>IF(AND(Audit_Data[[#This Row],[Recency]]&gt;=0,Audit_Data[[#This Row],[Recency]]&lt;=100),"Valid","Invalid")</f>
        <v>Valid</v>
      </c>
      <c r="AM1785" t="str">
        <f t="shared" si="357"/>
        <v>Valid</v>
      </c>
      <c r="AN1785" t="str">
        <f t="shared" si="358"/>
        <v>Valid</v>
      </c>
      <c r="AO1785" t="str">
        <f t="shared" si="359"/>
        <v>Valid</v>
      </c>
      <c r="AP1785" t="str">
        <f t="shared" si="360"/>
        <v>Valid</v>
      </c>
      <c r="AQ1785" t="str">
        <f>IF(Audit_Data[[#This Row],[Z_CostContact]]=3,"Valid","Invalid")</f>
        <v>Valid</v>
      </c>
      <c r="AR1785" t="str">
        <f t="shared" si="361"/>
        <v>Valid</v>
      </c>
      <c r="AS1785" t="str">
        <f t="shared" si="362"/>
        <v>Valid</v>
      </c>
    </row>
    <row r="1786" spans="1:45" x14ac:dyDescent="0.3">
      <c r="A1786">
        <v>7261</v>
      </c>
      <c r="B1786">
        <v>1971</v>
      </c>
      <c r="C1786" t="s">
        <v>29</v>
      </c>
      <c r="D1786" t="s">
        <v>31</v>
      </c>
      <c r="E1786">
        <v>34600</v>
      </c>
      <c r="F1786">
        <v>1</v>
      </c>
      <c r="G1786">
        <v>1</v>
      </c>
      <c r="H1786" s="1">
        <v>41275</v>
      </c>
      <c r="I1786">
        <v>8</v>
      </c>
      <c r="J1786">
        <v>199</v>
      </c>
      <c r="K1786">
        <v>33</v>
      </c>
      <c r="L1786">
        <v>60</v>
      </c>
      <c r="M1786">
        <v>8</v>
      </c>
      <c r="N1786">
        <v>3</v>
      </c>
      <c r="O1786">
        <v>15</v>
      </c>
      <c r="P1786">
        <v>5</v>
      </c>
      <c r="Q1786">
        <v>5</v>
      </c>
      <c r="R1786">
        <v>2</v>
      </c>
      <c r="S1786">
        <v>5</v>
      </c>
      <c r="T1786">
        <v>8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3</v>
      </c>
      <c r="AB1786">
        <v>11</v>
      </c>
      <c r="AC1786">
        <v>1</v>
      </c>
      <c r="AD1786" t="str">
        <f t="shared" si="351"/>
        <v>Ok</v>
      </c>
      <c r="AE1786" t="str">
        <f>IF(AND(Audit_Data[[#This Row],[Year_Birth]]&gt;=1900,Audit_Data[[#This Row],[Year_Birth]]&lt;=2010),"OK","Invalid")</f>
        <v>OK</v>
      </c>
      <c r="AF1786" t="str">
        <f t="shared" si="352"/>
        <v>Valid</v>
      </c>
      <c r="AG1786" t="str">
        <f t="shared" si="353"/>
        <v>Valid</v>
      </c>
      <c r="AH1786" t="str">
        <f t="shared" si="354"/>
        <v>Valid</v>
      </c>
      <c r="AI1786" t="str">
        <f t="shared" si="355"/>
        <v>Valid</v>
      </c>
      <c r="AJ1786" t="str">
        <f t="shared" si="356"/>
        <v>Valid</v>
      </c>
      <c r="AK1786" t="str">
        <f t="shared" si="363"/>
        <v xml:space="preserve">Valid </v>
      </c>
      <c r="AL1786" t="str">
        <f>IF(AND(Audit_Data[[#This Row],[Recency]]&gt;=0,Audit_Data[[#This Row],[Recency]]&lt;=100),"Valid","Invalid")</f>
        <v>Valid</v>
      </c>
      <c r="AM1786" t="str">
        <f t="shared" si="357"/>
        <v>Valid</v>
      </c>
      <c r="AN1786" t="str">
        <f t="shared" si="358"/>
        <v>Valid</v>
      </c>
      <c r="AO1786" t="str">
        <f t="shared" si="359"/>
        <v>Valid</v>
      </c>
      <c r="AP1786" t="str">
        <f t="shared" si="360"/>
        <v>Valid</v>
      </c>
      <c r="AQ1786" t="str">
        <f>IF(Audit_Data[[#This Row],[Z_CostContact]]=3,"Valid","Invalid")</f>
        <v>Valid</v>
      </c>
      <c r="AR1786" t="str">
        <f t="shared" si="361"/>
        <v>Valid</v>
      </c>
      <c r="AS1786" t="str">
        <f t="shared" si="362"/>
        <v>Valid</v>
      </c>
    </row>
    <row r="1787" spans="1:45" x14ac:dyDescent="0.3">
      <c r="A1787">
        <v>9648</v>
      </c>
      <c r="B1787">
        <v>1967</v>
      </c>
      <c r="C1787" t="s">
        <v>29</v>
      </c>
      <c r="D1787" t="s">
        <v>30</v>
      </c>
      <c r="E1787">
        <v>46904</v>
      </c>
      <c r="F1787">
        <v>1</v>
      </c>
      <c r="G1787">
        <v>1</v>
      </c>
      <c r="H1787" s="1">
        <v>41216</v>
      </c>
      <c r="I1787">
        <v>20</v>
      </c>
      <c r="J1787">
        <v>153</v>
      </c>
      <c r="K1787">
        <v>4</v>
      </c>
      <c r="L1787">
        <v>56</v>
      </c>
      <c r="M1787">
        <v>0</v>
      </c>
      <c r="N1787">
        <v>9</v>
      </c>
      <c r="O1787">
        <v>31</v>
      </c>
      <c r="P1787">
        <v>4</v>
      </c>
      <c r="Q1787">
        <v>5</v>
      </c>
      <c r="R1787">
        <v>1</v>
      </c>
      <c r="S1787">
        <v>4</v>
      </c>
      <c r="T1787">
        <v>8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3</v>
      </c>
      <c r="AB1787">
        <v>11</v>
      </c>
      <c r="AC1787">
        <v>0</v>
      </c>
      <c r="AD1787" t="str">
        <f t="shared" si="351"/>
        <v>Ok</v>
      </c>
      <c r="AE1787" t="str">
        <f>IF(AND(Audit_Data[[#This Row],[Year_Birth]]&gt;=1900,Audit_Data[[#This Row],[Year_Birth]]&lt;=2010),"OK","Invalid")</f>
        <v>OK</v>
      </c>
      <c r="AF1787" t="str">
        <f t="shared" si="352"/>
        <v>Valid</v>
      </c>
      <c r="AG1787" t="str">
        <f t="shared" si="353"/>
        <v>Valid</v>
      </c>
      <c r="AH1787" t="str">
        <f t="shared" si="354"/>
        <v>Valid</v>
      </c>
      <c r="AI1787" t="str">
        <f t="shared" si="355"/>
        <v>Valid</v>
      </c>
      <c r="AJ1787" t="str">
        <f t="shared" si="356"/>
        <v>Valid</v>
      </c>
      <c r="AK1787" t="str">
        <f t="shared" si="363"/>
        <v xml:space="preserve">Valid </v>
      </c>
      <c r="AL1787" t="str">
        <f>IF(AND(Audit_Data[[#This Row],[Recency]]&gt;=0,Audit_Data[[#This Row],[Recency]]&lt;=100),"Valid","Invalid")</f>
        <v>Valid</v>
      </c>
      <c r="AM1787" t="str">
        <f t="shared" si="357"/>
        <v>Valid</v>
      </c>
      <c r="AN1787" t="str">
        <f t="shared" si="358"/>
        <v>Valid</v>
      </c>
      <c r="AO1787" t="str">
        <f t="shared" si="359"/>
        <v>Valid</v>
      </c>
      <c r="AP1787" t="str">
        <f t="shared" si="360"/>
        <v>Valid</v>
      </c>
      <c r="AQ1787" t="str">
        <f>IF(Audit_Data[[#This Row],[Z_CostContact]]=3,"Valid","Invalid")</f>
        <v>Valid</v>
      </c>
      <c r="AR1787" t="str">
        <f t="shared" si="361"/>
        <v>Valid</v>
      </c>
      <c r="AS1787" t="str">
        <f t="shared" si="362"/>
        <v>Valid</v>
      </c>
    </row>
    <row r="1788" spans="1:45" x14ac:dyDescent="0.3">
      <c r="A1788">
        <v>2870</v>
      </c>
      <c r="B1788">
        <v>1973</v>
      </c>
      <c r="C1788" t="s">
        <v>29</v>
      </c>
      <c r="D1788" t="s">
        <v>33</v>
      </c>
      <c r="E1788">
        <v>49094</v>
      </c>
      <c r="F1788">
        <v>0</v>
      </c>
      <c r="G1788">
        <v>1</v>
      </c>
      <c r="H1788" s="1">
        <v>41173</v>
      </c>
      <c r="I1788">
        <v>6</v>
      </c>
      <c r="J1788">
        <v>376</v>
      </c>
      <c r="K1788">
        <v>0</v>
      </c>
      <c r="L1788">
        <v>38</v>
      </c>
      <c r="M1788">
        <v>11</v>
      </c>
      <c r="N1788">
        <v>8</v>
      </c>
      <c r="O1788">
        <v>69</v>
      </c>
      <c r="P1788">
        <v>5</v>
      </c>
      <c r="Q1788">
        <v>6</v>
      </c>
      <c r="R1788">
        <v>3</v>
      </c>
      <c r="S1788">
        <v>6</v>
      </c>
      <c r="T1788">
        <v>6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3</v>
      </c>
      <c r="AB1788">
        <v>11</v>
      </c>
      <c r="AC1788">
        <v>0</v>
      </c>
      <c r="AD1788" t="str">
        <f t="shared" si="351"/>
        <v>Ok</v>
      </c>
      <c r="AE1788" t="str">
        <f>IF(AND(Audit_Data[[#This Row],[Year_Birth]]&gt;=1900,Audit_Data[[#This Row],[Year_Birth]]&lt;=2010),"OK","Invalid")</f>
        <v>OK</v>
      </c>
      <c r="AF1788" t="str">
        <f t="shared" si="352"/>
        <v>Valid</v>
      </c>
      <c r="AG1788" t="str">
        <f t="shared" si="353"/>
        <v>Valid</v>
      </c>
      <c r="AH1788" t="str">
        <f t="shared" si="354"/>
        <v>Valid</v>
      </c>
      <c r="AI1788" t="str">
        <f t="shared" si="355"/>
        <v>Valid</v>
      </c>
      <c r="AJ1788" t="str">
        <f t="shared" si="356"/>
        <v>Valid</v>
      </c>
      <c r="AK1788" t="str">
        <f t="shared" si="363"/>
        <v xml:space="preserve">Valid </v>
      </c>
      <c r="AL1788" t="str">
        <f>IF(AND(Audit_Data[[#This Row],[Recency]]&gt;=0,Audit_Data[[#This Row],[Recency]]&lt;=100),"Valid","Invalid")</f>
        <v>Valid</v>
      </c>
      <c r="AM1788" t="str">
        <f t="shared" si="357"/>
        <v>Valid</v>
      </c>
      <c r="AN1788" t="str">
        <f t="shared" si="358"/>
        <v>Valid</v>
      </c>
      <c r="AO1788" t="str">
        <f t="shared" si="359"/>
        <v>Valid</v>
      </c>
      <c r="AP1788" t="str">
        <f t="shared" si="360"/>
        <v>Valid</v>
      </c>
      <c r="AQ1788" t="str">
        <f>IF(Audit_Data[[#This Row],[Z_CostContact]]=3,"Valid","Invalid")</f>
        <v>Valid</v>
      </c>
      <c r="AR1788" t="str">
        <f t="shared" si="361"/>
        <v>Valid</v>
      </c>
      <c r="AS1788" t="str">
        <f t="shared" si="362"/>
        <v>Valid</v>
      </c>
    </row>
    <row r="1789" spans="1:45" x14ac:dyDescent="0.3">
      <c r="A1789">
        <v>8008</v>
      </c>
      <c r="B1789">
        <v>1983</v>
      </c>
      <c r="C1789" t="s">
        <v>29</v>
      </c>
      <c r="D1789" t="s">
        <v>31</v>
      </c>
      <c r="E1789">
        <v>36075</v>
      </c>
      <c r="F1789">
        <v>1</v>
      </c>
      <c r="G1789">
        <v>0</v>
      </c>
      <c r="H1789" s="1">
        <v>41617</v>
      </c>
      <c r="I1789">
        <v>54</v>
      </c>
      <c r="J1789">
        <v>46</v>
      </c>
      <c r="K1789">
        <v>0</v>
      </c>
      <c r="L1789">
        <v>30</v>
      </c>
      <c r="M1789">
        <v>12</v>
      </c>
      <c r="N1789">
        <v>1</v>
      </c>
      <c r="O1789">
        <v>30</v>
      </c>
      <c r="P1789">
        <v>1</v>
      </c>
      <c r="Q1789">
        <v>2</v>
      </c>
      <c r="R1789">
        <v>0</v>
      </c>
      <c r="S1789">
        <v>4</v>
      </c>
      <c r="T1789">
        <v>6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3</v>
      </c>
      <c r="AB1789">
        <v>11</v>
      </c>
      <c r="AC1789">
        <v>0</v>
      </c>
      <c r="AD1789" t="str">
        <f t="shared" si="351"/>
        <v>Ok</v>
      </c>
      <c r="AE1789" t="str">
        <f>IF(AND(Audit_Data[[#This Row],[Year_Birth]]&gt;=1900,Audit_Data[[#This Row],[Year_Birth]]&lt;=2010),"OK","Invalid")</f>
        <v>OK</v>
      </c>
      <c r="AF1789" t="str">
        <f t="shared" si="352"/>
        <v>Valid</v>
      </c>
      <c r="AG1789" t="str">
        <f t="shared" si="353"/>
        <v>Valid</v>
      </c>
      <c r="AH1789" t="str">
        <f t="shared" si="354"/>
        <v>Valid</v>
      </c>
      <c r="AI1789" t="str">
        <f t="shared" si="355"/>
        <v>Valid</v>
      </c>
      <c r="AJ1789" t="str">
        <f t="shared" si="356"/>
        <v>Valid</v>
      </c>
      <c r="AK1789" t="str">
        <f t="shared" si="363"/>
        <v xml:space="preserve">Valid </v>
      </c>
      <c r="AL1789" t="str">
        <f>IF(AND(Audit_Data[[#This Row],[Recency]]&gt;=0,Audit_Data[[#This Row],[Recency]]&lt;=100),"Valid","Invalid")</f>
        <v>Valid</v>
      </c>
      <c r="AM1789" t="str">
        <f t="shared" si="357"/>
        <v>Valid</v>
      </c>
      <c r="AN1789" t="str">
        <f t="shared" si="358"/>
        <v>Valid</v>
      </c>
      <c r="AO1789" t="str">
        <f t="shared" si="359"/>
        <v>Valid</v>
      </c>
      <c r="AP1789" t="str">
        <f t="shared" si="360"/>
        <v>Valid</v>
      </c>
      <c r="AQ1789" t="str">
        <f>IF(Audit_Data[[#This Row],[Z_CostContact]]=3,"Valid","Invalid")</f>
        <v>Valid</v>
      </c>
      <c r="AR1789" t="str">
        <f t="shared" si="361"/>
        <v>Valid</v>
      </c>
      <c r="AS1789" t="str">
        <f t="shared" si="362"/>
        <v>Valid</v>
      </c>
    </row>
    <row r="1790" spans="1:45" x14ac:dyDescent="0.3">
      <c r="A1790">
        <v>1513</v>
      </c>
      <c r="B1790">
        <v>1979</v>
      </c>
      <c r="C1790" t="s">
        <v>37</v>
      </c>
      <c r="D1790" t="s">
        <v>31</v>
      </c>
      <c r="E1790">
        <v>60839</v>
      </c>
      <c r="F1790">
        <v>1</v>
      </c>
      <c r="G1790">
        <v>1</v>
      </c>
      <c r="H1790" s="1">
        <v>41149</v>
      </c>
      <c r="I1790">
        <v>72</v>
      </c>
      <c r="J1790">
        <v>600</v>
      </c>
      <c r="K1790">
        <v>21</v>
      </c>
      <c r="L1790">
        <v>128</v>
      </c>
      <c r="M1790">
        <v>223</v>
      </c>
      <c r="N1790">
        <v>150</v>
      </c>
      <c r="O1790">
        <v>128</v>
      </c>
      <c r="P1790">
        <v>13</v>
      </c>
      <c r="Q1790">
        <v>2</v>
      </c>
      <c r="R1790">
        <v>2</v>
      </c>
      <c r="S1790">
        <v>12</v>
      </c>
      <c r="T1790">
        <v>8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3</v>
      </c>
      <c r="AB1790">
        <v>11</v>
      </c>
      <c r="AC1790">
        <v>0</v>
      </c>
      <c r="AD1790" t="str">
        <f t="shared" si="351"/>
        <v>Ok</v>
      </c>
      <c r="AE1790" t="str">
        <f>IF(AND(Audit_Data[[#This Row],[Year_Birth]]&gt;=1900,Audit_Data[[#This Row],[Year_Birth]]&lt;=2010),"OK","Invalid")</f>
        <v>OK</v>
      </c>
      <c r="AF1790" t="str">
        <f t="shared" si="352"/>
        <v>Valid</v>
      </c>
      <c r="AG1790" t="str">
        <f t="shared" si="353"/>
        <v>Valid</v>
      </c>
      <c r="AH1790" t="str">
        <f t="shared" si="354"/>
        <v>Valid</v>
      </c>
      <c r="AI1790" t="str">
        <f t="shared" si="355"/>
        <v>Valid</v>
      </c>
      <c r="AJ1790" t="str">
        <f t="shared" si="356"/>
        <v>Valid</v>
      </c>
      <c r="AK1790" t="str">
        <f t="shared" si="363"/>
        <v xml:space="preserve">Valid </v>
      </c>
      <c r="AL1790" t="str">
        <f>IF(AND(Audit_Data[[#This Row],[Recency]]&gt;=0,Audit_Data[[#This Row],[Recency]]&lt;=100),"Valid","Invalid")</f>
        <v>Valid</v>
      </c>
      <c r="AM1790" t="str">
        <f t="shared" si="357"/>
        <v>Valid</v>
      </c>
      <c r="AN1790" t="str">
        <f t="shared" si="358"/>
        <v>Valid</v>
      </c>
      <c r="AO1790" t="str">
        <f t="shared" si="359"/>
        <v>Valid</v>
      </c>
      <c r="AP1790" t="str">
        <f t="shared" si="360"/>
        <v>Valid</v>
      </c>
      <c r="AQ1790" t="str">
        <f>IF(Audit_Data[[#This Row],[Z_CostContact]]=3,"Valid","Invalid")</f>
        <v>Valid</v>
      </c>
      <c r="AR1790" t="str">
        <f t="shared" si="361"/>
        <v>Valid</v>
      </c>
      <c r="AS1790" t="str">
        <f t="shared" si="362"/>
        <v>Valid</v>
      </c>
    </row>
    <row r="1791" spans="1:45" x14ac:dyDescent="0.3">
      <c r="A1791">
        <v>6173</v>
      </c>
      <c r="B1791">
        <v>1979</v>
      </c>
      <c r="C1791" t="s">
        <v>29</v>
      </c>
      <c r="D1791" t="s">
        <v>31</v>
      </c>
      <c r="E1791">
        <v>77298</v>
      </c>
      <c r="F1791">
        <v>0</v>
      </c>
      <c r="G1791">
        <v>1</v>
      </c>
      <c r="H1791" s="1">
        <v>41580</v>
      </c>
      <c r="I1791">
        <v>46</v>
      </c>
      <c r="J1791">
        <v>425</v>
      </c>
      <c r="K1791">
        <v>115</v>
      </c>
      <c r="L1791">
        <v>292</v>
      </c>
      <c r="M1791">
        <v>23</v>
      </c>
      <c r="N1791">
        <v>35</v>
      </c>
      <c r="O1791">
        <v>79</v>
      </c>
      <c r="P1791">
        <v>1</v>
      </c>
      <c r="Q1791">
        <v>6</v>
      </c>
      <c r="R1791">
        <v>6</v>
      </c>
      <c r="S1791">
        <v>11</v>
      </c>
      <c r="T1791">
        <v>3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3</v>
      </c>
      <c r="AB1791">
        <v>11</v>
      </c>
      <c r="AC1791">
        <v>0</v>
      </c>
      <c r="AD1791" t="str">
        <f t="shared" si="351"/>
        <v>Ok</v>
      </c>
      <c r="AE1791" t="str">
        <f>IF(AND(Audit_Data[[#This Row],[Year_Birth]]&gt;=1900,Audit_Data[[#This Row],[Year_Birth]]&lt;=2010),"OK","Invalid")</f>
        <v>OK</v>
      </c>
      <c r="AF1791" t="str">
        <f t="shared" si="352"/>
        <v>Valid</v>
      </c>
      <c r="AG1791" t="str">
        <f t="shared" si="353"/>
        <v>Valid</v>
      </c>
      <c r="AH1791" t="str">
        <f t="shared" si="354"/>
        <v>Valid</v>
      </c>
      <c r="AI1791" t="str">
        <f t="shared" si="355"/>
        <v>Valid</v>
      </c>
      <c r="AJ1791" t="str">
        <f t="shared" si="356"/>
        <v>Valid</v>
      </c>
      <c r="AK1791" t="str">
        <f t="shared" si="363"/>
        <v xml:space="preserve">Valid </v>
      </c>
      <c r="AL1791" t="str">
        <f>IF(AND(Audit_Data[[#This Row],[Recency]]&gt;=0,Audit_Data[[#This Row],[Recency]]&lt;=100),"Valid","Invalid")</f>
        <v>Valid</v>
      </c>
      <c r="AM1791" t="str">
        <f t="shared" si="357"/>
        <v>Valid</v>
      </c>
      <c r="AN1791" t="str">
        <f t="shared" si="358"/>
        <v>Valid</v>
      </c>
      <c r="AO1791" t="str">
        <f t="shared" si="359"/>
        <v>Valid</v>
      </c>
      <c r="AP1791" t="str">
        <f t="shared" si="360"/>
        <v>Valid</v>
      </c>
      <c r="AQ1791" t="str">
        <f>IF(Audit_Data[[#This Row],[Z_CostContact]]=3,"Valid","Invalid")</f>
        <v>Valid</v>
      </c>
      <c r="AR1791" t="str">
        <f t="shared" si="361"/>
        <v>Valid</v>
      </c>
      <c r="AS1791" t="str">
        <f t="shared" si="362"/>
        <v>Valid</v>
      </c>
    </row>
    <row r="1792" spans="1:45" x14ac:dyDescent="0.3">
      <c r="A1792">
        <v>1419</v>
      </c>
      <c r="B1792">
        <v>1950</v>
      </c>
      <c r="C1792" t="s">
        <v>29</v>
      </c>
      <c r="D1792" t="s">
        <v>31</v>
      </c>
      <c r="E1792">
        <v>34026</v>
      </c>
      <c r="F1792">
        <v>1</v>
      </c>
      <c r="G1792">
        <v>1</v>
      </c>
      <c r="H1792" s="1">
        <v>41491</v>
      </c>
      <c r="I1792">
        <v>11</v>
      </c>
      <c r="J1792">
        <v>18</v>
      </c>
      <c r="K1792">
        <v>6</v>
      </c>
      <c r="L1792">
        <v>15</v>
      </c>
      <c r="M1792">
        <v>12</v>
      </c>
      <c r="N1792">
        <v>8</v>
      </c>
      <c r="O1792">
        <v>17</v>
      </c>
      <c r="P1792">
        <v>3</v>
      </c>
      <c r="Q1792">
        <v>2</v>
      </c>
      <c r="R1792">
        <v>1</v>
      </c>
      <c r="S1792">
        <v>3</v>
      </c>
      <c r="T1792">
        <v>5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3</v>
      </c>
      <c r="AB1792">
        <v>11</v>
      </c>
      <c r="AC1792">
        <v>0</v>
      </c>
      <c r="AD1792" t="str">
        <f t="shared" si="351"/>
        <v>Ok</v>
      </c>
      <c r="AE1792" t="str">
        <f>IF(AND(Audit_Data[[#This Row],[Year_Birth]]&gt;=1900,Audit_Data[[#This Row],[Year_Birth]]&lt;=2010),"OK","Invalid")</f>
        <v>OK</v>
      </c>
      <c r="AF1792" t="str">
        <f t="shared" si="352"/>
        <v>Valid</v>
      </c>
      <c r="AG1792" t="str">
        <f t="shared" si="353"/>
        <v>Valid</v>
      </c>
      <c r="AH1792" t="str">
        <f t="shared" si="354"/>
        <v>Valid</v>
      </c>
      <c r="AI1792" t="str">
        <f t="shared" si="355"/>
        <v>Valid</v>
      </c>
      <c r="AJ1792" t="str">
        <f t="shared" si="356"/>
        <v>Valid</v>
      </c>
      <c r="AK1792" t="str">
        <f t="shared" si="363"/>
        <v xml:space="preserve">Valid </v>
      </c>
      <c r="AL1792" t="str">
        <f>IF(AND(Audit_Data[[#This Row],[Recency]]&gt;=0,Audit_Data[[#This Row],[Recency]]&lt;=100),"Valid","Invalid")</f>
        <v>Valid</v>
      </c>
      <c r="AM1792" t="str">
        <f t="shared" si="357"/>
        <v>Valid</v>
      </c>
      <c r="AN1792" t="str">
        <f t="shared" si="358"/>
        <v>Valid</v>
      </c>
      <c r="AO1792" t="str">
        <f t="shared" si="359"/>
        <v>Valid</v>
      </c>
      <c r="AP1792" t="str">
        <f t="shared" si="360"/>
        <v>Valid</v>
      </c>
      <c r="AQ1792" t="str">
        <f>IF(Audit_Data[[#This Row],[Z_CostContact]]=3,"Valid","Invalid")</f>
        <v>Valid</v>
      </c>
      <c r="AR1792" t="str">
        <f t="shared" si="361"/>
        <v>Valid</v>
      </c>
      <c r="AS1792" t="str">
        <f t="shared" si="362"/>
        <v>Valid</v>
      </c>
    </row>
    <row r="1793" spans="1:45" x14ac:dyDescent="0.3">
      <c r="A1793">
        <v>9150</v>
      </c>
      <c r="B1793">
        <v>1963</v>
      </c>
      <c r="C1793" t="s">
        <v>32</v>
      </c>
      <c r="D1793" t="s">
        <v>30</v>
      </c>
      <c r="E1793">
        <v>48918</v>
      </c>
      <c r="F1793">
        <v>1</v>
      </c>
      <c r="G1793">
        <v>1</v>
      </c>
      <c r="H1793" s="1">
        <v>41741</v>
      </c>
      <c r="I1793">
        <v>21</v>
      </c>
      <c r="J1793">
        <v>52</v>
      </c>
      <c r="K1793">
        <v>0</v>
      </c>
      <c r="L1793">
        <v>9</v>
      </c>
      <c r="M1793">
        <v>0</v>
      </c>
      <c r="N1793">
        <v>0</v>
      </c>
      <c r="O1793">
        <v>1</v>
      </c>
      <c r="P1793">
        <v>2</v>
      </c>
      <c r="Q1793">
        <v>1</v>
      </c>
      <c r="R1793">
        <v>0</v>
      </c>
      <c r="S1793">
        <v>4</v>
      </c>
      <c r="T1793">
        <v>4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3</v>
      </c>
      <c r="AB1793">
        <v>11</v>
      </c>
      <c r="AC1793">
        <v>0</v>
      </c>
      <c r="AD1793" t="str">
        <f t="shared" si="351"/>
        <v>Ok</v>
      </c>
      <c r="AE1793" t="str">
        <f>IF(AND(Audit_Data[[#This Row],[Year_Birth]]&gt;=1900,Audit_Data[[#This Row],[Year_Birth]]&lt;=2010),"OK","Invalid")</f>
        <v>OK</v>
      </c>
      <c r="AF1793" t="str">
        <f t="shared" si="352"/>
        <v>Valid</v>
      </c>
      <c r="AG1793" t="str">
        <f t="shared" si="353"/>
        <v>Valid</v>
      </c>
      <c r="AH1793" t="str">
        <f t="shared" si="354"/>
        <v>Valid</v>
      </c>
      <c r="AI1793" t="str">
        <f t="shared" si="355"/>
        <v>Valid</v>
      </c>
      <c r="AJ1793" t="str">
        <f t="shared" si="356"/>
        <v>Valid</v>
      </c>
      <c r="AK1793" t="str">
        <f t="shared" si="363"/>
        <v xml:space="preserve">Valid </v>
      </c>
      <c r="AL1793" t="str">
        <f>IF(AND(Audit_Data[[#This Row],[Recency]]&gt;=0,Audit_Data[[#This Row],[Recency]]&lt;=100),"Valid","Invalid")</f>
        <v>Valid</v>
      </c>
      <c r="AM1793" t="str">
        <f t="shared" si="357"/>
        <v>Valid</v>
      </c>
      <c r="AN1793" t="str">
        <f t="shared" si="358"/>
        <v>Valid</v>
      </c>
      <c r="AO1793" t="str">
        <f t="shared" si="359"/>
        <v>Valid</v>
      </c>
      <c r="AP1793" t="str">
        <f t="shared" si="360"/>
        <v>Valid</v>
      </c>
      <c r="AQ1793" t="str">
        <f>IF(Audit_Data[[#This Row],[Z_CostContact]]=3,"Valid","Invalid")</f>
        <v>Valid</v>
      </c>
      <c r="AR1793" t="str">
        <f t="shared" si="361"/>
        <v>Valid</v>
      </c>
      <c r="AS1793" t="str">
        <f t="shared" si="362"/>
        <v>Valid</v>
      </c>
    </row>
    <row r="1794" spans="1:45" x14ac:dyDescent="0.3">
      <c r="A1794">
        <v>7960</v>
      </c>
      <c r="B1794">
        <v>1962</v>
      </c>
      <c r="C1794" t="s">
        <v>37</v>
      </c>
      <c r="D1794" t="s">
        <v>31</v>
      </c>
      <c r="E1794">
        <v>82122</v>
      </c>
      <c r="F1794">
        <v>0</v>
      </c>
      <c r="G1794">
        <v>0</v>
      </c>
      <c r="H1794" s="1">
        <v>41501</v>
      </c>
      <c r="I1794">
        <v>89</v>
      </c>
      <c r="J1794">
        <v>734</v>
      </c>
      <c r="K1794">
        <v>22</v>
      </c>
      <c r="L1794">
        <v>350</v>
      </c>
      <c r="M1794">
        <v>151</v>
      </c>
      <c r="N1794">
        <v>25</v>
      </c>
      <c r="O1794">
        <v>100</v>
      </c>
      <c r="P1794">
        <v>1</v>
      </c>
      <c r="Q1794">
        <v>3</v>
      </c>
      <c r="R1794">
        <v>9</v>
      </c>
      <c r="S1794">
        <v>13</v>
      </c>
      <c r="T1794">
        <v>1</v>
      </c>
      <c r="U1794">
        <v>0</v>
      </c>
      <c r="V1794">
        <v>0</v>
      </c>
      <c r="W1794">
        <v>1</v>
      </c>
      <c r="X1794">
        <v>0</v>
      </c>
      <c r="Y1794">
        <v>0</v>
      </c>
      <c r="Z1794">
        <v>0</v>
      </c>
      <c r="AA1794">
        <v>3</v>
      </c>
      <c r="AB1794">
        <v>11</v>
      </c>
      <c r="AC1794">
        <v>0</v>
      </c>
      <c r="AD1794" t="str">
        <f t="shared" ref="AD1794:AD1857" si="364">IF(COUNTIF(A:A,A1794)&gt;1,"Duplicate","Ok")</f>
        <v>Ok</v>
      </c>
      <c r="AE1794" t="str">
        <f>IF(AND(Audit_Data[[#This Row],[Year_Birth]]&gt;=1900,Audit_Data[[#This Row],[Year_Birth]]&lt;=2010),"OK","Invalid")</f>
        <v>OK</v>
      </c>
      <c r="AF1794" t="str">
        <f t="shared" ref="AF1794:AF1857" si="365">IF(OR(C1794="Graduation",C1794="phD",C1794="Master",C1794="Basic",C1794="2n Cycle"),"Valid","Invalid")</f>
        <v>Valid</v>
      </c>
      <c r="AG1794" t="str">
        <f t="shared" ref="AG1794:AG1857" si="366">IF(OR(D1794="Single",D1794="Married",D1794="Divorced",D1794="Together",D1794="Widow",D1794="Alone"),"Valid","Invalid")</f>
        <v>Valid</v>
      </c>
      <c r="AH1794" t="str">
        <f t="shared" ref="AH1794:AH1857" si="367">IF(AND(ISNUMBER(E1794),E1794&lt;&gt;""),"Valid","Invalid")</f>
        <v>Valid</v>
      </c>
      <c r="AI1794" t="str">
        <f t="shared" ref="AI1794:AI1857" si="368">IF(AND(F1794&gt;=0,F1794&lt;=2),"Valid","Invalid")</f>
        <v>Valid</v>
      </c>
      <c r="AJ1794" t="str">
        <f t="shared" ref="AJ1794:AJ1857" si="369">IF(AND(G1794&gt;=0,G1794&lt;=2),"Valid","Invalid")</f>
        <v>Valid</v>
      </c>
      <c r="AK1794" t="str">
        <f t="shared" si="363"/>
        <v xml:space="preserve">Valid </v>
      </c>
      <c r="AL1794" t="str">
        <f>IF(AND(Audit_Data[[#This Row],[Recency]]&gt;=0,Audit_Data[[#This Row],[Recency]]&lt;=100),"Valid","Invalid")</f>
        <v>Valid</v>
      </c>
      <c r="AM1794" t="str">
        <f t="shared" ref="AM1794:AM1857" si="370">IF(AND(ISNUMBER(J1794),J1794&gt;=0,ISNUMBER(K1794),K1794&gt;=0,ISNUMBER(L1794),L1794&gt;=0,ISNUMBER(M1794),M1794&gt;=0,ISNUMBER(N1794),N1794&gt;=0,ISNUMBER(O1794),O1794&gt;=0),"Valid","Invalid")</f>
        <v>Valid</v>
      </c>
      <c r="AN1794" t="str">
        <f t="shared" ref="AN1794:AN1857" si="371">IF(AND(ISNUMBER(P1794),P1794&gt;=0,ISNUMBER(Q1794),Q1794&gt;=0,ISNUMBER(R1794),R1794&gt;=0,ISNUMBER(S1794),S1794&gt;=0,ISNUMBER(T1794),T1794&gt;=0),"Valid","Invalid")</f>
        <v>Valid</v>
      </c>
      <c r="AO1794" t="str">
        <f t="shared" ref="AO1794:AO1857" si="372">IF(AND(U1794&lt;=1,V1794&lt;=1,W1794&lt;=1,X1794&lt;=1,Y1794&lt;=1),"Valid","Invalid")</f>
        <v>Valid</v>
      </c>
      <c r="AP1794" t="str">
        <f t="shared" ref="AP1794:AP1857" si="373">IF(OR(Z1794=0,Z1794=1),"Valid","Invalid")</f>
        <v>Valid</v>
      </c>
      <c r="AQ1794" t="str">
        <f>IF(Audit_Data[[#This Row],[Z_CostContact]]=3,"Valid","Invalid")</f>
        <v>Valid</v>
      </c>
      <c r="AR1794" t="str">
        <f t="shared" ref="AR1794:AR1857" si="374">IF(AB1794=11,"Valid","Invalid")</f>
        <v>Valid</v>
      </c>
      <c r="AS1794" t="str">
        <f t="shared" ref="AS1794:AS1857" si="375">IF(OR(AC1794=0,AC1794=1),"Valid","Invalid")</f>
        <v>Valid</v>
      </c>
    </row>
    <row r="1795" spans="1:45" x14ac:dyDescent="0.3">
      <c r="A1795">
        <v>1250</v>
      </c>
      <c r="B1795">
        <v>1976</v>
      </c>
      <c r="C1795" t="s">
        <v>29</v>
      </c>
      <c r="D1795" t="s">
        <v>30</v>
      </c>
      <c r="E1795">
        <v>37697</v>
      </c>
      <c r="F1795">
        <v>1</v>
      </c>
      <c r="G1795">
        <v>0</v>
      </c>
      <c r="H1795" s="1">
        <v>41677</v>
      </c>
      <c r="I1795">
        <v>82</v>
      </c>
      <c r="J1795">
        <v>34</v>
      </c>
      <c r="K1795">
        <v>6</v>
      </c>
      <c r="L1795">
        <v>21</v>
      </c>
      <c r="M1795">
        <v>11</v>
      </c>
      <c r="N1795">
        <v>4</v>
      </c>
      <c r="O1795">
        <v>8</v>
      </c>
      <c r="P1795">
        <v>1</v>
      </c>
      <c r="Q1795">
        <v>2</v>
      </c>
      <c r="R1795">
        <v>1</v>
      </c>
      <c r="S1795">
        <v>3</v>
      </c>
      <c r="T1795">
        <v>6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3</v>
      </c>
      <c r="AB1795">
        <v>11</v>
      </c>
      <c r="AC1795">
        <v>0</v>
      </c>
      <c r="AD1795" t="str">
        <f t="shared" si="364"/>
        <v>Ok</v>
      </c>
      <c r="AE1795" t="str">
        <f>IF(AND(Audit_Data[[#This Row],[Year_Birth]]&gt;=1900,Audit_Data[[#This Row],[Year_Birth]]&lt;=2010),"OK","Invalid")</f>
        <v>OK</v>
      </c>
      <c r="AF1795" t="str">
        <f t="shared" si="365"/>
        <v>Valid</v>
      </c>
      <c r="AG1795" t="str">
        <f t="shared" si="366"/>
        <v>Valid</v>
      </c>
      <c r="AH1795" t="str">
        <f t="shared" si="367"/>
        <v>Valid</v>
      </c>
      <c r="AI1795" t="str">
        <f t="shared" si="368"/>
        <v>Valid</v>
      </c>
      <c r="AJ1795" t="str">
        <f t="shared" si="369"/>
        <v>Valid</v>
      </c>
      <c r="AK1795" t="str">
        <f t="shared" ref="AK1795:AK1858" si="376">IF(AND(ISNUMBER(H1795),H1795&gt;=DATE(2012,1,1),H1795&lt;=DATE(2014,12,31)),"Valid ","Invalid")</f>
        <v xml:space="preserve">Valid </v>
      </c>
      <c r="AL1795" t="str">
        <f>IF(AND(Audit_Data[[#This Row],[Recency]]&gt;=0,Audit_Data[[#This Row],[Recency]]&lt;=100),"Valid","Invalid")</f>
        <v>Valid</v>
      </c>
      <c r="AM1795" t="str">
        <f t="shared" si="370"/>
        <v>Valid</v>
      </c>
      <c r="AN1795" t="str">
        <f t="shared" si="371"/>
        <v>Valid</v>
      </c>
      <c r="AO1795" t="str">
        <f t="shared" si="372"/>
        <v>Valid</v>
      </c>
      <c r="AP1795" t="str">
        <f t="shared" si="373"/>
        <v>Valid</v>
      </c>
      <c r="AQ1795" t="str">
        <f>IF(Audit_Data[[#This Row],[Z_CostContact]]=3,"Valid","Invalid")</f>
        <v>Valid</v>
      </c>
      <c r="AR1795" t="str">
        <f t="shared" si="374"/>
        <v>Valid</v>
      </c>
      <c r="AS1795" t="str">
        <f t="shared" si="375"/>
        <v>Valid</v>
      </c>
    </row>
    <row r="1796" spans="1:45" x14ac:dyDescent="0.3">
      <c r="A1796">
        <v>9905</v>
      </c>
      <c r="B1796">
        <v>1952</v>
      </c>
      <c r="C1796" t="s">
        <v>29</v>
      </c>
      <c r="D1796" t="s">
        <v>31</v>
      </c>
      <c r="E1796">
        <v>34074</v>
      </c>
      <c r="F1796">
        <v>1</v>
      </c>
      <c r="G1796">
        <v>1</v>
      </c>
      <c r="H1796" s="1">
        <v>41468</v>
      </c>
      <c r="I1796">
        <v>69</v>
      </c>
      <c r="J1796">
        <v>135</v>
      </c>
      <c r="K1796">
        <v>1</v>
      </c>
      <c r="L1796">
        <v>41</v>
      </c>
      <c r="M1796">
        <v>10</v>
      </c>
      <c r="N1796">
        <v>1</v>
      </c>
      <c r="O1796">
        <v>67</v>
      </c>
      <c r="P1796">
        <v>5</v>
      </c>
      <c r="Q1796">
        <v>3</v>
      </c>
      <c r="R1796">
        <v>3</v>
      </c>
      <c r="S1796">
        <v>3</v>
      </c>
      <c r="T1796">
        <v>6</v>
      </c>
      <c r="U1796">
        <v>1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3</v>
      </c>
      <c r="AB1796">
        <v>11</v>
      </c>
      <c r="AC1796">
        <v>0</v>
      </c>
      <c r="AD1796" t="str">
        <f t="shared" si="364"/>
        <v>Ok</v>
      </c>
      <c r="AE1796" t="str">
        <f>IF(AND(Audit_Data[[#This Row],[Year_Birth]]&gt;=1900,Audit_Data[[#This Row],[Year_Birth]]&lt;=2010),"OK","Invalid")</f>
        <v>OK</v>
      </c>
      <c r="AF1796" t="str">
        <f t="shared" si="365"/>
        <v>Valid</v>
      </c>
      <c r="AG1796" t="str">
        <f t="shared" si="366"/>
        <v>Valid</v>
      </c>
      <c r="AH1796" t="str">
        <f t="shared" si="367"/>
        <v>Valid</v>
      </c>
      <c r="AI1796" t="str">
        <f t="shared" si="368"/>
        <v>Valid</v>
      </c>
      <c r="AJ1796" t="str">
        <f t="shared" si="369"/>
        <v>Valid</v>
      </c>
      <c r="AK1796" t="str">
        <f t="shared" si="376"/>
        <v xml:space="preserve">Valid </v>
      </c>
      <c r="AL1796" t="str">
        <f>IF(AND(Audit_Data[[#This Row],[Recency]]&gt;=0,Audit_Data[[#This Row],[Recency]]&lt;=100),"Valid","Invalid")</f>
        <v>Valid</v>
      </c>
      <c r="AM1796" t="str">
        <f t="shared" si="370"/>
        <v>Valid</v>
      </c>
      <c r="AN1796" t="str">
        <f t="shared" si="371"/>
        <v>Valid</v>
      </c>
      <c r="AO1796" t="str">
        <f t="shared" si="372"/>
        <v>Valid</v>
      </c>
      <c r="AP1796" t="str">
        <f t="shared" si="373"/>
        <v>Valid</v>
      </c>
      <c r="AQ1796" t="str">
        <f>IF(Audit_Data[[#This Row],[Z_CostContact]]=3,"Valid","Invalid")</f>
        <v>Valid</v>
      </c>
      <c r="AR1796" t="str">
        <f t="shared" si="374"/>
        <v>Valid</v>
      </c>
      <c r="AS1796" t="str">
        <f t="shared" si="375"/>
        <v>Valid</v>
      </c>
    </row>
    <row r="1797" spans="1:45" x14ac:dyDescent="0.3">
      <c r="A1797">
        <v>10691</v>
      </c>
      <c r="B1797">
        <v>1960</v>
      </c>
      <c r="C1797" t="s">
        <v>34</v>
      </c>
      <c r="D1797" t="s">
        <v>33</v>
      </c>
      <c r="E1797">
        <v>28520</v>
      </c>
      <c r="F1797">
        <v>1</v>
      </c>
      <c r="G1797">
        <v>1</v>
      </c>
      <c r="H1797" s="1">
        <v>41439</v>
      </c>
      <c r="I1797">
        <v>55</v>
      </c>
      <c r="J1797">
        <v>11</v>
      </c>
      <c r="K1797">
        <v>0</v>
      </c>
      <c r="L1797">
        <v>10</v>
      </c>
      <c r="M1797">
        <v>0</v>
      </c>
      <c r="N1797">
        <v>2</v>
      </c>
      <c r="O1797">
        <v>20</v>
      </c>
      <c r="P1797">
        <v>1</v>
      </c>
      <c r="Q1797">
        <v>1</v>
      </c>
      <c r="R1797">
        <v>1</v>
      </c>
      <c r="S1797">
        <v>2</v>
      </c>
      <c r="T1797">
        <v>6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3</v>
      </c>
      <c r="AB1797">
        <v>11</v>
      </c>
      <c r="AC1797">
        <v>0</v>
      </c>
      <c r="AD1797" t="str">
        <f t="shared" si="364"/>
        <v>Ok</v>
      </c>
      <c r="AE1797" t="str">
        <f>IF(AND(Audit_Data[[#This Row],[Year_Birth]]&gt;=1900,Audit_Data[[#This Row],[Year_Birth]]&lt;=2010),"OK","Invalid")</f>
        <v>OK</v>
      </c>
      <c r="AF1797" t="str">
        <f t="shared" si="365"/>
        <v>Valid</v>
      </c>
      <c r="AG1797" t="str">
        <f t="shared" si="366"/>
        <v>Valid</v>
      </c>
      <c r="AH1797" t="str">
        <f t="shared" si="367"/>
        <v>Valid</v>
      </c>
      <c r="AI1797" t="str">
        <f t="shared" si="368"/>
        <v>Valid</v>
      </c>
      <c r="AJ1797" t="str">
        <f t="shared" si="369"/>
        <v>Valid</v>
      </c>
      <c r="AK1797" t="str">
        <f t="shared" si="376"/>
        <v xml:space="preserve">Valid </v>
      </c>
      <c r="AL1797" t="str">
        <f>IF(AND(Audit_Data[[#This Row],[Recency]]&gt;=0,Audit_Data[[#This Row],[Recency]]&lt;=100),"Valid","Invalid")</f>
        <v>Valid</v>
      </c>
      <c r="AM1797" t="str">
        <f t="shared" si="370"/>
        <v>Valid</v>
      </c>
      <c r="AN1797" t="str">
        <f t="shared" si="371"/>
        <v>Valid</v>
      </c>
      <c r="AO1797" t="str">
        <f t="shared" si="372"/>
        <v>Valid</v>
      </c>
      <c r="AP1797" t="str">
        <f t="shared" si="373"/>
        <v>Valid</v>
      </c>
      <c r="AQ1797" t="str">
        <f>IF(Audit_Data[[#This Row],[Z_CostContact]]=3,"Valid","Invalid")</f>
        <v>Valid</v>
      </c>
      <c r="AR1797" t="str">
        <f t="shared" si="374"/>
        <v>Valid</v>
      </c>
      <c r="AS1797" t="str">
        <f t="shared" si="375"/>
        <v>Valid</v>
      </c>
    </row>
    <row r="1798" spans="1:45" x14ac:dyDescent="0.3">
      <c r="A1798">
        <v>7002</v>
      </c>
      <c r="B1798">
        <v>1955</v>
      </c>
      <c r="C1798" t="s">
        <v>29</v>
      </c>
      <c r="D1798" t="s">
        <v>30</v>
      </c>
      <c r="E1798">
        <v>62535</v>
      </c>
      <c r="F1798">
        <v>0</v>
      </c>
      <c r="G1798">
        <v>1</v>
      </c>
      <c r="H1798" s="1">
        <v>41550</v>
      </c>
      <c r="I1798">
        <v>13</v>
      </c>
      <c r="J1798">
        <v>163</v>
      </c>
      <c r="K1798">
        <v>48</v>
      </c>
      <c r="L1798">
        <v>90</v>
      </c>
      <c r="M1798">
        <v>0</v>
      </c>
      <c r="N1798">
        <v>45</v>
      </c>
      <c r="O1798">
        <v>52</v>
      </c>
      <c r="P1798">
        <v>1</v>
      </c>
      <c r="Q1798">
        <v>3</v>
      </c>
      <c r="R1798">
        <v>2</v>
      </c>
      <c r="S1798">
        <v>8</v>
      </c>
      <c r="T1798">
        <v>3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3</v>
      </c>
      <c r="AB1798">
        <v>11</v>
      </c>
      <c r="AC1798">
        <v>0</v>
      </c>
      <c r="AD1798" t="str">
        <f t="shared" si="364"/>
        <v>Ok</v>
      </c>
      <c r="AE1798" t="str">
        <f>IF(AND(Audit_Data[[#This Row],[Year_Birth]]&gt;=1900,Audit_Data[[#This Row],[Year_Birth]]&lt;=2010),"OK","Invalid")</f>
        <v>OK</v>
      </c>
      <c r="AF1798" t="str">
        <f t="shared" si="365"/>
        <v>Valid</v>
      </c>
      <c r="AG1798" t="str">
        <f t="shared" si="366"/>
        <v>Valid</v>
      </c>
      <c r="AH1798" t="str">
        <f t="shared" si="367"/>
        <v>Valid</v>
      </c>
      <c r="AI1798" t="str">
        <f t="shared" si="368"/>
        <v>Valid</v>
      </c>
      <c r="AJ1798" t="str">
        <f t="shared" si="369"/>
        <v>Valid</v>
      </c>
      <c r="AK1798" t="str">
        <f t="shared" si="376"/>
        <v xml:space="preserve">Valid </v>
      </c>
      <c r="AL1798" t="str">
        <f>IF(AND(Audit_Data[[#This Row],[Recency]]&gt;=0,Audit_Data[[#This Row],[Recency]]&lt;=100),"Valid","Invalid")</f>
        <v>Valid</v>
      </c>
      <c r="AM1798" t="str">
        <f t="shared" si="370"/>
        <v>Valid</v>
      </c>
      <c r="AN1798" t="str">
        <f t="shared" si="371"/>
        <v>Valid</v>
      </c>
      <c r="AO1798" t="str">
        <f t="shared" si="372"/>
        <v>Valid</v>
      </c>
      <c r="AP1798" t="str">
        <f t="shared" si="373"/>
        <v>Valid</v>
      </c>
      <c r="AQ1798" t="str">
        <f>IF(Audit_Data[[#This Row],[Z_CostContact]]=3,"Valid","Invalid")</f>
        <v>Valid</v>
      </c>
      <c r="AR1798" t="str">
        <f t="shared" si="374"/>
        <v>Valid</v>
      </c>
      <c r="AS1798" t="str">
        <f t="shared" si="375"/>
        <v>Valid</v>
      </c>
    </row>
    <row r="1799" spans="1:45" x14ac:dyDescent="0.3">
      <c r="A1799">
        <v>2952</v>
      </c>
      <c r="B1799">
        <v>1977</v>
      </c>
      <c r="C1799" t="s">
        <v>34</v>
      </c>
      <c r="D1799" t="s">
        <v>30</v>
      </c>
      <c r="E1799">
        <v>36273</v>
      </c>
      <c r="F1799">
        <v>1</v>
      </c>
      <c r="G1799">
        <v>0</v>
      </c>
      <c r="H1799" s="1">
        <v>41745</v>
      </c>
      <c r="I1799">
        <v>80</v>
      </c>
      <c r="J1799">
        <v>29</v>
      </c>
      <c r="K1799">
        <v>3</v>
      </c>
      <c r="L1799">
        <v>30</v>
      </c>
      <c r="M1799">
        <v>3</v>
      </c>
      <c r="N1799">
        <v>2</v>
      </c>
      <c r="O1799">
        <v>9</v>
      </c>
      <c r="P1799">
        <v>2</v>
      </c>
      <c r="Q1799">
        <v>3</v>
      </c>
      <c r="R1799">
        <v>0</v>
      </c>
      <c r="S1799">
        <v>3</v>
      </c>
      <c r="T1799">
        <v>6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3</v>
      </c>
      <c r="AB1799">
        <v>11</v>
      </c>
      <c r="AC1799">
        <v>0</v>
      </c>
      <c r="AD1799" t="str">
        <f t="shared" si="364"/>
        <v>Ok</v>
      </c>
      <c r="AE1799" t="str">
        <f>IF(AND(Audit_Data[[#This Row],[Year_Birth]]&gt;=1900,Audit_Data[[#This Row],[Year_Birth]]&lt;=2010),"OK","Invalid")</f>
        <v>OK</v>
      </c>
      <c r="AF1799" t="str">
        <f t="shared" si="365"/>
        <v>Valid</v>
      </c>
      <c r="AG1799" t="str">
        <f t="shared" si="366"/>
        <v>Valid</v>
      </c>
      <c r="AH1799" t="str">
        <f t="shared" si="367"/>
        <v>Valid</v>
      </c>
      <c r="AI1799" t="str">
        <f t="shared" si="368"/>
        <v>Valid</v>
      </c>
      <c r="AJ1799" t="str">
        <f t="shared" si="369"/>
        <v>Valid</v>
      </c>
      <c r="AK1799" t="str">
        <f t="shared" si="376"/>
        <v xml:space="preserve">Valid </v>
      </c>
      <c r="AL1799" t="str">
        <f>IF(AND(Audit_Data[[#This Row],[Recency]]&gt;=0,Audit_Data[[#This Row],[Recency]]&lt;=100),"Valid","Invalid")</f>
        <v>Valid</v>
      </c>
      <c r="AM1799" t="str">
        <f t="shared" si="370"/>
        <v>Valid</v>
      </c>
      <c r="AN1799" t="str">
        <f t="shared" si="371"/>
        <v>Valid</v>
      </c>
      <c r="AO1799" t="str">
        <f t="shared" si="372"/>
        <v>Valid</v>
      </c>
      <c r="AP1799" t="str">
        <f t="shared" si="373"/>
        <v>Valid</v>
      </c>
      <c r="AQ1799" t="str">
        <f>IF(Audit_Data[[#This Row],[Z_CostContact]]=3,"Valid","Invalid")</f>
        <v>Valid</v>
      </c>
      <c r="AR1799" t="str">
        <f t="shared" si="374"/>
        <v>Valid</v>
      </c>
      <c r="AS1799" t="str">
        <f t="shared" si="375"/>
        <v>Valid</v>
      </c>
    </row>
    <row r="1800" spans="1:45" x14ac:dyDescent="0.3">
      <c r="A1800">
        <v>8439</v>
      </c>
      <c r="B1800">
        <v>1964</v>
      </c>
      <c r="C1800" t="s">
        <v>29</v>
      </c>
      <c r="D1800" t="s">
        <v>31</v>
      </c>
      <c r="E1800">
        <v>63404</v>
      </c>
      <c r="F1800">
        <v>0</v>
      </c>
      <c r="G1800">
        <v>2</v>
      </c>
      <c r="H1800" s="1">
        <v>41796</v>
      </c>
      <c r="I1800">
        <v>97</v>
      </c>
      <c r="J1800">
        <v>734</v>
      </c>
      <c r="K1800">
        <v>26</v>
      </c>
      <c r="L1800">
        <v>70</v>
      </c>
      <c r="M1800">
        <v>11</v>
      </c>
      <c r="N1800">
        <v>44</v>
      </c>
      <c r="O1800">
        <v>17</v>
      </c>
      <c r="P1800">
        <v>2</v>
      </c>
      <c r="Q1800">
        <v>6</v>
      </c>
      <c r="R1800">
        <v>3</v>
      </c>
      <c r="S1800">
        <v>4</v>
      </c>
      <c r="T1800">
        <v>4</v>
      </c>
      <c r="U1800">
        <v>0</v>
      </c>
      <c r="V1800">
        <v>0</v>
      </c>
      <c r="W1800">
        <v>0</v>
      </c>
      <c r="X1800">
        <v>1</v>
      </c>
      <c r="Y1800">
        <v>0</v>
      </c>
      <c r="Z1800">
        <v>0</v>
      </c>
      <c r="AA1800">
        <v>3</v>
      </c>
      <c r="AB1800">
        <v>11</v>
      </c>
      <c r="AC1800">
        <v>0</v>
      </c>
      <c r="AD1800" t="str">
        <f t="shared" si="364"/>
        <v>Ok</v>
      </c>
      <c r="AE1800" t="str">
        <f>IF(AND(Audit_Data[[#This Row],[Year_Birth]]&gt;=1900,Audit_Data[[#This Row],[Year_Birth]]&lt;=2010),"OK","Invalid")</f>
        <v>OK</v>
      </c>
      <c r="AF1800" t="str">
        <f t="shared" si="365"/>
        <v>Valid</v>
      </c>
      <c r="AG1800" t="str">
        <f t="shared" si="366"/>
        <v>Valid</v>
      </c>
      <c r="AH1800" t="str">
        <f t="shared" si="367"/>
        <v>Valid</v>
      </c>
      <c r="AI1800" t="str">
        <f t="shared" si="368"/>
        <v>Valid</v>
      </c>
      <c r="AJ1800" t="str">
        <f t="shared" si="369"/>
        <v>Valid</v>
      </c>
      <c r="AK1800" t="str">
        <f t="shared" si="376"/>
        <v xml:space="preserve">Valid </v>
      </c>
      <c r="AL1800" t="str">
        <f>IF(AND(Audit_Data[[#This Row],[Recency]]&gt;=0,Audit_Data[[#This Row],[Recency]]&lt;=100),"Valid","Invalid")</f>
        <v>Valid</v>
      </c>
      <c r="AM1800" t="str">
        <f t="shared" si="370"/>
        <v>Valid</v>
      </c>
      <c r="AN1800" t="str">
        <f t="shared" si="371"/>
        <v>Valid</v>
      </c>
      <c r="AO1800" t="str">
        <f t="shared" si="372"/>
        <v>Valid</v>
      </c>
      <c r="AP1800" t="str">
        <f t="shared" si="373"/>
        <v>Valid</v>
      </c>
      <c r="AQ1800" t="str">
        <f>IF(Audit_Data[[#This Row],[Z_CostContact]]=3,"Valid","Invalid")</f>
        <v>Valid</v>
      </c>
      <c r="AR1800" t="str">
        <f t="shared" si="374"/>
        <v>Valid</v>
      </c>
      <c r="AS1800" t="str">
        <f t="shared" si="375"/>
        <v>Valid</v>
      </c>
    </row>
    <row r="1801" spans="1:45" x14ac:dyDescent="0.3">
      <c r="A1801">
        <v>762</v>
      </c>
      <c r="B1801">
        <v>1981</v>
      </c>
      <c r="C1801" t="s">
        <v>37</v>
      </c>
      <c r="D1801" t="s">
        <v>31</v>
      </c>
      <c r="E1801">
        <v>75774</v>
      </c>
      <c r="F1801">
        <v>1</v>
      </c>
      <c r="G1801">
        <v>0</v>
      </c>
      <c r="H1801" s="1">
        <v>41761</v>
      </c>
      <c r="I1801">
        <v>27</v>
      </c>
      <c r="J1801">
        <v>340</v>
      </c>
      <c r="K1801">
        <v>21</v>
      </c>
      <c r="L1801">
        <v>134</v>
      </c>
      <c r="M1801">
        <v>258</v>
      </c>
      <c r="N1801">
        <v>14</v>
      </c>
      <c r="O1801">
        <v>56</v>
      </c>
      <c r="P1801">
        <v>1</v>
      </c>
      <c r="Q1801">
        <v>7</v>
      </c>
      <c r="R1801">
        <v>5</v>
      </c>
      <c r="S1801">
        <v>8</v>
      </c>
      <c r="T1801">
        <v>4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3</v>
      </c>
      <c r="AB1801">
        <v>11</v>
      </c>
      <c r="AC1801">
        <v>0</v>
      </c>
      <c r="AD1801" t="str">
        <f t="shared" si="364"/>
        <v>Ok</v>
      </c>
      <c r="AE1801" t="str">
        <f>IF(AND(Audit_Data[[#This Row],[Year_Birth]]&gt;=1900,Audit_Data[[#This Row],[Year_Birth]]&lt;=2010),"OK","Invalid")</f>
        <v>OK</v>
      </c>
      <c r="AF1801" t="str">
        <f t="shared" si="365"/>
        <v>Valid</v>
      </c>
      <c r="AG1801" t="str">
        <f t="shared" si="366"/>
        <v>Valid</v>
      </c>
      <c r="AH1801" t="str">
        <f t="shared" si="367"/>
        <v>Valid</v>
      </c>
      <c r="AI1801" t="str">
        <f t="shared" si="368"/>
        <v>Valid</v>
      </c>
      <c r="AJ1801" t="str">
        <f t="shared" si="369"/>
        <v>Valid</v>
      </c>
      <c r="AK1801" t="str">
        <f t="shared" si="376"/>
        <v xml:space="preserve">Valid </v>
      </c>
      <c r="AL1801" t="str">
        <f>IF(AND(Audit_Data[[#This Row],[Recency]]&gt;=0,Audit_Data[[#This Row],[Recency]]&lt;=100),"Valid","Invalid")</f>
        <v>Valid</v>
      </c>
      <c r="AM1801" t="str">
        <f t="shared" si="370"/>
        <v>Valid</v>
      </c>
      <c r="AN1801" t="str">
        <f t="shared" si="371"/>
        <v>Valid</v>
      </c>
      <c r="AO1801" t="str">
        <f t="shared" si="372"/>
        <v>Valid</v>
      </c>
      <c r="AP1801" t="str">
        <f t="shared" si="373"/>
        <v>Valid</v>
      </c>
      <c r="AQ1801" t="str">
        <f>IF(Audit_Data[[#This Row],[Z_CostContact]]=3,"Valid","Invalid")</f>
        <v>Valid</v>
      </c>
      <c r="AR1801" t="str">
        <f t="shared" si="374"/>
        <v>Valid</v>
      </c>
      <c r="AS1801" t="str">
        <f t="shared" si="375"/>
        <v>Valid</v>
      </c>
    </row>
    <row r="1802" spans="1:45" x14ac:dyDescent="0.3">
      <c r="A1802">
        <v>2831</v>
      </c>
      <c r="B1802">
        <v>1976</v>
      </c>
      <c r="C1802" t="s">
        <v>29</v>
      </c>
      <c r="D1802" t="s">
        <v>31</v>
      </c>
      <c r="E1802">
        <v>78416</v>
      </c>
      <c r="F1802">
        <v>0</v>
      </c>
      <c r="G1802">
        <v>1</v>
      </c>
      <c r="H1802" s="1">
        <v>41817</v>
      </c>
      <c r="I1802">
        <v>99</v>
      </c>
      <c r="J1802">
        <v>453</v>
      </c>
      <c r="K1802">
        <v>38</v>
      </c>
      <c r="L1802">
        <v>279</v>
      </c>
      <c r="M1802">
        <v>188</v>
      </c>
      <c r="N1802">
        <v>38</v>
      </c>
      <c r="O1802">
        <v>183</v>
      </c>
      <c r="P1802">
        <v>2</v>
      </c>
      <c r="Q1802">
        <v>7</v>
      </c>
      <c r="R1802">
        <v>7</v>
      </c>
      <c r="S1802">
        <v>10</v>
      </c>
      <c r="T1802">
        <v>3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3</v>
      </c>
      <c r="AB1802">
        <v>11</v>
      </c>
      <c r="AC1802">
        <v>0</v>
      </c>
      <c r="AD1802" t="str">
        <f t="shared" si="364"/>
        <v>Ok</v>
      </c>
      <c r="AE1802" t="str">
        <f>IF(AND(Audit_Data[[#This Row],[Year_Birth]]&gt;=1900,Audit_Data[[#This Row],[Year_Birth]]&lt;=2010),"OK","Invalid")</f>
        <v>OK</v>
      </c>
      <c r="AF1802" t="str">
        <f t="shared" si="365"/>
        <v>Valid</v>
      </c>
      <c r="AG1802" t="str">
        <f t="shared" si="366"/>
        <v>Valid</v>
      </c>
      <c r="AH1802" t="str">
        <f t="shared" si="367"/>
        <v>Valid</v>
      </c>
      <c r="AI1802" t="str">
        <f t="shared" si="368"/>
        <v>Valid</v>
      </c>
      <c r="AJ1802" t="str">
        <f t="shared" si="369"/>
        <v>Valid</v>
      </c>
      <c r="AK1802" t="str">
        <f t="shared" si="376"/>
        <v xml:space="preserve">Valid </v>
      </c>
      <c r="AL1802" t="str">
        <f>IF(AND(Audit_Data[[#This Row],[Recency]]&gt;=0,Audit_Data[[#This Row],[Recency]]&lt;=100),"Valid","Invalid")</f>
        <v>Valid</v>
      </c>
      <c r="AM1802" t="str">
        <f t="shared" si="370"/>
        <v>Valid</v>
      </c>
      <c r="AN1802" t="str">
        <f t="shared" si="371"/>
        <v>Valid</v>
      </c>
      <c r="AO1802" t="str">
        <f t="shared" si="372"/>
        <v>Valid</v>
      </c>
      <c r="AP1802" t="str">
        <f t="shared" si="373"/>
        <v>Valid</v>
      </c>
      <c r="AQ1802" t="str">
        <f>IF(Audit_Data[[#This Row],[Z_CostContact]]=3,"Valid","Invalid")</f>
        <v>Valid</v>
      </c>
      <c r="AR1802" t="str">
        <f t="shared" si="374"/>
        <v>Valid</v>
      </c>
      <c r="AS1802" t="str">
        <f t="shared" si="375"/>
        <v>Valid</v>
      </c>
    </row>
    <row r="1803" spans="1:45" x14ac:dyDescent="0.3">
      <c r="A1803">
        <v>6977</v>
      </c>
      <c r="B1803">
        <v>1974</v>
      </c>
      <c r="C1803" t="s">
        <v>29</v>
      </c>
      <c r="D1803" t="s">
        <v>31</v>
      </c>
      <c r="E1803">
        <v>75702</v>
      </c>
      <c r="F1803">
        <v>0</v>
      </c>
      <c r="G1803">
        <v>1</v>
      </c>
      <c r="H1803" s="1">
        <v>41196</v>
      </c>
      <c r="I1803">
        <v>87</v>
      </c>
      <c r="J1803">
        <v>1073</v>
      </c>
      <c r="K1803">
        <v>0</v>
      </c>
      <c r="L1803">
        <v>629</v>
      </c>
      <c r="M1803">
        <v>145</v>
      </c>
      <c r="N1803">
        <v>37</v>
      </c>
      <c r="O1803">
        <v>37</v>
      </c>
      <c r="P1803">
        <v>1</v>
      </c>
      <c r="Q1803">
        <v>10</v>
      </c>
      <c r="R1803">
        <v>5</v>
      </c>
      <c r="S1803">
        <v>13</v>
      </c>
      <c r="T1803">
        <v>6</v>
      </c>
      <c r="U1803">
        <v>0</v>
      </c>
      <c r="V1803">
        <v>0</v>
      </c>
      <c r="W1803">
        <v>1</v>
      </c>
      <c r="X1803">
        <v>0</v>
      </c>
      <c r="Y1803">
        <v>0</v>
      </c>
      <c r="Z1803">
        <v>0</v>
      </c>
      <c r="AA1803">
        <v>3</v>
      </c>
      <c r="AB1803">
        <v>11</v>
      </c>
      <c r="AC1803">
        <v>0</v>
      </c>
      <c r="AD1803" t="str">
        <f t="shared" si="364"/>
        <v>Ok</v>
      </c>
      <c r="AE1803" t="str">
        <f>IF(AND(Audit_Data[[#This Row],[Year_Birth]]&gt;=1900,Audit_Data[[#This Row],[Year_Birth]]&lt;=2010),"OK","Invalid")</f>
        <v>OK</v>
      </c>
      <c r="AF1803" t="str">
        <f t="shared" si="365"/>
        <v>Valid</v>
      </c>
      <c r="AG1803" t="str">
        <f t="shared" si="366"/>
        <v>Valid</v>
      </c>
      <c r="AH1803" t="str">
        <f t="shared" si="367"/>
        <v>Valid</v>
      </c>
      <c r="AI1803" t="str">
        <f t="shared" si="368"/>
        <v>Valid</v>
      </c>
      <c r="AJ1803" t="str">
        <f t="shared" si="369"/>
        <v>Valid</v>
      </c>
      <c r="AK1803" t="str">
        <f t="shared" si="376"/>
        <v xml:space="preserve">Valid </v>
      </c>
      <c r="AL1803" t="str">
        <f>IF(AND(Audit_Data[[#This Row],[Recency]]&gt;=0,Audit_Data[[#This Row],[Recency]]&lt;=100),"Valid","Invalid")</f>
        <v>Valid</v>
      </c>
      <c r="AM1803" t="str">
        <f t="shared" si="370"/>
        <v>Valid</v>
      </c>
      <c r="AN1803" t="str">
        <f t="shared" si="371"/>
        <v>Valid</v>
      </c>
      <c r="AO1803" t="str">
        <f t="shared" si="372"/>
        <v>Valid</v>
      </c>
      <c r="AP1803" t="str">
        <f t="shared" si="373"/>
        <v>Valid</v>
      </c>
      <c r="AQ1803" t="str">
        <f>IF(Audit_Data[[#This Row],[Z_CostContact]]=3,"Valid","Invalid")</f>
        <v>Valid</v>
      </c>
      <c r="AR1803" t="str">
        <f t="shared" si="374"/>
        <v>Valid</v>
      </c>
      <c r="AS1803" t="str">
        <f t="shared" si="375"/>
        <v>Valid</v>
      </c>
    </row>
    <row r="1804" spans="1:45" x14ac:dyDescent="0.3">
      <c r="A1804">
        <v>6289</v>
      </c>
      <c r="B1804">
        <v>1951</v>
      </c>
      <c r="C1804" t="s">
        <v>34</v>
      </c>
      <c r="D1804" t="s">
        <v>31</v>
      </c>
      <c r="E1804">
        <v>59385</v>
      </c>
      <c r="F1804">
        <v>1</v>
      </c>
      <c r="G1804">
        <v>1</v>
      </c>
      <c r="H1804" s="1">
        <v>41392</v>
      </c>
      <c r="I1804">
        <v>85</v>
      </c>
      <c r="J1804">
        <v>135</v>
      </c>
      <c r="K1804">
        <v>0</v>
      </c>
      <c r="L1804">
        <v>10</v>
      </c>
      <c r="M1804">
        <v>0</v>
      </c>
      <c r="N1804">
        <v>4</v>
      </c>
      <c r="O1804">
        <v>36</v>
      </c>
      <c r="P1804">
        <v>2</v>
      </c>
      <c r="Q1804">
        <v>3</v>
      </c>
      <c r="R1804">
        <v>1</v>
      </c>
      <c r="S1804">
        <v>4</v>
      </c>
      <c r="T1804">
        <v>5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3</v>
      </c>
      <c r="AB1804">
        <v>11</v>
      </c>
      <c r="AC1804">
        <v>0</v>
      </c>
      <c r="AD1804" t="str">
        <f t="shared" si="364"/>
        <v>Ok</v>
      </c>
      <c r="AE1804" t="str">
        <f>IF(AND(Audit_Data[[#This Row],[Year_Birth]]&gt;=1900,Audit_Data[[#This Row],[Year_Birth]]&lt;=2010),"OK","Invalid")</f>
        <v>OK</v>
      </c>
      <c r="AF1804" t="str">
        <f t="shared" si="365"/>
        <v>Valid</v>
      </c>
      <c r="AG1804" t="str">
        <f t="shared" si="366"/>
        <v>Valid</v>
      </c>
      <c r="AH1804" t="str">
        <f t="shared" si="367"/>
        <v>Valid</v>
      </c>
      <c r="AI1804" t="str">
        <f t="shared" si="368"/>
        <v>Valid</v>
      </c>
      <c r="AJ1804" t="str">
        <f t="shared" si="369"/>
        <v>Valid</v>
      </c>
      <c r="AK1804" t="str">
        <f t="shared" si="376"/>
        <v xml:space="preserve">Valid </v>
      </c>
      <c r="AL1804" t="str">
        <f>IF(AND(Audit_Data[[#This Row],[Recency]]&gt;=0,Audit_Data[[#This Row],[Recency]]&lt;=100),"Valid","Invalid")</f>
        <v>Valid</v>
      </c>
      <c r="AM1804" t="str">
        <f t="shared" si="370"/>
        <v>Valid</v>
      </c>
      <c r="AN1804" t="str">
        <f t="shared" si="371"/>
        <v>Valid</v>
      </c>
      <c r="AO1804" t="str">
        <f t="shared" si="372"/>
        <v>Valid</v>
      </c>
      <c r="AP1804" t="str">
        <f t="shared" si="373"/>
        <v>Valid</v>
      </c>
      <c r="AQ1804" t="str">
        <f>IF(Audit_Data[[#This Row],[Z_CostContact]]=3,"Valid","Invalid")</f>
        <v>Valid</v>
      </c>
      <c r="AR1804" t="str">
        <f t="shared" si="374"/>
        <v>Valid</v>
      </c>
      <c r="AS1804" t="str">
        <f t="shared" si="375"/>
        <v>Valid</v>
      </c>
    </row>
    <row r="1805" spans="1:45" x14ac:dyDescent="0.3">
      <c r="A1805">
        <v>4168</v>
      </c>
      <c r="B1805">
        <v>1966</v>
      </c>
      <c r="C1805" t="s">
        <v>29</v>
      </c>
      <c r="D1805" t="s">
        <v>30</v>
      </c>
      <c r="E1805">
        <v>37070</v>
      </c>
      <c r="F1805">
        <v>1</v>
      </c>
      <c r="G1805">
        <v>1</v>
      </c>
      <c r="H1805" s="1">
        <v>41353</v>
      </c>
      <c r="I1805">
        <v>30</v>
      </c>
      <c r="J1805">
        <v>231</v>
      </c>
      <c r="K1805">
        <v>7</v>
      </c>
      <c r="L1805">
        <v>137</v>
      </c>
      <c r="M1805">
        <v>4</v>
      </c>
      <c r="N1805">
        <v>15</v>
      </c>
      <c r="O1805">
        <v>39</v>
      </c>
      <c r="P1805">
        <v>9</v>
      </c>
      <c r="Q1805">
        <v>5</v>
      </c>
      <c r="R1805">
        <v>1</v>
      </c>
      <c r="S1805">
        <v>8</v>
      </c>
      <c r="T1805">
        <v>7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3</v>
      </c>
      <c r="AB1805">
        <v>11</v>
      </c>
      <c r="AC1805">
        <v>1</v>
      </c>
      <c r="AD1805" t="str">
        <f t="shared" si="364"/>
        <v>Ok</v>
      </c>
      <c r="AE1805" t="str">
        <f>IF(AND(Audit_Data[[#This Row],[Year_Birth]]&gt;=1900,Audit_Data[[#This Row],[Year_Birth]]&lt;=2010),"OK","Invalid")</f>
        <v>OK</v>
      </c>
      <c r="AF1805" t="str">
        <f t="shared" si="365"/>
        <v>Valid</v>
      </c>
      <c r="AG1805" t="str">
        <f t="shared" si="366"/>
        <v>Valid</v>
      </c>
      <c r="AH1805" t="str">
        <f t="shared" si="367"/>
        <v>Valid</v>
      </c>
      <c r="AI1805" t="str">
        <f t="shared" si="368"/>
        <v>Valid</v>
      </c>
      <c r="AJ1805" t="str">
        <f t="shared" si="369"/>
        <v>Valid</v>
      </c>
      <c r="AK1805" t="str">
        <f t="shared" si="376"/>
        <v xml:space="preserve">Valid </v>
      </c>
      <c r="AL1805" t="str">
        <f>IF(AND(Audit_Data[[#This Row],[Recency]]&gt;=0,Audit_Data[[#This Row],[Recency]]&lt;=100),"Valid","Invalid")</f>
        <v>Valid</v>
      </c>
      <c r="AM1805" t="str">
        <f t="shared" si="370"/>
        <v>Valid</v>
      </c>
      <c r="AN1805" t="str">
        <f t="shared" si="371"/>
        <v>Valid</v>
      </c>
      <c r="AO1805" t="str">
        <f t="shared" si="372"/>
        <v>Valid</v>
      </c>
      <c r="AP1805" t="str">
        <f t="shared" si="373"/>
        <v>Valid</v>
      </c>
      <c r="AQ1805" t="str">
        <f>IF(Audit_Data[[#This Row],[Z_CostContact]]=3,"Valid","Invalid")</f>
        <v>Valid</v>
      </c>
      <c r="AR1805" t="str">
        <f t="shared" si="374"/>
        <v>Valid</v>
      </c>
      <c r="AS1805" t="str">
        <f t="shared" si="375"/>
        <v>Valid</v>
      </c>
    </row>
    <row r="1806" spans="1:45" x14ac:dyDescent="0.3">
      <c r="A1806">
        <v>8397</v>
      </c>
      <c r="B1806">
        <v>1951</v>
      </c>
      <c r="C1806" t="s">
        <v>29</v>
      </c>
      <c r="D1806" t="s">
        <v>33</v>
      </c>
      <c r="E1806">
        <v>44689</v>
      </c>
      <c r="F1806">
        <v>1</v>
      </c>
      <c r="G1806">
        <v>1</v>
      </c>
      <c r="H1806" s="1">
        <v>41649</v>
      </c>
      <c r="I1806">
        <v>82</v>
      </c>
      <c r="J1806">
        <v>18</v>
      </c>
      <c r="K1806">
        <v>0</v>
      </c>
      <c r="L1806">
        <v>5</v>
      </c>
      <c r="M1806">
        <v>0</v>
      </c>
      <c r="N1806">
        <v>0</v>
      </c>
      <c r="O1806">
        <v>11</v>
      </c>
      <c r="P1806">
        <v>2</v>
      </c>
      <c r="Q1806">
        <v>1</v>
      </c>
      <c r="R1806">
        <v>1</v>
      </c>
      <c r="S1806">
        <v>2</v>
      </c>
      <c r="T1806">
        <v>7</v>
      </c>
      <c r="U1806">
        <v>1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3</v>
      </c>
      <c r="AB1806">
        <v>11</v>
      </c>
      <c r="AC1806">
        <v>0</v>
      </c>
      <c r="AD1806" t="str">
        <f t="shared" si="364"/>
        <v>Ok</v>
      </c>
      <c r="AE1806" t="str">
        <f>IF(AND(Audit_Data[[#This Row],[Year_Birth]]&gt;=1900,Audit_Data[[#This Row],[Year_Birth]]&lt;=2010),"OK","Invalid")</f>
        <v>OK</v>
      </c>
      <c r="AF1806" t="str">
        <f t="shared" si="365"/>
        <v>Valid</v>
      </c>
      <c r="AG1806" t="str">
        <f t="shared" si="366"/>
        <v>Valid</v>
      </c>
      <c r="AH1806" t="str">
        <f t="shared" si="367"/>
        <v>Valid</v>
      </c>
      <c r="AI1806" t="str">
        <f t="shared" si="368"/>
        <v>Valid</v>
      </c>
      <c r="AJ1806" t="str">
        <f t="shared" si="369"/>
        <v>Valid</v>
      </c>
      <c r="AK1806" t="str">
        <f t="shared" si="376"/>
        <v xml:space="preserve">Valid </v>
      </c>
      <c r="AL1806" t="str">
        <f>IF(AND(Audit_Data[[#This Row],[Recency]]&gt;=0,Audit_Data[[#This Row],[Recency]]&lt;=100),"Valid","Invalid")</f>
        <v>Valid</v>
      </c>
      <c r="AM1806" t="str">
        <f t="shared" si="370"/>
        <v>Valid</v>
      </c>
      <c r="AN1806" t="str">
        <f t="shared" si="371"/>
        <v>Valid</v>
      </c>
      <c r="AO1806" t="str">
        <f t="shared" si="372"/>
        <v>Valid</v>
      </c>
      <c r="AP1806" t="str">
        <f t="shared" si="373"/>
        <v>Valid</v>
      </c>
      <c r="AQ1806" t="str">
        <f>IF(Audit_Data[[#This Row],[Z_CostContact]]=3,"Valid","Invalid")</f>
        <v>Valid</v>
      </c>
      <c r="AR1806" t="str">
        <f t="shared" si="374"/>
        <v>Valid</v>
      </c>
      <c r="AS1806" t="str">
        <f t="shared" si="375"/>
        <v>Valid</v>
      </c>
    </row>
    <row r="1807" spans="1:45" x14ac:dyDescent="0.3">
      <c r="A1807">
        <v>9284</v>
      </c>
      <c r="B1807">
        <v>1958</v>
      </c>
      <c r="C1807" t="s">
        <v>29</v>
      </c>
      <c r="D1807" t="s">
        <v>31</v>
      </c>
      <c r="E1807">
        <v>53977</v>
      </c>
      <c r="F1807">
        <v>0</v>
      </c>
      <c r="G1807">
        <v>1</v>
      </c>
      <c r="H1807" s="1">
        <v>41433</v>
      </c>
      <c r="I1807">
        <v>21</v>
      </c>
      <c r="J1807">
        <v>620</v>
      </c>
      <c r="K1807">
        <v>16</v>
      </c>
      <c r="L1807">
        <v>165</v>
      </c>
      <c r="M1807">
        <v>0</v>
      </c>
      <c r="N1807">
        <v>24</v>
      </c>
      <c r="O1807">
        <v>82</v>
      </c>
      <c r="P1807">
        <v>5</v>
      </c>
      <c r="Q1807">
        <v>5</v>
      </c>
      <c r="R1807">
        <v>5</v>
      </c>
      <c r="S1807">
        <v>12</v>
      </c>
      <c r="T1807">
        <v>5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3</v>
      </c>
      <c r="AB1807">
        <v>11</v>
      </c>
      <c r="AC1807">
        <v>0</v>
      </c>
      <c r="AD1807" t="str">
        <f t="shared" si="364"/>
        <v>Ok</v>
      </c>
      <c r="AE1807" t="str">
        <f>IF(AND(Audit_Data[[#This Row],[Year_Birth]]&gt;=1900,Audit_Data[[#This Row],[Year_Birth]]&lt;=2010),"OK","Invalid")</f>
        <v>OK</v>
      </c>
      <c r="AF1807" t="str">
        <f t="shared" si="365"/>
        <v>Valid</v>
      </c>
      <c r="AG1807" t="str">
        <f t="shared" si="366"/>
        <v>Valid</v>
      </c>
      <c r="AH1807" t="str">
        <f t="shared" si="367"/>
        <v>Valid</v>
      </c>
      <c r="AI1807" t="str">
        <f t="shared" si="368"/>
        <v>Valid</v>
      </c>
      <c r="AJ1807" t="str">
        <f t="shared" si="369"/>
        <v>Valid</v>
      </c>
      <c r="AK1807" t="str">
        <f t="shared" si="376"/>
        <v xml:space="preserve">Valid </v>
      </c>
      <c r="AL1807" t="str">
        <f>IF(AND(Audit_Data[[#This Row],[Recency]]&gt;=0,Audit_Data[[#This Row],[Recency]]&lt;=100),"Valid","Invalid")</f>
        <v>Valid</v>
      </c>
      <c r="AM1807" t="str">
        <f t="shared" si="370"/>
        <v>Valid</v>
      </c>
      <c r="AN1807" t="str">
        <f t="shared" si="371"/>
        <v>Valid</v>
      </c>
      <c r="AO1807" t="str">
        <f t="shared" si="372"/>
        <v>Valid</v>
      </c>
      <c r="AP1807" t="str">
        <f t="shared" si="373"/>
        <v>Valid</v>
      </c>
      <c r="AQ1807" t="str">
        <f>IF(Audit_Data[[#This Row],[Z_CostContact]]=3,"Valid","Invalid")</f>
        <v>Valid</v>
      </c>
      <c r="AR1807" t="str">
        <f t="shared" si="374"/>
        <v>Valid</v>
      </c>
      <c r="AS1807" t="str">
        <f t="shared" si="375"/>
        <v>Valid</v>
      </c>
    </row>
    <row r="1808" spans="1:45" x14ac:dyDescent="0.3">
      <c r="A1808">
        <v>6237</v>
      </c>
      <c r="B1808">
        <v>1966</v>
      </c>
      <c r="C1808" t="s">
        <v>32</v>
      </c>
      <c r="D1808" t="s">
        <v>30</v>
      </c>
      <c r="E1808">
        <v>7144</v>
      </c>
      <c r="F1808">
        <v>0</v>
      </c>
      <c r="G1808">
        <v>2</v>
      </c>
      <c r="H1808" s="1">
        <v>41615</v>
      </c>
      <c r="I1808">
        <v>92</v>
      </c>
      <c r="J1808">
        <v>81</v>
      </c>
      <c r="K1808">
        <v>4</v>
      </c>
      <c r="L1808">
        <v>33</v>
      </c>
      <c r="M1808">
        <v>5</v>
      </c>
      <c r="N1808">
        <v>2</v>
      </c>
      <c r="O1808">
        <v>291</v>
      </c>
      <c r="P1808">
        <v>0</v>
      </c>
      <c r="Q1808">
        <v>23</v>
      </c>
      <c r="R1808">
        <v>1</v>
      </c>
      <c r="S1808">
        <v>1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3</v>
      </c>
      <c r="AB1808">
        <v>11</v>
      </c>
      <c r="AC1808">
        <v>0</v>
      </c>
      <c r="AD1808" t="str">
        <f t="shared" si="364"/>
        <v>Ok</v>
      </c>
      <c r="AE1808" t="str">
        <f>IF(AND(Audit_Data[[#This Row],[Year_Birth]]&gt;=1900,Audit_Data[[#This Row],[Year_Birth]]&lt;=2010),"OK","Invalid")</f>
        <v>OK</v>
      </c>
      <c r="AF1808" t="str">
        <f t="shared" si="365"/>
        <v>Valid</v>
      </c>
      <c r="AG1808" t="str">
        <f t="shared" si="366"/>
        <v>Valid</v>
      </c>
      <c r="AH1808" t="str">
        <f t="shared" si="367"/>
        <v>Valid</v>
      </c>
      <c r="AI1808" t="str">
        <f t="shared" si="368"/>
        <v>Valid</v>
      </c>
      <c r="AJ1808" t="str">
        <f t="shared" si="369"/>
        <v>Valid</v>
      </c>
      <c r="AK1808" t="str">
        <f t="shared" si="376"/>
        <v xml:space="preserve">Valid </v>
      </c>
      <c r="AL1808" t="str">
        <f>IF(AND(Audit_Data[[#This Row],[Recency]]&gt;=0,Audit_Data[[#This Row],[Recency]]&lt;=100),"Valid","Invalid")</f>
        <v>Valid</v>
      </c>
      <c r="AM1808" t="str">
        <f t="shared" si="370"/>
        <v>Valid</v>
      </c>
      <c r="AN1808" t="str">
        <f t="shared" si="371"/>
        <v>Valid</v>
      </c>
      <c r="AO1808" t="str">
        <f t="shared" si="372"/>
        <v>Valid</v>
      </c>
      <c r="AP1808" t="str">
        <f t="shared" si="373"/>
        <v>Valid</v>
      </c>
      <c r="AQ1808" t="str">
        <f>IF(Audit_Data[[#This Row],[Z_CostContact]]=3,"Valid","Invalid")</f>
        <v>Valid</v>
      </c>
      <c r="AR1808" t="str">
        <f t="shared" si="374"/>
        <v>Valid</v>
      </c>
      <c r="AS1808" t="str">
        <f t="shared" si="375"/>
        <v>Valid</v>
      </c>
    </row>
    <row r="1809" spans="1:45" x14ac:dyDescent="0.3">
      <c r="A1809">
        <v>3130</v>
      </c>
      <c r="B1809">
        <v>1964</v>
      </c>
      <c r="C1809" t="s">
        <v>29</v>
      </c>
      <c r="D1809" t="s">
        <v>30</v>
      </c>
      <c r="E1809">
        <v>18701</v>
      </c>
      <c r="F1809">
        <v>1</v>
      </c>
      <c r="G1809">
        <v>1</v>
      </c>
      <c r="H1809" s="1">
        <v>41429</v>
      </c>
      <c r="I1809">
        <v>95</v>
      </c>
      <c r="J1809">
        <v>12</v>
      </c>
      <c r="K1809">
        <v>4</v>
      </c>
      <c r="L1809">
        <v>2</v>
      </c>
      <c r="M1809">
        <v>10</v>
      </c>
      <c r="N1809">
        <v>6</v>
      </c>
      <c r="O1809">
        <v>10</v>
      </c>
      <c r="P1809">
        <v>4</v>
      </c>
      <c r="Q1809">
        <v>2</v>
      </c>
      <c r="R1809">
        <v>0</v>
      </c>
      <c r="S1809">
        <v>4</v>
      </c>
      <c r="T1809">
        <v>5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3</v>
      </c>
      <c r="AB1809">
        <v>11</v>
      </c>
      <c r="AC1809">
        <v>0</v>
      </c>
      <c r="AD1809" t="str">
        <f t="shared" si="364"/>
        <v>Ok</v>
      </c>
      <c r="AE1809" t="str">
        <f>IF(AND(Audit_Data[[#This Row],[Year_Birth]]&gt;=1900,Audit_Data[[#This Row],[Year_Birth]]&lt;=2010),"OK","Invalid")</f>
        <v>OK</v>
      </c>
      <c r="AF1809" t="str">
        <f t="shared" si="365"/>
        <v>Valid</v>
      </c>
      <c r="AG1809" t="str">
        <f t="shared" si="366"/>
        <v>Valid</v>
      </c>
      <c r="AH1809" t="str">
        <f t="shared" si="367"/>
        <v>Valid</v>
      </c>
      <c r="AI1809" t="str">
        <f t="shared" si="368"/>
        <v>Valid</v>
      </c>
      <c r="AJ1809" t="str">
        <f t="shared" si="369"/>
        <v>Valid</v>
      </c>
      <c r="AK1809" t="str">
        <f t="shared" si="376"/>
        <v xml:space="preserve">Valid </v>
      </c>
      <c r="AL1809" t="str">
        <f>IF(AND(Audit_Data[[#This Row],[Recency]]&gt;=0,Audit_Data[[#This Row],[Recency]]&lt;=100),"Valid","Invalid")</f>
        <v>Valid</v>
      </c>
      <c r="AM1809" t="str">
        <f t="shared" si="370"/>
        <v>Valid</v>
      </c>
      <c r="AN1809" t="str">
        <f t="shared" si="371"/>
        <v>Valid</v>
      </c>
      <c r="AO1809" t="str">
        <f t="shared" si="372"/>
        <v>Valid</v>
      </c>
      <c r="AP1809" t="str">
        <f t="shared" si="373"/>
        <v>Valid</v>
      </c>
      <c r="AQ1809" t="str">
        <f>IF(Audit_Data[[#This Row],[Z_CostContact]]=3,"Valid","Invalid")</f>
        <v>Valid</v>
      </c>
      <c r="AR1809" t="str">
        <f t="shared" si="374"/>
        <v>Valid</v>
      </c>
      <c r="AS1809" t="str">
        <f t="shared" si="375"/>
        <v>Valid</v>
      </c>
    </row>
    <row r="1810" spans="1:45" x14ac:dyDescent="0.3">
      <c r="A1810">
        <v>1619</v>
      </c>
      <c r="B1810">
        <v>1956</v>
      </c>
      <c r="C1810" t="s">
        <v>29</v>
      </c>
      <c r="D1810" t="s">
        <v>33</v>
      </c>
      <c r="E1810">
        <v>90369</v>
      </c>
      <c r="F1810">
        <v>0</v>
      </c>
      <c r="G1810">
        <v>0</v>
      </c>
      <c r="H1810" s="1">
        <v>41757</v>
      </c>
      <c r="I1810">
        <v>2</v>
      </c>
      <c r="J1810">
        <v>292</v>
      </c>
      <c r="K1810">
        <v>51</v>
      </c>
      <c r="L1810">
        <v>981</v>
      </c>
      <c r="M1810">
        <v>224</v>
      </c>
      <c r="N1810">
        <v>23</v>
      </c>
      <c r="O1810">
        <v>17</v>
      </c>
      <c r="P1810">
        <v>1</v>
      </c>
      <c r="Q1810">
        <v>4</v>
      </c>
      <c r="R1810">
        <v>6</v>
      </c>
      <c r="S1810">
        <v>6</v>
      </c>
      <c r="T1810">
        <v>1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3</v>
      </c>
      <c r="AB1810">
        <v>11</v>
      </c>
      <c r="AC1810">
        <v>1</v>
      </c>
      <c r="AD1810" t="str">
        <f t="shared" si="364"/>
        <v>Ok</v>
      </c>
      <c r="AE1810" t="str">
        <f>IF(AND(Audit_Data[[#This Row],[Year_Birth]]&gt;=1900,Audit_Data[[#This Row],[Year_Birth]]&lt;=2010),"OK","Invalid")</f>
        <v>OK</v>
      </c>
      <c r="AF1810" t="str">
        <f t="shared" si="365"/>
        <v>Valid</v>
      </c>
      <c r="AG1810" t="str">
        <f t="shared" si="366"/>
        <v>Valid</v>
      </c>
      <c r="AH1810" t="str">
        <f t="shared" si="367"/>
        <v>Valid</v>
      </c>
      <c r="AI1810" t="str">
        <f t="shared" si="368"/>
        <v>Valid</v>
      </c>
      <c r="AJ1810" t="str">
        <f t="shared" si="369"/>
        <v>Valid</v>
      </c>
      <c r="AK1810" t="str">
        <f t="shared" si="376"/>
        <v xml:space="preserve">Valid </v>
      </c>
      <c r="AL1810" t="str">
        <f>IF(AND(Audit_Data[[#This Row],[Recency]]&gt;=0,Audit_Data[[#This Row],[Recency]]&lt;=100),"Valid","Invalid")</f>
        <v>Valid</v>
      </c>
      <c r="AM1810" t="str">
        <f t="shared" si="370"/>
        <v>Valid</v>
      </c>
      <c r="AN1810" t="str">
        <f t="shared" si="371"/>
        <v>Valid</v>
      </c>
      <c r="AO1810" t="str">
        <f t="shared" si="372"/>
        <v>Valid</v>
      </c>
      <c r="AP1810" t="str">
        <f t="shared" si="373"/>
        <v>Valid</v>
      </c>
      <c r="AQ1810" t="str">
        <f>IF(Audit_Data[[#This Row],[Z_CostContact]]=3,"Valid","Invalid")</f>
        <v>Valid</v>
      </c>
      <c r="AR1810" t="str">
        <f t="shared" si="374"/>
        <v>Valid</v>
      </c>
      <c r="AS1810" t="str">
        <f t="shared" si="375"/>
        <v>Valid</v>
      </c>
    </row>
    <row r="1811" spans="1:45" x14ac:dyDescent="0.3">
      <c r="A1811">
        <v>1990</v>
      </c>
      <c r="B1811">
        <v>1974</v>
      </c>
      <c r="C1811" t="s">
        <v>32</v>
      </c>
      <c r="D1811" t="s">
        <v>30</v>
      </c>
      <c r="E1811">
        <v>63159</v>
      </c>
      <c r="F1811">
        <v>0</v>
      </c>
      <c r="G1811">
        <v>0</v>
      </c>
      <c r="H1811" s="1">
        <v>41218</v>
      </c>
      <c r="I1811">
        <v>74</v>
      </c>
      <c r="J1811">
        <v>965</v>
      </c>
      <c r="K1811">
        <v>34</v>
      </c>
      <c r="L1811">
        <v>586</v>
      </c>
      <c r="M1811">
        <v>89</v>
      </c>
      <c r="N1811">
        <v>86</v>
      </c>
      <c r="O1811">
        <v>37</v>
      </c>
      <c r="P1811">
        <v>1</v>
      </c>
      <c r="Q1811">
        <v>3</v>
      </c>
      <c r="R1811">
        <v>5</v>
      </c>
      <c r="S1811">
        <v>8</v>
      </c>
      <c r="T1811">
        <v>3</v>
      </c>
      <c r="U1811">
        <v>1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3</v>
      </c>
      <c r="AB1811">
        <v>11</v>
      </c>
      <c r="AC1811">
        <v>0</v>
      </c>
      <c r="AD1811" t="str">
        <f t="shared" si="364"/>
        <v>Ok</v>
      </c>
      <c r="AE1811" t="str">
        <f>IF(AND(Audit_Data[[#This Row],[Year_Birth]]&gt;=1900,Audit_Data[[#This Row],[Year_Birth]]&lt;=2010),"OK","Invalid")</f>
        <v>OK</v>
      </c>
      <c r="AF1811" t="str">
        <f t="shared" si="365"/>
        <v>Valid</v>
      </c>
      <c r="AG1811" t="str">
        <f t="shared" si="366"/>
        <v>Valid</v>
      </c>
      <c r="AH1811" t="str">
        <f t="shared" si="367"/>
        <v>Valid</v>
      </c>
      <c r="AI1811" t="str">
        <f t="shared" si="368"/>
        <v>Valid</v>
      </c>
      <c r="AJ1811" t="str">
        <f t="shared" si="369"/>
        <v>Valid</v>
      </c>
      <c r="AK1811" t="str">
        <f t="shared" si="376"/>
        <v xml:space="preserve">Valid </v>
      </c>
      <c r="AL1811" t="str">
        <f>IF(AND(Audit_Data[[#This Row],[Recency]]&gt;=0,Audit_Data[[#This Row],[Recency]]&lt;=100),"Valid","Invalid")</f>
        <v>Valid</v>
      </c>
      <c r="AM1811" t="str">
        <f t="shared" si="370"/>
        <v>Valid</v>
      </c>
      <c r="AN1811" t="str">
        <f t="shared" si="371"/>
        <v>Valid</v>
      </c>
      <c r="AO1811" t="str">
        <f t="shared" si="372"/>
        <v>Valid</v>
      </c>
      <c r="AP1811" t="str">
        <f t="shared" si="373"/>
        <v>Valid</v>
      </c>
      <c r="AQ1811" t="str">
        <f>IF(Audit_Data[[#This Row],[Z_CostContact]]=3,"Valid","Invalid")</f>
        <v>Valid</v>
      </c>
      <c r="AR1811" t="str">
        <f t="shared" si="374"/>
        <v>Valid</v>
      </c>
      <c r="AS1811" t="str">
        <f t="shared" si="375"/>
        <v>Valid</v>
      </c>
    </row>
    <row r="1812" spans="1:45" x14ac:dyDescent="0.3">
      <c r="A1812">
        <v>5513</v>
      </c>
      <c r="B1812">
        <v>1966</v>
      </c>
      <c r="C1812" t="s">
        <v>29</v>
      </c>
      <c r="D1812" t="s">
        <v>31</v>
      </c>
      <c r="E1812">
        <v>37758</v>
      </c>
      <c r="F1812">
        <v>1</v>
      </c>
      <c r="G1812">
        <v>1</v>
      </c>
      <c r="H1812" s="1">
        <v>41186</v>
      </c>
      <c r="I1812">
        <v>49</v>
      </c>
      <c r="J1812">
        <v>27</v>
      </c>
      <c r="K1812">
        <v>2</v>
      </c>
      <c r="L1812">
        <v>10</v>
      </c>
      <c r="M1812">
        <v>0</v>
      </c>
      <c r="N1812">
        <v>0</v>
      </c>
      <c r="O1812">
        <v>1</v>
      </c>
      <c r="P1812">
        <v>2</v>
      </c>
      <c r="Q1812">
        <v>1</v>
      </c>
      <c r="R1812">
        <v>0</v>
      </c>
      <c r="S1812">
        <v>3</v>
      </c>
      <c r="T1812">
        <v>8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3</v>
      </c>
      <c r="AB1812">
        <v>11</v>
      </c>
      <c r="AC1812">
        <v>0</v>
      </c>
      <c r="AD1812" t="str">
        <f t="shared" si="364"/>
        <v>Ok</v>
      </c>
      <c r="AE1812" t="str">
        <f>IF(AND(Audit_Data[[#This Row],[Year_Birth]]&gt;=1900,Audit_Data[[#This Row],[Year_Birth]]&lt;=2010),"OK","Invalid")</f>
        <v>OK</v>
      </c>
      <c r="AF1812" t="str">
        <f t="shared" si="365"/>
        <v>Valid</v>
      </c>
      <c r="AG1812" t="str">
        <f t="shared" si="366"/>
        <v>Valid</v>
      </c>
      <c r="AH1812" t="str">
        <f t="shared" si="367"/>
        <v>Valid</v>
      </c>
      <c r="AI1812" t="str">
        <f t="shared" si="368"/>
        <v>Valid</v>
      </c>
      <c r="AJ1812" t="str">
        <f t="shared" si="369"/>
        <v>Valid</v>
      </c>
      <c r="AK1812" t="str">
        <f t="shared" si="376"/>
        <v xml:space="preserve">Valid </v>
      </c>
      <c r="AL1812" t="str">
        <f>IF(AND(Audit_Data[[#This Row],[Recency]]&gt;=0,Audit_Data[[#This Row],[Recency]]&lt;=100),"Valid","Invalid")</f>
        <v>Valid</v>
      </c>
      <c r="AM1812" t="str">
        <f t="shared" si="370"/>
        <v>Valid</v>
      </c>
      <c r="AN1812" t="str">
        <f t="shared" si="371"/>
        <v>Valid</v>
      </c>
      <c r="AO1812" t="str">
        <f t="shared" si="372"/>
        <v>Valid</v>
      </c>
      <c r="AP1812" t="str">
        <f t="shared" si="373"/>
        <v>Valid</v>
      </c>
      <c r="AQ1812" t="str">
        <f>IF(Audit_Data[[#This Row],[Z_CostContact]]=3,"Valid","Invalid")</f>
        <v>Valid</v>
      </c>
      <c r="AR1812" t="str">
        <f t="shared" si="374"/>
        <v>Valid</v>
      </c>
      <c r="AS1812" t="str">
        <f t="shared" si="375"/>
        <v>Valid</v>
      </c>
    </row>
    <row r="1813" spans="1:45" x14ac:dyDescent="0.3">
      <c r="A1813">
        <v>269</v>
      </c>
      <c r="B1813">
        <v>1963</v>
      </c>
      <c r="C1813" t="s">
        <v>32</v>
      </c>
      <c r="D1813" t="s">
        <v>30</v>
      </c>
      <c r="E1813">
        <v>46757</v>
      </c>
      <c r="F1813">
        <v>0</v>
      </c>
      <c r="G1813">
        <v>1</v>
      </c>
      <c r="H1813" s="1">
        <v>41229</v>
      </c>
      <c r="I1813">
        <v>71</v>
      </c>
      <c r="J1813">
        <v>777</v>
      </c>
      <c r="K1813">
        <v>30</v>
      </c>
      <c r="L1813">
        <v>163</v>
      </c>
      <c r="M1813">
        <v>0</v>
      </c>
      <c r="N1813">
        <v>51</v>
      </c>
      <c r="O1813">
        <v>122</v>
      </c>
      <c r="P1813">
        <v>6</v>
      </c>
      <c r="Q1813">
        <v>4</v>
      </c>
      <c r="R1813">
        <v>4</v>
      </c>
      <c r="S1813">
        <v>7</v>
      </c>
      <c r="T1813">
        <v>9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3</v>
      </c>
      <c r="AB1813">
        <v>11</v>
      </c>
      <c r="AC1813">
        <v>0</v>
      </c>
      <c r="AD1813" t="str">
        <f t="shared" si="364"/>
        <v>Ok</v>
      </c>
      <c r="AE1813" t="str">
        <f>IF(AND(Audit_Data[[#This Row],[Year_Birth]]&gt;=1900,Audit_Data[[#This Row],[Year_Birth]]&lt;=2010),"OK","Invalid")</f>
        <v>OK</v>
      </c>
      <c r="AF1813" t="str">
        <f t="shared" si="365"/>
        <v>Valid</v>
      </c>
      <c r="AG1813" t="str">
        <f t="shared" si="366"/>
        <v>Valid</v>
      </c>
      <c r="AH1813" t="str">
        <f t="shared" si="367"/>
        <v>Valid</v>
      </c>
      <c r="AI1813" t="str">
        <f t="shared" si="368"/>
        <v>Valid</v>
      </c>
      <c r="AJ1813" t="str">
        <f t="shared" si="369"/>
        <v>Valid</v>
      </c>
      <c r="AK1813" t="str">
        <f t="shared" si="376"/>
        <v xml:space="preserve">Valid </v>
      </c>
      <c r="AL1813" t="str">
        <f>IF(AND(Audit_Data[[#This Row],[Recency]]&gt;=0,Audit_Data[[#This Row],[Recency]]&lt;=100),"Valid","Invalid")</f>
        <v>Valid</v>
      </c>
      <c r="AM1813" t="str">
        <f t="shared" si="370"/>
        <v>Valid</v>
      </c>
      <c r="AN1813" t="str">
        <f t="shared" si="371"/>
        <v>Valid</v>
      </c>
      <c r="AO1813" t="str">
        <f t="shared" si="372"/>
        <v>Valid</v>
      </c>
      <c r="AP1813" t="str">
        <f t="shared" si="373"/>
        <v>Valid</v>
      </c>
      <c r="AQ1813" t="str">
        <f>IF(Audit_Data[[#This Row],[Z_CostContact]]=3,"Valid","Invalid")</f>
        <v>Valid</v>
      </c>
      <c r="AR1813" t="str">
        <f t="shared" si="374"/>
        <v>Valid</v>
      </c>
      <c r="AS1813" t="str">
        <f t="shared" si="375"/>
        <v>Valid</v>
      </c>
    </row>
    <row r="1814" spans="1:45" x14ac:dyDescent="0.3">
      <c r="A1814">
        <v>8093</v>
      </c>
      <c r="B1814">
        <v>1969</v>
      </c>
      <c r="C1814" t="s">
        <v>34</v>
      </c>
      <c r="D1814" t="s">
        <v>33</v>
      </c>
      <c r="E1814">
        <v>79734</v>
      </c>
      <c r="F1814">
        <v>0</v>
      </c>
      <c r="G1814">
        <v>0</v>
      </c>
      <c r="H1814" s="1">
        <v>41818</v>
      </c>
      <c r="I1814">
        <v>72</v>
      </c>
      <c r="J1814">
        <v>572</v>
      </c>
      <c r="K1814">
        <v>8</v>
      </c>
      <c r="L1814">
        <v>232</v>
      </c>
      <c r="M1814">
        <v>23</v>
      </c>
      <c r="N1814">
        <v>62</v>
      </c>
      <c r="O1814">
        <v>17</v>
      </c>
      <c r="P1814">
        <v>1</v>
      </c>
      <c r="Q1814">
        <v>4</v>
      </c>
      <c r="R1814">
        <v>3</v>
      </c>
      <c r="S1814">
        <v>6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>
        <v>3</v>
      </c>
      <c r="AB1814">
        <v>11</v>
      </c>
      <c r="AC1814">
        <v>0</v>
      </c>
      <c r="AD1814" t="str">
        <f t="shared" si="364"/>
        <v>Ok</v>
      </c>
      <c r="AE1814" t="str">
        <f>IF(AND(Audit_Data[[#This Row],[Year_Birth]]&gt;=1900,Audit_Data[[#This Row],[Year_Birth]]&lt;=2010),"OK","Invalid")</f>
        <v>OK</v>
      </c>
      <c r="AF1814" t="str">
        <f t="shared" si="365"/>
        <v>Valid</v>
      </c>
      <c r="AG1814" t="str">
        <f t="shared" si="366"/>
        <v>Valid</v>
      </c>
      <c r="AH1814" t="str">
        <f t="shared" si="367"/>
        <v>Valid</v>
      </c>
      <c r="AI1814" t="str">
        <f t="shared" si="368"/>
        <v>Valid</v>
      </c>
      <c r="AJ1814" t="str">
        <f t="shared" si="369"/>
        <v>Valid</v>
      </c>
      <c r="AK1814" t="str">
        <f t="shared" si="376"/>
        <v xml:space="preserve">Valid </v>
      </c>
      <c r="AL1814" t="str">
        <f>IF(AND(Audit_Data[[#This Row],[Recency]]&gt;=0,Audit_Data[[#This Row],[Recency]]&lt;=100),"Valid","Invalid")</f>
        <v>Valid</v>
      </c>
      <c r="AM1814" t="str">
        <f t="shared" si="370"/>
        <v>Valid</v>
      </c>
      <c r="AN1814" t="str">
        <f t="shared" si="371"/>
        <v>Valid</v>
      </c>
      <c r="AO1814" t="str">
        <f t="shared" si="372"/>
        <v>Valid</v>
      </c>
      <c r="AP1814" t="str">
        <f t="shared" si="373"/>
        <v>Valid</v>
      </c>
      <c r="AQ1814" t="str">
        <f>IF(Audit_Data[[#This Row],[Z_CostContact]]=3,"Valid","Invalid")</f>
        <v>Valid</v>
      </c>
      <c r="AR1814" t="str">
        <f t="shared" si="374"/>
        <v>Valid</v>
      </c>
      <c r="AS1814" t="str">
        <f t="shared" si="375"/>
        <v>Valid</v>
      </c>
    </row>
    <row r="1815" spans="1:45" x14ac:dyDescent="0.3">
      <c r="A1815">
        <v>10513</v>
      </c>
      <c r="B1815">
        <v>1992</v>
      </c>
      <c r="C1815" t="s">
        <v>29</v>
      </c>
      <c r="D1815" t="s">
        <v>31</v>
      </c>
      <c r="E1815">
        <v>63207</v>
      </c>
      <c r="F1815">
        <v>0</v>
      </c>
      <c r="G1815">
        <v>0</v>
      </c>
      <c r="H1815" s="1">
        <v>41294</v>
      </c>
      <c r="I1815">
        <v>68</v>
      </c>
      <c r="J1815">
        <v>438</v>
      </c>
      <c r="K1815">
        <v>169</v>
      </c>
      <c r="L1815">
        <v>565</v>
      </c>
      <c r="M1815">
        <v>91</v>
      </c>
      <c r="N1815">
        <v>169</v>
      </c>
      <c r="O1815">
        <v>70</v>
      </c>
      <c r="P1815">
        <v>1</v>
      </c>
      <c r="Q1815">
        <v>2</v>
      </c>
      <c r="R1815">
        <v>3</v>
      </c>
      <c r="S1815">
        <v>6</v>
      </c>
      <c r="T1815">
        <v>7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>
        <v>3</v>
      </c>
      <c r="AB1815">
        <v>11</v>
      </c>
      <c r="AC1815">
        <v>0</v>
      </c>
      <c r="AD1815" t="str">
        <f t="shared" si="364"/>
        <v>Ok</v>
      </c>
      <c r="AE1815" t="str">
        <f>IF(AND(Audit_Data[[#This Row],[Year_Birth]]&gt;=1900,Audit_Data[[#This Row],[Year_Birth]]&lt;=2010),"OK","Invalid")</f>
        <v>OK</v>
      </c>
      <c r="AF1815" t="str">
        <f t="shared" si="365"/>
        <v>Valid</v>
      </c>
      <c r="AG1815" t="str">
        <f t="shared" si="366"/>
        <v>Valid</v>
      </c>
      <c r="AH1815" t="str">
        <f t="shared" si="367"/>
        <v>Valid</v>
      </c>
      <c r="AI1815" t="str">
        <f t="shared" si="368"/>
        <v>Valid</v>
      </c>
      <c r="AJ1815" t="str">
        <f t="shared" si="369"/>
        <v>Valid</v>
      </c>
      <c r="AK1815" t="str">
        <f t="shared" si="376"/>
        <v xml:space="preserve">Valid </v>
      </c>
      <c r="AL1815" t="str">
        <f>IF(AND(Audit_Data[[#This Row],[Recency]]&gt;=0,Audit_Data[[#This Row],[Recency]]&lt;=100),"Valid","Invalid")</f>
        <v>Valid</v>
      </c>
      <c r="AM1815" t="str">
        <f t="shared" si="370"/>
        <v>Valid</v>
      </c>
      <c r="AN1815" t="str">
        <f t="shared" si="371"/>
        <v>Valid</v>
      </c>
      <c r="AO1815" t="str">
        <f t="shared" si="372"/>
        <v>Valid</v>
      </c>
      <c r="AP1815" t="str">
        <f t="shared" si="373"/>
        <v>Valid</v>
      </c>
      <c r="AQ1815" t="str">
        <f>IF(Audit_Data[[#This Row],[Z_CostContact]]=3,"Valid","Invalid")</f>
        <v>Valid</v>
      </c>
      <c r="AR1815" t="str">
        <f t="shared" si="374"/>
        <v>Valid</v>
      </c>
      <c r="AS1815" t="str">
        <f t="shared" si="375"/>
        <v>Valid</v>
      </c>
    </row>
    <row r="1816" spans="1:45" x14ac:dyDescent="0.3">
      <c r="A1816">
        <v>10177</v>
      </c>
      <c r="B1816">
        <v>1954</v>
      </c>
      <c r="C1816" t="s">
        <v>29</v>
      </c>
      <c r="D1816" t="s">
        <v>35</v>
      </c>
      <c r="E1816">
        <v>72071</v>
      </c>
      <c r="F1816">
        <v>0</v>
      </c>
      <c r="G1816">
        <v>1</v>
      </c>
      <c r="H1816" s="1">
        <v>41319</v>
      </c>
      <c r="I1816">
        <v>4</v>
      </c>
      <c r="J1816">
        <v>531</v>
      </c>
      <c r="K1816">
        <v>69</v>
      </c>
      <c r="L1816">
        <v>300</v>
      </c>
      <c r="M1816">
        <v>150</v>
      </c>
      <c r="N1816">
        <v>138</v>
      </c>
      <c r="O1816">
        <v>150</v>
      </c>
      <c r="P1816">
        <v>3</v>
      </c>
      <c r="Q1816">
        <v>5</v>
      </c>
      <c r="R1816">
        <v>4</v>
      </c>
      <c r="S1816">
        <v>8</v>
      </c>
      <c r="T1816">
        <v>2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3</v>
      </c>
      <c r="AB1816">
        <v>11</v>
      </c>
      <c r="AC1816">
        <v>0</v>
      </c>
      <c r="AD1816" t="str">
        <f t="shared" si="364"/>
        <v>Ok</v>
      </c>
      <c r="AE1816" t="str">
        <f>IF(AND(Audit_Data[[#This Row],[Year_Birth]]&gt;=1900,Audit_Data[[#This Row],[Year_Birth]]&lt;=2010),"OK","Invalid")</f>
        <v>OK</v>
      </c>
      <c r="AF1816" t="str">
        <f t="shared" si="365"/>
        <v>Valid</v>
      </c>
      <c r="AG1816" t="str">
        <f t="shared" si="366"/>
        <v>Valid</v>
      </c>
      <c r="AH1816" t="str">
        <f t="shared" si="367"/>
        <v>Valid</v>
      </c>
      <c r="AI1816" t="str">
        <f t="shared" si="368"/>
        <v>Valid</v>
      </c>
      <c r="AJ1816" t="str">
        <f t="shared" si="369"/>
        <v>Valid</v>
      </c>
      <c r="AK1816" t="str">
        <f t="shared" si="376"/>
        <v xml:space="preserve">Valid </v>
      </c>
      <c r="AL1816" t="str">
        <f>IF(AND(Audit_Data[[#This Row],[Recency]]&gt;=0,Audit_Data[[#This Row],[Recency]]&lt;=100),"Valid","Invalid")</f>
        <v>Valid</v>
      </c>
      <c r="AM1816" t="str">
        <f t="shared" si="370"/>
        <v>Valid</v>
      </c>
      <c r="AN1816" t="str">
        <f t="shared" si="371"/>
        <v>Valid</v>
      </c>
      <c r="AO1816" t="str">
        <f t="shared" si="372"/>
        <v>Valid</v>
      </c>
      <c r="AP1816" t="str">
        <f t="shared" si="373"/>
        <v>Valid</v>
      </c>
      <c r="AQ1816" t="str">
        <f>IF(Audit_Data[[#This Row],[Z_CostContact]]=3,"Valid","Invalid")</f>
        <v>Valid</v>
      </c>
      <c r="AR1816" t="str">
        <f t="shared" si="374"/>
        <v>Valid</v>
      </c>
      <c r="AS1816" t="str">
        <f t="shared" si="375"/>
        <v>Valid</v>
      </c>
    </row>
    <row r="1817" spans="1:45" x14ac:dyDescent="0.3">
      <c r="A1817">
        <v>2549</v>
      </c>
      <c r="B1817">
        <v>1983</v>
      </c>
      <c r="C1817" t="s">
        <v>32</v>
      </c>
      <c r="D1817" t="s">
        <v>31</v>
      </c>
      <c r="E1817">
        <v>21840</v>
      </c>
      <c r="F1817">
        <v>1</v>
      </c>
      <c r="G1817">
        <v>0</v>
      </c>
      <c r="H1817" s="1">
        <v>41476</v>
      </c>
      <c r="I1817">
        <v>80</v>
      </c>
      <c r="J1817">
        <v>17</v>
      </c>
      <c r="K1817">
        <v>0</v>
      </c>
      <c r="L1817">
        <v>9</v>
      </c>
      <c r="M1817">
        <v>0</v>
      </c>
      <c r="N1817">
        <v>0</v>
      </c>
      <c r="O1817">
        <v>1</v>
      </c>
      <c r="P1817">
        <v>1</v>
      </c>
      <c r="Q1817">
        <v>1</v>
      </c>
      <c r="R1817">
        <v>0</v>
      </c>
      <c r="S1817">
        <v>3</v>
      </c>
      <c r="T1817">
        <v>9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3</v>
      </c>
      <c r="AB1817">
        <v>11</v>
      </c>
      <c r="AC1817">
        <v>0</v>
      </c>
      <c r="AD1817" t="str">
        <f t="shared" si="364"/>
        <v>Ok</v>
      </c>
      <c r="AE1817" t="str">
        <f>IF(AND(Audit_Data[[#This Row],[Year_Birth]]&gt;=1900,Audit_Data[[#This Row],[Year_Birth]]&lt;=2010),"OK","Invalid")</f>
        <v>OK</v>
      </c>
      <c r="AF1817" t="str">
        <f t="shared" si="365"/>
        <v>Valid</v>
      </c>
      <c r="AG1817" t="str">
        <f t="shared" si="366"/>
        <v>Valid</v>
      </c>
      <c r="AH1817" t="str">
        <f t="shared" si="367"/>
        <v>Valid</v>
      </c>
      <c r="AI1817" t="str">
        <f t="shared" si="368"/>
        <v>Valid</v>
      </c>
      <c r="AJ1817" t="str">
        <f t="shared" si="369"/>
        <v>Valid</v>
      </c>
      <c r="AK1817" t="str">
        <f t="shared" si="376"/>
        <v xml:space="preserve">Valid </v>
      </c>
      <c r="AL1817" t="str">
        <f>IF(AND(Audit_Data[[#This Row],[Recency]]&gt;=0,Audit_Data[[#This Row],[Recency]]&lt;=100),"Valid","Invalid")</f>
        <v>Valid</v>
      </c>
      <c r="AM1817" t="str">
        <f t="shared" si="370"/>
        <v>Valid</v>
      </c>
      <c r="AN1817" t="str">
        <f t="shared" si="371"/>
        <v>Valid</v>
      </c>
      <c r="AO1817" t="str">
        <f t="shared" si="372"/>
        <v>Valid</v>
      </c>
      <c r="AP1817" t="str">
        <f t="shared" si="373"/>
        <v>Valid</v>
      </c>
      <c r="AQ1817" t="str">
        <f>IF(Audit_Data[[#This Row],[Z_CostContact]]=3,"Valid","Invalid")</f>
        <v>Valid</v>
      </c>
      <c r="AR1817" t="str">
        <f t="shared" si="374"/>
        <v>Valid</v>
      </c>
      <c r="AS1817" t="str">
        <f t="shared" si="375"/>
        <v>Valid</v>
      </c>
    </row>
    <row r="1818" spans="1:45" x14ac:dyDescent="0.3">
      <c r="A1818">
        <v>5782</v>
      </c>
      <c r="B1818">
        <v>1982</v>
      </c>
      <c r="C1818" t="s">
        <v>37</v>
      </c>
      <c r="D1818" t="s">
        <v>31</v>
      </c>
      <c r="E1818">
        <v>58582</v>
      </c>
      <c r="F1818">
        <v>0</v>
      </c>
      <c r="G1818">
        <v>1</v>
      </c>
      <c r="H1818" s="1">
        <v>41545</v>
      </c>
      <c r="I1818">
        <v>15</v>
      </c>
      <c r="J1818">
        <v>402</v>
      </c>
      <c r="K1818">
        <v>35</v>
      </c>
      <c r="L1818">
        <v>106</v>
      </c>
      <c r="M1818">
        <v>101</v>
      </c>
      <c r="N1818">
        <v>77</v>
      </c>
      <c r="O1818">
        <v>42</v>
      </c>
      <c r="P1818">
        <v>2</v>
      </c>
      <c r="Q1818">
        <v>9</v>
      </c>
      <c r="R1818">
        <v>2</v>
      </c>
      <c r="S1818">
        <v>9</v>
      </c>
      <c r="T1818">
        <v>5</v>
      </c>
      <c r="U1818">
        <v>0</v>
      </c>
      <c r="V1818">
        <v>1</v>
      </c>
      <c r="W1818">
        <v>0</v>
      </c>
      <c r="X1818">
        <v>0</v>
      </c>
      <c r="Y1818">
        <v>0</v>
      </c>
      <c r="Z1818">
        <v>0</v>
      </c>
      <c r="AA1818">
        <v>3</v>
      </c>
      <c r="AB1818">
        <v>11</v>
      </c>
      <c r="AC1818">
        <v>0</v>
      </c>
      <c r="AD1818" t="str">
        <f t="shared" si="364"/>
        <v>Ok</v>
      </c>
      <c r="AE1818" t="str">
        <f>IF(AND(Audit_Data[[#This Row],[Year_Birth]]&gt;=1900,Audit_Data[[#This Row],[Year_Birth]]&lt;=2010),"OK","Invalid")</f>
        <v>OK</v>
      </c>
      <c r="AF1818" t="str">
        <f t="shared" si="365"/>
        <v>Valid</v>
      </c>
      <c r="AG1818" t="str">
        <f t="shared" si="366"/>
        <v>Valid</v>
      </c>
      <c r="AH1818" t="str">
        <f t="shared" si="367"/>
        <v>Valid</v>
      </c>
      <c r="AI1818" t="str">
        <f t="shared" si="368"/>
        <v>Valid</v>
      </c>
      <c r="AJ1818" t="str">
        <f t="shared" si="369"/>
        <v>Valid</v>
      </c>
      <c r="AK1818" t="str">
        <f t="shared" si="376"/>
        <v xml:space="preserve">Valid </v>
      </c>
      <c r="AL1818" t="str">
        <f>IF(AND(Audit_Data[[#This Row],[Recency]]&gt;=0,Audit_Data[[#This Row],[Recency]]&lt;=100),"Valid","Invalid")</f>
        <v>Valid</v>
      </c>
      <c r="AM1818" t="str">
        <f t="shared" si="370"/>
        <v>Valid</v>
      </c>
      <c r="AN1818" t="str">
        <f t="shared" si="371"/>
        <v>Valid</v>
      </c>
      <c r="AO1818" t="str">
        <f t="shared" si="372"/>
        <v>Valid</v>
      </c>
      <c r="AP1818" t="str">
        <f t="shared" si="373"/>
        <v>Valid</v>
      </c>
      <c r="AQ1818" t="str">
        <f>IF(Audit_Data[[#This Row],[Z_CostContact]]=3,"Valid","Invalid")</f>
        <v>Valid</v>
      </c>
      <c r="AR1818" t="str">
        <f t="shared" si="374"/>
        <v>Valid</v>
      </c>
      <c r="AS1818" t="str">
        <f t="shared" si="375"/>
        <v>Valid</v>
      </c>
    </row>
    <row r="1819" spans="1:45" x14ac:dyDescent="0.3">
      <c r="A1819">
        <v>10057</v>
      </c>
      <c r="B1819">
        <v>1951</v>
      </c>
      <c r="C1819" t="s">
        <v>29</v>
      </c>
      <c r="D1819" t="s">
        <v>30</v>
      </c>
      <c r="E1819">
        <v>72282</v>
      </c>
      <c r="F1819">
        <v>0</v>
      </c>
      <c r="G1819">
        <v>0</v>
      </c>
      <c r="H1819" s="1">
        <v>41474</v>
      </c>
      <c r="I1819">
        <v>70</v>
      </c>
      <c r="J1819">
        <v>503</v>
      </c>
      <c r="K1819">
        <v>27</v>
      </c>
      <c r="L1819">
        <v>419</v>
      </c>
      <c r="M1819">
        <v>90</v>
      </c>
      <c r="N1819">
        <v>139</v>
      </c>
      <c r="O1819">
        <v>153</v>
      </c>
      <c r="P1819">
        <v>1</v>
      </c>
      <c r="Q1819">
        <v>5</v>
      </c>
      <c r="R1819">
        <v>7</v>
      </c>
      <c r="S1819">
        <v>9</v>
      </c>
      <c r="T1819">
        <v>7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3</v>
      </c>
      <c r="AB1819">
        <v>11</v>
      </c>
      <c r="AC1819">
        <v>1</v>
      </c>
      <c r="AD1819" t="str">
        <f t="shared" si="364"/>
        <v>Ok</v>
      </c>
      <c r="AE1819" t="str">
        <f>IF(AND(Audit_Data[[#This Row],[Year_Birth]]&gt;=1900,Audit_Data[[#This Row],[Year_Birth]]&lt;=2010),"OK","Invalid")</f>
        <v>OK</v>
      </c>
      <c r="AF1819" t="str">
        <f t="shared" si="365"/>
        <v>Valid</v>
      </c>
      <c r="AG1819" t="str">
        <f t="shared" si="366"/>
        <v>Valid</v>
      </c>
      <c r="AH1819" t="str">
        <f t="shared" si="367"/>
        <v>Valid</v>
      </c>
      <c r="AI1819" t="str">
        <f t="shared" si="368"/>
        <v>Valid</v>
      </c>
      <c r="AJ1819" t="str">
        <f t="shared" si="369"/>
        <v>Valid</v>
      </c>
      <c r="AK1819" t="str">
        <f t="shared" si="376"/>
        <v xml:space="preserve">Valid </v>
      </c>
      <c r="AL1819" t="str">
        <f>IF(AND(Audit_Data[[#This Row],[Recency]]&gt;=0,Audit_Data[[#This Row],[Recency]]&lt;=100),"Valid","Invalid")</f>
        <v>Valid</v>
      </c>
      <c r="AM1819" t="str">
        <f t="shared" si="370"/>
        <v>Valid</v>
      </c>
      <c r="AN1819" t="str">
        <f t="shared" si="371"/>
        <v>Valid</v>
      </c>
      <c r="AO1819" t="str">
        <f t="shared" si="372"/>
        <v>Valid</v>
      </c>
      <c r="AP1819" t="str">
        <f t="shared" si="373"/>
        <v>Valid</v>
      </c>
      <c r="AQ1819" t="str">
        <f>IF(Audit_Data[[#This Row],[Z_CostContact]]=3,"Valid","Invalid")</f>
        <v>Valid</v>
      </c>
      <c r="AR1819" t="str">
        <f t="shared" si="374"/>
        <v>Valid</v>
      </c>
      <c r="AS1819" t="str">
        <f t="shared" si="375"/>
        <v>Valid</v>
      </c>
    </row>
    <row r="1820" spans="1:45" x14ac:dyDescent="0.3">
      <c r="A1820">
        <v>10307</v>
      </c>
      <c r="B1820">
        <v>1956</v>
      </c>
      <c r="C1820" t="s">
        <v>29</v>
      </c>
      <c r="D1820" t="s">
        <v>33</v>
      </c>
      <c r="E1820">
        <v>50387</v>
      </c>
      <c r="F1820">
        <v>0</v>
      </c>
      <c r="G1820">
        <v>2</v>
      </c>
      <c r="H1820" s="1">
        <v>41517</v>
      </c>
      <c r="I1820">
        <v>91</v>
      </c>
      <c r="J1820">
        <v>369</v>
      </c>
      <c r="K1820">
        <v>9</v>
      </c>
      <c r="L1820">
        <v>87</v>
      </c>
      <c r="M1820">
        <v>12</v>
      </c>
      <c r="N1820">
        <v>14</v>
      </c>
      <c r="O1820">
        <v>34</v>
      </c>
      <c r="P1820">
        <v>3</v>
      </c>
      <c r="Q1820">
        <v>6</v>
      </c>
      <c r="R1820">
        <v>2</v>
      </c>
      <c r="S1820">
        <v>8</v>
      </c>
      <c r="T1820">
        <v>5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3</v>
      </c>
      <c r="AB1820">
        <v>11</v>
      </c>
      <c r="AC1820">
        <v>0</v>
      </c>
      <c r="AD1820" t="str">
        <f t="shared" si="364"/>
        <v>Ok</v>
      </c>
      <c r="AE1820" t="str">
        <f>IF(AND(Audit_Data[[#This Row],[Year_Birth]]&gt;=1900,Audit_Data[[#This Row],[Year_Birth]]&lt;=2010),"OK","Invalid")</f>
        <v>OK</v>
      </c>
      <c r="AF1820" t="str">
        <f t="shared" si="365"/>
        <v>Valid</v>
      </c>
      <c r="AG1820" t="str">
        <f t="shared" si="366"/>
        <v>Valid</v>
      </c>
      <c r="AH1820" t="str">
        <f t="shared" si="367"/>
        <v>Valid</v>
      </c>
      <c r="AI1820" t="str">
        <f t="shared" si="368"/>
        <v>Valid</v>
      </c>
      <c r="AJ1820" t="str">
        <f t="shared" si="369"/>
        <v>Valid</v>
      </c>
      <c r="AK1820" t="str">
        <f t="shared" si="376"/>
        <v xml:space="preserve">Valid </v>
      </c>
      <c r="AL1820" t="str">
        <f>IF(AND(Audit_Data[[#This Row],[Recency]]&gt;=0,Audit_Data[[#This Row],[Recency]]&lt;=100),"Valid","Invalid")</f>
        <v>Valid</v>
      </c>
      <c r="AM1820" t="str">
        <f t="shared" si="370"/>
        <v>Valid</v>
      </c>
      <c r="AN1820" t="str">
        <f t="shared" si="371"/>
        <v>Valid</v>
      </c>
      <c r="AO1820" t="str">
        <f t="shared" si="372"/>
        <v>Valid</v>
      </c>
      <c r="AP1820" t="str">
        <f t="shared" si="373"/>
        <v>Valid</v>
      </c>
      <c r="AQ1820" t="str">
        <f>IF(Audit_Data[[#This Row],[Z_CostContact]]=3,"Valid","Invalid")</f>
        <v>Valid</v>
      </c>
      <c r="AR1820" t="str">
        <f t="shared" si="374"/>
        <v>Valid</v>
      </c>
      <c r="AS1820" t="str">
        <f t="shared" si="375"/>
        <v>Valid</v>
      </c>
    </row>
    <row r="1821" spans="1:45" x14ac:dyDescent="0.3">
      <c r="A1821">
        <v>8566</v>
      </c>
      <c r="B1821">
        <v>1961</v>
      </c>
      <c r="C1821" t="s">
        <v>32</v>
      </c>
      <c r="D1821" t="s">
        <v>31</v>
      </c>
      <c r="E1821">
        <v>32583</v>
      </c>
      <c r="F1821">
        <v>1</v>
      </c>
      <c r="G1821">
        <v>1</v>
      </c>
      <c r="H1821" s="1">
        <v>41805</v>
      </c>
      <c r="I1821">
        <v>10</v>
      </c>
      <c r="J1821">
        <v>5</v>
      </c>
      <c r="K1821">
        <v>0</v>
      </c>
      <c r="L1821">
        <v>3</v>
      </c>
      <c r="M1821">
        <v>0</v>
      </c>
      <c r="N1821">
        <v>0</v>
      </c>
      <c r="O1821">
        <v>1</v>
      </c>
      <c r="P1821">
        <v>1</v>
      </c>
      <c r="Q1821">
        <v>1</v>
      </c>
      <c r="R1821">
        <v>0</v>
      </c>
      <c r="S1821">
        <v>2</v>
      </c>
      <c r="T1821">
        <v>7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3</v>
      </c>
      <c r="AB1821">
        <v>11</v>
      </c>
      <c r="AC1821">
        <v>0</v>
      </c>
      <c r="AD1821" t="str">
        <f t="shared" si="364"/>
        <v>Ok</v>
      </c>
      <c r="AE1821" t="str">
        <f>IF(AND(Audit_Data[[#This Row],[Year_Birth]]&gt;=1900,Audit_Data[[#This Row],[Year_Birth]]&lt;=2010),"OK","Invalid")</f>
        <v>OK</v>
      </c>
      <c r="AF1821" t="str">
        <f t="shared" si="365"/>
        <v>Valid</v>
      </c>
      <c r="AG1821" t="str">
        <f t="shared" si="366"/>
        <v>Valid</v>
      </c>
      <c r="AH1821" t="str">
        <f t="shared" si="367"/>
        <v>Valid</v>
      </c>
      <c r="AI1821" t="str">
        <f t="shared" si="368"/>
        <v>Valid</v>
      </c>
      <c r="AJ1821" t="str">
        <f t="shared" si="369"/>
        <v>Valid</v>
      </c>
      <c r="AK1821" t="str">
        <f t="shared" si="376"/>
        <v xml:space="preserve">Valid </v>
      </c>
      <c r="AL1821" t="str">
        <f>IF(AND(Audit_Data[[#This Row],[Recency]]&gt;=0,Audit_Data[[#This Row],[Recency]]&lt;=100),"Valid","Invalid")</f>
        <v>Valid</v>
      </c>
      <c r="AM1821" t="str">
        <f t="shared" si="370"/>
        <v>Valid</v>
      </c>
      <c r="AN1821" t="str">
        <f t="shared" si="371"/>
        <v>Valid</v>
      </c>
      <c r="AO1821" t="str">
        <f t="shared" si="372"/>
        <v>Valid</v>
      </c>
      <c r="AP1821" t="str">
        <f t="shared" si="373"/>
        <v>Valid</v>
      </c>
      <c r="AQ1821" t="str">
        <f>IF(Audit_Data[[#This Row],[Z_CostContact]]=3,"Valid","Invalid")</f>
        <v>Valid</v>
      </c>
      <c r="AR1821" t="str">
        <f t="shared" si="374"/>
        <v>Valid</v>
      </c>
      <c r="AS1821" t="str">
        <f t="shared" si="375"/>
        <v>Valid</v>
      </c>
    </row>
    <row r="1822" spans="1:45" x14ac:dyDescent="0.3">
      <c r="A1822">
        <v>2415</v>
      </c>
      <c r="B1822">
        <v>1962</v>
      </c>
      <c r="C1822" t="s">
        <v>29</v>
      </c>
      <c r="D1822" t="s">
        <v>31</v>
      </c>
      <c r="E1822">
        <v>62568</v>
      </c>
      <c r="F1822">
        <v>0</v>
      </c>
      <c r="G1822">
        <v>1</v>
      </c>
      <c r="H1822" s="1">
        <v>41736</v>
      </c>
      <c r="I1822">
        <v>99</v>
      </c>
      <c r="J1822">
        <v>362</v>
      </c>
      <c r="K1822">
        <v>17</v>
      </c>
      <c r="L1822">
        <v>398</v>
      </c>
      <c r="M1822">
        <v>80</v>
      </c>
      <c r="N1822">
        <v>35</v>
      </c>
      <c r="O1822">
        <v>61</v>
      </c>
      <c r="P1822">
        <v>3</v>
      </c>
      <c r="Q1822">
        <v>5</v>
      </c>
      <c r="R1822">
        <v>3</v>
      </c>
      <c r="S1822">
        <v>5</v>
      </c>
      <c r="T1822">
        <v>4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>
        <v>3</v>
      </c>
      <c r="AB1822">
        <v>11</v>
      </c>
      <c r="AC1822">
        <v>0</v>
      </c>
      <c r="AD1822" t="str">
        <f t="shared" si="364"/>
        <v>Ok</v>
      </c>
      <c r="AE1822" t="str">
        <f>IF(AND(Audit_Data[[#This Row],[Year_Birth]]&gt;=1900,Audit_Data[[#This Row],[Year_Birth]]&lt;=2010),"OK","Invalid")</f>
        <v>OK</v>
      </c>
      <c r="AF1822" t="str">
        <f t="shared" si="365"/>
        <v>Valid</v>
      </c>
      <c r="AG1822" t="str">
        <f t="shared" si="366"/>
        <v>Valid</v>
      </c>
      <c r="AH1822" t="str">
        <f t="shared" si="367"/>
        <v>Valid</v>
      </c>
      <c r="AI1822" t="str">
        <f t="shared" si="368"/>
        <v>Valid</v>
      </c>
      <c r="AJ1822" t="str">
        <f t="shared" si="369"/>
        <v>Valid</v>
      </c>
      <c r="AK1822" t="str">
        <f t="shared" si="376"/>
        <v xml:space="preserve">Valid </v>
      </c>
      <c r="AL1822" t="str">
        <f>IF(AND(Audit_Data[[#This Row],[Recency]]&gt;=0,Audit_Data[[#This Row],[Recency]]&lt;=100),"Valid","Invalid")</f>
        <v>Valid</v>
      </c>
      <c r="AM1822" t="str">
        <f t="shared" si="370"/>
        <v>Valid</v>
      </c>
      <c r="AN1822" t="str">
        <f t="shared" si="371"/>
        <v>Valid</v>
      </c>
      <c r="AO1822" t="str">
        <f t="shared" si="372"/>
        <v>Valid</v>
      </c>
      <c r="AP1822" t="str">
        <f t="shared" si="373"/>
        <v>Valid</v>
      </c>
      <c r="AQ1822" t="str">
        <f>IF(Audit_Data[[#This Row],[Z_CostContact]]=3,"Valid","Invalid")</f>
        <v>Valid</v>
      </c>
      <c r="AR1822" t="str">
        <f t="shared" si="374"/>
        <v>Valid</v>
      </c>
      <c r="AS1822" t="str">
        <f t="shared" si="375"/>
        <v>Valid</v>
      </c>
    </row>
    <row r="1823" spans="1:45" x14ac:dyDescent="0.3">
      <c r="A1823">
        <v>5684</v>
      </c>
      <c r="B1823">
        <v>1971</v>
      </c>
      <c r="C1823" t="s">
        <v>34</v>
      </c>
      <c r="D1823" t="s">
        <v>35</v>
      </c>
      <c r="E1823">
        <v>44635</v>
      </c>
      <c r="F1823">
        <v>1</v>
      </c>
      <c r="G1823">
        <v>1</v>
      </c>
      <c r="H1823" s="1">
        <v>41558</v>
      </c>
      <c r="I1823">
        <v>25</v>
      </c>
      <c r="J1823">
        <v>56</v>
      </c>
      <c r="K1823">
        <v>0</v>
      </c>
      <c r="L1823">
        <v>9</v>
      </c>
      <c r="M1823">
        <v>0</v>
      </c>
      <c r="N1823">
        <v>0</v>
      </c>
      <c r="O1823">
        <v>3</v>
      </c>
      <c r="P1823">
        <v>2</v>
      </c>
      <c r="Q1823">
        <v>2</v>
      </c>
      <c r="R1823">
        <v>0</v>
      </c>
      <c r="S1823">
        <v>3</v>
      </c>
      <c r="T1823">
        <v>7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3</v>
      </c>
      <c r="AB1823">
        <v>11</v>
      </c>
      <c r="AC1823">
        <v>0</v>
      </c>
      <c r="AD1823" t="str">
        <f t="shared" si="364"/>
        <v>Ok</v>
      </c>
      <c r="AE1823" t="str">
        <f>IF(AND(Audit_Data[[#This Row],[Year_Birth]]&gt;=1900,Audit_Data[[#This Row],[Year_Birth]]&lt;=2010),"OK","Invalid")</f>
        <v>OK</v>
      </c>
      <c r="AF1823" t="str">
        <f t="shared" si="365"/>
        <v>Valid</v>
      </c>
      <c r="AG1823" t="str">
        <f t="shared" si="366"/>
        <v>Valid</v>
      </c>
      <c r="AH1823" t="str">
        <f t="shared" si="367"/>
        <v>Valid</v>
      </c>
      <c r="AI1823" t="str">
        <f t="shared" si="368"/>
        <v>Valid</v>
      </c>
      <c r="AJ1823" t="str">
        <f t="shared" si="369"/>
        <v>Valid</v>
      </c>
      <c r="AK1823" t="str">
        <f t="shared" si="376"/>
        <v xml:space="preserve">Valid </v>
      </c>
      <c r="AL1823" t="str">
        <f>IF(AND(Audit_Data[[#This Row],[Recency]]&gt;=0,Audit_Data[[#This Row],[Recency]]&lt;=100),"Valid","Invalid")</f>
        <v>Valid</v>
      </c>
      <c r="AM1823" t="str">
        <f t="shared" si="370"/>
        <v>Valid</v>
      </c>
      <c r="AN1823" t="str">
        <f t="shared" si="371"/>
        <v>Valid</v>
      </c>
      <c r="AO1823" t="str">
        <f t="shared" si="372"/>
        <v>Valid</v>
      </c>
      <c r="AP1823" t="str">
        <f t="shared" si="373"/>
        <v>Valid</v>
      </c>
      <c r="AQ1823" t="str">
        <f>IF(Audit_Data[[#This Row],[Z_CostContact]]=3,"Valid","Invalid")</f>
        <v>Valid</v>
      </c>
      <c r="AR1823" t="str">
        <f t="shared" si="374"/>
        <v>Valid</v>
      </c>
      <c r="AS1823" t="str">
        <f t="shared" si="375"/>
        <v>Valid</v>
      </c>
    </row>
    <row r="1824" spans="1:45" x14ac:dyDescent="0.3">
      <c r="A1824">
        <v>8334</v>
      </c>
      <c r="B1824">
        <v>1971</v>
      </c>
      <c r="C1824" t="s">
        <v>34</v>
      </c>
      <c r="D1824" t="s">
        <v>30</v>
      </c>
      <c r="E1824">
        <v>33316</v>
      </c>
      <c r="F1824">
        <v>1</v>
      </c>
      <c r="G1824">
        <v>1</v>
      </c>
      <c r="H1824" s="1">
        <v>41551</v>
      </c>
      <c r="I1824">
        <v>34</v>
      </c>
      <c r="J1824">
        <v>79</v>
      </c>
      <c r="K1824">
        <v>1</v>
      </c>
      <c r="L1824">
        <v>31</v>
      </c>
      <c r="M1824">
        <v>4</v>
      </c>
      <c r="N1824">
        <v>4</v>
      </c>
      <c r="O1824">
        <v>12</v>
      </c>
      <c r="P1824">
        <v>3</v>
      </c>
      <c r="Q1824">
        <v>2</v>
      </c>
      <c r="R1824">
        <v>1</v>
      </c>
      <c r="S1824">
        <v>4</v>
      </c>
      <c r="T1824">
        <v>6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3</v>
      </c>
      <c r="AB1824">
        <v>11</v>
      </c>
      <c r="AC1824">
        <v>0</v>
      </c>
      <c r="AD1824" t="str">
        <f t="shared" si="364"/>
        <v>Ok</v>
      </c>
      <c r="AE1824" t="str">
        <f>IF(AND(Audit_Data[[#This Row],[Year_Birth]]&gt;=1900,Audit_Data[[#This Row],[Year_Birth]]&lt;=2010),"OK","Invalid")</f>
        <v>OK</v>
      </c>
      <c r="AF1824" t="str">
        <f t="shared" si="365"/>
        <v>Valid</v>
      </c>
      <c r="AG1824" t="str">
        <f t="shared" si="366"/>
        <v>Valid</v>
      </c>
      <c r="AH1824" t="str">
        <f t="shared" si="367"/>
        <v>Valid</v>
      </c>
      <c r="AI1824" t="str">
        <f t="shared" si="368"/>
        <v>Valid</v>
      </c>
      <c r="AJ1824" t="str">
        <f t="shared" si="369"/>
        <v>Valid</v>
      </c>
      <c r="AK1824" t="str">
        <f t="shared" si="376"/>
        <v xml:space="preserve">Valid </v>
      </c>
      <c r="AL1824" t="str">
        <f>IF(AND(Audit_Data[[#This Row],[Recency]]&gt;=0,Audit_Data[[#This Row],[Recency]]&lt;=100),"Valid","Invalid")</f>
        <v>Valid</v>
      </c>
      <c r="AM1824" t="str">
        <f t="shared" si="370"/>
        <v>Valid</v>
      </c>
      <c r="AN1824" t="str">
        <f t="shared" si="371"/>
        <v>Valid</v>
      </c>
      <c r="AO1824" t="str">
        <f t="shared" si="372"/>
        <v>Valid</v>
      </c>
      <c r="AP1824" t="str">
        <f t="shared" si="373"/>
        <v>Valid</v>
      </c>
      <c r="AQ1824" t="str">
        <f>IF(Audit_Data[[#This Row],[Z_CostContact]]=3,"Valid","Invalid")</f>
        <v>Valid</v>
      </c>
      <c r="AR1824" t="str">
        <f t="shared" si="374"/>
        <v>Valid</v>
      </c>
      <c r="AS1824" t="str">
        <f t="shared" si="375"/>
        <v>Valid</v>
      </c>
    </row>
    <row r="1825" spans="1:45" x14ac:dyDescent="0.3">
      <c r="A1825">
        <v>9166</v>
      </c>
      <c r="B1825">
        <v>1968</v>
      </c>
      <c r="C1825" t="s">
        <v>29</v>
      </c>
      <c r="D1825" t="s">
        <v>33</v>
      </c>
      <c r="E1825">
        <v>63967</v>
      </c>
      <c r="F1825">
        <v>0</v>
      </c>
      <c r="G1825">
        <v>1</v>
      </c>
      <c r="H1825" s="1">
        <v>41495</v>
      </c>
      <c r="I1825">
        <v>57</v>
      </c>
      <c r="J1825">
        <v>387</v>
      </c>
      <c r="K1825">
        <v>84</v>
      </c>
      <c r="L1825">
        <v>141</v>
      </c>
      <c r="M1825">
        <v>73</v>
      </c>
      <c r="N1825">
        <v>35</v>
      </c>
      <c r="O1825">
        <v>162</v>
      </c>
      <c r="P1825">
        <v>3</v>
      </c>
      <c r="Q1825">
        <v>4</v>
      </c>
      <c r="R1825">
        <v>4</v>
      </c>
      <c r="S1825">
        <v>12</v>
      </c>
      <c r="T1825">
        <v>2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3</v>
      </c>
      <c r="AB1825">
        <v>11</v>
      </c>
      <c r="AC1825">
        <v>0</v>
      </c>
      <c r="AD1825" t="str">
        <f t="shared" si="364"/>
        <v>Ok</v>
      </c>
      <c r="AE1825" t="str">
        <f>IF(AND(Audit_Data[[#This Row],[Year_Birth]]&gt;=1900,Audit_Data[[#This Row],[Year_Birth]]&lt;=2010),"OK","Invalid")</f>
        <v>OK</v>
      </c>
      <c r="AF1825" t="str">
        <f t="shared" si="365"/>
        <v>Valid</v>
      </c>
      <c r="AG1825" t="str">
        <f t="shared" si="366"/>
        <v>Valid</v>
      </c>
      <c r="AH1825" t="str">
        <f t="shared" si="367"/>
        <v>Valid</v>
      </c>
      <c r="AI1825" t="str">
        <f t="shared" si="368"/>
        <v>Valid</v>
      </c>
      <c r="AJ1825" t="str">
        <f t="shared" si="369"/>
        <v>Valid</v>
      </c>
      <c r="AK1825" t="str">
        <f t="shared" si="376"/>
        <v xml:space="preserve">Valid </v>
      </c>
      <c r="AL1825" t="str">
        <f>IF(AND(Audit_Data[[#This Row],[Recency]]&gt;=0,Audit_Data[[#This Row],[Recency]]&lt;=100),"Valid","Invalid")</f>
        <v>Valid</v>
      </c>
      <c r="AM1825" t="str">
        <f t="shared" si="370"/>
        <v>Valid</v>
      </c>
      <c r="AN1825" t="str">
        <f t="shared" si="371"/>
        <v>Valid</v>
      </c>
      <c r="AO1825" t="str">
        <f t="shared" si="372"/>
        <v>Valid</v>
      </c>
      <c r="AP1825" t="str">
        <f t="shared" si="373"/>
        <v>Valid</v>
      </c>
      <c r="AQ1825" t="str">
        <f>IF(Audit_Data[[#This Row],[Z_CostContact]]=3,"Valid","Invalid")</f>
        <v>Valid</v>
      </c>
      <c r="AR1825" t="str">
        <f t="shared" si="374"/>
        <v>Valid</v>
      </c>
      <c r="AS1825" t="str">
        <f t="shared" si="375"/>
        <v>Valid</v>
      </c>
    </row>
    <row r="1826" spans="1:45" x14ac:dyDescent="0.3">
      <c r="A1826">
        <v>1440</v>
      </c>
      <c r="B1826">
        <v>1978</v>
      </c>
      <c r="C1826" t="s">
        <v>37</v>
      </c>
      <c r="D1826" t="s">
        <v>31</v>
      </c>
      <c r="E1826">
        <v>52513</v>
      </c>
      <c r="F1826">
        <v>0</v>
      </c>
      <c r="G1826">
        <v>0</v>
      </c>
      <c r="H1826" s="1">
        <v>41156</v>
      </c>
      <c r="I1826">
        <v>84</v>
      </c>
      <c r="J1826">
        <v>367</v>
      </c>
      <c r="K1826">
        <v>17</v>
      </c>
      <c r="L1826">
        <v>241</v>
      </c>
      <c r="M1826">
        <v>104</v>
      </c>
      <c r="N1826">
        <v>188</v>
      </c>
      <c r="O1826">
        <v>232</v>
      </c>
      <c r="P1826">
        <v>2</v>
      </c>
      <c r="Q1826">
        <v>9</v>
      </c>
      <c r="R1826">
        <v>5</v>
      </c>
      <c r="S1826">
        <v>9</v>
      </c>
      <c r="T1826">
        <v>7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3</v>
      </c>
      <c r="AB1826">
        <v>11</v>
      </c>
      <c r="AC1826">
        <v>0</v>
      </c>
      <c r="AD1826" t="str">
        <f t="shared" si="364"/>
        <v>Ok</v>
      </c>
      <c r="AE1826" t="str">
        <f>IF(AND(Audit_Data[[#This Row],[Year_Birth]]&gt;=1900,Audit_Data[[#This Row],[Year_Birth]]&lt;=2010),"OK","Invalid")</f>
        <v>OK</v>
      </c>
      <c r="AF1826" t="str">
        <f t="shared" si="365"/>
        <v>Valid</v>
      </c>
      <c r="AG1826" t="str">
        <f t="shared" si="366"/>
        <v>Valid</v>
      </c>
      <c r="AH1826" t="str">
        <f t="shared" si="367"/>
        <v>Valid</v>
      </c>
      <c r="AI1826" t="str">
        <f t="shared" si="368"/>
        <v>Valid</v>
      </c>
      <c r="AJ1826" t="str">
        <f t="shared" si="369"/>
        <v>Valid</v>
      </c>
      <c r="AK1826" t="str">
        <f t="shared" si="376"/>
        <v xml:space="preserve">Valid </v>
      </c>
      <c r="AL1826" t="str">
        <f>IF(AND(Audit_Data[[#This Row],[Recency]]&gt;=0,Audit_Data[[#This Row],[Recency]]&lt;=100),"Valid","Invalid")</f>
        <v>Valid</v>
      </c>
      <c r="AM1826" t="str">
        <f t="shared" si="370"/>
        <v>Valid</v>
      </c>
      <c r="AN1826" t="str">
        <f t="shared" si="371"/>
        <v>Valid</v>
      </c>
      <c r="AO1826" t="str">
        <f t="shared" si="372"/>
        <v>Valid</v>
      </c>
      <c r="AP1826" t="str">
        <f t="shared" si="373"/>
        <v>Valid</v>
      </c>
      <c r="AQ1826" t="str">
        <f>IF(Audit_Data[[#This Row],[Z_CostContact]]=3,"Valid","Invalid")</f>
        <v>Valid</v>
      </c>
      <c r="AR1826" t="str">
        <f t="shared" si="374"/>
        <v>Valid</v>
      </c>
      <c r="AS1826" t="str">
        <f t="shared" si="375"/>
        <v>Valid</v>
      </c>
    </row>
    <row r="1827" spans="1:45" x14ac:dyDescent="0.3">
      <c r="A1827">
        <v>78</v>
      </c>
      <c r="B1827">
        <v>1969</v>
      </c>
      <c r="C1827" t="s">
        <v>29</v>
      </c>
      <c r="D1827" t="s">
        <v>33</v>
      </c>
      <c r="E1827">
        <v>25293</v>
      </c>
      <c r="F1827">
        <v>1</v>
      </c>
      <c r="G1827">
        <v>0</v>
      </c>
      <c r="H1827" s="1">
        <v>41532</v>
      </c>
      <c r="I1827">
        <v>51</v>
      </c>
      <c r="J1827">
        <v>15</v>
      </c>
      <c r="K1827">
        <v>0</v>
      </c>
      <c r="L1827">
        <v>11</v>
      </c>
      <c r="M1827">
        <v>0</v>
      </c>
      <c r="N1827">
        <v>2</v>
      </c>
      <c r="O1827">
        <v>9</v>
      </c>
      <c r="P1827">
        <v>1</v>
      </c>
      <c r="Q1827">
        <v>1</v>
      </c>
      <c r="R1827">
        <v>1</v>
      </c>
      <c r="S1827">
        <v>2</v>
      </c>
      <c r="T1827">
        <v>8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3</v>
      </c>
      <c r="AB1827">
        <v>11</v>
      </c>
      <c r="AC1827">
        <v>0</v>
      </c>
      <c r="AD1827" t="str">
        <f t="shared" si="364"/>
        <v>Ok</v>
      </c>
      <c r="AE1827" t="str">
        <f>IF(AND(Audit_Data[[#This Row],[Year_Birth]]&gt;=1900,Audit_Data[[#This Row],[Year_Birth]]&lt;=2010),"OK","Invalid")</f>
        <v>OK</v>
      </c>
      <c r="AF1827" t="str">
        <f t="shared" si="365"/>
        <v>Valid</v>
      </c>
      <c r="AG1827" t="str">
        <f t="shared" si="366"/>
        <v>Valid</v>
      </c>
      <c r="AH1827" t="str">
        <f t="shared" si="367"/>
        <v>Valid</v>
      </c>
      <c r="AI1827" t="str">
        <f t="shared" si="368"/>
        <v>Valid</v>
      </c>
      <c r="AJ1827" t="str">
        <f t="shared" si="369"/>
        <v>Valid</v>
      </c>
      <c r="AK1827" t="str">
        <f t="shared" si="376"/>
        <v xml:space="preserve">Valid </v>
      </c>
      <c r="AL1827" t="str">
        <f>IF(AND(Audit_Data[[#This Row],[Recency]]&gt;=0,Audit_Data[[#This Row],[Recency]]&lt;=100),"Valid","Invalid")</f>
        <v>Valid</v>
      </c>
      <c r="AM1827" t="str">
        <f t="shared" si="370"/>
        <v>Valid</v>
      </c>
      <c r="AN1827" t="str">
        <f t="shared" si="371"/>
        <v>Valid</v>
      </c>
      <c r="AO1827" t="str">
        <f t="shared" si="372"/>
        <v>Valid</v>
      </c>
      <c r="AP1827" t="str">
        <f t="shared" si="373"/>
        <v>Valid</v>
      </c>
      <c r="AQ1827" t="str">
        <f>IF(Audit_Data[[#This Row],[Z_CostContact]]=3,"Valid","Invalid")</f>
        <v>Valid</v>
      </c>
      <c r="AR1827" t="str">
        <f t="shared" si="374"/>
        <v>Valid</v>
      </c>
      <c r="AS1827" t="str">
        <f t="shared" si="375"/>
        <v>Valid</v>
      </c>
    </row>
    <row r="1828" spans="1:45" x14ac:dyDescent="0.3">
      <c r="A1828">
        <v>5441</v>
      </c>
      <c r="B1828">
        <v>1965</v>
      </c>
      <c r="C1828" t="s">
        <v>32</v>
      </c>
      <c r="D1828" t="s">
        <v>38</v>
      </c>
      <c r="E1828">
        <v>54111</v>
      </c>
      <c r="F1828">
        <v>0</v>
      </c>
      <c r="G1828">
        <v>1</v>
      </c>
      <c r="H1828" s="1">
        <v>41511</v>
      </c>
      <c r="I1828">
        <v>97</v>
      </c>
      <c r="J1828">
        <v>267</v>
      </c>
      <c r="K1828">
        <v>6</v>
      </c>
      <c r="L1828">
        <v>54</v>
      </c>
      <c r="M1828">
        <v>8</v>
      </c>
      <c r="N1828">
        <v>3</v>
      </c>
      <c r="O1828">
        <v>50</v>
      </c>
      <c r="P1828">
        <v>2</v>
      </c>
      <c r="Q1828">
        <v>5</v>
      </c>
      <c r="R1828">
        <v>2</v>
      </c>
      <c r="S1828">
        <v>6</v>
      </c>
      <c r="T1828">
        <v>5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3</v>
      </c>
      <c r="AB1828">
        <v>11</v>
      </c>
      <c r="AC1828">
        <v>0</v>
      </c>
      <c r="AD1828" t="str">
        <f t="shared" si="364"/>
        <v>Ok</v>
      </c>
      <c r="AE1828" t="str">
        <f>IF(AND(Audit_Data[[#This Row],[Year_Birth]]&gt;=1900,Audit_Data[[#This Row],[Year_Birth]]&lt;=2010),"OK","Invalid")</f>
        <v>OK</v>
      </c>
      <c r="AF1828" t="str">
        <f t="shared" si="365"/>
        <v>Valid</v>
      </c>
      <c r="AG1828" t="str">
        <f t="shared" si="366"/>
        <v>Valid</v>
      </c>
      <c r="AH1828" t="str">
        <f t="shared" si="367"/>
        <v>Valid</v>
      </c>
      <c r="AI1828" t="str">
        <f t="shared" si="368"/>
        <v>Valid</v>
      </c>
      <c r="AJ1828" t="str">
        <f t="shared" si="369"/>
        <v>Valid</v>
      </c>
      <c r="AK1828" t="str">
        <f t="shared" si="376"/>
        <v xml:space="preserve">Valid </v>
      </c>
      <c r="AL1828" t="str">
        <f>IF(AND(Audit_Data[[#This Row],[Recency]]&gt;=0,Audit_Data[[#This Row],[Recency]]&lt;=100),"Valid","Invalid")</f>
        <v>Valid</v>
      </c>
      <c r="AM1828" t="str">
        <f t="shared" si="370"/>
        <v>Valid</v>
      </c>
      <c r="AN1828" t="str">
        <f t="shared" si="371"/>
        <v>Valid</v>
      </c>
      <c r="AO1828" t="str">
        <f t="shared" si="372"/>
        <v>Valid</v>
      </c>
      <c r="AP1828" t="str">
        <f t="shared" si="373"/>
        <v>Valid</v>
      </c>
      <c r="AQ1828" t="str">
        <f>IF(Audit_Data[[#This Row],[Z_CostContact]]=3,"Valid","Invalid")</f>
        <v>Valid</v>
      </c>
      <c r="AR1828" t="str">
        <f t="shared" si="374"/>
        <v>Valid</v>
      </c>
      <c r="AS1828" t="str">
        <f t="shared" si="375"/>
        <v>Valid</v>
      </c>
    </row>
    <row r="1829" spans="1:45" x14ac:dyDescent="0.3">
      <c r="A1829">
        <v>5302</v>
      </c>
      <c r="B1829">
        <v>1986</v>
      </c>
      <c r="C1829" t="s">
        <v>29</v>
      </c>
      <c r="D1829" t="s">
        <v>31</v>
      </c>
      <c r="E1829">
        <v>78394</v>
      </c>
      <c r="F1829">
        <v>0</v>
      </c>
      <c r="G1829">
        <v>0</v>
      </c>
      <c r="H1829" s="1">
        <v>41320</v>
      </c>
      <c r="I1829">
        <v>13</v>
      </c>
      <c r="J1829">
        <v>298</v>
      </c>
      <c r="K1829">
        <v>27</v>
      </c>
      <c r="L1829">
        <v>697</v>
      </c>
      <c r="M1829">
        <v>216</v>
      </c>
      <c r="N1829">
        <v>24</v>
      </c>
      <c r="O1829">
        <v>166</v>
      </c>
      <c r="P1829">
        <v>1</v>
      </c>
      <c r="Q1829">
        <v>4</v>
      </c>
      <c r="R1829">
        <v>6</v>
      </c>
      <c r="S1829">
        <v>5</v>
      </c>
      <c r="T1829">
        <v>2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3</v>
      </c>
      <c r="AB1829">
        <v>11</v>
      </c>
      <c r="AC1829">
        <v>1</v>
      </c>
      <c r="AD1829" t="str">
        <f t="shared" si="364"/>
        <v>Ok</v>
      </c>
      <c r="AE1829" t="str">
        <f>IF(AND(Audit_Data[[#This Row],[Year_Birth]]&gt;=1900,Audit_Data[[#This Row],[Year_Birth]]&lt;=2010),"OK","Invalid")</f>
        <v>OK</v>
      </c>
      <c r="AF1829" t="str">
        <f t="shared" si="365"/>
        <v>Valid</v>
      </c>
      <c r="AG1829" t="str">
        <f t="shared" si="366"/>
        <v>Valid</v>
      </c>
      <c r="AH1829" t="str">
        <f t="shared" si="367"/>
        <v>Valid</v>
      </c>
      <c r="AI1829" t="str">
        <f t="shared" si="368"/>
        <v>Valid</v>
      </c>
      <c r="AJ1829" t="str">
        <f t="shared" si="369"/>
        <v>Valid</v>
      </c>
      <c r="AK1829" t="str">
        <f t="shared" si="376"/>
        <v xml:space="preserve">Valid </v>
      </c>
      <c r="AL1829" t="str">
        <f>IF(AND(Audit_Data[[#This Row],[Recency]]&gt;=0,Audit_Data[[#This Row],[Recency]]&lt;=100),"Valid","Invalid")</f>
        <v>Valid</v>
      </c>
      <c r="AM1829" t="str">
        <f t="shared" si="370"/>
        <v>Valid</v>
      </c>
      <c r="AN1829" t="str">
        <f t="shared" si="371"/>
        <v>Valid</v>
      </c>
      <c r="AO1829" t="str">
        <f t="shared" si="372"/>
        <v>Valid</v>
      </c>
      <c r="AP1829" t="str">
        <f t="shared" si="373"/>
        <v>Valid</v>
      </c>
      <c r="AQ1829" t="str">
        <f>IF(Audit_Data[[#This Row],[Z_CostContact]]=3,"Valid","Invalid")</f>
        <v>Valid</v>
      </c>
      <c r="AR1829" t="str">
        <f t="shared" si="374"/>
        <v>Valid</v>
      </c>
      <c r="AS1829" t="str">
        <f t="shared" si="375"/>
        <v>Valid</v>
      </c>
    </row>
    <row r="1830" spans="1:45" x14ac:dyDescent="0.3">
      <c r="A1830">
        <v>4687</v>
      </c>
      <c r="B1830">
        <v>1958</v>
      </c>
      <c r="C1830" t="s">
        <v>34</v>
      </c>
      <c r="D1830" t="s">
        <v>33</v>
      </c>
      <c r="E1830">
        <v>80739</v>
      </c>
      <c r="F1830">
        <v>0</v>
      </c>
      <c r="G1830">
        <v>0</v>
      </c>
      <c r="H1830" s="1">
        <v>41417</v>
      </c>
      <c r="I1830">
        <v>92</v>
      </c>
      <c r="J1830">
        <v>674</v>
      </c>
      <c r="K1830">
        <v>92</v>
      </c>
      <c r="L1830">
        <v>736</v>
      </c>
      <c r="M1830">
        <v>39</v>
      </c>
      <c r="N1830">
        <v>0</v>
      </c>
      <c r="O1830">
        <v>92</v>
      </c>
      <c r="P1830">
        <v>1</v>
      </c>
      <c r="Q1830">
        <v>3</v>
      </c>
      <c r="R1830">
        <v>11</v>
      </c>
      <c r="S1830">
        <v>9</v>
      </c>
      <c r="T1830">
        <v>1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3</v>
      </c>
      <c r="AB1830">
        <v>11</v>
      </c>
      <c r="AC1830">
        <v>0</v>
      </c>
      <c r="AD1830" t="str">
        <f t="shared" si="364"/>
        <v>Ok</v>
      </c>
      <c r="AE1830" t="str">
        <f>IF(AND(Audit_Data[[#This Row],[Year_Birth]]&gt;=1900,Audit_Data[[#This Row],[Year_Birth]]&lt;=2010),"OK","Invalid")</f>
        <v>OK</v>
      </c>
      <c r="AF1830" t="str">
        <f t="shared" si="365"/>
        <v>Valid</v>
      </c>
      <c r="AG1830" t="str">
        <f t="shared" si="366"/>
        <v>Valid</v>
      </c>
      <c r="AH1830" t="str">
        <f t="shared" si="367"/>
        <v>Valid</v>
      </c>
      <c r="AI1830" t="str">
        <f t="shared" si="368"/>
        <v>Valid</v>
      </c>
      <c r="AJ1830" t="str">
        <f t="shared" si="369"/>
        <v>Valid</v>
      </c>
      <c r="AK1830" t="str">
        <f t="shared" si="376"/>
        <v xml:space="preserve">Valid </v>
      </c>
      <c r="AL1830" t="str">
        <f>IF(AND(Audit_Data[[#This Row],[Recency]]&gt;=0,Audit_Data[[#This Row],[Recency]]&lt;=100),"Valid","Invalid")</f>
        <v>Valid</v>
      </c>
      <c r="AM1830" t="str">
        <f t="shared" si="370"/>
        <v>Valid</v>
      </c>
      <c r="AN1830" t="str">
        <f t="shared" si="371"/>
        <v>Valid</v>
      </c>
      <c r="AO1830" t="str">
        <f t="shared" si="372"/>
        <v>Valid</v>
      </c>
      <c r="AP1830" t="str">
        <f t="shared" si="373"/>
        <v>Valid</v>
      </c>
      <c r="AQ1830" t="str">
        <f>IF(Audit_Data[[#This Row],[Z_CostContact]]=3,"Valid","Invalid")</f>
        <v>Valid</v>
      </c>
      <c r="AR1830" t="str">
        <f t="shared" si="374"/>
        <v>Valid</v>
      </c>
      <c r="AS1830" t="str">
        <f t="shared" si="375"/>
        <v>Valid</v>
      </c>
    </row>
    <row r="1831" spans="1:45" x14ac:dyDescent="0.3">
      <c r="A1831">
        <v>1087</v>
      </c>
      <c r="B1831">
        <v>1975</v>
      </c>
      <c r="C1831" t="s">
        <v>34</v>
      </c>
      <c r="D1831" t="s">
        <v>31</v>
      </c>
      <c r="E1831">
        <v>22669</v>
      </c>
      <c r="F1831">
        <v>1</v>
      </c>
      <c r="G1831">
        <v>0</v>
      </c>
      <c r="H1831" s="1">
        <v>41416</v>
      </c>
      <c r="I1831">
        <v>30</v>
      </c>
      <c r="J1831">
        <v>16</v>
      </c>
      <c r="K1831">
        <v>14</v>
      </c>
      <c r="L1831">
        <v>36</v>
      </c>
      <c r="M1831">
        <v>37</v>
      </c>
      <c r="N1831">
        <v>22</v>
      </c>
      <c r="O1831">
        <v>48</v>
      </c>
      <c r="P1831">
        <v>3</v>
      </c>
      <c r="Q1831">
        <v>4</v>
      </c>
      <c r="R1831">
        <v>1</v>
      </c>
      <c r="S1831">
        <v>2</v>
      </c>
      <c r="T1831">
        <v>9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3</v>
      </c>
      <c r="AB1831">
        <v>11</v>
      </c>
      <c r="AC1831">
        <v>1</v>
      </c>
      <c r="AD1831" t="str">
        <f t="shared" si="364"/>
        <v>Ok</v>
      </c>
      <c r="AE1831" t="str">
        <f>IF(AND(Audit_Data[[#This Row],[Year_Birth]]&gt;=1900,Audit_Data[[#This Row],[Year_Birth]]&lt;=2010),"OK","Invalid")</f>
        <v>OK</v>
      </c>
      <c r="AF1831" t="str">
        <f t="shared" si="365"/>
        <v>Valid</v>
      </c>
      <c r="AG1831" t="str">
        <f t="shared" si="366"/>
        <v>Valid</v>
      </c>
      <c r="AH1831" t="str">
        <f t="shared" si="367"/>
        <v>Valid</v>
      </c>
      <c r="AI1831" t="str">
        <f t="shared" si="368"/>
        <v>Valid</v>
      </c>
      <c r="AJ1831" t="str">
        <f t="shared" si="369"/>
        <v>Valid</v>
      </c>
      <c r="AK1831" t="str">
        <f t="shared" si="376"/>
        <v xml:space="preserve">Valid </v>
      </c>
      <c r="AL1831" t="str">
        <f>IF(AND(Audit_Data[[#This Row],[Recency]]&gt;=0,Audit_Data[[#This Row],[Recency]]&lt;=100),"Valid","Invalid")</f>
        <v>Valid</v>
      </c>
      <c r="AM1831" t="str">
        <f t="shared" si="370"/>
        <v>Valid</v>
      </c>
      <c r="AN1831" t="str">
        <f t="shared" si="371"/>
        <v>Valid</v>
      </c>
      <c r="AO1831" t="str">
        <f t="shared" si="372"/>
        <v>Valid</v>
      </c>
      <c r="AP1831" t="str">
        <f t="shared" si="373"/>
        <v>Valid</v>
      </c>
      <c r="AQ1831" t="str">
        <f>IF(Audit_Data[[#This Row],[Z_CostContact]]=3,"Valid","Invalid")</f>
        <v>Valid</v>
      </c>
      <c r="AR1831" t="str">
        <f t="shared" si="374"/>
        <v>Valid</v>
      </c>
      <c r="AS1831" t="str">
        <f t="shared" si="375"/>
        <v>Valid</v>
      </c>
    </row>
    <row r="1832" spans="1:45" x14ac:dyDescent="0.3">
      <c r="A1832">
        <v>6859</v>
      </c>
      <c r="B1832">
        <v>1987</v>
      </c>
      <c r="C1832" t="s">
        <v>29</v>
      </c>
      <c r="D1832" t="s">
        <v>30</v>
      </c>
      <c r="E1832">
        <v>29236</v>
      </c>
      <c r="F1832">
        <v>1</v>
      </c>
      <c r="G1832">
        <v>0</v>
      </c>
      <c r="H1832" s="1">
        <v>41555</v>
      </c>
      <c r="I1832">
        <v>30</v>
      </c>
      <c r="J1832">
        <v>37</v>
      </c>
      <c r="K1832">
        <v>4</v>
      </c>
      <c r="L1832">
        <v>24</v>
      </c>
      <c r="M1832">
        <v>16</v>
      </c>
      <c r="N1832">
        <v>9</v>
      </c>
      <c r="O1832">
        <v>9</v>
      </c>
      <c r="P1832">
        <v>2</v>
      </c>
      <c r="Q1832">
        <v>4</v>
      </c>
      <c r="R1832">
        <v>0</v>
      </c>
      <c r="S1832">
        <v>3</v>
      </c>
      <c r="T1832">
        <v>9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3</v>
      </c>
      <c r="AB1832">
        <v>11</v>
      </c>
      <c r="AC1832">
        <v>0</v>
      </c>
      <c r="AD1832" t="str">
        <f t="shared" si="364"/>
        <v>Ok</v>
      </c>
      <c r="AE1832" t="str">
        <f>IF(AND(Audit_Data[[#This Row],[Year_Birth]]&gt;=1900,Audit_Data[[#This Row],[Year_Birth]]&lt;=2010),"OK","Invalid")</f>
        <v>OK</v>
      </c>
      <c r="AF1832" t="str">
        <f t="shared" si="365"/>
        <v>Valid</v>
      </c>
      <c r="AG1832" t="str">
        <f t="shared" si="366"/>
        <v>Valid</v>
      </c>
      <c r="AH1832" t="str">
        <f t="shared" si="367"/>
        <v>Valid</v>
      </c>
      <c r="AI1832" t="str">
        <f t="shared" si="368"/>
        <v>Valid</v>
      </c>
      <c r="AJ1832" t="str">
        <f t="shared" si="369"/>
        <v>Valid</v>
      </c>
      <c r="AK1832" t="str">
        <f t="shared" si="376"/>
        <v xml:space="preserve">Valid </v>
      </c>
      <c r="AL1832" t="str">
        <f>IF(AND(Audit_Data[[#This Row],[Recency]]&gt;=0,Audit_Data[[#This Row],[Recency]]&lt;=100),"Valid","Invalid")</f>
        <v>Valid</v>
      </c>
      <c r="AM1832" t="str">
        <f t="shared" si="370"/>
        <v>Valid</v>
      </c>
      <c r="AN1832" t="str">
        <f t="shared" si="371"/>
        <v>Valid</v>
      </c>
      <c r="AO1832" t="str">
        <f t="shared" si="372"/>
        <v>Valid</v>
      </c>
      <c r="AP1832" t="str">
        <f t="shared" si="373"/>
        <v>Valid</v>
      </c>
      <c r="AQ1832" t="str">
        <f>IF(Audit_Data[[#This Row],[Z_CostContact]]=3,"Valid","Invalid")</f>
        <v>Valid</v>
      </c>
      <c r="AR1832" t="str">
        <f t="shared" si="374"/>
        <v>Valid</v>
      </c>
      <c r="AS1832" t="str">
        <f t="shared" si="375"/>
        <v>Valid</v>
      </c>
    </row>
    <row r="1833" spans="1:45" x14ac:dyDescent="0.3">
      <c r="A1833">
        <v>9860</v>
      </c>
      <c r="B1833">
        <v>1959</v>
      </c>
      <c r="C1833" t="s">
        <v>29</v>
      </c>
      <c r="D1833" t="s">
        <v>31</v>
      </c>
      <c r="E1833">
        <v>44911</v>
      </c>
      <c r="F1833">
        <v>0</v>
      </c>
      <c r="G1833">
        <v>1</v>
      </c>
      <c r="H1833" s="1">
        <v>41348</v>
      </c>
      <c r="I1833">
        <v>11</v>
      </c>
      <c r="J1833">
        <v>159</v>
      </c>
      <c r="K1833">
        <v>0</v>
      </c>
      <c r="L1833">
        <v>22</v>
      </c>
      <c r="M1833">
        <v>2</v>
      </c>
      <c r="N1833">
        <v>1</v>
      </c>
      <c r="O1833">
        <v>31</v>
      </c>
      <c r="P1833">
        <v>3</v>
      </c>
      <c r="Q1833">
        <v>4</v>
      </c>
      <c r="R1833">
        <v>1</v>
      </c>
      <c r="S1833">
        <v>4</v>
      </c>
      <c r="T1833">
        <v>7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3</v>
      </c>
      <c r="AB1833">
        <v>11</v>
      </c>
      <c r="AC1833">
        <v>0</v>
      </c>
      <c r="AD1833" t="str">
        <f t="shared" si="364"/>
        <v>Ok</v>
      </c>
      <c r="AE1833" t="str">
        <f>IF(AND(Audit_Data[[#This Row],[Year_Birth]]&gt;=1900,Audit_Data[[#This Row],[Year_Birth]]&lt;=2010),"OK","Invalid")</f>
        <v>OK</v>
      </c>
      <c r="AF1833" t="str">
        <f t="shared" si="365"/>
        <v>Valid</v>
      </c>
      <c r="AG1833" t="str">
        <f t="shared" si="366"/>
        <v>Valid</v>
      </c>
      <c r="AH1833" t="str">
        <f t="shared" si="367"/>
        <v>Valid</v>
      </c>
      <c r="AI1833" t="str">
        <f t="shared" si="368"/>
        <v>Valid</v>
      </c>
      <c r="AJ1833" t="str">
        <f t="shared" si="369"/>
        <v>Valid</v>
      </c>
      <c r="AK1833" t="str">
        <f t="shared" si="376"/>
        <v xml:space="preserve">Valid </v>
      </c>
      <c r="AL1833" t="str">
        <f>IF(AND(Audit_Data[[#This Row],[Recency]]&gt;=0,Audit_Data[[#This Row],[Recency]]&lt;=100),"Valid","Invalid")</f>
        <v>Valid</v>
      </c>
      <c r="AM1833" t="str">
        <f t="shared" si="370"/>
        <v>Valid</v>
      </c>
      <c r="AN1833" t="str">
        <f t="shared" si="371"/>
        <v>Valid</v>
      </c>
      <c r="AO1833" t="str">
        <f t="shared" si="372"/>
        <v>Valid</v>
      </c>
      <c r="AP1833" t="str">
        <f t="shared" si="373"/>
        <v>Valid</v>
      </c>
      <c r="AQ1833" t="str">
        <f>IF(Audit_Data[[#This Row],[Z_CostContact]]=3,"Valid","Invalid")</f>
        <v>Valid</v>
      </c>
      <c r="AR1833" t="str">
        <f t="shared" si="374"/>
        <v>Valid</v>
      </c>
      <c r="AS1833" t="str">
        <f t="shared" si="375"/>
        <v>Valid</v>
      </c>
    </row>
    <row r="1834" spans="1:45" x14ac:dyDescent="0.3">
      <c r="A1834">
        <v>7129</v>
      </c>
      <c r="B1834">
        <v>1962</v>
      </c>
      <c r="C1834" t="s">
        <v>32</v>
      </c>
      <c r="D1834" t="s">
        <v>33</v>
      </c>
      <c r="E1834">
        <v>54693</v>
      </c>
      <c r="F1834">
        <v>0</v>
      </c>
      <c r="G1834">
        <v>1</v>
      </c>
      <c r="H1834" s="1">
        <v>41322</v>
      </c>
      <c r="I1834">
        <v>72</v>
      </c>
      <c r="J1834">
        <v>686</v>
      </c>
      <c r="K1834">
        <v>17</v>
      </c>
      <c r="L1834">
        <v>142</v>
      </c>
      <c r="M1834">
        <v>23</v>
      </c>
      <c r="N1834">
        <v>26</v>
      </c>
      <c r="O1834">
        <v>35</v>
      </c>
      <c r="P1834">
        <v>8</v>
      </c>
      <c r="Q1834">
        <v>6</v>
      </c>
      <c r="R1834">
        <v>4</v>
      </c>
      <c r="S1834">
        <v>13</v>
      </c>
      <c r="T1834">
        <v>6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3</v>
      </c>
      <c r="AB1834">
        <v>11</v>
      </c>
      <c r="AC1834">
        <v>0</v>
      </c>
      <c r="AD1834" t="str">
        <f t="shared" si="364"/>
        <v>Ok</v>
      </c>
      <c r="AE1834" t="str">
        <f>IF(AND(Audit_Data[[#This Row],[Year_Birth]]&gt;=1900,Audit_Data[[#This Row],[Year_Birth]]&lt;=2010),"OK","Invalid")</f>
        <v>OK</v>
      </c>
      <c r="AF1834" t="str">
        <f t="shared" si="365"/>
        <v>Valid</v>
      </c>
      <c r="AG1834" t="str">
        <f t="shared" si="366"/>
        <v>Valid</v>
      </c>
      <c r="AH1834" t="str">
        <f t="shared" si="367"/>
        <v>Valid</v>
      </c>
      <c r="AI1834" t="str">
        <f t="shared" si="368"/>
        <v>Valid</v>
      </c>
      <c r="AJ1834" t="str">
        <f t="shared" si="369"/>
        <v>Valid</v>
      </c>
      <c r="AK1834" t="str">
        <f t="shared" si="376"/>
        <v xml:space="preserve">Valid </v>
      </c>
      <c r="AL1834" t="str">
        <f>IF(AND(Audit_Data[[#This Row],[Recency]]&gt;=0,Audit_Data[[#This Row],[Recency]]&lt;=100),"Valid","Invalid")</f>
        <v>Valid</v>
      </c>
      <c r="AM1834" t="str">
        <f t="shared" si="370"/>
        <v>Valid</v>
      </c>
      <c r="AN1834" t="str">
        <f t="shared" si="371"/>
        <v>Valid</v>
      </c>
      <c r="AO1834" t="str">
        <f t="shared" si="372"/>
        <v>Valid</v>
      </c>
      <c r="AP1834" t="str">
        <f t="shared" si="373"/>
        <v>Valid</v>
      </c>
      <c r="AQ1834" t="str">
        <f>IF(Audit_Data[[#This Row],[Z_CostContact]]=3,"Valid","Invalid")</f>
        <v>Valid</v>
      </c>
      <c r="AR1834" t="str">
        <f t="shared" si="374"/>
        <v>Valid</v>
      </c>
      <c r="AS1834" t="str">
        <f t="shared" si="375"/>
        <v>Valid</v>
      </c>
    </row>
    <row r="1835" spans="1:45" x14ac:dyDescent="0.3">
      <c r="A1835">
        <v>5866</v>
      </c>
      <c r="B1835">
        <v>1974</v>
      </c>
      <c r="C1835" t="s">
        <v>29</v>
      </c>
      <c r="D1835" t="s">
        <v>31</v>
      </c>
      <c r="E1835">
        <v>48186</v>
      </c>
      <c r="F1835">
        <v>1</v>
      </c>
      <c r="G1835">
        <v>0</v>
      </c>
      <c r="H1835" s="1">
        <v>41718</v>
      </c>
      <c r="I1835">
        <v>39</v>
      </c>
      <c r="J1835">
        <v>97</v>
      </c>
      <c r="K1835">
        <v>3</v>
      </c>
      <c r="L1835">
        <v>66</v>
      </c>
      <c r="M1835">
        <v>12</v>
      </c>
      <c r="N1835">
        <v>7</v>
      </c>
      <c r="O1835">
        <v>34</v>
      </c>
      <c r="P1835">
        <v>3</v>
      </c>
      <c r="Q1835">
        <v>4</v>
      </c>
      <c r="R1835">
        <v>1</v>
      </c>
      <c r="S1835">
        <v>4</v>
      </c>
      <c r="T1835">
        <v>7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3</v>
      </c>
      <c r="AB1835">
        <v>11</v>
      </c>
      <c r="AC1835">
        <v>0</v>
      </c>
      <c r="AD1835" t="str">
        <f t="shared" si="364"/>
        <v>Ok</v>
      </c>
      <c r="AE1835" t="str">
        <f>IF(AND(Audit_Data[[#This Row],[Year_Birth]]&gt;=1900,Audit_Data[[#This Row],[Year_Birth]]&lt;=2010),"OK","Invalid")</f>
        <v>OK</v>
      </c>
      <c r="AF1835" t="str">
        <f t="shared" si="365"/>
        <v>Valid</v>
      </c>
      <c r="AG1835" t="str">
        <f t="shared" si="366"/>
        <v>Valid</v>
      </c>
      <c r="AH1835" t="str">
        <f t="shared" si="367"/>
        <v>Valid</v>
      </c>
      <c r="AI1835" t="str">
        <f t="shared" si="368"/>
        <v>Valid</v>
      </c>
      <c r="AJ1835" t="str">
        <f t="shared" si="369"/>
        <v>Valid</v>
      </c>
      <c r="AK1835" t="str">
        <f t="shared" si="376"/>
        <v xml:space="preserve">Valid </v>
      </c>
      <c r="AL1835" t="str">
        <f>IF(AND(Audit_Data[[#This Row],[Recency]]&gt;=0,Audit_Data[[#This Row],[Recency]]&lt;=100),"Valid","Invalid")</f>
        <v>Valid</v>
      </c>
      <c r="AM1835" t="str">
        <f t="shared" si="370"/>
        <v>Valid</v>
      </c>
      <c r="AN1835" t="str">
        <f t="shared" si="371"/>
        <v>Valid</v>
      </c>
      <c r="AO1835" t="str">
        <f t="shared" si="372"/>
        <v>Valid</v>
      </c>
      <c r="AP1835" t="str">
        <f t="shared" si="373"/>
        <v>Valid</v>
      </c>
      <c r="AQ1835" t="str">
        <f>IF(Audit_Data[[#This Row],[Z_CostContact]]=3,"Valid","Invalid")</f>
        <v>Valid</v>
      </c>
      <c r="AR1835" t="str">
        <f t="shared" si="374"/>
        <v>Valid</v>
      </c>
      <c r="AS1835" t="str">
        <f t="shared" si="375"/>
        <v>Valid</v>
      </c>
    </row>
    <row r="1836" spans="1:45" x14ac:dyDescent="0.3">
      <c r="A1836">
        <v>10521</v>
      </c>
      <c r="B1836">
        <v>1977</v>
      </c>
      <c r="C1836" t="s">
        <v>29</v>
      </c>
      <c r="D1836" t="s">
        <v>33</v>
      </c>
      <c r="E1836">
        <v>54809</v>
      </c>
      <c r="F1836">
        <v>1</v>
      </c>
      <c r="G1836">
        <v>1</v>
      </c>
      <c r="H1836" s="1">
        <v>41528</v>
      </c>
      <c r="I1836">
        <v>0</v>
      </c>
      <c r="J1836">
        <v>63</v>
      </c>
      <c r="K1836">
        <v>6</v>
      </c>
      <c r="L1836">
        <v>57</v>
      </c>
      <c r="M1836">
        <v>13</v>
      </c>
      <c r="N1836">
        <v>13</v>
      </c>
      <c r="O1836">
        <v>22</v>
      </c>
      <c r="P1836">
        <v>4</v>
      </c>
      <c r="Q1836">
        <v>2</v>
      </c>
      <c r="R1836">
        <v>1</v>
      </c>
      <c r="S1836">
        <v>5</v>
      </c>
      <c r="T1836">
        <v>4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3</v>
      </c>
      <c r="AB1836">
        <v>11</v>
      </c>
      <c r="AC1836">
        <v>1</v>
      </c>
      <c r="AD1836" t="str">
        <f t="shared" si="364"/>
        <v>Ok</v>
      </c>
      <c r="AE1836" t="str">
        <f>IF(AND(Audit_Data[[#This Row],[Year_Birth]]&gt;=1900,Audit_Data[[#This Row],[Year_Birth]]&lt;=2010),"OK","Invalid")</f>
        <v>OK</v>
      </c>
      <c r="AF1836" t="str">
        <f t="shared" si="365"/>
        <v>Valid</v>
      </c>
      <c r="AG1836" t="str">
        <f t="shared" si="366"/>
        <v>Valid</v>
      </c>
      <c r="AH1836" t="str">
        <f t="shared" si="367"/>
        <v>Valid</v>
      </c>
      <c r="AI1836" t="str">
        <f t="shared" si="368"/>
        <v>Valid</v>
      </c>
      <c r="AJ1836" t="str">
        <f t="shared" si="369"/>
        <v>Valid</v>
      </c>
      <c r="AK1836" t="str">
        <f t="shared" si="376"/>
        <v xml:space="preserve">Valid </v>
      </c>
      <c r="AL1836" t="str">
        <f>IF(AND(Audit_Data[[#This Row],[Recency]]&gt;=0,Audit_Data[[#This Row],[Recency]]&lt;=100),"Valid","Invalid")</f>
        <v>Valid</v>
      </c>
      <c r="AM1836" t="str">
        <f t="shared" si="370"/>
        <v>Valid</v>
      </c>
      <c r="AN1836" t="str">
        <f t="shared" si="371"/>
        <v>Valid</v>
      </c>
      <c r="AO1836" t="str">
        <f t="shared" si="372"/>
        <v>Valid</v>
      </c>
      <c r="AP1836" t="str">
        <f t="shared" si="373"/>
        <v>Valid</v>
      </c>
      <c r="AQ1836" t="str">
        <f>IF(Audit_Data[[#This Row],[Z_CostContact]]=3,"Valid","Invalid")</f>
        <v>Valid</v>
      </c>
      <c r="AR1836" t="str">
        <f t="shared" si="374"/>
        <v>Valid</v>
      </c>
      <c r="AS1836" t="str">
        <f t="shared" si="375"/>
        <v>Valid</v>
      </c>
    </row>
    <row r="1837" spans="1:45" x14ac:dyDescent="0.3">
      <c r="A1837">
        <v>7393</v>
      </c>
      <c r="B1837">
        <v>1978</v>
      </c>
      <c r="C1837" t="s">
        <v>29</v>
      </c>
      <c r="D1837" t="s">
        <v>31</v>
      </c>
      <c r="E1837">
        <v>41580</v>
      </c>
      <c r="F1837">
        <v>1</v>
      </c>
      <c r="G1837">
        <v>1</v>
      </c>
      <c r="H1837" s="1">
        <v>41253</v>
      </c>
      <c r="I1837">
        <v>15</v>
      </c>
      <c r="J1837">
        <v>56</v>
      </c>
      <c r="K1837">
        <v>5</v>
      </c>
      <c r="L1837">
        <v>24</v>
      </c>
      <c r="M1837">
        <v>4</v>
      </c>
      <c r="N1837">
        <v>0</v>
      </c>
      <c r="O1837">
        <v>3</v>
      </c>
      <c r="P1837">
        <v>3</v>
      </c>
      <c r="Q1837">
        <v>2</v>
      </c>
      <c r="R1837">
        <v>1</v>
      </c>
      <c r="S1837">
        <v>3</v>
      </c>
      <c r="T1837">
        <v>5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3</v>
      </c>
      <c r="AB1837">
        <v>11</v>
      </c>
      <c r="AC1837">
        <v>0</v>
      </c>
      <c r="AD1837" t="str">
        <f t="shared" si="364"/>
        <v>Ok</v>
      </c>
      <c r="AE1837" t="str">
        <f>IF(AND(Audit_Data[[#This Row],[Year_Birth]]&gt;=1900,Audit_Data[[#This Row],[Year_Birth]]&lt;=2010),"OK","Invalid")</f>
        <v>OK</v>
      </c>
      <c r="AF1837" t="str">
        <f t="shared" si="365"/>
        <v>Valid</v>
      </c>
      <c r="AG1837" t="str">
        <f t="shared" si="366"/>
        <v>Valid</v>
      </c>
      <c r="AH1837" t="str">
        <f t="shared" si="367"/>
        <v>Valid</v>
      </c>
      <c r="AI1837" t="str">
        <f t="shared" si="368"/>
        <v>Valid</v>
      </c>
      <c r="AJ1837" t="str">
        <f t="shared" si="369"/>
        <v>Valid</v>
      </c>
      <c r="AK1837" t="str">
        <f t="shared" si="376"/>
        <v xml:space="preserve">Valid </v>
      </c>
      <c r="AL1837" t="str">
        <f>IF(AND(Audit_Data[[#This Row],[Recency]]&gt;=0,Audit_Data[[#This Row],[Recency]]&lt;=100),"Valid","Invalid")</f>
        <v>Valid</v>
      </c>
      <c r="AM1837" t="str">
        <f t="shared" si="370"/>
        <v>Valid</v>
      </c>
      <c r="AN1837" t="str">
        <f t="shared" si="371"/>
        <v>Valid</v>
      </c>
      <c r="AO1837" t="str">
        <f t="shared" si="372"/>
        <v>Valid</v>
      </c>
      <c r="AP1837" t="str">
        <f t="shared" si="373"/>
        <v>Valid</v>
      </c>
      <c r="AQ1837" t="str">
        <f>IF(Audit_Data[[#This Row],[Z_CostContact]]=3,"Valid","Invalid")</f>
        <v>Valid</v>
      </c>
      <c r="AR1837" t="str">
        <f t="shared" si="374"/>
        <v>Valid</v>
      </c>
      <c r="AS1837" t="str">
        <f t="shared" si="375"/>
        <v>Valid</v>
      </c>
    </row>
    <row r="1838" spans="1:45" x14ac:dyDescent="0.3">
      <c r="A1838">
        <v>7849</v>
      </c>
      <c r="B1838">
        <v>1970</v>
      </c>
      <c r="C1838" t="s">
        <v>32</v>
      </c>
      <c r="D1838" t="s">
        <v>33</v>
      </c>
      <c r="E1838">
        <v>80336</v>
      </c>
      <c r="F1838">
        <v>0</v>
      </c>
      <c r="G1838">
        <v>0</v>
      </c>
      <c r="H1838" s="1">
        <v>41526</v>
      </c>
      <c r="I1838">
        <v>12</v>
      </c>
      <c r="J1838">
        <v>209</v>
      </c>
      <c r="K1838">
        <v>19</v>
      </c>
      <c r="L1838">
        <v>456</v>
      </c>
      <c r="M1838">
        <v>160</v>
      </c>
      <c r="N1838">
        <v>142</v>
      </c>
      <c r="O1838">
        <v>66</v>
      </c>
      <c r="P1838">
        <v>1</v>
      </c>
      <c r="Q1838">
        <v>2</v>
      </c>
      <c r="R1838">
        <v>9</v>
      </c>
      <c r="S1838">
        <v>13</v>
      </c>
      <c r="T1838">
        <v>1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3</v>
      </c>
      <c r="AB1838">
        <v>11</v>
      </c>
      <c r="AC1838">
        <v>0</v>
      </c>
      <c r="AD1838" t="str">
        <f t="shared" si="364"/>
        <v>Ok</v>
      </c>
      <c r="AE1838" t="str">
        <f>IF(AND(Audit_Data[[#This Row],[Year_Birth]]&gt;=1900,Audit_Data[[#This Row],[Year_Birth]]&lt;=2010),"OK","Invalid")</f>
        <v>OK</v>
      </c>
      <c r="AF1838" t="str">
        <f t="shared" si="365"/>
        <v>Valid</v>
      </c>
      <c r="AG1838" t="str">
        <f t="shared" si="366"/>
        <v>Valid</v>
      </c>
      <c r="AH1838" t="str">
        <f t="shared" si="367"/>
        <v>Valid</v>
      </c>
      <c r="AI1838" t="str">
        <f t="shared" si="368"/>
        <v>Valid</v>
      </c>
      <c r="AJ1838" t="str">
        <f t="shared" si="369"/>
        <v>Valid</v>
      </c>
      <c r="AK1838" t="str">
        <f t="shared" si="376"/>
        <v xml:space="preserve">Valid </v>
      </c>
      <c r="AL1838" t="str">
        <f>IF(AND(Audit_Data[[#This Row],[Recency]]&gt;=0,Audit_Data[[#This Row],[Recency]]&lt;=100),"Valid","Invalid")</f>
        <v>Valid</v>
      </c>
      <c r="AM1838" t="str">
        <f t="shared" si="370"/>
        <v>Valid</v>
      </c>
      <c r="AN1838" t="str">
        <f t="shared" si="371"/>
        <v>Valid</v>
      </c>
      <c r="AO1838" t="str">
        <f t="shared" si="372"/>
        <v>Valid</v>
      </c>
      <c r="AP1838" t="str">
        <f t="shared" si="373"/>
        <v>Valid</v>
      </c>
      <c r="AQ1838" t="str">
        <f>IF(Audit_Data[[#This Row],[Z_CostContact]]=3,"Valid","Invalid")</f>
        <v>Valid</v>
      </c>
      <c r="AR1838" t="str">
        <f t="shared" si="374"/>
        <v>Valid</v>
      </c>
      <c r="AS1838" t="str">
        <f t="shared" si="375"/>
        <v>Valid</v>
      </c>
    </row>
    <row r="1839" spans="1:45" x14ac:dyDescent="0.3">
      <c r="A1839">
        <v>332</v>
      </c>
      <c r="B1839">
        <v>1957</v>
      </c>
      <c r="C1839" t="s">
        <v>29</v>
      </c>
      <c r="D1839" t="s">
        <v>33</v>
      </c>
      <c r="E1839">
        <v>47743</v>
      </c>
      <c r="F1839">
        <v>0</v>
      </c>
      <c r="G1839">
        <v>1</v>
      </c>
      <c r="H1839" s="1">
        <v>41355</v>
      </c>
      <c r="I1839">
        <v>56</v>
      </c>
      <c r="J1839">
        <v>198</v>
      </c>
      <c r="K1839">
        <v>2</v>
      </c>
      <c r="L1839">
        <v>43</v>
      </c>
      <c r="M1839">
        <v>0</v>
      </c>
      <c r="N1839">
        <v>12</v>
      </c>
      <c r="O1839">
        <v>20</v>
      </c>
      <c r="P1839">
        <v>3</v>
      </c>
      <c r="Q1839">
        <v>4</v>
      </c>
      <c r="R1839">
        <v>1</v>
      </c>
      <c r="S1839">
        <v>6</v>
      </c>
      <c r="T1839">
        <v>6</v>
      </c>
      <c r="U1839">
        <v>0</v>
      </c>
      <c r="V1839">
        <v>1</v>
      </c>
      <c r="W1839">
        <v>0</v>
      </c>
      <c r="X1839">
        <v>0</v>
      </c>
      <c r="Y1839">
        <v>0</v>
      </c>
      <c r="Z1839">
        <v>0</v>
      </c>
      <c r="AA1839">
        <v>3</v>
      </c>
      <c r="AB1839">
        <v>11</v>
      </c>
      <c r="AC1839">
        <v>0</v>
      </c>
      <c r="AD1839" t="str">
        <f t="shared" si="364"/>
        <v>Ok</v>
      </c>
      <c r="AE1839" t="str">
        <f>IF(AND(Audit_Data[[#This Row],[Year_Birth]]&gt;=1900,Audit_Data[[#This Row],[Year_Birth]]&lt;=2010),"OK","Invalid")</f>
        <v>OK</v>
      </c>
      <c r="AF1839" t="str">
        <f t="shared" si="365"/>
        <v>Valid</v>
      </c>
      <c r="AG1839" t="str">
        <f t="shared" si="366"/>
        <v>Valid</v>
      </c>
      <c r="AH1839" t="str">
        <f t="shared" si="367"/>
        <v>Valid</v>
      </c>
      <c r="AI1839" t="str">
        <f t="shared" si="368"/>
        <v>Valid</v>
      </c>
      <c r="AJ1839" t="str">
        <f t="shared" si="369"/>
        <v>Valid</v>
      </c>
      <c r="AK1839" t="str">
        <f t="shared" si="376"/>
        <v xml:space="preserve">Valid </v>
      </c>
      <c r="AL1839" t="str">
        <f>IF(AND(Audit_Data[[#This Row],[Recency]]&gt;=0,Audit_Data[[#This Row],[Recency]]&lt;=100),"Valid","Invalid")</f>
        <v>Valid</v>
      </c>
      <c r="AM1839" t="str">
        <f t="shared" si="370"/>
        <v>Valid</v>
      </c>
      <c r="AN1839" t="str">
        <f t="shared" si="371"/>
        <v>Valid</v>
      </c>
      <c r="AO1839" t="str">
        <f t="shared" si="372"/>
        <v>Valid</v>
      </c>
      <c r="AP1839" t="str">
        <f t="shared" si="373"/>
        <v>Valid</v>
      </c>
      <c r="AQ1839" t="str">
        <f>IF(Audit_Data[[#This Row],[Z_CostContact]]=3,"Valid","Invalid")</f>
        <v>Valid</v>
      </c>
      <c r="AR1839" t="str">
        <f t="shared" si="374"/>
        <v>Valid</v>
      </c>
      <c r="AS1839" t="str">
        <f t="shared" si="375"/>
        <v>Valid</v>
      </c>
    </row>
    <row r="1840" spans="1:45" x14ac:dyDescent="0.3">
      <c r="A1840">
        <v>9847</v>
      </c>
      <c r="B1840">
        <v>1955</v>
      </c>
      <c r="C1840" t="s">
        <v>37</v>
      </c>
      <c r="D1840" t="s">
        <v>33</v>
      </c>
      <c r="E1840">
        <v>62972</v>
      </c>
      <c r="F1840">
        <v>0</v>
      </c>
      <c r="G1840">
        <v>1</v>
      </c>
      <c r="H1840" s="1">
        <v>41124</v>
      </c>
      <c r="I1840">
        <v>39</v>
      </c>
      <c r="J1840">
        <v>313</v>
      </c>
      <c r="K1840">
        <v>15</v>
      </c>
      <c r="L1840">
        <v>47</v>
      </c>
      <c r="M1840">
        <v>20</v>
      </c>
      <c r="N1840">
        <v>0</v>
      </c>
      <c r="O1840">
        <v>192</v>
      </c>
      <c r="P1840">
        <v>2</v>
      </c>
      <c r="Q1840">
        <v>7</v>
      </c>
      <c r="R1840">
        <v>4</v>
      </c>
      <c r="S1840">
        <v>3</v>
      </c>
      <c r="T1840">
        <v>6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3</v>
      </c>
      <c r="AB1840">
        <v>11</v>
      </c>
      <c r="AC1840">
        <v>0</v>
      </c>
      <c r="AD1840" t="str">
        <f t="shared" si="364"/>
        <v>Ok</v>
      </c>
      <c r="AE1840" t="str">
        <f>IF(AND(Audit_Data[[#This Row],[Year_Birth]]&gt;=1900,Audit_Data[[#This Row],[Year_Birth]]&lt;=2010),"OK","Invalid")</f>
        <v>OK</v>
      </c>
      <c r="AF1840" t="str">
        <f t="shared" si="365"/>
        <v>Valid</v>
      </c>
      <c r="AG1840" t="str">
        <f t="shared" si="366"/>
        <v>Valid</v>
      </c>
      <c r="AH1840" t="str">
        <f t="shared" si="367"/>
        <v>Valid</v>
      </c>
      <c r="AI1840" t="str">
        <f t="shared" si="368"/>
        <v>Valid</v>
      </c>
      <c r="AJ1840" t="str">
        <f t="shared" si="369"/>
        <v>Valid</v>
      </c>
      <c r="AK1840" t="str">
        <f t="shared" si="376"/>
        <v xml:space="preserve">Valid </v>
      </c>
      <c r="AL1840" t="str">
        <f>IF(AND(Audit_Data[[#This Row],[Recency]]&gt;=0,Audit_Data[[#This Row],[Recency]]&lt;=100),"Valid","Invalid")</f>
        <v>Valid</v>
      </c>
      <c r="AM1840" t="str">
        <f t="shared" si="370"/>
        <v>Valid</v>
      </c>
      <c r="AN1840" t="str">
        <f t="shared" si="371"/>
        <v>Valid</v>
      </c>
      <c r="AO1840" t="str">
        <f t="shared" si="372"/>
        <v>Valid</v>
      </c>
      <c r="AP1840" t="str">
        <f t="shared" si="373"/>
        <v>Valid</v>
      </c>
      <c r="AQ1840" t="str">
        <f>IF(Audit_Data[[#This Row],[Z_CostContact]]=3,"Valid","Invalid")</f>
        <v>Valid</v>
      </c>
      <c r="AR1840" t="str">
        <f t="shared" si="374"/>
        <v>Valid</v>
      </c>
      <c r="AS1840" t="str">
        <f t="shared" si="375"/>
        <v>Valid</v>
      </c>
    </row>
    <row r="1841" spans="1:45" x14ac:dyDescent="0.3">
      <c r="A1841">
        <v>531</v>
      </c>
      <c r="B1841">
        <v>1954</v>
      </c>
      <c r="C1841" t="s">
        <v>32</v>
      </c>
      <c r="D1841" t="s">
        <v>35</v>
      </c>
      <c r="E1841">
        <v>57333</v>
      </c>
      <c r="F1841">
        <v>0</v>
      </c>
      <c r="G1841">
        <v>1</v>
      </c>
      <c r="H1841" s="1">
        <v>41174</v>
      </c>
      <c r="I1841">
        <v>55</v>
      </c>
      <c r="J1841">
        <v>941</v>
      </c>
      <c r="K1841">
        <v>14</v>
      </c>
      <c r="L1841">
        <v>397</v>
      </c>
      <c r="M1841">
        <v>76</v>
      </c>
      <c r="N1841">
        <v>58</v>
      </c>
      <c r="O1841">
        <v>176</v>
      </c>
      <c r="P1841">
        <v>11</v>
      </c>
      <c r="Q1841">
        <v>8</v>
      </c>
      <c r="R1841">
        <v>5</v>
      </c>
      <c r="S1841">
        <v>9</v>
      </c>
      <c r="T1841">
        <v>6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3</v>
      </c>
      <c r="AB1841">
        <v>11</v>
      </c>
      <c r="AC1841">
        <v>1</v>
      </c>
      <c r="AD1841" t="str">
        <f t="shared" si="364"/>
        <v>Ok</v>
      </c>
      <c r="AE1841" t="str">
        <f>IF(AND(Audit_Data[[#This Row],[Year_Birth]]&gt;=1900,Audit_Data[[#This Row],[Year_Birth]]&lt;=2010),"OK","Invalid")</f>
        <v>OK</v>
      </c>
      <c r="AF1841" t="str">
        <f t="shared" si="365"/>
        <v>Valid</v>
      </c>
      <c r="AG1841" t="str">
        <f t="shared" si="366"/>
        <v>Valid</v>
      </c>
      <c r="AH1841" t="str">
        <f t="shared" si="367"/>
        <v>Valid</v>
      </c>
      <c r="AI1841" t="str">
        <f t="shared" si="368"/>
        <v>Valid</v>
      </c>
      <c r="AJ1841" t="str">
        <f t="shared" si="369"/>
        <v>Valid</v>
      </c>
      <c r="AK1841" t="str">
        <f t="shared" si="376"/>
        <v xml:space="preserve">Valid </v>
      </c>
      <c r="AL1841" t="str">
        <f>IF(AND(Audit_Data[[#This Row],[Recency]]&gt;=0,Audit_Data[[#This Row],[Recency]]&lt;=100),"Valid","Invalid")</f>
        <v>Valid</v>
      </c>
      <c r="AM1841" t="str">
        <f t="shared" si="370"/>
        <v>Valid</v>
      </c>
      <c r="AN1841" t="str">
        <f t="shared" si="371"/>
        <v>Valid</v>
      </c>
      <c r="AO1841" t="str">
        <f t="shared" si="372"/>
        <v>Valid</v>
      </c>
      <c r="AP1841" t="str">
        <f t="shared" si="373"/>
        <v>Valid</v>
      </c>
      <c r="AQ1841" t="str">
        <f>IF(Audit_Data[[#This Row],[Z_CostContact]]=3,"Valid","Invalid")</f>
        <v>Valid</v>
      </c>
      <c r="AR1841" t="str">
        <f t="shared" si="374"/>
        <v>Valid</v>
      </c>
      <c r="AS1841" t="str">
        <f t="shared" si="375"/>
        <v>Valid</v>
      </c>
    </row>
    <row r="1842" spans="1:45" x14ac:dyDescent="0.3">
      <c r="A1842">
        <v>9576</v>
      </c>
      <c r="B1842">
        <v>1982</v>
      </c>
      <c r="C1842" t="s">
        <v>32</v>
      </c>
      <c r="D1842" t="s">
        <v>31</v>
      </c>
      <c r="E1842">
        <v>32313</v>
      </c>
      <c r="F1842">
        <v>1</v>
      </c>
      <c r="G1842">
        <v>0</v>
      </c>
      <c r="H1842" s="1">
        <v>41316</v>
      </c>
      <c r="I1842">
        <v>60</v>
      </c>
      <c r="J1842">
        <v>86</v>
      </c>
      <c r="K1842">
        <v>4</v>
      </c>
      <c r="L1842">
        <v>56</v>
      </c>
      <c r="M1842">
        <v>2</v>
      </c>
      <c r="N1842">
        <v>4</v>
      </c>
      <c r="O1842">
        <v>7</v>
      </c>
      <c r="P1842">
        <v>3</v>
      </c>
      <c r="Q1842">
        <v>4</v>
      </c>
      <c r="R1842">
        <v>0</v>
      </c>
      <c r="S1842">
        <v>4</v>
      </c>
      <c r="T1842">
        <v>9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3</v>
      </c>
      <c r="AB1842">
        <v>11</v>
      </c>
      <c r="AC1842">
        <v>0</v>
      </c>
      <c r="AD1842" t="str">
        <f t="shared" si="364"/>
        <v>Ok</v>
      </c>
      <c r="AE1842" t="str">
        <f>IF(AND(Audit_Data[[#This Row],[Year_Birth]]&gt;=1900,Audit_Data[[#This Row],[Year_Birth]]&lt;=2010),"OK","Invalid")</f>
        <v>OK</v>
      </c>
      <c r="AF1842" t="str">
        <f t="shared" si="365"/>
        <v>Valid</v>
      </c>
      <c r="AG1842" t="str">
        <f t="shared" si="366"/>
        <v>Valid</v>
      </c>
      <c r="AH1842" t="str">
        <f t="shared" si="367"/>
        <v>Valid</v>
      </c>
      <c r="AI1842" t="str">
        <f t="shared" si="368"/>
        <v>Valid</v>
      </c>
      <c r="AJ1842" t="str">
        <f t="shared" si="369"/>
        <v>Valid</v>
      </c>
      <c r="AK1842" t="str">
        <f t="shared" si="376"/>
        <v xml:space="preserve">Valid </v>
      </c>
      <c r="AL1842" t="str">
        <f>IF(AND(Audit_Data[[#This Row],[Recency]]&gt;=0,Audit_Data[[#This Row],[Recency]]&lt;=100),"Valid","Invalid")</f>
        <v>Valid</v>
      </c>
      <c r="AM1842" t="str">
        <f t="shared" si="370"/>
        <v>Valid</v>
      </c>
      <c r="AN1842" t="str">
        <f t="shared" si="371"/>
        <v>Valid</v>
      </c>
      <c r="AO1842" t="str">
        <f t="shared" si="372"/>
        <v>Valid</v>
      </c>
      <c r="AP1842" t="str">
        <f t="shared" si="373"/>
        <v>Valid</v>
      </c>
      <c r="AQ1842" t="str">
        <f>IF(Audit_Data[[#This Row],[Z_CostContact]]=3,"Valid","Invalid")</f>
        <v>Valid</v>
      </c>
      <c r="AR1842" t="str">
        <f t="shared" si="374"/>
        <v>Valid</v>
      </c>
      <c r="AS1842" t="str">
        <f t="shared" si="375"/>
        <v>Valid</v>
      </c>
    </row>
    <row r="1843" spans="1:45" x14ac:dyDescent="0.3">
      <c r="A1843">
        <v>6906</v>
      </c>
      <c r="B1843">
        <v>1953</v>
      </c>
      <c r="C1843" t="s">
        <v>34</v>
      </c>
      <c r="D1843" t="s">
        <v>38</v>
      </c>
      <c r="E1843">
        <v>84953</v>
      </c>
      <c r="F1843">
        <v>0</v>
      </c>
      <c r="G1843">
        <v>0</v>
      </c>
      <c r="H1843" s="1">
        <v>41428</v>
      </c>
      <c r="I1843">
        <v>73</v>
      </c>
      <c r="J1843">
        <v>167</v>
      </c>
      <c r="K1843">
        <v>48</v>
      </c>
      <c r="L1843">
        <v>602</v>
      </c>
      <c r="M1843">
        <v>63</v>
      </c>
      <c r="N1843">
        <v>72</v>
      </c>
      <c r="O1843">
        <v>72</v>
      </c>
      <c r="P1843">
        <v>1</v>
      </c>
      <c r="Q1843">
        <v>3</v>
      </c>
      <c r="R1843">
        <v>10</v>
      </c>
      <c r="S1843">
        <v>4</v>
      </c>
      <c r="T1843">
        <v>2</v>
      </c>
      <c r="U1843">
        <v>0</v>
      </c>
      <c r="V1843">
        <v>1</v>
      </c>
      <c r="W1843">
        <v>1</v>
      </c>
      <c r="X1843">
        <v>1</v>
      </c>
      <c r="Y1843">
        <v>0</v>
      </c>
      <c r="Z1843">
        <v>0</v>
      </c>
      <c r="AA1843">
        <v>3</v>
      </c>
      <c r="AB1843">
        <v>11</v>
      </c>
      <c r="AC1843">
        <v>1</v>
      </c>
      <c r="AD1843" t="str">
        <f t="shared" si="364"/>
        <v>Ok</v>
      </c>
      <c r="AE1843" t="str">
        <f>IF(AND(Audit_Data[[#This Row],[Year_Birth]]&gt;=1900,Audit_Data[[#This Row],[Year_Birth]]&lt;=2010),"OK","Invalid")</f>
        <v>OK</v>
      </c>
      <c r="AF1843" t="str">
        <f t="shared" si="365"/>
        <v>Valid</v>
      </c>
      <c r="AG1843" t="str">
        <f t="shared" si="366"/>
        <v>Valid</v>
      </c>
      <c r="AH1843" t="str">
        <f t="shared" si="367"/>
        <v>Valid</v>
      </c>
      <c r="AI1843" t="str">
        <f t="shared" si="368"/>
        <v>Valid</v>
      </c>
      <c r="AJ1843" t="str">
        <f t="shared" si="369"/>
        <v>Valid</v>
      </c>
      <c r="AK1843" t="str">
        <f t="shared" si="376"/>
        <v xml:space="preserve">Valid </v>
      </c>
      <c r="AL1843" t="str">
        <f>IF(AND(Audit_Data[[#This Row],[Recency]]&gt;=0,Audit_Data[[#This Row],[Recency]]&lt;=100),"Valid","Invalid")</f>
        <v>Valid</v>
      </c>
      <c r="AM1843" t="str">
        <f t="shared" si="370"/>
        <v>Valid</v>
      </c>
      <c r="AN1843" t="str">
        <f t="shared" si="371"/>
        <v>Valid</v>
      </c>
      <c r="AO1843" t="str">
        <f t="shared" si="372"/>
        <v>Valid</v>
      </c>
      <c r="AP1843" t="str">
        <f t="shared" si="373"/>
        <v>Valid</v>
      </c>
      <c r="AQ1843" t="str">
        <f>IF(Audit_Data[[#This Row],[Z_CostContact]]=3,"Valid","Invalid")</f>
        <v>Valid</v>
      </c>
      <c r="AR1843" t="str">
        <f t="shared" si="374"/>
        <v>Valid</v>
      </c>
      <c r="AS1843" t="str">
        <f t="shared" si="375"/>
        <v>Valid</v>
      </c>
    </row>
    <row r="1844" spans="1:45" x14ac:dyDescent="0.3">
      <c r="A1844">
        <v>7419</v>
      </c>
      <c r="B1844">
        <v>1968</v>
      </c>
      <c r="C1844" t="s">
        <v>34</v>
      </c>
      <c r="D1844" t="s">
        <v>35</v>
      </c>
      <c r="E1844">
        <v>27071</v>
      </c>
      <c r="F1844">
        <v>1</v>
      </c>
      <c r="G1844">
        <v>0</v>
      </c>
      <c r="H1844" s="1">
        <v>41752</v>
      </c>
      <c r="I1844">
        <v>90</v>
      </c>
      <c r="J1844">
        <v>8</v>
      </c>
      <c r="K1844">
        <v>3</v>
      </c>
      <c r="L1844">
        <v>19</v>
      </c>
      <c r="M1844">
        <v>0</v>
      </c>
      <c r="N1844">
        <v>2</v>
      </c>
      <c r="O1844">
        <v>3</v>
      </c>
      <c r="P1844">
        <v>2</v>
      </c>
      <c r="Q1844">
        <v>2</v>
      </c>
      <c r="R1844">
        <v>0</v>
      </c>
      <c r="S1844">
        <v>3</v>
      </c>
      <c r="T1844">
        <v>6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3</v>
      </c>
      <c r="AB1844">
        <v>11</v>
      </c>
      <c r="AC1844">
        <v>0</v>
      </c>
      <c r="AD1844" t="str">
        <f t="shared" si="364"/>
        <v>Ok</v>
      </c>
      <c r="AE1844" t="str">
        <f>IF(AND(Audit_Data[[#This Row],[Year_Birth]]&gt;=1900,Audit_Data[[#This Row],[Year_Birth]]&lt;=2010),"OK","Invalid")</f>
        <v>OK</v>
      </c>
      <c r="AF1844" t="str">
        <f t="shared" si="365"/>
        <v>Valid</v>
      </c>
      <c r="AG1844" t="str">
        <f t="shared" si="366"/>
        <v>Valid</v>
      </c>
      <c r="AH1844" t="str">
        <f t="shared" si="367"/>
        <v>Valid</v>
      </c>
      <c r="AI1844" t="str">
        <f t="shared" si="368"/>
        <v>Valid</v>
      </c>
      <c r="AJ1844" t="str">
        <f t="shared" si="369"/>
        <v>Valid</v>
      </c>
      <c r="AK1844" t="str">
        <f t="shared" si="376"/>
        <v xml:space="preserve">Valid </v>
      </c>
      <c r="AL1844" t="str">
        <f>IF(AND(Audit_Data[[#This Row],[Recency]]&gt;=0,Audit_Data[[#This Row],[Recency]]&lt;=100),"Valid","Invalid")</f>
        <v>Valid</v>
      </c>
      <c r="AM1844" t="str">
        <f t="shared" si="370"/>
        <v>Valid</v>
      </c>
      <c r="AN1844" t="str">
        <f t="shared" si="371"/>
        <v>Valid</v>
      </c>
      <c r="AO1844" t="str">
        <f t="shared" si="372"/>
        <v>Valid</v>
      </c>
      <c r="AP1844" t="str">
        <f t="shared" si="373"/>
        <v>Valid</v>
      </c>
      <c r="AQ1844" t="str">
        <f>IF(Audit_Data[[#This Row],[Z_CostContact]]=3,"Valid","Invalid")</f>
        <v>Valid</v>
      </c>
      <c r="AR1844" t="str">
        <f t="shared" si="374"/>
        <v>Valid</v>
      </c>
      <c r="AS1844" t="str">
        <f t="shared" si="375"/>
        <v>Valid</v>
      </c>
    </row>
    <row r="1845" spans="1:45" x14ac:dyDescent="0.3">
      <c r="A1845">
        <v>3170</v>
      </c>
      <c r="B1845">
        <v>1957</v>
      </c>
      <c r="C1845" t="s">
        <v>34</v>
      </c>
      <c r="D1845" t="s">
        <v>31</v>
      </c>
      <c r="E1845">
        <v>68148</v>
      </c>
      <c r="F1845">
        <v>0</v>
      </c>
      <c r="G1845">
        <v>0</v>
      </c>
      <c r="H1845" s="1">
        <v>41517</v>
      </c>
      <c r="I1845">
        <v>86</v>
      </c>
      <c r="J1845">
        <v>389</v>
      </c>
      <c r="K1845">
        <v>66</v>
      </c>
      <c r="L1845">
        <v>408</v>
      </c>
      <c r="M1845">
        <v>37</v>
      </c>
      <c r="N1845">
        <v>57</v>
      </c>
      <c r="O1845">
        <v>85</v>
      </c>
      <c r="P1845">
        <v>1</v>
      </c>
      <c r="Q1845">
        <v>4</v>
      </c>
      <c r="R1845">
        <v>4</v>
      </c>
      <c r="S1845">
        <v>6</v>
      </c>
      <c r="T1845">
        <v>2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3</v>
      </c>
      <c r="AB1845">
        <v>11</v>
      </c>
      <c r="AC1845">
        <v>0</v>
      </c>
      <c r="AD1845" t="str">
        <f t="shared" si="364"/>
        <v>Ok</v>
      </c>
      <c r="AE1845" t="str">
        <f>IF(AND(Audit_Data[[#This Row],[Year_Birth]]&gt;=1900,Audit_Data[[#This Row],[Year_Birth]]&lt;=2010),"OK","Invalid")</f>
        <v>OK</v>
      </c>
      <c r="AF1845" t="str">
        <f t="shared" si="365"/>
        <v>Valid</v>
      </c>
      <c r="AG1845" t="str">
        <f t="shared" si="366"/>
        <v>Valid</v>
      </c>
      <c r="AH1845" t="str">
        <f t="shared" si="367"/>
        <v>Valid</v>
      </c>
      <c r="AI1845" t="str">
        <f t="shared" si="368"/>
        <v>Valid</v>
      </c>
      <c r="AJ1845" t="str">
        <f t="shared" si="369"/>
        <v>Valid</v>
      </c>
      <c r="AK1845" t="str">
        <f t="shared" si="376"/>
        <v xml:space="preserve">Valid </v>
      </c>
      <c r="AL1845" t="str">
        <f>IF(AND(Audit_Data[[#This Row],[Recency]]&gt;=0,Audit_Data[[#This Row],[Recency]]&lt;=100),"Valid","Invalid")</f>
        <v>Valid</v>
      </c>
      <c r="AM1845" t="str">
        <f t="shared" si="370"/>
        <v>Valid</v>
      </c>
      <c r="AN1845" t="str">
        <f t="shared" si="371"/>
        <v>Valid</v>
      </c>
      <c r="AO1845" t="str">
        <f t="shared" si="372"/>
        <v>Valid</v>
      </c>
      <c r="AP1845" t="str">
        <f t="shared" si="373"/>
        <v>Valid</v>
      </c>
      <c r="AQ1845" t="str">
        <f>IF(Audit_Data[[#This Row],[Z_CostContact]]=3,"Valid","Invalid")</f>
        <v>Valid</v>
      </c>
      <c r="AR1845" t="str">
        <f t="shared" si="374"/>
        <v>Valid</v>
      </c>
      <c r="AS1845" t="str">
        <f t="shared" si="375"/>
        <v>Valid</v>
      </c>
    </row>
    <row r="1846" spans="1:45" x14ac:dyDescent="0.3">
      <c r="A1846">
        <v>8527</v>
      </c>
      <c r="B1846">
        <v>1965</v>
      </c>
      <c r="C1846" t="s">
        <v>34</v>
      </c>
      <c r="D1846" t="s">
        <v>31</v>
      </c>
      <c r="E1846">
        <v>65735</v>
      </c>
      <c r="F1846">
        <v>1</v>
      </c>
      <c r="G1846">
        <v>1</v>
      </c>
      <c r="H1846" s="1">
        <v>41615</v>
      </c>
      <c r="I1846">
        <v>37</v>
      </c>
      <c r="J1846">
        <v>239</v>
      </c>
      <c r="K1846">
        <v>7</v>
      </c>
      <c r="L1846">
        <v>119</v>
      </c>
      <c r="M1846">
        <v>4</v>
      </c>
      <c r="N1846">
        <v>15</v>
      </c>
      <c r="O1846">
        <v>11</v>
      </c>
      <c r="P1846">
        <v>5</v>
      </c>
      <c r="Q1846">
        <v>6</v>
      </c>
      <c r="R1846">
        <v>2</v>
      </c>
      <c r="S1846">
        <v>6</v>
      </c>
      <c r="T1846">
        <v>7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3</v>
      </c>
      <c r="AB1846">
        <v>11</v>
      </c>
      <c r="AC1846">
        <v>0</v>
      </c>
      <c r="AD1846" t="str">
        <f t="shared" si="364"/>
        <v>Ok</v>
      </c>
      <c r="AE1846" t="str">
        <f>IF(AND(Audit_Data[[#This Row],[Year_Birth]]&gt;=1900,Audit_Data[[#This Row],[Year_Birth]]&lt;=2010),"OK","Invalid")</f>
        <v>OK</v>
      </c>
      <c r="AF1846" t="str">
        <f t="shared" si="365"/>
        <v>Valid</v>
      </c>
      <c r="AG1846" t="str">
        <f t="shared" si="366"/>
        <v>Valid</v>
      </c>
      <c r="AH1846" t="str">
        <f t="shared" si="367"/>
        <v>Valid</v>
      </c>
      <c r="AI1846" t="str">
        <f t="shared" si="368"/>
        <v>Valid</v>
      </c>
      <c r="AJ1846" t="str">
        <f t="shared" si="369"/>
        <v>Valid</v>
      </c>
      <c r="AK1846" t="str">
        <f t="shared" si="376"/>
        <v xml:space="preserve">Valid </v>
      </c>
      <c r="AL1846" t="str">
        <f>IF(AND(Audit_Data[[#This Row],[Recency]]&gt;=0,Audit_Data[[#This Row],[Recency]]&lt;=100),"Valid","Invalid")</f>
        <v>Valid</v>
      </c>
      <c r="AM1846" t="str">
        <f t="shared" si="370"/>
        <v>Valid</v>
      </c>
      <c r="AN1846" t="str">
        <f t="shared" si="371"/>
        <v>Valid</v>
      </c>
      <c r="AO1846" t="str">
        <f t="shared" si="372"/>
        <v>Valid</v>
      </c>
      <c r="AP1846" t="str">
        <f t="shared" si="373"/>
        <v>Valid</v>
      </c>
      <c r="AQ1846" t="str">
        <f>IF(Audit_Data[[#This Row],[Z_CostContact]]=3,"Valid","Invalid")</f>
        <v>Valid</v>
      </c>
      <c r="AR1846" t="str">
        <f t="shared" si="374"/>
        <v>Valid</v>
      </c>
      <c r="AS1846" t="str">
        <f t="shared" si="375"/>
        <v>Valid</v>
      </c>
    </row>
    <row r="1847" spans="1:45" x14ac:dyDescent="0.3">
      <c r="A1847">
        <v>7872</v>
      </c>
      <c r="B1847">
        <v>1975</v>
      </c>
      <c r="C1847" t="s">
        <v>32</v>
      </c>
      <c r="D1847" t="s">
        <v>33</v>
      </c>
      <c r="E1847">
        <v>86836</v>
      </c>
      <c r="F1847">
        <v>0</v>
      </c>
      <c r="G1847">
        <v>0</v>
      </c>
      <c r="H1847" s="1">
        <v>41164</v>
      </c>
      <c r="I1847">
        <v>7</v>
      </c>
      <c r="J1847">
        <v>179</v>
      </c>
      <c r="K1847">
        <v>21</v>
      </c>
      <c r="L1847">
        <v>273</v>
      </c>
      <c r="M1847">
        <v>0</v>
      </c>
      <c r="N1847">
        <v>21</v>
      </c>
      <c r="O1847">
        <v>63</v>
      </c>
      <c r="P1847">
        <v>1</v>
      </c>
      <c r="Q1847">
        <v>6</v>
      </c>
      <c r="R1847">
        <v>10</v>
      </c>
      <c r="S1847">
        <v>6</v>
      </c>
      <c r="T1847">
        <v>5</v>
      </c>
      <c r="U1847">
        <v>1</v>
      </c>
      <c r="V1847">
        <v>0</v>
      </c>
      <c r="W1847">
        <v>1</v>
      </c>
      <c r="X1847">
        <v>1</v>
      </c>
      <c r="Y1847">
        <v>0</v>
      </c>
      <c r="Z1847">
        <v>0</v>
      </c>
      <c r="AA1847">
        <v>3</v>
      </c>
      <c r="AB1847">
        <v>11</v>
      </c>
      <c r="AC1847">
        <v>1</v>
      </c>
      <c r="AD1847" t="str">
        <f t="shared" si="364"/>
        <v>Ok</v>
      </c>
      <c r="AE1847" t="str">
        <f>IF(AND(Audit_Data[[#This Row],[Year_Birth]]&gt;=1900,Audit_Data[[#This Row],[Year_Birth]]&lt;=2010),"OK","Invalid")</f>
        <v>OK</v>
      </c>
      <c r="AF1847" t="str">
        <f t="shared" si="365"/>
        <v>Valid</v>
      </c>
      <c r="AG1847" t="str">
        <f t="shared" si="366"/>
        <v>Valid</v>
      </c>
      <c r="AH1847" t="str">
        <f t="shared" si="367"/>
        <v>Valid</v>
      </c>
      <c r="AI1847" t="str">
        <f t="shared" si="368"/>
        <v>Valid</v>
      </c>
      <c r="AJ1847" t="str">
        <f t="shared" si="369"/>
        <v>Valid</v>
      </c>
      <c r="AK1847" t="str">
        <f t="shared" si="376"/>
        <v xml:space="preserve">Valid </v>
      </c>
      <c r="AL1847" t="str">
        <f>IF(AND(Audit_Data[[#This Row],[Recency]]&gt;=0,Audit_Data[[#This Row],[Recency]]&lt;=100),"Valid","Invalid")</f>
        <v>Valid</v>
      </c>
      <c r="AM1847" t="str">
        <f t="shared" si="370"/>
        <v>Valid</v>
      </c>
      <c r="AN1847" t="str">
        <f t="shared" si="371"/>
        <v>Valid</v>
      </c>
      <c r="AO1847" t="str">
        <f t="shared" si="372"/>
        <v>Valid</v>
      </c>
      <c r="AP1847" t="str">
        <f t="shared" si="373"/>
        <v>Valid</v>
      </c>
      <c r="AQ1847" t="str">
        <f>IF(Audit_Data[[#This Row],[Z_CostContact]]=3,"Valid","Invalid")</f>
        <v>Valid</v>
      </c>
      <c r="AR1847" t="str">
        <f t="shared" si="374"/>
        <v>Valid</v>
      </c>
      <c r="AS1847" t="str">
        <f t="shared" si="375"/>
        <v>Valid</v>
      </c>
    </row>
    <row r="1848" spans="1:45" x14ac:dyDescent="0.3">
      <c r="A1848">
        <v>9931</v>
      </c>
      <c r="B1848">
        <v>1963</v>
      </c>
      <c r="C1848" t="s">
        <v>32</v>
      </c>
      <c r="D1848" t="s">
        <v>33</v>
      </c>
      <c r="E1848">
        <v>4023</v>
      </c>
      <c r="F1848">
        <v>1</v>
      </c>
      <c r="G1848">
        <v>1</v>
      </c>
      <c r="H1848" s="1">
        <v>41813</v>
      </c>
      <c r="I1848">
        <v>29</v>
      </c>
      <c r="J1848">
        <v>5</v>
      </c>
      <c r="K1848">
        <v>0</v>
      </c>
      <c r="L1848">
        <v>1</v>
      </c>
      <c r="M1848">
        <v>1</v>
      </c>
      <c r="N1848">
        <v>1</v>
      </c>
      <c r="O1848">
        <v>1</v>
      </c>
      <c r="P1848">
        <v>15</v>
      </c>
      <c r="Q1848">
        <v>0</v>
      </c>
      <c r="R1848">
        <v>0</v>
      </c>
      <c r="S1848">
        <v>0</v>
      </c>
      <c r="T1848">
        <v>19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3</v>
      </c>
      <c r="AB1848">
        <v>11</v>
      </c>
      <c r="AC1848">
        <v>0</v>
      </c>
      <c r="AD1848" t="str">
        <f t="shared" si="364"/>
        <v>Ok</v>
      </c>
      <c r="AE1848" t="str">
        <f>IF(AND(Audit_Data[[#This Row],[Year_Birth]]&gt;=1900,Audit_Data[[#This Row],[Year_Birth]]&lt;=2010),"OK","Invalid")</f>
        <v>OK</v>
      </c>
      <c r="AF1848" t="str">
        <f t="shared" si="365"/>
        <v>Valid</v>
      </c>
      <c r="AG1848" t="str">
        <f t="shared" si="366"/>
        <v>Valid</v>
      </c>
      <c r="AH1848" t="str">
        <f t="shared" si="367"/>
        <v>Valid</v>
      </c>
      <c r="AI1848" t="str">
        <f t="shared" si="368"/>
        <v>Valid</v>
      </c>
      <c r="AJ1848" t="str">
        <f t="shared" si="369"/>
        <v>Valid</v>
      </c>
      <c r="AK1848" t="str">
        <f t="shared" si="376"/>
        <v xml:space="preserve">Valid </v>
      </c>
      <c r="AL1848" t="str">
        <f>IF(AND(Audit_Data[[#This Row],[Recency]]&gt;=0,Audit_Data[[#This Row],[Recency]]&lt;=100),"Valid","Invalid")</f>
        <v>Valid</v>
      </c>
      <c r="AM1848" t="str">
        <f t="shared" si="370"/>
        <v>Valid</v>
      </c>
      <c r="AN1848" t="str">
        <f t="shared" si="371"/>
        <v>Valid</v>
      </c>
      <c r="AO1848" t="str">
        <f t="shared" si="372"/>
        <v>Valid</v>
      </c>
      <c r="AP1848" t="str">
        <f t="shared" si="373"/>
        <v>Valid</v>
      </c>
      <c r="AQ1848" t="str">
        <f>IF(Audit_Data[[#This Row],[Z_CostContact]]=3,"Valid","Invalid")</f>
        <v>Valid</v>
      </c>
      <c r="AR1848" t="str">
        <f t="shared" si="374"/>
        <v>Valid</v>
      </c>
      <c r="AS1848" t="str">
        <f t="shared" si="375"/>
        <v>Valid</v>
      </c>
    </row>
    <row r="1849" spans="1:45" x14ac:dyDescent="0.3">
      <c r="A1849">
        <v>10595</v>
      </c>
      <c r="B1849">
        <v>1990</v>
      </c>
      <c r="C1849" t="s">
        <v>29</v>
      </c>
      <c r="D1849" t="s">
        <v>33</v>
      </c>
      <c r="E1849">
        <v>30093</v>
      </c>
      <c r="F1849">
        <v>0</v>
      </c>
      <c r="G1849">
        <v>0</v>
      </c>
      <c r="H1849" s="1">
        <v>41463</v>
      </c>
      <c r="I1849">
        <v>19</v>
      </c>
      <c r="J1849">
        <v>2</v>
      </c>
      <c r="K1849">
        <v>6</v>
      </c>
      <c r="L1849">
        <v>28</v>
      </c>
      <c r="M1849">
        <v>13</v>
      </c>
      <c r="N1849">
        <v>4</v>
      </c>
      <c r="O1849">
        <v>16</v>
      </c>
      <c r="P1849">
        <v>1</v>
      </c>
      <c r="Q1849">
        <v>2</v>
      </c>
      <c r="R1849">
        <v>0</v>
      </c>
      <c r="S1849">
        <v>3</v>
      </c>
      <c r="T1849">
        <v>7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3</v>
      </c>
      <c r="AB1849">
        <v>11</v>
      </c>
      <c r="AC1849">
        <v>0</v>
      </c>
      <c r="AD1849" t="str">
        <f t="shared" si="364"/>
        <v>Ok</v>
      </c>
      <c r="AE1849" t="str">
        <f>IF(AND(Audit_Data[[#This Row],[Year_Birth]]&gt;=1900,Audit_Data[[#This Row],[Year_Birth]]&lt;=2010),"OK","Invalid")</f>
        <v>OK</v>
      </c>
      <c r="AF1849" t="str">
        <f t="shared" si="365"/>
        <v>Valid</v>
      </c>
      <c r="AG1849" t="str">
        <f t="shared" si="366"/>
        <v>Valid</v>
      </c>
      <c r="AH1849" t="str">
        <f t="shared" si="367"/>
        <v>Valid</v>
      </c>
      <c r="AI1849" t="str">
        <f t="shared" si="368"/>
        <v>Valid</v>
      </c>
      <c r="AJ1849" t="str">
        <f t="shared" si="369"/>
        <v>Valid</v>
      </c>
      <c r="AK1849" t="str">
        <f t="shared" si="376"/>
        <v xml:space="preserve">Valid </v>
      </c>
      <c r="AL1849" t="str">
        <f>IF(AND(Audit_Data[[#This Row],[Recency]]&gt;=0,Audit_Data[[#This Row],[Recency]]&lt;=100),"Valid","Invalid")</f>
        <v>Valid</v>
      </c>
      <c r="AM1849" t="str">
        <f t="shared" si="370"/>
        <v>Valid</v>
      </c>
      <c r="AN1849" t="str">
        <f t="shared" si="371"/>
        <v>Valid</v>
      </c>
      <c r="AO1849" t="str">
        <f t="shared" si="372"/>
        <v>Valid</v>
      </c>
      <c r="AP1849" t="str">
        <f t="shared" si="373"/>
        <v>Valid</v>
      </c>
      <c r="AQ1849" t="str">
        <f>IF(Audit_Data[[#This Row],[Z_CostContact]]=3,"Valid","Invalid")</f>
        <v>Valid</v>
      </c>
      <c r="AR1849" t="str">
        <f t="shared" si="374"/>
        <v>Valid</v>
      </c>
      <c r="AS1849" t="str">
        <f t="shared" si="375"/>
        <v>Valid</v>
      </c>
    </row>
    <row r="1850" spans="1:45" x14ac:dyDescent="0.3">
      <c r="A1850">
        <v>4609</v>
      </c>
      <c r="B1850">
        <v>1966</v>
      </c>
      <c r="C1850" t="s">
        <v>32</v>
      </c>
      <c r="D1850" t="s">
        <v>33</v>
      </c>
      <c r="E1850">
        <v>57705</v>
      </c>
      <c r="F1850">
        <v>0</v>
      </c>
      <c r="G1850">
        <v>1</v>
      </c>
      <c r="H1850" s="1">
        <v>41650</v>
      </c>
      <c r="I1850">
        <v>14</v>
      </c>
      <c r="J1850">
        <v>383</v>
      </c>
      <c r="K1850">
        <v>0</v>
      </c>
      <c r="L1850">
        <v>53</v>
      </c>
      <c r="M1850">
        <v>6</v>
      </c>
      <c r="N1850">
        <v>4</v>
      </c>
      <c r="O1850">
        <v>40</v>
      </c>
      <c r="P1850">
        <v>3</v>
      </c>
      <c r="Q1850">
        <v>8</v>
      </c>
      <c r="R1850">
        <v>1</v>
      </c>
      <c r="S1850">
        <v>6</v>
      </c>
      <c r="T1850">
        <v>6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3</v>
      </c>
      <c r="AB1850">
        <v>11</v>
      </c>
      <c r="AC1850">
        <v>0</v>
      </c>
      <c r="AD1850" t="str">
        <f t="shared" si="364"/>
        <v>Ok</v>
      </c>
      <c r="AE1850" t="str">
        <f>IF(AND(Audit_Data[[#This Row],[Year_Birth]]&gt;=1900,Audit_Data[[#This Row],[Year_Birth]]&lt;=2010),"OK","Invalid")</f>
        <v>OK</v>
      </c>
      <c r="AF1850" t="str">
        <f t="shared" si="365"/>
        <v>Valid</v>
      </c>
      <c r="AG1850" t="str">
        <f t="shared" si="366"/>
        <v>Valid</v>
      </c>
      <c r="AH1850" t="str">
        <f t="shared" si="367"/>
        <v>Valid</v>
      </c>
      <c r="AI1850" t="str">
        <f t="shared" si="368"/>
        <v>Valid</v>
      </c>
      <c r="AJ1850" t="str">
        <f t="shared" si="369"/>
        <v>Valid</v>
      </c>
      <c r="AK1850" t="str">
        <f t="shared" si="376"/>
        <v xml:space="preserve">Valid </v>
      </c>
      <c r="AL1850" t="str">
        <f>IF(AND(Audit_Data[[#This Row],[Recency]]&gt;=0,Audit_Data[[#This Row],[Recency]]&lt;=100),"Valid","Invalid")</f>
        <v>Valid</v>
      </c>
      <c r="AM1850" t="str">
        <f t="shared" si="370"/>
        <v>Valid</v>
      </c>
      <c r="AN1850" t="str">
        <f t="shared" si="371"/>
        <v>Valid</v>
      </c>
      <c r="AO1850" t="str">
        <f t="shared" si="372"/>
        <v>Valid</v>
      </c>
      <c r="AP1850" t="str">
        <f t="shared" si="373"/>
        <v>Valid</v>
      </c>
      <c r="AQ1850" t="str">
        <f>IF(Audit_Data[[#This Row],[Z_CostContact]]=3,"Valid","Invalid")</f>
        <v>Valid</v>
      </c>
      <c r="AR1850" t="str">
        <f t="shared" si="374"/>
        <v>Valid</v>
      </c>
      <c r="AS1850" t="str">
        <f t="shared" si="375"/>
        <v>Valid</v>
      </c>
    </row>
    <row r="1851" spans="1:45" x14ac:dyDescent="0.3">
      <c r="A1851">
        <v>5010</v>
      </c>
      <c r="B1851">
        <v>1988</v>
      </c>
      <c r="C1851" t="s">
        <v>29</v>
      </c>
      <c r="D1851" t="s">
        <v>30</v>
      </c>
      <c r="E1851">
        <v>25008</v>
      </c>
      <c r="F1851">
        <v>1</v>
      </c>
      <c r="G1851">
        <v>0</v>
      </c>
      <c r="H1851" s="1">
        <v>41672</v>
      </c>
      <c r="I1851">
        <v>72</v>
      </c>
      <c r="J1851">
        <v>2</v>
      </c>
      <c r="K1851">
        <v>8</v>
      </c>
      <c r="L1851">
        <v>8</v>
      </c>
      <c r="M1851">
        <v>6</v>
      </c>
      <c r="N1851">
        <v>1</v>
      </c>
      <c r="O1851">
        <v>9</v>
      </c>
      <c r="P1851">
        <v>2</v>
      </c>
      <c r="Q1851">
        <v>1</v>
      </c>
      <c r="R1851">
        <v>0</v>
      </c>
      <c r="S1851">
        <v>3</v>
      </c>
      <c r="T1851">
        <v>8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3</v>
      </c>
      <c r="AB1851">
        <v>11</v>
      </c>
      <c r="AC1851">
        <v>0</v>
      </c>
      <c r="AD1851" t="str">
        <f t="shared" si="364"/>
        <v>Ok</v>
      </c>
      <c r="AE1851" t="str">
        <f>IF(AND(Audit_Data[[#This Row],[Year_Birth]]&gt;=1900,Audit_Data[[#This Row],[Year_Birth]]&lt;=2010),"OK","Invalid")</f>
        <v>OK</v>
      </c>
      <c r="AF1851" t="str">
        <f t="shared" si="365"/>
        <v>Valid</v>
      </c>
      <c r="AG1851" t="str">
        <f t="shared" si="366"/>
        <v>Valid</v>
      </c>
      <c r="AH1851" t="str">
        <f t="shared" si="367"/>
        <v>Valid</v>
      </c>
      <c r="AI1851" t="str">
        <f t="shared" si="368"/>
        <v>Valid</v>
      </c>
      <c r="AJ1851" t="str">
        <f t="shared" si="369"/>
        <v>Valid</v>
      </c>
      <c r="AK1851" t="str">
        <f t="shared" si="376"/>
        <v xml:space="preserve">Valid </v>
      </c>
      <c r="AL1851" t="str">
        <f>IF(AND(Audit_Data[[#This Row],[Recency]]&gt;=0,Audit_Data[[#This Row],[Recency]]&lt;=100),"Valid","Invalid")</f>
        <v>Valid</v>
      </c>
      <c r="AM1851" t="str">
        <f t="shared" si="370"/>
        <v>Valid</v>
      </c>
      <c r="AN1851" t="str">
        <f t="shared" si="371"/>
        <v>Valid</v>
      </c>
      <c r="AO1851" t="str">
        <f t="shared" si="372"/>
        <v>Valid</v>
      </c>
      <c r="AP1851" t="str">
        <f t="shared" si="373"/>
        <v>Valid</v>
      </c>
      <c r="AQ1851" t="str">
        <f>IF(Audit_Data[[#This Row],[Z_CostContact]]=3,"Valid","Invalid")</f>
        <v>Valid</v>
      </c>
      <c r="AR1851" t="str">
        <f t="shared" si="374"/>
        <v>Valid</v>
      </c>
      <c r="AS1851" t="str">
        <f t="shared" si="375"/>
        <v>Valid</v>
      </c>
    </row>
    <row r="1852" spans="1:45" x14ac:dyDescent="0.3">
      <c r="A1852">
        <v>4427</v>
      </c>
      <c r="B1852">
        <v>1995</v>
      </c>
      <c r="C1852" t="s">
        <v>37</v>
      </c>
      <c r="D1852" t="s">
        <v>30</v>
      </c>
      <c r="E1852">
        <v>83257</v>
      </c>
      <c r="F1852">
        <v>0</v>
      </c>
      <c r="G1852">
        <v>0</v>
      </c>
      <c r="H1852" s="1">
        <v>41170</v>
      </c>
      <c r="I1852">
        <v>56</v>
      </c>
      <c r="J1852">
        <v>536</v>
      </c>
      <c r="K1852">
        <v>27</v>
      </c>
      <c r="L1852">
        <v>590</v>
      </c>
      <c r="M1852">
        <v>38</v>
      </c>
      <c r="N1852">
        <v>107</v>
      </c>
      <c r="O1852">
        <v>67</v>
      </c>
      <c r="P1852">
        <v>1</v>
      </c>
      <c r="Q1852">
        <v>5</v>
      </c>
      <c r="R1852">
        <v>10</v>
      </c>
      <c r="S1852">
        <v>12</v>
      </c>
      <c r="T1852">
        <v>6</v>
      </c>
      <c r="U1852">
        <v>1</v>
      </c>
      <c r="V1852">
        <v>0</v>
      </c>
      <c r="W1852">
        <v>1</v>
      </c>
      <c r="X1852">
        <v>0</v>
      </c>
      <c r="Y1852">
        <v>0</v>
      </c>
      <c r="Z1852">
        <v>1</v>
      </c>
      <c r="AA1852">
        <v>3</v>
      </c>
      <c r="AB1852">
        <v>11</v>
      </c>
      <c r="AC1852">
        <v>1</v>
      </c>
      <c r="AD1852" t="str">
        <f t="shared" si="364"/>
        <v>Ok</v>
      </c>
      <c r="AE1852" t="str">
        <f>IF(AND(Audit_Data[[#This Row],[Year_Birth]]&gt;=1900,Audit_Data[[#This Row],[Year_Birth]]&lt;=2010),"OK","Invalid")</f>
        <v>OK</v>
      </c>
      <c r="AF1852" t="str">
        <f t="shared" si="365"/>
        <v>Valid</v>
      </c>
      <c r="AG1852" t="str">
        <f t="shared" si="366"/>
        <v>Valid</v>
      </c>
      <c r="AH1852" t="str">
        <f t="shared" si="367"/>
        <v>Valid</v>
      </c>
      <c r="AI1852" t="str">
        <f t="shared" si="368"/>
        <v>Valid</v>
      </c>
      <c r="AJ1852" t="str">
        <f t="shared" si="369"/>
        <v>Valid</v>
      </c>
      <c r="AK1852" t="str">
        <f t="shared" si="376"/>
        <v xml:space="preserve">Valid </v>
      </c>
      <c r="AL1852" t="str">
        <f>IF(AND(Audit_Data[[#This Row],[Recency]]&gt;=0,Audit_Data[[#This Row],[Recency]]&lt;=100),"Valid","Invalid")</f>
        <v>Valid</v>
      </c>
      <c r="AM1852" t="str">
        <f t="shared" si="370"/>
        <v>Valid</v>
      </c>
      <c r="AN1852" t="str">
        <f t="shared" si="371"/>
        <v>Valid</v>
      </c>
      <c r="AO1852" t="str">
        <f t="shared" si="372"/>
        <v>Valid</v>
      </c>
      <c r="AP1852" t="str">
        <f t="shared" si="373"/>
        <v>Valid</v>
      </c>
      <c r="AQ1852" t="str">
        <f>IF(Audit_Data[[#This Row],[Z_CostContact]]=3,"Valid","Invalid")</f>
        <v>Valid</v>
      </c>
      <c r="AR1852" t="str">
        <f t="shared" si="374"/>
        <v>Valid</v>
      </c>
      <c r="AS1852" t="str">
        <f t="shared" si="375"/>
        <v>Valid</v>
      </c>
    </row>
    <row r="1853" spans="1:45" x14ac:dyDescent="0.3">
      <c r="A1853">
        <v>11148</v>
      </c>
      <c r="B1853">
        <v>1975</v>
      </c>
      <c r="C1853" t="s">
        <v>29</v>
      </c>
      <c r="D1853" t="s">
        <v>31</v>
      </c>
      <c r="E1853">
        <v>22280</v>
      </c>
      <c r="F1853">
        <v>1</v>
      </c>
      <c r="G1853">
        <v>0</v>
      </c>
      <c r="H1853" s="1">
        <v>41413</v>
      </c>
      <c r="I1853">
        <v>85</v>
      </c>
      <c r="J1853">
        <v>2</v>
      </c>
      <c r="K1853">
        <v>1</v>
      </c>
      <c r="L1853">
        <v>4</v>
      </c>
      <c r="M1853">
        <v>3</v>
      </c>
      <c r="N1853">
        <v>1</v>
      </c>
      <c r="O1853">
        <v>2</v>
      </c>
      <c r="P1853">
        <v>1</v>
      </c>
      <c r="Q1853">
        <v>1</v>
      </c>
      <c r="R1853">
        <v>0</v>
      </c>
      <c r="S1853">
        <v>2</v>
      </c>
      <c r="T1853">
        <v>8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3</v>
      </c>
      <c r="AB1853">
        <v>11</v>
      </c>
      <c r="AC1853">
        <v>0</v>
      </c>
      <c r="AD1853" t="str">
        <f t="shared" si="364"/>
        <v>Ok</v>
      </c>
      <c r="AE1853" t="str">
        <f>IF(AND(Audit_Data[[#This Row],[Year_Birth]]&gt;=1900,Audit_Data[[#This Row],[Year_Birth]]&lt;=2010),"OK","Invalid")</f>
        <v>OK</v>
      </c>
      <c r="AF1853" t="str">
        <f t="shared" si="365"/>
        <v>Valid</v>
      </c>
      <c r="AG1853" t="str">
        <f t="shared" si="366"/>
        <v>Valid</v>
      </c>
      <c r="AH1853" t="str">
        <f t="shared" si="367"/>
        <v>Valid</v>
      </c>
      <c r="AI1853" t="str">
        <f t="shared" si="368"/>
        <v>Valid</v>
      </c>
      <c r="AJ1853" t="str">
        <f t="shared" si="369"/>
        <v>Valid</v>
      </c>
      <c r="AK1853" t="str">
        <f t="shared" si="376"/>
        <v xml:space="preserve">Valid </v>
      </c>
      <c r="AL1853" t="str">
        <f>IF(AND(Audit_Data[[#This Row],[Recency]]&gt;=0,Audit_Data[[#This Row],[Recency]]&lt;=100),"Valid","Invalid")</f>
        <v>Valid</v>
      </c>
      <c r="AM1853" t="str">
        <f t="shared" si="370"/>
        <v>Valid</v>
      </c>
      <c r="AN1853" t="str">
        <f t="shared" si="371"/>
        <v>Valid</v>
      </c>
      <c r="AO1853" t="str">
        <f t="shared" si="372"/>
        <v>Valid</v>
      </c>
      <c r="AP1853" t="str">
        <f t="shared" si="373"/>
        <v>Valid</v>
      </c>
      <c r="AQ1853" t="str">
        <f>IF(Audit_Data[[#This Row],[Z_CostContact]]=3,"Valid","Invalid")</f>
        <v>Valid</v>
      </c>
      <c r="AR1853" t="str">
        <f t="shared" si="374"/>
        <v>Valid</v>
      </c>
      <c r="AS1853" t="str">
        <f t="shared" si="375"/>
        <v>Valid</v>
      </c>
    </row>
    <row r="1854" spans="1:45" x14ac:dyDescent="0.3">
      <c r="A1854">
        <v>1168</v>
      </c>
      <c r="B1854">
        <v>1978</v>
      </c>
      <c r="C1854" t="s">
        <v>32</v>
      </c>
      <c r="D1854" t="s">
        <v>33</v>
      </c>
      <c r="E1854">
        <v>72159</v>
      </c>
      <c r="F1854">
        <v>0</v>
      </c>
      <c r="G1854">
        <v>0</v>
      </c>
      <c r="H1854" s="1">
        <v>41211</v>
      </c>
      <c r="I1854">
        <v>62</v>
      </c>
      <c r="J1854">
        <v>322</v>
      </c>
      <c r="K1854">
        <v>53</v>
      </c>
      <c r="L1854">
        <v>899</v>
      </c>
      <c r="M1854">
        <v>34</v>
      </c>
      <c r="N1854">
        <v>40</v>
      </c>
      <c r="O1854">
        <v>53</v>
      </c>
      <c r="P1854">
        <v>1</v>
      </c>
      <c r="Q1854">
        <v>4</v>
      </c>
      <c r="R1854">
        <v>6</v>
      </c>
      <c r="S1854">
        <v>10</v>
      </c>
      <c r="T1854">
        <v>2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3</v>
      </c>
      <c r="AB1854">
        <v>11</v>
      </c>
      <c r="AC1854">
        <v>0</v>
      </c>
      <c r="AD1854" t="str">
        <f t="shared" si="364"/>
        <v>Ok</v>
      </c>
      <c r="AE1854" t="str">
        <f>IF(AND(Audit_Data[[#This Row],[Year_Birth]]&gt;=1900,Audit_Data[[#This Row],[Year_Birth]]&lt;=2010),"OK","Invalid")</f>
        <v>OK</v>
      </c>
      <c r="AF1854" t="str">
        <f t="shared" si="365"/>
        <v>Valid</v>
      </c>
      <c r="AG1854" t="str">
        <f t="shared" si="366"/>
        <v>Valid</v>
      </c>
      <c r="AH1854" t="str">
        <f t="shared" si="367"/>
        <v>Valid</v>
      </c>
      <c r="AI1854" t="str">
        <f t="shared" si="368"/>
        <v>Valid</v>
      </c>
      <c r="AJ1854" t="str">
        <f t="shared" si="369"/>
        <v>Valid</v>
      </c>
      <c r="AK1854" t="str">
        <f t="shared" si="376"/>
        <v xml:space="preserve">Valid </v>
      </c>
      <c r="AL1854" t="str">
        <f>IF(AND(Audit_Data[[#This Row],[Recency]]&gt;=0,Audit_Data[[#This Row],[Recency]]&lt;=100),"Valid","Invalid")</f>
        <v>Valid</v>
      </c>
      <c r="AM1854" t="str">
        <f t="shared" si="370"/>
        <v>Valid</v>
      </c>
      <c r="AN1854" t="str">
        <f t="shared" si="371"/>
        <v>Valid</v>
      </c>
      <c r="AO1854" t="str">
        <f t="shared" si="372"/>
        <v>Valid</v>
      </c>
      <c r="AP1854" t="str">
        <f t="shared" si="373"/>
        <v>Valid</v>
      </c>
      <c r="AQ1854" t="str">
        <f>IF(Audit_Data[[#This Row],[Z_CostContact]]=3,"Valid","Invalid")</f>
        <v>Valid</v>
      </c>
      <c r="AR1854" t="str">
        <f t="shared" si="374"/>
        <v>Valid</v>
      </c>
      <c r="AS1854" t="str">
        <f t="shared" si="375"/>
        <v>Valid</v>
      </c>
    </row>
    <row r="1855" spans="1:45" x14ac:dyDescent="0.3">
      <c r="A1855">
        <v>9595</v>
      </c>
      <c r="B1855">
        <v>1961</v>
      </c>
      <c r="C1855" t="s">
        <v>29</v>
      </c>
      <c r="D1855" t="s">
        <v>31</v>
      </c>
      <c r="E1855">
        <v>64260</v>
      </c>
      <c r="F1855">
        <v>0</v>
      </c>
      <c r="G1855">
        <v>0</v>
      </c>
      <c r="H1855" s="1">
        <v>41285</v>
      </c>
      <c r="I1855">
        <v>1</v>
      </c>
      <c r="J1855">
        <v>539</v>
      </c>
      <c r="K1855">
        <v>169</v>
      </c>
      <c r="L1855">
        <v>816</v>
      </c>
      <c r="M1855">
        <v>20</v>
      </c>
      <c r="N1855">
        <v>0</v>
      </c>
      <c r="O1855">
        <v>30</v>
      </c>
      <c r="P1855">
        <v>1</v>
      </c>
      <c r="Q1855">
        <v>4</v>
      </c>
      <c r="R1855">
        <v>5</v>
      </c>
      <c r="S1855">
        <v>4</v>
      </c>
      <c r="T1855">
        <v>3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3</v>
      </c>
      <c r="AB1855">
        <v>11</v>
      </c>
      <c r="AC1855">
        <v>1</v>
      </c>
      <c r="AD1855" t="str">
        <f t="shared" si="364"/>
        <v>Ok</v>
      </c>
      <c r="AE1855" t="str">
        <f>IF(AND(Audit_Data[[#This Row],[Year_Birth]]&gt;=1900,Audit_Data[[#This Row],[Year_Birth]]&lt;=2010),"OK","Invalid")</f>
        <v>OK</v>
      </c>
      <c r="AF1855" t="str">
        <f t="shared" si="365"/>
        <v>Valid</v>
      </c>
      <c r="AG1855" t="str">
        <f t="shared" si="366"/>
        <v>Valid</v>
      </c>
      <c r="AH1855" t="str">
        <f t="shared" si="367"/>
        <v>Valid</v>
      </c>
      <c r="AI1855" t="str">
        <f t="shared" si="368"/>
        <v>Valid</v>
      </c>
      <c r="AJ1855" t="str">
        <f t="shared" si="369"/>
        <v>Valid</v>
      </c>
      <c r="AK1855" t="str">
        <f t="shared" si="376"/>
        <v xml:space="preserve">Valid </v>
      </c>
      <c r="AL1855" t="str">
        <f>IF(AND(Audit_Data[[#This Row],[Recency]]&gt;=0,Audit_Data[[#This Row],[Recency]]&lt;=100),"Valid","Invalid")</f>
        <v>Valid</v>
      </c>
      <c r="AM1855" t="str">
        <f t="shared" si="370"/>
        <v>Valid</v>
      </c>
      <c r="AN1855" t="str">
        <f t="shared" si="371"/>
        <v>Valid</v>
      </c>
      <c r="AO1855" t="str">
        <f t="shared" si="372"/>
        <v>Valid</v>
      </c>
      <c r="AP1855" t="str">
        <f t="shared" si="373"/>
        <v>Valid</v>
      </c>
      <c r="AQ1855" t="str">
        <f>IF(Audit_Data[[#This Row],[Z_CostContact]]=3,"Valid","Invalid")</f>
        <v>Valid</v>
      </c>
      <c r="AR1855" t="str">
        <f t="shared" si="374"/>
        <v>Valid</v>
      </c>
      <c r="AS1855" t="str">
        <f t="shared" si="375"/>
        <v>Valid</v>
      </c>
    </row>
    <row r="1856" spans="1:45" x14ac:dyDescent="0.3">
      <c r="A1856">
        <v>10163</v>
      </c>
      <c r="B1856">
        <v>1984</v>
      </c>
      <c r="C1856" t="s">
        <v>32</v>
      </c>
      <c r="D1856" t="s">
        <v>30</v>
      </c>
      <c r="E1856">
        <v>82733</v>
      </c>
      <c r="F1856">
        <v>0</v>
      </c>
      <c r="G1856">
        <v>0</v>
      </c>
      <c r="H1856" s="1">
        <v>41527</v>
      </c>
      <c r="I1856">
        <v>28</v>
      </c>
      <c r="J1856">
        <v>712</v>
      </c>
      <c r="K1856">
        <v>50</v>
      </c>
      <c r="L1856">
        <v>420</v>
      </c>
      <c r="M1856">
        <v>65</v>
      </c>
      <c r="N1856">
        <v>38</v>
      </c>
      <c r="O1856">
        <v>38</v>
      </c>
      <c r="P1856">
        <v>1</v>
      </c>
      <c r="Q1856">
        <v>8</v>
      </c>
      <c r="R1856">
        <v>4</v>
      </c>
      <c r="S1856">
        <v>7</v>
      </c>
      <c r="T1856">
        <v>4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3</v>
      </c>
      <c r="AB1856">
        <v>11</v>
      </c>
      <c r="AC1856">
        <v>1</v>
      </c>
      <c r="AD1856" t="str">
        <f t="shared" si="364"/>
        <v>Ok</v>
      </c>
      <c r="AE1856" t="str">
        <f>IF(AND(Audit_Data[[#This Row],[Year_Birth]]&gt;=1900,Audit_Data[[#This Row],[Year_Birth]]&lt;=2010),"OK","Invalid")</f>
        <v>OK</v>
      </c>
      <c r="AF1856" t="str">
        <f t="shared" si="365"/>
        <v>Valid</v>
      </c>
      <c r="AG1856" t="str">
        <f t="shared" si="366"/>
        <v>Valid</v>
      </c>
      <c r="AH1856" t="str">
        <f t="shared" si="367"/>
        <v>Valid</v>
      </c>
      <c r="AI1856" t="str">
        <f t="shared" si="368"/>
        <v>Valid</v>
      </c>
      <c r="AJ1856" t="str">
        <f t="shared" si="369"/>
        <v>Valid</v>
      </c>
      <c r="AK1856" t="str">
        <f t="shared" si="376"/>
        <v xml:space="preserve">Valid </v>
      </c>
      <c r="AL1856" t="str">
        <f>IF(AND(Audit_Data[[#This Row],[Recency]]&gt;=0,Audit_Data[[#This Row],[Recency]]&lt;=100),"Valid","Invalid")</f>
        <v>Valid</v>
      </c>
      <c r="AM1856" t="str">
        <f t="shared" si="370"/>
        <v>Valid</v>
      </c>
      <c r="AN1856" t="str">
        <f t="shared" si="371"/>
        <v>Valid</v>
      </c>
      <c r="AO1856" t="str">
        <f t="shared" si="372"/>
        <v>Valid</v>
      </c>
      <c r="AP1856" t="str">
        <f t="shared" si="373"/>
        <v>Valid</v>
      </c>
      <c r="AQ1856" t="str">
        <f>IF(Audit_Data[[#This Row],[Z_CostContact]]=3,"Valid","Invalid")</f>
        <v>Valid</v>
      </c>
      <c r="AR1856" t="str">
        <f t="shared" si="374"/>
        <v>Valid</v>
      </c>
      <c r="AS1856" t="str">
        <f t="shared" si="375"/>
        <v>Valid</v>
      </c>
    </row>
    <row r="1857" spans="1:45" x14ac:dyDescent="0.3">
      <c r="A1857">
        <v>2886</v>
      </c>
      <c r="B1857">
        <v>1971</v>
      </c>
      <c r="C1857" t="s">
        <v>34</v>
      </c>
      <c r="D1857" t="s">
        <v>35</v>
      </c>
      <c r="E1857">
        <v>74290</v>
      </c>
      <c r="F1857">
        <v>0</v>
      </c>
      <c r="G1857">
        <v>1</v>
      </c>
      <c r="H1857" s="1">
        <v>41498</v>
      </c>
      <c r="I1857">
        <v>70</v>
      </c>
      <c r="J1857">
        <v>1121</v>
      </c>
      <c r="K1857">
        <v>0</v>
      </c>
      <c r="L1857">
        <v>72</v>
      </c>
      <c r="M1857">
        <v>0</v>
      </c>
      <c r="N1857">
        <v>12</v>
      </c>
      <c r="O1857">
        <v>12</v>
      </c>
      <c r="P1857">
        <v>4</v>
      </c>
      <c r="Q1857">
        <v>10</v>
      </c>
      <c r="R1857">
        <v>8</v>
      </c>
      <c r="S1857">
        <v>10</v>
      </c>
      <c r="T1857">
        <v>6</v>
      </c>
      <c r="U1857">
        <v>0</v>
      </c>
      <c r="V1857">
        <v>1</v>
      </c>
      <c r="W1857">
        <v>0</v>
      </c>
      <c r="X1857">
        <v>1</v>
      </c>
      <c r="Y1857">
        <v>0</v>
      </c>
      <c r="Z1857">
        <v>0</v>
      </c>
      <c r="AA1857">
        <v>3</v>
      </c>
      <c r="AB1857">
        <v>11</v>
      </c>
      <c r="AC1857">
        <v>0</v>
      </c>
      <c r="AD1857" t="str">
        <f t="shared" si="364"/>
        <v>Ok</v>
      </c>
      <c r="AE1857" t="str">
        <f>IF(AND(Audit_Data[[#This Row],[Year_Birth]]&gt;=1900,Audit_Data[[#This Row],[Year_Birth]]&lt;=2010),"OK","Invalid")</f>
        <v>OK</v>
      </c>
      <c r="AF1857" t="str">
        <f t="shared" si="365"/>
        <v>Valid</v>
      </c>
      <c r="AG1857" t="str">
        <f t="shared" si="366"/>
        <v>Valid</v>
      </c>
      <c r="AH1857" t="str">
        <f t="shared" si="367"/>
        <v>Valid</v>
      </c>
      <c r="AI1857" t="str">
        <f t="shared" si="368"/>
        <v>Valid</v>
      </c>
      <c r="AJ1857" t="str">
        <f t="shared" si="369"/>
        <v>Valid</v>
      </c>
      <c r="AK1857" t="str">
        <f t="shared" si="376"/>
        <v xml:space="preserve">Valid </v>
      </c>
      <c r="AL1857" t="str">
        <f>IF(AND(Audit_Data[[#This Row],[Recency]]&gt;=0,Audit_Data[[#This Row],[Recency]]&lt;=100),"Valid","Invalid")</f>
        <v>Valid</v>
      </c>
      <c r="AM1857" t="str">
        <f t="shared" si="370"/>
        <v>Valid</v>
      </c>
      <c r="AN1857" t="str">
        <f t="shared" si="371"/>
        <v>Valid</v>
      </c>
      <c r="AO1857" t="str">
        <f t="shared" si="372"/>
        <v>Valid</v>
      </c>
      <c r="AP1857" t="str">
        <f t="shared" si="373"/>
        <v>Valid</v>
      </c>
      <c r="AQ1857" t="str">
        <f>IF(Audit_Data[[#This Row],[Z_CostContact]]=3,"Valid","Invalid")</f>
        <v>Valid</v>
      </c>
      <c r="AR1857" t="str">
        <f t="shared" si="374"/>
        <v>Valid</v>
      </c>
      <c r="AS1857" t="str">
        <f t="shared" si="375"/>
        <v>Valid</v>
      </c>
    </row>
    <row r="1858" spans="1:45" x14ac:dyDescent="0.3">
      <c r="A1858">
        <v>6710</v>
      </c>
      <c r="B1858">
        <v>1951</v>
      </c>
      <c r="C1858" t="s">
        <v>34</v>
      </c>
      <c r="D1858" t="s">
        <v>30</v>
      </c>
      <c r="E1858">
        <v>58217</v>
      </c>
      <c r="F1858">
        <v>2</v>
      </c>
      <c r="G1858">
        <v>1</v>
      </c>
      <c r="H1858" s="1">
        <v>41230</v>
      </c>
      <c r="I1858">
        <v>84</v>
      </c>
      <c r="J1858">
        <v>68</v>
      </c>
      <c r="K1858">
        <v>1</v>
      </c>
      <c r="L1858">
        <v>13</v>
      </c>
      <c r="M1858">
        <v>3</v>
      </c>
      <c r="N1858">
        <v>5</v>
      </c>
      <c r="O1858">
        <v>13</v>
      </c>
      <c r="P1858">
        <v>1</v>
      </c>
      <c r="Q1858">
        <v>2</v>
      </c>
      <c r="R1858">
        <v>0</v>
      </c>
      <c r="S1858">
        <v>4</v>
      </c>
      <c r="T1858">
        <v>6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3</v>
      </c>
      <c r="AB1858">
        <v>11</v>
      </c>
      <c r="AC1858">
        <v>0</v>
      </c>
      <c r="AD1858" t="str">
        <f t="shared" ref="AD1858:AD1921" si="377">IF(COUNTIF(A:A,A1858)&gt;1,"Duplicate","Ok")</f>
        <v>Ok</v>
      </c>
      <c r="AE1858" t="str">
        <f>IF(AND(Audit_Data[[#This Row],[Year_Birth]]&gt;=1900,Audit_Data[[#This Row],[Year_Birth]]&lt;=2010),"OK","Invalid")</f>
        <v>OK</v>
      </c>
      <c r="AF1858" t="str">
        <f t="shared" ref="AF1858:AF1921" si="378">IF(OR(C1858="Graduation",C1858="phD",C1858="Master",C1858="Basic",C1858="2n Cycle"),"Valid","Invalid")</f>
        <v>Valid</v>
      </c>
      <c r="AG1858" t="str">
        <f t="shared" ref="AG1858:AG1921" si="379">IF(OR(D1858="Single",D1858="Married",D1858="Divorced",D1858="Together",D1858="Widow",D1858="Alone"),"Valid","Invalid")</f>
        <v>Valid</v>
      </c>
      <c r="AH1858" t="str">
        <f t="shared" ref="AH1858:AH1921" si="380">IF(AND(ISNUMBER(E1858),E1858&lt;&gt;""),"Valid","Invalid")</f>
        <v>Valid</v>
      </c>
      <c r="AI1858" t="str">
        <f t="shared" ref="AI1858:AI1921" si="381">IF(AND(F1858&gt;=0,F1858&lt;=2),"Valid","Invalid")</f>
        <v>Valid</v>
      </c>
      <c r="AJ1858" t="str">
        <f t="shared" ref="AJ1858:AJ1921" si="382">IF(AND(G1858&gt;=0,G1858&lt;=2),"Valid","Invalid")</f>
        <v>Valid</v>
      </c>
      <c r="AK1858" t="str">
        <f t="shared" si="376"/>
        <v xml:space="preserve">Valid </v>
      </c>
      <c r="AL1858" t="str">
        <f>IF(AND(Audit_Data[[#This Row],[Recency]]&gt;=0,Audit_Data[[#This Row],[Recency]]&lt;=100),"Valid","Invalid")</f>
        <v>Valid</v>
      </c>
      <c r="AM1858" t="str">
        <f t="shared" ref="AM1858:AM1921" si="383">IF(AND(ISNUMBER(J1858),J1858&gt;=0,ISNUMBER(K1858),K1858&gt;=0,ISNUMBER(L1858),L1858&gt;=0,ISNUMBER(M1858),M1858&gt;=0,ISNUMBER(N1858),N1858&gt;=0,ISNUMBER(O1858),O1858&gt;=0),"Valid","Invalid")</f>
        <v>Valid</v>
      </c>
      <c r="AN1858" t="str">
        <f t="shared" ref="AN1858:AN1921" si="384">IF(AND(ISNUMBER(P1858),P1858&gt;=0,ISNUMBER(Q1858),Q1858&gt;=0,ISNUMBER(R1858),R1858&gt;=0,ISNUMBER(S1858),S1858&gt;=0,ISNUMBER(T1858),T1858&gt;=0),"Valid","Invalid")</f>
        <v>Valid</v>
      </c>
      <c r="AO1858" t="str">
        <f t="shared" ref="AO1858:AO1921" si="385">IF(AND(U1858&lt;=1,V1858&lt;=1,W1858&lt;=1,X1858&lt;=1,Y1858&lt;=1),"Valid","Invalid")</f>
        <v>Valid</v>
      </c>
      <c r="AP1858" t="str">
        <f t="shared" ref="AP1858:AP1921" si="386">IF(OR(Z1858=0,Z1858=1),"Valid","Invalid")</f>
        <v>Valid</v>
      </c>
      <c r="AQ1858" t="str">
        <f>IF(Audit_Data[[#This Row],[Z_CostContact]]=3,"Valid","Invalid")</f>
        <v>Valid</v>
      </c>
      <c r="AR1858" t="str">
        <f t="shared" ref="AR1858:AR1921" si="387">IF(AB1858=11,"Valid","Invalid")</f>
        <v>Valid</v>
      </c>
      <c r="AS1858" t="str">
        <f t="shared" ref="AS1858:AS1921" si="388">IF(OR(AC1858=0,AC1858=1),"Valid","Invalid")</f>
        <v>Valid</v>
      </c>
    </row>
    <row r="1859" spans="1:45" x14ac:dyDescent="0.3">
      <c r="A1859">
        <v>5316</v>
      </c>
      <c r="B1859">
        <v>1976</v>
      </c>
      <c r="C1859" t="s">
        <v>34</v>
      </c>
      <c r="D1859" t="s">
        <v>31</v>
      </c>
      <c r="E1859">
        <v>21024</v>
      </c>
      <c r="F1859">
        <v>0</v>
      </c>
      <c r="G1859">
        <v>0</v>
      </c>
      <c r="H1859" s="1">
        <v>41459</v>
      </c>
      <c r="I1859">
        <v>89</v>
      </c>
      <c r="J1859">
        <v>36</v>
      </c>
      <c r="K1859">
        <v>4</v>
      </c>
      <c r="L1859">
        <v>18</v>
      </c>
      <c r="M1859">
        <v>6</v>
      </c>
      <c r="N1859">
        <v>2</v>
      </c>
      <c r="O1859">
        <v>18</v>
      </c>
      <c r="P1859">
        <v>1</v>
      </c>
      <c r="Q1859">
        <v>2</v>
      </c>
      <c r="R1859">
        <v>0</v>
      </c>
      <c r="S1859">
        <v>4</v>
      </c>
      <c r="T1859">
        <v>7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3</v>
      </c>
      <c r="AB1859">
        <v>11</v>
      </c>
      <c r="AC1859">
        <v>0</v>
      </c>
      <c r="AD1859" t="str">
        <f t="shared" si="377"/>
        <v>Ok</v>
      </c>
      <c r="AE1859" t="str">
        <f>IF(AND(Audit_Data[[#This Row],[Year_Birth]]&gt;=1900,Audit_Data[[#This Row],[Year_Birth]]&lt;=2010),"OK","Invalid")</f>
        <v>OK</v>
      </c>
      <c r="AF1859" t="str">
        <f t="shared" si="378"/>
        <v>Valid</v>
      </c>
      <c r="AG1859" t="str">
        <f t="shared" si="379"/>
        <v>Valid</v>
      </c>
      <c r="AH1859" t="str">
        <f t="shared" si="380"/>
        <v>Valid</v>
      </c>
      <c r="AI1859" t="str">
        <f t="shared" si="381"/>
        <v>Valid</v>
      </c>
      <c r="AJ1859" t="str">
        <f t="shared" si="382"/>
        <v>Valid</v>
      </c>
      <c r="AK1859" t="str">
        <f t="shared" ref="AK1859:AK1922" si="389">IF(AND(ISNUMBER(H1859),H1859&gt;=DATE(2012,1,1),H1859&lt;=DATE(2014,12,31)),"Valid ","Invalid")</f>
        <v xml:space="preserve">Valid </v>
      </c>
      <c r="AL1859" t="str">
        <f>IF(AND(Audit_Data[[#This Row],[Recency]]&gt;=0,Audit_Data[[#This Row],[Recency]]&lt;=100),"Valid","Invalid")</f>
        <v>Valid</v>
      </c>
      <c r="AM1859" t="str">
        <f t="shared" si="383"/>
        <v>Valid</v>
      </c>
      <c r="AN1859" t="str">
        <f t="shared" si="384"/>
        <v>Valid</v>
      </c>
      <c r="AO1859" t="str">
        <f t="shared" si="385"/>
        <v>Valid</v>
      </c>
      <c r="AP1859" t="str">
        <f t="shared" si="386"/>
        <v>Valid</v>
      </c>
      <c r="AQ1859" t="str">
        <f>IF(Audit_Data[[#This Row],[Z_CostContact]]=3,"Valid","Invalid")</f>
        <v>Valid</v>
      </c>
      <c r="AR1859" t="str">
        <f t="shared" si="387"/>
        <v>Valid</v>
      </c>
      <c r="AS1859" t="str">
        <f t="shared" si="388"/>
        <v>Valid</v>
      </c>
    </row>
    <row r="1860" spans="1:45" x14ac:dyDescent="0.3">
      <c r="A1860">
        <v>9029</v>
      </c>
      <c r="B1860">
        <v>1972</v>
      </c>
      <c r="C1860" t="s">
        <v>32</v>
      </c>
      <c r="D1860" t="s">
        <v>33</v>
      </c>
      <c r="E1860">
        <v>70116</v>
      </c>
      <c r="F1860">
        <v>0</v>
      </c>
      <c r="G1860">
        <v>0</v>
      </c>
      <c r="H1860" s="1">
        <v>41300</v>
      </c>
      <c r="I1860">
        <v>73</v>
      </c>
      <c r="J1860">
        <v>707</v>
      </c>
      <c r="K1860">
        <v>44</v>
      </c>
      <c r="L1860">
        <v>603</v>
      </c>
      <c r="M1860">
        <v>95</v>
      </c>
      <c r="N1860">
        <v>58</v>
      </c>
      <c r="O1860">
        <v>29</v>
      </c>
      <c r="P1860">
        <v>1</v>
      </c>
      <c r="Q1860">
        <v>2</v>
      </c>
      <c r="R1860">
        <v>8</v>
      </c>
      <c r="S1860">
        <v>12</v>
      </c>
      <c r="T1860">
        <v>1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3</v>
      </c>
      <c r="AB1860">
        <v>11</v>
      </c>
      <c r="AC1860">
        <v>0</v>
      </c>
      <c r="AD1860" t="str">
        <f t="shared" si="377"/>
        <v>Ok</v>
      </c>
      <c r="AE1860" t="str">
        <f>IF(AND(Audit_Data[[#This Row],[Year_Birth]]&gt;=1900,Audit_Data[[#This Row],[Year_Birth]]&lt;=2010),"OK","Invalid")</f>
        <v>OK</v>
      </c>
      <c r="AF1860" t="str">
        <f t="shared" si="378"/>
        <v>Valid</v>
      </c>
      <c r="AG1860" t="str">
        <f t="shared" si="379"/>
        <v>Valid</v>
      </c>
      <c r="AH1860" t="str">
        <f t="shared" si="380"/>
        <v>Valid</v>
      </c>
      <c r="AI1860" t="str">
        <f t="shared" si="381"/>
        <v>Valid</v>
      </c>
      <c r="AJ1860" t="str">
        <f t="shared" si="382"/>
        <v>Valid</v>
      </c>
      <c r="AK1860" t="str">
        <f t="shared" si="389"/>
        <v xml:space="preserve">Valid </v>
      </c>
      <c r="AL1860" t="str">
        <f>IF(AND(Audit_Data[[#This Row],[Recency]]&gt;=0,Audit_Data[[#This Row],[Recency]]&lt;=100),"Valid","Invalid")</f>
        <v>Valid</v>
      </c>
      <c r="AM1860" t="str">
        <f t="shared" si="383"/>
        <v>Valid</v>
      </c>
      <c r="AN1860" t="str">
        <f t="shared" si="384"/>
        <v>Valid</v>
      </c>
      <c r="AO1860" t="str">
        <f t="shared" si="385"/>
        <v>Valid</v>
      </c>
      <c r="AP1860" t="str">
        <f t="shared" si="386"/>
        <v>Valid</v>
      </c>
      <c r="AQ1860" t="str">
        <f>IF(Audit_Data[[#This Row],[Z_CostContact]]=3,"Valid","Invalid")</f>
        <v>Valid</v>
      </c>
      <c r="AR1860" t="str">
        <f t="shared" si="387"/>
        <v>Valid</v>
      </c>
      <c r="AS1860" t="str">
        <f t="shared" si="388"/>
        <v>Valid</v>
      </c>
    </row>
    <row r="1861" spans="1:45" x14ac:dyDescent="0.3">
      <c r="A1861">
        <v>521</v>
      </c>
      <c r="B1861">
        <v>1985</v>
      </c>
      <c r="C1861" t="s">
        <v>29</v>
      </c>
      <c r="D1861" t="s">
        <v>31</v>
      </c>
      <c r="E1861">
        <v>54006</v>
      </c>
      <c r="F1861">
        <v>1</v>
      </c>
      <c r="G1861">
        <v>0</v>
      </c>
      <c r="H1861" s="1">
        <v>41170</v>
      </c>
      <c r="I1861">
        <v>42</v>
      </c>
      <c r="J1861">
        <v>174</v>
      </c>
      <c r="K1861">
        <v>77</v>
      </c>
      <c r="L1861">
        <v>203</v>
      </c>
      <c r="M1861">
        <v>6</v>
      </c>
      <c r="N1861">
        <v>24</v>
      </c>
      <c r="O1861">
        <v>97</v>
      </c>
      <c r="P1861">
        <v>2</v>
      </c>
      <c r="Q1861">
        <v>8</v>
      </c>
      <c r="R1861">
        <v>1</v>
      </c>
      <c r="S1861">
        <v>7</v>
      </c>
      <c r="T1861">
        <v>7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3</v>
      </c>
      <c r="AB1861">
        <v>11</v>
      </c>
      <c r="AC1861">
        <v>0</v>
      </c>
      <c r="AD1861" t="str">
        <f t="shared" si="377"/>
        <v>Ok</v>
      </c>
      <c r="AE1861" t="str">
        <f>IF(AND(Audit_Data[[#This Row],[Year_Birth]]&gt;=1900,Audit_Data[[#This Row],[Year_Birth]]&lt;=2010),"OK","Invalid")</f>
        <v>OK</v>
      </c>
      <c r="AF1861" t="str">
        <f t="shared" si="378"/>
        <v>Valid</v>
      </c>
      <c r="AG1861" t="str">
        <f t="shared" si="379"/>
        <v>Valid</v>
      </c>
      <c r="AH1861" t="str">
        <f t="shared" si="380"/>
        <v>Valid</v>
      </c>
      <c r="AI1861" t="str">
        <f t="shared" si="381"/>
        <v>Valid</v>
      </c>
      <c r="AJ1861" t="str">
        <f t="shared" si="382"/>
        <v>Valid</v>
      </c>
      <c r="AK1861" t="str">
        <f t="shared" si="389"/>
        <v xml:space="preserve">Valid </v>
      </c>
      <c r="AL1861" t="str">
        <f>IF(AND(Audit_Data[[#This Row],[Recency]]&gt;=0,Audit_Data[[#This Row],[Recency]]&lt;=100),"Valid","Invalid")</f>
        <v>Valid</v>
      </c>
      <c r="AM1861" t="str">
        <f t="shared" si="383"/>
        <v>Valid</v>
      </c>
      <c r="AN1861" t="str">
        <f t="shared" si="384"/>
        <v>Valid</v>
      </c>
      <c r="AO1861" t="str">
        <f t="shared" si="385"/>
        <v>Valid</v>
      </c>
      <c r="AP1861" t="str">
        <f t="shared" si="386"/>
        <v>Valid</v>
      </c>
      <c r="AQ1861" t="str">
        <f>IF(Audit_Data[[#This Row],[Z_CostContact]]=3,"Valid","Invalid")</f>
        <v>Valid</v>
      </c>
      <c r="AR1861" t="str">
        <f t="shared" si="387"/>
        <v>Valid</v>
      </c>
      <c r="AS1861" t="str">
        <f t="shared" si="388"/>
        <v>Valid</v>
      </c>
    </row>
    <row r="1862" spans="1:45" x14ac:dyDescent="0.3">
      <c r="A1862">
        <v>1459</v>
      </c>
      <c r="B1862">
        <v>1966</v>
      </c>
      <c r="C1862" t="s">
        <v>32</v>
      </c>
      <c r="D1862" t="s">
        <v>33</v>
      </c>
      <c r="E1862">
        <v>69063</v>
      </c>
      <c r="F1862">
        <v>0</v>
      </c>
      <c r="G1862">
        <v>1</v>
      </c>
      <c r="H1862" s="1">
        <v>41220</v>
      </c>
      <c r="I1862">
        <v>16</v>
      </c>
      <c r="J1862">
        <v>666</v>
      </c>
      <c r="K1862">
        <v>35</v>
      </c>
      <c r="L1862">
        <v>124</v>
      </c>
      <c r="M1862">
        <v>69</v>
      </c>
      <c r="N1862">
        <v>8</v>
      </c>
      <c r="O1862">
        <v>26</v>
      </c>
      <c r="P1862">
        <v>1</v>
      </c>
      <c r="Q1862">
        <v>5</v>
      </c>
      <c r="R1862">
        <v>3</v>
      </c>
      <c r="S1862">
        <v>5</v>
      </c>
      <c r="T1862">
        <v>3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3</v>
      </c>
      <c r="AB1862">
        <v>11</v>
      </c>
      <c r="AC1862">
        <v>0</v>
      </c>
      <c r="AD1862" t="str">
        <f t="shared" si="377"/>
        <v>Ok</v>
      </c>
      <c r="AE1862" t="str">
        <f>IF(AND(Audit_Data[[#This Row],[Year_Birth]]&gt;=1900,Audit_Data[[#This Row],[Year_Birth]]&lt;=2010),"OK","Invalid")</f>
        <v>OK</v>
      </c>
      <c r="AF1862" t="str">
        <f t="shared" si="378"/>
        <v>Valid</v>
      </c>
      <c r="AG1862" t="str">
        <f t="shared" si="379"/>
        <v>Valid</v>
      </c>
      <c r="AH1862" t="str">
        <f t="shared" si="380"/>
        <v>Valid</v>
      </c>
      <c r="AI1862" t="str">
        <f t="shared" si="381"/>
        <v>Valid</v>
      </c>
      <c r="AJ1862" t="str">
        <f t="shared" si="382"/>
        <v>Valid</v>
      </c>
      <c r="AK1862" t="str">
        <f t="shared" si="389"/>
        <v xml:space="preserve">Valid </v>
      </c>
      <c r="AL1862" t="str">
        <f>IF(AND(Audit_Data[[#This Row],[Recency]]&gt;=0,Audit_Data[[#This Row],[Recency]]&lt;=100),"Valid","Invalid")</f>
        <v>Valid</v>
      </c>
      <c r="AM1862" t="str">
        <f t="shared" si="383"/>
        <v>Valid</v>
      </c>
      <c r="AN1862" t="str">
        <f t="shared" si="384"/>
        <v>Valid</v>
      </c>
      <c r="AO1862" t="str">
        <f t="shared" si="385"/>
        <v>Valid</v>
      </c>
      <c r="AP1862" t="str">
        <f t="shared" si="386"/>
        <v>Valid</v>
      </c>
      <c r="AQ1862" t="str">
        <f>IF(Audit_Data[[#This Row],[Z_CostContact]]=3,"Valid","Invalid")</f>
        <v>Valid</v>
      </c>
      <c r="AR1862" t="str">
        <f t="shared" si="387"/>
        <v>Valid</v>
      </c>
      <c r="AS1862" t="str">
        <f t="shared" si="388"/>
        <v>Valid</v>
      </c>
    </row>
    <row r="1863" spans="1:45" x14ac:dyDescent="0.3">
      <c r="A1863">
        <v>10241</v>
      </c>
      <c r="B1863">
        <v>1975</v>
      </c>
      <c r="C1863" t="s">
        <v>37</v>
      </c>
      <c r="D1863" t="s">
        <v>35</v>
      </c>
      <c r="E1863">
        <v>11448</v>
      </c>
      <c r="F1863">
        <v>0</v>
      </c>
      <c r="G1863">
        <v>0</v>
      </c>
      <c r="H1863" s="1">
        <v>41623</v>
      </c>
      <c r="I1863">
        <v>16</v>
      </c>
      <c r="J1863">
        <v>0</v>
      </c>
      <c r="K1863">
        <v>0</v>
      </c>
      <c r="L1863">
        <v>0</v>
      </c>
      <c r="M1863">
        <v>6</v>
      </c>
      <c r="N1863">
        <v>2</v>
      </c>
      <c r="O1863">
        <v>6</v>
      </c>
      <c r="P1863">
        <v>1</v>
      </c>
      <c r="Q1863">
        <v>1</v>
      </c>
      <c r="R1863">
        <v>0</v>
      </c>
      <c r="S1863">
        <v>2</v>
      </c>
      <c r="T1863">
        <v>6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3</v>
      </c>
      <c r="AB1863">
        <v>11</v>
      </c>
      <c r="AC1863">
        <v>0</v>
      </c>
      <c r="AD1863" t="str">
        <f t="shared" si="377"/>
        <v>Ok</v>
      </c>
      <c r="AE1863" t="str">
        <f>IF(AND(Audit_Data[[#This Row],[Year_Birth]]&gt;=1900,Audit_Data[[#This Row],[Year_Birth]]&lt;=2010),"OK","Invalid")</f>
        <v>OK</v>
      </c>
      <c r="AF1863" t="str">
        <f t="shared" si="378"/>
        <v>Valid</v>
      </c>
      <c r="AG1863" t="str">
        <f t="shared" si="379"/>
        <v>Valid</v>
      </c>
      <c r="AH1863" t="str">
        <f t="shared" si="380"/>
        <v>Valid</v>
      </c>
      <c r="AI1863" t="str">
        <f t="shared" si="381"/>
        <v>Valid</v>
      </c>
      <c r="AJ1863" t="str">
        <f t="shared" si="382"/>
        <v>Valid</v>
      </c>
      <c r="AK1863" t="str">
        <f t="shared" si="389"/>
        <v xml:space="preserve">Valid </v>
      </c>
      <c r="AL1863" t="str">
        <f>IF(AND(Audit_Data[[#This Row],[Recency]]&gt;=0,Audit_Data[[#This Row],[Recency]]&lt;=100),"Valid","Invalid")</f>
        <v>Valid</v>
      </c>
      <c r="AM1863" t="str">
        <f t="shared" si="383"/>
        <v>Valid</v>
      </c>
      <c r="AN1863" t="str">
        <f t="shared" si="384"/>
        <v>Valid</v>
      </c>
      <c r="AO1863" t="str">
        <f t="shared" si="385"/>
        <v>Valid</v>
      </c>
      <c r="AP1863" t="str">
        <f t="shared" si="386"/>
        <v>Valid</v>
      </c>
      <c r="AQ1863" t="str">
        <f>IF(Audit_Data[[#This Row],[Z_CostContact]]=3,"Valid","Invalid")</f>
        <v>Valid</v>
      </c>
      <c r="AR1863" t="str">
        <f t="shared" si="387"/>
        <v>Valid</v>
      </c>
      <c r="AS1863" t="str">
        <f t="shared" si="388"/>
        <v>Valid</v>
      </c>
    </row>
    <row r="1864" spans="1:45" x14ac:dyDescent="0.3">
      <c r="A1864">
        <v>1630</v>
      </c>
      <c r="B1864">
        <v>1979</v>
      </c>
      <c r="C1864" t="s">
        <v>29</v>
      </c>
      <c r="D1864" t="s">
        <v>30</v>
      </c>
      <c r="E1864">
        <v>61825</v>
      </c>
      <c r="F1864">
        <v>0</v>
      </c>
      <c r="G1864">
        <v>1</v>
      </c>
      <c r="H1864" s="1">
        <v>41493</v>
      </c>
      <c r="I1864">
        <v>56</v>
      </c>
      <c r="J1864">
        <v>162</v>
      </c>
      <c r="K1864">
        <v>50</v>
      </c>
      <c r="L1864">
        <v>100</v>
      </c>
      <c r="M1864">
        <v>55</v>
      </c>
      <c r="N1864">
        <v>30</v>
      </c>
      <c r="O1864">
        <v>27</v>
      </c>
      <c r="P1864">
        <v>1</v>
      </c>
      <c r="Q1864">
        <v>4</v>
      </c>
      <c r="R1864">
        <v>2</v>
      </c>
      <c r="S1864">
        <v>8</v>
      </c>
      <c r="T1864">
        <v>4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3</v>
      </c>
      <c r="AB1864">
        <v>11</v>
      </c>
      <c r="AC1864">
        <v>0</v>
      </c>
      <c r="AD1864" t="str">
        <f t="shared" si="377"/>
        <v>Ok</v>
      </c>
      <c r="AE1864" t="str">
        <f>IF(AND(Audit_Data[[#This Row],[Year_Birth]]&gt;=1900,Audit_Data[[#This Row],[Year_Birth]]&lt;=2010),"OK","Invalid")</f>
        <v>OK</v>
      </c>
      <c r="AF1864" t="str">
        <f t="shared" si="378"/>
        <v>Valid</v>
      </c>
      <c r="AG1864" t="str">
        <f t="shared" si="379"/>
        <v>Valid</v>
      </c>
      <c r="AH1864" t="str">
        <f t="shared" si="380"/>
        <v>Valid</v>
      </c>
      <c r="AI1864" t="str">
        <f t="shared" si="381"/>
        <v>Valid</v>
      </c>
      <c r="AJ1864" t="str">
        <f t="shared" si="382"/>
        <v>Valid</v>
      </c>
      <c r="AK1864" t="str">
        <f t="shared" si="389"/>
        <v xml:space="preserve">Valid </v>
      </c>
      <c r="AL1864" t="str">
        <f>IF(AND(Audit_Data[[#This Row],[Recency]]&gt;=0,Audit_Data[[#This Row],[Recency]]&lt;=100),"Valid","Invalid")</f>
        <v>Valid</v>
      </c>
      <c r="AM1864" t="str">
        <f t="shared" si="383"/>
        <v>Valid</v>
      </c>
      <c r="AN1864" t="str">
        <f t="shared" si="384"/>
        <v>Valid</v>
      </c>
      <c r="AO1864" t="str">
        <f t="shared" si="385"/>
        <v>Valid</v>
      </c>
      <c r="AP1864" t="str">
        <f t="shared" si="386"/>
        <v>Valid</v>
      </c>
      <c r="AQ1864" t="str">
        <f>IF(Audit_Data[[#This Row],[Z_CostContact]]=3,"Valid","Invalid")</f>
        <v>Valid</v>
      </c>
      <c r="AR1864" t="str">
        <f t="shared" si="387"/>
        <v>Valid</v>
      </c>
      <c r="AS1864" t="str">
        <f t="shared" si="388"/>
        <v>Valid</v>
      </c>
    </row>
    <row r="1865" spans="1:45" x14ac:dyDescent="0.3">
      <c r="A1865">
        <v>3254</v>
      </c>
      <c r="B1865">
        <v>1971</v>
      </c>
      <c r="C1865" t="s">
        <v>29</v>
      </c>
      <c r="D1865" t="s">
        <v>33</v>
      </c>
      <c r="E1865">
        <v>70886</v>
      </c>
      <c r="F1865">
        <v>1</v>
      </c>
      <c r="G1865">
        <v>0</v>
      </c>
      <c r="H1865" s="1">
        <v>41561</v>
      </c>
      <c r="I1865">
        <v>65</v>
      </c>
      <c r="J1865">
        <v>407</v>
      </c>
      <c r="K1865">
        <v>70</v>
      </c>
      <c r="L1865">
        <v>239</v>
      </c>
      <c r="M1865">
        <v>103</v>
      </c>
      <c r="N1865">
        <v>88</v>
      </c>
      <c r="O1865">
        <v>53</v>
      </c>
      <c r="P1865">
        <v>1</v>
      </c>
      <c r="Q1865">
        <v>5</v>
      </c>
      <c r="R1865">
        <v>4</v>
      </c>
      <c r="S1865">
        <v>4</v>
      </c>
      <c r="T1865">
        <v>2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3</v>
      </c>
      <c r="AB1865">
        <v>11</v>
      </c>
      <c r="AC1865">
        <v>0</v>
      </c>
      <c r="AD1865" t="str">
        <f t="shared" si="377"/>
        <v>Ok</v>
      </c>
      <c r="AE1865" t="str">
        <f>IF(AND(Audit_Data[[#This Row],[Year_Birth]]&gt;=1900,Audit_Data[[#This Row],[Year_Birth]]&lt;=2010),"OK","Invalid")</f>
        <v>OK</v>
      </c>
      <c r="AF1865" t="str">
        <f t="shared" si="378"/>
        <v>Valid</v>
      </c>
      <c r="AG1865" t="str">
        <f t="shared" si="379"/>
        <v>Valid</v>
      </c>
      <c r="AH1865" t="str">
        <f t="shared" si="380"/>
        <v>Valid</v>
      </c>
      <c r="AI1865" t="str">
        <f t="shared" si="381"/>
        <v>Valid</v>
      </c>
      <c r="AJ1865" t="str">
        <f t="shared" si="382"/>
        <v>Valid</v>
      </c>
      <c r="AK1865" t="str">
        <f t="shared" si="389"/>
        <v xml:space="preserve">Valid </v>
      </c>
      <c r="AL1865" t="str">
        <f>IF(AND(Audit_Data[[#This Row],[Recency]]&gt;=0,Audit_Data[[#This Row],[Recency]]&lt;=100),"Valid","Invalid")</f>
        <v>Valid</v>
      </c>
      <c r="AM1865" t="str">
        <f t="shared" si="383"/>
        <v>Valid</v>
      </c>
      <c r="AN1865" t="str">
        <f t="shared" si="384"/>
        <v>Valid</v>
      </c>
      <c r="AO1865" t="str">
        <f t="shared" si="385"/>
        <v>Valid</v>
      </c>
      <c r="AP1865" t="str">
        <f t="shared" si="386"/>
        <v>Valid</v>
      </c>
      <c r="AQ1865" t="str">
        <f>IF(Audit_Data[[#This Row],[Z_CostContact]]=3,"Valid","Invalid")</f>
        <v>Valid</v>
      </c>
      <c r="AR1865" t="str">
        <f t="shared" si="387"/>
        <v>Valid</v>
      </c>
      <c r="AS1865" t="str">
        <f t="shared" si="388"/>
        <v>Valid</v>
      </c>
    </row>
    <row r="1866" spans="1:45" x14ac:dyDescent="0.3">
      <c r="A1866">
        <v>9064</v>
      </c>
      <c r="B1866">
        <v>1982</v>
      </c>
      <c r="C1866" t="s">
        <v>29</v>
      </c>
      <c r="D1866" t="s">
        <v>33</v>
      </c>
      <c r="E1866">
        <v>69109</v>
      </c>
      <c r="F1866">
        <v>0</v>
      </c>
      <c r="G1866">
        <v>0</v>
      </c>
      <c r="H1866" s="1">
        <v>41222</v>
      </c>
      <c r="I1866">
        <v>10</v>
      </c>
      <c r="J1866">
        <v>823</v>
      </c>
      <c r="K1866">
        <v>25</v>
      </c>
      <c r="L1866">
        <v>459</v>
      </c>
      <c r="M1866">
        <v>124</v>
      </c>
      <c r="N1866">
        <v>29</v>
      </c>
      <c r="O1866">
        <v>95</v>
      </c>
      <c r="P1866">
        <v>1</v>
      </c>
      <c r="Q1866">
        <v>6</v>
      </c>
      <c r="R1866">
        <v>6</v>
      </c>
      <c r="S1866">
        <v>7</v>
      </c>
      <c r="T1866">
        <v>4</v>
      </c>
      <c r="U1866">
        <v>0</v>
      </c>
      <c r="V1866">
        <v>0</v>
      </c>
      <c r="W1866">
        <v>1</v>
      </c>
      <c r="X1866">
        <v>0</v>
      </c>
      <c r="Y1866">
        <v>0</v>
      </c>
      <c r="Z1866">
        <v>0</v>
      </c>
      <c r="AA1866">
        <v>3</v>
      </c>
      <c r="AB1866">
        <v>11</v>
      </c>
      <c r="AC1866">
        <v>1</v>
      </c>
      <c r="AD1866" t="str">
        <f t="shared" si="377"/>
        <v>Ok</v>
      </c>
      <c r="AE1866" t="str">
        <f>IF(AND(Audit_Data[[#This Row],[Year_Birth]]&gt;=1900,Audit_Data[[#This Row],[Year_Birth]]&lt;=2010),"OK","Invalid")</f>
        <v>OK</v>
      </c>
      <c r="AF1866" t="str">
        <f t="shared" si="378"/>
        <v>Valid</v>
      </c>
      <c r="AG1866" t="str">
        <f t="shared" si="379"/>
        <v>Valid</v>
      </c>
      <c r="AH1866" t="str">
        <f t="shared" si="380"/>
        <v>Valid</v>
      </c>
      <c r="AI1866" t="str">
        <f t="shared" si="381"/>
        <v>Valid</v>
      </c>
      <c r="AJ1866" t="str">
        <f t="shared" si="382"/>
        <v>Valid</v>
      </c>
      <c r="AK1866" t="str">
        <f t="shared" si="389"/>
        <v xml:space="preserve">Valid </v>
      </c>
      <c r="AL1866" t="str">
        <f>IF(AND(Audit_Data[[#This Row],[Recency]]&gt;=0,Audit_Data[[#This Row],[Recency]]&lt;=100),"Valid","Invalid")</f>
        <v>Valid</v>
      </c>
      <c r="AM1866" t="str">
        <f t="shared" si="383"/>
        <v>Valid</v>
      </c>
      <c r="AN1866" t="str">
        <f t="shared" si="384"/>
        <v>Valid</v>
      </c>
      <c r="AO1866" t="str">
        <f t="shared" si="385"/>
        <v>Valid</v>
      </c>
      <c r="AP1866" t="str">
        <f t="shared" si="386"/>
        <v>Valid</v>
      </c>
      <c r="AQ1866" t="str">
        <f>IF(Audit_Data[[#This Row],[Z_CostContact]]=3,"Valid","Invalid")</f>
        <v>Valid</v>
      </c>
      <c r="AR1866" t="str">
        <f t="shared" si="387"/>
        <v>Valid</v>
      </c>
      <c r="AS1866" t="str">
        <f t="shared" si="388"/>
        <v>Valid</v>
      </c>
    </row>
    <row r="1867" spans="1:45" x14ac:dyDescent="0.3">
      <c r="A1867">
        <v>3678</v>
      </c>
      <c r="B1867">
        <v>1973</v>
      </c>
      <c r="C1867" t="s">
        <v>29</v>
      </c>
      <c r="D1867" t="s">
        <v>38</v>
      </c>
      <c r="E1867">
        <v>60208</v>
      </c>
      <c r="F1867">
        <v>1</v>
      </c>
      <c r="G1867">
        <v>1</v>
      </c>
      <c r="H1867" s="1">
        <v>41189</v>
      </c>
      <c r="I1867">
        <v>13</v>
      </c>
      <c r="J1867">
        <v>488</v>
      </c>
      <c r="K1867">
        <v>23</v>
      </c>
      <c r="L1867">
        <v>71</v>
      </c>
      <c r="M1867">
        <v>15</v>
      </c>
      <c r="N1867">
        <v>0</v>
      </c>
      <c r="O1867">
        <v>59</v>
      </c>
      <c r="P1867">
        <v>11</v>
      </c>
      <c r="Q1867">
        <v>8</v>
      </c>
      <c r="R1867">
        <v>3</v>
      </c>
      <c r="S1867">
        <v>7</v>
      </c>
      <c r="T1867">
        <v>7</v>
      </c>
      <c r="U1867">
        <v>0</v>
      </c>
      <c r="V1867">
        <v>1</v>
      </c>
      <c r="W1867">
        <v>0</v>
      </c>
      <c r="X1867">
        <v>0</v>
      </c>
      <c r="Y1867">
        <v>0</v>
      </c>
      <c r="Z1867">
        <v>0</v>
      </c>
      <c r="AA1867">
        <v>3</v>
      </c>
      <c r="AB1867">
        <v>11</v>
      </c>
      <c r="AC1867">
        <v>1</v>
      </c>
      <c r="AD1867" t="str">
        <f t="shared" si="377"/>
        <v>Ok</v>
      </c>
      <c r="AE1867" t="str">
        <f>IF(AND(Audit_Data[[#This Row],[Year_Birth]]&gt;=1900,Audit_Data[[#This Row],[Year_Birth]]&lt;=2010),"OK","Invalid")</f>
        <v>OK</v>
      </c>
      <c r="AF1867" t="str">
        <f t="shared" si="378"/>
        <v>Valid</v>
      </c>
      <c r="AG1867" t="str">
        <f t="shared" si="379"/>
        <v>Valid</v>
      </c>
      <c r="AH1867" t="str">
        <f t="shared" si="380"/>
        <v>Valid</v>
      </c>
      <c r="AI1867" t="str">
        <f t="shared" si="381"/>
        <v>Valid</v>
      </c>
      <c r="AJ1867" t="str">
        <f t="shared" si="382"/>
        <v>Valid</v>
      </c>
      <c r="AK1867" t="str">
        <f t="shared" si="389"/>
        <v xml:space="preserve">Valid </v>
      </c>
      <c r="AL1867" t="str">
        <f>IF(AND(Audit_Data[[#This Row],[Recency]]&gt;=0,Audit_Data[[#This Row],[Recency]]&lt;=100),"Valid","Invalid")</f>
        <v>Valid</v>
      </c>
      <c r="AM1867" t="str">
        <f t="shared" si="383"/>
        <v>Valid</v>
      </c>
      <c r="AN1867" t="str">
        <f t="shared" si="384"/>
        <v>Valid</v>
      </c>
      <c r="AO1867" t="str">
        <f t="shared" si="385"/>
        <v>Valid</v>
      </c>
      <c r="AP1867" t="str">
        <f t="shared" si="386"/>
        <v>Valid</v>
      </c>
      <c r="AQ1867" t="str">
        <f>IF(Audit_Data[[#This Row],[Z_CostContact]]=3,"Valid","Invalid")</f>
        <v>Valid</v>
      </c>
      <c r="AR1867" t="str">
        <f t="shared" si="387"/>
        <v>Valid</v>
      </c>
      <c r="AS1867" t="str">
        <f t="shared" si="388"/>
        <v>Valid</v>
      </c>
    </row>
    <row r="1868" spans="1:45" x14ac:dyDescent="0.3">
      <c r="A1868">
        <v>4227</v>
      </c>
      <c r="B1868">
        <v>1968</v>
      </c>
      <c r="C1868" t="s">
        <v>34</v>
      </c>
      <c r="D1868" t="s">
        <v>31</v>
      </c>
      <c r="E1868">
        <v>32889</v>
      </c>
      <c r="F1868">
        <v>1</v>
      </c>
      <c r="G1868">
        <v>1</v>
      </c>
      <c r="H1868" s="1">
        <v>41523</v>
      </c>
      <c r="I1868">
        <v>78</v>
      </c>
      <c r="J1868">
        <v>28</v>
      </c>
      <c r="K1868">
        <v>0</v>
      </c>
      <c r="L1868">
        <v>13</v>
      </c>
      <c r="M1868">
        <v>4</v>
      </c>
      <c r="N1868">
        <v>2</v>
      </c>
      <c r="O1868">
        <v>8</v>
      </c>
      <c r="P1868">
        <v>3</v>
      </c>
      <c r="Q1868">
        <v>2</v>
      </c>
      <c r="R1868">
        <v>1</v>
      </c>
      <c r="S1868">
        <v>3</v>
      </c>
      <c r="T1868">
        <v>5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3</v>
      </c>
      <c r="AB1868">
        <v>11</v>
      </c>
      <c r="AC1868">
        <v>0</v>
      </c>
      <c r="AD1868" t="str">
        <f t="shared" si="377"/>
        <v>Ok</v>
      </c>
      <c r="AE1868" t="str">
        <f>IF(AND(Audit_Data[[#This Row],[Year_Birth]]&gt;=1900,Audit_Data[[#This Row],[Year_Birth]]&lt;=2010),"OK","Invalid")</f>
        <v>OK</v>
      </c>
      <c r="AF1868" t="str">
        <f t="shared" si="378"/>
        <v>Valid</v>
      </c>
      <c r="AG1868" t="str">
        <f t="shared" si="379"/>
        <v>Valid</v>
      </c>
      <c r="AH1868" t="str">
        <f t="shared" si="380"/>
        <v>Valid</v>
      </c>
      <c r="AI1868" t="str">
        <f t="shared" si="381"/>
        <v>Valid</v>
      </c>
      <c r="AJ1868" t="str">
        <f t="shared" si="382"/>
        <v>Valid</v>
      </c>
      <c r="AK1868" t="str">
        <f t="shared" si="389"/>
        <v xml:space="preserve">Valid </v>
      </c>
      <c r="AL1868" t="str">
        <f>IF(AND(Audit_Data[[#This Row],[Recency]]&gt;=0,Audit_Data[[#This Row],[Recency]]&lt;=100),"Valid","Invalid")</f>
        <v>Valid</v>
      </c>
      <c r="AM1868" t="str">
        <f t="shared" si="383"/>
        <v>Valid</v>
      </c>
      <c r="AN1868" t="str">
        <f t="shared" si="384"/>
        <v>Valid</v>
      </c>
      <c r="AO1868" t="str">
        <f t="shared" si="385"/>
        <v>Valid</v>
      </c>
      <c r="AP1868" t="str">
        <f t="shared" si="386"/>
        <v>Valid</v>
      </c>
      <c r="AQ1868" t="str">
        <f>IF(Audit_Data[[#This Row],[Z_CostContact]]=3,"Valid","Invalid")</f>
        <v>Valid</v>
      </c>
      <c r="AR1868" t="str">
        <f t="shared" si="387"/>
        <v>Valid</v>
      </c>
      <c r="AS1868" t="str">
        <f t="shared" si="388"/>
        <v>Valid</v>
      </c>
    </row>
    <row r="1869" spans="1:45" x14ac:dyDescent="0.3">
      <c r="A1869">
        <v>9467</v>
      </c>
      <c r="B1869">
        <v>1984</v>
      </c>
      <c r="C1869" t="s">
        <v>29</v>
      </c>
      <c r="D1869" t="s">
        <v>30</v>
      </c>
      <c r="E1869">
        <v>34738</v>
      </c>
      <c r="F1869">
        <v>1</v>
      </c>
      <c r="G1869">
        <v>0</v>
      </c>
      <c r="H1869" s="1">
        <v>41770</v>
      </c>
      <c r="I1869">
        <v>51</v>
      </c>
      <c r="J1869">
        <v>3</v>
      </c>
      <c r="K1869">
        <v>2</v>
      </c>
      <c r="L1869">
        <v>10</v>
      </c>
      <c r="M1869">
        <v>3</v>
      </c>
      <c r="N1869">
        <v>0</v>
      </c>
      <c r="O1869">
        <v>2</v>
      </c>
      <c r="P1869">
        <v>1</v>
      </c>
      <c r="Q1869">
        <v>1</v>
      </c>
      <c r="R1869">
        <v>0</v>
      </c>
      <c r="S1869">
        <v>3</v>
      </c>
      <c r="T1869">
        <v>6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3</v>
      </c>
      <c r="AB1869">
        <v>11</v>
      </c>
      <c r="AC1869">
        <v>0</v>
      </c>
      <c r="AD1869" t="str">
        <f t="shared" si="377"/>
        <v>Ok</v>
      </c>
      <c r="AE1869" t="str">
        <f>IF(AND(Audit_Data[[#This Row],[Year_Birth]]&gt;=1900,Audit_Data[[#This Row],[Year_Birth]]&lt;=2010),"OK","Invalid")</f>
        <v>OK</v>
      </c>
      <c r="AF1869" t="str">
        <f t="shared" si="378"/>
        <v>Valid</v>
      </c>
      <c r="AG1869" t="str">
        <f t="shared" si="379"/>
        <v>Valid</v>
      </c>
      <c r="AH1869" t="str">
        <f t="shared" si="380"/>
        <v>Valid</v>
      </c>
      <c r="AI1869" t="str">
        <f t="shared" si="381"/>
        <v>Valid</v>
      </c>
      <c r="AJ1869" t="str">
        <f t="shared" si="382"/>
        <v>Valid</v>
      </c>
      <c r="AK1869" t="str">
        <f t="shared" si="389"/>
        <v xml:space="preserve">Valid </v>
      </c>
      <c r="AL1869" t="str">
        <f>IF(AND(Audit_Data[[#This Row],[Recency]]&gt;=0,Audit_Data[[#This Row],[Recency]]&lt;=100),"Valid","Invalid")</f>
        <v>Valid</v>
      </c>
      <c r="AM1869" t="str">
        <f t="shared" si="383"/>
        <v>Valid</v>
      </c>
      <c r="AN1869" t="str">
        <f t="shared" si="384"/>
        <v>Valid</v>
      </c>
      <c r="AO1869" t="str">
        <f t="shared" si="385"/>
        <v>Valid</v>
      </c>
      <c r="AP1869" t="str">
        <f t="shared" si="386"/>
        <v>Valid</v>
      </c>
      <c r="AQ1869" t="str">
        <f>IF(Audit_Data[[#This Row],[Z_CostContact]]=3,"Valid","Invalid")</f>
        <v>Valid</v>
      </c>
      <c r="AR1869" t="str">
        <f t="shared" si="387"/>
        <v>Valid</v>
      </c>
      <c r="AS1869" t="str">
        <f t="shared" si="388"/>
        <v>Valid</v>
      </c>
    </row>
    <row r="1870" spans="1:45" x14ac:dyDescent="0.3">
      <c r="A1870">
        <v>8486</v>
      </c>
      <c r="B1870">
        <v>1971</v>
      </c>
      <c r="C1870" t="s">
        <v>34</v>
      </c>
      <c r="D1870" t="s">
        <v>31</v>
      </c>
      <c r="E1870">
        <v>30538</v>
      </c>
      <c r="F1870">
        <v>1</v>
      </c>
      <c r="G1870">
        <v>0</v>
      </c>
      <c r="H1870" s="1">
        <v>41183</v>
      </c>
      <c r="I1870">
        <v>27</v>
      </c>
      <c r="J1870">
        <v>284</v>
      </c>
      <c r="K1870">
        <v>0</v>
      </c>
      <c r="L1870">
        <v>52</v>
      </c>
      <c r="M1870">
        <v>8</v>
      </c>
      <c r="N1870">
        <v>3</v>
      </c>
      <c r="O1870">
        <v>20</v>
      </c>
      <c r="P1870">
        <v>4</v>
      </c>
      <c r="Q1870">
        <v>9</v>
      </c>
      <c r="R1870">
        <v>0</v>
      </c>
      <c r="S1870">
        <v>4</v>
      </c>
      <c r="T1870">
        <v>10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3</v>
      </c>
      <c r="AB1870">
        <v>11</v>
      </c>
      <c r="AC1870">
        <v>0</v>
      </c>
      <c r="AD1870" t="str">
        <f t="shared" si="377"/>
        <v>Ok</v>
      </c>
      <c r="AE1870" t="str">
        <f>IF(AND(Audit_Data[[#This Row],[Year_Birth]]&gt;=1900,Audit_Data[[#This Row],[Year_Birth]]&lt;=2010),"OK","Invalid")</f>
        <v>OK</v>
      </c>
      <c r="AF1870" t="str">
        <f t="shared" si="378"/>
        <v>Valid</v>
      </c>
      <c r="AG1870" t="str">
        <f t="shared" si="379"/>
        <v>Valid</v>
      </c>
      <c r="AH1870" t="str">
        <f t="shared" si="380"/>
        <v>Valid</v>
      </c>
      <c r="AI1870" t="str">
        <f t="shared" si="381"/>
        <v>Valid</v>
      </c>
      <c r="AJ1870" t="str">
        <f t="shared" si="382"/>
        <v>Valid</v>
      </c>
      <c r="AK1870" t="str">
        <f t="shared" si="389"/>
        <v xml:space="preserve">Valid </v>
      </c>
      <c r="AL1870" t="str">
        <f>IF(AND(Audit_Data[[#This Row],[Recency]]&gt;=0,Audit_Data[[#This Row],[Recency]]&lt;=100),"Valid","Invalid")</f>
        <v>Valid</v>
      </c>
      <c r="AM1870" t="str">
        <f t="shared" si="383"/>
        <v>Valid</v>
      </c>
      <c r="AN1870" t="str">
        <f t="shared" si="384"/>
        <v>Valid</v>
      </c>
      <c r="AO1870" t="str">
        <f t="shared" si="385"/>
        <v>Valid</v>
      </c>
      <c r="AP1870" t="str">
        <f t="shared" si="386"/>
        <v>Valid</v>
      </c>
      <c r="AQ1870" t="str">
        <f>IF(Audit_Data[[#This Row],[Z_CostContact]]=3,"Valid","Invalid")</f>
        <v>Valid</v>
      </c>
      <c r="AR1870" t="str">
        <f t="shared" si="387"/>
        <v>Valid</v>
      </c>
      <c r="AS1870" t="str">
        <f t="shared" si="388"/>
        <v>Valid</v>
      </c>
    </row>
    <row r="1871" spans="1:45" x14ac:dyDescent="0.3">
      <c r="A1871">
        <v>2186</v>
      </c>
      <c r="B1871">
        <v>1977</v>
      </c>
      <c r="C1871" t="s">
        <v>37</v>
      </c>
      <c r="D1871" t="s">
        <v>31</v>
      </c>
      <c r="E1871">
        <v>82326</v>
      </c>
      <c r="F1871">
        <v>0</v>
      </c>
      <c r="G1871">
        <v>0</v>
      </c>
      <c r="H1871" s="1">
        <v>41708</v>
      </c>
      <c r="I1871">
        <v>30</v>
      </c>
      <c r="J1871">
        <v>938</v>
      </c>
      <c r="K1871">
        <v>142</v>
      </c>
      <c r="L1871">
        <v>754</v>
      </c>
      <c r="M1871">
        <v>159</v>
      </c>
      <c r="N1871">
        <v>81</v>
      </c>
      <c r="O1871">
        <v>183</v>
      </c>
      <c r="P1871">
        <v>1</v>
      </c>
      <c r="Q1871">
        <v>5</v>
      </c>
      <c r="R1871">
        <v>10</v>
      </c>
      <c r="S1871">
        <v>6</v>
      </c>
      <c r="T1871">
        <v>2</v>
      </c>
      <c r="U1871">
        <v>0</v>
      </c>
      <c r="V1871">
        <v>1</v>
      </c>
      <c r="W1871">
        <v>1</v>
      </c>
      <c r="X1871">
        <v>1</v>
      </c>
      <c r="Y1871">
        <v>0</v>
      </c>
      <c r="Z1871">
        <v>0</v>
      </c>
      <c r="AA1871">
        <v>3</v>
      </c>
      <c r="AB1871">
        <v>11</v>
      </c>
      <c r="AC1871">
        <v>1</v>
      </c>
      <c r="AD1871" t="str">
        <f t="shared" si="377"/>
        <v>Ok</v>
      </c>
      <c r="AE1871" t="str">
        <f>IF(AND(Audit_Data[[#This Row],[Year_Birth]]&gt;=1900,Audit_Data[[#This Row],[Year_Birth]]&lt;=2010),"OK","Invalid")</f>
        <v>OK</v>
      </c>
      <c r="AF1871" t="str">
        <f t="shared" si="378"/>
        <v>Valid</v>
      </c>
      <c r="AG1871" t="str">
        <f t="shared" si="379"/>
        <v>Valid</v>
      </c>
      <c r="AH1871" t="str">
        <f t="shared" si="380"/>
        <v>Valid</v>
      </c>
      <c r="AI1871" t="str">
        <f t="shared" si="381"/>
        <v>Valid</v>
      </c>
      <c r="AJ1871" t="str">
        <f t="shared" si="382"/>
        <v>Valid</v>
      </c>
      <c r="AK1871" t="str">
        <f t="shared" si="389"/>
        <v xml:space="preserve">Valid </v>
      </c>
      <c r="AL1871" t="str">
        <f>IF(AND(Audit_Data[[#This Row],[Recency]]&gt;=0,Audit_Data[[#This Row],[Recency]]&lt;=100),"Valid","Invalid")</f>
        <v>Valid</v>
      </c>
      <c r="AM1871" t="str">
        <f t="shared" si="383"/>
        <v>Valid</v>
      </c>
      <c r="AN1871" t="str">
        <f t="shared" si="384"/>
        <v>Valid</v>
      </c>
      <c r="AO1871" t="str">
        <f t="shared" si="385"/>
        <v>Valid</v>
      </c>
      <c r="AP1871" t="str">
        <f t="shared" si="386"/>
        <v>Valid</v>
      </c>
      <c r="AQ1871" t="str">
        <f>IF(Audit_Data[[#This Row],[Z_CostContact]]=3,"Valid","Invalid")</f>
        <v>Valid</v>
      </c>
      <c r="AR1871" t="str">
        <f t="shared" si="387"/>
        <v>Valid</v>
      </c>
      <c r="AS1871" t="str">
        <f t="shared" si="388"/>
        <v>Valid</v>
      </c>
    </row>
    <row r="1872" spans="1:45" x14ac:dyDescent="0.3">
      <c r="A1872">
        <v>3286</v>
      </c>
      <c r="B1872">
        <v>1967</v>
      </c>
      <c r="C1872" t="s">
        <v>32</v>
      </c>
      <c r="D1872" t="s">
        <v>35</v>
      </c>
      <c r="E1872">
        <v>26642</v>
      </c>
      <c r="F1872">
        <v>1</v>
      </c>
      <c r="G1872">
        <v>0</v>
      </c>
      <c r="H1872" s="1">
        <v>41699</v>
      </c>
      <c r="I1872">
        <v>71</v>
      </c>
      <c r="J1872">
        <v>13</v>
      </c>
      <c r="K1872">
        <v>2</v>
      </c>
      <c r="L1872">
        <v>15</v>
      </c>
      <c r="M1872">
        <v>2</v>
      </c>
      <c r="N1872">
        <v>2</v>
      </c>
      <c r="O1872">
        <v>8</v>
      </c>
      <c r="P1872">
        <v>2</v>
      </c>
      <c r="Q1872">
        <v>2</v>
      </c>
      <c r="R1872">
        <v>0</v>
      </c>
      <c r="S1872">
        <v>3</v>
      </c>
      <c r="T1872">
        <v>6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3</v>
      </c>
      <c r="AB1872">
        <v>11</v>
      </c>
      <c r="AC1872">
        <v>0</v>
      </c>
      <c r="AD1872" t="str">
        <f t="shared" si="377"/>
        <v>Ok</v>
      </c>
      <c r="AE1872" t="str">
        <f>IF(AND(Audit_Data[[#This Row],[Year_Birth]]&gt;=1900,Audit_Data[[#This Row],[Year_Birth]]&lt;=2010),"OK","Invalid")</f>
        <v>OK</v>
      </c>
      <c r="AF1872" t="str">
        <f t="shared" si="378"/>
        <v>Valid</v>
      </c>
      <c r="AG1872" t="str">
        <f t="shared" si="379"/>
        <v>Valid</v>
      </c>
      <c r="AH1872" t="str">
        <f t="shared" si="380"/>
        <v>Valid</v>
      </c>
      <c r="AI1872" t="str">
        <f t="shared" si="381"/>
        <v>Valid</v>
      </c>
      <c r="AJ1872" t="str">
        <f t="shared" si="382"/>
        <v>Valid</v>
      </c>
      <c r="AK1872" t="str">
        <f t="shared" si="389"/>
        <v xml:space="preserve">Valid </v>
      </c>
      <c r="AL1872" t="str">
        <f>IF(AND(Audit_Data[[#This Row],[Recency]]&gt;=0,Audit_Data[[#This Row],[Recency]]&lt;=100),"Valid","Invalid")</f>
        <v>Valid</v>
      </c>
      <c r="AM1872" t="str">
        <f t="shared" si="383"/>
        <v>Valid</v>
      </c>
      <c r="AN1872" t="str">
        <f t="shared" si="384"/>
        <v>Valid</v>
      </c>
      <c r="AO1872" t="str">
        <f t="shared" si="385"/>
        <v>Valid</v>
      </c>
      <c r="AP1872" t="str">
        <f t="shared" si="386"/>
        <v>Valid</v>
      </c>
      <c r="AQ1872" t="str">
        <f>IF(Audit_Data[[#This Row],[Z_CostContact]]=3,"Valid","Invalid")</f>
        <v>Valid</v>
      </c>
      <c r="AR1872" t="str">
        <f t="shared" si="387"/>
        <v>Valid</v>
      </c>
      <c r="AS1872" t="str">
        <f t="shared" si="388"/>
        <v>Valid</v>
      </c>
    </row>
    <row r="1873" spans="1:45" x14ac:dyDescent="0.3">
      <c r="A1873">
        <v>8602</v>
      </c>
      <c r="B1873">
        <v>1964</v>
      </c>
      <c r="C1873" t="s">
        <v>29</v>
      </c>
      <c r="D1873" t="s">
        <v>35</v>
      </c>
      <c r="E1873">
        <v>69932</v>
      </c>
      <c r="F1873">
        <v>0</v>
      </c>
      <c r="G1873">
        <v>1</v>
      </c>
      <c r="H1873" s="1">
        <v>41437</v>
      </c>
      <c r="I1873">
        <v>97</v>
      </c>
      <c r="J1873">
        <v>412</v>
      </c>
      <c r="K1873">
        <v>172</v>
      </c>
      <c r="L1873">
        <v>153</v>
      </c>
      <c r="M1873">
        <v>150</v>
      </c>
      <c r="N1873">
        <v>105</v>
      </c>
      <c r="O1873">
        <v>57</v>
      </c>
      <c r="P1873">
        <v>2</v>
      </c>
      <c r="Q1873">
        <v>7</v>
      </c>
      <c r="R1873">
        <v>6</v>
      </c>
      <c r="S1873">
        <v>11</v>
      </c>
      <c r="T1873">
        <v>4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3</v>
      </c>
      <c r="AB1873">
        <v>11</v>
      </c>
      <c r="AC1873">
        <v>0</v>
      </c>
      <c r="AD1873" t="str">
        <f t="shared" si="377"/>
        <v>Ok</v>
      </c>
      <c r="AE1873" t="str">
        <f>IF(AND(Audit_Data[[#This Row],[Year_Birth]]&gt;=1900,Audit_Data[[#This Row],[Year_Birth]]&lt;=2010),"OK","Invalid")</f>
        <v>OK</v>
      </c>
      <c r="AF1873" t="str">
        <f t="shared" si="378"/>
        <v>Valid</v>
      </c>
      <c r="AG1873" t="str">
        <f t="shared" si="379"/>
        <v>Valid</v>
      </c>
      <c r="AH1873" t="str">
        <f t="shared" si="380"/>
        <v>Valid</v>
      </c>
      <c r="AI1873" t="str">
        <f t="shared" si="381"/>
        <v>Valid</v>
      </c>
      <c r="AJ1873" t="str">
        <f t="shared" si="382"/>
        <v>Valid</v>
      </c>
      <c r="AK1873" t="str">
        <f t="shared" si="389"/>
        <v xml:space="preserve">Valid </v>
      </c>
      <c r="AL1873" t="str">
        <f>IF(AND(Audit_Data[[#This Row],[Recency]]&gt;=0,Audit_Data[[#This Row],[Recency]]&lt;=100),"Valid","Invalid")</f>
        <v>Valid</v>
      </c>
      <c r="AM1873" t="str">
        <f t="shared" si="383"/>
        <v>Valid</v>
      </c>
      <c r="AN1873" t="str">
        <f t="shared" si="384"/>
        <v>Valid</v>
      </c>
      <c r="AO1873" t="str">
        <f t="shared" si="385"/>
        <v>Valid</v>
      </c>
      <c r="AP1873" t="str">
        <f t="shared" si="386"/>
        <v>Valid</v>
      </c>
      <c r="AQ1873" t="str">
        <f>IF(Audit_Data[[#This Row],[Z_CostContact]]=3,"Valid","Invalid")</f>
        <v>Valid</v>
      </c>
      <c r="AR1873" t="str">
        <f t="shared" si="387"/>
        <v>Valid</v>
      </c>
      <c r="AS1873" t="str">
        <f t="shared" si="388"/>
        <v>Valid</v>
      </c>
    </row>
    <row r="1874" spans="1:45" x14ac:dyDescent="0.3">
      <c r="A1874">
        <v>3722</v>
      </c>
      <c r="B1874">
        <v>1972</v>
      </c>
      <c r="C1874" t="s">
        <v>29</v>
      </c>
      <c r="D1874" t="s">
        <v>30</v>
      </c>
      <c r="E1874">
        <v>44503</v>
      </c>
      <c r="F1874">
        <v>1</v>
      </c>
      <c r="G1874">
        <v>1</v>
      </c>
      <c r="H1874" s="1">
        <v>41745</v>
      </c>
      <c r="I1874">
        <v>83</v>
      </c>
      <c r="J1874">
        <v>31</v>
      </c>
      <c r="K1874">
        <v>1</v>
      </c>
      <c r="L1874">
        <v>8</v>
      </c>
      <c r="M1874">
        <v>0</v>
      </c>
      <c r="N1874">
        <v>0</v>
      </c>
      <c r="O1874">
        <v>8</v>
      </c>
      <c r="P1874">
        <v>2</v>
      </c>
      <c r="Q1874">
        <v>2</v>
      </c>
      <c r="R1874">
        <v>0</v>
      </c>
      <c r="S1874">
        <v>3</v>
      </c>
      <c r="T1874">
        <v>6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3</v>
      </c>
      <c r="AB1874">
        <v>11</v>
      </c>
      <c r="AC1874">
        <v>0</v>
      </c>
      <c r="AD1874" t="str">
        <f t="shared" si="377"/>
        <v>Ok</v>
      </c>
      <c r="AE1874" t="str">
        <f>IF(AND(Audit_Data[[#This Row],[Year_Birth]]&gt;=1900,Audit_Data[[#This Row],[Year_Birth]]&lt;=2010),"OK","Invalid")</f>
        <v>OK</v>
      </c>
      <c r="AF1874" t="str">
        <f t="shared" si="378"/>
        <v>Valid</v>
      </c>
      <c r="AG1874" t="str">
        <f t="shared" si="379"/>
        <v>Valid</v>
      </c>
      <c r="AH1874" t="str">
        <f t="shared" si="380"/>
        <v>Valid</v>
      </c>
      <c r="AI1874" t="str">
        <f t="shared" si="381"/>
        <v>Valid</v>
      </c>
      <c r="AJ1874" t="str">
        <f t="shared" si="382"/>
        <v>Valid</v>
      </c>
      <c r="AK1874" t="str">
        <f t="shared" si="389"/>
        <v xml:space="preserve">Valid </v>
      </c>
      <c r="AL1874" t="str">
        <f>IF(AND(Audit_Data[[#This Row],[Recency]]&gt;=0,Audit_Data[[#This Row],[Recency]]&lt;=100),"Valid","Invalid")</f>
        <v>Valid</v>
      </c>
      <c r="AM1874" t="str">
        <f t="shared" si="383"/>
        <v>Valid</v>
      </c>
      <c r="AN1874" t="str">
        <f t="shared" si="384"/>
        <v>Valid</v>
      </c>
      <c r="AO1874" t="str">
        <f t="shared" si="385"/>
        <v>Valid</v>
      </c>
      <c r="AP1874" t="str">
        <f t="shared" si="386"/>
        <v>Valid</v>
      </c>
      <c r="AQ1874" t="str">
        <f>IF(Audit_Data[[#This Row],[Z_CostContact]]=3,"Valid","Invalid")</f>
        <v>Valid</v>
      </c>
      <c r="AR1874" t="str">
        <f t="shared" si="387"/>
        <v>Valid</v>
      </c>
      <c r="AS1874" t="str">
        <f t="shared" si="388"/>
        <v>Valid</v>
      </c>
    </row>
    <row r="1875" spans="1:45" x14ac:dyDescent="0.3">
      <c r="A1875">
        <v>6715</v>
      </c>
      <c r="B1875">
        <v>1948</v>
      </c>
      <c r="C1875" t="s">
        <v>32</v>
      </c>
      <c r="D1875" t="s">
        <v>30</v>
      </c>
      <c r="E1875">
        <v>60200</v>
      </c>
      <c r="F1875">
        <v>0</v>
      </c>
      <c r="G1875">
        <v>1</v>
      </c>
      <c r="H1875" s="1">
        <v>41276</v>
      </c>
      <c r="I1875">
        <v>3</v>
      </c>
      <c r="J1875">
        <v>502</v>
      </c>
      <c r="K1875">
        <v>19</v>
      </c>
      <c r="L1875">
        <v>132</v>
      </c>
      <c r="M1875">
        <v>0</v>
      </c>
      <c r="N1875">
        <v>6</v>
      </c>
      <c r="O1875">
        <v>26</v>
      </c>
      <c r="P1875">
        <v>6</v>
      </c>
      <c r="Q1875">
        <v>6</v>
      </c>
      <c r="R1875">
        <v>2</v>
      </c>
      <c r="S1875">
        <v>11</v>
      </c>
      <c r="T1875">
        <v>6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3</v>
      </c>
      <c r="AB1875">
        <v>11</v>
      </c>
      <c r="AC1875">
        <v>0</v>
      </c>
      <c r="AD1875" t="str">
        <f t="shared" si="377"/>
        <v>Ok</v>
      </c>
      <c r="AE1875" t="str">
        <f>IF(AND(Audit_Data[[#This Row],[Year_Birth]]&gt;=1900,Audit_Data[[#This Row],[Year_Birth]]&lt;=2010),"OK","Invalid")</f>
        <v>OK</v>
      </c>
      <c r="AF1875" t="str">
        <f t="shared" si="378"/>
        <v>Valid</v>
      </c>
      <c r="AG1875" t="str">
        <f t="shared" si="379"/>
        <v>Valid</v>
      </c>
      <c r="AH1875" t="str">
        <f t="shared" si="380"/>
        <v>Valid</v>
      </c>
      <c r="AI1875" t="str">
        <f t="shared" si="381"/>
        <v>Valid</v>
      </c>
      <c r="AJ1875" t="str">
        <f t="shared" si="382"/>
        <v>Valid</v>
      </c>
      <c r="AK1875" t="str">
        <f t="shared" si="389"/>
        <v xml:space="preserve">Valid </v>
      </c>
      <c r="AL1875" t="str">
        <f>IF(AND(Audit_Data[[#This Row],[Recency]]&gt;=0,Audit_Data[[#This Row],[Recency]]&lt;=100),"Valid","Invalid")</f>
        <v>Valid</v>
      </c>
      <c r="AM1875" t="str">
        <f t="shared" si="383"/>
        <v>Valid</v>
      </c>
      <c r="AN1875" t="str">
        <f t="shared" si="384"/>
        <v>Valid</v>
      </c>
      <c r="AO1875" t="str">
        <f t="shared" si="385"/>
        <v>Valid</v>
      </c>
      <c r="AP1875" t="str">
        <f t="shared" si="386"/>
        <v>Valid</v>
      </c>
      <c r="AQ1875" t="str">
        <f>IF(Audit_Data[[#This Row],[Z_CostContact]]=3,"Valid","Invalid")</f>
        <v>Valid</v>
      </c>
      <c r="AR1875" t="str">
        <f t="shared" si="387"/>
        <v>Valid</v>
      </c>
      <c r="AS1875" t="str">
        <f t="shared" si="388"/>
        <v>Valid</v>
      </c>
    </row>
    <row r="1876" spans="1:45" x14ac:dyDescent="0.3">
      <c r="A1876">
        <v>4796</v>
      </c>
      <c r="B1876">
        <v>1952</v>
      </c>
      <c r="C1876" t="s">
        <v>29</v>
      </c>
      <c r="D1876" t="s">
        <v>35</v>
      </c>
      <c r="E1876">
        <v>49638</v>
      </c>
      <c r="F1876">
        <v>0</v>
      </c>
      <c r="G1876">
        <v>1</v>
      </c>
      <c r="H1876" s="1">
        <v>41748</v>
      </c>
      <c r="I1876">
        <v>71</v>
      </c>
      <c r="J1876">
        <v>18</v>
      </c>
      <c r="K1876">
        <v>10</v>
      </c>
      <c r="L1876">
        <v>3</v>
      </c>
      <c r="M1876">
        <v>3</v>
      </c>
      <c r="N1876">
        <v>5</v>
      </c>
      <c r="O1876">
        <v>0</v>
      </c>
      <c r="P1876">
        <v>1</v>
      </c>
      <c r="Q1876">
        <v>1</v>
      </c>
      <c r="R1876">
        <v>0</v>
      </c>
      <c r="S1876">
        <v>3</v>
      </c>
      <c r="T1876">
        <v>2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3</v>
      </c>
      <c r="AB1876">
        <v>11</v>
      </c>
      <c r="AC1876">
        <v>0</v>
      </c>
      <c r="AD1876" t="str">
        <f t="shared" si="377"/>
        <v>Ok</v>
      </c>
      <c r="AE1876" t="str">
        <f>IF(AND(Audit_Data[[#This Row],[Year_Birth]]&gt;=1900,Audit_Data[[#This Row],[Year_Birth]]&lt;=2010),"OK","Invalid")</f>
        <v>OK</v>
      </c>
      <c r="AF1876" t="str">
        <f t="shared" si="378"/>
        <v>Valid</v>
      </c>
      <c r="AG1876" t="str">
        <f t="shared" si="379"/>
        <v>Valid</v>
      </c>
      <c r="AH1876" t="str">
        <f t="shared" si="380"/>
        <v>Valid</v>
      </c>
      <c r="AI1876" t="str">
        <f t="shared" si="381"/>
        <v>Valid</v>
      </c>
      <c r="AJ1876" t="str">
        <f t="shared" si="382"/>
        <v>Valid</v>
      </c>
      <c r="AK1876" t="str">
        <f t="shared" si="389"/>
        <v xml:space="preserve">Valid </v>
      </c>
      <c r="AL1876" t="str">
        <f>IF(AND(Audit_Data[[#This Row],[Recency]]&gt;=0,Audit_Data[[#This Row],[Recency]]&lt;=100),"Valid","Invalid")</f>
        <v>Valid</v>
      </c>
      <c r="AM1876" t="str">
        <f t="shared" si="383"/>
        <v>Valid</v>
      </c>
      <c r="AN1876" t="str">
        <f t="shared" si="384"/>
        <v>Valid</v>
      </c>
      <c r="AO1876" t="str">
        <f t="shared" si="385"/>
        <v>Valid</v>
      </c>
      <c r="AP1876" t="str">
        <f t="shared" si="386"/>
        <v>Valid</v>
      </c>
      <c r="AQ1876" t="str">
        <f>IF(Audit_Data[[#This Row],[Z_CostContact]]=3,"Valid","Invalid")</f>
        <v>Valid</v>
      </c>
      <c r="AR1876" t="str">
        <f t="shared" si="387"/>
        <v>Valid</v>
      </c>
      <c r="AS1876" t="str">
        <f t="shared" si="388"/>
        <v>Valid</v>
      </c>
    </row>
    <row r="1877" spans="1:45" x14ac:dyDescent="0.3">
      <c r="A1877">
        <v>9612</v>
      </c>
      <c r="B1877">
        <v>1987</v>
      </c>
      <c r="C1877" t="s">
        <v>37</v>
      </c>
      <c r="D1877" t="s">
        <v>30</v>
      </c>
      <c r="E1877">
        <v>23830</v>
      </c>
      <c r="F1877">
        <v>0</v>
      </c>
      <c r="G1877">
        <v>0</v>
      </c>
      <c r="H1877" s="1">
        <v>41677</v>
      </c>
      <c r="I1877">
        <v>3</v>
      </c>
      <c r="J1877">
        <v>1</v>
      </c>
      <c r="K1877">
        <v>8</v>
      </c>
      <c r="L1877">
        <v>6</v>
      </c>
      <c r="M1877">
        <v>4</v>
      </c>
      <c r="N1877">
        <v>8</v>
      </c>
      <c r="O1877">
        <v>16</v>
      </c>
      <c r="P1877">
        <v>1</v>
      </c>
      <c r="Q1877">
        <v>1</v>
      </c>
      <c r="R1877">
        <v>0</v>
      </c>
      <c r="S1877">
        <v>3</v>
      </c>
      <c r="T1877">
        <v>7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3</v>
      </c>
      <c r="AB1877">
        <v>11</v>
      </c>
      <c r="AC1877">
        <v>0</v>
      </c>
      <c r="AD1877" t="str">
        <f t="shared" si="377"/>
        <v>Ok</v>
      </c>
      <c r="AE1877" t="str">
        <f>IF(AND(Audit_Data[[#This Row],[Year_Birth]]&gt;=1900,Audit_Data[[#This Row],[Year_Birth]]&lt;=2010),"OK","Invalid")</f>
        <v>OK</v>
      </c>
      <c r="AF1877" t="str">
        <f t="shared" si="378"/>
        <v>Valid</v>
      </c>
      <c r="AG1877" t="str">
        <f t="shared" si="379"/>
        <v>Valid</v>
      </c>
      <c r="AH1877" t="str">
        <f t="shared" si="380"/>
        <v>Valid</v>
      </c>
      <c r="AI1877" t="str">
        <f t="shared" si="381"/>
        <v>Valid</v>
      </c>
      <c r="AJ1877" t="str">
        <f t="shared" si="382"/>
        <v>Valid</v>
      </c>
      <c r="AK1877" t="str">
        <f t="shared" si="389"/>
        <v xml:space="preserve">Valid </v>
      </c>
      <c r="AL1877" t="str">
        <f>IF(AND(Audit_Data[[#This Row],[Recency]]&gt;=0,Audit_Data[[#This Row],[Recency]]&lt;=100),"Valid","Invalid")</f>
        <v>Valid</v>
      </c>
      <c r="AM1877" t="str">
        <f t="shared" si="383"/>
        <v>Valid</v>
      </c>
      <c r="AN1877" t="str">
        <f t="shared" si="384"/>
        <v>Valid</v>
      </c>
      <c r="AO1877" t="str">
        <f t="shared" si="385"/>
        <v>Valid</v>
      </c>
      <c r="AP1877" t="str">
        <f t="shared" si="386"/>
        <v>Valid</v>
      </c>
      <c r="AQ1877" t="str">
        <f>IF(Audit_Data[[#This Row],[Z_CostContact]]=3,"Valid","Invalid")</f>
        <v>Valid</v>
      </c>
      <c r="AR1877" t="str">
        <f t="shared" si="387"/>
        <v>Valid</v>
      </c>
      <c r="AS1877" t="str">
        <f t="shared" si="388"/>
        <v>Valid</v>
      </c>
    </row>
    <row r="1878" spans="1:45" x14ac:dyDescent="0.3">
      <c r="A1878">
        <v>3766</v>
      </c>
      <c r="B1878">
        <v>1959</v>
      </c>
      <c r="C1878" t="s">
        <v>34</v>
      </c>
      <c r="D1878" t="s">
        <v>38</v>
      </c>
      <c r="E1878">
        <v>33051</v>
      </c>
      <c r="F1878">
        <v>0</v>
      </c>
      <c r="G1878">
        <v>0</v>
      </c>
      <c r="H1878" s="1">
        <v>41137</v>
      </c>
      <c r="I1878">
        <v>15</v>
      </c>
      <c r="J1878">
        <v>100</v>
      </c>
      <c r="K1878">
        <v>71</v>
      </c>
      <c r="L1878">
        <v>243</v>
      </c>
      <c r="M1878">
        <v>108</v>
      </c>
      <c r="N1878">
        <v>94</v>
      </c>
      <c r="O1878">
        <v>219</v>
      </c>
      <c r="P1878">
        <v>3</v>
      </c>
      <c r="Q1878">
        <v>9</v>
      </c>
      <c r="R1878">
        <v>1</v>
      </c>
      <c r="S1878">
        <v>8</v>
      </c>
      <c r="T1878">
        <v>9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3</v>
      </c>
      <c r="AB1878">
        <v>11</v>
      </c>
      <c r="AC1878">
        <v>1</v>
      </c>
      <c r="AD1878" t="str">
        <f t="shared" si="377"/>
        <v>Ok</v>
      </c>
      <c r="AE1878" t="str">
        <f>IF(AND(Audit_Data[[#This Row],[Year_Birth]]&gt;=1900,Audit_Data[[#This Row],[Year_Birth]]&lt;=2010),"OK","Invalid")</f>
        <v>OK</v>
      </c>
      <c r="AF1878" t="str">
        <f t="shared" si="378"/>
        <v>Valid</v>
      </c>
      <c r="AG1878" t="str">
        <f t="shared" si="379"/>
        <v>Valid</v>
      </c>
      <c r="AH1878" t="str">
        <f t="shared" si="380"/>
        <v>Valid</v>
      </c>
      <c r="AI1878" t="str">
        <f t="shared" si="381"/>
        <v>Valid</v>
      </c>
      <c r="AJ1878" t="str">
        <f t="shared" si="382"/>
        <v>Valid</v>
      </c>
      <c r="AK1878" t="str">
        <f t="shared" si="389"/>
        <v xml:space="preserve">Valid </v>
      </c>
      <c r="AL1878" t="str">
        <f>IF(AND(Audit_Data[[#This Row],[Recency]]&gt;=0,Audit_Data[[#This Row],[Recency]]&lt;=100),"Valid","Invalid")</f>
        <v>Valid</v>
      </c>
      <c r="AM1878" t="str">
        <f t="shared" si="383"/>
        <v>Valid</v>
      </c>
      <c r="AN1878" t="str">
        <f t="shared" si="384"/>
        <v>Valid</v>
      </c>
      <c r="AO1878" t="str">
        <f t="shared" si="385"/>
        <v>Valid</v>
      </c>
      <c r="AP1878" t="str">
        <f t="shared" si="386"/>
        <v>Valid</v>
      </c>
      <c r="AQ1878" t="str">
        <f>IF(Audit_Data[[#This Row],[Z_CostContact]]=3,"Valid","Invalid")</f>
        <v>Valid</v>
      </c>
      <c r="AR1878" t="str">
        <f t="shared" si="387"/>
        <v>Valid</v>
      </c>
      <c r="AS1878" t="str">
        <f t="shared" si="388"/>
        <v>Valid</v>
      </c>
    </row>
    <row r="1879" spans="1:45" x14ac:dyDescent="0.3">
      <c r="A1879">
        <v>1399</v>
      </c>
      <c r="B1879">
        <v>1958</v>
      </c>
      <c r="C1879" t="s">
        <v>29</v>
      </c>
      <c r="D1879" t="s">
        <v>33</v>
      </c>
      <c r="E1879">
        <v>72905</v>
      </c>
      <c r="F1879">
        <v>0</v>
      </c>
      <c r="G1879">
        <v>0</v>
      </c>
      <c r="H1879" s="1">
        <v>41660</v>
      </c>
      <c r="I1879">
        <v>52</v>
      </c>
      <c r="J1879">
        <v>407</v>
      </c>
      <c r="K1879">
        <v>114</v>
      </c>
      <c r="L1879">
        <v>445</v>
      </c>
      <c r="M1879">
        <v>181</v>
      </c>
      <c r="N1879">
        <v>165</v>
      </c>
      <c r="O1879">
        <v>203</v>
      </c>
      <c r="P1879">
        <v>1</v>
      </c>
      <c r="Q1879">
        <v>3</v>
      </c>
      <c r="R1879">
        <v>7</v>
      </c>
      <c r="S1879">
        <v>9</v>
      </c>
      <c r="T1879">
        <v>1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0</v>
      </c>
      <c r="AA1879">
        <v>3</v>
      </c>
      <c r="AB1879">
        <v>11</v>
      </c>
      <c r="AC1879">
        <v>0</v>
      </c>
      <c r="AD1879" t="str">
        <f t="shared" si="377"/>
        <v>Ok</v>
      </c>
      <c r="AE1879" t="str">
        <f>IF(AND(Audit_Data[[#This Row],[Year_Birth]]&gt;=1900,Audit_Data[[#This Row],[Year_Birth]]&lt;=2010),"OK","Invalid")</f>
        <v>OK</v>
      </c>
      <c r="AF1879" t="str">
        <f t="shared" si="378"/>
        <v>Valid</v>
      </c>
      <c r="AG1879" t="str">
        <f t="shared" si="379"/>
        <v>Valid</v>
      </c>
      <c r="AH1879" t="str">
        <f t="shared" si="380"/>
        <v>Valid</v>
      </c>
      <c r="AI1879" t="str">
        <f t="shared" si="381"/>
        <v>Valid</v>
      </c>
      <c r="AJ1879" t="str">
        <f t="shared" si="382"/>
        <v>Valid</v>
      </c>
      <c r="AK1879" t="str">
        <f t="shared" si="389"/>
        <v xml:space="preserve">Valid </v>
      </c>
      <c r="AL1879" t="str">
        <f>IF(AND(Audit_Data[[#This Row],[Recency]]&gt;=0,Audit_Data[[#This Row],[Recency]]&lt;=100),"Valid","Invalid")</f>
        <v>Valid</v>
      </c>
      <c r="AM1879" t="str">
        <f t="shared" si="383"/>
        <v>Valid</v>
      </c>
      <c r="AN1879" t="str">
        <f t="shared" si="384"/>
        <v>Valid</v>
      </c>
      <c r="AO1879" t="str">
        <f t="shared" si="385"/>
        <v>Valid</v>
      </c>
      <c r="AP1879" t="str">
        <f t="shared" si="386"/>
        <v>Valid</v>
      </c>
      <c r="AQ1879" t="str">
        <f>IF(Audit_Data[[#This Row],[Z_CostContact]]=3,"Valid","Invalid")</f>
        <v>Valid</v>
      </c>
      <c r="AR1879" t="str">
        <f t="shared" si="387"/>
        <v>Valid</v>
      </c>
      <c r="AS1879" t="str">
        <f t="shared" si="388"/>
        <v>Valid</v>
      </c>
    </row>
    <row r="1880" spans="1:45" x14ac:dyDescent="0.3">
      <c r="A1880">
        <v>1570</v>
      </c>
      <c r="B1880">
        <v>1951</v>
      </c>
      <c r="C1880" t="s">
        <v>32</v>
      </c>
      <c r="D1880" t="s">
        <v>31</v>
      </c>
      <c r="E1880">
        <v>69702</v>
      </c>
      <c r="F1880">
        <v>0</v>
      </c>
      <c r="G1880">
        <v>1</v>
      </c>
      <c r="H1880" s="1">
        <v>41324</v>
      </c>
      <c r="I1880">
        <v>8</v>
      </c>
      <c r="J1880">
        <v>664</v>
      </c>
      <c r="K1880">
        <v>9</v>
      </c>
      <c r="L1880">
        <v>240</v>
      </c>
      <c r="M1880">
        <v>50</v>
      </c>
      <c r="N1880">
        <v>19</v>
      </c>
      <c r="O1880">
        <v>57</v>
      </c>
      <c r="P1880">
        <v>2</v>
      </c>
      <c r="Q1880">
        <v>7</v>
      </c>
      <c r="R1880">
        <v>7</v>
      </c>
      <c r="S1880">
        <v>10</v>
      </c>
      <c r="T1880">
        <v>4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3</v>
      </c>
      <c r="AB1880">
        <v>11</v>
      </c>
      <c r="AC1880">
        <v>0</v>
      </c>
      <c r="AD1880" t="str">
        <f t="shared" si="377"/>
        <v>Ok</v>
      </c>
      <c r="AE1880" t="str">
        <f>IF(AND(Audit_Data[[#This Row],[Year_Birth]]&gt;=1900,Audit_Data[[#This Row],[Year_Birth]]&lt;=2010),"OK","Invalid")</f>
        <v>OK</v>
      </c>
      <c r="AF1880" t="str">
        <f t="shared" si="378"/>
        <v>Valid</v>
      </c>
      <c r="AG1880" t="str">
        <f t="shared" si="379"/>
        <v>Valid</v>
      </c>
      <c r="AH1880" t="str">
        <f t="shared" si="380"/>
        <v>Valid</v>
      </c>
      <c r="AI1880" t="str">
        <f t="shared" si="381"/>
        <v>Valid</v>
      </c>
      <c r="AJ1880" t="str">
        <f t="shared" si="382"/>
        <v>Valid</v>
      </c>
      <c r="AK1880" t="str">
        <f t="shared" si="389"/>
        <v xml:space="preserve">Valid </v>
      </c>
      <c r="AL1880" t="str">
        <f>IF(AND(Audit_Data[[#This Row],[Recency]]&gt;=0,Audit_Data[[#This Row],[Recency]]&lt;=100),"Valid","Invalid")</f>
        <v>Valid</v>
      </c>
      <c r="AM1880" t="str">
        <f t="shared" si="383"/>
        <v>Valid</v>
      </c>
      <c r="AN1880" t="str">
        <f t="shared" si="384"/>
        <v>Valid</v>
      </c>
      <c r="AO1880" t="str">
        <f t="shared" si="385"/>
        <v>Valid</v>
      </c>
      <c r="AP1880" t="str">
        <f t="shared" si="386"/>
        <v>Valid</v>
      </c>
      <c r="AQ1880" t="str">
        <f>IF(Audit_Data[[#This Row],[Z_CostContact]]=3,"Valid","Invalid")</f>
        <v>Valid</v>
      </c>
      <c r="AR1880" t="str">
        <f t="shared" si="387"/>
        <v>Valid</v>
      </c>
      <c r="AS1880" t="str">
        <f t="shared" si="388"/>
        <v>Valid</v>
      </c>
    </row>
    <row r="1881" spans="1:45" x14ac:dyDescent="0.3">
      <c r="A1881">
        <v>3426</v>
      </c>
      <c r="B1881">
        <v>1975</v>
      </c>
      <c r="C1881" t="s">
        <v>29</v>
      </c>
      <c r="D1881" t="s">
        <v>35</v>
      </c>
      <c r="E1881">
        <v>70300</v>
      </c>
      <c r="F1881">
        <v>1</v>
      </c>
      <c r="G1881">
        <v>0</v>
      </c>
      <c r="H1881" s="1">
        <v>41470</v>
      </c>
      <c r="I1881">
        <v>89</v>
      </c>
      <c r="J1881">
        <v>1045</v>
      </c>
      <c r="K1881">
        <v>61</v>
      </c>
      <c r="L1881">
        <v>338</v>
      </c>
      <c r="M1881">
        <v>60</v>
      </c>
      <c r="N1881">
        <v>46</v>
      </c>
      <c r="O1881">
        <v>46</v>
      </c>
      <c r="P1881">
        <v>3</v>
      </c>
      <c r="Q1881">
        <v>5</v>
      </c>
      <c r="R1881">
        <v>5</v>
      </c>
      <c r="S1881">
        <v>13</v>
      </c>
      <c r="T1881">
        <v>8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3</v>
      </c>
      <c r="AB1881">
        <v>11</v>
      </c>
      <c r="AC1881">
        <v>0</v>
      </c>
      <c r="AD1881" t="str">
        <f t="shared" si="377"/>
        <v>Ok</v>
      </c>
      <c r="AE1881" t="str">
        <f>IF(AND(Audit_Data[[#This Row],[Year_Birth]]&gt;=1900,Audit_Data[[#This Row],[Year_Birth]]&lt;=2010),"OK","Invalid")</f>
        <v>OK</v>
      </c>
      <c r="AF1881" t="str">
        <f t="shared" si="378"/>
        <v>Valid</v>
      </c>
      <c r="AG1881" t="str">
        <f t="shared" si="379"/>
        <v>Valid</v>
      </c>
      <c r="AH1881" t="str">
        <f t="shared" si="380"/>
        <v>Valid</v>
      </c>
      <c r="AI1881" t="str">
        <f t="shared" si="381"/>
        <v>Valid</v>
      </c>
      <c r="AJ1881" t="str">
        <f t="shared" si="382"/>
        <v>Valid</v>
      </c>
      <c r="AK1881" t="str">
        <f t="shared" si="389"/>
        <v xml:space="preserve">Valid </v>
      </c>
      <c r="AL1881" t="str">
        <f>IF(AND(Audit_Data[[#This Row],[Recency]]&gt;=0,Audit_Data[[#This Row],[Recency]]&lt;=100),"Valid","Invalid")</f>
        <v>Valid</v>
      </c>
      <c r="AM1881" t="str">
        <f t="shared" si="383"/>
        <v>Valid</v>
      </c>
      <c r="AN1881" t="str">
        <f t="shared" si="384"/>
        <v>Valid</v>
      </c>
      <c r="AO1881" t="str">
        <f t="shared" si="385"/>
        <v>Valid</v>
      </c>
      <c r="AP1881" t="str">
        <f t="shared" si="386"/>
        <v>Valid</v>
      </c>
      <c r="AQ1881" t="str">
        <f>IF(Audit_Data[[#This Row],[Z_CostContact]]=3,"Valid","Invalid")</f>
        <v>Valid</v>
      </c>
      <c r="AR1881" t="str">
        <f t="shared" si="387"/>
        <v>Valid</v>
      </c>
      <c r="AS1881" t="str">
        <f t="shared" si="388"/>
        <v>Valid</v>
      </c>
    </row>
    <row r="1882" spans="1:45" x14ac:dyDescent="0.3">
      <c r="A1882">
        <v>3074</v>
      </c>
      <c r="B1882">
        <v>1984</v>
      </c>
      <c r="C1882" t="s">
        <v>32</v>
      </c>
      <c r="D1882" t="s">
        <v>33</v>
      </c>
      <c r="E1882">
        <v>70643</v>
      </c>
      <c r="F1882">
        <v>0</v>
      </c>
      <c r="G1882">
        <v>0</v>
      </c>
      <c r="H1882" s="1">
        <v>41197</v>
      </c>
      <c r="I1882">
        <v>66</v>
      </c>
      <c r="J1882">
        <v>1218</v>
      </c>
      <c r="K1882">
        <v>107</v>
      </c>
      <c r="L1882">
        <v>304</v>
      </c>
      <c r="M1882">
        <v>23</v>
      </c>
      <c r="N1882">
        <v>143</v>
      </c>
      <c r="O1882">
        <v>33</v>
      </c>
      <c r="P1882">
        <v>1</v>
      </c>
      <c r="Q1882">
        <v>5</v>
      </c>
      <c r="R1882">
        <v>8</v>
      </c>
      <c r="S1882">
        <v>4</v>
      </c>
      <c r="T1882">
        <v>6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3</v>
      </c>
      <c r="AB1882">
        <v>11</v>
      </c>
      <c r="AC1882">
        <v>1</v>
      </c>
      <c r="AD1882" t="str">
        <f t="shared" si="377"/>
        <v>Ok</v>
      </c>
      <c r="AE1882" t="str">
        <f>IF(AND(Audit_Data[[#This Row],[Year_Birth]]&gt;=1900,Audit_Data[[#This Row],[Year_Birth]]&lt;=2010),"OK","Invalid")</f>
        <v>OK</v>
      </c>
      <c r="AF1882" t="str">
        <f t="shared" si="378"/>
        <v>Valid</v>
      </c>
      <c r="AG1882" t="str">
        <f t="shared" si="379"/>
        <v>Valid</v>
      </c>
      <c r="AH1882" t="str">
        <f t="shared" si="380"/>
        <v>Valid</v>
      </c>
      <c r="AI1882" t="str">
        <f t="shared" si="381"/>
        <v>Valid</v>
      </c>
      <c r="AJ1882" t="str">
        <f t="shared" si="382"/>
        <v>Valid</v>
      </c>
      <c r="AK1882" t="str">
        <f t="shared" si="389"/>
        <v xml:space="preserve">Valid </v>
      </c>
      <c r="AL1882" t="str">
        <f>IF(AND(Audit_Data[[#This Row],[Recency]]&gt;=0,Audit_Data[[#This Row],[Recency]]&lt;=100),"Valid","Invalid")</f>
        <v>Valid</v>
      </c>
      <c r="AM1882" t="str">
        <f t="shared" si="383"/>
        <v>Valid</v>
      </c>
      <c r="AN1882" t="str">
        <f t="shared" si="384"/>
        <v>Valid</v>
      </c>
      <c r="AO1882" t="str">
        <f t="shared" si="385"/>
        <v>Valid</v>
      </c>
      <c r="AP1882" t="str">
        <f t="shared" si="386"/>
        <v>Valid</v>
      </c>
      <c r="AQ1882" t="str">
        <f>IF(Audit_Data[[#This Row],[Z_CostContact]]=3,"Valid","Invalid")</f>
        <v>Valid</v>
      </c>
      <c r="AR1882" t="str">
        <f t="shared" si="387"/>
        <v>Valid</v>
      </c>
      <c r="AS1882" t="str">
        <f t="shared" si="388"/>
        <v>Valid</v>
      </c>
    </row>
    <row r="1883" spans="1:45" x14ac:dyDescent="0.3">
      <c r="A1883">
        <v>8341</v>
      </c>
      <c r="B1883">
        <v>1969</v>
      </c>
      <c r="C1883" t="s">
        <v>32</v>
      </c>
      <c r="D1883" t="s">
        <v>33</v>
      </c>
      <c r="E1883">
        <v>30396</v>
      </c>
      <c r="F1883">
        <v>1</v>
      </c>
      <c r="G1883">
        <v>0</v>
      </c>
      <c r="H1883" s="1">
        <v>41759</v>
      </c>
      <c r="I1883">
        <v>22</v>
      </c>
      <c r="J1883">
        <v>15</v>
      </c>
      <c r="K1883">
        <v>0</v>
      </c>
      <c r="L1883">
        <v>6</v>
      </c>
      <c r="M1883">
        <v>0</v>
      </c>
      <c r="N1883">
        <v>1</v>
      </c>
      <c r="O1883">
        <v>12</v>
      </c>
      <c r="P1883">
        <v>2</v>
      </c>
      <c r="Q1883">
        <v>1</v>
      </c>
      <c r="R1883">
        <v>1</v>
      </c>
      <c r="S1883">
        <v>2</v>
      </c>
      <c r="T1883">
        <v>7</v>
      </c>
      <c r="U1883">
        <v>1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3</v>
      </c>
      <c r="AB1883">
        <v>11</v>
      </c>
      <c r="AC1883">
        <v>1</v>
      </c>
      <c r="AD1883" t="str">
        <f t="shared" si="377"/>
        <v>Ok</v>
      </c>
      <c r="AE1883" t="str">
        <f>IF(AND(Audit_Data[[#This Row],[Year_Birth]]&gt;=1900,Audit_Data[[#This Row],[Year_Birth]]&lt;=2010),"OK","Invalid")</f>
        <v>OK</v>
      </c>
      <c r="AF1883" t="str">
        <f t="shared" si="378"/>
        <v>Valid</v>
      </c>
      <c r="AG1883" t="str">
        <f t="shared" si="379"/>
        <v>Valid</v>
      </c>
      <c r="AH1883" t="str">
        <f t="shared" si="380"/>
        <v>Valid</v>
      </c>
      <c r="AI1883" t="str">
        <f t="shared" si="381"/>
        <v>Valid</v>
      </c>
      <c r="AJ1883" t="str">
        <f t="shared" si="382"/>
        <v>Valid</v>
      </c>
      <c r="AK1883" t="str">
        <f t="shared" si="389"/>
        <v xml:space="preserve">Valid </v>
      </c>
      <c r="AL1883" t="str">
        <f>IF(AND(Audit_Data[[#This Row],[Recency]]&gt;=0,Audit_Data[[#This Row],[Recency]]&lt;=100),"Valid","Invalid")</f>
        <v>Valid</v>
      </c>
      <c r="AM1883" t="str">
        <f t="shared" si="383"/>
        <v>Valid</v>
      </c>
      <c r="AN1883" t="str">
        <f t="shared" si="384"/>
        <v>Valid</v>
      </c>
      <c r="AO1883" t="str">
        <f t="shared" si="385"/>
        <v>Valid</v>
      </c>
      <c r="AP1883" t="str">
        <f t="shared" si="386"/>
        <v>Valid</v>
      </c>
      <c r="AQ1883" t="str">
        <f>IF(Audit_Data[[#This Row],[Z_CostContact]]=3,"Valid","Invalid")</f>
        <v>Valid</v>
      </c>
      <c r="AR1883" t="str">
        <f t="shared" si="387"/>
        <v>Valid</v>
      </c>
      <c r="AS1883" t="str">
        <f t="shared" si="388"/>
        <v>Valid</v>
      </c>
    </row>
    <row r="1884" spans="1:45" x14ac:dyDescent="0.3">
      <c r="A1884">
        <v>5180</v>
      </c>
      <c r="B1884">
        <v>1968</v>
      </c>
      <c r="C1884" t="s">
        <v>32</v>
      </c>
      <c r="D1884" t="s">
        <v>35</v>
      </c>
      <c r="E1884">
        <v>50616</v>
      </c>
      <c r="F1884">
        <v>0</v>
      </c>
      <c r="G1884">
        <v>1</v>
      </c>
      <c r="H1884" s="1">
        <v>41747</v>
      </c>
      <c r="I1884">
        <v>56</v>
      </c>
      <c r="J1884">
        <v>128</v>
      </c>
      <c r="K1884">
        <v>0</v>
      </c>
      <c r="L1884">
        <v>16</v>
      </c>
      <c r="M1884">
        <v>0</v>
      </c>
      <c r="N1884">
        <v>1</v>
      </c>
      <c r="O1884">
        <v>4</v>
      </c>
      <c r="P1884">
        <v>2</v>
      </c>
      <c r="Q1884">
        <v>4</v>
      </c>
      <c r="R1884">
        <v>0</v>
      </c>
      <c r="S1884">
        <v>4</v>
      </c>
      <c r="T1884">
        <v>7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3</v>
      </c>
      <c r="AB1884">
        <v>11</v>
      </c>
      <c r="AC1884">
        <v>0</v>
      </c>
      <c r="AD1884" t="str">
        <f t="shared" si="377"/>
        <v>Ok</v>
      </c>
      <c r="AE1884" t="str">
        <f>IF(AND(Audit_Data[[#This Row],[Year_Birth]]&gt;=1900,Audit_Data[[#This Row],[Year_Birth]]&lt;=2010),"OK","Invalid")</f>
        <v>OK</v>
      </c>
      <c r="AF1884" t="str">
        <f t="shared" si="378"/>
        <v>Valid</v>
      </c>
      <c r="AG1884" t="str">
        <f t="shared" si="379"/>
        <v>Valid</v>
      </c>
      <c r="AH1884" t="str">
        <f t="shared" si="380"/>
        <v>Valid</v>
      </c>
      <c r="AI1884" t="str">
        <f t="shared" si="381"/>
        <v>Valid</v>
      </c>
      <c r="AJ1884" t="str">
        <f t="shared" si="382"/>
        <v>Valid</v>
      </c>
      <c r="AK1884" t="str">
        <f t="shared" si="389"/>
        <v xml:space="preserve">Valid </v>
      </c>
      <c r="AL1884" t="str">
        <f>IF(AND(Audit_Data[[#This Row],[Recency]]&gt;=0,Audit_Data[[#This Row],[Recency]]&lt;=100),"Valid","Invalid")</f>
        <v>Valid</v>
      </c>
      <c r="AM1884" t="str">
        <f t="shared" si="383"/>
        <v>Valid</v>
      </c>
      <c r="AN1884" t="str">
        <f t="shared" si="384"/>
        <v>Valid</v>
      </c>
      <c r="AO1884" t="str">
        <f t="shared" si="385"/>
        <v>Valid</v>
      </c>
      <c r="AP1884" t="str">
        <f t="shared" si="386"/>
        <v>Valid</v>
      </c>
      <c r="AQ1884" t="str">
        <f>IF(Audit_Data[[#This Row],[Z_CostContact]]=3,"Valid","Invalid")</f>
        <v>Valid</v>
      </c>
      <c r="AR1884" t="str">
        <f t="shared" si="387"/>
        <v>Valid</v>
      </c>
      <c r="AS1884" t="str">
        <f t="shared" si="388"/>
        <v>Valid</v>
      </c>
    </row>
    <row r="1885" spans="1:45" x14ac:dyDescent="0.3">
      <c r="A1885">
        <v>6461</v>
      </c>
      <c r="B1885">
        <v>1969</v>
      </c>
      <c r="C1885" t="s">
        <v>34</v>
      </c>
      <c r="D1885" t="s">
        <v>30</v>
      </c>
      <c r="E1885">
        <v>62772</v>
      </c>
      <c r="F1885">
        <v>0</v>
      </c>
      <c r="G1885">
        <v>1</v>
      </c>
      <c r="H1885" s="1">
        <v>41413</v>
      </c>
      <c r="I1885">
        <v>74</v>
      </c>
      <c r="J1885">
        <v>581</v>
      </c>
      <c r="K1885">
        <v>49</v>
      </c>
      <c r="L1885">
        <v>157</v>
      </c>
      <c r="M1885">
        <v>43</v>
      </c>
      <c r="N1885">
        <v>8</v>
      </c>
      <c r="O1885">
        <v>108</v>
      </c>
      <c r="P1885">
        <v>1</v>
      </c>
      <c r="Q1885">
        <v>5</v>
      </c>
      <c r="R1885">
        <v>6</v>
      </c>
      <c r="S1885">
        <v>11</v>
      </c>
      <c r="T1885">
        <v>2</v>
      </c>
      <c r="U1885">
        <v>0</v>
      </c>
      <c r="V1885">
        <v>1</v>
      </c>
      <c r="W1885">
        <v>0</v>
      </c>
      <c r="X1885">
        <v>0</v>
      </c>
      <c r="Y1885">
        <v>0</v>
      </c>
      <c r="Z1885">
        <v>0</v>
      </c>
      <c r="AA1885">
        <v>3</v>
      </c>
      <c r="AB1885">
        <v>11</v>
      </c>
      <c r="AC1885">
        <v>0</v>
      </c>
      <c r="AD1885" t="str">
        <f t="shared" si="377"/>
        <v>Ok</v>
      </c>
      <c r="AE1885" t="str">
        <f>IF(AND(Audit_Data[[#This Row],[Year_Birth]]&gt;=1900,Audit_Data[[#This Row],[Year_Birth]]&lt;=2010),"OK","Invalid")</f>
        <v>OK</v>
      </c>
      <c r="AF1885" t="str">
        <f t="shared" si="378"/>
        <v>Valid</v>
      </c>
      <c r="AG1885" t="str">
        <f t="shared" si="379"/>
        <v>Valid</v>
      </c>
      <c r="AH1885" t="str">
        <f t="shared" si="380"/>
        <v>Valid</v>
      </c>
      <c r="AI1885" t="str">
        <f t="shared" si="381"/>
        <v>Valid</v>
      </c>
      <c r="AJ1885" t="str">
        <f t="shared" si="382"/>
        <v>Valid</v>
      </c>
      <c r="AK1885" t="str">
        <f t="shared" si="389"/>
        <v xml:space="preserve">Valid </v>
      </c>
      <c r="AL1885" t="str">
        <f>IF(AND(Audit_Data[[#This Row],[Recency]]&gt;=0,Audit_Data[[#This Row],[Recency]]&lt;=100),"Valid","Invalid")</f>
        <v>Valid</v>
      </c>
      <c r="AM1885" t="str">
        <f t="shared" si="383"/>
        <v>Valid</v>
      </c>
      <c r="AN1885" t="str">
        <f t="shared" si="384"/>
        <v>Valid</v>
      </c>
      <c r="AO1885" t="str">
        <f t="shared" si="385"/>
        <v>Valid</v>
      </c>
      <c r="AP1885" t="str">
        <f t="shared" si="386"/>
        <v>Valid</v>
      </c>
      <c r="AQ1885" t="str">
        <f>IF(Audit_Data[[#This Row],[Z_CostContact]]=3,"Valid","Invalid")</f>
        <v>Valid</v>
      </c>
      <c r="AR1885" t="str">
        <f t="shared" si="387"/>
        <v>Valid</v>
      </c>
      <c r="AS1885" t="str">
        <f t="shared" si="388"/>
        <v>Valid</v>
      </c>
    </row>
    <row r="1886" spans="1:45" x14ac:dyDescent="0.3">
      <c r="A1886">
        <v>7679</v>
      </c>
      <c r="B1886">
        <v>1985</v>
      </c>
      <c r="C1886" t="s">
        <v>32</v>
      </c>
      <c r="D1886" t="s">
        <v>30</v>
      </c>
      <c r="E1886">
        <v>30298</v>
      </c>
      <c r="F1886">
        <v>0</v>
      </c>
      <c r="G1886">
        <v>0</v>
      </c>
      <c r="H1886" s="1">
        <v>41778</v>
      </c>
      <c r="I1886">
        <v>48</v>
      </c>
      <c r="J1886">
        <v>6</v>
      </c>
      <c r="K1886">
        <v>3</v>
      </c>
      <c r="L1886">
        <v>12</v>
      </c>
      <c r="M1886">
        <v>6</v>
      </c>
      <c r="N1886">
        <v>1</v>
      </c>
      <c r="O1886">
        <v>0</v>
      </c>
      <c r="P1886">
        <v>1</v>
      </c>
      <c r="Q1886">
        <v>1</v>
      </c>
      <c r="R1886">
        <v>1</v>
      </c>
      <c r="S1886">
        <v>3</v>
      </c>
      <c r="T1886">
        <v>3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3</v>
      </c>
      <c r="AB1886">
        <v>11</v>
      </c>
      <c r="AC1886">
        <v>0</v>
      </c>
      <c r="AD1886" t="str">
        <f t="shared" si="377"/>
        <v>Ok</v>
      </c>
      <c r="AE1886" t="str">
        <f>IF(AND(Audit_Data[[#This Row],[Year_Birth]]&gt;=1900,Audit_Data[[#This Row],[Year_Birth]]&lt;=2010),"OK","Invalid")</f>
        <v>OK</v>
      </c>
      <c r="AF1886" t="str">
        <f t="shared" si="378"/>
        <v>Valid</v>
      </c>
      <c r="AG1886" t="str">
        <f t="shared" si="379"/>
        <v>Valid</v>
      </c>
      <c r="AH1886" t="str">
        <f t="shared" si="380"/>
        <v>Valid</v>
      </c>
      <c r="AI1886" t="str">
        <f t="shared" si="381"/>
        <v>Valid</v>
      </c>
      <c r="AJ1886" t="str">
        <f t="shared" si="382"/>
        <v>Valid</v>
      </c>
      <c r="AK1886" t="str">
        <f t="shared" si="389"/>
        <v xml:space="preserve">Valid </v>
      </c>
      <c r="AL1886" t="str">
        <f>IF(AND(Audit_Data[[#This Row],[Recency]]&gt;=0,Audit_Data[[#This Row],[Recency]]&lt;=100),"Valid","Invalid")</f>
        <v>Valid</v>
      </c>
      <c r="AM1886" t="str">
        <f t="shared" si="383"/>
        <v>Valid</v>
      </c>
      <c r="AN1886" t="str">
        <f t="shared" si="384"/>
        <v>Valid</v>
      </c>
      <c r="AO1886" t="str">
        <f t="shared" si="385"/>
        <v>Valid</v>
      </c>
      <c r="AP1886" t="str">
        <f t="shared" si="386"/>
        <v>Valid</v>
      </c>
      <c r="AQ1886" t="str">
        <f>IF(Audit_Data[[#This Row],[Z_CostContact]]=3,"Valid","Invalid")</f>
        <v>Valid</v>
      </c>
      <c r="AR1886" t="str">
        <f t="shared" si="387"/>
        <v>Valid</v>
      </c>
      <c r="AS1886" t="str">
        <f t="shared" si="388"/>
        <v>Valid</v>
      </c>
    </row>
    <row r="1887" spans="1:45" x14ac:dyDescent="0.3">
      <c r="A1887">
        <v>10702</v>
      </c>
      <c r="B1887">
        <v>1984</v>
      </c>
      <c r="C1887" t="s">
        <v>29</v>
      </c>
      <c r="D1887" t="s">
        <v>30</v>
      </c>
      <c r="E1887">
        <v>52413</v>
      </c>
      <c r="F1887">
        <v>1</v>
      </c>
      <c r="G1887">
        <v>0</v>
      </c>
      <c r="H1887" s="1">
        <v>41216</v>
      </c>
      <c r="I1887">
        <v>67</v>
      </c>
      <c r="J1887">
        <v>185</v>
      </c>
      <c r="K1887">
        <v>8</v>
      </c>
      <c r="L1887">
        <v>133</v>
      </c>
      <c r="M1887">
        <v>56</v>
      </c>
      <c r="N1887">
        <v>56</v>
      </c>
      <c r="O1887">
        <v>12</v>
      </c>
      <c r="P1887">
        <v>2</v>
      </c>
      <c r="Q1887">
        <v>7</v>
      </c>
      <c r="R1887">
        <v>1</v>
      </c>
      <c r="S1887">
        <v>7</v>
      </c>
      <c r="T1887">
        <v>7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3</v>
      </c>
      <c r="AB1887">
        <v>11</v>
      </c>
      <c r="AC1887">
        <v>0</v>
      </c>
      <c r="AD1887" t="str">
        <f t="shared" si="377"/>
        <v>Ok</v>
      </c>
      <c r="AE1887" t="str">
        <f>IF(AND(Audit_Data[[#This Row],[Year_Birth]]&gt;=1900,Audit_Data[[#This Row],[Year_Birth]]&lt;=2010),"OK","Invalid")</f>
        <v>OK</v>
      </c>
      <c r="AF1887" t="str">
        <f t="shared" si="378"/>
        <v>Valid</v>
      </c>
      <c r="AG1887" t="str">
        <f t="shared" si="379"/>
        <v>Valid</v>
      </c>
      <c r="AH1887" t="str">
        <f t="shared" si="380"/>
        <v>Valid</v>
      </c>
      <c r="AI1887" t="str">
        <f t="shared" si="381"/>
        <v>Valid</v>
      </c>
      <c r="AJ1887" t="str">
        <f t="shared" si="382"/>
        <v>Valid</v>
      </c>
      <c r="AK1887" t="str">
        <f t="shared" si="389"/>
        <v xml:space="preserve">Valid </v>
      </c>
      <c r="AL1887" t="str">
        <f>IF(AND(Audit_Data[[#This Row],[Recency]]&gt;=0,Audit_Data[[#This Row],[Recency]]&lt;=100),"Valid","Invalid")</f>
        <v>Valid</v>
      </c>
      <c r="AM1887" t="str">
        <f t="shared" si="383"/>
        <v>Valid</v>
      </c>
      <c r="AN1887" t="str">
        <f t="shared" si="384"/>
        <v>Valid</v>
      </c>
      <c r="AO1887" t="str">
        <f t="shared" si="385"/>
        <v>Valid</v>
      </c>
      <c r="AP1887" t="str">
        <f t="shared" si="386"/>
        <v>Valid</v>
      </c>
      <c r="AQ1887" t="str">
        <f>IF(Audit_Data[[#This Row],[Z_CostContact]]=3,"Valid","Invalid")</f>
        <v>Valid</v>
      </c>
      <c r="AR1887" t="str">
        <f t="shared" si="387"/>
        <v>Valid</v>
      </c>
      <c r="AS1887" t="str">
        <f t="shared" si="388"/>
        <v>Valid</v>
      </c>
    </row>
    <row r="1888" spans="1:45" x14ac:dyDescent="0.3">
      <c r="A1888">
        <v>7505</v>
      </c>
      <c r="B1888">
        <v>1957</v>
      </c>
      <c r="C1888" t="s">
        <v>32</v>
      </c>
      <c r="D1888" t="s">
        <v>33</v>
      </c>
      <c r="E1888">
        <v>44155</v>
      </c>
      <c r="F1888">
        <v>1</v>
      </c>
      <c r="G1888">
        <v>1</v>
      </c>
      <c r="H1888" s="1">
        <v>41658</v>
      </c>
      <c r="I1888">
        <v>24</v>
      </c>
      <c r="J1888">
        <v>22</v>
      </c>
      <c r="K1888">
        <v>1</v>
      </c>
      <c r="L1888">
        <v>9</v>
      </c>
      <c r="M1888">
        <v>0</v>
      </c>
      <c r="N1888">
        <v>0</v>
      </c>
      <c r="O1888">
        <v>14</v>
      </c>
      <c r="P1888">
        <v>1</v>
      </c>
      <c r="Q1888">
        <v>1</v>
      </c>
      <c r="R1888">
        <v>1</v>
      </c>
      <c r="S1888">
        <v>2</v>
      </c>
      <c r="T1888">
        <v>4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3</v>
      </c>
      <c r="AB1888">
        <v>11</v>
      </c>
      <c r="AC1888">
        <v>0</v>
      </c>
      <c r="AD1888" t="str">
        <f t="shared" si="377"/>
        <v>Ok</v>
      </c>
      <c r="AE1888" t="str">
        <f>IF(AND(Audit_Data[[#This Row],[Year_Birth]]&gt;=1900,Audit_Data[[#This Row],[Year_Birth]]&lt;=2010),"OK","Invalid")</f>
        <v>OK</v>
      </c>
      <c r="AF1888" t="str">
        <f t="shared" si="378"/>
        <v>Valid</v>
      </c>
      <c r="AG1888" t="str">
        <f t="shared" si="379"/>
        <v>Valid</v>
      </c>
      <c r="AH1888" t="str">
        <f t="shared" si="380"/>
        <v>Valid</v>
      </c>
      <c r="AI1888" t="str">
        <f t="shared" si="381"/>
        <v>Valid</v>
      </c>
      <c r="AJ1888" t="str">
        <f t="shared" si="382"/>
        <v>Valid</v>
      </c>
      <c r="AK1888" t="str">
        <f t="shared" si="389"/>
        <v xml:space="preserve">Valid </v>
      </c>
      <c r="AL1888" t="str">
        <f>IF(AND(Audit_Data[[#This Row],[Recency]]&gt;=0,Audit_Data[[#This Row],[Recency]]&lt;=100),"Valid","Invalid")</f>
        <v>Valid</v>
      </c>
      <c r="AM1888" t="str">
        <f t="shared" si="383"/>
        <v>Valid</v>
      </c>
      <c r="AN1888" t="str">
        <f t="shared" si="384"/>
        <v>Valid</v>
      </c>
      <c r="AO1888" t="str">
        <f t="shared" si="385"/>
        <v>Valid</v>
      </c>
      <c r="AP1888" t="str">
        <f t="shared" si="386"/>
        <v>Valid</v>
      </c>
      <c r="AQ1888" t="str">
        <f>IF(Audit_Data[[#This Row],[Z_CostContact]]=3,"Valid","Invalid")</f>
        <v>Valid</v>
      </c>
      <c r="AR1888" t="str">
        <f t="shared" si="387"/>
        <v>Valid</v>
      </c>
      <c r="AS1888" t="str">
        <f t="shared" si="388"/>
        <v>Valid</v>
      </c>
    </row>
    <row r="1889" spans="1:45" x14ac:dyDescent="0.3">
      <c r="A1889">
        <v>5113</v>
      </c>
      <c r="B1889">
        <v>1971</v>
      </c>
      <c r="C1889" t="s">
        <v>32</v>
      </c>
      <c r="D1889" t="s">
        <v>35</v>
      </c>
      <c r="E1889">
        <v>86979</v>
      </c>
      <c r="F1889">
        <v>0</v>
      </c>
      <c r="G1889">
        <v>0</v>
      </c>
      <c r="H1889" s="1">
        <v>41585</v>
      </c>
      <c r="I1889">
        <v>67</v>
      </c>
      <c r="J1889">
        <v>584</v>
      </c>
      <c r="K1889">
        <v>100</v>
      </c>
      <c r="L1889">
        <v>835</v>
      </c>
      <c r="M1889">
        <v>65</v>
      </c>
      <c r="N1889">
        <v>83</v>
      </c>
      <c r="O1889">
        <v>35</v>
      </c>
      <c r="P1889">
        <v>1</v>
      </c>
      <c r="Q1889">
        <v>5</v>
      </c>
      <c r="R1889">
        <v>5</v>
      </c>
      <c r="S1889">
        <v>5</v>
      </c>
      <c r="T1889">
        <v>2</v>
      </c>
      <c r="U1889">
        <v>1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3</v>
      </c>
      <c r="AB1889">
        <v>11</v>
      </c>
      <c r="AC1889">
        <v>1</v>
      </c>
      <c r="AD1889" t="str">
        <f t="shared" si="377"/>
        <v>Ok</v>
      </c>
      <c r="AE1889" t="str">
        <f>IF(AND(Audit_Data[[#This Row],[Year_Birth]]&gt;=1900,Audit_Data[[#This Row],[Year_Birth]]&lt;=2010),"OK","Invalid")</f>
        <v>OK</v>
      </c>
      <c r="AF1889" t="str">
        <f t="shared" si="378"/>
        <v>Valid</v>
      </c>
      <c r="AG1889" t="str">
        <f t="shared" si="379"/>
        <v>Valid</v>
      </c>
      <c r="AH1889" t="str">
        <f t="shared" si="380"/>
        <v>Valid</v>
      </c>
      <c r="AI1889" t="str">
        <f t="shared" si="381"/>
        <v>Valid</v>
      </c>
      <c r="AJ1889" t="str">
        <f t="shared" si="382"/>
        <v>Valid</v>
      </c>
      <c r="AK1889" t="str">
        <f t="shared" si="389"/>
        <v xml:space="preserve">Valid </v>
      </c>
      <c r="AL1889" t="str">
        <f>IF(AND(Audit_Data[[#This Row],[Recency]]&gt;=0,Audit_Data[[#This Row],[Recency]]&lt;=100),"Valid","Invalid")</f>
        <v>Valid</v>
      </c>
      <c r="AM1889" t="str">
        <f t="shared" si="383"/>
        <v>Valid</v>
      </c>
      <c r="AN1889" t="str">
        <f t="shared" si="384"/>
        <v>Valid</v>
      </c>
      <c r="AO1889" t="str">
        <f t="shared" si="385"/>
        <v>Valid</v>
      </c>
      <c r="AP1889" t="str">
        <f t="shared" si="386"/>
        <v>Valid</v>
      </c>
      <c r="AQ1889" t="str">
        <f>IF(Audit_Data[[#This Row],[Z_CostContact]]=3,"Valid","Invalid")</f>
        <v>Valid</v>
      </c>
      <c r="AR1889" t="str">
        <f t="shared" si="387"/>
        <v>Valid</v>
      </c>
      <c r="AS1889" t="str">
        <f t="shared" si="388"/>
        <v>Valid</v>
      </c>
    </row>
    <row r="1890" spans="1:45" x14ac:dyDescent="0.3">
      <c r="A1890">
        <v>10858</v>
      </c>
      <c r="B1890">
        <v>1975</v>
      </c>
      <c r="C1890" t="s">
        <v>29</v>
      </c>
      <c r="D1890" t="s">
        <v>31</v>
      </c>
      <c r="E1890">
        <v>76532</v>
      </c>
      <c r="F1890">
        <v>1</v>
      </c>
      <c r="G1890">
        <v>1</v>
      </c>
      <c r="H1890" s="1">
        <v>41526</v>
      </c>
      <c r="I1890">
        <v>38</v>
      </c>
      <c r="J1890">
        <v>355</v>
      </c>
      <c r="K1890">
        <v>30</v>
      </c>
      <c r="L1890">
        <v>177</v>
      </c>
      <c r="M1890">
        <v>90</v>
      </c>
      <c r="N1890">
        <v>138</v>
      </c>
      <c r="O1890">
        <v>30</v>
      </c>
      <c r="P1890">
        <v>4</v>
      </c>
      <c r="Q1890">
        <v>9</v>
      </c>
      <c r="R1890">
        <v>5</v>
      </c>
      <c r="S1890">
        <v>7</v>
      </c>
      <c r="T1890">
        <v>5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3</v>
      </c>
      <c r="AB1890">
        <v>11</v>
      </c>
      <c r="AC1890">
        <v>0</v>
      </c>
      <c r="AD1890" t="str">
        <f t="shared" si="377"/>
        <v>Ok</v>
      </c>
      <c r="AE1890" t="str">
        <f>IF(AND(Audit_Data[[#This Row],[Year_Birth]]&gt;=1900,Audit_Data[[#This Row],[Year_Birth]]&lt;=2010),"OK","Invalid")</f>
        <v>OK</v>
      </c>
      <c r="AF1890" t="str">
        <f t="shared" si="378"/>
        <v>Valid</v>
      </c>
      <c r="AG1890" t="str">
        <f t="shared" si="379"/>
        <v>Valid</v>
      </c>
      <c r="AH1890" t="str">
        <f t="shared" si="380"/>
        <v>Valid</v>
      </c>
      <c r="AI1890" t="str">
        <f t="shared" si="381"/>
        <v>Valid</v>
      </c>
      <c r="AJ1890" t="str">
        <f t="shared" si="382"/>
        <v>Valid</v>
      </c>
      <c r="AK1890" t="str">
        <f t="shared" si="389"/>
        <v xml:space="preserve">Valid </v>
      </c>
      <c r="AL1890" t="str">
        <f>IF(AND(Audit_Data[[#This Row],[Recency]]&gt;=0,Audit_Data[[#This Row],[Recency]]&lt;=100),"Valid","Invalid")</f>
        <v>Valid</v>
      </c>
      <c r="AM1890" t="str">
        <f t="shared" si="383"/>
        <v>Valid</v>
      </c>
      <c r="AN1890" t="str">
        <f t="shared" si="384"/>
        <v>Valid</v>
      </c>
      <c r="AO1890" t="str">
        <f t="shared" si="385"/>
        <v>Valid</v>
      </c>
      <c r="AP1890" t="str">
        <f t="shared" si="386"/>
        <v>Valid</v>
      </c>
      <c r="AQ1890" t="str">
        <f>IF(Audit_Data[[#This Row],[Z_CostContact]]=3,"Valid","Invalid")</f>
        <v>Valid</v>
      </c>
      <c r="AR1890" t="str">
        <f t="shared" si="387"/>
        <v>Valid</v>
      </c>
      <c r="AS1890" t="str">
        <f t="shared" si="388"/>
        <v>Valid</v>
      </c>
    </row>
    <row r="1891" spans="1:45" x14ac:dyDescent="0.3">
      <c r="A1891">
        <v>2961</v>
      </c>
      <c r="B1891">
        <v>1982</v>
      </c>
      <c r="C1891" t="s">
        <v>29</v>
      </c>
      <c r="D1891" t="s">
        <v>33</v>
      </c>
      <c r="E1891">
        <v>42081</v>
      </c>
      <c r="F1891">
        <v>1</v>
      </c>
      <c r="G1891">
        <v>0</v>
      </c>
      <c r="H1891" s="1">
        <v>41331</v>
      </c>
      <c r="I1891">
        <v>86</v>
      </c>
      <c r="J1891">
        <v>175</v>
      </c>
      <c r="K1891">
        <v>10</v>
      </c>
      <c r="L1891">
        <v>110</v>
      </c>
      <c r="M1891">
        <v>54</v>
      </c>
      <c r="N1891">
        <v>6</v>
      </c>
      <c r="O1891">
        <v>27</v>
      </c>
      <c r="P1891">
        <v>2</v>
      </c>
      <c r="Q1891">
        <v>6</v>
      </c>
      <c r="R1891">
        <v>3</v>
      </c>
      <c r="S1891">
        <v>4</v>
      </c>
      <c r="T1891">
        <v>6</v>
      </c>
      <c r="U1891">
        <v>1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3</v>
      </c>
      <c r="AB1891">
        <v>11</v>
      </c>
      <c r="AC1891">
        <v>0</v>
      </c>
      <c r="AD1891" t="str">
        <f t="shared" si="377"/>
        <v>Ok</v>
      </c>
      <c r="AE1891" t="str">
        <f>IF(AND(Audit_Data[[#This Row],[Year_Birth]]&gt;=1900,Audit_Data[[#This Row],[Year_Birth]]&lt;=2010),"OK","Invalid")</f>
        <v>OK</v>
      </c>
      <c r="AF1891" t="str">
        <f t="shared" si="378"/>
        <v>Valid</v>
      </c>
      <c r="AG1891" t="str">
        <f t="shared" si="379"/>
        <v>Valid</v>
      </c>
      <c r="AH1891" t="str">
        <f t="shared" si="380"/>
        <v>Valid</v>
      </c>
      <c r="AI1891" t="str">
        <f t="shared" si="381"/>
        <v>Valid</v>
      </c>
      <c r="AJ1891" t="str">
        <f t="shared" si="382"/>
        <v>Valid</v>
      </c>
      <c r="AK1891" t="str">
        <f t="shared" si="389"/>
        <v xml:space="preserve">Valid </v>
      </c>
      <c r="AL1891" t="str">
        <f>IF(AND(Audit_Data[[#This Row],[Recency]]&gt;=0,Audit_Data[[#This Row],[Recency]]&lt;=100),"Valid","Invalid")</f>
        <v>Valid</v>
      </c>
      <c r="AM1891" t="str">
        <f t="shared" si="383"/>
        <v>Valid</v>
      </c>
      <c r="AN1891" t="str">
        <f t="shared" si="384"/>
        <v>Valid</v>
      </c>
      <c r="AO1891" t="str">
        <f t="shared" si="385"/>
        <v>Valid</v>
      </c>
      <c r="AP1891" t="str">
        <f t="shared" si="386"/>
        <v>Valid</v>
      </c>
      <c r="AQ1891" t="str">
        <f>IF(Audit_Data[[#This Row],[Z_CostContact]]=3,"Valid","Invalid")</f>
        <v>Valid</v>
      </c>
      <c r="AR1891" t="str">
        <f t="shared" si="387"/>
        <v>Valid</v>
      </c>
      <c r="AS1891" t="str">
        <f t="shared" si="388"/>
        <v>Valid</v>
      </c>
    </row>
    <row r="1892" spans="1:45" x14ac:dyDescent="0.3">
      <c r="A1892">
        <v>2747</v>
      </c>
      <c r="B1892">
        <v>1988</v>
      </c>
      <c r="C1892" t="s">
        <v>32</v>
      </c>
      <c r="D1892" t="s">
        <v>33</v>
      </c>
      <c r="E1892">
        <v>67546</v>
      </c>
      <c r="F1892">
        <v>0</v>
      </c>
      <c r="G1892">
        <v>0</v>
      </c>
      <c r="H1892" s="1">
        <v>41152</v>
      </c>
      <c r="I1892">
        <v>90</v>
      </c>
      <c r="J1892">
        <v>864</v>
      </c>
      <c r="K1892">
        <v>134</v>
      </c>
      <c r="L1892">
        <v>768</v>
      </c>
      <c r="M1892">
        <v>150</v>
      </c>
      <c r="N1892">
        <v>38</v>
      </c>
      <c r="O1892">
        <v>172</v>
      </c>
      <c r="P1892">
        <v>1</v>
      </c>
      <c r="Q1892">
        <v>4</v>
      </c>
      <c r="R1892">
        <v>10</v>
      </c>
      <c r="S1892">
        <v>5</v>
      </c>
      <c r="T1892">
        <v>3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3</v>
      </c>
      <c r="AB1892">
        <v>11</v>
      </c>
      <c r="AC1892">
        <v>0</v>
      </c>
      <c r="AD1892" t="str">
        <f t="shared" si="377"/>
        <v>Ok</v>
      </c>
      <c r="AE1892" t="str">
        <f>IF(AND(Audit_Data[[#This Row],[Year_Birth]]&gt;=1900,Audit_Data[[#This Row],[Year_Birth]]&lt;=2010),"OK","Invalid")</f>
        <v>OK</v>
      </c>
      <c r="AF1892" t="str">
        <f t="shared" si="378"/>
        <v>Valid</v>
      </c>
      <c r="AG1892" t="str">
        <f t="shared" si="379"/>
        <v>Valid</v>
      </c>
      <c r="AH1892" t="str">
        <f t="shared" si="380"/>
        <v>Valid</v>
      </c>
      <c r="AI1892" t="str">
        <f t="shared" si="381"/>
        <v>Valid</v>
      </c>
      <c r="AJ1892" t="str">
        <f t="shared" si="382"/>
        <v>Valid</v>
      </c>
      <c r="AK1892" t="str">
        <f t="shared" si="389"/>
        <v xml:space="preserve">Valid </v>
      </c>
      <c r="AL1892" t="str">
        <f>IF(AND(Audit_Data[[#This Row],[Recency]]&gt;=0,Audit_Data[[#This Row],[Recency]]&lt;=100),"Valid","Invalid")</f>
        <v>Valid</v>
      </c>
      <c r="AM1892" t="str">
        <f t="shared" si="383"/>
        <v>Valid</v>
      </c>
      <c r="AN1892" t="str">
        <f t="shared" si="384"/>
        <v>Valid</v>
      </c>
      <c r="AO1892" t="str">
        <f t="shared" si="385"/>
        <v>Valid</v>
      </c>
      <c r="AP1892" t="str">
        <f t="shared" si="386"/>
        <v>Valid</v>
      </c>
      <c r="AQ1892" t="str">
        <f>IF(Audit_Data[[#This Row],[Z_CostContact]]=3,"Valid","Invalid")</f>
        <v>Valid</v>
      </c>
      <c r="AR1892" t="str">
        <f t="shared" si="387"/>
        <v>Valid</v>
      </c>
      <c r="AS1892" t="str">
        <f t="shared" si="388"/>
        <v>Valid</v>
      </c>
    </row>
    <row r="1893" spans="1:45" x14ac:dyDescent="0.3">
      <c r="A1893">
        <v>3010</v>
      </c>
      <c r="B1893">
        <v>1989</v>
      </c>
      <c r="C1893" t="s">
        <v>34</v>
      </c>
      <c r="D1893" t="s">
        <v>31</v>
      </c>
      <c r="E1893">
        <v>88420</v>
      </c>
      <c r="F1893">
        <v>0</v>
      </c>
      <c r="G1893">
        <v>0</v>
      </c>
      <c r="H1893" s="1">
        <v>41761</v>
      </c>
      <c r="I1893">
        <v>87</v>
      </c>
      <c r="J1893">
        <v>957</v>
      </c>
      <c r="K1893">
        <v>153</v>
      </c>
      <c r="L1893">
        <v>612</v>
      </c>
      <c r="M1893">
        <v>99</v>
      </c>
      <c r="N1893">
        <v>95</v>
      </c>
      <c r="O1893">
        <v>153</v>
      </c>
      <c r="P1893">
        <v>1</v>
      </c>
      <c r="Q1893">
        <v>4</v>
      </c>
      <c r="R1893">
        <v>7</v>
      </c>
      <c r="S1893">
        <v>8</v>
      </c>
      <c r="T1893">
        <v>1</v>
      </c>
      <c r="U1893">
        <v>1</v>
      </c>
      <c r="V1893">
        <v>0</v>
      </c>
      <c r="W1893">
        <v>1</v>
      </c>
      <c r="X1893">
        <v>1</v>
      </c>
      <c r="Y1893">
        <v>0</v>
      </c>
      <c r="Z1893">
        <v>0</v>
      </c>
      <c r="AA1893">
        <v>3</v>
      </c>
      <c r="AB1893">
        <v>11</v>
      </c>
      <c r="AC1893">
        <v>0</v>
      </c>
      <c r="AD1893" t="str">
        <f t="shared" si="377"/>
        <v>Ok</v>
      </c>
      <c r="AE1893" t="str">
        <f>IF(AND(Audit_Data[[#This Row],[Year_Birth]]&gt;=1900,Audit_Data[[#This Row],[Year_Birth]]&lt;=2010),"OK","Invalid")</f>
        <v>OK</v>
      </c>
      <c r="AF1893" t="str">
        <f t="shared" si="378"/>
        <v>Valid</v>
      </c>
      <c r="AG1893" t="str">
        <f t="shared" si="379"/>
        <v>Valid</v>
      </c>
      <c r="AH1893" t="str">
        <f t="shared" si="380"/>
        <v>Valid</v>
      </c>
      <c r="AI1893" t="str">
        <f t="shared" si="381"/>
        <v>Valid</v>
      </c>
      <c r="AJ1893" t="str">
        <f t="shared" si="382"/>
        <v>Valid</v>
      </c>
      <c r="AK1893" t="str">
        <f t="shared" si="389"/>
        <v xml:space="preserve">Valid </v>
      </c>
      <c r="AL1893" t="str">
        <f>IF(AND(Audit_Data[[#This Row],[Recency]]&gt;=0,Audit_Data[[#This Row],[Recency]]&lt;=100),"Valid","Invalid")</f>
        <v>Valid</v>
      </c>
      <c r="AM1893" t="str">
        <f t="shared" si="383"/>
        <v>Valid</v>
      </c>
      <c r="AN1893" t="str">
        <f t="shared" si="384"/>
        <v>Valid</v>
      </c>
      <c r="AO1893" t="str">
        <f t="shared" si="385"/>
        <v>Valid</v>
      </c>
      <c r="AP1893" t="str">
        <f t="shared" si="386"/>
        <v>Valid</v>
      </c>
      <c r="AQ1893" t="str">
        <f>IF(Audit_Data[[#This Row],[Z_CostContact]]=3,"Valid","Invalid")</f>
        <v>Valid</v>
      </c>
      <c r="AR1893" t="str">
        <f t="shared" si="387"/>
        <v>Valid</v>
      </c>
      <c r="AS1893" t="str">
        <f t="shared" si="388"/>
        <v>Valid</v>
      </c>
    </row>
    <row r="1894" spans="1:45" x14ac:dyDescent="0.3">
      <c r="A1894">
        <v>5790</v>
      </c>
      <c r="B1894">
        <v>1985</v>
      </c>
      <c r="C1894" t="s">
        <v>29</v>
      </c>
      <c r="D1894" t="s">
        <v>33</v>
      </c>
      <c r="E1894">
        <v>31158</v>
      </c>
      <c r="F1894">
        <v>1</v>
      </c>
      <c r="G1894">
        <v>0</v>
      </c>
      <c r="H1894" s="1">
        <v>41301</v>
      </c>
      <c r="I1894">
        <v>62</v>
      </c>
      <c r="J1894">
        <v>25</v>
      </c>
      <c r="K1894">
        <v>6</v>
      </c>
      <c r="L1894">
        <v>16</v>
      </c>
      <c r="M1894">
        <v>20</v>
      </c>
      <c r="N1894">
        <v>0</v>
      </c>
      <c r="O1894">
        <v>5</v>
      </c>
      <c r="P1894">
        <v>2</v>
      </c>
      <c r="Q1894">
        <v>2</v>
      </c>
      <c r="R1894">
        <v>0</v>
      </c>
      <c r="S1894">
        <v>3</v>
      </c>
      <c r="T1894">
        <v>8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3</v>
      </c>
      <c r="AB1894">
        <v>11</v>
      </c>
      <c r="AC1894">
        <v>0</v>
      </c>
      <c r="AD1894" t="str">
        <f t="shared" si="377"/>
        <v>Ok</v>
      </c>
      <c r="AE1894" t="str">
        <f>IF(AND(Audit_Data[[#This Row],[Year_Birth]]&gt;=1900,Audit_Data[[#This Row],[Year_Birth]]&lt;=2010),"OK","Invalid")</f>
        <v>OK</v>
      </c>
      <c r="AF1894" t="str">
        <f t="shared" si="378"/>
        <v>Valid</v>
      </c>
      <c r="AG1894" t="str">
        <f t="shared" si="379"/>
        <v>Valid</v>
      </c>
      <c r="AH1894" t="str">
        <f t="shared" si="380"/>
        <v>Valid</v>
      </c>
      <c r="AI1894" t="str">
        <f t="shared" si="381"/>
        <v>Valid</v>
      </c>
      <c r="AJ1894" t="str">
        <f t="shared" si="382"/>
        <v>Valid</v>
      </c>
      <c r="AK1894" t="str">
        <f t="shared" si="389"/>
        <v xml:space="preserve">Valid </v>
      </c>
      <c r="AL1894" t="str">
        <f>IF(AND(Audit_Data[[#This Row],[Recency]]&gt;=0,Audit_Data[[#This Row],[Recency]]&lt;=100),"Valid","Invalid")</f>
        <v>Valid</v>
      </c>
      <c r="AM1894" t="str">
        <f t="shared" si="383"/>
        <v>Valid</v>
      </c>
      <c r="AN1894" t="str">
        <f t="shared" si="384"/>
        <v>Valid</v>
      </c>
      <c r="AO1894" t="str">
        <f t="shared" si="385"/>
        <v>Valid</v>
      </c>
      <c r="AP1894" t="str">
        <f t="shared" si="386"/>
        <v>Valid</v>
      </c>
      <c r="AQ1894" t="str">
        <f>IF(Audit_Data[[#This Row],[Z_CostContact]]=3,"Valid","Invalid")</f>
        <v>Valid</v>
      </c>
      <c r="AR1894" t="str">
        <f t="shared" si="387"/>
        <v>Valid</v>
      </c>
      <c r="AS1894" t="str">
        <f t="shared" si="388"/>
        <v>Valid</v>
      </c>
    </row>
    <row r="1895" spans="1:45" x14ac:dyDescent="0.3">
      <c r="A1895">
        <v>6892</v>
      </c>
      <c r="B1895">
        <v>1968</v>
      </c>
      <c r="C1895" t="s">
        <v>29</v>
      </c>
      <c r="D1895" t="s">
        <v>35</v>
      </c>
      <c r="E1895">
        <v>61671</v>
      </c>
      <c r="F1895">
        <v>0</v>
      </c>
      <c r="G1895">
        <v>1</v>
      </c>
      <c r="H1895" s="1">
        <v>41793</v>
      </c>
      <c r="I1895">
        <v>23</v>
      </c>
      <c r="J1895">
        <v>641</v>
      </c>
      <c r="K1895">
        <v>7</v>
      </c>
      <c r="L1895">
        <v>56</v>
      </c>
      <c r="M1895">
        <v>0</v>
      </c>
      <c r="N1895">
        <v>0</v>
      </c>
      <c r="O1895">
        <v>28</v>
      </c>
      <c r="P1895">
        <v>8</v>
      </c>
      <c r="Q1895">
        <v>10</v>
      </c>
      <c r="R1895">
        <v>4</v>
      </c>
      <c r="S1895">
        <v>6</v>
      </c>
      <c r="T1895">
        <v>8</v>
      </c>
      <c r="U1895">
        <v>0</v>
      </c>
      <c r="V1895">
        <v>1</v>
      </c>
      <c r="W1895">
        <v>0</v>
      </c>
      <c r="X1895">
        <v>1</v>
      </c>
      <c r="Y1895">
        <v>0</v>
      </c>
      <c r="Z1895">
        <v>0</v>
      </c>
      <c r="AA1895">
        <v>3</v>
      </c>
      <c r="AB1895">
        <v>11</v>
      </c>
      <c r="AC1895">
        <v>0</v>
      </c>
      <c r="AD1895" t="str">
        <f t="shared" si="377"/>
        <v>Ok</v>
      </c>
      <c r="AE1895" t="str">
        <f>IF(AND(Audit_Data[[#This Row],[Year_Birth]]&gt;=1900,Audit_Data[[#This Row],[Year_Birth]]&lt;=2010),"OK","Invalid")</f>
        <v>OK</v>
      </c>
      <c r="AF1895" t="str">
        <f t="shared" si="378"/>
        <v>Valid</v>
      </c>
      <c r="AG1895" t="str">
        <f t="shared" si="379"/>
        <v>Valid</v>
      </c>
      <c r="AH1895" t="str">
        <f t="shared" si="380"/>
        <v>Valid</v>
      </c>
      <c r="AI1895" t="str">
        <f t="shared" si="381"/>
        <v>Valid</v>
      </c>
      <c r="AJ1895" t="str">
        <f t="shared" si="382"/>
        <v>Valid</v>
      </c>
      <c r="AK1895" t="str">
        <f t="shared" si="389"/>
        <v xml:space="preserve">Valid </v>
      </c>
      <c r="AL1895" t="str">
        <f>IF(AND(Audit_Data[[#This Row],[Recency]]&gt;=0,Audit_Data[[#This Row],[Recency]]&lt;=100),"Valid","Invalid")</f>
        <v>Valid</v>
      </c>
      <c r="AM1895" t="str">
        <f t="shared" si="383"/>
        <v>Valid</v>
      </c>
      <c r="AN1895" t="str">
        <f t="shared" si="384"/>
        <v>Valid</v>
      </c>
      <c r="AO1895" t="str">
        <f t="shared" si="385"/>
        <v>Valid</v>
      </c>
      <c r="AP1895" t="str">
        <f t="shared" si="386"/>
        <v>Valid</v>
      </c>
      <c r="AQ1895" t="str">
        <f>IF(Audit_Data[[#This Row],[Z_CostContact]]=3,"Valid","Invalid")</f>
        <v>Valid</v>
      </c>
      <c r="AR1895" t="str">
        <f t="shared" si="387"/>
        <v>Valid</v>
      </c>
      <c r="AS1895" t="str">
        <f t="shared" si="388"/>
        <v>Valid</v>
      </c>
    </row>
    <row r="1896" spans="1:45" x14ac:dyDescent="0.3">
      <c r="A1896">
        <v>1743</v>
      </c>
      <c r="B1896">
        <v>1974</v>
      </c>
      <c r="C1896" t="s">
        <v>29</v>
      </c>
      <c r="D1896" t="s">
        <v>30</v>
      </c>
      <c r="E1896">
        <v>69719</v>
      </c>
      <c r="F1896">
        <v>0</v>
      </c>
      <c r="G1896">
        <v>0</v>
      </c>
      <c r="H1896" s="1">
        <v>41785</v>
      </c>
      <c r="I1896">
        <v>99</v>
      </c>
      <c r="J1896">
        <v>273</v>
      </c>
      <c r="K1896">
        <v>86</v>
      </c>
      <c r="L1896">
        <v>208</v>
      </c>
      <c r="M1896">
        <v>177</v>
      </c>
      <c r="N1896">
        <v>14</v>
      </c>
      <c r="O1896">
        <v>43</v>
      </c>
      <c r="P1896">
        <v>1</v>
      </c>
      <c r="Q1896">
        <v>2</v>
      </c>
      <c r="R1896">
        <v>3</v>
      </c>
      <c r="S1896">
        <v>5</v>
      </c>
      <c r="T1896">
        <v>1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3</v>
      </c>
      <c r="AB1896">
        <v>11</v>
      </c>
      <c r="AC1896">
        <v>0</v>
      </c>
      <c r="AD1896" t="str">
        <f t="shared" si="377"/>
        <v>Ok</v>
      </c>
      <c r="AE1896" t="str">
        <f>IF(AND(Audit_Data[[#This Row],[Year_Birth]]&gt;=1900,Audit_Data[[#This Row],[Year_Birth]]&lt;=2010),"OK","Invalid")</f>
        <v>OK</v>
      </c>
      <c r="AF1896" t="str">
        <f t="shared" si="378"/>
        <v>Valid</v>
      </c>
      <c r="AG1896" t="str">
        <f t="shared" si="379"/>
        <v>Valid</v>
      </c>
      <c r="AH1896" t="str">
        <f t="shared" si="380"/>
        <v>Valid</v>
      </c>
      <c r="AI1896" t="str">
        <f t="shared" si="381"/>
        <v>Valid</v>
      </c>
      <c r="AJ1896" t="str">
        <f t="shared" si="382"/>
        <v>Valid</v>
      </c>
      <c r="AK1896" t="str">
        <f t="shared" si="389"/>
        <v xml:space="preserve">Valid </v>
      </c>
      <c r="AL1896" t="str">
        <f>IF(AND(Audit_Data[[#This Row],[Recency]]&gt;=0,Audit_Data[[#This Row],[Recency]]&lt;=100),"Valid","Invalid")</f>
        <v>Valid</v>
      </c>
      <c r="AM1896" t="str">
        <f t="shared" si="383"/>
        <v>Valid</v>
      </c>
      <c r="AN1896" t="str">
        <f t="shared" si="384"/>
        <v>Valid</v>
      </c>
      <c r="AO1896" t="str">
        <f t="shared" si="385"/>
        <v>Valid</v>
      </c>
      <c r="AP1896" t="str">
        <f t="shared" si="386"/>
        <v>Valid</v>
      </c>
      <c r="AQ1896" t="str">
        <f>IF(Audit_Data[[#This Row],[Z_CostContact]]=3,"Valid","Invalid")</f>
        <v>Valid</v>
      </c>
      <c r="AR1896" t="str">
        <f t="shared" si="387"/>
        <v>Valid</v>
      </c>
      <c r="AS1896" t="str">
        <f t="shared" si="388"/>
        <v>Valid</v>
      </c>
    </row>
    <row r="1897" spans="1:45" x14ac:dyDescent="0.3">
      <c r="A1897">
        <v>3578</v>
      </c>
      <c r="B1897">
        <v>1949</v>
      </c>
      <c r="C1897" t="s">
        <v>29</v>
      </c>
      <c r="D1897" t="s">
        <v>35</v>
      </c>
      <c r="E1897">
        <v>49160</v>
      </c>
      <c r="F1897">
        <v>0</v>
      </c>
      <c r="G1897">
        <v>1</v>
      </c>
      <c r="H1897" s="1">
        <v>41567</v>
      </c>
      <c r="I1897">
        <v>29</v>
      </c>
      <c r="J1897">
        <v>122</v>
      </c>
      <c r="K1897">
        <v>21</v>
      </c>
      <c r="L1897">
        <v>43</v>
      </c>
      <c r="M1897">
        <v>25</v>
      </c>
      <c r="N1897">
        <v>10</v>
      </c>
      <c r="O1897">
        <v>15</v>
      </c>
      <c r="P1897">
        <v>2</v>
      </c>
      <c r="Q1897">
        <v>3</v>
      </c>
      <c r="R1897">
        <v>1</v>
      </c>
      <c r="S1897">
        <v>6</v>
      </c>
      <c r="T1897">
        <v>6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3</v>
      </c>
      <c r="AB1897">
        <v>11</v>
      </c>
      <c r="AC1897">
        <v>0</v>
      </c>
      <c r="AD1897" t="str">
        <f t="shared" si="377"/>
        <v>Ok</v>
      </c>
      <c r="AE1897" t="str">
        <f>IF(AND(Audit_Data[[#This Row],[Year_Birth]]&gt;=1900,Audit_Data[[#This Row],[Year_Birth]]&lt;=2010),"OK","Invalid")</f>
        <v>OK</v>
      </c>
      <c r="AF1897" t="str">
        <f t="shared" si="378"/>
        <v>Valid</v>
      </c>
      <c r="AG1897" t="str">
        <f t="shared" si="379"/>
        <v>Valid</v>
      </c>
      <c r="AH1897" t="str">
        <f t="shared" si="380"/>
        <v>Valid</v>
      </c>
      <c r="AI1897" t="str">
        <f t="shared" si="381"/>
        <v>Valid</v>
      </c>
      <c r="AJ1897" t="str">
        <f t="shared" si="382"/>
        <v>Valid</v>
      </c>
      <c r="AK1897" t="str">
        <f t="shared" si="389"/>
        <v xml:space="preserve">Valid </v>
      </c>
      <c r="AL1897" t="str">
        <f>IF(AND(Audit_Data[[#This Row],[Recency]]&gt;=0,Audit_Data[[#This Row],[Recency]]&lt;=100),"Valid","Invalid")</f>
        <v>Valid</v>
      </c>
      <c r="AM1897" t="str">
        <f t="shared" si="383"/>
        <v>Valid</v>
      </c>
      <c r="AN1897" t="str">
        <f t="shared" si="384"/>
        <v>Valid</v>
      </c>
      <c r="AO1897" t="str">
        <f t="shared" si="385"/>
        <v>Valid</v>
      </c>
      <c r="AP1897" t="str">
        <f t="shared" si="386"/>
        <v>Valid</v>
      </c>
      <c r="AQ1897" t="str">
        <f>IF(Audit_Data[[#This Row],[Z_CostContact]]=3,"Valid","Invalid")</f>
        <v>Valid</v>
      </c>
      <c r="AR1897" t="str">
        <f t="shared" si="387"/>
        <v>Valid</v>
      </c>
      <c r="AS1897" t="str">
        <f t="shared" si="388"/>
        <v>Valid</v>
      </c>
    </row>
    <row r="1898" spans="1:45" x14ac:dyDescent="0.3">
      <c r="A1898">
        <v>8462</v>
      </c>
      <c r="B1898">
        <v>1978</v>
      </c>
      <c r="C1898" t="s">
        <v>36</v>
      </c>
      <c r="D1898" t="s">
        <v>31</v>
      </c>
      <c r="E1898">
        <v>24882</v>
      </c>
      <c r="F1898">
        <v>1</v>
      </c>
      <c r="G1898">
        <v>0</v>
      </c>
      <c r="H1898" s="1">
        <v>41161</v>
      </c>
      <c r="I1898">
        <v>52</v>
      </c>
      <c r="J1898">
        <v>1</v>
      </c>
      <c r="K1898">
        <v>4</v>
      </c>
      <c r="L1898">
        <v>10</v>
      </c>
      <c r="M1898">
        <v>29</v>
      </c>
      <c r="N1898">
        <v>0</v>
      </c>
      <c r="O1898">
        <v>36</v>
      </c>
      <c r="P1898">
        <v>1</v>
      </c>
      <c r="Q1898">
        <v>1</v>
      </c>
      <c r="R1898">
        <v>1</v>
      </c>
      <c r="S1898">
        <v>2</v>
      </c>
      <c r="T1898">
        <v>6</v>
      </c>
      <c r="U1898">
        <v>1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3</v>
      </c>
      <c r="AB1898">
        <v>11</v>
      </c>
      <c r="AC1898">
        <v>0</v>
      </c>
      <c r="AD1898" t="str">
        <f t="shared" si="377"/>
        <v>Ok</v>
      </c>
      <c r="AE1898" t="str">
        <f>IF(AND(Audit_Data[[#This Row],[Year_Birth]]&gt;=1900,Audit_Data[[#This Row],[Year_Birth]]&lt;=2010),"OK","Invalid")</f>
        <v>OK</v>
      </c>
      <c r="AF1898" t="str">
        <f t="shared" si="378"/>
        <v>Valid</v>
      </c>
      <c r="AG1898" t="str">
        <f t="shared" si="379"/>
        <v>Valid</v>
      </c>
      <c r="AH1898" t="str">
        <f t="shared" si="380"/>
        <v>Valid</v>
      </c>
      <c r="AI1898" t="str">
        <f t="shared" si="381"/>
        <v>Valid</v>
      </c>
      <c r="AJ1898" t="str">
        <f t="shared" si="382"/>
        <v>Valid</v>
      </c>
      <c r="AK1898" t="str">
        <f t="shared" si="389"/>
        <v xml:space="preserve">Valid </v>
      </c>
      <c r="AL1898" t="str">
        <f>IF(AND(Audit_Data[[#This Row],[Recency]]&gt;=0,Audit_Data[[#This Row],[Recency]]&lt;=100),"Valid","Invalid")</f>
        <v>Valid</v>
      </c>
      <c r="AM1898" t="str">
        <f t="shared" si="383"/>
        <v>Valid</v>
      </c>
      <c r="AN1898" t="str">
        <f t="shared" si="384"/>
        <v>Valid</v>
      </c>
      <c r="AO1898" t="str">
        <f t="shared" si="385"/>
        <v>Valid</v>
      </c>
      <c r="AP1898" t="str">
        <f t="shared" si="386"/>
        <v>Valid</v>
      </c>
      <c r="AQ1898" t="str">
        <f>IF(Audit_Data[[#This Row],[Z_CostContact]]=3,"Valid","Invalid")</f>
        <v>Valid</v>
      </c>
      <c r="AR1898" t="str">
        <f t="shared" si="387"/>
        <v>Valid</v>
      </c>
      <c r="AS1898" t="str">
        <f t="shared" si="388"/>
        <v>Valid</v>
      </c>
    </row>
    <row r="1899" spans="1:45" x14ac:dyDescent="0.3">
      <c r="A1899">
        <v>5558</v>
      </c>
      <c r="B1899">
        <v>1954</v>
      </c>
      <c r="C1899" t="s">
        <v>32</v>
      </c>
      <c r="D1899" t="s">
        <v>30</v>
      </c>
      <c r="E1899">
        <v>90933</v>
      </c>
      <c r="F1899">
        <v>0</v>
      </c>
      <c r="G1899">
        <v>0</v>
      </c>
      <c r="H1899" s="1">
        <v>41729</v>
      </c>
      <c r="I1899">
        <v>90</v>
      </c>
      <c r="J1899">
        <v>1020</v>
      </c>
      <c r="K1899">
        <v>31</v>
      </c>
      <c r="L1899">
        <v>430</v>
      </c>
      <c r="M1899">
        <v>62</v>
      </c>
      <c r="N1899">
        <v>63</v>
      </c>
      <c r="O1899">
        <v>79</v>
      </c>
      <c r="P1899">
        <v>1</v>
      </c>
      <c r="Q1899">
        <v>4</v>
      </c>
      <c r="R1899">
        <v>6</v>
      </c>
      <c r="S1899">
        <v>4</v>
      </c>
      <c r="T1899">
        <v>1</v>
      </c>
      <c r="U1899">
        <v>0</v>
      </c>
      <c r="V1899">
        <v>0</v>
      </c>
      <c r="W1899">
        <v>1</v>
      </c>
      <c r="X1899">
        <v>0</v>
      </c>
      <c r="Y1899">
        <v>0</v>
      </c>
      <c r="Z1899">
        <v>0</v>
      </c>
      <c r="AA1899">
        <v>3</v>
      </c>
      <c r="AB1899">
        <v>11</v>
      </c>
      <c r="AC1899">
        <v>0</v>
      </c>
      <c r="AD1899" t="str">
        <f t="shared" si="377"/>
        <v>Ok</v>
      </c>
      <c r="AE1899" t="str">
        <f>IF(AND(Audit_Data[[#This Row],[Year_Birth]]&gt;=1900,Audit_Data[[#This Row],[Year_Birth]]&lt;=2010),"OK","Invalid")</f>
        <v>OK</v>
      </c>
      <c r="AF1899" t="str">
        <f t="shared" si="378"/>
        <v>Valid</v>
      </c>
      <c r="AG1899" t="str">
        <f t="shared" si="379"/>
        <v>Valid</v>
      </c>
      <c r="AH1899" t="str">
        <f t="shared" si="380"/>
        <v>Valid</v>
      </c>
      <c r="AI1899" t="str">
        <f t="shared" si="381"/>
        <v>Valid</v>
      </c>
      <c r="AJ1899" t="str">
        <f t="shared" si="382"/>
        <v>Valid</v>
      </c>
      <c r="AK1899" t="str">
        <f t="shared" si="389"/>
        <v xml:space="preserve">Valid </v>
      </c>
      <c r="AL1899" t="str">
        <f>IF(AND(Audit_Data[[#This Row],[Recency]]&gt;=0,Audit_Data[[#This Row],[Recency]]&lt;=100),"Valid","Invalid")</f>
        <v>Valid</v>
      </c>
      <c r="AM1899" t="str">
        <f t="shared" si="383"/>
        <v>Valid</v>
      </c>
      <c r="AN1899" t="str">
        <f t="shared" si="384"/>
        <v>Valid</v>
      </c>
      <c r="AO1899" t="str">
        <f t="shared" si="385"/>
        <v>Valid</v>
      </c>
      <c r="AP1899" t="str">
        <f t="shared" si="386"/>
        <v>Valid</v>
      </c>
      <c r="AQ1899" t="str">
        <f>IF(Audit_Data[[#This Row],[Z_CostContact]]=3,"Valid","Invalid")</f>
        <v>Valid</v>
      </c>
      <c r="AR1899" t="str">
        <f t="shared" si="387"/>
        <v>Valid</v>
      </c>
      <c r="AS1899" t="str">
        <f t="shared" si="388"/>
        <v>Valid</v>
      </c>
    </row>
    <row r="1900" spans="1:45" x14ac:dyDescent="0.3">
      <c r="A1900">
        <v>4619</v>
      </c>
      <c r="B1900">
        <v>1945</v>
      </c>
      <c r="C1900" t="s">
        <v>32</v>
      </c>
      <c r="D1900" t="s">
        <v>30</v>
      </c>
      <c r="E1900">
        <v>113734</v>
      </c>
      <c r="F1900">
        <v>0</v>
      </c>
      <c r="G1900">
        <v>0</v>
      </c>
      <c r="H1900" s="1">
        <v>41787</v>
      </c>
      <c r="I1900">
        <v>9</v>
      </c>
      <c r="J1900">
        <v>6</v>
      </c>
      <c r="K1900">
        <v>2</v>
      </c>
      <c r="L1900">
        <v>3</v>
      </c>
      <c r="M1900">
        <v>1</v>
      </c>
      <c r="N1900">
        <v>262</v>
      </c>
      <c r="O1900">
        <v>3</v>
      </c>
      <c r="P1900">
        <v>0</v>
      </c>
      <c r="Q1900">
        <v>27</v>
      </c>
      <c r="R1900">
        <v>0</v>
      </c>
      <c r="S1900">
        <v>0</v>
      </c>
      <c r="T1900">
        <v>1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3</v>
      </c>
      <c r="AB1900">
        <v>11</v>
      </c>
      <c r="AC1900">
        <v>0</v>
      </c>
      <c r="AD1900" t="str">
        <f t="shared" si="377"/>
        <v>Ok</v>
      </c>
      <c r="AE1900" t="str">
        <f>IF(AND(Audit_Data[[#This Row],[Year_Birth]]&gt;=1900,Audit_Data[[#This Row],[Year_Birth]]&lt;=2010),"OK","Invalid")</f>
        <v>OK</v>
      </c>
      <c r="AF1900" t="str">
        <f t="shared" si="378"/>
        <v>Valid</v>
      </c>
      <c r="AG1900" t="str">
        <f t="shared" si="379"/>
        <v>Valid</v>
      </c>
      <c r="AH1900" t="str">
        <f t="shared" si="380"/>
        <v>Valid</v>
      </c>
      <c r="AI1900" t="str">
        <f t="shared" si="381"/>
        <v>Valid</v>
      </c>
      <c r="AJ1900" t="str">
        <f t="shared" si="382"/>
        <v>Valid</v>
      </c>
      <c r="AK1900" t="str">
        <f t="shared" si="389"/>
        <v xml:space="preserve">Valid </v>
      </c>
      <c r="AL1900" t="str">
        <f>IF(AND(Audit_Data[[#This Row],[Recency]]&gt;=0,Audit_Data[[#This Row],[Recency]]&lt;=100),"Valid","Invalid")</f>
        <v>Valid</v>
      </c>
      <c r="AM1900" t="str">
        <f t="shared" si="383"/>
        <v>Valid</v>
      </c>
      <c r="AN1900" t="str">
        <f t="shared" si="384"/>
        <v>Valid</v>
      </c>
      <c r="AO1900" t="str">
        <f t="shared" si="385"/>
        <v>Valid</v>
      </c>
      <c r="AP1900" t="str">
        <f t="shared" si="386"/>
        <v>Valid</v>
      </c>
      <c r="AQ1900" t="str">
        <f>IF(Audit_Data[[#This Row],[Z_CostContact]]=3,"Valid","Invalid")</f>
        <v>Valid</v>
      </c>
      <c r="AR1900" t="str">
        <f t="shared" si="387"/>
        <v>Valid</v>
      </c>
      <c r="AS1900" t="str">
        <f t="shared" si="388"/>
        <v>Valid</v>
      </c>
    </row>
    <row r="1901" spans="1:45" x14ac:dyDescent="0.3">
      <c r="A1901">
        <v>8780</v>
      </c>
      <c r="B1901">
        <v>1950</v>
      </c>
      <c r="C1901" t="s">
        <v>32</v>
      </c>
      <c r="D1901" t="s">
        <v>31</v>
      </c>
      <c r="E1901">
        <v>59292</v>
      </c>
      <c r="F1901">
        <v>0</v>
      </c>
      <c r="G1901">
        <v>1</v>
      </c>
      <c r="H1901" s="1">
        <v>41438</v>
      </c>
      <c r="I1901">
        <v>71</v>
      </c>
      <c r="J1901">
        <v>378</v>
      </c>
      <c r="K1901">
        <v>14</v>
      </c>
      <c r="L1901">
        <v>68</v>
      </c>
      <c r="M1901">
        <v>19</v>
      </c>
      <c r="N1901">
        <v>14</v>
      </c>
      <c r="O1901">
        <v>14</v>
      </c>
      <c r="P1901">
        <v>2</v>
      </c>
      <c r="Q1901">
        <v>3</v>
      </c>
      <c r="R1901">
        <v>5</v>
      </c>
      <c r="S1901">
        <v>8</v>
      </c>
      <c r="T1901">
        <v>3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3</v>
      </c>
      <c r="AB1901">
        <v>11</v>
      </c>
      <c r="AC1901">
        <v>0</v>
      </c>
      <c r="AD1901" t="str">
        <f t="shared" si="377"/>
        <v>Ok</v>
      </c>
      <c r="AE1901" t="str">
        <f>IF(AND(Audit_Data[[#This Row],[Year_Birth]]&gt;=1900,Audit_Data[[#This Row],[Year_Birth]]&lt;=2010),"OK","Invalid")</f>
        <v>OK</v>
      </c>
      <c r="AF1901" t="str">
        <f t="shared" si="378"/>
        <v>Valid</v>
      </c>
      <c r="AG1901" t="str">
        <f t="shared" si="379"/>
        <v>Valid</v>
      </c>
      <c r="AH1901" t="str">
        <f t="shared" si="380"/>
        <v>Valid</v>
      </c>
      <c r="AI1901" t="str">
        <f t="shared" si="381"/>
        <v>Valid</v>
      </c>
      <c r="AJ1901" t="str">
        <f t="shared" si="382"/>
        <v>Valid</v>
      </c>
      <c r="AK1901" t="str">
        <f t="shared" si="389"/>
        <v xml:space="preserve">Valid </v>
      </c>
      <c r="AL1901" t="str">
        <f>IF(AND(Audit_Data[[#This Row],[Recency]]&gt;=0,Audit_Data[[#This Row],[Recency]]&lt;=100),"Valid","Invalid")</f>
        <v>Valid</v>
      </c>
      <c r="AM1901" t="str">
        <f t="shared" si="383"/>
        <v>Valid</v>
      </c>
      <c r="AN1901" t="str">
        <f t="shared" si="384"/>
        <v>Valid</v>
      </c>
      <c r="AO1901" t="str">
        <f t="shared" si="385"/>
        <v>Valid</v>
      </c>
      <c r="AP1901" t="str">
        <f t="shared" si="386"/>
        <v>Valid</v>
      </c>
      <c r="AQ1901" t="str">
        <f>IF(Audit_Data[[#This Row],[Z_CostContact]]=3,"Valid","Invalid")</f>
        <v>Valid</v>
      </c>
      <c r="AR1901" t="str">
        <f t="shared" si="387"/>
        <v>Valid</v>
      </c>
      <c r="AS1901" t="str">
        <f t="shared" si="388"/>
        <v>Valid</v>
      </c>
    </row>
    <row r="1902" spans="1:45" x14ac:dyDescent="0.3">
      <c r="A1902">
        <v>10789</v>
      </c>
      <c r="B1902">
        <v>1964</v>
      </c>
      <c r="C1902" t="s">
        <v>32</v>
      </c>
      <c r="D1902" t="s">
        <v>33</v>
      </c>
      <c r="E1902">
        <v>45759</v>
      </c>
      <c r="F1902">
        <v>1</v>
      </c>
      <c r="G1902">
        <v>1</v>
      </c>
      <c r="H1902" s="1">
        <v>41328</v>
      </c>
      <c r="I1902">
        <v>13</v>
      </c>
      <c r="J1902">
        <v>42</v>
      </c>
      <c r="K1902">
        <v>1</v>
      </c>
      <c r="L1902">
        <v>18</v>
      </c>
      <c r="M1902">
        <v>3</v>
      </c>
      <c r="N1902">
        <v>0</v>
      </c>
      <c r="O1902">
        <v>4</v>
      </c>
      <c r="P1902">
        <v>2</v>
      </c>
      <c r="Q1902">
        <v>2</v>
      </c>
      <c r="R1902">
        <v>0</v>
      </c>
      <c r="S1902">
        <v>3</v>
      </c>
      <c r="T1902">
        <v>7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3</v>
      </c>
      <c r="AB1902">
        <v>11</v>
      </c>
      <c r="AC1902">
        <v>0</v>
      </c>
      <c r="AD1902" t="str">
        <f t="shared" si="377"/>
        <v>Ok</v>
      </c>
      <c r="AE1902" t="str">
        <f>IF(AND(Audit_Data[[#This Row],[Year_Birth]]&gt;=1900,Audit_Data[[#This Row],[Year_Birth]]&lt;=2010),"OK","Invalid")</f>
        <v>OK</v>
      </c>
      <c r="AF1902" t="str">
        <f t="shared" si="378"/>
        <v>Valid</v>
      </c>
      <c r="AG1902" t="str">
        <f t="shared" si="379"/>
        <v>Valid</v>
      </c>
      <c r="AH1902" t="str">
        <f t="shared" si="380"/>
        <v>Valid</v>
      </c>
      <c r="AI1902" t="str">
        <f t="shared" si="381"/>
        <v>Valid</v>
      </c>
      <c r="AJ1902" t="str">
        <f t="shared" si="382"/>
        <v>Valid</v>
      </c>
      <c r="AK1902" t="str">
        <f t="shared" si="389"/>
        <v xml:space="preserve">Valid </v>
      </c>
      <c r="AL1902" t="str">
        <f>IF(AND(Audit_Data[[#This Row],[Recency]]&gt;=0,Audit_Data[[#This Row],[Recency]]&lt;=100),"Valid","Invalid")</f>
        <v>Valid</v>
      </c>
      <c r="AM1902" t="str">
        <f t="shared" si="383"/>
        <v>Valid</v>
      </c>
      <c r="AN1902" t="str">
        <f t="shared" si="384"/>
        <v>Valid</v>
      </c>
      <c r="AO1902" t="str">
        <f t="shared" si="385"/>
        <v>Valid</v>
      </c>
      <c r="AP1902" t="str">
        <f t="shared" si="386"/>
        <v>Valid</v>
      </c>
      <c r="AQ1902" t="str">
        <f>IF(Audit_Data[[#This Row],[Z_CostContact]]=3,"Valid","Invalid")</f>
        <v>Valid</v>
      </c>
      <c r="AR1902" t="str">
        <f t="shared" si="387"/>
        <v>Valid</v>
      </c>
      <c r="AS1902" t="str">
        <f t="shared" si="388"/>
        <v>Valid</v>
      </c>
    </row>
    <row r="1903" spans="1:45" x14ac:dyDescent="0.3">
      <c r="A1903">
        <v>10779</v>
      </c>
      <c r="B1903">
        <v>1983</v>
      </c>
      <c r="C1903" t="s">
        <v>29</v>
      </c>
      <c r="D1903" t="s">
        <v>30</v>
      </c>
      <c r="E1903">
        <v>22148</v>
      </c>
      <c r="F1903">
        <v>0</v>
      </c>
      <c r="G1903">
        <v>0</v>
      </c>
      <c r="H1903" s="1">
        <v>41742</v>
      </c>
      <c r="I1903">
        <v>16</v>
      </c>
      <c r="J1903">
        <v>15</v>
      </c>
      <c r="K1903">
        <v>5</v>
      </c>
      <c r="L1903">
        <v>14</v>
      </c>
      <c r="M1903">
        <v>0</v>
      </c>
      <c r="N1903">
        <v>4</v>
      </c>
      <c r="O1903">
        <v>11</v>
      </c>
      <c r="P1903">
        <v>1</v>
      </c>
      <c r="Q1903">
        <v>1</v>
      </c>
      <c r="R1903">
        <v>0</v>
      </c>
      <c r="S1903">
        <v>3</v>
      </c>
      <c r="T1903">
        <v>7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3</v>
      </c>
      <c r="AB1903">
        <v>11</v>
      </c>
      <c r="AC1903">
        <v>0</v>
      </c>
      <c r="AD1903" t="str">
        <f t="shared" si="377"/>
        <v>Ok</v>
      </c>
      <c r="AE1903" t="str">
        <f>IF(AND(Audit_Data[[#This Row],[Year_Birth]]&gt;=1900,Audit_Data[[#This Row],[Year_Birth]]&lt;=2010),"OK","Invalid")</f>
        <v>OK</v>
      </c>
      <c r="AF1903" t="str">
        <f t="shared" si="378"/>
        <v>Valid</v>
      </c>
      <c r="AG1903" t="str">
        <f t="shared" si="379"/>
        <v>Valid</v>
      </c>
      <c r="AH1903" t="str">
        <f t="shared" si="380"/>
        <v>Valid</v>
      </c>
      <c r="AI1903" t="str">
        <f t="shared" si="381"/>
        <v>Valid</v>
      </c>
      <c r="AJ1903" t="str">
        <f t="shared" si="382"/>
        <v>Valid</v>
      </c>
      <c r="AK1903" t="str">
        <f t="shared" si="389"/>
        <v xml:space="preserve">Valid </v>
      </c>
      <c r="AL1903" t="str">
        <f>IF(AND(Audit_Data[[#This Row],[Recency]]&gt;=0,Audit_Data[[#This Row],[Recency]]&lt;=100),"Valid","Invalid")</f>
        <v>Valid</v>
      </c>
      <c r="AM1903" t="str">
        <f t="shared" si="383"/>
        <v>Valid</v>
      </c>
      <c r="AN1903" t="str">
        <f t="shared" si="384"/>
        <v>Valid</v>
      </c>
      <c r="AO1903" t="str">
        <f t="shared" si="385"/>
        <v>Valid</v>
      </c>
      <c r="AP1903" t="str">
        <f t="shared" si="386"/>
        <v>Valid</v>
      </c>
      <c r="AQ1903" t="str">
        <f>IF(Audit_Data[[#This Row],[Z_CostContact]]=3,"Valid","Invalid")</f>
        <v>Valid</v>
      </c>
      <c r="AR1903" t="str">
        <f t="shared" si="387"/>
        <v>Valid</v>
      </c>
      <c r="AS1903" t="str">
        <f t="shared" si="388"/>
        <v>Valid</v>
      </c>
    </row>
    <row r="1904" spans="1:45" x14ac:dyDescent="0.3">
      <c r="A1904">
        <v>5896</v>
      </c>
      <c r="B1904">
        <v>1987</v>
      </c>
      <c r="C1904" t="s">
        <v>34</v>
      </c>
      <c r="D1904" t="s">
        <v>33</v>
      </c>
      <c r="E1904">
        <v>73395</v>
      </c>
      <c r="F1904">
        <v>0</v>
      </c>
      <c r="G1904">
        <v>0</v>
      </c>
      <c r="H1904" s="1">
        <v>41716</v>
      </c>
      <c r="I1904">
        <v>94</v>
      </c>
      <c r="J1904">
        <v>272</v>
      </c>
      <c r="K1904">
        <v>7</v>
      </c>
      <c r="L1904">
        <v>80</v>
      </c>
      <c r="M1904">
        <v>20</v>
      </c>
      <c r="N1904">
        <v>7</v>
      </c>
      <c r="O1904">
        <v>11</v>
      </c>
      <c r="P1904">
        <v>1</v>
      </c>
      <c r="Q1904">
        <v>4</v>
      </c>
      <c r="R1904">
        <v>4</v>
      </c>
      <c r="S1904">
        <v>6</v>
      </c>
      <c r="T1904">
        <v>2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3</v>
      </c>
      <c r="AB1904">
        <v>11</v>
      </c>
      <c r="AC1904">
        <v>0</v>
      </c>
      <c r="AD1904" t="str">
        <f t="shared" si="377"/>
        <v>Ok</v>
      </c>
      <c r="AE1904" t="str">
        <f>IF(AND(Audit_Data[[#This Row],[Year_Birth]]&gt;=1900,Audit_Data[[#This Row],[Year_Birth]]&lt;=2010),"OK","Invalid")</f>
        <v>OK</v>
      </c>
      <c r="AF1904" t="str">
        <f t="shared" si="378"/>
        <v>Valid</v>
      </c>
      <c r="AG1904" t="str">
        <f t="shared" si="379"/>
        <v>Valid</v>
      </c>
      <c r="AH1904" t="str">
        <f t="shared" si="380"/>
        <v>Valid</v>
      </c>
      <c r="AI1904" t="str">
        <f t="shared" si="381"/>
        <v>Valid</v>
      </c>
      <c r="AJ1904" t="str">
        <f t="shared" si="382"/>
        <v>Valid</v>
      </c>
      <c r="AK1904" t="str">
        <f t="shared" si="389"/>
        <v xml:space="preserve">Valid </v>
      </c>
      <c r="AL1904" t="str">
        <f>IF(AND(Audit_Data[[#This Row],[Recency]]&gt;=0,Audit_Data[[#This Row],[Recency]]&lt;=100),"Valid","Invalid")</f>
        <v>Valid</v>
      </c>
      <c r="AM1904" t="str">
        <f t="shared" si="383"/>
        <v>Valid</v>
      </c>
      <c r="AN1904" t="str">
        <f t="shared" si="384"/>
        <v>Valid</v>
      </c>
      <c r="AO1904" t="str">
        <f t="shared" si="385"/>
        <v>Valid</v>
      </c>
      <c r="AP1904" t="str">
        <f t="shared" si="386"/>
        <v>Valid</v>
      </c>
      <c r="AQ1904" t="str">
        <f>IF(Audit_Data[[#This Row],[Z_CostContact]]=3,"Valid","Invalid")</f>
        <v>Valid</v>
      </c>
      <c r="AR1904" t="str">
        <f t="shared" si="387"/>
        <v>Valid</v>
      </c>
      <c r="AS1904" t="str">
        <f t="shared" si="388"/>
        <v>Valid</v>
      </c>
    </row>
    <row r="1905" spans="1:45" x14ac:dyDescent="0.3">
      <c r="A1905">
        <v>2337</v>
      </c>
      <c r="B1905">
        <v>1971</v>
      </c>
      <c r="C1905" t="s">
        <v>29</v>
      </c>
      <c r="D1905" t="s">
        <v>35</v>
      </c>
      <c r="E1905">
        <v>29819</v>
      </c>
      <c r="F1905">
        <v>1</v>
      </c>
      <c r="G1905">
        <v>0</v>
      </c>
      <c r="H1905" s="1">
        <v>41571</v>
      </c>
      <c r="I1905">
        <v>77</v>
      </c>
      <c r="J1905">
        <v>9</v>
      </c>
      <c r="K1905">
        <v>1</v>
      </c>
      <c r="L1905">
        <v>24</v>
      </c>
      <c r="M1905">
        <v>2</v>
      </c>
      <c r="N1905">
        <v>1</v>
      </c>
      <c r="O1905">
        <v>2</v>
      </c>
      <c r="P1905">
        <v>3</v>
      </c>
      <c r="Q1905">
        <v>3</v>
      </c>
      <c r="R1905">
        <v>0</v>
      </c>
      <c r="S1905">
        <v>3</v>
      </c>
      <c r="T1905">
        <v>6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3</v>
      </c>
      <c r="AB1905">
        <v>11</v>
      </c>
      <c r="AC1905">
        <v>0</v>
      </c>
      <c r="AD1905" t="str">
        <f t="shared" si="377"/>
        <v>Ok</v>
      </c>
      <c r="AE1905" t="str">
        <f>IF(AND(Audit_Data[[#This Row],[Year_Birth]]&gt;=1900,Audit_Data[[#This Row],[Year_Birth]]&lt;=2010),"OK","Invalid")</f>
        <v>OK</v>
      </c>
      <c r="AF1905" t="str">
        <f t="shared" si="378"/>
        <v>Valid</v>
      </c>
      <c r="AG1905" t="str">
        <f t="shared" si="379"/>
        <v>Valid</v>
      </c>
      <c r="AH1905" t="str">
        <f t="shared" si="380"/>
        <v>Valid</v>
      </c>
      <c r="AI1905" t="str">
        <f t="shared" si="381"/>
        <v>Valid</v>
      </c>
      <c r="AJ1905" t="str">
        <f t="shared" si="382"/>
        <v>Valid</v>
      </c>
      <c r="AK1905" t="str">
        <f t="shared" si="389"/>
        <v xml:space="preserve">Valid </v>
      </c>
      <c r="AL1905" t="str">
        <f>IF(AND(Audit_Data[[#This Row],[Recency]]&gt;=0,Audit_Data[[#This Row],[Recency]]&lt;=100),"Valid","Invalid")</f>
        <v>Valid</v>
      </c>
      <c r="AM1905" t="str">
        <f t="shared" si="383"/>
        <v>Valid</v>
      </c>
      <c r="AN1905" t="str">
        <f t="shared" si="384"/>
        <v>Valid</v>
      </c>
      <c r="AO1905" t="str">
        <f t="shared" si="385"/>
        <v>Valid</v>
      </c>
      <c r="AP1905" t="str">
        <f t="shared" si="386"/>
        <v>Valid</v>
      </c>
      <c r="AQ1905" t="str">
        <f>IF(Audit_Data[[#This Row],[Z_CostContact]]=3,"Valid","Invalid")</f>
        <v>Valid</v>
      </c>
      <c r="AR1905" t="str">
        <f t="shared" si="387"/>
        <v>Valid</v>
      </c>
      <c r="AS1905" t="str">
        <f t="shared" si="388"/>
        <v>Valid</v>
      </c>
    </row>
    <row r="1906" spans="1:45" x14ac:dyDescent="0.3">
      <c r="A1906">
        <v>10951</v>
      </c>
      <c r="B1906">
        <v>1968</v>
      </c>
      <c r="C1906" t="s">
        <v>29</v>
      </c>
      <c r="D1906" t="s">
        <v>33</v>
      </c>
      <c r="E1906">
        <v>45688</v>
      </c>
      <c r="F1906">
        <v>0</v>
      </c>
      <c r="G1906">
        <v>1</v>
      </c>
      <c r="H1906" s="1">
        <v>41664</v>
      </c>
      <c r="I1906">
        <v>20</v>
      </c>
      <c r="J1906">
        <v>279</v>
      </c>
      <c r="K1906">
        <v>0</v>
      </c>
      <c r="L1906">
        <v>18</v>
      </c>
      <c r="M1906">
        <v>0</v>
      </c>
      <c r="N1906">
        <v>0</v>
      </c>
      <c r="O1906">
        <v>9</v>
      </c>
      <c r="P1906">
        <v>2</v>
      </c>
      <c r="Q1906">
        <v>3</v>
      </c>
      <c r="R1906">
        <v>1</v>
      </c>
      <c r="S1906">
        <v>8</v>
      </c>
      <c r="T1906">
        <v>4</v>
      </c>
      <c r="U1906">
        <v>0</v>
      </c>
      <c r="V1906">
        <v>1</v>
      </c>
      <c r="W1906">
        <v>0</v>
      </c>
      <c r="X1906">
        <v>0</v>
      </c>
      <c r="Y1906">
        <v>0</v>
      </c>
      <c r="Z1906">
        <v>0</v>
      </c>
      <c r="AA1906">
        <v>3</v>
      </c>
      <c r="AB1906">
        <v>11</v>
      </c>
      <c r="AC1906">
        <v>0</v>
      </c>
      <c r="AD1906" t="str">
        <f t="shared" si="377"/>
        <v>Ok</v>
      </c>
      <c r="AE1906" t="str">
        <f>IF(AND(Audit_Data[[#This Row],[Year_Birth]]&gt;=1900,Audit_Data[[#This Row],[Year_Birth]]&lt;=2010),"OK","Invalid")</f>
        <v>OK</v>
      </c>
      <c r="AF1906" t="str">
        <f t="shared" si="378"/>
        <v>Valid</v>
      </c>
      <c r="AG1906" t="str">
        <f t="shared" si="379"/>
        <v>Valid</v>
      </c>
      <c r="AH1906" t="str">
        <f t="shared" si="380"/>
        <v>Valid</v>
      </c>
      <c r="AI1906" t="str">
        <f t="shared" si="381"/>
        <v>Valid</v>
      </c>
      <c r="AJ1906" t="str">
        <f t="shared" si="382"/>
        <v>Valid</v>
      </c>
      <c r="AK1906" t="str">
        <f t="shared" si="389"/>
        <v xml:space="preserve">Valid </v>
      </c>
      <c r="AL1906" t="str">
        <f>IF(AND(Audit_Data[[#This Row],[Recency]]&gt;=0,Audit_Data[[#This Row],[Recency]]&lt;=100),"Valid","Invalid")</f>
        <v>Valid</v>
      </c>
      <c r="AM1906" t="str">
        <f t="shared" si="383"/>
        <v>Valid</v>
      </c>
      <c r="AN1906" t="str">
        <f t="shared" si="384"/>
        <v>Valid</v>
      </c>
      <c r="AO1906" t="str">
        <f t="shared" si="385"/>
        <v>Valid</v>
      </c>
      <c r="AP1906" t="str">
        <f t="shared" si="386"/>
        <v>Valid</v>
      </c>
      <c r="AQ1906" t="str">
        <f>IF(Audit_Data[[#This Row],[Z_CostContact]]=3,"Valid","Invalid")</f>
        <v>Valid</v>
      </c>
      <c r="AR1906" t="str">
        <f t="shared" si="387"/>
        <v>Valid</v>
      </c>
      <c r="AS1906" t="str">
        <f t="shared" si="388"/>
        <v>Valid</v>
      </c>
    </row>
    <row r="1907" spans="1:45" x14ac:dyDescent="0.3">
      <c r="A1907">
        <v>544</v>
      </c>
      <c r="B1907">
        <v>1954</v>
      </c>
      <c r="C1907" t="s">
        <v>29</v>
      </c>
      <c r="D1907" t="s">
        <v>33</v>
      </c>
      <c r="E1907">
        <v>62820</v>
      </c>
      <c r="F1907">
        <v>0</v>
      </c>
      <c r="G1907">
        <v>0</v>
      </c>
      <c r="H1907" s="1">
        <v>41405</v>
      </c>
      <c r="I1907">
        <v>51</v>
      </c>
      <c r="J1907">
        <v>398</v>
      </c>
      <c r="K1907">
        <v>61</v>
      </c>
      <c r="L1907">
        <v>265</v>
      </c>
      <c r="M1907">
        <v>138</v>
      </c>
      <c r="N1907">
        <v>61</v>
      </c>
      <c r="O1907">
        <v>53</v>
      </c>
      <c r="P1907">
        <v>1</v>
      </c>
      <c r="Q1907">
        <v>3</v>
      </c>
      <c r="R1907">
        <v>4</v>
      </c>
      <c r="S1907">
        <v>6</v>
      </c>
      <c r="T1907">
        <v>1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3</v>
      </c>
      <c r="AB1907">
        <v>11</v>
      </c>
      <c r="AC1907">
        <v>0</v>
      </c>
      <c r="AD1907" t="str">
        <f t="shared" si="377"/>
        <v>Ok</v>
      </c>
      <c r="AE1907" t="str">
        <f>IF(AND(Audit_Data[[#This Row],[Year_Birth]]&gt;=1900,Audit_Data[[#This Row],[Year_Birth]]&lt;=2010),"OK","Invalid")</f>
        <v>OK</v>
      </c>
      <c r="AF1907" t="str">
        <f t="shared" si="378"/>
        <v>Valid</v>
      </c>
      <c r="AG1907" t="str">
        <f t="shared" si="379"/>
        <v>Valid</v>
      </c>
      <c r="AH1907" t="str">
        <f t="shared" si="380"/>
        <v>Valid</v>
      </c>
      <c r="AI1907" t="str">
        <f t="shared" si="381"/>
        <v>Valid</v>
      </c>
      <c r="AJ1907" t="str">
        <f t="shared" si="382"/>
        <v>Valid</v>
      </c>
      <c r="AK1907" t="str">
        <f t="shared" si="389"/>
        <v xml:space="preserve">Valid </v>
      </c>
      <c r="AL1907" t="str">
        <f>IF(AND(Audit_Data[[#This Row],[Recency]]&gt;=0,Audit_Data[[#This Row],[Recency]]&lt;=100),"Valid","Invalid")</f>
        <v>Valid</v>
      </c>
      <c r="AM1907" t="str">
        <f t="shared" si="383"/>
        <v>Valid</v>
      </c>
      <c r="AN1907" t="str">
        <f t="shared" si="384"/>
        <v>Valid</v>
      </c>
      <c r="AO1907" t="str">
        <f t="shared" si="385"/>
        <v>Valid</v>
      </c>
      <c r="AP1907" t="str">
        <f t="shared" si="386"/>
        <v>Valid</v>
      </c>
      <c r="AQ1907" t="str">
        <f>IF(Audit_Data[[#This Row],[Z_CostContact]]=3,"Valid","Invalid")</f>
        <v>Valid</v>
      </c>
      <c r="AR1907" t="str">
        <f t="shared" si="387"/>
        <v>Valid</v>
      </c>
      <c r="AS1907" t="str">
        <f t="shared" si="388"/>
        <v>Valid</v>
      </c>
    </row>
    <row r="1908" spans="1:45" x14ac:dyDescent="0.3">
      <c r="A1908">
        <v>17</v>
      </c>
      <c r="B1908">
        <v>1971</v>
      </c>
      <c r="C1908" t="s">
        <v>32</v>
      </c>
      <c r="D1908" t="s">
        <v>33</v>
      </c>
      <c r="E1908">
        <v>60491</v>
      </c>
      <c r="F1908">
        <v>0</v>
      </c>
      <c r="G1908">
        <v>1</v>
      </c>
      <c r="H1908" s="1">
        <v>41523</v>
      </c>
      <c r="I1908">
        <v>81</v>
      </c>
      <c r="J1908">
        <v>637</v>
      </c>
      <c r="K1908">
        <v>47</v>
      </c>
      <c r="L1908">
        <v>237</v>
      </c>
      <c r="M1908">
        <v>12</v>
      </c>
      <c r="N1908">
        <v>19</v>
      </c>
      <c r="O1908">
        <v>76</v>
      </c>
      <c r="P1908">
        <v>4</v>
      </c>
      <c r="Q1908">
        <v>6</v>
      </c>
      <c r="R1908">
        <v>11</v>
      </c>
      <c r="S1908">
        <v>7</v>
      </c>
      <c r="T1908">
        <v>5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3</v>
      </c>
      <c r="AB1908">
        <v>11</v>
      </c>
      <c r="AC1908">
        <v>0</v>
      </c>
      <c r="AD1908" t="str">
        <f t="shared" si="377"/>
        <v>Ok</v>
      </c>
      <c r="AE1908" t="str">
        <f>IF(AND(Audit_Data[[#This Row],[Year_Birth]]&gt;=1900,Audit_Data[[#This Row],[Year_Birth]]&lt;=2010),"OK","Invalid")</f>
        <v>OK</v>
      </c>
      <c r="AF1908" t="str">
        <f t="shared" si="378"/>
        <v>Valid</v>
      </c>
      <c r="AG1908" t="str">
        <f t="shared" si="379"/>
        <v>Valid</v>
      </c>
      <c r="AH1908" t="str">
        <f t="shared" si="380"/>
        <v>Valid</v>
      </c>
      <c r="AI1908" t="str">
        <f t="shared" si="381"/>
        <v>Valid</v>
      </c>
      <c r="AJ1908" t="str">
        <f t="shared" si="382"/>
        <v>Valid</v>
      </c>
      <c r="AK1908" t="str">
        <f t="shared" si="389"/>
        <v xml:space="preserve">Valid </v>
      </c>
      <c r="AL1908" t="str">
        <f>IF(AND(Audit_Data[[#This Row],[Recency]]&gt;=0,Audit_Data[[#This Row],[Recency]]&lt;=100),"Valid","Invalid")</f>
        <v>Valid</v>
      </c>
      <c r="AM1908" t="str">
        <f t="shared" si="383"/>
        <v>Valid</v>
      </c>
      <c r="AN1908" t="str">
        <f t="shared" si="384"/>
        <v>Valid</v>
      </c>
      <c r="AO1908" t="str">
        <f t="shared" si="385"/>
        <v>Valid</v>
      </c>
      <c r="AP1908" t="str">
        <f t="shared" si="386"/>
        <v>Valid</v>
      </c>
      <c r="AQ1908" t="str">
        <f>IF(Audit_Data[[#This Row],[Z_CostContact]]=3,"Valid","Invalid")</f>
        <v>Valid</v>
      </c>
      <c r="AR1908" t="str">
        <f t="shared" si="387"/>
        <v>Valid</v>
      </c>
      <c r="AS1908" t="str">
        <f t="shared" si="388"/>
        <v>Valid</v>
      </c>
    </row>
    <row r="1909" spans="1:45" x14ac:dyDescent="0.3">
      <c r="A1909">
        <v>10680</v>
      </c>
      <c r="B1909">
        <v>1986</v>
      </c>
      <c r="C1909" t="s">
        <v>29</v>
      </c>
      <c r="D1909" t="s">
        <v>31</v>
      </c>
      <c r="E1909">
        <v>33235</v>
      </c>
      <c r="F1909">
        <v>1</v>
      </c>
      <c r="G1909">
        <v>0</v>
      </c>
      <c r="H1909" s="1">
        <v>41675</v>
      </c>
      <c r="I1909">
        <v>71</v>
      </c>
      <c r="J1909">
        <v>45</v>
      </c>
      <c r="K1909">
        <v>0</v>
      </c>
      <c r="L1909">
        <v>16</v>
      </c>
      <c r="M1909">
        <v>2</v>
      </c>
      <c r="N1909">
        <v>1</v>
      </c>
      <c r="O1909">
        <v>6</v>
      </c>
      <c r="P1909">
        <v>1</v>
      </c>
      <c r="Q1909">
        <v>3</v>
      </c>
      <c r="R1909">
        <v>0</v>
      </c>
      <c r="S1909">
        <v>3</v>
      </c>
      <c r="T1909">
        <v>7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3</v>
      </c>
      <c r="AB1909">
        <v>11</v>
      </c>
      <c r="AC1909">
        <v>0</v>
      </c>
      <c r="AD1909" t="str">
        <f t="shared" si="377"/>
        <v>Ok</v>
      </c>
      <c r="AE1909" t="str">
        <f>IF(AND(Audit_Data[[#This Row],[Year_Birth]]&gt;=1900,Audit_Data[[#This Row],[Year_Birth]]&lt;=2010),"OK","Invalid")</f>
        <v>OK</v>
      </c>
      <c r="AF1909" t="str">
        <f t="shared" si="378"/>
        <v>Valid</v>
      </c>
      <c r="AG1909" t="str">
        <f t="shared" si="379"/>
        <v>Valid</v>
      </c>
      <c r="AH1909" t="str">
        <f t="shared" si="380"/>
        <v>Valid</v>
      </c>
      <c r="AI1909" t="str">
        <f t="shared" si="381"/>
        <v>Valid</v>
      </c>
      <c r="AJ1909" t="str">
        <f t="shared" si="382"/>
        <v>Valid</v>
      </c>
      <c r="AK1909" t="str">
        <f t="shared" si="389"/>
        <v xml:space="preserve">Valid </v>
      </c>
      <c r="AL1909" t="str">
        <f>IF(AND(Audit_Data[[#This Row],[Recency]]&gt;=0,Audit_Data[[#This Row],[Recency]]&lt;=100),"Valid","Invalid")</f>
        <v>Valid</v>
      </c>
      <c r="AM1909" t="str">
        <f t="shared" si="383"/>
        <v>Valid</v>
      </c>
      <c r="AN1909" t="str">
        <f t="shared" si="384"/>
        <v>Valid</v>
      </c>
      <c r="AO1909" t="str">
        <f t="shared" si="385"/>
        <v>Valid</v>
      </c>
      <c r="AP1909" t="str">
        <f t="shared" si="386"/>
        <v>Valid</v>
      </c>
      <c r="AQ1909" t="str">
        <f>IF(Audit_Data[[#This Row],[Z_CostContact]]=3,"Valid","Invalid")</f>
        <v>Valid</v>
      </c>
      <c r="AR1909" t="str">
        <f t="shared" si="387"/>
        <v>Valid</v>
      </c>
      <c r="AS1909" t="str">
        <f t="shared" si="388"/>
        <v>Valid</v>
      </c>
    </row>
    <row r="1910" spans="1:45" x14ac:dyDescent="0.3">
      <c r="A1910">
        <v>3265</v>
      </c>
      <c r="B1910">
        <v>1959</v>
      </c>
      <c r="C1910" t="s">
        <v>29</v>
      </c>
      <c r="D1910" t="s">
        <v>33</v>
      </c>
      <c r="E1910">
        <v>35701</v>
      </c>
      <c r="F1910">
        <v>0</v>
      </c>
      <c r="G1910">
        <v>0</v>
      </c>
      <c r="H1910" s="1">
        <v>41352</v>
      </c>
      <c r="I1910">
        <v>36</v>
      </c>
      <c r="J1910">
        <v>21</v>
      </c>
      <c r="K1910">
        <v>1</v>
      </c>
      <c r="L1910">
        <v>9</v>
      </c>
      <c r="M1910">
        <v>7</v>
      </c>
      <c r="N1910">
        <v>3</v>
      </c>
      <c r="O1910">
        <v>5</v>
      </c>
      <c r="P1910">
        <v>1</v>
      </c>
      <c r="Q1910">
        <v>1</v>
      </c>
      <c r="R1910">
        <v>0</v>
      </c>
      <c r="S1910">
        <v>3</v>
      </c>
      <c r="T1910">
        <v>6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3</v>
      </c>
      <c r="AB1910">
        <v>11</v>
      </c>
      <c r="AC1910">
        <v>0</v>
      </c>
      <c r="AD1910" t="str">
        <f t="shared" si="377"/>
        <v>Ok</v>
      </c>
      <c r="AE1910" t="str">
        <f>IF(AND(Audit_Data[[#This Row],[Year_Birth]]&gt;=1900,Audit_Data[[#This Row],[Year_Birth]]&lt;=2010),"OK","Invalid")</f>
        <v>OK</v>
      </c>
      <c r="AF1910" t="str">
        <f t="shared" si="378"/>
        <v>Valid</v>
      </c>
      <c r="AG1910" t="str">
        <f t="shared" si="379"/>
        <v>Valid</v>
      </c>
      <c r="AH1910" t="str">
        <f t="shared" si="380"/>
        <v>Valid</v>
      </c>
      <c r="AI1910" t="str">
        <f t="shared" si="381"/>
        <v>Valid</v>
      </c>
      <c r="AJ1910" t="str">
        <f t="shared" si="382"/>
        <v>Valid</v>
      </c>
      <c r="AK1910" t="str">
        <f t="shared" si="389"/>
        <v xml:space="preserve">Valid </v>
      </c>
      <c r="AL1910" t="str">
        <f>IF(AND(Audit_Data[[#This Row],[Recency]]&gt;=0,Audit_Data[[#This Row],[Recency]]&lt;=100),"Valid","Invalid")</f>
        <v>Valid</v>
      </c>
      <c r="AM1910" t="str">
        <f t="shared" si="383"/>
        <v>Valid</v>
      </c>
      <c r="AN1910" t="str">
        <f t="shared" si="384"/>
        <v>Valid</v>
      </c>
      <c r="AO1910" t="str">
        <f t="shared" si="385"/>
        <v>Valid</v>
      </c>
      <c r="AP1910" t="str">
        <f t="shared" si="386"/>
        <v>Valid</v>
      </c>
      <c r="AQ1910" t="str">
        <f>IF(Audit_Data[[#This Row],[Z_CostContact]]=3,"Valid","Invalid")</f>
        <v>Valid</v>
      </c>
      <c r="AR1910" t="str">
        <f t="shared" si="387"/>
        <v>Valid</v>
      </c>
      <c r="AS1910" t="str">
        <f t="shared" si="388"/>
        <v>Valid</v>
      </c>
    </row>
    <row r="1911" spans="1:45" x14ac:dyDescent="0.3">
      <c r="A1911">
        <v>5623</v>
      </c>
      <c r="B1911">
        <v>1980</v>
      </c>
      <c r="C1911" t="s">
        <v>34</v>
      </c>
      <c r="D1911" t="s">
        <v>33</v>
      </c>
      <c r="E1911">
        <v>31535</v>
      </c>
      <c r="F1911">
        <v>1</v>
      </c>
      <c r="G1911">
        <v>0</v>
      </c>
      <c r="H1911" s="1">
        <v>41543</v>
      </c>
      <c r="I1911">
        <v>95</v>
      </c>
      <c r="J1911">
        <v>15</v>
      </c>
      <c r="K1911">
        <v>4</v>
      </c>
      <c r="L1911">
        <v>13</v>
      </c>
      <c r="M1911">
        <v>0</v>
      </c>
      <c r="N1911">
        <v>0</v>
      </c>
      <c r="O1911">
        <v>19</v>
      </c>
      <c r="P1911">
        <v>1</v>
      </c>
      <c r="Q1911">
        <v>1</v>
      </c>
      <c r="R1911">
        <v>1</v>
      </c>
      <c r="S1911">
        <v>2</v>
      </c>
      <c r="T1911">
        <v>7</v>
      </c>
      <c r="U1911">
        <v>1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3</v>
      </c>
      <c r="AB1911">
        <v>11</v>
      </c>
      <c r="AC1911">
        <v>0</v>
      </c>
      <c r="AD1911" t="str">
        <f t="shared" si="377"/>
        <v>Ok</v>
      </c>
      <c r="AE1911" t="str">
        <f>IF(AND(Audit_Data[[#This Row],[Year_Birth]]&gt;=1900,Audit_Data[[#This Row],[Year_Birth]]&lt;=2010),"OK","Invalid")</f>
        <v>OK</v>
      </c>
      <c r="AF1911" t="str">
        <f t="shared" si="378"/>
        <v>Valid</v>
      </c>
      <c r="AG1911" t="str">
        <f t="shared" si="379"/>
        <v>Valid</v>
      </c>
      <c r="AH1911" t="str">
        <f t="shared" si="380"/>
        <v>Valid</v>
      </c>
      <c r="AI1911" t="str">
        <f t="shared" si="381"/>
        <v>Valid</v>
      </c>
      <c r="AJ1911" t="str">
        <f t="shared" si="382"/>
        <v>Valid</v>
      </c>
      <c r="AK1911" t="str">
        <f t="shared" si="389"/>
        <v xml:space="preserve">Valid </v>
      </c>
      <c r="AL1911" t="str">
        <f>IF(AND(Audit_Data[[#This Row],[Recency]]&gt;=0,Audit_Data[[#This Row],[Recency]]&lt;=100),"Valid","Invalid")</f>
        <v>Valid</v>
      </c>
      <c r="AM1911" t="str">
        <f t="shared" si="383"/>
        <v>Valid</v>
      </c>
      <c r="AN1911" t="str">
        <f t="shared" si="384"/>
        <v>Valid</v>
      </c>
      <c r="AO1911" t="str">
        <f t="shared" si="385"/>
        <v>Valid</v>
      </c>
      <c r="AP1911" t="str">
        <f t="shared" si="386"/>
        <v>Valid</v>
      </c>
      <c r="AQ1911" t="str">
        <f>IF(Audit_Data[[#This Row],[Z_CostContact]]=3,"Valid","Invalid")</f>
        <v>Valid</v>
      </c>
      <c r="AR1911" t="str">
        <f t="shared" si="387"/>
        <v>Valid</v>
      </c>
      <c r="AS1911" t="str">
        <f t="shared" si="388"/>
        <v>Valid</v>
      </c>
    </row>
    <row r="1912" spans="1:45" x14ac:dyDescent="0.3">
      <c r="A1912">
        <v>5832</v>
      </c>
      <c r="B1912">
        <v>1960</v>
      </c>
      <c r="C1912" t="s">
        <v>37</v>
      </c>
      <c r="D1912" t="s">
        <v>31</v>
      </c>
      <c r="E1912">
        <v>92556</v>
      </c>
      <c r="F1912">
        <v>0</v>
      </c>
      <c r="G1912">
        <v>0</v>
      </c>
      <c r="H1912" s="1">
        <v>41749</v>
      </c>
      <c r="I1912">
        <v>32</v>
      </c>
      <c r="J1912">
        <v>493</v>
      </c>
      <c r="K1912">
        <v>183</v>
      </c>
      <c r="L1912">
        <v>352</v>
      </c>
      <c r="M1912">
        <v>184</v>
      </c>
      <c r="N1912">
        <v>23</v>
      </c>
      <c r="O1912">
        <v>28</v>
      </c>
      <c r="P1912">
        <v>0</v>
      </c>
      <c r="Q1912">
        <v>3</v>
      </c>
      <c r="R1912">
        <v>5</v>
      </c>
      <c r="S1912">
        <v>13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3</v>
      </c>
      <c r="AB1912">
        <v>11</v>
      </c>
      <c r="AC1912">
        <v>0</v>
      </c>
      <c r="AD1912" t="str">
        <f t="shared" si="377"/>
        <v>Ok</v>
      </c>
      <c r="AE1912" t="str">
        <f>IF(AND(Audit_Data[[#This Row],[Year_Birth]]&gt;=1900,Audit_Data[[#This Row],[Year_Birth]]&lt;=2010),"OK","Invalid")</f>
        <v>OK</v>
      </c>
      <c r="AF1912" t="str">
        <f t="shared" si="378"/>
        <v>Valid</v>
      </c>
      <c r="AG1912" t="str">
        <f t="shared" si="379"/>
        <v>Valid</v>
      </c>
      <c r="AH1912" t="str">
        <f t="shared" si="380"/>
        <v>Valid</v>
      </c>
      <c r="AI1912" t="str">
        <f t="shared" si="381"/>
        <v>Valid</v>
      </c>
      <c r="AJ1912" t="str">
        <f t="shared" si="382"/>
        <v>Valid</v>
      </c>
      <c r="AK1912" t="str">
        <f t="shared" si="389"/>
        <v xml:space="preserve">Valid </v>
      </c>
      <c r="AL1912" t="str">
        <f>IF(AND(Audit_Data[[#This Row],[Recency]]&gt;=0,Audit_Data[[#This Row],[Recency]]&lt;=100),"Valid","Invalid")</f>
        <v>Valid</v>
      </c>
      <c r="AM1912" t="str">
        <f t="shared" si="383"/>
        <v>Valid</v>
      </c>
      <c r="AN1912" t="str">
        <f t="shared" si="384"/>
        <v>Valid</v>
      </c>
      <c r="AO1912" t="str">
        <f t="shared" si="385"/>
        <v>Valid</v>
      </c>
      <c r="AP1912" t="str">
        <f t="shared" si="386"/>
        <v>Valid</v>
      </c>
      <c r="AQ1912" t="str">
        <f>IF(Audit_Data[[#This Row],[Z_CostContact]]=3,"Valid","Invalid")</f>
        <v>Valid</v>
      </c>
      <c r="AR1912" t="str">
        <f t="shared" si="387"/>
        <v>Valid</v>
      </c>
      <c r="AS1912" t="str">
        <f t="shared" si="388"/>
        <v>Valid</v>
      </c>
    </row>
    <row r="1913" spans="1:45" x14ac:dyDescent="0.3">
      <c r="A1913">
        <v>5544</v>
      </c>
      <c r="B1913">
        <v>1970</v>
      </c>
      <c r="C1913" t="s">
        <v>29</v>
      </c>
      <c r="D1913" t="s">
        <v>30</v>
      </c>
      <c r="E1913">
        <v>67384</v>
      </c>
      <c r="F1913">
        <v>0</v>
      </c>
      <c r="G1913">
        <v>1</v>
      </c>
      <c r="H1913" s="1">
        <v>41223</v>
      </c>
      <c r="I1913">
        <v>32</v>
      </c>
      <c r="J1913">
        <v>957</v>
      </c>
      <c r="K1913">
        <v>40</v>
      </c>
      <c r="L1913">
        <v>175</v>
      </c>
      <c r="M1913">
        <v>158</v>
      </c>
      <c r="N1913">
        <v>53</v>
      </c>
      <c r="O1913">
        <v>107</v>
      </c>
      <c r="P1913">
        <v>2</v>
      </c>
      <c r="Q1913">
        <v>7</v>
      </c>
      <c r="R1913">
        <v>8</v>
      </c>
      <c r="S1913">
        <v>5</v>
      </c>
      <c r="T1913">
        <v>5</v>
      </c>
      <c r="U1913">
        <v>0</v>
      </c>
      <c r="V1913">
        <v>1</v>
      </c>
      <c r="W1913">
        <v>0</v>
      </c>
      <c r="X1913">
        <v>0</v>
      </c>
      <c r="Y1913">
        <v>0</v>
      </c>
      <c r="Z1913">
        <v>0</v>
      </c>
      <c r="AA1913">
        <v>3</v>
      </c>
      <c r="AB1913">
        <v>11</v>
      </c>
      <c r="AC1913">
        <v>0</v>
      </c>
      <c r="AD1913" t="str">
        <f t="shared" si="377"/>
        <v>Ok</v>
      </c>
      <c r="AE1913" t="str">
        <f>IF(AND(Audit_Data[[#This Row],[Year_Birth]]&gt;=1900,Audit_Data[[#This Row],[Year_Birth]]&lt;=2010),"OK","Invalid")</f>
        <v>OK</v>
      </c>
      <c r="AF1913" t="str">
        <f t="shared" si="378"/>
        <v>Valid</v>
      </c>
      <c r="AG1913" t="str">
        <f t="shared" si="379"/>
        <v>Valid</v>
      </c>
      <c r="AH1913" t="str">
        <f t="shared" si="380"/>
        <v>Valid</v>
      </c>
      <c r="AI1913" t="str">
        <f t="shared" si="381"/>
        <v>Valid</v>
      </c>
      <c r="AJ1913" t="str">
        <f t="shared" si="382"/>
        <v>Valid</v>
      </c>
      <c r="AK1913" t="str">
        <f t="shared" si="389"/>
        <v xml:space="preserve">Valid </v>
      </c>
      <c r="AL1913" t="str">
        <f>IF(AND(Audit_Data[[#This Row],[Recency]]&gt;=0,Audit_Data[[#This Row],[Recency]]&lt;=100),"Valid","Invalid")</f>
        <v>Valid</v>
      </c>
      <c r="AM1913" t="str">
        <f t="shared" si="383"/>
        <v>Valid</v>
      </c>
      <c r="AN1913" t="str">
        <f t="shared" si="384"/>
        <v>Valid</v>
      </c>
      <c r="AO1913" t="str">
        <f t="shared" si="385"/>
        <v>Valid</v>
      </c>
      <c r="AP1913" t="str">
        <f t="shared" si="386"/>
        <v>Valid</v>
      </c>
      <c r="AQ1913" t="str">
        <f>IF(Audit_Data[[#This Row],[Z_CostContact]]=3,"Valid","Invalid")</f>
        <v>Valid</v>
      </c>
      <c r="AR1913" t="str">
        <f t="shared" si="387"/>
        <v>Valid</v>
      </c>
      <c r="AS1913" t="str">
        <f t="shared" si="388"/>
        <v>Valid</v>
      </c>
    </row>
    <row r="1914" spans="1:45" x14ac:dyDescent="0.3">
      <c r="A1914">
        <v>6417</v>
      </c>
      <c r="B1914">
        <v>1971</v>
      </c>
      <c r="C1914" t="s">
        <v>34</v>
      </c>
      <c r="D1914" t="s">
        <v>31</v>
      </c>
      <c r="E1914">
        <v>80573</v>
      </c>
      <c r="F1914">
        <v>0</v>
      </c>
      <c r="G1914">
        <v>0</v>
      </c>
      <c r="H1914" s="1">
        <v>41196</v>
      </c>
      <c r="I1914">
        <v>85</v>
      </c>
      <c r="J1914">
        <v>829</v>
      </c>
      <c r="K1914">
        <v>138</v>
      </c>
      <c r="L1914">
        <v>430</v>
      </c>
      <c r="M1914">
        <v>60</v>
      </c>
      <c r="N1914">
        <v>92</v>
      </c>
      <c r="O1914">
        <v>15</v>
      </c>
      <c r="P1914">
        <v>1</v>
      </c>
      <c r="Q1914">
        <v>4</v>
      </c>
      <c r="R1914">
        <v>6</v>
      </c>
      <c r="S1914">
        <v>13</v>
      </c>
      <c r="T1914">
        <v>2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3</v>
      </c>
      <c r="AB1914">
        <v>11</v>
      </c>
      <c r="AC1914">
        <v>0</v>
      </c>
      <c r="AD1914" t="str">
        <f t="shared" si="377"/>
        <v>Ok</v>
      </c>
      <c r="AE1914" t="str">
        <f>IF(AND(Audit_Data[[#This Row],[Year_Birth]]&gt;=1900,Audit_Data[[#This Row],[Year_Birth]]&lt;=2010),"OK","Invalid")</f>
        <v>OK</v>
      </c>
      <c r="AF1914" t="str">
        <f t="shared" si="378"/>
        <v>Valid</v>
      </c>
      <c r="AG1914" t="str">
        <f t="shared" si="379"/>
        <v>Valid</v>
      </c>
      <c r="AH1914" t="str">
        <f t="shared" si="380"/>
        <v>Valid</v>
      </c>
      <c r="AI1914" t="str">
        <f t="shared" si="381"/>
        <v>Valid</v>
      </c>
      <c r="AJ1914" t="str">
        <f t="shared" si="382"/>
        <v>Valid</v>
      </c>
      <c r="AK1914" t="str">
        <f t="shared" si="389"/>
        <v xml:space="preserve">Valid </v>
      </c>
      <c r="AL1914" t="str">
        <f>IF(AND(Audit_Data[[#This Row],[Recency]]&gt;=0,Audit_Data[[#This Row],[Recency]]&lt;=100),"Valid","Invalid")</f>
        <v>Valid</v>
      </c>
      <c r="AM1914" t="str">
        <f t="shared" si="383"/>
        <v>Valid</v>
      </c>
      <c r="AN1914" t="str">
        <f t="shared" si="384"/>
        <v>Valid</v>
      </c>
      <c r="AO1914" t="str">
        <f t="shared" si="385"/>
        <v>Valid</v>
      </c>
      <c r="AP1914" t="str">
        <f t="shared" si="386"/>
        <v>Valid</v>
      </c>
      <c r="AQ1914" t="str">
        <f>IF(Audit_Data[[#This Row],[Z_CostContact]]=3,"Valid","Invalid")</f>
        <v>Valid</v>
      </c>
      <c r="AR1914" t="str">
        <f t="shared" si="387"/>
        <v>Valid</v>
      </c>
      <c r="AS1914" t="str">
        <f t="shared" si="388"/>
        <v>Valid</v>
      </c>
    </row>
    <row r="1915" spans="1:45" x14ac:dyDescent="0.3">
      <c r="A1915">
        <v>5831</v>
      </c>
      <c r="B1915">
        <v>1967</v>
      </c>
      <c r="C1915" t="s">
        <v>29</v>
      </c>
      <c r="D1915" t="s">
        <v>33</v>
      </c>
      <c r="E1915">
        <v>77870</v>
      </c>
      <c r="F1915">
        <v>0</v>
      </c>
      <c r="G1915">
        <v>1</v>
      </c>
      <c r="H1915" s="1">
        <v>41143</v>
      </c>
      <c r="I1915">
        <v>93</v>
      </c>
      <c r="J1915">
        <v>1017</v>
      </c>
      <c r="K1915">
        <v>50</v>
      </c>
      <c r="L1915">
        <v>500</v>
      </c>
      <c r="M1915">
        <v>65</v>
      </c>
      <c r="N1915">
        <v>50</v>
      </c>
      <c r="O1915">
        <v>133</v>
      </c>
      <c r="P1915">
        <v>3</v>
      </c>
      <c r="Q1915">
        <v>5</v>
      </c>
      <c r="R1915">
        <v>5</v>
      </c>
      <c r="S1915">
        <v>5</v>
      </c>
      <c r="T1915">
        <v>8</v>
      </c>
      <c r="U1915">
        <v>0</v>
      </c>
      <c r="V1915">
        <v>1</v>
      </c>
      <c r="W1915">
        <v>0</v>
      </c>
      <c r="X1915">
        <v>1</v>
      </c>
      <c r="Y1915">
        <v>0</v>
      </c>
      <c r="Z1915">
        <v>0</v>
      </c>
      <c r="AA1915">
        <v>3</v>
      </c>
      <c r="AB1915">
        <v>11</v>
      </c>
      <c r="AC1915">
        <v>1</v>
      </c>
      <c r="AD1915" t="str">
        <f t="shared" si="377"/>
        <v>Ok</v>
      </c>
      <c r="AE1915" t="str">
        <f>IF(AND(Audit_Data[[#This Row],[Year_Birth]]&gt;=1900,Audit_Data[[#This Row],[Year_Birth]]&lt;=2010),"OK","Invalid")</f>
        <v>OK</v>
      </c>
      <c r="AF1915" t="str">
        <f t="shared" si="378"/>
        <v>Valid</v>
      </c>
      <c r="AG1915" t="str">
        <f t="shared" si="379"/>
        <v>Valid</v>
      </c>
      <c r="AH1915" t="str">
        <f t="shared" si="380"/>
        <v>Valid</v>
      </c>
      <c r="AI1915" t="str">
        <f t="shared" si="381"/>
        <v>Valid</v>
      </c>
      <c r="AJ1915" t="str">
        <f t="shared" si="382"/>
        <v>Valid</v>
      </c>
      <c r="AK1915" t="str">
        <f t="shared" si="389"/>
        <v xml:space="preserve">Valid </v>
      </c>
      <c r="AL1915" t="str">
        <f>IF(AND(Audit_Data[[#This Row],[Recency]]&gt;=0,Audit_Data[[#This Row],[Recency]]&lt;=100),"Valid","Invalid")</f>
        <v>Valid</v>
      </c>
      <c r="AM1915" t="str">
        <f t="shared" si="383"/>
        <v>Valid</v>
      </c>
      <c r="AN1915" t="str">
        <f t="shared" si="384"/>
        <v>Valid</v>
      </c>
      <c r="AO1915" t="str">
        <f t="shared" si="385"/>
        <v>Valid</v>
      </c>
      <c r="AP1915" t="str">
        <f t="shared" si="386"/>
        <v>Valid</v>
      </c>
      <c r="AQ1915" t="str">
        <f>IF(Audit_Data[[#This Row],[Z_CostContact]]=3,"Valid","Invalid")</f>
        <v>Valid</v>
      </c>
      <c r="AR1915" t="str">
        <f t="shared" si="387"/>
        <v>Valid</v>
      </c>
      <c r="AS1915" t="str">
        <f t="shared" si="388"/>
        <v>Valid</v>
      </c>
    </row>
    <row r="1916" spans="1:45" x14ac:dyDescent="0.3">
      <c r="A1916">
        <v>7101</v>
      </c>
      <c r="B1916">
        <v>1963</v>
      </c>
      <c r="C1916" t="s">
        <v>32</v>
      </c>
      <c r="D1916" t="s">
        <v>38</v>
      </c>
      <c r="E1916">
        <v>52278</v>
      </c>
      <c r="F1916">
        <v>0</v>
      </c>
      <c r="G1916">
        <v>1</v>
      </c>
      <c r="H1916" s="1">
        <v>41299</v>
      </c>
      <c r="I1916">
        <v>24</v>
      </c>
      <c r="J1916">
        <v>953</v>
      </c>
      <c r="K1916">
        <v>0</v>
      </c>
      <c r="L1916">
        <v>71</v>
      </c>
      <c r="M1916">
        <v>0</v>
      </c>
      <c r="N1916">
        <v>0</v>
      </c>
      <c r="O1916">
        <v>174</v>
      </c>
      <c r="P1916">
        <v>6</v>
      </c>
      <c r="Q1916">
        <v>10</v>
      </c>
      <c r="R1916">
        <v>5</v>
      </c>
      <c r="S1916">
        <v>10</v>
      </c>
      <c r="T1916">
        <v>8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3</v>
      </c>
      <c r="AB1916">
        <v>11</v>
      </c>
      <c r="AC1916">
        <v>0</v>
      </c>
      <c r="AD1916" t="str">
        <f t="shared" si="377"/>
        <v>Ok</v>
      </c>
      <c r="AE1916" t="str">
        <f>IF(AND(Audit_Data[[#This Row],[Year_Birth]]&gt;=1900,Audit_Data[[#This Row],[Year_Birth]]&lt;=2010),"OK","Invalid")</f>
        <v>OK</v>
      </c>
      <c r="AF1916" t="str">
        <f t="shared" si="378"/>
        <v>Valid</v>
      </c>
      <c r="AG1916" t="str">
        <f t="shared" si="379"/>
        <v>Valid</v>
      </c>
      <c r="AH1916" t="str">
        <f t="shared" si="380"/>
        <v>Valid</v>
      </c>
      <c r="AI1916" t="str">
        <f t="shared" si="381"/>
        <v>Valid</v>
      </c>
      <c r="AJ1916" t="str">
        <f t="shared" si="382"/>
        <v>Valid</v>
      </c>
      <c r="AK1916" t="str">
        <f t="shared" si="389"/>
        <v xml:space="preserve">Valid </v>
      </c>
      <c r="AL1916" t="str">
        <f>IF(AND(Audit_Data[[#This Row],[Recency]]&gt;=0,Audit_Data[[#This Row],[Recency]]&lt;=100),"Valid","Invalid")</f>
        <v>Valid</v>
      </c>
      <c r="AM1916" t="str">
        <f t="shared" si="383"/>
        <v>Valid</v>
      </c>
      <c r="AN1916" t="str">
        <f t="shared" si="384"/>
        <v>Valid</v>
      </c>
      <c r="AO1916" t="str">
        <f t="shared" si="385"/>
        <v>Valid</v>
      </c>
      <c r="AP1916" t="str">
        <f t="shared" si="386"/>
        <v>Valid</v>
      </c>
      <c r="AQ1916" t="str">
        <f>IF(Audit_Data[[#This Row],[Z_CostContact]]=3,"Valid","Invalid")</f>
        <v>Valid</v>
      </c>
      <c r="AR1916" t="str">
        <f t="shared" si="387"/>
        <v>Valid</v>
      </c>
      <c r="AS1916" t="str">
        <f t="shared" si="388"/>
        <v>Valid</v>
      </c>
    </row>
    <row r="1917" spans="1:45" x14ac:dyDescent="0.3">
      <c r="A1917">
        <v>10176</v>
      </c>
      <c r="B1917">
        <v>1968</v>
      </c>
      <c r="C1917" t="s">
        <v>29</v>
      </c>
      <c r="D1917" t="s">
        <v>30</v>
      </c>
      <c r="E1917">
        <v>57107</v>
      </c>
      <c r="F1917">
        <v>0</v>
      </c>
      <c r="G1917">
        <v>1</v>
      </c>
      <c r="H1917" s="1">
        <v>41145</v>
      </c>
      <c r="I1917">
        <v>44</v>
      </c>
      <c r="J1917">
        <v>159</v>
      </c>
      <c r="K1917">
        <v>0</v>
      </c>
      <c r="L1917">
        <v>120</v>
      </c>
      <c r="M1917">
        <v>0</v>
      </c>
      <c r="N1917">
        <v>0</v>
      </c>
      <c r="O1917">
        <v>137</v>
      </c>
      <c r="P1917">
        <v>7</v>
      </c>
      <c r="Q1917">
        <v>4</v>
      </c>
      <c r="R1917">
        <v>4</v>
      </c>
      <c r="S1917">
        <v>8</v>
      </c>
      <c r="T1917">
        <v>8</v>
      </c>
      <c r="U1917">
        <v>0</v>
      </c>
      <c r="V1917">
        <v>1</v>
      </c>
      <c r="W1917">
        <v>0</v>
      </c>
      <c r="X1917">
        <v>0</v>
      </c>
      <c r="Y1917">
        <v>1</v>
      </c>
      <c r="Z1917">
        <v>0</v>
      </c>
      <c r="AA1917">
        <v>3</v>
      </c>
      <c r="AB1917">
        <v>11</v>
      </c>
      <c r="AC1917">
        <v>1</v>
      </c>
      <c r="AD1917" t="str">
        <f t="shared" si="377"/>
        <v>Ok</v>
      </c>
      <c r="AE1917" t="str">
        <f>IF(AND(Audit_Data[[#This Row],[Year_Birth]]&gt;=1900,Audit_Data[[#This Row],[Year_Birth]]&lt;=2010),"OK","Invalid")</f>
        <v>OK</v>
      </c>
      <c r="AF1917" t="str">
        <f t="shared" si="378"/>
        <v>Valid</v>
      </c>
      <c r="AG1917" t="str">
        <f t="shared" si="379"/>
        <v>Valid</v>
      </c>
      <c r="AH1917" t="str">
        <f t="shared" si="380"/>
        <v>Valid</v>
      </c>
      <c r="AI1917" t="str">
        <f t="shared" si="381"/>
        <v>Valid</v>
      </c>
      <c r="AJ1917" t="str">
        <f t="shared" si="382"/>
        <v>Valid</v>
      </c>
      <c r="AK1917" t="str">
        <f t="shared" si="389"/>
        <v xml:space="preserve">Valid </v>
      </c>
      <c r="AL1917" t="str">
        <f>IF(AND(Audit_Data[[#This Row],[Recency]]&gt;=0,Audit_Data[[#This Row],[Recency]]&lt;=100),"Valid","Invalid")</f>
        <v>Valid</v>
      </c>
      <c r="AM1917" t="str">
        <f t="shared" si="383"/>
        <v>Valid</v>
      </c>
      <c r="AN1917" t="str">
        <f t="shared" si="384"/>
        <v>Valid</v>
      </c>
      <c r="AO1917" t="str">
        <f t="shared" si="385"/>
        <v>Valid</v>
      </c>
      <c r="AP1917" t="str">
        <f t="shared" si="386"/>
        <v>Valid</v>
      </c>
      <c r="AQ1917" t="str">
        <f>IF(Audit_Data[[#This Row],[Z_CostContact]]=3,"Valid","Invalid")</f>
        <v>Valid</v>
      </c>
      <c r="AR1917" t="str">
        <f t="shared" si="387"/>
        <v>Valid</v>
      </c>
      <c r="AS1917" t="str">
        <f t="shared" si="388"/>
        <v>Valid</v>
      </c>
    </row>
    <row r="1918" spans="1:45" x14ac:dyDescent="0.3">
      <c r="A1918">
        <v>2326</v>
      </c>
      <c r="B1918">
        <v>1990</v>
      </c>
      <c r="C1918" t="s">
        <v>29</v>
      </c>
      <c r="D1918" t="s">
        <v>33</v>
      </c>
      <c r="E1918">
        <v>18929</v>
      </c>
      <c r="F1918">
        <v>0</v>
      </c>
      <c r="G1918">
        <v>0</v>
      </c>
      <c r="H1918" s="1">
        <v>41321</v>
      </c>
      <c r="I1918">
        <v>15</v>
      </c>
      <c r="J1918">
        <v>32</v>
      </c>
      <c r="K1918">
        <v>0</v>
      </c>
      <c r="L1918">
        <v>8</v>
      </c>
      <c r="M1918">
        <v>23</v>
      </c>
      <c r="N1918">
        <v>4</v>
      </c>
      <c r="O1918">
        <v>18</v>
      </c>
      <c r="P1918">
        <v>1</v>
      </c>
      <c r="Q1918">
        <v>1</v>
      </c>
      <c r="R1918">
        <v>0</v>
      </c>
      <c r="S1918">
        <v>4</v>
      </c>
      <c r="T1918">
        <v>6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3</v>
      </c>
      <c r="AB1918">
        <v>11</v>
      </c>
      <c r="AC1918">
        <v>0</v>
      </c>
      <c r="AD1918" t="str">
        <f t="shared" si="377"/>
        <v>Ok</v>
      </c>
      <c r="AE1918" t="str">
        <f>IF(AND(Audit_Data[[#This Row],[Year_Birth]]&gt;=1900,Audit_Data[[#This Row],[Year_Birth]]&lt;=2010),"OK","Invalid")</f>
        <v>OK</v>
      </c>
      <c r="AF1918" t="str">
        <f t="shared" si="378"/>
        <v>Valid</v>
      </c>
      <c r="AG1918" t="str">
        <f t="shared" si="379"/>
        <v>Valid</v>
      </c>
      <c r="AH1918" t="str">
        <f t="shared" si="380"/>
        <v>Valid</v>
      </c>
      <c r="AI1918" t="str">
        <f t="shared" si="381"/>
        <v>Valid</v>
      </c>
      <c r="AJ1918" t="str">
        <f t="shared" si="382"/>
        <v>Valid</v>
      </c>
      <c r="AK1918" t="str">
        <f t="shared" si="389"/>
        <v xml:space="preserve">Valid </v>
      </c>
      <c r="AL1918" t="str">
        <f>IF(AND(Audit_Data[[#This Row],[Recency]]&gt;=0,Audit_Data[[#This Row],[Recency]]&lt;=100),"Valid","Invalid")</f>
        <v>Valid</v>
      </c>
      <c r="AM1918" t="str">
        <f t="shared" si="383"/>
        <v>Valid</v>
      </c>
      <c r="AN1918" t="str">
        <f t="shared" si="384"/>
        <v>Valid</v>
      </c>
      <c r="AO1918" t="str">
        <f t="shared" si="385"/>
        <v>Valid</v>
      </c>
      <c r="AP1918" t="str">
        <f t="shared" si="386"/>
        <v>Valid</v>
      </c>
      <c r="AQ1918" t="str">
        <f>IF(Audit_Data[[#This Row],[Z_CostContact]]=3,"Valid","Invalid")</f>
        <v>Valid</v>
      </c>
      <c r="AR1918" t="str">
        <f t="shared" si="387"/>
        <v>Valid</v>
      </c>
      <c r="AS1918" t="str">
        <f t="shared" si="388"/>
        <v>Valid</v>
      </c>
    </row>
    <row r="1919" spans="1:45" x14ac:dyDescent="0.3">
      <c r="A1919">
        <v>4385</v>
      </c>
      <c r="B1919">
        <v>1981</v>
      </c>
      <c r="C1919" t="s">
        <v>32</v>
      </c>
      <c r="D1919" t="s">
        <v>30</v>
      </c>
      <c r="E1919">
        <v>36038</v>
      </c>
      <c r="F1919">
        <v>1</v>
      </c>
      <c r="G1919">
        <v>0</v>
      </c>
      <c r="H1919" s="1">
        <v>41425</v>
      </c>
      <c r="I1919">
        <v>82</v>
      </c>
      <c r="J1919">
        <v>23</v>
      </c>
      <c r="K1919">
        <v>0</v>
      </c>
      <c r="L1919">
        <v>15</v>
      </c>
      <c r="M1919">
        <v>0</v>
      </c>
      <c r="N1919">
        <v>2</v>
      </c>
      <c r="O1919">
        <v>7</v>
      </c>
      <c r="P1919">
        <v>2</v>
      </c>
      <c r="Q1919">
        <v>3</v>
      </c>
      <c r="R1919">
        <v>0</v>
      </c>
      <c r="S1919">
        <v>3</v>
      </c>
      <c r="T1919">
        <v>6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3</v>
      </c>
      <c r="AB1919">
        <v>11</v>
      </c>
      <c r="AC1919">
        <v>0</v>
      </c>
      <c r="AD1919" t="str">
        <f t="shared" si="377"/>
        <v>Ok</v>
      </c>
      <c r="AE1919" t="str">
        <f>IF(AND(Audit_Data[[#This Row],[Year_Birth]]&gt;=1900,Audit_Data[[#This Row],[Year_Birth]]&lt;=2010),"OK","Invalid")</f>
        <v>OK</v>
      </c>
      <c r="AF1919" t="str">
        <f t="shared" si="378"/>
        <v>Valid</v>
      </c>
      <c r="AG1919" t="str">
        <f t="shared" si="379"/>
        <v>Valid</v>
      </c>
      <c r="AH1919" t="str">
        <f t="shared" si="380"/>
        <v>Valid</v>
      </c>
      <c r="AI1919" t="str">
        <f t="shared" si="381"/>
        <v>Valid</v>
      </c>
      <c r="AJ1919" t="str">
        <f t="shared" si="382"/>
        <v>Valid</v>
      </c>
      <c r="AK1919" t="str">
        <f t="shared" si="389"/>
        <v xml:space="preserve">Valid </v>
      </c>
      <c r="AL1919" t="str">
        <f>IF(AND(Audit_Data[[#This Row],[Recency]]&gt;=0,Audit_Data[[#This Row],[Recency]]&lt;=100),"Valid","Invalid")</f>
        <v>Valid</v>
      </c>
      <c r="AM1919" t="str">
        <f t="shared" si="383"/>
        <v>Valid</v>
      </c>
      <c r="AN1919" t="str">
        <f t="shared" si="384"/>
        <v>Valid</v>
      </c>
      <c r="AO1919" t="str">
        <f t="shared" si="385"/>
        <v>Valid</v>
      </c>
      <c r="AP1919" t="str">
        <f t="shared" si="386"/>
        <v>Valid</v>
      </c>
      <c r="AQ1919" t="str">
        <f>IF(Audit_Data[[#This Row],[Z_CostContact]]=3,"Valid","Invalid")</f>
        <v>Valid</v>
      </c>
      <c r="AR1919" t="str">
        <f t="shared" si="387"/>
        <v>Valid</v>
      </c>
      <c r="AS1919" t="str">
        <f t="shared" si="388"/>
        <v>Valid</v>
      </c>
    </row>
    <row r="1920" spans="1:45" x14ac:dyDescent="0.3">
      <c r="A1920">
        <v>2929</v>
      </c>
      <c r="B1920">
        <v>1976</v>
      </c>
      <c r="C1920" t="s">
        <v>29</v>
      </c>
      <c r="D1920" t="s">
        <v>30</v>
      </c>
      <c r="E1920">
        <v>20180</v>
      </c>
      <c r="F1920">
        <v>0</v>
      </c>
      <c r="G1920">
        <v>0</v>
      </c>
      <c r="H1920" s="1">
        <v>41325</v>
      </c>
      <c r="I1920">
        <v>27</v>
      </c>
      <c r="J1920">
        <v>18</v>
      </c>
      <c r="K1920">
        <v>42</v>
      </c>
      <c r="L1920">
        <v>24</v>
      </c>
      <c r="M1920">
        <v>15</v>
      </c>
      <c r="N1920">
        <v>20</v>
      </c>
      <c r="O1920">
        <v>18</v>
      </c>
      <c r="P1920">
        <v>1</v>
      </c>
      <c r="Q1920">
        <v>2</v>
      </c>
      <c r="R1920">
        <v>1</v>
      </c>
      <c r="S1920">
        <v>4</v>
      </c>
      <c r="T1920">
        <v>7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3</v>
      </c>
      <c r="AB1920">
        <v>11</v>
      </c>
      <c r="AC1920">
        <v>0</v>
      </c>
      <c r="AD1920" t="str">
        <f t="shared" si="377"/>
        <v>Ok</v>
      </c>
      <c r="AE1920" t="str">
        <f>IF(AND(Audit_Data[[#This Row],[Year_Birth]]&gt;=1900,Audit_Data[[#This Row],[Year_Birth]]&lt;=2010),"OK","Invalid")</f>
        <v>OK</v>
      </c>
      <c r="AF1920" t="str">
        <f t="shared" si="378"/>
        <v>Valid</v>
      </c>
      <c r="AG1920" t="str">
        <f t="shared" si="379"/>
        <v>Valid</v>
      </c>
      <c r="AH1920" t="str">
        <f t="shared" si="380"/>
        <v>Valid</v>
      </c>
      <c r="AI1920" t="str">
        <f t="shared" si="381"/>
        <v>Valid</v>
      </c>
      <c r="AJ1920" t="str">
        <f t="shared" si="382"/>
        <v>Valid</v>
      </c>
      <c r="AK1920" t="str">
        <f t="shared" si="389"/>
        <v xml:space="preserve">Valid </v>
      </c>
      <c r="AL1920" t="str">
        <f>IF(AND(Audit_Data[[#This Row],[Recency]]&gt;=0,Audit_Data[[#This Row],[Recency]]&lt;=100),"Valid","Invalid")</f>
        <v>Valid</v>
      </c>
      <c r="AM1920" t="str">
        <f t="shared" si="383"/>
        <v>Valid</v>
      </c>
      <c r="AN1920" t="str">
        <f t="shared" si="384"/>
        <v>Valid</v>
      </c>
      <c r="AO1920" t="str">
        <f t="shared" si="385"/>
        <v>Valid</v>
      </c>
      <c r="AP1920" t="str">
        <f t="shared" si="386"/>
        <v>Valid</v>
      </c>
      <c r="AQ1920" t="str">
        <f>IF(Audit_Data[[#This Row],[Z_CostContact]]=3,"Valid","Invalid")</f>
        <v>Valid</v>
      </c>
      <c r="AR1920" t="str">
        <f t="shared" si="387"/>
        <v>Valid</v>
      </c>
      <c r="AS1920" t="str">
        <f t="shared" si="388"/>
        <v>Valid</v>
      </c>
    </row>
    <row r="1921" spans="1:45" x14ac:dyDescent="0.3">
      <c r="A1921">
        <v>10686</v>
      </c>
      <c r="B1921">
        <v>1965</v>
      </c>
      <c r="C1921" t="s">
        <v>32</v>
      </c>
      <c r="D1921" t="s">
        <v>31</v>
      </c>
      <c r="E1921">
        <v>34230</v>
      </c>
      <c r="F1921">
        <v>1</v>
      </c>
      <c r="G1921">
        <v>1</v>
      </c>
      <c r="H1921" s="1">
        <v>41269</v>
      </c>
      <c r="I1921">
        <v>72</v>
      </c>
      <c r="J1921">
        <v>15</v>
      </c>
      <c r="K1921">
        <v>0</v>
      </c>
      <c r="L1921">
        <v>4</v>
      </c>
      <c r="M1921">
        <v>0</v>
      </c>
      <c r="N1921">
        <v>0</v>
      </c>
      <c r="O1921">
        <v>2</v>
      </c>
      <c r="P1921">
        <v>1</v>
      </c>
      <c r="Q1921">
        <v>1</v>
      </c>
      <c r="R1921">
        <v>0</v>
      </c>
      <c r="S1921">
        <v>2</v>
      </c>
      <c r="T1921">
        <v>7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3</v>
      </c>
      <c r="AB1921">
        <v>11</v>
      </c>
      <c r="AC1921">
        <v>0</v>
      </c>
      <c r="AD1921" t="str">
        <f t="shared" si="377"/>
        <v>Ok</v>
      </c>
      <c r="AE1921" t="str">
        <f>IF(AND(Audit_Data[[#This Row],[Year_Birth]]&gt;=1900,Audit_Data[[#This Row],[Year_Birth]]&lt;=2010),"OK","Invalid")</f>
        <v>OK</v>
      </c>
      <c r="AF1921" t="str">
        <f t="shared" si="378"/>
        <v>Valid</v>
      </c>
      <c r="AG1921" t="str">
        <f t="shared" si="379"/>
        <v>Valid</v>
      </c>
      <c r="AH1921" t="str">
        <f t="shared" si="380"/>
        <v>Valid</v>
      </c>
      <c r="AI1921" t="str">
        <f t="shared" si="381"/>
        <v>Valid</v>
      </c>
      <c r="AJ1921" t="str">
        <f t="shared" si="382"/>
        <v>Valid</v>
      </c>
      <c r="AK1921" t="str">
        <f t="shared" si="389"/>
        <v xml:space="preserve">Valid </v>
      </c>
      <c r="AL1921" t="str">
        <f>IF(AND(Audit_Data[[#This Row],[Recency]]&gt;=0,Audit_Data[[#This Row],[Recency]]&lt;=100),"Valid","Invalid")</f>
        <v>Valid</v>
      </c>
      <c r="AM1921" t="str">
        <f t="shared" si="383"/>
        <v>Valid</v>
      </c>
      <c r="AN1921" t="str">
        <f t="shared" si="384"/>
        <v>Valid</v>
      </c>
      <c r="AO1921" t="str">
        <f t="shared" si="385"/>
        <v>Valid</v>
      </c>
      <c r="AP1921" t="str">
        <f t="shared" si="386"/>
        <v>Valid</v>
      </c>
      <c r="AQ1921" t="str">
        <f>IF(Audit_Data[[#This Row],[Z_CostContact]]=3,"Valid","Invalid")</f>
        <v>Valid</v>
      </c>
      <c r="AR1921" t="str">
        <f t="shared" si="387"/>
        <v>Valid</v>
      </c>
      <c r="AS1921" t="str">
        <f t="shared" si="388"/>
        <v>Valid</v>
      </c>
    </row>
    <row r="1922" spans="1:45" x14ac:dyDescent="0.3">
      <c r="A1922">
        <v>2546</v>
      </c>
      <c r="B1922">
        <v>1977</v>
      </c>
      <c r="C1922" t="s">
        <v>37</v>
      </c>
      <c r="D1922" t="s">
        <v>30</v>
      </c>
      <c r="E1922">
        <v>31878</v>
      </c>
      <c r="F1922">
        <v>0</v>
      </c>
      <c r="G1922">
        <v>1</v>
      </c>
      <c r="H1922" s="1">
        <v>41812</v>
      </c>
      <c r="I1922">
        <v>7</v>
      </c>
      <c r="J1922">
        <v>23</v>
      </c>
      <c r="K1922">
        <v>4</v>
      </c>
      <c r="L1922">
        <v>5</v>
      </c>
      <c r="M1922">
        <v>10</v>
      </c>
      <c r="N1922">
        <v>5</v>
      </c>
      <c r="O1922">
        <v>23</v>
      </c>
      <c r="P1922">
        <v>1</v>
      </c>
      <c r="Q1922">
        <v>1</v>
      </c>
      <c r="R1922">
        <v>0</v>
      </c>
      <c r="S1922">
        <v>4</v>
      </c>
      <c r="T1922">
        <v>3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3</v>
      </c>
      <c r="AB1922">
        <v>11</v>
      </c>
      <c r="AC1922">
        <v>0</v>
      </c>
      <c r="AD1922" t="str">
        <f t="shared" ref="AD1922:AD1985" si="390">IF(COUNTIF(A:A,A1922)&gt;1,"Duplicate","Ok")</f>
        <v>Ok</v>
      </c>
      <c r="AE1922" t="str">
        <f>IF(AND(Audit_Data[[#This Row],[Year_Birth]]&gt;=1900,Audit_Data[[#This Row],[Year_Birth]]&lt;=2010),"OK","Invalid")</f>
        <v>OK</v>
      </c>
      <c r="AF1922" t="str">
        <f t="shared" ref="AF1922:AF1985" si="391">IF(OR(C1922="Graduation",C1922="phD",C1922="Master",C1922="Basic",C1922="2n Cycle"),"Valid","Invalid")</f>
        <v>Valid</v>
      </c>
      <c r="AG1922" t="str">
        <f t="shared" ref="AG1922:AG1985" si="392">IF(OR(D1922="Single",D1922="Married",D1922="Divorced",D1922="Together",D1922="Widow",D1922="Alone"),"Valid","Invalid")</f>
        <v>Valid</v>
      </c>
      <c r="AH1922" t="str">
        <f t="shared" ref="AH1922:AH1985" si="393">IF(AND(ISNUMBER(E1922),E1922&lt;&gt;""),"Valid","Invalid")</f>
        <v>Valid</v>
      </c>
      <c r="AI1922" t="str">
        <f t="shared" ref="AI1922:AI1985" si="394">IF(AND(F1922&gt;=0,F1922&lt;=2),"Valid","Invalid")</f>
        <v>Valid</v>
      </c>
      <c r="AJ1922" t="str">
        <f t="shared" ref="AJ1922:AJ1985" si="395">IF(AND(G1922&gt;=0,G1922&lt;=2),"Valid","Invalid")</f>
        <v>Valid</v>
      </c>
      <c r="AK1922" t="str">
        <f t="shared" si="389"/>
        <v xml:space="preserve">Valid </v>
      </c>
      <c r="AL1922" t="str">
        <f>IF(AND(Audit_Data[[#This Row],[Recency]]&gt;=0,Audit_Data[[#This Row],[Recency]]&lt;=100),"Valid","Invalid")</f>
        <v>Valid</v>
      </c>
      <c r="AM1922" t="str">
        <f t="shared" ref="AM1922:AM1985" si="396">IF(AND(ISNUMBER(J1922),J1922&gt;=0,ISNUMBER(K1922),K1922&gt;=0,ISNUMBER(L1922),L1922&gt;=0,ISNUMBER(M1922),M1922&gt;=0,ISNUMBER(N1922),N1922&gt;=0,ISNUMBER(O1922),O1922&gt;=0),"Valid","Invalid")</f>
        <v>Valid</v>
      </c>
      <c r="AN1922" t="str">
        <f t="shared" ref="AN1922:AN1985" si="397">IF(AND(ISNUMBER(P1922),P1922&gt;=0,ISNUMBER(Q1922),Q1922&gt;=0,ISNUMBER(R1922),R1922&gt;=0,ISNUMBER(S1922),S1922&gt;=0,ISNUMBER(T1922),T1922&gt;=0),"Valid","Invalid")</f>
        <v>Valid</v>
      </c>
      <c r="AO1922" t="str">
        <f t="shared" ref="AO1922:AO1985" si="398">IF(AND(U1922&lt;=1,V1922&lt;=1,W1922&lt;=1,X1922&lt;=1,Y1922&lt;=1),"Valid","Invalid")</f>
        <v>Valid</v>
      </c>
      <c r="AP1922" t="str">
        <f t="shared" ref="AP1922:AP1985" si="399">IF(OR(Z1922=0,Z1922=1),"Valid","Invalid")</f>
        <v>Valid</v>
      </c>
      <c r="AQ1922" t="str">
        <f>IF(Audit_Data[[#This Row],[Z_CostContact]]=3,"Valid","Invalid")</f>
        <v>Valid</v>
      </c>
      <c r="AR1922" t="str">
        <f t="shared" ref="AR1922:AR1985" si="400">IF(AB1922=11,"Valid","Invalid")</f>
        <v>Valid</v>
      </c>
      <c r="AS1922" t="str">
        <f t="shared" ref="AS1922:AS1985" si="401">IF(OR(AC1922=0,AC1922=1),"Valid","Invalid")</f>
        <v>Valid</v>
      </c>
    </row>
    <row r="1923" spans="1:45" x14ac:dyDescent="0.3">
      <c r="A1923">
        <v>3283</v>
      </c>
      <c r="B1923">
        <v>1972</v>
      </c>
      <c r="C1923" t="s">
        <v>37</v>
      </c>
      <c r="D1923" t="s">
        <v>33</v>
      </c>
      <c r="E1923">
        <v>70932</v>
      </c>
      <c r="F1923">
        <v>0</v>
      </c>
      <c r="G1923">
        <v>1</v>
      </c>
      <c r="H1923" s="1">
        <v>41658</v>
      </c>
      <c r="I1923">
        <v>57</v>
      </c>
      <c r="J1923">
        <v>200</v>
      </c>
      <c r="K1923">
        <v>193</v>
      </c>
      <c r="L1923">
        <v>100</v>
      </c>
      <c r="M1923">
        <v>46</v>
      </c>
      <c r="N1923">
        <v>185</v>
      </c>
      <c r="O1923">
        <v>185</v>
      </c>
      <c r="P1923">
        <v>2</v>
      </c>
      <c r="Q1923">
        <v>6</v>
      </c>
      <c r="R1923">
        <v>2</v>
      </c>
      <c r="S1923">
        <v>12</v>
      </c>
      <c r="T1923">
        <v>3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3</v>
      </c>
      <c r="AB1923">
        <v>11</v>
      </c>
      <c r="AC1923">
        <v>0</v>
      </c>
      <c r="AD1923" t="str">
        <f t="shared" si="390"/>
        <v>Ok</v>
      </c>
      <c r="AE1923" t="str">
        <f>IF(AND(Audit_Data[[#This Row],[Year_Birth]]&gt;=1900,Audit_Data[[#This Row],[Year_Birth]]&lt;=2010),"OK","Invalid")</f>
        <v>OK</v>
      </c>
      <c r="AF1923" t="str">
        <f t="shared" si="391"/>
        <v>Valid</v>
      </c>
      <c r="AG1923" t="str">
        <f t="shared" si="392"/>
        <v>Valid</v>
      </c>
      <c r="AH1923" t="str">
        <f t="shared" si="393"/>
        <v>Valid</v>
      </c>
      <c r="AI1923" t="str">
        <f t="shared" si="394"/>
        <v>Valid</v>
      </c>
      <c r="AJ1923" t="str">
        <f t="shared" si="395"/>
        <v>Valid</v>
      </c>
      <c r="AK1923" t="str">
        <f t="shared" ref="AK1923:AK1986" si="402">IF(AND(ISNUMBER(H1923),H1923&gt;=DATE(2012,1,1),H1923&lt;=DATE(2014,12,31)),"Valid ","Invalid")</f>
        <v xml:space="preserve">Valid </v>
      </c>
      <c r="AL1923" t="str">
        <f>IF(AND(Audit_Data[[#This Row],[Recency]]&gt;=0,Audit_Data[[#This Row],[Recency]]&lt;=100),"Valid","Invalid")</f>
        <v>Valid</v>
      </c>
      <c r="AM1923" t="str">
        <f t="shared" si="396"/>
        <v>Valid</v>
      </c>
      <c r="AN1923" t="str">
        <f t="shared" si="397"/>
        <v>Valid</v>
      </c>
      <c r="AO1923" t="str">
        <f t="shared" si="398"/>
        <v>Valid</v>
      </c>
      <c r="AP1923" t="str">
        <f t="shared" si="399"/>
        <v>Valid</v>
      </c>
      <c r="AQ1923" t="str">
        <f>IF(Audit_Data[[#This Row],[Z_CostContact]]=3,"Valid","Invalid")</f>
        <v>Valid</v>
      </c>
      <c r="AR1923" t="str">
        <f t="shared" si="400"/>
        <v>Valid</v>
      </c>
      <c r="AS1923" t="str">
        <f t="shared" si="401"/>
        <v>Valid</v>
      </c>
    </row>
    <row r="1924" spans="1:45" x14ac:dyDescent="0.3">
      <c r="A1924">
        <v>3138</v>
      </c>
      <c r="B1924">
        <v>1956</v>
      </c>
      <c r="C1924" t="s">
        <v>29</v>
      </c>
      <c r="D1924" t="s">
        <v>30</v>
      </c>
      <c r="E1924">
        <v>91249</v>
      </c>
      <c r="F1924">
        <v>0</v>
      </c>
      <c r="G1924">
        <v>0</v>
      </c>
      <c r="H1924" s="1">
        <v>41202</v>
      </c>
      <c r="I1924">
        <v>84</v>
      </c>
      <c r="J1924">
        <v>1324</v>
      </c>
      <c r="K1924">
        <v>27</v>
      </c>
      <c r="L1924">
        <v>119</v>
      </c>
      <c r="M1924">
        <v>71</v>
      </c>
      <c r="N1924">
        <v>108</v>
      </c>
      <c r="O1924">
        <v>27</v>
      </c>
      <c r="P1924">
        <v>0</v>
      </c>
      <c r="Q1924">
        <v>7</v>
      </c>
      <c r="R1924">
        <v>9</v>
      </c>
      <c r="S1924">
        <v>6</v>
      </c>
      <c r="T1924">
        <v>4</v>
      </c>
      <c r="U1924">
        <v>0</v>
      </c>
      <c r="V1924">
        <v>1</v>
      </c>
      <c r="W1924">
        <v>1</v>
      </c>
      <c r="X1924">
        <v>1</v>
      </c>
      <c r="Y1924">
        <v>1</v>
      </c>
      <c r="Z1924">
        <v>0</v>
      </c>
      <c r="AA1924">
        <v>3</v>
      </c>
      <c r="AB1924">
        <v>11</v>
      </c>
      <c r="AC1924">
        <v>1</v>
      </c>
      <c r="AD1924" t="str">
        <f t="shared" si="390"/>
        <v>Ok</v>
      </c>
      <c r="AE1924" t="str">
        <f>IF(AND(Audit_Data[[#This Row],[Year_Birth]]&gt;=1900,Audit_Data[[#This Row],[Year_Birth]]&lt;=2010),"OK","Invalid")</f>
        <v>OK</v>
      </c>
      <c r="AF1924" t="str">
        <f t="shared" si="391"/>
        <v>Valid</v>
      </c>
      <c r="AG1924" t="str">
        <f t="shared" si="392"/>
        <v>Valid</v>
      </c>
      <c r="AH1924" t="str">
        <f t="shared" si="393"/>
        <v>Valid</v>
      </c>
      <c r="AI1924" t="str">
        <f t="shared" si="394"/>
        <v>Valid</v>
      </c>
      <c r="AJ1924" t="str">
        <f t="shared" si="395"/>
        <v>Valid</v>
      </c>
      <c r="AK1924" t="str">
        <f t="shared" si="402"/>
        <v xml:space="preserve">Valid </v>
      </c>
      <c r="AL1924" t="str">
        <f>IF(AND(Audit_Data[[#This Row],[Recency]]&gt;=0,Audit_Data[[#This Row],[Recency]]&lt;=100),"Valid","Invalid")</f>
        <v>Valid</v>
      </c>
      <c r="AM1924" t="str">
        <f t="shared" si="396"/>
        <v>Valid</v>
      </c>
      <c r="AN1924" t="str">
        <f t="shared" si="397"/>
        <v>Valid</v>
      </c>
      <c r="AO1924" t="str">
        <f t="shared" si="398"/>
        <v>Valid</v>
      </c>
      <c r="AP1924" t="str">
        <f t="shared" si="399"/>
        <v>Valid</v>
      </c>
      <c r="AQ1924" t="str">
        <f>IF(Audit_Data[[#This Row],[Z_CostContact]]=3,"Valid","Invalid")</f>
        <v>Valid</v>
      </c>
      <c r="AR1924" t="str">
        <f t="shared" si="400"/>
        <v>Valid</v>
      </c>
      <c r="AS1924" t="str">
        <f t="shared" si="401"/>
        <v>Valid</v>
      </c>
    </row>
    <row r="1925" spans="1:45" x14ac:dyDescent="0.3">
      <c r="A1925">
        <v>4994</v>
      </c>
      <c r="B1925">
        <v>1943</v>
      </c>
      <c r="C1925" t="s">
        <v>34</v>
      </c>
      <c r="D1925" t="s">
        <v>30</v>
      </c>
      <c r="E1925">
        <v>77598</v>
      </c>
      <c r="F1925">
        <v>0</v>
      </c>
      <c r="G1925">
        <v>0</v>
      </c>
      <c r="H1925" s="1">
        <v>41548</v>
      </c>
      <c r="I1925">
        <v>53</v>
      </c>
      <c r="J1925">
        <v>1193</v>
      </c>
      <c r="K1925">
        <v>33</v>
      </c>
      <c r="L1925">
        <v>281</v>
      </c>
      <c r="M1925">
        <v>129</v>
      </c>
      <c r="N1925">
        <v>66</v>
      </c>
      <c r="O1925">
        <v>33</v>
      </c>
      <c r="P1925">
        <v>1</v>
      </c>
      <c r="Q1925">
        <v>7</v>
      </c>
      <c r="R1925">
        <v>5</v>
      </c>
      <c r="S1925">
        <v>13</v>
      </c>
      <c r="T1925">
        <v>3</v>
      </c>
      <c r="U1925">
        <v>0</v>
      </c>
      <c r="V1925">
        <v>0</v>
      </c>
      <c r="W1925">
        <v>1</v>
      </c>
      <c r="X1925">
        <v>0</v>
      </c>
      <c r="Y1925">
        <v>0</v>
      </c>
      <c r="Z1925">
        <v>0</v>
      </c>
      <c r="AA1925">
        <v>3</v>
      </c>
      <c r="AB1925">
        <v>11</v>
      </c>
      <c r="AC1925">
        <v>0</v>
      </c>
      <c r="AD1925" t="str">
        <f t="shared" si="390"/>
        <v>Ok</v>
      </c>
      <c r="AE1925" t="str">
        <f>IF(AND(Audit_Data[[#This Row],[Year_Birth]]&gt;=1900,Audit_Data[[#This Row],[Year_Birth]]&lt;=2010),"OK","Invalid")</f>
        <v>OK</v>
      </c>
      <c r="AF1925" t="str">
        <f t="shared" si="391"/>
        <v>Valid</v>
      </c>
      <c r="AG1925" t="str">
        <f t="shared" si="392"/>
        <v>Valid</v>
      </c>
      <c r="AH1925" t="str">
        <f t="shared" si="393"/>
        <v>Valid</v>
      </c>
      <c r="AI1925" t="str">
        <f t="shared" si="394"/>
        <v>Valid</v>
      </c>
      <c r="AJ1925" t="str">
        <f t="shared" si="395"/>
        <v>Valid</v>
      </c>
      <c r="AK1925" t="str">
        <f t="shared" si="402"/>
        <v xml:space="preserve">Valid </v>
      </c>
      <c r="AL1925" t="str">
        <f>IF(AND(Audit_Data[[#This Row],[Recency]]&gt;=0,Audit_Data[[#This Row],[Recency]]&lt;=100),"Valid","Invalid")</f>
        <v>Valid</v>
      </c>
      <c r="AM1925" t="str">
        <f t="shared" si="396"/>
        <v>Valid</v>
      </c>
      <c r="AN1925" t="str">
        <f t="shared" si="397"/>
        <v>Valid</v>
      </c>
      <c r="AO1925" t="str">
        <f t="shared" si="398"/>
        <v>Valid</v>
      </c>
      <c r="AP1925" t="str">
        <f t="shared" si="399"/>
        <v>Valid</v>
      </c>
      <c r="AQ1925" t="str">
        <f>IF(Audit_Data[[#This Row],[Z_CostContact]]=3,"Valid","Invalid")</f>
        <v>Valid</v>
      </c>
      <c r="AR1925" t="str">
        <f t="shared" si="400"/>
        <v>Valid</v>
      </c>
      <c r="AS1925" t="str">
        <f t="shared" si="401"/>
        <v>Valid</v>
      </c>
    </row>
    <row r="1926" spans="1:45" x14ac:dyDescent="0.3">
      <c r="A1926">
        <v>7966</v>
      </c>
      <c r="B1926">
        <v>1959</v>
      </c>
      <c r="C1926" t="s">
        <v>29</v>
      </c>
      <c r="D1926" t="s">
        <v>30</v>
      </c>
      <c r="E1926">
        <v>80982</v>
      </c>
      <c r="F1926">
        <v>1</v>
      </c>
      <c r="G1926">
        <v>1</v>
      </c>
      <c r="H1926" s="1">
        <v>41282</v>
      </c>
      <c r="I1926">
        <v>48</v>
      </c>
      <c r="J1926">
        <v>505</v>
      </c>
      <c r="K1926">
        <v>137</v>
      </c>
      <c r="L1926">
        <v>401</v>
      </c>
      <c r="M1926">
        <v>104</v>
      </c>
      <c r="N1926">
        <v>22</v>
      </c>
      <c r="O1926">
        <v>22</v>
      </c>
      <c r="P1926">
        <v>3</v>
      </c>
      <c r="Q1926">
        <v>11</v>
      </c>
      <c r="R1926">
        <v>5</v>
      </c>
      <c r="S1926">
        <v>11</v>
      </c>
      <c r="T1926">
        <v>5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1</v>
      </c>
      <c r="AA1926">
        <v>3</v>
      </c>
      <c r="AB1926">
        <v>11</v>
      </c>
      <c r="AC1926">
        <v>0</v>
      </c>
      <c r="AD1926" t="str">
        <f t="shared" si="390"/>
        <v>Ok</v>
      </c>
      <c r="AE1926" t="str">
        <f>IF(AND(Audit_Data[[#This Row],[Year_Birth]]&gt;=1900,Audit_Data[[#This Row],[Year_Birth]]&lt;=2010),"OK","Invalid")</f>
        <v>OK</v>
      </c>
      <c r="AF1926" t="str">
        <f t="shared" si="391"/>
        <v>Valid</v>
      </c>
      <c r="AG1926" t="str">
        <f t="shared" si="392"/>
        <v>Valid</v>
      </c>
      <c r="AH1926" t="str">
        <f t="shared" si="393"/>
        <v>Valid</v>
      </c>
      <c r="AI1926" t="str">
        <f t="shared" si="394"/>
        <v>Valid</v>
      </c>
      <c r="AJ1926" t="str">
        <f t="shared" si="395"/>
        <v>Valid</v>
      </c>
      <c r="AK1926" t="str">
        <f t="shared" si="402"/>
        <v xml:space="preserve">Valid </v>
      </c>
      <c r="AL1926" t="str">
        <f>IF(AND(Audit_Data[[#This Row],[Recency]]&gt;=0,Audit_Data[[#This Row],[Recency]]&lt;=100),"Valid","Invalid")</f>
        <v>Valid</v>
      </c>
      <c r="AM1926" t="str">
        <f t="shared" si="396"/>
        <v>Valid</v>
      </c>
      <c r="AN1926" t="str">
        <f t="shared" si="397"/>
        <v>Valid</v>
      </c>
      <c r="AO1926" t="str">
        <f t="shared" si="398"/>
        <v>Valid</v>
      </c>
      <c r="AP1926" t="str">
        <f t="shared" si="399"/>
        <v>Valid</v>
      </c>
      <c r="AQ1926" t="str">
        <f>IF(Audit_Data[[#This Row],[Z_CostContact]]=3,"Valid","Invalid")</f>
        <v>Valid</v>
      </c>
      <c r="AR1926" t="str">
        <f t="shared" si="400"/>
        <v>Valid</v>
      </c>
      <c r="AS1926" t="str">
        <f t="shared" si="401"/>
        <v>Valid</v>
      </c>
    </row>
    <row r="1927" spans="1:45" x14ac:dyDescent="0.3">
      <c r="A1927">
        <v>3112</v>
      </c>
      <c r="B1927">
        <v>1977</v>
      </c>
      <c r="C1927" t="s">
        <v>34</v>
      </c>
      <c r="D1927" t="s">
        <v>33</v>
      </c>
      <c r="E1927">
        <v>22701</v>
      </c>
      <c r="F1927">
        <v>1</v>
      </c>
      <c r="G1927">
        <v>0</v>
      </c>
      <c r="H1927" s="1">
        <v>41522</v>
      </c>
      <c r="I1927">
        <v>2</v>
      </c>
      <c r="J1927">
        <v>2</v>
      </c>
      <c r="K1927">
        <v>4</v>
      </c>
      <c r="L1927">
        <v>9</v>
      </c>
      <c r="M1927">
        <v>0</v>
      </c>
      <c r="N1927">
        <v>4</v>
      </c>
      <c r="O1927">
        <v>5</v>
      </c>
      <c r="P1927">
        <v>1</v>
      </c>
      <c r="Q1927">
        <v>1</v>
      </c>
      <c r="R1927">
        <v>0</v>
      </c>
      <c r="S1927">
        <v>3</v>
      </c>
      <c r="T1927">
        <v>5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3</v>
      </c>
      <c r="AB1927">
        <v>11</v>
      </c>
      <c r="AC1927">
        <v>0</v>
      </c>
      <c r="AD1927" t="str">
        <f t="shared" si="390"/>
        <v>Ok</v>
      </c>
      <c r="AE1927" t="str">
        <f>IF(AND(Audit_Data[[#This Row],[Year_Birth]]&gt;=1900,Audit_Data[[#This Row],[Year_Birth]]&lt;=2010),"OK","Invalid")</f>
        <v>OK</v>
      </c>
      <c r="AF1927" t="str">
        <f t="shared" si="391"/>
        <v>Valid</v>
      </c>
      <c r="AG1927" t="str">
        <f t="shared" si="392"/>
        <v>Valid</v>
      </c>
      <c r="AH1927" t="str">
        <f t="shared" si="393"/>
        <v>Valid</v>
      </c>
      <c r="AI1927" t="str">
        <f t="shared" si="394"/>
        <v>Valid</v>
      </c>
      <c r="AJ1927" t="str">
        <f t="shared" si="395"/>
        <v>Valid</v>
      </c>
      <c r="AK1927" t="str">
        <f t="shared" si="402"/>
        <v xml:space="preserve">Valid </v>
      </c>
      <c r="AL1927" t="str">
        <f>IF(AND(Audit_Data[[#This Row],[Recency]]&gt;=0,Audit_Data[[#This Row],[Recency]]&lt;=100),"Valid","Invalid")</f>
        <v>Valid</v>
      </c>
      <c r="AM1927" t="str">
        <f t="shared" si="396"/>
        <v>Valid</v>
      </c>
      <c r="AN1927" t="str">
        <f t="shared" si="397"/>
        <v>Valid</v>
      </c>
      <c r="AO1927" t="str">
        <f t="shared" si="398"/>
        <v>Valid</v>
      </c>
      <c r="AP1927" t="str">
        <f t="shared" si="399"/>
        <v>Valid</v>
      </c>
      <c r="AQ1927" t="str">
        <f>IF(Audit_Data[[#This Row],[Z_CostContact]]=3,"Valid","Invalid")</f>
        <v>Valid</v>
      </c>
      <c r="AR1927" t="str">
        <f t="shared" si="400"/>
        <v>Valid</v>
      </c>
      <c r="AS1927" t="str">
        <f t="shared" si="401"/>
        <v>Valid</v>
      </c>
    </row>
    <row r="1928" spans="1:45" x14ac:dyDescent="0.3">
      <c r="A1928">
        <v>10872</v>
      </c>
      <c r="B1928">
        <v>1969</v>
      </c>
      <c r="C1928" t="s">
        <v>32</v>
      </c>
      <c r="D1928" t="s">
        <v>33</v>
      </c>
      <c r="E1928">
        <v>55212</v>
      </c>
      <c r="F1928">
        <v>0</v>
      </c>
      <c r="G1928">
        <v>1</v>
      </c>
      <c r="H1928" s="1">
        <v>41236</v>
      </c>
      <c r="I1928">
        <v>65</v>
      </c>
      <c r="J1928">
        <v>1103</v>
      </c>
      <c r="K1928">
        <v>0</v>
      </c>
      <c r="L1928">
        <v>45</v>
      </c>
      <c r="M1928">
        <v>0</v>
      </c>
      <c r="N1928">
        <v>0</v>
      </c>
      <c r="O1928">
        <v>34</v>
      </c>
      <c r="P1928">
        <v>3</v>
      </c>
      <c r="Q1928">
        <v>4</v>
      </c>
      <c r="R1928">
        <v>2</v>
      </c>
      <c r="S1928">
        <v>11</v>
      </c>
      <c r="T1928">
        <v>8</v>
      </c>
      <c r="U1928">
        <v>0</v>
      </c>
      <c r="V1928">
        <v>1</v>
      </c>
      <c r="W1928">
        <v>0</v>
      </c>
      <c r="X1928">
        <v>0</v>
      </c>
      <c r="Y1928">
        <v>1</v>
      </c>
      <c r="Z1928">
        <v>0</v>
      </c>
      <c r="AA1928">
        <v>3</v>
      </c>
      <c r="AB1928">
        <v>11</v>
      </c>
      <c r="AC1928">
        <v>0</v>
      </c>
      <c r="AD1928" t="str">
        <f t="shared" si="390"/>
        <v>Ok</v>
      </c>
      <c r="AE1928" t="str">
        <f>IF(AND(Audit_Data[[#This Row],[Year_Birth]]&gt;=1900,Audit_Data[[#This Row],[Year_Birth]]&lt;=2010),"OK","Invalid")</f>
        <v>OK</v>
      </c>
      <c r="AF1928" t="str">
        <f t="shared" si="391"/>
        <v>Valid</v>
      </c>
      <c r="AG1928" t="str">
        <f t="shared" si="392"/>
        <v>Valid</v>
      </c>
      <c r="AH1928" t="str">
        <f t="shared" si="393"/>
        <v>Valid</v>
      </c>
      <c r="AI1928" t="str">
        <f t="shared" si="394"/>
        <v>Valid</v>
      </c>
      <c r="AJ1928" t="str">
        <f t="shared" si="395"/>
        <v>Valid</v>
      </c>
      <c r="AK1928" t="str">
        <f t="shared" si="402"/>
        <v xml:space="preserve">Valid </v>
      </c>
      <c r="AL1928" t="str">
        <f>IF(AND(Audit_Data[[#This Row],[Recency]]&gt;=0,Audit_Data[[#This Row],[Recency]]&lt;=100),"Valid","Invalid")</f>
        <v>Valid</v>
      </c>
      <c r="AM1928" t="str">
        <f t="shared" si="396"/>
        <v>Valid</v>
      </c>
      <c r="AN1928" t="str">
        <f t="shared" si="397"/>
        <v>Valid</v>
      </c>
      <c r="AO1928" t="str">
        <f t="shared" si="398"/>
        <v>Valid</v>
      </c>
      <c r="AP1928" t="str">
        <f t="shared" si="399"/>
        <v>Valid</v>
      </c>
      <c r="AQ1928" t="str">
        <f>IF(Audit_Data[[#This Row],[Z_CostContact]]=3,"Valid","Invalid")</f>
        <v>Valid</v>
      </c>
      <c r="AR1928" t="str">
        <f t="shared" si="400"/>
        <v>Valid</v>
      </c>
      <c r="AS1928" t="str">
        <f t="shared" si="401"/>
        <v>Valid</v>
      </c>
    </row>
    <row r="1929" spans="1:45" x14ac:dyDescent="0.3">
      <c r="A1929">
        <v>2181</v>
      </c>
      <c r="B1929">
        <v>1970</v>
      </c>
      <c r="C1929" t="s">
        <v>29</v>
      </c>
      <c r="D1929" t="s">
        <v>33</v>
      </c>
      <c r="E1929">
        <v>70617</v>
      </c>
      <c r="F1929">
        <v>0</v>
      </c>
      <c r="G1929">
        <v>0</v>
      </c>
      <c r="H1929" s="1">
        <v>41448</v>
      </c>
      <c r="I1929">
        <v>45</v>
      </c>
      <c r="J1929">
        <v>353</v>
      </c>
      <c r="K1929">
        <v>61</v>
      </c>
      <c r="L1929">
        <v>753</v>
      </c>
      <c r="M1929">
        <v>40</v>
      </c>
      <c r="N1929">
        <v>46</v>
      </c>
      <c r="O1929">
        <v>27</v>
      </c>
      <c r="P1929">
        <v>1</v>
      </c>
      <c r="Q1929">
        <v>3</v>
      </c>
      <c r="R1929">
        <v>3</v>
      </c>
      <c r="S1929">
        <v>7</v>
      </c>
      <c r="T1929">
        <v>2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3</v>
      </c>
      <c r="AB1929">
        <v>11</v>
      </c>
      <c r="AC1929">
        <v>0</v>
      </c>
      <c r="AD1929" t="str">
        <f t="shared" si="390"/>
        <v>Ok</v>
      </c>
      <c r="AE1929" t="str">
        <f>IF(AND(Audit_Data[[#This Row],[Year_Birth]]&gt;=1900,Audit_Data[[#This Row],[Year_Birth]]&lt;=2010),"OK","Invalid")</f>
        <v>OK</v>
      </c>
      <c r="AF1929" t="str">
        <f t="shared" si="391"/>
        <v>Valid</v>
      </c>
      <c r="AG1929" t="str">
        <f t="shared" si="392"/>
        <v>Valid</v>
      </c>
      <c r="AH1929" t="str">
        <f t="shared" si="393"/>
        <v>Valid</v>
      </c>
      <c r="AI1929" t="str">
        <f t="shared" si="394"/>
        <v>Valid</v>
      </c>
      <c r="AJ1929" t="str">
        <f t="shared" si="395"/>
        <v>Valid</v>
      </c>
      <c r="AK1929" t="str">
        <f t="shared" si="402"/>
        <v xml:space="preserve">Valid </v>
      </c>
      <c r="AL1929" t="str">
        <f>IF(AND(Audit_Data[[#This Row],[Recency]]&gt;=0,Audit_Data[[#This Row],[Recency]]&lt;=100),"Valid","Invalid")</f>
        <v>Valid</v>
      </c>
      <c r="AM1929" t="str">
        <f t="shared" si="396"/>
        <v>Valid</v>
      </c>
      <c r="AN1929" t="str">
        <f t="shared" si="397"/>
        <v>Valid</v>
      </c>
      <c r="AO1929" t="str">
        <f t="shared" si="398"/>
        <v>Valid</v>
      </c>
      <c r="AP1929" t="str">
        <f t="shared" si="399"/>
        <v>Valid</v>
      </c>
      <c r="AQ1929" t="str">
        <f>IF(Audit_Data[[#This Row],[Z_CostContact]]=3,"Valid","Invalid")</f>
        <v>Valid</v>
      </c>
      <c r="AR1929" t="str">
        <f t="shared" si="400"/>
        <v>Valid</v>
      </c>
      <c r="AS1929" t="str">
        <f t="shared" si="401"/>
        <v>Valid</v>
      </c>
    </row>
    <row r="1930" spans="1:45" x14ac:dyDescent="0.3">
      <c r="A1930">
        <v>1867</v>
      </c>
      <c r="B1930">
        <v>1957</v>
      </c>
      <c r="C1930" t="s">
        <v>29</v>
      </c>
      <c r="D1930" t="s">
        <v>30</v>
      </c>
      <c r="E1930">
        <v>64849</v>
      </c>
      <c r="F1930">
        <v>0</v>
      </c>
      <c r="G1930">
        <v>0</v>
      </c>
      <c r="H1930" s="1">
        <v>41226</v>
      </c>
      <c r="I1930">
        <v>42</v>
      </c>
      <c r="J1930">
        <v>652</v>
      </c>
      <c r="K1930">
        <v>48</v>
      </c>
      <c r="L1930">
        <v>350</v>
      </c>
      <c r="M1930">
        <v>94</v>
      </c>
      <c r="N1930">
        <v>84</v>
      </c>
      <c r="O1930">
        <v>108</v>
      </c>
      <c r="P1930">
        <v>1</v>
      </c>
      <c r="Q1930">
        <v>9</v>
      </c>
      <c r="R1930">
        <v>3</v>
      </c>
      <c r="S1930">
        <v>6</v>
      </c>
      <c r="T1930">
        <v>5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3</v>
      </c>
      <c r="AB1930">
        <v>11</v>
      </c>
      <c r="AC1930">
        <v>1</v>
      </c>
      <c r="AD1930" t="str">
        <f t="shared" si="390"/>
        <v>Ok</v>
      </c>
      <c r="AE1930" t="str">
        <f>IF(AND(Audit_Data[[#This Row],[Year_Birth]]&gt;=1900,Audit_Data[[#This Row],[Year_Birth]]&lt;=2010),"OK","Invalid")</f>
        <v>OK</v>
      </c>
      <c r="AF1930" t="str">
        <f t="shared" si="391"/>
        <v>Valid</v>
      </c>
      <c r="AG1930" t="str">
        <f t="shared" si="392"/>
        <v>Valid</v>
      </c>
      <c r="AH1930" t="str">
        <f t="shared" si="393"/>
        <v>Valid</v>
      </c>
      <c r="AI1930" t="str">
        <f t="shared" si="394"/>
        <v>Valid</v>
      </c>
      <c r="AJ1930" t="str">
        <f t="shared" si="395"/>
        <v>Valid</v>
      </c>
      <c r="AK1930" t="str">
        <f t="shared" si="402"/>
        <v xml:space="preserve">Valid </v>
      </c>
      <c r="AL1930" t="str">
        <f>IF(AND(Audit_Data[[#This Row],[Recency]]&gt;=0,Audit_Data[[#This Row],[Recency]]&lt;=100),"Valid","Invalid")</f>
        <v>Valid</v>
      </c>
      <c r="AM1930" t="str">
        <f t="shared" si="396"/>
        <v>Valid</v>
      </c>
      <c r="AN1930" t="str">
        <f t="shared" si="397"/>
        <v>Valid</v>
      </c>
      <c r="AO1930" t="str">
        <f t="shared" si="398"/>
        <v>Valid</v>
      </c>
      <c r="AP1930" t="str">
        <f t="shared" si="399"/>
        <v>Valid</v>
      </c>
      <c r="AQ1930" t="str">
        <f>IF(Audit_Data[[#This Row],[Z_CostContact]]=3,"Valid","Invalid")</f>
        <v>Valid</v>
      </c>
      <c r="AR1930" t="str">
        <f t="shared" si="400"/>
        <v>Valid</v>
      </c>
      <c r="AS1930" t="str">
        <f t="shared" si="401"/>
        <v>Valid</v>
      </c>
    </row>
    <row r="1931" spans="1:45" x14ac:dyDescent="0.3">
      <c r="A1931">
        <v>1518</v>
      </c>
      <c r="B1931">
        <v>1965</v>
      </c>
      <c r="C1931" t="s">
        <v>34</v>
      </c>
      <c r="D1931" t="s">
        <v>33</v>
      </c>
      <c r="E1931">
        <v>62694</v>
      </c>
      <c r="F1931">
        <v>1</v>
      </c>
      <c r="G1931">
        <v>1</v>
      </c>
      <c r="H1931" s="1">
        <v>41442</v>
      </c>
      <c r="I1931">
        <v>29</v>
      </c>
      <c r="J1931">
        <v>379</v>
      </c>
      <c r="K1931">
        <v>6</v>
      </c>
      <c r="L1931">
        <v>157</v>
      </c>
      <c r="M1931">
        <v>25</v>
      </c>
      <c r="N1931">
        <v>91</v>
      </c>
      <c r="O1931">
        <v>91</v>
      </c>
      <c r="P1931">
        <v>5</v>
      </c>
      <c r="Q1931">
        <v>9</v>
      </c>
      <c r="R1931">
        <v>3</v>
      </c>
      <c r="S1931">
        <v>7</v>
      </c>
      <c r="T1931">
        <v>7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3</v>
      </c>
      <c r="AB1931">
        <v>11</v>
      </c>
      <c r="AC1931">
        <v>0</v>
      </c>
      <c r="AD1931" t="str">
        <f t="shared" si="390"/>
        <v>Ok</v>
      </c>
      <c r="AE1931" t="str">
        <f>IF(AND(Audit_Data[[#This Row],[Year_Birth]]&gt;=1900,Audit_Data[[#This Row],[Year_Birth]]&lt;=2010),"OK","Invalid")</f>
        <v>OK</v>
      </c>
      <c r="AF1931" t="str">
        <f t="shared" si="391"/>
        <v>Valid</v>
      </c>
      <c r="AG1931" t="str">
        <f t="shared" si="392"/>
        <v>Valid</v>
      </c>
      <c r="AH1931" t="str">
        <f t="shared" si="393"/>
        <v>Valid</v>
      </c>
      <c r="AI1931" t="str">
        <f t="shared" si="394"/>
        <v>Valid</v>
      </c>
      <c r="AJ1931" t="str">
        <f t="shared" si="395"/>
        <v>Valid</v>
      </c>
      <c r="AK1931" t="str">
        <f t="shared" si="402"/>
        <v xml:space="preserve">Valid </v>
      </c>
      <c r="AL1931" t="str">
        <f>IF(AND(Audit_Data[[#This Row],[Recency]]&gt;=0,Audit_Data[[#This Row],[Recency]]&lt;=100),"Valid","Invalid")</f>
        <v>Valid</v>
      </c>
      <c r="AM1931" t="str">
        <f t="shared" si="396"/>
        <v>Valid</v>
      </c>
      <c r="AN1931" t="str">
        <f t="shared" si="397"/>
        <v>Valid</v>
      </c>
      <c r="AO1931" t="str">
        <f t="shared" si="398"/>
        <v>Valid</v>
      </c>
      <c r="AP1931" t="str">
        <f t="shared" si="399"/>
        <v>Valid</v>
      </c>
      <c r="AQ1931" t="str">
        <f>IF(Audit_Data[[#This Row],[Z_CostContact]]=3,"Valid","Invalid")</f>
        <v>Valid</v>
      </c>
      <c r="AR1931" t="str">
        <f t="shared" si="400"/>
        <v>Valid</v>
      </c>
      <c r="AS1931" t="str">
        <f t="shared" si="401"/>
        <v>Valid</v>
      </c>
    </row>
    <row r="1932" spans="1:45" x14ac:dyDescent="0.3">
      <c r="A1932">
        <v>5734</v>
      </c>
      <c r="B1932">
        <v>1974</v>
      </c>
      <c r="C1932" t="s">
        <v>32</v>
      </c>
      <c r="D1932" t="s">
        <v>33</v>
      </c>
      <c r="E1932">
        <v>61917</v>
      </c>
      <c r="F1932">
        <v>1</v>
      </c>
      <c r="G1932">
        <v>1</v>
      </c>
      <c r="H1932" s="1">
        <v>41598</v>
      </c>
      <c r="I1932">
        <v>83</v>
      </c>
      <c r="J1932">
        <v>46</v>
      </c>
      <c r="K1932">
        <v>4</v>
      </c>
      <c r="L1932">
        <v>36</v>
      </c>
      <c r="M1932">
        <v>2</v>
      </c>
      <c r="N1932">
        <v>2</v>
      </c>
      <c r="O1932">
        <v>1</v>
      </c>
      <c r="P1932">
        <v>1</v>
      </c>
      <c r="Q1932">
        <v>2</v>
      </c>
      <c r="R1932">
        <v>0</v>
      </c>
      <c r="S1932">
        <v>4</v>
      </c>
      <c r="T1932">
        <v>5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3</v>
      </c>
      <c r="AB1932">
        <v>11</v>
      </c>
      <c r="AC1932">
        <v>0</v>
      </c>
      <c r="AD1932" t="str">
        <f t="shared" si="390"/>
        <v>Ok</v>
      </c>
      <c r="AE1932" t="str">
        <f>IF(AND(Audit_Data[[#This Row],[Year_Birth]]&gt;=1900,Audit_Data[[#This Row],[Year_Birth]]&lt;=2010),"OK","Invalid")</f>
        <v>OK</v>
      </c>
      <c r="AF1932" t="str">
        <f t="shared" si="391"/>
        <v>Valid</v>
      </c>
      <c r="AG1932" t="str">
        <f t="shared" si="392"/>
        <v>Valid</v>
      </c>
      <c r="AH1932" t="str">
        <f t="shared" si="393"/>
        <v>Valid</v>
      </c>
      <c r="AI1932" t="str">
        <f t="shared" si="394"/>
        <v>Valid</v>
      </c>
      <c r="AJ1932" t="str">
        <f t="shared" si="395"/>
        <v>Valid</v>
      </c>
      <c r="AK1932" t="str">
        <f t="shared" si="402"/>
        <v xml:space="preserve">Valid </v>
      </c>
      <c r="AL1932" t="str">
        <f>IF(AND(Audit_Data[[#This Row],[Recency]]&gt;=0,Audit_Data[[#This Row],[Recency]]&lt;=100),"Valid","Invalid")</f>
        <v>Valid</v>
      </c>
      <c r="AM1932" t="str">
        <f t="shared" si="396"/>
        <v>Valid</v>
      </c>
      <c r="AN1932" t="str">
        <f t="shared" si="397"/>
        <v>Valid</v>
      </c>
      <c r="AO1932" t="str">
        <f t="shared" si="398"/>
        <v>Valid</v>
      </c>
      <c r="AP1932" t="str">
        <f t="shared" si="399"/>
        <v>Valid</v>
      </c>
      <c r="AQ1932" t="str">
        <f>IF(Audit_Data[[#This Row],[Z_CostContact]]=3,"Valid","Invalid")</f>
        <v>Valid</v>
      </c>
      <c r="AR1932" t="str">
        <f t="shared" si="400"/>
        <v>Valid</v>
      </c>
      <c r="AS1932" t="str">
        <f t="shared" si="401"/>
        <v>Valid</v>
      </c>
    </row>
    <row r="1933" spans="1:45" x14ac:dyDescent="0.3">
      <c r="A1933">
        <v>2878</v>
      </c>
      <c r="B1933">
        <v>1947</v>
      </c>
      <c r="C1933" t="s">
        <v>32</v>
      </c>
      <c r="D1933" t="s">
        <v>33</v>
      </c>
      <c r="E1933">
        <v>67472</v>
      </c>
      <c r="F1933">
        <v>0</v>
      </c>
      <c r="G1933">
        <v>1</v>
      </c>
      <c r="H1933" s="1">
        <v>41545</v>
      </c>
      <c r="I1933">
        <v>93</v>
      </c>
      <c r="J1933">
        <v>162</v>
      </c>
      <c r="K1933">
        <v>31</v>
      </c>
      <c r="L1933">
        <v>127</v>
      </c>
      <c r="M1933">
        <v>8</v>
      </c>
      <c r="N1933">
        <v>17</v>
      </c>
      <c r="O1933">
        <v>69</v>
      </c>
      <c r="P1933">
        <v>2</v>
      </c>
      <c r="Q1933">
        <v>4</v>
      </c>
      <c r="R1933">
        <v>2</v>
      </c>
      <c r="S1933">
        <v>7</v>
      </c>
      <c r="T1933">
        <v>3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3</v>
      </c>
      <c r="AB1933">
        <v>11</v>
      </c>
      <c r="AC1933">
        <v>0</v>
      </c>
      <c r="AD1933" t="str">
        <f t="shared" si="390"/>
        <v>Ok</v>
      </c>
      <c r="AE1933" t="str">
        <f>IF(AND(Audit_Data[[#This Row],[Year_Birth]]&gt;=1900,Audit_Data[[#This Row],[Year_Birth]]&lt;=2010),"OK","Invalid")</f>
        <v>OK</v>
      </c>
      <c r="AF1933" t="str">
        <f t="shared" si="391"/>
        <v>Valid</v>
      </c>
      <c r="AG1933" t="str">
        <f t="shared" si="392"/>
        <v>Valid</v>
      </c>
      <c r="AH1933" t="str">
        <f t="shared" si="393"/>
        <v>Valid</v>
      </c>
      <c r="AI1933" t="str">
        <f t="shared" si="394"/>
        <v>Valid</v>
      </c>
      <c r="AJ1933" t="str">
        <f t="shared" si="395"/>
        <v>Valid</v>
      </c>
      <c r="AK1933" t="str">
        <f t="shared" si="402"/>
        <v xml:space="preserve">Valid </v>
      </c>
      <c r="AL1933" t="str">
        <f>IF(AND(Audit_Data[[#This Row],[Recency]]&gt;=0,Audit_Data[[#This Row],[Recency]]&lt;=100),"Valid","Invalid")</f>
        <v>Valid</v>
      </c>
      <c r="AM1933" t="str">
        <f t="shared" si="396"/>
        <v>Valid</v>
      </c>
      <c r="AN1933" t="str">
        <f t="shared" si="397"/>
        <v>Valid</v>
      </c>
      <c r="AO1933" t="str">
        <f t="shared" si="398"/>
        <v>Valid</v>
      </c>
      <c r="AP1933" t="str">
        <f t="shared" si="399"/>
        <v>Valid</v>
      </c>
      <c r="AQ1933" t="str">
        <f>IF(Audit_Data[[#This Row],[Z_CostContact]]=3,"Valid","Invalid")</f>
        <v>Valid</v>
      </c>
      <c r="AR1933" t="str">
        <f t="shared" si="400"/>
        <v>Valid</v>
      </c>
      <c r="AS1933" t="str">
        <f t="shared" si="401"/>
        <v>Valid</v>
      </c>
    </row>
    <row r="1934" spans="1:45" x14ac:dyDescent="0.3">
      <c r="A1934">
        <v>1458</v>
      </c>
      <c r="B1934">
        <v>1982</v>
      </c>
      <c r="C1934" t="s">
        <v>34</v>
      </c>
      <c r="D1934" t="s">
        <v>33</v>
      </c>
      <c r="E1934">
        <v>21059</v>
      </c>
      <c r="F1934">
        <v>1</v>
      </c>
      <c r="G1934">
        <v>0</v>
      </c>
      <c r="H1934" s="1">
        <v>41646</v>
      </c>
      <c r="I1934">
        <v>40</v>
      </c>
      <c r="J1934">
        <v>8</v>
      </c>
      <c r="K1934">
        <v>3</v>
      </c>
      <c r="L1934">
        <v>19</v>
      </c>
      <c r="M1934">
        <v>3</v>
      </c>
      <c r="N1934">
        <v>3</v>
      </c>
      <c r="O1934">
        <v>8</v>
      </c>
      <c r="P1934">
        <v>3</v>
      </c>
      <c r="Q1934">
        <v>3</v>
      </c>
      <c r="R1934">
        <v>0</v>
      </c>
      <c r="S1934">
        <v>3</v>
      </c>
      <c r="T1934">
        <v>6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3</v>
      </c>
      <c r="AB1934">
        <v>11</v>
      </c>
      <c r="AC1934">
        <v>0</v>
      </c>
      <c r="AD1934" t="str">
        <f t="shared" si="390"/>
        <v>Ok</v>
      </c>
      <c r="AE1934" t="str">
        <f>IF(AND(Audit_Data[[#This Row],[Year_Birth]]&gt;=1900,Audit_Data[[#This Row],[Year_Birth]]&lt;=2010),"OK","Invalid")</f>
        <v>OK</v>
      </c>
      <c r="AF1934" t="str">
        <f t="shared" si="391"/>
        <v>Valid</v>
      </c>
      <c r="AG1934" t="str">
        <f t="shared" si="392"/>
        <v>Valid</v>
      </c>
      <c r="AH1934" t="str">
        <f t="shared" si="393"/>
        <v>Valid</v>
      </c>
      <c r="AI1934" t="str">
        <f t="shared" si="394"/>
        <v>Valid</v>
      </c>
      <c r="AJ1934" t="str">
        <f t="shared" si="395"/>
        <v>Valid</v>
      </c>
      <c r="AK1934" t="str">
        <f t="shared" si="402"/>
        <v xml:space="preserve">Valid </v>
      </c>
      <c r="AL1934" t="str">
        <f>IF(AND(Audit_Data[[#This Row],[Recency]]&gt;=0,Audit_Data[[#This Row],[Recency]]&lt;=100),"Valid","Invalid")</f>
        <v>Valid</v>
      </c>
      <c r="AM1934" t="str">
        <f t="shared" si="396"/>
        <v>Valid</v>
      </c>
      <c r="AN1934" t="str">
        <f t="shared" si="397"/>
        <v>Valid</v>
      </c>
      <c r="AO1934" t="str">
        <f t="shared" si="398"/>
        <v>Valid</v>
      </c>
      <c r="AP1934" t="str">
        <f t="shared" si="399"/>
        <v>Valid</v>
      </c>
      <c r="AQ1934" t="str">
        <f>IF(Audit_Data[[#This Row],[Z_CostContact]]=3,"Valid","Invalid")</f>
        <v>Valid</v>
      </c>
      <c r="AR1934" t="str">
        <f t="shared" si="400"/>
        <v>Valid</v>
      </c>
      <c r="AS1934" t="str">
        <f t="shared" si="401"/>
        <v>Valid</v>
      </c>
    </row>
    <row r="1935" spans="1:45" x14ac:dyDescent="0.3">
      <c r="A1935">
        <v>7007</v>
      </c>
      <c r="B1935">
        <v>1968</v>
      </c>
      <c r="C1935" t="s">
        <v>34</v>
      </c>
      <c r="D1935" t="s">
        <v>33</v>
      </c>
      <c r="E1935">
        <v>29543</v>
      </c>
      <c r="F1935">
        <v>2</v>
      </c>
      <c r="G1935">
        <v>0</v>
      </c>
      <c r="H1935" s="1">
        <v>41730</v>
      </c>
      <c r="I1935">
        <v>47</v>
      </c>
      <c r="J1935">
        <v>17</v>
      </c>
      <c r="K1935">
        <v>3</v>
      </c>
      <c r="L1935">
        <v>18</v>
      </c>
      <c r="M1935">
        <v>3</v>
      </c>
      <c r="N1935">
        <v>4</v>
      </c>
      <c r="O1935">
        <v>18</v>
      </c>
      <c r="P1935">
        <v>2</v>
      </c>
      <c r="Q1935">
        <v>3</v>
      </c>
      <c r="R1935">
        <v>1</v>
      </c>
      <c r="S1935">
        <v>2</v>
      </c>
      <c r="T1935">
        <v>7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3</v>
      </c>
      <c r="AB1935">
        <v>11</v>
      </c>
      <c r="AC1935">
        <v>0</v>
      </c>
      <c r="AD1935" t="str">
        <f t="shared" si="390"/>
        <v>Ok</v>
      </c>
      <c r="AE1935" t="str">
        <f>IF(AND(Audit_Data[[#This Row],[Year_Birth]]&gt;=1900,Audit_Data[[#This Row],[Year_Birth]]&lt;=2010),"OK","Invalid")</f>
        <v>OK</v>
      </c>
      <c r="AF1935" t="str">
        <f t="shared" si="391"/>
        <v>Valid</v>
      </c>
      <c r="AG1935" t="str">
        <f t="shared" si="392"/>
        <v>Valid</v>
      </c>
      <c r="AH1935" t="str">
        <f t="shared" si="393"/>
        <v>Valid</v>
      </c>
      <c r="AI1935" t="str">
        <f t="shared" si="394"/>
        <v>Valid</v>
      </c>
      <c r="AJ1935" t="str">
        <f t="shared" si="395"/>
        <v>Valid</v>
      </c>
      <c r="AK1935" t="str">
        <f t="shared" si="402"/>
        <v xml:space="preserve">Valid </v>
      </c>
      <c r="AL1935" t="str">
        <f>IF(AND(Audit_Data[[#This Row],[Recency]]&gt;=0,Audit_Data[[#This Row],[Recency]]&lt;=100),"Valid","Invalid")</f>
        <v>Valid</v>
      </c>
      <c r="AM1935" t="str">
        <f t="shared" si="396"/>
        <v>Valid</v>
      </c>
      <c r="AN1935" t="str">
        <f t="shared" si="397"/>
        <v>Valid</v>
      </c>
      <c r="AO1935" t="str">
        <f t="shared" si="398"/>
        <v>Valid</v>
      </c>
      <c r="AP1935" t="str">
        <f t="shared" si="399"/>
        <v>Valid</v>
      </c>
      <c r="AQ1935" t="str">
        <f>IF(Audit_Data[[#This Row],[Z_CostContact]]=3,"Valid","Invalid")</f>
        <v>Valid</v>
      </c>
      <c r="AR1935" t="str">
        <f t="shared" si="400"/>
        <v>Valid</v>
      </c>
      <c r="AS1935" t="str">
        <f t="shared" si="401"/>
        <v>Valid</v>
      </c>
    </row>
    <row r="1936" spans="1:45" x14ac:dyDescent="0.3">
      <c r="A1936">
        <v>6200</v>
      </c>
      <c r="B1936">
        <v>1951</v>
      </c>
      <c r="C1936" t="s">
        <v>29</v>
      </c>
      <c r="D1936" t="s">
        <v>33</v>
      </c>
      <c r="E1936">
        <v>75903</v>
      </c>
      <c r="F1936">
        <v>0</v>
      </c>
      <c r="G1936">
        <v>1</v>
      </c>
      <c r="H1936" s="1">
        <v>41372</v>
      </c>
      <c r="I1936">
        <v>50</v>
      </c>
      <c r="J1936">
        <v>340</v>
      </c>
      <c r="K1936">
        <v>108</v>
      </c>
      <c r="L1936">
        <v>185</v>
      </c>
      <c r="M1936">
        <v>130</v>
      </c>
      <c r="N1936">
        <v>38</v>
      </c>
      <c r="O1936">
        <v>100</v>
      </c>
      <c r="P1936">
        <v>2</v>
      </c>
      <c r="Q1936">
        <v>6</v>
      </c>
      <c r="R1936">
        <v>6</v>
      </c>
      <c r="S1936">
        <v>9</v>
      </c>
      <c r="T1936">
        <v>3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3</v>
      </c>
      <c r="AB1936">
        <v>11</v>
      </c>
      <c r="AC1936">
        <v>0</v>
      </c>
      <c r="AD1936" t="str">
        <f t="shared" si="390"/>
        <v>Ok</v>
      </c>
      <c r="AE1936" t="str">
        <f>IF(AND(Audit_Data[[#This Row],[Year_Birth]]&gt;=1900,Audit_Data[[#This Row],[Year_Birth]]&lt;=2010),"OK","Invalid")</f>
        <v>OK</v>
      </c>
      <c r="AF1936" t="str">
        <f t="shared" si="391"/>
        <v>Valid</v>
      </c>
      <c r="AG1936" t="str">
        <f t="shared" si="392"/>
        <v>Valid</v>
      </c>
      <c r="AH1936" t="str">
        <f t="shared" si="393"/>
        <v>Valid</v>
      </c>
      <c r="AI1936" t="str">
        <f t="shared" si="394"/>
        <v>Valid</v>
      </c>
      <c r="AJ1936" t="str">
        <f t="shared" si="395"/>
        <v>Valid</v>
      </c>
      <c r="AK1936" t="str">
        <f t="shared" si="402"/>
        <v xml:space="preserve">Valid </v>
      </c>
      <c r="AL1936" t="str">
        <f>IF(AND(Audit_Data[[#This Row],[Recency]]&gt;=0,Audit_Data[[#This Row],[Recency]]&lt;=100),"Valid","Invalid")</f>
        <v>Valid</v>
      </c>
      <c r="AM1936" t="str">
        <f t="shared" si="396"/>
        <v>Valid</v>
      </c>
      <c r="AN1936" t="str">
        <f t="shared" si="397"/>
        <v>Valid</v>
      </c>
      <c r="AO1936" t="str">
        <f t="shared" si="398"/>
        <v>Valid</v>
      </c>
      <c r="AP1936" t="str">
        <f t="shared" si="399"/>
        <v>Valid</v>
      </c>
      <c r="AQ1936" t="str">
        <f>IF(Audit_Data[[#This Row],[Z_CostContact]]=3,"Valid","Invalid")</f>
        <v>Valid</v>
      </c>
      <c r="AR1936" t="str">
        <f t="shared" si="400"/>
        <v>Valid</v>
      </c>
      <c r="AS1936" t="str">
        <f t="shared" si="401"/>
        <v>Valid</v>
      </c>
    </row>
    <row r="1937" spans="1:45" x14ac:dyDescent="0.3">
      <c r="A1937">
        <v>1403</v>
      </c>
      <c r="B1937">
        <v>1975</v>
      </c>
      <c r="C1937" t="s">
        <v>37</v>
      </c>
      <c r="D1937" t="s">
        <v>31</v>
      </c>
      <c r="E1937">
        <v>34984</v>
      </c>
      <c r="F1937">
        <v>1</v>
      </c>
      <c r="G1937">
        <v>1</v>
      </c>
      <c r="H1937" s="1">
        <v>41158</v>
      </c>
      <c r="I1937">
        <v>40</v>
      </c>
      <c r="J1937">
        <v>8</v>
      </c>
      <c r="K1937">
        <v>4</v>
      </c>
      <c r="L1937">
        <v>15</v>
      </c>
      <c r="M1937">
        <v>3</v>
      </c>
      <c r="N1937">
        <v>5</v>
      </c>
      <c r="O1937">
        <v>3</v>
      </c>
      <c r="P1937">
        <v>2</v>
      </c>
      <c r="Q1937">
        <v>1</v>
      </c>
      <c r="R1937">
        <v>0</v>
      </c>
      <c r="S1937">
        <v>3</v>
      </c>
      <c r="T1937">
        <v>7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3</v>
      </c>
      <c r="AB1937">
        <v>11</v>
      </c>
      <c r="AC1937">
        <v>0</v>
      </c>
      <c r="AD1937" t="str">
        <f t="shared" si="390"/>
        <v>Ok</v>
      </c>
      <c r="AE1937" t="str">
        <f>IF(AND(Audit_Data[[#This Row],[Year_Birth]]&gt;=1900,Audit_Data[[#This Row],[Year_Birth]]&lt;=2010),"OK","Invalid")</f>
        <v>OK</v>
      </c>
      <c r="AF1937" t="str">
        <f t="shared" si="391"/>
        <v>Valid</v>
      </c>
      <c r="AG1937" t="str">
        <f t="shared" si="392"/>
        <v>Valid</v>
      </c>
      <c r="AH1937" t="str">
        <f t="shared" si="393"/>
        <v>Valid</v>
      </c>
      <c r="AI1937" t="str">
        <f t="shared" si="394"/>
        <v>Valid</v>
      </c>
      <c r="AJ1937" t="str">
        <f t="shared" si="395"/>
        <v>Valid</v>
      </c>
      <c r="AK1937" t="str">
        <f t="shared" si="402"/>
        <v xml:space="preserve">Valid </v>
      </c>
      <c r="AL1937" t="str">
        <f>IF(AND(Audit_Data[[#This Row],[Recency]]&gt;=0,Audit_Data[[#This Row],[Recency]]&lt;=100),"Valid","Invalid")</f>
        <v>Valid</v>
      </c>
      <c r="AM1937" t="str">
        <f t="shared" si="396"/>
        <v>Valid</v>
      </c>
      <c r="AN1937" t="str">
        <f t="shared" si="397"/>
        <v>Valid</v>
      </c>
      <c r="AO1937" t="str">
        <f t="shared" si="398"/>
        <v>Valid</v>
      </c>
      <c r="AP1937" t="str">
        <f t="shared" si="399"/>
        <v>Valid</v>
      </c>
      <c r="AQ1937" t="str">
        <f>IF(Audit_Data[[#This Row],[Z_CostContact]]=3,"Valid","Invalid")</f>
        <v>Valid</v>
      </c>
      <c r="AR1937" t="str">
        <f t="shared" si="400"/>
        <v>Valid</v>
      </c>
      <c r="AS1937" t="str">
        <f t="shared" si="401"/>
        <v>Valid</v>
      </c>
    </row>
    <row r="1938" spans="1:45" x14ac:dyDescent="0.3">
      <c r="A1938">
        <v>4827</v>
      </c>
      <c r="B1938">
        <v>1956</v>
      </c>
      <c r="C1938" t="s">
        <v>32</v>
      </c>
      <c r="D1938" t="s">
        <v>30</v>
      </c>
      <c r="E1938">
        <v>54998</v>
      </c>
      <c r="F1938">
        <v>0</v>
      </c>
      <c r="G1938">
        <v>1</v>
      </c>
      <c r="H1938" s="1">
        <v>41343</v>
      </c>
      <c r="I1938">
        <v>3</v>
      </c>
      <c r="J1938">
        <v>154</v>
      </c>
      <c r="K1938">
        <v>22</v>
      </c>
      <c r="L1938">
        <v>202</v>
      </c>
      <c r="M1938">
        <v>39</v>
      </c>
      <c r="N1938">
        <v>30</v>
      </c>
      <c r="O1938">
        <v>8</v>
      </c>
      <c r="P1938">
        <v>5</v>
      </c>
      <c r="Q1938">
        <v>4</v>
      </c>
      <c r="R1938">
        <v>2</v>
      </c>
      <c r="S1938">
        <v>9</v>
      </c>
      <c r="T1938">
        <v>4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3</v>
      </c>
      <c r="AB1938">
        <v>11</v>
      </c>
      <c r="AC1938">
        <v>1</v>
      </c>
      <c r="AD1938" t="str">
        <f t="shared" si="390"/>
        <v>Ok</v>
      </c>
      <c r="AE1938" t="str">
        <f>IF(AND(Audit_Data[[#This Row],[Year_Birth]]&gt;=1900,Audit_Data[[#This Row],[Year_Birth]]&lt;=2010),"OK","Invalid")</f>
        <v>OK</v>
      </c>
      <c r="AF1938" t="str">
        <f t="shared" si="391"/>
        <v>Valid</v>
      </c>
      <c r="AG1938" t="str">
        <f t="shared" si="392"/>
        <v>Valid</v>
      </c>
      <c r="AH1938" t="str">
        <f t="shared" si="393"/>
        <v>Valid</v>
      </c>
      <c r="AI1938" t="str">
        <f t="shared" si="394"/>
        <v>Valid</v>
      </c>
      <c r="AJ1938" t="str">
        <f t="shared" si="395"/>
        <v>Valid</v>
      </c>
      <c r="AK1938" t="str">
        <f t="shared" si="402"/>
        <v xml:space="preserve">Valid </v>
      </c>
      <c r="AL1938" t="str">
        <f>IF(AND(Audit_Data[[#This Row],[Recency]]&gt;=0,Audit_Data[[#This Row],[Recency]]&lt;=100),"Valid","Invalid")</f>
        <v>Valid</v>
      </c>
      <c r="AM1938" t="str">
        <f t="shared" si="396"/>
        <v>Valid</v>
      </c>
      <c r="AN1938" t="str">
        <f t="shared" si="397"/>
        <v>Valid</v>
      </c>
      <c r="AO1938" t="str">
        <f t="shared" si="398"/>
        <v>Valid</v>
      </c>
      <c r="AP1938" t="str">
        <f t="shared" si="399"/>
        <v>Valid</v>
      </c>
      <c r="AQ1938" t="str">
        <f>IF(Audit_Data[[#This Row],[Z_CostContact]]=3,"Valid","Invalid")</f>
        <v>Valid</v>
      </c>
      <c r="AR1938" t="str">
        <f t="shared" si="400"/>
        <v>Valid</v>
      </c>
      <c r="AS1938" t="str">
        <f t="shared" si="401"/>
        <v>Valid</v>
      </c>
    </row>
    <row r="1939" spans="1:45" x14ac:dyDescent="0.3">
      <c r="A1939">
        <v>6250</v>
      </c>
      <c r="B1939">
        <v>1949</v>
      </c>
      <c r="C1939" t="s">
        <v>32</v>
      </c>
      <c r="D1939" t="s">
        <v>38</v>
      </c>
      <c r="E1939">
        <v>54356</v>
      </c>
      <c r="F1939">
        <v>0</v>
      </c>
      <c r="G1939">
        <v>1</v>
      </c>
      <c r="H1939" s="1">
        <v>41232</v>
      </c>
      <c r="I1939">
        <v>62</v>
      </c>
      <c r="J1939">
        <v>710</v>
      </c>
      <c r="K1939">
        <v>15</v>
      </c>
      <c r="L1939">
        <v>30</v>
      </c>
      <c r="M1939">
        <v>20</v>
      </c>
      <c r="N1939">
        <v>0</v>
      </c>
      <c r="O1939">
        <v>0</v>
      </c>
      <c r="P1939">
        <v>3</v>
      </c>
      <c r="Q1939">
        <v>11</v>
      </c>
      <c r="R1939">
        <v>2</v>
      </c>
      <c r="S1939">
        <v>8</v>
      </c>
      <c r="T1939">
        <v>8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3</v>
      </c>
      <c r="AB1939">
        <v>11</v>
      </c>
      <c r="AC1939">
        <v>1</v>
      </c>
      <c r="AD1939" t="str">
        <f t="shared" si="390"/>
        <v>Ok</v>
      </c>
      <c r="AE1939" t="str">
        <f>IF(AND(Audit_Data[[#This Row],[Year_Birth]]&gt;=1900,Audit_Data[[#This Row],[Year_Birth]]&lt;=2010),"OK","Invalid")</f>
        <v>OK</v>
      </c>
      <c r="AF1939" t="str">
        <f t="shared" si="391"/>
        <v>Valid</v>
      </c>
      <c r="AG1939" t="str">
        <f t="shared" si="392"/>
        <v>Valid</v>
      </c>
      <c r="AH1939" t="str">
        <f t="shared" si="393"/>
        <v>Valid</v>
      </c>
      <c r="AI1939" t="str">
        <f t="shared" si="394"/>
        <v>Valid</v>
      </c>
      <c r="AJ1939" t="str">
        <f t="shared" si="395"/>
        <v>Valid</v>
      </c>
      <c r="AK1939" t="str">
        <f t="shared" si="402"/>
        <v xml:space="preserve">Valid </v>
      </c>
      <c r="AL1939" t="str">
        <f>IF(AND(Audit_Data[[#This Row],[Recency]]&gt;=0,Audit_Data[[#This Row],[Recency]]&lt;=100),"Valid","Invalid")</f>
        <v>Valid</v>
      </c>
      <c r="AM1939" t="str">
        <f t="shared" si="396"/>
        <v>Valid</v>
      </c>
      <c r="AN1939" t="str">
        <f t="shared" si="397"/>
        <v>Valid</v>
      </c>
      <c r="AO1939" t="str">
        <f t="shared" si="398"/>
        <v>Valid</v>
      </c>
      <c r="AP1939" t="str">
        <f t="shared" si="399"/>
        <v>Valid</v>
      </c>
      <c r="AQ1939" t="str">
        <f>IF(Audit_Data[[#This Row],[Z_CostContact]]=3,"Valid","Invalid")</f>
        <v>Valid</v>
      </c>
      <c r="AR1939" t="str">
        <f t="shared" si="400"/>
        <v>Valid</v>
      </c>
      <c r="AS1939" t="str">
        <f t="shared" si="401"/>
        <v>Valid</v>
      </c>
    </row>
    <row r="1940" spans="1:45" x14ac:dyDescent="0.3">
      <c r="A1940">
        <v>9291</v>
      </c>
      <c r="B1940">
        <v>1959</v>
      </c>
      <c r="C1940" t="s">
        <v>34</v>
      </c>
      <c r="D1940" t="s">
        <v>33</v>
      </c>
      <c r="E1940">
        <v>34242</v>
      </c>
      <c r="F1940">
        <v>0</v>
      </c>
      <c r="G1940">
        <v>1</v>
      </c>
      <c r="H1940" s="1">
        <v>41721</v>
      </c>
      <c r="I1940">
        <v>25</v>
      </c>
      <c r="J1940">
        <v>8</v>
      </c>
      <c r="K1940">
        <v>2</v>
      </c>
      <c r="L1940">
        <v>4</v>
      </c>
      <c r="M1940">
        <v>0</v>
      </c>
      <c r="N1940">
        <v>0</v>
      </c>
      <c r="O1940">
        <v>1</v>
      </c>
      <c r="P1940">
        <v>1</v>
      </c>
      <c r="Q1940">
        <v>0</v>
      </c>
      <c r="R1940">
        <v>0</v>
      </c>
      <c r="S1940">
        <v>3</v>
      </c>
      <c r="T1940">
        <v>5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3</v>
      </c>
      <c r="AB1940">
        <v>11</v>
      </c>
      <c r="AC1940">
        <v>0</v>
      </c>
      <c r="AD1940" t="str">
        <f t="shared" si="390"/>
        <v>Ok</v>
      </c>
      <c r="AE1940" t="str">
        <f>IF(AND(Audit_Data[[#This Row],[Year_Birth]]&gt;=1900,Audit_Data[[#This Row],[Year_Birth]]&lt;=2010),"OK","Invalid")</f>
        <v>OK</v>
      </c>
      <c r="AF1940" t="str">
        <f t="shared" si="391"/>
        <v>Valid</v>
      </c>
      <c r="AG1940" t="str">
        <f t="shared" si="392"/>
        <v>Valid</v>
      </c>
      <c r="AH1940" t="str">
        <f t="shared" si="393"/>
        <v>Valid</v>
      </c>
      <c r="AI1940" t="str">
        <f t="shared" si="394"/>
        <v>Valid</v>
      </c>
      <c r="AJ1940" t="str">
        <f t="shared" si="395"/>
        <v>Valid</v>
      </c>
      <c r="AK1940" t="str">
        <f t="shared" si="402"/>
        <v xml:space="preserve">Valid </v>
      </c>
      <c r="AL1940" t="str">
        <f>IF(AND(Audit_Data[[#This Row],[Recency]]&gt;=0,Audit_Data[[#This Row],[Recency]]&lt;=100),"Valid","Invalid")</f>
        <v>Valid</v>
      </c>
      <c r="AM1940" t="str">
        <f t="shared" si="396"/>
        <v>Valid</v>
      </c>
      <c r="AN1940" t="str">
        <f t="shared" si="397"/>
        <v>Valid</v>
      </c>
      <c r="AO1940" t="str">
        <f t="shared" si="398"/>
        <v>Valid</v>
      </c>
      <c r="AP1940" t="str">
        <f t="shared" si="399"/>
        <v>Valid</v>
      </c>
      <c r="AQ1940" t="str">
        <f>IF(Audit_Data[[#This Row],[Z_CostContact]]=3,"Valid","Invalid")</f>
        <v>Valid</v>
      </c>
      <c r="AR1940" t="str">
        <f t="shared" si="400"/>
        <v>Valid</v>
      </c>
      <c r="AS1940" t="str">
        <f t="shared" si="401"/>
        <v>Valid</v>
      </c>
    </row>
    <row r="1941" spans="1:45" x14ac:dyDescent="0.3">
      <c r="A1941">
        <v>2478</v>
      </c>
      <c r="B1941">
        <v>1973</v>
      </c>
      <c r="C1941" t="s">
        <v>29</v>
      </c>
      <c r="D1941" t="s">
        <v>33</v>
      </c>
      <c r="E1941">
        <v>25410</v>
      </c>
      <c r="F1941">
        <v>1</v>
      </c>
      <c r="G1941">
        <v>0</v>
      </c>
      <c r="H1941" s="1">
        <v>41517</v>
      </c>
      <c r="I1941">
        <v>48</v>
      </c>
      <c r="J1941">
        <v>2</v>
      </c>
      <c r="K1941">
        <v>2</v>
      </c>
      <c r="L1941">
        <v>4</v>
      </c>
      <c r="M1941">
        <v>13</v>
      </c>
      <c r="N1941">
        <v>13</v>
      </c>
      <c r="O1941">
        <v>4</v>
      </c>
      <c r="P1941">
        <v>1</v>
      </c>
      <c r="Q1941">
        <v>1</v>
      </c>
      <c r="R1941">
        <v>0</v>
      </c>
      <c r="S1941">
        <v>4</v>
      </c>
      <c r="T1941">
        <v>4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3</v>
      </c>
      <c r="AB1941">
        <v>11</v>
      </c>
      <c r="AC1941">
        <v>0</v>
      </c>
      <c r="AD1941" t="str">
        <f t="shared" si="390"/>
        <v>Ok</v>
      </c>
      <c r="AE1941" t="str">
        <f>IF(AND(Audit_Data[[#This Row],[Year_Birth]]&gt;=1900,Audit_Data[[#This Row],[Year_Birth]]&lt;=2010),"OK","Invalid")</f>
        <v>OK</v>
      </c>
      <c r="AF1941" t="str">
        <f t="shared" si="391"/>
        <v>Valid</v>
      </c>
      <c r="AG1941" t="str">
        <f t="shared" si="392"/>
        <v>Valid</v>
      </c>
      <c r="AH1941" t="str">
        <f t="shared" si="393"/>
        <v>Valid</v>
      </c>
      <c r="AI1941" t="str">
        <f t="shared" si="394"/>
        <v>Valid</v>
      </c>
      <c r="AJ1941" t="str">
        <f t="shared" si="395"/>
        <v>Valid</v>
      </c>
      <c r="AK1941" t="str">
        <f t="shared" si="402"/>
        <v xml:space="preserve">Valid </v>
      </c>
      <c r="AL1941" t="str">
        <f>IF(AND(Audit_Data[[#This Row],[Recency]]&gt;=0,Audit_Data[[#This Row],[Recency]]&lt;=100),"Valid","Invalid")</f>
        <v>Valid</v>
      </c>
      <c r="AM1941" t="str">
        <f t="shared" si="396"/>
        <v>Valid</v>
      </c>
      <c r="AN1941" t="str">
        <f t="shared" si="397"/>
        <v>Valid</v>
      </c>
      <c r="AO1941" t="str">
        <f t="shared" si="398"/>
        <v>Valid</v>
      </c>
      <c r="AP1941" t="str">
        <f t="shared" si="399"/>
        <v>Valid</v>
      </c>
      <c r="AQ1941" t="str">
        <f>IF(Audit_Data[[#This Row],[Z_CostContact]]=3,"Valid","Invalid")</f>
        <v>Valid</v>
      </c>
      <c r="AR1941" t="str">
        <f t="shared" si="400"/>
        <v>Valid</v>
      </c>
      <c r="AS1941" t="str">
        <f t="shared" si="401"/>
        <v>Valid</v>
      </c>
    </row>
    <row r="1942" spans="1:45" x14ac:dyDescent="0.3">
      <c r="A1942">
        <v>1139</v>
      </c>
      <c r="B1942">
        <v>1984</v>
      </c>
      <c r="C1942" t="s">
        <v>32</v>
      </c>
      <c r="D1942" t="s">
        <v>33</v>
      </c>
      <c r="E1942">
        <v>73356</v>
      </c>
      <c r="F1942">
        <v>0</v>
      </c>
      <c r="G1942">
        <v>0</v>
      </c>
      <c r="H1942" s="1">
        <v>41676</v>
      </c>
      <c r="I1942">
        <v>56</v>
      </c>
      <c r="J1942">
        <v>1050</v>
      </c>
      <c r="K1942">
        <v>14</v>
      </c>
      <c r="L1942">
        <v>322</v>
      </c>
      <c r="M1942">
        <v>0</v>
      </c>
      <c r="N1942">
        <v>14</v>
      </c>
      <c r="O1942">
        <v>112</v>
      </c>
      <c r="P1942">
        <v>1</v>
      </c>
      <c r="Q1942">
        <v>5</v>
      </c>
      <c r="R1942">
        <v>11</v>
      </c>
      <c r="S1942">
        <v>5</v>
      </c>
      <c r="T1942">
        <v>2</v>
      </c>
      <c r="U1942">
        <v>1</v>
      </c>
      <c r="V1942">
        <v>0</v>
      </c>
      <c r="W1942">
        <v>1</v>
      </c>
      <c r="X1942">
        <v>1</v>
      </c>
      <c r="Y1942">
        <v>0</v>
      </c>
      <c r="Z1942">
        <v>0</v>
      </c>
      <c r="AA1942">
        <v>3</v>
      </c>
      <c r="AB1942">
        <v>11</v>
      </c>
      <c r="AC1942">
        <v>1</v>
      </c>
      <c r="AD1942" t="str">
        <f t="shared" si="390"/>
        <v>Ok</v>
      </c>
      <c r="AE1942" t="str">
        <f>IF(AND(Audit_Data[[#This Row],[Year_Birth]]&gt;=1900,Audit_Data[[#This Row],[Year_Birth]]&lt;=2010),"OK","Invalid")</f>
        <v>OK</v>
      </c>
      <c r="AF1942" t="str">
        <f t="shared" si="391"/>
        <v>Valid</v>
      </c>
      <c r="AG1942" t="str">
        <f t="shared" si="392"/>
        <v>Valid</v>
      </c>
      <c r="AH1942" t="str">
        <f t="shared" si="393"/>
        <v>Valid</v>
      </c>
      <c r="AI1942" t="str">
        <f t="shared" si="394"/>
        <v>Valid</v>
      </c>
      <c r="AJ1942" t="str">
        <f t="shared" si="395"/>
        <v>Valid</v>
      </c>
      <c r="AK1942" t="str">
        <f t="shared" si="402"/>
        <v xml:space="preserve">Valid </v>
      </c>
      <c r="AL1942" t="str">
        <f>IF(AND(Audit_Data[[#This Row],[Recency]]&gt;=0,Audit_Data[[#This Row],[Recency]]&lt;=100),"Valid","Invalid")</f>
        <v>Valid</v>
      </c>
      <c r="AM1942" t="str">
        <f t="shared" si="396"/>
        <v>Valid</v>
      </c>
      <c r="AN1942" t="str">
        <f t="shared" si="397"/>
        <v>Valid</v>
      </c>
      <c r="AO1942" t="str">
        <f t="shared" si="398"/>
        <v>Valid</v>
      </c>
      <c r="AP1942" t="str">
        <f t="shared" si="399"/>
        <v>Valid</v>
      </c>
      <c r="AQ1942" t="str">
        <f>IF(Audit_Data[[#This Row],[Z_CostContact]]=3,"Valid","Invalid")</f>
        <v>Valid</v>
      </c>
      <c r="AR1942" t="str">
        <f t="shared" si="400"/>
        <v>Valid</v>
      </c>
      <c r="AS1942" t="str">
        <f t="shared" si="401"/>
        <v>Valid</v>
      </c>
    </row>
    <row r="1943" spans="1:45" x14ac:dyDescent="0.3">
      <c r="A1943">
        <v>5138</v>
      </c>
      <c r="B1943">
        <v>1950</v>
      </c>
      <c r="C1943" t="s">
        <v>29</v>
      </c>
      <c r="D1943" t="s">
        <v>31</v>
      </c>
      <c r="E1943">
        <v>28320</v>
      </c>
      <c r="F1943">
        <v>0</v>
      </c>
      <c r="G1943">
        <v>1</v>
      </c>
      <c r="H1943" s="1">
        <v>41288</v>
      </c>
      <c r="I1943">
        <v>68</v>
      </c>
      <c r="J1943">
        <v>19</v>
      </c>
      <c r="K1943">
        <v>1</v>
      </c>
      <c r="L1943">
        <v>14</v>
      </c>
      <c r="M1943">
        <v>3</v>
      </c>
      <c r="N1943">
        <v>2</v>
      </c>
      <c r="O1943">
        <v>4</v>
      </c>
      <c r="P1943">
        <v>1</v>
      </c>
      <c r="Q1943">
        <v>1</v>
      </c>
      <c r="R1943">
        <v>0</v>
      </c>
      <c r="S1943">
        <v>3</v>
      </c>
      <c r="T1943">
        <v>8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3</v>
      </c>
      <c r="AB1943">
        <v>11</v>
      </c>
      <c r="AC1943">
        <v>0</v>
      </c>
      <c r="AD1943" t="str">
        <f t="shared" si="390"/>
        <v>Ok</v>
      </c>
      <c r="AE1943" t="str">
        <f>IF(AND(Audit_Data[[#This Row],[Year_Birth]]&gt;=1900,Audit_Data[[#This Row],[Year_Birth]]&lt;=2010),"OK","Invalid")</f>
        <v>OK</v>
      </c>
      <c r="AF1943" t="str">
        <f t="shared" si="391"/>
        <v>Valid</v>
      </c>
      <c r="AG1943" t="str">
        <f t="shared" si="392"/>
        <v>Valid</v>
      </c>
      <c r="AH1943" t="str">
        <f t="shared" si="393"/>
        <v>Valid</v>
      </c>
      <c r="AI1943" t="str">
        <f t="shared" si="394"/>
        <v>Valid</v>
      </c>
      <c r="AJ1943" t="str">
        <f t="shared" si="395"/>
        <v>Valid</v>
      </c>
      <c r="AK1943" t="str">
        <f t="shared" si="402"/>
        <v xml:space="preserve">Valid </v>
      </c>
      <c r="AL1943" t="str">
        <f>IF(AND(Audit_Data[[#This Row],[Recency]]&gt;=0,Audit_Data[[#This Row],[Recency]]&lt;=100),"Valid","Invalid")</f>
        <v>Valid</v>
      </c>
      <c r="AM1943" t="str">
        <f t="shared" si="396"/>
        <v>Valid</v>
      </c>
      <c r="AN1943" t="str">
        <f t="shared" si="397"/>
        <v>Valid</v>
      </c>
      <c r="AO1943" t="str">
        <f t="shared" si="398"/>
        <v>Valid</v>
      </c>
      <c r="AP1943" t="str">
        <f t="shared" si="399"/>
        <v>Valid</v>
      </c>
      <c r="AQ1943" t="str">
        <f>IF(Audit_Data[[#This Row],[Z_CostContact]]=3,"Valid","Invalid")</f>
        <v>Valid</v>
      </c>
      <c r="AR1943" t="str">
        <f t="shared" si="400"/>
        <v>Valid</v>
      </c>
      <c r="AS1943" t="str">
        <f t="shared" si="401"/>
        <v>Valid</v>
      </c>
    </row>
    <row r="1944" spans="1:45" x14ac:dyDescent="0.3">
      <c r="A1944">
        <v>5393</v>
      </c>
      <c r="B1944">
        <v>1977</v>
      </c>
      <c r="C1944" t="s">
        <v>29</v>
      </c>
      <c r="D1944" t="s">
        <v>30</v>
      </c>
      <c r="E1944">
        <v>23763</v>
      </c>
      <c r="F1944">
        <v>1</v>
      </c>
      <c r="G1944">
        <v>0</v>
      </c>
      <c r="H1944" s="1">
        <v>41128</v>
      </c>
      <c r="I1944">
        <v>64</v>
      </c>
      <c r="J1944">
        <v>22</v>
      </c>
      <c r="K1944">
        <v>0</v>
      </c>
      <c r="L1944">
        <v>6</v>
      </c>
      <c r="M1944">
        <v>6</v>
      </c>
      <c r="N1944">
        <v>2</v>
      </c>
      <c r="O1944">
        <v>6</v>
      </c>
      <c r="P1944">
        <v>1</v>
      </c>
      <c r="Q1944">
        <v>1</v>
      </c>
      <c r="R1944">
        <v>0</v>
      </c>
      <c r="S1944">
        <v>3</v>
      </c>
      <c r="T1944">
        <v>7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3</v>
      </c>
      <c r="AB1944">
        <v>11</v>
      </c>
      <c r="AC1944">
        <v>0</v>
      </c>
      <c r="AD1944" t="str">
        <f t="shared" si="390"/>
        <v>Ok</v>
      </c>
      <c r="AE1944" t="str">
        <f>IF(AND(Audit_Data[[#This Row],[Year_Birth]]&gt;=1900,Audit_Data[[#This Row],[Year_Birth]]&lt;=2010),"OK","Invalid")</f>
        <v>OK</v>
      </c>
      <c r="AF1944" t="str">
        <f t="shared" si="391"/>
        <v>Valid</v>
      </c>
      <c r="AG1944" t="str">
        <f t="shared" si="392"/>
        <v>Valid</v>
      </c>
      <c r="AH1944" t="str">
        <f t="shared" si="393"/>
        <v>Valid</v>
      </c>
      <c r="AI1944" t="str">
        <f t="shared" si="394"/>
        <v>Valid</v>
      </c>
      <c r="AJ1944" t="str">
        <f t="shared" si="395"/>
        <v>Valid</v>
      </c>
      <c r="AK1944" t="str">
        <f t="shared" si="402"/>
        <v xml:space="preserve">Valid </v>
      </c>
      <c r="AL1944" t="str">
        <f>IF(AND(Audit_Data[[#This Row],[Recency]]&gt;=0,Audit_Data[[#This Row],[Recency]]&lt;=100),"Valid","Invalid")</f>
        <v>Valid</v>
      </c>
      <c r="AM1944" t="str">
        <f t="shared" si="396"/>
        <v>Valid</v>
      </c>
      <c r="AN1944" t="str">
        <f t="shared" si="397"/>
        <v>Valid</v>
      </c>
      <c r="AO1944" t="str">
        <f t="shared" si="398"/>
        <v>Valid</v>
      </c>
      <c r="AP1944" t="str">
        <f t="shared" si="399"/>
        <v>Valid</v>
      </c>
      <c r="AQ1944" t="str">
        <f>IF(Audit_Data[[#This Row],[Z_CostContact]]=3,"Valid","Invalid")</f>
        <v>Valid</v>
      </c>
      <c r="AR1944" t="str">
        <f t="shared" si="400"/>
        <v>Valid</v>
      </c>
      <c r="AS1944" t="str">
        <f t="shared" si="401"/>
        <v>Valid</v>
      </c>
    </row>
    <row r="1945" spans="1:45" x14ac:dyDescent="0.3">
      <c r="A1945">
        <v>10413</v>
      </c>
      <c r="B1945">
        <v>1984</v>
      </c>
      <c r="C1945" t="s">
        <v>29</v>
      </c>
      <c r="D1945" t="s">
        <v>33</v>
      </c>
      <c r="E1945">
        <v>72570</v>
      </c>
      <c r="F1945">
        <v>0</v>
      </c>
      <c r="G1945">
        <v>0</v>
      </c>
      <c r="H1945" s="1">
        <v>41754</v>
      </c>
      <c r="I1945">
        <v>67</v>
      </c>
      <c r="J1945">
        <v>274</v>
      </c>
      <c r="K1945">
        <v>83</v>
      </c>
      <c r="L1945">
        <v>216</v>
      </c>
      <c r="M1945">
        <v>151</v>
      </c>
      <c r="N1945">
        <v>141</v>
      </c>
      <c r="O1945">
        <v>224</v>
      </c>
      <c r="P1945">
        <v>1</v>
      </c>
      <c r="Q1945">
        <v>4</v>
      </c>
      <c r="R1945">
        <v>6</v>
      </c>
      <c r="S1945">
        <v>12</v>
      </c>
      <c r="T1945">
        <v>1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3</v>
      </c>
      <c r="AB1945">
        <v>11</v>
      </c>
      <c r="AC1945">
        <v>0</v>
      </c>
      <c r="AD1945" t="str">
        <f t="shared" si="390"/>
        <v>Ok</v>
      </c>
      <c r="AE1945" t="str">
        <f>IF(AND(Audit_Data[[#This Row],[Year_Birth]]&gt;=1900,Audit_Data[[#This Row],[Year_Birth]]&lt;=2010),"OK","Invalid")</f>
        <v>OK</v>
      </c>
      <c r="AF1945" t="str">
        <f t="shared" si="391"/>
        <v>Valid</v>
      </c>
      <c r="AG1945" t="str">
        <f t="shared" si="392"/>
        <v>Valid</v>
      </c>
      <c r="AH1945" t="str">
        <f t="shared" si="393"/>
        <v>Valid</v>
      </c>
      <c r="AI1945" t="str">
        <f t="shared" si="394"/>
        <v>Valid</v>
      </c>
      <c r="AJ1945" t="str">
        <f t="shared" si="395"/>
        <v>Valid</v>
      </c>
      <c r="AK1945" t="str">
        <f t="shared" si="402"/>
        <v xml:space="preserve">Valid </v>
      </c>
      <c r="AL1945" t="str">
        <f>IF(AND(Audit_Data[[#This Row],[Recency]]&gt;=0,Audit_Data[[#This Row],[Recency]]&lt;=100),"Valid","Invalid")</f>
        <v>Valid</v>
      </c>
      <c r="AM1945" t="str">
        <f t="shared" si="396"/>
        <v>Valid</v>
      </c>
      <c r="AN1945" t="str">
        <f t="shared" si="397"/>
        <v>Valid</v>
      </c>
      <c r="AO1945" t="str">
        <f t="shared" si="398"/>
        <v>Valid</v>
      </c>
      <c r="AP1945" t="str">
        <f t="shared" si="399"/>
        <v>Valid</v>
      </c>
      <c r="AQ1945" t="str">
        <f>IF(Audit_Data[[#This Row],[Z_CostContact]]=3,"Valid","Invalid")</f>
        <v>Valid</v>
      </c>
      <c r="AR1945" t="str">
        <f t="shared" si="400"/>
        <v>Valid</v>
      </c>
      <c r="AS1945" t="str">
        <f t="shared" si="401"/>
        <v>Valid</v>
      </c>
    </row>
    <row r="1946" spans="1:45" x14ac:dyDescent="0.3">
      <c r="A1946">
        <v>5015</v>
      </c>
      <c r="B1946">
        <v>1976</v>
      </c>
      <c r="C1946" t="s">
        <v>34</v>
      </c>
      <c r="D1946" t="s">
        <v>33</v>
      </c>
      <c r="E1946">
        <v>34529</v>
      </c>
      <c r="F1946">
        <v>1</v>
      </c>
      <c r="G1946">
        <v>0</v>
      </c>
      <c r="H1946" s="1">
        <v>41166</v>
      </c>
      <c r="I1946">
        <v>94</v>
      </c>
      <c r="J1946">
        <v>68</v>
      </c>
      <c r="K1946">
        <v>6</v>
      </c>
      <c r="L1946">
        <v>38</v>
      </c>
      <c r="M1946">
        <v>3</v>
      </c>
      <c r="N1946">
        <v>6</v>
      </c>
      <c r="O1946">
        <v>41</v>
      </c>
      <c r="P1946">
        <v>2</v>
      </c>
      <c r="Q1946">
        <v>2</v>
      </c>
      <c r="R1946">
        <v>2</v>
      </c>
      <c r="S1946">
        <v>3</v>
      </c>
      <c r="T1946">
        <v>7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3</v>
      </c>
      <c r="AB1946">
        <v>11</v>
      </c>
      <c r="AC1946">
        <v>0</v>
      </c>
      <c r="AD1946" t="str">
        <f t="shared" si="390"/>
        <v>Ok</v>
      </c>
      <c r="AE1946" t="str">
        <f>IF(AND(Audit_Data[[#This Row],[Year_Birth]]&gt;=1900,Audit_Data[[#This Row],[Year_Birth]]&lt;=2010),"OK","Invalid")</f>
        <v>OK</v>
      </c>
      <c r="AF1946" t="str">
        <f t="shared" si="391"/>
        <v>Valid</v>
      </c>
      <c r="AG1946" t="str">
        <f t="shared" si="392"/>
        <v>Valid</v>
      </c>
      <c r="AH1946" t="str">
        <f t="shared" si="393"/>
        <v>Valid</v>
      </c>
      <c r="AI1946" t="str">
        <f t="shared" si="394"/>
        <v>Valid</v>
      </c>
      <c r="AJ1946" t="str">
        <f t="shared" si="395"/>
        <v>Valid</v>
      </c>
      <c r="AK1946" t="str">
        <f t="shared" si="402"/>
        <v xml:space="preserve">Valid </v>
      </c>
      <c r="AL1946" t="str">
        <f>IF(AND(Audit_Data[[#This Row],[Recency]]&gt;=0,Audit_Data[[#This Row],[Recency]]&lt;=100),"Valid","Invalid")</f>
        <v>Valid</v>
      </c>
      <c r="AM1946" t="str">
        <f t="shared" si="396"/>
        <v>Valid</v>
      </c>
      <c r="AN1946" t="str">
        <f t="shared" si="397"/>
        <v>Valid</v>
      </c>
      <c r="AO1946" t="str">
        <f t="shared" si="398"/>
        <v>Valid</v>
      </c>
      <c r="AP1946" t="str">
        <f t="shared" si="399"/>
        <v>Valid</v>
      </c>
      <c r="AQ1946" t="str">
        <f>IF(Audit_Data[[#This Row],[Z_CostContact]]=3,"Valid","Invalid")</f>
        <v>Valid</v>
      </c>
      <c r="AR1946" t="str">
        <f t="shared" si="400"/>
        <v>Valid</v>
      </c>
      <c r="AS1946" t="str">
        <f t="shared" si="401"/>
        <v>Valid</v>
      </c>
    </row>
    <row r="1947" spans="1:45" x14ac:dyDescent="0.3">
      <c r="A1947">
        <v>10868</v>
      </c>
      <c r="B1947">
        <v>1951</v>
      </c>
      <c r="C1947" t="s">
        <v>29</v>
      </c>
      <c r="D1947" t="s">
        <v>38</v>
      </c>
      <c r="E1947">
        <v>70792</v>
      </c>
      <c r="F1947">
        <v>0</v>
      </c>
      <c r="G1947">
        <v>0</v>
      </c>
      <c r="H1947" s="1">
        <v>41311</v>
      </c>
      <c r="I1947">
        <v>82</v>
      </c>
      <c r="J1947">
        <v>344</v>
      </c>
      <c r="K1947">
        <v>45</v>
      </c>
      <c r="L1947">
        <v>654</v>
      </c>
      <c r="M1947">
        <v>104</v>
      </c>
      <c r="N1947">
        <v>11</v>
      </c>
      <c r="O1947">
        <v>114</v>
      </c>
      <c r="P1947">
        <v>2</v>
      </c>
      <c r="Q1947">
        <v>3</v>
      </c>
      <c r="R1947">
        <v>4</v>
      </c>
      <c r="S1947">
        <v>10</v>
      </c>
      <c r="T1947">
        <v>3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3</v>
      </c>
      <c r="AB1947">
        <v>11</v>
      </c>
      <c r="AC1947">
        <v>0</v>
      </c>
      <c r="AD1947" t="str">
        <f t="shared" si="390"/>
        <v>Ok</v>
      </c>
      <c r="AE1947" t="str">
        <f>IF(AND(Audit_Data[[#This Row],[Year_Birth]]&gt;=1900,Audit_Data[[#This Row],[Year_Birth]]&lt;=2010),"OK","Invalid")</f>
        <v>OK</v>
      </c>
      <c r="AF1947" t="str">
        <f t="shared" si="391"/>
        <v>Valid</v>
      </c>
      <c r="AG1947" t="str">
        <f t="shared" si="392"/>
        <v>Valid</v>
      </c>
      <c r="AH1947" t="str">
        <f t="shared" si="393"/>
        <v>Valid</v>
      </c>
      <c r="AI1947" t="str">
        <f t="shared" si="394"/>
        <v>Valid</v>
      </c>
      <c r="AJ1947" t="str">
        <f t="shared" si="395"/>
        <v>Valid</v>
      </c>
      <c r="AK1947" t="str">
        <f t="shared" si="402"/>
        <v xml:space="preserve">Valid </v>
      </c>
      <c r="AL1947" t="str">
        <f>IF(AND(Audit_Data[[#This Row],[Recency]]&gt;=0,Audit_Data[[#This Row],[Recency]]&lt;=100),"Valid","Invalid")</f>
        <v>Valid</v>
      </c>
      <c r="AM1947" t="str">
        <f t="shared" si="396"/>
        <v>Valid</v>
      </c>
      <c r="AN1947" t="str">
        <f t="shared" si="397"/>
        <v>Valid</v>
      </c>
      <c r="AO1947" t="str">
        <f t="shared" si="398"/>
        <v>Valid</v>
      </c>
      <c r="AP1947" t="str">
        <f t="shared" si="399"/>
        <v>Valid</v>
      </c>
      <c r="AQ1947" t="str">
        <f>IF(Audit_Data[[#This Row],[Z_CostContact]]=3,"Valid","Invalid")</f>
        <v>Valid</v>
      </c>
      <c r="AR1947" t="str">
        <f t="shared" si="400"/>
        <v>Valid</v>
      </c>
      <c r="AS1947" t="str">
        <f t="shared" si="401"/>
        <v>Valid</v>
      </c>
    </row>
    <row r="1948" spans="1:45" x14ac:dyDescent="0.3">
      <c r="A1948">
        <v>10676</v>
      </c>
      <c r="B1948">
        <v>1982</v>
      </c>
      <c r="C1948" t="s">
        <v>29</v>
      </c>
      <c r="D1948" t="s">
        <v>33</v>
      </c>
      <c r="E1948">
        <v>63211</v>
      </c>
      <c r="F1948">
        <v>0</v>
      </c>
      <c r="G1948">
        <v>0</v>
      </c>
      <c r="H1948" s="1">
        <v>41215</v>
      </c>
      <c r="I1948">
        <v>3</v>
      </c>
      <c r="J1948">
        <v>145</v>
      </c>
      <c r="K1948">
        <v>193</v>
      </c>
      <c r="L1948">
        <v>459</v>
      </c>
      <c r="M1948">
        <v>205</v>
      </c>
      <c r="N1948">
        <v>26</v>
      </c>
      <c r="O1948">
        <v>145</v>
      </c>
      <c r="P1948">
        <v>2</v>
      </c>
      <c r="Q1948">
        <v>3</v>
      </c>
      <c r="R1948">
        <v>8</v>
      </c>
      <c r="S1948">
        <v>7</v>
      </c>
      <c r="T1948">
        <v>2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3</v>
      </c>
      <c r="AB1948">
        <v>11</v>
      </c>
      <c r="AC1948">
        <v>1</v>
      </c>
      <c r="AD1948" t="str">
        <f t="shared" si="390"/>
        <v>Ok</v>
      </c>
      <c r="AE1948" t="str">
        <f>IF(AND(Audit_Data[[#This Row],[Year_Birth]]&gt;=1900,Audit_Data[[#This Row],[Year_Birth]]&lt;=2010),"OK","Invalid")</f>
        <v>OK</v>
      </c>
      <c r="AF1948" t="str">
        <f t="shared" si="391"/>
        <v>Valid</v>
      </c>
      <c r="AG1948" t="str">
        <f t="shared" si="392"/>
        <v>Valid</v>
      </c>
      <c r="AH1948" t="str">
        <f t="shared" si="393"/>
        <v>Valid</v>
      </c>
      <c r="AI1948" t="str">
        <f t="shared" si="394"/>
        <v>Valid</v>
      </c>
      <c r="AJ1948" t="str">
        <f t="shared" si="395"/>
        <v>Valid</v>
      </c>
      <c r="AK1948" t="str">
        <f t="shared" si="402"/>
        <v xml:space="preserve">Valid </v>
      </c>
      <c r="AL1948" t="str">
        <f>IF(AND(Audit_Data[[#This Row],[Recency]]&gt;=0,Audit_Data[[#This Row],[Recency]]&lt;=100),"Valid","Invalid")</f>
        <v>Valid</v>
      </c>
      <c r="AM1948" t="str">
        <f t="shared" si="396"/>
        <v>Valid</v>
      </c>
      <c r="AN1948" t="str">
        <f t="shared" si="397"/>
        <v>Valid</v>
      </c>
      <c r="AO1948" t="str">
        <f t="shared" si="398"/>
        <v>Valid</v>
      </c>
      <c r="AP1948" t="str">
        <f t="shared" si="399"/>
        <v>Valid</v>
      </c>
      <c r="AQ1948" t="str">
        <f>IF(Audit_Data[[#This Row],[Z_CostContact]]=3,"Valid","Invalid")</f>
        <v>Valid</v>
      </c>
      <c r="AR1948" t="str">
        <f t="shared" si="400"/>
        <v>Valid</v>
      </c>
      <c r="AS1948" t="str">
        <f t="shared" si="401"/>
        <v>Valid</v>
      </c>
    </row>
    <row r="1949" spans="1:45" x14ac:dyDescent="0.3">
      <c r="A1949">
        <v>2495</v>
      </c>
      <c r="B1949">
        <v>1974</v>
      </c>
      <c r="C1949" t="s">
        <v>34</v>
      </c>
      <c r="D1949" t="s">
        <v>33</v>
      </c>
      <c r="E1949">
        <v>83891</v>
      </c>
      <c r="F1949">
        <v>0</v>
      </c>
      <c r="G1949">
        <v>1</v>
      </c>
      <c r="H1949" s="1">
        <v>41810</v>
      </c>
      <c r="I1949">
        <v>24</v>
      </c>
      <c r="J1949">
        <v>217</v>
      </c>
      <c r="K1949">
        <v>38</v>
      </c>
      <c r="L1949">
        <v>350</v>
      </c>
      <c r="M1949">
        <v>111</v>
      </c>
      <c r="N1949">
        <v>85</v>
      </c>
      <c r="O1949">
        <v>15</v>
      </c>
      <c r="P1949">
        <v>1</v>
      </c>
      <c r="Q1949">
        <v>4</v>
      </c>
      <c r="R1949">
        <v>7</v>
      </c>
      <c r="S1949">
        <v>10</v>
      </c>
      <c r="T1949">
        <v>1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3</v>
      </c>
      <c r="AB1949">
        <v>11</v>
      </c>
      <c r="AC1949">
        <v>0</v>
      </c>
      <c r="AD1949" t="str">
        <f t="shared" si="390"/>
        <v>Ok</v>
      </c>
      <c r="AE1949" t="str">
        <f>IF(AND(Audit_Data[[#This Row],[Year_Birth]]&gt;=1900,Audit_Data[[#This Row],[Year_Birth]]&lt;=2010),"OK","Invalid")</f>
        <v>OK</v>
      </c>
      <c r="AF1949" t="str">
        <f t="shared" si="391"/>
        <v>Valid</v>
      </c>
      <c r="AG1949" t="str">
        <f t="shared" si="392"/>
        <v>Valid</v>
      </c>
      <c r="AH1949" t="str">
        <f t="shared" si="393"/>
        <v>Valid</v>
      </c>
      <c r="AI1949" t="str">
        <f t="shared" si="394"/>
        <v>Valid</v>
      </c>
      <c r="AJ1949" t="str">
        <f t="shared" si="395"/>
        <v>Valid</v>
      </c>
      <c r="AK1949" t="str">
        <f t="shared" si="402"/>
        <v xml:space="preserve">Valid </v>
      </c>
      <c r="AL1949" t="str">
        <f>IF(AND(Audit_Data[[#This Row],[Recency]]&gt;=0,Audit_Data[[#This Row],[Recency]]&lt;=100),"Valid","Invalid")</f>
        <v>Valid</v>
      </c>
      <c r="AM1949" t="str">
        <f t="shared" si="396"/>
        <v>Valid</v>
      </c>
      <c r="AN1949" t="str">
        <f t="shared" si="397"/>
        <v>Valid</v>
      </c>
      <c r="AO1949" t="str">
        <f t="shared" si="398"/>
        <v>Valid</v>
      </c>
      <c r="AP1949" t="str">
        <f t="shared" si="399"/>
        <v>Valid</v>
      </c>
      <c r="AQ1949" t="str">
        <f>IF(Audit_Data[[#This Row],[Z_CostContact]]=3,"Valid","Invalid")</f>
        <v>Valid</v>
      </c>
      <c r="AR1949" t="str">
        <f t="shared" si="400"/>
        <v>Valid</v>
      </c>
      <c r="AS1949" t="str">
        <f t="shared" si="401"/>
        <v>Valid</v>
      </c>
    </row>
    <row r="1950" spans="1:45" x14ac:dyDescent="0.3">
      <c r="A1950">
        <v>7842</v>
      </c>
      <c r="B1950">
        <v>1968</v>
      </c>
      <c r="C1950" t="s">
        <v>29</v>
      </c>
      <c r="D1950" t="s">
        <v>30</v>
      </c>
      <c r="E1950">
        <v>36065</v>
      </c>
      <c r="F1950">
        <v>1</v>
      </c>
      <c r="G1950">
        <v>1</v>
      </c>
      <c r="H1950" s="1">
        <v>41364</v>
      </c>
      <c r="I1950">
        <v>54</v>
      </c>
      <c r="J1950">
        <v>18</v>
      </c>
      <c r="K1950">
        <v>7</v>
      </c>
      <c r="L1950">
        <v>34</v>
      </c>
      <c r="M1950">
        <v>10</v>
      </c>
      <c r="N1950">
        <v>2</v>
      </c>
      <c r="O1950">
        <v>3</v>
      </c>
      <c r="P1950">
        <v>3</v>
      </c>
      <c r="Q1950">
        <v>3</v>
      </c>
      <c r="R1950">
        <v>0</v>
      </c>
      <c r="S1950">
        <v>3</v>
      </c>
      <c r="T1950">
        <v>8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3</v>
      </c>
      <c r="AB1950">
        <v>11</v>
      </c>
      <c r="AC1950">
        <v>0</v>
      </c>
      <c r="AD1950" t="str">
        <f t="shared" si="390"/>
        <v>Ok</v>
      </c>
      <c r="AE1950" t="str">
        <f>IF(AND(Audit_Data[[#This Row],[Year_Birth]]&gt;=1900,Audit_Data[[#This Row],[Year_Birth]]&lt;=2010),"OK","Invalid")</f>
        <v>OK</v>
      </c>
      <c r="AF1950" t="str">
        <f t="shared" si="391"/>
        <v>Valid</v>
      </c>
      <c r="AG1950" t="str">
        <f t="shared" si="392"/>
        <v>Valid</v>
      </c>
      <c r="AH1950" t="str">
        <f t="shared" si="393"/>
        <v>Valid</v>
      </c>
      <c r="AI1950" t="str">
        <f t="shared" si="394"/>
        <v>Valid</v>
      </c>
      <c r="AJ1950" t="str">
        <f t="shared" si="395"/>
        <v>Valid</v>
      </c>
      <c r="AK1950" t="str">
        <f t="shared" si="402"/>
        <v xml:space="preserve">Valid </v>
      </c>
      <c r="AL1950" t="str">
        <f>IF(AND(Audit_Data[[#This Row],[Recency]]&gt;=0,Audit_Data[[#This Row],[Recency]]&lt;=100),"Valid","Invalid")</f>
        <v>Valid</v>
      </c>
      <c r="AM1950" t="str">
        <f t="shared" si="396"/>
        <v>Valid</v>
      </c>
      <c r="AN1950" t="str">
        <f t="shared" si="397"/>
        <v>Valid</v>
      </c>
      <c r="AO1950" t="str">
        <f t="shared" si="398"/>
        <v>Valid</v>
      </c>
      <c r="AP1950" t="str">
        <f t="shared" si="399"/>
        <v>Valid</v>
      </c>
      <c r="AQ1950" t="str">
        <f>IF(Audit_Data[[#This Row],[Z_CostContact]]=3,"Valid","Invalid")</f>
        <v>Valid</v>
      </c>
      <c r="AR1950" t="str">
        <f t="shared" si="400"/>
        <v>Valid</v>
      </c>
      <c r="AS1950" t="str">
        <f t="shared" si="401"/>
        <v>Valid</v>
      </c>
    </row>
    <row r="1951" spans="1:45" x14ac:dyDescent="0.3">
      <c r="A1951">
        <v>9955</v>
      </c>
      <c r="B1951">
        <v>1954</v>
      </c>
      <c r="C1951" t="s">
        <v>29</v>
      </c>
      <c r="D1951" t="s">
        <v>31</v>
      </c>
      <c r="E1951">
        <v>39898</v>
      </c>
      <c r="F1951">
        <v>0</v>
      </c>
      <c r="G1951">
        <v>1</v>
      </c>
      <c r="H1951" s="1">
        <v>41317</v>
      </c>
      <c r="I1951">
        <v>20</v>
      </c>
      <c r="J1951">
        <v>69</v>
      </c>
      <c r="K1951">
        <v>8</v>
      </c>
      <c r="L1951">
        <v>26</v>
      </c>
      <c r="M1951">
        <v>12</v>
      </c>
      <c r="N1951">
        <v>7</v>
      </c>
      <c r="O1951">
        <v>12</v>
      </c>
      <c r="P1951">
        <v>2</v>
      </c>
      <c r="Q1951">
        <v>3</v>
      </c>
      <c r="R1951">
        <v>0</v>
      </c>
      <c r="S1951">
        <v>4</v>
      </c>
      <c r="T1951">
        <v>7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3</v>
      </c>
      <c r="AB1951">
        <v>11</v>
      </c>
      <c r="AC1951">
        <v>0</v>
      </c>
      <c r="AD1951" t="str">
        <f t="shared" si="390"/>
        <v>Ok</v>
      </c>
      <c r="AE1951" t="str">
        <f>IF(AND(Audit_Data[[#This Row],[Year_Birth]]&gt;=1900,Audit_Data[[#This Row],[Year_Birth]]&lt;=2010),"OK","Invalid")</f>
        <v>OK</v>
      </c>
      <c r="AF1951" t="str">
        <f t="shared" si="391"/>
        <v>Valid</v>
      </c>
      <c r="AG1951" t="str">
        <f t="shared" si="392"/>
        <v>Valid</v>
      </c>
      <c r="AH1951" t="str">
        <f t="shared" si="393"/>
        <v>Valid</v>
      </c>
      <c r="AI1951" t="str">
        <f t="shared" si="394"/>
        <v>Valid</v>
      </c>
      <c r="AJ1951" t="str">
        <f t="shared" si="395"/>
        <v>Valid</v>
      </c>
      <c r="AK1951" t="str">
        <f t="shared" si="402"/>
        <v xml:space="preserve">Valid </v>
      </c>
      <c r="AL1951" t="str">
        <f>IF(AND(Audit_Data[[#This Row],[Recency]]&gt;=0,Audit_Data[[#This Row],[Recency]]&lt;=100),"Valid","Invalid")</f>
        <v>Valid</v>
      </c>
      <c r="AM1951" t="str">
        <f t="shared" si="396"/>
        <v>Valid</v>
      </c>
      <c r="AN1951" t="str">
        <f t="shared" si="397"/>
        <v>Valid</v>
      </c>
      <c r="AO1951" t="str">
        <f t="shared" si="398"/>
        <v>Valid</v>
      </c>
      <c r="AP1951" t="str">
        <f t="shared" si="399"/>
        <v>Valid</v>
      </c>
      <c r="AQ1951" t="str">
        <f>IF(Audit_Data[[#This Row],[Z_CostContact]]=3,"Valid","Invalid")</f>
        <v>Valid</v>
      </c>
      <c r="AR1951" t="str">
        <f t="shared" si="400"/>
        <v>Valid</v>
      </c>
      <c r="AS1951" t="str">
        <f t="shared" si="401"/>
        <v>Valid</v>
      </c>
    </row>
    <row r="1952" spans="1:45" x14ac:dyDescent="0.3">
      <c r="A1952">
        <v>6663</v>
      </c>
      <c r="B1952">
        <v>1940</v>
      </c>
      <c r="C1952" t="s">
        <v>32</v>
      </c>
      <c r="D1952" t="s">
        <v>30</v>
      </c>
      <c r="E1952">
        <v>51141</v>
      </c>
      <c r="F1952">
        <v>0</v>
      </c>
      <c r="G1952">
        <v>0</v>
      </c>
      <c r="H1952" s="1">
        <v>41463</v>
      </c>
      <c r="I1952">
        <v>96</v>
      </c>
      <c r="J1952">
        <v>144</v>
      </c>
      <c r="K1952">
        <v>0</v>
      </c>
      <c r="L1952">
        <v>7</v>
      </c>
      <c r="M1952">
        <v>0</v>
      </c>
      <c r="N1952">
        <v>0</v>
      </c>
      <c r="O1952">
        <v>6</v>
      </c>
      <c r="P1952">
        <v>1</v>
      </c>
      <c r="Q1952">
        <v>3</v>
      </c>
      <c r="R1952">
        <v>1</v>
      </c>
      <c r="S1952">
        <v>4</v>
      </c>
      <c r="T1952">
        <v>5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3</v>
      </c>
      <c r="AB1952">
        <v>11</v>
      </c>
      <c r="AC1952">
        <v>0</v>
      </c>
      <c r="AD1952" t="str">
        <f t="shared" si="390"/>
        <v>Ok</v>
      </c>
      <c r="AE1952" t="str">
        <f>IF(AND(Audit_Data[[#This Row],[Year_Birth]]&gt;=1900,Audit_Data[[#This Row],[Year_Birth]]&lt;=2010),"OK","Invalid")</f>
        <v>OK</v>
      </c>
      <c r="AF1952" t="str">
        <f t="shared" si="391"/>
        <v>Valid</v>
      </c>
      <c r="AG1952" t="str">
        <f t="shared" si="392"/>
        <v>Valid</v>
      </c>
      <c r="AH1952" t="str">
        <f t="shared" si="393"/>
        <v>Valid</v>
      </c>
      <c r="AI1952" t="str">
        <f t="shared" si="394"/>
        <v>Valid</v>
      </c>
      <c r="AJ1952" t="str">
        <f t="shared" si="395"/>
        <v>Valid</v>
      </c>
      <c r="AK1952" t="str">
        <f t="shared" si="402"/>
        <v xml:space="preserve">Valid </v>
      </c>
      <c r="AL1952" t="str">
        <f>IF(AND(Audit_Data[[#This Row],[Recency]]&gt;=0,Audit_Data[[#This Row],[Recency]]&lt;=100),"Valid","Invalid")</f>
        <v>Valid</v>
      </c>
      <c r="AM1952" t="str">
        <f t="shared" si="396"/>
        <v>Valid</v>
      </c>
      <c r="AN1952" t="str">
        <f t="shared" si="397"/>
        <v>Valid</v>
      </c>
      <c r="AO1952" t="str">
        <f t="shared" si="398"/>
        <v>Valid</v>
      </c>
      <c r="AP1952" t="str">
        <f t="shared" si="399"/>
        <v>Valid</v>
      </c>
      <c r="AQ1952" t="str">
        <f>IF(Audit_Data[[#This Row],[Z_CostContact]]=3,"Valid","Invalid")</f>
        <v>Valid</v>
      </c>
      <c r="AR1952" t="str">
        <f t="shared" si="400"/>
        <v>Valid</v>
      </c>
      <c r="AS1952" t="str">
        <f t="shared" si="401"/>
        <v>Valid</v>
      </c>
    </row>
    <row r="1953" spans="1:45" x14ac:dyDescent="0.3">
      <c r="A1953">
        <v>2162</v>
      </c>
      <c r="B1953">
        <v>1976</v>
      </c>
      <c r="C1953" t="s">
        <v>29</v>
      </c>
      <c r="D1953" t="s">
        <v>33</v>
      </c>
      <c r="E1953">
        <v>56939</v>
      </c>
      <c r="F1953">
        <v>0</v>
      </c>
      <c r="G1953">
        <v>1</v>
      </c>
      <c r="H1953" s="1">
        <v>41535</v>
      </c>
      <c r="I1953">
        <v>19</v>
      </c>
      <c r="J1953">
        <v>256</v>
      </c>
      <c r="K1953">
        <v>34</v>
      </c>
      <c r="L1953">
        <v>103</v>
      </c>
      <c r="M1953">
        <v>90</v>
      </c>
      <c r="N1953">
        <v>29</v>
      </c>
      <c r="O1953">
        <v>49</v>
      </c>
      <c r="P1953">
        <v>2</v>
      </c>
      <c r="Q1953">
        <v>3</v>
      </c>
      <c r="R1953">
        <v>3</v>
      </c>
      <c r="S1953">
        <v>10</v>
      </c>
      <c r="T1953">
        <v>3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3</v>
      </c>
      <c r="AB1953">
        <v>11</v>
      </c>
      <c r="AC1953">
        <v>0</v>
      </c>
      <c r="AD1953" t="str">
        <f t="shared" si="390"/>
        <v>Ok</v>
      </c>
      <c r="AE1953" t="str">
        <f>IF(AND(Audit_Data[[#This Row],[Year_Birth]]&gt;=1900,Audit_Data[[#This Row],[Year_Birth]]&lt;=2010),"OK","Invalid")</f>
        <v>OK</v>
      </c>
      <c r="AF1953" t="str">
        <f t="shared" si="391"/>
        <v>Valid</v>
      </c>
      <c r="AG1953" t="str">
        <f t="shared" si="392"/>
        <v>Valid</v>
      </c>
      <c r="AH1953" t="str">
        <f t="shared" si="393"/>
        <v>Valid</v>
      </c>
      <c r="AI1953" t="str">
        <f t="shared" si="394"/>
        <v>Valid</v>
      </c>
      <c r="AJ1953" t="str">
        <f t="shared" si="395"/>
        <v>Valid</v>
      </c>
      <c r="AK1953" t="str">
        <f t="shared" si="402"/>
        <v xml:space="preserve">Valid </v>
      </c>
      <c r="AL1953" t="str">
        <f>IF(AND(Audit_Data[[#This Row],[Recency]]&gt;=0,Audit_Data[[#This Row],[Recency]]&lt;=100),"Valid","Invalid")</f>
        <v>Valid</v>
      </c>
      <c r="AM1953" t="str">
        <f t="shared" si="396"/>
        <v>Valid</v>
      </c>
      <c r="AN1953" t="str">
        <f t="shared" si="397"/>
        <v>Valid</v>
      </c>
      <c r="AO1953" t="str">
        <f t="shared" si="398"/>
        <v>Valid</v>
      </c>
      <c r="AP1953" t="str">
        <f t="shared" si="399"/>
        <v>Valid</v>
      </c>
      <c r="AQ1953" t="str">
        <f>IF(Audit_Data[[#This Row],[Z_CostContact]]=3,"Valid","Invalid")</f>
        <v>Valid</v>
      </c>
      <c r="AR1953" t="str">
        <f t="shared" si="400"/>
        <v>Valid</v>
      </c>
      <c r="AS1953" t="str">
        <f t="shared" si="401"/>
        <v>Valid</v>
      </c>
    </row>
    <row r="1954" spans="1:45" x14ac:dyDescent="0.3">
      <c r="A1954">
        <v>3434</v>
      </c>
      <c r="B1954">
        <v>1951</v>
      </c>
      <c r="C1954" t="s">
        <v>29</v>
      </c>
      <c r="D1954" t="s">
        <v>30</v>
      </c>
      <c r="E1954">
        <v>80872</v>
      </c>
      <c r="F1954">
        <v>0</v>
      </c>
      <c r="G1954">
        <v>0</v>
      </c>
      <c r="H1954" s="1">
        <v>41771</v>
      </c>
      <c r="I1954">
        <v>60</v>
      </c>
      <c r="J1954">
        <v>483</v>
      </c>
      <c r="K1954">
        <v>72</v>
      </c>
      <c r="L1954">
        <v>567</v>
      </c>
      <c r="M1954">
        <v>94</v>
      </c>
      <c r="N1954">
        <v>12</v>
      </c>
      <c r="O1954">
        <v>108</v>
      </c>
      <c r="P1954">
        <v>1</v>
      </c>
      <c r="Q1954">
        <v>4</v>
      </c>
      <c r="R1954">
        <v>4</v>
      </c>
      <c r="S1954">
        <v>10</v>
      </c>
      <c r="T1954">
        <v>1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3</v>
      </c>
      <c r="AB1954">
        <v>11</v>
      </c>
      <c r="AC1954">
        <v>0</v>
      </c>
      <c r="AD1954" t="str">
        <f t="shared" si="390"/>
        <v>Ok</v>
      </c>
      <c r="AE1954" t="str">
        <f>IF(AND(Audit_Data[[#This Row],[Year_Birth]]&gt;=1900,Audit_Data[[#This Row],[Year_Birth]]&lt;=2010),"OK","Invalid")</f>
        <v>OK</v>
      </c>
      <c r="AF1954" t="str">
        <f t="shared" si="391"/>
        <v>Valid</v>
      </c>
      <c r="AG1954" t="str">
        <f t="shared" si="392"/>
        <v>Valid</v>
      </c>
      <c r="AH1954" t="str">
        <f t="shared" si="393"/>
        <v>Valid</v>
      </c>
      <c r="AI1954" t="str">
        <f t="shared" si="394"/>
        <v>Valid</v>
      </c>
      <c r="AJ1954" t="str">
        <f t="shared" si="395"/>
        <v>Valid</v>
      </c>
      <c r="AK1954" t="str">
        <f t="shared" si="402"/>
        <v xml:space="preserve">Valid </v>
      </c>
      <c r="AL1954" t="str">
        <f>IF(AND(Audit_Data[[#This Row],[Recency]]&gt;=0,Audit_Data[[#This Row],[Recency]]&lt;=100),"Valid","Invalid")</f>
        <v>Valid</v>
      </c>
      <c r="AM1954" t="str">
        <f t="shared" si="396"/>
        <v>Valid</v>
      </c>
      <c r="AN1954" t="str">
        <f t="shared" si="397"/>
        <v>Valid</v>
      </c>
      <c r="AO1954" t="str">
        <f t="shared" si="398"/>
        <v>Valid</v>
      </c>
      <c r="AP1954" t="str">
        <f t="shared" si="399"/>
        <v>Valid</v>
      </c>
      <c r="AQ1954" t="str">
        <f>IF(Audit_Data[[#This Row],[Z_CostContact]]=3,"Valid","Invalid")</f>
        <v>Valid</v>
      </c>
      <c r="AR1954" t="str">
        <f t="shared" si="400"/>
        <v>Valid</v>
      </c>
      <c r="AS1954" t="str">
        <f t="shared" si="401"/>
        <v>Valid</v>
      </c>
    </row>
    <row r="1955" spans="1:45" x14ac:dyDescent="0.3">
      <c r="A1955">
        <v>7919</v>
      </c>
      <c r="B1955">
        <v>1976</v>
      </c>
      <c r="C1955" t="s">
        <v>32</v>
      </c>
      <c r="D1955" t="s">
        <v>31</v>
      </c>
      <c r="E1955">
        <v>72335</v>
      </c>
      <c r="F1955">
        <v>0</v>
      </c>
      <c r="G1955">
        <v>0</v>
      </c>
      <c r="H1955" s="1">
        <v>41134</v>
      </c>
      <c r="I1955">
        <v>2</v>
      </c>
      <c r="J1955">
        <v>1285</v>
      </c>
      <c r="K1955">
        <v>105</v>
      </c>
      <c r="L1955">
        <v>653</v>
      </c>
      <c r="M1955">
        <v>28</v>
      </c>
      <c r="N1955">
        <v>21</v>
      </c>
      <c r="O1955">
        <v>0</v>
      </c>
      <c r="P1955">
        <v>1</v>
      </c>
      <c r="Q1955">
        <v>10</v>
      </c>
      <c r="R1955">
        <v>4</v>
      </c>
      <c r="S1955">
        <v>8</v>
      </c>
      <c r="T1955">
        <v>8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3</v>
      </c>
      <c r="AB1955">
        <v>11</v>
      </c>
      <c r="AC1955">
        <v>1</v>
      </c>
      <c r="AD1955" t="str">
        <f t="shared" si="390"/>
        <v>Ok</v>
      </c>
      <c r="AE1955" t="str">
        <f>IF(AND(Audit_Data[[#This Row],[Year_Birth]]&gt;=1900,Audit_Data[[#This Row],[Year_Birth]]&lt;=2010),"OK","Invalid")</f>
        <v>OK</v>
      </c>
      <c r="AF1955" t="str">
        <f t="shared" si="391"/>
        <v>Valid</v>
      </c>
      <c r="AG1955" t="str">
        <f t="shared" si="392"/>
        <v>Valid</v>
      </c>
      <c r="AH1955" t="str">
        <f t="shared" si="393"/>
        <v>Valid</v>
      </c>
      <c r="AI1955" t="str">
        <f t="shared" si="394"/>
        <v>Valid</v>
      </c>
      <c r="AJ1955" t="str">
        <f t="shared" si="395"/>
        <v>Valid</v>
      </c>
      <c r="AK1955" t="str">
        <f t="shared" si="402"/>
        <v xml:space="preserve">Valid </v>
      </c>
      <c r="AL1955" t="str">
        <f>IF(AND(Audit_Data[[#This Row],[Recency]]&gt;=0,Audit_Data[[#This Row],[Recency]]&lt;=100),"Valid","Invalid")</f>
        <v>Valid</v>
      </c>
      <c r="AM1955" t="str">
        <f t="shared" si="396"/>
        <v>Valid</v>
      </c>
      <c r="AN1955" t="str">
        <f t="shared" si="397"/>
        <v>Valid</v>
      </c>
      <c r="AO1955" t="str">
        <f t="shared" si="398"/>
        <v>Valid</v>
      </c>
      <c r="AP1955" t="str">
        <f t="shared" si="399"/>
        <v>Valid</v>
      </c>
      <c r="AQ1955" t="str">
        <f>IF(Audit_Data[[#This Row],[Z_CostContact]]=3,"Valid","Invalid")</f>
        <v>Valid</v>
      </c>
      <c r="AR1955" t="str">
        <f t="shared" si="400"/>
        <v>Valid</v>
      </c>
      <c r="AS1955" t="str">
        <f t="shared" si="401"/>
        <v>Valid</v>
      </c>
    </row>
    <row r="1956" spans="1:45" x14ac:dyDescent="0.3">
      <c r="A1956">
        <v>5626</v>
      </c>
      <c r="B1956">
        <v>1964</v>
      </c>
      <c r="C1956" t="s">
        <v>32</v>
      </c>
      <c r="D1956" t="s">
        <v>30</v>
      </c>
      <c r="E1956">
        <v>61798</v>
      </c>
      <c r="F1956">
        <v>0</v>
      </c>
      <c r="G1956">
        <v>0</v>
      </c>
      <c r="H1956" s="1">
        <v>41601</v>
      </c>
      <c r="I1956">
        <v>13</v>
      </c>
      <c r="J1956">
        <v>338</v>
      </c>
      <c r="K1956">
        <v>4</v>
      </c>
      <c r="L1956">
        <v>89</v>
      </c>
      <c r="M1956">
        <v>11</v>
      </c>
      <c r="N1956">
        <v>8</v>
      </c>
      <c r="O1956">
        <v>13</v>
      </c>
      <c r="P1956">
        <v>1</v>
      </c>
      <c r="Q1956">
        <v>4</v>
      </c>
      <c r="R1956">
        <v>2</v>
      </c>
      <c r="S1956">
        <v>9</v>
      </c>
      <c r="T1956">
        <v>4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3</v>
      </c>
      <c r="AB1956">
        <v>11</v>
      </c>
      <c r="AC1956">
        <v>0</v>
      </c>
      <c r="AD1956" t="str">
        <f t="shared" si="390"/>
        <v>Ok</v>
      </c>
      <c r="AE1956" t="str">
        <f>IF(AND(Audit_Data[[#This Row],[Year_Birth]]&gt;=1900,Audit_Data[[#This Row],[Year_Birth]]&lt;=2010),"OK","Invalid")</f>
        <v>OK</v>
      </c>
      <c r="AF1956" t="str">
        <f t="shared" si="391"/>
        <v>Valid</v>
      </c>
      <c r="AG1956" t="str">
        <f t="shared" si="392"/>
        <v>Valid</v>
      </c>
      <c r="AH1956" t="str">
        <f t="shared" si="393"/>
        <v>Valid</v>
      </c>
      <c r="AI1956" t="str">
        <f t="shared" si="394"/>
        <v>Valid</v>
      </c>
      <c r="AJ1956" t="str">
        <f t="shared" si="395"/>
        <v>Valid</v>
      </c>
      <c r="AK1956" t="str">
        <f t="shared" si="402"/>
        <v xml:space="preserve">Valid </v>
      </c>
      <c r="AL1956" t="str">
        <f>IF(AND(Audit_Data[[#This Row],[Recency]]&gt;=0,Audit_Data[[#This Row],[Recency]]&lt;=100),"Valid","Invalid")</f>
        <v>Valid</v>
      </c>
      <c r="AM1956" t="str">
        <f t="shared" si="396"/>
        <v>Valid</v>
      </c>
      <c r="AN1956" t="str">
        <f t="shared" si="397"/>
        <v>Valid</v>
      </c>
      <c r="AO1956" t="str">
        <f t="shared" si="398"/>
        <v>Valid</v>
      </c>
      <c r="AP1956" t="str">
        <f t="shared" si="399"/>
        <v>Valid</v>
      </c>
      <c r="AQ1956" t="str">
        <f>IF(Audit_Data[[#This Row],[Z_CostContact]]=3,"Valid","Invalid")</f>
        <v>Valid</v>
      </c>
      <c r="AR1956" t="str">
        <f t="shared" si="400"/>
        <v>Valid</v>
      </c>
      <c r="AS1956" t="str">
        <f t="shared" si="401"/>
        <v>Valid</v>
      </c>
    </row>
    <row r="1957" spans="1:45" x14ac:dyDescent="0.3">
      <c r="A1957">
        <v>6428</v>
      </c>
      <c r="B1957">
        <v>1950</v>
      </c>
      <c r="C1957" t="s">
        <v>32</v>
      </c>
      <c r="D1957" t="s">
        <v>38</v>
      </c>
      <c r="E1957">
        <v>76842</v>
      </c>
      <c r="F1957">
        <v>0</v>
      </c>
      <c r="G1957">
        <v>0</v>
      </c>
      <c r="H1957" s="1">
        <v>41762</v>
      </c>
      <c r="I1957">
        <v>37</v>
      </c>
      <c r="J1957">
        <v>605</v>
      </c>
      <c r="K1957">
        <v>10</v>
      </c>
      <c r="L1957">
        <v>345</v>
      </c>
      <c r="M1957">
        <v>84</v>
      </c>
      <c r="N1957">
        <v>54</v>
      </c>
      <c r="O1957">
        <v>32</v>
      </c>
      <c r="P1957">
        <v>1</v>
      </c>
      <c r="Q1957">
        <v>1</v>
      </c>
      <c r="R1957">
        <v>8</v>
      </c>
      <c r="S1957">
        <v>7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3</v>
      </c>
      <c r="AB1957">
        <v>11</v>
      </c>
      <c r="AC1957">
        <v>0</v>
      </c>
      <c r="AD1957" t="str">
        <f t="shared" si="390"/>
        <v>Ok</v>
      </c>
      <c r="AE1957" t="str">
        <f>IF(AND(Audit_Data[[#This Row],[Year_Birth]]&gt;=1900,Audit_Data[[#This Row],[Year_Birth]]&lt;=2010),"OK","Invalid")</f>
        <v>OK</v>
      </c>
      <c r="AF1957" t="str">
        <f t="shared" si="391"/>
        <v>Valid</v>
      </c>
      <c r="AG1957" t="str">
        <f t="shared" si="392"/>
        <v>Valid</v>
      </c>
      <c r="AH1957" t="str">
        <f t="shared" si="393"/>
        <v>Valid</v>
      </c>
      <c r="AI1957" t="str">
        <f t="shared" si="394"/>
        <v>Valid</v>
      </c>
      <c r="AJ1957" t="str">
        <f t="shared" si="395"/>
        <v>Valid</v>
      </c>
      <c r="AK1957" t="str">
        <f t="shared" si="402"/>
        <v xml:space="preserve">Valid </v>
      </c>
      <c r="AL1957" t="str">
        <f>IF(AND(Audit_Data[[#This Row],[Recency]]&gt;=0,Audit_Data[[#This Row],[Recency]]&lt;=100),"Valid","Invalid")</f>
        <v>Valid</v>
      </c>
      <c r="AM1957" t="str">
        <f t="shared" si="396"/>
        <v>Valid</v>
      </c>
      <c r="AN1957" t="str">
        <f t="shared" si="397"/>
        <v>Valid</v>
      </c>
      <c r="AO1957" t="str">
        <f t="shared" si="398"/>
        <v>Valid</v>
      </c>
      <c r="AP1957" t="str">
        <f t="shared" si="399"/>
        <v>Valid</v>
      </c>
      <c r="AQ1957" t="str">
        <f>IF(Audit_Data[[#This Row],[Z_CostContact]]=3,"Valid","Invalid")</f>
        <v>Valid</v>
      </c>
      <c r="AR1957" t="str">
        <f t="shared" si="400"/>
        <v>Valid</v>
      </c>
      <c r="AS1957" t="str">
        <f t="shared" si="401"/>
        <v>Valid</v>
      </c>
    </row>
    <row r="1958" spans="1:45" x14ac:dyDescent="0.3">
      <c r="A1958">
        <v>8514</v>
      </c>
      <c r="B1958">
        <v>1976</v>
      </c>
      <c r="C1958" t="s">
        <v>29</v>
      </c>
      <c r="D1958" t="s">
        <v>31</v>
      </c>
      <c r="E1958">
        <v>29478</v>
      </c>
      <c r="F1958">
        <v>1</v>
      </c>
      <c r="G1958">
        <v>0</v>
      </c>
      <c r="H1958" s="1">
        <v>41656</v>
      </c>
      <c r="I1958">
        <v>59</v>
      </c>
      <c r="J1958">
        <v>8</v>
      </c>
      <c r="K1958">
        <v>0</v>
      </c>
      <c r="L1958">
        <v>7</v>
      </c>
      <c r="M1958">
        <v>3</v>
      </c>
      <c r="N1958">
        <v>1</v>
      </c>
      <c r="O1958">
        <v>1</v>
      </c>
      <c r="P1958">
        <v>1</v>
      </c>
      <c r="Q1958">
        <v>1</v>
      </c>
      <c r="R1958">
        <v>0</v>
      </c>
      <c r="S1958">
        <v>3</v>
      </c>
      <c r="T1958">
        <v>6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3</v>
      </c>
      <c r="AB1958">
        <v>11</v>
      </c>
      <c r="AC1958">
        <v>0</v>
      </c>
      <c r="AD1958" t="str">
        <f t="shared" si="390"/>
        <v>Ok</v>
      </c>
      <c r="AE1958" t="str">
        <f>IF(AND(Audit_Data[[#This Row],[Year_Birth]]&gt;=1900,Audit_Data[[#This Row],[Year_Birth]]&lt;=2010),"OK","Invalid")</f>
        <v>OK</v>
      </c>
      <c r="AF1958" t="str">
        <f t="shared" si="391"/>
        <v>Valid</v>
      </c>
      <c r="AG1958" t="str">
        <f t="shared" si="392"/>
        <v>Valid</v>
      </c>
      <c r="AH1958" t="str">
        <f t="shared" si="393"/>
        <v>Valid</v>
      </c>
      <c r="AI1958" t="str">
        <f t="shared" si="394"/>
        <v>Valid</v>
      </c>
      <c r="AJ1958" t="str">
        <f t="shared" si="395"/>
        <v>Valid</v>
      </c>
      <c r="AK1958" t="str">
        <f t="shared" si="402"/>
        <v xml:space="preserve">Valid </v>
      </c>
      <c r="AL1958" t="str">
        <f>IF(AND(Audit_Data[[#This Row],[Recency]]&gt;=0,Audit_Data[[#This Row],[Recency]]&lt;=100),"Valid","Invalid")</f>
        <v>Valid</v>
      </c>
      <c r="AM1958" t="str">
        <f t="shared" si="396"/>
        <v>Valid</v>
      </c>
      <c r="AN1958" t="str">
        <f t="shared" si="397"/>
        <v>Valid</v>
      </c>
      <c r="AO1958" t="str">
        <f t="shared" si="398"/>
        <v>Valid</v>
      </c>
      <c r="AP1958" t="str">
        <f t="shared" si="399"/>
        <v>Valid</v>
      </c>
      <c r="AQ1958" t="str">
        <f>IF(Audit_Data[[#This Row],[Z_CostContact]]=3,"Valid","Invalid")</f>
        <v>Valid</v>
      </c>
      <c r="AR1958" t="str">
        <f t="shared" si="400"/>
        <v>Valid</v>
      </c>
      <c r="AS1958" t="str">
        <f t="shared" si="401"/>
        <v>Valid</v>
      </c>
    </row>
    <row r="1959" spans="1:45" x14ac:dyDescent="0.3">
      <c r="A1959">
        <v>10448</v>
      </c>
      <c r="B1959">
        <v>1956</v>
      </c>
      <c r="C1959" t="s">
        <v>29</v>
      </c>
      <c r="D1959" t="s">
        <v>30</v>
      </c>
      <c r="E1959">
        <v>46998</v>
      </c>
      <c r="F1959">
        <v>0</v>
      </c>
      <c r="G1959">
        <v>1</v>
      </c>
      <c r="H1959" s="1">
        <v>41204</v>
      </c>
      <c r="I1959">
        <v>55</v>
      </c>
      <c r="J1959">
        <v>172</v>
      </c>
      <c r="K1959">
        <v>41</v>
      </c>
      <c r="L1959">
        <v>86</v>
      </c>
      <c r="M1959">
        <v>45</v>
      </c>
      <c r="N1959">
        <v>6</v>
      </c>
      <c r="O1959">
        <v>27</v>
      </c>
      <c r="P1959">
        <v>5</v>
      </c>
      <c r="Q1959">
        <v>5</v>
      </c>
      <c r="R1959">
        <v>3</v>
      </c>
      <c r="S1959">
        <v>5</v>
      </c>
      <c r="T1959">
        <v>7</v>
      </c>
      <c r="U1959">
        <v>1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3</v>
      </c>
      <c r="AB1959">
        <v>11</v>
      </c>
      <c r="AC1959">
        <v>0</v>
      </c>
      <c r="AD1959" t="str">
        <f t="shared" si="390"/>
        <v>Ok</v>
      </c>
      <c r="AE1959" t="str">
        <f>IF(AND(Audit_Data[[#This Row],[Year_Birth]]&gt;=1900,Audit_Data[[#This Row],[Year_Birth]]&lt;=2010),"OK","Invalid")</f>
        <v>OK</v>
      </c>
      <c r="AF1959" t="str">
        <f t="shared" si="391"/>
        <v>Valid</v>
      </c>
      <c r="AG1959" t="str">
        <f t="shared" si="392"/>
        <v>Valid</v>
      </c>
      <c r="AH1959" t="str">
        <f t="shared" si="393"/>
        <v>Valid</v>
      </c>
      <c r="AI1959" t="str">
        <f t="shared" si="394"/>
        <v>Valid</v>
      </c>
      <c r="AJ1959" t="str">
        <f t="shared" si="395"/>
        <v>Valid</v>
      </c>
      <c r="AK1959" t="str">
        <f t="shared" si="402"/>
        <v xml:space="preserve">Valid </v>
      </c>
      <c r="AL1959" t="str">
        <f>IF(AND(Audit_Data[[#This Row],[Recency]]&gt;=0,Audit_Data[[#This Row],[Recency]]&lt;=100),"Valid","Invalid")</f>
        <v>Valid</v>
      </c>
      <c r="AM1959" t="str">
        <f t="shared" si="396"/>
        <v>Valid</v>
      </c>
      <c r="AN1959" t="str">
        <f t="shared" si="397"/>
        <v>Valid</v>
      </c>
      <c r="AO1959" t="str">
        <f t="shared" si="398"/>
        <v>Valid</v>
      </c>
      <c r="AP1959" t="str">
        <f t="shared" si="399"/>
        <v>Valid</v>
      </c>
      <c r="AQ1959" t="str">
        <f>IF(Audit_Data[[#This Row],[Z_CostContact]]=3,"Valid","Invalid")</f>
        <v>Valid</v>
      </c>
      <c r="AR1959" t="str">
        <f t="shared" si="400"/>
        <v>Valid</v>
      </c>
      <c r="AS1959" t="str">
        <f t="shared" si="401"/>
        <v>Valid</v>
      </c>
    </row>
    <row r="1960" spans="1:45" x14ac:dyDescent="0.3">
      <c r="A1960">
        <v>2109</v>
      </c>
      <c r="B1960">
        <v>1990</v>
      </c>
      <c r="C1960" t="s">
        <v>29</v>
      </c>
      <c r="D1960" t="s">
        <v>30</v>
      </c>
      <c r="E1960">
        <v>96843</v>
      </c>
      <c r="F1960">
        <v>0</v>
      </c>
      <c r="G1960">
        <v>0</v>
      </c>
      <c r="H1960" s="1">
        <v>41387</v>
      </c>
      <c r="I1960">
        <v>60</v>
      </c>
      <c r="J1960">
        <v>448</v>
      </c>
      <c r="K1960">
        <v>71</v>
      </c>
      <c r="L1960">
        <v>951</v>
      </c>
      <c r="M1960">
        <v>40</v>
      </c>
      <c r="N1960">
        <v>17</v>
      </c>
      <c r="O1960">
        <v>17</v>
      </c>
      <c r="P1960">
        <v>1</v>
      </c>
      <c r="Q1960">
        <v>6</v>
      </c>
      <c r="R1960">
        <v>11</v>
      </c>
      <c r="S1960">
        <v>10</v>
      </c>
      <c r="T1960">
        <v>2</v>
      </c>
      <c r="U1960">
        <v>0</v>
      </c>
      <c r="V1960">
        <v>0</v>
      </c>
      <c r="W1960">
        <v>1</v>
      </c>
      <c r="X1960">
        <v>0</v>
      </c>
      <c r="Y1960">
        <v>0</v>
      </c>
      <c r="Z1960">
        <v>0</v>
      </c>
      <c r="AA1960">
        <v>3</v>
      </c>
      <c r="AB1960">
        <v>11</v>
      </c>
      <c r="AC1960">
        <v>1</v>
      </c>
      <c r="AD1960" t="str">
        <f t="shared" si="390"/>
        <v>Ok</v>
      </c>
      <c r="AE1960" t="str">
        <f>IF(AND(Audit_Data[[#This Row],[Year_Birth]]&gt;=1900,Audit_Data[[#This Row],[Year_Birth]]&lt;=2010),"OK","Invalid")</f>
        <v>OK</v>
      </c>
      <c r="AF1960" t="str">
        <f t="shared" si="391"/>
        <v>Valid</v>
      </c>
      <c r="AG1960" t="str">
        <f t="shared" si="392"/>
        <v>Valid</v>
      </c>
      <c r="AH1960" t="str">
        <f t="shared" si="393"/>
        <v>Valid</v>
      </c>
      <c r="AI1960" t="str">
        <f t="shared" si="394"/>
        <v>Valid</v>
      </c>
      <c r="AJ1960" t="str">
        <f t="shared" si="395"/>
        <v>Valid</v>
      </c>
      <c r="AK1960" t="str">
        <f t="shared" si="402"/>
        <v xml:space="preserve">Valid </v>
      </c>
      <c r="AL1960" t="str">
        <f>IF(AND(Audit_Data[[#This Row],[Recency]]&gt;=0,Audit_Data[[#This Row],[Recency]]&lt;=100),"Valid","Invalid")</f>
        <v>Valid</v>
      </c>
      <c r="AM1960" t="str">
        <f t="shared" si="396"/>
        <v>Valid</v>
      </c>
      <c r="AN1960" t="str">
        <f t="shared" si="397"/>
        <v>Valid</v>
      </c>
      <c r="AO1960" t="str">
        <f t="shared" si="398"/>
        <v>Valid</v>
      </c>
      <c r="AP1960" t="str">
        <f t="shared" si="399"/>
        <v>Valid</v>
      </c>
      <c r="AQ1960" t="str">
        <f>IF(Audit_Data[[#This Row],[Z_CostContact]]=3,"Valid","Invalid")</f>
        <v>Valid</v>
      </c>
      <c r="AR1960" t="str">
        <f t="shared" si="400"/>
        <v>Valid</v>
      </c>
      <c r="AS1960" t="str">
        <f t="shared" si="401"/>
        <v>Valid</v>
      </c>
    </row>
    <row r="1961" spans="1:45" x14ac:dyDescent="0.3">
      <c r="A1961">
        <v>7530</v>
      </c>
      <c r="B1961">
        <v>1950</v>
      </c>
      <c r="C1961" t="s">
        <v>32</v>
      </c>
      <c r="D1961" t="s">
        <v>38</v>
      </c>
      <c r="E1961">
        <v>56551</v>
      </c>
      <c r="F1961">
        <v>1</v>
      </c>
      <c r="G1961">
        <v>1</v>
      </c>
      <c r="H1961" s="1">
        <v>41766</v>
      </c>
      <c r="I1961">
        <v>48</v>
      </c>
      <c r="J1961">
        <v>67</v>
      </c>
      <c r="K1961">
        <v>4</v>
      </c>
      <c r="L1961">
        <v>32</v>
      </c>
      <c r="M1961">
        <v>17</v>
      </c>
      <c r="N1961">
        <v>2</v>
      </c>
      <c r="O1961">
        <v>16</v>
      </c>
      <c r="P1961">
        <v>3</v>
      </c>
      <c r="Q1961">
        <v>2</v>
      </c>
      <c r="R1961">
        <v>1</v>
      </c>
      <c r="S1961">
        <v>4</v>
      </c>
      <c r="T1961">
        <v>4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3</v>
      </c>
      <c r="AB1961">
        <v>11</v>
      </c>
      <c r="AC1961">
        <v>0</v>
      </c>
      <c r="AD1961" t="str">
        <f t="shared" si="390"/>
        <v>Ok</v>
      </c>
      <c r="AE1961" t="str">
        <f>IF(AND(Audit_Data[[#This Row],[Year_Birth]]&gt;=1900,Audit_Data[[#This Row],[Year_Birth]]&lt;=2010),"OK","Invalid")</f>
        <v>OK</v>
      </c>
      <c r="AF1961" t="str">
        <f t="shared" si="391"/>
        <v>Valid</v>
      </c>
      <c r="AG1961" t="str">
        <f t="shared" si="392"/>
        <v>Valid</v>
      </c>
      <c r="AH1961" t="str">
        <f t="shared" si="393"/>
        <v>Valid</v>
      </c>
      <c r="AI1961" t="str">
        <f t="shared" si="394"/>
        <v>Valid</v>
      </c>
      <c r="AJ1961" t="str">
        <f t="shared" si="395"/>
        <v>Valid</v>
      </c>
      <c r="AK1961" t="str">
        <f t="shared" si="402"/>
        <v xml:space="preserve">Valid </v>
      </c>
      <c r="AL1961" t="str">
        <f>IF(AND(Audit_Data[[#This Row],[Recency]]&gt;=0,Audit_Data[[#This Row],[Recency]]&lt;=100),"Valid","Invalid")</f>
        <v>Valid</v>
      </c>
      <c r="AM1961" t="str">
        <f t="shared" si="396"/>
        <v>Valid</v>
      </c>
      <c r="AN1961" t="str">
        <f t="shared" si="397"/>
        <v>Valid</v>
      </c>
      <c r="AO1961" t="str">
        <f t="shared" si="398"/>
        <v>Valid</v>
      </c>
      <c r="AP1961" t="str">
        <f t="shared" si="399"/>
        <v>Valid</v>
      </c>
      <c r="AQ1961" t="str">
        <f>IF(Audit_Data[[#This Row],[Z_CostContact]]=3,"Valid","Invalid")</f>
        <v>Valid</v>
      </c>
      <c r="AR1961" t="str">
        <f t="shared" si="400"/>
        <v>Valid</v>
      </c>
      <c r="AS1961" t="str">
        <f t="shared" si="401"/>
        <v>Valid</v>
      </c>
    </row>
    <row r="1962" spans="1:45" x14ac:dyDescent="0.3">
      <c r="A1962">
        <v>8925</v>
      </c>
      <c r="B1962">
        <v>1965</v>
      </c>
      <c r="C1962" t="s">
        <v>34</v>
      </c>
      <c r="D1962" t="s">
        <v>33</v>
      </c>
      <c r="E1962">
        <v>70053</v>
      </c>
      <c r="F1962">
        <v>0</v>
      </c>
      <c r="G1962">
        <v>1</v>
      </c>
      <c r="H1962" s="1">
        <v>41458</v>
      </c>
      <c r="I1962">
        <v>38</v>
      </c>
      <c r="J1962">
        <v>512</v>
      </c>
      <c r="K1962">
        <v>53</v>
      </c>
      <c r="L1962">
        <v>98</v>
      </c>
      <c r="M1962">
        <v>81</v>
      </c>
      <c r="N1962">
        <v>179</v>
      </c>
      <c r="O1962">
        <v>89</v>
      </c>
      <c r="P1962">
        <v>3</v>
      </c>
      <c r="Q1962">
        <v>8</v>
      </c>
      <c r="R1962">
        <v>5</v>
      </c>
      <c r="S1962">
        <v>10</v>
      </c>
      <c r="T1962">
        <v>5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3</v>
      </c>
      <c r="AB1962">
        <v>11</v>
      </c>
      <c r="AC1962">
        <v>0</v>
      </c>
      <c r="AD1962" t="str">
        <f t="shared" si="390"/>
        <v>Ok</v>
      </c>
      <c r="AE1962" t="str">
        <f>IF(AND(Audit_Data[[#This Row],[Year_Birth]]&gt;=1900,Audit_Data[[#This Row],[Year_Birth]]&lt;=2010),"OK","Invalid")</f>
        <v>OK</v>
      </c>
      <c r="AF1962" t="str">
        <f t="shared" si="391"/>
        <v>Valid</v>
      </c>
      <c r="AG1962" t="str">
        <f t="shared" si="392"/>
        <v>Valid</v>
      </c>
      <c r="AH1962" t="str">
        <f t="shared" si="393"/>
        <v>Valid</v>
      </c>
      <c r="AI1962" t="str">
        <f t="shared" si="394"/>
        <v>Valid</v>
      </c>
      <c r="AJ1962" t="str">
        <f t="shared" si="395"/>
        <v>Valid</v>
      </c>
      <c r="AK1962" t="str">
        <f t="shared" si="402"/>
        <v xml:space="preserve">Valid </v>
      </c>
      <c r="AL1962" t="str">
        <f>IF(AND(Audit_Data[[#This Row],[Recency]]&gt;=0,Audit_Data[[#This Row],[Recency]]&lt;=100),"Valid","Invalid")</f>
        <v>Valid</v>
      </c>
      <c r="AM1962" t="str">
        <f t="shared" si="396"/>
        <v>Valid</v>
      </c>
      <c r="AN1962" t="str">
        <f t="shared" si="397"/>
        <v>Valid</v>
      </c>
      <c r="AO1962" t="str">
        <f t="shared" si="398"/>
        <v>Valid</v>
      </c>
      <c r="AP1962" t="str">
        <f t="shared" si="399"/>
        <v>Valid</v>
      </c>
      <c r="AQ1962" t="str">
        <f>IF(Audit_Data[[#This Row],[Z_CostContact]]=3,"Valid","Invalid")</f>
        <v>Valid</v>
      </c>
      <c r="AR1962" t="str">
        <f t="shared" si="400"/>
        <v>Valid</v>
      </c>
      <c r="AS1962" t="str">
        <f t="shared" si="401"/>
        <v>Valid</v>
      </c>
    </row>
    <row r="1963" spans="1:45" x14ac:dyDescent="0.3">
      <c r="A1963">
        <v>3009</v>
      </c>
      <c r="B1963">
        <v>1962</v>
      </c>
      <c r="C1963" t="s">
        <v>32</v>
      </c>
      <c r="D1963" t="s">
        <v>38</v>
      </c>
      <c r="E1963">
        <v>71670</v>
      </c>
      <c r="F1963">
        <v>0</v>
      </c>
      <c r="G1963">
        <v>0</v>
      </c>
      <c r="H1963" s="1">
        <v>41464</v>
      </c>
      <c r="I1963">
        <v>8</v>
      </c>
      <c r="J1963">
        <v>1462</v>
      </c>
      <c r="K1963">
        <v>16</v>
      </c>
      <c r="L1963">
        <v>128</v>
      </c>
      <c r="M1963">
        <v>0</v>
      </c>
      <c r="N1963">
        <v>0</v>
      </c>
      <c r="O1963">
        <v>160</v>
      </c>
      <c r="P1963">
        <v>1</v>
      </c>
      <c r="Q1963">
        <v>5</v>
      </c>
      <c r="R1963">
        <v>3</v>
      </c>
      <c r="S1963">
        <v>6</v>
      </c>
      <c r="T1963">
        <v>6</v>
      </c>
      <c r="U1963">
        <v>0</v>
      </c>
      <c r="V1963">
        <v>1</v>
      </c>
      <c r="W1963">
        <v>1</v>
      </c>
      <c r="X1963">
        <v>0</v>
      </c>
      <c r="Y1963">
        <v>1</v>
      </c>
      <c r="Z1963">
        <v>0</v>
      </c>
      <c r="AA1963">
        <v>3</v>
      </c>
      <c r="AB1963">
        <v>11</v>
      </c>
      <c r="AC1963">
        <v>1</v>
      </c>
      <c r="AD1963" t="str">
        <f t="shared" si="390"/>
        <v>Ok</v>
      </c>
      <c r="AE1963" t="str">
        <f>IF(AND(Audit_Data[[#This Row],[Year_Birth]]&gt;=1900,Audit_Data[[#This Row],[Year_Birth]]&lt;=2010),"OK","Invalid")</f>
        <v>OK</v>
      </c>
      <c r="AF1963" t="str">
        <f t="shared" si="391"/>
        <v>Valid</v>
      </c>
      <c r="AG1963" t="str">
        <f t="shared" si="392"/>
        <v>Valid</v>
      </c>
      <c r="AH1963" t="str">
        <f t="shared" si="393"/>
        <v>Valid</v>
      </c>
      <c r="AI1963" t="str">
        <f t="shared" si="394"/>
        <v>Valid</v>
      </c>
      <c r="AJ1963" t="str">
        <f t="shared" si="395"/>
        <v>Valid</v>
      </c>
      <c r="AK1963" t="str">
        <f t="shared" si="402"/>
        <v xml:space="preserve">Valid </v>
      </c>
      <c r="AL1963" t="str">
        <f>IF(AND(Audit_Data[[#This Row],[Recency]]&gt;=0,Audit_Data[[#This Row],[Recency]]&lt;=100),"Valid","Invalid")</f>
        <v>Valid</v>
      </c>
      <c r="AM1963" t="str">
        <f t="shared" si="396"/>
        <v>Valid</v>
      </c>
      <c r="AN1963" t="str">
        <f t="shared" si="397"/>
        <v>Valid</v>
      </c>
      <c r="AO1963" t="str">
        <f t="shared" si="398"/>
        <v>Valid</v>
      </c>
      <c r="AP1963" t="str">
        <f t="shared" si="399"/>
        <v>Valid</v>
      </c>
      <c r="AQ1963" t="str">
        <f>IF(Audit_Data[[#This Row],[Z_CostContact]]=3,"Valid","Invalid")</f>
        <v>Valid</v>
      </c>
      <c r="AR1963" t="str">
        <f t="shared" si="400"/>
        <v>Valid</v>
      </c>
      <c r="AS1963" t="str">
        <f t="shared" si="401"/>
        <v>Valid</v>
      </c>
    </row>
    <row r="1964" spans="1:45" x14ac:dyDescent="0.3">
      <c r="A1964">
        <v>6355</v>
      </c>
      <c r="B1964">
        <v>1978</v>
      </c>
      <c r="C1964" t="s">
        <v>29</v>
      </c>
      <c r="D1964" t="s">
        <v>33</v>
      </c>
      <c r="E1964">
        <v>44359</v>
      </c>
      <c r="F1964">
        <v>1</v>
      </c>
      <c r="G1964">
        <v>1</v>
      </c>
      <c r="H1964" s="1">
        <v>41807</v>
      </c>
      <c r="I1964">
        <v>19</v>
      </c>
      <c r="J1964">
        <v>20</v>
      </c>
      <c r="K1964">
        <v>0</v>
      </c>
      <c r="L1964">
        <v>14</v>
      </c>
      <c r="M1964">
        <v>7</v>
      </c>
      <c r="N1964">
        <v>3</v>
      </c>
      <c r="O1964">
        <v>1</v>
      </c>
      <c r="P1964">
        <v>3</v>
      </c>
      <c r="Q1964">
        <v>2</v>
      </c>
      <c r="R1964">
        <v>0</v>
      </c>
      <c r="S1964">
        <v>4</v>
      </c>
      <c r="T1964">
        <v>3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3</v>
      </c>
      <c r="AB1964">
        <v>11</v>
      </c>
      <c r="AC1964">
        <v>0</v>
      </c>
      <c r="AD1964" t="str">
        <f t="shared" si="390"/>
        <v>Ok</v>
      </c>
      <c r="AE1964" t="str">
        <f>IF(AND(Audit_Data[[#This Row],[Year_Birth]]&gt;=1900,Audit_Data[[#This Row],[Year_Birth]]&lt;=2010),"OK","Invalid")</f>
        <v>OK</v>
      </c>
      <c r="AF1964" t="str">
        <f t="shared" si="391"/>
        <v>Valid</v>
      </c>
      <c r="AG1964" t="str">
        <f t="shared" si="392"/>
        <v>Valid</v>
      </c>
      <c r="AH1964" t="str">
        <f t="shared" si="393"/>
        <v>Valid</v>
      </c>
      <c r="AI1964" t="str">
        <f t="shared" si="394"/>
        <v>Valid</v>
      </c>
      <c r="AJ1964" t="str">
        <f t="shared" si="395"/>
        <v>Valid</v>
      </c>
      <c r="AK1964" t="str">
        <f t="shared" si="402"/>
        <v xml:space="preserve">Valid </v>
      </c>
      <c r="AL1964" t="str">
        <f>IF(AND(Audit_Data[[#This Row],[Recency]]&gt;=0,Audit_Data[[#This Row],[Recency]]&lt;=100),"Valid","Invalid")</f>
        <v>Valid</v>
      </c>
      <c r="AM1964" t="str">
        <f t="shared" si="396"/>
        <v>Valid</v>
      </c>
      <c r="AN1964" t="str">
        <f t="shared" si="397"/>
        <v>Valid</v>
      </c>
      <c r="AO1964" t="str">
        <f t="shared" si="398"/>
        <v>Valid</v>
      </c>
      <c r="AP1964" t="str">
        <f t="shared" si="399"/>
        <v>Valid</v>
      </c>
      <c r="AQ1964" t="str">
        <f>IF(Audit_Data[[#This Row],[Z_CostContact]]=3,"Valid","Invalid")</f>
        <v>Valid</v>
      </c>
      <c r="AR1964" t="str">
        <f t="shared" si="400"/>
        <v>Valid</v>
      </c>
      <c r="AS1964" t="str">
        <f t="shared" si="401"/>
        <v>Valid</v>
      </c>
    </row>
    <row r="1965" spans="1:45" x14ac:dyDescent="0.3">
      <c r="A1965">
        <v>3517</v>
      </c>
      <c r="B1965">
        <v>1952</v>
      </c>
      <c r="C1965" t="s">
        <v>29</v>
      </c>
      <c r="D1965" t="s">
        <v>30</v>
      </c>
      <c r="E1965">
        <v>40887</v>
      </c>
      <c r="F1965">
        <v>1</v>
      </c>
      <c r="G1965">
        <v>1</v>
      </c>
      <c r="H1965" s="1">
        <v>41400</v>
      </c>
      <c r="I1965">
        <v>32</v>
      </c>
      <c r="J1965">
        <v>50</v>
      </c>
      <c r="K1965">
        <v>4</v>
      </c>
      <c r="L1965">
        <v>44</v>
      </c>
      <c r="M1965">
        <v>10</v>
      </c>
      <c r="N1965">
        <v>10</v>
      </c>
      <c r="O1965">
        <v>43</v>
      </c>
      <c r="P1965">
        <v>3</v>
      </c>
      <c r="Q1965">
        <v>3</v>
      </c>
      <c r="R1965">
        <v>1</v>
      </c>
      <c r="S1965">
        <v>3</v>
      </c>
      <c r="T1965">
        <v>9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3</v>
      </c>
      <c r="AB1965">
        <v>11</v>
      </c>
      <c r="AC1965">
        <v>1</v>
      </c>
      <c r="AD1965" t="str">
        <f t="shared" si="390"/>
        <v>Ok</v>
      </c>
      <c r="AE1965" t="str">
        <f>IF(AND(Audit_Data[[#This Row],[Year_Birth]]&gt;=1900,Audit_Data[[#This Row],[Year_Birth]]&lt;=2010),"OK","Invalid")</f>
        <v>OK</v>
      </c>
      <c r="AF1965" t="str">
        <f t="shared" si="391"/>
        <v>Valid</v>
      </c>
      <c r="AG1965" t="str">
        <f t="shared" si="392"/>
        <v>Valid</v>
      </c>
      <c r="AH1965" t="str">
        <f t="shared" si="393"/>
        <v>Valid</v>
      </c>
      <c r="AI1965" t="str">
        <f t="shared" si="394"/>
        <v>Valid</v>
      </c>
      <c r="AJ1965" t="str">
        <f t="shared" si="395"/>
        <v>Valid</v>
      </c>
      <c r="AK1965" t="str">
        <f t="shared" si="402"/>
        <v xml:space="preserve">Valid </v>
      </c>
      <c r="AL1965" t="str">
        <f>IF(AND(Audit_Data[[#This Row],[Recency]]&gt;=0,Audit_Data[[#This Row],[Recency]]&lt;=100),"Valid","Invalid")</f>
        <v>Valid</v>
      </c>
      <c r="AM1965" t="str">
        <f t="shared" si="396"/>
        <v>Valid</v>
      </c>
      <c r="AN1965" t="str">
        <f t="shared" si="397"/>
        <v>Valid</v>
      </c>
      <c r="AO1965" t="str">
        <f t="shared" si="398"/>
        <v>Valid</v>
      </c>
      <c r="AP1965" t="str">
        <f t="shared" si="399"/>
        <v>Valid</v>
      </c>
      <c r="AQ1965" t="str">
        <f>IF(Audit_Data[[#This Row],[Z_CostContact]]=3,"Valid","Invalid")</f>
        <v>Valid</v>
      </c>
      <c r="AR1965" t="str">
        <f t="shared" si="400"/>
        <v>Valid</v>
      </c>
      <c r="AS1965" t="str">
        <f t="shared" si="401"/>
        <v>Valid</v>
      </c>
    </row>
    <row r="1966" spans="1:45" x14ac:dyDescent="0.3">
      <c r="A1966">
        <v>1158</v>
      </c>
      <c r="B1966">
        <v>1966</v>
      </c>
      <c r="C1966" t="s">
        <v>29</v>
      </c>
      <c r="D1966" t="s">
        <v>35</v>
      </c>
      <c r="E1966">
        <v>48877</v>
      </c>
      <c r="F1966">
        <v>0</v>
      </c>
      <c r="G1966">
        <v>1</v>
      </c>
      <c r="H1966" s="1">
        <v>41644</v>
      </c>
      <c r="I1966">
        <v>27</v>
      </c>
      <c r="J1966">
        <v>102</v>
      </c>
      <c r="K1966">
        <v>1</v>
      </c>
      <c r="L1966">
        <v>15</v>
      </c>
      <c r="M1966">
        <v>2</v>
      </c>
      <c r="N1966">
        <v>0</v>
      </c>
      <c r="O1966">
        <v>24</v>
      </c>
      <c r="P1966">
        <v>1</v>
      </c>
      <c r="Q1966">
        <v>3</v>
      </c>
      <c r="R1966">
        <v>0</v>
      </c>
      <c r="S1966">
        <v>4</v>
      </c>
      <c r="T1966">
        <v>7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3</v>
      </c>
      <c r="AB1966">
        <v>11</v>
      </c>
      <c r="AC1966">
        <v>0</v>
      </c>
      <c r="AD1966" t="str">
        <f t="shared" si="390"/>
        <v>Ok</v>
      </c>
      <c r="AE1966" t="str">
        <f>IF(AND(Audit_Data[[#This Row],[Year_Birth]]&gt;=1900,Audit_Data[[#This Row],[Year_Birth]]&lt;=2010),"OK","Invalid")</f>
        <v>OK</v>
      </c>
      <c r="AF1966" t="str">
        <f t="shared" si="391"/>
        <v>Valid</v>
      </c>
      <c r="AG1966" t="str">
        <f t="shared" si="392"/>
        <v>Valid</v>
      </c>
      <c r="AH1966" t="str">
        <f t="shared" si="393"/>
        <v>Valid</v>
      </c>
      <c r="AI1966" t="str">
        <f t="shared" si="394"/>
        <v>Valid</v>
      </c>
      <c r="AJ1966" t="str">
        <f t="shared" si="395"/>
        <v>Valid</v>
      </c>
      <c r="AK1966" t="str">
        <f t="shared" si="402"/>
        <v xml:space="preserve">Valid </v>
      </c>
      <c r="AL1966" t="str">
        <f>IF(AND(Audit_Data[[#This Row],[Recency]]&gt;=0,Audit_Data[[#This Row],[Recency]]&lt;=100),"Valid","Invalid")</f>
        <v>Valid</v>
      </c>
      <c r="AM1966" t="str">
        <f t="shared" si="396"/>
        <v>Valid</v>
      </c>
      <c r="AN1966" t="str">
        <f t="shared" si="397"/>
        <v>Valid</v>
      </c>
      <c r="AO1966" t="str">
        <f t="shared" si="398"/>
        <v>Valid</v>
      </c>
      <c r="AP1966" t="str">
        <f t="shared" si="399"/>
        <v>Valid</v>
      </c>
      <c r="AQ1966" t="str">
        <f>IF(Audit_Data[[#This Row],[Z_CostContact]]=3,"Valid","Invalid")</f>
        <v>Valid</v>
      </c>
      <c r="AR1966" t="str">
        <f t="shared" si="400"/>
        <v>Valid</v>
      </c>
      <c r="AS1966" t="str">
        <f t="shared" si="401"/>
        <v>Valid</v>
      </c>
    </row>
    <row r="1967" spans="1:45" x14ac:dyDescent="0.3">
      <c r="A1967">
        <v>6203</v>
      </c>
      <c r="B1967">
        <v>1947</v>
      </c>
      <c r="C1967" t="s">
        <v>29</v>
      </c>
      <c r="D1967" t="s">
        <v>31</v>
      </c>
      <c r="E1967">
        <v>74485</v>
      </c>
      <c r="F1967">
        <v>0</v>
      </c>
      <c r="G1967">
        <v>0</v>
      </c>
      <c r="H1967" s="1">
        <v>41510</v>
      </c>
      <c r="I1967">
        <v>58</v>
      </c>
      <c r="J1967">
        <v>499</v>
      </c>
      <c r="K1967">
        <v>149</v>
      </c>
      <c r="L1967">
        <v>815</v>
      </c>
      <c r="M1967">
        <v>173</v>
      </c>
      <c r="N1967">
        <v>49</v>
      </c>
      <c r="O1967">
        <v>49</v>
      </c>
      <c r="P1967">
        <v>1</v>
      </c>
      <c r="Q1967">
        <v>6</v>
      </c>
      <c r="R1967">
        <v>7</v>
      </c>
      <c r="S1967">
        <v>12</v>
      </c>
      <c r="T1967">
        <v>3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3</v>
      </c>
      <c r="AB1967">
        <v>11</v>
      </c>
      <c r="AC1967">
        <v>0</v>
      </c>
      <c r="AD1967" t="str">
        <f t="shared" si="390"/>
        <v>Ok</v>
      </c>
      <c r="AE1967" t="str">
        <f>IF(AND(Audit_Data[[#This Row],[Year_Birth]]&gt;=1900,Audit_Data[[#This Row],[Year_Birth]]&lt;=2010),"OK","Invalid")</f>
        <v>OK</v>
      </c>
      <c r="AF1967" t="str">
        <f t="shared" si="391"/>
        <v>Valid</v>
      </c>
      <c r="AG1967" t="str">
        <f t="shared" si="392"/>
        <v>Valid</v>
      </c>
      <c r="AH1967" t="str">
        <f t="shared" si="393"/>
        <v>Valid</v>
      </c>
      <c r="AI1967" t="str">
        <f t="shared" si="394"/>
        <v>Valid</v>
      </c>
      <c r="AJ1967" t="str">
        <f t="shared" si="395"/>
        <v>Valid</v>
      </c>
      <c r="AK1967" t="str">
        <f t="shared" si="402"/>
        <v xml:space="preserve">Valid </v>
      </c>
      <c r="AL1967" t="str">
        <f>IF(AND(Audit_Data[[#This Row],[Recency]]&gt;=0,Audit_Data[[#This Row],[Recency]]&lt;=100),"Valid","Invalid")</f>
        <v>Valid</v>
      </c>
      <c r="AM1967" t="str">
        <f t="shared" si="396"/>
        <v>Valid</v>
      </c>
      <c r="AN1967" t="str">
        <f t="shared" si="397"/>
        <v>Valid</v>
      </c>
      <c r="AO1967" t="str">
        <f t="shared" si="398"/>
        <v>Valid</v>
      </c>
      <c r="AP1967" t="str">
        <f t="shared" si="399"/>
        <v>Valid</v>
      </c>
      <c r="AQ1967" t="str">
        <f>IF(Audit_Data[[#This Row],[Z_CostContact]]=3,"Valid","Invalid")</f>
        <v>Valid</v>
      </c>
      <c r="AR1967" t="str">
        <f t="shared" si="400"/>
        <v>Valid</v>
      </c>
      <c r="AS1967" t="str">
        <f t="shared" si="401"/>
        <v>Valid</v>
      </c>
    </row>
    <row r="1968" spans="1:45" x14ac:dyDescent="0.3">
      <c r="A1968">
        <v>7165</v>
      </c>
      <c r="B1968">
        <v>1972</v>
      </c>
      <c r="C1968" t="s">
        <v>29</v>
      </c>
      <c r="D1968" t="s">
        <v>31</v>
      </c>
      <c r="E1968">
        <v>64474</v>
      </c>
      <c r="F1968">
        <v>0</v>
      </c>
      <c r="G1968">
        <v>1</v>
      </c>
      <c r="H1968" s="1">
        <v>41569</v>
      </c>
      <c r="I1968">
        <v>59</v>
      </c>
      <c r="J1968">
        <v>381</v>
      </c>
      <c r="K1968">
        <v>35</v>
      </c>
      <c r="L1968">
        <v>172</v>
      </c>
      <c r="M1968">
        <v>56</v>
      </c>
      <c r="N1968">
        <v>86</v>
      </c>
      <c r="O1968">
        <v>93</v>
      </c>
      <c r="P1968">
        <v>2</v>
      </c>
      <c r="Q1968">
        <v>8</v>
      </c>
      <c r="R1968">
        <v>2</v>
      </c>
      <c r="S1968">
        <v>10</v>
      </c>
      <c r="T1968">
        <v>5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3</v>
      </c>
      <c r="AB1968">
        <v>11</v>
      </c>
      <c r="AC1968">
        <v>0</v>
      </c>
      <c r="AD1968" t="str">
        <f t="shared" si="390"/>
        <v>Ok</v>
      </c>
      <c r="AE1968" t="str">
        <f>IF(AND(Audit_Data[[#This Row],[Year_Birth]]&gt;=1900,Audit_Data[[#This Row],[Year_Birth]]&lt;=2010),"OK","Invalid")</f>
        <v>OK</v>
      </c>
      <c r="AF1968" t="str">
        <f t="shared" si="391"/>
        <v>Valid</v>
      </c>
      <c r="AG1968" t="str">
        <f t="shared" si="392"/>
        <v>Valid</v>
      </c>
      <c r="AH1968" t="str">
        <f t="shared" si="393"/>
        <v>Valid</v>
      </c>
      <c r="AI1968" t="str">
        <f t="shared" si="394"/>
        <v>Valid</v>
      </c>
      <c r="AJ1968" t="str">
        <f t="shared" si="395"/>
        <v>Valid</v>
      </c>
      <c r="AK1968" t="str">
        <f t="shared" si="402"/>
        <v xml:space="preserve">Valid </v>
      </c>
      <c r="AL1968" t="str">
        <f>IF(AND(Audit_Data[[#This Row],[Recency]]&gt;=0,Audit_Data[[#This Row],[Recency]]&lt;=100),"Valid","Invalid")</f>
        <v>Valid</v>
      </c>
      <c r="AM1968" t="str">
        <f t="shared" si="396"/>
        <v>Valid</v>
      </c>
      <c r="AN1968" t="str">
        <f t="shared" si="397"/>
        <v>Valid</v>
      </c>
      <c r="AO1968" t="str">
        <f t="shared" si="398"/>
        <v>Valid</v>
      </c>
      <c r="AP1968" t="str">
        <f t="shared" si="399"/>
        <v>Valid</v>
      </c>
      <c r="AQ1968" t="str">
        <f>IF(Audit_Data[[#This Row],[Z_CostContact]]=3,"Valid","Invalid")</f>
        <v>Valid</v>
      </c>
      <c r="AR1968" t="str">
        <f t="shared" si="400"/>
        <v>Valid</v>
      </c>
      <c r="AS1968" t="str">
        <f t="shared" si="401"/>
        <v>Valid</v>
      </c>
    </row>
    <row r="1969" spans="1:45" x14ac:dyDescent="0.3">
      <c r="A1969">
        <v>3595</v>
      </c>
      <c r="B1969">
        <v>1963</v>
      </c>
      <c r="C1969" t="s">
        <v>29</v>
      </c>
      <c r="D1969" t="s">
        <v>31</v>
      </c>
      <c r="E1969">
        <v>77226</v>
      </c>
      <c r="F1969">
        <v>0</v>
      </c>
      <c r="G1969">
        <v>1</v>
      </c>
      <c r="H1969" s="1">
        <v>41698</v>
      </c>
      <c r="I1969">
        <v>29</v>
      </c>
      <c r="J1969">
        <v>631</v>
      </c>
      <c r="K1969">
        <v>43</v>
      </c>
      <c r="L1969">
        <v>239</v>
      </c>
      <c r="M1969">
        <v>128</v>
      </c>
      <c r="N1969">
        <v>76</v>
      </c>
      <c r="O1969">
        <v>21</v>
      </c>
      <c r="P1969">
        <v>2</v>
      </c>
      <c r="Q1969">
        <v>6</v>
      </c>
      <c r="R1969">
        <v>8</v>
      </c>
      <c r="S1969">
        <v>12</v>
      </c>
      <c r="T1969">
        <v>3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3</v>
      </c>
      <c r="AB1969">
        <v>11</v>
      </c>
      <c r="AC1969">
        <v>0</v>
      </c>
      <c r="AD1969" t="str">
        <f t="shared" si="390"/>
        <v>Ok</v>
      </c>
      <c r="AE1969" t="str">
        <f>IF(AND(Audit_Data[[#This Row],[Year_Birth]]&gt;=1900,Audit_Data[[#This Row],[Year_Birth]]&lt;=2010),"OK","Invalid")</f>
        <v>OK</v>
      </c>
      <c r="AF1969" t="str">
        <f t="shared" si="391"/>
        <v>Valid</v>
      </c>
      <c r="AG1969" t="str">
        <f t="shared" si="392"/>
        <v>Valid</v>
      </c>
      <c r="AH1969" t="str">
        <f t="shared" si="393"/>
        <v>Valid</v>
      </c>
      <c r="AI1969" t="str">
        <f t="shared" si="394"/>
        <v>Valid</v>
      </c>
      <c r="AJ1969" t="str">
        <f t="shared" si="395"/>
        <v>Valid</v>
      </c>
      <c r="AK1969" t="str">
        <f t="shared" si="402"/>
        <v xml:space="preserve">Valid </v>
      </c>
      <c r="AL1969" t="str">
        <f>IF(AND(Audit_Data[[#This Row],[Recency]]&gt;=0,Audit_Data[[#This Row],[Recency]]&lt;=100),"Valid","Invalid")</f>
        <v>Valid</v>
      </c>
      <c r="AM1969" t="str">
        <f t="shared" si="396"/>
        <v>Valid</v>
      </c>
      <c r="AN1969" t="str">
        <f t="shared" si="397"/>
        <v>Valid</v>
      </c>
      <c r="AO1969" t="str">
        <f t="shared" si="398"/>
        <v>Valid</v>
      </c>
      <c r="AP1969" t="str">
        <f t="shared" si="399"/>
        <v>Valid</v>
      </c>
      <c r="AQ1969" t="str">
        <f>IF(Audit_Data[[#This Row],[Z_CostContact]]=3,"Valid","Invalid")</f>
        <v>Valid</v>
      </c>
      <c r="AR1969" t="str">
        <f t="shared" si="400"/>
        <v>Valid</v>
      </c>
      <c r="AS1969" t="str">
        <f t="shared" si="401"/>
        <v>Valid</v>
      </c>
    </row>
    <row r="1970" spans="1:45" x14ac:dyDescent="0.3">
      <c r="A1970">
        <v>8537</v>
      </c>
      <c r="B1970">
        <v>1949</v>
      </c>
      <c r="C1970" t="s">
        <v>29</v>
      </c>
      <c r="D1970" t="s">
        <v>38</v>
      </c>
      <c r="E1970">
        <v>72643</v>
      </c>
      <c r="F1970">
        <v>0</v>
      </c>
      <c r="G1970">
        <v>0</v>
      </c>
      <c r="H1970" s="1">
        <v>41332</v>
      </c>
      <c r="I1970">
        <v>60</v>
      </c>
      <c r="J1970">
        <v>526</v>
      </c>
      <c r="K1970">
        <v>80</v>
      </c>
      <c r="L1970">
        <v>553</v>
      </c>
      <c r="M1970">
        <v>123</v>
      </c>
      <c r="N1970">
        <v>94</v>
      </c>
      <c r="O1970">
        <v>53</v>
      </c>
      <c r="P1970">
        <v>1</v>
      </c>
      <c r="Q1970">
        <v>3</v>
      </c>
      <c r="R1970">
        <v>10</v>
      </c>
      <c r="S1970">
        <v>7</v>
      </c>
      <c r="T1970">
        <v>2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>
        <v>3</v>
      </c>
      <c r="AB1970">
        <v>11</v>
      </c>
      <c r="AC1970">
        <v>1</v>
      </c>
      <c r="AD1970" t="str">
        <f t="shared" si="390"/>
        <v>Ok</v>
      </c>
      <c r="AE1970" t="str">
        <f>IF(AND(Audit_Data[[#This Row],[Year_Birth]]&gt;=1900,Audit_Data[[#This Row],[Year_Birth]]&lt;=2010),"OK","Invalid")</f>
        <v>OK</v>
      </c>
      <c r="AF1970" t="str">
        <f t="shared" si="391"/>
        <v>Valid</v>
      </c>
      <c r="AG1970" t="str">
        <f t="shared" si="392"/>
        <v>Valid</v>
      </c>
      <c r="AH1970" t="str">
        <f t="shared" si="393"/>
        <v>Valid</v>
      </c>
      <c r="AI1970" t="str">
        <f t="shared" si="394"/>
        <v>Valid</v>
      </c>
      <c r="AJ1970" t="str">
        <f t="shared" si="395"/>
        <v>Valid</v>
      </c>
      <c r="AK1970" t="str">
        <f t="shared" si="402"/>
        <v xml:space="preserve">Valid </v>
      </c>
      <c r="AL1970" t="str">
        <f>IF(AND(Audit_Data[[#This Row],[Recency]]&gt;=0,Audit_Data[[#This Row],[Recency]]&lt;=100),"Valid","Invalid")</f>
        <v>Valid</v>
      </c>
      <c r="AM1970" t="str">
        <f t="shared" si="396"/>
        <v>Valid</v>
      </c>
      <c r="AN1970" t="str">
        <f t="shared" si="397"/>
        <v>Valid</v>
      </c>
      <c r="AO1970" t="str">
        <f t="shared" si="398"/>
        <v>Valid</v>
      </c>
      <c r="AP1970" t="str">
        <f t="shared" si="399"/>
        <v>Valid</v>
      </c>
      <c r="AQ1970" t="str">
        <f>IF(Audit_Data[[#This Row],[Z_CostContact]]=3,"Valid","Invalid")</f>
        <v>Valid</v>
      </c>
      <c r="AR1970" t="str">
        <f t="shared" si="400"/>
        <v>Valid</v>
      </c>
      <c r="AS1970" t="str">
        <f t="shared" si="401"/>
        <v>Valid</v>
      </c>
    </row>
    <row r="1971" spans="1:45" x14ac:dyDescent="0.3">
      <c r="A1971">
        <v>4331</v>
      </c>
      <c r="B1971">
        <v>1978</v>
      </c>
      <c r="C1971" t="s">
        <v>34</v>
      </c>
      <c r="D1971" t="s">
        <v>31</v>
      </c>
      <c r="E1971">
        <v>85738</v>
      </c>
      <c r="F1971">
        <v>0</v>
      </c>
      <c r="G1971">
        <v>0</v>
      </c>
      <c r="H1971" s="1">
        <v>41662</v>
      </c>
      <c r="I1971">
        <v>41</v>
      </c>
      <c r="J1971">
        <v>913</v>
      </c>
      <c r="K1971">
        <v>26</v>
      </c>
      <c r="L1971">
        <v>376</v>
      </c>
      <c r="M1971">
        <v>17</v>
      </c>
      <c r="N1971">
        <v>26</v>
      </c>
      <c r="O1971">
        <v>13</v>
      </c>
      <c r="P1971">
        <v>1</v>
      </c>
      <c r="Q1971">
        <v>3</v>
      </c>
      <c r="R1971">
        <v>6</v>
      </c>
      <c r="S1971">
        <v>11</v>
      </c>
      <c r="T1971">
        <v>1</v>
      </c>
      <c r="U1971">
        <v>0</v>
      </c>
      <c r="V1971">
        <v>1</v>
      </c>
      <c r="W1971">
        <v>1</v>
      </c>
      <c r="X1971">
        <v>0</v>
      </c>
      <c r="Y1971">
        <v>0</v>
      </c>
      <c r="Z1971">
        <v>0</v>
      </c>
      <c r="AA1971">
        <v>3</v>
      </c>
      <c r="AB1971">
        <v>11</v>
      </c>
      <c r="AC1971">
        <v>0</v>
      </c>
      <c r="AD1971" t="str">
        <f t="shared" si="390"/>
        <v>Ok</v>
      </c>
      <c r="AE1971" t="str">
        <f>IF(AND(Audit_Data[[#This Row],[Year_Birth]]&gt;=1900,Audit_Data[[#This Row],[Year_Birth]]&lt;=2010),"OK","Invalid")</f>
        <v>OK</v>
      </c>
      <c r="AF1971" t="str">
        <f t="shared" si="391"/>
        <v>Valid</v>
      </c>
      <c r="AG1971" t="str">
        <f t="shared" si="392"/>
        <v>Valid</v>
      </c>
      <c r="AH1971" t="str">
        <f t="shared" si="393"/>
        <v>Valid</v>
      </c>
      <c r="AI1971" t="str">
        <f t="shared" si="394"/>
        <v>Valid</v>
      </c>
      <c r="AJ1971" t="str">
        <f t="shared" si="395"/>
        <v>Valid</v>
      </c>
      <c r="AK1971" t="str">
        <f t="shared" si="402"/>
        <v xml:space="preserve">Valid </v>
      </c>
      <c r="AL1971" t="str">
        <f>IF(AND(Audit_Data[[#This Row],[Recency]]&gt;=0,Audit_Data[[#This Row],[Recency]]&lt;=100),"Valid","Invalid")</f>
        <v>Valid</v>
      </c>
      <c r="AM1971" t="str">
        <f t="shared" si="396"/>
        <v>Valid</v>
      </c>
      <c r="AN1971" t="str">
        <f t="shared" si="397"/>
        <v>Valid</v>
      </c>
      <c r="AO1971" t="str">
        <f t="shared" si="398"/>
        <v>Valid</v>
      </c>
      <c r="AP1971" t="str">
        <f t="shared" si="399"/>
        <v>Valid</v>
      </c>
      <c r="AQ1971" t="str">
        <f>IF(Audit_Data[[#This Row],[Z_CostContact]]=3,"Valid","Invalid")</f>
        <v>Valid</v>
      </c>
      <c r="AR1971" t="str">
        <f t="shared" si="400"/>
        <v>Valid</v>
      </c>
      <c r="AS1971" t="str">
        <f t="shared" si="401"/>
        <v>Valid</v>
      </c>
    </row>
    <row r="1972" spans="1:45" x14ac:dyDescent="0.3">
      <c r="A1972">
        <v>6281</v>
      </c>
      <c r="B1972">
        <v>1966</v>
      </c>
      <c r="C1972" t="s">
        <v>29</v>
      </c>
      <c r="D1972" t="s">
        <v>35</v>
      </c>
      <c r="E1972">
        <v>55686</v>
      </c>
      <c r="F1972">
        <v>0</v>
      </c>
      <c r="G1972">
        <v>1</v>
      </c>
      <c r="H1972" s="1">
        <v>41319</v>
      </c>
      <c r="I1972">
        <v>27</v>
      </c>
      <c r="J1972">
        <v>673</v>
      </c>
      <c r="K1972">
        <v>0</v>
      </c>
      <c r="L1972">
        <v>199</v>
      </c>
      <c r="M1972">
        <v>37</v>
      </c>
      <c r="N1972">
        <v>47</v>
      </c>
      <c r="O1972">
        <v>26</v>
      </c>
      <c r="P1972">
        <v>2</v>
      </c>
      <c r="Q1972">
        <v>6</v>
      </c>
      <c r="R1972">
        <v>3</v>
      </c>
      <c r="S1972">
        <v>5</v>
      </c>
      <c r="T1972">
        <v>4</v>
      </c>
      <c r="U1972">
        <v>1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3</v>
      </c>
      <c r="AB1972">
        <v>11</v>
      </c>
      <c r="AC1972">
        <v>0</v>
      </c>
      <c r="AD1972" t="str">
        <f t="shared" si="390"/>
        <v>Ok</v>
      </c>
      <c r="AE1972" t="str">
        <f>IF(AND(Audit_Data[[#This Row],[Year_Birth]]&gt;=1900,Audit_Data[[#This Row],[Year_Birth]]&lt;=2010),"OK","Invalid")</f>
        <v>OK</v>
      </c>
      <c r="AF1972" t="str">
        <f t="shared" si="391"/>
        <v>Valid</v>
      </c>
      <c r="AG1972" t="str">
        <f t="shared" si="392"/>
        <v>Valid</v>
      </c>
      <c r="AH1972" t="str">
        <f t="shared" si="393"/>
        <v>Valid</v>
      </c>
      <c r="AI1972" t="str">
        <f t="shared" si="394"/>
        <v>Valid</v>
      </c>
      <c r="AJ1972" t="str">
        <f t="shared" si="395"/>
        <v>Valid</v>
      </c>
      <c r="AK1972" t="str">
        <f t="shared" si="402"/>
        <v xml:space="preserve">Valid </v>
      </c>
      <c r="AL1972" t="str">
        <f>IF(AND(Audit_Data[[#This Row],[Recency]]&gt;=0,Audit_Data[[#This Row],[Recency]]&lt;=100),"Valid","Invalid")</f>
        <v>Valid</v>
      </c>
      <c r="AM1972" t="str">
        <f t="shared" si="396"/>
        <v>Valid</v>
      </c>
      <c r="AN1972" t="str">
        <f t="shared" si="397"/>
        <v>Valid</v>
      </c>
      <c r="AO1972" t="str">
        <f t="shared" si="398"/>
        <v>Valid</v>
      </c>
      <c r="AP1972" t="str">
        <f t="shared" si="399"/>
        <v>Valid</v>
      </c>
      <c r="AQ1972" t="str">
        <f>IF(Audit_Data[[#This Row],[Z_CostContact]]=3,"Valid","Invalid")</f>
        <v>Valid</v>
      </c>
      <c r="AR1972" t="str">
        <f t="shared" si="400"/>
        <v>Valid</v>
      </c>
      <c r="AS1972" t="str">
        <f t="shared" si="401"/>
        <v>Valid</v>
      </c>
    </row>
    <row r="1973" spans="1:45" x14ac:dyDescent="0.3">
      <c r="A1973">
        <v>4338</v>
      </c>
      <c r="B1973">
        <v>1983</v>
      </c>
      <c r="C1973" t="s">
        <v>29</v>
      </c>
      <c r="D1973" t="s">
        <v>30</v>
      </c>
      <c r="E1973">
        <v>39062</v>
      </c>
      <c r="F1973">
        <v>1</v>
      </c>
      <c r="G1973">
        <v>0</v>
      </c>
      <c r="H1973" s="1">
        <v>41723</v>
      </c>
      <c r="I1973">
        <v>28</v>
      </c>
      <c r="J1973">
        <v>23</v>
      </c>
      <c r="K1973">
        <v>0</v>
      </c>
      <c r="L1973">
        <v>9</v>
      </c>
      <c r="M1973">
        <v>0</v>
      </c>
      <c r="N1973">
        <v>0</v>
      </c>
      <c r="O1973">
        <v>12</v>
      </c>
      <c r="P1973">
        <v>1</v>
      </c>
      <c r="Q1973">
        <v>1</v>
      </c>
      <c r="R1973">
        <v>0</v>
      </c>
      <c r="S1973">
        <v>3</v>
      </c>
      <c r="T1973">
        <v>4</v>
      </c>
      <c r="U1973">
        <v>1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3</v>
      </c>
      <c r="AB1973">
        <v>11</v>
      </c>
      <c r="AC1973">
        <v>0</v>
      </c>
      <c r="AD1973" t="str">
        <f t="shared" si="390"/>
        <v>Ok</v>
      </c>
      <c r="AE1973" t="str">
        <f>IF(AND(Audit_Data[[#This Row],[Year_Birth]]&gt;=1900,Audit_Data[[#This Row],[Year_Birth]]&lt;=2010),"OK","Invalid")</f>
        <v>OK</v>
      </c>
      <c r="AF1973" t="str">
        <f t="shared" si="391"/>
        <v>Valid</v>
      </c>
      <c r="AG1973" t="str">
        <f t="shared" si="392"/>
        <v>Valid</v>
      </c>
      <c r="AH1973" t="str">
        <f t="shared" si="393"/>
        <v>Valid</v>
      </c>
      <c r="AI1973" t="str">
        <f t="shared" si="394"/>
        <v>Valid</v>
      </c>
      <c r="AJ1973" t="str">
        <f t="shared" si="395"/>
        <v>Valid</v>
      </c>
      <c r="AK1973" t="str">
        <f t="shared" si="402"/>
        <v xml:space="preserve">Valid </v>
      </c>
      <c r="AL1973" t="str">
        <f>IF(AND(Audit_Data[[#This Row],[Recency]]&gt;=0,Audit_Data[[#This Row],[Recency]]&lt;=100),"Valid","Invalid")</f>
        <v>Valid</v>
      </c>
      <c r="AM1973" t="str">
        <f t="shared" si="396"/>
        <v>Valid</v>
      </c>
      <c r="AN1973" t="str">
        <f t="shared" si="397"/>
        <v>Valid</v>
      </c>
      <c r="AO1973" t="str">
        <f t="shared" si="398"/>
        <v>Valid</v>
      </c>
      <c r="AP1973" t="str">
        <f t="shared" si="399"/>
        <v>Valid</v>
      </c>
      <c r="AQ1973" t="str">
        <f>IF(Audit_Data[[#This Row],[Z_CostContact]]=3,"Valid","Invalid")</f>
        <v>Valid</v>
      </c>
      <c r="AR1973" t="str">
        <f t="shared" si="400"/>
        <v>Valid</v>
      </c>
      <c r="AS1973" t="str">
        <f t="shared" si="401"/>
        <v>Valid</v>
      </c>
    </row>
    <row r="1974" spans="1:45" x14ac:dyDescent="0.3">
      <c r="A1974">
        <v>2452</v>
      </c>
      <c r="B1974">
        <v>1971</v>
      </c>
      <c r="C1974" t="s">
        <v>29</v>
      </c>
      <c r="D1974" t="s">
        <v>31</v>
      </c>
      <c r="E1974">
        <v>34600</v>
      </c>
      <c r="F1974">
        <v>1</v>
      </c>
      <c r="G1974">
        <v>1</v>
      </c>
      <c r="H1974" s="1">
        <v>41275</v>
      </c>
      <c r="I1974">
        <v>8</v>
      </c>
      <c r="J1974">
        <v>199</v>
      </c>
      <c r="K1974">
        <v>33</v>
      </c>
      <c r="L1974">
        <v>60</v>
      </c>
      <c r="M1974">
        <v>8</v>
      </c>
      <c r="N1974">
        <v>3</v>
      </c>
      <c r="O1974">
        <v>15</v>
      </c>
      <c r="P1974">
        <v>5</v>
      </c>
      <c r="Q1974">
        <v>5</v>
      </c>
      <c r="R1974">
        <v>2</v>
      </c>
      <c r="S1974">
        <v>5</v>
      </c>
      <c r="T1974">
        <v>8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3</v>
      </c>
      <c r="AB1974">
        <v>11</v>
      </c>
      <c r="AC1974">
        <v>1</v>
      </c>
      <c r="AD1974" t="str">
        <f t="shared" si="390"/>
        <v>Ok</v>
      </c>
      <c r="AE1974" t="str">
        <f>IF(AND(Audit_Data[[#This Row],[Year_Birth]]&gt;=1900,Audit_Data[[#This Row],[Year_Birth]]&lt;=2010),"OK","Invalid")</f>
        <v>OK</v>
      </c>
      <c r="AF1974" t="str">
        <f t="shared" si="391"/>
        <v>Valid</v>
      </c>
      <c r="AG1974" t="str">
        <f t="shared" si="392"/>
        <v>Valid</v>
      </c>
      <c r="AH1974" t="str">
        <f t="shared" si="393"/>
        <v>Valid</v>
      </c>
      <c r="AI1974" t="str">
        <f t="shared" si="394"/>
        <v>Valid</v>
      </c>
      <c r="AJ1974" t="str">
        <f t="shared" si="395"/>
        <v>Valid</v>
      </c>
      <c r="AK1974" t="str">
        <f t="shared" si="402"/>
        <v xml:space="preserve">Valid </v>
      </c>
      <c r="AL1974" t="str">
        <f>IF(AND(Audit_Data[[#This Row],[Recency]]&gt;=0,Audit_Data[[#This Row],[Recency]]&lt;=100),"Valid","Invalid")</f>
        <v>Valid</v>
      </c>
      <c r="AM1974" t="str">
        <f t="shared" si="396"/>
        <v>Valid</v>
      </c>
      <c r="AN1974" t="str">
        <f t="shared" si="397"/>
        <v>Valid</v>
      </c>
      <c r="AO1974" t="str">
        <f t="shared" si="398"/>
        <v>Valid</v>
      </c>
      <c r="AP1974" t="str">
        <f t="shared" si="399"/>
        <v>Valid</v>
      </c>
      <c r="AQ1974" t="str">
        <f>IF(Audit_Data[[#This Row],[Z_CostContact]]=3,"Valid","Invalid")</f>
        <v>Valid</v>
      </c>
      <c r="AR1974" t="str">
        <f t="shared" si="400"/>
        <v>Valid</v>
      </c>
      <c r="AS1974" t="str">
        <f t="shared" si="401"/>
        <v>Valid</v>
      </c>
    </row>
    <row r="1975" spans="1:45" x14ac:dyDescent="0.3">
      <c r="A1975">
        <v>9507</v>
      </c>
      <c r="B1975">
        <v>1975</v>
      </c>
      <c r="C1975" t="s">
        <v>29</v>
      </c>
      <c r="D1975" t="s">
        <v>33</v>
      </c>
      <c r="E1975">
        <v>40794</v>
      </c>
      <c r="F1975">
        <v>0</v>
      </c>
      <c r="G1975">
        <v>1</v>
      </c>
      <c r="H1975" s="1">
        <v>41371</v>
      </c>
      <c r="I1975">
        <v>18</v>
      </c>
      <c r="J1975">
        <v>261</v>
      </c>
      <c r="K1975">
        <v>23</v>
      </c>
      <c r="L1975">
        <v>73</v>
      </c>
      <c r="M1975">
        <v>4</v>
      </c>
      <c r="N1975">
        <v>23</v>
      </c>
      <c r="O1975">
        <v>50</v>
      </c>
      <c r="P1975">
        <v>2</v>
      </c>
      <c r="Q1975">
        <v>6</v>
      </c>
      <c r="R1975">
        <v>3</v>
      </c>
      <c r="S1975">
        <v>5</v>
      </c>
      <c r="T1975">
        <v>7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3</v>
      </c>
      <c r="AB1975">
        <v>11</v>
      </c>
      <c r="AC1975">
        <v>0</v>
      </c>
      <c r="AD1975" t="str">
        <f t="shared" si="390"/>
        <v>Ok</v>
      </c>
      <c r="AE1975" t="str">
        <f>IF(AND(Audit_Data[[#This Row],[Year_Birth]]&gt;=1900,Audit_Data[[#This Row],[Year_Birth]]&lt;=2010),"OK","Invalid")</f>
        <v>OK</v>
      </c>
      <c r="AF1975" t="str">
        <f t="shared" si="391"/>
        <v>Valid</v>
      </c>
      <c r="AG1975" t="str">
        <f t="shared" si="392"/>
        <v>Valid</v>
      </c>
      <c r="AH1975" t="str">
        <f t="shared" si="393"/>
        <v>Valid</v>
      </c>
      <c r="AI1975" t="str">
        <f t="shared" si="394"/>
        <v>Valid</v>
      </c>
      <c r="AJ1975" t="str">
        <f t="shared" si="395"/>
        <v>Valid</v>
      </c>
      <c r="AK1975" t="str">
        <f t="shared" si="402"/>
        <v xml:space="preserve">Valid </v>
      </c>
      <c r="AL1975" t="str">
        <f>IF(AND(Audit_Data[[#This Row],[Recency]]&gt;=0,Audit_Data[[#This Row],[Recency]]&lt;=100),"Valid","Invalid")</f>
        <v>Valid</v>
      </c>
      <c r="AM1975" t="str">
        <f t="shared" si="396"/>
        <v>Valid</v>
      </c>
      <c r="AN1975" t="str">
        <f t="shared" si="397"/>
        <v>Valid</v>
      </c>
      <c r="AO1975" t="str">
        <f t="shared" si="398"/>
        <v>Valid</v>
      </c>
      <c r="AP1975" t="str">
        <f t="shared" si="399"/>
        <v>Valid</v>
      </c>
      <c r="AQ1975" t="str">
        <f>IF(Audit_Data[[#This Row],[Z_CostContact]]=3,"Valid","Invalid")</f>
        <v>Valid</v>
      </c>
      <c r="AR1975" t="str">
        <f t="shared" si="400"/>
        <v>Valid</v>
      </c>
      <c r="AS1975" t="str">
        <f t="shared" si="401"/>
        <v>Valid</v>
      </c>
    </row>
    <row r="1976" spans="1:45" x14ac:dyDescent="0.3">
      <c r="A1976">
        <v>8360</v>
      </c>
      <c r="B1976">
        <v>1971</v>
      </c>
      <c r="C1976" t="s">
        <v>37</v>
      </c>
      <c r="D1976" t="s">
        <v>33</v>
      </c>
      <c r="E1976">
        <v>54690</v>
      </c>
      <c r="F1976">
        <v>1</v>
      </c>
      <c r="G1976">
        <v>1</v>
      </c>
      <c r="H1976" s="1">
        <v>41585</v>
      </c>
      <c r="I1976">
        <v>76</v>
      </c>
      <c r="J1976">
        <v>111</v>
      </c>
      <c r="K1976">
        <v>16</v>
      </c>
      <c r="L1976">
        <v>37</v>
      </c>
      <c r="M1976">
        <v>7</v>
      </c>
      <c r="N1976">
        <v>9</v>
      </c>
      <c r="O1976">
        <v>18</v>
      </c>
      <c r="P1976">
        <v>3</v>
      </c>
      <c r="Q1976">
        <v>3</v>
      </c>
      <c r="R1976">
        <v>1</v>
      </c>
      <c r="S1976">
        <v>5</v>
      </c>
      <c r="T1976">
        <v>3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3</v>
      </c>
      <c r="AB1976">
        <v>11</v>
      </c>
      <c r="AC1976">
        <v>0</v>
      </c>
      <c r="AD1976" t="str">
        <f t="shared" si="390"/>
        <v>Ok</v>
      </c>
      <c r="AE1976" t="str">
        <f>IF(AND(Audit_Data[[#This Row],[Year_Birth]]&gt;=1900,Audit_Data[[#This Row],[Year_Birth]]&lt;=2010),"OK","Invalid")</f>
        <v>OK</v>
      </c>
      <c r="AF1976" t="str">
        <f t="shared" si="391"/>
        <v>Valid</v>
      </c>
      <c r="AG1976" t="str">
        <f t="shared" si="392"/>
        <v>Valid</v>
      </c>
      <c r="AH1976" t="str">
        <f t="shared" si="393"/>
        <v>Valid</v>
      </c>
      <c r="AI1976" t="str">
        <f t="shared" si="394"/>
        <v>Valid</v>
      </c>
      <c r="AJ1976" t="str">
        <f t="shared" si="395"/>
        <v>Valid</v>
      </c>
      <c r="AK1976" t="str">
        <f t="shared" si="402"/>
        <v xml:space="preserve">Valid </v>
      </c>
      <c r="AL1976" t="str">
        <f>IF(AND(Audit_Data[[#This Row],[Recency]]&gt;=0,Audit_Data[[#This Row],[Recency]]&lt;=100),"Valid","Invalid")</f>
        <v>Valid</v>
      </c>
      <c r="AM1976" t="str">
        <f t="shared" si="396"/>
        <v>Valid</v>
      </c>
      <c r="AN1976" t="str">
        <f t="shared" si="397"/>
        <v>Valid</v>
      </c>
      <c r="AO1976" t="str">
        <f t="shared" si="398"/>
        <v>Valid</v>
      </c>
      <c r="AP1976" t="str">
        <f t="shared" si="399"/>
        <v>Valid</v>
      </c>
      <c r="AQ1976" t="str">
        <f>IF(Audit_Data[[#This Row],[Z_CostContact]]=3,"Valid","Invalid")</f>
        <v>Valid</v>
      </c>
      <c r="AR1976" t="str">
        <f t="shared" si="400"/>
        <v>Valid</v>
      </c>
      <c r="AS1976" t="str">
        <f t="shared" si="401"/>
        <v>Valid</v>
      </c>
    </row>
    <row r="1977" spans="1:45" x14ac:dyDescent="0.3">
      <c r="A1977">
        <v>10311</v>
      </c>
      <c r="B1977">
        <v>1969</v>
      </c>
      <c r="C1977" t="s">
        <v>29</v>
      </c>
      <c r="D1977" t="s">
        <v>33</v>
      </c>
      <c r="E1977">
        <v>4428</v>
      </c>
      <c r="F1977">
        <v>0</v>
      </c>
      <c r="G1977">
        <v>1</v>
      </c>
      <c r="H1977" s="1">
        <v>41552</v>
      </c>
      <c r="I1977">
        <v>0</v>
      </c>
      <c r="J1977">
        <v>16</v>
      </c>
      <c r="K1977">
        <v>4</v>
      </c>
      <c r="L1977">
        <v>12</v>
      </c>
      <c r="M1977">
        <v>2</v>
      </c>
      <c r="N1977">
        <v>4</v>
      </c>
      <c r="O1977">
        <v>321</v>
      </c>
      <c r="P1977">
        <v>0</v>
      </c>
      <c r="Q1977">
        <v>25</v>
      </c>
      <c r="R1977">
        <v>0</v>
      </c>
      <c r="S1977">
        <v>0</v>
      </c>
      <c r="T1977">
        <v>1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3</v>
      </c>
      <c r="AB1977">
        <v>11</v>
      </c>
      <c r="AC1977">
        <v>0</v>
      </c>
      <c r="AD1977" t="str">
        <f t="shared" si="390"/>
        <v>Ok</v>
      </c>
      <c r="AE1977" t="str">
        <f>IF(AND(Audit_Data[[#This Row],[Year_Birth]]&gt;=1900,Audit_Data[[#This Row],[Year_Birth]]&lt;=2010),"OK","Invalid")</f>
        <v>OK</v>
      </c>
      <c r="AF1977" t="str">
        <f t="shared" si="391"/>
        <v>Valid</v>
      </c>
      <c r="AG1977" t="str">
        <f t="shared" si="392"/>
        <v>Valid</v>
      </c>
      <c r="AH1977" t="str">
        <f t="shared" si="393"/>
        <v>Valid</v>
      </c>
      <c r="AI1977" t="str">
        <f t="shared" si="394"/>
        <v>Valid</v>
      </c>
      <c r="AJ1977" t="str">
        <f t="shared" si="395"/>
        <v>Valid</v>
      </c>
      <c r="AK1977" t="str">
        <f t="shared" si="402"/>
        <v xml:space="preserve">Valid </v>
      </c>
      <c r="AL1977" t="str">
        <f>IF(AND(Audit_Data[[#This Row],[Recency]]&gt;=0,Audit_Data[[#This Row],[Recency]]&lt;=100),"Valid","Invalid")</f>
        <v>Valid</v>
      </c>
      <c r="AM1977" t="str">
        <f t="shared" si="396"/>
        <v>Valid</v>
      </c>
      <c r="AN1977" t="str">
        <f t="shared" si="397"/>
        <v>Valid</v>
      </c>
      <c r="AO1977" t="str">
        <f t="shared" si="398"/>
        <v>Valid</v>
      </c>
      <c r="AP1977" t="str">
        <f t="shared" si="399"/>
        <v>Valid</v>
      </c>
      <c r="AQ1977" t="str">
        <f>IF(Audit_Data[[#This Row],[Z_CostContact]]=3,"Valid","Invalid")</f>
        <v>Valid</v>
      </c>
      <c r="AR1977" t="str">
        <f t="shared" si="400"/>
        <v>Valid</v>
      </c>
      <c r="AS1977" t="str">
        <f t="shared" si="401"/>
        <v>Valid</v>
      </c>
    </row>
    <row r="1978" spans="1:45" x14ac:dyDescent="0.3">
      <c r="A1978">
        <v>5117</v>
      </c>
      <c r="B1978">
        <v>1963</v>
      </c>
      <c r="C1978" t="s">
        <v>37</v>
      </c>
      <c r="D1978" t="s">
        <v>33</v>
      </c>
      <c r="E1978">
        <v>32632</v>
      </c>
      <c r="F1978">
        <v>0</v>
      </c>
      <c r="G1978">
        <v>0</v>
      </c>
      <c r="H1978" s="1">
        <v>41123</v>
      </c>
      <c r="I1978">
        <v>32</v>
      </c>
      <c r="J1978">
        <v>63</v>
      </c>
      <c r="K1978">
        <v>151</v>
      </c>
      <c r="L1978">
        <v>137</v>
      </c>
      <c r="M1978">
        <v>153</v>
      </c>
      <c r="N1978">
        <v>19</v>
      </c>
      <c r="O1978">
        <v>53</v>
      </c>
      <c r="P1978">
        <v>2</v>
      </c>
      <c r="Q1978">
        <v>4</v>
      </c>
      <c r="R1978">
        <v>4</v>
      </c>
      <c r="S1978">
        <v>8</v>
      </c>
      <c r="T1978">
        <v>5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3</v>
      </c>
      <c r="AB1978">
        <v>11</v>
      </c>
      <c r="AC1978">
        <v>0</v>
      </c>
      <c r="AD1978" t="str">
        <f t="shared" si="390"/>
        <v>Ok</v>
      </c>
      <c r="AE1978" t="str">
        <f>IF(AND(Audit_Data[[#This Row],[Year_Birth]]&gt;=1900,Audit_Data[[#This Row],[Year_Birth]]&lt;=2010),"OK","Invalid")</f>
        <v>OK</v>
      </c>
      <c r="AF1978" t="str">
        <f t="shared" si="391"/>
        <v>Valid</v>
      </c>
      <c r="AG1978" t="str">
        <f t="shared" si="392"/>
        <v>Valid</v>
      </c>
      <c r="AH1978" t="str">
        <f t="shared" si="393"/>
        <v>Valid</v>
      </c>
      <c r="AI1978" t="str">
        <f t="shared" si="394"/>
        <v>Valid</v>
      </c>
      <c r="AJ1978" t="str">
        <f t="shared" si="395"/>
        <v>Valid</v>
      </c>
      <c r="AK1978" t="str">
        <f t="shared" si="402"/>
        <v xml:space="preserve">Valid </v>
      </c>
      <c r="AL1978" t="str">
        <f>IF(AND(Audit_Data[[#This Row],[Recency]]&gt;=0,Audit_Data[[#This Row],[Recency]]&lt;=100),"Valid","Invalid")</f>
        <v>Valid</v>
      </c>
      <c r="AM1978" t="str">
        <f t="shared" si="396"/>
        <v>Valid</v>
      </c>
      <c r="AN1978" t="str">
        <f t="shared" si="397"/>
        <v>Valid</v>
      </c>
      <c r="AO1978" t="str">
        <f t="shared" si="398"/>
        <v>Valid</v>
      </c>
      <c r="AP1978" t="str">
        <f t="shared" si="399"/>
        <v>Valid</v>
      </c>
      <c r="AQ1978" t="str">
        <f>IF(Audit_Data[[#This Row],[Z_CostContact]]=3,"Valid","Invalid")</f>
        <v>Valid</v>
      </c>
      <c r="AR1978" t="str">
        <f t="shared" si="400"/>
        <v>Valid</v>
      </c>
      <c r="AS1978" t="str">
        <f t="shared" si="401"/>
        <v>Valid</v>
      </c>
    </row>
    <row r="1979" spans="1:45" x14ac:dyDescent="0.3">
      <c r="A1979">
        <v>4867</v>
      </c>
      <c r="B1979">
        <v>1968</v>
      </c>
      <c r="C1979" t="s">
        <v>32</v>
      </c>
      <c r="D1979" t="s">
        <v>30</v>
      </c>
      <c r="E1979">
        <v>38236</v>
      </c>
      <c r="F1979">
        <v>1</v>
      </c>
      <c r="G1979">
        <v>1</v>
      </c>
      <c r="H1979" s="1">
        <v>41537</v>
      </c>
      <c r="I1979">
        <v>2</v>
      </c>
      <c r="J1979">
        <v>58</v>
      </c>
      <c r="K1979">
        <v>0</v>
      </c>
      <c r="L1979">
        <v>18</v>
      </c>
      <c r="M1979">
        <v>2</v>
      </c>
      <c r="N1979">
        <v>0</v>
      </c>
      <c r="O1979">
        <v>10</v>
      </c>
      <c r="P1979">
        <v>4</v>
      </c>
      <c r="Q1979">
        <v>3</v>
      </c>
      <c r="R1979">
        <v>0</v>
      </c>
      <c r="S1979">
        <v>4</v>
      </c>
      <c r="T1979">
        <v>7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3</v>
      </c>
      <c r="AB1979">
        <v>11</v>
      </c>
      <c r="AC1979">
        <v>0</v>
      </c>
      <c r="AD1979" t="str">
        <f t="shared" si="390"/>
        <v>Ok</v>
      </c>
      <c r="AE1979" t="str">
        <f>IF(AND(Audit_Data[[#This Row],[Year_Birth]]&gt;=1900,Audit_Data[[#This Row],[Year_Birth]]&lt;=2010),"OK","Invalid")</f>
        <v>OK</v>
      </c>
      <c r="AF1979" t="str">
        <f t="shared" si="391"/>
        <v>Valid</v>
      </c>
      <c r="AG1979" t="str">
        <f t="shared" si="392"/>
        <v>Valid</v>
      </c>
      <c r="AH1979" t="str">
        <f t="shared" si="393"/>
        <v>Valid</v>
      </c>
      <c r="AI1979" t="str">
        <f t="shared" si="394"/>
        <v>Valid</v>
      </c>
      <c r="AJ1979" t="str">
        <f t="shared" si="395"/>
        <v>Valid</v>
      </c>
      <c r="AK1979" t="str">
        <f t="shared" si="402"/>
        <v xml:space="preserve">Valid </v>
      </c>
      <c r="AL1979" t="str">
        <f>IF(AND(Audit_Data[[#This Row],[Recency]]&gt;=0,Audit_Data[[#This Row],[Recency]]&lt;=100),"Valid","Invalid")</f>
        <v>Valid</v>
      </c>
      <c r="AM1979" t="str">
        <f t="shared" si="396"/>
        <v>Valid</v>
      </c>
      <c r="AN1979" t="str">
        <f t="shared" si="397"/>
        <v>Valid</v>
      </c>
      <c r="AO1979" t="str">
        <f t="shared" si="398"/>
        <v>Valid</v>
      </c>
      <c r="AP1979" t="str">
        <f t="shared" si="399"/>
        <v>Valid</v>
      </c>
      <c r="AQ1979" t="str">
        <f>IF(Audit_Data[[#This Row],[Z_CostContact]]=3,"Valid","Invalid")</f>
        <v>Valid</v>
      </c>
      <c r="AR1979" t="str">
        <f t="shared" si="400"/>
        <v>Valid</v>
      </c>
      <c r="AS1979" t="str">
        <f t="shared" si="401"/>
        <v>Valid</v>
      </c>
    </row>
    <row r="1980" spans="1:45" x14ac:dyDescent="0.3">
      <c r="A1980">
        <v>9289</v>
      </c>
      <c r="B1980">
        <v>1979</v>
      </c>
      <c r="C1980" t="s">
        <v>29</v>
      </c>
      <c r="D1980" t="s">
        <v>33</v>
      </c>
      <c r="E1980">
        <v>36781</v>
      </c>
      <c r="F1980">
        <v>1</v>
      </c>
      <c r="G1980">
        <v>0</v>
      </c>
      <c r="H1980" s="1">
        <v>41739</v>
      </c>
      <c r="I1980">
        <v>16</v>
      </c>
      <c r="J1980">
        <v>29</v>
      </c>
      <c r="K1980">
        <v>1</v>
      </c>
      <c r="L1980">
        <v>17</v>
      </c>
      <c r="M1980">
        <v>0</v>
      </c>
      <c r="N1980">
        <v>3</v>
      </c>
      <c r="O1980">
        <v>13</v>
      </c>
      <c r="P1980">
        <v>1</v>
      </c>
      <c r="Q1980">
        <v>2</v>
      </c>
      <c r="R1980">
        <v>1</v>
      </c>
      <c r="S1980">
        <v>2</v>
      </c>
      <c r="T1980">
        <v>8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3</v>
      </c>
      <c r="AB1980">
        <v>11</v>
      </c>
      <c r="AC1980">
        <v>1</v>
      </c>
      <c r="AD1980" t="str">
        <f t="shared" si="390"/>
        <v>Ok</v>
      </c>
      <c r="AE1980" t="str">
        <f>IF(AND(Audit_Data[[#This Row],[Year_Birth]]&gt;=1900,Audit_Data[[#This Row],[Year_Birth]]&lt;=2010),"OK","Invalid")</f>
        <v>OK</v>
      </c>
      <c r="AF1980" t="str">
        <f t="shared" si="391"/>
        <v>Valid</v>
      </c>
      <c r="AG1980" t="str">
        <f t="shared" si="392"/>
        <v>Valid</v>
      </c>
      <c r="AH1980" t="str">
        <f t="shared" si="393"/>
        <v>Valid</v>
      </c>
      <c r="AI1980" t="str">
        <f t="shared" si="394"/>
        <v>Valid</v>
      </c>
      <c r="AJ1980" t="str">
        <f t="shared" si="395"/>
        <v>Valid</v>
      </c>
      <c r="AK1980" t="str">
        <f t="shared" si="402"/>
        <v xml:space="preserve">Valid </v>
      </c>
      <c r="AL1980" t="str">
        <f>IF(AND(Audit_Data[[#This Row],[Recency]]&gt;=0,Audit_Data[[#This Row],[Recency]]&lt;=100),"Valid","Invalid")</f>
        <v>Valid</v>
      </c>
      <c r="AM1980" t="str">
        <f t="shared" si="396"/>
        <v>Valid</v>
      </c>
      <c r="AN1980" t="str">
        <f t="shared" si="397"/>
        <v>Valid</v>
      </c>
      <c r="AO1980" t="str">
        <f t="shared" si="398"/>
        <v>Valid</v>
      </c>
      <c r="AP1980" t="str">
        <f t="shared" si="399"/>
        <v>Valid</v>
      </c>
      <c r="AQ1980" t="str">
        <f>IF(Audit_Data[[#This Row],[Z_CostContact]]=3,"Valid","Invalid")</f>
        <v>Valid</v>
      </c>
      <c r="AR1980" t="str">
        <f t="shared" si="400"/>
        <v>Valid</v>
      </c>
      <c r="AS1980" t="str">
        <f t="shared" si="401"/>
        <v>Valid</v>
      </c>
    </row>
    <row r="1981" spans="1:45" x14ac:dyDescent="0.3">
      <c r="A1981">
        <v>10913</v>
      </c>
      <c r="B1981">
        <v>1984</v>
      </c>
      <c r="C1981" t="s">
        <v>34</v>
      </c>
      <c r="D1981" t="s">
        <v>30</v>
      </c>
      <c r="E1981">
        <v>31385</v>
      </c>
      <c r="F1981">
        <v>1</v>
      </c>
      <c r="G1981">
        <v>0</v>
      </c>
      <c r="H1981" s="1">
        <v>41248</v>
      </c>
      <c r="I1981">
        <v>56</v>
      </c>
      <c r="J1981">
        <v>3</v>
      </c>
      <c r="K1981">
        <v>2</v>
      </c>
      <c r="L1981">
        <v>12</v>
      </c>
      <c r="M1981">
        <v>0</v>
      </c>
      <c r="N1981">
        <v>1</v>
      </c>
      <c r="O1981">
        <v>9</v>
      </c>
      <c r="P1981">
        <v>1</v>
      </c>
      <c r="Q1981">
        <v>1</v>
      </c>
      <c r="R1981">
        <v>0</v>
      </c>
      <c r="S1981">
        <v>2</v>
      </c>
      <c r="T1981">
        <v>8</v>
      </c>
      <c r="U1981">
        <v>1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3</v>
      </c>
      <c r="AB1981">
        <v>11</v>
      </c>
      <c r="AC1981">
        <v>1</v>
      </c>
      <c r="AD1981" t="str">
        <f t="shared" si="390"/>
        <v>Ok</v>
      </c>
      <c r="AE1981" t="str">
        <f>IF(AND(Audit_Data[[#This Row],[Year_Birth]]&gt;=1900,Audit_Data[[#This Row],[Year_Birth]]&lt;=2010),"OK","Invalid")</f>
        <v>OK</v>
      </c>
      <c r="AF1981" t="str">
        <f t="shared" si="391"/>
        <v>Valid</v>
      </c>
      <c r="AG1981" t="str">
        <f t="shared" si="392"/>
        <v>Valid</v>
      </c>
      <c r="AH1981" t="str">
        <f t="shared" si="393"/>
        <v>Valid</v>
      </c>
      <c r="AI1981" t="str">
        <f t="shared" si="394"/>
        <v>Valid</v>
      </c>
      <c r="AJ1981" t="str">
        <f t="shared" si="395"/>
        <v>Valid</v>
      </c>
      <c r="AK1981" t="str">
        <f t="shared" si="402"/>
        <v xml:space="preserve">Valid </v>
      </c>
      <c r="AL1981" t="str">
        <f>IF(AND(Audit_Data[[#This Row],[Recency]]&gt;=0,Audit_Data[[#This Row],[Recency]]&lt;=100),"Valid","Invalid")</f>
        <v>Valid</v>
      </c>
      <c r="AM1981" t="str">
        <f t="shared" si="396"/>
        <v>Valid</v>
      </c>
      <c r="AN1981" t="str">
        <f t="shared" si="397"/>
        <v>Valid</v>
      </c>
      <c r="AO1981" t="str">
        <f t="shared" si="398"/>
        <v>Valid</v>
      </c>
      <c r="AP1981" t="str">
        <f t="shared" si="399"/>
        <v>Valid</v>
      </c>
      <c r="AQ1981" t="str">
        <f>IF(Audit_Data[[#This Row],[Z_CostContact]]=3,"Valid","Invalid")</f>
        <v>Valid</v>
      </c>
      <c r="AR1981" t="str">
        <f t="shared" si="400"/>
        <v>Valid</v>
      </c>
      <c r="AS1981" t="str">
        <f t="shared" si="401"/>
        <v>Valid</v>
      </c>
    </row>
    <row r="1982" spans="1:45" x14ac:dyDescent="0.3">
      <c r="A1982">
        <v>3032</v>
      </c>
      <c r="B1982">
        <v>1984</v>
      </c>
      <c r="C1982" t="s">
        <v>29</v>
      </c>
      <c r="D1982" t="s">
        <v>33</v>
      </c>
      <c r="E1982">
        <v>24570</v>
      </c>
      <c r="F1982">
        <v>1</v>
      </c>
      <c r="G1982">
        <v>0</v>
      </c>
      <c r="H1982" s="1">
        <v>41332</v>
      </c>
      <c r="I1982">
        <v>97</v>
      </c>
      <c r="J1982">
        <v>28</v>
      </c>
      <c r="K1982">
        <v>34</v>
      </c>
      <c r="L1982">
        <v>62</v>
      </c>
      <c r="M1982">
        <v>11</v>
      </c>
      <c r="N1982">
        <v>14</v>
      </c>
      <c r="O1982">
        <v>44</v>
      </c>
      <c r="P1982">
        <v>3</v>
      </c>
      <c r="Q1982">
        <v>4</v>
      </c>
      <c r="R1982">
        <v>0</v>
      </c>
      <c r="S1982">
        <v>4</v>
      </c>
      <c r="T1982">
        <v>9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3</v>
      </c>
      <c r="AB1982">
        <v>11</v>
      </c>
      <c r="AC1982">
        <v>0</v>
      </c>
      <c r="AD1982" t="str">
        <f t="shared" si="390"/>
        <v>Ok</v>
      </c>
      <c r="AE1982" t="str">
        <f>IF(AND(Audit_Data[[#This Row],[Year_Birth]]&gt;=1900,Audit_Data[[#This Row],[Year_Birth]]&lt;=2010),"OK","Invalid")</f>
        <v>OK</v>
      </c>
      <c r="AF1982" t="str">
        <f t="shared" si="391"/>
        <v>Valid</v>
      </c>
      <c r="AG1982" t="str">
        <f t="shared" si="392"/>
        <v>Valid</v>
      </c>
      <c r="AH1982" t="str">
        <f t="shared" si="393"/>
        <v>Valid</v>
      </c>
      <c r="AI1982" t="str">
        <f t="shared" si="394"/>
        <v>Valid</v>
      </c>
      <c r="AJ1982" t="str">
        <f t="shared" si="395"/>
        <v>Valid</v>
      </c>
      <c r="AK1982" t="str">
        <f t="shared" si="402"/>
        <v xml:space="preserve">Valid </v>
      </c>
      <c r="AL1982" t="str">
        <f>IF(AND(Audit_Data[[#This Row],[Recency]]&gt;=0,Audit_Data[[#This Row],[Recency]]&lt;=100),"Valid","Invalid")</f>
        <v>Valid</v>
      </c>
      <c r="AM1982" t="str">
        <f t="shared" si="396"/>
        <v>Valid</v>
      </c>
      <c r="AN1982" t="str">
        <f t="shared" si="397"/>
        <v>Valid</v>
      </c>
      <c r="AO1982" t="str">
        <f t="shared" si="398"/>
        <v>Valid</v>
      </c>
      <c r="AP1982" t="str">
        <f t="shared" si="399"/>
        <v>Valid</v>
      </c>
      <c r="AQ1982" t="str">
        <f>IF(Audit_Data[[#This Row],[Z_CostContact]]=3,"Valid","Invalid")</f>
        <v>Valid</v>
      </c>
      <c r="AR1982" t="str">
        <f t="shared" si="400"/>
        <v>Valid</v>
      </c>
      <c r="AS1982" t="str">
        <f t="shared" si="401"/>
        <v>Valid</v>
      </c>
    </row>
    <row r="1983" spans="1:45" x14ac:dyDescent="0.3">
      <c r="A1983">
        <v>8524</v>
      </c>
      <c r="B1983">
        <v>1974</v>
      </c>
      <c r="C1983" t="s">
        <v>32</v>
      </c>
      <c r="D1983" t="s">
        <v>35</v>
      </c>
      <c r="E1983">
        <v>25509</v>
      </c>
      <c r="F1983">
        <v>1</v>
      </c>
      <c r="G1983">
        <v>0</v>
      </c>
      <c r="H1983" s="1">
        <v>41170</v>
      </c>
      <c r="I1983">
        <v>15</v>
      </c>
      <c r="J1983">
        <v>40</v>
      </c>
      <c r="K1983">
        <v>3</v>
      </c>
      <c r="L1983">
        <v>30</v>
      </c>
      <c r="M1983">
        <v>10</v>
      </c>
      <c r="N1983">
        <v>7</v>
      </c>
      <c r="O1983">
        <v>11</v>
      </c>
      <c r="P1983">
        <v>3</v>
      </c>
      <c r="Q1983">
        <v>3</v>
      </c>
      <c r="R1983">
        <v>0</v>
      </c>
      <c r="S1983">
        <v>3</v>
      </c>
      <c r="T1983">
        <v>9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3</v>
      </c>
      <c r="AB1983">
        <v>11</v>
      </c>
      <c r="AC1983">
        <v>1</v>
      </c>
      <c r="AD1983" t="str">
        <f t="shared" si="390"/>
        <v>Ok</v>
      </c>
      <c r="AE1983" t="str">
        <f>IF(AND(Audit_Data[[#This Row],[Year_Birth]]&gt;=1900,Audit_Data[[#This Row],[Year_Birth]]&lt;=2010),"OK","Invalid")</f>
        <v>OK</v>
      </c>
      <c r="AF1983" t="str">
        <f t="shared" si="391"/>
        <v>Valid</v>
      </c>
      <c r="AG1983" t="str">
        <f t="shared" si="392"/>
        <v>Valid</v>
      </c>
      <c r="AH1983" t="str">
        <f t="shared" si="393"/>
        <v>Valid</v>
      </c>
      <c r="AI1983" t="str">
        <f t="shared" si="394"/>
        <v>Valid</v>
      </c>
      <c r="AJ1983" t="str">
        <f t="shared" si="395"/>
        <v>Valid</v>
      </c>
      <c r="AK1983" t="str">
        <f t="shared" si="402"/>
        <v xml:space="preserve">Valid </v>
      </c>
      <c r="AL1983" t="str">
        <f>IF(AND(Audit_Data[[#This Row],[Recency]]&gt;=0,Audit_Data[[#This Row],[Recency]]&lt;=100),"Valid","Invalid")</f>
        <v>Valid</v>
      </c>
      <c r="AM1983" t="str">
        <f t="shared" si="396"/>
        <v>Valid</v>
      </c>
      <c r="AN1983" t="str">
        <f t="shared" si="397"/>
        <v>Valid</v>
      </c>
      <c r="AO1983" t="str">
        <f t="shared" si="398"/>
        <v>Valid</v>
      </c>
      <c r="AP1983" t="str">
        <f t="shared" si="399"/>
        <v>Valid</v>
      </c>
      <c r="AQ1983" t="str">
        <f>IF(Audit_Data[[#This Row],[Z_CostContact]]=3,"Valid","Invalid")</f>
        <v>Valid</v>
      </c>
      <c r="AR1983" t="str">
        <f t="shared" si="400"/>
        <v>Valid</v>
      </c>
      <c r="AS1983" t="str">
        <f t="shared" si="401"/>
        <v>Valid</v>
      </c>
    </row>
    <row r="1984" spans="1:45" x14ac:dyDescent="0.3">
      <c r="A1984">
        <v>3334</v>
      </c>
      <c r="B1984">
        <v>1951</v>
      </c>
      <c r="C1984" t="s">
        <v>29</v>
      </c>
      <c r="D1984" t="s">
        <v>33</v>
      </c>
      <c r="E1984">
        <v>94642</v>
      </c>
      <c r="F1984">
        <v>0</v>
      </c>
      <c r="G1984">
        <v>0</v>
      </c>
      <c r="H1984" s="1">
        <v>41682</v>
      </c>
      <c r="I1984">
        <v>35</v>
      </c>
      <c r="J1984">
        <v>879</v>
      </c>
      <c r="K1984">
        <v>143</v>
      </c>
      <c r="L1984">
        <v>797</v>
      </c>
      <c r="M1984">
        <v>106</v>
      </c>
      <c r="N1984">
        <v>143</v>
      </c>
      <c r="O1984">
        <v>143</v>
      </c>
      <c r="P1984">
        <v>0</v>
      </c>
      <c r="Q1984">
        <v>5</v>
      </c>
      <c r="R1984">
        <v>7</v>
      </c>
      <c r="S1984">
        <v>9</v>
      </c>
      <c r="T1984">
        <v>1</v>
      </c>
      <c r="U1984">
        <v>0</v>
      </c>
      <c r="V1984">
        <v>0</v>
      </c>
      <c r="W1984">
        <v>1</v>
      </c>
      <c r="X1984">
        <v>1</v>
      </c>
      <c r="Y1984">
        <v>0</v>
      </c>
      <c r="Z1984">
        <v>0</v>
      </c>
      <c r="AA1984">
        <v>3</v>
      </c>
      <c r="AB1984">
        <v>11</v>
      </c>
      <c r="AC1984">
        <v>0</v>
      </c>
      <c r="AD1984" t="str">
        <f t="shared" si="390"/>
        <v>Ok</v>
      </c>
      <c r="AE1984" t="str">
        <f>IF(AND(Audit_Data[[#This Row],[Year_Birth]]&gt;=1900,Audit_Data[[#This Row],[Year_Birth]]&lt;=2010),"OK","Invalid")</f>
        <v>OK</v>
      </c>
      <c r="AF1984" t="str">
        <f t="shared" si="391"/>
        <v>Valid</v>
      </c>
      <c r="AG1984" t="str">
        <f t="shared" si="392"/>
        <v>Valid</v>
      </c>
      <c r="AH1984" t="str">
        <f t="shared" si="393"/>
        <v>Valid</v>
      </c>
      <c r="AI1984" t="str">
        <f t="shared" si="394"/>
        <v>Valid</v>
      </c>
      <c r="AJ1984" t="str">
        <f t="shared" si="395"/>
        <v>Valid</v>
      </c>
      <c r="AK1984" t="str">
        <f t="shared" si="402"/>
        <v xml:space="preserve">Valid </v>
      </c>
      <c r="AL1984" t="str">
        <f>IF(AND(Audit_Data[[#This Row],[Recency]]&gt;=0,Audit_Data[[#This Row],[Recency]]&lt;=100),"Valid","Invalid")</f>
        <v>Valid</v>
      </c>
      <c r="AM1984" t="str">
        <f t="shared" si="396"/>
        <v>Valid</v>
      </c>
      <c r="AN1984" t="str">
        <f t="shared" si="397"/>
        <v>Valid</v>
      </c>
      <c r="AO1984" t="str">
        <f t="shared" si="398"/>
        <v>Valid</v>
      </c>
      <c r="AP1984" t="str">
        <f t="shared" si="399"/>
        <v>Valid</v>
      </c>
      <c r="AQ1984" t="str">
        <f>IF(Audit_Data[[#This Row],[Z_CostContact]]=3,"Valid","Invalid")</f>
        <v>Valid</v>
      </c>
      <c r="AR1984" t="str">
        <f t="shared" si="400"/>
        <v>Valid</v>
      </c>
      <c r="AS1984" t="str">
        <f t="shared" si="401"/>
        <v>Valid</v>
      </c>
    </row>
    <row r="1985" spans="1:45" x14ac:dyDescent="0.3">
      <c r="A1985">
        <v>4470</v>
      </c>
      <c r="B1985">
        <v>1962</v>
      </c>
      <c r="C1985" t="s">
        <v>34</v>
      </c>
      <c r="D1985" t="s">
        <v>33</v>
      </c>
      <c r="E1985">
        <v>58646</v>
      </c>
      <c r="F1985">
        <v>0</v>
      </c>
      <c r="G1985">
        <v>1</v>
      </c>
      <c r="H1985" s="1">
        <v>41435</v>
      </c>
      <c r="I1985">
        <v>3</v>
      </c>
      <c r="J1985">
        <v>62</v>
      </c>
      <c r="K1985">
        <v>1</v>
      </c>
      <c r="L1985">
        <v>44</v>
      </c>
      <c r="M1985">
        <v>6</v>
      </c>
      <c r="N1985">
        <v>5</v>
      </c>
      <c r="O1985">
        <v>22</v>
      </c>
      <c r="P1985">
        <v>1</v>
      </c>
      <c r="Q1985">
        <v>2</v>
      </c>
      <c r="R1985">
        <v>1</v>
      </c>
      <c r="S1985">
        <v>4</v>
      </c>
      <c r="T1985">
        <v>4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3</v>
      </c>
      <c r="AB1985">
        <v>11</v>
      </c>
      <c r="AC1985">
        <v>0</v>
      </c>
      <c r="AD1985" t="str">
        <f t="shared" si="390"/>
        <v>Ok</v>
      </c>
      <c r="AE1985" t="str">
        <f>IF(AND(Audit_Data[[#This Row],[Year_Birth]]&gt;=1900,Audit_Data[[#This Row],[Year_Birth]]&lt;=2010),"OK","Invalid")</f>
        <v>OK</v>
      </c>
      <c r="AF1985" t="str">
        <f t="shared" si="391"/>
        <v>Valid</v>
      </c>
      <c r="AG1985" t="str">
        <f t="shared" si="392"/>
        <v>Valid</v>
      </c>
      <c r="AH1985" t="str">
        <f t="shared" si="393"/>
        <v>Valid</v>
      </c>
      <c r="AI1985" t="str">
        <f t="shared" si="394"/>
        <v>Valid</v>
      </c>
      <c r="AJ1985" t="str">
        <f t="shared" si="395"/>
        <v>Valid</v>
      </c>
      <c r="AK1985" t="str">
        <f t="shared" si="402"/>
        <v xml:space="preserve">Valid </v>
      </c>
      <c r="AL1985" t="str">
        <f>IF(AND(Audit_Data[[#This Row],[Recency]]&gt;=0,Audit_Data[[#This Row],[Recency]]&lt;=100),"Valid","Invalid")</f>
        <v>Valid</v>
      </c>
      <c r="AM1985" t="str">
        <f t="shared" si="396"/>
        <v>Valid</v>
      </c>
      <c r="AN1985" t="str">
        <f t="shared" si="397"/>
        <v>Valid</v>
      </c>
      <c r="AO1985" t="str">
        <f t="shared" si="398"/>
        <v>Valid</v>
      </c>
      <c r="AP1985" t="str">
        <f t="shared" si="399"/>
        <v>Valid</v>
      </c>
      <c r="AQ1985" t="str">
        <f>IF(Audit_Data[[#This Row],[Z_CostContact]]=3,"Valid","Invalid")</f>
        <v>Valid</v>
      </c>
      <c r="AR1985" t="str">
        <f t="shared" si="400"/>
        <v>Valid</v>
      </c>
      <c r="AS1985" t="str">
        <f t="shared" si="401"/>
        <v>Valid</v>
      </c>
    </row>
    <row r="1986" spans="1:45" x14ac:dyDescent="0.3">
      <c r="A1986">
        <v>1406</v>
      </c>
      <c r="B1986">
        <v>1975</v>
      </c>
      <c r="C1986" t="s">
        <v>29</v>
      </c>
      <c r="D1986" t="s">
        <v>30</v>
      </c>
      <c r="E1986">
        <v>53201</v>
      </c>
      <c r="F1986">
        <v>1</v>
      </c>
      <c r="G1986">
        <v>1</v>
      </c>
      <c r="H1986" s="1">
        <v>41317</v>
      </c>
      <c r="I1986">
        <v>49</v>
      </c>
      <c r="J1986">
        <v>280</v>
      </c>
      <c r="K1986">
        <v>7</v>
      </c>
      <c r="L1986">
        <v>81</v>
      </c>
      <c r="M1986">
        <v>20</v>
      </c>
      <c r="N1986">
        <v>0</v>
      </c>
      <c r="O1986">
        <v>27</v>
      </c>
      <c r="P1986">
        <v>8</v>
      </c>
      <c r="Q1986">
        <v>6</v>
      </c>
      <c r="R1986">
        <v>3</v>
      </c>
      <c r="S1986">
        <v>5</v>
      </c>
      <c r="T1986">
        <v>7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3</v>
      </c>
      <c r="AB1986">
        <v>11</v>
      </c>
      <c r="AC1986">
        <v>0</v>
      </c>
      <c r="AD1986" t="str">
        <f t="shared" ref="AD1986:AD2049" si="403">IF(COUNTIF(A:A,A1986)&gt;1,"Duplicate","Ok")</f>
        <v>Ok</v>
      </c>
      <c r="AE1986" t="str">
        <f>IF(AND(Audit_Data[[#This Row],[Year_Birth]]&gt;=1900,Audit_Data[[#This Row],[Year_Birth]]&lt;=2010),"OK","Invalid")</f>
        <v>OK</v>
      </c>
      <c r="AF1986" t="str">
        <f t="shared" ref="AF1986:AF2049" si="404">IF(OR(C1986="Graduation",C1986="phD",C1986="Master",C1986="Basic",C1986="2n Cycle"),"Valid","Invalid")</f>
        <v>Valid</v>
      </c>
      <c r="AG1986" t="str">
        <f t="shared" ref="AG1986:AG2049" si="405">IF(OR(D1986="Single",D1986="Married",D1986="Divorced",D1986="Together",D1986="Widow",D1986="Alone"),"Valid","Invalid")</f>
        <v>Valid</v>
      </c>
      <c r="AH1986" t="str">
        <f t="shared" ref="AH1986:AH2049" si="406">IF(AND(ISNUMBER(E1986),E1986&lt;&gt;""),"Valid","Invalid")</f>
        <v>Valid</v>
      </c>
      <c r="AI1986" t="str">
        <f t="shared" ref="AI1986:AI2049" si="407">IF(AND(F1986&gt;=0,F1986&lt;=2),"Valid","Invalid")</f>
        <v>Valid</v>
      </c>
      <c r="AJ1986" t="str">
        <f t="shared" ref="AJ1986:AJ2049" si="408">IF(AND(G1986&gt;=0,G1986&lt;=2),"Valid","Invalid")</f>
        <v>Valid</v>
      </c>
      <c r="AK1986" t="str">
        <f t="shared" si="402"/>
        <v xml:space="preserve">Valid </v>
      </c>
      <c r="AL1986" t="str">
        <f>IF(AND(Audit_Data[[#This Row],[Recency]]&gt;=0,Audit_Data[[#This Row],[Recency]]&lt;=100),"Valid","Invalid")</f>
        <v>Valid</v>
      </c>
      <c r="AM1986" t="str">
        <f t="shared" ref="AM1986:AM2049" si="409">IF(AND(ISNUMBER(J1986),J1986&gt;=0,ISNUMBER(K1986),K1986&gt;=0,ISNUMBER(L1986),L1986&gt;=0,ISNUMBER(M1986),M1986&gt;=0,ISNUMBER(N1986),N1986&gt;=0,ISNUMBER(O1986),O1986&gt;=0),"Valid","Invalid")</f>
        <v>Valid</v>
      </c>
      <c r="AN1986" t="str">
        <f t="shared" ref="AN1986:AN2049" si="410">IF(AND(ISNUMBER(P1986),P1986&gt;=0,ISNUMBER(Q1986),Q1986&gt;=0,ISNUMBER(R1986),R1986&gt;=0,ISNUMBER(S1986),S1986&gt;=0,ISNUMBER(T1986),T1986&gt;=0),"Valid","Invalid")</f>
        <v>Valid</v>
      </c>
      <c r="AO1986" t="str">
        <f t="shared" ref="AO1986:AO2049" si="411">IF(AND(U1986&lt;=1,V1986&lt;=1,W1986&lt;=1,X1986&lt;=1,Y1986&lt;=1),"Valid","Invalid")</f>
        <v>Valid</v>
      </c>
      <c r="AP1986" t="str">
        <f t="shared" ref="AP1986:AP2049" si="412">IF(OR(Z1986=0,Z1986=1),"Valid","Invalid")</f>
        <v>Valid</v>
      </c>
      <c r="AQ1986" t="str">
        <f>IF(Audit_Data[[#This Row],[Z_CostContact]]=3,"Valid","Invalid")</f>
        <v>Valid</v>
      </c>
      <c r="AR1986" t="str">
        <f t="shared" ref="AR1986:AR2049" si="413">IF(AB1986=11,"Valid","Invalid")</f>
        <v>Valid</v>
      </c>
      <c r="AS1986" t="str">
        <f t="shared" ref="AS1986:AS2049" si="414">IF(OR(AC1986=0,AC1986=1),"Valid","Invalid")</f>
        <v>Valid</v>
      </c>
    </row>
    <row r="1987" spans="1:45" x14ac:dyDescent="0.3">
      <c r="A1987">
        <v>8619</v>
      </c>
      <c r="B1987">
        <v>1957</v>
      </c>
      <c r="C1987" t="s">
        <v>29</v>
      </c>
      <c r="D1987" t="s">
        <v>31</v>
      </c>
      <c r="E1987">
        <v>21994</v>
      </c>
      <c r="F1987">
        <v>0</v>
      </c>
      <c r="G1987">
        <v>1</v>
      </c>
      <c r="H1987" s="1">
        <v>41267</v>
      </c>
      <c r="I1987">
        <v>4</v>
      </c>
      <c r="J1987">
        <v>9</v>
      </c>
      <c r="K1987">
        <v>0</v>
      </c>
      <c r="L1987">
        <v>6</v>
      </c>
      <c r="M1987">
        <v>3</v>
      </c>
      <c r="N1987">
        <v>1</v>
      </c>
      <c r="O1987">
        <v>3</v>
      </c>
      <c r="P1987">
        <v>1</v>
      </c>
      <c r="Q1987">
        <v>0</v>
      </c>
      <c r="R1987">
        <v>0</v>
      </c>
      <c r="S1987">
        <v>3</v>
      </c>
      <c r="T1987">
        <v>5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3</v>
      </c>
      <c r="AB1987">
        <v>11</v>
      </c>
      <c r="AC1987">
        <v>0</v>
      </c>
      <c r="AD1987" t="str">
        <f t="shared" si="403"/>
        <v>Ok</v>
      </c>
      <c r="AE1987" t="str">
        <f>IF(AND(Audit_Data[[#This Row],[Year_Birth]]&gt;=1900,Audit_Data[[#This Row],[Year_Birth]]&lt;=2010),"OK","Invalid")</f>
        <v>OK</v>
      </c>
      <c r="AF1987" t="str">
        <f t="shared" si="404"/>
        <v>Valid</v>
      </c>
      <c r="AG1987" t="str">
        <f t="shared" si="405"/>
        <v>Valid</v>
      </c>
      <c r="AH1987" t="str">
        <f t="shared" si="406"/>
        <v>Valid</v>
      </c>
      <c r="AI1987" t="str">
        <f t="shared" si="407"/>
        <v>Valid</v>
      </c>
      <c r="AJ1987" t="str">
        <f t="shared" si="408"/>
        <v>Valid</v>
      </c>
      <c r="AK1987" t="str">
        <f t="shared" ref="AK1987:AK2050" si="415">IF(AND(ISNUMBER(H1987),H1987&gt;=DATE(2012,1,1),H1987&lt;=DATE(2014,12,31)),"Valid ","Invalid")</f>
        <v xml:space="preserve">Valid </v>
      </c>
      <c r="AL1987" t="str">
        <f>IF(AND(Audit_Data[[#This Row],[Recency]]&gt;=0,Audit_Data[[#This Row],[Recency]]&lt;=100),"Valid","Invalid")</f>
        <v>Valid</v>
      </c>
      <c r="AM1987" t="str">
        <f t="shared" si="409"/>
        <v>Valid</v>
      </c>
      <c r="AN1987" t="str">
        <f t="shared" si="410"/>
        <v>Valid</v>
      </c>
      <c r="AO1987" t="str">
        <f t="shared" si="411"/>
        <v>Valid</v>
      </c>
      <c r="AP1987" t="str">
        <f t="shared" si="412"/>
        <v>Valid</v>
      </c>
      <c r="AQ1987" t="str">
        <f>IF(Audit_Data[[#This Row],[Z_CostContact]]=3,"Valid","Invalid")</f>
        <v>Valid</v>
      </c>
      <c r="AR1987" t="str">
        <f t="shared" si="413"/>
        <v>Valid</v>
      </c>
      <c r="AS1987" t="str">
        <f t="shared" si="414"/>
        <v>Valid</v>
      </c>
    </row>
    <row r="1988" spans="1:45" x14ac:dyDescent="0.3">
      <c r="A1988">
        <v>10821</v>
      </c>
      <c r="B1988">
        <v>1978</v>
      </c>
      <c r="C1988" t="s">
        <v>29</v>
      </c>
      <c r="D1988" t="s">
        <v>33</v>
      </c>
      <c r="E1988">
        <v>57113</v>
      </c>
      <c r="F1988">
        <v>1</v>
      </c>
      <c r="G1988">
        <v>1</v>
      </c>
      <c r="H1988" s="1">
        <v>41311</v>
      </c>
      <c r="I1988">
        <v>45</v>
      </c>
      <c r="J1988">
        <v>182</v>
      </c>
      <c r="K1988">
        <v>4</v>
      </c>
      <c r="L1988">
        <v>33</v>
      </c>
      <c r="M1988">
        <v>0</v>
      </c>
      <c r="N1988">
        <v>2</v>
      </c>
      <c r="O1988">
        <v>42</v>
      </c>
      <c r="P1988">
        <v>6</v>
      </c>
      <c r="Q1988">
        <v>4</v>
      </c>
      <c r="R1988">
        <v>1</v>
      </c>
      <c r="S1988">
        <v>5</v>
      </c>
      <c r="T1988">
        <v>7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3</v>
      </c>
      <c r="AB1988">
        <v>11</v>
      </c>
      <c r="AC1988">
        <v>0</v>
      </c>
      <c r="AD1988" t="str">
        <f t="shared" si="403"/>
        <v>Ok</v>
      </c>
      <c r="AE1988" t="str">
        <f>IF(AND(Audit_Data[[#This Row],[Year_Birth]]&gt;=1900,Audit_Data[[#This Row],[Year_Birth]]&lt;=2010),"OK","Invalid")</f>
        <v>OK</v>
      </c>
      <c r="AF1988" t="str">
        <f t="shared" si="404"/>
        <v>Valid</v>
      </c>
      <c r="AG1988" t="str">
        <f t="shared" si="405"/>
        <v>Valid</v>
      </c>
      <c r="AH1988" t="str">
        <f t="shared" si="406"/>
        <v>Valid</v>
      </c>
      <c r="AI1988" t="str">
        <f t="shared" si="407"/>
        <v>Valid</v>
      </c>
      <c r="AJ1988" t="str">
        <f t="shared" si="408"/>
        <v>Valid</v>
      </c>
      <c r="AK1988" t="str">
        <f t="shared" si="415"/>
        <v xml:space="preserve">Valid </v>
      </c>
      <c r="AL1988" t="str">
        <f>IF(AND(Audit_Data[[#This Row],[Recency]]&gt;=0,Audit_Data[[#This Row],[Recency]]&lt;=100),"Valid","Invalid")</f>
        <v>Valid</v>
      </c>
      <c r="AM1988" t="str">
        <f t="shared" si="409"/>
        <v>Valid</v>
      </c>
      <c r="AN1988" t="str">
        <f t="shared" si="410"/>
        <v>Valid</v>
      </c>
      <c r="AO1988" t="str">
        <f t="shared" si="411"/>
        <v>Valid</v>
      </c>
      <c r="AP1988" t="str">
        <f t="shared" si="412"/>
        <v>Valid</v>
      </c>
      <c r="AQ1988" t="str">
        <f>IF(Audit_Data[[#This Row],[Z_CostContact]]=3,"Valid","Invalid")</f>
        <v>Valid</v>
      </c>
      <c r="AR1988" t="str">
        <f t="shared" si="413"/>
        <v>Valid</v>
      </c>
      <c r="AS1988" t="str">
        <f t="shared" si="414"/>
        <v>Valid</v>
      </c>
    </row>
    <row r="1989" spans="1:45" x14ac:dyDescent="0.3">
      <c r="A1989">
        <v>4552</v>
      </c>
      <c r="B1989">
        <v>1991</v>
      </c>
      <c r="C1989" t="s">
        <v>29</v>
      </c>
      <c r="D1989" t="s">
        <v>33</v>
      </c>
      <c r="E1989">
        <v>51373</v>
      </c>
      <c r="F1989">
        <v>0</v>
      </c>
      <c r="G1989">
        <v>0</v>
      </c>
      <c r="H1989" s="1">
        <v>41447</v>
      </c>
      <c r="I1989">
        <v>37</v>
      </c>
      <c r="J1989">
        <v>83</v>
      </c>
      <c r="K1989">
        <v>2</v>
      </c>
      <c r="L1989">
        <v>101</v>
      </c>
      <c r="M1989">
        <v>64</v>
      </c>
      <c r="N1989">
        <v>26</v>
      </c>
      <c r="O1989">
        <v>117</v>
      </c>
      <c r="P1989">
        <v>1</v>
      </c>
      <c r="Q1989">
        <v>3</v>
      </c>
      <c r="R1989">
        <v>5</v>
      </c>
      <c r="S1989">
        <v>3</v>
      </c>
      <c r="T1989">
        <v>4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3</v>
      </c>
      <c r="AB1989">
        <v>11</v>
      </c>
      <c r="AC1989">
        <v>0</v>
      </c>
      <c r="AD1989" t="str">
        <f t="shared" si="403"/>
        <v>Ok</v>
      </c>
      <c r="AE1989" t="str">
        <f>IF(AND(Audit_Data[[#This Row],[Year_Birth]]&gt;=1900,Audit_Data[[#This Row],[Year_Birth]]&lt;=2010),"OK","Invalid")</f>
        <v>OK</v>
      </c>
      <c r="AF1989" t="str">
        <f t="shared" si="404"/>
        <v>Valid</v>
      </c>
      <c r="AG1989" t="str">
        <f t="shared" si="405"/>
        <v>Valid</v>
      </c>
      <c r="AH1989" t="str">
        <f t="shared" si="406"/>
        <v>Valid</v>
      </c>
      <c r="AI1989" t="str">
        <f t="shared" si="407"/>
        <v>Valid</v>
      </c>
      <c r="AJ1989" t="str">
        <f t="shared" si="408"/>
        <v>Valid</v>
      </c>
      <c r="AK1989" t="str">
        <f t="shared" si="415"/>
        <v xml:space="preserve">Valid </v>
      </c>
      <c r="AL1989" t="str">
        <f>IF(AND(Audit_Data[[#This Row],[Recency]]&gt;=0,Audit_Data[[#This Row],[Recency]]&lt;=100),"Valid","Invalid")</f>
        <v>Valid</v>
      </c>
      <c r="AM1989" t="str">
        <f t="shared" si="409"/>
        <v>Valid</v>
      </c>
      <c r="AN1989" t="str">
        <f t="shared" si="410"/>
        <v>Valid</v>
      </c>
      <c r="AO1989" t="str">
        <f t="shared" si="411"/>
        <v>Valid</v>
      </c>
      <c r="AP1989" t="str">
        <f t="shared" si="412"/>
        <v>Valid</v>
      </c>
      <c r="AQ1989" t="str">
        <f>IF(Audit_Data[[#This Row],[Z_CostContact]]=3,"Valid","Invalid")</f>
        <v>Valid</v>
      </c>
      <c r="AR1989" t="str">
        <f t="shared" si="413"/>
        <v>Valid</v>
      </c>
      <c r="AS1989" t="str">
        <f t="shared" si="414"/>
        <v>Valid</v>
      </c>
    </row>
    <row r="1990" spans="1:45" x14ac:dyDescent="0.3">
      <c r="A1990">
        <v>898</v>
      </c>
      <c r="B1990">
        <v>1986</v>
      </c>
      <c r="C1990" t="s">
        <v>29</v>
      </c>
      <c r="D1990" t="s">
        <v>33</v>
      </c>
      <c r="E1990">
        <v>23477</v>
      </c>
      <c r="F1990">
        <v>1</v>
      </c>
      <c r="G1990">
        <v>0</v>
      </c>
      <c r="H1990" s="1">
        <v>41568</v>
      </c>
      <c r="I1990">
        <v>39</v>
      </c>
      <c r="J1990">
        <v>38</v>
      </c>
      <c r="K1990">
        <v>15</v>
      </c>
      <c r="L1990">
        <v>54</v>
      </c>
      <c r="M1990">
        <v>3</v>
      </c>
      <c r="N1990">
        <v>8</v>
      </c>
      <c r="O1990">
        <v>29</v>
      </c>
      <c r="P1990">
        <v>3</v>
      </c>
      <c r="Q1990">
        <v>3</v>
      </c>
      <c r="R1990">
        <v>0</v>
      </c>
      <c r="S1990">
        <v>4</v>
      </c>
      <c r="T1990">
        <v>8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3</v>
      </c>
      <c r="AB1990">
        <v>11</v>
      </c>
      <c r="AC1990">
        <v>0</v>
      </c>
      <c r="AD1990" t="str">
        <f t="shared" si="403"/>
        <v>Ok</v>
      </c>
      <c r="AE1990" t="str">
        <f>IF(AND(Audit_Data[[#This Row],[Year_Birth]]&gt;=1900,Audit_Data[[#This Row],[Year_Birth]]&lt;=2010),"OK","Invalid")</f>
        <v>OK</v>
      </c>
      <c r="AF1990" t="str">
        <f t="shared" si="404"/>
        <v>Valid</v>
      </c>
      <c r="AG1990" t="str">
        <f t="shared" si="405"/>
        <v>Valid</v>
      </c>
      <c r="AH1990" t="str">
        <f t="shared" si="406"/>
        <v>Valid</v>
      </c>
      <c r="AI1990" t="str">
        <f t="shared" si="407"/>
        <v>Valid</v>
      </c>
      <c r="AJ1990" t="str">
        <f t="shared" si="408"/>
        <v>Valid</v>
      </c>
      <c r="AK1990" t="str">
        <f t="shared" si="415"/>
        <v xml:space="preserve">Valid </v>
      </c>
      <c r="AL1990" t="str">
        <f>IF(AND(Audit_Data[[#This Row],[Recency]]&gt;=0,Audit_Data[[#This Row],[Recency]]&lt;=100),"Valid","Invalid")</f>
        <v>Valid</v>
      </c>
      <c r="AM1990" t="str">
        <f t="shared" si="409"/>
        <v>Valid</v>
      </c>
      <c r="AN1990" t="str">
        <f t="shared" si="410"/>
        <v>Valid</v>
      </c>
      <c r="AO1990" t="str">
        <f t="shared" si="411"/>
        <v>Valid</v>
      </c>
      <c r="AP1990" t="str">
        <f t="shared" si="412"/>
        <v>Valid</v>
      </c>
      <c r="AQ1990" t="str">
        <f>IF(Audit_Data[[#This Row],[Z_CostContact]]=3,"Valid","Invalid")</f>
        <v>Valid</v>
      </c>
      <c r="AR1990" t="str">
        <f t="shared" si="413"/>
        <v>Valid</v>
      </c>
      <c r="AS1990" t="str">
        <f t="shared" si="414"/>
        <v>Valid</v>
      </c>
    </row>
    <row r="1991" spans="1:45" x14ac:dyDescent="0.3">
      <c r="A1991">
        <v>9797</v>
      </c>
      <c r="B1991">
        <v>1956</v>
      </c>
      <c r="C1991" t="s">
        <v>29</v>
      </c>
      <c r="D1991" t="s">
        <v>33</v>
      </c>
      <c r="E1991">
        <v>58116</v>
      </c>
      <c r="F1991">
        <v>0</v>
      </c>
      <c r="G1991">
        <v>1</v>
      </c>
      <c r="H1991" s="1">
        <v>41742</v>
      </c>
      <c r="I1991">
        <v>38</v>
      </c>
      <c r="J1991">
        <v>228</v>
      </c>
      <c r="K1991">
        <v>19</v>
      </c>
      <c r="L1991">
        <v>130</v>
      </c>
      <c r="M1991">
        <v>4</v>
      </c>
      <c r="N1991">
        <v>11</v>
      </c>
      <c r="O1991">
        <v>51</v>
      </c>
      <c r="P1991">
        <v>2</v>
      </c>
      <c r="Q1991">
        <v>3</v>
      </c>
      <c r="R1991">
        <v>3</v>
      </c>
      <c r="S1991">
        <v>8</v>
      </c>
      <c r="T1991">
        <v>2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3</v>
      </c>
      <c r="AB1991">
        <v>11</v>
      </c>
      <c r="AC1991">
        <v>0</v>
      </c>
      <c r="AD1991" t="str">
        <f t="shared" si="403"/>
        <v>Ok</v>
      </c>
      <c r="AE1991" t="str">
        <f>IF(AND(Audit_Data[[#This Row],[Year_Birth]]&gt;=1900,Audit_Data[[#This Row],[Year_Birth]]&lt;=2010),"OK","Invalid")</f>
        <v>OK</v>
      </c>
      <c r="AF1991" t="str">
        <f t="shared" si="404"/>
        <v>Valid</v>
      </c>
      <c r="AG1991" t="str">
        <f t="shared" si="405"/>
        <v>Valid</v>
      </c>
      <c r="AH1991" t="str">
        <f t="shared" si="406"/>
        <v>Valid</v>
      </c>
      <c r="AI1991" t="str">
        <f t="shared" si="407"/>
        <v>Valid</v>
      </c>
      <c r="AJ1991" t="str">
        <f t="shared" si="408"/>
        <v>Valid</v>
      </c>
      <c r="AK1991" t="str">
        <f t="shared" si="415"/>
        <v xml:space="preserve">Valid </v>
      </c>
      <c r="AL1991" t="str">
        <f>IF(AND(Audit_Data[[#This Row],[Recency]]&gt;=0,Audit_Data[[#This Row],[Recency]]&lt;=100),"Valid","Invalid")</f>
        <v>Valid</v>
      </c>
      <c r="AM1991" t="str">
        <f t="shared" si="409"/>
        <v>Valid</v>
      </c>
      <c r="AN1991" t="str">
        <f t="shared" si="410"/>
        <v>Valid</v>
      </c>
      <c r="AO1991" t="str">
        <f t="shared" si="411"/>
        <v>Valid</v>
      </c>
      <c r="AP1991" t="str">
        <f t="shared" si="412"/>
        <v>Valid</v>
      </c>
      <c r="AQ1991" t="str">
        <f>IF(Audit_Data[[#This Row],[Z_CostContact]]=3,"Valid","Invalid")</f>
        <v>Valid</v>
      </c>
      <c r="AR1991" t="str">
        <f t="shared" si="413"/>
        <v>Valid</v>
      </c>
      <c r="AS1991" t="str">
        <f t="shared" si="414"/>
        <v>Valid</v>
      </c>
    </row>
    <row r="1992" spans="1:45" x14ac:dyDescent="0.3">
      <c r="A1992">
        <v>10949</v>
      </c>
      <c r="B1992">
        <v>1963</v>
      </c>
      <c r="C1992" t="s">
        <v>32</v>
      </c>
      <c r="D1992" t="s">
        <v>35</v>
      </c>
      <c r="E1992">
        <v>72968</v>
      </c>
      <c r="F1992">
        <v>0</v>
      </c>
      <c r="G1992">
        <v>0</v>
      </c>
      <c r="H1992" s="1">
        <v>41624</v>
      </c>
      <c r="I1992">
        <v>8</v>
      </c>
      <c r="J1992">
        <v>1092</v>
      </c>
      <c r="K1992">
        <v>37</v>
      </c>
      <c r="L1992">
        <v>592</v>
      </c>
      <c r="M1992">
        <v>145</v>
      </c>
      <c r="N1992">
        <v>37</v>
      </c>
      <c r="O1992">
        <v>55</v>
      </c>
      <c r="P1992">
        <v>1</v>
      </c>
      <c r="Q1992">
        <v>5</v>
      </c>
      <c r="R1992">
        <v>5</v>
      </c>
      <c r="S1992">
        <v>8</v>
      </c>
      <c r="T1992">
        <v>3</v>
      </c>
      <c r="U1992">
        <v>0</v>
      </c>
      <c r="V1992">
        <v>0</v>
      </c>
      <c r="W1992">
        <v>0</v>
      </c>
      <c r="X1992">
        <v>1</v>
      </c>
      <c r="Y1992">
        <v>0</v>
      </c>
      <c r="Z1992">
        <v>0</v>
      </c>
      <c r="AA1992">
        <v>3</v>
      </c>
      <c r="AB1992">
        <v>11</v>
      </c>
      <c r="AC1992">
        <v>1</v>
      </c>
      <c r="AD1992" t="str">
        <f t="shared" si="403"/>
        <v>Ok</v>
      </c>
      <c r="AE1992" t="str">
        <f>IF(AND(Audit_Data[[#This Row],[Year_Birth]]&gt;=1900,Audit_Data[[#This Row],[Year_Birth]]&lt;=2010),"OK","Invalid")</f>
        <v>OK</v>
      </c>
      <c r="AF1992" t="str">
        <f t="shared" si="404"/>
        <v>Valid</v>
      </c>
      <c r="AG1992" t="str">
        <f t="shared" si="405"/>
        <v>Valid</v>
      </c>
      <c r="AH1992" t="str">
        <f t="shared" si="406"/>
        <v>Valid</v>
      </c>
      <c r="AI1992" t="str">
        <f t="shared" si="407"/>
        <v>Valid</v>
      </c>
      <c r="AJ1992" t="str">
        <f t="shared" si="408"/>
        <v>Valid</v>
      </c>
      <c r="AK1992" t="str">
        <f t="shared" si="415"/>
        <v xml:space="preserve">Valid </v>
      </c>
      <c r="AL1992" t="str">
        <f>IF(AND(Audit_Data[[#This Row],[Recency]]&gt;=0,Audit_Data[[#This Row],[Recency]]&lt;=100),"Valid","Invalid")</f>
        <v>Valid</v>
      </c>
      <c r="AM1992" t="str">
        <f t="shared" si="409"/>
        <v>Valid</v>
      </c>
      <c r="AN1992" t="str">
        <f t="shared" si="410"/>
        <v>Valid</v>
      </c>
      <c r="AO1992" t="str">
        <f t="shared" si="411"/>
        <v>Valid</v>
      </c>
      <c r="AP1992" t="str">
        <f t="shared" si="412"/>
        <v>Valid</v>
      </c>
      <c r="AQ1992" t="str">
        <f>IF(Audit_Data[[#This Row],[Z_CostContact]]=3,"Valid","Invalid")</f>
        <v>Valid</v>
      </c>
      <c r="AR1992" t="str">
        <f t="shared" si="413"/>
        <v>Valid</v>
      </c>
      <c r="AS1992" t="str">
        <f t="shared" si="414"/>
        <v>Valid</v>
      </c>
    </row>
    <row r="1993" spans="1:45" x14ac:dyDescent="0.3">
      <c r="A1993">
        <v>8212</v>
      </c>
      <c r="B1993">
        <v>1971</v>
      </c>
      <c r="C1993" t="s">
        <v>34</v>
      </c>
      <c r="D1993" t="s">
        <v>33</v>
      </c>
      <c r="E1993">
        <v>39791</v>
      </c>
      <c r="F1993">
        <v>0</v>
      </c>
      <c r="G1993">
        <v>1</v>
      </c>
      <c r="H1993" s="1">
        <v>41361</v>
      </c>
      <c r="I1993">
        <v>89</v>
      </c>
      <c r="J1993">
        <v>85</v>
      </c>
      <c r="K1993">
        <v>15</v>
      </c>
      <c r="L1993">
        <v>27</v>
      </c>
      <c r="M1993">
        <v>13</v>
      </c>
      <c r="N1993">
        <v>13</v>
      </c>
      <c r="O1993">
        <v>21</v>
      </c>
      <c r="P1993">
        <v>2</v>
      </c>
      <c r="Q1993">
        <v>3</v>
      </c>
      <c r="R1993">
        <v>1</v>
      </c>
      <c r="S1993">
        <v>4</v>
      </c>
      <c r="T1993">
        <v>7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3</v>
      </c>
      <c r="AB1993">
        <v>11</v>
      </c>
      <c r="AC1993">
        <v>0</v>
      </c>
      <c r="AD1993" t="str">
        <f t="shared" si="403"/>
        <v>Ok</v>
      </c>
      <c r="AE1993" t="str">
        <f>IF(AND(Audit_Data[[#This Row],[Year_Birth]]&gt;=1900,Audit_Data[[#This Row],[Year_Birth]]&lt;=2010),"OK","Invalid")</f>
        <v>OK</v>
      </c>
      <c r="AF1993" t="str">
        <f t="shared" si="404"/>
        <v>Valid</v>
      </c>
      <c r="AG1993" t="str">
        <f t="shared" si="405"/>
        <v>Valid</v>
      </c>
      <c r="AH1993" t="str">
        <f t="shared" si="406"/>
        <v>Valid</v>
      </c>
      <c r="AI1993" t="str">
        <f t="shared" si="407"/>
        <v>Valid</v>
      </c>
      <c r="AJ1993" t="str">
        <f t="shared" si="408"/>
        <v>Valid</v>
      </c>
      <c r="AK1993" t="str">
        <f t="shared" si="415"/>
        <v xml:space="preserve">Valid </v>
      </c>
      <c r="AL1993" t="str">
        <f>IF(AND(Audit_Data[[#This Row],[Recency]]&gt;=0,Audit_Data[[#This Row],[Recency]]&lt;=100),"Valid","Invalid")</f>
        <v>Valid</v>
      </c>
      <c r="AM1993" t="str">
        <f t="shared" si="409"/>
        <v>Valid</v>
      </c>
      <c r="AN1993" t="str">
        <f t="shared" si="410"/>
        <v>Valid</v>
      </c>
      <c r="AO1993" t="str">
        <f t="shared" si="411"/>
        <v>Valid</v>
      </c>
      <c r="AP1993" t="str">
        <f t="shared" si="412"/>
        <v>Valid</v>
      </c>
      <c r="AQ1993" t="str">
        <f>IF(Audit_Data[[#This Row],[Z_CostContact]]=3,"Valid","Invalid")</f>
        <v>Valid</v>
      </c>
      <c r="AR1993" t="str">
        <f t="shared" si="413"/>
        <v>Valid</v>
      </c>
      <c r="AS1993" t="str">
        <f t="shared" si="414"/>
        <v>Valid</v>
      </c>
    </row>
    <row r="1994" spans="1:45" x14ac:dyDescent="0.3">
      <c r="A1994">
        <v>6248</v>
      </c>
      <c r="B1994">
        <v>1947</v>
      </c>
      <c r="C1994" t="s">
        <v>34</v>
      </c>
      <c r="D1994" t="s">
        <v>30</v>
      </c>
      <c r="E1994">
        <v>91712</v>
      </c>
      <c r="F1994">
        <v>0</v>
      </c>
      <c r="G1994">
        <v>0</v>
      </c>
      <c r="H1994" s="1">
        <v>41564</v>
      </c>
      <c r="I1994">
        <v>47</v>
      </c>
      <c r="J1994">
        <v>1276</v>
      </c>
      <c r="K1994">
        <v>24</v>
      </c>
      <c r="L1994">
        <v>746</v>
      </c>
      <c r="M1994">
        <v>94</v>
      </c>
      <c r="N1994">
        <v>29</v>
      </c>
      <c r="O1994">
        <v>48</v>
      </c>
      <c r="P1994">
        <v>0</v>
      </c>
      <c r="Q1994">
        <v>9</v>
      </c>
      <c r="R1994">
        <v>7</v>
      </c>
      <c r="S1994">
        <v>11</v>
      </c>
      <c r="T1994">
        <v>3</v>
      </c>
      <c r="U1994">
        <v>0</v>
      </c>
      <c r="V1994">
        <v>0</v>
      </c>
      <c r="W1994">
        <v>1</v>
      </c>
      <c r="X1994">
        <v>0</v>
      </c>
      <c r="Y1994">
        <v>0</v>
      </c>
      <c r="Z1994">
        <v>0</v>
      </c>
      <c r="AA1994">
        <v>3</v>
      </c>
      <c r="AB1994">
        <v>11</v>
      </c>
      <c r="AC1994">
        <v>1</v>
      </c>
      <c r="AD1994" t="str">
        <f t="shared" si="403"/>
        <v>Ok</v>
      </c>
      <c r="AE1994" t="str">
        <f>IF(AND(Audit_Data[[#This Row],[Year_Birth]]&gt;=1900,Audit_Data[[#This Row],[Year_Birth]]&lt;=2010),"OK","Invalid")</f>
        <v>OK</v>
      </c>
      <c r="AF1994" t="str">
        <f t="shared" si="404"/>
        <v>Valid</v>
      </c>
      <c r="AG1994" t="str">
        <f t="shared" si="405"/>
        <v>Valid</v>
      </c>
      <c r="AH1994" t="str">
        <f t="shared" si="406"/>
        <v>Valid</v>
      </c>
      <c r="AI1994" t="str">
        <f t="shared" si="407"/>
        <v>Valid</v>
      </c>
      <c r="AJ1994" t="str">
        <f t="shared" si="408"/>
        <v>Valid</v>
      </c>
      <c r="AK1994" t="str">
        <f t="shared" si="415"/>
        <v xml:space="preserve">Valid </v>
      </c>
      <c r="AL1994" t="str">
        <f>IF(AND(Audit_Data[[#This Row],[Recency]]&gt;=0,Audit_Data[[#This Row],[Recency]]&lt;=100),"Valid","Invalid")</f>
        <v>Valid</v>
      </c>
      <c r="AM1994" t="str">
        <f t="shared" si="409"/>
        <v>Valid</v>
      </c>
      <c r="AN1994" t="str">
        <f t="shared" si="410"/>
        <v>Valid</v>
      </c>
      <c r="AO1994" t="str">
        <f t="shared" si="411"/>
        <v>Valid</v>
      </c>
      <c r="AP1994" t="str">
        <f t="shared" si="412"/>
        <v>Valid</v>
      </c>
      <c r="AQ1994" t="str">
        <f>IF(Audit_Data[[#This Row],[Z_CostContact]]=3,"Valid","Invalid")</f>
        <v>Valid</v>
      </c>
      <c r="AR1994" t="str">
        <f t="shared" si="413"/>
        <v>Valid</v>
      </c>
      <c r="AS1994" t="str">
        <f t="shared" si="414"/>
        <v>Valid</v>
      </c>
    </row>
    <row r="1995" spans="1:45" x14ac:dyDescent="0.3">
      <c r="A1995">
        <v>10164</v>
      </c>
      <c r="B1995">
        <v>1958</v>
      </c>
      <c r="C1995" t="s">
        <v>29</v>
      </c>
      <c r="D1995" t="s">
        <v>30</v>
      </c>
      <c r="E1995">
        <v>94472</v>
      </c>
      <c r="F1995">
        <v>0</v>
      </c>
      <c r="G1995">
        <v>1</v>
      </c>
      <c r="H1995" s="1">
        <v>41732</v>
      </c>
      <c r="I1995">
        <v>75</v>
      </c>
      <c r="J1995">
        <v>1017</v>
      </c>
      <c r="K1995">
        <v>33</v>
      </c>
      <c r="L1995">
        <v>417</v>
      </c>
      <c r="M1995">
        <v>108</v>
      </c>
      <c r="N1995">
        <v>100</v>
      </c>
      <c r="O1995">
        <v>16</v>
      </c>
      <c r="P1995">
        <v>1</v>
      </c>
      <c r="Q1995">
        <v>5</v>
      </c>
      <c r="R1995">
        <v>5</v>
      </c>
      <c r="S1995">
        <v>5</v>
      </c>
      <c r="T1995">
        <v>5</v>
      </c>
      <c r="U1995">
        <v>0</v>
      </c>
      <c r="V1995">
        <v>1</v>
      </c>
      <c r="W1995">
        <v>1</v>
      </c>
      <c r="X1995">
        <v>0</v>
      </c>
      <c r="Y1995">
        <v>0</v>
      </c>
      <c r="Z1995">
        <v>0</v>
      </c>
      <c r="AA1995">
        <v>3</v>
      </c>
      <c r="AB1995">
        <v>11</v>
      </c>
      <c r="AC1995">
        <v>0</v>
      </c>
      <c r="AD1995" t="str">
        <f t="shared" si="403"/>
        <v>Ok</v>
      </c>
      <c r="AE1995" t="str">
        <f>IF(AND(Audit_Data[[#This Row],[Year_Birth]]&gt;=1900,Audit_Data[[#This Row],[Year_Birth]]&lt;=2010),"OK","Invalid")</f>
        <v>OK</v>
      </c>
      <c r="AF1995" t="str">
        <f t="shared" si="404"/>
        <v>Valid</v>
      </c>
      <c r="AG1995" t="str">
        <f t="shared" si="405"/>
        <v>Valid</v>
      </c>
      <c r="AH1995" t="str">
        <f t="shared" si="406"/>
        <v>Valid</v>
      </c>
      <c r="AI1995" t="str">
        <f t="shared" si="407"/>
        <v>Valid</v>
      </c>
      <c r="AJ1995" t="str">
        <f t="shared" si="408"/>
        <v>Valid</v>
      </c>
      <c r="AK1995" t="str">
        <f t="shared" si="415"/>
        <v xml:space="preserve">Valid </v>
      </c>
      <c r="AL1995" t="str">
        <f>IF(AND(Audit_Data[[#This Row],[Recency]]&gt;=0,Audit_Data[[#This Row],[Recency]]&lt;=100),"Valid","Invalid")</f>
        <v>Valid</v>
      </c>
      <c r="AM1995" t="str">
        <f t="shared" si="409"/>
        <v>Valid</v>
      </c>
      <c r="AN1995" t="str">
        <f t="shared" si="410"/>
        <v>Valid</v>
      </c>
      <c r="AO1995" t="str">
        <f t="shared" si="411"/>
        <v>Valid</v>
      </c>
      <c r="AP1995" t="str">
        <f t="shared" si="412"/>
        <v>Valid</v>
      </c>
      <c r="AQ1995" t="str">
        <f>IF(Audit_Data[[#This Row],[Z_CostContact]]=3,"Valid","Invalid")</f>
        <v>Valid</v>
      </c>
      <c r="AR1995" t="str">
        <f t="shared" si="413"/>
        <v>Valid</v>
      </c>
      <c r="AS1995" t="str">
        <f t="shared" si="414"/>
        <v>Valid</v>
      </c>
    </row>
    <row r="1996" spans="1:45" x14ac:dyDescent="0.3">
      <c r="A1996">
        <v>4547</v>
      </c>
      <c r="B1996">
        <v>1960</v>
      </c>
      <c r="C1996" t="s">
        <v>29</v>
      </c>
      <c r="D1996" t="s">
        <v>31</v>
      </c>
      <c r="E1996">
        <v>13672</v>
      </c>
      <c r="F1996">
        <v>1</v>
      </c>
      <c r="G1996">
        <v>1</v>
      </c>
      <c r="H1996" s="1">
        <v>41381</v>
      </c>
      <c r="I1996">
        <v>86</v>
      </c>
      <c r="J1996">
        <v>6</v>
      </c>
      <c r="K1996">
        <v>2</v>
      </c>
      <c r="L1996">
        <v>9</v>
      </c>
      <c r="M1996">
        <v>2</v>
      </c>
      <c r="N1996">
        <v>1</v>
      </c>
      <c r="O1996">
        <v>5</v>
      </c>
      <c r="P1996">
        <v>2</v>
      </c>
      <c r="Q1996">
        <v>1</v>
      </c>
      <c r="R1996">
        <v>0</v>
      </c>
      <c r="S1996">
        <v>3</v>
      </c>
      <c r="T1996">
        <v>8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3</v>
      </c>
      <c r="AB1996">
        <v>11</v>
      </c>
      <c r="AC1996">
        <v>0</v>
      </c>
      <c r="AD1996" t="str">
        <f t="shared" si="403"/>
        <v>Ok</v>
      </c>
      <c r="AE1996" t="str">
        <f>IF(AND(Audit_Data[[#This Row],[Year_Birth]]&gt;=1900,Audit_Data[[#This Row],[Year_Birth]]&lt;=2010),"OK","Invalid")</f>
        <v>OK</v>
      </c>
      <c r="AF1996" t="str">
        <f t="shared" si="404"/>
        <v>Valid</v>
      </c>
      <c r="AG1996" t="str">
        <f t="shared" si="405"/>
        <v>Valid</v>
      </c>
      <c r="AH1996" t="str">
        <f t="shared" si="406"/>
        <v>Valid</v>
      </c>
      <c r="AI1996" t="str">
        <f t="shared" si="407"/>
        <v>Valid</v>
      </c>
      <c r="AJ1996" t="str">
        <f t="shared" si="408"/>
        <v>Valid</v>
      </c>
      <c r="AK1996" t="str">
        <f t="shared" si="415"/>
        <v xml:space="preserve">Valid </v>
      </c>
      <c r="AL1996" t="str">
        <f>IF(AND(Audit_Data[[#This Row],[Recency]]&gt;=0,Audit_Data[[#This Row],[Recency]]&lt;=100),"Valid","Invalid")</f>
        <v>Valid</v>
      </c>
      <c r="AM1996" t="str">
        <f t="shared" si="409"/>
        <v>Valid</v>
      </c>
      <c r="AN1996" t="str">
        <f t="shared" si="410"/>
        <v>Valid</v>
      </c>
      <c r="AO1996" t="str">
        <f t="shared" si="411"/>
        <v>Valid</v>
      </c>
      <c r="AP1996" t="str">
        <f t="shared" si="412"/>
        <v>Valid</v>
      </c>
      <c r="AQ1996" t="str">
        <f>IF(Audit_Data[[#This Row],[Z_CostContact]]=3,"Valid","Invalid")</f>
        <v>Valid</v>
      </c>
      <c r="AR1996" t="str">
        <f t="shared" si="413"/>
        <v>Valid</v>
      </c>
      <c r="AS1996" t="str">
        <f t="shared" si="414"/>
        <v>Valid</v>
      </c>
    </row>
    <row r="1997" spans="1:45" x14ac:dyDescent="0.3">
      <c r="A1997">
        <v>6815</v>
      </c>
      <c r="B1997">
        <v>1980</v>
      </c>
      <c r="C1997" t="s">
        <v>37</v>
      </c>
      <c r="D1997" t="s">
        <v>33</v>
      </c>
      <c r="E1997">
        <v>96547</v>
      </c>
      <c r="F1997">
        <v>0</v>
      </c>
      <c r="G1997">
        <v>0</v>
      </c>
      <c r="H1997" s="1">
        <v>41782</v>
      </c>
      <c r="I1997">
        <v>4</v>
      </c>
      <c r="J1997">
        <v>448</v>
      </c>
      <c r="K1997">
        <v>21</v>
      </c>
      <c r="L1997">
        <v>125</v>
      </c>
      <c r="M1997">
        <v>52</v>
      </c>
      <c r="N1997">
        <v>101</v>
      </c>
      <c r="O1997">
        <v>62</v>
      </c>
      <c r="P1997">
        <v>0</v>
      </c>
      <c r="Q1997">
        <v>7</v>
      </c>
      <c r="R1997">
        <v>6</v>
      </c>
      <c r="S1997">
        <v>8</v>
      </c>
      <c r="T1997">
        <v>2</v>
      </c>
      <c r="U1997">
        <v>1</v>
      </c>
      <c r="V1997">
        <v>0</v>
      </c>
      <c r="W1997">
        <v>1</v>
      </c>
      <c r="X1997">
        <v>1</v>
      </c>
      <c r="Y1997">
        <v>0</v>
      </c>
      <c r="Z1997">
        <v>0</v>
      </c>
      <c r="AA1997">
        <v>3</v>
      </c>
      <c r="AB1997">
        <v>11</v>
      </c>
      <c r="AC1997">
        <v>1</v>
      </c>
      <c r="AD1997" t="str">
        <f t="shared" si="403"/>
        <v>Ok</v>
      </c>
      <c r="AE1997" t="str">
        <f>IF(AND(Audit_Data[[#This Row],[Year_Birth]]&gt;=1900,Audit_Data[[#This Row],[Year_Birth]]&lt;=2010),"OK","Invalid")</f>
        <v>OK</v>
      </c>
      <c r="AF1997" t="str">
        <f t="shared" si="404"/>
        <v>Valid</v>
      </c>
      <c r="AG1997" t="str">
        <f t="shared" si="405"/>
        <v>Valid</v>
      </c>
      <c r="AH1997" t="str">
        <f t="shared" si="406"/>
        <v>Valid</v>
      </c>
      <c r="AI1997" t="str">
        <f t="shared" si="407"/>
        <v>Valid</v>
      </c>
      <c r="AJ1997" t="str">
        <f t="shared" si="408"/>
        <v>Valid</v>
      </c>
      <c r="AK1997" t="str">
        <f t="shared" si="415"/>
        <v xml:space="preserve">Valid </v>
      </c>
      <c r="AL1997" t="str">
        <f>IF(AND(Audit_Data[[#This Row],[Recency]]&gt;=0,Audit_Data[[#This Row],[Recency]]&lt;=100),"Valid","Invalid")</f>
        <v>Valid</v>
      </c>
      <c r="AM1997" t="str">
        <f t="shared" si="409"/>
        <v>Valid</v>
      </c>
      <c r="AN1997" t="str">
        <f t="shared" si="410"/>
        <v>Valid</v>
      </c>
      <c r="AO1997" t="str">
        <f t="shared" si="411"/>
        <v>Valid</v>
      </c>
      <c r="AP1997" t="str">
        <f t="shared" si="412"/>
        <v>Valid</v>
      </c>
      <c r="AQ1997" t="str">
        <f>IF(Audit_Data[[#This Row],[Z_CostContact]]=3,"Valid","Invalid")</f>
        <v>Valid</v>
      </c>
      <c r="AR1997" t="str">
        <f t="shared" si="413"/>
        <v>Valid</v>
      </c>
      <c r="AS1997" t="str">
        <f t="shared" si="414"/>
        <v>Valid</v>
      </c>
    </row>
    <row r="1998" spans="1:45" x14ac:dyDescent="0.3">
      <c r="A1998">
        <v>4122</v>
      </c>
      <c r="B1998">
        <v>1975</v>
      </c>
      <c r="C1998" t="s">
        <v>29</v>
      </c>
      <c r="D1998" t="s">
        <v>33</v>
      </c>
      <c r="E1998">
        <v>79205</v>
      </c>
      <c r="F1998">
        <v>0</v>
      </c>
      <c r="G1998">
        <v>0</v>
      </c>
      <c r="H1998" s="1">
        <v>41150</v>
      </c>
      <c r="I1998">
        <v>73</v>
      </c>
      <c r="J1998">
        <v>504</v>
      </c>
      <c r="K1998">
        <v>23</v>
      </c>
      <c r="L1998">
        <v>117</v>
      </c>
      <c r="M1998">
        <v>179</v>
      </c>
      <c r="N1998">
        <v>28</v>
      </c>
      <c r="O1998">
        <v>44</v>
      </c>
      <c r="P1998">
        <v>1</v>
      </c>
      <c r="Q1998">
        <v>6</v>
      </c>
      <c r="R1998">
        <v>5</v>
      </c>
      <c r="S1998">
        <v>4</v>
      </c>
      <c r="T1998">
        <v>4</v>
      </c>
      <c r="U1998">
        <v>0</v>
      </c>
      <c r="V1998">
        <v>0</v>
      </c>
      <c r="W1998">
        <v>0</v>
      </c>
      <c r="X1998">
        <v>1</v>
      </c>
      <c r="Y1998">
        <v>0</v>
      </c>
      <c r="Z1998">
        <v>0</v>
      </c>
      <c r="AA1998">
        <v>3</v>
      </c>
      <c r="AB1998">
        <v>11</v>
      </c>
      <c r="AC1998">
        <v>1</v>
      </c>
      <c r="AD1998" t="str">
        <f t="shared" si="403"/>
        <v>Ok</v>
      </c>
      <c r="AE1998" t="str">
        <f>IF(AND(Audit_Data[[#This Row],[Year_Birth]]&gt;=1900,Audit_Data[[#This Row],[Year_Birth]]&lt;=2010),"OK","Invalid")</f>
        <v>OK</v>
      </c>
      <c r="AF1998" t="str">
        <f t="shared" si="404"/>
        <v>Valid</v>
      </c>
      <c r="AG1998" t="str">
        <f t="shared" si="405"/>
        <v>Valid</v>
      </c>
      <c r="AH1998" t="str">
        <f t="shared" si="406"/>
        <v>Valid</v>
      </c>
      <c r="AI1998" t="str">
        <f t="shared" si="407"/>
        <v>Valid</v>
      </c>
      <c r="AJ1998" t="str">
        <f t="shared" si="408"/>
        <v>Valid</v>
      </c>
      <c r="AK1998" t="str">
        <f t="shared" si="415"/>
        <v xml:space="preserve">Valid </v>
      </c>
      <c r="AL1998" t="str">
        <f>IF(AND(Audit_Data[[#This Row],[Recency]]&gt;=0,Audit_Data[[#This Row],[Recency]]&lt;=100),"Valid","Invalid")</f>
        <v>Valid</v>
      </c>
      <c r="AM1998" t="str">
        <f t="shared" si="409"/>
        <v>Valid</v>
      </c>
      <c r="AN1998" t="str">
        <f t="shared" si="410"/>
        <v>Valid</v>
      </c>
      <c r="AO1998" t="str">
        <f t="shared" si="411"/>
        <v>Valid</v>
      </c>
      <c r="AP1998" t="str">
        <f t="shared" si="412"/>
        <v>Valid</v>
      </c>
      <c r="AQ1998" t="str">
        <f>IF(Audit_Data[[#This Row],[Z_CostContact]]=3,"Valid","Invalid")</f>
        <v>Valid</v>
      </c>
      <c r="AR1998" t="str">
        <f t="shared" si="413"/>
        <v>Valid</v>
      </c>
      <c r="AS1998" t="str">
        <f t="shared" si="414"/>
        <v>Valid</v>
      </c>
    </row>
    <row r="1999" spans="1:45" x14ac:dyDescent="0.3">
      <c r="A1999">
        <v>10841</v>
      </c>
      <c r="B1999">
        <v>1975</v>
      </c>
      <c r="C1999" t="s">
        <v>32</v>
      </c>
      <c r="D1999" t="s">
        <v>31</v>
      </c>
      <c r="E1999">
        <v>56559</v>
      </c>
      <c r="F1999">
        <v>0</v>
      </c>
      <c r="G1999">
        <v>1</v>
      </c>
      <c r="H1999" s="1">
        <v>41268</v>
      </c>
      <c r="I1999">
        <v>46</v>
      </c>
      <c r="J1999">
        <v>226</v>
      </c>
      <c r="K1999">
        <v>22</v>
      </c>
      <c r="L1999">
        <v>133</v>
      </c>
      <c r="M1999">
        <v>41</v>
      </c>
      <c r="N1999">
        <v>31</v>
      </c>
      <c r="O1999">
        <v>31</v>
      </c>
      <c r="P1999">
        <v>3</v>
      </c>
      <c r="Q1999">
        <v>4</v>
      </c>
      <c r="R1999">
        <v>3</v>
      </c>
      <c r="S1999">
        <v>8</v>
      </c>
      <c r="T1999">
        <v>4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3</v>
      </c>
      <c r="AB1999">
        <v>11</v>
      </c>
      <c r="AC1999">
        <v>0</v>
      </c>
      <c r="AD1999" t="str">
        <f t="shared" si="403"/>
        <v>Ok</v>
      </c>
      <c r="AE1999" t="str">
        <f>IF(AND(Audit_Data[[#This Row],[Year_Birth]]&gt;=1900,Audit_Data[[#This Row],[Year_Birth]]&lt;=2010),"OK","Invalid")</f>
        <v>OK</v>
      </c>
      <c r="AF1999" t="str">
        <f t="shared" si="404"/>
        <v>Valid</v>
      </c>
      <c r="AG1999" t="str">
        <f t="shared" si="405"/>
        <v>Valid</v>
      </c>
      <c r="AH1999" t="str">
        <f t="shared" si="406"/>
        <v>Valid</v>
      </c>
      <c r="AI1999" t="str">
        <f t="shared" si="407"/>
        <v>Valid</v>
      </c>
      <c r="AJ1999" t="str">
        <f t="shared" si="408"/>
        <v>Valid</v>
      </c>
      <c r="AK1999" t="str">
        <f t="shared" si="415"/>
        <v xml:space="preserve">Valid </v>
      </c>
      <c r="AL1999" t="str">
        <f>IF(AND(Audit_Data[[#This Row],[Recency]]&gt;=0,Audit_Data[[#This Row],[Recency]]&lt;=100),"Valid","Invalid")</f>
        <v>Valid</v>
      </c>
      <c r="AM1999" t="str">
        <f t="shared" si="409"/>
        <v>Valid</v>
      </c>
      <c r="AN1999" t="str">
        <f t="shared" si="410"/>
        <v>Valid</v>
      </c>
      <c r="AO1999" t="str">
        <f t="shared" si="411"/>
        <v>Valid</v>
      </c>
      <c r="AP1999" t="str">
        <f t="shared" si="412"/>
        <v>Valid</v>
      </c>
      <c r="AQ1999" t="str">
        <f>IF(Audit_Data[[#This Row],[Z_CostContact]]=3,"Valid","Invalid")</f>
        <v>Valid</v>
      </c>
      <c r="AR1999" t="str">
        <f t="shared" si="413"/>
        <v>Valid</v>
      </c>
      <c r="AS1999" t="str">
        <f t="shared" si="414"/>
        <v>Valid</v>
      </c>
    </row>
    <row r="2000" spans="1:45" x14ac:dyDescent="0.3">
      <c r="A2000">
        <v>5370</v>
      </c>
      <c r="B2000">
        <v>1973</v>
      </c>
      <c r="C2000" t="s">
        <v>32</v>
      </c>
      <c r="D2000" t="s">
        <v>33</v>
      </c>
      <c r="E2000">
        <v>32644</v>
      </c>
      <c r="F2000">
        <v>1</v>
      </c>
      <c r="G2000">
        <v>0</v>
      </c>
      <c r="H2000" s="1">
        <v>41290</v>
      </c>
      <c r="I2000">
        <v>38</v>
      </c>
      <c r="J2000">
        <v>239</v>
      </c>
      <c r="K2000">
        <v>3</v>
      </c>
      <c r="L2000">
        <v>141</v>
      </c>
      <c r="M2000">
        <v>0</v>
      </c>
      <c r="N2000">
        <v>7</v>
      </c>
      <c r="O2000">
        <v>23</v>
      </c>
      <c r="P2000">
        <v>4</v>
      </c>
      <c r="Q2000">
        <v>7</v>
      </c>
      <c r="R2000">
        <v>1</v>
      </c>
      <c r="S2000">
        <v>6</v>
      </c>
      <c r="T2000">
        <v>8</v>
      </c>
      <c r="U2000">
        <v>1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3</v>
      </c>
      <c r="AB2000">
        <v>11</v>
      </c>
      <c r="AC2000">
        <v>0</v>
      </c>
      <c r="AD2000" t="str">
        <f t="shared" si="403"/>
        <v>Ok</v>
      </c>
      <c r="AE2000" t="str">
        <f>IF(AND(Audit_Data[[#This Row],[Year_Birth]]&gt;=1900,Audit_Data[[#This Row],[Year_Birth]]&lt;=2010),"OK","Invalid")</f>
        <v>OK</v>
      </c>
      <c r="AF2000" t="str">
        <f t="shared" si="404"/>
        <v>Valid</v>
      </c>
      <c r="AG2000" t="str">
        <f t="shared" si="405"/>
        <v>Valid</v>
      </c>
      <c r="AH2000" t="str">
        <f t="shared" si="406"/>
        <v>Valid</v>
      </c>
      <c r="AI2000" t="str">
        <f t="shared" si="407"/>
        <v>Valid</v>
      </c>
      <c r="AJ2000" t="str">
        <f t="shared" si="408"/>
        <v>Valid</v>
      </c>
      <c r="AK2000" t="str">
        <f t="shared" si="415"/>
        <v xml:space="preserve">Valid </v>
      </c>
      <c r="AL2000" t="str">
        <f>IF(AND(Audit_Data[[#This Row],[Recency]]&gt;=0,Audit_Data[[#This Row],[Recency]]&lt;=100),"Valid","Invalid")</f>
        <v>Valid</v>
      </c>
      <c r="AM2000" t="str">
        <f t="shared" si="409"/>
        <v>Valid</v>
      </c>
      <c r="AN2000" t="str">
        <f t="shared" si="410"/>
        <v>Valid</v>
      </c>
      <c r="AO2000" t="str">
        <f t="shared" si="411"/>
        <v>Valid</v>
      </c>
      <c r="AP2000" t="str">
        <f t="shared" si="412"/>
        <v>Valid</v>
      </c>
      <c r="AQ2000" t="str">
        <f>IF(Audit_Data[[#This Row],[Z_CostContact]]=3,"Valid","Invalid")</f>
        <v>Valid</v>
      </c>
      <c r="AR2000" t="str">
        <f t="shared" si="413"/>
        <v>Valid</v>
      </c>
      <c r="AS2000" t="str">
        <f t="shared" si="414"/>
        <v>Valid</v>
      </c>
    </row>
    <row r="2001" spans="1:45" x14ac:dyDescent="0.3">
      <c r="A2001">
        <v>176</v>
      </c>
      <c r="B2001">
        <v>1980</v>
      </c>
      <c r="C2001" t="s">
        <v>37</v>
      </c>
      <c r="D2001" t="s">
        <v>30</v>
      </c>
      <c r="E2001">
        <v>67506</v>
      </c>
      <c r="F2001">
        <v>0</v>
      </c>
      <c r="G2001">
        <v>1</v>
      </c>
      <c r="H2001" s="1">
        <v>41641</v>
      </c>
      <c r="I2001">
        <v>73</v>
      </c>
      <c r="J2001">
        <v>90</v>
      </c>
      <c r="K2001">
        <v>38</v>
      </c>
      <c r="L2001">
        <v>67</v>
      </c>
      <c r="M2001">
        <v>33</v>
      </c>
      <c r="N2001">
        <v>36</v>
      </c>
      <c r="O2001">
        <v>67</v>
      </c>
      <c r="P2001">
        <v>1</v>
      </c>
      <c r="Q2001">
        <v>4</v>
      </c>
      <c r="R2001">
        <v>1</v>
      </c>
      <c r="S2001">
        <v>6</v>
      </c>
      <c r="T2001">
        <v>3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3</v>
      </c>
      <c r="AB2001">
        <v>11</v>
      </c>
      <c r="AC2001">
        <v>0</v>
      </c>
      <c r="AD2001" t="str">
        <f t="shared" si="403"/>
        <v>Ok</v>
      </c>
      <c r="AE2001" t="str">
        <f>IF(AND(Audit_Data[[#This Row],[Year_Birth]]&gt;=1900,Audit_Data[[#This Row],[Year_Birth]]&lt;=2010),"OK","Invalid")</f>
        <v>OK</v>
      </c>
      <c r="AF2001" t="str">
        <f t="shared" si="404"/>
        <v>Valid</v>
      </c>
      <c r="AG2001" t="str">
        <f t="shared" si="405"/>
        <v>Valid</v>
      </c>
      <c r="AH2001" t="str">
        <f t="shared" si="406"/>
        <v>Valid</v>
      </c>
      <c r="AI2001" t="str">
        <f t="shared" si="407"/>
        <v>Valid</v>
      </c>
      <c r="AJ2001" t="str">
        <f t="shared" si="408"/>
        <v>Valid</v>
      </c>
      <c r="AK2001" t="str">
        <f t="shared" si="415"/>
        <v xml:space="preserve">Valid </v>
      </c>
      <c r="AL2001" t="str">
        <f>IF(AND(Audit_Data[[#This Row],[Recency]]&gt;=0,Audit_Data[[#This Row],[Recency]]&lt;=100),"Valid","Invalid")</f>
        <v>Valid</v>
      </c>
      <c r="AM2001" t="str">
        <f t="shared" si="409"/>
        <v>Valid</v>
      </c>
      <c r="AN2001" t="str">
        <f t="shared" si="410"/>
        <v>Valid</v>
      </c>
      <c r="AO2001" t="str">
        <f t="shared" si="411"/>
        <v>Valid</v>
      </c>
      <c r="AP2001" t="str">
        <f t="shared" si="412"/>
        <v>Valid</v>
      </c>
      <c r="AQ2001" t="str">
        <f>IF(Audit_Data[[#This Row],[Z_CostContact]]=3,"Valid","Invalid")</f>
        <v>Valid</v>
      </c>
      <c r="AR2001" t="str">
        <f t="shared" si="413"/>
        <v>Valid</v>
      </c>
      <c r="AS2001" t="str">
        <f t="shared" si="414"/>
        <v>Valid</v>
      </c>
    </row>
    <row r="2002" spans="1:45" x14ac:dyDescent="0.3">
      <c r="A2002">
        <v>4860</v>
      </c>
      <c r="B2002">
        <v>1970</v>
      </c>
      <c r="C2002" t="s">
        <v>29</v>
      </c>
      <c r="D2002" t="s">
        <v>30</v>
      </c>
      <c r="E2002">
        <v>24206</v>
      </c>
      <c r="F2002">
        <v>1</v>
      </c>
      <c r="G2002">
        <v>0</v>
      </c>
      <c r="H2002" s="1">
        <v>41341</v>
      </c>
      <c r="I2002">
        <v>66</v>
      </c>
      <c r="J2002">
        <v>7</v>
      </c>
      <c r="K2002">
        <v>2</v>
      </c>
      <c r="L2002">
        <v>8</v>
      </c>
      <c r="M2002">
        <v>3</v>
      </c>
      <c r="N2002">
        <v>2</v>
      </c>
      <c r="O2002">
        <v>3</v>
      </c>
      <c r="P2002">
        <v>1</v>
      </c>
      <c r="Q2002">
        <v>1</v>
      </c>
      <c r="R2002">
        <v>0</v>
      </c>
      <c r="S2002">
        <v>3</v>
      </c>
      <c r="T2002">
        <v>6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3</v>
      </c>
      <c r="AB2002">
        <v>11</v>
      </c>
      <c r="AC2002">
        <v>0</v>
      </c>
      <c r="AD2002" t="str">
        <f t="shared" si="403"/>
        <v>Ok</v>
      </c>
      <c r="AE2002" t="str">
        <f>IF(AND(Audit_Data[[#This Row],[Year_Birth]]&gt;=1900,Audit_Data[[#This Row],[Year_Birth]]&lt;=2010),"OK","Invalid")</f>
        <v>OK</v>
      </c>
      <c r="AF2002" t="str">
        <f t="shared" si="404"/>
        <v>Valid</v>
      </c>
      <c r="AG2002" t="str">
        <f t="shared" si="405"/>
        <v>Valid</v>
      </c>
      <c r="AH2002" t="str">
        <f t="shared" si="406"/>
        <v>Valid</v>
      </c>
      <c r="AI2002" t="str">
        <f t="shared" si="407"/>
        <v>Valid</v>
      </c>
      <c r="AJ2002" t="str">
        <f t="shared" si="408"/>
        <v>Valid</v>
      </c>
      <c r="AK2002" t="str">
        <f t="shared" si="415"/>
        <v xml:space="preserve">Valid </v>
      </c>
      <c r="AL2002" t="str">
        <f>IF(AND(Audit_Data[[#This Row],[Recency]]&gt;=0,Audit_Data[[#This Row],[Recency]]&lt;=100),"Valid","Invalid")</f>
        <v>Valid</v>
      </c>
      <c r="AM2002" t="str">
        <f t="shared" si="409"/>
        <v>Valid</v>
      </c>
      <c r="AN2002" t="str">
        <f t="shared" si="410"/>
        <v>Valid</v>
      </c>
      <c r="AO2002" t="str">
        <f t="shared" si="411"/>
        <v>Valid</v>
      </c>
      <c r="AP2002" t="str">
        <f t="shared" si="412"/>
        <v>Valid</v>
      </c>
      <c r="AQ2002" t="str">
        <f>IF(Audit_Data[[#This Row],[Z_CostContact]]=3,"Valid","Invalid")</f>
        <v>Valid</v>
      </c>
      <c r="AR2002" t="str">
        <f t="shared" si="413"/>
        <v>Valid</v>
      </c>
      <c r="AS2002" t="str">
        <f t="shared" si="414"/>
        <v>Valid</v>
      </c>
    </row>
    <row r="2003" spans="1:45" x14ac:dyDescent="0.3">
      <c r="A2003">
        <v>10757</v>
      </c>
      <c r="B2003">
        <v>1967</v>
      </c>
      <c r="C2003" t="s">
        <v>32</v>
      </c>
      <c r="D2003" t="s">
        <v>35</v>
      </c>
      <c r="E2003">
        <v>28420</v>
      </c>
      <c r="F2003">
        <v>1</v>
      </c>
      <c r="G2003">
        <v>0</v>
      </c>
      <c r="H2003" s="1">
        <v>41632</v>
      </c>
      <c r="I2003">
        <v>36</v>
      </c>
      <c r="J2003">
        <v>4</v>
      </c>
      <c r="K2003">
        <v>2</v>
      </c>
      <c r="L2003">
        <v>5</v>
      </c>
      <c r="M2003">
        <v>2</v>
      </c>
      <c r="N2003">
        <v>0</v>
      </c>
      <c r="O2003">
        <v>0</v>
      </c>
      <c r="P2003">
        <v>1</v>
      </c>
      <c r="Q2003">
        <v>1</v>
      </c>
      <c r="R2003">
        <v>0</v>
      </c>
      <c r="S2003">
        <v>2</v>
      </c>
      <c r="T2003">
        <v>6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3</v>
      </c>
      <c r="AB2003">
        <v>11</v>
      </c>
      <c r="AC2003">
        <v>0</v>
      </c>
      <c r="AD2003" t="str">
        <f t="shared" si="403"/>
        <v>Ok</v>
      </c>
      <c r="AE2003" t="str">
        <f>IF(AND(Audit_Data[[#This Row],[Year_Birth]]&gt;=1900,Audit_Data[[#This Row],[Year_Birth]]&lt;=2010),"OK","Invalid")</f>
        <v>OK</v>
      </c>
      <c r="AF2003" t="str">
        <f t="shared" si="404"/>
        <v>Valid</v>
      </c>
      <c r="AG2003" t="str">
        <f t="shared" si="405"/>
        <v>Valid</v>
      </c>
      <c r="AH2003" t="str">
        <f t="shared" si="406"/>
        <v>Valid</v>
      </c>
      <c r="AI2003" t="str">
        <f t="shared" si="407"/>
        <v>Valid</v>
      </c>
      <c r="AJ2003" t="str">
        <f t="shared" si="408"/>
        <v>Valid</v>
      </c>
      <c r="AK2003" t="str">
        <f t="shared" si="415"/>
        <v xml:space="preserve">Valid </v>
      </c>
      <c r="AL2003" t="str">
        <f>IF(AND(Audit_Data[[#This Row],[Recency]]&gt;=0,Audit_Data[[#This Row],[Recency]]&lt;=100),"Valid","Invalid")</f>
        <v>Valid</v>
      </c>
      <c r="AM2003" t="str">
        <f t="shared" si="409"/>
        <v>Valid</v>
      </c>
      <c r="AN2003" t="str">
        <f t="shared" si="410"/>
        <v>Valid</v>
      </c>
      <c r="AO2003" t="str">
        <f t="shared" si="411"/>
        <v>Valid</v>
      </c>
      <c r="AP2003" t="str">
        <f t="shared" si="412"/>
        <v>Valid</v>
      </c>
      <c r="AQ2003" t="str">
        <f>IF(Audit_Data[[#This Row],[Z_CostContact]]=3,"Valid","Invalid")</f>
        <v>Valid</v>
      </c>
      <c r="AR2003" t="str">
        <f t="shared" si="413"/>
        <v>Valid</v>
      </c>
      <c r="AS2003" t="str">
        <f t="shared" si="414"/>
        <v>Valid</v>
      </c>
    </row>
    <row r="2004" spans="1:45" x14ac:dyDescent="0.3">
      <c r="A2004">
        <v>4023</v>
      </c>
      <c r="B2004">
        <v>1970</v>
      </c>
      <c r="C2004" t="s">
        <v>29</v>
      </c>
      <c r="D2004" t="s">
        <v>33</v>
      </c>
      <c r="E2004">
        <v>22979</v>
      </c>
      <c r="F2004">
        <v>1</v>
      </c>
      <c r="G2004">
        <v>0</v>
      </c>
      <c r="H2004" s="1">
        <v>41158</v>
      </c>
      <c r="I2004">
        <v>29</v>
      </c>
      <c r="J2004">
        <v>16</v>
      </c>
      <c r="K2004">
        <v>17</v>
      </c>
      <c r="L2004">
        <v>19</v>
      </c>
      <c r="M2004">
        <v>20</v>
      </c>
      <c r="N2004">
        <v>21</v>
      </c>
      <c r="O2004">
        <v>22</v>
      </c>
      <c r="P2004">
        <v>3</v>
      </c>
      <c r="Q2004">
        <v>3</v>
      </c>
      <c r="R2004">
        <v>2</v>
      </c>
      <c r="S2004">
        <v>2</v>
      </c>
      <c r="T2004">
        <v>8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3</v>
      </c>
      <c r="AB2004">
        <v>11</v>
      </c>
      <c r="AC2004">
        <v>1</v>
      </c>
      <c r="AD2004" t="str">
        <f t="shared" si="403"/>
        <v>Ok</v>
      </c>
      <c r="AE2004" t="str">
        <f>IF(AND(Audit_Data[[#This Row],[Year_Birth]]&gt;=1900,Audit_Data[[#This Row],[Year_Birth]]&lt;=2010),"OK","Invalid")</f>
        <v>OK</v>
      </c>
      <c r="AF2004" t="str">
        <f t="shared" si="404"/>
        <v>Valid</v>
      </c>
      <c r="AG2004" t="str">
        <f t="shared" si="405"/>
        <v>Valid</v>
      </c>
      <c r="AH2004" t="str">
        <f t="shared" si="406"/>
        <v>Valid</v>
      </c>
      <c r="AI2004" t="str">
        <f t="shared" si="407"/>
        <v>Valid</v>
      </c>
      <c r="AJ2004" t="str">
        <f t="shared" si="408"/>
        <v>Valid</v>
      </c>
      <c r="AK2004" t="str">
        <f t="shared" si="415"/>
        <v xml:space="preserve">Valid </v>
      </c>
      <c r="AL2004" t="str">
        <f>IF(AND(Audit_Data[[#This Row],[Recency]]&gt;=0,Audit_Data[[#This Row],[Recency]]&lt;=100),"Valid","Invalid")</f>
        <v>Valid</v>
      </c>
      <c r="AM2004" t="str">
        <f t="shared" si="409"/>
        <v>Valid</v>
      </c>
      <c r="AN2004" t="str">
        <f t="shared" si="410"/>
        <v>Valid</v>
      </c>
      <c r="AO2004" t="str">
        <f t="shared" si="411"/>
        <v>Valid</v>
      </c>
      <c r="AP2004" t="str">
        <f t="shared" si="412"/>
        <v>Valid</v>
      </c>
      <c r="AQ2004" t="str">
        <f>IF(Audit_Data[[#This Row],[Z_CostContact]]=3,"Valid","Invalid")</f>
        <v>Valid</v>
      </c>
      <c r="AR2004" t="str">
        <f t="shared" si="413"/>
        <v>Valid</v>
      </c>
      <c r="AS2004" t="str">
        <f t="shared" si="414"/>
        <v>Valid</v>
      </c>
    </row>
    <row r="2005" spans="1:45" x14ac:dyDescent="0.3">
      <c r="A2005">
        <v>6679</v>
      </c>
      <c r="B2005">
        <v>1966</v>
      </c>
      <c r="C2005" t="s">
        <v>29</v>
      </c>
      <c r="D2005" t="s">
        <v>30</v>
      </c>
      <c r="E2005">
        <v>33279</v>
      </c>
      <c r="F2005">
        <v>0</v>
      </c>
      <c r="G2005">
        <v>0</v>
      </c>
      <c r="H2005" s="1">
        <v>41802</v>
      </c>
      <c r="I2005">
        <v>29</v>
      </c>
      <c r="J2005">
        <v>10</v>
      </c>
      <c r="K2005">
        <v>3</v>
      </c>
      <c r="L2005">
        <v>3</v>
      </c>
      <c r="M2005">
        <v>0</v>
      </c>
      <c r="N2005">
        <v>0</v>
      </c>
      <c r="O2005">
        <v>0</v>
      </c>
      <c r="P2005">
        <v>1</v>
      </c>
      <c r="Q2005">
        <v>0</v>
      </c>
      <c r="R2005">
        <v>0</v>
      </c>
      <c r="S2005">
        <v>3</v>
      </c>
      <c r="T2005">
        <v>3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3</v>
      </c>
      <c r="AB2005">
        <v>11</v>
      </c>
      <c r="AC2005">
        <v>0</v>
      </c>
      <c r="AD2005" t="str">
        <f t="shared" si="403"/>
        <v>Ok</v>
      </c>
      <c r="AE2005" t="str">
        <f>IF(AND(Audit_Data[[#This Row],[Year_Birth]]&gt;=1900,Audit_Data[[#This Row],[Year_Birth]]&lt;=2010),"OK","Invalid")</f>
        <v>OK</v>
      </c>
      <c r="AF2005" t="str">
        <f t="shared" si="404"/>
        <v>Valid</v>
      </c>
      <c r="AG2005" t="str">
        <f t="shared" si="405"/>
        <v>Valid</v>
      </c>
      <c r="AH2005" t="str">
        <f t="shared" si="406"/>
        <v>Valid</v>
      </c>
      <c r="AI2005" t="str">
        <f t="shared" si="407"/>
        <v>Valid</v>
      </c>
      <c r="AJ2005" t="str">
        <f t="shared" si="408"/>
        <v>Valid</v>
      </c>
      <c r="AK2005" t="str">
        <f t="shared" si="415"/>
        <v xml:space="preserve">Valid </v>
      </c>
      <c r="AL2005" t="str">
        <f>IF(AND(Audit_Data[[#This Row],[Recency]]&gt;=0,Audit_Data[[#This Row],[Recency]]&lt;=100),"Valid","Invalid")</f>
        <v>Valid</v>
      </c>
      <c r="AM2005" t="str">
        <f t="shared" si="409"/>
        <v>Valid</v>
      </c>
      <c r="AN2005" t="str">
        <f t="shared" si="410"/>
        <v>Valid</v>
      </c>
      <c r="AO2005" t="str">
        <f t="shared" si="411"/>
        <v>Valid</v>
      </c>
      <c r="AP2005" t="str">
        <f t="shared" si="412"/>
        <v>Valid</v>
      </c>
      <c r="AQ2005" t="str">
        <f>IF(Audit_Data[[#This Row],[Z_CostContact]]=3,"Valid","Invalid")</f>
        <v>Valid</v>
      </c>
      <c r="AR2005" t="str">
        <f t="shared" si="413"/>
        <v>Valid</v>
      </c>
      <c r="AS2005" t="str">
        <f t="shared" si="414"/>
        <v>Valid</v>
      </c>
    </row>
    <row r="2006" spans="1:45" x14ac:dyDescent="0.3">
      <c r="A2006">
        <v>9923</v>
      </c>
      <c r="B2006">
        <v>1972</v>
      </c>
      <c r="C2006" t="s">
        <v>34</v>
      </c>
      <c r="D2006" t="s">
        <v>30</v>
      </c>
      <c r="E2006">
        <v>46423</v>
      </c>
      <c r="F2006">
        <v>1</v>
      </c>
      <c r="G2006">
        <v>1</v>
      </c>
      <c r="H2006" s="1">
        <v>41535</v>
      </c>
      <c r="I2006">
        <v>6</v>
      </c>
      <c r="J2006">
        <v>68</v>
      </c>
      <c r="K2006">
        <v>0</v>
      </c>
      <c r="L2006">
        <v>16</v>
      </c>
      <c r="M2006">
        <v>0</v>
      </c>
      <c r="N2006">
        <v>0</v>
      </c>
      <c r="O2006">
        <v>8</v>
      </c>
      <c r="P2006">
        <v>3</v>
      </c>
      <c r="Q2006">
        <v>2</v>
      </c>
      <c r="R2006">
        <v>0</v>
      </c>
      <c r="S2006">
        <v>4</v>
      </c>
      <c r="T2006">
        <v>7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3</v>
      </c>
      <c r="AB2006">
        <v>11</v>
      </c>
      <c r="AC2006">
        <v>0</v>
      </c>
      <c r="AD2006" t="str">
        <f t="shared" si="403"/>
        <v>Ok</v>
      </c>
      <c r="AE2006" t="str">
        <f>IF(AND(Audit_Data[[#This Row],[Year_Birth]]&gt;=1900,Audit_Data[[#This Row],[Year_Birth]]&lt;=2010),"OK","Invalid")</f>
        <v>OK</v>
      </c>
      <c r="AF2006" t="str">
        <f t="shared" si="404"/>
        <v>Valid</v>
      </c>
      <c r="AG2006" t="str">
        <f t="shared" si="405"/>
        <v>Valid</v>
      </c>
      <c r="AH2006" t="str">
        <f t="shared" si="406"/>
        <v>Valid</v>
      </c>
      <c r="AI2006" t="str">
        <f t="shared" si="407"/>
        <v>Valid</v>
      </c>
      <c r="AJ2006" t="str">
        <f t="shared" si="408"/>
        <v>Valid</v>
      </c>
      <c r="AK2006" t="str">
        <f t="shared" si="415"/>
        <v xml:space="preserve">Valid </v>
      </c>
      <c r="AL2006" t="str">
        <f>IF(AND(Audit_Data[[#This Row],[Recency]]&gt;=0,Audit_Data[[#This Row],[Recency]]&lt;=100),"Valid","Invalid")</f>
        <v>Valid</v>
      </c>
      <c r="AM2006" t="str">
        <f t="shared" si="409"/>
        <v>Valid</v>
      </c>
      <c r="AN2006" t="str">
        <f t="shared" si="410"/>
        <v>Valid</v>
      </c>
      <c r="AO2006" t="str">
        <f t="shared" si="411"/>
        <v>Valid</v>
      </c>
      <c r="AP2006" t="str">
        <f t="shared" si="412"/>
        <v>Valid</v>
      </c>
      <c r="AQ2006" t="str">
        <f>IF(Audit_Data[[#This Row],[Z_CostContact]]=3,"Valid","Invalid")</f>
        <v>Valid</v>
      </c>
      <c r="AR2006" t="str">
        <f t="shared" si="413"/>
        <v>Valid</v>
      </c>
      <c r="AS2006" t="str">
        <f t="shared" si="414"/>
        <v>Valid</v>
      </c>
    </row>
    <row r="2007" spans="1:45" x14ac:dyDescent="0.3">
      <c r="A2007">
        <v>7181</v>
      </c>
      <c r="B2007">
        <v>1977</v>
      </c>
      <c r="C2007" t="s">
        <v>29</v>
      </c>
      <c r="D2007" t="s">
        <v>33</v>
      </c>
      <c r="E2007">
        <v>30368</v>
      </c>
      <c r="F2007">
        <v>0</v>
      </c>
      <c r="G2007">
        <v>1</v>
      </c>
      <c r="H2007" s="1">
        <v>41585</v>
      </c>
      <c r="I2007">
        <v>97</v>
      </c>
      <c r="J2007">
        <v>35</v>
      </c>
      <c r="K2007">
        <v>0</v>
      </c>
      <c r="L2007">
        <v>13</v>
      </c>
      <c r="M2007">
        <v>2</v>
      </c>
      <c r="N2007">
        <v>0</v>
      </c>
      <c r="O2007">
        <v>2</v>
      </c>
      <c r="P2007">
        <v>2</v>
      </c>
      <c r="Q2007">
        <v>2</v>
      </c>
      <c r="R2007">
        <v>0</v>
      </c>
      <c r="S2007">
        <v>3</v>
      </c>
      <c r="T2007">
        <v>8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3</v>
      </c>
      <c r="AB2007">
        <v>11</v>
      </c>
      <c r="AC2007">
        <v>0</v>
      </c>
      <c r="AD2007" t="str">
        <f t="shared" si="403"/>
        <v>Ok</v>
      </c>
      <c r="AE2007" t="str">
        <f>IF(AND(Audit_Data[[#This Row],[Year_Birth]]&gt;=1900,Audit_Data[[#This Row],[Year_Birth]]&lt;=2010),"OK","Invalid")</f>
        <v>OK</v>
      </c>
      <c r="AF2007" t="str">
        <f t="shared" si="404"/>
        <v>Valid</v>
      </c>
      <c r="AG2007" t="str">
        <f t="shared" si="405"/>
        <v>Valid</v>
      </c>
      <c r="AH2007" t="str">
        <f t="shared" si="406"/>
        <v>Valid</v>
      </c>
      <c r="AI2007" t="str">
        <f t="shared" si="407"/>
        <v>Valid</v>
      </c>
      <c r="AJ2007" t="str">
        <f t="shared" si="408"/>
        <v>Valid</v>
      </c>
      <c r="AK2007" t="str">
        <f t="shared" si="415"/>
        <v xml:space="preserve">Valid </v>
      </c>
      <c r="AL2007" t="str">
        <f>IF(AND(Audit_Data[[#This Row],[Recency]]&gt;=0,Audit_Data[[#This Row],[Recency]]&lt;=100),"Valid","Invalid")</f>
        <v>Valid</v>
      </c>
      <c r="AM2007" t="str">
        <f t="shared" si="409"/>
        <v>Valid</v>
      </c>
      <c r="AN2007" t="str">
        <f t="shared" si="410"/>
        <v>Valid</v>
      </c>
      <c r="AO2007" t="str">
        <f t="shared" si="411"/>
        <v>Valid</v>
      </c>
      <c r="AP2007" t="str">
        <f t="shared" si="412"/>
        <v>Valid</v>
      </c>
      <c r="AQ2007" t="str">
        <f>IF(Audit_Data[[#This Row],[Z_CostContact]]=3,"Valid","Invalid")</f>
        <v>Valid</v>
      </c>
      <c r="AR2007" t="str">
        <f t="shared" si="413"/>
        <v>Valid</v>
      </c>
      <c r="AS2007" t="str">
        <f t="shared" si="414"/>
        <v>Valid</v>
      </c>
    </row>
    <row r="2008" spans="1:45" x14ac:dyDescent="0.3">
      <c r="A2008">
        <v>3599</v>
      </c>
      <c r="B2008">
        <v>1970</v>
      </c>
      <c r="C2008" t="s">
        <v>29</v>
      </c>
      <c r="D2008" t="s">
        <v>33</v>
      </c>
      <c r="E2008">
        <v>63684</v>
      </c>
      <c r="F2008">
        <v>0</v>
      </c>
      <c r="G2008">
        <v>1</v>
      </c>
      <c r="H2008" s="1">
        <v>41239</v>
      </c>
      <c r="I2008">
        <v>61</v>
      </c>
      <c r="J2008">
        <v>575</v>
      </c>
      <c r="K2008">
        <v>80</v>
      </c>
      <c r="L2008">
        <v>428</v>
      </c>
      <c r="M2008">
        <v>208</v>
      </c>
      <c r="N2008">
        <v>93</v>
      </c>
      <c r="O2008">
        <v>80</v>
      </c>
      <c r="P2008">
        <v>3</v>
      </c>
      <c r="Q2008">
        <v>8</v>
      </c>
      <c r="R2008">
        <v>4</v>
      </c>
      <c r="S2008">
        <v>8</v>
      </c>
      <c r="T2008">
        <v>5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3</v>
      </c>
      <c r="AB2008">
        <v>11</v>
      </c>
      <c r="AC2008">
        <v>0</v>
      </c>
      <c r="AD2008" t="str">
        <f t="shared" si="403"/>
        <v>Ok</v>
      </c>
      <c r="AE2008" t="str">
        <f>IF(AND(Audit_Data[[#This Row],[Year_Birth]]&gt;=1900,Audit_Data[[#This Row],[Year_Birth]]&lt;=2010),"OK","Invalid")</f>
        <v>OK</v>
      </c>
      <c r="AF2008" t="str">
        <f t="shared" si="404"/>
        <v>Valid</v>
      </c>
      <c r="AG2008" t="str">
        <f t="shared" si="405"/>
        <v>Valid</v>
      </c>
      <c r="AH2008" t="str">
        <f t="shared" si="406"/>
        <v>Valid</v>
      </c>
      <c r="AI2008" t="str">
        <f t="shared" si="407"/>
        <v>Valid</v>
      </c>
      <c r="AJ2008" t="str">
        <f t="shared" si="408"/>
        <v>Valid</v>
      </c>
      <c r="AK2008" t="str">
        <f t="shared" si="415"/>
        <v xml:space="preserve">Valid </v>
      </c>
      <c r="AL2008" t="str">
        <f>IF(AND(Audit_Data[[#This Row],[Recency]]&gt;=0,Audit_Data[[#This Row],[Recency]]&lt;=100),"Valid","Invalid")</f>
        <v>Valid</v>
      </c>
      <c r="AM2008" t="str">
        <f t="shared" si="409"/>
        <v>Valid</v>
      </c>
      <c r="AN2008" t="str">
        <f t="shared" si="410"/>
        <v>Valid</v>
      </c>
      <c r="AO2008" t="str">
        <f t="shared" si="411"/>
        <v>Valid</v>
      </c>
      <c r="AP2008" t="str">
        <f t="shared" si="412"/>
        <v>Valid</v>
      </c>
      <c r="AQ2008" t="str">
        <f>IF(Audit_Data[[#This Row],[Z_CostContact]]=3,"Valid","Invalid")</f>
        <v>Valid</v>
      </c>
      <c r="AR2008" t="str">
        <f t="shared" si="413"/>
        <v>Valid</v>
      </c>
      <c r="AS2008" t="str">
        <f t="shared" si="414"/>
        <v>Valid</v>
      </c>
    </row>
    <row r="2009" spans="1:45" x14ac:dyDescent="0.3">
      <c r="A2009">
        <v>405</v>
      </c>
      <c r="B2009">
        <v>1964</v>
      </c>
      <c r="C2009" t="s">
        <v>29</v>
      </c>
      <c r="D2009" t="s">
        <v>35</v>
      </c>
      <c r="E2009">
        <v>41638</v>
      </c>
      <c r="F2009">
        <v>0</v>
      </c>
      <c r="G2009">
        <v>1</v>
      </c>
      <c r="H2009" s="1">
        <v>41318</v>
      </c>
      <c r="I2009">
        <v>68</v>
      </c>
      <c r="J2009">
        <v>315</v>
      </c>
      <c r="K2009">
        <v>0</v>
      </c>
      <c r="L2009">
        <v>31</v>
      </c>
      <c r="M2009">
        <v>4</v>
      </c>
      <c r="N2009">
        <v>0</v>
      </c>
      <c r="O2009">
        <v>91</v>
      </c>
      <c r="P2009">
        <v>4</v>
      </c>
      <c r="Q2009">
        <v>5</v>
      </c>
      <c r="R2009">
        <v>5</v>
      </c>
      <c r="S2009">
        <v>3</v>
      </c>
      <c r="T2009">
        <v>8</v>
      </c>
      <c r="U2009">
        <v>1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3</v>
      </c>
      <c r="AB2009">
        <v>11</v>
      </c>
      <c r="AC2009">
        <v>0</v>
      </c>
      <c r="AD2009" t="str">
        <f t="shared" si="403"/>
        <v>Ok</v>
      </c>
      <c r="AE2009" t="str">
        <f>IF(AND(Audit_Data[[#This Row],[Year_Birth]]&gt;=1900,Audit_Data[[#This Row],[Year_Birth]]&lt;=2010),"OK","Invalid")</f>
        <v>OK</v>
      </c>
      <c r="AF2009" t="str">
        <f t="shared" si="404"/>
        <v>Valid</v>
      </c>
      <c r="AG2009" t="str">
        <f t="shared" si="405"/>
        <v>Valid</v>
      </c>
      <c r="AH2009" t="str">
        <f t="shared" si="406"/>
        <v>Valid</v>
      </c>
      <c r="AI2009" t="str">
        <f t="shared" si="407"/>
        <v>Valid</v>
      </c>
      <c r="AJ2009" t="str">
        <f t="shared" si="408"/>
        <v>Valid</v>
      </c>
      <c r="AK2009" t="str">
        <f t="shared" si="415"/>
        <v xml:space="preserve">Valid </v>
      </c>
      <c r="AL2009" t="str">
        <f>IF(AND(Audit_Data[[#This Row],[Recency]]&gt;=0,Audit_Data[[#This Row],[Recency]]&lt;=100),"Valid","Invalid")</f>
        <v>Valid</v>
      </c>
      <c r="AM2009" t="str">
        <f t="shared" si="409"/>
        <v>Valid</v>
      </c>
      <c r="AN2009" t="str">
        <f t="shared" si="410"/>
        <v>Valid</v>
      </c>
      <c r="AO2009" t="str">
        <f t="shared" si="411"/>
        <v>Valid</v>
      </c>
      <c r="AP2009" t="str">
        <f t="shared" si="412"/>
        <v>Valid</v>
      </c>
      <c r="AQ2009" t="str">
        <f>IF(Audit_Data[[#This Row],[Z_CostContact]]=3,"Valid","Invalid")</f>
        <v>Valid</v>
      </c>
      <c r="AR2009" t="str">
        <f t="shared" si="413"/>
        <v>Valid</v>
      </c>
      <c r="AS2009" t="str">
        <f t="shared" si="414"/>
        <v>Valid</v>
      </c>
    </row>
    <row r="2010" spans="1:45" x14ac:dyDescent="0.3">
      <c r="A2010">
        <v>6870</v>
      </c>
      <c r="B2010">
        <v>1959</v>
      </c>
      <c r="C2010" t="s">
        <v>32</v>
      </c>
      <c r="D2010" t="s">
        <v>35</v>
      </c>
      <c r="E2010">
        <v>68805</v>
      </c>
      <c r="F2010">
        <v>0</v>
      </c>
      <c r="G2010">
        <v>1</v>
      </c>
      <c r="H2010" s="1">
        <v>41534</v>
      </c>
      <c r="I2010">
        <v>73</v>
      </c>
      <c r="J2010">
        <v>182</v>
      </c>
      <c r="K2010">
        <v>2</v>
      </c>
      <c r="L2010">
        <v>49</v>
      </c>
      <c r="M2010">
        <v>17</v>
      </c>
      <c r="N2010">
        <v>13</v>
      </c>
      <c r="O2010">
        <v>20</v>
      </c>
      <c r="P2010">
        <v>1</v>
      </c>
      <c r="Q2010">
        <v>3</v>
      </c>
      <c r="R2010">
        <v>1</v>
      </c>
      <c r="S2010">
        <v>7</v>
      </c>
      <c r="T2010">
        <v>2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3</v>
      </c>
      <c r="AB2010">
        <v>11</v>
      </c>
      <c r="AC2010">
        <v>0</v>
      </c>
      <c r="AD2010" t="str">
        <f t="shared" si="403"/>
        <v>Ok</v>
      </c>
      <c r="AE2010" t="str">
        <f>IF(AND(Audit_Data[[#This Row],[Year_Birth]]&gt;=1900,Audit_Data[[#This Row],[Year_Birth]]&lt;=2010),"OK","Invalid")</f>
        <v>OK</v>
      </c>
      <c r="AF2010" t="str">
        <f t="shared" si="404"/>
        <v>Valid</v>
      </c>
      <c r="AG2010" t="str">
        <f t="shared" si="405"/>
        <v>Valid</v>
      </c>
      <c r="AH2010" t="str">
        <f t="shared" si="406"/>
        <v>Valid</v>
      </c>
      <c r="AI2010" t="str">
        <f t="shared" si="407"/>
        <v>Valid</v>
      </c>
      <c r="AJ2010" t="str">
        <f t="shared" si="408"/>
        <v>Valid</v>
      </c>
      <c r="AK2010" t="str">
        <f t="shared" si="415"/>
        <v xml:space="preserve">Valid </v>
      </c>
      <c r="AL2010" t="str">
        <f>IF(AND(Audit_Data[[#This Row],[Recency]]&gt;=0,Audit_Data[[#This Row],[Recency]]&lt;=100),"Valid","Invalid")</f>
        <v>Valid</v>
      </c>
      <c r="AM2010" t="str">
        <f t="shared" si="409"/>
        <v>Valid</v>
      </c>
      <c r="AN2010" t="str">
        <f t="shared" si="410"/>
        <v>Valid</v>
      </c>
      <c r="AO2010" t="str">
        <f t="shared" si="411"/>
        <v>Valid</v>
      </c>
      <c r="AP2010" t="str">
        <f t="shared" si="412"/>
        <v>Valid</v>
      </c>
      <c r="AQ2010" t="str">
        <f>IF(Audit_Data[[#This Row],[Z_CostContact]]=3,"Valid","Invalid")</f>
        <v>Valid</v>
      </c>
      <c r="AR2010" t="str">
        <f t="shared" si="413"/>
        <v>Valid</v>
      </c>
      <c r="AS2010" t="str">
        <f t="shared" si="414"/>
        <v>Valid</v>
      </c>
    </row>
    <row r="2011" spans="1:45" x14ac:dyDescent="0.3">
      <c r="A2011">
        <v>832</v>
      </c>
      <c r="B2011">
        <v>1966</v>
      </c>
      <c r="C2011" t="s">
        <v>32</v>
      </c>
      <c r="D2011" t="s">
        <v>31</v>
      </c>
      <c r="E2011">
        <v>65814</v>
      </c>
      <c r="F2011">
        <v>0</v>
      </c>
      <c r="G2011">
        <v>1</v>
      </c>
      <c r="H2011" s="1">
        <v>41700</v>
      </c>
      <c r="I2011">
        <v>90</v>
      </c>
      <c r="J2011">
        <v>561</v>
      </c>
      <c r="K2011">
        <v>14</v>
      </c>
      <c r="L2011">
        <v>113</v>
      </c>
      <c r="M2011">
        <v>10</v>
      </c>
      <c r="N2011">
        <v>14</v>
      </c>
      <c r="O2011">
        <v>35</v>
      </c>
      <c r="P2011">
        <v>3</v>
      </c>
      <c r="Q2011">
        <v>8</v>
      </c>
      <c r="R2011">
        <v>2</v>
      </c>
      <c r="S2011">
        <v>10</v>
      </c>
      <c r="T2011">
        <v>5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3</v>
      </c>
      <c r="AB2011">
        <v>11</v>
      </c>
      <c r="AC2011">
        <v>0</v>
      </c>
      <c r="AD2011" t="str">
        <f t="shared" si="403"/>
        <v>Ok</v>
      </c>
      <c r="AE2011" t="str">
        <f>IF(AND(Audit_Data[[#This Row],[Year_Birth]]&gt;=1900,Audit_Data[[#This Row],[Year_Birth]]&lt;=2010),"OK","Invalid")</f>
        <v>OK</v>
      </c>
      <c r="AF2011" t="str">
        <f t="shared" si="404"/>
        <v>Valid</v>
      </c>
      <c r="AG2011" t="str">
        <f t="shared" si="405"/>
        <v>Valid</v>
      </c>
      <c r="AH2011" t="str">
        <f t="shared" si="406"/>
        <v>Valid</v>
      </c>
      <c r="AI2011" t="str">
        <f t="shared" si="407"/>
        <v>Valid</v>
      </c>
      <c r="AJ2011" t="str">
        <f t="shared" si="408"/>
        <v>Valid</v>
      </c>
      <c r="AK2011" t="str">
        <f t="shared" si="415"/>
        <v xml:space="preserve">Valid </v>
      </c>
      <c r="AL2011" t="str">
        <f>IF(AND(Audit_Data[[#This Row],[Recency]]&gt;=0,Audit_Data[[#This Row],[Recency]]&lt;=100),"Valid","Invalid")</f>
        <v>Valid</v>
      </c>
      <c r="AM2011" t="str">
        <f t="shared" si="409"/>
        <v>Valid</v>
      </c>
      <c r="AN2011" t="str">
        <f t="shared" si="410"/>
        <v>Valid</v>
      </c>
      <c r="AO2011" t="str">
        <f t="shared" si="411"/>
        <v>Valid</v>
      </c>
      <c r="AP2011" t="str">
        <f t="shared" si="412"/>
        <v>Valid</v>
      </c>
      <c r="AQ2011" t="str">
        <f>IF(Audit_Data[[#This Row],[Z_CostContact]]=3,"Valid","Invalid")</f>
        <v>Valid</v>
      </c>
      <c r="AR2011" t="str">
        <f t="shared" si="413"/>
        <v>Valid</v>
      </c>
      <c r="AS2011" t="str">
        <f t="shared" si="414"/>
        <v>Valid</v>
      </c>
    </row>
    <row r="2012" spans="1:45" x14ac:dyDescent="0.3">
      <c r="A2012">
        <v>2002</v>
      </c>
      <c r="B2012">
        <v>1958</v>
      </c>
      <c r="C2012" t="s">
        <v>29</v>
      </c>
      <c r="D2012" t="s">
        <v>35</v>
      </c>
      <c r="E2012">
        <v>71964</v>
      </c>
      <c r="F2012">
        <v>0</v>
      </c>
      <c r="G2012">
        <v>0</v>
      </c>
      <c r="H2012" s="1">
        <v>41414</v>
      </c>
      <c r="I2012">
        <v>81</v>
      </c>
      <c r="J2012">
        <v>587</v>
      </c>
      <c r="K2012">
        <v>51</v>
      </c>
      <c r="L2012">
        <v>932</v>
      </c>
      <c r="M2012">
        <v>180</v>
      </c>
      <c r="N2012">
        <v>34</v>
      </c>
      <c r="O2012">
        <v>86</v>
      </c>
      <c r="P2012">
        <v>1</v>
      </c>
      <c r="Q2012">
        <v>5</v>
      </c>
      <c r="R2012">
        <v>6</v>
      </c>
      <c r="S2012">
        <v>5</v>
      </c>
      <c r="T2012">
        <v>3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3</v>
      </c>
      <c r="AB2012">
        <v>11</v>
      </c>
      <c r="AC2012">
        <v>0</v>
      </c>
      <c r="AD2012" t="str">
        <f t="shared" si="403"/>
        <v>Ok</v>
      </c>
      <c r="AE2012" t="str">
        <f>IF(AND(Audit_Data[[#This Row],[Year_Birth]]&gt;=1900,Audit_Data[[#This Row],[Year_Birth]]&lt;=2010),"OK","Invalid")</f>
        <v>OK</v>
      </c>
      <c r="AF2012" t="str">
        <f t="shared" si="404"/>
        <v>Valid</v>
      </c>
      <c r="AG2012" t="str">
        <f t="shared" si="405"/>
        <v>Valid</v>
      </c>
      <c r="AH2012" t="str">
        <f t="shared" si="406"/>
        <v>Valid</v>
      </c>
      <c r="AI2012" t="str">
        <f t="shared" si="407"/>
        <v>Valid</v>
      </c>
      <c r="AJ2012" t="str">
        <f t="shared" si="408"/>
        <v>Valid</v>
      </c>
      <c r="AK2012" t="str">
        <f t="shared" si="415"/>
        <v xml:space="preserve">Valid </v>
      </c>
      <c r="AL2012" t="str">
        <f>IF(AND(Audit_Data[[#This Row],[Recency]]&gt;=0,Audit_Data[[#This Row],[Recency]]&lt;=100),"Valid","Invalid")</f>
        <v>Valid</v>
      </c>
      <c r="AM2012" t="str">
        <f t="shared" si="409"/>
        <v>Valid</v>
      </c>
      <c r="AN2012" t="str">
        <f t="shared" si="410"/>
        <v>Valid</v>
      </c>
      <c r="AO2012" t="str">
        <f t="shared" si="411"/>
        <v>Valid</v>
      </c>
      <c r="AP2012" t="str">
        <f t="shared" si="412"/>
        <v>Valid</v>
      </c>
      <c r="AQ2012" t="str">
        <f>IF(Audit_Data[[#This Row],[Z_CostContact]]=3,"Valid","Invalid")</f>
        <v>Valid</v>
      </c>
      <c r="AR2012" t="str">
        <f t="shared" si="413"/>
        <v>Valid</v>
      </c>
      <c r="AS2012" t="str">
        <f t="shared" si="414"/>
        <v>Valid</v>
      </c>
    </row>
    <row r="2013" spans="1:45" x14ac:dyDescent="0.3">
      <c r="A2013">
        <v>3657</v>
      </c>
      <c r="B2013">
        <v>1986</v>
      </c>
      <c r="C2013" t="s">
        <v>29</v>
      </c>
      <c r="D2013" t="s">
        <v>30</v>
      </c>
      <c r="E2013">
        <v>39146</v>
      </c>
      <c r="F2013">
        <v>1</v>
      </c>
      <c r="G2013">
        <v>0</v>
      </c>
      <c r="H2013" s="1">
        <v>41319</v>
      </c>
      <c r="I2013">
        <v>1</v>
      </c>
      <c r="J2013">
        <v>94</v>
      </c>
      <c r="K2013">
        <v>1</v>
      </c>
      <c r="L2013">
        <v>33</v>
      </c>
      <c r="M2013">
        <v>13</v>
      </c>
      <c r="N2013">
        <v>12</v>
      </c>
      <c r="O2013">
        <v>12</v>
      </c>
      <c r="P2013">
        <v>3</v>
      </c>
      <c r="Q2013">
        <v>4</v>
      </c>
      <c r="R2013">
        <v>0</v>
      </c>
      <c r="S2013">
        <v>4</v>
      </c>
      <c r="T2013">
        <v>8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3</v>
      </c>
      <c r="AB2013">
        <v>11</v>
      </c>
      <c r="AC2013">
        <v>0</v>
      </c>
      <c r="AD2013" t="str">
        <f t="shared" si="403"/>
        <v>Ok</v>
      </c>
      <c r="AE2013" t="str">
        <f>IF(AND(Audit_Data[[#This Row],[Year_Birth]]&gt;=1900,Audit_Data[[#This Row],[Year_Birth]]&lt;=2010),"OK","Invalid")</f>
        <v>OK</v>
      </c>
      <c r="AF2013" t="str">
        <f t="shared" si="404"/>
        <v>Valid</v>
      </c>
      <c r="AG2013" t="str">
        <f t="shared" si="405"/>
        <v>Valid</v>
      </c>
      <c r="AH2013" t="str">
        <f t="shared" si="406"/>
        <v>Valid</v>
      </c>
      <c r="AI2013" t="str">
        <f t="shared" si="407"/>
        <v>Valid</v>
      </c>
      <c r="AJ2013" t="str">
        <f t="shared" si="408"/>
        <v>Valid</v>
      </c>
      <c r="AK2013" t="str">
        <f t="shared" si="415"/>
        <v xml:space="preserve">Valid </v>
      </c>
      <c r="AL2013" t="str">
        <f>IF(AND(Audit_Data[[#This Row],[Recency]]&gt;=0,Audit_Data[[#This Row],[Recency]]&lt;=100),"Valid","Invalid")</f>
        <v>Valid</v>
      </c>
      <c r="AM2013" t="str">
        <f t="shared" si="409"/>
        <v>Valid</v>
      </c>
      <c r="AN2013" t="str">
        <f t="shared" si="410"/>
        <v>Valid</v>
      </c>
      <c r="AO2013" t="str">
        <f t="shared" si="411"/>
        <v>Valid</v>
      </c>
      <c r="AP2013" t="str">
        <f t="shared" si="412"/>
        <v>Valid</v>
      </c>
      <c r="AQ2013" t="str">
        <f>IF(Audit_Data[[#This Row],[Z_CostContact]]=3,"Valid","Invalid")</f>
        <v>Valid</v>
      </c>
      <c r="AR2013" t="str">
        <f t="shared" si="413"/>
        <v>Valid</v>
      </c>
      <c r="AS2013" t="str">
        <f t="shared" si="414"/>
        <v>Valid</v>
      </c>
    </row>
    <row r="2014" spans="1:45" x14ac:dyDescent="0.3">
      <c r="A2014">
        <v>500</v>
      </c>
      <c r="B2014">
        <v>1977</v>
      </c>
      <c r="C2014" t="s">
        <v>29</v>
      </c>
      <c r="D2014" t="s">
        <v>31</v>
      </c>
      <c r="E2014">
        <v>96876</v>
      </c>
      <c r="F2014">
        <v>0</v>
      </c>
      <c r="G2014">
        <v>0</v>
      </c>
      <c r="H2014" s="1">
        <v>41492</v>
      </c>
      <c r="I2014">
        <v>79</v>
      </c>
      <c r="J2014">
        <v>908</v>
      </c>
      <c r="K2014">
        <v>43</v>
      </c>
      <c r="L2014">
        <v>735</v>
      </c>
      <c r="M2014">
        <v>40</v>
      </c>
      <c r="N2014">
        <v>194</v>
      </c>
      <c r="O2014">
        <v>21</v>
      </c>
      <c r="P2014">
        <v>1</v>
      </c>
      <c r="Q2014">
        <v>7</v>
      </c>
      <c r="R2014">
        <v>7</v>
      </c>
      <c r="S2014">
        <v>9</v>
      </c>
      <c r="T2014">
        <v>2</v>
      </c>
      <c r="U2014">
        <v>0</v>
      </c>
      <c r="V2014">
        <v>1</v>
      </c>
      <c r="W2014">
        <v>1</v>
      </c>
      <c r="X2014">
        <v>1</v>
      </c>
      <c r="Y2014">
        <v>0</v>
      </c>
      <c r="Z2014">
        <v>0</v>
      </c>
      <c r="AA2014">
        <v>3</v>
      </c>
      <c r="AB2014">
        <v>11</v>
      </c>
      <c r="AC2014">
        <v>1</v>
      </c>
      <c r="AD2014" t="str">
        <f t="shared" si="403"/>
        <v>Ok</v>
      </c>
      <c r="AE2014" t="str">
        <f>IF(AND(Audit_Data[[#This Row],[Year_Birth]]&gt;=1900,Audit_Data[[#This Row],[Year_Birth]]&lt;=2010),"OK","Invalid")</f>
        <v>OK</v>
      </c>
      <c r="AF2014" t="str">
        <f t="shared" si="404"/>
        <v>Valid</v>
      </c>
      <c r="AG2014" t="str">
        <f t="shared" si="405"/>
        <v>Valid</v>
      </c>
      <c r="AH2014" t="str">
        <f t="shared" si="406"/>
        <v>Valid</v>
      </c>
      <c r="AI2014" t="str">
        <f t="shared" si="407"/>
        <v>Valid</v>
      </c>
      <c r="AJ2014" t="str">
        <f t="shared" si="408"/>
        <v>Valid</v>
      </c>
      <c r="AK2014" t="str">
        <f t="shared" si="415"/>
        <v xml:space="preserve">Valid </v>
      </c>
      <c r="AL2014" t="str">
        <f>IF(AND(Audit_Data[[#This Row],[Recency]]&gt;=0,Audit_Data[[#This Row],[Recency]]&lt;=100),"Valid","Invalid")</f>
        <v>Valid</v>
      </c>
      <c r="AM2014" t="str">
        <f t="shared" si="409"/>
        <v>Valid</v>
      </c>
      <c r="AN2014" t="str">
        <f t="shared" si="410"/>
        <v>Valid</v>
      </c>
      <c r="AO2014" t="str">
        <f t="shared" si="411"/>
        <v>Valid</v>
      </c>
      <c r="AP2014" t="str">
        <f t="shared" si="412"/>
        <v>Valid</v>
      </c>
      <c r="AQ2014" t="str">
        <f>IF(Audit_Data[[#This Row],[Z_CostContact]]=3,"Valid","Invalid")</f>
        <v>Valid</v>
      </c>
      <c r="AR2014" t="str">
        <f t="shared" si="413"/>
        <v>Valid</v>
      </c>
      <c r="AS2014" t="str">
        <f t="shared" si="414"/>
        <v>Valid</v>
      </c>
    </row>
    <row r="2015" spans="1:45" x14ac:dyDescent="0.3">
      <c r="A2015">
        <v>1951</v>
      </c>
      <c r="B2015">
        <v>1981</v>
      </c>
      <c r="C2015" t="s">
        <v>36</v>
      </c>
      <c r="D2015" t="s">
        <v>33</v>
      </c>
      <c r="E2015">
        <v>34445</v>
      </c>
      <c r="F2015">
        <v>0</v>
      </c>
      <c r="G2015">
        <v>0</v>
      </c>
      <c r="H2015" s="1">
        <v>41301</v>
      </c>
      <c r="I2015">
        <v>92</v>
      </c>
      <c r="J2015">
        <v>228</v>
      </c>
      <c r="K2015">
        <v>122</v>
      </c>
      <c r="L2015">
        <v>122</v>
      </c>
      <c r="M2015">
        <v>208</v>
      </c>
      <c r="N2015">
        <v>129</v>
      </c>
      <c r="O2015">
        <v>30</v>
      </c>
      <c r="P2015">
        <v>6</v>
      </c>
      <c r="Q2015">
        <v>11</v>
      </c>
      <c r="R2015">
        <v>2</v>
      </c>
      <c r="S2015">
        <v>8</v>
      </c>
      <c r="T2015">
        <v>9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3</v>
      </c>
      <c r="AB2015">
        <v>11</v>
      </c>
      <c r="AC2015">
        <v>0</v>
      </c>
      <c r="AD2015" t="str">
        <f t="shared" si="403"/>
        <v>Ok</v>
      </c>
      <c r="AE2015" t="str">
        <f>IF(AND(Audit_Data[[#This Row],[Year_Birth]]&gt;=1900,Audit_Data[[#This Row],[Year_Birth]]&lt;=2010),"OK","Invalid")</f>
        <v>OK</v>
      </c>
      <c r="AF2015" t="str">
        <f t="shared" si="404"/>
        <v>Valid</v>
      </c>
      <c r="AG2015" t="str">
        <f t="shared" si="405"/>
        <v>Valid</v>
      </c>
      <c r="AH2015" t="str">
        <f t="shared" si="406"/>
        <v>Valid</v>
      </c>
      <c r="AI2015" t="str">
        <f t="shared" si="407"/>
        <v>Valid</v>
      </c>
      <c r="AJ2015" t="str">
        <f t="shared" si="408"/>
        <v>Valid</v>
      </c>
      <c r="AK2015" t="str">
        <f t="shared" si="415"/>
        <v xml:space="preserve">Valid </v>
      </c>
      <c r="AL2015" t="str">
        <f>IF(AND(Audit_Data[[#This Row],[Recency]]&gt;=0,Audit_Data[[#This Row],[Recency]]&lt;=100),"Valid","Invalid")</f>
        <v>Valid</v>
      </c>
      <c r="AM2015" t="str">
        <f t="shared" si="409"/>
        <v>Valid</v>
      </c>
      <c r="AN2015" t="str">
        <f t="shared" si="410"/>
        <v>Valid</v>
      </c>
      <c r="AO2015" t="str">
        <f t="shared" si="411"/>
        <v>Valid</v>
      </c>
      <c r="AP2015" t="str">
        <f t="shared" si="412"/>
        <v>Valid</v>
      </c>
      <c r="AQ2015" t="str">
        <f>IF(Audit_Data[[#This Row],[Z_CostContact]]=3,"Valid","Invalid")</f>
        <v>Valid</v>
      </c>
      <c r="AR2015" t="str">
        <f t="shared" si="413"/>
        <v>Valid</v>
      </c>
      <c r="AS2015" t="str">
        <f t="shared" si="414"/>
        <v>Valid</v>
      </c>
    </row>
    <row r="2016" spans="1:45" x14ac:dyDescent="0.3">
      <c r="A2016">
        <v>3262</v>
      </c>
      <c r="B2016">
        <v>1958</v>
      </c>
      <c r="C2016" t="s">
        <v>29</v>
      </c>
      <c r="D2016" t="s">
        <v>30</v>
      </c>
      <c r="E2016">
        <v>68281</v>
      </c>
      <c r="F2016">
        <v>0</v>
      </c>
      <c r="G2016">
        <v>0</v>
      </c>
      <c r="H2016" s="1">
        <v>41128</v>
      </c>
      <c r="I2016">
        <v>31</v>
      </c>
      <c r="J2016">
        <v>995</v>
      </c>
      <c r="K2016">
        <v>112</v>
      </c>
      <c r="L2016">
        <v>417</v>
      </c>
      <c r="M2016">
        <v>42</v>
      </c>
      <c r="N2016">
        <v>48</v>
      </c>
      <c r="O2016">
        <v>41</v>
      </c>
      <c r="P2016">
        <v>1</v>
      </c>
      <c r="Q2016">
        <v>2</v>
      </c>
      <c r="R2016">
        <v>9</v>
      </c>
      <c r="S2016">
        <v>13</v>
      </c>
      <c r="T2016">
        <v>5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3</v>
      </c>
      <c r="AB2016">
        <v>11</v>
      </c>
      <c r="AC2016">
        <v>1</v>
      </c>
      <c r="AD2016" t="str">
        <f t="shared" si="403"/>
        <v>Ok</v>
      </c>
      <c r="AE2016" t="str">
        <f>IF(AND(Audit_Data[[#This Row],[Year_Birth]]&gt;=1900,Audit_Data[[#This Row],[Year_Birth]]&lt;=2010),"OK","Invalid")</f>
        <v>OK</v>
      </c>
      <c r="AF2016" t="str">
        <f t="shared" si="404"/>
        <v>Valid</v>
      </c>
      <c r="AG2016" t="str">
        <f t="shared" si="405"/>
        <v>Valid</v>
      </c>
      <c r="AH2016" t="str">
        <f t="shared" si="406"/>
        <v>Valid</v>
      </c>
      <c r="AI2016" t="str">
        <f t="shared" si="407"/>
        <v>Valid</v>
      </c>
      <c r="AJ2016" t="str">
        <f t="shared" si="408"/>
        <v>Valid</v>
      </c>
      <c r="AK2016" t="str">
        <f t="shared" si="415"/>
        <v xml:space="preserve">Valid </v>
      </c>
      <c r="AL2016" t="str">
        <f>IF(AND(Audit_Data[[#This Row],[Recency]]&gt;=0,Audit_Data[[#This Row],[Recency]]&lt;=100),"Valid","Invalid")</f>
        <v>Valid</v>
      </c>
      <c r="AM2016" t="str">
        <f t="shared" si="409"/>
        <v>Valid</v>
      </c>
      <c r="AN2016" t="str">
        <f t="shared" si="410"/>
        <v>Valid</v>
      </c>
      <c r="AO2016" t="str">
        <f t="shared" si="411"/>
        <v>Valid</v>
      </c>
      <c r="AP2016" t="str">
        <f t="shared" si="412"/>
        <v>Valid</v>
      </c>
      <c r="AQ2016" t="str">
        <f>IF(Audit_Data[[#This Row],[Z_CostContact]]=3,"Valid","Invalid")</f>
        <v>Valid</v>
      </c>
      <c r="AR2016" t="str">
        <f t="shared" si="413"/>
        <v>Valid</v>
      </c>
      <c r="AS2016" t="str">
        <f t="shared" si="414"/>
        <v>Valid</v>
      </c>
    </row>
    <row r="2017" spans="1:45" x14ac:dyDescent="0.3">
      <c r="A2017">
        <v>4102</v>
      </c>
      <c r="B2017">
        <v>1975</v>
      </c>
      <c r="C2017" t="s">
        <v>37</v>
      </c>
      <c r="D2017" t="s">
        <v>33</v>
      </c>
      <c r="E2017">
        <v>37284</v>
      </c>
      <c r="F2017">
        <v>1</v>
      </c>
      <c r="G2017">
        <v>1</v>
      </c>
      <c r="H2017" s="1">
        <v>41362</v>
      </c>
      <c r="I2017">
        <v>46</v>
      </c>
      <c r="J2017">
        <v>11</v>
      </c>
      <c r="K2017">
        <v>1</v>
      </c>
      <c r="L2017">
        <v>2</v>
      </c>
      <c r="M2017">
        <v>2</v>
      </c>
      <c r="N2017">
        <v>1</v>
      </c>
      <c r="O2017">
        <v>6</v>
      </c>
      <c r="P2017">
        <v>1</v>
      </c>
      <c r="Q2017">
        <v>0</v>
      </c>
      <c r="R2017">
        <v>0</v>
      </c>
      <c r="S2017">
        <v>3</v>
      </c>
      <c r="T2017">
        <v>6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3</v>
      </c>
      <c r="AB2017">
        <v>11</v>
      </c>
      <c r="AC2017">
        <v>0</v>
      </c>
      <c r="AD2017" t="str">
        <f t="shared" si="403"/>
        <v>Ok</v>
      </c>
      <c r="AE2017" t="str">
        <f>IF(AND(Audit_Data[[#This Row],[Year_Birth]]&gt;=1900,Audit_Data[[#This Row],[Year_Birth]]&lt;=2010),"OK","Invalid")</f>
        <v>OK</v>
      </c>
      <c r="AF2017" t="str">
        <f t="shared" si="404"/>
        <v>Valid</v>
      </c>
      <c r="AG2017" t="str">
        <f t="shared" si="405"/>
        <v>Valid</v>
      </c>
      <c r="AH2017" t="str">
        <f t="shared" si="406"/>
        <v>Valid</v>
      </c>
      <c r="AI2017" t="str">
        <f t="shared" si="407"/>
        <v>Valid</v>
      </c>
      <c r="AJ2017" t="str">
        <f t="shared" si="408"/>
        <v>Valid</v>
      </c>
      <c r="AK2017" t="str">
        <f t="shared" si="415"/>
        <v xml:space="preserve">Valid </v>
      </c>
      <c r="AL2017" t="str">
        <f>IF(AND(Audit_Data[[#This Row],[Recency]]&gt;=0,Audit_Data[[#This Row],[Recency]]&lt;=100),"Valid","Invalid")</f>
        <v>Valid</v>
      </c>
      <c r="AM2017" t="str">
        <f t="shared" si="409"/>
        <v>Valid</v>
      </c>
      <c r="AN2017" t="str">
        <f t="shared" si="410"/>
        <v>Valid</v>
      </c>
      <c r="AO2017" t="str">
        <f t="shared" si="411"/>
        <v>Valid</v>
      </c>
      <c r="AP2017" t="str">
        <f t="shared" si="412"/>
        <v>Valid</v>
      </c>
      <c r="AQ2017" t="str">
        <f>IF(Audit_Data[[#This Row],[Z_CostContact]]=3,"Valid","Invalid")</f>
        <v>Valid</v>
      </c>
      <c r="AR2017" t="str">
        <f t="shared" si="413"/>
        <v>Valid</v>
      </c>
      <c r="AS2017" t="str">
        <f t="shared" si="414"/>
        <v>Valid</v>
      </c>
    </row>
    <row r="2018" spans="1:45" x14ac:dyDescent="0.3">
      <c r="A2018">
        <v>7042</v>
      </c>
      <c r="B2018">
        <v>1983</v>
      </c>
      <c r="C2018" t="s">
        <v>29</v>
      </c>
      <c r="D2018" t="s">
        <v>33</v>
      </c>
      <c r="E2018">
        <v>36790</v>
      </c>
      <c r="F2018">
        <v>0</v>
      </c>
      <c r="G2018">
        <v>0</v>
      </c>
      <c r="H2018" s="1">
        <v>41334</v>
      </c>
      <c r="I2018">
        <v>14</v>
      </c>
      <c r="J2018">
        <v>3</v>
      </c>
      <c r="K2018">
        <v>3</v>
      </c>
      <c r="L2018">
        <v>14</v>
      </c>
      <c r="M2018">
        <v>15</v>
      </c>
      <c r="N2018">
        <v>21</v>
      </c>
      <c r="O2018">
        <v>10</v>
      </c>
      <c r="P2018">
        <v>1</v>
      </c>
      <c r="Q2018">
        <v>2</v>
      </c>
      <c r="R2018">
        <v>1</v>
      </c>
      <c r="S2018">
        <v>2</v>
      </c>
      <c r="T2018">
        <v>9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3</v>
      </c>
      <c r="AB2018">
        <v>11</v>
      </c>
      <c r="AC2018">
        <v>1</v>
      </c>
      <c r="AD2018" t="str">
        <f t="shared" si="403"/>
        <v>Ok</v>
      </c>
      <c r="AE2018" t="str">
        <f>IF(AND(Audit_Data[[#This Row],[Year_Birth]]&gt;=1900,Audit_Data[[#This Row],[Year_Birth]]&lt;=2010),"OK","Invalid")</f>
        <v>OK</v>
      </c>
      <c r="AF2018" t="str">
        <f t="shared" si="404"/>
        <v>Valid</v>
      </c>
      <c r="AG2018" t="str">
        <f t="shared" si="405"/>
        <v>Valid</v>
      </c>
      <c r="AH2018" t="str">
        <f t="shared" si="406"/>
        <v>Valid</v>
      </c>
      <c r="AI2018" t="str">
        <f t="shared" si="407"/>
        <v>Valid</v>
      </c>
      <c r="AJ2018" t="str">
        <f t="shared" si="408"/>
        <v>Valid</v>
      </c>
      <c r="AK2018" t="str">
        <f t="shared" si="415"/>
        <v xml:space="preserve">Valid </v>
      </c>
      <c r="AL2018" t="str">
        <f>IF(AND(Audit_Data[[#This Row],[Recency]]&gt;=0,Audit_Data[[#This Row],[Recency]]&lt;=100),"Valid","Invalid")</f>
        <v>Valid</v>
      </c>
      <c r="AM2018" t="str">
        <f t="shared" si="409"/>
        <v>Valid</v>
      </c>
      <c r="AN2018" t="str">
        <f t="shared" si="410"/>
        <v>Valid</v>
      </c>
      <c r="AO2018" t="str">
        <f t="shared" si="411"/>
        <v>Valid</v>
      </c>
      <c r="AP2018" t="str">
        <f t="shared" si="412"/>
        <v>Valid</v>
      </c>
      <c r="AQ2018" t="str">
        <f>IF(Audit_Data[[#This Row],[Z_CostContact]]=3,"Valid","Invalid")</f>
        <v>Valid</v>
      </c>
      <c r="AR2018" t="str">
        <f t="shared" si="413"/>
        <v>Valid</v>
      </c>
      <c r="AS2018" t="str">
        <f t="shared" si="414"/>
        <v>Valid</v>
      </c>
    </row>
    <row r="2019" spans="1:45" x14ac:dyDescent="0.3">
      <c r="A2019">
        <v>10598</v>
      </c>
      <c r="B2019">
        <v>1967</v>
      </c>
      <c r="C2019" t="s">
        <v>29</v>
      </c>
      <c r="D2019" t="s">
        <v>31</v>
      </c>
      <c r="E2019">
        <v>27943</v>
      </c>
      <c r="F2019">
        <v>1</v>
      </c>
      <c r="G2019">
        <v>1</v>
      </c>
      <c r="H2019" s="1">
        <v>41379</v>
      </c>
      <c r="I2019">
        <v>89</v>
      </c>
      <c r="J2019">
        <v>12</v>
      </c>
      <c r="K2019">
        <v>1</v>
      </c>
      <c r="L2019">
        <v>16</v>
      </c>
      <c r="M2019">
        <v>4</v>
      </c>
      <c r="N2019">
        <v>1</v>
      </c>
      <c r="O2019">
        <v>3</v>
      </c>
      <c r="P2019">
        <v>3</v>
      </c>
      <c r="Q2019">
        <v>2</v>
      </c>
      <c r="R2019">
        <v>0</v>
      </c>
      <c r="S2019">
        <v>3</v>
      </c>
      <c r="T2019">
        <v>8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3</v>
      </c>
      <c r="AB2019">
        <v>11</v>
      </c>
      <c r="AC2019">
        <v>0</v>
      </c>
      <c r="AD2019" t="str">
        <f t="shared" si="403"/>
        <v>Ok</v>
      </c>
      <c r="AE2019" t="str">
        <f>IF(AND(Audit_Data[[#This Row],[Year_Birth]]&gt;=1900,Audit_Data[[#This Row],[Year_Birth]]&lt;=2010),"OK","Invalid")</f>
        <v>OK</v>
      </c>
      <c r="AF2019" t="str">
        <f t="shared" si="404"/>
        <v>Valid</v>
      </c>
      <c r="AG2019" t="str">
        <f t="shared" si="405"/>
        <v>Valid</v>
      </c>
      <c r="AH2019" t="str">
        <f t="shared" si="406"/>
        <v>Valid</v>
      </c>
      <c r="AI2019" t="str">
        <f t="shared" si="407"/>
        <v>Valid</v>
      </c>
      <c r="AJ2019" t="str">
        <f t="shared" si="408"/>
        <v>Valid</v>
      </c>
      <c r="AK2019" t="str">
        <f t="shared" si="415"/>
        <v xml:space="preserve">Valid </v>
      </c>
      <c r="AL2019" t="str">
        <f>IF(AND(Audit_Data[[#This Row],[Recency]]&gt;=0,Audit_Data[[#This Row],[Recency]]&lt;=100),"Valid","Invalid")</f>
        <v>Valid</v>
      </c>
      <c r="AM2019" t="str">
        <f t="shared" si="409"/>
        <v>Valid</v>
      </c>
      <c r="AN2019" t="str">
        <f t="shared" si="410"/>
        <v>Valid</v>
      </c>
      <c r="AO2019" t="str">
        <f t="shared" si="411"/>
        <v>Valid</v>
      </c>
      <c r="AP2019" t="str">
        <f t="shared" si="412"/>
        <v>Valid</v>
      </c>
      <c r="AQ2019" t="str">
        <f>IF(Audit_Data[[#This Row],[Z_CostContact]]=3,"Valid","Invalid")</f>
        <v>Valid</v>
      </c>
      <c r="AR2019" t="str">
        <f t="shared" si="413"/>
        <v>Valid</v>
      </c>
      <c r="AS2019" t="str">
        <f t="shared" si="414"/>
        <v>Valid</v>
      </c>
    </row>
    <row r="2020" spans="1:45" x14ac:dyDescent="0.3">
      <c r="A2020">
        <v>255</v>
      </c>
      <c r="B2020">
        <v>1951</v>
      </c>
      <c r="C2020" t="s">
        <v>29</v>
      </c>
      <c r="D2020" t="s">
        <v>35</v>
      </c>
      <c r="E2020">
        <v>22263</v>
      </c>
      <c r="F2020">
        <v>1</v>
      </c>
      <c r="G2020">
        <v>1</v>
      </c>
      <c r="H2020" s="1">
        <v>41728</v>
      </c>
      <c r="I2020">
        <v>31</v>
      </c>
      <c r="J2020">
        <v>17</v>
      </c>
      <c r="K2020">
        <v>0</v>
      </c>
      <c r="L2020">
        <v>2</v>
      </c>
      <c r="M2020">
        <v>0</v>
      </c>
      <c r="N2020">
        <v>0</v>
      </c>
      <c r="O2020">
        <v>2</v>
      </c>
      <c r="P2020">
        <v>2</v>
      </c>
      <c r="Q2020">
        <v>1</v>
      </c>
      <c r="R2020">
        <v>0</v>
      </c>
      <c r="S2020">
        <v>3</v>
      </c>
      <c r="T2020">
        <v>6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1</v>
      </c>
      <c r="AA2020">
        <v>3</v>
      </c>
      <c r="AB2020">
        <v>11</v>
      </c>
      <c r="AC2020">
        <v>0</v>
      </c>
      <c r="AD2020" t="str">
        <f t="shared" si="403"/>
        <v>Ok</v>
      </c>
      <c r="AE2020" t="str">
        <f>IF(AND(Audit_Data[[#This Row],[Year_Birth]]&gt;=1900,Audit_Data[[#This Row],[Year_Birth]]&lt;=2010),"OK","Invalid")</f>
        <v>OK</v>
      </c>
      <c r="AF2020" t="str">
        <f t="shared" si="404"/>
        <v>Valid</v>
      </c>
      <c r="AG2020" t="str">
        <f t="shared" si="405"/>
        <v>Valid</v>
      </c>
      <c r="AH2020" t="str">
        <f t="shared" si="406"/>
        <v>Valid</v>
      </c>
      <c r="AI2020" t="str">
        <f t="shared" si="407"/>
        <v>Valid</v>
      </c>
      <c r="AJ2020" t="str">
        <f t="shared" si="408"/>
        <v>Valid</v>
      </c>
      <c r="AK2020" t="str">
        <f t="shared" si="415"/>
        <v xml:space="preserve">Valid </v>
      </c>
      <c r="AL2020" t="str">
        <f>IF(AND(Audit_Data[[#This Row],[Recency]]&gt;=0,Audit_Data[[#This Row],[Recency]]&lt;=100),"Valid","Invalid")</f>
        <v>Valid</v>
      </c>
      <c r="AM2020" t="str">
        <f t="shared" si="409"/>
        <v>Valid</v>
      </c>
      <c r="AN2020" t="str">
        <f t="shared" si="410"/>
        <v>Valid</v>
      </c>
      <c r="AO2020" t="str">
        <f t="shared" si="411"/>
        <v>Valid</v>
      </c>
      <c r="AP2020" t="str">
        <f t="shared" si="412"/>
        <v>Valid</v>
      </c>
      <c r="AQ2020" t="str">
        <f>IF(Audit_Data[[#This Row],[Z_CostContact]]=3,"Valid","Invalid")</f>
        <v>Valid</v>
      </c>
      <c r="AR2020" t="str">
        <f t="shared" si="413"/>
        <v>Valid</v>
      </c>
      <c r="AS2020" t="str">
        <f t="shared" si="414"/>
        <v>Valid</v>
      </c>
    </row>
    <row r="2021" spans="1:45" x14ac:dyDescent="0.3">
      <c r="A2021">
        <v>2375</v>
      </c>
      <c r="B2021">
        <v>1972</v>
      </c>
      <c r="C2021" t="s">
        <v>29</v>
      </c>
      <c r="D2021" t="s">
        <v>31</v>
      </c>
      <c r="E2021">
        <v>30261</v>
      </c>
      <c r="F2021">
        <v>1</v>
      </c>
      <c r="G2021">
        <v>2</v>
      </c>
      <c r="H2021" s="1">
        <v>41177</v>
      </c>
      <c r="I2021">
        <v>75</v>
      </c>
      <c r="J2021">
        <v>8</v>
      </c>
      <c r="K2021">
        <v>0</v>
      </c>
      <c r="L2021">
        <v>5</v>
      </c>
      <c r="M2021">
        <v>0</v>
      </c>
      <c r="N2021">
        <v>3</v>
      </c>
      <c r="O2021">
        <v>6</v>
      </c>
      <c r="P2021">
        <v>1</v>
      </c>
      <c r="Q2021">
        <v>0</v>
      </c>
      <c r="R2021">
        <v>0</v>
      </c>
      <c r="S2021">
        <v>3</v>
      </c>
      <c r="T2021">
        <v>8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3</v>
      </c>
      <c r="AB2021">
        <v>11</v>
      </c>
      <c r="AC2021">
        <v>0</v>
      </c>
      <c r="AD2021" t="str">
        <f t="shared" si="403"/>
        <v>Ok</v>
      </c>
      <c r="AE2021" t="str">
        <f>IF(AND(Audit_Data[[#This Row],[Year_Birth]]&gt;=1900,Audit_Data[[#This Row],[Year_Birth]]&lt;=2010),"OK","Invalid")</f>
        <v>OK</v>
      </c>
      <c r="AF2021" t="str">
        <f t="shared" si="404"/>
        <v>Valid</v>
      </c>
      <c r="AG2021" t="str">
        <f t="shared" si="405"/>
        <v>Valid</v>
      </c>
      <c r="AH2021" t="str">
        <f t="shared" si="406"/>
        <v>Valid</v>
      </c>
      <c r="AI2021" t="str">
        <f t="shared" si="407"/>
        <v>Valid</v>
      </c>
      <c r="AJ2021" t="str">
        <f t="shared" si="408"/>
        <v>Valid</v>
      </c>
      <c r="AK2021" t="str">
        <f t="shared" si="415"/>
        <v xml:space="preserve">Valid </v>
      </c>
      <c r="AL2021" t="str">
        <f>IF(AND(Audit_Data[[#This Row],[Recency]]&gt;=0,Audit_Data[[#This Row],[Recency]]&lt;=100),"Valid","Invalid")</f>
        <v>Valid</v>
      </c>
      <c r="AM2021" t="str">
        <f t="shared" si="409"/>
        <v>Valid</v>
      </c>
      <c r="AN2021" t="str">
        <f t="shared" si="410"/>
        <v>Valid</v>
      </c>
      <c r="AO2021" t="str">
        <f t="shared" si="411"/>
        <v>Valid</v>
      </c>
      <c r="AP2021" t="str">
        <f t="shared" si="412"/>
        <v>Valid</v>
      </c>
      <c r="AQ2021" t="str">
        <f>IF(Audit_Data[[#This Row],[Z_CostContact]]=3,"Valid","Invalid")</f>
        <v>Valid</v>
      </c>
      <c r="AR2021" t="str">
        <f t="shared" si="413"/>
        <v>Valid</v>
      </c>
      <c r="AS2021" t="str">
        <f t="shared" si="414"/>
        <v>Valid</v>
      </c>
    </row>
    <row r="2022" spans="1:45" x14ac:dyDescent="0.3">
      <c r="A2022">
        <v>9829</v>
      </c>
      <c r="B2022">
        <v>1978</v>
      </c>
      <c r="C2022" t="s">
        <v>29</v>
      </c>
      <c r="D2022" t="s">
        <v>31</v>
      </c>
      <c r="E2022">
        <v>28587</v>
      </c>
      <c r="F2022">
        <v>1</v>
      </c>
      <c r="G2022">
        <v>0</v>
      </c>
      <c r="H2022" s="1">
        <v>41682</v>
      </c>
      <c r="I2022">
        <v>42</v>
      </c>
      <c r="J2022">
        <v>22</v>
      </c>
      <c r="K2022">
        <v>4</v>
      </c>
      <c r="L2022">
        <v>17</v>
      </c>
      <c r="M2022">
        <v>12</v>
      </c>
      <c r="N2022">
        <v>10</v>
      </c>
      <c r="O2022">
        <v>13</v>
      </c>
      <c r="P2022">
        <v>3</v>
      </c>
      <c r="Q2022">
        <v>2</v>
      </c>
      <c r="R2022">
        <v>0</v>
      </c>
      <c r="S2022">
        <v>4</v>
      </c>
      <c r="T2022">
        <v>6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3</v>
      </c>
      <c r="AB2022">
        <v>11</v>
      </c>
      <c r="AC2022">
        <v>0</v>
      </c>
      <c r="AD2022" t="str">
        <f t="shared" si="403"/>
        <v>Ok</v>
      </c>
      <c r="AE2022" t="str">
        <f>IF(AND(Audit_Data[[#This Row],[Year_Birth]]&gt;=1900,Audit_Data[[#This Row],[Year_Birth]]&lt;=2010),"OK","Invalid")</f>
        <v>OK</v>
      </c>
      <c r="AF2022" t="str">
        <f t="shared" si="404"/>
        <v>Valid</v>
      </c>
      <c r="AG2022" t="str">
        <f t="shared" si="405"/>
        <v>Valid</v>
      </c>
      <c r="AH2022" t="str">
        <f t="shared" si="406"/>
        <v>Valid</v>
      </c>
      <c r="AI2022" t="str">
        <f t="shared" si="407"/>
        <v>Valid</v>
      </c>
      <c r="AJ2022" t="str">
        <f t="shared" si="408"/>
        <v>Valid</v>
      </c>
      <c r="AK2022" t="str">
        <f t="shared" si="415"/>
        <v xml:space="preserve">Valid </v>
      </c>
      <c r="AL2022" t="str">
        <f>IF(AND(Audit_Data[[#This Row],[Recency]]&gt;=0,Audit_Data[[#This Row],[Recency]]&lt;=100),"Valid","Invalid")</f>
        <v>Valid</v>
      </c>
      <c r="AM2022" t="str">
        <f t="shared" si="409"/>
        <v>Valid</v>
      </c>
      <c r="AN2022" t="str">
        <f t="shared" si="410"/>
        <v>Valid</v>
      </c>
      <c r="AO2022" t="str">
        <f t="shared" si="411"/>
        <v>Valid</v>
      </c>
      <c r="AP2022" t="str">
        <f t="shared" si="412"/>
        <v>Valid</v>
      </c>
      <c r="AQ2022" t="str">
        <f>IF(Audit_Data[[#This Row],[Z_CostContact]]=3,"Valid","Invalid")</f>
        <v>Valid</v>
      </c>
      <c r="AR2022" t="str">
        <f t="shared" si="413"/>
        <v>Valid</v>
      </c>
      <c r="AS2022" t="str">
        <f t="shared" si="414"/>
        <v>Valid</v>
      </c>
    </row>
    <row r="2023" spans="1:45" x14ac:dyDescent="0.3">
      <c r="A2023">
        <v>6214</v>
      </c>
      <c r="B2023">
        <v>1982</v>
      </c>
      <c r="C2023" t="s">
        <v>34</v>
      </c>
      <c r="D2023" t="s">
        <v>33</v>
      </c>
      <c r="E2023">
        <v>43815</v>
      </c>
      <c r="F2023">
        <v>1</v>
      </c>
      <c r="G2023">
        <v>0</v>
      </c>
      <c r="H2023" s="1">
        <v>41369</v>
      </c>
      <c r="I2023">
        <v>53</v>
      </c>
      <c r="J2023">
        <v>14</v>
      </c>
      <c r="K2023">
        <v>10</v>
      </c>
      <c r="L2023">
        <v>29</v>
      </c>
      <c r="M2023">
        <v>4</v>
      </c>
      <c r="N2023">
        <v>7</v>
      </c>
      <c r="O2023">
        <v>15</v>
      </c>
      <c r="P2023">
        <v>1</v>
      </c>
      <c r="Q2023">
        <v>2</v>
      </c>
      <c r="R2023">
        <v>0</v>
      </c>
      <c r="S2023">
        <v>3</v>
      </c>
      <c r="T2023">
        <v>6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3</v>
      </c>
      <c r="AB2023">
        <v>11</v>
      </c>
      <c r="AC2023">
        <v>0</v>
      </c>
      <c r="AD2023" t="str">
        <f t="shared" si="403"/>
        <v>Ok</v>
      </c>
      <c r="AE2023" t="str">
        <f>IF(AND(Audit_Data[[#This Row],[Year_Birth]]&gt;=1900,Audit_Data[[#This Row],[Year_Birth]]&lt;=2010),"OK","Invalid")</f>
        <v>OK</v>
      </c>
      <c r="AF2023" t="str">
        <f t="shared" si="404"/>
        <v>Valid</v>
      </c>
      <c r="AG2023" t="str">
        <f t="shared" si="405"/>
        <v>Valid</v>
      </c>
      <c r="AH2023" t="str">
        <f t="shared" si="406"/>
        <v>Valid</v>
      </c>
      <c r="AI2023" t="str">
        <f t="shared" si="407"/>
        <v>Valid</v>
      </c>
      <c r="AJ2023" t="str">
        <f t="shared" si="408"/>
        <v>Valid</v>
      </c>
      <c r="AK2023" t="str">
        <f t="shared" si="415"/>
        <v xml:space="preserve">Valid </v>
      </c>
      <c r="AL2023" t="str">
        <f>IF(AND(Audit_Data[[#This Row],[Recency]]&gt;=0,Audit_Data[[#This Row],[Recency]]&lt;=100),"Valid","Invalid")</f>
        <v>Valid</v>
      </c>
      <c r="AM2023" t="str">
        <f t="shared" si="409"/>
        <v>Valid</v>
      </c>
      <c r="AN2023" t="str">
        <f t="shared" si="410"/>
        <v>Valid</v>
      </c>
      <c r="AO2023" t="str">
        <f t="shared" si="411"/>
        <v>Valid</v>
      </c>
      <c r="AP2023" t="str">
        <f t="shared" si="412"/>
        <v>Valid</v>
      </c>
      <c r="AQ2023" t="str">
        <f>IF(Audit_Data[[#This Row],[Z_CostContact]]=3,"Valid","Invalid")</f>
        <v>Valid</v>
      </c>
      <c r="AR2023" t="str">
        <f t="shared" si="413"/>
        <v>Valid</v>
      </c>
      <c r="AS2023" t="str">
        <f t="shared" si="414"/>
        <v>Valid</v>
      </c>
    </row>
    <row r="2024" spans="1:45" x14ac:dyDescent="0.3">
      <c r="A2024">
        <v>4954</v>
      </c>
      <c r="B2024">
        <v>1956</v>
      </c>
      <c r="C2024" t="s">
        <v>29</v>
      </c>
      <c r="D2024" t="s">
        <v>33</v>
      </c>
      <c r="E2024">
        <v>48195</v>
      </c>
      <c r="F2024">
        <v>1</v>
      </c>
      <c r="G2024">
        <v>1</v>
      </c>
      <c r="H2024" s="1">
        <v>41660</v>
      </c>
      <c r="I2024">
        <v>53</v>
      </c>
      <c r="J2024">
        <v>106</v>
      </c>
      <c r="K2024">
        <v>27</v>
      </c>
      <c r="L2024">
        <v>68</v>
      </c>
      <c r="M2024">
        <v>52</v>
      </c>
      <c r="N2024">
        <v>7</v>
      </c>
      <c r="O2024">
        <v>5</v>
      </c>
      <c r="P2024">
        <v>6</v>
      </c>
      <c r="Q2024">
        <v>4</v>
      </c>
      <c r="R2024">
        <v>2</v>
      </c>
      <c r="S2024">
        <v>5</v>
      </c>
      <c r="T2024">
        <v>6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3</v>
      </c>
      <c r="AB2024">
        <v>11</v>
      </c>
      <c r="AC2024">
        <v>0</v>
      </c>
      <c r="AD2024" t="str">
        <f t="shared" si="403"/>
        <v>Ok</v>
      </c>
      <c r="AE2024" t="str">
        <f>IF(AND(Audit_Data[[#This Row],[Year_Birth]]&gt;=1900,Audit_Data[[#This Row],[Year_Birth]]&lt;=2010),"OK","Invalid")</f>
        <v>OK</v>
      </c>
      <c r="AF2024" t="str">
        <f t="shared" si="404"/>
        <v>Valid</v>
      </c>
      <c r="AG2024" t="str">
        <f t="shared" si="405"/>
        <v>Valid</v>
      </c>
      <c r="AH2024" t="str">
        <f t="shared" si="406"/>
        <v>Valid</v>
      </c>
      <c r="AI2024" t="str">
        <f t="shared" si="407"/>
        <v>Valid</v>
      </c>
      <c r="AJ2024" t="str">
        <f t="shared" si="408"/>
        <v>Valid</v>
      </c>
      <c r="AK2024" t="str">
        <f t="shared" si="415"/>
        <v xml:space="preserve">Valid </v>
      </c>
      <c r="AL2024" t="str">
        <f>IF(AND(Audit_Data[[#This Row],[Recency]]&gt;=0,Audit_Data[[#This Row],[Recency]]&lt;=100),"Valid","Invalid")</f>
        <v>Valid</v>
      </c>
      <c r="AM2024" t="str">
        <f t="shared" si="409"/>
        <v>Valid</v>
      </c>
      <c r="AN2024" t="str">
        <f t="shared" si="410"/>
        <v>Valid</v>
      </c>
      <c r="AO2024" t="str">
        <f t="shared" si="411"/>
        <v>Valid</v>
      </c>
      <c r="AP2024" t="str">
        <f t="shared" si="412"/>
        <v>Valid</v>
      </c>
      <c r="AQ2024" t="str">
        <f>IF(Audit_Data[[#This Row],[Z_CostContact]]=3,"Valid","Invalid")</f>
        <v>Valid</v>
      </c>
      <c r="AR2024" t="str">
        <f t="shared" si="413"/>
        <v>Valid</v>
      </c>
      <c r="AS2024" t="str">
        <f t="shared" si="414"/>
        <v>Valid</v>
      </c>
    </row>
    <row r="2025" spans="1:45" x14ac:dyDescent="0.3">
      <c r="A2025">
        <v>7861</v>
      </c>
      <c r="B2025">
        <v>1952</v>
      </c>
      <c r="C2025" t="s">
        <v>34</v>
      </c>
      <c r="D2025" t="s">
        <v>33</v>
      </c>
      <c r="E2025">
        <v>77027</v>
      </c>
      <c r="F2025">
        <v>0</v>
      </c>
      <c r="G2025">
        <v>1</v>
      </c>
      <c r="H2025" s="1">
        <v>41675</v>
      </c>
      <c r="I2025">
        <v>23</v>
      </c>
      <c r="J2025">
        <v>820</v>
      </c>
      <c r="K2025">
        <v>57</v>
      </c>
      <c r="L2025">
        <v>242</v>
      </c>
      <c r="M2025">
        <v>45</v>
      </c>
      <c r="N2025">
        <v>0</v>
      </c>
      <c r="O2025">
        <v>11</v>
      </c>
      <c r="P2025">
        <v>2</v>
      </c>
      <c r="Q2025">
        <v>8</v>
      </c>
      <c r="R2025">
        <v>3</v>
      </c>
      <c r="S2025">
        <v>6</v>
      </c>
      <c r="T2025">
        <v>4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3</v>
      </c>
      <c r="AB2025">
        <v>11</v>
      </c>
      <c r="AC2025">
        <v>0</v>
      </c>
      <c r="AD2025" t="str">
        <f t="shared" si="403"/>
        <v>Ok</v>
      </c>
      <c r="AE2025" t="str">
        <f>IF(AND(Audit_Data[[#This Row],[Year_Birth]]&gt;=1900,Audit_Data[[#This Row],[Year_Birth]]&lt;=2010),"OK","Invalid")</f>
        <v>OK</v>
      </c>
      <c r="AF2025" t="str">
        <f t="shared" si="404"/>
        <v>Valid</v>
      </c>
      <c r="AG2025" t="str">
        <f t="shared" si="405"/>
        <v>Valid</v>
      </c>
      <c r="AH2025" t="str">
        <f t="shared" si="406"/>
        <v>Valid</v>
      </c>
      <c r="AI2025" t="str">
        <f t="shared" si="407"/>
        <v>Valid</v>
      </c>
      <c r="AJ2025" t="str">
        <f t="shared" si="408"/>
        <v>Valid</v>
      </c>
      <c r="AK2025" t="str">
        <f t="shared" si="415"/>
        <v xml:space="preserve">Valid </v>
      </c>
      <c r="AL2025" t="str">
        <f>IF(AND(Audit_Data[[#This Row],[Recency]]&gt;=0,Audit_Data[[#This Row],[Recency]]&lt;=100),"Valid","Invalid")</f>
        <v>Valid</v>
      </c>
      <c r="AM2025" t="str">
        <f t="shared" si="409"/>
        <v>Valid</v>
      </c>
      <c r="AN2025" t="str">
        <f t="shared" si="410"/>
        <v>Valid</v>
      </c>
      <c r="AO2025" t="str">
        <f t="shared" si="411"/>
        <v>Valid</v>
      </c>
      <c r="AP2025" t="str">
        <f t="shared" si="412"/>
        <v>Valid</v>
      </c>
      <c r="AQ2025" t="str">
        <f>IF(Audit_Data[[#This Row],[Z_CostContact]]=3,"Valid","Invalid")</f>
        <v>Valid</v>
      </c>
      <c r="AR2025" t="str">
        <f t="shared" si="413"/>
        <v>Valid</v>
      </c>
      <c r="AS2025" t="str">
        <f t="shared" si="414"/>
        <v>Valid</v>
      </c>
    </row>
    <row r="2026" spans="1:45" x14ac:dyDescent="0.3">
      <c r="A2026">
        <v>4837</v>
      </c>
      <c r="B2026">
        <v>1965</v>
      </c>
      <c r="C2026" t="s">
        <v>32</v>
      </c>
      <c r="D2026" t="s">
        <v>33</v>
      </c>
      <c r="E2026">
        <v>71322</v>
      </c>
      <c r="F2026">
        <v>0</v>
      </c>
      <c r="G2026">
        <v>1</v>
      </c>
      <c r="H2026" s="1">
        <v>41321</v>
      </c>
      <c r="I2026">
        <v>57</v>
      </c>
      <c r="J2026">
        <v>753</v>
      </c>
      <c r="K2026">
        <v>43</v>
      </c>
      <c r="L2026">
        <v>226</v>
      </c>
      <c r="M2026">
        <v>69</v>
      </c>
      <c r="N2026">
        <v>10</v>
      </c>
      <c r="O2026">
        <v>204</v>
      </c>
      <c r="P2026">
        <v>2</v>
      </c>
      <c r="Q2026">
        <v>8</v>
      </c>
      <c r="R2026">
        <v>5</v>
      </c>
      <c r="S2026">
        <v>13</v>
      </c>
      <c r="T2026">
        <v>4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3</v>
      </c>
      <c r="AB2026">
        <v>11</v>
      </c>
      <c r="AC2026">
        <v>0</v>
      </c>
      <c r="AD2026" t="str">
        <f t="shared" si="403"/>
        <v>Ok</v>
      </c>
      <c r="AE2026" t="str">
        <f>IF(AND(Audit_Data[[#This Row],[Year_Birth]]&gt;=1900,Audit_Data[[#This Row],[Year_Birth]]&lt;=2010),"OK","Invalid")</f>
        <v>OK</v>
      </c>
      <c r="AF2026" t="str">
        <f t="shared" si="404"/>
        <v>Valid</v>
      </c>
      <c r="AG2026" t="str">
        <f t="shared" si="405"/>
        <v>Valid</v>
      </c>
      <c r="AH2026" t="str">
        <f t="shared" si="406"/>
        <v>Valid</v>
      </c>
      <c r="AI2026" t="str">
        <f t="shared" si="407"/>
        <v>Valid</v>
      </c>
      <c r="AJ2026" t="str">
        <f t="shared" si="408"/>
        <v>Valid</v>
      </c>
      <c r="AK2026" t="str">
        <f t="shared" si="415"/>
        <v xml:space="preserve">Valid </v>
      </c>
      <c r="AL2026" t="str">
        <f>IF(AND(Audit_Data[[#This Row],[Recency]]&gt;=0,Audit_Data[[#This Row],[Recency]]&lt;=100),"Valid","Invalid")</f>
        <v>Valid</v>
      </c>
      <c r="AM2026" t="str">
        <f t="shared" si="409"/>
        <v>Valid</v>
      </c>
      <c r="AN2026" t="str">
        <f t="shared" si="410"/>
        <v>Valid</v>
      </c>
      <c r="AO2026" t="str">
        <f t="shared" si="411"/>
        <v>Valid</v>
      </c>
      <c r="AP2026" t="str">
        <f t="shared" si="412"/>
        <v>Valid</v>
      </c>
      <c r="AQ2026" t="str">
        <f>IF(Audit_Data[[#This Row],[Z_CostContact]]=3,"Valid","Invalid")</f>
        <v>Valid</v>
      </c>
      <c r="AR2026" t="str">
        <f t="shared" si="413"/>
        <v>Valid</v>
      </c>
      <c r="AS2026" t="str">
        <f t="shared" si="414"/>
        <v>Valid</v>
      </c>
    </row>
    <row r="2027" spans="1:45" x14ac:dyDescent="0.3">
      <c r="A2027">
        <v>9423</v>
      </c>
      <c r="B2027">
        <v>1979</v>
      </c>
      <c r="C2027" t="s">
        <v>34</v>
      </c>
      <c r="D2027" t="s">
        <v>33</v>
      </c>
      <c r="E2027">
        <v>32765</v>
      </c>
      <c r="F2027">
        <v>1</v>
      </c>
      <c r="G2027">
        <v>0</v>
      </c>
      <c r="H2027" s="1">
        <v>41693</v>
      </c>
      <c r="I2027">
        <v>49</v>
      </c>
      <c r="J2027">
        <v>13</v>
      </c>
      <c r="K2027">
        <v>3</v>
      </c>
      <c r="L2027">
        <v>17</v>
      </c>
      <c r="M2027">
        <v>7</v>
      </c>
      <c r="N2027">
        <v>3</v>
      </c>
      <c r="O2027">
        <v>3</v>
      </c>
      <c r="P2027">
        <v>2</v>
      </c>
      <c r="Q2027">
        <v>2</v>
      </c>
      <c r="R2027">
        <v>0</v>
      </c>
      <c r="S2027">
        <v>4</v>
      </c>
      <c r="T2027">
        <v>5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3</v>
      </c>
      <c r="AB2027">
        <v>11</v>
      </c>
      <c r="AC2027">
        <v>0</v>
      </c>
      <c r="AD2027" t="str">
        <f t="shared" si="403"/>
        <v>Ok</v>
      </c>
      <c r="AE2027" t="str">
        <f>IF(AND(Audit_Data[[#This Row],[Year_Birth]]&gt;=1900,Audit_Data[[#This Row],[Year_Birth]]&lt;=2010),"OK","Invalid")</f>
        <v>OK</v>
      </c>
      <c r="AF2027" t="str">
        <f t="shared" si="404"/>
        <v>Valid</v>
      </c>
      <c r="AG2027" t="str">
        <f t="shared" si="405"/>
        <v>Valid</v>
      </c>
      <c r="AH2027" t="str">
        <f t="shared" si="406"/>
        <v>Valid</v>
      </c>
      <c r="AI2027" t="str">
        <f t="shared" si="407"/>
        <v>Valid</v>
      </c>
      <c r="AJ2027" t="str">
        <f t="shared" si="408"/>
        <v>Valid</v>
      </c>
      <c r="AK2027" t="str">
        <f t="shared" si="415"/>
        <v xml:space="preserve">Valid </v>
      </c>
      <c r="AL2027" t="str">
        <f>IF(AND(Audit_Data[[#This Row],[Recency]]&gt;=0,Audit_Data[[#This Row],[Recency]]&lt;=100),"Valid","Invalid")</f>
        <v>Valid</v>
      </c>
      <c r="AM2027" t="str">
        <f t="shared" si="409"/>
        <v>Valid</v>
      </c>
      <c r="AN2027" t="str">
        <f t="shared" si="410"/>
        <v>Valid</v>
      </c>
      <c r="AO2027" t="str">
        <f t="shared" si="411"/>
        <v>Valid</v>
      </c>
      <c r="AP2027" t="str">
        <f t="shared" si="412"/>
        <v>Valid</v>
      </c>
      <c r="AQ2027" t="str">
        <f>IF(Audit_Data[[#This Row],[Z_CostContact]]=3,"Valid","Invalid")</f>
        <v>Valid</v>
      </c>
      <c r="AR2027" t="str">
        <f t="shared" si="413"/>
        <v>Valid</v>
      </c>
      <c r="AS2027" t="str">
        <f t="shared" si="414"/>
        <v>Valid</v>
      </c>
    </row>
    <row r="2028" spans="1:45" x14ac:dyDescent="0.3">
      <c r="A2028">
        <v>4198</v>
      </c>
      <c r="B2028">
        <v>1965</v>
      </c>
      <c r="C2028" t="s">
        <v>29</v>
      </c>
      <c r="D2028" t="s">
        <v>31</v>
      </c>
      <c r="E2028">
        <v>29672</v>
      </c>
      <c r="F2028">
        <v>1</v>
      </c>
      <c r="G2028">
        <v>1</v>
      </c>
      <c r="H2028" s="1">
        <v>41345</v>
      </c>
      <c r="I2028">
        <v>6</v>
      </c>
      <c r="J2028">
        <v>9</v>
      </c>
      <c r="K2028">
        <v>1</v>
      </c>
      <c r="L2028">
        <v>3</v>
      </c>
      <c r="M2028">
        <v>0</v>
      </c>
      <c r="N2028">
        <v>4</v>
      </c>
      <c r="O2028">
        <v>8</v>
      </c>
      <c r="P2028">
        <v>1</v>
      </c>
      <c r="Q2028">
        <v>0</v>
      </c>
      <c r="R2028">
        <v>0</v>
      </c>
      <c r="S2028">
        <v>3</v>
      </c>
      <c r="T2028">
        <v>6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3</v>
      </c>
      <c r="AB2028">
        <v>11</v>
      </c>
      <c r="AC2028">
        <v>0</v>
      </c>
      <c r="AD2028" t="str">
        <f t="shared" si="403"/>
        <v>Ok</v>
      </c>
      <c r="AE2028" t="str">
        <f>IF(AND(Audit_Data[[#This Row],[Year_Birth]]&gt;=1900,Audit_Data[[#This Row],[Year_Birth]]&lt;=2010),"OK","Invalid")</f>
        <v>OK</v>
      </c>
      <c r="AF2028" t="str">
        <f t="shared" si="404"/>
        <v>Valid</v>
      </c>
      <c r="AG2028" t="str">
        <f t="shared" si="405"/>
        <v>Valid</v>
      </c>
      <c r="AH2028" t="str">
        <f t="shared" si="406"/>
        <v>Valid</v>
      </c>
      <c r="AI2028" t="str">
        <f t="shared" si="407"/>
        <v>Valid</v>
      </c>
      <c r="AJ2028" t="str">
        <f t="shared" si="408"/>
        <v>Valid</v>
      </c>
      <c r="AK2028" t="str">
        <f t="shared" si="415"/>
        <v xml:space="preserve">Valid </v>
      </c>
      <c r="AL2028" t="str">
        <f>IF(AND(Audit_Data[[#This Row],[Recency]]&gt;=0,Audit_Data[[#This Row],[Recency]]&lt;=100),"Valid","Invalid")</f>
        <v>Valid</v>
      </c>
      <c r="AM2028" t="str">
        <f t="shared" si="409"/>
        <v>Valid</v>
      </c>
      <c r="AN2028" t="str">
        <f t="shared" si="410"/>
        <v>Valid</v>
      </c>
      <c r="AO2028" t="str">
        <f t="shared" si="411"/>
        <v>Valid</v>
      </c>
      <c r="AP2028" t="str">
        <f t="shared" si="412"/>
        <v>Valid</v>
      </c>
      <c r="AQ2028" t="str">
        <f>IF(Audit_Data[[#This Row],[Z_CostContact]]=3,"Valid","Invalid")</f>
        <v>Valid</v>
      </c>
      <c r="AR2028" t="str">
        <f t="shared" si="413"/>
        <v>Valid</v>
      </c>
      <c r="AS2028" t="str">
        <f t="shared" si="414"/>
        <v>Valid</v>
      </c>
    </row>
    <row r="2029" spans="1:45" x14ac:dyDescent="0.3">
      <c r="A2029">
        <v>153</v>
      </c>
      <c r="B2029">
        <v>1953</v>
      </c>
      <c r="C2029" t="s">
        <v>29</v>
      </c>
      <c r="D2029" t="s">
        <v>35</v>
      </c>
      <c r="E2029">
        <v>23272</v>
      </c>
      <c r="F2029">
        <v>0</v>
      </c>
      <c r="G2029">
        <v>0</v>
      </c>
      <c r="H2029" s="1">
        <v>41564</v>
      </c>
      <c r="I2029">
        <v>29</v>
      </c>
      <c r="J2029">
        <v>19</v>
      </c>
      <c r="K2029">
        <v>3</v>
      </c>
      <c r="L2029">
        <v>6</v>
      </c>
      <c r="M2029">
        <v>4</v>
      </c>
      <c r="N2029">
        <v>2</v>
      </c>
      <c r="O2029">
        <v>12</v>
      </c>
      <c r="P2029">
        <v>1</v>
      </c>
      <c r="Q2029">
        <v>1</v>
      </c>
      <c r="R2029">
        <v>0</v>
      </c>
      <c r="S2029">
        <v>3</v>
      </c>
      <c r="T2029">
        <v>4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3</v>
      </c>
      <c r="AB2029">
        <v>11</v>
      </c>
      <c r="AC2029">
        <v>0</v>
      </c>
      <c r="AD2029" t="str">
        <f t="shared" si="403"/>
        <v>Ok</v>
      </c>
      <c r="AE2029" t="str">
        <f>IF(AND(Audit_Data[[#This Row],[Year_Birth]]&gt;=1900,Audit_Data[[#This Row],[Year_Birth]]&lt;=2010),"OK","Invalid")</f>
        <v>OK</v>
      </c>
      <c r="AF2029" t="str">
        <f t="shared" si="404"/>
        <v>Valid</v>
      </c>
      <c r="AG2029" t="str">
        <f t="shared" si="405"/>
        <v>Valid</v>
      </c>
      <c r="AH2029" t="str">
        <f t="shared" si="406"/>
        <v>Valid</v>
      </c>
      <c r="AI2029" t="str">
        <f t="shared" si="407"/>
        <v>Valid</v>
      </c>
      <c r="AJ2029" t="str">
        <f t="shared" si="408"/>
        <v>Valid</v>
      </c>
      <c r="AK2029" t="str">
        <f t="shared" si="415"/>
        <v xml:space="preserve">Valid </v>
      </c>
      <c r="AL2029" t="str">
        <f>IF(AND(Audit_Data[[#This Row],[Recency]]&gt;=0,Audit_Data[[#This Row],[Recency]]&lt;=100),"Valid","Invalid")</f>
        <v>Valid</v>
      </c>
      <c r="AM2029" t="str">
        <f t="shared" si="409"/>
        <v>Valid</v>
      </c>
      <c r="AN2029" t="str">
        <f t="shared" si="410"/>
        <v>Valid</v>
      </c>
      <c r="AO2029" t="str">
        <f t="shared" si="411"/>
        <v>Valid</v>
      </c>
      <c r="AP2029" t="str">
        <f t="shared" si="412"/>
        <v>Valid</v>
      </c>
      <c r="AQ2029" t="str">
        <f>IF(Audit_Data[[#This Row],[Z_CostContact]]=3,"Valid","Invalid")</f>
        <v>Valid</v>
      </c>
      <c r="AR2029" t="str">
        <f t="shared" si="413"/>
        <v>Valid</v>
      </c>
      <c r="AS2029" t="str">
        <f t="shared" si="414"/>
        <v>Valid</v>
      </c>
    </row>
    <row r="2030" spans="1:45" x14ac:dyDescent="0.3">
      <c r="A2030">
        <v>9323</v>
      </c>
      <c r="B2030">
        <v>1949</v>
      </c>
      <c r="C2030" t="s">
        <v>34</v>
      </c>
      <c r="D2030" t="s">
        <v>31</v>
      </c>
      <c r="E2030">
        <v>49912</v>
      </c>
      <c r="F2030">
        <v>0</v>
      </c>
      <c r="G2030">
        <v>1</v>
      </c>
      <c r="H2030" s="1">
        <v>41159</v>
      </c>
      <c r="I2030">
        <v>5</v>
      </c>
      <c r="J2030">
        <v>520</v>
      </c>
      <c r="K2030">
        <v>8</v>
      </c>
      <c r="L2030">
        <v>223</v>
      </c>
      <c r="M2030">
        <v>32</v>
      </c>
      <c r="N2030">
        <v>49</v>
      </c>
      <c r="O2030">
        <v>42</v>
      </c>
      <c r="P2030">
        <v>4</v>
      </c>
      <c r="Q2030">
        <v>10</v>
      </c>
      <c r="R2030">
        <v>5</v>
      </c>
      <c r="S2030">
        <v>7</v>
      </c>
      <c r="T2030">
        <v>8</v>
      </c>
      <c r="U2030">
        <v>1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3</v>
      </c>
      <c r="AB2030">
        <v>11</v>
      </c>
      <c r="AC2030">
        <v>1</v>
      </c>
      <c r="AD2030" t="str">
        <f t="shared" si="403"/>
        <v>Ok</v>
      </c>
      <c r="AE2030" t="str">
        <f>IF(AND(Audit_Data[[#This Row],[Year_Birth]]&gt;=1900,Audit_Data[[#This Row],[Year_Birth]]&lt;=2010),"OK","Invalid")</f>
        <v>OK</v>
      </c>
      <c r="AF2030" t="str">
        <f t="shared" si="404"/>
        <v>Valid</v>
      </c>
      <c r="AG2030" t="str">
        <f t="shared" si="405"/>
        <v>Valid</v>
      </c>
      <c r="AH2030" t="str">
        <f t="shared" si="406"/>
        <v>Valid</v>
      </c>
      <c r="AI2030" t="str">
        <f t="shared" si="407"/>
        <v>Valid</v>
      </c>
      <c r="AJ2030" t="str">
        <f t="shared" si="408"/>
        <v>Valid</v>
      </c>
      <c r="AK2030" t="str">
        <f t="shared" si="415"/>
        <v xml:space="preserve">Valid </v>
      </c>
      <c r="AL2030" t="str">
        <f>IF(AND(Audit_Data[[#This Row],[Recency]]&gt;=0,Audit_Data[[#This Row],[Recency]]&lt;=100),"Valid","Invalid")</f>
        <v>Valid</v>
      </c>
      <c r="AM2030" t="str">
        <f t="shared" si="409"/>
        <v>Valid</v>
      </c>
      <c r="AN2030" t="str">
        <f t="shared" si="410"/>
        <v>Valid</v>
      </c>
      <c r="AO2030" t="str">
        <f t="shared" si="411"/>
        <v>Valid</v>
      </c>
      <c r="AP2030" t="str">
        <f t="shared" si="412"/>
        <v>Valid</v>
      </c>
      <c r="AQ2030" t="str">
        <f>IF(Audit_Data[[#This Row],[Z_CostContact]]=3,"Valid","Invalid")</f>
        <v>Valid</v>
      </c>
      <c r="AR2030" t="str">
        <f t="shared" si="413"/>
        <v>Valid</v>
      </c>
      <c r="AS2030" t="str">
        <f t="shared" si="414"/>
        <v>Valid</v>
      </c>
    </row>
    <row r="2031" spans="1:45" x14ac:dyDescent="0.3">
      <c r="A2031">
        <v>10001</v>
      </c>
      <c r="B2031">
        <v>1985</v>
      </c>
      <c r="C2031" t="s">
        <v>37</v>
      </c>
      <c r="D2031" t="s">
        <v>31</v>
      </c>
      <c r="E2031">
        <v>7500</v>
      </c>
      <c r="F2031">
        <v>1</v>
      </c>
      <c r="G2031">
        <v>0</v>
      </c>
      <c r="H2031" s="1">
        <v>41122</v>
      </c>
      <c r="I2031">
        <v>98</v>
      </c>
      <c r="J2031">
        <v>5</v>
      </c>
      <c r="K2031">
        <v>17</v>
      </c>
      <c r="L2031">
        <v>17</v>
      </c>
      <c r="M2031">
        <v>13</v>
      </c>
      <c r="N2031">
        <v>14</v>
      </c>
      <c r="O2031">
        <v>34</v>
      </c>
      <c r="P2031">
        <v>4</v>
      </c>
      <c r="Q2031">
        <v>2</v>
      </c>
      <c r="R2031">
        <v>1</v>
      </c>
      <c r="S2031">
        <v>3</v>
      </c>
      <c r="T2031">
        <v>9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3</v>
      </c>
      <c r="AB2031">
        <v>11</v>
      </c>
      <c r="AC2031">
        <v>0</v>
      </c>
      <c r="AD2031" t="str">
        <f t="shared" si="403"/>
        <v>Ok</v>
      </c>
      <c r="AE2031" t="str">
        <f>IF(AND(Audit_Data[[#This Row],[Year_Birth]]&gt;=1900,Audit_Data[[#This Row],[Year_Birth]]&lt;=2010),"OK","Invalid")</f>
        <v>OK</v>
      </c>
      <c r="AF2031" t="str">
        <f t="shared" si="404"/>
        <v>Valid</v>
      </c>
      <c r="AG2031" t="str">
        <f t="shared" si="405"/>
        <v>Valid</v>
      </c>
      <c r="AH2031" t="str">
        <f t="shared" si="406"/>
        <v>Valid</v>
      </c>
      <c r="AI2031" t="str">
        <f t="shared" si="407"/>
        <v>Valid</v>
      </c>
      <c r="AJ2031" t="str">
        <f t="shared" si="408"/>
        <v>Valid</v>
      </c>
      <c r="AK2031" t="str">
        <f t="shared" si="415"/>
        <v xml:space="preserve">Valid </v>
      </c>
      <c r="AL2031" t="str">
        <f>IF(AND(Audit_Data[[#This Row],[Recency]]&gt;=0,Audit_Data[[#This Row],[Recency]]&lt;=100),"Valid","Invalid")</f>
        <v>Valid</v>
      </c>
      <c r="AM2031" t="str">
        <f t="shared" si="409"/>
        <v>Valid</v>
      </c>
      <c r="AN2031" t="str">
        <f t="shared" si="410"/>
        <v>Valid</v>
      </c>
      <c r="AO2031" t="str">
        <f t="shared" si="411"/>
        <v>Valid</v>
      </c>
      <c r="AP2031" t="str">
        <f t="shared" si="412"/>
        <v>Valid</v>
      </c>
      <c r="AQ2031" t="str">
        <f>IF(Audit_Data[[#This Row],[Z_CostContact]]=3,"Valid","Invalid")</f>
        <v>Valid</v>
      </c>
      <c r="AR2031" t="str">
        <f t="shared" si="413"/>
        <v>Valid</v>
      </c>
      <c r="AS2031" t="str">
        <f t="shared" si="414"/>
        <v>Valid</v>
      </c>
    </row>
    <row r="2032" spans="1:45" x14ac:dyDescent="0.3">
      <c r="A2032">
        <v>3945</v>
      </c>
      <c r="B2032">
        <v>1947</v>
      </c>
      <c r="C2032" t="s">
        <v>32</v>
      </c>
      <c r="D2032" t="s">
        <v>38</v>
      </c>
      <c r="E2032">
        <v>68117</v>
      </c>
      <c r="F2032">
        <v>0</v>
      </c>
      <c r="G2032">
        <v>1</v>
      </c>
      <c r="H2032" s="1">
        <v>41343</v>
      </c>
      <c r="I2032">
        <v>80</v>
      </c>
      <c r="J2032">
        <v>618</v>
      </c>
      <c r="K2032">
        <v>44</v>
      </c>
      <c r="L2032">
        <v>215</v>
      </c>
      <c r="M2032">
        <v>0</v>
      </c>
      <c r="N2032">
        <v>17</v>
      </c>
      <c r="O2032">
        <v>36</v>
      </c>
      <c r="P2032">
        <v>2</v>
      </c>
      <c r="Q2032">
        <v>11</v>
      </c>
      <c r="R2032">
        <v>8</v>
      </c>
      <c r="S2032">
        <v>4</v>
      </c>
      <c r="T2032">
        <v>6</v>
      </c>
      <c r="U2032">
        <v>1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3</v>
      </c>
      <c r="AB2032">
        <v>11</v>
      </c>
      <c r="AC2032">
        <v>1</v>
      </c>
      <c r="AD2032" t="str">
        <f t="shared" si="403"/>
        <v>Ok</v>
      </c>
      <c r="AE2032" t="str">
        <f>IF(AND(Audit_Data[[#This Row],[Year_Birth]]&gt;=1900,Audit_Data[[#This Row],[Year_Birth]]&lt;=2010),"OK","Invalid")</f>
        <v>OK</v>
      </c>
      <c r="AF2032" t="str">
        <f t="shared" si="404"/>
        <v>Valid</v>
      </c>
      <c r="AG2032" t="str">
        <f t="shared" si="405"/>
        <v>Valid</v>
      </c>
      <c r="AH2032" t="str">
        <f t="shared" si="406"/>
        <v>Valid</v>
      </c>
      <c r="AI2032" t="str">
        <f t="shared" si="407"/>
        <v>Valid</v>
      </c>
      <c r="AJ2032" t="str">
        <f t="shared" si="408"/>
        <v>Valid</v>
      </c>
      <c r="AK2032" t="str">
        <f t="shared" si="415"/>
        <v xml:space="preserve">Valid </v>
      </c>
      <c r="AL2032" t="str">
        <f>IF(AND(Audit_Data[[#This Row],[Recency]]&gt;=0,Audit_Data[[#This Row],[Recency]]&lt;=100),"Valid","Invalid")</f>
        <v>Valid</v>
      </c>
      <c r="AM2032" t="str">
        <f t="shared" si="409"/>
        <v>Valid</v>
      </c>
      <c r="AN2032" t="str">
        <f t="shared" si="410"/>
        <v>Valid</v>
      </c>
      <c r="AO2032" t="str">
        <f t="shared" si="411"/>
        <v>Valid</v>
      </c>
      <c r="AP2032" t="str">
        <f t="shared" si="412"/>
        <v>Valid</v>
      </c>
      <c r="AQ2032" t="str">
        <f>IF(Audit_Data[[#This Row],[Z_CostContact]]=3,"Valid","Invalid")</f>
        <v>Valid</v>
      </c>
      <c r="AR2032" t="str">
        <f t="shared" si="413"/>
        <v>Valid</v>
      </c>
      <c r="AS2032" t="str">
        <f t="shared" si="414"/>
        <v>Valid</v>
      </c>
    </row>
    <row r="2033" spans="1:45" x14ac:dyDescent="0.3">
      <c r="A2033">
        <v>3799</v>
      </c>
      <c r="B2033">
        <v>1955</v>
      </c>
      <c r="C2033" t="s">
        <v>29</v>
      </c>
      <c r="D2033" t="s">
        <v>33</v>
      </c>
      <c r="E2033">
        <v>67225</v>
      </c>
      <c r="F2033">
        <v>0</v>
      </c>
      <c r="G2033">
        <v>1</v>
      </c>
      <c r="H2033" s="1">
        <v>41604</v>
      </c>
      <c r="I2033">
        <v>4</v>
      </c>
      <c r="J2033">
        <v>315</v>
      </c>
      <c r="K2033">
        <v>35</v>
      </c>
      <c r="L2033">
        <v>322</v>
      </c>
      <c r="M2033">
        <v>46</v>
      </c>
      <c r="N2033">
        <v>7</v>
      </c>
      <c r="O2033">
        <v>143</v>
      </c>
      <c r="P2033">
        <v>3</v>
      </c>
      <c r="Q2033">
        <v>7</v>
      </c>
      <c r="R2033">
        <v>2</v>
      </c>
      <c r="S2033">
        <v>11</v>
      </c>
      <c r="T2033">
        <v>5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3</v>
      </c>
      <c r="AB2033">
        <v>11</v>
      </c>
      <c r="AC2033">
        <v>0</v>
      </c>
      <c r="AD2033" t="str">
        <f t="shared" si="403"/>
        <v>Ok</v>
      </c>
      <c r="AE2033" t="str">
        <f>IF(AND(Audit_Data[[#This Row],[Year_Birth]]&gt;=1900,Audit_Data[[#This Row],[Year_Birth]]&lt;=2010),"OK","Invalid")</f>
        <v>OK</v>
      </c>
      <c r="AF2033" t="str">
        <f t="shared" si="404"/>
        <v>Valid</v>
      </c>
      <c r="AG2033" t="str">
        <f t="shared" si="405"/>
        <v>Valid</v>
      </c>
      <c r="AH2033" t="str">
        <f t="shared" si="406"/>
        <v>Valid</v>
      </c>
      <c r="AI2033" t="str">
        <f t="shared" si="407"/>
        <v>Valid</v>
      </c>
      <c r="AJ2033" t="str">
        <f t="shared" si="408"/>
        <v>Valid</v>
      </c>
      <c r="AK2033" t="str">
        <f t="shared" si="415"/>
        <v xml:space="preserve">Valid </v>
      </c>
      <c r="AL2033" t="str">
        <f>IF(AND(Audit_Data[[#This Row],[Recency]]&gt;=0,Audit_Data[[#This Row],[Recency]]&lt;=100),"Valid","Invalid")</f>
        <v>Valid</v>
      </c>
      <c r="AM2033" t="str">
        <f t="shared" si="409"/>
        <v>Valid</v>
      </c>
      <c r="AN2033" t="str">
        <f t="shared" si="410"/>
        <v>Valid</v>
      </c>
      <c r="AO2033" t="str">
        <f t="shared" si="411"/>
        <v>Valid</v>
      </c>
      <c r="AP2033" t="str">
        <f t="shared" si="412"/>
        <v>Valid</v>
      </c>
      <c r="AQ2033" t="str">
        <f>IF(Audit_Data[[#This Row],[Z_CostContact]]=3,"Valid","Invalid")</f>
        <v>Valid</v>
      </c>
      <c r="AR2033" t="str">
        <f t="shared" si="413"/>
        <v>Valid</v>
      </c>
      <c r="AS2033" t="str">
        <f t="shared" si="414"/>
        <v>Valid</v>
      </c>
    </row>
    <row r="2034" spans="1:45" x14ac:dyDescent="0.3">
      <c r="A2034">
        <v>8625</v>
      </c>
      <c r="B2034">
        <v>1976</v>
      </c>
      <c r="C2034" t="s">
        <v>29</v>
      </c>
      <c r="D2034" t="s">
        <v>33</v>
      </c>
      <c r="E2034">
        <v>17649</v>
      </c>
      <c r="F2034">
        <v>1</v>
      </c>
      <c r="G2034">
        <v>0</v>
      </c>
      <c r="H2034" s="1">
        <v>41590</v>
      </c>
      <c r="I2034">
        <v>70</v>
      </c>
      <c r="J2034">
        <v>15</v>
      </c>
      <c r="K2034">
        <v>1</v>
      </c>
      <c r="L2034">
        <v>23</v>
      </c>
      <c r="M2034">
        <v>0</v>
      </c>
      <c r="N2034">
        <v>5</v>
      </c>
      <c r="O2034">
        <v>1</v>
      </c>
      <c r="P2034">
        <v>3</v>
      </c>
      <c r="Q2034">
        <v>3</v>
      </c>
      <c r="R2034">
        <v>0</v>
      </c>
      <c r="S2034">
        <v>3</v>
      </c>
      <c r="T2034">
        <v>8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3</v>
      </c>
      <c r="AB2034">
        <v>11</v>
      </c>
      <c r="AC2034">
        <v>0</v>
      </c>
      <c r="AD2034" t="str">
        <f t="shared" si="403"/>
        <v>Ok</v>
      </c>
      <c r="AE2034" t="str">
        <f>IF(AND(Audit_Data[[#This Row],[Year_Birth]]&gt;=1900,Audit_Data[[#This Row],[Year_Birth]]&lt;=2010),"OK","Invalid")</f>
        <v>OK</v>
      </c>
      <c r="AF2034" t="str">
        <f t="shared" si="404"/>
        <v>Valid</v>
      </c>
      <c r="AG2034" t="str">
        <f t="shared" si="405"/>
        <v>Valid</v>
      </c>
      <c r="AH2034" t="str">
        <f t="shared" si="406"/>
        <v>Valid</v>
      </c>
      <c r="AI2034" t="str">
        <f t="shared" si="407"/>
        <v>Valid</v>
      </c>
      <c r="AJ2034" t="str">
        <f t="shared" si="408"/>
        <v>Valid</v>
      </c>
      <c r="AK2034" t="str">
        <f t="shared" si="415"/>
        <v xml:space="preserve">Valid </v>
      </c>
      <c r="AL2034" t="str">
        <f>IF(AND(Audit_Data[[#This Row],[Recency]]&gt;=0,Audit_Data[[#This Row],[Recency]]&lt;=100),"Valid","Invalid")</f>
        <v>Valid</v>
      </c>
      <c r="AM2034" t="str">
        <f t="shared" si="409"/>
        <v>Valid</v>
      </c>
      <c r="AN2034" t="str">
        <f t="shared" si="410"/>
        <v>Valid</v>
      </c>
      <c r="AO2034" t="str">
        <f t="shared" si="411"/>
        <v>Valid</v>
      </c>
      <c r="AP2034" t="str">
        <f t="shared" si="412"/>
        <v>Valid</v>
      </c>
      <c r="AQ2034" t="str">
        <f>IF(Audit_Data[[#This Row],[Z_CostContact]]=3,"Valid","Invalid")</f>
        <v>Valid</v>
      </c>
      <c r="AR2034" t="str">
        <f t="shared" si="413"/>
        <v>Valid</v>
      </c>
      <c r="AS2034" t="str">
        <f t="shared" si="414"/>
        <v>Valid</v>
      </c>
    </row>
    <row r="2035" spans="1:45" x14ac:dyDescent="0.3">
      <c r="A2035">
        <v>3491</v>
      </c>
      <c r="B2035">
        <v>1975</v>
      </c>
      <c r="C2035" t="s">
        <v>29</v>
      </c>
      <c r="D2035" t="s">
        <v>31</v>
      </c>
      <c r="E2035">
        <v>55914</v>
      </c>
      <c r="F2035">
        <v>0</v>
      </c>
      <c r="G2035">
        <v>1</v>
      </c>
      <c r="H2035" s="1">
        <v>41393</v>
      </c>
      <c r="I2035">
        <v>32</v>
      </c>
      <c r="J2035">
        <v>384</v>
      </c>
      <c r="K2035">
        <v>60</v>
      </c>
      <c r="L2035">
        <v>364</v>
      </c>
      <c r="M2035">
        <v>119</v>
      </c>
      <c r="N2035">
        <v>101</v>
      </c>
      <c r="O2035">
        <v>232</v>
      </c>
      <c r="P2035">
        <v>4</v>
      </c>
      <c r="Q2035">
        <v>11</v>
      </c>
      <c r="R2035">
        <v>6</v>
      </c>
      <c r="S2035">
        <v>8</v>
      </c>
      <c r="T2035">
        <v>7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3</v>
      </c>
      <c r="AB2035">
        <v>11</v>
      </c>
      <c r="AC2035">
        <v>0</v>
      </c>
      <c r="AD2035" t="str">
        <f t="shared" si="403"/>
        <v>Ok</v>
      </c>
      <c r="AE2035" t="str">
        <f>IF(AND(Audit_Data[[#This Row],[Year_Birth]]&gt;=1900,Audit_Data[[#This Row],[Year_Birth]]&lt;=2010),"OK","Invalid")</f>
        <v>OK</v>
      </c>
      <c r="AF2035" t="str">
        <f t="shared" si="404"/>
        <v>Valid</v>
      </c>
      <c r="AG2035" t="str">
        <f t="shared" si="405"/>
        <v>Valid</v>
      </c>
      <c r="AH2035" t="str">
        <f t="shared" si="406"/>
        <v>Valid</v>
      </c>
      <c r="AI2035" t="str">
        <f t="shared" si="407"/>
        <v>Valid</v>
      </c>
      <c r="AJ2035" t="str">
        <f t="shared" si="408"/>
        <v>Valid</v>
      </c>
      <c r="AK2035" t="str">
        <f t="shared" si="415"/>
        <v xml:space="preserve">Valid </v>
      </c>
      <c r="AL2035" t="str">
        <f>IF(AND(Audit_Data[[#This Row],[Recency]]&gt;=0,Audit_Data[[#This Row],[Recency]]&lt;=100),"Valid","Invalid")</f>
        <v>Valid</v>
      </c>
      <c r="AM2035" t="str">
        <f t="shared" si="409"/>
        <v>Valid</v>
      </c>
      <c r="AN2035" t="str">
        <f t="shared" si="410"/>
        <v>Valid</v>
      </c>
      <c r="AO2035" t="str">
        <f t="shared" si="411"/>
        <v>Valid</v>
      </c>
      <c r="AP2035" t="str">
        <f t="shared" si="412"/>
        <v>Valid</v>
      </c>
      <c r="AQ2035" t="str">
        <f>IF(Audit_Data[[#This Row],[Z_CostContact]]=3,"Valid","Invalid")</f>
        <v>Valid</v>
      </c>
      <c r="AR2035" t="str">
        <f t="shared" si="413"/>
        <v>Valid</v>
      </c>
      <c r="AS2035" t="str">
        <f t="shared" si="414"/>
        <v>Valid</v>
      </c>
    </row>
    <row r="2036" spans="1:45" x14ac:dyDescent="0.3">
      <c r="A2036">
        <v>983</v>
      </c>
      <c r="B2036">
        <v>1984</v>
      </c>
      <c r="C2036" t="s">
        <v>29</v>
      </c>
      <c r="D2036" t="s">
        <v>33</v>
      </c>
      <c r="E2036">
        <v>40059</v>
      </c>
      <c r="F2036">
        <v>1</v>
      </c>
      <c r="G2036">
        <v>0</v>
      </c>
      <c r="H2036" s="1">
        <v>41545</v>
      </c>
      <c r="I2036">
        <v>82</v>
      </c>
      <c r="J2036">
        <v>110</v>
      </c>
      <c r="K2036">
        <v>29</v>
      </c>
      <c r="L2036">
        <v>92</v>
      </c>
      <c r="M2036">
        <v>28</v>
      </c>
      <c r="N2036">
        <v>10</v>
      </c>
      <c r="O2036">
        <v>145</v>
      </c>
      <c r="P2036">
        <v>1</v>
      </c>
      <c r="Q2036">
        <v>6</v>
      </c>
      <c r="R2036">
        <v>2</v>
      </c>
      <c r="S2036">
        <v>3</v>
      </c>
      <c r="T2036">
        <v>8</v>
      </c>
      <c r="U2036">
        <v>1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3</v>
      </c>
      <c r="AB2036">
        <v>11</v>
      </c>
      <c r="AC2036">
        <v>0</v>
      </c>
      <c r="AD2036" t="str">
        <f t="shared" si="403"/>
        <v>Ok</v>
      </c>
      <c r="AE2036" t="str">
        <f>IF(AND(Audit_Data[[#This Row],[Year_Birth]]&gt;=1900,Audit_Data[[#This Row],[Year_Birth]]&lt;=2010),"OK","Invalid")</f>
        <v>OK</v>
      </c>
      <c r="AF2036" t="str">
        <f t="shared" si="404"/>
        <v>Valid</v>
      </c>
      <c r="AG2036" t="str">
        <f t="shared" si="405"/>
        <v>Valid</v>
      </c>
      <c r="AH2036" t="str">
        <f t="shared" si="406"/>
        <v>Valid</v>
      </c>
      <c r="AI2036" t="str">
        <f t="shared" si="407"/>
        <v>Valid</v>
      </c>
      <c r="AJ2036" t="str">
        <f t="shared" si="408"/>
        <v>Valid</v>
      </c>
      <c r="AK2036" t="str">
        <f t="shared" si="415"/>
        <v xml:space="preserve">Valid </v>
      </c>
      <c r="AL2036" t="str">
        <f>IF(AND(Audit_Data[[#This Row],[Recency]]&gt;=0,Audit_Data[[#This Row],[Recency]]&lt;=100),"Valid","Invalid")</f>
        <v>Valid</v>
      </c>
      <c r="AM2036" t="str">
        <f t="shared" si="409"/>
        <v>Valid</v>
      </c>
      <c r="AN2036" t="str">
        <f t="shared" si="410"/>
        <v>Valid</v>
      </c>
      <c r="AO2036" t="str">
        <f t="shared" si="411"/>
        <v>Valid</v>
      </c>
      <c r="AP2036" t="str">
        <f t="shared" si="412"/>
        <v>Valid</v>
      </c>
      <c r="AQ2036" t="str">
        <f>IF(Audit_Data[[#This Row],[Z_CostContact]]=3,"Valid","Invalid")</f>
        <v>Valid</v>
      </c>
      <c r="AR2036" t="str">
        <f t="shared" si="413"/>
        <v>Valid</v>
      </c>
      <c r="AS2036" t="str">
        <f t="shared" si="414"/>
        <v>Valid</v>
      </c>
    </row>
    <row r="2037" spans="1:45" x14ac:dyDescent="0.3">
      <c r="A2037">
        <v>9119</v>
      </c>
      <c r="B2037">
        <v>1950</v>
      </c>
      <c r="C2037" t="s">
        <v>29</v>
      </c>
      <c r="D2037" t="s">
        <v>31</v>
      </c>
      <c r="E2037">
        <v>60905</v>
      </c>
      <c r="F2037">
        <v>0</v>
      </c>
      <c r="G2037">
        <v>1</v>
      </c>
      <c r="H2037" s="1">
        <v>41613</v>
      </c>
      <c r="I2037">
        <v>27</v>
      </c>
      <c r="J2037">
        <v>208</v>
      </c>
      <c r="K2037">
        <v>17</v>
      </c>
      <c r="L2037">
        <v>76</v>
      </c>
      <c r="M2037">
        <v>36</v>
      </c>
      <c r="N2037">
        <v>17</v>
      </c>
      <c r="O2037">
        <v>38</v>
      </c>
      <c r="P2037">
        <v>2</v>
      </c>
      <c r="Q2037">
        <v>3</v>
      </c>
      <c r="R2037">
        <v>3</v>
      </c>
      <c r="S2037">
        <v>7</v>
      </c>
      <c r="T2037">
        <v>2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3</v>
      </c>
      <c r="AB2037">
        <v>11</v>
      </c>
      <c r="AC2037">
        <v>0</v>
      </c>
      <c r="AD2037" t="str">
        <f t="shared" si="403"/>
        <v>Ok</v>
      </c>
      <c r="AE2037" t="str">
        <f>IF(AND(Audit_Data[[#This Row],[Year_Birth]]&gt;=1900,Audit_Data[[#This Row],[Year_Birth]]&lt;=2010),"OK","Invalid")</f>
        <v>OK</v>
      </c>
      <c r="AF2037" t="str">
        <f t="shared" si="404"/>
        <v>Valid</v>
      </c>
      <c r="AG2037" t="str">
        <f t="shared" si="405"/>
        <v>Valid</v>
      </c>
      <c r="AH2037" t="str">
        <f t="shared" si="406"/>
        <v>Valid</v>
      </c>
      <c r="AI2037" t="str">
        <f t="shared" si="407"/>
        <v>Valid</v>
      </c>
      <c r="AJ2037" t="str">
        <f t="shared" si="408"/>
        <v>Valid</v>
      </c>
      <c r="AK2037" t="str">
        <f t="shared" si="415"/>
        <v xml:space="preserve">Valid </v>
      </c>
      <c r="AL2037" t="str">
        <f>IF(AND(Audit_Data[[#This Row],[Recency]]&gt;=0,Audit_Data[[#This Row],[Recency]]&lt;=100),"Valid","Invalid")</f>
        <v>Valid</v>
      </c>
      <c r="AM2037" t="str">
        <f t="shared" si="409"/>
        <v>Valid</v>
      </c>
      <c r="AN2037" t="str">
        <f t="shared" si="410"/>
        <v>Valid</v>
      </c>
      <c r="AO2037" t="str">
        <f t="shared" si="411"/>
        <v>Valid</v>
      </c>
      <c r="AP2037" t="str">
        <f t="shared" si="412"/>
        <v>Valid</v>
      </c>
      <c r="AQ2037" t="str">
        <f>IF(Audit_Data[[#This Row],[Z_CostContact]]=3,"Valid","Invalid")</f>
        <v>Valid</v>
      </c>
      <c r="AR2037" t="str">
        <f t="shared" si="413"/>
        <v>Valid</v>
      </c>
      <c r="AS2037" t="str">
        <f t="shared" si="414"/>
        <v>Valid</v>
      </c>
    </row>
    <row r="2038" spans="1:45" x14ac:dyDescent="0.3">
      <c r="A2038">
        <v>4786</v>
      </c>
      <c r="B2038">
        <v>1977</v>
      </c>
      <c r="C2038" t="s">
        <v>29</v>
      </c>
      <c r="D2038" t="s">
        <v>33</v>
      </c>
      <c r="E2038">
        <v>75330</v>
      </c>
      <c r="F2038">
        <v>1</v>
      </c>
      <c r="G2038">
        <v>1</v>
      </c>
      <c r="H2038" s="1">
        <v>41186</v>
      </c>
      <c r="I2038">
        <v>94</v>
      </c>
      <c r="J2038">
        <v>555</v>
      </c>
      <c r="K2038">
        <v>82</v>
      </c>
      <c r="L2038">
        <v>257</v>
      </c>
      <c r="M2038">
        <v>93</v>
      </c>
      <c r="N2038">
        <v>61</v>
      </c>
      <c r="O2038">
        <v>61</v>
      </c>
      <c r="P2038">
        <v>4</v>
      </c>
      <c r="Q2038">
        <v>10</v>
      </c>
      <c r="R2038">
        <v>3</v>
      </c>
      <c r="S2038">
        <v>12</v>
      </c>
      <c r="T2038">
        <v>6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3</v>
      </c>
      <c r="AB2038">
        <v>11</v>
      </c>
      <c r="AC2038">
        <v>0</v>
      </c>
      <c r="AD2038" t="str">
        <f t="shared" si="403"/>
        <v>Ok</v>
      </c>
      <c r="AE2038" t="str">
        <f>IF(AND(Audit_Data[[#This Row],[Year_Birth]]&gt;=1900,Audit_Data[[#This Row],[Year_Birth]]&lt;=2010),"OK","Invalid")</f>
        <v>OK</v>
      </c>
      <c r="AF2038" t="str">
        <f t="shared" si="404"/>
        <v>Valid</v>
      </c>
      <c r="AG2038" t="str">
        <f t="shared" si="405"/>
        <v>Valid</v>
      </c>
      <c r="AH2038" t="str">
        <f t="shared" si="406"/>
        <v>Valid</v>
      </c>
      <c r="AI2038" t="str">
        <f t="shared" si="407"/>
        <v>Valid</v>
      </c>
      <c r="AJ2038" t="str">
        <f t="shared" si="408"/>
        <v>Valid</v>
      </c>
      <c r="AK2038" t="str">
        <f t="shared" si="415"/>
        <v xml:space="preserve">Valid </v>
      </c>
      <c r="AL2038" t="str">
        <f>IF(AND(Audit_Data[[#This Row],[Recency]]&gt;=0,Audit_Data[[#This Row],[Recency]]&lt;=100),"Valid","Invalid")</f>
        <v>Valid</v>
      </c>
      <c r="AM2038" t="str">
        <f t="shared" si="409"/>
        <v>Valid</v>
      </c>
      <c r="AN2038" t="str">
        <f t="shared" si="410"/>
        <v>Valid</v>
      </c>
      <c r="AO2038" t="str">
        <f t="shared" si="411"/>
        <v>Valid</v>
      </c>
      <c r="AP2038" t="str">
        <f t="shared" si="412"/>
        <v>Valid</v>
      </c>
      <c r="AQ2038" t="str">
        <f>IF(Audit_Data[[#This Row],[Z_CostContact]]=3,"Valid","Invalid")</f>
        <v>Valid</v>
      </c>
      <c r="AR2038" t="str">
        <f t="shared" si="413"/>
        <v>Valid</v>
      </c>
      <c r="AS2038" t="str">
        <f t="shared" si="414"/>
        <v>Valid</v>
      </c>
    </row>
    <row r="2039" spans="1:45" x14ac:dyDescent="0.3">
      <c r="A2039">
        <v>5872</v>
      </c>
      <c r="B2039">
        <v>1951</v>
      </c>
      <c r="C2039" t="s">
        <v>29</v>
      </c>
      <c r="D2039" t="s">
        <v>30</v>
      </c>
      <c r="E2039">
        <v>60689</v>
      </c>
      <c r="F2039">
        <v>0</v>
      </c>
      <c r="G2039">
        <v>1</v>
      </c>
      <c r="H2039" s="1">
        <v>41426</v>
      </c>
      <c r="I2039">
        <v>23</v>
      </c>
      <c r="J2039">
        <v>240</v>
      </c>
      <c r="K2039">
        <v>90</v>
      </c>
      <c r="L2039">
        <v>216</v>
      </c>
      <c r="M2039">
        <v>63</v>
      </c>
      <c r="N2039">
        <v>6</v>
      </c>
      <c r="O2039">
        <v>24</v>
      </c>
      <c r="P2039">
        <v>4</v>
      </c>
      <c r="Q2039">
        <v>4</v>
      </c>
      <c r="R2039">
        <v>4</v>
      </c>
      <c r="S2039">
        <v>10</v>
      </c>
      <c r="T2039">
        <v>3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3</v>
      </c>
      <c r="AB2039">
        <v>11</v>
      </c>
      <c r="AC2039">
        <v>0</v>
      </c>
      <c r="AD2039" t="str">
        <f t="shared" si="403"/>
        <v>Ok</v>
      </c>
      <c r="AE2039" t="str">
        <f>IF(AND(Audit_Data[[#This Row],[Year_Birth]]&gt;=1900,Audit_Data[[#This Row],[Year_Birth]]&lt;=2010),"OK","Invalid")</f>
        <v>OK</v>
      </c>
      <c r="AF2039" t="str">
        <f t="shared" si="404"/>
        <v>Valid</v>
      </c>
      <c r="AG2039" t="str">
        <f t="shared" si="405"/>
        <v>Valid</v>
      </c>
      <c r="AH2039" t="str">
        <f t="shared" si="406"/>
        <v>Valid</v>
      </c>
      <c r="AI2039" t="str">
        <f t="shared" si="407"/>
        <v>Valid</v>
      </c>
      <c r="AJ2039" t="str">
        <f t="shared" si="408"/>
        <v>Valid</v>
      </c>
      <c r="AK2039" t="str">
        <f t="shared" si="415"/>
        <v xml:space="preserve">Valid </v>
      </c>
      <c r="AL2039" t="str">
        <f>IF(AND(Audit_Data[[#This Row],[Recency]]&gt;=0,Audit_Data[[#This Row],[Recency]]&lt;=100),"Valid","Invalid")</f>
        <v>Valid</v>
      </c>
      <c r="AM2039" t="str">
        <f t="shared" si="409"/>
        <v>Valid</v>
      </c>
      <c r="AN2039" t="str">
        <f t="shared" si="410"/>
        <v>Valid</v>
      </c>
      <c r="AO2039" t="str">
        <f t="shared" si="411"/>
        <v>Valid</v>
      </c>
      <c r="AP2039" t="str">
        <f t="shared" si="412"/>
        <v>Valid</v>
      </c>
      <c r="AQ2039" t="str">
        <f>IF(Audit_Data[[#This Row],[Z_CostContact]]=3,"Valid","Invalid")</f>
        <v>Valid</v>
      </c>
      <c r="AR2039" t="str">
        <f t="shared" si="413"/>
        <v>Valid</v>
      </c>
      <c r="AS2039" t="str">
        <f t="shared" si="414"/>
        <v>Valid</v>
      </c>
    </row>
    <row r="2040" spans="1:45" x14ac:dyDescent="0.3">
      <c r="A2040">
        <v>6568</v>
      </c>
      <c r="B2040">
        <v>1984</v>
      </c>
      <c r="C2040" t="s">
        <v>29</v>
      </c>
      <c r="D2040" t="s">
        <v>33</v>
      </c>
      <c r="E2040">
        <v>38680</v>
      </c>
      <c r="F2040">
        <v>1</v>
      </c>
      <c r="G2040">
        <v>0</v>
      </c>
      <c r="H2040" s="1">
        <v>41361</v>
      </c>
      <c r="I2040">
        <v>97</v>
      </c>
      <c r="J2040">
        <v>11</v>
      </c>
      <c r="K2040">
        <v>0</v>
      </c>
      <c r="L2040">
        <v>36</v>
      </c>
      <c r="M2040">
        <v>15</v>
      </c>
      <c r="N2040">
        <v>5</v>
      </c>
      <c r="O2040">
        <v>12</v>
      </c>
      <c r="P2040">
        <v>1</v>
      </c>
      <c r="Q2040">
        <v>2</v>
      </c>
      <c r="R2040">
        <v>0</v>
      </c>
      <c r="S2040">
        <v>3</v>
      </c>
      <c r="T2040">
        <v>7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3</v>
      </c>
      <c r="AB2040">
        <v>11</v>
      </c>
      <c r="AC2040">
        <v>0</v>
      </c>
      <c r="AD2040" t="str">
        <f t="shared" si="403"/>
        <v>Ok</v>
      </c>
      <c r="AE2040" t="str">
        <f>IF(AND(Audit_Data[[#This Row],[Year_Birth]]&gt;=1900,Audit_Data[[#This Row],[Year_Birth]]&lt;=2010),"OK","Invalid")</f>
        <v>OK</v>
      </c>
      <c r="AF2040" t="str">
        <f t="shared" si="404"/>
        <v>Valid</v>
      </c>
      <c r="AG2040" t="str">
        <f t="shared" si="405"/>
        <v>Valid</v>
      </c>
      <c r="AH2040" t="str">
        <f t="shared" si="406"/>
        <v>Valid</v>
      </c>
      <c r="AI2040" t="str">
        <f t="shared" si="407"/>
        <v>Valid</v>
      </c>
      <c r="AJ2040" t="str">
        <f t="shared" si="408"/>
        <v>Valid</v>
      </c>
      <c r="AK2040" t="str">
        <f t="shared" si="415"/>
        <v xml:space="preserve">Valid </v>
      </c>
      <c r="AL2040" t="str">
        <f>IF(AND(Audit_Data[[#This Row],[Recency]]&gt;=0,Audit_Data[[#This Row],[Recency]]&lt;=100),"Valid","Invalid")</f>
        <v>Valid</v>
      </c>
      <c r="AM2040" t="str">
        <f t="shared" si="409"/>
        <v>Valid</v>
      </c>
      <c r="AN2040" t="str">
        <f t="shared" si="410"/>
        <v>Valid</v>
      </c>
      <c r="AO2040" t="str">
        <f t="shared" si="411"/>
        <v>Valid</v>
      </c>
      <c r="AP2040" t="str">
        <f t="shared" si="412"/>
        <v>Valid</v>
      </c>
      <c r="AQ2040" t="str">
        <f>IF(Audit_Data[[#This Row],[Z_CostContact]]=3,"Valid","Invalid")</f>
        <v>Valid</v>
      </c>
      <c r="AR2040" t="str">
        <f t="shared" si="413"/>
        <v>Valid</v>
      </c>
      <c r="AS2040" t="str">
        <f t="shared" si="414"/>
        <v>Valid</v>
      </c>
    </row>
    <row r="2041" spans="1:45" x14ac:dyDescent="0.3">
      <c r="A2041">
        <v>5628</v>
      </c>
      <c r="B2041">
        <v>1982</v>
      </c>
      <c r="C2041" t="s">
        <v>29</v>
      </c>
      <c r="D2041" t="s">
        <v>31</v>
      </c>
      <c r="E2041">
        <v>61416</v>
      </c>
      <c r="F2041">
        <v>0</v>
      </c>
      <c r="G2041">
        <v>0</v>
      </c>
      <c r="H2041" s="1">
        <v>41313</v>
      </c>
      <c r="I2041">
        <v>25</v>
      </c>
      <c r="J2041">
        <v>848</v>
      </c>
      <c r="K2041">
        <v>154</v>
      </c>
      <c r="L2041">
        <v>323</v>
      </c>
      <c r="M2041">
        <v>201</v>
      </c>
      <c r="N2041">
        <v>61</v>
      </c>
      <c r="O2041">
        <v>78</v>
      </c>
      <c r="P2041">
        <v>1</v>
      </c>
      <c r="Q2041">
        <v>10</v>
      </c>
      <c r="R2041">
        <v>3</v>
      </c>
      <c r="S2041">
        <v>10</v>
      </c>
      <c r="T2041">
        <v>6</v>
      </c>
      <c r="U2041">
        <v>1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3</v>
      </c>
      <c r="AB2041">
        <v>11</v>
      </c>
      <c r="AC2041">
        <v>0</v>
      </c>
      <c r="AD2041" t="str">
        <f t="shared" si="403"/>
        <v>Ok</v>
      </c>
      <c r="AE2041" t="str">
        <f>IF(AND(Audit_Data[[#This Row],[Year_Birth]]&gt;=1900,Audit_Data[[#This Row],[Year_Birth]]&lt;=2010),"OK","Invalid")</f>
        <v>OK</v>
      </c>
      <c r="AF2041" t="str">
        <f t="shared" si="404"/>
        <v>Valid</v>
      </c>
      <c r="AG2041" t="str">
        <f t="shared" si="405"/>
        <v>Valid</v>
      </c>
      <c r="AH2041" t="str">
        <f t="shared" si="406"/>
        <v>Valid</v>
      </c>
      <c r="AI2041" t="str">
        <f t="shared" si="407"/>
        <v>Valid</v>
      </c>
      <c r="AJ2041" t="str">
        <f t="shared" si="408"/>
        <v>Valid</v>
      </c>
      <c r="AK2041" t="str">
        <f t="shared" si="415"/>
        <v xml:space="preserve">Valid </v>
      </c>
      <c r="AL2041" t="str">
        <f>IF(AND(Audit_Data[[#This Row],[Recency]]&gt;=0,Audit_Data[[#This Row],[Recency]]&lt;=100),"Valid","Invalid")</f>
        <v>Valid</v>
      </c>
      <c r="AM2041" t="str">
        <f t="shared" si="409"/>
        <v>Valid</v>
      </c>
      <c r="AN2041" t="str">
        <f t="shared" si="410"/>
        <v>Valid</v>
      </c>
      <c r="AO2041" t="str">
        <f t="shared" si="411"/>
        <v>Valid</v>
      </c>
      <c r="AP2041" t="str">
        <f t="shared" si="412"/>
        <v>Valid</v>
      </c>
      <c r="AQ2041" t="str">
        <f>IF(Audit_Data[[#This Row],[Z_CostContact]]=3,"Valid","Invalid")</f>
        <v>Valid</v>
      </c>
      <c r="AR2041" t="str">
        <f t="shared" si="413"/>
        <v>Valid</v>
      </c>
      <c r="AS2041" t="str">
        <f t="shared" si="414"/>
        <v>Valid</v>
      </c>
    </row>
    <row r="2042" spans="1:45" x14ac:dyDescent="0.3">
      <c r="A2042">
        <v>5631</v>
      </c>
      <c r="B2042">
        <v>1991</v>
      </c>
      <c r="C2042" t="s">
        <v>29</v>
      </c>
      <c r="D2042" t="s">
        <v>30</v>
      </c>
      <c r="E2042">
        <v>49767</v>
      </c>
      <c r="F2042">
        <v>0</v>
      </c>
      <c r="G2042">
        <v>0</v>
      </c>
      <c r="H2042" s="1">
        <v>41396</v>
      </c>
      <c r="I2042">
        <v>92</v>
      </c>
      <c r="J2042">
        <v>202</v>
      </c>
      <c r="K2042">
        <v>47</v>
      </c>
      <c r="L2042">
        <v>197</v>
      </c>
      <c r="M2042">
        <v>55</v>
      </c>
      <c r="N2042">
        <v>42</v>
      </c>
      <c r="O2042">
        <v>149</v>
      </c>
      <c r="P2042">
        <v>1</v>
      </c>
      <c r="Q2042">
        <v>5</v>
      </c>
      <c r="R2042">
        <v>4</v>
      </c>
      <c r="S2042">
        <v>8</v>
      </c>
      <c r="T2042">
        <v>4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3</v>
      </c>
      <c r="AB2042">
        <v>11</v>
      </c>
      <c r="AC2042">
        <v>0</v>
      </c>
      <c r="AD2042" t="str">
        <f t="shared" si="403"/>
        <v>Ok</v>
      </c>
      <c r="AE2042" t="str">
        <f>IF(AND(Audit_Data[[#This Row],[Year_Birth]]&gt;=1900,Audit_Data[[#This Row],[Year_Birth]]&lt;=2010),"OK","Invalid")</f>
        <v>OK</v>
      </c>
      <c r="AF2042" t="str">
        <f t="shared" si="404"/>
        <v>Valid</v>
      </c>
      <c r="AG2042" t="str">
        <f t="shared" si="405"/>
        <v>Valid</v>
      </c>
      <c r="AH2042" t="str">
        <f t="shared" si="406"/>
        <v>Valid</v>
      </c>
      <c r="AI2042" t="str">
        <f t="shared" si="407"/>
        <v>Valid</v>
      </c>
      <c r="AJ2042" t="str">
        <f t="shared" si="408"/>
        <v>Valid</v>
      </c>
      <c r="AK2042" t="str">
        <f t="shared" si="415"/>
        <v xml:space="preserve">Valid </v>
      </c>
      <c r="AL2042" t="str">
        <f>IF(AND(Audit_Data[[#This Row],[Recency]]&gt;=0,Audit_Data[[#This Row],[Recency]]&lt;=100),"Valid","Invalid")</f>
        <v>Valid</v>
      </c>
      <c r="AM2042" t="str">
        <f t="shared" si="409"/>
        <v>Valid</v>
      </c>
      <c r="AN2042" t="str">
        <f t="shared" si="410"/>
        <v>Valid</v>
      </c>
      <c r="AO2042" t="str">
        <f t="shared" si="411"/>
        <v>Valid</v>
      </c>
      <c r="AP2042" t="str">
        <f t="shared" si="412"/>
        <v>Valid</v>
      </c>
      <c r="AQ2042" t="str">
        <f>IF(Audit_Data[[#This Row],[Z_CostContact]]=3,"Valid","Invalid")</f>
        <v>Valid</v>
      </c>
      <c r="AR2042" t="str">
        <f t="shared" si="413"/>
        <v>Valid</v>
      </c>
      <c r="AS2042" t="str">
        <f t="shared" si="414"/>
        <v>Valid</v>
      </c>
    </row>
    <row r="2043" spans="1:45" x14ac:dyDescent="0.3">
      <c r="A2043">
        <v>4974</v>
      </c>
      <c r="B2043">
        <v>1970</v>
      </c>
      <c r="C2043" t="s">
        <v>29</v>
      </c>
      <c r="D2043" t="s">
        <v>30</v>
      </c>
      <c r="E2043">
        <v>83273</v>
      </c>
      <c r="F2043">
        <v>1</v>
      </c>
      <c r="G2043">
        <v>2</v>
      </c>
      <c r="H2043" s="1">
        <v>41177</v>
      </c>
      <c r="I2043">
        <v>98</v>
      </c>
      <c r="J2043">
        <v>433</v>
      </c>
      <c r="K2043">
        <v>89</v>
      </c>
      <c r="L2043">
        <v>650</v>
      </c>
      <c r="M2043">
        <v>16</v>
      </c>
      <c r="N2043">
        <v>102</v>
      </c>
      <c r="O2043">
        <v>102</v>
      </c>
      <c r="P2043">
        <v>10</v>
      </c>
      <c r="Q2043">
        <v>4</v>
      </c>
      <c r="R2043">
        <v>6</v>
      </c>
      <c r="S2043">
        <v>9</v>
      </c>
      <c r="T2043">
        <v>7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3</v>
      </c>
      <c r="AB2043">
        <v>11</v>
      </c>
      <c r="AC2043">
        <v>0</v>
      </c>
      <c r="AD2043" t="str">
        <f t="shared" si="403"/>
        <v>Ok</v>
      </c>
      <c r="AE2043" t="str">
        <f>IF(AND(Audit_Data[[#This Row],[Year_Birth]]&gt;=1900,Audit_Data[[#This Row],[Year_Birth]]&lt;=2010),"OK","Invalid")</f>
        <v>OK</v>
      </c>
      <c r="AF2043" t="str">
        <f t="shared" si="404"/>
        <v>Valid</v>
      </c>
      <c r="AG2043" t="str">
        <f t="shared" si="405"/>
        <v>Valid</v>
      </c>
      <c r="AH2043" t="str">
        <f t="shared" si="406"/>
        <v>Valid</v>
      </c>
      <c r="AI2043" t="str">
        <f t="shared" si="407"/>
        <v>Valid</v>
      </c>
      <c r="AJ2043" t="str">
        <f t="shared" si="408"/>
        <v>Valid</v>
      </c>
      <c r="AK2043" t="str">
        <f t="shared" si="415"/>
        <v xml:space="preserve">Valid </v>
      </c>
      <c r="AL2043" t="str">
        <f>IF(AND(Audit_Data[[#This Row],[Recency]]&gt;=0,Audit_Data[[#This Row],[Recency]]&lt;=100),"Valid","Invalid")</f>
        <v>Valid</v>
      </c>
      <c r="AM2043" t="str">
        <f t="shared" si="409"/>
        <v>Valid</v>
      </c>
      <c r="AN2043" t="str">
        <f t="shared" si="410"/>
        <v>Valid</v>
      </c>
      <c r="AO2043" t="str">
        <f t="shared" si="411"/>
        <v>Valid</v>
      </c>
      <c r="AP2043" t="str">
        <f t="shared" si="412"/>
        <v>Valid</v>
      </c>
      <c r="AQ2043" t="str">
        <f>IF(Audit_Data[[#This Row],[Z_CostContact]]=3,"Valid","Invalid")</f>
        <v>Valid</v>
      </c>
      <c r="AR2043" t="str">
        <f t="shared" si="413"/>
        <v>Valid</v>
      </c>
      <c r="AS2043" t="str">
        <f t="shared" si="414"/>
        <v>Valid</v>
      </c>
    </row>
    <row r="2044" spans="1:45" x14ac:dyDescent="0.3">
      <c r="A2044">
        <v>8416</v>
      </c>
      <c r="B2044">
        <v>1981</v>
      </c>
      <c r="C2044" t="s">
        <v>29</v>
      </c>
      <c r="D2044" t="s">
        <v>33</v>
      </c>
      <c r="E2044">
        <v>29009</v>
      </c>
      <c r="F2044">
        <v>1</v>
      </c>
      <c r="G2044">
        <v>0</v>
      </c>
      <c r="H2044" s="1">
        <v>41607</v>
      </c>
      <c r="I2044">
        <v>19</v>
      </c>
      <c r="J2044">
        <v>6</v>
      </c>
      <c r="K2044">
        <v>6</v>
      </c>
      <c r="L2044">
        <v>15</v>
      </c>
      <c r="M2044">
        <v>10</v>
      </c>
      <c r="N2044">
        <v>5</v>
      </c>
      <c r="O2044">
        <v>2</v>
      </c>
      <c r="P2044">
        <v>2</v>
      </c>
      <c r="Q2044">
        <v>2</v>
      </c>
      <c r="R2044">
        <v>0</v>
      </c>
      <c r="S2044">
        <v>3</v>
      </c>
      <c r="T2044">
        <v>6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3</v>
      </c>
      <c r="AB2044">
        <v>11</v>
      </c>
      <c r="AC2044">
        <v>0</v>
      </c>
      <c r="AD2044" t="str">
        <f t="shared" si="403"/>
        <v>Ok</v>
      </c>
      <c r="AE2044" t="str">
        <f>IF(AND(Audit_Data[[#This Row],[Year_Birth]]&gt;=1900,Audit_Data[[#This Row],[Year_Birth]]&lt;=2010),"OK","Invalid")</f>
        <v>OK</v>
      </c>
      <c r="AF2044" t="str">
        <f t="shared" si="404"/>
        <v>Valid</v>
      </c>
      <c r="AG2044" t="str">
        <f t="shared" si="405"/>
        <v>Valid</v>
      </c>
      <c r="AH2044" t="str">
        <f t="shared" si="406"/>
        <v>Valid</v>
      </c>
      <c r="AI2044" t="str">
        <f t="shared" si="407"/>
        <v>Valid</v>
      </c>
      <c r="AJ2044" t="str">
        <f t="shared" si="408"/>
        <v>Valid</v>
      </c>
      <c r="AK2044" t="str">
        <f t="shared" si="415"/>
        <v xml:space="preserve">Valid </v>
      </c>
      <c r="AL2044" t="str">
        <f>IF(AND(Audit_Data[[#This Row],[Recency]]&gt;=0,Audit_Data[[#This Row],[Recency]]&lt;=100),"Valid","Invalid")</f>
        <v>Valid</v>
      </c>
      <c r="AM2044" t="str">
        <f t="shared" si="409"/>
        <v>Valid</v>
      </c>
      <c r="AN2044" t="str">
        <f t="shared" si="410"/>
        <v>Valid</v>
      </c>
      <c r="AO2044" t="str">
        <f t="shared" si="411"/>
        <v>Valid</v>
      </c>
      <c r="AP2044" t="str">
        <f t="shared" si="412"/>
        <v>Valid</v>
      </c>
      <c r="AQ2044" t="str">
        <f>IF(Audit_Data[[#This Row],[Z_CostContact]]=3,"Valid","Invalid")</f>
        <v>Valid</v>
      </c>
      <c r="AR2044" t="str">
        <f t="shared" si="413"/>
        <v>Valid</v>
      </c>
      <c r="AS2044" t="str">
        <f t="shared" si="414"/>
        <v>Valid</v>
      </c>
    </row>
    <row r="2045" spans="1:45" x14ac:dyDescent="0.3">
      <c r="A2045">
        <v>5454</v>
      </c>
      <c r="B2045">
        <v>1979</v>
      </c>
      <c r="C2045" t="s">
        <v>34</v>
      </c>
      <c r="D2045" t="s">
        <v>33</v>
      </c>
      <c r="E2045">
        <v>45057</v>
      </c>
      <c r="F2045">
        <v>1</v>
      </c>
      <c r="G2045">
        <v>0</v>
      </c>
      <c r="H2045" s="1">
        <v>41609</v>
      </c>
      <c r="I2045">
        <v>80</v>
      </c>
      <c r="J2045">
        <v>37</v>
      </c>
      <c r="K2045">
        <v>0</v>
      </c>
      <c r="L2045">
        <v>7</v>
      </c>
      <c r="M2045">
        <v>3</v>
      </c>
      <c r="N2045">
        <v>0</v>
      </c>
      <c r="O2045">
        <v>3</v>
      </c>
      <c r="P2045">
        <v>1</v>
      </c>
      <c r="Q2045">
        <v>2</v>
      </c>
      <c r="R2045">
        <v>0</v>
      </c>
      <c r="S2045">
        <v>3</v>
      </c>
      <c r="T2045">
        <v>5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3</v>
      </c>
      <c r="AB2045">
        <v>11</v>
      </c>
      <c r="AC2045">
        <v>0</v>
      </c>
      <c r="AD2045" t="str">
        <f t="shared" si="403"/>
        <v>Ok</v>
      </c>
      <c r="AE2045" t="str">
        <f>IF(AND(Audit_Data[[#This Row],[Year_Birth]]&gt;=1900,Audit_Data[[#This Row],[Year_Birth]]&lt;=2010),"OK","Invalid")</f>
        <v>OK</v>
      </c>
      <c r="AF2045" t="str">
        <f t="shared" si="404"/>
        <v>Valid</v>
      </c>
      <c r="AG2045" t="str">
        <f t="shared" si="405"/>
        <v>Valid</v>
      </c>
      <c r="AH2045" t="str">
        <f t="shared" si="406"/>
        <v>Valid</v>
      </c>
      <c r="AI2045" t="str">
        <f t="shared" si="407"/>
        <v>Valid</v>
      </c>
      <c r="AJ2045" t="str">
        <f t="shared" si="408"/>
        <v>Valid</v>
      </c>
      <c r="AK2045" t="str">
        <f t="shared" si="415"/>
        <v xml:space="preserve">Valid </v>
      </c>
      <c r="AL2045" t="str">
        <f>IF(AND(Audit_Data[[#This Row],[Recency]]&gt;=0,Audit_Data[[#This Row],[Recency]]&lt;=100),"Valid","Invalid")</f>
        <v>Valid</v>
      </c>
      <c r="AM2045" t="str">
        <f t="shared" si="409"/>
        <v>Valid</v>
      </c>
      <c r="AN2045" t="str">
        <f t="shared" si="410"/>
        <v>Valid</v>
      </c>
      <c r="AO2045" t="str">
        <f t="shared" si="411"/>
        <v>Valid</v>
      </c>
      <c r="AP2045" t="str">
        <f t="shared" si="412"/>
        <v>Valid</v>
      </c>
      <c r="AQ2045" t="str">
        <f>IF(Audit_Data[[#This Row],[Z_CostContact]]=3,"Valid","Invalid")</f>
        <v>Valid</v>
      </c>
      <c r="AR2045" t="str">
        <f t="shared" si="413"/>
        <v>Valid</v>
      </c>
      <c r="AS2045" t="str">
        <f t="shared" si="414"/>
        <v>Valid</v>
      </c>
    </row>
    <row r="2046" spans="1:45" x14ac:dyDescent="0.3">
      <c r="A2046">
        <v>4095</v>
      </c>
      <c r="B2046">
        <v>1971</v>
      </c>
      <c r="C2046" t="s">
        <v>29</v>
      </c>
      <c r="D2046" t="s">
        <v>33</v>
      </c>
      <c r="E2046">
        <v>37150</v>
      </c>
      <c r="F2046">
        <v>1</v>
      </c>
      <c r="G2046">
        <v>0</v>
      </c>
      <c r="H2046" s="1">
        <v>41163</v>
      </c>
      <c r="I2046">
        <v>80</v>
      </c>
      <c r="J2046">
        <v>167</v>
      </c>
      <c r="K2046">
        <v>37</v>
      </c>
      <c r="L2046">
        <v>64</v>
      </c>
      <c r="M2046">
        <v>49</v>
      </c>
      <c r="N2046">
        <v>34</v>
      </c>
      <c r="O2046">
        <v>116</v>
      </c>
      <c r="P2046">
        <v>8</v>
      </c>
      <c r="Q2046">
        <v>4</v>
      </c>
      <c r="R2046">
        <v>3</v>
      </c>
      <c r="S2046">
        <v>6</v>
      </c>
      <c r="T2046">
        <v>7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3</v>
      </c>
      <c r="AB2046">
        <v>11</v>
      </c>
      <c r="AC2046">
        <v>0</v>
      </c>
      <c r="AD2046" t="str">
        <f t="shared" si="403"/>
        <v>Ok</v>
      </c>
      <c r="AE2046" t="str">
        <f>IF(AND(Audit_Data[[#This Row],[Year_Birth]]&gt;=1900,Audit_Data[[#This Row],[Year_Birth]]&lt;=2010),"OK","Invalid")</f>
        <v>OK</v>
      </c>
      <c r="AF2046" t="str">
        <f t="shared" si="404"/>
        <v>Valid</v>
      </c>
      <c r="AG2046" t="str">
        <f t="shared" si="405"/>
        <v>Valid</v>
      </c>
      <c r="AH2046" t="str">
        <f t="shared" si="406"/>
        <v>Valid</v>
      </c>
      <c r="AI2046" t="str">
        <f t="shared" si="407"/>
        <v>Valid</v>
      </c>
      <c r="AJ2046" t="str">
        <f t="shared" si="408"/>
        <v>Valid</v>
      </c>
      <c r="AK2046" t="str">
        <f t="shared" si="415"/>
        <v xml:space="preserve">Valid </v>
      </c>
      <c r="AL2046" t="str">
        <f>IF(AND(Audit_Data[[#This Row],[Recency]]&gt;=0,Audit_Data[[#This Row],[Recency]]&lt;=100),"Valid","Invalid")</f>
        <v>Valid</v>
      </c>
      <c r="AM2046" t="str">
        <f t="shared" si="409"/>
        <v>Valid</v>
      </c>
      <c r="AN2046" t="str">
        <f t="shared" si="410"/>
        <v>Valid</v>
      </c>
      <c r="AO2046" t="str">
        <f t="shared" si="411"/>
        <v>Valid</v>
      </c>
      <c r="AP2046" t="str">
        <f t="shared" si="412"/>
        <v>Valid</v>
      </c>
      <c r="AQ2046" t="str">
        <f>IF(Audit_Data[[#This Row],[Z_CostContact]]=3,"Valid","Invalid")</f>
        <v>Valid</v>
      </c>
      <c r="AR2046" t="str">
        <f t="shared" si="413"/>
        <v>Valid</v>
      </c>
      <c r="AS2046" t="str">
        <f t="shared" si="414"/>
        <v>Valid</v>
      </c>
    </row>
    <row r="2047" spans="1:45" x14ac:dyDescent="0.3">
      <c r="A2047">
        <v>5474</v>
      </c>
      <c r="B2047">
        <v>1970</v>
      </c>
      <c r="C2047" t="s">
        <v>29</v>
      </c>
      <c r="D2047" t="s">
        <v>30</v>
      </c>
      <c r="E2047">
        <v>43020</v>
      </c>
      <c r="F2047">
        <v>1</v>
      </c>
      <c r="G2047">
        <v>0</v>
      </c>
      <c r="H2047" s="1">
        <v>41608</v>
      </c>
      <c r="I2047">
        <v>79</v>
      </c>
      <c r="J2047">
        <v>45</v>
      </c>
      <c r="K2047">
        <v>7</v>
      </c>
      <c r="L2047">
        <v>99</v>
      </c>
      <c r="M2047">
        <v>4</v>
      </c>
      <c r="N2047">
        <v>25</v>
      </c>
      <c r="O2047">
        <v>43</v>
      </c>
      <c r="P2047">
        <v>3</v>
      </c>
      <c r="Q2047">
        <v>4</v>
      </c>
      <c r="R2047">
        <v>1</v>
      </c>
      <c r="S2047">
        <v>4</v>
      </c>
      <c r="T2047">
        <v>6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3</v>
      </c>
      <c r="AB2047">
        <v>11</v>
      </c>
      <c r="AC2047">
        <v>0</v>
      </c>
      <c r="AD2047" t="str">
        <f t="shared" si="403"/>
        <v>Ok</v>
      </c>
      <c r="AE2047" t="str">
        <f>IF(AND(Audit_Data[[#This Row],[Year_Birth]]&gt;=1900,Audit_Data[[#This Row],[Year_Birth]]&lt;=2010),"OK","Invalid")</f>
        <v>OK</v>
      </c>
      <c r="AF2047" t="str">
        <f t="shared" si="404"/>
        <v>Valid</v>
      </c>
      <c r="AG2047" t="str">
        <f t="shared" si="405"/>
        <v>Valid</v>
      </c>
      <c r="AH2047" t="str">
        <f t="shared" si="406"/>
        <v>Valid</v>
      </c>
      <c r="AI2047" t="str">
        <f t="shared" si="407"/>
        <v>Valid</v>
      </c>
      <c r="AJ2047" t="str">
        <f t="shared" si="408"/>
        <v>Valid</v>
      </c>
      <c r="AK2047" t="str">
        <f t="shared" si="415"/>
        <v xml:space="preserve">Valid </v>
      </c>
      <c r="AL2047" t="str">
        <f>IF(AND(Audit_Data[[#This Row],[Recency]]&gt;=0,Audit_Data[[#This Row],[Recency]]&lt;=100),"Valid","Invalid")</f>
        <v>Valid</v>
      </c>
      <c r="AM2047" t="str">
        <f t="shared" si="409"/>
        <v>Valid</v>
      </c>
      <c r="AN2047" t="str">
        <f t="shared" si="410"/>
        <v>Valid</v>
      </c>
      <c r="AO2047" t="str">
        <f t="shared" si="411"/>
        <v>Valid</v>
      </c>
      <c r="AP2047" t="str">
        <f t="shared" si="412"/>
        <v>Valid</v>
      </c>
      <c r="AQ2047" t="str">
        <f>IF(Audit_Data[[#This Row],[Z_CostContact]]=3,"Valid","Invalid")</f>
        <v>Valid</v>
      </c>
      <c r="AR2047" t="str">
        <f t="shared" si="413"/>
        <v>Valid</v>
      </c>
      <c r="AS2047" t="str">
        <f t="shared" si="414"/>
        <v>Valid</v>
      </c>
    </row>
    <row r="2048" spans="1:45" x14ac:dyDescent="0.3">
      <c r="A2048">
        <v>4268</v>
      </c>
      <c r="B2048">
        <v>1959</v>
      </c>
      <c r="C2048" t="s">
        <v>29</v>
      </c>
      <c r="D2048" t="s">
        <v>33</v>
      </c>
      <c r="E2048">
        <v>53154</v>
      </c>
      <c r="F2048">
        <v>0</v>
      </c>
      <c r="G2048">
        <v>1</v>
      </c>
      <c r="H2048" s="1">
        <v>41799</v>
      </c>
      <c r="I2048">
        <v>50</v>
      </c>
      <c r="J2048">
        <v>129</v>
      </c>
      <c r="K2048">
        <v>0</v>
      </c>
      <c r="L2048">
        <v>21</v>
      </c>
      <c r="M2048">
        <v>0</v>
      </c>
      <c r="N2048">
        <v>1</v>
      </c>
      <c r="O2048">
        <v>7</v>
      </c>
      <c r="P2048">
        <v>1</v>
      </c>
      <c r="Q2048">
        <v>3</v>
      </c>
      <c r="R2048">
        <v>1</v>
      </c>
      <c r="S2048">
        <v>4</v>
      </c>
      <c r="T2048">
        <v>4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3</v>
      </c>
      <c r="AB2048">
        <v>11</v>
      </c>
      <c r="AC2048">
        <v>0</v>
      </c>
      <c r="AD2048" t="str">
        <f t="shared" si="403"/>
        <v>Ok</v>
      </c>
      <c r="AE2048" t="str">
        <f>IF(AND(Audit_Data[[#This Row],[Year_Birth]]&gt;=1900,Audit_Data[[#This Row],[Year_Birth]]&lt;=2010),"OK","Invalid")</f>
        <v>OK</v>
      </c>
      <c r="AF2048" t="str">
        <f t="shared" si="404"/>
        <v>Valid</v>
      </c>
      <c r="AG2048" t="str">
        <f t="shared" si="405"/>
        <v>Valid</v>
      </c>
      <c r="AH2048" t="str">
        <f t="shared" si="406"/>
        <v>Valid</v>
      </c>
      <c r="AI2048" t="str">
        <f t="shared" si="407"/>
        <v>Valid</v>
      </c>
      <c r="AJ2048" t="str">
        <f t="shared" si="408"/>
        <v>Valid</v>
      </c>
      <c r="AK2048" t="str">
        <f t="shared" si="415"/>
        <v xml:space="preserve">Valid </v>
      </c>
      <c r="AL2048" t="str">
        <f>IF(AND(Audit_Data[[#This Row],[Recency]]&gt;=0,Audit_Data[[#This Row],[Recency]]&lt;=100),"Valid","Invalid")</f>
        <v>Valid</v>
      </c>
      <c r="AM2048" t="str">
        <f t="shared" si="409"/>
        <v>Valid</v>
      </c>
      <c r="AN2048" t="str">
        <f t="shared" si="410"/>
        <v>Valid</v>
      </c>
      <c r="AO2048" t="str">
        <f t="shared" si="411"/>
        <v>Valid</v>
      </c>
      <c r="AP2048" t="str">
        <f t="shared" si="412"/>
        <v>Valid</v>
      </c>
      <c r="AQ2048" t="str">
        <f>IF(Audit_Data[[#This Row],[Z_CostContact]]=3,"Valid","Invalid")</f>
        <v>Valid</v>
      </c>
      <c r="AR2048" t="str">
        <f t="shared" si="413"/>
        <v>Valid</v>
      </c>
      <c r="AS2048" t="str">
        <f t="shared" si="414"/>
        <v>Valid</v>
      </c>
    </row>
    <row r="2049" spans="1:45" x14ac:dyDescent="0.3">
      <c r="A2049">
        <v>10701</v>
      </c>
      <c r="B2049">
        <v>1973</v>
      </c>
      <c r="C2049" t="s">
        <v>29</v>
      </c>
      <c r="D2049" t="s">
        <v>33</v>
      </c>
      <c r="E2049">
        <v>65308</v>
      </c>
      <c r="F2049">
        <v>0</v>
      </c>
      <c r="G2049">
        <v>0</v>
      </c>
      <c r="H2049" s="1">
        <v>41528</v>
      </c>
      <c r="I2049">
        <v>60</v>
      </c>
      <c r="J2049">
        <v>713</v>
      </c>
      <c r="K2049">
        <v>0</v>
      </c>
      <c r="L2049">
        <v>264</v>
      </c>
      <c r="M2049">
        <v>120</v>
      </c>
      <c r="N2049">
        <v>80</v>
      </c>
      <c r="O2049">
        <v>34</v>
      </c>
      <c r="P2049">
        <v>1</v>
      </c>
      <c r="Q2049">
        <v>7</v>
      </c>
      <c r="R2049">
        <v>8</v>
      </c>
      <c r="S2049">
        <v>12</v>
      </c>
      <c r="T2049">
        <v>4</v>
      </c>
      <c r="U2049">
        <v>0</v>
      </c>
      <c r="V2049">
        <v>0</v>
      </c>
      <c r="W2049">
        <v>1</v>
      </c>
      <c r="X2049">
        <v>1</v>
      </c>
      <c r="Y2049">
        <v>0</v>
      </c>
      <c r="Z2049">
        <v>0</v>
      </c>
      <c r="AA2049">
        <v>3</v>
      </c>
      <c r="AB2049">
        <v>11</v>
      </c>
      <c r="AC2049">
        <v>0</v>
      </c>
      <c r="AD2049" t="str">
        <f t="shared" si="403"/>
        <v>Ok</v>
      </c>
      <c r="AE2049" t="str">
        <f>IF(AND(Audit_Data[[#This Row],[Year_Birth]]&gt;=1900,Audit_Data[[#This Row],[Year_Birth]]&lt;=2010),"OK","Invalid")</f>
        <v>OK</v>
      </c>
      <c r="AF2049" t="str">
        <f t="shared" si="404"/>
        <v>Valid</v>
      </c>
      <c r="AG2049" t="str">
        <f t="shared" si="405"/>
        <v>Valid</v>
      </c>
      <c r="AH2049" t="str">
        <f t="shared" si="406"/>
        <v>Valid</v>
      </c>
      <c r="AI2049" t="str">
        <f t="shared" si="407"/>
        <v>Valid</v>
      </c>
      <c r="AJ2049" t="str">
        <f t="shared" si="408"/>
        <v>Valid</v>
      </c>
      <c r="AK2049" t="str">
        <f t="shared" si="415"/>
        <v xml:space="preserve">Valid </v>
      </c>
      <c r="AL2049" t="str">
        <f>IF(AND(Audit_Data[[#This Row],[Recency]]&gt;=0,Audit_Data[[#This Row],[Recency]]&lt;=100),"Valid","Invalid")</f>
        <v>Valid</v>
      </c>
      <c r="AM2049" t="str">
        <f t="shared" si="409"/>
        <v>Valid</v>
      </c>
      <c r="AN2049" t="str">
        <f t="shared" si="410"/>
        <v>Valid</v>
      </c>
      <c r="AO2049" t="str">
        <f t="shared" si="411"/>
        <v>Valid</v>
      </c>
      <c r="AP2049" t="str">
        <f t="shared" si="412"/>
        <v>Valid</v>
      </c>
      <c r="AQ2049" t="str">
        <f>IF(Audit_Data[[#This Row],[Z_CostContact]]=3,"Valid","Invalid")</f>
        <v>Valid</v>
      </c>
      <c r="AR2049" t="str">
        <f t="shared" si="413"/>
        <v>Valid</v>
      </c>
      <c r="AS2049" t="str">
        <f t="shared" si="414"/>
        <v>Valid</v>
      </c>
    </row>
    <row r="2050" spans="1:45" x14ac:dyDescent="0.3">
      <c r="A2050">
        <v>3507</v>
      </c>
      <c r="B2050">
        <v>1970</v>
      </c>
      <c r="C2050" t="s">
        <v>29</v>
      </c>
      <c r="D2050" t="s">
        <v>30</v>
      </c>
      <c r="E2050">
        <v>76467</v>
      </c>
      <c r="F2050">
        <v>1</v>
      </c>
      <c r="G2050">
        <v>0</v>
      </c>
      <c r="H2050" s="1">
        <v>41138</v>
      </c>
      <c r="I2050">
        <v>44</v>
      </c>
      <c r="J2050">
        <v>676</v>
      </c>
      <c r="K2050">
        <v>161</v>
      </c>
      <c r="L2050">
        <v>426</v>
      </c>
      <c r="M2050">
        <v>210</v>
      </c>
      <c r="N2050">
        <v>44</v>
      </c>
      <c r="O2050">
        <v>58</v>
      </c>
      <c r="P2050">
        <v>2</v>
      </c>
      <c r="Q2050">
        <v>2</v>
      </c>
      <c r="R2050">
        <v>5</v>
      </c>
      <c r="S2050">
        <v>5</v>
      </c>
      <c r="T2050">
        <v>6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3</v>
      </c>
      <c r="AB2050">
        <v>11</v>
      </c>
      <c r="AC2050">
        <v>1</v>
      </c>
      <c r="AD2050" t="str">
        <f t="shared" ref="AD2050:AD2113" si="416">IF(COUNTIF(A:A,A2050)&gt;1,"Duplicate","Ok")</f>
        <v>Ok</v>
      </c>
      <c r="AE2050" t="str">
        <f>IF(AND(Audit_Data[[#This Row],[Year_Birth]]&gt;=1900,Audit_Data[[#This Row],[Year_Birth]]&lt;=2010),"OK","Invalid")</f>
        <v>OK</v>
      </c>
      <c r="AF2050" t="str">
        <f t="shared" ref="AF2050:AF2113" si="417">IF(OR(C2050="Graduation",C2050="phD",C2050="Master",C2050="Basic",C2050="2n Cycle"),"Valid","Invalid")</f>
        <v>Valid</v>
      </c>
      <c r="AG2050" t="str">
        <f t="shared" ref="AG2050:AG2113" si="418">IF(OR(D2050="Single",D2050="Married",D2050="Divorced",D2050="Together",D2050="Widow",D2050="Alone"),"Valid","Invalid")</f>
        <v>Valid</v>
      </c>
      <c r="AH2050" t="str">
        <f t="shared" ref="AH2050:AH2113" si="419">IF(AND(ISNUMBER(E2050),E2050&lt;&gt;""),"Valid","Invalid")</f>
        <v>Valid</v>
      </c>
      <c r="AI2050" t="str">
        <f t="shared" ref="AI2050:AI2113" si="420">IF(AND(F2050&gt;=0,F2050&lt;=2),"Valid","Invalid")</f>
        <v>Valid</v>
      </c>
      <c r="AJ2050" t="str">
        <f t="shared" ref="AJ2050:AJ2113" si="421">IF(AND(G2050&gt;=0,G2050&lt;=2),"Valid","Invalid")</f>
        <v>Valid</v>
      </c>
      <c r="AK2050" t="str">
        <f t="shared" si="415"/>
        <v xml:space="preserve">Valid </v>
      </c>
      <c r="AL2050" t="str">
        <f>IF(AND(Audit_Data[[#This Row],[Recency]]&gt;=0,Audit_Data[[#This Row],[Recency]]&lt;=100),"Valid","Invalid")</f>
        <v>Valid</v>
      </c>
      <c r="AM2050" t="str">
        <f t="shared" ref="AM2050:AM2113" si="422">IF(AND(ISNUMBER(J2050),J2050&gt;=0,ISNUMBER(K2050),K2050&gt;=0,ISNUMBER(L2050),L2050&gt;=0,ISNUMBER(M2050),M2050&gt;=0,ISNUMBER(N2050),N2050&gt;=0,ISNUMBER(O2050),O2050&gt;=0),"Valid","Invalid")</f>
        <v>Valid</v>
      </c>
      <c r="AN2050" t="str">
        <f t="shared" ref="AN2050:AN2113" si="423">IF(AND(ISNUMBER(P2050),P2050&gt;=0,ISNUMBER(Q2050),Q2050&gt;=0,ISNUMBER(R2050),R2050&gt;=0,ISNUMBER(S2050),S2050&gt;=0,ISNUMBER(T2050),T2050&gt;=0),"Valid","Invalid")</f>
        <v>Valid</v>
      </c>
      <c r="AO2050" t="str">
        <f t="shared" ref="AO2050:AO2113" si="424">IF(AND(U2050&lt;=1,V2050&lt;=1,W2050&lt;=1,X2050&lt;=1,Y2050&lt;=1),"Valid","Invalid")</f>
        <v>Valid</v>
      </c>
      <c r="AP2050" t="str">
        <f t="shared" ref="AP2050:AP2113" si="425">IF(OR(Z2050=0,Z2050=1),"Valid","Invalid")</f>
        <v>Valid</v>
      </c>
      <c r="AQ2050" t="str">
        <f>IF(Audit_Data[[#This Row],[Z_CostContact]]=3,"Valid","Invalid")</f>
        <v>Valid</v>
      </c>
      <c r="AR2050" t="str">
        <f t="shared" ref="AR2050:AR2113" si="426">IF(AB2050=11,"Valid","Invalid")</f>
        <v>Valid</v>
      </c>
      <c r="AS2050" t="str">
        <f t="shared" ref="AS2050:AS2113" si="427">IF(OR(AC2050=0,AC2050=1),"Valid","Invalid")</f>
        <v>Valid</v>
      </c>
    </row>
    <row r="2051" spans="1:45" x14ac:dyDescent="0.3">
      <c r="A2051">
        <v>2079</v>
      </c>
      <c r="B2051">
        <v>1947</v>
      </c>
      <c r="C2051" t="s">
        <v>37</v>
      </c>
      <c r="D2051" t="s">
        <v>33</v>
      </c>
      <c r="E2051">
        <v>81044</v>
      </c>
      <c r="F2051">
        <v>0</v>
      </c>
      <c r="G2051">
        <v>0</v>
      </c>
      <c r="H2051" s="1">
        <v>41635</v>
      </c>
      <c r="I2051">
        <v>0</v>
      </c>
      <c r="J2051">
        <v>450</v>
      </c>
      <c r="K2051">
        <v>26</v>
      </c>
      <c r="L2051">
        <v>535</v>
      </c>
      <c r="M2051">
        <v>73</v>
      </c>
      <c r="N2051">
        <v>98</v>
      </c>
      <c r="O2051">
        <v>26</v>
      </c>
      <c r="P2051">
        <v>1</v>
      </c>
      <c r="Q2051">
        <v>5</v>
      </c>
      <c r="R2051">
        <v>6</v>
      </c>
      <c r="S2051">
        <v>10</v>
      </c>
      <c r="T2051">
        <v>1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3</v>
      </c>
      <c r="AB2051">
        <v>11</v>
      </c>
      <c r="AC2051">
        <v>0</v>
      </c>
      <c r="AD2051" t="str">
        <f t="shared" si="416"/>
        <v>Ok</v>
      </c>
      <c r="AE2051" t="str">
        <f>IF(AND(Audit_Data[[#This Row],[Year_Birth]]&gt;=1900,Audit_Data[[#This Row],[Year_Birth]]&lt;=2010),"OK","Invalid")</f>
        <v>OK</v>
      </c>
      <c r="AF2051" t="str">
        <f t="shared" si="417"/>
        <v>Valid</v>
      </c>
      <c r="AG2051" t="str">
        <f t="shared" si="418"/>
        <v>Valid</v>
      </c>
      <c r="AH2051" t="str">
        <f t="shared" si="419"/>
        <v>Valid</v>
      </c>
      <c r="AI2051" t="str">
        <f t="shared" si="420"/>
        <v>Valid</v>
      </c>
      <c r="AJ2051" t="str">
        <f t="shared" si="421"/>
        <v>Valid</v>
      </c>
      <c r="AK2051" t="str">
        <f t="shared" ref="AK2051:AK2114" si="428">IF(AND(ISNUMBER(H2051),H2051&gt;=DATE(2012,1,1),H2051&lt;=DATE(2014,12,31)),"Valid ","Invalid")</f>
        <v xml:space="preserve">Valid </v>
      </c>
      <c r="AL2051" t="str">
        <f>IF(AND(Audit_Data[[#This Row],[Recency]]&gt;=0,Audit_Data[[#This Row],[Recency]]&lt;=100),"Valid","Invalid")</f>
        <v>Valid</v>
      </c>
      <c r="AM2051" t="str">
        <f t="shared" si="422"/>
        <v>Valid</v>
      </c>
      <c r="AN2051" t="str">
        <f t="shared" si="423"/>
        <v>Valid</v>
      </c>
      <c r="AO2051" t="str">
        <f t="shared" si="424"/>
        <v>Valid</v>
      </c>
      <c r="AP2051" t="str">
        <f t="shared" si="425"/>
        <v>Valid</v>
      </c>
      <c r="AQ2051" t="str">
        <f>IF(Audit_Data[[#This Row],[Z_CostContact]]=3,"Valid","Invalid")</f>
        <v>Valid</v>
      </c>
      <c r="AR2051" t="str">
        <f t="shared" si="426"/>
        <v>Valid</v>
      </c>
      <c r="AS2051" t="str">
        <f t="shared" si="427"/>
        <v>Valid</v>
      </c>
    </row>
    <row r="2052" spans="1:45" x14ac:dyDescent="0.3">
      <c r="A2052">
        <v>626</v>
      </c>
      <c r="B2052">
        <v>1951</v>
      </c>
      <c r="C2052" t="s">
        <v>29</v>
      </c>
      <c r="D2052" t="s">
        <v>33</v>
      </c>
      <c r="E2052">
        <v>32871</v>
      </c>
      <c r="F2052">
        <v>1</v>
      </c>
      <c r="G2052">
        <v>1</v>
      </c>
      <c r="H2052" s="1">
        <v>41342</v>
      </c>
      <c r="I2052">
        <v>28</v>
      </c>
      <c r="J2052">
        <v>22</v>
      </c>
      <c r="K2052">
        <v>2</v>
      </c>
      <c r="L2052">
        <v>12</v>
      </c>
      <c r="M2052">
        <v>0</v>
      </c>
      <c r="N2052">
        <v>2</v>
      </c>
      <c r="O2052">
        <v>5</v>
      </c>
      <c r="P2052">
        <v>1</v>
      </c>
      <c r="Q2052">
        <v>1</v>
      </c>
      <c r="R2052">
        <v>0</v>
      </c>
      <c r="S2052">
        <v>3</v>
      </c>
      <c r="T2052">
        <v>4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3</v>
      </c>
      <c r="AB2052">
        <v>11</v>
      </c>
      <c r="AC2052">
        <v>0</v>
      </c>
      <c r="AD2052" t="str">
        <f t="shared" si="416"/>
        <v>Ok</v>
      </c>
      <c r="AE2052" t="str">
        <f>IF(AND(Audit_Data[[#This Row],[Year_Birth]]&gt;=1900,Audit_Data[[#This Row],[Year_Birth]]&lt;=2010),"OK","Invalid")</f>
        <v>OK</v>
      </c>
      <c r="AF2052" t="str">
        <f t="shared" si="417"/>
        <v>Valid</v>
      </c>
      <c r="AG2052" t="str">
        <f t="shared" si="418"/>
        <v>Valid</v>
      </c>
      <c r="AH2052" t="str">
        <f t="shared" si="419"/>
        <v>Valid</v>
      </c>
      <c r="AI2052" t="str">
        <f t="shared" si="420"/>
        <v>Valid</v>
      </c>
      <c r="AJ2052" t="str">
        <f t="shared" si="421"/>
        <v>Valid</v>
      </c>
      <c r="AK2052" t="str">
        <f t="shared" si="428"/>
        <v xml:space="preserve">Valid </v>
      </c>
      <c r="AL2052" t="str">
        <f>IF(AND(Audit_Data[[#This Row],[Recency]]&gt;=0,Audit_Data[[#This Row],[Recency]]&lt;=100),"Valid","Invalid")</f>
        <v>Valid</v>
      </c>
      <c r="AM2052" t="str">
        <f t="shared" si="422"/>
        <v>Valid</v>
      </c>
      <c r="AN2052" t="str">
        <f t="shared" si="423"/>
        <v>Valid</v>
      </c>
      <c r="AO2052" t="str">
        <f t="shared" si="424"/>
        <v>Valid</v>
      </c>
      <c r="AP2052" t="str">
        <f t="shared" si="425"/>
        <v>Valid</v>
      </c>
      <c r="AQ2052" t="str">
        <f>IF(Audit_Data[[#This Row],[Z_CostContact]]=3,"Valid","Invalid")</f>
        <v>Valid</v>
      </c>
      <c r="AR2052" t="str">
        <f t="shared" si="426"/>
        <v>Valid</v>
      </c>
      <c r="AS2052" t="str">
        <f t="shared" si="427"/>
        <v>Valid</v>
      </c>
    </row>
    <row r="2053" spans="1:45" x14ac:dyDescent="0.3">
      <c r="A2053">
        <v>4426</v>
      </c>
      <c r="B2053">
        <v>1975</v>
      </c>
      <c r="C2053" t="s">
        <v>29</v>
      </c>
      <c r="D2053" t="s">
        <v>30</v>
      </c>
      <c r="E2053">
        <v>55801</v>
      </c>
      <c r="F2053">
        <v>1</v>
      </c>
      <c r="G2053">
        <v>1</v>
      </c>
      <c r="H2053" s="1">
        <v>41539</v>
      </c>
      <c r="I2053">
        <v>35</v>
      </c>
      <c r="J2053">
        <v>367</v>
      </c>
      <c r="K2053">
        <v>4</v>
      </c>
      <c r="L2053">
        <v>51</v>
      </c>
      <c r="M2053">
        <v>6</v>
      </c>
      <c r="N2053">
        <v>4</v>
      </c>
      <c r="O2053">
        <v>95</v>
      </c>
      <c r="P2053">
        <v>6</v>
      </c>
      <c r="Q2053">
        <v>7</v>
      </c>
      <c r="R2053">
        <v>2</v>
      </c>
      <c r="S2053">
        <v>6</v>
      </c>
      <c r="T2053">
        <v>7</v>
      </c>
      <c r="U2053">
        <v>0</v>
      </c>
      <c r="V2053">
        <v>0</v>
      </c>
      <c r="W2053">
        <v>0</v>
      </c>
      <c r="X2053">
        <v>1</v>
      </c>
      <c r="Y2053">
        <v>0</v>
      </c>
      <c r="Z2053">
        <v>0</v>
      </c>
      <c r="AA2053">
        <v>3</v>
      </c>
      <c r="AB2053">
        <v>11</v>
      </c>
      <c r="AC2053">
        <v>0</v>
      </c>
      <c r="AD2053" t="str">
        <f t="shared" si="416"/>
        <v>Ok</v>
      </c>
      <c r="AE2053" t="str">
        <f>IF(AND(Audit_Data[[#This Row],[Year_Birth]]&gt;=1900,Audit_Data[[#This Row],[Year_Birth]]&lt;=2010),"OK","Invalid")</f>
        <v>OK</v>
      </c>
      <c r="AF2053" t="str">
        <f t="shared" si="417"/>
        <v>Valid</v>
      </c>
      <c r="AG2053" t="str">
        <f t="shared" si="418"/>
        <v>Valid</v>
      </c>
      <c r="AH2053" t="str">
        <f t="shared" si="419"/>
        <v>Valid</v>
      </c>
      <c r="AI2053" t="str">
        <f t="shared" si="420"/>
        <v>Valid</v>
      </c>
      <c r="AJ2053" t="str">
        <f t="shared" si="421"/>
        <v>Valid</v>
      </c>
      <c r="AK2053" t="str">
        <f t="shared" si="428"/>
        <v xml:space="preserve">Valid </v>
      </c>
      <c r="AL2053" t="str">
        <f>IF(AND(Audit_Data[[#This Row],[Recency]]&gt;=0,Audit_Data[[#This Row],[Recency]]&lt;=100),"Valid","Invalid")</f>
        <v>Valid</v>
      </c>
      <c r="AM2053" t="str">
        <f t="shared" si="422"/>
        <v>Valid</v>
      </c>
      <c r="AN2053" t="str">
        <f t="shared" si="423"/>
        <v>Valid</v>
      </c>
      <c r="AO2053" t="str">
        <f t="shared" si="424"/>
        <v>Valid</v>
      </c>
      <c r="AP2053" t="str">
        <f t="shared" si="425"/>
        <v>Valid</v>
      </c>
      <c r="AQ2053" t="str">
        <f>IF(Audit_Data[[#This Row],[Z_CostContact]]=3,"Valid","Invalid")</f>
        <v>Valid</v>
      </c>
      <c r="AR2053" t="str">
        <f t="shared" si="426"/>
        <v>Valid</v>
      </c>
      <c r="AS2053" t="str">
        <f t="shared" si="427"/>
        <v>Valid</v>
      </c>
    </row>
    <row r="2054" spans="1:45" x14ac:dyDescent="0.3">
      <c r="A2054">
        <v>2591</v>
      </c>
      <c r="B2054">
        <v>1959</v>
      </c>
      <c r="C2054" t="s">
        <v>29</v>
      </c>
      <c r="D2054" t="s">
        <v>38</v>
      </c>
      <c r="E2054">
        <v>76320</v>
      </c>
      <c r="F2054">
        <v>0</v>
      </c>
      <c r="G2054">
        <v>1</v>
      </c>
      <c r="H2054" s="1">
        <v>41812</v>
      </c>
      <c r="I2054">
        <v>49</v>
      </c>
      <c r="J2054">
        <v>526</v>
      </c>
      <c r="K2054">
        <v>35</v>
      </c>
      <c r="L2054">
        <v>214</v>
      </c>
      <c r="M2054">
        <v>69</v>
      </c>
      <c r="N2054">
        <v>53</v>
      </c>
      <c r="O2054">
        <v>35</v>
      </c>
      <c r="P2054">
        <v>2</v>
      </c>
      <c r="Q2054">
        <v>6</v>
      </c>
      <c r="R2054">
        <v>3</v>
      </c>
      <c r="S2054">
        <v>4</v>
      </c>
      <c r="T2054">
        <v>2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3</v>
      </c>
      <c r="AB2054">
        <v>11</v>
      </c>
      <c r="AC2054">
        <v>0</v>
      </c>
      <c r="AD2054" t="str">
        <f t="shared" si="416"/>
        <v>Ok</v>
      </c>
      <c r="AE2054" t="str">
        <f>IF(AND(Audit_Data[[#This Row],[Year_Birth]]&gt;=1900,Audit_Data[[#This Row],[Year_Birth]]&lt;=2010),"OK","Invalid")</f>
        <v>OK</v>
      </c>
      <c r="AF2054" t="str">
        <f t="shared" si="417"/>
        <v>Valid</v>
      </c>
      <c r="AG2054" t="str">
        <f t="shared" si="418"/>
        <v>Valid</v>
      </c>
      <c r="AH2054" t="str">
        <f t="shared" si="419"/>
        <v>Valid</v>
      </c>
      <c r="AI2054" t="str">
        <f t="shared" si="420"/>
        <v>Valid</v>
      </c>
      <c r="AJ2054" t="str">
        <f t="shared" si="421"/>
        <v>Valid</v>
      </c>
      <c r="AK2054" t="str">
        <f t="shared" si="428"/>
        <v xml:space="preserve">Valid </v>
      </c>
      <c r="AL2054" t="str">
        <f>IF(AND(Audit_Data[[#This Row],[Recency]]&gt;=0,Audit_Data[[#This Row],[Recency]]&lt;=100),"Valid","Invalid")</f>
        <v>Valid</v>
      </c>
      <c r="AM2054" t="str">
        <f t="shared" si="422"/>
        <v>Valid</v>
      </c>
      <c r="AN2054" t="str">
        <f t="shared" si="423"/>
        <v>Valid</v>
      </c>
      <c r="AO2054" t="str">
        <f t="shared" si="424"/>
        <v>Valid</v>
      </c>
      <c r="AP2054" t="str">
        <f t="shared" si="425"/>
        <v>Valid</v>
      </c>
      <c r="AQ2054" t="str">
        <f>IF(Audit_Data[[#This Row],[Z_CostContact]]=3,"Valid","Invalid")</f>
        <v>Valid</v>
      </c>
      <c r="AR2054" t="str">
        <f t="shared" si="426"/>
        <v>Valid</v>
      </c>
      <c r="AS2054" t="str">
        <f t="shared" si="427"/>
        <v>Valid</v>
      </c>
    </row>
    <row r="2055" spans="1:45" x14ac:dyDescent="0.3">
      <c r="A2055">
        <v>10509</v>
      </c>
      <c r="B2055">
        <v>1955</v>
      </c>
      <c r="C2055" t="s">
        <v>34</v>
      </c>
      <c r="D2055" t="s">
        <v>30</v>
      </c>
      <c r="E2055">
        <v>36927</v>
      </c>
      <c r="F2055">
        <v>1</v>
      </c>
      <c r="G2055">
        <v>1</v>
      </c>
      <c r="H2055" s="1">
        <v>41792</v>
      </c>
      <c r="I2055">
        <v>46</v>
      </c>
      <c r="J2055">
        <v>51</v>
      </c>
      <c r="K2055">
        <v>0</v>
      </c>
      <c r="L2055">
        <v>16</v>
      </c>
      <c r="M2055">
        <v>0</v>
      </c>
      <c r="N2055">
        <v>0</v>
      </c>
      <c r="O2055">
        <v>4</v>
      </c>
      <c r="P2055">
        <v>2</v>
      </c>
      <c r="Q2055">
        <v>3</v>
      </c>
      <c r="R2055">
        <v>0</v>
      </c>
      <c r="S2055">
        <v>3</v>
      </c>
      <c r="T2055">
        <v>8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3</v>
      </c>
      <c r="AB2055">
        <v>11</v>
      </c>
      <c r="AC2055">
        <v>0</v>
      </c>
      <c r="AD2055" t="str">
        <f t="shared" si="416"/>
        <v>Ok</v>
      </c>
      <c r="AE2055" t="str">
        <f>IF(AND(Audit_Data[[#This Row],[Year_Birth]]&gt;=1900,Audit_Data[[#This Row],[Year_Birth]]&lt;=2010),"OK","Invalid")</f>
        <v>OK</v>
      </c>
      <c r="AF2055" t="str">
        <f t="shared" si="417"/>
        <v>Valid</v>
      </c>
      <c r="AG2055" t="str">
        <f t="shared" si="418"/>
        <v>Valid</v>
      </c>
      <c r="AH2055" t="str">
        <f t="shared" si="419"/>
        <v>Valid</v>
      </c>
      <c r="AI2055" t="str">
        <f t="shared" si="420"/>
        <v>Valid</v>
      </c>
      <c r="AJ2055" t="str">
        <f t="shared" si="421"/>
        <v>Valid</v>
      </c>
      <c r="AK2055" t="str">
        <f t="shared" si="428"/>
        <v xml:space="preserve">Valid </v>
      </c>
      <c r="AL2055" t="str">
        <f>IF(AND(Audit_Data[[#This Row],[Recency]]&gt;=0,Audit_Data[[#This Row],[Recency]]&lt;=100),"Valid","Invalid")</f>
        <v>Valid</v>
      </c>
      <c r="AM2055" t="str">
        <f t="shared" si="422"/>
        <v>Valid</v>
      </c>
      <c r="AN2055" t="str">
        <f t="shared" si="423"/>
        <v>Valid</v>
      </c>
      <c r="AO2055" t="str">
        <f t="shared" si="424"/>
        <v>Valid</v>
      </c>
      <c r="AP2055" t="str">
        <f t="shared" si="425"/>
        <v>Valid</v>
      </c>
      <c r="AQ2055" t="str">
        <f>IF(Audit_Data[[#This Row],[Z_CostContact]]=3,"Valid","Invalid")</f>
        <v>Valid</v>
      </c>
      <c r="AR2055" t="str">
        <f t="shared" si="426"/>
        <v>Valid</v>
      </c>
      <c r="AS2055" t="str">
        <f t="shared" si="427"/>
        <v>Valid</v>
      </c>
    </row>
    <row r="2056" spans="1:45" x14ac:dyDescent="0.3">
      <c r="A2056">
        <v>6382</v>
      </c>
      <c r="B2056">
        <v>1953</v>
      </c>
      <c r="C2056" t="s">
        <v>29</v>
      </c>
      <c r="D2056" t="s">
        <v>31</v>
      </c>
      <c r="E2056">
        <v>48794</v>
      </c>
      <c r="F2056">
        <v>1</v>
      </c>
      <c r="G2056">
        <v>1</v>
      </c>
      <c r="H2056" s="1">
        <v>41816</v>
      </c>
      <c r="I2056">
        <v>97</v>
      </c>
      <c r="J2056">
        <v>25</v>
      </c>
      <c r="K2056">
        <v>0</v>
      </c>
      <c r="L2056">
        <v>11</v>
      </c>
      <c r="M2056">
        <v>3</v>
      </c>
      <c r="N2056">
        <v>0</v>
      </c>
      <c r="O2056">
        <v>15</v>
      </c>
      <c r="P2056">
        <v>1</v>
      </c>
      <c r="Q2056">
        <v>1</v>
      </c>
      <c r="R2056">
        <v>0</v>
      </c>
      <c r="S2056">
        <v>3</v>
      </c>
      <c r="T2056">
        <v>4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3</v>
      </c>
      <c r="AB2056">
        <v>11</v>
      </c>
      <c r="AC2056">
        <v>0</v>
      </c>
      <c r="AD2056" t="str">
        <f t="shared" si="416"/>
        <v>Ok</v>
      </c>
      <c r="AE2056" t="str">
        <f>IF(AND(Audit_Data[[#This Row],[Year_Birth]]&gt;=1900,Audit_Data[[#This Row],[Year_Birth]]&lt;=2010),"OK","Invalid")</f>
        <v>OK</v>
      </c>
      <c r="AF2056" t="str">
        <f t="shared" si="417"/>
        <v>Valid</v>
      </c>
      <c r="AG2056" t="str">
        <f t="shared" si="418"/>
        <v>Valid</v>
      </c>
      <c r="AH2056" t="str">
        <f t="shared" si="419"/>
        <v>Valid</v>
      </c>
      <c r="AI2056" t="str">
        <f t="shared" si="420"/>
        <v>Valid</v>
      </c>
      <c r="AJ2056" t="str">
        <f t="shared" si="421"/>
        <v>Valid</v>
      </c>
      <c r="AK2056" t="str">
        <f t="shared" si="428"/>
        <v xml:space="preserve">Valid </v>
      </c>
      <c r="AL2056" t="str">
        <f>IF(AND(Audit_Data[[#This Row],[Recency]]&gt;=0,Audit_Data[[#This Row],[Recency]]&lt;=100),"Valid","Invalid")</f>
        <v>Valid</v>
      </c>
      <c r="AM2056" t="str">
        <f t="shared" si="422"/>
        <v>Valid</v>
      </c>
      <c r="AN2056" t="str">
        <f t="shared" si="423"/>
        <v>Valid</v>
      </c>
      <c r="AO2056" t="str">
        <f t="shared" si="424"/>
        <v>Valid</v>
      </c>
      <c r="AP2056" t="str">
        <f t="shared" si="425"/>
        <v>Valid</v>
      </c>
      <c r="AQ2056" t="str">
        <f>IF(Audit_Data[[#This Row],[Z_CostContact]]=3,"Valid","Invalid")</f>
        <v>Valid</v>
      </c>
      <c r="AR2056" t="str">
        <f t="shared" si="426"/>
        <v>Valid</v>
      </c>
      <c r="AS2056" t="str">
        <f t="shared" si="427"/>
        <v>Valid</v>
      </c>
    </row>
    <row r="2057" spans="1:45" x14ac:dyDescent="0.3">
      <c r="A2057">
        <v>6673</v>
      </c>
      <c r="B2057">
        <v>1965</v>
      </c>
      <c r="C2057" t="s">
        <v>29</v>
      </c>
      <c r="D2057" t="s">
        <v>30</v>
      </c>
      <c r="E2057">
        <v>23478</v>
      </c>
      <c r="F2057">
        <v>0</v>
      </c>
      <c r="G2057">
        <v>0</v>
      </c>
      <c r="H2057" s="1">
        <v>41352</v>
      </c>
      <c r="I2057">
        <v>51</v>
      </c>
      <c r="J2057">
        <v>28</v>
      </c>
      <c r="K2057">
        <v>6</v>
      </c>
      <c r="L2057">
        <v>27</v>
      </c>
      <c r="M2057">
        <v>12</v>
      </c>
      <c r="N2057">
        <v>17</v>
      </c>
      <c r="O2057">
        <v>39</v>
      </c>
      <c r="P2057">
        <v>1</v>
      </c>
      <c r="Q2057">
        <v>3</v>
      </c>
      <c r="R2057">
        <v>0</v>
      </c>
      <c r="S2057">
        <v>3</v>
      </c>
      <c r="T2057">
        <v>8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3</v>
      </c>
      <c r="AB2057">
        <v>11</v>
      </c>
      <c r="AC2057">
        <v>0</v>
      </c>
      <c r="AD2057" t="str">
        <f t="shared" si="416"/>
        <v>Ok</v>
      </c>
      <c r="AE2057" t="str">
        <f>IF(AND(Audit_Data[[#This Row],[Year_Birth]]&gt;=1900,Audit_Data[[#This Row],[Year_Birth]]&lt;=2010),"OK","Invalid")</f>
        <v>OK</v>
      </c>
      <c r="AF2057" t="str">
        <f t="shared" si="417"/>
        <v>Valid</v>
      </c>
      <c r="AG2057" t="str">
        <f t="shared" si="418"/>
        <v>Valid</v>
      </c>
      <c r="AH2057" t="str">
        <f t="shared" si="419"/>
        <v>Valid</v>
      </c>
      <c r="AI2057" t="str">
        <f t="shared" si="420"/>
        <v>Valid</v>
      </c>
      <c r="AJ2057" t="str">
        <f t="shared" si="421"/>
        <v>Valid</v>
      </c>
      <c r="AK2057" t="str">
        <f t="shared" si="428"/>
        <v xml:space="preserve">Valid </v>
      </c>
      <c r="AL2057" t="str">
        <f>IF(AND(Audit_Data[[#This Row],[Recency]]&gt;=0,Audit_Data[[#This Row],[Recency]]&lt;=100),"Valid","Invalid")</f>
        <v>Valid</v>
      </c>
      <c r="AM2057" t="str">
        <f t="shared" si="422"/>
        <v>Valid</v>
      </c>
      <c r="AN2057" t="str">
        <f t="shared" si="423"/>
        <v>Valid</v>
      </c>
      <c r="AO2057" t="str">
        <f t="shared" si="424"/>
        <v>Valid</v>
      </c>
      <c r="AP2057" t="str">
        <f t="shared" si="425"/>
        <v>Valid</v>
      </c>
      <c r="AQ2057" t="str">
        <f>IF(Audit_Data[[#This Row],[Z_CostContact]]=3,"Valid","Invalid")</f>
        <v>Valid</v>
      </c>
      <c r="AR2057" t="str">
        <f t="shared" si="426"/>
        <v>Valid</v>
      </c>
      <c r="AS2057" t="str">
        <f t="shared" si="427"/>
        <v>Valid</v>
      </c>
    </row>
    <row r="2058" spans="1:45" x14ac:dyDescent="0.3">
      <c r="A2058">
        <v>7441</v>
      </c>
      <c r="B2058">
        <v>1973</v>
      </c>
      <c r="C2058" t="s">
        <v>29</v>
      </c>
      <c r="D2058" t="s">
        <v>35</v>
      </c>
      <c r="E2058">
        <v>71128</v>
      </c>
      <c r="F2058">
        <v>1</v>
      </c>
      <c r="G2058">
        <v>0</v>
      </c>
      <c r="H2058" s="1">
        <v>41188</v>
      </c>
      <c r="I2058">
        <v>80</v>
      </c>
      <c r="J2058">
        <v>958</v>
      </c>
      <c r="K2058">
        <v>159</v>
      </c>
      <c r="L2058">
        <v>447</v>
      </c>
      <c r="M2058">
        <v>20</v>
      </c>
      <c r="N2058">
        <v>0</v>
      </c>
      <c r="O2058">
        <v>31</v>
      </c>
      <c r="P2058">
        <v>3</v>
      </c>
      <c r="Q2058">
        <v>2</v>
      </c>
      <c r="R2058">
        <v>10</v>
      </c>
      <c r="S2058">
        <v>12</v>
      </c>
      <c r="T2058">
        <v>7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3</v>
      </c>
      <c r="AB2058">
        <v>11</v>
      </c>
      <c r="AC2058">
        <v>0</v>
      </c>
      <c r="AD2058" t="str">
        <f t="shared" si="416"/>
        <v>Ok</v>
      </c>
      <c r="AE2058" t="str">
        <f>IF(AND(Audit_Data[[#This Row],[Year_Birth]]&gt;=1900,Audit_Data[[#This Row],[Year_Birth]]&lt;=2010),"OK","Invalid")</f>
        <v>OK</v>
      </c>
      <c r="AF2058" t="str">
        <f t="shared" si="417"/>
        <v>Valid</v>
      </c>
      <c r="AG2058" t="str">
        <f t="shared" si="418"/>
        <v>Valid</v>
      </c>
      <c r="AH2058" t="str">
        <f t="shared" si="419"/>
        <v>Valid</v>
      </c>
      <c r="AI2058" t="str">
        <f t="shared" si="420"/>
        <v>Valid</v>
      </c>
      <c r="AJ2058" t="str">
        <f t="shared" si="421"/>
        <v>Valid</v>
      </c>
      <c r="AK2058" t="str">
        <f t="shared" si="428"/>
        <v xml:space="preserve">Valid </v>
      </c>
      <c r="AL2058" t="str">
        <f>IF(AND(Audit_Data[[#This Row],[Recency]]&gt;=0,Audit_Data[[#This Row],[Recency]]&lt;=100),"Valid","Invalid")</f>
        <v>Valid</v>
      </c>
      <c r="AM2058" t="str">
        <f t="shared" si="422"/>
        <v>Valid</v>
      </c>
      <c r="AN2058" t="str">
        <f t="shared" si="423"/>
        <v>Valid</v>
      </c>
      <c r="AO2058" t="str">
        <f t="shared" si="424"/>
        <v>Valid</v>
      </c>
      <c r="AP2058" t="str">
        <f t="shared" si="425"/>
        <v>Valid</v>
      </c>
      <c r="AQ2058" t="str">
        <f>IF(Audit_Data[[#This Row],[Z_CostContact]]=3,"Valid","Invalid")</f>
        <v>Valid</v>
      </c>
      <c r="AR2058" t="str">
        <f t="shared" si="426"/>
        <v>Valid</v>
      </c>
      <c r="AS2058" t="str">
        <f t="shared" si="427"/>
        <v>Valid</v>
      </c>
    </row>
    <row r="2059" spans="1:45" x14ac:dyDescent="0.3">
      <c r="A2059">
        <v>1071</v>
      </c>
      <c r="B2059">
        <v>1976</v>
      </c>
      <c r="C2059" t="s">
        <v>32</v>
      </c>
      <c r="D2059" t="s">
        <v>35</v>
      </c>
      <c r="E2059">
        <v>70179</v>
      </c>
      <c r="F2059">
        <v>0</v>
      </c>
      <c r="G2059">
        <v>1</v>
      </c>
      <c r="H2059" s="1">
        <v>41476</v>
      </c>
      <c r="I2059">
        <v>10</v>
      </c>
      <c r="J2059">
        <v>532</v>
      </c>
      <c r="K2059">
        <v>88</v>
      </c>
      <c r="L2059">
        <v>168</v>
      </c>
      <c r="M2059">
        <v>69</v>
      </c>
      <c r="N2059">
        <v>44</v>
      </c>
      <c r="O2059">
        <v>133</v>
      </c>
      <c r="P2059">
        <v>3</v>
      </c>
      <c r="Q2059">
        <v>7</v>
      </c>
      <c r="R2059">
        <v>3</v>
      </c>
      <c r="S2059">
        <v>13</v>
      </c>
      <c r="T2059">
        <v>5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3</v>
      </c>
      <c r="AB2059">
        <v>11</v>
      </c>
      <c r="AC2059">
        <v>0</v>
      </c>
      <c r="AD2059" t="str">
        <f t="shared" si="416"/>
        <v>Ok</v>
      </c>
      <c r="AE2059" t="str">
        <f>IF(AND(Audit_Data[[#This Row],[Year_Birth]]&gt;=1900,Audit_Data[[#This Row],[Year_Birth]]&lt;=2010),"OK","Invalid")</f>
        <v>OK</v>
      </c>
      <c r="AF2059" t="str">
        <f t="shared" si="417"/>
        <v>Valid</v>
      </c>
      <c r="AG2059" t="str">
        <f t="shared" si="418"/>
        <v>Valid</v>
      </c>
      <c r="AH2059" t="str">
        <f t="shared" si="419"/>
        <v>Valid</v>
      </c>
      <c r="AI2059" t="str">
        <f t="shared" si="420"/>
        <v>Valid</v>
      </c>
      <c r="AJ2059" t="str">
        <f t="shared" si="421"/>
        <v>Valid</v>
      </c>
      <c r="AK2059" t="str">
        <f t="shared" si="428"/>
        <v xml:space="preserve">Valid </v>
      </c>
      <c r="AL2059" t="str">
        <f>IF(AND(Audit_Data[[#This Row],[Recency]]&gt;=0,Audit_Data[[#This Row],[Recency]]&lt;=100),"Valid","Invalid")</f>
        <v>Valid</v>
      </c>
      <c r="AM2059" t="str">
        <f t="shared" si="422"/>
        <v>Valid</v>
      </c>
      <c r="AN2059" t="str">
        <f t="shared" si="423"/>
        <v>Valid</v>
      </c>
      <c r="AO2059" t="str">
        <f t="shared" si="424"/>
        <v>Valid</v>
      </c>
      <c r="AP2059" t="str">
        <f t="shared" si="425"/>
        <v>Valid</v>
      </c>
      <c r="AQ2059" t="str">
        <f>IF(Audit_Data[[#This Row],[Z_CostContact]]=3,"Valid","Invalid")</f>
        <v>Valid</v>
      </c>
      <c r="AR2059" t="str">
        <f t="shared" si="426"/>
        <v>Valid</v>
      </c>
      <c r="AS2059" t="str">
        <f t="shared" si="427"/>
        <v>Valid</v>
      </c>
    </row>
    <row r="2060" spans="1:45" x14ac:dyDescent="0.3">
      <c r="A2060">
        <v>10061</v>
      </c>
      <c r="B2060">
        <v>1950</v>
      </c>
      <c r="C2060" t="s">
        <v>29</v>
      </c>
      <c r="D2060" t="s">
        <v>33</v>
      </c>
      <c r="E2060">
        <v>59462</v>
      </c>
      <c r="F2060">
        <v>0</v>
      </c>
      <c r="G2060">
        <v>1</v>
      </c>
      <c r="H2060" s="1">
        <v>41279</v>
      </c>
      <c r="I2060">
        <v>29</v>
      </c>
      <c r="J2060">
        <v>724</v>
      </c>
      <c r="K2060">
        <v>17</v>
      </c>
      <c r="L2060">
        <v>143</v>
      </c>
      <c r="M2060">
        <v>0</v>
      </c>
      <c r="N2060">
        <v>8</v>
      </c>
      <c r="O2060">
        <v>196</v>
      </c>
      <c r="P2060">
        <v>2</v>
      </c>
      <c r="Q2060">
        <v>9</v>
      </c>
      <c r="R2060">
        <v>2</v>
      </c>
      <c r="S2060">
        <v>12</v>
      </c>
      <c r="T2060">
        <v>7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3</v>
      </c>
      <c r="AB2060">
        <v>11</v>
      </c>
      <c r="AC2060">
        <v>0</v>
      </c>
      <c r="AD2060" t="str">
        <f t="shared" si="416"/>
        <v>Ok</v>
      </c>
      <c r="AE2060" t="str">
        <f>IF(AND(Audit_Data[[#This Row],[Year_Birth]]&gt;=1900,Audit_Data[[#This Row],[Year_Birth]]&lt;=2010),"OK","Invalid")</f>
        <v>OK</v>
      </c>
      <c r="AF2060" t="str">
        <f t="shared" si="417"/>
        <v>Valid</v>
      </c>
      <c r="AG2060" t="str">
        <f t="shared" si="418"/>
        <v>Valid</v>
      </c>
      <c r="AH2060" t="str">
        <f t="shared" si="419"/>
        <v>Valid</v>
      </c>
      <c r="AI2060" t="str">
        <f t="shared" si="420"/>
        <v>Valid</v>
      </c>
      <c r="AJ2060" t="str">
        <f t="shared" si="421"/>
        <v>Valid</v>
      </c>
      <c r="AK2060" t="str">
        <f t="shared" si="428"/>
        <v xml:space="preserve">Valid </v>
      </c>
      <c r="AL2060" t="str">
        <f>IF(AND(Audit_Data[[#This Row],[Recency]]&gt;=0,Audit_Data[[#This Row],[Recency]]&lt;=100),"Valid","Invalid")</f>
        <v>Valid</v>
      </c>
      <c r="AM2060" t="str">
        <f t="shared" si="422"/>
        <v>Valid</v>
      </c>
      <c r="AN2060" t="str">
        <f t="shared" si="423"/>
        <v>Valid</v>
      </c>
      <c r="AO2060" t="str">
        <f t="shared" si="424"/>
        <v>Valid</v>
      </c>
      <c r="AP2060" t="str">
        <f t="shared" si="425"/>
        <v>Valid</v>
      </c>
      <c r="AQ2060" t="str">
        <f>IF(Audit_Data[[#This Row],[Z_CostContact]]=3,"Valid","Invalid")</f>
        <v>Valid</v>
      </c>
      <c r="AR2060" t="str">
        <f t="shared" si="426"/>
        <v>Valid</v>
      </c>
      <c r="AS2060" t="str">
        <f t="shared" si="427"/>
        <v>Valid</v>
      </c>
    </row>
    <row r="2061" spans="1:45" x14ac:dyDescent="0.3">
      <c r="A2061">
        <v>7187</v>
      </c>
      <c r="B2061">
        <v>1969</v>
      </c>
      <c r="C2061" t="s">
        <v>34</v>
      </c>
      <c r="D2061" t="s">
        <v>31</v>
      </c>
      <c r="F2061">
        <v>1</v>
      </c>
      <c r="G2061">
        <v>1</v>
      </c>
      <c r="H2061" s="1">
        <v>41412</v>
      </c>
      <c r="I2061">
        <v>52</v>
      </c>
      <c r="J2061">
        <v>375</v>
      </c>
      <c r="K2061">
        <v>42</v>
      </c>
      <c r="L2061">
        <v>48</v>
      </c>
      <c r="M2061">
        <v>94</v>
      </c>
      <c r="N2061">
        <v>66</v>
      </c>
      <c r="O2061">
        <v>96</v>
      </c>
      <c r="P2061">
        <v>7</v>
      </c>
      <c r="Q2061">
        <v>4</v>
      </c>
      <c r="R2061">
        <v>10</v>
      </c>
      <c r="S2061">
        <v>4</v>
      </c>
      <c r="T2061">
        <v>3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3</v>
      </c>
      <c r="AB2061">
        <v>11</v>
      </c>
      <c r="AC2061">
        <v>0</v>
      </c>
      <c r="AD2061" t="str">
        <f t="shared" si="416"/>
        <v>Ok</v>
      </c>
      <c r="AE2061" t="str">
        <f>IF(AND(Audit_Data[[#This Row],[Year_Birth]]&gt;=1900,Audit_Data[[#This Row],[Year_Birth]]&lt;=2010),"OK","Invalid")</f>
        <v>OK</v>
      </c>
      <c r="AF2061" t="str">
        <f t="shared" si="417"/>
        <v>Valid</v>
      </c>
      <c r="AG2061" t="str">
        <f t="shared" si="418"/>
        <v>Valid</v>
      </c>
      <c r="AH2061" t="str">
        <f t="shared" si="419"/>
        <v>Invalid</v>
      </c>
      <c r="AI2061" t="str">
        <f t="shared" si="420"/>
        <v>Valid</v>
      </c>
      <c r="AJ2061" t="str">
        <f t="shared" si="421"/>
        <v>Valid</v>
      </c>
      <c r="AK2061" t="str">
        <f t="shared" si="428"/>
        <v xml:space="preserve">Valid </v>
      </c>
      <c r="AL2061" t="str">
        <f>IF(AND(Audit_Data[[#This Row],[Recency]]&gt;=0,Audit_Data[[#This Row],[Recency]]&lt;=100),"Valid","Invalid")</f>
        <v>Valid</v>
      </c>
      <c r="AM2061" t="str">
        <f t="shared" si="422"/>
        <v>Valid</v>
      </c>
      <c r="AN2061" t="str">
        <f t="shared" si="423"/>
        <v>Valid</v>
      </c>
      <c r="AO2061" t="str">
        <f t="shared" si="424"/>
        <v>Valid</v>
      </c>
      <c r="AP2061" t="str">
        <f t="shared" si="425"/>
        <v>Valid</v>
      </c>
      <c r="AQ2061" t="str">
        <f>IF(Audit_Data[[#This Row],[Z_CostContact]]=3,"Valid","Invalid")</f>
        <v>Valid</v>
      </c>
      <c r="AR2061" t="str">
        <f t="shared" si="426"/>
        <v>Valid</v>
      </c>
      <c r="AS2061" t="str">
        <f t="shared" si="427"/>
        <v>Valid</v>
      </c>
    </row>
    <row r="2062" spans="1:45" x14ac:dyDescent="0.3">
      <c r="A2062">
        <v>8775</v>
      </c>
      <c r="B2062">
        <v>1969</v>
      </c>
      <c r="C2062" t="s">
        <v>29</v>
      </c>
      <c r="D2062" t="s">
        <v>31</v>
      </c>
      <c r="E2062">
        <v>38361</v>
      </c>
      <c r="F2062">
        <v>1</v>
      </c>
      <c r="G2062">
        <v>0</v>
      </c>
      <c r="H2062" s="1">
        <v>41635</v>
      </c>
      <c r="I2062">
        <v>74</v>
      </c>
      <c r="J2062">
        <v>39</v>
      </c>
      <c r="K2062">
        <v>0</v>
      </c>
      <c r="L2062">
        <v>56</v>
      </c>
      <c r="M2062">
        <v>20</v>
      </c>
      <c r="N2062">
        <v>8</v>
      </c>
      <c r="O2062">
        <v>14</v>
      </c>
      <c r="P2062">
        <v>3</v>
      </c>
      <c r="Q2062">
        <v>3</v>
      </c>
      <c r="R2062">
        <v>1</v>
      </c>
      <c r="S2062">
        <v>3</v>
      </c>
      <c r="T2062">
        <v>7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3</v>
      </c>
      <c r="AB2062">
        <v>11</v>
      </c>
      <c r="AC2062">
        <v>0</v>
      </c>
      <c r="AD2062" t="str">
        <f t="shared" si="416"/>
        <v>Ok</v>
      </c>
      <c r="AE2062" t="str">
        <f>IF(AND(Audit_Data[[#This Row],[Year_Birth]]&gt;=1900,Audit_Data[[#This Row],[Year_Birth]]&lt;=2010),"OK","Invalid")</f>
        <v>OK</v>
      </c>
      <c r="AF2062" t="str">
        <f t="shared" si="417"/>
        <v>Valid</v>
      </c>
      <c r="AG2062" t="str">
        <f t="shared" si="418"/>
        <v>Valid</v>
      </c>
      <c r="AH2062" t="str">
        <f t="shared" si="419"/>
        <v>Valid</v>
      </c>
      <c r="AI2062" t="str">
        <f t="shared" si="420"/>
        <v>Valid</v>
      </c>
      <c r="AJ2062" t="str">
        <f t="shared" si="421"/>
        <v>Valid</v>
      </c>
      <c r="AK2062" t="str">
        <f t="shared" si="428"/>
        <v xml:space="preserve">Valid </v>
      </c>
      <c r="AL2062" t="str">
        <f>IF(AND(Audit_Data[[#This Row],[Recency]]&gt;=0,Audit_Data[[#This Row],[Recency]]&lt;=100),"Valid","Invalid")</f>
        <v>Valid</v>
      </c>
      <c r="AM2062" t="str">
        <f t="shared" si="422"/>
        <v>Valid</v>
      </c>
      <c r="AN2062" t="str">
        <f t="shared" si="423"/>
        <v>Valid</v>
      </c>
      <c r="AO2062" t="str">
        <f t="shared" si="424"/>
        <v>Valid</v>
      </c>
      <c r="AP2062" t="str">
        <f t="shared" si="425"/>
        <v>Valid</v>
      </c>
      <c r="AQ2062" t="str">
        <f>IF(Audit_Data[[#This Row],[Z_CostContact]]=3,"Valid","Invalid")</f>
        <v>Valid</v>
      </c>
      <c r="AR2062" t="str">
        <f t="shared" si="426"/>
        <v>Valid</v>
      </c>
      <c r="AS2062" t="str">
        <f t="shared" si="427"/>
        <v>Valid</v>
      </c>
    </row>
    <row r="2063" spans="1:45" x14ac:dyDescent="0.3">
      <c r="A2063">
        <v>1612</v>
      </c>
      <c r="B2063">
        <v>1981</v>
      </c>
      <c r="C2063" t="s">
        <v>32</v>
      </c>
      <c r="D2063" t="s">
        <v>30</v>
      </c>
      <c r="F2063">
        <v>1</v>
      </c>
      <c r="G2063">
        <v>0</v>
      </c>
      <c r="H2063" s="1">
        <v>41425</v>
      </c>
      <c r="I2063">
        <v>82</v>
      </c>
      <c r="J2063">
        <v>23</v>
      </c>
      <c r="K2063">
        <v>0</v>
      </c>
      <c r="L2063">
        <v>15</v>
      </c>
      <c r="M2063">
        <v>0</v>
      </c>
      <c r="N2063">
        <v>2</v>
      </c>
      <c r="O2063">
        <v>7</v>
      </c>
      <c r="P2063">
        <v>2</v>
      </c>
      <c r="Q2063">
        <v>3</v>
      </c>
      <c r="R2063">
        <v>0</v>
      </c>
      <c r="S2063">
        <v>3</v>
      </c>
      <c r="T2063">
        <v>6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3</v>
      </c>
      <c r="AB2063">
        <v>11</v>
      </c>
      <c r="AC2063">
        <v>0</v>
      </c>
      <c r="AD2063" t="str">
        <f t="shared" si="416"/>
        <v>Ok</v>
      </c>
      <c r="AE2063" t="str">
        <f>IF(AND(Audit_Data[[#This Row],[Year_Birth]]&gt;=1900,Audit_Data[[#This Row],[Year_Birth]]&lt;=2010),"OK","Invalid")</f>
        <v>OK</v>
      </c>
      <c r="AF2063" t="str">
        <f t="shared" si="417"/>
        <v>Valid</v>
      </c>
      <c r="AG2063" t="str">
        <f t="shared" si="418"/>
        <v>Valid</v>
      </c>
      <c r="AH2063" t="str">
        <f t="shared" si="419"/>
        <v>Invalid</v>
      </c>
      <c r="AI2063" t="str">
        <f t="shared" si="420"/>
        <v>Valid</v>
      </c>
      <c r="AJ2063" t="str">
        <f t="shared" si="421"/>
        <v>Valid</v>
      </c>
      <c r="AK2063" t="str">
        <f t="shared" si="428"/>
        <v xml:space="preserve">Valid </v>
      </c>
      <c r="AL2063" t="str">
        <f>IF(AND(Audit_Data[[#This Row],[Recency]]&gt;=0,Audit_Data[[#This Row],[Recency]]&lt;=100),"Valid","Invalid")</f>
        <v>Valid</v>
      </c>
      <c r="AM2063" t="str">
        <f t="shared" si="422"/>
        <v>Valid</v>
      </c>
      <c r="AN2063" t="str">
        <f t="shared" si="423"/>
        <v>Valid</v>
      </c>
      <c r="AO2063" t="str">
        <f t="shared" si="424"/>
        <v>Valid</v>
      </c>
      <c r="AP2063" t="str">
        <f t="shared" si="425"/>
        <v>Valid</v>
      </c>
      <c r="AQ2063" t="str">
        <f>IF(Audit_Data[[#This Row],[Z_CostContact]]=3,"Valid","Invalid")</f>
        <v>Valid</v>
      </c>
      <c r="AR2063" t="str">
        <f t="shared" si="426"/>
        <v>Valid</v>
      </c>
      <c r="AS2063" t="str">
        <f t="shared" si="427"/>
        <v>Valid</v>
      </c>
    </row>
    <row r="2064" spans="1:45" x14ac:dyDescent="0.3">
      <c r="A2064">
        <v>2345</v>
      </c>
      <c r="B2064">
        <v>1982</v>
      </c>
      <c r="C2064" t="s">
        <v>32</v>
      </c>
      <c r="D2064" t="s">
        <v>31</v>
      </c>
      <c r="E2064">
        <v>70038</v>
      </c>
      <c r="F2064">
        <v>0</v>
      </c>
      <c r="G2064">
        <v>0</v>
      </c>
      <c r="H2064" s="1">
        <v>41572</v>
      </c>
      <c r="I2064">
        <v>54</v>
      </c>
      <c r="J2064">
        <v>587</v>
      </c>
      <c r="K2064">
        <v>54</v>
      </c>
      <c r="L2064">
        <v>348</v>
      </c>
      <c r="M2064">
        <v>71</v>
      </c>
      <c r="N2064">
        <v>54</v>
      </c>
      <c r="O2064">
        <v>130</v>
      </c>
      <c r="P2064">
        <v>1</v>
      </c>
      <c r="Q2064">
        <v>4</v>
      </c>
      <c r="R2064">
        <v>4</v>
      </c>
      <c r="S2064">
        <v>8</v>
      </c>
      <c r="T2064">
        <v>2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3</v>
      </c>
      <c r="AB2064">
        <v>11</v>
      </c>
      <c r="AC2064">
        <v>0</v>
      </c>
      <c r="AD2064" t="str">
        <f t="shared" si="416"/>
        <v>Ok</v>
      </c>
      <c r="AE2064" t="str">
        <f>IF(AND(Audit_Data[[#This Row],[Year_Birth]]&gt;=1900,Audit_Data[[#This Row],[Year_Birth]]&lt;=2010),"OK","Invalid")</f>
        <v>OK</v>
      </c>
      <c r="AF2064" t="str">
        <f t="shared" si="417"/>
        <v>Valid</v>
      </c>
      <c r="AG2064" t="str">
        <f t="shared" si="418"/>
        <v>Valid</v>
      </c>
      <c r="AH2064" t="str">
        <f t="shared" si="419"/>
        <v>Valid</v>
      </c>
      <c r="AI2064" t="str">
        <f t="shared" si="420"/>
        <v>Valid</v>
      </c>
      <c r="AJ2064" t="str">
        <f t="shared" si="421"/>
        <v>Valid</v>
      </c>
      <c r="AK2064" t="str">
        <f t="shared" si="428"/>
        <v xml:space="preserve">Valid </v>
      </c>
      <c r="AL2064" t="str">
        <f>IF(AND(Audit_Data[[#This Row],[Recency]]&gt;=0,Audit_Data[[#This Row],[Recency]]&lt;=100),"Valid","Invalid")</f>
        <v>Valid</v>
      </c>
      <c r="AM2064" t="str">
        <f t="shared" si="422"/>
        <v>Valid</v>
      </c>
      <c r="AN2064" t="str">
        <f t="shared" si="423"/>
        <v>Valid</v>
      </c>
      <c r="AO2064" t="str">
        <f t="shared" si="424"/>
        <v>Valid</v>
      </c>
      <c r="AP2064" t="str">
        <f t="shared" si="425"/>
        <v>Valid</v>
      </c>
      <c r="AQ2064" t="str">
        <f>IF(Audit_Data[[#This Row],[Z_CostContact]]=3,"Valid","Invalid")</f>
        <v>Valid</v>
      </c>
      <c r="AR2064" t="str">
        <f t="shared" si="426"/>
        <v>Valid</v>
      </c>
      <c r="AS2064" t="str">
        <f t="shared" si="427"/>
        <v>Valid</v>
      </c>
    </row>
    <row r="2065" spans="1:45" x14ac:dyDescent="0.3">
      <c r="A2065">
        <v>322</v>
      </c>
      <c r="B2065">
        <v>1978</v>
      </c>
      <c r="C2065" t="s">
        <v>29</v>
      </c>
      <c r="D2065" t="s">
        <v>31</v>
      </c>
      <c r="E2065">
        <v>42554</v>
      </c>
      <c r="F2065">
        <v>1</v>
      </c>
      <c r="G2065">
        <v>1</v>
      </c>
      <c r="H2065" s="1">
        <v>41286</v>
      </c>
      <c r="I2065">
        <v>93</v>
      </c>
      <c r="J2065">
        <v>29</v>
      </c>
      <c r="K2065">
        <v>1</v>
      </c>
      <c r="L2065">
        <v>11</v>
      </c>
      <c r="M2065">
        <v>0</v>
      </c>
      <c r="N2065">
        <v>0</v>
      </c>
      <c r="O2065">
        <v>0</v>
      </c>
      <c r="P2065">
        <v>2</v>
      </c>
      <c r="Q2065">
        <v>2</v>
      </c>
      <c r="R2065">
        <v>0</v>
      </c>
      <c r="S2065">
        <v>3</v>
      </c>
      <c r="T2065">
        <v>4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3</v>
      </c>
      <c r="AB2065">
        <v>11</v>
      </c>
      <c r="AC2065">
        <v>0</v>
      </c>
      <c r="AD2065" t="str">
        <f t="shared" si="416"/>
        <v>Ok</v>
      </c>
      <c r="AE2065" t="str">
        <f>IF(AND(Audit_Data[[#This Row],[Year_Birth]]&gt;=1900,Audit_Data[[#This Row],[Year_Birth]]&lt;=2010),"OK","Invalid")</f>
        <v>OK</v>
      </c>
      <c r="AF2065" t="str">
        <f t="shared" si="417"/>
        <v>Valid</v>
      </c>
      <c r="AG2065" t="str">
        <f t="shared" si="418"/>
        <v>Valid</v>
      </c>
      <c r="AH2065" t="str">
        <f t="shared" si="419"/>
        <v>Valid</v>
      </c>
      <c r="AI2065" t="str">
        <f t="shared" si="420"/>
        <v>Valid</v>
      </c>
      <c r="AJ2065" t="str">
        <f t="shared" si="421"/>
        <v>Valid</v>
      </c>
      <c r="AK2065" t="str">
        <f t="shared" si="428"/>
        <v xml:space="preserve">Valid </v>
      </c>
      <c r="AL2065" t="str">
        <f>IF(AND(Audit_Data[[#This Row],[Recency]]&gt;=0,Audit_Data[[#This Row],[Recency]]&lt;=100),"Valid","Invalid")</f>
        <v>Valid</v>
      </c>
      <c r="AM2065" t="str">
        <f t="shared" si="422"/>
        <v>Valid</v>
      </c>
      <c r="AN2065" t="str">
        <f t="shared" si="423"/>
        <v>Valid</v>
      </c>
      <c r="AO2065" t="str">
        <f t="shared" si="424"/>
        <v>Valid</v>
      </c>
      <c r="AP2065" t="str">
        <f t="shared" si="425"/>
        <v>Valid</v>
      </c>
      <c r="AQ2065" t="str">
        <f>IF(Audit_Data[[#This Row],[Z_CostContact]]=3,"Valid","Invalid")</f>
        <v>Valid</v>
      </c>
      <c r="AR2065" t="str">
        <f t="shared" si="426"/>
        <v>Valid</v>
      </c>
      <c r="AS2065" t="str">
        <f t="shared" si="427"/>
        <v>Valid</v>
      </c>
    </row>
    <row r="2066" spans="1:45" x14ac:dyDescent="0.3">
      <c r="A2066">
        <v>10897</v>
      </c>
      <c r="B2066">
        <v>1974</v>
      </c>
      <c r="C2066" t="s">
        <v>29</v>
      </c>
      <c r="D2066" t="s">
        <v>33</v>
      </c>
      <c r="E2066">
        <v>67445</v>
      </c>
      <c r="F2066">
        <v>0</v>
      </c>
      <c r="G2066">
        <v>1</v>
      </c>
      <c r="H2066" s="1">
        <v>41133</v>
      </c>
      <c r="I2066">
        <v>63</v>
      </c>
      <c r="J2066">
        <v>757</v>
      </c>
      <c r="K2066">
        <v>80</v>
      </c>
      <c r="L2066">
        <v>217</v>
      </c>
      <c r="M2066">
        <v>29</v>
      </c>
      <c r="N2066">
        <v>80</v>
      </c>
      <c r="O2066">
        <v>11</v>
      </c>
      <c r="P2066">
        <v>5</v>
      </c>
      <c r="Q2066">
        <v>9</v>
      </c>
      <c r="R2066">
        <v>6</v>
      </c>
      <c r="S2066">
        <v>12</v>
      </c>
      <c r="T2066">
        <v>6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3</v>
      </c>
      <c r="AB2066">
        <v>11</v>
      </c>
      <c r="AC2066">
        <v>0</v>
      </c>
      <c r="AD2066" t="str">
        <f t="shared" si="416"/>
        <v>Ok</v>
      </c>
      <c r="AE2066" t="str">
        <f>IF(AND(Audit_Data[[#This Row],[Year_Birth]]&gt;=1900,Audit_Data[[#This Row],[Year_Birth]]&lt;=2010),"OK","Invalid")</f>
        <v>OK</v>
      </c>
      <c r="AF2066" t="str">
        <f t="shared" si="417"/>
        <v>Valid</v>
      </c>
      <c r="AG2066" t="str">
        <f t="shared" si="418"/>
        <v>Valid</v>
      </c>
      <c r="AH2066" t="str">
        <f t="shared" si="419"/>
        <v>Valid</v>
      </c>
      <c r="AI2066" t="str">
        <f t="shared" si="420"/>
        <v>Valid</v>
      </c>
      <c r="AJ2066" t="str">
        <f t="shared" si="421"/>
        <v>Valid</v>
      </c>
      <c r="AK2066" t="str">
        <f t="shared" si="428"/>
        <v xml:space="preserve">Valid </v>
      </c>
      <c r="AL2066" t="str">
        <f>IF(AND(Audit_Data[[#This Row],[Recency]]&gt;=0,Audit_Data[[#This Row],[Recency]]&lt;=100),"Valid","Invalid")</f>
        <v>Valid</v>
      </c>
      <c r="AM2066" t="str">
        <f t="shared" si="422"/>
        <v>Valid</v>
      </c>
      <c r="AN2066" t="str">
        <f t="shared" si="423"/>
        <v>Valid</v>
      </c>
      <c r="AO2066" t="str">
        <f t="shared" si="424"/>
        <v>Valid</v>
      </c>
      <c r="AP2066" t="str">
        <f t="shared" si="425"/>
        <v>Valid</v>
      </c>
      <c r="AQ2066" t="str">
        <f>IF(Audit_Data[[#This Row],[Z_CostContact]]=3,"Valid","Invalid")</f>
        <v>Valid</v>
      </c>
      <c r="AR2066" t="str">
        <f t="shared" si="426"/>
        <v>Valid</v>
      </c>
      <c r="AS2066" t="str">
        <f t="shared" si="427"/>
        <v>Valid</v>
      </c>
    </row>
    <row r="2067" spans="1:45" x14ac:dyDescent="0.3">
      <c r="A2067">
        <v>123</v>
      </c>
      <c r="B2067">
        <v>1951</v>
      </c>
      <c r="C2067" t="s">
        <v>29</v>
      </c>
      <c r="D2067" t="s">
        <v>38</v>
      </c>
      <c r="E2067">
        <v>67046</v>
      </c>
      <c r="F2067">
        <v>0</v>
      </c>
      <c r="G2067">
        <v>1</v>
      </c>
      <c r="H2067" s="1">
        <v>41280</v>
      </c>
      <c r="I2067">
        <v>92</v>
      </c>
      <c r="J2067">
        <v>544</v>
      </c>
      <c r="K2067">
        <v>35</v>
      </c>
      <c r="L2067">
        <v>133</v>
      </c>
      <c r="M2067">
        <v>23</v>
      </c>
      <c r="N2067">
        <v>151</v>
      </c>
      <c r="O2067">
        <v>107</v>
      </c>
      <c r="P2067">
        <v>2</v>
      </c>
      <c r="Q2067">
        <v>4</v>
      </c>
      <c r="R2067">
        <v>5</v>
      </c>
      <c r="S2067">
        <v>4</v>
      </c>
      <c r="T2067">
        <v>2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3</v>
      </c>
      <c r="AB2067">
        <v>11</v>
      </c>
      <c r="AC2067">
        <v>0</v>
      </c>
      <c r="AD2067" t="str">
        <f t="shared" si="416"/>
        <v>Ok</v>
      </c>
      <c r="AE2067" t="str">
        <f>IF(AND(Audit_Data[[#This Row],[Year_Birth]]&gt;=1900,Audit_Data[[#This Row],[Year_Birth]]&lt;=2010),"OK","Invalid")</f>
        <v>OK</v>
      </c>
      <c r="AF2067" t="str">
        <f t="shared" si="417"/>
        <v>Valid</v>
      </c>
      <c r="AG2067" t="str">
        <f t="shared" si="418"/>
        <v>Valid</v>
      </c>
      <c r="AH2067" t="str">
        <f t="shared" si="419"/>
        <v>Valid</v>
      </c>
      <c r="AI2067" t="str">
        <f t="shared" si="420"/>
        <v>Valid</v>
      </c>
      <c r="AJ2067" t="str">
        <f t="shared" si="421"/>
        <v>Valid</v>
      </c>
      <c r="AK2067" t="str">
        <f t="shared" si="428"/>
        <v xml:space="preserve">Valid </v>
      </c>
      <c r="AL2067" t="str">
        <f>IF(AND(Audit_Data[[#This Row],[Recency]]&gt;=0,Audit_Data[[#This Row],[Recency]]&lt;=100),"Valid","Invalid")</f>
        <v>Valid</v>
      </c>
      <c r="AM2067" t="str">
        <f t="shared" si="422"/>
        <v>Valid</v>
      </c>
      <c r="AN2067" t="str">
        <f t="shared" si="423"/>
        <v>Valid</v>
      </c>
      <c r="AO2067" t="str">
        <f t="shared" si="424"/>
        <v>Valid</v>
      </c>
      <c r="AP2067" t="str">
        <f t="shared" si="425"/>
        <v>Valid</v>
      </c>
      <c r="AQ2067" t="str">
        <f>IF(Audit_Data[[#This Row],[Z_CostContact]]=3,"Valid","Invalid")</f>
        <v>Valid</v>
      </c>
      <c r="AR2067" t="str">
        <f t="shared" si="426"/>
        <v>Valid</v>
      </c>
      <c r="AS2067" t="str">
        <f t="shared" si="427"/>
        <v>Valid</v>
      </c>
    </row>
    <row r="2068" spans="1:45" x14ac:dyDescent="0.3">
      <c r="A2068">
        <v>6103</v>
      </c>
      <c r="B2068">
        <v>1948</v>
      </c>
      <c r="C2068" t="s">
        <v>29</v>
      </c>
      <c r="D2068" t="s">
        <v>33</v>
      </c>
      <c r="E2068">
        <v>42192</v>
      </c>
      <c r="F2068">
        <v>0</v>
      </c>
      <c r="G2068">
        <v>0</v>
      </c>
      <c r="H2068" s="1">
        <v>41523</v>
      </c>
      <c r="I2068">
        <v>40</v>
      </c>
      <c r="J2068">
        <v>40</v>
      </c>
      <c r="K2068">
        <v>15</v>
      </c>
      <c r="L2068">
        <v>15</v>
      </c>
      <c r="M2068">
        <v>17</v>
      </c>
      <c r="N2068">
        <v>6</v>
      </c>
      <c r="O2068">
        <v>7</v>
      </c>
      <c r="P2068">
        <v>1</v>
      </c>
      <c r="Q2068">
        <v>2</v>
      </c>
      <c r="R2068">
        <v>1</v>
      </c>
      <c r="S2068">
        <v>3</v>
      </c>
      <c r="T2068">
        <v>4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3</v>
      </c>
      <c r="AB2068">
        <v>11</v>
      </c>
      <c r="AC2068">
        <v>0</v>
      </c>
      <c r="AD2068" t="str">
        <f t="shared" si="416"/>
        <v>Ok</v>
      </c>
      <c r="AE2068" t="str">
        <f>IF(AND(Audit_Data[[#This Row],[Year_Birth]]&gt;=1900,Audit_Data[[#This Row],[Year_Birth]]&lt;=2010),"OK","Invalid")</f>
        <v>OK</v>
      </c>
      <c r="AF2068" t="str">
        <f t="shared" si="417"/>
        <v>Valid</v>
      </c>
      <c r="AG2068" t="str">
        <f t="shared" si="418"/>
        <v>Valid</v>
      </c>
      <c r="AH2068" t="str">
        <f t="shared" si="419"/>
        <v>Valid</v>
      </c>
      <c r="AI2068" t="str">
        <f t="shared" si="420"/>
        <v>Valid</v>
      </c>
      <c r="AJ2068" t="str">
        <f t="shared" si="421"/>
        <v>Valid</v>
      </c>
      <c r="AK2068" t="str">
        <f t="shared" si="428"/>
        <v xml:space="preserve">Valid </v>
      </c>
      <c r="AL2068" t="str">
        <f>IF(AND(Audit_Data[[#This Row],[Recency]]&gt;=0,Audit_Data[[#This Row],[Recency]]&lt;=100),"Valid","Invalid")</f>
        <v>Valid</v>
      </c>
      <c r="AM2068" t="str">
        <f t="shared" si="422"/>
        <v>Valid</v>
      </c>
      <c r="AN2068" t="str">
        <f t="shared" si="423"/>
        <v>Valid</v>
      </c>
      <c r="AO2068" t="str">
        <f t="shared" si="424"/>
        <v>Valid</v>
      </c>
      <c r="AP2068" t="str">
        <f t="shared" si="425"/>
        <v>Valid</v>
      </c>
      <c r="AQ2068" t="str">
        <f>IF(Audit_Data[[#This Row],[Z_CostContact]]=3,"Valid","Invalid")</f>
        <v>Valid</v>
      </c>
      <c r="AR2068" t="str">
        <f t="shared" si="426"/>
        <v>Valid</v>
      </c>
      <c r="AS2068" t="str">
        <f t="shared" si="427"/>
        <v>Valid</v>
      </c>
    </row>
    <row r="2069" spans="1:45" x14ac:dyDescent="0.3">
      <c r="A2069">
        <v>7899</v>
      </c>
      <c r="B2069">
        <v>1952</v>
      </c>
      <c r="C2069" t="s">
        <v>32</v>
      </c>
      <c r="D2069" t="s">
        <v>33</v>
      </c>
      <c r="E2069">
        <v>77610</v>
      </c>
      <c r="F2069">
        <v>0</v>
      </c>
      <c r="G2069">
        <v>1</v>
      </c>
      <c r="H2069" s="1">
        <v>41211</v>
      </c>
      <c r="I2069">
        <v>70</v>
      </c>
      <c r="J2069">
        <v>1245</v>
      </c>
      <c r="K2069">
        <v>33</v>
      </c>
      <c r="L2069">
        <v>332</v>
      </c>
      <c r="M2069">
        <v>21</v>
      </c>
      <c r="N2069">
        <v>33</v>
      </c>
      <c r="O2069">
        <v>16</v>
      </c>
      <c r="P2069">
        <v>2</v>
      </c>
      <c r="Q2069">
        <v>4</v>
      </c>
      <c r="R2069">
        <v>7</v>
      </c>
      <c r="S2069">
        <v>4</v>
      </c>
      <c r="T2069">
        <v>7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3</v>
      </c>
      <c r="AB2069">
        <v>11</v>
      </c>
      <c r="AC2069">
        <v>0</v>
      </c>
      <c r="AD2069" t="str">
        <f t="shared" si="416"/>
        <v>Ok</v>
      </c>
      <c r="AE2069" t="str">
        <f>IF(AND(Audit_Data[[#This Row],[Year_Birth]]&gt;=1900,Audit_Data[[#This Row],[Year_Birth]]&lt;=2010),"OK","Invalid")</f>
        <v>OK</v>
      </c>
      <c r="AF2069" t="str">
        <f t="shared" si="417"/>
        <v>Valid</v>
      </c>
      <c r="AG2069" t="str">
        <f t="shared" si="418"/>
        <v>Valid</v>
      </c>
      <c r="AH2069" t="str">
        <f t="shared" si="419"/>
        <v>Valid</v>
      </c>
      <c r="AI2069" t="str">
        <f t="shared" si="420"/>
        <v>Valid</v>
      </c>
      <c r="AJ2069" t="str">
        <f t="shared" si="421"/>
        <v>Valid</v>
      </c>
      <c r="AK2069" t="str">
        <f t="shared" si="428"/>
        <v xml:space="preserve">Valid </v>
      </c>
      <c r="AL2069" t="str">
        <f>IF(AND(Audit_Data[[#This Row],[Recency]]&gt;=0,Audit_Data[[#This Row],[Recency]]&lt;=100),"Valid","Invalid")</f>
        <v>Valid</v>
      </c>
      <c r="AM2069" t="str">
        <f t="shared" si="422"/>
        <v>Valid</v>
      </c>
      <c r="AN2069" t="str">
        <f t="shared" si="423"/>
        <v>Valid</v>
      </c>
      <c r="AO2069" t="str">
        <f t="shared" si="424"/>
        <v>Valid</v>
      </c>
      <c r="AP2069" t="str">
        <f t="shared" si="425"/>
        <v>Valid</v>
      </c>
      <c r="AQ2069" t="str">
        <f>IF(Audit_Data[[#This Row],[Z_CostContact]]=3,"Valid","Invalid")</f>
        <v>Valid</v>
      </c>
      <c r="AR2069" t="str">
        <f t="shared" si="426"/>
        <v>Valid</v>
      </c>
      <c r="AS2069" t="str">
        <f t="shared" si="427"/>
        <v>Valid</v>
      </c>
    </row>
    <row r="2070" spans="1:45" x14ac:dyDescent="0.3">
      <c r="A2070">
        <v>10500</v>
      </c>
      <c r="B2070">
        <v>1984</v>
      </c>
      <c r="C2070" t="s">
        <v>29</v>
      </c>
      <c r="D2070" t="s">
        <v>33</v>
      </c>
      <c r="E2070">
        <v>31761</v>
      </c>
      <c r="F2070">
        <v>1</v>
      </c>
      <c r="G2070">
        <v>0</v>
      </c>
      <c r="H2070" s="1">
        <v>41734</v>
      </c>
      <c r="I2070">
        <v>96</v>
      </c>
      <c r="J2070">
        <v>19</v>
      </c>
      <c r="K2070">
        <v>1</v>
      </c>
      <c r="L2070">
        <v>20</v>
      </c>
      <c r="M2070">
        <v>16</v>
      </c>
      <c r="N2070">
        <v>14</v>
      </c>
      <c r="O2070">
        <v>28</v>
      </c>
      <c r="P2070">
        <v>2</v>
      </c>
      <c r="Q2070">
        <v>3</v>
      </c>
      <c r="R2070">
        <v>0</v>
      </c>
      <c r="S2070">
        <v>4</v>
      </c>
      <c r="T2070">
        <v>5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3</v>
      </c>
      <c r="AB2070">
        <v>11</v>
      </c>
      <c r="AC2070">
        <v>0</v>
      </c>
      <c r="AD2070" t="str">
        <f t="shared" si="416"/>
        <v>Ok</v>
      </c>
      <c r="AE2070" t="str">
        <f>IF(AND(Audit_Data[[#This Row],[Year_Birth]]&gt;=1900,Audit_Data[[#This Row],[Year_Birth]]&lt;=2010),"OK","Invalid")</f>
        <v>OK</v>
      </c>
      <c r="AF2070" t="str">
        <f t="shared" si="417"/>
        <v>Valid</v>
      </c>
      <c r="AG2070" t="str">
        <f t="shared" si="418"/>
        <v>Valid</v>
      </c>
      <c r="AH2070" t="str">
        <f t="shared" si="419"/>
        <v>Valid</v>
      </c>
      <c r="AI2070" t="str">
        <f t="shared" si="420"/>
        <v>Valid</v>
      </c>
      <c r="AJ2070" t="str">
        <f t="shared" si="421"/>
        <v>Valid</v>
      </c>
      <c r="AK2070" t="str">
        <f t="shared" si="428"/>
        <v xml:space="preserve">Valid </v>
      </c>
      <c r="AL2070" t="str">
        <f>IF(AND(Audit_Data[[#This Row],[Recency]]&gt;=0,Audit_Data[[#This Row],[Recency]]&lt;=100),"Valid","Invalid")</f>
        <v>Valid</v>
      </c>
      <c r="AM2070" t="str">
        <f t="shared" si="422"/>
        <v>Valid</v>
      </c>
      <c r="AN2070" t="str">
        <f t="shared" si="423"/>
        <v>Valid</v>
      </c>
      <c r="AO2070" t="str">
        <f t="shared" si="424"/>
        <v>Valid</v>
      </c>
      <c r="AP2070" t="str">
        <f t="shared" si="425"/>
        <v>Valid</v>
      </c>
      <c r="AQ2070" t="str">
        <f>IF(Audit_Data[[#This Row],[Z_CostContact]]=3,"Valid","Invalid")</f>
        <v>Valid</v>
      </c>
      <c r="AR2070" t="str">
        <f t="shared" si="426"/>
        <v>Valid</v>
      </c>
      <c r="AS2070" t="str">
        <f t="shared" si="427"/>
        <v>Valid</v>
      </c>
    </row>
    <row r="2071" spans="1:45" x14ac:dyDescent="0.3">
      <c r="A2071">
        <v>1655</v>
      </c>
      <c r="B2071">
        <v>1979</v>
      </c>
      <c r="C2071" t="s">
        <v>29</v>
      </c>
      <c r="D2071" t="s">
        <v>31</v>
      </c>
      <c r="E2071">
        <v>34350</v>
      </c>
      <c r="F2071">
        <v>1</v>
      </c>
      <c r="G2071">
        <v>0</v>
      </c>
      <c r="H2071" s="1">
        <v>41566</v>
      </c>
      <c r="I2071">
        <v>81</v>
      </c>
      <c r="J2071">
        <v>16</v>
      </c>
      <c r="K2071">
        <v>3</v>
      </c>
      <c r="L2071">
        <v>15</v>
      </c>
      <c r="M2071">
        <v>2</v>
      </c>
      <c r="N2071">
        <v>1</v>
      </c>
      <c r="O2071">
        <v>11</v>
      </c>
      <c r="P2071">
        <v>1</v>
      </c>
      <c r="Q2071">
        <v>1</v>
      </c>
      <c r="R2071">
        <v>0</v>
      </c>
      <c r="S2071">
        <v>3</v>
      </c>
      <c r="T2071">
        <v>7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3</v>
      </c>
      <c r="AB2071">
        <v>11</v>
      </c>
      <c r="AC2071">
        <v>0</v>
      </c>
      <c r="AD2071" t="str">
        <f t="shared" si="416"/>
        <v>Ok</v>
      </c>
      <c r="AE2071" t="str">
        <f>IF(AND(Audit_Data[[#This Row],[Year_Birth]]&gt;=1900,Audit_Data[[#This Row],[Year_Birth]]&lt;=2010),"OK","Invalid")</f>
        <v>OK</v>
      </c>
      <c r="AF2071" t="str">
        <f t="shared" si="417"/>
        <v>Valid</v>
      </c>
      <c r="AG2071" t="str">
        <f t="shared" si="418"/>
        <v>Valid</v>
      </c>
      <c r="AH2071" t="str">
        <f t="shared" si="419"/>
        <v>Valid</v>
      </c>
      <c r="AI2071" t="str">
        <f t="shared" si="420"/>
        <v>Valid</v>
      </c>
      <c r="AJ2071" t="str">
        <f t="shared" si="421"/>
        <v>Valid</v>
      </c>
      <c r="AK2071" t="str">
        <f t="shared" si="428"/>
        <v xml:space="preserve">Valid </v>
      </c>
      <c r="AL2071" t="str">
        <f>IF(AND(Audit_Data[[#This Row],[Recency]]&gt;=0,Audit_Data[[#This Row],[Recency]]&lt;=100),"Valid","Invalid")</f>
        <v>Valid</v>
      </c>
      <c r="AM2071" t="str">
        <f t="shared" si="422"/>
        <v>Valid</v>
      </c>
      <c r="AN2071" t="str">
        <f t="shared" si="423"/>
        <v>Valid</v>
      </c>
      <c r="AO2071" t="str">
        <f t="shared" si="424"/>
        <v>Valid</v>
      </c>
      <c r="AP2071" t="str">
        <f t="shared" si="425"/>
        <v>Valid</v>
      </c>
      <c r="AQ2071" t="str">
        <f>IF(Audit_Data[[#This Row],[Z_CostContact]]=3,"Valid","Invalid")</f>
        <v>Valid</v>
      </c>
      <c r="AR2071" t="str">
        <f t="shared" si="426"/>
        <v>Valid</v>
      </c>
      <c r="AS2071" t="str">
        <f t="shared" si="427"/>
        <v>Valid</v>
      </c>
    </row>
    <row r="2072" spans="1:45" x14ac:dyDescent="0.3">
      <c r="A2072">
        <v>2406</v>
      </c>
      <c r="B2072">
        <v>1949</v>
      </c>
      <c r="C2072" t="s">
        <v>29</v>
      </c>
      <c r="D2072" t="s">
        <v>31</v>
      </c>
      <c r="E2072">
        <v>54591</v>
      </c>
      <c r="F2072">
        <v>0</v>
      </c>
      <c r="G2072">
        <v>1</v>
      </c>
      <c r="H2072" s="1">
        <v>41491</v>
      </c>
      <c r="I2072">
        <v>63</v>
      </c>
      <c r="J2072">
        <v>376</v>
      </c>
      <c r="K2072">
        <v>4</v>
      </c>
      <c r="L2072">
        <v>94</v>
      </c>
      <c r="M2072">
        <v>12</v>
      </c>
      <c r="N2072">
        <v>9</v>
      </c>
      <c r="O2072">
        <v>24</v>
      </c>
      <c r="P2072">
        <v>3</v>
      </c>
      <c r="Q2072">
        <v>6</v>
      </c>
      <c r="R2072">
        <v>2</v>
      </c>
      <c r="S2072">
        <v>8</v>
      </c>
      <c r="T2072">
        <v>5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3</v>
      </c>
      <c r="AB2072">
        <v>11</v>
      </c>
      <c r="AC2072">
        <v>0</v>
      </c>
      <c r="AD2072" t="str">
        <f t="shared" si="416"/>
        <v>Ok</v>
      </c>
      <c r="AE2072" t="str">
        <f>IF(AND(Audit_Data[[#This Row],[Year_Birth]]&gt;=1900,Audit_Data[[#This Row],[Year_Birth]]&lt;=2010),"OK","Invalid")</f>
        <v>OK</v>
      </c>
      <c r="AF2072" t="str">
        <f t="shared" si="417"/>
        <v>Valid</v>
      </c>
      <c r="AG2072" t="str">
        <f t="shared" si="418"/>
        <v>Valid</v>
      </c>
      <c r="AH2072" t="str">
        <f t="shared" si="419"/>
        <v>Valid</v>
      </c>
      <c r="AI2072" t="str">
        <f t="shared" si="420"/>
        <v>Valid</v>
      </c>
      <c r="AJ2072" t="str">
        <f t="shared" si="421"/>
        <v>Valid</v>
      </c>
      <c r="AK2072" t="str">
        <f t="shared" si="428"/>
        <v xml:space="preserve">Valid </v>
      </c>
      <c r="AL2072" t="str">
        <f>IF(AND(Audit_Data[[#This Row],[Recency]]&gt;=0,Audit_Data[[#This Row],[Recency]]&lt;=100),"Valid","Invalid")</f>
        <v>Valid</v>
      </c>
      <c r="AM2072" t="str">
        <f t="shared" si="422"/>
        <v>Valid</v>
      </c>
      <c r="AN2072" t="str">
        <f t="shared" si="423"/>
        <v>Valid</v>
      </c>
      <c r="AO2072" t="str">
        <f t="shared" si="424"/>
        <v>Valid</v>
      </c>
      <c r="AP2072" t="str">
        <f t="shared" si="425"/>
        <v>Valid</v>
      </c>
      <c r="AQ2072" t="str">
        <f>IF(Audit_Data[[#This Row],[Z_CostContact]]=3,"Valid","Invalid")</f>
        <v>Valid</v>
      </c>
      <c r="AR2072" t="str">
        <f t="shared" si="426"/>
        <v>Valid</v>
      </c>
      <c r="AS2072" t="str">
        <f t="shared" si="427"/>
        <v>Valid</v>
      </c>
    </row>
    <row r="2073" spans="1:45" x14ac:dyDescent="0.3">
      <c r="A2073">
        <v>2712</v>
      </c>
      <c r="B2073">
        <v>1956</v>
      </c>
      <c r="C2073" t="s">
        <v>29</v>
      </c>
      <c r="D2073" t="s">
        <v>33</v>
      </c>
      <c r="E2073">
        <v>71866</v>
      </c>
      <c r="F2073">
        <v>0</v>
      </c>
      <c r="G2073">
        <v>1</v>
      </c>
      <c r="H2073" s="1">
        <v>41633</v>
      </c>
      <c r="I2073">
        <v>85</v>
      </c>
      <c r="J2073">
        <v>184</v>
      </c>
      <c r="K2073">
        <v>178</v>
      </c>
      <c r="L2073">
        <v>178</v>
      </c>
      <c r="M2073">
        <v>103</v>
      </c>
      <c r="N2073">
        <v>39</v>
      </c>
      <c r="O2073">
        <v>33</v>
      </c>
      <c r="P2073">
        <v>1</v>
      </c>
      <c r="Q2073">
        <v>6</v>
      </c>
      <c r="R2073">
        <v>3</v>
      </c>
      <c r="S2073">
        <v>10</v>
      </c>
      <c r="T2073">
        <v>3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3</v>
      </c>
      <c r="AB2073">
        <v>11</v>
      </c>
      <c r="AC2073">
        <v>0</v>
      </c>
      <c r="AD2073" t="str">
        <f t="shared" si="416"/>
        <v>Ok</v>
      </c>
      <c r="AE2073" t="str">
        <f>IF(AND(Audit_Data[[#This Row],[Year_Birth]]&gt;=1900,Audit_Data[[#This Row],[Year_Birth]]&lt;=2010),"OK","Invalid")</f>
        <v>OK</v>
      </c>
      <c r="AF2073" t="str">
        <f t="shared" si="417"/>
        <v>Valid</v>
      </c>
      <c r="AG2073" t="str">
        <f t="shared" si="418"/>
        <v>Valid</v>
      </c>
      <c r="AH2073" t="str">
        <f t="shared" si="419"/>
        <v>Valid</v>
      </c>
      <c r="AI2073" t="str">
        <f t="shared" si="420"/>
        <v>Valid</v>
      </c>
      <c r="AJ2073" t="str">
        <f t="shared" si="421"/>
        <v>Valid</v>
      </c>
      <c r="AK2073" t="str">
        <f t="shared" si="428"/>
        <v xml:space="preserve">Valid </v>
      </c>
      <c r="AL2073" t="str">
        <f>IF(AND(Audit_Data[[#This Row],[Recency]]&gt;=0,Audit_Data[[#This Row],[Recency]]&lt;=100),"Valid","Invalid")</f>
        <v>Valid</v>
      </c>
      <c r="AM2073" t="str">
        <f t="shared" si="422"/>
        <v>Valid</v>
      </c>
      <c r="AN2073" t="str">
        <f t="shared" si="423"/>
        <v>Valid</v>
      </c>
      <c r="AO2073" t="str">
        <f t="shared" si="424"/>
        <v>Valid</v>
      </c>
      <c r="AP2073" t="str">
        <f t="shared" si="425"/>
        <v>Valid</v>
      </c>
      <c r="AQ2073" t="str">
        <f>IF(Audit_Data[[#This Row],[Z_CostContact]]=3,"Valid","Invalid")</f>
        <v>Valid</v>
      </c>
      <c r="AR2073" t="str">
        <f t="shared" si="426"/>
        <v>Valid</v>
      </c>
      <c r="AS2073" t="str">
        <f t="shared" si="427"/>
        <v>Valid</v>
      </c>
    </row>
    <row r="2074" spans="1:45" x14ac:dyDescent="0.3">
      <c r="A2074">
        <v>5517</v>
      </c>
      <c r="B2074">
        <v>1969</v>
      </c>
      <c r="C2074" t="s">
        <v>29</v>
      </c>
      <c r="D2074" t="s">
        <v>33</v>
      </c>
      <c r="E2074">
        <v>25293</v>
      </c>
      <c r="F2074">
        <v>1</v>
      </c>
      <c r="G2074">
        <v>0</v>
      </c>
      <c r="H2074" s="1">
        <v>41532</v>
      </c>
      <c r="I2074">
        <v>51</v>
      </c>
      <c r="J2074">
        <v>15</v>
      </c>
      <c r="K2074">
        <v>0</v>
      </c>
      <c r="L2074">
        <v>11</v>
      </c>
      <c r="M2074">
        <v>0</v>
      </c>
      <c r="N2074">
        <v>2</v>
      </c>
      <c r="O2074">
        <v>9</v>
      </c>
      <c r="P2074">
        <v>1</v>
      </c>
      <c r="Q2074">
        <v>1</v>
      </c>
      <c r="R2074">
        <v>1</v>
      </c>
      <c r="S2074">
        <v>2</v>
      </c>
      <c r="T2074">
        <v>8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3</v>
      </c>
      <c r="AB2074">
        <v>11</v>
      </c>
      <c r="AC2074">
        <v>0</v>
      </c>
      <c r="AD2074" t="str">
        <f t="shared" si="416"/>
        <v>Ok</v>
      </c>
      <c r="AE2074" t="str">
        <f>IF(AND(Audit_Data[[#This Row],[Year_Birth]]&gt;=1900,Audit_Data[[#This Row],[Year_Birth]]&lt;=2010),"OK","Invalid")</f>
        <v>OK</v>
      </c>
      <c r="AF2074" t="str">
        <f t="shared" si="417"/>
        <v>Valid</v>
      </c>
      <c r="AG2074" t="str">
        <f t="shared" si="418"/>
        <v>Valid</v>
      </c>
      <c r="AH2074" t="str">
        <f t="shared" si="419"/>
        <v>Valid</v>
      </c>
      <c r="AI2074" t="str">
        <f t="shared" si="420"/>
        <v>Valid</v>
      </c>
      <c r="AJ2074" t="str">
        <f t="shared" si="421"/>
        <v>Valid</v>
      </c>
      <c r="AK2074" t="str">
        <f t="shared" si="428"/>
        <v xml:space="preserve">Valid </v>
      </c>
      <c r="AL2074" t="str">
        <f>IF(AND(Audit_Data[[#This Row],[Recency]]&gt;=0,Audit_Data[[#This Row],[Recency]]&lt;=100),"Valid","Invalid")</f>
        <v>Valid</v>
      </c>
      <c r="AM2074" t="str">
        <f t="shared" si="422"/>
        <v>Valid</v>
      </c>
      <c r="AN2074" t="str">
        <f t="shared" si="423"/>
        <v>Valid</v>
      </c>
      <c r="AO2074" t="str">
        <f t="shared" si="424"/>
        <v>Valid</v>
      </c>
      <c r="AP2074" t="str">
        <f t="shared" si="425"/>
        <v>Valid</v>
      </c>
      <c r="AQ2074" t="str">
        <f>IF(Audit_Data[[#This Row],[Z_CostContact]]=3,"Valid","Invalid")</f>
        <v>Valid</v>
      </c>
      <c r="AR2074" t="str">
        <f t="shared" si="426"/>
        <v>Valid</v>
      </c>
      <c r="AS2074" t="str">
        <f t="shared" si="427"/>
        <v>Valid</v>
      </c>
    </row>
    <row r="2075" spans="1:45" x14ac:dyDescent="0.3">
      <c r="A2075">
        <v>10643</v>
      </c>
      <c r="B2075">
        <v>1987</v>
      </c>
      <c r="C2075" t="s">
        <v>32</v>
      </c>
      <c r="D2075" t="s">
        <v>30</v>
      </c>
      <c r="E2075">
        <v>42000</v>
      </c>
      <c r="F2075">
        <v>0</v>
      </c>
      <c r="G2075">
        <v>0</v>
      </c>
      <c r="H2075" s="1">
        <v>41284</v>
      </c>
      <c r="I2075">
        <v>23</v>
      </c>
      <c r="J2075">
        <v>124</v>
      </c>
      <c r="K2075">
        <v>83</v>
      </c>
      <c r="L2075">
        <v>267</v>
      </c>
      <c r="M2075">
        <v>85</v>
      </c>
      <c r="N2075">
        <v>59</v>
      </c>
      <c r="O2075">
        <v>35</v>
      </c>
      <c r="P2075">
        <v>2</v>
      </c>
      <c r="Q2075">
        <v>5</v>
      </c>
      <c r="R2075">
        <v>2</v>
      </c>
      <c r="S2075">
        <v>11</v>
      </c>
      <c r="T2075">
        <v>5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3</v>
      </c>
      <c r="AB2075">
        <v>11</v>
      </c>
      <c r="AC2075">
        <v>1</v>
      </c>
      <c r="AD2075" t="str">
        <f t="shared" si="416"/>
        <v>Ok</v>
      </c>
      <c r="AE2075" t="str">
        <f>IF(AND(Audit_Data[[#This Row],[Year_Birth]]&gt;=1900,Audit_Data[[#This Row],[Year_Birth]]&lt;=2010),"OK","Invalid")</f>
        <v>OK</v>
      </c>
      <c r="AF2075" t="str">
        <f t="shared" si="417"/>
        <v>Valid</v>
      </c>
      <c r="AG2075" t="str">
        <f t="shared" si="418"/>
        <v>Valid</v>
      </c>
      <c r="AH2075" t="str">
        <f t="shared" si="419"/>
        <v>Valid</v>
      </c>
      <c r="AI2075" t="str">
        <f t="shared" si="420"/>
        <v>Valid</v>
      </c>
      <c r="AJ2075" t="str">
        <f t="shared" si="421"/>
        <v>Valid</v>
      </c>
      <c r="AK2075" t="str">
        <f t="shared" si="428"/>
        <v xml:space="preserve">Valid </v>
      </c>
      <c r="AL2075" t="str">
        <f>IF(AND(Audit_Data[[#This Row],[Recency]]&gt;=0,Audit_Data[[#This Row],[Recency]]&lt;=100),"Valid","Invalid")</f>
        <v>Valid</v>
      </c>
      <c r="AM2075" t="str">
        <f t="shared" si="422"/>
        <v>Valid</v>
      </c>
      <c r="AN2075" t="str">
        <f t="shared" si="423"/>
        <v>Valid</v>
      </c>
      <c r="AO2075" t="str">
        <f t="shared" si="424"/>
        <v>Valid</v>
      </c>
      <c r="AP2075" t="str">
        <f t="shared" si="425"/>
        <v>Valid</v>
      </c>
      <c r="AQ2075" t="str">
        <f>IF(Audit_Data[[#This Row],[Z_CostContact]]=3,"Valid","Invalid")</f>
        <v>Valid</v>
      </c>
      <c r="AR2075" t="str">
        <f t="shared" si="426"/>
        <v>Valid</v>
      </c>
      <c r="AS2075" t="str">
        <f t="shared" si="427"/>
        <v>Valid</v>
      </c>
    </row>
    <row r="2076" spans="1:45" x14ac:dyDescent="0.3">
      <c r="A2076">
        <v>2254</v>
      </c>
      <c r="B2076">
        <v>1983</v>
      </c>
      <c r="C2076" t="s">
        <v>29</v>
      </c>
      <c r="D2076" t="s">
        <v>33</v>
      </c>
      <c r="E2076">
        <v>69520</v>
      </c>
      <c r="F2076">
        <v>0</v>
      </c>
      <c r="G2076">
        <v>0</v>
      </c>
      <c r="H2076" s="1">
        <v>41462</v>
      </c>
      <c r="I2076">
        <v>95</v>
      </c>
      <c r="J2076">
        <v>627</v>
      </c>
      <c r="K2076">
        <v>120</v>
      </c>
      <c r="L2076">
        <v>414</v>
      </c>
      <c r="M2076">
        <v>121</v>
      </c>
      <c r="N2076">
        <v>80</v>
      </c>
      <c r="O2076">
        <v>93</v>
      </c>
      <c r="P2076">
        <v>1</v>
      </c>
      <c r="Q2076">
        <v>9</v>
      </c>
      <c r="R2076">
        <v>6</v>
      </c>
      <c r="S2076">
        <v>5</v>
      </c>
      <c r="T2076">
        <v>5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3</v>
      </c>
      <c r="AB2076">
        <v>11</v>
      </c>
      <c r="AC2076">
        <v>0</v>
      </c>
      <c r="AD2076" t="str">
        <f t="shared" si="416"/>
        <v>Ok</v>
      </c>
      <c r="AE2076" t="str">
        <f>IF(AND(Audit_Data[[#This Row],[Year_Birth]]&gt;=1900,Audit_Data[[#This Row],[Year_Birth]]&lt;=2010),"OK","Invalid")</f>
        <v>OK</v>
      </c>
      <c r="AF2076" t="str">
        <f t="shared" si="417"/>
        <v>Valid</v>
      </c>
      <c r="AG2076" t="str">
        <f t="shared" si="418"/>
        <v>Valid</v>
      </c>
      <c r="AH2076" t="str">
        <f t="shared" si="419"/>
        <v>Valid</v>
      </c>
      <c r="AI2076" t="str">
        <f t="shared" si="420"/>
        <v>Valid</v>
      </c>
      <c r="AJ2076" t="str">
        <f t="shared" si="421"/>
        <v>Valid</v>
      </c>
      <c r="AK2076" t="str">
        <f t="shared" si="428"/>
        <v xml:space="preserve">Valid </v>
      </c>
      <c r="AL2076" t="str">
        <f>IF(AND(Audit_Data[[#This Row],[Recency]]&gt;=0,Audit_Data[[#This Row],[Recency]]&lt;=100),"Valid","Invalid")</f>
        <v>Valid</v>
      </c>
      <c r="AM2076" t="str">
        <f t="shared" si="422"/>
        <v>Valid</v>
      </c>
      <c r="AN2076" t="str">
        <f t="shared" si="423"/>
        <v>Valid</v>
      </c>
      <c r="AO2076" t="str">
        <f t="shared" si="424"/>
        <v>Valid</v>
      </c>
      <c r="AP2076" t="str">
        <f t="shared" si="425"/>
        <v>Valid</v>
      </c>
      <c r="AQ2076" t="str">
        <f>IF(Audit_Data[[#This Row],[Z_CostContact]]=3,"Valid","Invalid")</f>
        <v>Valid</v>
      </c>
      <c r="AR2076" t="str">
        <f t="shared" si="426"/>
        <v>Valid</v>
      </c>
      <c r="AS2076" t="str">
        <f t="shared" si="427"/>
        <v>Valid</v>
      </c>
    </row>
    <row r="2077" spans="1:45" x14ac:dyDescent="0.3">
      <c r="A2077">
        <v>10281</v>
      </c>
      <c r="B2077">
        <v>1970</v>
      </c>
      <c r="C2077" t="s">
        <v>29</v>
      </c>
      <c r="D2077" t="s">
        <v>35</v>
      </c>
      <c r="E2077">
        <v>64713</v>
      </c>
      <c r="F2077">
        <v>1</v>
      </c>
      <c r="G2077">
        <v>0</v>
      </c>
      <c r="H2077" s="1">
        <v>41677</v>
      </c>
      <c r="I2077">
        <v>11</v>
      </c>
      <c r="J2077">
        <v>180</v>
      </c>
      <c r="K2077">
        <v>60</v>
      </c>
      <c r="L2077">
        <v>241</v>
      </c>
      <c r="M2077">
        <v>13</v>
      </c>
      <c r="N2077">
        <v>54</v>
      </c>
      <c r="O2077">
        <v>54</v>
      </c>
      <c r="P2077">
        <v>2</v>
      </c>
      <c r="Q2077">
        <v>5</v>
      </c>
      <c r="R2077">
        <v>5</v>
      </c>
      <c r="S2077">
        <v>7</v>
      </c>
      <c r="T2077">
        <v>4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3</v>
      </c>
      <c r="AB2077">
        <v>11</v>
      </c>
      <c r="AC2077">
        <v>1</v>
      </c>
      <c r="AD2077" t="str">
        <f t="shared" si="416"/>
        <v>Ok</v>
      </c>
      <c r="AE2077" t="str">
        <f>IF(AND(Audit_Data[[#This Row],[Year_Birth]]&gt;=1900,Audit_Data[[#This Row],[Year_Birth]]&lt;=2010),"OK","Invalid")</f>
        <v>OK</v>
      </c>
      <c r="AF2077" t="str">
        <f t="shared" si="417"/>
        <v>Valid</v>
      </c>
      <c r="AG2077" t="str">
        <f t="shared" si="418"/>
        <v>Valid</v>
      </c>
      <c r="AH2077" t="str">
        <f t="shared" si="419"/>
        <v>Valid</v>
      </c>
      <c r="AI2077" t="str">
        <f t="shared" si="420"/>
        <v>Valid</v>
      </c>
      <c r="AJ2077" t="str">
        <f t="shared" si="421"/>
        <v>Valid</v>
      </c>
      <c r="AK2077" t="str">
        <f t="shared" si="428"/>
        <v xml:space="preserve">Valid </v>
      </c>
      <c r="AL2077" t="str">
        <f>IF(AND(Audit_Data[[#This Row],[Recency]]&gt;=0,Audit_Data[[#This Row],[Recency]]&lt;=100),"Valid","Invalid")</f>
        <v>Valid</v>
      </c>
      <c r="AM2077" t="str">
        <f t="shared" si="422"/>
        <v>Valid</v>
      </c>
      <c r="AN2077" t="str">
        <f t="shared" si="423"/>
        <v>Valid</v>
      </c>
      <c r="AO2077" t="str">
        <f t="shared" si="424"/>
        <v>Valid</v>
      </c>
      <c r="AP2077" t="str">
        <f t="shared" si="425"/>
        <v>Valid</v>
      </c>
      <c r="AQ2077" t="str">
        <f>IF(Audit_Data[[#This Row],[Z_CostContact]]=3,"Valid","Invalid")</f>
        <v>Valid</v>
      </c>
      <c r="AR2077" t="str">
        <f t="shared" si="426"/>
        <v>Valid</v>
      </c>
      <c r="AS2077" t="str">
        <f t="shared" si="427"/>
        <v>Valid</v>
      </c>
    </row>
    <row r="2078" spans="1:45" x14ac:dyDescent="0.3">
      <c r="A2078">
        <v>6958</v>
      </c>
      <c r="B2078">
        <v>1977</v>
      </c>
      <c r="C2078" t="s">
        <v>34</v>
      </c>
      <c r="D2078" t="s">
        <v>33</v>
      </c>
      <c r="E2078">
        <v>27889</v>
      </c>
      <c r="F2078">
        <v>1</v>
      </c>
      <c r="G2078">
        <v>0</v>
      </c>
      <c r="H2078" s="1">
        <v>41460</v>
      </c>
      <c r="I2078">
        <v>42</v>
      </c>
      <c r="J2078">
        <v>14</v>
      </c>
      <c r="K2078">
        <v>0</v>
      </c>
      <c r="L2078">
        <v>4</v>
      </c>
      <c r="M2078">
        <v>0</v>
      </c>
      <c r="N2078">
        <v>0</v>
      </c>
      <c r="O2078">
        <v>8</v>
      </c>
      <c r="P2078">
        <v>1</v>
      </c>
      <c r="Q2078">
        <v>1</v>
      </c>
      <c r="R2078">
        <v>1</v>
      </c>
      <c r="S2078">
        <v>2</v>
      </c>
      <c r="T2078">
        <v>6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3</v>
      </c>
      <c r="AB2078">
        <v>11</v>
      </c>
      <c r="AC2078">
        <v>0</v>
      </c>
      <c r="AD2078" t="str">
        <f t="shared" si="416"/>
        <v>Ok</v>
      </c>
      <c r="AE2078" t="str">
        <f>IF(AND(Audit_Data[[#This Row],[Year_Birth]]&gt;=1900,Audit_Data[[#This Row],[Year_Birth]]&lt;=2010),"OK","Invalid")</f>
        <v>OK</v>
      </c>
      <c r="AF2078" t="str">
        <f t="shared" si="417"/>
        <v>Valid</v>
      </c>
      <c r="AG2078" t="str">
        <f t="shared" si="418"/>
        <v>Valid</v>
      </c>
      <c r="AH2078" t="str">
        <f t="shared" si="419"/>
        <v>Valid</v>
      </c>
      <c r="AI2078" t="str">
        <f t="shared" si="420"/>
        <v>Valid</v>
      </c>
      <c r="AJ2078" t="str">
        <f t="shared" si="421"/>
        <v>Valid</v>
      </c>
      <c r="AK2078" t="str">
        <f t="shared" si="428"/>
        <v xml:space="preserve">Valid </v>
      </c>
      <c r="AL2078" t="str">
        <f>IF(AND(Audit_Data[[#This Row],[Recency]]&gt;=0,Audit_Data[[#This Row],[Recency]]&lt;=100),"Valid","Invalid")</f>
        <v>Valid</v>
      </c>
      <c r="AM2078" t="str">
        <f t="shared" si="422"/>
        <v>Valid</v>
      </c>
      <c r="AN2078" t="str">
        <f t="shared" si="423"/>
        <v>Valid</v>
      </c>
      <c r="AO2078" t="str">
        <f t="shared" si="424"/>
        <v>Valid</v>
      </c>
      <c r="AP2078" t="str">
        <f t="shared" si="425"/>
        <v>Valid</v>
      </c>
      <c r="AQ2078" t="str">
        <f>IF(Audit_Data[[#This Row],[Z_CostContact]]=3,"Valid","Invalid")</f>
        <v>Valid</v>
      </c>
      <c r="AR2078" t="str">
        <f t="shared" si="426"/>
        <v>Valid</v>
      </c>
      <c r="AS2078" t="str">
        <f t="shared" si="427"/>
        <v>Valid</v>
      </c>
    </row>
    <row r="2079" spans="1:45" x14ac:dyDescent="0.3">
      <c r="A2079">
        <v>954</v>
      </c>
      <c r="B2079">
        <v>1960</v>
      </c>
      <c r="C2079" t="s">
        <v>36</v>
      </c>
      <c r="D2079" t="s">
        <v>38</v>
      </c>
      <c r="E2079">
        <v>22123</v>
      </c>
      <c r="F2079">
        <v>0</v>
      </c>
      <c r="G2079">
        <v>0</v>
      </c>
      <c r="H2079" s="1">
        <v>41725</v>
      </c>
      <c r="I2079">
        <v>77</v>
      </c>
      <c r="J2079">
        <v>3</v>
      </c>
      <c r="K2079">
        <v>3</v>
      </c>
      <c r="L2079">
        <v>24</v>
      </c>
      <c r="M2079">
        <v>34</v>
      </c>
      <c r="N2079">
        <v>7</v>
      </c>
      <c r="O2079">
        <v>31</v>
      </c>
      <c r="P2079">
        <v>1</v>
      </c>
      <c r="Q2079">
        <v>2</v>
      </c>
      <c r="R2079">
        <v>1</v>
      </c>
      <c r="S2079">
        <v>3</v>
      </c>
      <c r="T2079">
        <v>5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3</v>
      </c>
      <c r="AB2079">
        <v>11</v>
      </c>
      <c r="AC2079">
        <v>0</v>
      </c>
      <c r="AD2079" t="str">
        <f t="shared" si="416"/>
        <v>Ok</v>
      </c>
      <c r="AE2079" t="str">
        <f>IF(AND(Audit_Data[[#This Row],[Year_Birth]]&gt;=1900,Audit_Data[[#This Row],[Year_Birth]]&lt;=2010),"OK","Invalid")</f>
        <v>OK</v>
      </c>
      <c r="AF2079" t="str">
        <f t="shared" si="417"/>
        <v>Valid</v>
      </c>
      <c r="AG2079" t="str">
        <f t="shared" si="418"/>
        <v>Valid</v>
      </c>
      <c r="AH2079" t="str">
        <f t="shared" si="419"/>
        <v>Valid</v>
      </c>
      <c r="AI2079" t="str">
        <f t="shared" si="420"/>
        <v>Valid</v>
      </c>
      <c r="AJ2079" t="str">
        <f t="shared" si="421"/>
        <v>Valid</v>
      </c>
      <c r="AK2079" t="str">
        <f t="shared" si="428"/>
        <v xml:space="preserve">Valid </v>
      </c>
      <c r="AL2079" t="str">
        <f>IF(AND(Audit_Data[[#This Row],[Recency]]&gt;=0,Audit_Data[[#This Row],[Recency]]&lt;=100),"Valid","Invalid")</f>
        <v>Valid</v>
      </c>
      <c r="AM2079" t="str">
        <f t="shared" si="422"/>
        <v>Valid</v>
      </c>
      <c r="AN2079" t="str">
        <f t="shared" si="423"/>
        <v>Valid</v>
      </c>
      <c r="AO2079" t="str">
        <f t="shared" si="424"/>
        <v>Valid</v>
      </c>
      <c r="AP2079" t="str">
        <f t="shared" si="425"/>
        <v>Valid</v>
      </c>
      <c r="AQ2079" t="str">
        <f>IF(Audit_Data[[#This Row],[Z_CostContact]]=3,"Valid","Invalid")</f>
        <v>Valid</v>
      </c>
      <c r="AR2079" t="str">
        <f t="shared" si="426"/>
        <v>Valid</v>
      </c>
      <c r="AS2079" t="str">
        <f t="shared" si="427"/>
        <v>Valid</v>
      </c>
    </row>
    <row r="2080" spans="1:45" x14ac:dyDescent="0.3">
      <c r="A2080">
        <v>5079</v>
      </c>
      <c r="B2080">
        <v>1971</v>
      </c>
      <c r="C2080" t="s">
        <v>29</v>
      </c>
      <c r="D2080" t="s">
        <v>33</v>
      </c>
      <c r="F2080">
        <v>1</v>
      </c>
      <c r="G2080">
        <v>1</v>
      </c>
      <c r="H2080" s="1">
        <v>41336</v>
      </c>
      <c r="I2080">
        <v>82</v>
      </c>
      <c r="J2080">
        <v>71</v>
      </c>
      <c r="K2080">
        <v>1</v>
      </c>
      <c r="L2080">
        <v>16</v>
      </c>
      <c r="M2080">
        <v>0</v>
      </c>
      <c r="N2080">
        <v>0</v>
      </c>
      <c r="O2080">
        <v>9</v>
      </c>
      <c r="P2080">
        <v>4</v>
      </c>
      <c r="Q2080">
        <v>2</v>
      </c>
      <c r="R2080">
        <v>1</v>
      </c>
      <c r="S2080">
        <v>3</v>
      </c>
      <c r="T2080">
        <v>8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3</v>
      </c>
      <c r="AB2080">
        <v>11</v>
      </c>
      <c r="AC2080">
        <v>0</v>
      </c>
      <c r="AD2080" t="str">
        <f t="shared" si="416"/>
        <v>Ok</v>
      </c>
      <c r="AE2080" t="str">
        <f>IF(AND(Audit_Data[[#This Row],[Year_Birth]]&gt;=1900,Audit_Data[[#This Row],[Year_Birth]]&lt;=2010),"OK","Invalid")</f>
        <v>OK</v>
      </c>
      <c r="AF2080" t="str">
        <f t="shared" si="417"/>
        <v>Valid</v>
      </c>
      <c r="AG2080" t="str">
        <f t="shared" si="418"/>
        <v>Valid</v>
      </c>
      <c r="AH2080" t="str">
        <f t="shared" si="419"/>
        <v>Invalid</v>
      </c>
      <c r="AI2080" t="str">
        <f t="shared" si="420"/>
        <v>Valid</v>
      </c>
      <c r="AJ2080" t="str">
        <f t="shared" si="421"/>
        <v>Valid</v>
      </c>
      <c r="AK2080" t="str">
        <f t="shared" si="428"/>
        <v xml:space="preserve">Valid </v>
      </c>
      <c r="AL2080" t="str">
        <f>IF(AND(Audit_Data[[#This Row],[Recency]]&gt;=0,Audit_Data[[#This Row],[Recency]]&lt;=100),"Valid","Invalid")</f>
        <v>Valid</v>
      </c>
      <c r="AM2080" t="str">
        <f t="shared" si="422"/>
        <v>Valid</v>
      </c>
      <c r="AN2080" t="str">
        <f t="shared" si="423"/>
        <v>Valid</v>
      </c>
      <c r="AO2080" t="str">
        <f t="shared" si="424"/>
        <v>Valid</v>
      </c>
      <c r="AP2080" t="str">
        <f t="shared" si="425"/>
        <v>Valid</v>
      </c>
      <c r="AQ2080" t="str">
        <f>IF(Audit_Data[[#This Row],[Z_CostContact]]=3,"Valid","Invalid")</f>
        <v>Valid</v>
      </c>
      <c r="AR2080" t="str">
        <f t="shared" si="426"/>
        <v>Valid</v>
      </c>
      <c r="AS2080" t="str">
        <f t="shared" si="427"/>
        <v>Valid</v>
      </c>
    </row>
    <row r="2081" spans="1:45" x14ac:dyDescent="0.3">
      <c r="A2081">
        <v>10339</v>
      </c>
      <c r="B2081">
        <v>1954</v>
      </c>
      <c r="C2081" t="s">
        <v>34</v>
      </c>
      <c r="D2081" t="s">
        <v>31</v>
      </c>
      <c r="F2081">
        <v>0</v>
      </c>
      <c r="G2081">
        <v>1</v>
      </c>
      <c r="H2081" s="1">
        <v>41448</v>
      </c>
      <c r="I2081">
        <v>83</v>
      </c>
      <c r="J2081">
        <v>161</v>
      </c>
      <c r="K2081">
        <v>0</v>
      </c>
      <c r="L2081">
        <v>22</v>
      </c>
      <c r="M2081">
        <v>0</v>
      </c>
      <c r="N2081">
        <v>0</v>
      </c>
      <c r="O2081">
        <v>24</v>
      </c>
      <c r="P2081">
        <v>2</v>
      </c>
      <c r="Q2081">
        <v>4</v>
      </c>
      <c r="R2081">
        <v>1</v>
      </c>
      <c r="S2081">
        <v>4</v>
      </c>
      <c r="T2081">
        <v>6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3</v>
      </c>
      <c r="AB2081">
        <v>11</v>
      </c>
      <c r="AC2081">
        <v>0</v>
      </c>
      <c r="AD2081" t="str">
        <f t="shared" si="416"/>
        <v>Ok</v>
      </c>
      <c r="AE2081" t="str">
        <f>IF(AND(Audit_Data[[#This Row],[Year_Birth]]&gt;=1900,Audit_Data[[#This Row],[Year_Birth]]&lt;=2010),"OK","Invalid")</f>
        <v>OK</v>
      </c>
      <c r="AF2081" t="str">
        <f t="shared" si="417"/>
        <v>Valid</v>
      </c>
      <c r="AG2081" t="str">
        <f t="shared" si="418"/>
        <v>Valid</v>
      </c>
      <c r="AH2081" t="str">
        <f t="shared" si="419"/>
        <v>Invalid</v>
      </c>
      <c r="AI2081" t="str">
        <f t="shared" si="420"/>
        <v>Valid</v>
      </c>
      <c r="AJ2081" t="str">
        <f t="shared" si="421"/>
        <v>Valid</v>
      </c>
      <c r="AK2081" t="str">
        <f t="shared" si="428"/>
        <v xml:space="preserve">Valid </v>
      </c>
      <c r="AL2081" t="str">
        <f>IF(AND(Audit_Data[[#This Row],[Recency]]&gt;=0,Audit_Data[[#This Row],[Recency]]&lt;=100),"Valid","Invalid")</f>
        <v>Valid</v>
      </c>
      <c r="AM2081" t="str">
        <f t="shared" si="422"/>
        <v>Valid</v>
      </c>
      <c r="AN2081" t="str">
        <f t="shared" si="423"/>
        <v>Valid</v>
      </c>
      <c r="AO2081" t="str">
        <f t="shared" si="424"/>
        <v>Valid</v>
      </c>
      <c r="AP2081" t="str">
        <f t="shared" si="425"/>
        <v>Valid</v>
      </c>
      <c r="AQ2081" t="str">
        <f>IF(Audit_Data[[#This Row],[Z_CostContact]]=3,"Valid","Invalid")</f>
        <v>Valid</v>
      </c>
      <c r="AR2081" t="str">
        <f t="shared" si="426"/>
        <v>Valid</v>
      </c>
      <c r="AS2081" t="str">
        <f t="shared" si="427"/>
        <v>Valid</v>
      </c>
    </row>
    <row r="2082" spans="1:45" x14ac:dyDescent="0.3">
      <c r="A2082">
        <v>4643</v>
      </c>
      <c r="B2082">
        <v>1973</v>
      </c>
      <c r="C2082" t="s">
        <v>29</v>
      </c>
      <c r="D2082" t="s">
        <v>33</v>
      </c>
      <c r="E2082">
        <v>27803</v>
      </c>
      <c r="F2082">
        <v>1</v>
      </c>
      <c r="G2082">
        <v>0</v>
      </c>
      <c r="H2082" s="1">
        <v>41147</v>
      </c>
      <c r="I2082">
        <v>40</v>
      </c>
      <c r="J2082">
        <v>8</v>
      </c>
      <c r="K2082">
        <v>26</v>
      </c>
      <c r="L2082">
        <v>46</v>
      </c>
      <c r="M2082">
        <v>38</v>
      </c>
      <c r="N2082">
        <v>9</v>
      </c>
      <c r="O2082">
        <v>49</v>
      </c>
      <c r="P2082">
        <v>2</v>
      </c>
      <c r="Q2082">
        <v>3</v>
      </c>
      <c r="R2082">
        <v>0</v>
      </c>
      <c r="S2082">
        <v>4</v>
      </c>
      <c r="T2082">
        <v>8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3</v>
      </c>
      <c r="AB2082">
        <v>11</v>
      </c>
      <c r="AC2082">
        <v>0</v>
      </c>
      <c r="AD2082" t="str">
        <f t="shared" si="416"/>
        <v>Ok</v>
      </c>
      <c r="AE2082" t="str">
        <f>IF(AND(Audit_Data[[#This Row],[Year_Birth]]&gt;=1900,Audit_Data[[#This Row],[Year_Birth]]&lt;=2010),"OK","Invalid")</f>
        <v>OK</v>
      </c>
      <c r="AF2082" t="str">
        <f t="shared" si="417"/>
        <v>Valid</v>
      </c>
      <c r="AG2082" t="str">
        <f t="shared" si="418"/>
        <v>Valid</v>
      </c>
      <c r="AH2082" t="str">
        <f t="shared" si="419"/>
        <v>Valid</v>
      </c>
      <c r="AI2082" t="str">
        <f t="shared" si="420"/>
        <v>Valid</v>
      </c>
      <c r="AJ2082" t="str">
        <f t="shared" si="421"/>
        <v>Valid</v>
      </c>
      <c r="AK2082" t="str">
        <f t="shared" si="428"/>
        <v xml:space="preserve">Valid </v>
      </c>
      <c r="AL2082" t="str">
        <f>IF(AND(Audit_Data[[#This Row],[Recency]]&gt;=0,Audit_Data[[#This Row],[Recency]]&lt;=100),"Valid","Invalid")</f>
        <v>Valid</v>
      </c>
      <c r="AM2082" t="str">
        <f t="shared" si="422"/>
        <v>Valid</v>
      </c>
      <c r="AN2082" t="str">
        <f t="shared" si="423"/>
        <v>Valid</v>
      </c>
      <c r="AO2082" t="str">
        <f t="shared" si="424"/>
        <v>Valid</v>
      </c>
      <c r="AP2082" t="str">
        <f t="shared" si="425"/>
        <v>Valid</v>
      </c>
      <c r="AQ2082" t="str">
        <f>IF(Audit_Data[[#This Row],[Z_CostContact]]=3,"Valid","Invalid")</f>
        <v>Valid</v>
      </c>
      <c r="AR2082" t="str">
        <f t="shared" si="426"/>
        <v>Valid</v>
      </c>
      <c r="AS2082" t="str">
        <f t="shared" si="427"/>
        <v>Valid</v>
      </c>
    </row>
    <row r="2083" spans="1:45" x14ac:dyDescent="0.3">
      <c r="A2083">
        <v>3117</v>
      </c>
      <c r="B2083">
        <v>1955</v>
      </c>
      <c r="C2083" t="s">
        <v>29</v>
      </c>
      <c r="D2083" t="s">
        <v>30</v>
      </c>
      <c r="F2083">
        <v>0</v>
      </c>
      <c r="G2083">
        <v>1</v>
      </c>
      <c r="H2083" s="1">
        <v>41565</v>
      </c>
      <c r="I2083">
        <v>95</v>
      </c>
      <c r="J2083">
        <v>264</v>
      </c>
      <c r="K2083">
        <v>0</v>
      </c>
      <c r="L2083">
        <v>21</v>
      </c>
      <c r="M2083">
        <v>12</v>
      </c>
      <c r="N2083">
        <v>6</v>
      </c>
      <c r="O2083">
        <v>147</v>
      </c>
      <c r="P2083">
        <v>3</v>
      </c>
      <c r="Q2083">
        <v>6</v>
      </c>
      <c r="R2083">
        <v>1</v>
      </c>
      <c r="S2083">
        <v>5</v>
      </c>
      <c r="T2083">
        <v>7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3</v>
      </c>
      <c r="AB2083">
        <v>11</v>
      </c>
      <c r="AC2083">
        <v>0</v>
      </c>
      <c r="AD2083" t="str">
        <f t="shared" si="416"/>
        <v>Ok</v>
      </c>
      <c r="AE2083" t="str">
        <f>IF(AND(Audit_Data[[#This Row],[Year_Birth]]&gt;=1900,Audit_Data[[#This Row],[Year_Birth]]&lt;=2010),"OK","Invalid")</f>
        <v>OK</v>
      </c>
      <c r="AF2083" t="str">
        <f t="shared" si="417"/>
        <v>Valid</v>
      </c>
      <c r="AG2083" t="str">
        <f t="shared" si="418"/>
        <v>Valid</v>
      </c>
      <c r="AH2083" t="str">
        <f t="shared" si="419"/>
        <v>Invalid</v>
      </c>
      <c r="AI2083" t="str">
        <f t="shared" si="420"/>
        <v>Valid</v>
      </c>
      <c r="AJ2083" t="str">
        <f t="shared" si="421"/>
        <v>Valid</v>
      </c>
      <c r="AK2083" t="str">
        <f t="shared" si="428"/>
        <v xml:space="preserve">Valid </v>
      </c>
      <c r="AL2083" t="str">
        <f>IF(AND(Audit_Data[[#This Row],[Recency]]&gt;=0,Audit_Data[[#This Row],[Recency]]&lt;=100),"Valid","Invalid")</f>
        <v>Valid</v>
      </c>
      <c r="AM2083" t="str">
        <f t="shared" si="422"/>
        <v>Valid</v>
      </c>
      <c r="AN2083" t="str">
        <f t="shared" si="423"/>
        <v>Valid</v>
      </c>
      <c r="AO2083" t="str">
        <f t="shared" si="424"/>
        <v>Valid</v>
      </c>
      <c r="AP2083" t="str">
        <f t="shared" si="425"/>
        <v>Valid</v>
      </c>
      <c r="AQ2083" t="str">
        <f>IF(Audit_Data[[#This Row],[Z_CostContact]]=3,"Valid","Invalid")</f>
        <v>Valid</v>
      </c>
      <c r="AR2083" t="str">
        <f t="shared" si="426"/>
        <v>Valid</v>
      </c>
      <c r="AS2083" t="str">
        <f t="shared" si="427"/>
        <v>Valid</v>
      </c>
    </row>
    <row r="2084" spans="1:45" x14ac:dyDescent="0.3">
      <c r="A2084">
        <v>6497</v>
      </c>
      <c r="B2084">
        <v>1960</v>
      </c>
      <c r="C2084" t="s">
        <v>29</v>
      </c>
      <c r="D2084" t="s">
        <v>33</v>
      </c>
      <c r="E2084">
        <v>51651</v>
      </c>
      <c r="F2084">
        <v>0</v>
      </c>
      <c r="G2084">
        <v>1</v>
      </c>
      <c r="H2084" s="1">
        <v>41220</v>
      </c>
      <c r="I2084">
        <v>32</v>
      </c>
      <c r="J2084">
        <v>293</v>
      </c>
      <c r="K2084">
        <v>6</v>
      </c>
      <c r="L2084">
        <v>23</v>
      </c>
      <c r="M2084">
        <v>13</v>
      </c>
      <c r="N2084">
        <v>6</v>
      </c>
      <c r="O2084">
        <v>92</v>
      </c>
      <c r="P2084">
        <v>4</v>
      </c>
      <c r="Q2084">
        <v>6</v>
      </c>
      <c r="R2084">
        <v>2</v>
      </c>
      <c r="S2084">
        <v>5</v>
      </c>
      <c r="T2084">
        <v>8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3</v>
      </c>
      <c r="AB2084">
        <v>11</v>
      </c>
      <c r="AC2084">
        <v>0</v>
      </c>
      <c r="AD2084" t="str">
        <f t="shared" si="416"/>
        <v>Ok</v>
      </c>
      <c r="AE2084" t="str">
        <f>IF(AND(Audit_Data[[#This Row],[Year_Birth]]&gt;=1900,Audit_Data[[#This Row],[Year_Birth]]&lt;=2010),"OK","Invalid")</f>
        <v>OK</v>
      </c>
      <c r="AF2084" t="str">
        <f t="shared" si="417"/>
        <v>Valid</v>
      </c>
      <c r="AG2084" t="str">
        <f t="shared" si="418"/>
        <v>Valid</v>
      </c>
      <c r="AH2084" t="str">
        <f t="shared" si="419"/>
        <v>Valid</v>
      </c>
      <c r="AI2084" t="str">
        <f t="shared" si="420"/>
        <v>Valid</v>
      </c>
      <c r="AJ2084" t="str">
        <f t="shared" si="421"/>
        <v>Valid</v>
      </c>
      <c r="AK2084" t="str">
        <f t="shared" si="428"/>
        <v xml:space="preserve">Valid </v>
      </c>
      <c r="AL2084" t="str">
        <f>IF(AND(Audit_Data[[#This Row],[Recency]]&gt;=0,Audit_Data[[#This Row],[Recency]]&lt;=100),"Valid","Invalid")</f>
        <v>Valid</v>
      </c>
      <c r="AM2084" t="str">
        <f t="shared" si="422"/>
        <v>Valid</v>
      </c>
      <c r="AN2084" t="str">
        <f t="shared" si="423"/>
        <v>Valid</v>
      </c>
      <c r="AO2084" t="str">
        <f t="shared" si="424"/>
        <v>Valid</v>
      </c>
      <c r="AP2084" t="str">
        <f t="shared" si="425"/>
        <v>Valid</v>
      </c>
      <c r="AQ2084" t="str">
        <f>IF(Audit_Data[[#This Row],[Z_CostContact]]=3,"Valid","Invalid")</f>
        <v>Valid</v>
      </c>
      <c r="AR2084" t="str">
        <f t="shared" si="426"/>
        <v>Valid</v>
      </c>
      <c r="AS2084" t="str">
        <f t="shared" si="427"/>
        <v>Valid</v>
      </c>
    </row>
    <row r="2085" spans="1:45" x14ac:dyDescent="0.3">
      <c r="A2085">
        <v>5396</v>
      </c>
      <c r="B2085">
        <v>1988</v>
      </c>
      <c r="C2085" t="s">
        <v>29</v>
      </c>
      <c r="D2085" t="s">
        <v>33</v>
      </c>
      <c r="E2085">
        <v>68487</v>
      </c>
      <c r="F2085">
        <v>0</v>
      </c>
      <c r="G2085">
        <v>0</v>
      </c>
      <c r="H2085" s="1">
        <v>41287</v>
      </c>
      <c r="I2085">
        <v>48</v>
      </c>
      <c r="J2085">
        <v>758</v>
      </c>
      <c r="K2085">
        <v>12</v>
      </c>
      <c r="L2085">
        <v>385</v>
      </c>
      <c r="M2085">
        <v>33</v>
      </c>
      <c r="N2085">
        <v>89</v>
      </c>
      <c r="O2085">
        <v>89</v>
      </c>
      <c r="P2085">
        <v>1</v>
      </c>
      <c r="Q2085">
        <v>9</v>
      </c>
      <c r="R2085">
        <v>7</v>
      </c>
      <c r="S2085">
        <v>13</v>
      </c>
      <c r="T2085">
        <v>4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3</v>
      </c>
      <c r="AB2085">
        <v>11</v>
      </c>
      <c r="AC2085">
        <v>0</v>
      </c>
      <c r="AD2085" t="str">
        <f t="shared" si="416"/>
        <v>Ok</v>
      </c>
      <c r="AE2085" t="str">
        <f>IF(AND(Audit_Data[[#This Row],[Year_Birth]]&gt;=1900,Audit_Data[[#This Row],[Year_Birth]]&lt;=2010),"OK","Invalid")</f>
        <v>OK</v>
      </c>
      <c r="AF2085" t="str">
        <f t="shared" si="417"/>
        <v>Valid</v>
      </c>
      <c r="AG2085" t="str">
        <f t="shared" si="418"/>
        <v>Valid</v>
      </c>
      <c r="AH2085" t="str">
        <f t="shared" si="419"/>
        <v>Valid</v>
      </c>
      <c r="AI2085" t="str">
        <f t="shared" si="420"/>
        <v>Valid</v>
      </c>
      <c r="AJ2085" t="str">
        <f t="shared" si="421"/>
        <v>Valid</v>
      </c>
      <c r="AK2085" t="str">
        <f t="shared" si="428"/>
        <v xml:space="preserve">Valid </v>
      </c>
      <c r="AL2085" t="str">
        <f>IF(AND(Audit_Data[[#This Row],[Recency]]&gt;=0,Audit_Data[[#This Row],[Recency]]&lt;=100),"Valid","Invalid")</f>
        <v>Valid</v>
      </c>
      <c r="AM2085" t="str">
        <f t="shared" si="422"/>
        <v>Valid</v>
      </c>
      <c r="AN2085" t="str">
        <f t="shared" si="423"/>
        <v>Valid</v>
      </c>
      <c r="AO2085" t="str">
        <f t="shared" si="424"/>
        <v>Valid</v>
      </c>
      <c r="AP2085" t="str">
        <f t="shared" si="425"/>
        <v>Valid</v>
      </c>
      <c r="AQ2085" t="str">
        <f>IF(Audit_Data[[#This Row],[Z_CostContact]]=3,"Valid","Invalid")</f>
        <v>Valid</v>
      </c>
      <c r="AR2085" t="str">
        <f t="shared" si="426"/>
        <v>Valid</v>
      </c>
      <c r="AS2085" t="str">
        <f t="shared" si="427"/>
        <v>Valid</v>
      </c>
    </row>
    <row r="2086" spans="1:45" x14ac:dyDescent="0.3">
      <c r="A2086">
        <v>5250</v>
      </c>
      <c r="B2086">
        <v>1943</v>
      </c>
      <c r="C2086" t="s">
        <v>34</v>
      </c>
      <c r="D2086" t="s">
        <v>38</v>
      </c>
      <c r="F2086">
        <v>0</v>
      </c>
      <c r="G2086">
        <v>0</v>
      </c>
      <c r="H2086" s="1">
        <v>41577</v>
      </c>
      <c r="I2086">
        <v>75</v>
      </c>
      <c r="J2086">
        <v>532</v>
      </c>
      <c r="K2086">
        <v>126</v>
      </c>
      <c r="L2086">
        <v>490</v>
      </c>
      <c r="M2086">
        <v>164</v>
      </c>
      <c r="N2086">
        <v>126</v>
      </c>
      <c r="O2086">
        <v>126</v>
      </c>
      <c r="P2086">
        <v>1</v>
      </c>
      <c r="Q2086">
        <v>5</v>
      </c>
      <c r="R2086">
        <v>5</v>
      </c>
      <c r="S2086">
        <v>11</v>
      </c>
      <c r="T2086">
        <v>1</v>
      </c>
      <c r="U2086">
        <v>0</v>
      </c>
      <c r="V2086">
        <v>0</v>
      </c>
      <c r="W2086">
        <v>1</v>
      </c>
      <c r="X2086">
        <v>0</v>
      </c>
      <c r="Y2086">
        <v>0</v>
      </c>
      <c r="Z2086">
        <v>0</v>
      </c>
      <c r="AA2086">
        <v>3</v>
      </c>
      <c r="AB2086">
        <v>11</v>
      </c>
      <c r="AC2086">
        <v>1</v>
      </c>
      <c r="AD2086" t="str">
        <f t="shared" si="416"/>
        <v>Ok</v>
      </c>
      <c r="AE2086" t="str">
        <f>IF(AND(Audit_Data[[#This Row],[Year_Birth]]&gt;=1900,Audit_Data[[#This Row],[Year_Birth]]&lt;=2010),"OK","Invalid")</f>
        <v>OK</v>
      </c>
      <c r="AF2086" t="str">
        <f t="shared" si="417"/>
        <v>Valid</v>
      </c>
      <c r="AG2086" t="str">
        <f t="shared" si="418"/>
        <v>Valid</v>
      </c>
      <c r="AH2086" t="str">
        <f t="shared" si="419"/>
        <v>Invalid</v>
      </c>
      <c r="AI2086" t="str">
        <f t="shared" si="420"/>
        <v>Valid</v>
      </c>
      <c r="AJ2086" t="str">
        <f t="shared" si="421"/>
        <v>Valid</v>
      </c>
      <c r="AK2086" t="str">
        <f t="shared" si="428"/>
        <v xml:space="preserve">Valid </v>
      </c>
      <c r="AL2086" t="str">
        <f>IF(AND(Audit_Data[[#This Row],[Recency]]&gt;=0,Audit_Data[[#This Row],[Recency]]&lt;=100),"Valid","Invalid")</f>
        <v>Valid</v>
      </c>
      <c r="AM2086" t="str">
        <f t="shared" si="422"/>
        <v>Valid</v>
      </c>
      <c r="AN2086" t="str">
        <f t="shared" si="423"/>
        <v>Valid</v>
      </c>
      <c r="AO2086" t="str">
        <f t="shared" si="424"/>
        <v>Valid</v>
      </c>
      <c r="AP2086" t="str">
        <f t="shared" si="425"/>
        <v>Valid</v>
      </c>
      <c r="AQ2086" t="str">
        <f>IF(Audit_Data[[#This Row],[Z_CostContact]]=3,"Valid","Invalid")</f>
        <v>Valid</v>
      </c>
      <c r="AR2086" t="str">
        <f t="shared" si="426"/>
        <v>Valid</v>
      </c>
      <c r="AS2086" t="str">
        <f t="shared" si="427"/>
        <v>Valid</v>
      </c>
    </row>
    <row r="2087" spans="1:45" x14ac:dyDescent="0.3">
      <c r="A2087">
        <v>1052</v>
      </c>
      <c r="B2087">
        <v>1969</v>
      </c>
      <c r="C2087" t="s">
        <v>29</v>
      </c>
      <c r="D2087" t="s">
        <v>33</v>
      </c>
      <c r="E2087">
        <v>56796</v>
      </c>
      <c r="F2087">
        <v>0</v>
      </c>
      <c r="G2087">
        <v>1</v>
      </c>
      <c r="H2087" s="1">
        <v>41321</v>
      </c>
      <c r="I2087">
        <v>24</v>
      </c>
      <c r="J2087">
        <v>656</v>
      </c>
      <c r="K2087">
        <v>38</v>
      </c>
      <c r="L2087">
        <v>161</v>
      </c>
      <c r="M2087">
        <v>62</v>
      </c>
      <c r="N2087">
        <v>47</v>
      </c>
      <c r="O2087">
        <v>37</v>
      </c>
      <c r="P2087">
        <v>3</v>
      </c>
      <c r="Q2087">
        <v>8</v>
      </c>
      <c r="R2087">
        <v>9</v>
      </c>
      <c r="S2087">
        <v>7</v>
      </c>
      <c r="T2087">
        <v>7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3</v>
      </c>
      <c r="AB2087">
        <v>11</v>
      </c>
      <c r="AC2087">
        <v>0</v>
      </c>
      <c r="AD2087" t="str">
        <f t="shared" si="416"/>
        <v>Ok</v>
      </c>
      <c r="AE2087" t="str">
        <f>IF(AND(Audit_Data[[#This Row],[Year_Birth]]&gt;=1900,Audit_Data[[#This Row],[Year_Birth]]&lt;=2010),"OK","Invalid")</f>
        <v>OK</v>
      </c>
      <c r="AF2087" t="str">
        <f t="shared" si="417"/>
        <v>Valid</v>
      </c>
      <c r="AG2087" t="str">
        <f t="shared" si="418"/>
        <v>Valid</v>
      </c>
      <c r="AH2087" t="str">
        <f t="shared" si="419"/>
        <v>Valid</v>
      </c>
      <c r="AI2087" t="str">
        <f t="shared" si="420"/>
        <v>Valid</v>
      </c>
      <c r="AJ2087" t="str">
        <f t="shared" si="421"/>
        <v>Valid</v>
      </c>
      <c r="AK2087" t="str">
        <f t="shared" si="428"/>
        <v xml:space="preserve">Valid </v>
      </c>
      <c r="AL2087" t="str">
        <f>IF(AND(Audit_Data[[#This Row],[Recency]]&gt;=0,Audit_Data[[#This Row],[Recency]]&lt;=100),"Valid","Invalid")</f>
        <v>Valid</v>
      </c>
      <c r="AM2087" t="str">
        <f t="shared" si="422"/>
        <v>Valid</v>
      </c>
      <c r="AN2087" t="str">
        <f t="shared" si="423"/>
        <v>Valid</v>
      </c>
      <c r="AO2087" t="str">
        <f t="shared" si="424"/>
        <v>Valid</v>
      </c>
      <c r="AP2087" t="str">
        <f t="shared" si="425"/>
        <v>Valid</v>
      </c>
      <c r="AQ2087" t="str">
        <f>IF(Audit_Data[[#This Row],[Z_CostContact]]=3,"Valid","Invalid")</f>
        <v>Valid</v>
      </c>
      <c r="AR2087" t="str">
        <f t="shared" si="426"/>
        <v>Valid</v>
      </c>
      <c r="AS2087" t="str">
        <f t="shared" si="427"/>
        <v>Valid</v>
      </c>
    </row>
    <row r="2088" spans="1:45" x14ac:dyDescent="0.3">
      <c r="A2088">
        <v>2802</v>
      </c>
      <c r="B2088">
        <v>1992</v>
      </c>
      <c r="C2088" t="s">
        <v>37</v>
      </c>
      <c r="D2088" t="s">
        <v>33</v>
      </c>
      <c r="E2088">
        <v>87000</v>
      </c>
      <c r="F2088">
        <v>0</v>
      </c>
      <c r="G2088">
        <v>0</v>
      </c>
      <c r="H2088" s="1">
        <v>41258</v>
      </c>
      <c r="I2088">
        <v>61</v>
      </c>
      <c r="J2088">
        <v>196</v>
      </c>
      <c r="K2088">
        <v>25</v>
      </c>
      <c r="L2088">
        <v>607</v>
      </c>
      <c r="M2088">
        <v>67</v>
      </c>
      <c r="N2088">
        <v>17</v>
      </c>
      <c r="O2088">
        <v>49</v>
      </c>
      <c r="P2088">
        <v>1</v>
      </c>
      <c r="Q2088">
        <v>4</v>
      </c>
      <c r="R2088">
        <v>6</v>
      </c>
      <c r="S2088">
        <v>7</v>
      </c>
      <c r="T2088">
        <v>2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3</v>
      </c>
      <c r="AB2088">
        <v>11</v>
      </c>
      <c r="AC2088">
        <v>0</v>
      </c>
      <c r="AD2088" t="str">
        <f t="shared" si="416"/>
        <v>Ok</v>
      </c>
      <c r="AE2088" t="str">
        <f>IF(AND(Audit_Data[[#This Row],[Year_Birth]]&gt;=1900,Audit_Data[[#This Row],[Year_Birth]]&lt;=2010),"OK","Invalid")</f>
        <v>OK</v>
      </c>
      <c r="AF2088" t="str">
        <f t="shared" si="417"/>
        <v>Valid</v>
      </c>
      <c r="AG2088" t="str">
        <f t="shared" si="418"/>
        <v>Valid</v>
      </c>
      <c r="AH2088" t="str">
        <f t="shared" si="419"/>
        <v>Valid</v>
      </c>
      <c r="AI2088" t="str">
        <f t="shared" si="420"/>
        <v>Valid</v>
      </c>
      <c r="AJ2088" t="str">
        <f t="shared" si="421"/>
        <v>Valid</v>
      </c>
      <c r="AK2088" t="str">
        <f t="shared" si="428"/>
        <v xml:space="preserve">Valid </v>
      </c>
      <c r="AL2088" t="str">
        <f>IF(AND(Audit_Data[[#This Row],[Recency]]&gt;=0,Audit_Data[[#This Row],[Recency]]&lt;=100),"Valid","Invalid")</f>
        <v>Valid</v>
      </c>
      <c r="AM2088" t="str">
        <f t="shared" si="422"/>
        <v>Valid</v>
      </c>
      <c r="AN2088" t="str">
        <f t="shared" si="423"/>
        <v>Valid</v>
      </c>
      <c r="AO2088" t="str">
        <f t="shared" si="424"/>
        <v>Valid</v>
      </c>
      <c r="AP2088" t="str">
        <f t="shared" si="425"/>
        <v>Valid</v>
      </c>
      <c r="AQ2088" t="str">
        <f>IF(Audit_Data[[#This Row],[Z_CostContact]]=3,"Valid","Invalid")</f>
        <v>Valid</v>
      </c>
      <c r="AR2088" t="str">
        <f t="shared" si="426"/>
        <v>Valid</v>
      </c>
      <c r="AS2088" t="str">
        <f t="shared" si="427"/>
        <v>Valid</v>
      </c>
    </row>
    <row r="2089" spans="1:45" x14ac:dyDescent="0.3">
      <c r="A2089">
        <v>6343</v>
      </c>
      <c r="B2089">
        <v>1959</v>
      </c>
      <c r="C2089" t="s">
        <v>29</v>
      </c>
      <c r="D2089" t="s">
        <v>33</v>
      </c>
      <c r="E2089">
        <v>79823</v>
      </c>
      <c r="F2089">
        <v>0</v>
      </c>
      <c r="G2089">
        <v>1</v>
      </c>
      <c r="H2089" s="1">
        <v>41729</v>
      </c>
      <c r="I2089">
        <v>6</v>
      </c>
      <c r="J2089">
        <v>835</v>
      </c>
      <c r="K2089">
        <v>73</v>
      </c>
      <c r="L2089">
        <v>380</v>
      </c>
      <c r="M2089">
        <v>114</v>
      </c>
      <c r="N2089">
        <v>73</v>
      </c>
      <c r="O2089">
        <v>43</v>
      </c>
      <c r="P2089">
        <v>1</v>
      </c>
      <c r="Q2089">
        <v>6</v>
      </c>
      <c r="R2089">
        <v>9</v>
      </c>
      <c r="S2089">
        <v>7</v>
      </c>
      <c r="T2089">
        <v>2</v>
      </c>
      <c r="U2089">
        <v>0</v>
      </c>
      <c r="V2089">
        <v>1</v>
      </c>
      <c r="W2089">
        <v>0</v>
      </c>
      <c r="X2089">
        <v>0</v>
      </c>
      <c r="Y2089">
        <v>0</v>
      </c>
      <c r="Z2089">
        <v>0</v>
      </c>
      <c r="AA2089">
        <v>3</v>
      </c>
      <c r="AB2089">
        <v>11</v>
      </c>
      <c r="AC2089">
        <v>0</v>
      </c>
      <c r="AD2089" t="str">
        <f t="shared" si="416"/>
        <v>Ok</v>
      </c>
      <c r="AE2089" t="str">
        <f>IF(AND(Audit_Data[[#This Row],[Year_Birth]]&gt;=1900,Audit_Data[[#This Row],[Year_Birth]]&lt;=2010),"OK","Invalid")</f>
        <v>OK</v>
      </c>
      <c r="AF2089" t="str">
        <f t="shared" si="417"/>
        <v>Valid</v>
      </c>
      <c r="AG2089" t="str">
        <f t="shared" si="418"/>
        <v>Valid</v>
      </c>
      <c r="AH2089" t="str">
        <f t="shared" si="419"/>
        <v>Valid</v>
      </c>
      <c r="AI2089" t="str">
        <f t="shared" si="420"/>
        <v>Valid</v>
      </c>
      <c r="AJ2089" t="str">
        <f t="shared" si="421"/>
        <v>Valid</v>
      </c>
      <c r="AK2089" t="str">
        <f t="shared" si="428"/>
        <v xml:space="preserve">Valid </v>
      </c>
      <c r="AL2089" t="str">
        <f>IF(AND(Audit_Data[[#This Row],[Recency]]&gt;=0,Audit_Data[[#This Row],[Recency]]&lt;=100),"Valid","Invalid")</f>
        <v>Valid</v>
      </c>
      <c r="AM2089" t="str">
        <f t="shared" si="422"/>
        <v>Valid</v>
      </c>
      <c r="AN2089" t="str">
        <f t="shared" si="423"/>
        <v>Valid</v>
      </c>
      <c r="AO2089" t="str">
        <f t="shared" si="424"/>
        <v>Valid</v>
      </c>
      <c r="AP2089" t="str">
        <f t="shared" si="425"/>
        <v>Valid</v>
      </c>
      <c r="AQ2089" t="str">
        <f>IF(Audit_Data[[#This Row],[Z_CostContact]]=3,"Valid","Invalid")</f>
        <v>Valid</v>
      </c>
      <c r="AR2089" t="str">
        <f t="shared" si="426"/>
        <v>Valid</v>
      </c>
      <c r="AS2089" t="str">
        <f t="shared" si="427"/>
        <v>Valid</v>
      </c>
    </row>
    <row r="2090" spans="1:45" x14ac:dyDescent="0.3">
      <c r="A2090">
        <v>6507</v>
      </c>
      <c r="B2090">
        <v>1980</v>
      </c>
      <c r="C2090" t="s">
        <v>29</v>
      </c>
      <c r="D2090" t="s">
        <v>30</v>
      </c>
      <c r="E2090">
        <v>30828</v>
      </c>
      <c r="F2090">
        <v>1</v>
      </c>
      <c r="G2090">
        <v>0</v>
      </c>
      <c r="H2090" s="1">
        <v>41551</v>
      </c>
      <c r="I2090">
        <v>16</v>
      </c>
      <c r="J2090">
        <v>16</v>
      </c>
      <c r="K2090">
        <v>11</v>
      </c>
      <c r="L2090">
        <v>15</v>
      </c>
      <c r="M2090">
        <v>2</v>
      </c>
      <c r="N2090">
        <v>0</v>
      </c>
      <c r="O2090">
        <v>12</v>
      </c>
      <c r="P2090">
        <v>2</v>
      </c>
      <c r="Q2090">
        <v>1</v>
      </c>
      <c r="R2090">
        <v>1</v>
      </c>
      <c r="S2090">
        <v>4</v>
      </c>
      <c r="T2090">
        <v>3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3</v>
      </c>
      <c r="AB2090">
        <v>11</v>
      </c>
      <c r="AC2090">
        <v>0</v>
      </c>
      <c r="AD2090" t="str">
        <f t="shared" si="416"/>
        <v>Ok</v>
      </c>
      <c r="AE2090" t="str">
        <f>IF(AND(Audit_Data[[#This Row],[Year_Birth]]&gt;=1900,Audit_Data[[#This Row],[Year_Birth]]&lt;=2010),"OK","Invalid")</f>
        <v>OK</v>
      </c>
      <c r="AF2090" t="str">
        <f t="shared" si="417"/>
        <v>Valid</v>
      </c>
      <c r="AG2090" t="str">
        <f t="shared" si="418"/>
        <v>Valid</v>
      </c>
      <c r="AH2090" t="str">
        <f t="shared" si="419"/>
        <v>Valid</v>
      </c>
      <c r="AI2090" t="str">
        <f t="shared" si="420"/>
        <v>Valid</v>
      </c>
      <c r="AJ2090" t="str">
        <f t="shared" si="421"/>
        <v>Valid</v>
      </c>
      <c r="AK2090" t="str">
        <f t="shared" si="428"/>
        <v xml:space="preserve">Valid </v>
      </c>
      <c r="AL2090" t="str">
        <f>IF(AND(Audit_Data[[#This Row],[Recency]]&gt;=0,Audit_Data[[#This Row],[Recency]]&lt;=100),"Valid","Invalid")</f>
        <v>Valid</v>
      </c>
      <c r="AM2090" t="str">
        <f t="shared" si="422"/>
        <v>Valid</v>
      </c>
      <c r="AN2090" t="str">
        <f t="shared" si="423"/>
        <v>Valid</v>
      </c>
      <c r="AO2090" t="str">
        <f t="shared" si="424"/>
        <v>Valid</v>
      </c>
      <c r="AP2090" t="str">
        <f t="shared" si="425"/>
        <v>Valid</v>
      </c>
      <c r="AQ2090" t="str">
        <f>IF(Audit_Data[[#This Row],[Z_CostContact]]=3,"Valid","Invalid")</f>
        <v>Valid</v>
      </c>
      <c r="AR2090" t="str">
        <f t="shared" si="426"/>
        <v>Valid</v>
      </c>
      <c r="AS2090" t="str">
        <f t="shared" si="427"/>
        <v>Valid</v>
      </c>
    </row>
    <row r="2091" spans="1:45" x14ac:dyDescent="0.3">
      <c r="A2091">
        <v>7901</v>
      </c>
      <c r="B2091">
        <v>1971</v>
      </c>
      <c r="C2091" t="s">
        <v>34</v>
      </c>
      <c r="D2091" t="s">
        <v>33</v>
      </c>
      <c r="E2091">
        <v>34109</v>
      </c>
      <c r="F2091">
        <v>0</v>
      </c>
      <c r="G2091">
        <v>1</v>
      </c>
      <c r="H2091" s="1">
        <v>41584</v>
      </c>
      <c r="I2091">
        <v>39</v>
      </c>
      <c r="J2091">
        <v>9</v>
      </c>
      <c r="K2091">
        <v>1</v>
      </c>
      <c r="L2091">
        <v>5</v>
      </c>
      <c r="M2091">
        <v>2</v>
      </c>
      <c r="N2091">
        <v>1</v>
      </c>
      <c r="O2091">
        <v>4</v>
      </c>
      <c r="P2091">
        <v>1</v>
      </c>
      <c r="Q2091">
        <v>0</v>
      </c>
      <c r="R2091">
        <v>0</v>
      </c>
      <c r="S2091">
        <v>3</v>
      </c>
      <c r="T2091">
        <v>4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3</v>
      </c>
      <c r="AB2091">
        <v>11</v>
      </c>
      <c r="AC2091">
        <v>0</v>
      </c>
      <c r="AD2091" t="str">
        <f t="shared" si="416"/>
        <v>Ok</v>
      </c>
      <c r="AE2091" t="str">
        <f>IF(AND(Audit_Data[[#This Row],[Year_Birth]]&gt;=1900,Audit_Data[[#This Row],[Year_Birth]]&lt;=2010),"OK","Invalid")</f>
        <v>OK</v>
      </c>
      <c r="AF2091" t="str">
        <f t="shared" si="417"/>
        <v>Valid</v>
      </c>
      <c r="AG2091" t="str">
        <f t="shared" si="418"/>
        <v>Valid</v>
      </c>
      <c r="AH2091" t="str">
        <f t="shared" si="419"/>
        <v>Valid</v>
      </c>
      <c r="AI2091" t="str">
        <f t="shared" si="420"/>
        <v>Valid</v>
      </c>
      <c r="AJ2091" t="str">
        <f t="shared" si="421"/>
        <v>Valid</v>
      </c>
      <c r="AK2091" t="str">
        <f t="shared" si="428"/>
        <v xml:space="preserve">Valid </v>
      </c>
      <c r="AL2091" t="str">
        <f>IF(AND(Audit_Data[[#This Row],[Recency]]&gt;=0,Audit_Data[[#This Row],[Recency]]&lt;=100),"Valid","Invalid")</f>
        <v>Valid</v>
      </c>
      <c r="AM2091" t="str">
        <f t="shared" si="422"/>
        <v>Valid</v>
      </c>
      <c r="AN2091" t="str">
        <f t="shared" si="423"/>
        <v>Valid</v>
      </c>
      <c r="AO2091" t="str">
        <f t="shared" si="424"/>
        <v>Valid</v>
      </c>
      <c r="AP2091" t="str">
        <f t="shared" si="425"/>
        <v>Valid</v>
      </c>
      <c r="AQ2091" t="str">
        <f>IF(Audit_Data[[#This Row],[Z_CostContact]]=3,"Valid","Invalid")</f>
        <v>Valid</v>
      </c>
      <c r="AR2091" t="str">
        <f t="shared" si="426"/>
        <v>Valid</v>
      </c>
      <c r="AS2091" t="str">
        <f t="shared" si="427"/>
        <v>Valid</v>
      </c>
    </row>
    <row r="2092" spans="1:45" x14ac:dyDescent="0.3">
      <c r="A2092">
        <v>4865</v>
      </c>
      <c r="B2092">
        <v>1974</v>
      </c>
      <c r="C2092" t="s">
        <v>34</v>
      </c>
      <c r="D2092" t="s">
        <v>35</v>
      </c>
      <c r="E2092">
        <v>53367</v>
      </c>
      <c r="F2092">
        <v>1</v>
      </c>
      <c r="G2092">
        <v>1</v>
      </c>
      <c r="H2092" s="1">
        <v>41517</v>
      </c>
      <c r="I2092">
        <v>2</v>
      </c>
      <c r="J2092">
        <v>229</v>
      </c>
      <c r="K2092">
        <v>7</v>
      </c>
      <c r="L2092">
        <v>140</v>
      </c>
      <c r="M2092">
        <v>10</v>
      </c>
      <c r="N2092">
        <v>3</v>
      </c>
      <c r="O2092">
        <v>11</v>
      </c>
      <c r="P2092">
        <v>7</v>
      </c>
      <c r="Q2092">
        <v>5</v>
      </c>
      <c r="R2092">
        <v>1</v>
      </c>
      <c r="S2092">
        <v>8</v>
      </c>
      <c r="T2092">
        <v>7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3</v>
      </c>
      <c r="AB2092">
        <v>11</v>
      </c>
      <c r="AC2092">
        <v>1</v>
      </c>
      <c r="AD2092" t="str">
        <f t="shared" si="416"/>
        <v>Ok</v>
      </c>
      <c r="AE2092" t="str">
        <f>IF(AND(Audit_Data[[#This Row],[Year_Birth]]&gt;=1900,Audit_Data[[#This Row],[Year_Birth]]&lt;=2010),"OK","Invalid")</f>
        <v>OK</v>
      </c>
      <c r="AF2092" t="str">
        <f t="shared" si="417"/>
        <v>Valid</v>
      </c>
      <c r="AG2092" t="str">
        <f t="shared" si="418"/>
        <v>Valid</v>
      </c>
      <c r="AH2092" t="str">
        <f t="shared" si="419"/>
        <v>Valid</v>
      </c>
      <c r="AI2092" t="str">
        <f t="shared" si="420"/>
        <v>Valid</v>
      </c>
      <c r="AJ2092" t="str">
        <f t="shared" si="421"/>
        <v>Valid</v>
      </c>
      <c r="AK2092" t="str">
        <f t="shared" si="428"/>
        <v xml:space="preserve">Valid </v>
      </c>
      <c r="AL2092" t="str">
        <f>IF(AND(Audit_Data[[#This Row],[Recency]]&gt;=0,Audit_Data[[#This Row],[Recency]]&lt;=100),"Valid","Invalid")</f>
        <v>Valid</v>
      </c>
      <c r="AM2092" t="str">
        <f t="shared" si="422"/>
        <v>Valid</v>
      </c>
      <c r="AN2092" t="str">
        <f t="shared" si="423"/>
        <v>Valid</v>
      </c>
      <c r="AO2092" t="str">
        <f t="shared" si="424"/>
        <v>Valid</v>
      </c>
      <c r="AP2092" t="str">
        <f t="shared" si="425"/>
        <v>Valid</v>
      </c>
      <c r="AQ2092" t="str">
        <f>IF(Audit_Data[[#This Row],[Z_CostContact]]=3,"Valid","Invalid")</f>
        <v>Valid</v>
      </c>
      <c r="AR2092" t="str">
        <f t="shared" si="426"/>
        <v>Valid</v>
      </c>
      <c r="AS2092" t="str">
        <f t="shared" si="427"/>
        <v>Valid</v>
      </c>
    </row>
    <row r="2093" spans="1:45" x14ac:dyDescent="0.3">
      <c r="A2093">
        <v>2686</v>
      </c>
      <c r="B2093">
        <v>1969</v>
      </c>
      <c r="C2093" t="s">
        <v>36</v>
      </c>
      <c r="D2093" t="s">
        <v>31</v>
      </c>
      <c r="E2093">
        <v>22390</v>
      </c>
      <c r="F2093">
        <v>0</v>
      </c>
      <c r="G2093">
        <v>0</v>
      </c>
      <c r="H2093" s="1">
        <v>41568</v>
      </c>
      <c r="I2093">
        <v>49</v>
      </c>
      <c r="J2093">
        <v>0</v>
      </c>
      <c r="K2093">
        <v>1</v>
      </c>
      <c r="L2093">
        <v>4</v>
      </c>
      <c r="M2093">
        <v>15</v>
      </c>
      <c r="N2093">
        <v>1</v>
      </c>
      <c r="O2093">
        <v>5</v>
      </c>
      <c r="P2093">
        <v>1</v>
      </c>
      <c r="Q2093">
        <v>1</v>
      </c>
      <c r="R2093">
        <v>0</v>
      </c>
      <c r="S2093">
        <v>2</v>
      </c>
      <c r="T2093">
        <v>7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3</v>
      </c>
      <c r="AB2093">
        <v>11</v>
      </c>
      <c r="AC2093">
        <v>0</v>
      </c>
      <c r="AD2093" t="str">
        <f t="shared" si="416"/>
        <v>Ok</v>
      </c>
      <c r="AE2093" t="str">
        <f>IF(AND(Audit_Data[[#This Row],[Year_Birth]]&gt;=1900,Audit_Data[[#This Row],[Year_Birth]]&lt;=2010),"OK","Invalid")</f>
        <v>OK</v>
      </c>
      <c r="AF2093" t="str">
        <f t="shared" si="417"/>
        <v>Valid</v>
      </c>
      <c r="AG2093" t="str">
        <f t="shared" si="418"/>
        <v>Valid</v>
      </c>
      <c r="AH2093" t="str">
        <f t="shared" si="419"/>
        <v>Valid</v>
      </c>
      <c r="AI2093" t="str">
        <f t="shared" si="420"/>
        <v>Valid</v>
      </c>
      <c r="AJ2093" t="str">
        <f t="shared" si="421"/>
        <v>Valid</v>
      </c>
      <c r="AK2093" t="str">
        <f t="shared" si="428"/>
        <v xml:space="preserve">Valid </v>
      </c>
      <c r="AL2093" t="str">
        <f>IF(AND(Audit_Data[[#This Row],[Recency]]&gt;=0,Audit_Data[[#This Row],[Recency]]&lt;=100),"Valid","Invalid")</f>
        <v>Valid</v>
      </c>
      <c r="AM2093" t="str">
        <f t="shared" si="422"/>
        <v>Valid</v>
      </c>
      <c r="AN2093" t="str">
        <f t="shared" si="423"/>
        <v>Valid</v>
      </c>
      <c r="AO2093" t="str">
        <f t="shared" si="424"/>
        <v>Valid</v>
      </c>
      <c r="AP2093" t="str">
        <f t="shared" si="425"/>
        <v>Valid</v>
      </c>
      <c r="AQ2093" t="str">
        <f>IF(Audit_Data[[#This Row],[Z_CostContact]]=3,"Valid","Invalid")</f>
        <v>Valid</v>
      </c>
      <c r="AR2093" t="str">
        <f t="shared" si="426"/>
        <v>Valid</v>
      </c>
      <c r="AS2093" t="str">
        <f t="shared" si="427"/>
        <v>Valid</v>
      </c>
    </row>
    <row r="2094" spans="1:45" x14ac:dyDescent="0.3">
      <c r="A2094">
        <v>3107</v>
      </c>
      <c r="B2094">
        <v>1976</v>
      </c>
      <c r="C2094" t="s">
        <v>29</v>
      </c>
      <c r="D2094" t="s">
        <v>31</v>
      </c>
      <c r="E2094">
        <v>71322</v>
      </c>
      <c r="F2094">
        <v>0</v>
      </c>
      <c r="G2094">
        <v>1</v>
      </c>
      <c r="H2094" s="1">
        <v>41761</v>
      </c>
      <c r="I2094">
        <v>31</v>
      </c>
      <c r="J2094">
        <v>121</v>
      </c>
      <c r="K2094">
        <v>24</v>
      </c>
      <c r="L2094">
        <v>124</v>
      </c>
      <c r="M2094">
        <v>24</v>
      </c>
      <c r="N2094">
        <v>15</v>
      </c>
      <c r="O2094">
        <v>42</v>
      </c>
      <c r="P2094">
        <v>1</v>
      </c>
      <c r="Q2094">
        <v>4</v>
      </c>
      <c r="R2094">
        <v>1</v>
      </c>
      <c r="S2094">
        <v>7</v>
      </c>
      <c r="T2094">
        <v>2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3</v>
      </c>
      <c r="AB2094">
        <v>11</v>
      </c>
      <c r="AC2094">
        <v>0</v>
      </c>
      <c r="AD2094" t="str">
        <f t="shared" si="416"/>
        <v>Ok</v>
      </c>
      <c r="AE2094" t="str">
        <f>IF(AND(Audit_Data[[#This Row],[Year_Birth]]&gt;=1900,Audit_Data[[#This Row],[Year_Birth]]&lt;=2010),"OK","Invalid")</f>
        <v>OK</v>
      </c>
      <c r="AF2094" t="str">
        <f t="shared" si="417"/>
        <v>Valid</v>
      </c>
      <c r="AG2094" t="str">
        <f t="shared" si="418"/>
        <v>Valid</v>
      </c>
      <c r="AH2094" t="str">
        <f t="shared" si="419"/>
        <v>Valid</v>
      </c>
      <c r="AI2094" t="str">
        <f t="shared" si="420"/>
        <v>Valid</v>
      </c>
      <c r="AJ2094" t="str">
        <f t="shared" si="421"/>
        <v>Valid</v>
      </c>
      <c r="AK2094" t="str">
        <f t="shared" si="428"/>
        <v xml:space="preserve">Valid </v>
      </c>
      <c r="AL2094" t="str">
        <f>IF(AND(Audit_Data[[#This Row],[Recency]]&gt;=0,Audit_Data[[#This Row],[Recency]]&lt;=100),"Valid","Invalid")</f>
        <v>Valid</v>
      </c>
      <c r="AM2094" t="str">
        <f t="shared" si="422"/>
        <v>Valid</v>
      </c>
      <c r="AN2094" t="str">
        <f t="shared" si="423"/>
        <v>Valid</v>
      </c>
      <c r="AO2094" t="str">
        <f t="shared" si="424"/>
        <v>Valid</v>
      </c>
      <c r="AP2094" t="str">
        <f t="shared" si="425"/>
        <v>Valid</v>
      </c>
      <c r="AQ2094" t="str">
        <f>IF(Audit_Data[[#This Row],[Z_CostContact]]=3,"Valid","Invalid")</f>
        <v>Valid</v>
      </c>
      <c r="AR2094" t="str">
        <f t="shared" si="426"/>
        <v>Valid</v>
      </c>
      <c r="AS2094" t="str">
        <f t="shared" si="427"/>
        <v>Valid</v>
      </c>
    </row>
    <row r="2095" spans="1:45" x14ac:dyDescent="0.3">
      <c r="A2095">
        <v>7734</v>
      </c>
      <c r="B2095">
        <v>1993</v>
      </c>
      <c r="C2095" t="s">
        <v>29</v>
      </c>
      <c r="D2095" t="s">
        <v>40</v>
      </c>
      <c r="E2095">
        <v>79244</v>
      </c>
      <c r="F2095">
        <v>0</v>
      </c>
      <c r="G2095">
        <v>0</v>
      </c>
      <c r="H2095" s="1">
        <v>41262</v>
      </c>
      <c r="I2095">
        <v>58</v>
      </c>
      <c r="J2095">
        <v>471</v>
      </c>
      <c r="K2095">
        <v>102</v>
      </c>
      <c r="L2095">
        <v>125</v>
      </c>
      <c r="M2095">
        <v>212</v>
      </c>
      <c r="N2095">
        <v>61</v>
      </c>
      <c r="O2095">
        <v>245</v>
      </c>
      <c r="P2095">
        <v>1</v>
      </c>
      <c r="Q2095">
        <v>4</v>
      </c>
      <c r="R2095">
        <v>10</v>
      </c>
      <c r="S2095">
        <v>7</v>
      </c>
      <c r="T2095">
        <v>1</v>
      </c>
      <c r="U2095">
        <v>0</v>
      </c>
      <c r="V2095">
        <v>0</v>
      </c>
      <c r="W2095">
        <v>1</v>
      </c>
      <c r="X2095">
        <v>1</v>
      </c>
      <c r="Y2095">
        <v>0</v>
      </c>
      <c r="Z2095">
        <v>0</v>
      </c>
      <c r="AA2095">
        <v>3</v>
      </c>
      <c r="AB2095">
        <v>11</v>
      </c>
      <c r="AC2095">
        <v>1</v>
      </c>
      <c r="AD2095" t="str">
        <f t="shared" si="416"/>
        <v>Ok</v>
      </c>
      <c r="AE2095" t="str">
        <f>IF(AND(Audit_Data[[#This Row],[Year_Birth]]&gt;=1900,Audit_Data[[#This Row],[Year_Birth]]&lt;=2010),"OK","Invalid")</f>
        <v>OK</v>
      </c>
      <c r="AF2095" t="str">
        <f t="shared" si="417"/>
        <v>Valid</v>
      </c>
      <c r="AG2095" t="str">
        <f t="shared" si="418"/>
        <v>Invalid</v>
      </c>
      <c r="AH2095" t="str">
        <f t="shared" si="419"/>
        <v>Valid</v>
      </c>
      <c r="AI2095" t="str">
        <f t="shared" si="420"/>
        <v>Valid</v>
      </c>
      <c r="AJ2095" t="str">
        <f t="shared" si="421"/>
        <v>Valid</v>
      </c>
      <c r="AK2095" t="str">
        <f t="shared" si="428"/>
        <v xml:space="preserve">Valid </v>
      </c>
      <c r="AL2095" t="str">
        <f>IF(AND(Audit_Data[[#This Row],[Recency]]&gt;=0,Audit_Data[[#This Row],[Recency]]&lt;=100),"Valid","Invalid")</f>
        <v>Valid</v>
      </c>
      <c r="AM2095" t="str">
        <f t="shared" si="422"/>
        <v>Valid</v>
      </c>
      <c r="AN2095" t="str">
        <f t="shared" si="423"/>
        <v>Valid</v>
      </c>
      <c r="AO2095" t="str">
        <f t="shared" si="424"/>
        <v>Valid</v>
      </c>
      <c r="AP2095" t="str">
        <f t="shared" si="425"/>
        <v>Valid</v>
      </c>
      <c r="AQ2095" t="str">
        <f>IF(Audit_Data[[#This Row],[Z_CostContact]]=3,"Valid","Invalid")</f>
        <v>Valid</v>
      </c>
      <c r="AR2095" t="str">
        <f t="shared" si="426"/>
        <v>Valid</v>
      </c>
      <c r="AS2095" t="str">
        <f t="shared" si="427"/>
        <v>Valid</v>
      </c>
    </row>
    <row r="2096" spans="1:45" x14ac:dyDescent="0.3">
      <c r="A2096">
        <v>1146</v>
      </c>
      <c r="B2096">
        <v>1949</v>
      </c>
      <c r="C2096" t="s">
        <v>34</v>
      </c>
      <c r="D2096" t="s">
        <v>31</v>
      </c>
      <c r="E2096">
        <v>49912</v>
      </c>
      <c r="F2096">
        <v>0</v>
      </c>
      <c r="G2096">
        <v>1</v>
      </c>
      <c r="H2096" s="1">
        <v>41159</v>
      </c>
      <c r="I2096">
        <v>5</v>
      </c>
      <c r="J2096">
        <v>520</v>
      </c>
      <c r="K2096">
        <v>8</v>
      </c>
      <c r="L2096">
        <v>223</v>
      </c>
      <c r="M2096">
        <v>32</v>
      </c>
      <c r="N2096">
        <v>49</v>
      </c>
      <c r="O2096">
        <v>42</v>
      </c>
      <c r="P2096">
        <v>4</v>
      </c>
      <c r="Q2096">
        <v>10</v>
      </c>
      <c r="R2096">
        <v>5</v>
      </c>
      <c r="S2096">
        <v>7</v>
      </c>
      <c r="T2096">
        <v>8</v>
      </c>
      <c r="U2096">
        <v>1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3</v>
      </c>
      <c r="AB2096">
        <v>11</v>
      </c>
      <c r="AC2096">
        <v>1</v>
      </c>
      <c r="AD2096" t="str">
        <f t="shared" si="416"/>
        <v>Ok</v>
      </c>
      <c r="AE2096" t="str">
        <f>IF(AND(Audit_Data[[#This Row],[Year_Birth]]&gt;=1900,Audit_Data[[#This Row],[Year_Birth]]&lt;=2010),"OK","Invalid")</f>
        <v>OK</v>
      </c>
      <c r="AF2096" t="str">
        <f t="shared" si="417"/>
        <v>Valid</v>
      </c>
      <c r="AG2096" t="str">
        <f t="shared" si="418"/>
        <v>Valid</v>
      </c>
      <c r="AH2096" t="str">
        <f t="shared" si="419"/>
        <v>Valid</v>
      </c>
      <c r="AI2096" t="str">
        <f t="shared" si="420"/>
        <v>Valid</v>
      </c>
      <c r="AJ2096" t="str">
        <f t="shared" si="421"/>
        <v>Valid</v>
      </c>
      <c r="AK2096" t="str">
        <f t="shared" si="428"/>
        <v xml:space="preserve">Valid </v>
      </c>
      <c r="AL2096" t="str">
        <f>IF(AND(Audit_Data[[#This Row],[Recency]]&gt;=0,Audit_Data[[#This Row],[Recency]]&lt;=100),"Valid","Invalid")</f>
        <v>Valid</v>
      </c>
      <c r="AM2096" t="str">
        <f t="shared" si="422"/>
        <v>Valid</v>
      </c>
      <c r="AN2096" t="str">
        <f t="shared" si="423"/>
        <v>Valid</v>
      </c>
      <c r="AO2096" t="str">
        <f t="shared" si="424"/>
        <v>Valid</v>
      </c>
      <c r="AP2096" t="str">
        <f t="shared" si="425"/>
        <v>Valid</v>
      </c>
      <c r="AQ2096" t="str">
        <f>IF(Audit_Data[[#This Row],[Z_CostContact]]=3,"Valid","Invalid")</f>
        <v>Valid</v>
      </c>
      <c r="AR2096" t="str">
        <f t="shared" si="426"/>
        <v>Valid</v>
      </c>
      <c r="AS2096" t="str">
        <f t="shared" si="427"/>
        <v>Valid</v>
      </c>
    </row>
    <row r="2097" spans="1:45" x14ac:dyDescent="0.3">
      <c r="A2097">
        <v>11031</v>
      </c>
      <c r="B2097">
        <v>1950</v>
      </c>
      <c r="C2097" t="s">
        <v>32</v>
      </c>
      <c r="D2097" t="s">
        <v>33</v>
      </c>
      <c r="E2097">
        <v>48699</v>
      </c>
      <c r="F2097">
        <v>1</v>
      </c>
      <c r="G2097">
        <v>1</v>
      </c>
      <c r="H2097" s="1">
        <v>41415</v>
      </c>
      <c r="I2097">
        <v>90</v>
      </c>
      <c r="J2097">
        <v>26</v>
      </c>
      <c r="K2097">
        <v>1</v>
      </c>
      <c r="L2097">
        <v>10</v>
      </c>
      <c r="M2097">
        <v>2</v>
      </c>
      <c r="N2097">
        <v>0</v>
      </c>
      <c r="O2097">
        <v>1</v>
      </c>
      <c r="P2097">
        <v>1</v>
      </c>
      <c r="Q2097">
        <v>1</v>
      </c>
      <c r="R2097">
        <v>0</v>
      </c>
      <c r="S2097">
        <v>3</v>
      </c>
      <c r="T2097">
        <v>5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3</v>
      </c>
      <c r="AB2097">
        <v>11</v>
      </c>
      <c r="AC2097">
        <v>0</v>
      </c>
      <c r="AD2097" t="str">
        <f t="shared" si="416"/>
        <v>Ok</v>
      </c>
      <c r="AE2097" t="str">
        <f>IF(AND(Audit_Data[[#This Row],[Year_Birth]]&gt;=1900,Audit_Data[[#This Row],[Year_Birth]]&lt;=2010),"OK","Invalid")</f>
        <v>OK</v>
      </c>
      <c r="AF2097" t="str">
        <f t="shared" si="417"/>
        <v>Valid</v>
      </c>
      <c r="AG2097" t="str">
        <f t="shared" si="418"/>
        <v>Valid</v>
      </c>
      <c r="AH2097" t="str">
        <f t="shared" si="419"/>
        <v>Valid</v>
      </c>
      <c r="AI2097" t="str">
        <f t="shared" si="420"/>
        <v>Valid</v>
      </c>
      <c r="AJ2097" t="str">
        <f t="shared" si="421"/>
        <v>Valid</v>
      </c>
      <c r="AK2097" t="str">
        <f t="shared" si="428"/>
        <v xml:space="preserve">Valid </v>
      </c>
      <c r="AL2097" t="str">
        <f>IF(AND(Audit_Data[[#This Row],[Recency]]&gt;=0,Audit_Data[[#This Row],[Recency]]&lt;=100),"Valid","Invalid")</f>
        <v>Valid</v>
      </c>
      <c r="AM2097" t="str">
        <f t="shared" si="422"/>
        <v>Valid</v>
      </c>
      <c r="AN2097" t="str">
        <f t="shared" si="423"/>
        <v>Valid</v>
      </c>
      <c r="AO2097" t="str">
        <f t="shared" si="424"/>
        <v>Valid</v>
      </c>
      <c r="AP2097" t="str">
        <f t="shared" si="425"/>
        <v>Valid</v>
      </c>
      <c r="AQ2097" t="str">
        <f>IF(Audit_Data[[#This Row],[Z_CostContact]]=3,"Valid","Invalid")</f>
        <v>Valid</v>
      </c>
      <c r="AR2097" t="str">
        <f t="shared" si="426"/>
        <v>Valid</v>
      </c>
      <c r="AS2097" t="str">
        <f t="shared" si="427"/>
        <v>Valid</v>
      </c>
    </row>
    <row r="2098" spans="1:45" x14ac:dyDescent="0.3">
      <c r="A2098">
        <v>7428</v>
      </c>
      <c r="B2098">
        <v>1975</v>
      </c>
      <c r="C2098" t="s">
        <v>29</v>
      </c>
      <c r="D2098" t="s">
        <v>31</v>
      </c>
      <c r="E2098">
        <v>80144</v>
      </c>
      <c r="F2098">
        <v>0</v>
      </c>
      <c r="G2098">
        <v>0</v>
      </c>
      <c r="H2098" s="1">
        <v>41547</v>
      </c>
      <c r="I2098">
        <v>47</v>
      </c>
      <c r="J2098">
        <v>240</v>
      </c>
      <c r="K2098">
        <v>132</v>
      </c>
      <c r="L2098">
        <v>445</v>
      </c>
      <c r="M2098">
        <v>250</v>
      </c>
      <c r="N2098">
        <v>192</v>
      </c>
      <c r="O2098">
        <v>108</v>
      </c>
      <c r="P2098">
        <v>1</v>
      </c>
      <c r="Q2098">
        <v>3</v>
      </c>
      <c r="R2098">
        <v>7</v>
      </c>
      <c r="S2098">
        <v>8</v>
      </c>
      <c r="T2098">
        <v>1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3</v>
      </c>
      <c r="AB2098">
        <v>11</v>
      </c>
      <c r="AC2098">
        <v>0</v>
      </c>
      <c r="AD2098" t="str">
        <f t="shared" si="416"/>
        <v>Ok</v>
      </c>
      <c r="AE2098" t="str">
        <f>IF(AND(Audit_Data[[#This Row],[Year_Birth]]&gt;=1900,Audit_Data[[#This Row],[Year_Birth]]&lt;=2010),"OK","Invalid")</f>
        <v>OK</v>
      </c>
      <c r="AF2098" t="str">
        <f t="shared" si="417"/>
        <v>Valid</v>
      </c>
      <c r="AG2098" t="str">
        <f t="shared" si="418"/>
        <v>Valid</v>
      </c>
      <c r="AH2098" t="str">
        <f t="shared" si="419"/>
        <v>Valid</v>
      </c>
      <c r="AI2098" t="str">
        <f t="shared" si="420"/>
        <v>Valid</v>
      </c>
      <c r="AJ2098" t="str">
        <f t="shared" si="421"/>
        <v>Valid</v>
      </c>
      <c r="AK2098" t="str">
        <f t="shared" si="428"/>
        <v xml:space="preserve">Valid </v>
      </c>
      <c r="AL2098" t="str">
        <f>IF(AND(Audit_Data[[#This Row],[Recency]]&gt;=0,Audit_Data[[#This Row],[Recency]]&lt;=100),"Valid","Invalid")</f>
        <v>Valid</v>
      </c>
      <c r="AM2098" t="str">
        <f t="shared" si="422"/>
        <v>Valid</v>
      </c>
      <c r="AN2098" t="str">
        <f t="shared" si="423"/>
        <v>Valid</v>
      </c>
      <c r="AO2098" t="str">
        <f t="shared" si="424"/>
        <v>Valid</v>
      </c>
      <c r="AP2098" t="str">
        <f t="shared" si="425"/>
        <v>Valid</v>
      </c>
      <c r="AQ2098" t="str">
        <f>IF(Audit_Data[[#This Row],[Z_CostContact]]=3,"Valid","Invalid")</f>
        <v>Valid</v>
      </c>
      <c r="AR2098" t="str">
        <f t="shared" si="426"/>
        <v>Valid</v>
      </c>
      <c r="AS2098" t="str">
        <f t="shared" si="427"/>
        <v>Valid</v>
      </c>
    </row>
    <row r="2099" spans="1:45" x14ac:dyDescent="0.3">
      <c r="A2099">
        <v>975</v>
      </c>
      <c r="B2099">
        <v>1956</v>
      </c>
      <c r="C2099" t="s">
        <v>29</v>
      </c>
      <c r="D2099" t="s">
        <v>30</v>
      </c>
      <c r="E2099">
        <v>54252</v>
      </c>
      <c r="F2099">
        <v>1</v>
      </c>
      <c r="G2099">
        <v>1</v>
      </c>
      <c r="H2099" s="1">
        <v>41422</v>
      </c>
      <c r="I2099">
        <v>25</v>
      </c>
      <c r="J2099">
        <v>178</v>
      </c>
      <c r="K2099">
        <v>4</v>
      </c>
      <c r="L2099">
        <v>26</v>
      </c>
      <c r="M2099">
        <v>8</v>
      </c>
      <c r="N2099">
        <v>4</v>
      </c>
      <c r="O2099">
        <v>44</v>
      </c>
      <c r="P2099">
        <v>5</v>
      </c>
      <c r="Q2099">
        <v>4</v>
      </c>
      <c r="R2099">
        <v>1</v>
      </c>
      <c r="S2099">
        <v>5</v>
      </c>
      <c r="T2099">
        <v>6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3</v>
      </c>
      <c r="AB2099">
        <v>11</v>
      </c>
      <c r="AC2099">
        <v>0</v>
      </c>
      <c r="AD2099" t="str">
        <f t="shared" si="416"/>
        <v>Ok</v>
      </c>
      <c r="AE2099" t="str">
        <f>IF(AND(Audit_Data[[#This Row],[Year_Birth]]&gt;=1900,Audit_Data[[#This Row],[Year_Birth]]&lt;=2010),"OK","Invalid")</f>
        <v>OK</v>
      </c>
      <c r="AF2099" t="str">
        <f t="shared" si="417"/>
        <v>Valid</v>
      </c>
      <c r="AG2099" t="str">
        <f t="shared" si="418"/>
        <v>Valid</v>
      </c>
      <c r="AH2099" t="str">
        <f t="shared" si="419"/>
        <v>Valid</v>
      </c>
      <c r="AI2099" t="str">
        <f t="shared" si="420"/>
        <v>Valid</v>
      </c>
      <c r="AJ2099" t="str">
        <f t="shared" si="421"/>
        <v>Valid</v>
      </c>
      <c r="AK2099" t="str">
        <f t="shared" si="428"/>
        <v xml:space="preserve">Valid </v>
      </c>
      <c r="AL2099" t="str">
        <f>IF(AND(Audit_Data[[#This Row],[Recency]]&gt;=0,Audit_Data[[#This Row],[Recency]]&lt;=100),"Valid","Invalid")</f>
        <v>Valid</v>
      </c>
      <c r="AM2099" t="str">
        <f t="shared" si="422"/>
        <v>Valid</v>
      </c>
      <c r="AN2099" t="str">
        <f t="shared" si="423"/>
        <v>Valid</v>
      </c>
      <c r="AO2099" t="str">
        <f t="shared" si="424"/>
        <v>Valid</v>
      </c>
      <c r="AP2099" t="str">
        <f t="shared" si="425"/>
        <v>Valid</v>
      </c>
      <c r="AQ2099" t="str">
        <f>IF(Audit_Data[[#This Row],[Z_CostContact]]=3,"Valid","Invalid")</f>
        <v>Valid</v>
      </c>
      <c r="AR2099" t="str">
        <f t="shared" si="426"/>
        <v>Valid</v>
      </c>
      <c r="AS2099" t="str">
        <f t="shared" si="427"/>
        <v>Valid</v>
      </c>
    </row>
    <row r="2100" spans="1:45" x14ac:dyDescent="0.3">
      <c r="A2100">
        <v>1103</v>
      </c>
      <c r="B2100">
        <v>1976</v>
      </c>
      <c r="C2100" t="s">
        <v>34</v>
      </c>
      <c r="D2100" t="s">
        <v>33</v>
      </c>
      <c r="E2100">
        <v>81929</v>
      </c>
      <c r="F2100">
        <v>1</v>
      </c>
      <c r="G2100">
        <v>0</v>
      </c>
      <c r="H2100" s="1">
        <v>41181</v>
      </c>
      <c r="I2100">
        <v>60</v>
      </c>
      <c r="J2100">
        <v>1486</v>
      </c>
      <c r="K2100">
        <v>55</v>
      </c>
      <c r="L2100">
        <v>278</v>
      </c>
      <c r="M2100">
        <v>49</v>
      </c>
      <c r="N2100">
        <v>0</v>
      </c>
      <c r="O2100">
        <v>185</v>
      </c>
      <c r="P2100">
        <v>2</v>
      </c>
      <c r="Q2100">
        <v>4</v>
      </c>
      <c r="R2100">
        <v>4</v>
      </c>
      <c r="S2100">
        <v>10</v>
      </c>
      <c r="T2100">
        <v>6</v>
      </c>
      <c r="U2100">
        <v>1</v>
      </c>
      <c r="V2100">
        <v>0</v>
      </c>
      <c r="W2100">
        <v>1</v>
      </c>
      <c r="X2100">
        <v>0</v>
      </c>
      <c r="Y2100">
        <v>0</v>
      </c>
      <c r="Z2100">
        <v>0</v>
      </c>
      <c r="AA2100">
        <v>3</v>
      </c>
      <c r="AB2100">
        <v>11</v>
      </c>
      <c r="AC2100">
        <v>1</v>
      </c>
      <c r="AD2100" t="str">
        <f t="shared" si="416"/>
        <v>Ok</v>
      </c>
      <c r="AE2100" t="str">
        <f>IF(AND(Audit_Data[[#This Row],[Year_Birth]]&gt;=1900,Audit_Data[[#This Row],[Year_Birth]]&lt;=2010),"OK","Invalid")</f>
        <v>OK</v>
      </c>
      <c r="AF2100" t="str">
        <f t="shared" si="417"/>
        <v>Valid</v>
      </c>
      <c r="AG2100" t="str">
        <f t="shared" si="418"/>
        <v>Valid</v>
      </c>
      <c r="AH2100" t="str">
        <f t="shared" si="419"/>
        <v>Valid</v>
      </c>
      <c r="AI2100" t="str">
        <f t="shared" si="420"/>
        <v>Valid</v>
      </c>
      <c r="AJ2100" t="str">
        <f t="shared" si="421"/>
        <v>Valid</v>
      </c>
      <c r="AK2100" t="str">
        <f t="shared" si="428"/>
        <v xml:space="preserve">Valid </v>
      </c>
      <c r="AL2100" t="str">
        <f>IF(AND(Audit_Data[[#This Row],[Recency]]&gt;=0,Audit_Data[[#This Row],[Recency]]&lt;=100),"Valid","Invalid")</f>
        <v>Valid</v>
      </c>
      <c r="AM2100" t="str">
        <f t="shared" si="422"/>
        <v>Valid</v>
      </c>
      <c r="AN2100" t="str">
        <f t="shared" si="423"/>
        <v>Valid</v>
      </c>
      <c r="AO2100" t="str">
        <f t="shared" si="424"/>
        <v>Valid</v>
      </c>
      <c r="AP2100" t="str">
        <f t="shared" si="425"/>
        <v>Valid</v>
      </c>
      <c r="AQ2100" t="str">
        <f>IF(Audit_Data[[#This Row],[Z_CostContact]]=3,"Valid","Invalid")</f>
        <v>Valid</v>
      </c>
      <c r="AR2100" t="str">
        <f t="shared" si="426"/>
        <v>Valid</v>
      </c>
      <c r="AS2100" t="str">
        <f t="shared" si="427"/>
        <v>Valid</v>
      </c>
    </row>
    <row r="2101" spans="1:45" x14ac:dyDescent="0.3">
      <c r="A2101">
        <v>3422</v>
      </c>
      <c r="B2101">
        <v>1975</v>
      </c>
      <c r="C2101" t="s">
        <v>29</v>
      </c>
      <c r="D2101" t="s">
        <v>33</v>
      </c>
      <c r="E2101">
        <v>76068</v>
      </c>
      <c r="F2101">
        <v>0</v>
      </c>
      <c r="G2101">
        <v>1</v>
      </c>
      <c r="H2101" s="1">
        <v>41242</v>
      </c>
      <c r="I2101">
        <v>67</v>
      </c>
      <c r="J2101">
        <v>1115</v>
      </c>
      <c r="K2101">
        <v>12</v>
      </c>
      <c r="L2101">
        <v>128</v>
      </c>
      <c r="M2101">
        <v>33</v>
      </c>
      <c r="N2101">
        <v>12</v>
      </c>
      <c r="O2101">
        <v>76</v>
      </c>
      <c r="P2101">
        <v>1</v>
      </c>
      <c r="Q2101">
        <v>2</v>
      </c>
      <c r="R2101">
        <v>3</v>
      </c>
      <c r="S2101">
        <v>4</v>
      </c>
      <c r="T2101">
        <v>6</v>
      </c>
      <c r="U2101">
        <v>0</v>
      </c>
      <c r="V2101">
        <v>1</v>
      </c>
      <c r="W2101">
        <v>0</v>
      </c>
      <c r="X2101">
        <v>0</v>
      </c>
      <c r="Y2101">
        <v>1</v>
      </c>
      <c r="Z2101">
        <v>0</v>
      </c>
      <c r="AA2101">
        <v>3</v>
      </c>
      <c r="AB2101">
        <v>11</v>
      </c>
      <c r="AC2101">
        <v>0</v>
      </c>
      <c r="AD2101" t="str">
        <f t="shared" si="416"/>
        <v>Ok</v>
      </c>
      <c r="AE2101" t="str">
        <f>IF(AND(Audit_Data[[#This Row],[Year_Birth]]&gt;=1900,Audit_Data[[#This Row],[Year_Birth]]&lt;=2010),"OK","Invalid")</f>
        <v>OK</v>
      </c>
      <c r="AF2101" t="str">
        <f t="shared" si="417"/>
        <v>Valid</v>
      </c>
      <c r="AG2101" t="str">
        <f t="shared" si="418"/>
        <v>Valid</v>
      </c>
      <c r="AH2101" t="str">
        <f t="shared" si="419"/>
        <v>Valid</v>
      </c>
      <c r="AI2101" t="str">
        <f t="shared" si="420"/>
        <v>Valid</v>
      </c>
      <c r="AJ2101" t="str">
        <f t="shared" si="421"/>
        <v>Valid</v>
      </c>
      <c r="AK2101" t="str">
        <f t="shared" si="428"/>
        <v xml:space="preserve">Valid </v>
      </c>
      <c r="AL2101" t="str">
        <f>IF(AND(Audit_Data[[#This Row],[Recency]]&gt;=0,Audit_Data[[#This Row],[Recency]]&lt;=100),"Valid","Invalid")</f>
        <v>Valid</v>
      </c>
      <c r="AM2101" t="str">
        <f t="shared" si="422"/>
        <v>Valid</v>
      </c>
      <c r="AN2101" t="str">
        <f t="shared" si="423"/>
        <v>Valid</v>
      </c>
      <c r="AO2101" t="str">
        <f t="shared" si="424"/>
        <v>Valid</v>
      </c>
      <c r="AP2101" t="str">
        <f t="shared" si="425"/>
        <v>Valid</v>
      </c>
      <c r="AQ2101" t="str">
        <f>IF(Audit_Data[[#This Row],[Z_CostContact]]=3,"Valid","Invalid")</f>
        <v>Valid</v>
      </c>
      <c r="AR2101" t="str">
        <f t="shared" si="426"/>
        <v>Valid</v>
      </c>
      <c r="AS2101" t="str">
        <f t="shared" si="427"/>
        <v>Valid</v>
      </c>
    </row>
    <row r="2102" spans="1:45" x14ac:dyDescent="0.3">
      <c r="A2102">
        <v>1055</v>
      </c>
      <c r="B2102">
        <v>1976</v>
      </c>
      <c r="C2102" t="s">
        <v>34</v>
      </c>
      <c r="D2102" t="s">
        <v>33</v>
      </c>
      <c r="E2102">
        <v>53204</v>
      </c>
      <c r="F2102">
        <v>1</v>
      </c>
      <c r="G2102">
        <v>1</v>
      </c>
      <c r="H2102" s="1">
        <v>41718</v>
      </c>
      <c r="I2102">
        <v>40</v>
      </c>
      <c r="J2102">
        <v>29</v>
      </c>
      <c r="K2102">
        <v>0</v>
      </c>
      <c r="L2102">
        <v>8</v>
      </c>
      <c r="M2102">
        <v>2</v>
      </c>
      <c r="N2102">
        <v>0</v>
      </c>
      <c r="O2102">
        <v>6</v>
      </c>
      <c r="P2102">
        <v>1</v>
      </c>
      <c r="Q2102">
        <v>1</v>
      </c>
      <c r="R2102">
        <v>0</v>
      </c>
      <c r="S2102">
        <v>3</v>
      </c>
      <c r="T2102">
        <v>4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3</v>
      </c>
      <c r="AB2102">
        <v>11</v>
      </c>
      <c r="AC2102">
        <v>0</v>
      </c>
      <c r="AD2102" t="str">
        <f t="shared" si="416"/>
        <v>Ok</v>
      </c>
      <c r="AE2102" t="str">
        <f>IF(AND(Audit_Data[[#This Row],[Year_Birth]]&gt;=1900,Audit_Data[[#This Row],[Year_Birth]]&lt;=2010),"OK","Invalid")</f>
        <v>OK</v>
      </c>
      <c r="AF2102" t="str">
        <f t="shared" si="417"/>
        <v>Valid</v>
      </c>
      <c r="AG2102" t="str">
        <f t="shared" si="418"/>
        <v>Valid</v>
      </c>
      <c r="AH2102" t="str">
        <f t="shared" si="419"/>
        <v>Valid</v>
      </c>
      <c r="AI2102" t="str">
        <f t="shared" si="420"/>
        <v>Valid</v>
      </c>
      <c r="AJ2102" t="str">
        <f t="shared" si="421"/>
        <v>Valid</v>
      </c>
      <c r="AK2102" t="str">
        <f t="shared" si="428"/>
        <v xml:space="preserve">Valid </v>
      </c>
      <c r="AL2102" t="str">
        <f>IF(AND(Audit_Data[[#This Row],[Recency]]&gt;=0,Audit_Data[[#This Row],[Recency]]&lt;=100),"Valid","Invalid")</f>
        <v>Valid</v>
      </c>
      <c r="AM2102" t="str">
        <f t="shared" si="422"/>
        <v>Valid</v>
      </c>
      <c r="AN2102" t="str">
        <f t="shared" si="423"/>
        <v>Valid</v>
      </c>
      <c r="AO2102" t="str">
        <f t="shared" si="424"/>
        <v>Valid</v>
      </c>
      <c r="AP2102" t="str">
        <f t="shared" si="425"/>
        <v>Valid</v>
      </c>
      <c r="AQ2102" t="str">
        <f>IF(Audit_Data[[#This Row],[Z_CostContact]]=3,"Valid","Invalid")</f>
        <v>Valid</v>
      </c>
      <c r="AR2102" t="str">
        <f t="shared" si="426"/>
        <v>Valid</v>
      </c>
      <c r="AS2102" t="str">
        <f t="shared" si="427"/>
        <v>Valid</v>
      </c>
    </row>
    <row r="2103" spans="1:45" x14ac:dyDescent="0.3">
      <c r="A2103">
        <v>6544</v>
      </c>
      <c r="B2103">
        <v>1949</v>
      </c>
      <c r="C2103" t="s">
        <v>32</v>
      </c>
      <c r="D2103" t="s">
        <v>31</v>
      </c>
      <c r="E2103">
        <v>67911</v>
      </c>
      <c r="F2103">
        <v>0</v>
      </c>
      <c r="G2103">
        <v>1</v>
      </c>
      <c r="H2103" s="1">
        <v>41781</v>
      </c>
      <c r="I2103">
        <v>63</v>
      </c>
      <c r="J2103">
        <v>529</v>
      </c>
      <c r="K2103">
        <v>0</v>
      </c>
      <c r="L2103">
        <v>356</v>
      </c>
      <c r="M2103">
        <v>63</v>
      </c>
      <c r="N2103">
        <v>28</v>
      </c>
      <c r="O2103">
        <v>0</v>
      </c>
      <c r="P2103">
        <v>3</v>
      </c>
      <c r="Q2103">
        <v>6</v>
      </c>
      <c r="R2103">
        <v>7</v>
      </c>
      <c r="S2103">
        <v>11</v>
      </c>
      <c r="T2103">
        <v>3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3</v>
      </c>
      <c r="AB2103">
        <v>11</v>
      </c>
      <c r="AC2103">
        <v>0</v>
      </c>
      <c r="AD2103" t="str">
        <f t="shared" si="416"/>
        <v>Ok</v>
      </c>
      <c r="AE2103" t="str">
        <f>IF(AND(Audit_Data[[#This Row],[Year_Birth]]&gt;=1900,Audit_Data[[#This Row],[Year_Birth]]&lt;=2010),"OK","Invalid")</f>
        <v>OK</v>
      </c>
      <c r="AF2103" t="str">
        <f t="shared" si="417"/>
        <v>Valid</v>
      </c>
      <c r="AG2103" t="str">
        <f t="shared" si="418"/>
        <v>Valid</v>
      </c>
      <c r="AH2103" t="str">
        <f t="shared" si="419"/>
        <v>Valid</v>
      </c>
      <c r="AI2103" t="str">
        <f t="shared" si="420"/>
        <v>Valid</v>
      </c>
      <c r="AJ2103" t="str">
        <f t="shared" si="421"/>
        <v>Valid</v>
      </c>
      <c r="AK2103" t="str">
        <f t="shared" si="428"/>
        <v xml:space="preserve">Valid </v>
      </c>
      <c r="AL2103" t="str">
        <f>IF(AND(Audit_Data[[#This Row],[Recency]]&gt;=0,Audit_Data[[#This Row],[Recency]]&lt;=100),"Valid","Invalid")</f>
        <v>Valid</v>
      </c>
      <c r="AM2103" t="str">
        <f t="shared" si="422"/>
        <v>Valid</v>
      </c>
      <c r="AN2103" t="str">
        <f t="shared" si="423"/>
        <v>Valid</v>
      </c>
      <c r="AO2103" t="str">
        <f t="shared" si="424"/>
        <v>Valid</v>
      </c>
      <c r="AP2103" t="str">
        <f t="shared" si="425"/>
        <v>Valid</v>
      </c>
      <c r="AQ2103" t="str">
        <f>IF(Audit_Data[[#This Row],[Z_CostContact]]=3,"Valid","Invalid")</f>
        <v>Valid</v>
      </c>
      <c r="AR2103" t="str">
        <f t="shared" si="426"/>
        <v>Valid</v>
      </c>
      <c r="AS2103" t="str">
        <f t="shared" si="427"/>
        <v>Valid</v>
      </c>
    </row>
    <row r="2104" spans="1:45" x14ac:dyDescent="0.3">
      <c r="A2104">
        <v>1241</v>
      </c>
      <c r="B2104">
        <v>1984</v>
      </c>
      <c r="C2104" t="s">
        <v>37</v>
      </c>
      <c r="D2104" t="s">
        <v>33</v>
      </c>
      <c r="E2104">
        <v>14796</v>
      </c>
      <c r="F2104">
        <v>1</v>
      </c>
      <c r="G2104">
        <v>0</v>
      </c>
      <c r="H2104" s="1">
        <v>41169</v>
      </c>
      <c r="I2104">
        <v>1</v>
      </c>
      <c r="J2104">
        <v>13</v>
      </c>
      <c r="K2104">
        <v>3</v>
      </c>
      <c r="L2104">
        <v>8</v>
      </c>
      <c r="M2104">
        <v>7</v>
      </c>
      <c r="N2104">
        <v>4</v>
      </c>
      <c r="O2104">
        <v>16</v>
      </c>
      <c r="P2104">
        <v>2</v>
      </c>
      <c r="Q2104">
        <v>1</v>
      </c>
      <c r="R2104">
        <v>0</v>
      </c>
      <c r="S2104">
        <v>3</v>
      </c>
      <c r="T2104">
        <v>9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3</v>
      </c>
      <c r="AB2104">
        <v>11</v>
      </c>
      <c r="AC2104">
        <v>1</v>
      </c>
      <c r="AD2104" t="str">
        <f t="shared" si="416"/>
        <v>Ok</v>
      </c>
      <c r="AE2104" t="str">
        <f>IF(AND(Audit_Data[[#This Row],[Year_Birth]]&gt;=1900,Audit_Data[[#This Row],[Year_Birth]]&lt;=2010),"OK","Invalid")</f>
        <v>OK</v>
      </c>
      <c r="AF2104" t="str">
        <f t="shared" si="417"/>
        <v>Valid</v>
      </c>
      <c r="AG2104" t="str">
        <f t="shared" si="418"/>
        <v>Valid</v>
      </c>
      <c r="AH2104" t="str">
        <f t="shared" si="419"/>
        <v>Valid</v>
      </c>
      <c r="AI2104" t="str">
        <f t="shared" si="420"/>
        <v>Valid</v>
      </c>
      <c r="AJ2104" t="str">
        <f t="shared" si="421"/>
        <v>Valid</v>
      </c>
      <c r="AK2104" t="str">
        <f t="shared" si="428"/>
        <v xml:space="preserve">Valid </v>
      </c>
      <c r="AL2104" t="str">
        <f>IF(AND(Audit_Data[[#This Row],[Recency]]&gt;=0,Audit_Data[[#This Row],[Recency]]&lt;=100),"Valid","Invalid")</f>
        <v>Valid</v>
      </c>
      <c r="AM2104" t="str">
        <f t="shared" si="422"/>
        <v>Valid</v>
      </c>
      <c r="AN2104" t="str">
        <f t="shared" si="423"/>
        <v>Valid</v>
      </c>
      <c r="AO2104" t="str">
        <f t="shared" si="424"/>
        <v>Valid</v>
      </c>
      <c r="AP2104" t="str">
        <f t="shared" si="425"/>
        <v>Valid</v>
      </c>
      <c r="AQ2104" t="str">
        <f>IF(Audit_Data[[#This Row],[Z_CostContact]]=3,"Valid","Invalid")</f>
        <v>Valid</v>
      </c>
      <c r="AR2104" t="str">
        <f t="shared" si="426"/>
        <v>Valid</v>
      </c>
      <c r="AS2104" t="str">
        <f t="shared" si="427"/>
        <v>Valid</v>
      </c>
    </row>
    <row r="2105" spans="1:45" x14ac:dyDescent="0.3">
      <c r="A2105">
        <v>2909</v>
      </c>
      <c r="B2105">
        <v>1974</v>
      </c>
      <c r="C2105" t="s">
        <v>32</v>
      </c>
      <c r="D2105" t="s">
        <v>33</v>
      </c>
      <c r="E2105">
        <v>78128</v>
      </c>
      <c r="F2105">
        <v>0</v>
      </c>
      <c r="G2105">
        <v>1</v>
      </c>
      <c r="H2105" s="1">
        <v>41689</v>
      </c>
      <c r="I2105">
        <v>89</v>
      </c>
      <c r="J2105">
        <v>934</v>
      </c>
      <c r="K2105">
        <v>24</v>
      </c>
      <c r="L2105">
        <v>230</v>
      </c>
      <c r="M2105">
        <v>16</v>
      </c>
      <c r="N2105">
        <v>24</v>
      </c>
      <c r="O2105">
        <v>36</v>
      </c>
      <c r="P2105">
        <v>2</v>
      </c>
      <c r="Q2105">
        <v>8</v>
      </c>
      <c r="R2105">
        <v>4</v>
      </c>
      <c r="S2105">
        <v>6</v>
      </c>
      <c r="T2105">
        <v>3</v>
      </c>
      <c r="U2105">
        <v>0</v>
      </c>
      <c r="V2105">
        <v>1</v>
      </c>
      <c r="W2105">
        <v>1</v>
      </c>
      <c r="X2105">
        <v>0</v>
      </c>
      <c r="Y2105">
        <v>0</v>
      </c>
      <c r="Z2105">
        <v>0</v>
      </c>
      <c r="AA2105">
        <v>3</v>
      </c>
      <c r="AB2105">
        <v>11</v>
      </c>
      <c r="AC2105">
        <v>0</v>
      </c>
      <c r="AD2105" t="str">
        <f t="shared" si="416"/>
        <v>Ok</v>
      </c>
      <c r="AE2105" t="str">
        <f>IF(AND(Audit_Data[[#This Row],[Year_Birth]]&gt;=1900,Audit_Data[[#This Row],[Year_Birth]]&lt;=2010),"OK","Invalid")</f>
        <v>OK</v>
      </c>
      <c r="AF2105" t="str">
        <f t="shared" si="417"/>
        <v>Valid</v>
      </c>
      <c r="AG2105" t="str">
        <f t="shared" si="418"/>
        <v>Valid</v>
      </c>
      <c r="AH2105" t="str">
        <f t="shared" si="419"/>
        <v>Valid</v>
      </c>
      <c r="AI2105" t="str">
        <f t="shared" si="420"/>
        <v>Valid</v>
      </c>
      <c r="AJ2105" t="str">
        <f t="shared" si="421"/>
        <v>Valid</v>
      </c>
      <c r="AK2105" t="str">
        <f t="shared" si="428"/>
        <v xml:space="preserve">Valid </v>
      </c>
      <c r="AL2105" t="str">
        <f>IF(AND(Audit_Data[[#This Row],[Recency]]&gt;=0,Audit_Data[[#This Row],[Recency]]&lt;=100),"Valid","Invalid")</f>
        <v>Valid</v>
      </c>
      <c r="AM2105" t="str">
        <f t="shared" si="422"/>
        <v>Valid</v>
      </c>
      <c r="AN2105" t="str">
        <f t="shared" si="423"/>
        <v>Valid</v>
      </c>
      <c r="AO2105" t="str">
        <f t="shared" si="424"/>
        <v>Valid</v>
      </c>
      <c r="AP2105" t="str">
        <f t="shared" si="425"/>
        <v>Valid</v>
      </c>
      <c r="AQ2105" t="str">
        <f>IF(Audit_Data[[#This Row],[Z_CostContact]]=3,"Valid","Invalid")</f>
        <v>Valid</v>
      </c>
      <c r="AR2105" t="str">
        <f t="shared" si="426"/>
        <v>Valid</v>
      </c>
      <c r="AS2105" t="str">
        <f t="shared" si="427"/>
        <v>Valid</v>
      </c>
    </row>
    <row r="2106" spans="1:45" x14ac:dyDescent="0.3">
      <c r="A2106">
        <v>5802</v>
      </c>
      <c r="B2106">
        <v>1972</v>
      </c>
      <c r="C2106" t="s">
        <v>36</v>
      </c>
      <c r="D2106" t="s">
        <v>33</v>
      </c>
      <c r="E2106">
        <v>14188</v>
      </c>
      <c r="F2106">
        <v>0</v>
      </c>
      <c r="G2106">
        <v>0</v>
      </c>
      <c r="H2106" s="1">
        <v>41333</v>
      </c>
      <c r="I2106">
        <v>40</v>
      </c>
      <c r="J2106">
        <v>2</v>
      </c>
      <c r="K2106">
        <v>7</v>
      </c>
      <c r="L2106">
        <v>11</v>
      </c>
      <c r="M2106">
        <v>16</v>
      </c>
      <c r="N2106">
        <v>12</v>
      </c>
      <c r="O2106">
        <v>27</v>
      </c>
      <c r="P2106">
        <v>1</v>
      </c>
      <c r="Q2106">
        <v>2</v>
      </c>
      <c r="R2106">
        <v>0</v>
      </c>
      <c r="S2106">
        <v>4</v>
      </c>
      <c r="T2106">
        <v>6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3</v>
      </c>
      <c r="AB2106">
        <v>11</v>
      </c>
      <c r="AC2106">
        <v>0</v>
      </c>
      <c r="AD2106" t="str">
        <f t="shared" si="416"/>
        <v>Ok</v>
      </c>
      <c r="AE2106" t="str">
        <f>IF(AND(Audit_Data[[#This Row],[Year_Birth]]&gt;=1900,Audit_Data[[#This Row],[Year_Birth]]&lt;=2010),"OK","Invalid")</f>
        <v>OK</v>
      </c>
      <c r="AF2106" t="str">
        <f t="shared" si="417"/>
        <v>Valid</v>
      </c>
      <c r="AG2106" t="str">
        <f t="shared" si="418"/>
        <v>Valid</v>
      </c>
      <c r="AH2106" t="str">
        <f t="shared" si="419"/>
        <v>Valid</v>
      </c>
      <c r="AI2106" t="str">
        <f t="shared" si="420"/>
        <v>Valid</v>
      </c>
      <c r="AJ2106" t="str">
        <f t="shared" si="421"/>
        <v>Valid</v>
      </c>
      <c r="AK2106" t="str">
        <f t="shared" si="428"/>
        <v xml:space="preserve">Valid </v>
      </c>
      <c r="AL2106" t="str">
        <f>IF(AND(Audit_Data[[#This Row],[Recency]]&gt;=0,Audit_Data[[#This Row],[Recency]]&lt;=100),"Valid","Invalid")</f>
        <v>Valid</v>
      </c>
      <c r="AM2106" t="str">
        <f t="shared" si="422"/>
        <v>Valid</v>
      </c>
      <c r="AN2106" t="str">
        <f t="shared" si="423"/>
        <v>Valid</v>
      </c>
      <c r="AO2106" t="str">
        <f t="shared" si="424"/>
        <v>Valid</v>
      </c>
      <c r="AP2106" t="str">
        <f t="shared" si="425"/>
        <v>Valid</v>
      </c>
      <c r="AQ2106" t="str">
        <f>IF(Audit_Data[[#This Row],[Z_CostContact]]=3,"Valid","Invalid")</f>
        <v>Valid</v>
      </c>
      <c r="AR2106" t="str">
        <f t="shared" si="426"/>
        <v>Valid</v>
      </c>
      <c r="AS2106" t="str">
        <f t="shared" si="427"/>
        <v>Valid</v>
      </c>
    </row>
    <row r="2107" spans="1:45" x14ac:dyDescent="0.3">
      <c r="A2107">
        <v>1407</v>
      </c>
      <c r="B2107">
        <v>1986</v>
      </c>
      <c r="C2107" t="s">
        <v>36</v>
      </c>
      <c r="D2107" t="s">
        <v>33</v>
      </c>
      <c r="E2107">
        <v>20425</v>
      </c>
      <c r="F2107">
        <v>1</v>
      </c>
      <c r="G2107">
        <v>0</v>
      </c>
      <c r="H2107" s="1">
        <v>41211</v>
      </c>
      <c r="I2107">
        <v>5</v>
      </c>
      <c r="J2107">
        <v>4</v>
      </c>
      <c r="K2107">
        <v>12</v>
      </c>
      <c r="L2107">
        <v>5</v>
      </c>
      <c r="M2107">
        <v>3</v>
      </c>
      <c r="N2107">
        <v>16</v>
      </c>
      <c r="O2107">
        <v>17</v>
      </c>
      <c r="P2107">
        <v>2</v>
      </c>
      <c r="Q2107">
        <v>2</v>
      </c>
      <c r="R2107">
        <v>0</v>
      </c>
      <c r="S2107">
        <v>3</v>
      </c>
      <c r="T2107">
        <v>7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3</v>
      </c>
      <c r="AB2107">
        <v>11</v>
      </c>
      <c r="AC2107">
        <v>0</v>
      </c>
      <c r="AD2107" t="str">
        <f t="shared" si="416"/>
        <v>Ok</v>
      </c>
      <c r="AE2107" t="str">
        <f>IF(AND(Audit_Data[[#This Row],[Year_Birth]]&gt;=1900,Audit_Data[[#This Row],[Year_Birth]]&lt;=2010),"OK","Invalid")</f>
        <v>OK</v>
      </c>
      <c r="AF2107" t="str">
        <f t="shared" si="417"/>
        <v>Valid</v>
      </c>
      <c r="AG2107" t="str">
        <f t="shared" si="418"/>
        <v>Valid</v>
      </c>
      <c r="AH2107" t="str">
        <f t="shared" si="419"/>
        <v>Valid</v>
      </c>
      <c r="AI2107" t="str">
        <f t="shared" si="420"/>
        <v>Valid</v>
      </c>
      <c r="AJ2107" t="str">
        <f t="shared" si="421"/>
        <v>Valid</v>
      </c>
      <c r="AK2107" t="str">
        <f t="shared" si="428"/>
        <v xml:space="preserve">Valid </v>
      </c>
      <c r="AL2107" t="str">
        <f>IF(AND(Audit_Data[[#This Row],[Recency]]&gt;=0,Audit_Data[[#This Row],[Recency]]&lt;=100),"Valid","Invalid")</f>
        <v>Valid</v>
      </c>
      <c r="AM2107" t="str">
        <f t="shared" si="422"/>
        <v>Valid</v>
      </c>
      <c r="AN2107" t="str">
        <f t="shared" si="423"/>
        <v>Valid</v>
      </c>
      <c r="AO2107" t="str">
        <f t="shared" si="424"/>
        <v>Valid</v>
      </c>
      <c r="AP2107" t="str">
        <f t="shared" si="425"/>
        <v>Valid</v>
      </c>
      <c r="AQ2107" t="str">
        <f>IF(Audit_Data[[#This Row],[Z_CostContact]]=3,"Valid","Invalid")</f>
        <v>Valid</v>
      </c>
      <c r="AR2107" t="str">
        <f t="shared" si="426"/>
        <v>Valid</v>
      </c>
      <c r="AS2107" t="str">
        <f t="shared" si="427"/>
        <v>Valid</v>
      </c>
    </row>
    <row r="2108" spans="1:45" x14ac:dyDescent="0.3">
      <c r="A2108">
        <v>6183</v>
      </c>
      <c r="B2108">
        <v>1962</v>
      </c>
      <c r="C2108" t="s">
        <v>34</v>
      </c>
      <c r="D2108" t="s">
        <v>33</v>
      </c>
      <c r="E2108">
        <v>58646</v>
      </c>
      <c r="F2108">
        <v>0</v>
      </c>
      <c r="G2108">
        <v>1</v>
      </c>
      <c r="H2108" s="1">
        <v>41435</v>
      </c>
      <c r="I2108">
        <v>3</v>
      </c>
      <c r="J2108">
        <v>62</v>
      </c>
      <c r="K2108">
        <v>1</v>
      </c>
      <c r="L2108">
        <v>44</v>
      </c>
      <c r="M2108">
        <v>6</v>
      </c>
      <c r="N2108">
        <v>5</v>
      </c>
      <c r="O2108">
        <v>22</v>
      </c>
      <c r="P2108">
        <v>1</v>
      </c>
      <c r="Q2108">
        <v>2</v>
      </c>
      <c r="R2108">
        <v>1</v>
      </c>
      <c r="S2108">
        <v>4</v>
      </c>
      <c r="T2108">
        <v>4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3</v>
      </c>
      <c r="AB2108">
        <v>11</v>
      </c>
      <c r="AC2108">
        <v>0</v>
      </c>
      <c r="AD2108" t="str">
        <f t="shared" si="416"/>
        <v>Ok</v>
      </c>
      <c r="AE2108" t="str">
        <f>IF(AND(Audit_Data[[#This Row],[Year_Birth]]&gt;=1900,Audit_Data[[#This Row],[Year_Birth]]&lt;=2010),"OK","Invalid")</f>
        <v>OK</v>
      </c>
      <c r="AF2108" t="str">
        <f t="shared" si="417"/>
        <v>Valid</v>
      </c>
      <c r="AG2108" t="str">
        <f t="shared" si="418"/>
        <v>Valid</v>
      </c>
      <c r="AH2108" t="str">
        <f t="shared" si="419"/>
        <v>Valid</v>
      </c>
      <c r="AI2108" t="str">
        <f t="shared" si="420"/>
        <v>Valid</v>
      </c>
      <c r="AJ2108" t="str">
        <f t="shared" si="421"/>
        <v>Valid</v>
      </c>
      <c r="AK2108" t="str">
        <f t="shared" si="428"/>
        <v xml:space="preserve">Valid </v>
      </c>
      <c r="AL2108" t="str">
        <f>IF(AND(Audit_Data[[#This Row],[Recency]]&gt;=0,Audit_Data[[#This Row],[Recency]]&lt;=100),"Valid","Invalid")</f>
        <v>Valid</v>
      </c>
      <c r="AM2108" t="str">
        <f t="shared" si="422"/>
        <v>Valid</v>
      </c>
      <c r="AN2108" t="str">
        <f t="shared" si="423"/>
        <v>Valid</v>
      </c>
      <c r="AO2108" t="str">
        <f t="shared" si="424"/>
        <v>Valid</v>
      </c>
      <c r="AP2108" t="str">
        <f t="shared" si="425"/>
        <v>Valid</v>
      </c>
      <c r="AQ2108" t="str">
        <f>IF(Audit_Data[[#This Row],[Z_CostContact]]=3,"Valid","Invalid")</f>
        <v>Valid</v>
      </c>
      <c r="AR2108" t="str">
        <f t="shared" si="426"/>
        <v>Valid</v>
      </c>
      <c r="AS2108" t="str">
        <f t="shared" si="427"/>
        <v>Valid</v>
      </c>
    </row>
    <row r="2109" spans="1:45" x14ac:dyDescent="0.3">
      <c r="A2109">
        <v>340</v>
      </c>
      <c r="B2109">
        <v>1970</v>
      </c>
      <c r="C2109" t="s">
        <v>29</v>
      </c>
      <c r="D2109" t="s">
        <v>35</v>
      </c>
      <c r="E2109">
        <v>72967</v>
      </c>
      <c r="F2109">
        <v>0</v>
      </c>
      <c r="G2109">
        <v>1</v>
      </c>
      <c r="H2109" s="1">
        <v>41258</v>
      </c>
      <c r="I2109">
        <v>1</v>
      </c>
      <c r="J2109">
        <v>158</v>
      </c>
      <c r="K2109">
        <v>35</v>
      </c>
      <c r="L2109">
        <v>179</v>
      </c>
      <c r="M2109">
        <v>0</v>
      </c>
      <c r="N2109">
        <v>0</v>
      </c>
      <c r="O2109">
        <v>125</v>
      </c>
      <c r="P2109">
        <v>2</v>
      </c>
      <c r="Q2109">
        <v>7</v>
      </c>
      <c r="R2109">
        <v>2</v>
      </c>
      <c r="S2109">
        <v>8</v>
      </c>
      <c r="T2109">
        <v>5</v>
      </c>
      <c r="U2109">
        <v>1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3</v>
      </c>
      <c r="AB2109">
        <v>11</v>
      </c>
      <c r="AC2109">
        <v>1</v>
      </c>
      <c r="AD2109" t="str">
        <f t="shared" si="416"/>
        <v>Ok</v>
      </c>
      <c r="AE2109" t="str">
        <f>IF(AND(Audit_Data[[#This Row],[Year_Birth]]&gt;=1900,Audit_Data[[#This Row],[Year_Birth]]&lt;=2010),"OK","Invalid")</f>
        <v>OK</v>
      </c>
      <c r="AF2109" t="str">
        <f t="shared" si="417"/>
        <v>Valid</v>
      </c>
      <c r="AG2109" t="str">
        <f t="shared" si="418"/>
        <v>Valid</v>
      </c>
      <c r="AH2109" t="str">
        <f t="shared" si="419"/>
        <v>Valid</v>
      </c>
      <c r="AI2109" t="str">
        <f t="shared" si="420"/>
        <v>Valid</v>
      </c>
      <c r="AJ2109" t="str">
        <f t="shared" si="421"/>
        <v>Valid</v>
      </c>
      <c r="AK2109" t="str">
        <f t="shared" si="428"/>
        <v xml:space="preserve">Valid </v>
      </c>
      <c r="AL2109" t="str">
        <f>IF(AND(Audit_Data[[#This Row],[Recency]]&gt;=0,Audit_Data[[#This Row],[Recency]]&lt;=100),"Valid","Invalid")</f>
        <v>Valid</v>
      </c>
      <c r="AM2109" t="str">
        <f t="shared" si="422"/>
        <v>Valid</v>
      </c>
      <c r="AN2109" t="str">
        <f t="shared" si="423"/>
        <v>Valid</v>
      </c>
      <c r="AO2109" t="str">
        <f t="shared" si="424"/>
        <v>Valid</v>
      </c>
      <c r="AP2109" t="str">
        <f t="shared" si="425"/>
        <v>Valid</v>
      </c>
      <c r="AQ2109" t="str">
        <f>IF(Audit_Data[[#This Row],[Z_CostContact]]=3,"Valid","Invalid")</f>
        <v>Valid</v>
      </c>
      <c r="AR2109" t="str">
        <f t="shared" si="426"/>
        <v>Valid</v>
      </c>
      <c r="AS2109" t="str">
        <f t="shared" si="427"/>
        <v>Valid</v>
      </c>
    </row>
    <row r="2110" spans="1:45" x14ac:dyDescent="0.3">
      <c r="A2110">
        <v>5991</v>
      </c>
      <c r="B2110">
        <v>1949</v>
      </c>
      <c r="C2110" t="s">
        <v>34</v>
      </c>
      <c r="D2110" t="s">
        <v>33</v>
      </c>
      <c r="E2110">
        <v>48150</v>
      </c>
      <c r="F2110">
        <v>0</v>
      </c>
      <c r="G2110">
        <v>1</v>
      </c>
      <c r="H2110" s="1">
        <v>41433</v>
      </c>
      <c r="I2110">
        <v>24</v>
      </c>
      <c r="J2110">
        <v>173</v>
      </c>
      <c r="K2110">
        <v>2</v>
      </c>
      <c r="L2110">
        <v>39</v>
      </c>
      <c r="M2110">
        <v>3</v>
      </c>
      <c r="N2110">
        <v>2</v>
      </c>
      <c r="O2110">
        <v>47</v>
      </c>
      <c r="P2110">
        <v>3</v>
      </c>
      <c r="Q2110">
        <v>5</v>
      </c>
      <c r="R2110">
        <v>1</v>
      </c>
      <c r="S2110">
        <v>4</v>
      </c>
      <c r="T2110">
        <v>7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3</v>
      </c>
      <c r="AB2110">
        <v>11</v>
      </c>
      <c r="AC2110">
        <v>0</v>
      </c>
      <c r="AD2110" t="str">
        <f t="shared" si="416"/>
        <v>Ok</v>
      </c>
      <c r="AE2110" t="str">
        <f>IF(AND(Audit_Data[[#This Row],[Year_Birth]]&gt;=1900,Audit_Data[[#This Row],[Year_Birth]]&lt;=2010),"OK","Invalid")</f>
        <v>OK</v>
      </c>
      <c r="AF2110" t="str">
        <f t="shared" si="417"/>
        <v>Valid</v>
      </c>
      <c r="AG2110" t="str">
        <f t="shared" si="418"/>
        <v>Valid</v>
      </c>
      <c r="AH2110" t="str">
        <f t="shared" si="419"/>
        <v>Valid</v>
      </c>
      <c r="AI2110" t="str">
        <f t="shared" si="420"/>
        <v>Valid</v>
      </c>
      <c r="AJ2110" t="str">
        <f t="shared" si="421"/>
        <v>Valid</v>
      </c>
      <c r="AK2110" t="str">
        <f t="shared" si="428"/>
        <v xml:space="preserve">Valid </v>
      </c>
      <c r="AL2110" t="str">
        <f>IF(AND(Audit_Data[[#This Row],[Recency]]&gt;=0,Audit_Data[[#This Row],[Recency]]&lt;=100),"Valid","Invalid")</f>
        <v>Valid</v>
      </c>
      <c r="AM2110" t="str">
        <f t="shared" si="422"/>
        <v>Valid</v>
      </c>
      <c r="AN2110" t="str">
        <f t="shared" si="423"/>
        <v>Valid</v>
      </c>
      <c r="AO2110" t="str">
        <f t="shared" si="424"/>
        <v>Valid</v>
      </c>
      <c r="AP2110" t="str">
        <f t="shared" si="425"/>
        <v>Valid</v>
      </c>
      <c r="AQ2110" t="str">
        <f>IF(Audit_Data[[#This Row],[Z_CostContact]]=3,"Valid","Invalid")</f>
        <v>Valid</v>
      </c>
      <c r="AR2110" t="str">
        <f t="shared" si="426"/>
        <v>Valid</v>
      </c>
      <c r="AS2110" t="str">
        <f t="shared" si="427"/>
        <v>Valid</v>
      </c>
    </row>
    <row r="2111" spans="1:45" x14ac:dyDescent="0.3">
      <c r="A2111">
        <v>3104</v>
      </c>
      <c r="B2111">
        <v>1961</v>
      </c>
      <c r="C2111" t="s">
        <v>29</v>
      </c>
      <c r="D2111" t="s">
        <v>30</v>
      </c>
      <c r="E2111">
        <v>82332</v>
      </c>
      <c r="F2111">
        <v>0</v>
      </c>
      <c r="G2111">
        <v>0</v>
      </c>
      <c r="H2111" s="1">
        <v>41169</v>
      </c>
      <c r="I2111">
        <v>89</v>
      </c>
      <c r="J2111">
        <v>830</v>
      </c>
      <c r="K2111">
        <v>59</v>
      </c>
      <c r="L2111">
        <v>968</v>
      </c>
      <c r="M2111">
        <v>51</v>
      </c>
      <c r="N2111">
        <v>79</v>
      </c>
      <c r="O2111">
        <v>19</v>
      </c>
      <c r="P2111">
        <v>1</v>
      </c>
      <c r="Q2111">
        <v>5</v>
      </c>
      <c r="R2111">
        <v>3</v>
      </c>
      <c r="S2111">
        <v>12</v>
      </c>
      <c r="T2111">
        <v>2</v>
      </c>
      <c r="U2111">
        <v>0</v>
      </c>
      <c r="V2111">
        <v>0</v>
      </c>
      <c r="W2111">
        <v>1</v>
      </c>
      <c r="X2111">
        <v>0</v>
      </c>
      <c r="Y2111">
        <v>0</v>
      </c>
      <c r="Z2111">
        <v>0</v>
      </c>
      <c r="AA2111">
        <v>3</v>
      </c>
      <c r="AB2111">
        <v>11</v>
      </c>
      <c r="AC2111">
        <v>1</v>
      </c>
      <c r="AD2111" t="str">
        <f t="shared" si="416"/>
        <v>Ok</v>
      </c>
      <c r="AE2111" t="str">
        <f>IF(AND(Audit_Data[[#This Row],[Year_Birth]]&gt;=1900,Audit_Data[[#This Row],[Year_Birth]]&lt;=2010),"OK","Invalid")</f>
        <v>OK</v>
      </c>
      <c r="AF2111" t="str">
        <f t="shared" si="417"/>
        <v>Valid</v>
      </c>
      <c r="AG2111" t="str">
        <f t="shared" si="418"/>
        <v>Valid</v>
      </c>
      <c r="AH2111" t="str">
        <f t="shared" si="419"/>
        <v>Valid</v>
      </c>
      <c r="AI2111" t="str">
        <f t="shared" si="420"/>
        <v>Valid</v>
      </c>
      <c r="AJ2111" t="str">
        <f t="shared" si="421"/>
        <v>Valid</v>
      </c>
      <c r="AK2111" t="str">
        <f t="shared" si="428"/>
        <v xml:space="preserve">Valid </v>
      </c>
      <c r="AL2111" t="str">
        <f>IF(AND(Audit_Data[[#This Row],[Recency]]&gt;=0,Audit_Data[[#This Row],[Recency]]&lt;=100),"Valid","Invalid")</f>
        <v>Valid</v>
      </c>
      <c r="AM2111" t="str">
        <f t="shared" si="422"/>
        <v>Valid</v>
      </c>
      <c r="AN2111" t="str">
        <f t="shared" si="423"/>
        <v>Valid</v>
      </c>
      <c r="AO2111" t="str">
        <f t="shared" si="424"/>
        <v>Valid</v>
      </c>
      <c r="AP2111" t="str">
        <f t="shared" si="425"/>
        <v>Valid</v>
      </c>
      <c r="AQ2111" t="str">
        <f>IF(Audit_Data[[#This Row],[Z_CostContact]]=3,"Valid","Invalid")</f>
        <v>Valid</v>
      </c>
      <c r="AR2111" t="str">
        <f t="shared" si="426"/>
        <v>Valid</v>
      </c>
      <c r="AS2111" t="str">
        <f t="shared" si="427"/>
        <v>Valid</v>
      </c>
    </row>
    <row r="2112" spans="1:45" x14ac:dyDescent="0.3">
      <c r="A2112">
        <v>9729</v>
      </c>
      <c r="B2112">
        <v>1955</v>
      </c>
      <c r="C2112" t="s">
        <v>29</v>
      </c>
      <c r="D2112" t="s">
        <v>38</v>
      </c>
      <c r="E2112">
        <v>58275</v>
      </c>
      <c r="F2112">
        <v>1</v>
      </c>
      <c r="G2112">
        <v>1</v>
      </c>
      <c r="H2112" s="1">
        <v>41427</v>
      </c>
      <c r="I2112">
        <v>48</v>
      </c>
      <c r="J2112">
        <v>189</v>
      </c>
      <c r="K2112">
        <v>10</v>
      </c>
      <c r="L2112">
        <v>253</v>
      </c>
      <c r="M2112">
        <v>56</v>
      </c>
      <c r="N2112">
        <v>43</v>
      </c>
      <c r="O2112">
        <v>64</v>
      </c>
      <c r="P2112">
        <v>6</v>
      </c>
      <c r="Q2112">
        <v>8</v>
      </c>
      <c r="R2112">
        <v>2</v>
      </c>
      <c r="S2112">
        <v>7</v>
      </c>
      <c r="T2112">
        <v>7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3</v>
      </c>
      <c r="AB2112">
        <v>11</v>
      </c>
      <c r="AC2112">
        <v>0</v>
      </c>
      <c r="AD2112" t="str">
        <f t="shared" si="416"/>
        <v>Ok</v>
      </c>
      <c r="AE2112" t="str">
        <f>IF(AND(Audit_Data[[#This Row],[Year_Birth]]&gt;=1900,Audit_Data[[#This Row],[Year_Birth]]&lt;=2010),"OK","Invalid")</f>
        <v>OK</v>
      </c>
      <c r="AF2112" t="str">
        <f t="shared" si="417"/>
        <v>Valid</v>
      </c>
      <c r="AG2112" t="str">
        <f t="shared" si="418"/>
        <v>Valid</v>
      </c>
      <c r="AH2112" t="str">
        <f t="shared" si="419"/>
        <v>Valid</v>
      </c>
      <c r="AI2112" t="str">
        <f t="shared" si="420"/>
        <v>Valid</v>
      </c>
      <c r="AJ2112" t="str">
        <f t="shared" si="421"/>
        <v>Valid</v>
      </c>
      <c r="AK2112" t="str">
        <f t="shared" si="428"/>
        <v xml:space="preserve">Valid </v>
      </c>
      <c r="AL2112" t="str">
        <f>IF(AND(Audit_Data[[#This Row],[Recency]]&gt;=0,Audit_Data[[#This Row],[Recency]]&lt;=100),"Valid","Invalid")</f>
        <v>Valid</v>
      </c>
      <c r="AM2112" t="str">
        <f t="shared" si="422"/>
        <v>Valid</v>
      </c>
      <c r="AN2112" t="str">
        <f t="shared" si="423"/>
        <v>Valid</v>
      </c>
      <c r="AO2112" t="str">
        <f t="shared" si="424"/>
        <v>Valid</v>
      </c>
      <c r="AP2112" t="str">
        <f t="shared" si="425"/>
        <v>Valid</v>
      </c>
      <c r="AQ2112" t="str">
        <f>IF(Audit_Data[[#This Row],[Z_CostContact]]=3,"Valid","Invalid")</f>
        <v>Valid</v>
      </c>
      <c r="AR2112" t="str">
        <f t="shared" si="426"/>
        <v>Valid</v>
      </c>
      <c r="AS2112" t="str">
        <f t="shared" si="427"/>
        <v>Valid</v>
      </c>
    </row>
    <row r="2113" spans="1:45" x14ac:dyDescent="0.3">
      <c r="A2113">
        <v>1008</v>
      </c>
      <c r="B2113">
        <v>1981</v>
      </c>
      <c r="C2113" t="s">
        <v>32</v>
      </c>
      <c r="D2113" t="s">
        <v>31</v>
      </c>
      <c r="E2113">
        <v>44953</v>
      </c>
      <c r="F2113">
        <v>0</v>
      </c>
      <c r="G2113">
        <v>0</v>
      </c>
      <c r="H2113" s="1">
        <v>41264</v>
      </c>
      <c r="I2113">
        <v>31</v>
      </c>
      <c r="J2113">
        <v>728</v>
      </c>
      <c r="K2113">
        <v>17</v>
      </c>
      <c r="L2113">
        <v>133</v>
      </c>
      <c r="M2113">
        <v>11</v>
      </c>
      <c r="N2113">
        <v>8</v>
      </c>
      <c r="O2113">
        <v>124</v>
      </c>
      <c r="P2113">
        <v>1</v>
      </c>
      <c r="Q2113">
        <v>7</v>
      </c>
      <c r="R2113">
        <v>3</v>
      </c>
      <c r="S2113">
        <v>13</v>
      </c>
      <c r="T2113">
        <v>6</v>
      </c>
      <c r="U2113">
        <v>1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3</v>
      </c>
      <c r="AB2113">
        <v>11</v>
      </c>
      <c r="AC2113">
        <v>0</v>
      </c>
      <c r="AD2113" t="str">
        <f t="shared" si="416"/>
        <v>Ok</v>
      </c>
      <c r="AE2113" t="str">
        <f>IF(AND(Audit_Data[[#This Row],[Year_Birth]]&gt;=1900,Audit_Data[[#This Row],[Year_Birth]]&lt;=2010),"OK","Invalid")</f>
        <v>OK</v>
      </c>
      <c r="AF2113" t="str">
        <f t="shared" si="417"/>
        <v>Valid</v>
      </c>
      <c r="AG2113" t="str">
        <f t="shared" si="418"/>
        <v>Valid</v>
      </c>
      <c r="AH2113" t="str">
        <f t="shared" si="419"/>
        <v>Valid</v>
      </c>
      <c r="AI2113" t="str">
        <f t="shared" si="420"/>
        <v>Valid</v>
      </c>
      <c r="AJ2113" t="str">
        <f t="shared" si="421"/>
        <v>Valid</v>
      </c>
      <c r="AK2113" t="str">
        <f t="shared" si="428"/>
        <v xml:space="preserve">Valid </v>
      </c>
      <c r="AL2113" t="str">
        <f>IF(AND(Audit_Data[[#This Row],[Recency]]&gt;=0,Audit_Data[[#This Row],[Recency]]&lt;=100),"Valid","Invalid")</f>
        <v>Valid</v>
      </c>
      <c r="AM2113" t="str">
        <f t="shared" si="422"/>
        <v>Valid</v>
      </c>
      <c r="AN2113" t="str">
        <f t="shared" si="423"/>
        <v>Valid</v>
      </c>
      <c r="AO2113" t="str">
        <f t="shared" si="424"/>
        <v>Valid</v>
      </c>
      <c r="AP2113" t="str">
        <f t="shared" si="425"/>
        <v>Valid</v>
      </c>
      <c r="AQ2113" t="str">
        <f>IF(Audit_Data[[#This Row],[Z_CostContact]]=3,"Valid","Invalid")</f>
        <v>Valid</v>
      </c>
      <c r="AR2113" t="str">
        <f t="shared" si="426"/>
        <v>Valid</v>
      </c>
      <c r="AS2113" t="str">
        <f t="shared" si="427"/>
        <v>Valid</v>
      </c>
    </row>
    <row r="2114" spans="1:45" x14ac:dyDescent="0.3">
      <c r="A2114">
        <v>11091</v>
      </c>
      <c r="B2114">
        <v>1953</v>
      </c>
      <c r="C2114" t="s">
        <v>29</v>
      </c>
      <c r="D2114" t="s">
        <v>31</v>
      </c>
      <c r="E2114">
        <v>34587</v>
      </c>
      <c r="F2114">
        <v>1</v>
      </c>
      <c r="G2114">
        <v>1</v>
      </c>
      <c r="H2114" s="1">
        <v>41775</v>
      </c>
      <c r="I2114">
        <v>68</v>
      </c>
      <c r="J2114">
        <v>7</v>
      </c>
      <c r="K2114">
        <v>2</v>
      </c>
      <c r="L2114">
        <v>9</v>
      </c>
      <c r="M2114">
        <v>2</v>
      </c>
      <c r="N2114">
        <v>0</v>
      </c>
      <c r="O2114">
        <v>2</v>
      </c>
      <c r="P2114">
        <v>2</v>
      </c>
      <c r="Q2114">
        <v>1</v>
      </c>
      <c r="R2114">
        <v>0</v>
      </c>
      <c r="S2114">
        <v>3</v>
      </c>
      <c r="T2114">
        <v>4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3</v>
      </c>
      <c r="AB2114">
        <v>11</v>
      </c>
      <c r="AC2114">
        <v>0</v>
      </c>
      <c r="AD2114" t="str">
        <f t="shared" ref="AD2114:AD2177" si="429">IF(COUNTIF(A:A,A2114)&gt;1,"Duplicate","Ok")</f>
        <v>Ok</v>
      </c>
      <c r="AE2114" t="str">
        <f>IF(AND(Audit_Data[[#This Row],[Year_Birth]]&gt;=1900,Audit_Data[[#This Row],[Year_Birth]]&lt;=2010),"OK","Invalid")</f>
        <v>OK</v>
      </c>
      <c r="AF2114" t="str">
        <f t="shared" ref="AF2114:AF2177" si="430">IF(OR(C2114="Graduation",C2114="phD",C2114="Master",C2114="Basic",C2114="2n Cycle"),"Valid","Invalid")</f>
        <v>Valid</v>
      </c>
      <c r="AG2114" t="str">
        <f t="shared" ref="AG2114:AG2177" si="431">IF(OR(D2114="Single",D2114="Married",D2114="Divorced",D2114="Together",D2114="Widow",D2114="Alone"),"Valid","Invalid")</f>
        <v>Valid</v>
      </c>
      <c r="AH2114" t="str">
        <f t="shared" ref="AH2114:AH2177" si="432">IF(AND(ISNUMBER(E2114),E2114&lt;&gt;""),"Valid","Invalid")</f>
        <v>Valid</v>
      </c>
      <c r="AI2114" t="str">
        <f t="shared" ref="AI2114:AI2177" si="433">IF(AND(F2114&gt;=0,F2114&lt;=2),"Valid","Invalid")</f>
        <v>Valid</v>
      </c>
      <c r="AJ2114" t="str">
        <f t="shared" ref="AJ2114:AJ2177" si="434">IF(AND(G2114&gt;=0,G2114&lt;=2),"Valid","Invalid")</f>
        <v>Valid</v>
      </c>
      <c r="AK2114" t="str">
        <f t="shared" si="428"/>
        <v xml:space="preserve">Valid </v>
      </c>
      <c r="AL2114" t="str">
        <f>IF(AND(Audit_Data[[#This Row],[Recency]]&gt;=0,Audit_Data[[#This Row],[Recency]]&lt;=100),"Valid","Invalid")</f>
        <v>Valid</v>
      </c>
      <c r="AM2114" t="str">
        <f t="shared" ref="AM2114:AM2177" si="435">IF(AND(ISNUMBER(J2114),J2114&gt;=0,ISNUMBER(K2114),K2114&gt;=0,ISNUMBER(L2114),L2114&gt;=0,ISNUMBER(M2114),M2114&gt;=0,ISNUMBER(N2114),N2114&gt;=0,ISNUMBER(O2114),O2114&gt;=0),"Valid","Invalid")</f>
        <v>Valid</v>
      </c>
      <c r="AN2114" t="str">
        <f t="shared" ref="AN2114:AN2177" si="436">IF(AND(ISNUMBER(P2114),P2114&gt;=0,ISNUMBER(Q2114),Q2114&gt;=0,ISNUMBER(R2114),R2114&gt;=0,ISNUMBER(S2114),S2114&gt;=0,ISNUMBER(T2114),T2114&gt;=0),"Valid","Invalid")</f>
        <v>Valid</v>
      </c>
      <c r="AO2114" t="str">
        <f t="shared" ref="AO2114:AO2177" si="437">IF(AND(U2114&lt;=1,V2114&lt;=1,W2114&lt;=1,X2114&lt;=1,Y2114&lt;=1),"Valid","Invalid")</f>
        <v>Valid</v>
      </c>
      <c r="AP2114" t="str">
        <f t="shared" ref="AP2114:AP2177" si="438">IF(OR(Z2114=0,Z2114=1),"Valid","Invalid")</f>
        <v>Valid</v>
      </c>
      <c r="AQ2114" t="str">
        <f>IF(Audit_Data[[#This Row],[Z_CostContact]]=3,"Valid","Invalid")</f>
        <v>Valid</v>
      </c>
      <c r="AR2114" t="str">
        <f t="shared" ref="AR2114:AR2177" si="439">IF(AB2114=11,"Valid","Invalid")</f>
        <v>Valid</v>
      </c>
      <c r="AS2114" t="str">
        <f t="shared" ref="AS2114:AS2177" si="440">IF(OR(AC2114=0,AC2114=1),"Valid","Invalid")</f>
        <v>Valid</v>
      </c>
    </row>
    <row r="2115" spans="1:45" x14ac:dyDescent="0.3">
      <c r="A2115">
        <v>3969</v>
      </c>
      <c r="B2115">
        <v>1974</v>
      </c>
      <c r="C2115" t="s">
        <v>34</v>
      </c>
      <c r="D2115" t="s">
        <v>31</v>
      </c>
      <c r="E2115">
        <v>43018</v>
      </c>
      <c r="F2115">
        <v>0</v>
      </c>
      <c r="G2115">
        <v>1</v>
      </c>
      <c r="H2115" s="1">
        <v>41579</v>
      </c>
      <c r="I2115">
        <v>46</v>
      </c>
      <c r="J2115">
        <v>35</v>
      </c>
      <c r="K2115">
        <v>4</v>
      </c>
      <c r="L2115">
        <v>17</v>
      </c>
      <c r="M2115">
        <v>7</v>
      </c>
      <c r="N2115">
        <v>6</v>
      </c>
      <c r="O2115">
        <v>64</v>
      </c>
      <c r="P2115">
        <v>1</v>
      </c>
      <c r="Q2115">
        <v>2</v>
      </c>
      <c r="R2115">
        <v>2</v>
      </c>
      <c r="S2115">
        <v>2</v>
      </c>
      <c r="T2115">
        <v>5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3</v>
      </c>
      <c r="AB2115">
        <v>11</v>
      </c>
      <c r="AC2115">
        <v>0</v>
      </c>
      <c r="AD2115" t="str">
        <f t="shared" si="429"/>
        <v>Ok</v>
      </c>
      <c r="AE2115" t="str">
        <f>IF(AND(Audit_Data[[#This Row],[Year_Birth]]&gt;=1900,Audit_Data[[#This Row],[Year_Birth]]&lt;=2010),"OK","Invalid")</f>
        <v>OK</v>
      </c>
      <c r="AF2115" t="str">
        <f t="shared" si="430"/>
        <v>Valid</v>
      </c>
      <c r="AG2115" t="str">
        <f t="shared" si="431"/>
        <v>Valid</v>
      </c>
      <c r="AH2115" t="str">
        <f t="shared" si="432"/>
        <v>Valid</v>
      </c>
      <c r="AI2115" t="str">
        <f t="shared" si="433"/>
        <v>Valid</v>
      </c>
      <c r="AJ2115" t="str">
        <f t="shared" si="434"/>
        <v>Valid</v>
      </c>
      <c r="AK2115" t="str">
        <f t="shared" ref="AK2115:AK2178" si="441">IF(AND(ISNUMBER(H2115),H2115&gt;=DATE(2012,1,1),H2115&lt;=DATE(2014,12,31)),"Valid ","Invalid")</f>
        <v xml:space="preserve">Valid </v>
      </c>
      <c r="AL2115" t="str">
        <f>IF(AND(Audit_Data[[#This Row],[Recency]]&gt;=0,Audit_Data[[#This Row],[Recency]]&lt;=100),"Valid","Invalid")</f>
        <v>Valid</v>
      </c>
      <c r="AM2115" t="str">
        <f t="shared" si="435"/>
        <v>Valid</v>
      </c>
      <c r="AN2115" t="str">
        <f t="shared" si="436"/>
        <v>Valid</v>
      </c>
      <c r="AO2115" t="str">
        <f t="shared" si="437"/>
        <v>Valid</v>
      </c>
      <c r="AP2115" t="str">
        <f t="shared" si="438"/>
        <v>Valid</v>
      </c>
      <c r="AQ2115" t="str">
        <f>IF(Audit_Data[[#This Row],[Z_CostContact]]=3,"Valid","Invalid")</f>
        <v>Valid</v>
      </c>
      <c r="AR2115" t="str">
        <f t="shared" si="439"/>
        <v>Valid</v>
      </c>
      <c r="AS2115" t="str">
        <f t="shared" si="440"/>
        <v>Valid</v>
      </c>
    </row>
    <row r="2116" spans="1:45" x14ac:dyDescent="0.3">
      <c r="A2116">
        <v>1916</v>
      </c>
      <c r="B2116">
        <v>1954</v>
      </c>
      <c r="C2116" t="s">
        <v>34</v>
      </c>
      <c r="D2116" t="s">
        <v>33</v>
      </c>
      <c r="E2116">
        <v>45736</v>
      </c>
      <c r="F2116">
        <v>0</v>
      </c>
      <c r="G2116">
        <v>1</v>
      </c>
      <c r="H2116" s="1">
        <v>41479</v>
      </c>
      <c r="I2116">
        <v>92</v>
      </c>
      <c r="J2116">
        <v>188</v>
      </c>
      <c r="K2116">
        <v>3</v>
      </c>
      <c r="L2116">
        <v>180</v>
      </c>
      <c r="M2116">
        <v>20</v>
      </c>
      <c r="N2116">
        <v>3</v>
      </c>
      <c r="O2116">
        <v>43</v>
      </c>
      <c r="P2116">
        <v>5</v>
      </c>
      <c r="Q2116">
        <v>7</v>
      </c>
      <c r="R2116">
        <v>1</v>
      </c>
      <c r="S2116">
        <v>6</v>
      </c>
      <c r="T2116">
        <v>7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3</v>
      </c>
      <c r="AB2116">
        <v>11</v>
      </c>
      <c r="AC2116">
        <v>0</v>
      </c>
      <c r="AD2116" t="str">
        <f t="shared" si="429"/>
        <v>Ok</v>
      </c>
      <c r="AE2116" t="str">
        <f>IF(AND(Audit_Data[[#This Row],[Year_Birth]]&gt;=1900,Audit_Data[[#This Row],[Year_Birth]]&lt;=2010),"OK","Invalid")</f>
        <v>OK</v>
      </c>
      <c r="AF2116" t="str">
        <f t="shared" si="430"/>
        <v>Valid</v>
      </c>
      <c r="AG2116" t="str">
        <f t="shared" si="431"/>
        <v>Valid</v>
      </c>
      <c r="AH2116" t="str">
        <f t="shared" si="432"/>
        <v>Valid</v>
      </c>
      <c r="AI2116" t="str">
        <f t="shared" si="433"/>
        <v>Valid</v>
      </c>
      <c r="AJ2116" t="str">
        <f t="shared" si="434"/>
        <v>Valid</v>
      </c>
      <c r="AK2116" t="str">
        <f t="shared" si="441"/>
        <v xml:space="preserve">Valid </v>
      </c>
      <c r="AL2116" t="str">
        <f>IF(AND(Audit_Data[[#This Row],[Recency]]&gt;=0,Audit_Data[[#This Row],[Recency]]&lt;=100),"Valid","Invalid")</f>
        <v>Valid</v>
      </c>
      <c r="AM2116" t="str">
        <f t="shared" si="435"/>
        <v>Valid</v>
      </c>
      <c r="AN2116" t="str">
        <f t="shared" si="436"/>
        <v>Valid</v>
      </c>
      <c r="AO2116" t="str">
        <f t="shared" si="437"/>
        <v>Valid</v>
      </c>
      <c r="AP2116" t="str">
        <f t="shared" si="438"/>
        <v>Valid</v>
      </c>
      <c r="AQ2116" t="str">
        <f>IF(Audit_Data[[#This Row],[Z_CostContact]]=3,"Valid","Invalid")</f>
        <v>Valid</v>
      </c>
      <c r="AR2116" t="str">
        <f t="shared" si="439"/>
        <v>Valid</v>
      </c>
      <c r="AS2116" t="str">
        <f t="shared" si="440"/>
        <v>Valid</v>
      </c>
    </row>
    <row r="2117" spans="1:45" x14ac:dyDescent="0.3">
      <c r="A2117">
        <v>9907</v>
      </c>
      <c r="B2117">
        <v>1969</v>
      </c>
      <c r="C2117" t="s">
        <v>34</v>
      </c>
      <c r="D2117" t="s">
        <v>31</v>
      </c>
      <c r="E2117">
        <v>66476</v>
      </c>
      <c r="F2117">
        <v>0</v>
      </c>
      <c r="G2117">
        <v>1</v>
      </c>
      <c r="H2117" s="1">
        <v>41612</v>
      </c>
      <c r="I2117">
        <v>80</v>
      </c>
      <c r="J2117">
        <v>742</v>
      </c>
      <c r="K2117">
        <v>28</v>
      </c>
      <c r="L2117">
        <v>152</v>
      </c>
      <c r="M2117">
        <v>25</v>
      </c>
      <c r="N2117">
        <v>9</v>
      </c>
      <c r="O2117">
        <v>57</v>
      </c>
      <c r="P2117">
        <v>2</v>
      </c>
      <c r="Q2117">
        <v>6</v>
      </c>
      <c r="R2117">
        <v>8</v>
      </c>
      <c r="S2117">
        <v>10</v>
      </c>
      <c r="T2117">
        <v>4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3</v>
      </c>
      <c r="AB2117">
        <v>11</v>
      </c>
      <c r="AC2117">
        <v>0</v>
      </c>
      <c r="AD2117" t="str">
        <f t="shared" si="429"/>
        <v>Ok</v>
      </c>
      <c r="AE2117" t="str">
        <f>IF(AND(Audit_Data[[#This Row],[Year_Birth]]&gt;=1900,Audit_Data[[#This Row],[Year_Birth]]&lt;=2010),"OK","Invalid")</f>
        <v>OK</v>
      </c>
      <c r="AF2117" t="str">
        <f t="shared" si="430"/>
        <v>Valid</v>
      </c>
      <c r="AG2117" t="str">
        <f t="shared" si="431"/>
        <v>Valid</v>
      </c>
      <c r="AH2117" t="str">
        <f t="shared" si="432"/>
        <v>Valid</v>
      </c>
      <c r="AI2117" t="str">
        <f t="shared" si="433"/>
        <v>Valid</v>
      </c>
      <c r="AJ2117" t="str">
        <f t="shared" si="434"/>
        <v>Valid</v>
      </c>
      <c r="AK2117" t="str">
        <f t="shared" si="441"/>
        <v xml:space="preserve">Valid </v>
      </c>
      <c r="AL2117" t="str">
        <f>IF(AND(Audit_Data[[#This Row],[Recency]]&gt;=0,Audit_Data[[#This Row],[Recency]]&lt;=100),"Valid","Invalid")</f>
        <v>Valid</v>
      </c>
      <c r="AM2117" t="str">
        <f t="shared" si="435"/>
        <v>Valid</v>
      </c>
      <c r="AN2117" t="str">
        <f t="shared" si="436"/>
        <v>Valid</v>
      </c>
      <c r="AO2117" t="str">
        <f t="shared" si="437"/>
        <v>Valid</v>
      </c>
      <c r="AP2117" t="str">
        <f t="shared" si="438"/>
        <v>Valid</v>
      </c>
      <c r="AQ2117" t="str">
        <f>IF(Audit_Data[[#This Row],[Z_CostContact]]=3,"Valid","Invalid")</f>
        <v>Valid</v>
      </c>
      <c r="AR2117" t="str">
        <f t="shared" si="439"/>
        <v>Valid</v>
      </c>
      <c r="AS2117" t="str">
        <f t="shared" si="440"/>
        <v>Valid</v>
      </c>
    </row>
    <row r="2118" spans="1:45" x14ac:dyDescent="0.3">
      <c r="A2118">
        <v>87</v>
      </c>
      <c r="B2118">
        <v>1981</v>
      </c>
      <c r="C2118" t="s">
        <v>37</v>
      </c>
      <c r="D2118" t="s">
        <v>33</v>
      </c>
      <c r="E2118">
        <v>27733</v>
      </c>
      <c r="F2118">
        <v>1</v>
      </c>
      <c r="G2118">
        <v>0</v>
      </c>
      <c r="H2118" s="1">
        <v>41512</v>
      </c>
      <c r="I2118">
        <v>16</v>
      </c>
      <c r="J2118">
        <v>0</v>
      </c>
      <c r="K2118">
        <v>7</v>
      </c>
      <c r="L2118">
        <v>5</v>
      </c>
      <c r="M2118">
        <v>26</v>
      </c>
      <c r="N2118">
        <v>2</v>
      </c>
      <c r="O2118">
        <v>17</v>
      </c>
      <c r="P2118">
        <v>2</v>
      </c>
      <c r="Q2118">
        <v>2</v>
      </c>
      <c r="R2118">
        <v>0</v>
      </c>
      <c r="S2118">
        <v>3</v>
      </c>
      <c r="T2118">
        <v>7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3</v>
      </c>
      <c r="AB2118">
        <v>11</v>
      </c>
      <c r="AC2118">
        <v>0</v>
      </c>
      <c r="AD2118" t="str">
        <f t="shared" si="429"/>
        <v>Ok</v>
      </c>
      <c r="AE2118" t="str">
        <f>IF(AND(Audit_Data[[#This Row],[Year_Birth]]&gt;=1900,Audit_Data[[#This Row],[Year_Birth]]&lt;=2010),"OK","Invalid")</f>
        <v>OK</v>
      </c>
      <c r="AF2118" t="str">
        <f t="shared" si="430"/>
        <v>Valid</v>
      </c>
      <c r="AG2118" t="str">
        <f t="shared" si="431"/>
        <v>Valid</v>
      </c>
      <c r="AH2118" t="str">
        <f t="shared" si="432"/>
        <v>Valid</v>
      </c>
      <c r="AI2118" t="str">
        <f t="shared" si="433"/>
        <v>Valid</v>
      </c>
      <c r="AJ2118" t="str">
        <f t="shared" si="434"/>
        <v>Valid</v>
      </c>
      <c r="AK2118" t="str">
        <f t="shared" si="441"/>
        <v xml:space="preserve">Valid </v>
      </c>
      <c r="AL2118" t="str">
        <f>IF(AND(Audit_Data[[#This Row],[Recency]]&gt;=0,Audit_Data[[#This Row],[Recency]]&lt;=100),"Valid","Invalid")</f>
        <v>Valid</v>
      </c>
      <c r="AM2118" t="str">
        <f t="shared" si="435"/>
        <v>Valid</v>
      </c>
      <c r="AN2118" t="str">
        <f t="shared" si="436"/>
        <v>Valid</v>
      </c>
      <c r="AO2118" t="str">
        <f t="shared" si="437"/>
        <v>Valid</v>
      </c>
      <c r="AP2118" t="str">
        <f t="shared" si="438"/>
        <v>Valid</v>
      </c>
      <c r="AQ2118" t="str">
        <f>IF(Audit_Data[[#This Row],[Z_CostContact]]=3,"Valid","Invalid")</f>
        <v>Valid</v>
      </c>
      <c r="AR2118" t="str">
        <f t="shared" si="439"/>
        <v>Valid</v>
      </c>
      <c r="AS2118" t="str">
        <f t="shared" si="440"/>
        <v>Valid</v>
      </c>
    </row>
    <row r="2119" spans="1:45" x14ac:dyDescent="0.3">
      <c r="A2119">
        <v>8659</v>
      </c>
      <c r="B2119">
        <v>1952</v>
      </c>
      <c r="C2119" t="s">
        <v>32</v>
      </c>
      <c r="D2119" t="s">
        <v>31</v>
      </c>
      <c r="E2119">
        <v>69805</v>
      </c>
      <c r="F2119">
        <v>0</v>
      </c>
      <c r="G2119">
        <v>1</v>
      </c>
      <c r="H2119" s="1">
        <v>41660</v>
      </c>
      <c r="I2119">
        <v>50</v>
      </c>
      <c r="J2119">
        <v>750</v>
      </c>
      <c r="K2119">
        <v>71</v>
      </c>
      <c r="L2119">
        <v>174</v>
      </c>
      <c r="M2119">
        <v>13</v>
      </c>
      <c r="N2119">
        <v>10</v>
      </c>
      <c r="O2119">
        <v>20</v>
      </c>
      <c r="P2119">
        <v>2</v>
      </c>
      <c r="Q2119">
        <v>6</v>
      </c>
      <c r="R2119">
        <v>8</v>
      </c>
      <c r="S2119">
        <v>11</v>
      </c>
      <c r="T2119">
        <v>2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3</v>
      </c>
      <c r="AB2119">
        <v>11</v>
      </c>
      <c r="AC2119">
        <v>0</v>
      </c>
      <c r="AD2119" t="str">
        <f t="shared" si="429"/>
        <v>Ok</v>
      </c>
      <c r="AE2119" t="str">
        <f>IF(AND(Audit_Data[[#This Row],[Year_Birth]]&gt;=1900,Audit_Data[[#This Row],[Year_Birth]]&lt;=2010),"OK","Invalid")</f>
        <v>OK</v>
      </c>
      <c r="AF2119" t="str">
        <f t="shared" si="430"/>
        <v>Valid</v>
      </c>
      <c r="AG2119" t="str">
        <f t="shared" si="431"/>
        <v>Valid</v>
      </c>
      <c r="AH2119" t="str">
        <f t="shared" si="432"/>
        <v>Valid</v>
      </c>
      <c r="AI2119" t="str">
        <f t="shared" si="433"/>
        <v>Valid</v>
      </c>
      <c r="AJ2119" t="str">
        <f t="shared" si="434"/>
        <v>Valid</v>
      </c>
      <c r="AK2119" t="str">
        <f t="shared" si="441"/>
        <v xml:space="preserve">Valid </v>
      </c>
      <c r="AL2119" t="str">
        <f>IF(AND(Audit_Data[[#This Row],[Recency]]&gt;=0,Audit_Data[[#This Row],[Recency]]&lt;=100),"Valid","Invalid")</f>
        <v>Valid</v>
      </c>
      <c r="AM2119" t="str">
        <f t="shared" si="435"/>
        <v>Valid</v>
      </c>
      <c r="AN2119" t="str">
        <f t="shared" si="436"/>
        <v>Valid</v>
      </c>
      <c r="AO2119" t="str">
        <f t="shared" si="437"/>
        <v>Valid</v>
      </c>
      <c r="AP2119" t="str">
        <f t="shared" si="438"/>
        <v>Valid</v>
      </c>
      <c r="AQ2119" t="str">
        <f>IF(Audit_Data[[#This Row],[Z_CostContact]]=3,"Valid","Invalid")</f>
        <v>Valid</v>
      </c>
      <c r="AR2119" t="str">
        <f t="shared" si="439"/>
        <v>Valid</v>
      </c>
      <c r="AS2119" t="str">
        <f t="shared" si="440"/>
        <v>Valid</v>
      </c>
    </row>
    <row r="2120" spans="1:45" x14ac:dyDescent="0.3">
      <c r="A2120">
        <v>6262</v>
      </c>
      <c r="B2120">
        <v>1962</v>
      </c>
      <c r="C2120" t="s">
        <v>34</v>
      </c>
      <c r="D2120" t="s">
        <v>30</v>
      </c>
      <c r="E2120">
        <v>72217</v>
      </c>
      <c r="F2120">
        <v>0</v>
      </c>
      <c r="G2120">
        <v>0</v>
      </c>
      <c r="H2120" s="1">
        <v>41374</v>
      </c>
      <c r="I2120">
        <v>93</v>
      </c>
      <c r="J2120">
        <v>816</v>
      </c>
      <c r="K2120">
        <v>42</v>
      </c>
      <c r="L2120">
        <v>450</v>
      </c>
      <c r="M2120">
        <v>55</v>
      </c>
      <c r="N2120">
        <v>56</v>
      </c>
      <c r="O2120">
        <v>154</v>
      </c>
      <c r="P2120">
        <v>1</v>
      </c>
      <c r="Q2120">
        <v>3</v>
      </c>
      <c r="R2120">
        <v>10</v>
      </c>
      <c r="S2120">
        <v>8</v>
      </c>
      <c r="T2120">
        <v>2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3</v>
      </c>
      <c r="AB2120">
        <v>11</v>
      </c>
      <c r="AC2120">
        <v>0</v>
      </c>
      <c r="AD2120" t="str">
        <f t="shared" si="429"/>
        <v>Ok</v>
      </c>
      <c r="AE2120" t="str">
        <f>IF(AND(Audit_Data[[#This Row],[Year_Birth]]&gt;=1900,Audit_Data[[#This Row],[Year_Birth]]&lt;=2010),"OK","Invalid")</f>
        <v>OK</v>
      </c>
      <c r="AF2120" t="str">
        <f t="shared" si="430"/>
        <v>Valid</v>
      </c>
      <c r="AG2120" t="str">
        <f t="shared" si="431"/>
        <v>Valid</v>
      </c>
      <c r="AH2120" t="str">
        <f t="shared" si="432"/>
        <v>Valid</v>
      </c>
      <c r="AI2120" t="str">
        <f t="shared" si="433"/>
        <v>Valid</v>
      </c>
      <c r="AJ2120" t="str">
        <f t="shared" si="434"/>
        <v>Valid</v>
      </c>
      <c r="AK2120" t="str">
        <f t="shared" si="441"/>
        <v xml:space="preserve">Valid </v>
      </c>
      <c r="AL2120" t="str">
        <f>IF(AND(Audit_Data[[#This Row],[Recency]]&gt;=0,Audit_Data[[#This Row],[Recency]]&lt;=100),"Valid","Invalid")</f>
        <v>Valid</v>
      </c>
      <c r="AM2120" t="str">
        <f t="shared" si="435"/>
        <v>Valid</v>
      </c>
      <c r="AN2120" t="str">
        <f t="shared" si="436"/>
        <v>Valid</v>
      </c>
      <c r="AO2120" t="str">
        <f t="shared" si="437"/>
        <v>Valid</v>
      </c>
      <c r="AP2120" t="str">
        <f t="shared" si="438"/>
        <v>Valid</v>
      </c>
      <c r="AQ2120" t="str">
        <f>IF(Audit_Data[[#This Row],[Z_CostContact]]=3,"Valid","Invalid")</f>
        <v>Valid</v>
      </c>
      <c r="AR2120" t="str">
        <f t="shared" si="439"/>
        <v>Valid</v>
      </c>
      <c r="AS2120" t="str">
        <f t="shared" si="440"/>
        <v>Valid</v>
      </c>
    </row>
    <row r="2121" spans="1:45" x14ac:dyDescent="0.3">
      <c r="A2121">
        <v>6147</v>
      </c>
      <c r="B2121">
        <v>1971</v>
      </c>
      <c r="C2121" t="s">
        <v>29</v>
      </c>
      <c r="D2121" t="s">
        <v>35</v>
      </c>
      <c r="E2121">
        <v>25818</v>
      </c>
      <c r="F2121">
        <v>1</v>
      </c>
      <c r="G2121">
        <v>0</v>
      </c>
      <c r="H2121" s="1">
        <v>41200</v>
      </c>
      <c r="I2121">
        <v>51</v>
      </c>
      <c r="J2121">
        <v>5</v>
      </c>
      <c r="K2121">
        <v>2</v>
      </c>
      <c r="L2121">
        <v>8</v>
      </c>
      <c r="M2121">
        <v>2</v>
      </c>
      <c r="N2121">
        <v>2</v>
      </c>
      <c r="O2121">
        <v>9</v>
      </c>
      <c r="P2121">
        <v>1</v>
      </c>
      <c r="Q2121">
        <v>0</v>
      </c>
      <c r="R2121">
        <v>1</v>
      </c>
      <c r="S2121">
        <v>2</v>
      </c>
      <c r="T2121">
        <v>7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3</v>
      </c>
      <c r="AB2121">
        <v>11</v>
      </c>
      <c r="AC2121">
        <v>0</v>
      </c>
      <c r="AD2121" t="str">
        <f t="shared" si="429"/>
        <v>Ok</v>
      </c>
      <c r="AE2121" t="str">
        <f>IF(AND(Audit_Data[[#This Row],[Year_Birth]]&gt;=1900,Audit_Data[[#This Row],[Year_Birth]]&lt;=2010),"OK","Invalid")</f>
        <v>OK</v>
      </c>
      <c r="AF2121" t="str">
        <f t="shared" si="430"/>
        <v>Valid</v>
      </c>
      <c r="AG2121" t="str">
        <f t="shared" si="431"/>
        <v>Valid</v>
      </c>
      <c r="AH2121" t="str">
        <f t="shared" si="432"/>
        <v>Valid</v>
      </c>
      <c r="AI2121" t="str">
        <f t="shared" si="433"/>
        <v>Valid</v>
      </c>
      <c r="AJ2121" t="str">
        <f t="shared" si="434"/>
        <v>Valid</v>
      </c>
      <c r="AK2121" t="str">
        <f t="shared" si="441"/>
        <v xml:space="preserve">Valid </v>
      </c>
      <c r="AL2121" t="str">
        <f>IF(AND(Audit_Data[[#This Row],[Recency]]&gt;=0,Audit_Data[[#This Row],[Recency]]&lt;=100),"Valid","Invalid")</f>
        <v>Valid</v>
      </c>
      <c r="AM2121" t="str">
        <f t="shared" si="435"/>
        <v>Valid</v>
      </c>
      <c r="AN2121" t="str">
        <f t="shared" si="436"/>
        <v>Valid</v>
      </c>
      <c r="AO2121" t="str">
        <f t="shared" si="437"/>
        <v>Valid</v>
      </c>
      <c r="AP2121" t="str">
        <f t="shared" si="438"/>
        <v>Valid</v>
      </c>
      <c r="AQ2121" t="str">
        <f>IF(Audit_Data[[#This Row],[Z_CostContact]]=3,"Valid","Invalid")</f>
        <v>Valid</v>
      </c>
      <c r="AR2121" t="str">
        <f t="shared" si="439"/>
        <v>Valid</v>
      </c>
      <c r="AS2121" t="str">
        <f t="shared" si="440"/>
        <v>Valid</v>
      </c>
    </row>
    <row r="2122" spans="1:45" x14ac:dyDescent="0.3">
      <c r="A2122">
        <v>8832</v>
      </c>
      <c r="B2122">
        <v>1976</v>
      </c>
      <c r="C2122" t="s">
        <v>34</v>
      </c>
      <c r="D2122" t="s">
        <v>31</v>
      </c>
      <c r="E2122">
        <v>37509</v>
      </c>
      <c r="F2122">
        <v>1</v>
      </c>
      <c r="G2122">
        <v>0</v>
      </c>
      <c r="H2122" s="1">
        <v>41164</v>
      </c>
      <c r="I2122">
        <v>24</v>
      </c>
      <c r="J2122">
        <v>37</v>
      </c>
      <c r="K2122">
        <v>5</v>
      </c>
      <c r="L2122">
        <v>56</v>
      </c>
      <c r="M2122">
        <v>12</v>
      </c>
      <c r="N2122">
        <v>8</v>
      </c>
      <c r="O2122">
        <v>5</v>
      </c>
      <c r="P2122">
        <v>2</v>
      </c>
      <c r="Q2122">
        <v>3</v>
      </c>
      <c r="R2122">
        <v>0</v>
      </c>
      <c r="S2122">
        <v>4</v>
      </c>
      <c r="T2122">
        <v>7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3</v>
      </c>
      <c r="AB2122">
        <v>11</v>
      </c>
      <c r="AC2122">
        <v>0</v>
      </c>
      <c r="AD2122" t="str">
        <f t="shared" si="429"/>
        <v>Ok</v>
      </c>
      <c r="AE2122" t="str">
        <f>IF(AND(Audit_Data[[#This Row],[Year_Birth]]&gt;=1900,Audit_Data[[#This Row],[Year_Birth]]&lt;=2010),"OK","Invalid")</f>
        <v>OK</v>
      </c>
      <c r="AF2122" t="str">
        <f t="shared" si="430"/>
        <v>Valid</v>
      </c>
      <c r="AG2122" t="str">
        <f t="shared" si="431"/>
        <v>Valid</v>
      </c>
      <c r="AH2122" t="str">
        <f t="shared" si="432"/>
        <v>Valid</v>
      </c>
      <c r="AI2122" t="str">
        <f t="shared" si="433"/>
        <v>Valid</v>
      </c>
      <c r="AJ2122" t="str">
        <f t="shared" si="434"/>
        <v>Valid</v>
      </c>
      <c r="AK2122" t="str">
        <f t="shared" si="441"/>
        <v xml:space="preserve">Valid </v>
      </c>
      <c r="AL2122" t="str">
        <f>IF(AND(Audit_Data[[#This Row],[Recency]]&gt;=0,Audit_Data[[#This Row],[Recency]]&lt;=100),"Valid","Invalid")</f>
        <v>Valid</v>
      </c>
      <c r="AM2122" t="str">
        <f t="shared" si="435"/>
        <v>Valid</v>
      </c>
      <c r="AN2122" t="str">
        <f t="shared" si="436"/>
        <v>Valid</v>
      </c>
      <c r="AO2122" t="str">
        <f t="shared" si="437"/>
        <v>Valid</v>
      </c>
      <c r="AP2122" t="str">
        <f t="shared" si="438"/>
        <v>Valid</v>
      </c>
      <c r="AQ2122" t="str">
        <f>IF(Audit_Data[[#This Row],[Z_CostContact]]=3,"Valid","Invalid")</f>
        <v>Valid</v>
      </c>
      <c r="AR2122" t="str">
        <f t="shared" si="439"/>
        <v>Valid</v>
      </c>
      <c r="AS2122" t="str">
        <f t="shared" si="440"/>
        <v>Valid</v>
      </c>
    </row>
    <row r="2123" spans="1:45" x14ac:dyDescent="0.3">
      <c r="A2123">
        <v>10067</v>
      </c>
      <c r="B2123">
        <v>1976</v>
      </c>
      <c r="C2123" t="s">
        <v>37</v>
      </c>
      <c r="D2123" t="s">
        <v>31</v>
      </c>
      <c r="E2123">
        <v>25176</v>
      </c>
      <c r="F2123">
        <v>1</v>
      </c>
      <c r="G2123">
        <v>1</v>
      </c>
      <c r="H2123" s="1">
        <v>41496</v>
      </c>
      <c r="I2123">
        <v>79</v>
      </c>
      <c r="J2123">
        <v>4</v>
      </c>
      <c r="K2123">
        <v>0</v>
      </c>
      <c r="L2123">
        <v>4</v>
      </c>
      <c r="M2123">
        <v>0</v>
      </c>
      <c r="N2123">
        <v>0</v>
      </c>
      <c r="O2123">
        <v>5</v>
      </c>
      <c r="P2123">
        <v>1</v>
      </c>
      <c r="Q2123">
        <v>1</v>
      </c>
      <c r="R2123">
        <v>0</v>
      </c>
      <c r="S2123">
        <v>2</v>
      </c>
      <c r="T2123">
        <v>7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3</v>
      </c>
      <c r="AB2123">
        <v>11</v>
      </c>
      <c r="AC2123">
        <v>0</v>
      </c>
      <c r="AD2123" t="str">
        <f t="shared" si="429"/>
        <v>Ok</v>
      </c>
      <c r="AE2123" t="str">
        <f>IF(AND(Audit_Data[[#This Row],[Year_Birth]]&gt;=1900,Audit_Data[[#This Row],[Year_Birth]]&lt;=2010),"OK","Invalid")</f>
        <v>OK</v>
      </c>
      <c r="AF2123" t="str">
        <f t="shared" si="430"/>
        <v>Valid</v>
      </c>
      <c r="AG2123" t="str">
        <f t="shared" si="431"/>
        <v>Valid</v>
      </c>
      <c r="AH2123" t="str">
        <f t="shared" si="432"/>
        <v>Valid</v>
      </c>
      <c r="AI2123" t="str">
        <f t="shared" si="433"/>
        <v>Valid</v>
      </c>
      <c r="AJ2123" t="str">
        <f t="shared" si="434"/>
        <v>Valid</v>
      </c>
      <c r="AK2123" t="str">
        <f t="shared" si="441"/>
        <v xml:space="preserve">Valid </v>
      </c>
      <c r="AL2123" t="str">
        <f>IF(AND(Audit_Data[[#This Row],[Recency]]&gt;=0,Audit_Data[[#This Row],[Recency]]&lt;=100),"Valid","Invalid")</f>
        <v>Valid</v>
      </c>
      <c r="AM2123" t="str">
        <f t="shared" si="435"/>
        <v>Valid</v>
      </c>
      <c r="AN2123" t="str">
        <f t="shared" si="436"/>
        <v>Valid</v>
      </c>
      <c r="AO2123" t="str">
        <f t="shared" si="437"/>
        <v>Valid</v>
      </c>
      <c r="AP2123" t="str">
        <f t="shared" si="438"/>
        <v>Valid</v>
      </c>
      <c r="AQ2123" t="str">
        <f>IF(Audit_Data[[#This Row],[Z_CostContact]]=3,"Valid","Invalid")</f>
        <v>Valid</v>
      </c>
      <c r="AR2123" t="str">
        <f t="shared" si="439"/>
        <v>Valid</v>
      </c>
      <c r="AS2123" t="str">
        <f t="shared" si="440"/>
        <v>Valid</v>
      </c>
    </row>
    <row r="2124" spans="1:45" x14ac:dyDescent="0.3">
      <c r="A2124">
        <v>7532</v>
      </c>
      <c r="B2124">
        <v>1980</v>
      </c>
      <c r="C2124" t="s">
        <v>29</v>
      </c>
      <c r="D2124" t="s">
        <v>33</v>
      </c>
      <c r="E2124">
        <v>43586</v>
      </c>
      <c r="F2124">
        <v>0</v>
      </c>
      <c r="G2124">
        <v>1</v>
      </c>
      <c r="H2124" s="1">
        <v>41151</v>
      </c>
      <c r="I2124">
        <v>26</v>
      </c>
      <c r="J2124">
        <v>99</v>
      </c>
      <c r="K2124">
        <v>2</v>
      </c>
      <c r="L2124">
        <v>11</v>
      </c>
      <c r="M2124">
        <v>4</v>
      </c>
      <c r="N2124">
        <v>0</v>
      </c>
      <c r="O2124">
        <v>16</v>
      </c>
      <c r="P2124">
        <v>3</v>
      </c>
      <c r="Q2124">
        <v>3</v>
      </c>
      <c r="R2124">
        <v>0</v>
      </c>
      <c r="S2124">
        <v>4</v>
      </c>
      <c r="T2124">
        <v>8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3</v>
      </c>
      <c r="AB2124">
        <v>11</v>
      </c>
      <c r="AC2124">
        <v>0</v>
      </c>
      <c r="AD2124" t="str">
        <f t="shared" si="429"/>
        <v>Ok</v>
      </c>
      <c r="AE2124" t="str">
        <f>IF(AND(Audit_Data[[#This Row],[Year_Birth]]&gt;=1900,Audit_Data[[#This Row],[Year_Birth]]&lt;=2010),"OK","Invalid")</f>
        <v>OK</v>
      </c>
      <c r="AF2124" t="str">
        <f t="shared" si="430"/>
        <v>Valid</v>
      </c>
      <c r="AG2124" t="str">
        <f t="shared" si="431"/>
        <v>Valid</v>
      </c>
      <c r="AH2124" t="str">
        <f t="shared" si="432"/>
        <v>Valid</v>
      </c>
      <c r="AI2124" t="str">
        <f t="shared" si="433"/>
        <v>Valid</v>
      </c>
      <c r="AJ2124" t="str">
        <f t="shared" si="434"/>
        <v>Valid</v>
      </c>
      <c r="AK2124" t="str">
        <f t="shared" si="441"/>
        <v xml:space="preserve">Valid </v>
      </c>
      <c r="AL2124" t="str">
        <f>IF(AND(Audit_Data[[#This Row],[Recency]]&gt;=0,Audit_Data[[#This Row],[Recency]]&lt;=100),"Valid","Invalid")</f>
        <v>Valid</v>
      </c>
      <c r="AM2124" t="str">
        <f t="shared" si="435"/>
        <v>Valid</v>
      </c>
      <c r="AN2124" t="str">
        <f t="shared" si="436"/>
        <v>Valid</v>
      </c>
      <c r="AO2124" t="str">
        <f t="shared" si="437"/>
        <v>Valid</v>
      </c>
      <c r="AP2124" t="str">
        <f t="shared" si="438"/>
        <v>Valid</v>
      </c>
      <c r="AQ2124" t="str">
        <f>IF(Audit_Data[[#This Row],[Z_CostContact]]=3,"Valid","Invalid")</f>
        <v>Valid</v>
      </c>
      <c r="AR2124" t="str">
        <f t="shared" si="439"/>
        <v>Valid</v>
      </c>
      <c r="AS2124" t="str">
        <f t="shared" si="440"/>
        <v>Valid</v>
      </c>
    </row>
    <row r="2125" spans="1:45" x14ac:dyDescent="0.3">
      <c r="A2125">
        <v>4915</v>
      </c>
      <c r="B2125">
        <v>1956</v>
      </c>
      <c r="C2125" t="s">
        <v>37</v>
      </c>
      <c r="D2125" t="s">
        <v>33</v>
      </c>
      <c r="E2125">
        <v>53230</v>
      </c>
      <c r="F2125">
        <v>0</v>
      </c>
      <c r="G2125">
        <v>1</v>
      </c>
      <c r="H2125" s="1">
        <v>41124</v>
      </c>
      <c r="I2125">
        <v>86</v>
      </c>
      <c r="J2125">
        <v>176</v>
      </c>
      <c r="K2125">
        <v>72</v>
      </c>
      <c r="L2125">
        <v>98</v>
      </c>
      <c r="M2125">
        <v>136</v>
      </c>
      <c r="N2125">
        <v>21</v>
      </c>
      <c r="O2125">
        <v>229</v>
      </c>
      <c r="P2125">
        <v>4</v>
      </c>
      <c r="Q2125">
        <v>5</v>
      </c>
      <c r="R2125">
        <v>2</v>
      </c>
      <c r="S2125">
        <v>12</v>
      </c>
      <c r="T2125">
        <v>5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3</v>
      </c>
      <c r="AB2125">
        <v>11</v>
      </c>
      <c r="AC2125">
        <v>0</v>
      </c>
      <c r="AD2125" t="str">
        <f t="shared" si="429"/>
        <v>Ok</v>
      </c>
      <c r="AE2125" t="str">
        <f>IF(AND(Audit_Data[[#This Row],[Year_Birth]]&gt;=1900,Audit_Data[[#This Row],[Year_Birth]]&lt;=2010),"OK","Invalid")</f>
        <v>OK</v>
      </c>
      <c r="AF2125" t="str">
        <f t="shared" si="430"/>
        <v>Valid</v>
      </c>
      <c r="AG2125" t="str">
        <f t="shared" si="431"/>
        <v>Valid</v>
      </c>
      <c r="AH2125" t="str">
        <f t="shared" si="432"/>
        <v>Valid</v>
      </c>
      <c r="AI2125" t="str">
        <f t="shared" si="433"/>
        <v>Valid</v>
      </c>
      <c r="AJ2125" t="str">
        <f t="shared" si="434"/>
        <v>Valid</v>
      </c>
      <c r="AK2125" t="str">
        <f t="shared" si="441"/>
        <v xml:space="preserve">Valid </v>
      </c>
      <c r="AL2125" t="str">
        <f>IF(AND(Audit_Data[[#This Row],[Recency]]&gt;=0,Audit_Data[[#This Row],[Recency]]&lt;=100),"Valid","Invalid")</f>
        <v>Valid</v>
      </c>
      <c r="AM2125" t="str">
        <f t="shared" si="435"/>
        <v>Valid</v>
      </c>
      <c r="AN2125" t="str">
        <f t="shared" si="436"/>
        <v>Valid</v>
      </c>
      <c r="AO2125" t="str">
        <f t="shared" si="437"/>
        <v>Valid</v>
      </c>
      <c r="AP2125" t="str">
        <f t="shared" si="438"/>
        <v>Valid</v>
      </c>
      <c r="AQ2125" t="str">
        <f>IF(Audit_Data[[#This Row],[Z_CostContact]]=3,"Valid","Invalid")</f>
        <v>Valid</v>
      </c>
      <c r="AR2125" t="str">
        <f t="shared" si="439"/>
        <v>Valid</v>
      </c>
      <c r="AS2125" t="str">
        <f t="shared" si="440"/>
        <v>Valid</v>
      </c>
    </row>
    <row r="2126" spans="1:45" x14ac:dyDescent="0.3">
      <c r="A2126">
        <v>2115</v>
      </c>
      <c r="B2126">
        <v>1957</v>
      </c>
      <c r="C2126" t="s">
        <v>29</v>
      </c>
      <c r="D2126" t="s">
        <v>31</v>
      </c>
      <c r="E2126">
        <v>50116</v>
      </c>
      <c r="F2126">
        <v>1</v>
      </c>
      <c r="G2126">
        <v>1</v>
      </c>
      <c r="H2126" s="1">
        <v>41810</v>
      </c>
      <c r="I2126">
        <v>68</v>
      </c>
      <c r="J2126">
        <v>54</v>
      </c>
      <c r="K2126">
        <v>0</v>
      </c>
      <c r="L2126">
        <v>10</v>
      </c>
      <c r="M2126">
        <v>0</v>
      </c>
      <c r="N2126">
        <v>0</v>
      </c>
      <c r="O2126">
        <v>2</v>
      </c>
      <c r="P2126">
        <v>2</v>
      </c>
      <c r="Q2126">
        <v>1</v>
      </c>
      <c r="R2126">
        <v>0</v>
      </c>
      <c r="S2126">
        <v>4</v>
      </c>
      <c r="T2126">
        <v>5</v>
      </c>
      <c r="U2126">
        <v>0</v>
      </c>
      <c r="V2126">
        <v>1</v>
      </c>
      <c r="W2126">
        <v>0</v>
      </c>
      <c r="X2126">
        <v>0</v>
      </c>
      <c r="Y2126">
        <v>0</v>
      </c>
      <c r="Z2126">
        <v>0</v>
      </c>
      <c r="AA2126">
        <v>3</v>
      </c>
      <c r="AB2126">
        <v>11</v>
      </c>
      <c r="AC2126">
        <v>0</v>
      </c>
      <c r="AD2126" t="str">
        <f t="shared" si="429"/>
        <v>Ok</v>
      </c>
      <c r="AE2126" t="str">
        <f>IF(AND(Audit_Data[[#This Row],[Year_Birth]]&gt;=1900,Audit_Data[[#This Row],[Year_Birth]]&lt;=2010),"OK","Invalid")</f>
        <v>OK</v>
      </c>
      <c r="AF2126" t="str">
        <f t="shared" si="430"/>
        <v>Valid</v>
      </c>
      <c r="AG2126" t="str">
        <f t="shared" si="431"/>
        <v>Valid</v>
      </c>
      <c r="AH2126" t="str">
        <f t="shared" si="432"/>
        <v>Valid</v>
      </c>
      <c r="AI2126" t="str">
        <f t="shared" si="433"/>
        <v>Valid</v>
      </c>
      <c r="AJ2126" t="str">
        <f t="shared" si="434"/>
        <v>Valid</v>
      </c>
      <c r="AK2126" t="str">
        <f t="shared" si="441"/>
        <v xml:space="preserve">Valid </v>
      </c>
      <c r="AL2126" t="str">
        <f>IF(AND(Audit_Data[[#This Row],[Recency]]&gt;=0,Audit_Data[[#This Row],[Recency]]&lt;=100),"Valid","Invalid")</f>
        <v>Valid</v>
      </c>
      <c r="AM2126" t="str">
        <f t="shared" si="435"/>
        <v>Valid</v>
      </c>
      <c r="AN2126" t="str">
        <f t="shared" si="436"/>
        <v>Valid</v>
      </c>
      <c r="AO2126" t="str">
        <f t="shared" si="437"/>
        <v>Valid</v>
      </c>
      <c r="AP2126" t="str">
        <f t="shared" si="438"/>
        <v>Valid</v>
      </c>
      <c r="AQ2126" t="str">
        <f>IF(Audit_Data[[#This Row],[Z_CostContact]]=3,"Valid","Invalid")</f>
        <v>Valid</v>
      </c>
      <c r="AR2126" t="str">
        <f t="shared" si="439"/>
        <v>Valid</v>
      </c>
      <c r="AS2126" t="str">
        <f t="shared" si="440"/>
        <v>Valid</v>
      </c>
    </row>
    <row r="2127" spans="1:45" x14ac:dyDescent="0.3">
      <c r="A2127">
        <v>2088</v>
      </c>
      <c r="B2127">
        <v>1972</v>
      </c>
      <c r="C2127" t="s">
        <v>29</v>
      </c>
      <c r="D2127" t="s">
        <v>31</v>
      </c>
      <c r="E2127">
        <v>84906</v>
      </c>
      <c r="F2127">
        <v>0</v>
      </c>
      <c r="G2127">
        <v>0</v>
      </c>
      <c r="H2127" s="1">
        <v>41551</v>
      </c>
      <c r="I2127">
        <v>98</v>
      </c>
      <c r="J2127">
        <v>997</v>
      </c>
      <c r="K2127">
        <v>15</v>
      </c>
      <c r="L2127">
        <v>414</v>
      </c>
      <c r="M2127">
        <v>99</v>
      </c>
      <c r="N2127">
        <v>30</v>
      </c>
      <c r="O2127">
        <v>76</v>
      </c>
      <c r="P2127">
        <v>1</v>
      </c>
      <c r="Q2127">
        <v>5</v>
      </c>
      <c r="R2127">
        <v>6</v>
      </c>
      <c r="S2127">
        <v>12</v>
      </c>
      <c r="T2127">
        <v>2</v>
      </c>
      <c r="U2127">
        <v>0</v>
      </c>
      <c r="V2127">
        <v>1</v>
      </c>
      <c r="W2127">
        <v>1</v>
      </c>
      <c r="X2127">
        <v>0</v>
      </c>
      <c r="Y2127">
        <v>1</v>
      </c>
      <c r="Z2127">
        <v>0</v>
      </c>
      <c r="AA2127">
        <v>3</v>
      </c>
      <c r="AB2127">
        <v>11</v>
      </c>
      <c r="AC2127">
        <v>0</v>
      </c>
      <c r="AD2127" t="str">
        <f t="shared" si="429"/>
        <v>Ok</v>
      </c>
      <c r="AE2127" t="str">
        <f>IF(AND(Audit_Data[[#This Row],[Year_Birth]]&gt;=1900,Audit_Data[[#This Row],[Year_Birth]]&lt;=2010),"OK","Invalid")</f>
        <v>OK</v>
      </c>
      <c r="AF2127" t="str">
        <f t="shared" si="430"/>
        <v>Valid</v>
      </c>
      <c r="AG2127" t="str">
        <f t="shared" si="431"/>
        <v>Valid</v>
      </c>
      <c r="AH2127" t="str">
        <f t="shared" si="432"/>
        <v>Valid</v>
      </c>
      <c r="AI2127" t="str">
        <f t="shared" si="433"/>
        <v>Valid</v>
      </c>
      <c r="AJ2127" t="str">
        <f t="shared" si="434"/>
        <v>Valid</v>
      </c>
      <c r="AK2127" t="str">
        <f t="shared" si="441"/>
        <v xml:space="preserve">Valid </v>
      </c>
      <c r="AL2127" t="str">
        <f>IF(AND(Audit_Data[[#This Row],[Recency]]&gt;=0,Audit_Data[[#This Row],[Recency]]&lt;=100),"Valid","Invalid")</f>
        <v>Valid</v>
      </c>
      <c r="AM2127" t="str">
        <f t="shared" si="435"/>
        <v>Valid</v>
      </c>
      <c r="AN2127" t="str">
        <f t="shared" si="436"/>
        <v>Valid</v>
      </c>
      <c r="AO2127" t="str">
        <f t="shared" si="437"/>
        <v>Valid</v>
      </c>
      <c r="AP2127" t="str">
        <f t="shared" si="438"/>
        <v>Valid</v>
      </c>
      <c r="AQ2127" t="str">
        <f>IF(Audit_Data[[#This Row],[Z_CostContact]]=3,"Valid","Invalid")</f>
        <v>Valid</v>
      </c>
      <c r="AR2127" t="str">
        <f t="shared" si="439"/>
        <v>Valid</v>
      </c>
      <c r="AS2127" t="str">
        <f t="shared" si="440"/>
        <v>Valid</v>
      </c>
    </row>
    <row r="2128" spans="1:45" x14ac:dyDescent="0.3">
      <c r="A2128">
        <v>2493</v>
      </c>
      <c r="B2128">
        <v>1966</v>
      </c>
      <c r="C2128" t="s">
        <v>29</v>
      </c>
      <c r="D2128" t="s">
        <v>33</v>
      </c>
      <c r="E2128">
        <v>61286</v>
      </c>
      <c r="F2128">
        <v>0</v>
      </c>
      <c r="G2128">
        <v>1</v>
      </c>
      <c r="H2128" s="1">
        <v>41488</v>
      </c>
      <c r="I2128">
        <v>34</v>
      </c>
      <c r="J2128">
        <v>356</v>
      </c>
      <c r="K2128">
        <v>0</v>
      </c>
      <c r="L2128">
        <v>107</v>
      </c>
      <c r="M2128">
        <v>19</v>
      </c>
      <c r="N2128">
        <v>9</v>
      </c>
      <c r="O2128">
        <v>117</v>
      </c>
      <c r="P2128">
        <v>2</v>
      </c>
      <c r="Q2128">
        <v>7</v>
      </c>
      <c r="R2128">
        <v>1</v>
      </c>
      <c r="S2128">
        <v>8</v>
      </c>
      <c r="T2128">
        <v>5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3</v>
      </c>
      <c r="AB2128">
        <v>11</v>
      </c>
      <c r="AC2128">
        <v>0</v>
      </c>
      <c r="AD2128" t="str">
        <f t="shared" si="429"/>
        <v>Ok</v>
      </c>
      <c r="AE2128" t="str">
        <f>IF(AND(Audit_Data[[#This Row],[Year_Birth]]&gt;=1900,Audit_Data[[#This Row],[Year_Birth]]&lt;=2010),"OK","Invalid")</f>
        <v>OK</v>
      </c>
      <c r="AF2128" t="str">
        <f t="shared" si="430"/>
        <v>Valid</v>
      </c>
      <c r="AG2128" t="str">
        <f t="shared" si="431"/>
        <v>Valid</v>
      </c>
      <c r="AH2128" t="str">
        <f t="shared" si="432"/>
        <v>Valid</v>
      </c>
      <c r="AI2128" t="str">
        <f t="shared" si="433"/>
        <v>Valid</v>
      </c>
      <c r="AJ2128" t="str">
        <f t="shared" si="434"/>
        <v>Valid</v>
      </c>
      <c r="AK2128" t="str">
        <f t="shared" si="441"/>
        <v xml:space="preserve">Valid </v>
      </c>
      <c r="AL2128" t="str">
        <f>IF(AND(Audit_Data[[#This Row],[Recency]]&gt;=0,Audit_Data[[#This Row],[Recency]]&lt;=100),"Valid","Invalid")</f>
        <v>Valid</v>
      </c>
      <c r="AM2128" t="str">
        <f t="shared" si="435"/>
        <v>Valid</v>
      </c>
      <c r="AN2128" t="str">
        <f t="shared" si="436"/>
        <v>Valid</v>
      </c>
      <c r="AO2128" t="str">
        <f t="shared" si="437"/>
        <v>Valid</v>
      </c>
      <c r="AP2128" t="str">
        <f t="shared" si="438"/>
        <v>Valid</v>
      </c>
      <c r="AQ2128" t="str">
        <f>IF(Audit_Data[[#This Row],[Z_CostContact]]=3,"Valid","Invalid")</f>
        <v>Valid</v>
      </c>
      <c r="AR2128" t="str">
        <f t="shared" si="439"/>
        <v>Valid</v>
      </c>
      <c r="AS2128" t="str">
        <f t="shared" si="440"/>
        <v>Valid</v>
      </c>
    </row>
    <row r="2129" spans="1:45" x14ac:dyDescent="0.3">
      <c r="A2129">
        <v>6292</v>
      </c>
      <c r="B2129">
        <v>1986</v>
      </c>
      <c r="C2129" t="s">
        <v>32</v>
      </c>
      <c r="D2129" t="s">
        <v>33</v>
      </c>
      <c r="E2129">
        <v>82333</v>
      </c>
      <c r="F2129">
        <v>0</v>
      </c>
      <c r="G2129">
        <v>0</v>
      </c>
      <c r="H2129" s="1">
        <v>41363</v>
      </c>
      <c r="I2129">
        <v>60</v>
      </c>
      <c r="J2129">
        <v>1311</v>
      </c>
      <c r="K2129">
        <v>0</v>
      </c>
      <c r="L2129">
        <v>359</v>
      </c>
      <c r="M2129">
        <v>46</v>
      </c>
      <c r="N2129">
        <v>89</v>
      </c>
      <c r="O2129">
        <v>17</v>
      </c>
      <c r="P2129">
        <v>1</v>
      </c>
      <c r="Q2129">
        <v>4</v>
      </c>
      <c r="R2129">
        <v>3</v>
      </c>
      <c r="S2129">
        <v>10</v>
      </c>
      <c r="T2129">
        <v>2</v>
      </c>
      <c r="U2129">
        <v>0</v>
      </c>
      <c r="V2129">
        <v>0</v>
      </c>
      <c r="W2129">
        <v>1</v>
      </c>
      <c r="X2129">
        <v>0</v>
      </c>
      <c r="Y2129">
        <v>0</v>
      </c>
      <c r="Z2129">
        <v>0</v>
      </c>
      <c r="AA2129">
        <v>3</v>
      </c>
      <c r="AB2129">
        <v>11</v>
      </c>
      <c r="AC2129">
        <v>1</v>
      </c>
      <c r="AD2129" t="str">
        <f t="shared" si="429"/>
        <v>Ok</v>
      </c>
      <c r="AE2129" t="str">
        <f>IF(AND(Audit_Data[[#This Row],[Year_Birth]]&gt;=1900,Audit_Data[[#This Row],[Year_Birth]]&lt;=2010),"OK","Invalid")</f>
        <v>OK</v>
      </c>
      <c r="AF2129" t="str">
        <f t="shared" si="430"/>
        <v>Valid</v>
      </c>
      <c r="AG2129" t="str">
        <f t="shared" si="431"/>
        <v>Valid</v>
      </c>
      <c r="AH2129" t="str">
        <f t="shared" si="432"/>
        <v>Valid</v>
      </c>
      <c r="AI2129" t="str">
        <f t="shared" si="433"/>
        <v>Valid</v>
      </c>
      <c r="AJ2129" t="str">
        <f t="shared" si="434"/>
        <v>Valid</v>
      </c>
      <c r="AK2129" t="str">
        <f t="shared" si="441"/>
        <v xml:space="preserve">Valid </v>
      </c>
      <c r="AL2129" t="str">
        <f>IF(AND(Audit_Data[[#This Row],[Recency]]&gt;=0,Audit_Data[[#This Row],[Recency]]&lt;=100),"Valid","Invalid")</f>
        <v>Valid</v>
      </c>
      <c r="AM2129" t="str">
        <f t="shared" si="435"/>
        <v>Valid</v>
      </c>
      <c r="AN2129" t="str">
        <f t="shared" si="436"/>
        <v>Valid</v>
      </c>
      <c r="AO2129" t="str">
        <f t="shared" si="437"/>
        <v>Valid</v>
      </c>
      <c r="AP2129" t="str">
        <f t="shared" si="438"/>
        <v>Valid</v>
      </c>
      <c r="AQ2129" t="str">
        <f>IF(Audit_Data[[#This Row],[Z_CostContact]]=3,"Valid","Invalid")</f>
        <v>Valid</v>
      </c>
      <c r="AR2129" t="str">
        <f t="shared" si="439"/>
        <v>Valid</v>
      </c>
      <c r="AS2129" t="str">
        <f t="shared" si="440"/>
        <v>Valid</v>
      </c>
    </row>
    <row r="2130" spans="1:45" x14ac:dyDescent="0.3">
      <c r="A2130">
        <v>1631</v>
      </c>
      <c r="B2130">
        <v>1965</v>
      </c>
      <c r="C2130" t="s">
        <v>32</v>
      </c>
      <c r="D2130" t="s">
        <v>31</v>
      </c>
      <c r="E2130">
        <v>65220</v>
      </c>
      <c r="F2130">
        <v>0</v>
      </c>
      <c r="G2130">
        <v>0</v>
      </c>
      <c r="H2130" s="1">
        <v>41155</v>
      </c>
      <c r="I2130">
        <v>3</v>
      </c>
      <c r="J2130">
        <v>890</v>
      </c>
      <c r="K2130">
        <v>63</v>
      </c>
      <c r="L2130">
        <v>292</v>
      </c>
      <c r="M2130">
        <v>0</v>
      </c>
      <c r="N2130">
        <v>25</v>
      </c>
      <c r="O2130">
        <v>12</v>
      </c>
      <c r="P2130">
        <v>4</v>
      </c>
      <c r="Q2130">
        <v>8</v>
      </c>
      <c r="R2130">
        <v>4</v>
      </c>
      <c r="S2130">
        <v>7</v>
      </c>
      <c r="T2130">
        <v>6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3</v>
      </c>
      <c r="AB2130">
        <v>11</v>
      </c>
      <c r="AC2130">
        <v>1</v>
      </c>
      <c r="AD2130" t="str">
        <f t="shared" si="429"/>
        <v>Ok</v>
      </c>
      <c r="AE2130" t="str">
        <f>IF(AND(Audit_Data[[#This Row],[Year_Birth]]&gt;=1900,Audit_Data[[#This Row],[Year_Birth]]&lt;=2010),"OK","Invalid")</f>
        <v>OK</v>
      </c>
      <c r="AF2130" t="str">
        <f t="shared" si="430"/>
        <v>Valid</v>
      </c>
      <c r="AG2130" t="str">
        <f t="shared" si="431"/>
        <v>Valid</v>
      </c>
      <c r="AH2130" t="str">
        <f t="shared" si="432"/>
        <v>Valid</v>
      </c>
      <c r="AI2130" t="str">
        <f t="shared" si="433"/>
        <v>Valid</v>
      </c>
      <c r="AJ2130" t="str">
        <f t="shared" si="434"/>
        <v>Valid</v>
      </c>
      <c r="AK2130" t="str">
        <f t="shared" si="441"/>
        <v xml:space="preserve">Valid </v>
      </c>
      <c r="AL2130" t="str">
        <f>IF(AND(Audit_Data[[#This Row],[Recency]]&gt;=0,Audit_Data[[#This Row],[Recency]]&lt;=100),"Valid","Invalid")</f>
        <v>Valid</v>
      </c>
      <c r="AM2130" t="str">
        <f t="shared" si="435"/>
        <v>Valid</v>
      </c>
      <c r="AN2130" t="str">
        <f t="shared" si="436"/>
        <v>Valid</v>
      </c>
      <c r="AO2130" t="str">
        <f t="shared" si="437"/>
        <v>Valid</v>
      </c>
      <c r="AP2130" t="str">
        <f t="shared" si="438"/>
        <v>Valid</v>
      </c>
      <c r="AQ2130" t="str">
        <f>IF(Audit_Data[[#This Row],[Z_CostContact]]=3,"Valid","Invalid")</f>
        <v>Valid</v>
      </c>
      <c r="AR2130" t="str">
        <f t="shared" si="439"/>
        <v>Valid</v>
      </c>
      <c r="AS2130" t="str">
        <f t="shared" si="440"/>
        <v>Valid</v>
      </c>
    </row>
    <row r="2131" spans="1:45" x14ac:dyDescent="0.3">
      <c r="A2131">
        <v>10104</v>
      </c>
      <c r="B2131">
        <v>1974</v>
      </c>
      <c r="C2131" t="s">
        <v>29</v>
      </c>
      <c r="D2131" t="s">
        <v>31</v>
      </c>
      <c r="E2131">
        <v>33590</v>
      </c>
      <c r="F2131">
        <v>2</v>
      </c>
      <c r="G2131">
        <v>1</v>
      </c>
      <c r="H2131" s="1">
        <v>41581</v>
      </c>
      <c r="I2131">
        <v>65</v>
      </c>
      <c r="J2131">
        <v>4</v>
      </c>
      <c r="K2131">
        <v>0</v>
      </c>
      <c r="L2131">
        <v>2</v>
      </c>
      <c r="M2131">
        <v>0</v>
      </c>
      <c r="N2131">
        <v>0</v>
      </c>
      <c r="O2131">
        <v>2</v>
      </c>
      <c r="P2131">
        <v>1</v>
      </c>
      <c r="Q2131">
        <v>1</v>
      </c>
      <c r="R2131">
        <v>0</v>
      </c>
      <c r="S2131">
        <v>2</v>
      </c>
      <c r="T2131">
        <v>7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3</v>
      </c>
      <c r="AB2131">
        <v>11</v>
      </c>
      <c r="AC2131">
        <v>0</v>
      </c>
      <c r="AD2131" t="str">
        <f t="shared" si="429"/>
        <v>Ok</v>
      </c>
      <c r="AE2131" t="str">
        <f>IF(AND(Audit_Data[[#This Row],[Year_Birth]]&gt;=1900,Audit_Data[[#This Row],[Year_Birth]]&lt;=2010),"OK","Invalid")</f>
        <v>OK</v>
      </c>
      <c r="AF2131" t="str">
        <f t="shared" si="430"/>
        <v>Valid</v>
      </c>
      <c r="AG2131" t="str">
        <f t="shared" si="431"/>
        <v>Valid</v>
      </c>
      <c r="AH2131" t="str">
        <f t="shared" si="432"/>
        <v>Valid</v>
      </c>
      <c r="AI2131" t="str">
        <f t="shared" si="433"/>
        <v>Valid</v>
      </c>
      <c r="AJ2131" t="str">
        <f t="shared" si="434"/>
        <v>Valid</v>
      </c>
      <c r="AK2131" t="str">
        <f t="shared" si="441"/>
        <v xml:space="preserve">Valid </v>
      </c>
      <c r="AL2131" t="str">
        <f>IF(AND(Audit_Data[[#This Row],[Recency]]&gt;=0,Audit_Data[[#This Row],[Recency]]&lt;=100),"Valid","Invalid")</f>
        <v>Valid</v>
      </c>
      <c r="AM2131" t="str">
        <f t="shared" si="435"/>
        <v>Valid</v>
      </c>
      <c r="AN2131" t="str">
        <f t="shared" si="436"/>
        <v>Valid</v>
      </c>
      <c r="AO2131" t="str">
        <f t="shared" si="437"/>
        <v>Valid</v>
      </c>
      <c r="AP2131" t="str">
        <f t="shared" si="438"/>
        <v>Valid</v>
      </c>
      <c r="AQ2131" t="str">
        <f>IF(Audit_Data[[#This Row],[Z_CostContact]]=3,"Valid","Invalid")</f>
        <v>Valid</v>
      </c>
      <c r="AR2131" t="str">
        <f t="shared" si="439"/>
        <v>Valid</v>
      </c>
      <c r="AS2131" t="str">
        <f t="shared" si="440"/>
        <v>Valid</v>
      </c>
    </row>
    <row r="2132" spans="1:45" x14ac:dyDescent="0.3">
      <c r="A2132">
        <v>3006</v>
      </c>
      <c r="B2132">
        <v>1976</v>
      </c>
      <c r="C2132" t="s">
        <v>29</v>
      </c>
      <c r="D2132" t="s">
        <v>35</v>
      </c>
      <c r="E2132">
        <v>30992</v>
      </c>
      <c r="F2132">
        <v>1</v>
      </c>
      <c r="G2132">
        <v>0</v>
      </c>
      <c r="H2132" s="1">
        <v>41386</v>
      </c>
      <c r="I2132">
        <v>83</v>
      </c>
      <c r="J2132">
        <v>17</v>
      </c>
      <c r="K2132">
        <v>0</v>
      </c>
      <c r="L2132">
        <v>14</v>
      </c>
      <c r="M2132">
        <v>7</v>
      </c>
      <c r="N2132">
        <v>3</v>
      </c>
      <c r="O2132">
        <v>2</v>
      </c>
      <c r="P2132">
        <v>1</v>
      </c>
      <c r="Q2132">
        <v>1</v>
      </c>
      <c r="R2132">
        <v>0</v>
      </c>
      <c r="S2132">
        <v>3</v>
      </c>
      <c r="T2132">
        <v>7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3</v>
      </c>
      <c r="AB2132">
        <v>11</v>
      </c>
      <c r="AC2132">
        <v>0</v>
      </c>
      <c r="AD2132" t="str">
        <f t="shared" si="429"/>
        <v>Ok</v>
      </c>
      <c r="AE2132" t="str">
        <f>IF(AND(Audit_Data[[#This Row],[Year_Birth]]&gt;=1900,Audit_Data[[#This Row],[Year_Birth]]&lt;=2010),"OK","Invalid")</f>
        <v>OK</v>
      </c>
      <c r="AF2132" t="str">
        <f t="shared" si="430"/>
        <v>Valid</v>
      </c>
      <c r="AG2132" t="str">
        <f t="shared" si="431"/>
        <v>Valid</v>
      </c>
      <c r="AH2132" t="str">
        <f t="shared" si="432"/>
        <v>Valid</v>
      </c>
      <c r="AI2132" t="str">
        <f t="shared" si="433"/>
        <v>Valid</v>
      </c>
      <c r="AJ2132" t="str">
        <f t="shared" si="434"/>
        <v>Valid</v>
      </c>
      <c r="AK2132" t="str">
        <f t="shared" si="441"/>
        <v xml:space="preserve">Valid </v>
      </c>
      <c r="AL2132" t="str">
        <f>IF(AND(Audit_Data[[#This Row],[Recency]]&gt;=0,Audit_Data[[#This Row],[Recency]]&lt;=100),"Valid","Invalid")</f>
        <v>Valid</v>
      </c>
      <c r="AM2132" t="str">
        <f t="shared" si="435"/>
        <v>Valid</v>
      </c>
      <c r="AN2132" t="str">
        <f t="shared" si="436"/>
        <v>Valid</v>
      </c>
      <c r="AO2132" t="str">
        <f t="shared" si="437"/>
        <v>Valid</v>
      </c>
      <c r="AP2132" t="str">
        <f t="shared" si="438"/>
        <v>Valid</v>
      </c>
      <c r="AQ2132" t="str">
        <f>IF(Audit_Data[[#This Row],[Z_CostContact]]=3,"Valid","Invalid")</f>
        <v>Valid</v>
      </c>
      <c r="AR2132" t="str">
        <f t="shared" si="439"/>
        <v>Valid</v>
      </c>
      <c r="AS2132" t="str">
        <f t="shared" si="440"/>
        <v>Valid</v>
      </c>
    </row>
    <row r="2133" spans="1:45" x14ac:dyDescent="0.3">
      <c r="A2133">
        <v>3919</v>
      </c>
      <c r="B2133">
        <v>1976</v>
      </c>
      <c r="C2133" t="s">
        <v>34</v>
      </c>
      <c r="D2133" t="s">
        <v>30</v>
      </c>
      <c r="E2133">
        <v>72309</v>
      </c>
      <c r="F2133">
        <v>0</v>
      </c>
      <c r="G2133">
        <v>0</v>
      </c>
      <c r="H2133" s="1">
        <v>41344</v>
      </c>
      <c r="I2133">
        <v>64</v>
      </c>
      <c r="J2133">
        <v>960</v>
      </c>
      <c r="K2133">
        <v>0</v>
      </c>
      <c r="L2133">
        <v>883</v>
      </c>
      <c r="M2133">
        <v>50</v>
      </c>
      <c r="N2133">
        <v>38</v>
      </c>
      <c r="O2133">
        <v>0</v>
      </c>
      <c r="P2133">
        <v>1</v>
      </c>
      <c r="Q2133">
        <v>5</v>
      </c>
      <c r="R2133">
        <v>6</v>
      </c>
      <c r="S2133">
        <v>8</v>
      </c>
      <c r="T2133">
        <v>3</v>
      </c>
      <c r="U2133">
        <v>0</v>
      </c>
      <c r="V2133">
        <v>0</v>
      </c>
      <c r="W2133">
        <v>0</v>
      </c>
      <c r="X2133">
        <v>1</v>
      </c>
      <c r="Y2133">
        <v>0</v>
      </c>
      <c r="Z2133">
        <v>0</v>
      </c>
      <c r="AA2133">
        <v>3</v>
      </c>
      <c r="AB2133">
        <v>11</v>
      </c>
      <c r="AC2133">
        <v>1</v>
      </c>
      <c r="AD2133" t="str">
        <f t="shared" si="429"/>
        <v>Ok</v>
      </c>
      <c r="AE2133" t="str">
        <f>IF(AND(Audit_Data[[#This Row],[Year_Birth]]&gt;=1900,Audit_Data[[#This Row],[Year_Birth]]&lt;=2010),"OK","Invalid")</f>
        <v>OK</v>
      </c>
      <c r="AF2133" t="str">
        <f t="shared" si="430"/>
        <v>Valid</v>
      </c>
      <c r="AG2133" t="str">
        <f t="shared" si="431"/>
        <v>Valid</v>
      </c>
      <c r="AH2133" t="str">
        <f t="shared" si="432"/>
        <v>Valid</v>
      </c>
      <c r="AI2133" t="str">
        <f t="shared" si="433"/>
        <v>Valid</v>
      </c>
      <c r="AJ2133" t="str">
        <f t="shared" si="434"/>
        <v>Valid</v>
      </c>
      <c r="AK2133" t="str">
        <f t="shared" si="441"/>
        <v xml:space="preserve">Valid </v>
      </c>
      <c r="AL2133" t="str">
        <f>IF(AND(Audit_Data[[#This Row],[Recency]]&gt;=0,Audit_Data[[#This Row],[Recency]]&lt;=100),"Valid","Invalid")</f>
        <v>Valid</v>
      </c>
      <c r="AM2133" t="str">
        <f t="shared" si="435"/>
        <v>Valid</v>
      </c>
      <c r="AN2133" t="str">
        <f t="shared" si="436"/>
        <v>Valid</v>
      </c>
      <c r="AO2133" t="str">
        <f t="shared" si="437"/>
        <v>Valid</v>
      </c>
      <c r="AP2133" t="str">
        <f t="shared" si="438"/>
        <v>Valid</v>
      </c>
      <c r="AQ2133" t="str">
        <f>IF(Audit_Data[[#This Row],[Z_CostContact]]=3,"Valid","Invalid")</f>
        <v>Valid</v>
      </c>
      <c r="AR2133" t="str">
        <f t="shared" si="439"/>
        <v>Valid</v>
      </c>
      <c r="AS2133" t="str">
        <f t="shared" si="440"/>
        <v>Valid</v>
      </c>
    </row>
    <row r="2134" spans="1:45" x14ac:dyDescent="0.3">
      <c r="A2134">
        <v>11181</v>
      </c>
      <c r="B2134">
        <v>1949</v>
      </c>
      <c r="C2134" t="s">
        <v>32</v>
      </c>
      <c r="D2134" t="s">
        <v>33</v>
      </c>
      <c r="E2134">
        <v>156924</v>
      </c>
      <c r="F2134">
        <v>0</v>
      </c>
      <c r="G2134">
        <v>0</v>
      </c>
      <c r="H2134" s="1">
        <v>41515</v>
      </c>
      <c r="I2134">
        <v>85</v>
      </c>
      <c r="J2134">
        <v>2</v>
      </c>
      <c r="K2134">
        <v>1</v>
      </c>
      <c r="L2134">
        <v>2</v>
      </c>
      <c r="M2134">
        <v>1</v>
      </c>
      <c r="N2134">
        <v>1</v>
      </c>
      <c r="O2134">
        <v>1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3</v>
      </c>
      <c r="AB2134">
        <v>11</v>
      </c>
      <c r="AC2134">
        <v>0</v>
      </c>
      <c r="AD2134" t="str">
        <f t="shared" si="429"/>
        <v>Ok</v>
      </c>
      <c r="AE2134" t="str">
        <f>IF(AND(Audit_Data[[#This Row],[Year_Birth]]&gt;=1900,Audit_Data[[#This Row],[Year_Birth]]&lt;=2010),"OK","Invalid")</f>
        <v>OK</v>
      </c>
      <c r="AF2134" t="str">
        <f t="shared" si="430"/>
        <v>Valid</v>
      </c>
      <c r="AG2134" t="str">
        <f t="shared" si="431"/>
        <v>Valid</v>
      </c>
      <c r="AH2134" t="str">
        <f t="shared" si="432"/>
        <v>Valid</v>
      </c>
      <c r="AI2134" t="str">
        <f t="shared" si="433"/>
        <v>Valid</v>
      </c>
      <c r="AJ2134" t="str">
        <f t="shared" si="434"/>
        <v>Valid</v>
      </c>
      <c r="AK2134" t="str">
        <f t="shared" si="441"/>
        <v xml:space="preserve">Valid </v>
      </c>
      <c r="AL2134" t="str">
        <f>IF(AND(Audit_Data[[#This Row],[Recency]]&gt;=0,Audit_Data[[#This Row],[Recency]]&lt;=100),"Valid","Invalid")</f>
        <v>Valid</v>
      </c>
      <c r="AM2134" t="str">
        <f t="shared" si="435"/>
        <v>Valid</v>
      </c>
      <c r="AN2134" t="str">
        <f t="shared" si="436"/>
        <v>Valid</v>
      </c>
      <c r="AO2134" t="str">
        <f t="shared" si="437"/>
        <v>Valid</v>
      </c>
      <c r="AP2134" t="str">
        <f t="shared" si="438"/>
        <v>Valid</v>
      </c>
      <c r="AQ2134" t="str">
        <f>IF(Audit_Data[[#This Row],[Z_CostContact]]=3,"Valid","Invalid")</f>
        <v>Valid</v>
      </c>
      <c r="AR2134" t="str">
        <f t="shared" si="439"/>
        <v>Valid</v>
      </c>
      <c r="AS2134" t="str">
        <f t="shared" si="440"/>
        <v>Valid</v>
      </c>
    </row>
    <row r="2135" spans="1:45" x14ac:dyDescent="0.3">
      <c r="A2135">
        <v>642</v>
      </c>
      <c r="B2135">
        <v>1980</v>
      </c>
      <c r="C2135" t="s">
        <v>36</v>
      </c>
      <c r="D2135" t="s">
        <v>33</v>
      </c>
      <c r="E2135">
        <v>16005</v>
      </c>
      <c r="F2135">
        <v>1</v>
      </c>
      <c r="G2135">
        <v>0</v>
      </c>
      <c r="H2135" s="1">
        <v>41135</v>
      </c>
      <c r="I2135">
        <v>69</v>
      </c>
      <c r="J2135">
        <v>1</v>
      </c>
      <c r="K2135">
        <v>3</v>
      </c>
      <c r="L2135">
        <v>2</v>
      </c>
      <c r="M2135">
        <v>20</v>
      </c>
      <c r="N2135">
        <v>30</v>
      </c>
      <c r="O2135">
        <v>47</v>
      </c>
      <c r="P2135">
        <v>3</v>
      </c>
      <c r="Q2135">
        <v>2</v>
      </c>
      <c r="R2135">
        <v>1</v>
      </c>
      <c r="S2135">
        <v>2</v>
      </c>
      <c r="T2135">
        <v>8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3</v>
      </c>
      <c r="AB2135">
        <v>11</v>
      </c>
      <c r="AC2135">
        <v>0</v>
      </c>
      <c r="AD2135" t="str">
        <f t="shared" si="429"/>
        <v>Ok</v>
      </c>
      <c r="AE2135" t="str">
        <f>IF(AND(Audit_Data[[#This Row],[Year_Birth]]&gt;=1900,Audit_Data[[#This Row],[Year_Birth]]&lt;=2010),"OK","Invalid")</f>
        <v>OK</v>
      </c>
      <c r="AF2135" t="str">
        <f t="shared" si="430"/>
        <v>Valid</v>
      </c>
      <c r="AG2135" t="str">
        <f t="shared" si="431"/>
        <v>Valid</v>
      </c>
      <c r="AH2135" t="str">
        <f t="shared" si="432"/>
        <v>Valid</v>
      </c>
      <c r="AI2135" t="str">
        <f t="shared" si="433"/>
        <v>Valid</v>
      </c>
      <c r="AJ2135" t="str">
        <f t="shared" si="434"/>
        <v>Valid</v>
      </c>
      <c r="AK2135" t="str">
        <f t="shared" si="441"/>
        <v xml:space="preserve">Valid </v>
      </c>
      <c r="AL2135" t="str">
        <f>IF(AND(Audit_Data[[#This Row],[Recency]]&gt;=0,Audit_Data[[#This Row],[Recency]]&lt;=100),"Valid","Invalid")</f>
        <v>Valid</v>
      </c>
      <c r="AM2135" t="str">
        <f t="shared" si="435"/>
        <v>Valid</v>
      </c>
      <c r="AN2135" t="str">
        <f t="shared" si="436"/>
        <v>Valid</v>
      </c>
      <c r="AO2135" t="str">
        <f t="shared" si="437"/>
        <v>Valid</v>
      </c>
      <c r="AP2135" t="str">
        <f t="shared" si="438"/>
        <v>Valid</v>
      </c>
      <c r="AQ2135" t="str">
        <f>IF(Audit_Data[[#This Row],[Z_CostContact]]=3,"Valid","Invalid")</f>
        <v>Valid</v>
      </c>
      <c r="AR2135" t="str">
        <f t="shared" si="439"/>
        <v>Valid</v>
      </c>
      <c r="AS2135" t="str">
        <f t="shared" si="440"/>
        <v>Valid</v>
      </c>
    </row>
    <row r="2136" spans="1:45" x14ac:dyDescent="0.3">
      <c r="A2136">
        <v>4369</v>
      </c>
      <c r="B2136">
        <v>1957</v>
      </c>
      <c r="C2136" t="s">
        <v>34</v>
      </c>
      <c r="D2136" t="s">
        <v>40</v>
      </c>
      <c r="E2136">
        <v>65487</v>
      </c>
      <c r="F2136">
        <v>0</v>
      </c>
      <c r="G2136">
        <v>0</v>
      </c>
      <c r="H2136" s="1">
        <v>41649</v>
      </c>
      <c r="I2136">
        <v>48</v>
      </c>
      <c r="J2136">
        <v>240</v>
      </c>
      <c r="K2136">
        <v>67</v>
      </c>
      <c r="L2136">
        <v>500</v>
      </c>
      <c r="M2136">
        <v>199</v>
      </c>
      <c r="N2136">
        <v>0</v>
      </c>
      <c r="O2136">
        <v>163</v>
      </c>
      <c r="P2136">
        <v>3</v>
      </c>
      <c r="Q2136">
        <v>3</v>
      </c>
      <c r="R2136">
        <v>5</v>
      </c>
      <c r="S2136">
        <v>6</v>
      </c>
      <c r="T2136">
        <v>2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3</v>
      </c>
      <c r="AB2136">
        <v>11</v>
      </c>
      <c r="AC2136">
        <v>0</v>
      </c>
      <c r="AD2136" t="str">
        <f t="shared" si="429"/>
        <v>Ok</v>
      </c>
      <c r="AE2136" t="str">
        <f>IF(AND(Audit_Data[[#This Row],[Year_Birth]]&gt;=1900,Audit_Data[[#This Row],[Year_Birth]]&lt;=2010),"OK","Invalid")</f>
        <v>OK</v>
      </c>
      <c r="AF2136" t="str">
        <f t="shared" si="430"/>
        <v>Valid</v>
      </c>
      <c r="AG2136" t="str">
        <f t="shared" si="431"/>
        <v>Invalid</v>
      </c>
      <c r="AH2136" t="str">
        <f t="shared" si="432"/>
        <v>Valid</v>
      </c>
      <c r="AI2136" t="str">
        <f t="shared" si="433"/>
        <v>Valid</v>
      </c>
      <c r="AJ2136" t="str">
        <f t="shared" si="434"/>
        <v>Valid</v>
      </c>
      <c r="AK2136" t="str">
        <f t="shared" si="441"/>
        <v xml:space="preserve">Valid </v>
      </c>
      <c r="AL2136" t="str">
        <f>IF(AND(Audit_Data[[#This Row],[Recency]]&gt;=0,Audit_Data[[#This Row],[Recency]]&lt;=100),"Valid","Invalid")</f>
        <v>Valid</v>
      </c>
      <c r="AM2136" t="str">
        <f t="shared" si="435"/>
        <v>Valid</v>
      </c>
      <c r="AN2136" t="str">
        <f t="shared" si="436"/>
        <v>Valid</v>
      </c>
      <c r="AO2136" t="str">
        <f t="shared" si="437"/>
        <v>Valid</v>
      </c>
      <c r="AP2136" t="str">
        <f t="shared" si="438"/>
        <v>Valid</v>
      </c>
      <c r="AQ2136" t="str">
        <f>IF(Audit_Data[[#This Row],[Z_CostContact]]=3,"Valid","Invalid")</f>
        <v>Valid</v>
      </c>
      <c r="AR2136" t="str">
        <f t="shared" si="439"/>
        <v>Valid</v>
      </c>
      <c r="AS2136" t="str">
        <f t="shared" si="440"/>
        <v>Valid</v>
      </c>
    </row>
    <row r="2137" spans="1:45" x14ac:dyDescent="0.3">
      <c r="A2137">
        <v>10127</v>
      </c>
      <c r="B2137">
        <v>1965</v>
      </c>
      <c r="C2137" t="s">
        <v>29</v>
      </c>
      <c r="D2137" t="s">
        <v>33</v>
      </c>
      <c r="E2137">
        <v>58692</v>
      </c>
      <c r="F2137">
        <v>0</v>
      </c>
      <c r="G2137">
        <v>1</v>
      </c>
      <c r="H2137" s="1">
        <v>41735</v>
      </c>
      <c r="I2137">
        <v>21</v>
      </c>
      <c r="J2137">
        <v>301</v>
      </c>
      <c r="K2137">
        <v>11</v>
      </c>
      <c r="L2137">
        <v>61</v>
      </c>
      <c r="M2137">
        <v>4</v>
      </c>
      <c r="N2137">
        <v>7</v>
      </c>
      <c r="O2137">
        <v>11</v>
      </c>
      <c r="P2137">
        <v>1</v>
      </c>
      <c r="Q2137">
        <v>8</v>
      </c>
      <c r="R2137">
        <v>2</v>
      </c>
      <c r="S2137">
        <v>4</v>
      </c>
      <c r="T2137">
        <v>7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3</v>
      </c>
      <c r="AB2137">
        <v>11</v>
      </c>
      <c r="AC2137">
        <v>0</v>
      </c>
      <c r="AD2137" t="str">
        <f t="shared" si="429"/>
        <v>Ok</v>
      </c>
      <c r="AE2137" t="str">
        <f>IF(AND(Audit_Data[[#This Row],[Year_Birth]]&gt;=1900,Audit_Data[[#This Row],[Year_Birth]]&lt;=2010),"OK","Invalid")</f>
        <v>OK</v>
      </c>
      <c r="AF2137" t="str">
        <f t="shared" si="430"/>
        <v>Valid</v>
      </c>
      <c r="AG2137" t="str">
        <f t="shared" si="431"/>
        <v>Valid</v>
      </c>
      <c r="AH2137" t="str">
        <f t="shared" si="432"/>
        <v>Valid</v>
      </c>
      <c r="AI2137" t="str">
        <f t="shared" si="433"/>
        <v>Valid</v>
      </c>
      <c r="AJ2137" t="str">
        <f t="shared" si="434"/>
        <v>Valid</v>
      </c>
      <c r="AK2137" t="str">
        <f t="shared" si="441"/>
        <v xml:space="preserve">Valid </v>
      </c>
      <c r="AL2137" t="str">
        <f>IF(AND(Audit_Data[[#This Row],[Recency]]&gt;=0,Audit_Data[[#This Row],[Recency]]&lt;=100),"Valid","Invalid")</f>
        <v>Valid</v>
      </c>
      <c r="AM2137" t="str">
        <f t="shared" si="435"/>
        <v>Valid</v>
      </c>
      <c r="AN2137" t="str">
        <f t="shared" si="436"/>
        <v>Valid</v>
      </c>
      <c r="AO2137" t="str">
        <f t="shared" si="437"/>
        <v>Valid</v>
      </c>
      <c r="AP2137" t="str">
        <f t="shared" si="438"/>
        <v>Valid</v>
      </c>
      <c r="AQ2137" t="str">
        <f>IF(Audit_Data[[#This Row],[Z_CostContact]]=3,"Valid","Invalid")</f>
        <v>Valid</v>
      </c>
      <c r="AR2137" t="str">
        <f t="shared" si="439"/>
        <v>Valid</v>
      </c>
      <c r="AS2137" t="str">
        <f t="shared" si="440"/>
        <v>Valid</v>
      </c>
    </row>
    <row r="2138" spans="1:45" x14ac:dyDescent="0.3">
      <c r="A2138">
        <v>271</v>
      </c>
      <c r="B2138">
        <v>1969</v>
      </c>
      <c r="C2138" t="s">
        <v>29</v>
      </c>
      <c r="D2138" t="s">
        <v>38</v>
      </c>
      <c r="E2138">
        <v>40590</v>
      </c>
      <c r="F2138">
        <v>1</v>
      </c>
      <c r="G2138">
        <v>1</v>
      </c>
      <c r="H2138" s="1">
        <v>41549</v>
      </c>
      <c r="I2138">
        <v>30</v>
      </c>
      <c r="J2138">
        <v>154</v>
      </c>
      <c r="K2138">
        <v>0</v>
      </c>
      <c r="L2138">
        <v>50</v>
      </c>
      <c r="M2138">
        <v>6</v>
      </c>
      <c r="N2138">
        <v>11</v>
      </c>
      <c r="O2138">
        <v>37</v>
      </c>
      <c r="P2138">
        <v>5</v>
      </c>
      <c r="Q2138">
        <v>3</v>
      </c>
      <c r="R2138">
        <v>4</v>
      </c>
      <c r="S2138">
        <v>3</v>
      </c>
      <c r="T2138">
        <v>6</v>
      </c>
      <c r="U2138">
        <v>1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3</v>
      </c>
      <c r="AB2138">
        <v>11</v>
      </c>
      <c r="AC2138">
        <v>0</v>
      </c>
      <c r="AD2138" t="str">
        <f t="shared" si="429"/>
        <v>Ok</v>
      </c>
      <c r="AE2138" t="str">
        <f>IF(AND(Audit_Data[[#This Row],[Year_Birth]]&gt;=1900,Audit_Data[[#This Row],[Year_Birth]]&lt;=2010),"OK","Invalid")</f>
        <v>OK</v>
      </c>
      <c r="AF2138" t="str">
        <f t="shared" si="430"/>
        <v>Valid</v>
      </c>
      <c r="AG2138" t="str">
        <f t="shared" si="431"/>
        <v>Valid</v>
      </c>
      <c r="AH2138" t="str">
        <f t="shared" si="432"/>
        <v>Valid</v>
      </c>
      <c r="AI2138" t="str">
        <f t="shared" si="433"/>
        <v>Valid</v>
      </c>
      <c r="AJ2138" t="str">
        <f t="shared" si="434"/>
        <v>Valid</v>
      </c>
      <c r="AK2138" t="str">
        <f t="shared" si="441"/>
        <v xml:space="preserve">Valid </v>
      </c>
      <c r="AL2138" t="str">
        <f>IF(AND(Audit_Data[[#This Row],[Recency]]&gt;=0,Audit_Data[[#This Row],[Recency]]&lt;=100),"Valid","Invalid")</f>
        <v>Valid</v>
      </c>
      <c r="AM2138" t="str">
        <f t="shared" si="435"/>
        <v>Valid</v>
      </c>
      <c r="AN2138" t="str">
        <f t="shared" si="436"/>
        <v>Valid</v>
      </c>
      <c r="AO2138" t="str">
        <f t="shared" si="437"/>
        <v>Valid</v>
      </c>
      <c r="AP2138" t="str">
        <f t="shared" si="438"/>
        <v>Valid</v>
      </c>
      <c r="AQ2138" t="str">
        <f>IF(Audit_Data[[#This Row],[Z_CostContact]]=3,"Valid","Invalid")</f>
        <v>Valid</v>
      </c>
      <c r="AR2138" t="str">
        <f t="shared" si="439"/>
        <v>Valid</v>
      </c>
      <c r="AS2138" t="str">
        <f t="shared" si="440"/>
        <v>Valid</v>
      </c>
    </row>
    <row r="2139" spans="1:45" x14ac:dyDescent="0.3">
      <c r="A2139">
        <v>4973</v>
      </c>
      <c r="B2139">
        <v>1970</v>
      </c>
      <c r="C2139" t="s">
        <v>29</v>
      </c>
      <c r="D2139" t="s">
        <v>30</v>
      </c>
      <c r="E2139">
        <v>20587</v>
      </c>
      <c r="F2139">
        <v>1</v>
      </c>
      <c r="G2139">
        <v>0</v>
      </c>
      <c r="H2139" s="1">
        <v>41770</v>
      </c>
      <c r="I2139">
        <v>39</v>
      </c>
      <c r="J2139">
        <v>2</v>
      </c>
      <c r="K2139">
        <v>3</v>
      </c>
      <c r="L2139">
        <v>6</v>
      </c>
      <c r="M2139">
        <v>4</v>
      </c>
      <c r="N2139">
        <v>1</v>
      </c>
      <c r="O2139">
        <v>9</v>
      </c>
      <c r="P2139">
        <v>1</v>
      </c>
      <c r="Q2139">
        <v>1</v>
      </c>
      <c r="R2139">
        <v>1</v>
      </c>
      <c r="S2139">
        <v>2</v>
      </c>
      <c r="T2139">
        <v>7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3</v>
      </c>
      <c r="AB2139">
        <v>11</v>
      </c>
      <c r="AC2139">
        <v>0</v>
      </c>
      <c r="AD2139" t="str">
        <f t="shared" si="429"/>
        <v>Ok</v>
      </c>
      <c r="AE2139" t="str">
        <f>IF(AND(Audit_Data[[#This Row],[Year_Birth]]&gt;=1900,Audit_Data[[#This Row],[Year_Birth]]&lt;=2010),"OK","Invalid")</f>
        <v>OK</v>
      </c>
      <c r="AF2139" t="str">
        <f t="shared" si="430"/>
        <v>Valid</v>
      </c>
      <c r="AG2139" t="str">
        <f t="shared" si="431"/>
        <v>Valid</v>
      </c>
      <c r="AH2139" t="str">
        <f t="shared" si="432"/>
        <v>Valid</v>
      </c>
      <c r="AI2139" t="str">
        <f t="shared" si="433"/>
        <v>Valid</v>
      </c>
      <c r="AJ2139" t="str">
        <f t="shared" si="434"/>
        <v>Valid</v>
      </c>
      <c r="AK2139" t="str">
        <f t="shared" si="441"/>
        <v xml:space="preserve">Valid </v>
      </c>
      <c r="AL2139" t="str">
        <f>IF(AND(Audit_Data[[#This Row],[Recency]]&gt;=0,Audit_Data[[#This Row],[Recency]]&lt;=100),"Valid","Invalid")</f>
        <v>Valid</v>
      </c>
      <c r="AM2139" t="str">
        <f t="shared" si="435"/>
        <v>Valid</v>
      </c>
      <c r="AN2139" t="str">
        <f t="shared" si="436"/>
        <v>Valid</v>
      </c>
      <c r="AO2139" t="str">
        <f t="shared" si="437"/>
        <v>Valid</v>
      </c>
      <c r="AP2139" t="str">
        <f t="shared" si="438"/>
        <v>Valid</v>
      </c>
      <c r="AQ2139" t="str">
        <f>IF(Audit_Data[[#This Row],[Z_CostContact]]=3,"Valid","Invalid")</f>
        <v>Valid</v>
      </c>
      <c r="AR2139" t="str">
        <f t="shared" si="439"/>
        <v>Valid</v>
      </c>
      <c r="AS2139" t="str">
        <f t="shared" si="440"/>
        <v>Valid</v>
      </c>
    </row>
    <row r="2140" spans="1:45" x14ac:dyDescent="0.3">
      <c r="A2140">
        <v>2948</v>
      </c>
      <c r="B2140">
        <v>1954</v>
      </c>
      <c r="C2140" t="s">
        <v>34</v>
      </c>
      <c r="D2140" t="s">
        <v>35</v>
      </c>
      <c r="E2140">
        <v>62637</v>
      </c>
      <c r="F2140">
        <v>0</v>
      </c>
      <c r="G2140">
        <v>1</v>
      </c>
      <c r="H2140" s="1">
        <v>41699</v>
      </c>
      <c r="I2140">
        <v>76</v>
      </c>
      <c r="J2140">
        <v>104</v>
      </c>
      <c r="K2140">
        <v>12</v>
      </c>
      <c r="L2140">
        <v>48</v>
      </c>
      <c r="M2140">
        <v>4</v>
      </c>
      <c r="N2140">
        <v>12</v>
      </c>
      <c r="O2140">
        <v>5</v>
      </c>
      <c r="P2140">
        <v>1</v>
      </c>
      <c r="Q2140">
        <v>2</v>
      </c>
      <c r="R2140">
        <v>2</v>
      </c>
      <c r="S2140">
        <v>5</v>
      </c>
      <c r="T2140">
        <v>2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3</v>
      </c>
      <c r="AB2140">
        <v>11</v>
      </c>
      <c r="AC2140">
        <v>0</v>
      </c>
      <c r="AD2140" t="str">
        <f t="shared" si="429"/>
        <v>Ok</v>
      </c>
      <c r="AE2140" t="str">
        <f>IF(AND(Audit_Data[[#This Row],[Year_Birth]]&gt;=1900,Audit_Data[[#This Row],[Year_Birth]]&lt;=2010),"OK","Invalid")</f>
        <v>OK</v>
      </c>
      <c r="AF2140" t="str">
        <f t="shared" si="430"/>
        <v>Valid</v>
      </c>
      <c r="AG2140" t="str">
        <f t="shared" si="431"/>
        <v>Valid</v>
      </c>
      <c r="AH2140" t="str">
        <f t="shared" si="432"/>
        <v>Valid</v>
      </c>
      <c r="AI2140" t="str">
        <f t="shared" si="433"/>
        <v>Valid</v>
      </c>
      <c r="AJ2140" t="str">
        <f t="shared" si="434"/>
        <v>Valid</v>
      </c>
      <c r="AK2140" t="str">
        <f t="shared" si="441"/>
        <v xml:space="preserve">Valid </v>
      </c>
      <c r="AL2140" t="str">
        <f>IF(AND(Audit_Data[[#This Row],[Recency]]&gt;=0,Audit_Data[[#This Row],[Recency]]&lt;=100),"Valid","Invalid")</f>
        <v>Valid</v>
      </c>
      <c r="AM2140" t="str">
        <f t="shared" si="435"/>
        <v>Valid</v>
      </c>
      <c r="AN2140" t="str">
        <f t="shared" si="436"/>
        <v>Valid</v>
      </c>
      <c r="AO2140" t="str">
        <f t="shared" si="437"/>
        <v>Valid</v>
      </c>
      <c r="AP2140" t="str">
        <f t="shared" si="438"/>
        <v>Valid</v>
      </c>
      <c r="AQ2140" t="str">
        <f>IF(Audit_Data[[#This Row],[Z_CostContact]]=3,"Valid","Invalid")</f>
        <v>Valid</v>
      </c>
      <c r="AR2140" t="str">
        <f t="shared" si="439"/>
        <v>Valid</v>
      </c>
      <c r="AS2140" t="str">
        <f t="shared" si="440"/>
        <v>Valid</v>
      </c>
    </row>
    <row r="2141" spans="1:45" x14ac:dyDescent="0.3">
      <c r="A2141">
        <v>2715</v>
      </c>
      <c r="B2141">
        <v>1966</v>
      </c>
      <c r="C2141" t="s">
        <v>34</v>
      </c>
      <c r="D2141" t="s">
        <v>35</v>
      </c>
      <c r="E2141">
        <v>29435</v>
      </c>
      <c r="F2141">
        <v>1</v>
      </c>
      <c r="G2141">
        <v>1</v>
      </c>
      <c r="H2141" s="1">
        <v>41127</v>
      </c>
      <c r="I2141">
        <v>11</v>
      </c>
      <c r="J2141">
        <v>70</v>
      </c>
      <c r="K2141">
        <v>3</v>
      </c>
      <c r="L2141">
        <v>37</v>
      </c>
      <c r="M2141">
        <v>4</v>
      </c>
      <c r="N2141">
        <v>2</v>
      </c>
      <c r="O2141">
        <v>64</v>
      </c>
      <c r="P2141">
        <v>4</v>
      </c>
      <c r="Q2141">
        <v>3</v>
      </c>
      <c r="R2141">
        <v>2</v>
      </c>
      <c r="S2141">
        <v>2</v>
      </c>
      <c r="T2141">
        <v>9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3</v>
      </c>
      <c r="AB2141">
        <v>11</v>
      </c>
      <c r="AC2141">
        <v>1</v>
      </c>
      <c r="AD2141" t="str">
        <f t="shared" si="429"/>
        <v>Ok</v>
      </c>
      <c r="AE2141" t="str">
        <f>IF(AND(Audit_Data[[#This Row],[Year_Birth]]&gt;=1900,Audit_Data[[#This Row],[Year_Birth]]&lt;=2010),"OK","Invalid")</f>
        <v>OK</v>
      </c>
      <c r="AF2141" t="str">
        <f t="shared" si="430"/>
        <v>Valid</v>
      </c>
      <c r="AG2141" t="str">
        <f t="shared" si="431"/>
        <v>Valid</v>
      </c>
      <c r="AH2141" t="str">
        <f t="shared" si="432"/>
        <v>Valid</v>
      </c>
      <c r="AI2141" t="str">
        <f t="shared" si="433"/>
        <v>Valid</v>
      </c>
      <c r="AJ2141" t="str">
        <f t="shared" si="434"/>
        <v>Valid</v>
      </c>
      <c r="AK2141" t="str">
        <f t="shared" si="441"/>
        <v xml:space="preserve">Valid </v>
      </c>
      <c r="AL2141" t="str">
        <f>IF(AND(Audit_Data[[#This Row],[Recency]]&gt;=0,Audit_Data[[#This Row],[Recency]]&lt;=100),"Valid","Invalid")</f>
        <v>Valid</v>
      </c>
      <c r="AM2141" t="str">
        <f t="shared" si="435"/>
        <v>Valid</v>
      </c>
      <c r="AN2141" t="str">
        <f t="shared" si="436"/>
        <v>Valid</v>
      </c>
      <c r="AO2141" t="str">
        <f t="shared" si="437"/>
        <v>Valid</v>
      </c>
      <c r="AP2141" t="str">
        <f t="shared" si="438"/>
        <v>Valid</v>
      </c>
      <c r="AQ2141" t="str">
        <f>IF(Audit_Data[[#This Row],[Z_CostContact]]=3,"Valid","Invalid")</f>
        <v>Valid</v>
      </c>
      <c r="AR2141" t="str">
        <f t="shared" si="439"/>
        <v>Valid</v>
      </c>
      <c r="AS2141" t="str">
        <f t="shared" si="440"/>
        <v>Valid</v>
      </c>
    </row>
    <row r="2142" spans="1:45" x14ac:dyDescent="0.3">
      <c r="A2142">
        <v>10432</v>
      </c>
      <c r="B2142">
        <v>1974</v>
      </c>
      <c r="C2142" t="s">
        <v>29</v>
      </c>
      <c r="D2142" t="s">
        <v>35</v>
      </c>
      <c r="E2142">
        <v>19346</v>
      </c>
      <c r="F2142">
        <v>1</v>
      </c>
      <c r="G2142">
        <v>0</v>
      </c>
      <c r="H2142" s="1">
        <v>41669</v>
      </c>
      <c r="I2142">
        <v>26</v>
      </c>
      <c r="J2142">
        <v>2</v>
      </c>
      <c r="K2142">
        <v>0</v>
      </c>
      <c r="L2142">
        <v>9</v>
      </c>
      <c r="M2142">
        <v>3</v>
      </c>
      <c r="N2142">
        <v>6</v>
      </c>
      <c r="O2142">
        <v>2</v>
      </c>
      <c r="P2142">
        <v>1</v>
      </c>
      <c r="Q2142">
        <v>1</v>
      </c>
      <c r="R2142">
        <v>0</v>
      </c>
      <c r="S2142">
        <v>3</v>
      </c>
      <c r="T2142">
        <v>8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3</v>
      </c>
      <c r="AB2142">
        <v>11</v>
      </c>
      <c r="AC2142">
        <v>0</v>
      </c>
      <c r="AD2142" t="str">
        <f t="shared" si="429"/>
        <v>Ok</v>
      </c>
      <c r="AE2142" t="str">
        <f>IF(AND(Audit_Data[[#This Row],[Year_Birth]]&gt;=1900,Audit_Data[[#This Row],[Year_Birth]]&lt;=2010),"OK","Invalid")</f>
        <v>OK</v>
      </c>
      <c r="AF2142" t="str">
        <f t="shared" si="430"/>
        <v>Valid</v>
      </c>
      <c r="AG2142" t="str">
        <f t="shared" si="431"/>
        <v>Valid</v>
      </c>
      <c r="AH2142" t="str">
        <f t="shared" si="432"/>
        <v>Valid</v>
      </c>
      <c r="AI2142" t="str">
        <f t="shared" si="433"/>
        <v>Valid</v>
      </c>
      <c r="AJ2142" t="str">
        <f t="shared" si="434"/>
        <v>Valid</v>
      </c>
      <c r="AK2142" t="str">
        <f t="shared" si="441"/>
        <v xml:space="preserve">Valid </v>
      </c>
      <c r="AL2142" t="str">
        <f>IF(AND(Audit_Data[[#This Row],[Recency]]&gt;=0,Audit_Data[[#This Row],[Recency]]&lt;=100),"Valid","Invalid")</f>
        <v>Valid</v>
      </c>
      <c r="AM2142" t="str">
        <f t="shared" si="435"/>
        <v>Valid</v>
      </c>
      <c r="AN2142" t="str">
        <f t="shared" si="436"/>
        <v>Valid</v>
      </c>
      <c r="AO2142" t="str">
        <f t="shared" si="437"/>
        <v>Valid</v>
      </c>
      <c r="AP2142" t="str">
        <f t="shared" si="438"/>
        <v>Valid</v>
      </c>
      <c r="AQ2142" t="str">
        <f>IF(Audit_Data[[#This Row],[Z_CostContact]]=3,"Valid","Invalid")</f>
        <v>Valid</v>
      </c>
      <c r="AR2142" t="str">
        <f t="shared" si="439"/>
        <v>Valid</v>
      </c>
      <c r="AS2142" t="str">
        <f t="shared" si="440"/>
        <v>Valid</v>
      </c>
    </row>
    <row r="2143" spans="1:45" x14ac:dyDescent="0.3">
      <c r="A2143">
        <v>9216</v>
      </c>
      <c r="B2143">
        <v>1971</v>
      </c>
      <c r="C2143" t="s">
        <v>29</v>
      </c>
      <c r="D2143" t="s">
        <v>33</v>
      </c>
      <c r="E2143">
        <v>35788</v>
      </c>
      <c r="F2143">
        <v>1</v>
      </c>
      <c r="G2143">
        <v>1</v>
      </c>
      <c r="H2143" s="1">
        <v>41662</v>
      </c>
      <c r="I2143">
        <v>34</v>
      </c>
      <c r="J2143">
        <v>23</v>
      </c>
      <c r="K2143">
        <v>2</v>
      </c>
      <c r="L2143">
        <v>11</v>
      </c>
      <c r="M2143">
        <v>3</v>
      </c>
      <c r="N2143">
        <v>1</v>
      </c>
      <c r="O2143">
        <v>4</v>
      </c>
      <c r="P2143">
        <v>2</v>
      </c>
      <c r="Q2143">
        <v>2</v>
      </c>
      <c r="R2143">
        <v>0</v>
      </c>
      <c r="S2143">
        <v>3</v>
      </c>
      <c r="T2143">
        <v>6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3</v>
      </c>
      <c r="AB2143">
        <v>11</v>
      </c>
      <c r="AC2143">
        <v>0</v>
      </c>
      <c r="AD2143" t="str">
        <f t="shared" si="429"/>
        <v>Ok</v>
      </c>
      <c r="AE2143" t="str">
        <f>IF(AND(Audit_Data[[#This Row],[Year_Birth]]&gt;=1900,Audit_Data[[#This Row],[Year_Birth]]&lt;=2010),"OK","Invalid")</f>
        <v>OK</v>
      </c>
      <c r="AF2143" t="str">
        <f t="shared" si="430"/>
        <v>Valid</v>
      </c>
      <c r="AG2143" t="str">
        <f t="shared" si="431"/>
        <v>Valid</v>
      </c>
      <c r="AH2143" t="str">
        <f t="shared" si="432"/>
        <v>Valid</v>
      </c>
      <c r="AI2143" t="str">
        <f t="shared" si="433"/>
        <v>Valid</v>
      </c>
      <c r="AJ2143" t="str">
        <f t="shared" si="434"/>
        <v>Valid</v>
      </c>
      <c r="AK2143" t="str">
        <f t="shared" si="441"/>
        <v xml:space="preserve">Valid </v>
      </c>
      <c r="AL2143" t="str">
        <f>IF(AND(Audit_Data[[#This Row],[Recency]]&gt;=0,Audit_Data[[#This Row],[Recency]]&lt;=100),"Valid","Invalid")</f>
        <v>Valid</v>
      </c>
      <c r="AM2143" t="str">
        <f t="shared" si="435"/>
        <v>Valid</v>
      </c>
      <c r="AN2143" t="str">
        <f t="shared" si="436"/>
        <v>Valid</v>
      </c>
      <c r="AO2143" t="str">
        <f t="shared" si="437"/>
        <v>Valid</v>
      </c>
      <c r="AP2143" t="str">
        <f t="shared" si="438"/>
        <v>Valid</v>
      </c>
      <c r="AQ2143" t="str">
        <f>IF(Audit_Data[[#This Row],[Z_CostContact]]=3,"Valid","Invalid")</f>
        <v>Valid</v>
      </c>
      <c r="AR2143" t="str">
        <f t="shared" si="439"/>
        <v>Valid</v>
      </c>
      <c r="AS2143" t="str">
        <f t="shared" si="440"/>
        <v>Valid</v>
      </c>
    </row>
    <row r="2144" spans="1:45" x14ac:dyDescent="0.3">
      <c r="A2144">
        <v>7124</v>
      </c>
      <c r="B2144">
        <v>1968</v>
      </c>
      <c r="C2144" t="s">
        <v>29</v>
      </c>
      <c r="D2144" t="s">
        <v>35</v>
      </c>
      <c r="E2144">
        <v>36997</v>
      </c>
      <c r="F2144">
        <v>1</v>
      </c>
      <c r="G2144">
        <v>1</v>
      </c>
      <c r="H2144" s="1">
        <v>41306</v>
      </c>
      <c r="I2144">
        <v>72</v>
      </c>
      <c r="J2144">
        <v>43</v>
      </c>
      <c r="K2144">
        <v>4</v>
      </c>
      <c r="L2144">
        <v>12</v>
      </c>
      <c r="M2144">
        <v>8</v>
      </c>
      <c r="N2144">
        <v>0</v>
      </c>
      <c r="O2144">
        <v>27</v>
      </c>
      <c r="P2144">
        <v>5</v>
      </c>
      <c r="Q2144">
        <v>2</v>
      </c>
      <c r="R2144">
        <v>1</v>
      </c>
      <c r="S2144">
        <v>4</v>
      </c>
      <c r="T2144">
        <v>5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3</v>
      </c>
      <c r="AB2144">
        <v>11</v>
      </c>
      <c r="AC2144">
        <v>0</v>
      </c>
      <c r="AD2144" t="str">
        <f t="shared" si="429"/>
        <v>Ok</v>
      </c>
      <c r="AE2144" t="str">
        <f>IF(AND(Audit_Data[[#This Row],[Year_Birth]]&gt;=1900,Audit_Data[[#This Row],[Year_Birth]]&lt;=2010),"OK","Invalid")</f>
        <v>OK</v>
      </c>
      <c r="AF2144" t="str">
        <f t="shared" si="430"/>
        <v>Valid</v>
      </c>
      <c r="AG2144" t="str">
        <f t="shared" si="431"/>
        <v>Valid</v>
      </c>
      <c r="AH2144" t="str">
        <f t="shared" si="432"/>
        <v>Valid</v>
      </c>
      <c r="AI2144" t="str">
        <f t="shared" si="433"/>
        <v>Valid</v>
      </c>
      <c r="AJ2144" t="str">
        <f t="shared" si="434"/>
        <v>Valid</v>
      </c>
      <c r="AK2144" t="str">
        <f t="shared" si="441"/>
        <v xml:space="preserve">Valid </v>
      </c>
      <c r="AL2144" t="str">
        <f>IF(AND(Audit_Data[[#This Row],[Recency]]&gt;=0,Audit_Data[[#This Row],[Recency]]&lt;=100),"Valid","Invalid")</f>
        <v>Valid</v>
      </c>
      <c r="AM2144" t="str">
        <f t="shared" si="435"/>
        <v>Valid</v>
      </c>
      <c r="AN2144" t="str">
        <f t="shared" si="436"/>
        <v>Valid</v>
      </c>
      <c r="AO2144" t="str">
        <f t="shared" si="437"/>
        <v>Valid</v>
      </c>
      <c r="AP2144" t="str">
        <f t="shared" si="438"/>
        <v>Valid</v>
      </c>
      <c r="AQ2144" t="str">
        <f>IF(Audit_Data[[#This Row],[Z_CostContact]]=3,"Valid","Invalid")</f>
        <v>Valid</v>
      </c>
      <c r="AR2144" t="str">
        <f t="shared" si="439"/>
        <v>Valid</v>
      </c>
      <c r="AS2144" t="str">
        <f t="shared" si="440"/>
        <v>Valid</v>
      </c>
    </row>
    <row r="2145" spans="1:45" x14ac:dyDescent="0.3">
      <c r="A2145">
        <v>9727</v>
      </c>
      <c r="B2145">
        <v>1957</v>
      </c>
      <c r="C2145" t="s">
        <v>29</v>
      </c>
      <c r="D2145" t="s">
        <v>33</v>
      </c>
      <c r="E2145">
        <v>23539</v>
      </c>
      <c r="F2145">
        <v>0</v>
      </c>
      <c r="G2145">
        <v>0</v>
      </c>
      <c r="H2145" s="1">
        <v>41698</v>
      </c>
      <c r="I2145">
        <v>13</v>
      </c>
      <c r="J2145">
        <v>4</v>
      </c>
      <c r="K2145">
        <v>24</v>
      </c>
      <c r="L2145">
        <v>11</v>
      </c>
      <c r="M2145">
        <v>16</v>
      </c>
      <c r="N2145">
        <v>1</v>
      </c>
      <c r="O2145">
        <v>25</v>
      </c>
      <c r="P2145">
        <v>1</v>
      </c>
      <c r="Q2145">
        <v>2</v>
      </c>
      <c r="R2145">
        <v>0</v>
      </c>
      <c r="S2145">
        <v>4</v>
      </c>
      <c r="T2145">
        <v>6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3</v>
      </c>
      <c r="AB2145">
        <v>11</v>
      </c>
      <c r="AC2145">
        <v>0</v>
      </c>
      <c r="AD2145" t="str">
        <f t="shared" si="429"/>
        <v>Ok</v>
      </c>
      <c r="AE2145" t="str">
        <f>IF(AND(Audit_Data[[#This Row],[Year_Birth]]&gt;=1900,Audit_Data[[#This Row],[Year_Birth]]&lt;=2010),"OK","Invalid")</f>
        <v>OK</v>
      </c>
      <c r="AF2145" t="str">
        <f t="shared" si="430"/>
        <v>Valid</v>
      </c>
      <c r="AG2145" t="str">
        <f t="shared" si="431"/>
        <v>Valid</v>
      </c>
      <c r="AH2145" t="str">
        <f t="shared" si="432"/>
        <v>Valid</v>
      </c>
      <c r="AI2145" t="str">
        <f t="shared" si="433"/>
        <v>Valid</v>
      </c>
      <c r="AJ2145" t="str">
        <f t="shared" si="434"/>
        <v>Valid</v>
      </c>
      <c r="AK2145" t="str">
        <f t="shared" si="441"/>
        <v xml:space="preserve">Valid </v>
      </c>
      <c r="AL2145" t="str">
        <f>IF(AND(Audit_Data[[#This Row],[Recency]]&gt;=0,Audit_Data[[#This Row],[Recency]]&lt;=100),"Valid","Invalid")</f>
        <v>Valid</v>
      </c>
      <c r="AM2145" t="str">
        <f t="shared" si="435"/>
        <v>Valid</v>
      </c>
      <c r="AN2145" t="str">
        <f t="shared" si="436"/>
        <v>Valid</v>
      </c>
      <c r="AO2145" t="str">
        <f t="shared" si="437"/>
        <v>Valid</v>
      </c>
      <c r="AP2145" t="str">
        <f t="shared" si="438"/>
        <v>Valid</v>
      </c>
      <c r="AQ2145" t="str">
        <f>IF(Audit_Data[[#This Row],[Z_CostContact]]=3,"Valid","Invalid")</f>
        <v>Valid</v>
      </c>
      <c r="AR2145" t="str">
        <f t="shared" si="439"/>
        <v>Valid</v>
      </c>
      <c r="AS2145" t="str">
        <f t="shared" si="440"/>
        <v>Valid</v>
      </c>
    </row>
    <row r="2146" spans="1:45" x14ac:dyDescent="0.3">
      <c r="A2146">
        <v>5136</v>
      </c>
      <c r="B2146">
        <v>1973</v>
      </c>
      <c r="C2146" t="s">
        <v>29</v>
      </c>
      <c r="D2146" t="s">
        <v>30</v>
      </c>
      <c r="E2146">
        <v>65333</v>
      </c>
      <c r="F2146">
        <v>0</v>
      </c>
      <c r="G2146">
        <v>1</v>
      </c>
      <c r="H2146" s="1">
        <v>41656</v>
      </c>
      <c r="I2146">
        <v>58</v>
      </c>
      <c r="J2146">
        <v>654</v>
      </c>
      <c r="K2146">
        <v>7</v>
      </c>
      <c r="L2146">
        <v>92</v>
      </c>
      <c r="M2146">
        <v>0</v>
      </c>
      <c r="N2146">
        <v>15</v>
      </c>
      <c r="O2146">
        <v>30</v>
      </c>
      <c r="P2146">
        <v>7</v>
      </c>
      <c r="Q2146">
        <v>9</v>
      </c>
      <c r="R2146">
        <v>4</v>
      </c>
      <c r="S2146">
        <v>8</v>
      </c>
      <c r="T2146">
        <v>6</v>
      </c>
      <c r="U2146">
        <v>0</v>
      </c>
      <c r="V2146">
        <v>1</v>
      </c>
      <c r="W2146">
        <v>1</v>
      </c>
      <c r="X2146">
        <v>0</v>
      </c>
      <c r="Y2146">
        <v>0</v>
      </c>
      <c r="Z2146">
        <v>0</v>
      </c>
      <c r="AA2146">
        <v>3</v>
      </c>
      <c r="AB2146">
        <v>11</v>
      </c>
      <c r="AC2146">
        <v>0</v>
      </c>
      <c r="AD2146" t="str">
        <f t="shared" si="429"/>
        <v>Ok</v>
      </c>
      <c r="AE2146" t="str">
        <f>IF(AND(Audit_Data[[#This Row],[Year_Birth]]&gt;=1900,Audit_Data[[#This Row],[Year_Birth]]&lt;=2010),"OK","Invalid")</f>
        <v>OK</v>
      </c>
      <c r="AF2146" t="str">
        <f t="shared" si="430"/>
        <v>Valid</v>
      </c>
      <c r="AG2146" t="str">
        <f t="shared" si="431"/>
        <v>Valid</v>
      </c>
      <c r="AH2146" t="str">
        <f t="shared" si="432"/>
        <v>Valid</v>
      </c>
      <c r="AI2146" t="str">
        <f t="shared" si="433"/>
        <v>Valid</v>
      </c>
      <c r="AJ2146" t="str">
        <f t="shared" si="434"/>
        <v>Valid</v>
      </c>
      <c r="AK2146" t="str">
        <f t="shared" si="441"/>
        <v xml:space="preserve">Valid </v>
      </c>
      <c r="AL2146" t="str">
        <f>IF(AND(Audit_Data[[#This Row],[Recency]]&gt;=0,Audit_Data[[#This Row],[Recency]]&lt;=100),"Valid","Invalid")</f>
        <v>Valid</v>
      </c>
      <c r="AM2146" t="str">
        <f t="shared" si="435"/>
        <v>Valid</v>
      </c>
      <c r="AN2146" t="str">
        <f t="shared" si="436"/>
        <v>Valid</v>
      </c>
      <c r="AO2146" t="str">
        <f t="shared" si="437"/>
        <v>Valid</v>
      </c>
      <c r="AP2146" t="str">
        <f t="shared" si="438"/>
        <v>Valid</v>
      </c>
      <c r="AQ2146" t="str">
        <f>IF(Audit_Data[[#This Row],[Z_CostContact]]=3,"Valid","Invalid")</f>
        <v>Valid</v>
      </c>
      <c r="AR2146" t="str">
        <f t="shared" si="439"/>
        <v>Valid</v>
      </c>
      <c r="AS2146" t="str">
        <f t="shared" si="440"/>
        <v>Valid</v>
      </c>
    </row>
    <row r="2147" spans="1:45" x14ac:dyDescent="0.3">
      <c r="A2147">
        <v>9790</v>
      </c>
      <c r="B2147">
        <v>1957</v>
      </c>
      <c r="C2147" t="s">
        <v>29</v>
      </c>
      <c r="D2147" t="s">
        <v>30</v>
      </c>
      <c r="E2147">
        <v>78499</v>
      </c>
      <c r="F2147">
        <v>0</v>
      </c>
      <c r="G2147">
        <v>0</v>
      </c>
      <c r="H2147" s="1">
        <v>41601</v>
      </c>
      <c r="I2147">
        <v>12</v>
      </c>
      <c r="J2147">
        <v>912</v>
      </c>
      <c r="K2147">
        <v>72</v>
      </c>
      <c r="L2147">
        <v>170</v>
      </c>
      <c r="M2147">
        <v>47</v>
      </c>
      <c r="N2147">
        <v>36</v>
      </c>
      <c r="O2147">
        <v>97</v>
      </c>
      <c r="P2147">
        <v>1</v>
      </c>
      <c r="Q2147">
        <v>11</v>
      </c>
      <c r="R2147">
        <v>3</v>
      </c>
      <c r="S2147">
        <v>4</v>
      </c>
      <c r="T2147">
        <v>4</v>
      </c>
      <c r="U2147">
        <v>0</v>
      </c>
      <c r="V2147">
        <v>0</v>
      </c>
      <c r="W2147">
        <v>1</v>
      </c>
      <c r="X2147">
        <v>0</v>
      </c>
      <c r="Y2147">
        <v>0</v>
      </c>
      <c r="Z2147">
        <v>0</v>
      </c>
      <c r="AA2147">
        <v>3</v>
      </c>
      <c r="AB2147">
        <v>11</v>
      </c>
      <c r="AC2147">
        <v>1</v>
      </c>
      <c r="AD2147" t="str">
        <f t="shared" si="429"/>
        <v>Ok</v>
      </c>
      <c r="AE2147" t="str">
        <f>IF(AND(Audit_Data[[#This Row],[Year_Birth]]&gt;=1900,Audit_Data[[#This Row],[Year_Birth]]&lt;=2010),"OK","Invalid")</f>
        <v>OK</v>
      </c>
      <c r="AF2147" t="str">
        <f t="shared" si="430"/>
        <v>Valid</v>
      </c>
      <c r="AG2147" t="str">
        <f t="shared" si="431"/>
        <v>Valid</v>
      </c>
      <c r="AH2147" t="str">
        <f t="shared" si="432"/>
        <v>Valid</v>
      </c>
      <c r="AI2147" t="str">
        <f t="shared" si="433"/>
        <v>Valid</v>
      </c>
      <c r="AJ2147" t="str">
        <f t="shared" si="434"/>
        <v>Valid</v>
      </c>
      <c r="AK2147" t="str">
        <f t="shared" si="441"/>
        <v xml:space="preserve">Valid </v>
      </c>
      <c r="AL2147" t="str">
        <f>IF(AND(Audit_Data[[#This Row],[Recency]]&gt;=0,Audit_Data[[#This Row],[Recency]]&lt;=100),"Valid","Invalid")</f>
        <v>Valid</v>
      </c>
      <c r="AM2147" t="str">
        <f t="shared" si="435"/>
        <v>Valid</v>
      </c>
      <c r="AN2147" t="str">
        <f t="shared" si="436"/>
        <v>Valid</v>
      </c>
      <c r="AO2147" t="str">
        <f t="shared" si="437"/>
        <v>Valid</v>
      </c>
      <c r="AP2147" t="str">
        <f t="shared" si="438"/>
        <v>Valid</v>
      </c>
      <c r="AQ2147" t="str">
        <f>IF(Audit_Data[[#This Row],[Z_CostContact]]=3,"Valid","Invalid")</f>
        <v>Valid</v>
      </c>
      <c r="AR2147" t="str">
        <f t="shared" si="439"/>
        <v>Valid</v>
      </c>
      <c r="AS2147" t="str">
        <f t="shared" si="440"/>
        <v>Valid</v>
      </c>
    </row>
    <row r="2148" spans="1:45" x14ac:dyDescent="0.3">
      <c r="A2148">
        <v>1818</v>
      </c>
      <c r="B2148">
        <v>1971</v>
      </c>
      <c r="C2148" t="s">
        <v>32</v>
      </c>
      <c r="D2148" t="s">
        <v>31</v>
      </c>
      <c r="E2148">
        <v>29732</v>
      </c>
      <c r="F2148">
        <v>1</v>
      </c>
      <c r="G2148">
        <v>0</v>
      </c>
      <c r="H2148" s="1">
        <v>41723</v>
      </c>
      <c r="I2148">
        <v>23</v>
      </c>
      <c r="J2148">
        <v>25</v>
      </c>
      <c r="K2148">
        <v>0</v>
      </c>
      <c r="L2148">
        <v>8</v>
      </c>
      <c r="M2148">
        <v>0</v>
      </c>
      <c r="N2148">
        <v>1</v>
      </c>
      <c r="O2148">
        <v>4</v>
      </c>
      <c r="P2148">
        <v>1</v>
      </c>
      <c r="Q2148">
        <v>2</v>
      </c>
      <c r="R2148">
        <v>0</v>
      </c>
      <c r="S2148">
        <v>2</v>
      </c>
      <c r="T2148">
        <v>9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3</v>
      </c>
      <c r="AB2148">
        <v>11</v>
      </c>
      <c r="AC2148">
        <v>0</v>
      </c>
      <c r="AD2148" t="str">
        <f t="shared" si="429"/>
        <v>Ok</v>
      </c>
      <c r="AE2148" t="str">
        <f>IF(AND(Audit_Data[[#This Row],[Year_Birth]]&gt;=1900,Audit_Data[[#This Row],[Year_Birth]]&lt;=2010),"OK","Invalid")</f>
        <v>OK</v>
      </c>
      <c r="AF2148" t="str">
        <f t="shared" si="430"/>
        <v>Valid</v>
      </c>
      <c r="AG2148" t="str">
        <f t="shared" si="431"/>
        <v>Valid</v>
      </c>
      <c r="AH2148" t="str">
        <f t="shared" si="432"/>
        <v>Valid</v>
      </c>
      <c r="AI2148" t="str">
        <f t="shared" si="433"/>
        <v>Valid</v>
      </c>
      <c r="AJ2148" t="str">
        <f t="shared" si="434"/>
        <v>Valid</v>
      </c>
      <c r="AK2148" t="str">
        <f t="shared" si="441"/>
        <v xml:space="preserve">Valid </v>
      </c>
      <c r="AL2148" t="str">
        <f>IF(AND(Audit_Data[[#This Row],[Recency]]&gt;=0,Audit_Data[[#This Row],[Recency]]&lt;=100),"Valid","Invalid")</f>
        <v>Valid</v>
      </c>
      <c r="AM2148" t="str">
        <f t="shared" si="435"/>
        <v>Valid</v>
      </c>
      <c r="AN2148" t="str">
        <f t="shared" si="436"/>
        <v>Valid</v>
      </c>
      <c r="AO2148" t="str">
        <f t="shared" si="437"/>
        <v>Valid</v>
      </c>
      <c r="AP2148" t="str">
        <f t="shared" si="438"/>
        <v>Valid</v>
      </c>
      <c r="AQ2148" t="str">
        <f>IF(Audit_Data[[#This Row],[Z_CostContact]]=3,"Valid","Invalid")</f>
        <v>Valid</v>
      </c>
      <c r="AR2148" t="str">
        <f t="shared" si="439"/>
        <v>Valid</v>
      </c>
      <c r="AS2148" t="str">
        <f t="shared" si="440"/>
        <v>Valid</v>
      </c>
    </row>
    <row r="2149" spans="1:45" x14ac:dyDescent="0.3">
      <c r="A2149">
        <v>1100</v>
      </c>
      <c r="B2149">
        <v>1960</v>
      </c>
      <c r="C2149" t="s">
        <v>34</v>
      </c>
      <c r="D2149" t="s">
        <v>31</v>
      </c>
      <c r="E2149">
        <v>41275</v>
      </c>
      <c r="F2149">
        <v>1</v>
      </c>
      <c r="G2149">
        <v>2</v>
      </c>
      <c r="H2149" s="1">
        <v>41722</v>
      </c>
      <c r="I2149">
        <v>33</v>
      </c>
      <c r="J2149">
        <v>24</v>
      </c>
      <c r="K2149">
        <v>4</v>
      </c>
      <c r="L2149">
        <v>22</v>
      </c>
      <c r="M2149">
        <v>0</v>
      </c>
      <c r="N2149">
        <v>2</v>
      </c>
      <c r="O2149">
        <v>9</v>
      </c>
      <c r="P2149">
        <v>4</v>
      </c>
      <c r="Q2149">
        <v>3</v>
      </c>
      <c r="R2149">
        <v>1</v>
      </c>
      <c r="S2149">
        <v>3</v>
      </c>
      <c r="T2149">
        <v>5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3</v>
      </c>
      <c r="AB2149">
        <v>11</v>
      </c>
      <c r="AC2149">
        <v>0</v>
      </c>
      <c r="AD2149" t="str">
        <f t="shared" si="429"/>
        <v>Ok</v>
      </c>
      <c r="AE2149" t="str">
        <f>IF(AND(Audit_Data[[#This Row],[Year_Birth]]&gt;=1900,Audit_Data[[#This Row],[Year_Birth]]&lt;=2010),"OK","Invalid")</f>
        <v>OK</v>
      </c>
      <c r="AF2149" t="str">
        <f t="shared" si="430"/>
        <v>Valid</v>
      </c>
      <c r="AG2149" t="str">
        <f t="shared" si="431"/>
        <v>Valid</v>
      </c>
      <c r="AH2149" t="str">
        <f t="shared" si="432"/>
        <v>Valid</v>
      </c>
      <c r="AI2149" t="str">
        <f t="shared" si="433"/>
        <v>Valid</v>
      </c>
      <c r="AJ2149" t="str">
        <f t="shared" si="434"/>
        <v>Valid</v>
      </c>
      <c r="AK2149" t="str">
        <f t="shared" si="441"/>
        <v xml:space="preserve">Valid </v>
      </c>
      <c r="AL2149" t="str">
        <f>IF(AND(Audit_Data[[#This Row],[Recency]]&gt;=0,Audit_Data[[#This Row],[Recency]]&lt;=100),"Valid","Invalid")</f>
        <v>Valid</v>
      </c>
      <c r="AM2149" t="str">
        <f t="shared" si="435"/>
        <v>Valid</v>
      </c>
      <c r="AN2149" t="str">
        <f t="shared" si="436"/>
        <v>Valid</v>
      </c>
      <c r="AO2149" t="str">
        <f t="shared" si="437"/>
        <v>Valid</v>
      </c>
      <c r="AP2149" t="str">
        <f t="shared" si="438"/>
        <v>Valid</v>
      </c>
      <c r="AQ2149" t="str">
        <f>IF(Audit_Data[[#This Row],[Z_CostContact]]=3,"Valid","Invalid")</f>
        <v>Valid</v>
      </c>
      <c r="AR2149" t="str">
        <f t="shared" si="439"/>
        <v>Valid</v>
      </c>
      <c r="AS2149" t="str">
        <f t="shared" si="440"/>
        <v>Valid</v>
      </c>
    </row>
    <row r="2150" spans="1:45" x14ac:dyDescent="0.3">
      <c r="A2150">
        <v>7873</v>
      </c>
      <c r="B2150">
        <v>1973</v>
      </c>
      <c r="C2150" t="s">
        <v>32</v>
      </c>
      <c r="D2150" t="s">
        <v>31</v>
      </c>
      <c r="E2150">
        <v>63516</v>
      </c>
      <c r="F2150">
        <v>1</v>
      </c>
      <c r="G2150">
        <v>1</v>
      </c>
      <c r="H2150" s="1">
        <v>41461</v>
      </c>
      <c r="I2150">
        <v>30</v>
      </c>
      <c r="J2150">
        <v>141</v>
      </c>
      <c r="K2150">
        <v>11</v>
      </c>
      <c r="L2150">
        <v>114</v>
      </c>
      <c r="M2150">
        <v>15</v>
      </c>
      <c r="N2150">
        <v>14</v>
      </c>
      <c r="O2150">
        <v>5</v>
      </c>
      <c r="P2150">
        <v>4</v>
      </c>
      <c r="Q2150">
        <v>4</v>
      </c>
      <c r="R2150">
        <v>1</v>
      </c>
      <c r="S2150">
        <v>7</v>
      </c>
      <c r="T2150">
        <v>5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3</v>
      </c>
      <c r="AB2150">
        <v>11</v>
      </c>
      <c r="AC2150">
        <v>0</v>
      </c>
      <c r="AD2150" t="str">
        <f t="shared" si="429"/>
        <v>Ok</v>
      </c>
      <c r="AE2150" t="str">
        <f>IF(AND(Audit_Data[[#This Row],[Year_Birth]]&gt;=1900,Audit_Data[[#This Row],[Year_Birth]]&lt;=2010),"OK","Invalid")</f>
        <v>OK</v>
      </c>
      <c r="AF2150" t="str">
        <f t="shared" si="430"/>
        <v>Valid</v>
      </c>
      <c r="AG2150" t="str">
        <f t="shared" si="431"/>
        <v>Valid</v>
      </c>
      <c r="AH2150" t="str">
        <f t="shared" si="432"/>
        <v>Valid</v>
      </c>
      <c r="AI2150" t="str">
        <f t="shared" si="433"/>
        <v>Valid</v>
      </c>
      <c r="AJ2150" t="str">
        <f t="shared" si="434"/>
        <v>Valid</v>
      </c>
      <c r="AK2150" t="str">
        <f t="shared" si="441"/>
        <v xml:space="preserve">Valid </v>
      </c>
      <c r="AL2150" t="str">
        <f>IF(AND(Audit_Data[[#This Row],[Recency]]&gt;=0,Audit_Data[[#This Row],[Recency]]&lt;=100),"Valid","Invalid")</f>
        <v>Valid</v>
      </c>
      <c r="AM2150" t="str">
        <f t="shared" si="435"/>
        <v>Valid</v>
      </c>
      <c r="AN2150" t="str">
        <f t="shared" si="436"/>
        <v>Valid</v>
      </c>
      <c r="AO2150" t="str">
        <f t="shared" si="437"/>
        <v>Valid</v>
      </c>
      <c r="AP2150" t="str">
        <f t="shared" si="438"/>
        <v>Valid</v>
      </c>
      <c r="AQ2150" t="str">
        <f>IF(Audit_Data[[#This Row],[Z_CostContact]]=3,"Valid","Invalid")</f>
        <v>Valid</v>
      </c>
      <c r="AR2150" t="str">
        <f t="shared" si="439"/>
        <v>Valid</v>
      </c>
      <c r="AS2150" t="str">
        <f t="shared" si="440"/>
        <v>Valid</v>
      </c>
    </row>
    <row r="2151" spans="1:45" x14ac:dyDescent="0.3">
      <c r="A2151">
        <v>10609</v>
      </c>
      <c r="B2151">
        <v>1962</v>
      </c>
      <c r="C2151" t="s">
        <v>32</v>
      </c>
      <c r="D2151" t="s">
        <v>33</v>
      </c>
      <c r="E2151">
        <v>42769</v>
      </c>
      <c r="F2151">
        <v>0</v>
      </c>
      <c r="G2151">
        <v>1</v>
      </c>
      <c r="H2151" s="1">
        <v>41559</v>
      </c>
      <c r="I2151">
        <v>15</v>
      </c>
      <c r="J2151">
        <v>71</v>
      </c>
      <c r="K2151">
        <v>0</v>
      </c>
      <c r="L2151">
        <v>13</v>
      </c>
      <c r="M2151">
        <v>3</v>
      </c>
      <c r="N2151">
        <v>1</v>
      </c>
      <c r="O2151">
        <v>0</v>
      </c>
      <c r="P2151">
        <v>2</v>
      </c>
      <c r="Q2151">
        <v>1</v>
      </c>
      <c r="R2151">
        <v>1</v>
      </c>
      <c r="S2151">
        <v>4</v>
      </c>
      <c r="T2151">
        <v>4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3</v>
      </c>
      <c r="AB2151">
        <v>11</v>
      </c>
      <c r="AC2151">
        <v>0</v>
      </c>
      <c r="AD2151" t="str">
        <f t="shared" si="429"/>
        <v>Ok</v>
      </c>
      <c r="AE2151" t="str">
        <f>IF(AND(Audit_Data[[#This Row],[Year_Birth]]&gt;=1900,Audit_Data[[#This Row],[Year_Birth]]&lt;=2010),"OK","Invalid")</f>
        <v>OK</v>
      </c>
      <c r="AF2151" t="str">
        <f t="shared" si="430"/>
        <v>Valid</v>
      </c>
      <c r="AG2151" t="str">
        <f t="shared" si="431"/>
        <v>Valid</v>
      </c>
      <c r="AH2151" t="str">
        <f t="shared" si="432"/>
        <v>Valid</v>
      </c>
      <c r="AI2151" t="str">
        <f t="shared" si="433"/>
        <v>Valid</v>
      </c>
      <c r="AJ2151" t="str">
        <f t="shared" si="434"/>
        <v>Valid</v>
      </c>
      <c r="AK2151" t="str">
        <f t="shared" si="441"/>
        <v xml:space="preserve">Valid </v>
      </c>
      <c r="AL2151" t="str">
        <f>IF(AND(Audit_Data[[#This Row],[Recency]]&gt;=0,Audit_Data[[#This Row],[Recency]]&lt;=100),"Valid","Invalid")</f>
        <v>Valid</v>
      </c>
      <c r="AM2151" t="str">
        <f t="shared" si="435"/>
        <v>Valid</v>
      </c>
      <c r="AN2151" t="str">
        <f t="shared" si="436"/>
        <v>Valid</v>
      </c>
      <c r="AO2151" t="str">
        <f t="shared" si="437"/>
        <v>Valid</v>
      </c>
      <c r="AP2151" t="str">
        <f t="shared" si="438"/>
        <v>Valid</v>
      </c>
      <c r="AQ2151" t="str">
        <f>IF(Audit_Data[[#This Row],[Z_CostContact]]=3,"Valid","Invalid")</f>
        <v>Valid</v>
      </c>
      <c r="AR2151" t="str">
        <f t="shared" si="439"/>
        <v>Valid</v>
      </c>
      <c r="AS2151" t="str">
        <f t="shared" si="440"/>
        <v>Valid</v>
      </c>
    </row>
    <row r="2152" spans="1:45" x14ac:dyDescent="0.3">
      <c r="A2152">
        <v>6950</v>
      </c>
      <c r="B2152">
        <v>1958</v>
      </c>
      <c r="C2152" t="s">
        <v>34</v>
      </c>
      <c r="D2152" t="s">
        <v>33</v>
      </c>
      <c r="E2152">
        <v>49572</v>
      </c>
      <c r="F2152">
        <v>1</v>
      </c>
      <c r="G2152">
        <v>1</v>
      </c>
      <c r="H2152" s="1">
        <v>41623</v>
      </c>
      <c r="I2152">
        <v>25</v>
      </c>
      <c r="J2152">
        <v>35</v>
      </c>
      <c r="K2152">
        <v>1</v>
      </c>
      <c r="L2152">
        <v>16</v>
      </c>
      <c r="M2152">
        <v>0</v>
      </c>
      <c r="N2152">
        <v>1</v>
      </c>
      <c r="O2152">
        <v>1</v>
      </c>
      <c r="P2152">
        <v>2</v>
      </c>
      <c r="Q2152">
        <v>2</v>
      </c>
      <c r="R2152">
        <v>0</v>
      </c>
      <c r="S2152">
        <v>3</v>
      </c>
      <c r="T2152">
        <v>7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3</v>
      </c>
      <c r="AB2152">
        <v>11</v>
      </c>
      <c r="AC2152">
        <v>0</v>
      </c>
      <c r="AD2152" t="str">
        <f t="shared" si="429"/>
        <v>Ok</v>
      </c>
      <c r="AE2152" t="str">
        <f>IF(AND(Audit_Data[[#This Row],[Year_Birth]]&gt;=1900,Audit_Data[[#This Row],[Year_Birth]]&lt;=2010),"OK","Invalid")</f>
        <v>OK</v>
      </c>
      <c r="AF2152" t="str">
        <f t="shared" si="430"/>
        <v>Valid</v>
      </c>
      <c r="AG2152" t="str">
        <f t="shared" si="431"/>
        <v>Valid</v>
      </c>
      <c r="AH2152" t="str">
        <f t="shared" si="432"/>
        <v>Valid</v>
      </c>
      <c r="AI2152" t="str">
        <f t="shared" si="433"/>
        <v>Valid</v>
      </c>
      <c r="AJ2152" t="str">
        <f t="shared" si="434"/>
        <v>Valid</v>
      </c>
      <c r="AK2152" t="str">
        <f t="shared" si="441"/>
        <v xml:space="preserve">Valid </v>
      </c>
      <c r="AL2152" t="str">
        <f>IF(AND(Audit_Data[[#This Row],[Recency]]&gt;=0,Audit_Data[[#This Row],[Recency]]&lt;=100),"Valid","Invalid")</f>
        <v>Valid</v>
      </c>
      <c r="AM2152" t="str">
        <f t="shared" si="435"/>
        <v>Valid</v>
      </c>
      <c r="AN2152" t="str">
        <f t="shared" si="436"/>
        <v>Valid</v>
      </c>
      <c r="AO2152" t="str">
        <f t="shared" si="437"/>
        <v>Valid</v>
      </c>
      <c r="AP2152" t="str">
        <f t="shared" si="438"/>
        <v>Valid</v>
      </c>
      <c r="AQ2152" t="str">
        <f>IF(Audit_Data[[#This Row],[Z_CostContact]]=3,"Valid","Invalid")</f>
        <v>Valid</v>
      </c>
      <c r="AR2152" t="str">
        <f t="shared" si="439"/>
        <v>Valid</v>
      </c>
      <c r="AS2152" t="str">
        <f t="shared" si="440"/>
        <v>Valid</v>
      </c>
    </row>
    <row r="2153" spans="1:45" x14ac:dyDescent="0.3">
      <c r="A2153">
        <v>7233</v>
      </c>
      <c r="B2153">
        <v>1972</v>
      </c>
      <c r="C2153" t="s">
        <v>29</v>
      </c>
      <c r="D2153" t="s">
        <v>33</v>
      </c>
      <c r="E2153">
        <v>69209</v>
      </c>
      <c r="F2153">
        <v>0</v>
      </c>
      <c r="G2153">
        <v>0</v>
      </c>
      <c r="H2153" s="1">
        <v>41169</v>
      </c>
      <c r="I2153">
        <v>4</v>
      </c>
      <c r="J2153">
        <v>496</v>
      </c>
      <c r="K2153">
        <v>32</v>
      </c>
      <c r="L2153">
        <v>849</v>
      </c>
      <c r="M2153">
        <v>229</v>
      </c>
      <c r="N2153">
        <v>48</v>
      </c>
      <c r="O2153">
        <v>128</v>
      </c>
      <c r="P2153">
        <v>2</v>
      </c>
      <c r="Q2153">
        <v>5</v>
      </c>
      <c r="R2153">
        <v>3</v>
      </c>
      <c r="S2153">
        <v>6</v>
      </c>
      <c r="T2153">
        <v>4</v>
      </c>
      <c r="U2153">
        <v>0</v>
      </c>
      <c r="V2153">
        <v>0</v>
      </c>
      <c r="W2153">
        <v>0</v>
      </c>
      <c r="X2153">
        <v>1</v>
      </c>
      <c r="Y2153">
        <v>0</v>
      </c>
      <c r="Z2153">
        <v>0</v>
      </c>
      <c r="AA2153">
        <v>3</v>
      </c>
      <c r="AB2153">
        <v>11</v>
      </c>
      <c r="AC2153">
        <v>0</v>
      </c>
      <c r="AD2153" t="str">
        <f t="shared" si="429"/>
        <v>Ok</v>
      </c>
      <c r="AE2153" t="str">
        <f>IF(AND(Audit_Data[[#This Row],[Year_Birth]]&gt;=1900,Audit_Data[[#This Row],[Year_Birth]]&lt;=2010),"OK","Invalid")</f>
        <v>OK</v>
      </c>
      <c r="AF2153" t="str">
        <f t="shared" si="430"/>
        <v>Valid</v>
      </c>
      <c r="AG2153" t="str">
        <f t="shared" si="431"/>
        <v>Valid</v>
      </c>
      <c r="AH2153" t="str">
        <f t="shared" si="432"/>
        <v>Valid</v>
      </c>
      <c r="AI2153" t="str">
        <f t="shared" si="433"/>
        <v>Valid</v>
      </c>
      <c r="AJ2153" t="str">
        <f t="shared" si="434"/>
        <v>Valid</v>
      </c>
      <c r="AK2153" t="str">
        <f t="shared" si="441"/>
        <v xml:space="preserve">Valid </v>
      </c>
      <c r="AL2153" t="str">
        <f>IF(AND(Audit_Data[[#This Row],[Recency]]&gt;=0,Audit_Data[[#This Row],[Recency]]&lt;=100),"Valid","Invalid")</f>
        <v>Valid</v>
      </c>
      <c r="AM2153" t="str">
        <f t="shared" si="435"/>
        <v>Valid</v>
      </c>
      <c r="AN2153" t="str">
        <f t="shared" si="436"/>
        <v>Valid</v>
      </c>
      <c r="AO2153" t="str">
        <f t="shared" si="437"/>
        <v>Valid</v>
      </c>
      <c r="AP2153" t="str">
        <f t="shared" si="438"/>
        <v>Valid</v>
      </c>
      <c r="AQ2153" t="str">
        <f>IF(Audit_Data[[#This Row],[Z_CostContact]]=3,"Valid","Invalid")</f>
        <v>Valid</v>
      </c>
      <c r="AR2153" t="str">
        <f t="shared" si="439"/>
        <v>Valid</v>
      </c>
      <c r="AS2153" t="str">
        <f t="shared" si="440"/>
        <v>Valid</v>
      </c>
    </row>
    <row r="2154" spans="1:45" x14ac:dyDescent="0.3">
      <c r="A2154">
        <v>9481</v>
      </c>
      <c r="B2154">
        <v>1976</v>
      </c>
      <c r="C2154" t="s">
        <v>29</v>
      </c>
      <c r="D2154" t="s">
        <v>33</v>
      </c>
      <c r="E2154">
        <v>17148</v>
      </c>
      <c r="F2154">
        <v>1</v>
      </c>
      <c r="G2154">
        <v>0</v>
      </c>
      <c r="H2154" s="1">
        <v>41667</v>
      </c>
      <c r="I2154">
        <v>80</v>
      </c>
      <c r="J2154">
        <v>9</v>
      </c>
      <c r="K2154">
        <v>9</v>
      </c>
      <c r="L2154">
        <v>11</v>
      </c>
      <c r="M2154">
        <v>13</v>
      </c>
      <c r="N2154">
        <v>10</v>
      </c>
      <c r="O2154">
        <v>16</v>
      </c>
      <c r="P2154">
        <v>4</v>
      </c>
      <c r="Q2154">
        <v>3</v>
      </c>
      <c r="R2154">
        <v>1</v>
      </c>
      <c r="S2154">
        <v>3</v>
      </c>
      <c r="T2154">
        <v>8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3</v>
      </c>
      <c r="AB2154">
        <v>11</v>
      </c>
      <c r="AC2154">
        <v>0</v>
      </c>
      <c r="AD2154" t="str">
        <f t="shared" si="429"/>
        <v>Ok</v>
      </c>
      <c r="AE2154" t="str">
        <f>IF(AND(Audit_Data[[#This Row],[Year_Birth]]&gt;=1900,Audit_Data[[#This Row],[Year_Birth]]&lt;=2010),"OK","Invalid")</f>
        <v>OK</v>
      </c>
      <c r="AF2154" t="str">
        <f t="shared" si="430"/>
        <v>Valid</v>
      </c>
      <c r="AG2154" t="str">
        <f t="shared" si="431"/>
        <v>Valid</v>
      </c>
      <c r="AH2154" t="str">
        <f t="shared" si="432"/>
        <v>Valid</v>
      </c>
      <c r="AI2154" t="str">
        <f t="shared" si="433"/>
        <v>Valid</v>
      </c>
      <c r="AJ2154" t="str">
        <f t="shared" si="434"/>
        <v>Valid</v>
      </c>
      <c r="AK2154" t="str">
        <f t="shared" si="441"/>
        <v xml:space="preserve">Valid </v>
      </c>
      <c r="AL2154" t="str">
        <f>IF(AND(Audit_Data[[#This Row],[Recency]]&gt;=0,Audit_Data[[#This Row],[Recency]]&lt;=100),"Valid","Invalid")</f>
        <v>Valid</v>
      </c>
      <c r="AM2154" t="str">
        <f t="shared" si="435"/>
        <v>Valid</v>
      </c>
      <c r="AN2154" t="str">
        <f t="shared" si="436"/>
        <v>Valid</v>
      </c>
      <c r="AO2154" t="str">
        <f t="shared" si="437"/>
        <v>Valid</v>
      </c>
      <c r="AP2154" t="str">
        <f t="shared" si="438"/>
        <v>Valid</v>
      </c>
      <c r="AQ2154" t="str">
        <f>IF(Audit_Data[[#This Row],[Z_CostContact]]=3,"Valid","Invalid")</f>
        <v>Valid</v>
      </c>
      <c r="AR2154" t="str">
        <f t="shared" si="439"/>
        <v>Valid</v>
      </c>
      <c r="AS2154" t="str">
        <f t="shared" si="440"/>
        <v>Valid</v>
      </c>
    </row>
    <row r="2155" spans="1:45" x14ac:dyDescent="0.3">
      <c r="A2155">
        <v>7699</v>
      </c>
      <c r="B2155">
        <v>1969</v>
      </c>
      <c r="C2155" t="s">
        <v>29</v>
      </c>
      <c r="D2155" t="s">
        <v>38</v>
      </c>
      <c r="E2155">
        <v>40590</v>
      </c>
      <c r="F2155">
        <v>1</v>
      </c>
      <c r="G2155">
        <v>1</v>
      </c>
      <c r="H2155" s="1">
        <v>41549</v>
      </c>
      <c r="I2155">
        <v>30</v>
      </c>
      <c r="J2155">
        <v>154</v>
      </c>
      <c r="K2155">
        <v>0</v>
      </c>
      <c r="L2155">
        <v>50</v>
      </c>
      <c r="M2155">
        <v>6</v>
      </c>
      <c r="N2155">
        <v>11</v>
      </c>
      <c r="O2155">
        <v>37</v>
      </c>
      <c r="P2155">
        <v>5</v>
      </c>
      <c r="Q2155">
        <v>3</v>
      </c>
      <c r="R2155">
        <v>4</v>
      </c>
      <c r="S2155">
        <v>3</v>
      </c>
      <c r="T2155">
        <v>6</v>
      </c>
      <c r="U2155">
        <v>1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3</v>
      </c>
      <c r="AB2155">
        <v>11</v>
      </c>
      <c r="AC2155">
        <v>0</v>
      </c>
      <c r="AD2155" t="str">
        <f t="shared" si="429"/>
        <v>Ok</v>
      </c>
      <c r="AE2155" t="str">
        <f>IF(AND(Audit_Data[[#This Row],[Year_Birth]]&gt;=1900,Audit_Data[[#This Row],[Year_Birth]]&lt;=2010),"OK","Invalid")</f>
        <v>OK</v>
      </c>
      <c r="AF2155" t="str">
        <f t="shared" si="430"/>
        <v>Valid</v>
      </c>
      <c r="AG2155" t="str">
        <f t="shared" si="431"/>
        <v>Valid</v>
      </c>
      <c r="AH2155" t="str">
        <f t="shared" si="432"/>
        <v>Valid</v>
      </c>
      <c r="AI2155" t="str">
        <f t="shared" si="433"/>
        <v>Valid</v>
      </c>
      <c r="AJ2155" t="str">
        <f t="shared" si="434"/>
        <v>Valid</v>
      </c>
      <c r="AK2155" t="str">
        <f t="shared" si="441"/>
        <v xml:space="preserve">Valid </v>
      </c>
      <c r="AL2155" t="str">
        <f>IF(AND(Audit_Data[[#This Row],[Recency]]&gt;=0,Audit_Data[[#This Row],[Recency]]&lt;=100),"Valid","Invalid")</f>
        <v>Valid</v>
      </c>
      <c r="AM2155" t="str">
        <f t="shared" si="435"/>
        <v>Valid</v>
      </c>
      <c r="AN2155" t="str">
        <f t="shared" si="436"/>
        <v>Valid</v>
      </c>
      <c r="AO2155" t="str">
        <f t="shared" si="437"/>
        <v>Valid</v>
      </c>
      <c r="AP2155" t="str">
        <f t="shared" si="438"/>
        <v>Valid</v>
      </c>
      <c r="AQ2155" t="str">
        <f>IF(Audit_Data[[#This Row],[Z_CostContact]]=3,"Valid","Invalid")</f>
        <v>Valid</v>
      </c>
      <c r="AR2155" t="str">
        <f t="shared" si="439"/>
        <v>Valid</v>
      </c>
      <c r="AS2155" t="str">
        <f t="shared" si="440"/>
        <v>Valid</v>
      </c>
    </row>
    <row r="2156" spans="1:45" x14ac:dyDescent="0.3">
      <c r="A2156">
        <v>2711</v>
      </c>
      <c r="B2156">
        <v>1976</v>
      </c>
      <c r="C2156" t="s">
        <v>34</v>
      </c>
      <c r="D2156" t="s">
        <v>31</v>
      </c>
      <c r="E2156">
        <v>30560</v>
      </c>
      <c r="F2156">
        <v>1</v>
      </c>
      <c r="G2156">
        <v>0</v>
      </c>
      <c r="H2156" s="1">
        <v>41452</v>
      </c>
      <c r="I2156">
        <v>6</v>
      </c>
      <c r="J2156">
        <v>9</v>
      </c>
      <c r="K2156">
        <v>1</v>
      </c>
      <c r="L2156">
        <v>5</v>
      </c>
      <c r="M2156">
        <v>4</v>
      </c>
      <c r="N2156">
        <v>5</v>
      </c>
      <c r="O2156">
        <v>7</v>
      </c>
      <c r="P2156">
        <v>1</v>
      </c>
      <c r="Q2156">
        <v>1</v>
      </c>
      <c r="R2156">
        <v>0</v>
      </c>
      <c r="S2156">
        <v>3</v>
      </c>
      <c r="T2156">
        <v>7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3</v>
      </c>
      <c r="AB2156">
        <v>11</v>
      </c>
      <c r="AC2156">
        <v>0</v>
      </c>
      <c r="AD2156" t="str">
        <f t="shared" si="429"/>
        <v>Ok</v>
      </c>
      <c r="AE2156" t="str">
        <f>IF(AND(Audit_Data[[#This Row],[Year_Birth]]&gt;=1900,Audit_Data[[#This Row],[Year_Birth]]&lt;=2010),"OK","Invalid")</f>
        <v>OK</v>
      </c>
      <c r="AF2156" t="str">
        <f t="shared" si="430"/>
        <v>Valid</v>
      </c>
      <c r="AG2156" t="str">
        <f t="shared" si="431"/>
        <v>Valid</v>
      </c>
      <c r="AH2156" t="str">
        <f t="shared" si="432"/>
        <v>Valid</v>
      </c>
      <c r="AI2156" t="str">
        <f t="shared" si="433"/>
        <v>Valid</v>
      </c>
      <c r="AJ2156" t="str">
        <f t="shared" si="434"/>
        <v>Valid</v>
      </c>
      <c r="AK2156" t="str">
        <f t="shared" si="441"/>
        <v xml:space="preserve">Valid </v>
      </c>
      <c r="AL2156" t="str">
        <f>IF(AND(Audit_Data[[#This Row],[Recency]]&gt;=0,Audit_Data[[#This Row],[Recency]]&lt;=100),"Valid","Invalid")</f>
        <v>Valid</v>
      </c>
      <c r="AM2156" t="str">
        <f t="shared" si="435"/>
        <v>Valid</v>
      </c>
      <c r="AN2156" t="str">
        <f t="shared" si="436"/>
        <v>Valid</v>
      </c>
      <c r="AO2156" t="str">
        <f t="shared" si="437"/>
        <v>Valid</v>
      </c>
      <c r="AP2156" t="str">
        <f t="shared" si="438"/>
        <v>Valid</v>
      </c>
      <c r="AQ2156" t="str">
        <f>IF(Audit_Data[[#This Row],[Z_CostContact]]=3,"Valid","Invalid")</f>
        <v>Valid</v>
      </c>
      <c r="AR2156" t="str">
        <f t="shared" si="439"/>
        <v>Valid</v>
      </c>
      <c r="AS2156" t="str">
        <f t="shared" si="440"/>
        <v>Valid</v>
      </c>
    </row>
    <row r="2157" spans="1:45" x14ac:dyDescent="0.3">
      <c r="A2157">
        <v>8933</v>
      </c>
      <c r="B2157">
        <v>1983</v>
      </c>
      <c r="C2157" t="s">
        <v>37</v>
      </c>
      <c r="D2157" t="s">
        <v>33</v>
      </c>
      <c r="E2157">
        <v>32146</v>
      </c>
      <c r="F2157">
        <v>1</v>
      </c>
      <c r="G2157">
        <v>0</v>
      </c>
      <c r="H2157" s="1">
        <v>41771</v>
      </c>
      <c r="I2157">
        <v>16</v>
      </c>
      <c r="J2157">
        <v>26</v>
      </c>
      <c r="K2157">
        <v>3</v>
      </c>
      <c r="L2157">
        <v>23</v>
      </c>
      <c r="M2157">
        <v>4</v>
      </c>
      <c r="N2157">
        <v>7</v>
      </c>
      <c r="O2157">
        <v>3</v>
      </c>
      <c r="P2157">
        <v>2</v>
      </c>
      <c r="Q2157">
        <v>2</v>
      </c>
      <c r="R2157">
        <v>0</v>
      </c>
      <c r="S2157">
        <v>4</v>
      </c>
      <c r="T2157">
        <v>6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3</v>
      </c>
      <c r="AB2157">
        <v>11</v>
      </c>
      <c r="AC2157">
        <v>0</v>
      </c>
      <c r="AD2157" t="str">
        <f t="shared" si="429"/>
        <v>Ok</v>
      </c>
      <c r="AE2157" t="str">
        <f>IF(AND(Audit_Data[[#This Row],[Year_Birth]]&gt;=1900,Audit_Data[[#This Row],[Year_Birth]]&lt;=2010),"OK","Invalid")</f>
        <v>OK</v>
      </c>
      <c r="AF2157" t="str">
        <f t="shared" si="430"/>
        <v>Valid</v>
      </c>
      <c r="AG2157" t="str">
        <f t="shared" si="431"/>
        <v>Valid</v>
      </c>
      <c r="AH2157" t="str">
        <f t="shared" si="432"/>
        <v>Valid</v>
      </c>
      <c r="AI2157" t="str">
        <f t="shared" si="433"/>
        <v>Valid</v>
      </c>
      <c r="AJ2157" t="str">
        <f t="shared" si="434"/>
        <v>Valid</v>
      </c>
      <c r="AK2157" t="str">
        <f t="shared" si="441"/>
        <v xml:space="preserve">Valid </v>
      </c>
      <c r="AL2157" t="str">
        <f>IF(AND(Audit_Data[[#This Row],[Recency]]&gt;=0,Audit_Data[[#This Row],[Recency]]&lt;=100),"Valid","Invalid")</f>
        <v>Valid</v>
      </c>
      <c r="AM2157" t="str">
        <f t="shared" si="435"/>
        <v>Valid</v>
      </c>
      <c r="AN2157" t="str">
        <f t="shared" si="436"/>
        <v>Valid</v>
      </c>
      <c r="AO2157" t="str">
        <f t="shared" si="437"/>
        <v>Valid</v>
      </c>
      <c r="AP2157" t="str">
        <f t="shared" si="438"/>
        <v>Valid</v>
      </c>
      <c r="AQ2157" t="str">
        <f>IF(Audit_Data[[#This Row],[Z_CostContact]]=3,"Valid","Invalid")</f>
        <v>Valid</v>
      </c>
      <c r="AR2157" t="str">
        <f t="shared" si="439"/>
        <v>Valid</v>
      </c>
      <c r="AS2157" t="str">
        <f t="shared" si="440"/>
        <v>Valid</v>
      </c>
    </row>
    <row r="2158" spans="1:45" x14ac:dyDescent="0.3">
      <c r="A2158">
        <v>8726</v>
      </c>
      <c r="B2158">
        <v>1964</v>
      </c>
      <c r="C2158" t="s">
        <v>37</v>
      </c>
      <c r="D2158" t="s">
        <v>35</v>
      </c>
      <c r="E2158">
        <v>41713</v>
      </c>
      <c r="F2158">
        <v>1</v>
      </c>
      <c r="G2158">
        <v>1</v>
      </c>
      <c r="H2158" s="1">
        <v>41758</v>
      </c>
      <c r="I2158">
        <v>57</v>
      </c>
      <c r="J2158">
        <v>77</v>
      </c>
      <c r="K2158">
        <v>8</v>
      </c>
      <c r="L2158">
        <v>44</v>
      </c>
      <c r="M2158">
        <v>10</v>
      </c>
      <c r="N2158">
        <v>10</v>
      </c>
      <c r="O2158">
        <v>25</v>
      </c>
      <c r="P2158">
        <v>5</v>
      </c>
      <c r="Q2158">
        <v>3</v>
      </c>
      <c r="R2158">
        <v>1</v>
      </c>
      <c r="S2158">
        <v>4</v>
      </c>
      <c r="T2158">
        <v>6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3</v>
      </c>
      <c r="AB2158">
        <v>11</v>
      </c>
      <c r="AC2158">
        <v>0</v>
      </c>
      <c r="AD2158" t="str">
        <f t="shared" si="429"/>
        <v>Ok</v>
      </c>
      <c r="AE2158" t="str">
        <f>IF(AND(Audit_Data[[#This Row],[Year_Birth]]&gt;=1900,Audit_Data[[#This Row],[Year_Birth]]&lt;=2010),"OK","Invalid")</f>
        <v>OK</v>
      </c>
      <c r="AF2158" t="str">
        <f t="shared" si="430"/>
        <v>Valid</v>
      </c>
      <c r="AG2158" t="str">
        <f t="shared" si="431"/>
        <v>Valid</v>
      </c>
      <c r="AH2158" t="str">
        <f t="shared" si="432"/>
        <v>Valid</v>
      </c>
      <c r="AI2158" t="str">
        <f t="shared" si="433"/>
        <v>Valid</v>
      </c>
      <c r="AJ2158" t="str">
        <f t="shared" si="434"/>
        <v>Valid</v>
      </c>
      <c r="AK2158" t="str">
        <f t="shared" si="441"/>
        <v xml:space="preserve">Valid </v>
      </c>
      <c r="AL2158" t="str">
        <f>IF(AND(Audit_Data[[#This Row],[Recency]]&gt;=0,Audit_Data[[#This Row],[Recency]]&lt;=100),"Valid","Invalid")</f>
        <v>Valid</v>
      </c>
      <c r="AM2158" t="str">
        <f t="shared" si="435"/>
        <v>Valid</v>
      </c>
      <c r="AN2158" t="str">
        <f t="shared" si="436"/>
        <v>Valid</v>
      </c>
      <c r="AO2158" t="str">
        <f t="shared" si="437"/>
        <v>Valid</v>
      </c>
      <c r="AP2158" t="str">
        <f t="shared" si="438"/>
        <v>Valid</v>
      </c>
      <c r="AQ2158" t="str">
        <f>IF(Audit_Data[[#This Row],[Z_CostContact]]=3,"Valid","Invalid")</f>
        <v>Valid</v>
      </c>
      <c r="AR2158" t="str">
        <f t="shared" si="439"/>
        <v>Valid</v>
      </c>
      <c r="AS2158" t="str">
        <f t="shared" si="440"/>
        <v>Valid</v>
      </c>
    </row>
    <row r="2159" spans="1:45" x14ac:dyDescent="0.3">
      <c r="A2159">
        <v>1515</v>
      </c>
      <c r="B2159">
        <v>1975</v>
      </c>
      <c r="C2159" t="s">
        <v>34</v>
      </c>
      <c r="D2159" t="s">
        <v>31</v>
      </c>
      <c r="E2159">
        <v>34176</v>
      </c>
      <c r="F2159">
        <v>0</v>
      </c>
      <c r="G2159">
        <v>1</v>
      </c>
      <c r="H2159" s="1">
        <v>41661</v>
      </c>
      <c r="I2159">
        <v>9</v>
      </c>
      <c r="J2159">
        <v>11</v>
      </c>
      <c r="K2159">
        <v>2</v>
      </c>
      <c r="L2159">
        <v>7</v>
      </c>
      <c r="M2159">
        <v>4</v>
      </c>
      <c r="N2159">
        <v>2</v>
      </c>
      <c r="O2159">
        <v>2</v>
      </c>
      <c r="P2159">
        <v>1</v>
      </c>
      <c r="Q2159">
        <v>1</v>
      </c>
      <c r="R2159">
        <v>0</v>
      </c>
      <c r="S2159">
        <v>3</v>
      </c>
      <c r="T2159">
        <v>3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3</v>
      </c>
      <c r="AB2159">
        <v>11</v>
      </c>
      <c r="AC2159">
        <v>0</v>
      </c>
      <c r="AD2159" t="str">
        <f t="shared" si="429"/>
        <v>Ok</v>
      </c>
      <c r="AE2159" t="str">
        <f>IF(AND(Audit_Data[[#This Row],[Year_Birth]]&gt;=1900,Audit_Data[[#This Row],[Year_Birth]]&lt;=2010),"OK","Invalid")</f>
        <v>OK</v>
      </c>
      <c r="AF2159" t="str">
        <f t="shared" si="430"/>
        <v>Valid</v>
      </c>
      <c r="AG2159" t="str">
        <f t="shared" si="431"/>
        <v>Valid</v>
      </c>
      <c r="AH2159" t="str">
        <f t="shared" si="432"/>
        <v>Valid</v>
      </c>
      <c r="AI2159" t="str">
        <f t="shared" si="433"/>
        <v>Valid</v>
      </c>
      <c r="AJ2159" t="str">
        <f t="shared" si="434"/>
        <v>Valid</v>
      </c>
      <c r="AK2159" t="str">
        <f t="shared" si="441"/>
        <v xml:space="preserve">Valid </v>
      </c>
      <c r="AL2159" t="str">
        <f>IF(AND(Audit_Data[[#This Row],[Recency]]&gt;=0,Audit_Data[[#This Row],[Recency]]&lt;=100),"Valid","Invalid")</f>
        <v>Valid</v>
      </c>
      <c r="AM2159" t="str">
        <f t="shared" si="435"/>
        <v>Valid</v>
      </c>
      <c r="AN2159" t="str">
        <f t="shared" si="436"/>
        <v>Valid</v>
      </c>
      <c r="AO2159" t="str">
        <f t="shared" si="437"/>
        <v>Valid</v>
      </c>
      <c r="AP2159" t="str">
        <f t="shared" si="438"/>
        <v>Valid</v>
      </c>
      <c r="AQ2159" t="str">
        <f>IF(Audit_Data[[#This Row],[Z_CostContact]]=3,"Valid","Invalid")</f>
        <v>Valid</v>
      </c>
      <c r="AR2159" t="str">
        <f t="shared" si="439"/>
        <v>Valid</v>
      </c>
      <c r="AS2159" t="str">
        <f t="shared" si="440"/>
        <v>Valid</v>
      </c>
    </row>
    <row r="2160" spans="1:45" x14ac:dyDescent="0.3">
      <c r="A2160">
        <v>5186</v>
      </c>
      <c r="B2160">
        <v>1955</v>
      </c>
      <c r="C2160" t="s">
        <v>32</v>
      </c>
      <c r="D2160" t="s">
        <v>33</v>
      </c>
      <c r="E2160">
        <v>58482</v>
      </c>
      <c r="F2160">
        <v>0</v>
      </c>
      <c r="G2160">
        <v>1</v>
      </c>
      <c r="H2160" s="1">
        <v>41710</v>
      </c>
      <c r="I2160">
        <v>59</v>
      </c>
      <c r="J2160">
        <v>576</v>
      </c>
      <c r="K2160">
        <v>7</v>
      </c>
      <c r="L2160">
        <v>115</v>
      </c>
      <c r="M2160">
        <v>19</v>
      </c>
      <c r="N2160">
        <v>7</v>
      </c>
      <c r="O2160">
        <v>7</v>
      </c>
      <c r="P2160">
        <v>2</v>
      </c>
      <c r="Q2160">
        <v>7</v>
      </c>
      <c r="R2160">
        <v>4</v>
      </c>
      <c r="S2160">
        <v>9</v>
      </c>
      <c r="T2160">
        <v>6</v>
      </c>
      <c r="U2160">
        <v>0</v>
      </c>
      <c r="V2160">
        <v>1</v>
      </c>
      <c r="W2160">
        <v>0</v>
      </c>
      <c r="X2160">
        <v>0</v>
      </c>
      <c r="Y2160">
        <v>0</v>
      </c>
      <c r="Z2160">
        <v>0</v>
      </c>
      <c r="AA2160">
        <v>3</v>
      </c>
      <c r="AB2160">
        <v>11</v>
      </c>
      <c r="AC2160">
        <v>0</v>
      </c>
      <c r="AD2160" t="str">
        <f t="shared" si="429"/>
        <v>Ok</v>
      </c>
      <c r="AE2160" t="str">
        <f>IF(AND(Audit_Data[[#This Row],[Year_Birth]]&gt;=1900,Audit_Data[[#This Row],[Year_Birth]]&lt;=2010),"OK","Invalid")</f>
        <v>OK</v>
      </c>
      <c r="AF2160" t="str">
        <f t="shared" si="430"/>
        <v>Valid</v>
      </c>
      <c r="AG2160" t="str">
        <f t="shared" si="431"/>
        <v>Valid</v>
      </c>
      <c r="AH2160" t="str">
        <f t="shared" si="432"/>
        <v>Valid</v>
      </c>
      <c r="AI2160" t="str">
        <f t="shared" si="433"/>
        <v>Valid</v>
      </c>
      <c r="AJ2160" t="str">
        <f t="shared" si="434"/>
        <v>Valid</v>
      </c>
      <c r="AK2160" t="str">
        <f t="shared" si="441"/>
        <v xml:space="preserve">Valid </v>
      </c>
      <c r="AL2160" t="str">
        <f>IF(AND(Audit_Data[[#This Row],[Recency]]&gt;=0,Audit_Data[[#This Row],[Recency]]&lt;=100),"Valid","Invalid")</f>
        <v>Valid</v>
      </c>
      <c r="AM2160" t="str">
        <f t="shared" si="435"/>
        <v>Valid</v>
      </c>
      <c r="AN2160" t="str">
        <f t="shared" si="436"/>
        <v>Valid</v>
      </c>
      <c r="AO2160" t="str">
        <f t="shared" si="437"/>
        <v>Valid</v>
      </c>
      <c r="AP2160" t="str">
        <f t="shared" si="438"/>
        <v>Valid</v>
      </c>
      <c r="AQ2160" t="str">
        <f>IF(Audit_Data[[#This Row],[Z_CostContact]]=3,"Valid","Invalid")</f>
        <v>Valid</v>
      </c>
      <c r="AR2160" t="str">
        <f t="shared" si="439"/>
        <v>Valid</v>
      </c>
      <c r="AS2160" t="str">
        <f t="shared" si="440"/>
        <v>Valid</v>
      </c>
    </row>
    <row r="2161" spans="1:45" x14ac:dyDescent="0.3">
      <c r="A2161">
        <v>10157</v>
      </c>
      <c r="B2161">
        <v>1965</v>
      </c>
      <c r="C2161" t="s">
        <v>29</v>
      </c>
      <c r="D2161" t="s">
        <v>30</v>
      </c>
      <c r="E2161">
        <v>59686</v>
      </c>
      <c r="F2161">
        <v>0</v>
      </c>
      <c r="G2161">
        <v>1</v>
      </c>
      <c r="H2161" s="1">
        <v>41664</v>
      </c>
      <c r="I2161">
        <v>78</v>
      </c>
      <c r="J2161">
        <v>89</v>
      </c>
      <c r="K2161">
        <v>15</v>
      </c>
      <c r="L2161">
        <v>89</v>
      </c>
      <c r="M2161">
        <v>34</v>
      </c>
      <c r="N2161">
        <v>42</v>
      </c>
      <c r="O2161">
        <v>5</v>
      </c>
      <c r="P2161">
        <v>1</v>
      </c>
      <c r="Q2161">
        <v>4</v>
      </c>
      <c r="R2161">
        <v>1</v>
      </c>
      <c r="S2161">
        <v>6</v>
      </c>
      <c r="T2161">
        <v>4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3</v>
      </c>
      <c r="AB2161">
        <v>11</v>
      </c>
      <c r="AC2161">
        <v>0</v>
      </c>
      <c r="AD2161" t="str">
        <f t="shared" si="429"/>
        <v>Ok</v>
      </c>
      <c r="AE2161" t="str">
        <f>IF(AND(Audit_Data[[#This Row],[Year_Birth]]&gt;=1900,Audit_Data[[#This Row],[Year_Birth]]&lt;=2010),"OK","Invalid")</f>
        <v>OK</v>
      </c>
      <c r="AF2161" t="str">
        <f t="shared" si="430"/>
        <v>Valid</v>
      </c>
      <c r="AG2161" t="str">
        <f t="shared" si="431"/>
        <v>Valid</v>
      </c>
      <c r="AH2161" t="str">
        <f t="shared" si="432"/>
        <v>Valid</v>
      </c>
      <c r="AI2161" t="str">
        <f t="shared" si="433"/>
        <v>Valid</v>
      </c>
      <c r="AJ2161" t="str">
        <f t="shared" si="434"/>
        <v>Valid</v>
      </c>
      <c r="AK2161" t="str">
        <f t="shared" si="441"/>
        <v xml:space="preserve">Valid </v>
      </c>
      <c r="AL2161" t="str">
        <f>IF(AND(Audit_Data[[#This Row],[Recency]]&gt;=0,Audit_Data[[#This Row],[Recency]]&lt;=100),"Valid","Invalid")</f>
        <v>Valid</v>
      </c>
      <c r="AM2161" t="str">
        <f t="shared" si="435"/>
        <v>Valid</v>
      </c>
      <c r="AN2161" t="str">
        <f t="shared" si="436"/>
        <v>Valid</v>
      </c>
      <c r="AO2161" t="str">
        <f t="shared" si="437"/>
        <v>Valid</v>
      </c>
      <c r="AP2161" t="str">
        <f t="shared" si="438"/>
        <v>Valid</v>
      </c>
      <c r="AQ2161" t="str">
        <f>IF(Audit_Data[[#This Row],[Z_CostContact]]=3,"Valid","Invalid")</f>
        <v>Valid</v>
      </c>
      <c r="AR2161" t="str">
        <f t="shared" si="439"/>
        <v>Valid</v>
      </c>
      <c r="AS2161" t="str">
        <f t="shared" si="440"/>
        <v>Valid</v>
      </c>
    </row>
    <row r="2162" spans="1:45" x14ac:dyDescent="0.3">
      <c r="A2162">
        <v>5667</v>
      </c>
      <c r="B2162">
        <v>1964</v>
      </c>
      <c r="C2162" t="s">
        <v>32</v>
      </c>
      <c r="D2162" t="s">
        <v>33</v>
      </c>
      <c r="E2162">
        <v>60896</v>
      </c>
      <c r="F2162">
        <v>0</v>
      </c>
      <c r="G2162">
        <v>1</v>
      </c>
      <c r="H2162" s="1">
        <v>41193</v>
      </c>
      <c r="I2162">
        <v>90</v>
      </c>
      <c r="J2162">
        <v>1013</v>
      </c>
      <c r="K2162">
        <v>30</v>
      </c>
      <c r="L2162">
        <v>399</v>
      </c>
      <c r="M2162">
        <v>60</v>
      </c>
      <c r="N2162">
        <v>46</v>
      </c>
      <c r="O2162">
        <v>153</v>
      </c>
      <c r="P2162">
        <v>3</v>
      </c>
      <c r="Q2162">
        <v>9</v>
      </c>
      <c r="R2162">
        <v>10</v>
      </c>
      <c r="S2162">
        <v>4</v>
      </c>
      <c r="T2162">
        <v>6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3</v>
      </c>
      <c r="AB2162">
        <v>11</v>
      </c>
      <c r="AC2162">
        <v>1</v>
      </c>
      <c r="AD2162" t="str">
        <f t="shared" si="429"/>
        <v>Ok</v>
      </c>
      <c r="AE2162" t="str">
        <f>IF(AND(Audit_Data[[#This Row],[Year_Birth]]&gt;=1900,Audit_Data[[#This Row],[Year_Birth]]&lt;=2010),"OK","Invalid")</f>
        <v>OK</v>
      </c>
      <c r="AF2162" t="str">
        <f t="shared" si="430"/>
        <v>Valid</v>
      </c>
      <c r="AG2162" t="str">
        <f t="shared" si="431"/>
        <v>Valid</v>
      </c>
      <c r="AH2162" t="str">
        <f t="shared" si="432"/>
        <v>Valid</v>
      </c>
      <c r="AI2162" t="str">
        <f t="shared" si="433"/>
        <v>Valid</v>
      </c>
      <c r="AJ2162" t="str">
        <f t="shared" si="434"/>
        <v>Valid</v>
      </c>
      <c r="AK2162" t="str">
        <f t="shared" si="441"/>
        <v xml:space="preserve">Valid </v>
      </c>
      <c r="AL2162" t="str">
        <f>IF(AND(Audit_Data[[#This Row],[Recency]]&gt;=0,Audit_Data[[#This Row],[Recency]]&lt;=100),"Valid","Invalid")</f>
        <v>Valid</v>
      </c>
      <c r="AM2162" t="str">
        <f t="shared" si="435"/>
        <v>Valid</v>
      </c>
      <c r="AN2162" t="str">
        <f t="shared" si="436"/>
        <v>Valid</v>
      </c>
      <c r="AO2162" t="str">
        <f t="shared" si="437"/>
        <v>Valid</v>
      </c>
      <c r="AP2162" t="str">
        <f t="shared" si="438"/>
        <v>Valid</v>
      </c>
      <c r="AQ2162" t="str">
        <f>IF(Audit_Data[[#This Row],[Z_CostContact]]=3,"Valid","Invalid")</f>
        <v>Valid</v>
      </c>
      <c r="AR2162" t="str">
        <f t="shared" si="439"/>
        <v>Valid</v>
      </c>
      <c r="AS2162" t="str">
        <f t="shared" si="440"/>
        <v>Valid</v>
      </c>
    </row>
    <row r="2163" spans="1:45" x14ac:dyDescent="0.3">
      <c r="A2163">
        <v>902</v>
      </c>
      <c r="B2163">
        <v>1980</v>
      </c>
      <c r="C2163" t="s">
        <v>29</v>
      </c>
      <c r="D2163" t="s">
        <v>31</v>
      </c>
      <c r="E2163">
        <v>62994</v>
      </c>
      <c r="F2163">
        <v>1</v>
      </c>
      <c r="G2163">
        <v>0</v>
      </c>
      <c r="H2163" s="1">
        <v>41702</v>
      </c>
      <c r="I2163">
        <v>74</v>
      </c>
      <c r="J2163">
        <v>224</v>
      </c>
      <c r="K2163">
        <v>12</v>
      </c>
      <c r="L2163">
        <v>48</v>
      </c>
      <c r="M2163">
        <v>4</v>
      </c>
      <c r="N2163">
        <v>12</v>
      </c>
      <c r="O2163">
        <v>12</v>
      </c>
      <c r="P2163">
        <v>1</v>
      </c>
      <c r="Q2163">
        <v>6</v>
      </c>
      <c r="R2163">
        <v>2</v>
      </c>
      <c r="S2163">
        <v>4</v>
      </c>
      <c r="T2163">
        <v>6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3</v>
      </c>
      <c r="AB2163">
        <v>11</v>
      </c>
      <c r="AC2163">
        <v>0</v>
      </c>
      <c r="AD2163" t="str">
        <f t="shared" si="429"/>
        <v>Ok</v>
      </c>
      <c r="AE2163" t="str">
        <f>IF(AND(Audit_Data[[#This Row],[Year_Birth]]&gt;=1900,Audit_Data[[#This Row],[Year_Birth]]&lt;=2010),"OK","Invalid")</f>
        <v>OK</v>
      </c>
      <c r="AF2163" t="str">
        <f t="shared" si="430"/>
        <v>Valid</v>
      </c>
      <c r="AG2163" t="str">
        <f t="shared" si="431"/>
        <v>Valid</v>
      </c>
      <c r="AH2163" t="str">
        <f t="shared" si="432"/>
        <v>Valid</v>
      </c>
      <c r="AI2163" t="str">
        <f t="shared" si="433"/>
        <v>Valid</v>
      </c>
      <c r="AJ2163" t="str">
        <f t="shared" si="434"/>
        <v>Valid</v>
      </c>
      <c r="AK2163" t="str">
        <f t="shared" si="441"/>
        <v xml:space="preserve">Valid </v>
      </c>
      <c r="AL2163" t="str">
        <f>IF(AND(Audit_Data[[#This Row],[Recency]]&gt;=0,Audit_Data[[#This Row],[Recency]]&lt;=100),"Valid","Invalid")</f>
        <v>Valid</v>
      </c>
      <c r="AM2163" t="str">
        <f t="shared" si="435"/>
        <v>Valid</v>
      </c>
      <c r="AN2163" t="str">
        <f t="shared" si="436"/>
        <v>Valid</v>
      </c>
      <c r="AO2163" t="str">
        <f t="shared" si="437"/>
        <v>Valid</v>
      </c>
      <c r="AP2163" t="str">
        <f t="shared" si="438"/>
        <v>Valid</v>
      </c>
      <c r="AQ2163" t="str">
        <f>IF(Audit_Data[[#This Row],[Z_CostContact]]=3,"Valid","Invalid")</f>
        <v>Valid</v>
      </c>
      <c r="AR2163" t="str">
        <f t="shared" si="439"/>
        <v>Valid</v>
      </c>
      <c r="AS2163" t="str">
        <f t="shared" si="440"/>
        <v>Valid</v>
      </c>
    </row>
    <row r="2164" spans="1:45" x14ac:dyDescent="0.3">
      <c r="A2164">
        <v>977</v>
      </c>
      <c r="B2164">
        <v>1957</v>
      </c>
      <c r="C2164" t="s">
        <v>29</v>
      </c>
      <c r="D2164" t="s">
        <v>31</v>
      </c>
      <c r="E2164">
        <v>47320</v>
      </c>
      <c r="F2164">
        <v>0</v>
      </c>
      <c r="G2164">
        <v>1</v>
      </c>
      <c r="H2164" s="1">
        <v>41487</v>
      </c>
      <c r="I2164">
        <v>10</v>
      </c>
      <c r="J2164">
        <v>200</v>
      </c>
      <c r="K2164">
        <v>19</v>
      </c>
      <c r="L2164">
        <v>111</v>
      </c>
      <c r="M2164">
        <v>50</v>
      </c>
      <c r="N2164">
        <v>15</v>
      </c>
      <c r="O2164">
        <v>19</v>
      </c>
      <c r="P2164">
        <v>6</v>
      </c>
      <c r="Q2164">
        <v>5</v>
      </c>
      <c r="R2164">
        <v>1</v>
      </c>
      <c r="S2164">
        <v>8</v>
      </c>
      <c r="T2164">
        <v>6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3</v>
      </c>
      <c r="AB2164">
        <v>11</v>
      </c>
      <c r="AC2164">
        <v>0</v>
      </c>
      <c r="AD2164" t="str">
        <f t="shared" si="429"/>
        <v>Ok</v>
      </c>
      <c r="AE2164" t="str">
        <f>IF(AND(Audit_Data[[#This Row],[Year_Birth]]&gt;=1900,Audit_Data[[#This Row],[Year_Birth]]&lt;=2010),"OK","Invalid")</f>
        <v>OK</v>
      </c>
      <c r="AF2164" t="str">
        <f t="shared" si="430"/>
        <v>Valid</v>
      </c>
      <c r="AG2164" t="str">
        <f t="shared" si="431"/>
        <v>Valid</v>
      </c>
      <c r="AH2164" t="str">
        <f t="shared" si="432"/>
        <v>Valid</v>
      </c>
      <c r="AI2164" t="str">
        <f t="shared" si="433"/>
        <v>Valid</v>
      </c>
      <c r="AJ2164" t="str">
        <f t="shared" si="434"/>
        <v>Valid</v>
      </c>
      <c r="AK2164" t="str">
        <f t="shared" si="441"/>
        <v xml:space="preserve">Valid </v>
      </c>
      <c r="AL2164" t="str">
        <f>IF(AND(Audit_Data[[#This Row],[Recency]]&gt;=0,Audit_Data[[#This Row],[Recency]]&lt;=100),"Valid","Invalid")</f>
        <v>Valid</v>
      </c>
      <c r="AM2164" t="str">
        <f t="shared" si="435"/>
        <v>Valid</v>
      </c>
      <c r="AN2164" t="str">
        <f t="shared" si="436"/>
        <v>Valid</v>
      </c>
      <c r="AO2164" t="str">
        <f t="shared" si="437"/>
        <v>Valid</v>
      </c>
      <c r="AP2164" t="str">
        <f t="shared" si="438"/>
        <v>Valid</v>
      </c>
      <c r="AQ2164" t="str">
        <f>IF(Audit_Data[[#This Row],[Z_CostContact]]=3,"Valid","Invalid")</f>
        <v>Valid</v>
      </c>
      <c r="AR2164" t="str">
        <f t="shared" si="439"/>
        <v>Valid</v>
      </c>
      <c r="AS2164" t="str">
        <f t="shared" si="440"/>
        <v>Valid</v>
      </c>
    </row>
    <row r="2165" spans="1:45" x14ac:dyDescent="0.3">
      <c r="A2165">
        <v>7313</v>
      </c>
      <c r="B2165">
        <v>1949</v>
      </c>
      <c r="C2165" t="s">
        <v>37</v>
      </c>
      <c r="D2165" t="s">
        <v>38</v>
      </c>
      <c r="E2165">
        <v>74859</v>
      </c>
      <c r="F2165">
        <v>0</v>
      </c>
      <c r="G2165">
        <v>0</v>
      </c>
      <c r="H2165" s="1">
        <v>41428</v>
      </c>
      <c r="I2165">
        <v>63</v>
      </c>
      <c r="J2165">
        <v>570</v>
      </c>
      <c r="K2165">
        <v>73</v>
      </c>
      <c r="L2165">
        <v>614</v>
      </c>
      <c r="M2165">
        <v>133</v>
      </c>
      <c r="N2165">
        <v>102</v>
      </c>
      <c r="O2165">
        <v>73</v>
      </c>
      <c r="P2165">
        <v>1</v>
      </c>
      <c r="Q2165">
        <v>6</v>
      </c>
      <c r="R2165">
        <v>5</v>
      </c>
      <c r="S2165">
        <v>11</v>
      </c>
      <c r="T2165">
        <v>3</v>
      </c>
      <c r="U2165">
        <v>0</v>
      </c>
      <c r="V2165">
        <v>0</v>
      </c>
      <c r="W2165">
        <v>0</v>
      </c>
      <c r="X2165">
        <v>1</v>
      </c>
      <c r="Y2165">
        <v>0</v>
      </c>
      <c r="Z2165">
        <v>0</v>
      </c>
      <c r="AA2165">
        <v>3</v>
      </c>
      <c r="AB2165">
        <v>11</v>
      </c>
      <c r="AC2165">
        <v>0</v>
      </c>
      <c r="AD2165" t="str">
        <f t="shared" si="429"/>
        <v>Ok</v>
      </c>
      <c r="AE2165" t="str">
        <f>IF(AND(Audit_Data[[#This Row],[Year_Birth]]&gt;=1900,Audit_Data[[#This Row],[Year_Birth]]&lt;=2010),"OK","Invalid")</f>
        <v>OK</v>
      </c>
      <c r="AF2165" t="str">
        <f t="shared" si="430"/>
        <v>Valid</v>
      </c>
      <c r="AG2165" t="str">
        <f t="shared" si="431"/>
        <v>Valid</v>
      </c>
      <c r="AH2165" t="str">
        <f t="shared" si="432"/>
        <v>Valid</v>
      </c>
      <c r="AI2165" t="str">
        <f t="shared" si="433"/>
        <v>Valid</v>
      </c>
      <c r="AJ2165" t="str">
        <f t="shared" si="434"/>
        <v>Valid</v>
      </c>
      <c r="AK2165" t="str">
        <f t="shared" si="441"/>
        <v xml:space="preserve">Valid </v>
      </c>
      <c r="AL2165" t="str">
        <f>IF(AND(Audit_Data[[#This Row],[Recency]]&gt;=0,Audit_Data[[#This Row],[Recency]]&lt;=100),"Valid","Invalid")</f>
        <v>Valid</v>
      </c>
      <c r="AM2165" t="str">
        <f t="shared" si="435"/>
        <v>Valid</v>
      </c>
      <c r="AN2165" t="str">
        <f t="shared" si="436"/>
        <v>Valid</v>
      </c>
      <c r="AO2165" t="str">
        <f t="shared" si="437"/>
        <v>Valid</v>
      </c>
      <c r="AP2165" t="str">
        <f t="shared" si="438"/>
        <v>Valid</v>
      </c>
      <c r="AQ2165" t="str">
        <f>IF(Audit_Data[[#This Row],[Z_CostContact]]=3,"Valid","Invalid")</f>
        <v>Valid</v>
      </c>
      <c r="AR2165" t="str">
        <f t="shared" si="439"/>
        <v>Valid</v>
      </c>
      <c r="AS2165" t="str">
        <f t="shared" si="440"/>
        <v>Valid</v>
      </c>
    </row>
    <row r="2166" spans="1:45" x14ac:dyDescent="0.3">
      <c r="A2166">
        <v>7600</v>
      </c>
      <c r="B2166">
        <v>1992</v>
      </c>
      <c r="C2166" t="s">
        <v>36</v>
      </c>
      <c r="D2166" t="s">
        <v>30</v>
      </c>
      <c r="E2166">
        <v>15253</v>
      </c>
      <c r="F2166">
        <v>1</v>
      </c>
      <c r="G2166">
        <v>0</v>
      </c>
      <c r="H2166" s="1">
        <v>41575</v>
      </c>
      <c r="I2166">
        <v>13</v>
      </c>
      <c r="J2166">
        <v>1</v>
      </c>
      <c r="K2166">
        <v>3</v>
      </c>
      <c r="L2166">
        <v>3</v>
      </c>
      <c r="M2166">
        <v>8</v>
      </c>
      <c r="N2166">
        <v>1</v>
      </c>
      <c r="O2166">
        <v>13</v>
      </c>
      <c r="P2166">
        <v>2</v>
      </c>
      <c r="Q2166">
        <v>1</v>
      </c>
      <c r="R2166">
        <v>0</v>
      </c>
      <c r="S2166">
        <v>3</v>
      </c>
      <c r="T2166">
        <v>7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3</v>
      </c>
      <c r="AB2166">
        <v>11</v>
      </c>
      <c r="AC2166">
        <v>0</v>
      </c>
      <c r="AD2166" t="str">
        <f t="shared" si="429"/>
        <v>Ok</v>
      </c>
      <c r="AE2166" t="str">
        <f>IF(AND(Audit_Data[[#This Row],[Year_Birth]]&gt;=1900,Audit_Data[[#This Row],[Year_Birth]]&lt;=2010),"OK","Invalid")</f>
        <v>OK</v>
      </c>
      <c r="AF2166" t="str">
        <f t="shared" si="430"/>
        <v>Valid</v>
      </c>
      <c r="AG2166" t="str">
        <f t="shared" si="431"/>
        <v>Valid</v>
      </c>
      <c r="AH2166" t="str">
        <f t="shared" si="432"/>
        <v>Valid</v>
      </c>
      <c r="AI2166" t="str">
        <f t="shared" si="433"/>
        <v>Valid</v>
      </c>
      <c r="AJ2166" t="str">
        <f t="shared" si="434"/>
        <v>Valid</v>
      </c>
      <c r="AK2166" t="str">
        <f t="shared" si="441"/>
        <v xml:space="preserve">Valid </v>
      </c>
      <c r="AL2166" t="str">
        <f>IF(AND(Audit_Data[[#This Row],[Recency]]&gt;=0,Audit_Data[[#This Row],[Recency]]&lt;=100),"Valid","Invalid")</f>
        <v>Valid</v>
      </c>
      <c r="AM2166" t="str">
        <f t="shared" si="435"/>
        <v>Valid</v>
      </c>
      <c r="AN2166" t="str">
        <f t="shared" si="436"/>
        <v>Valid</v>
      </c>
      <c r="AO2166" t="str">
        <f t="shared" si="437"/>
        <v>Valid</v>
      </c>
      <c r="AP2166" t="str">
        <f t="shared" si="438"/>
        <v>Valid</v>
      </c>
      <c r="AQ2166" t="str">
        <f>IF(Audit_Data[[#This Row],[Z_CostContact]]=3,"Valid","Invalid")</f>
        <v>Valid</v>
      </c>
      <c r="AR2166" t="str">
        <f t="shared" si="439"/>
        <v>Valid</v>
      </c>
      <c r="AS2166" t="str">
        <f t="shared" si="440"/>
        <v>Valid</v>
      </c>
    </row>
    <row r="2167" spans="1:45" x14ac:dyDescent="0.3">
      <c r="A2167">
        <v>9706</v>
      </c>
      <c r="B2167">
        <v>1974</v>
      </c>
      <c r="C2167" t="s">
        <v>32</v>
      </c>
      <c r="D2167" t="s">
        <v>30</v>
      </c>
      <c r="E2167">
        <v>31560</v>
      </c>
      <c r="F2167">
        <v>1</v>
      </c>
      <c r="G2167">
        <v>0</v>
      </c>
      <c r="H2167" s="1">
        <v>41449</v>
      </c>
      <c r="I2167">
        <v>98</v>
      </c>
      <c r="J2167">
        <v>62</v>
      </c>
      <c r="K2167">
        <v>1</v>
      </c>
      <c r="L2167">
        <v>20</v>
      </c>
      <c r="M2167">
        <v>4</v>
      </c>
      <c r="N2167">
        <v>0</v>
      </c>
      <c r="O2167">
        <v>7</v>
      </c>
      <c r="P2167">
        <v>2</v>
      </c>
      <c r="Q2167">
        <v>2</v>
      </c>
      <c r="R2167">
        <v>1</v>
      </c>
      <c r="S2167">
        <v>3</v>
      </c>
      <c r="T2167">
        <v>8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3</v>
      </c>
      <c r="AB2167">
        <v>11</v>
      </c>
      <c r="AC2167">
        <v>0</v>
      </c>
      <c r="AD2167" t="str">
        <f t="shared" si="429"/>
        <v>Ok</v>
      </c>
      <c r="AE2167" t="str">
        <f>IF(AND(Audit_Data[[#This Row],[Year_Birth]]&gt;=1900,Audit_Data[[#This Row],[Year_Birth]]&lt;=2010),"OK","Invalid")</f>
        <v>OK</v>
      </c>
      <c r="AF2167" t="str">
        <f t="shared" si="430"/>
        <v>Valid</v>
      </c>
      <c r="AG2167" t="str">
        <f t="shared" si="431"/>
        <v>Valid</v>
      </c>
      <c r="AH2167" t="str">
        <f t="shared" si="432"/>
        <v>Valid</v>
      </c>
      <c r="AI2167" t="str">
        <f t="shared" si="433"/>
        <v>Valid</v>
      </c>
      <c r="AJ2167" t="str">
        <f t="shared" si="434"/>
        <v>Valid</v>
      </c>
      <c r="AK2167" t="str">
        <f t="shared" si="441"/>
        <v xml:space="preserve">Valid </v>
      </c>
      <c r="AL2167" t="str">
        <f>IF(AND(Audit_Data[[#This Row],[Recency]]&gt;=0,Audit_Data[[#This Row],[Recency]]&lt;=100),"Valid","Invalid")</f>
        <v>Valid</v>
      </c>
      <c r="AM2167" t="str">
        <f t="shared" si="435"/>
        <v>Valid</v>
      </c>
      <c r="AN2167" t="str">
        <f t="shared" si="436"/>
        <v>Valid</v>
      </c>
      <c r="AO2167" t="str">
        <f t="shared" si="437"/>
        <v>Valid</v>
      </c>
      <c r="AP2167" t="str">
        <f t="shared" si="438"/>
        <v>Valid</v>
      </c>
      <c r="AQ2167" t="str">
        <f>IF(Audit_Data[[#This Row],[Z_CostContact]]=3,"Valid","Invalid")</f>
        <v>Valid</v>
      </c>
      <c r="AR2167" t="str">
        <f t="shared" si="439"/>
        <v>Valid</v>
      </c>
      <c r="AS2167" t="str">
        <f t="shared" si="440"/>
        <v>Valid</v>
      </c>
    </row>
    <row r="2168" spans="1:45" x14ac:dyDescent="0.3">
      <c r="A2168">
        <v>2429</v>
      </c>
      <c r="B2168">
        <v>1954</v>
      </c>
      <c r="C2168" t="s">
        <v>29</v>
      </c>
      <c r="D2168" t="s">
        <v>35</v>
      </c>
      <c r="E2168">
        <v>72071</v>
      </c>
      <c r="F2168">
        <v>0</v>
      </c>
      <c r="G2168">
        <v>1</v>
      </c>
      <c r="H2168" s="1">
        <v>41319</v>
      </c>
      <c r="I2168">
        <v>4</v>
      </c>
      <c r="J2168">
        <v>531</v>
      </c>
      <c r="K2168">
        <v>69</v>
      </c>
      <c r="L2168">
        <v>300</v>
      </c>
      <c r="M2168">
        <v>150</v>
      </c>
      <c r="N2168">
        <v>138</v>
      </c>
      <c r="O2168">
        <v>150</v>
      </c>
      <c r="P2168">
        <v>3</v>
      </c>
      <c r="Q2168">
        <v>5</v>
      </c>
      <c r="R2168">
        <v>4</v>
      </c>
      <c r="S2168">
        <v>8</v>
      </c>
      <c r="T2168">
        <v>2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3</v>
      </c>
      <c r="AB2168">
        <v>11</v>
      </c>
      <c r="AC2168">
        <v>0</v>
      </c>
      <c r="AD2168" t="str">
        <f t="shared" si="429"/>
        <v>Ok</v>
      </c>
      <c r="AE2168" t="str">
        <f>IF(AND(Audit_Data[[#This Row],[Year_Birth]]&gt;=1900,Audit_Data[[#This Row],[Year_Birth]]&lt;=2010),"OK","Invalid")</f>
        <v>OK</v>
      </c>
      <c r="AF2168" t="str">
        <f t="shared" si="430"/>
        <v>Valid</v>
      </c>
      <c r="AG2168" t="str">
        <f t="shared" si="431"/>
        <v>Valid</v>
      </c>
      <c r="AH2168" t="str">
        <f t="shared" si="432"/>
        <v>Valid</v>
      </c>
      <c r="AI2168" t="str">
        <f t="shared" si="433"/>
        <v>Valid</v>
      </c>
      <c r="AJ2168" t="str">
        <f t="shared" si="434"/>
        <v>Valid</v>
      </c>
      <c r="AK2168" t="str">
        <f t="shared" si="441"/>
        <v xml:space="preserve">Valid </v>
      </c>
      <c r="AL2168" t="str">
        <f>IF(AND(Audit_Data[[#This Row],[Recency]]&gt;=0,Audit_Data[[#This Row],[Recency]]&lt;=100),"Valid","Invalid")</f>
        <v>Valid</v>
      </c>
      <c r="AM2168" t="str">
        <f t="shared" si="435"/>
        <v>Valid</v>
      </c>
      <c r="AN2168" t="str">
        <f t="shared" si="436"/>
        <v>Valid</v>
      </c>
      <c r="AO2168" t="str">
        <f t="shared" si="437"/>
        <v>Valid</v>
      </c>
      <c r="AP2168" t="str">
        <f t="shared" si="438"/>
        <v>Valid</v>
      </c>
      <c r="AQ2168" t="str">
        <f>IF(Audit_Data[[#This Row],[Z_CostContact]]=3,"Valid","Invalid")</f>
        <v>Valid</v>
      </c>
      <c r="AR2168" t="str">
        <f t="shared" si="439"/>
        <v>Valid</v>
      </c>
      <c r="AS2168" t="str">
        <f t="shared" si="440"/>
        <v>Valid</v>
      </c>
    </row>
    <row r="2169" spans="1:45" x14ac:dyDescent="0.3">
      <c r="A2169">
        <v>3520</v>
      </c>
      <c r="B2169">
        <v>1990</v>
      </c>
      <c r="C2169" t="s">
        <v>34</v>
      </c>
      <c r="D2169" t="s">
        <v>30</v>
      </c>
      <c r="E2169">
        <v>91172</v>
      </c>
      <c r="F2169">
        <v>0</v>
      </c>
      <c r="G2169">
        <v>0</v>
      </c>
      <c r="H2169" s="1">
        <v>41360</v>
      </c>
      <c r="I2169">
        <v>94</v>
      </c>
      <c r="J2169">
        <v>162</v>
      </c>
      <c r="K2169">
        <v>28</v>
      </c>
      <c r="L2169">
        <v>818</v>
      </c>
      <c r="M2169">
        <v>0</v>
      </c>
      <c r="N2169">
        <v>28</v>
      </c>
      <c r="O2169">
        <v>56</v>
      </c>
      <c r="P2169">
        <v>0</v>
      </c>
      <c r="Q2169">
        <v>4</v>
      </c>
      <c r="R2169">
        <v>3</v>
      </c>
      <c r="S2169">
        <v>7</v>
      </c>
      <c r="T2169">
        <v>3</v>
      </c>
      <c r="U2169">
        <v>1</v>
      </c>
      <c r="V2169">
        <v>0</v>
      </c>
      <c r="W2169">
        <v>1</v>
      </c>
      <c r="X2169">
        <v>1</v>
      </c>
      <c r="Y2169">
        <v>1</v>
      </c>
      <c r="Z2169">
        <v>0</v>
      </c>
      <c r="AA2169">
        <v>3</v>
      </c>
      <c r="AB2169">
        <v>11</v>
      </c>
      <c r="AC2169">
        <v>1</v>
      </c>
      <c r="AD2169" t="str">
        <f t="shared" si="429"/>
        <v>Ok</v>
      </c>
      <c r="AE2169" t="str">
        <f>IF(AND(Audit_Data[[#This Row],[Year_Birth]]&gt;=1900,Audit_Data[[#This Row],[Year_Birth]]&lt;=2010),"OK","Invalid")</f>
        <v>OK</v>
      </c>
      <c r="AF2169" t="str">
        <f t="shared" si="430"/>
        <v>Valid</v>
      </c>
      <c r="AG2169" t="str">
        <f t="shared" si="431"/>
        <v>Valid</v>
      </c>
      <c r="AH2169" t="str">
        <f t="shared" si="432"/>
        <v>Valid</v>
      </c>
      <c r="AI2169" t="str">
        <f t="shared" si="433"/>
        <v>Valid</v>
      </c>
      <c r="AJ2169" t="str">
        <f t="shared" si="434"/>
        <v>Valid</v>
      </c>
      <c r="AK2169" t="str">
        <f t="shared" si="441"/>
        <v xml:space="preserve">Valid </v>
      </c>
      <c r="AL2169" t="str">
        <f>IF(AND(Audit_Data[[#This Row],[Recency]]&gt;=0,Audit_Data[[#This Row],[Recency]]&lt;=100),"Valid","Invalid")</f>
        <v>Valid</v>
      </c>
      <c r="AM2169" t="str">
        <f t="shared" si="435"/>
        <v>Valid</v>
      </c>
      <c r="AN2169" t="str">
        <f t="shared" si="436"/>
        <v>Valid</v>
      </c>
      <c r="AO2169" t="str">
        <f t="shared" si="437"/>
        <v>Valid</v>
      </c>
      <c r="AP2169" t="str">
        <f t="shared" si="438"/>
        <v>Valid</v>
      </c>
      <c r="AQ2169" t="str">
        <f>IF(Audit_Data[[#This Row],[Z_CostContact]]=3,"Valid","Invalid")</f>
        <v>Valid</v>
      </c>
      <c r="AR2169" t="str">
        <f t="shared" si="439"/>
        <v>Valid</v>
      </c>
      <c r="AS2169" t="str">
        <f t="shared" si="440"/>
        <v>Valid</v>
      </c>
    </row>
    <row r="2170" spans="1:45" x14ac:dyDescent="0.3">
      <c r="A2170">
        <v>10394</v>
      </c>
      <c r="B2170">
        <v>1984</v>
      </c>
      <c r="C2170" t="s">
        <v>29</v>
      </c>
      <c r="D2170" t="s">
        <v>33</v>
      </c>
      <c r="E2170">
        <v>90000</v>
      </c>
      <c r="F2170">
        <v>0</v>
      </c>
      <c r="G2170">
        <v>0</v>
      </c>
      <c r="H2170" s="1">
        <v>41631</v>
      </c>
      <c r="I2170">
        <v>91</v>
      </c>
      <c r="J2170">
        <v>675</v>
      </c>
      <c r="K2170">
        <v>144</v>
      </c>
      <c r="L2170">
        <v>133</v>
      </c>
      <c r="M2170">
        <v>94</v>
      </c>
      <c r="N2170">
        <v>192</v>
      </c>
      <c r="O2170">
        <v>241</v>
      </c>
      <c r="P2170">
        <v>1</v>
      </c>
      <c r="Q2170">
        <v>4</v>
      </c>
      <c r="R2170">
        <v>8</v>
      </c>
      <c r="S2170">
        <v>5</v>
      </c>
      <c r="T2170">
        <v>1</v>
      </c>
      <c r="U2170">
        <v>1</v>
      </c>
      <c r="V2170">
        <v>0</v>
      </c>
      <c r="W2170">
        <v>1</v>
      </c>
      <c r="X2170">
        <v>1</v>
      </c>
      <c r="Y2170">
        <v>0</v>
      </c>
      <c r="Z2170">
        <v>0</v>
      </c>
      <c r="AA2170">
        <v>3</v>
      </c>
      <c r="AB2170">
        <v>11</v>
      </c>
      <c r="AC2170">
        <v>0</v>
      </c>
      <c r="AD2170" t="str">
        <f t="shared" si="429"/>
        <v>Ok</v>
      </c>
      <c r="AE2170" t="str">
        <f>IF(AND(Audit_Data[[#This Row],[Year_Birth]]&gt;=1900,Audit_Data[[#This Row],[Year_Birth]]&lt;=2010),"OK","Invalid")</f>
        <v>OK</v>
      </c>
      <c r="AF2170" t="str">
        <f t="shared" si="430"/>
        <v>Valid</v>
      </c>
      <c r="AG2170" t="str">
        <f t="shared" si="431"/>
        <v>Valid</v>
      </c>
      <c r="AH2170" t="str">
        <f t="shared" si="432"/>
        <v>Valid</v>
      </c>
      <c r="AI2170" t="str">
        <f t="shared" si="433"/>
        <v>Valid</v>
      </c>
      <c r="AJ2170" t="str">
        <f t="shared" si="434"/>
        <v>Valid</v>
      </c>
      <c r="AK2170" t="str">
        <f t="shared" si="441"/>
        <v xml:space="preserve">Valid </v>
      </c>
      <c r="AL2170" t="str">
        <f>IF(AND(Audit_Data[[#This Row],[Recency]]&gt;=0,Audit_Data[[#This Row],[Recency]]&lt;=100),"Valid","Invalid")</f>
        <v>Valid</v>
      </c>
      <c r="AM2170" t="str">
        <f t="shared" si="435"/>
        <v>Valid</v>
      </c>
      <c r="AN2170" t="str">
        <f t="shared" si="436"/>
        <v>Valid</v>
      </c>
      <c r="AO2170" t="str">
        <f t="shared" si="437"/>
        <v>Valid</v>
      </c>
      <c r="AP2170" t="str">
        <f t="shared" si="438"/>
        <v>Valid</v>
      </c>
      <c r="AQ2170" t="str">
        <f>IF(Audit_Data[[#This Row],[Z_CostContact]]=3,"Valid","Invalid")</f>
        <v>Valid</v>
      </c>
      <c r="AR2170" t="str">
        <f t="shared" si="439"/>
        <v>Valid</v>
      </c>
      <c r="AS2170" t="str">
        <f t="shared" si="440"/>
        <v>Valid</v>
      </c>
    </row>
    <row r="2171" spans="1:45" x14ac:dyDescent="0.3">
      <c r="A2171">
        <v>4548</v>
      </c>
      <c r="B2171">
        <v>1981</v>
      </c>
      <c r="C2171" t="s">
        <v>29</v>
      </c>
      <c r="D2171" t="s">
        <v>30</v>
      </c>
      <c r="E2171">
        <v>41967</v>
      </c>
      <c r="F2171">
        <v>1</v>
      </c>
      <c r="G2171">
        <v>1</v>
      </c>
      <c r="H2171" s="1">
        <v>41601</v>
      </c>
      <c r="I2171">
        <v>66</v>
      </c>
      <c r="J2171">
        <v>23</v>
      </c>
      <c r="K2171">
        <v>4</v>
      </c>
      <c r="L2171">
        <v>10</v>
      </c>
      <c r="M2171">
        <v>0</v>
      </c>
      <c r="N2171">
        <v>2</v>
      </c>
      <c r="O2171">
        <v>15</v>
      </c>
      <c r="P2171">
        <v>1</v>
      </c>
      <c r="Q2171">
        <v>1</v>
      </c>
      <c r="R2171">
        <v>0</v>
      </c>
      <c r="S2171">
        <v>3</v>
      </c>
      <c r="T2171">
        <v>4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3</v>
      </c>
      <c r="AB2171">
        <v>11</v>
      </c>
      <c r="AC2171">
        <v>0</v>
      </c>
      <c r="AD2171" t="str">
        <f t="shared" si="429"/>
        <v>Ok</v>
      </c>
      <c r="AE2171" t="str">
        <f>IF(AND(Audit_Data[[#This Row],[Year_Birth]]&gt;=1900,Audit_Data[[#This Row],[Year_Birth]]&lt;=2010),"OK","Invalid")</f>
        <v>OK</v>
      </c>
      <c r="AF2171" t="str">
        <f t="shared" si="430"/>
        <v>Valid</v>
      </c>
      <c r="AG2171" t="str">
        <f t="shared" si="431"/>
        <v>Valid</v>
      </c>
      <c r="AH2171" t="str">
        <f t="shared" si="432"/>
        <v>Valid</v>
      </c>
      <c r="AI2171" t="str">
        <f t="shared" si="433"/>
        <v>Valid</v>
      </c>
      <c r="AJ2171" t="str">
        <f t="shared" si="434"/>
        <v>Valid</v>
      </c>
      <c r="AK2171" t="str">
        <f t="shared" si="441"/>
        <v xml:space="preserve">Valid </v>
      </c>
      <c r="AL2171" t="str">
        <f>IF(AND(Audit_Data[[#This Row],[Recency]]&gt;=0,Audit_Data[[#This Row],[Recency]]&lt;=100),"Valid","Invalid")</f>
        <v>Valid</v>
      </c>
      <c r="AM2171" t="str">
        <f t="shared" si="435"/>
        <v>Valid</v>
      </c>
      <c r="AN2171" t="str">
        <f t="shared" si="436"/>
        <v>Valid</v>
      </c>
      <c r="AO2171" t="str">
        <f t="shared" si="437"/>
        <v>Valid</v>
      </c>
      <c r="AP2171" t="str">
        <f t="shared" si="438"/>
        <v>Valid</v>
      </c>
      <c r="AQ2171" t="str">
        <f>IF(Audit_Data[[#This Row],[Z_CostContact]]=3,"Valid","Invalid")</f>
        <v>Valid</v>
      </c>
      <c r="AR2171" t="str">
        <f t="shared" si="439"/>
        <v>Valid</v>
      </c>
      <c r="AS2171" t="str">
        <f t="shared" si="440"/>
        <v>Valid</v>
      </c>
    </row>
    <row r="2172" spans="1:45" x14ac:dyDescent="0.3">
      <c r="A2172">
        <v>9362</v>
      </c>
      <c r="B2172">
        <v>1965</v>
      </c>
      <c r="C2172" t="s">
        <v>29</v>
      </c>
      <c r="D2172" t="s">
        <v>30</v>
      </c>
      <c r="E2172">
        <v>69263</v>
      </c>
      <c r="F2172">
        <v>0</v>
      </c>
      <c r="G2172">
        <v>1</v>
      </c>
      <c r="H2172" s="1">
        <v>41703</v>
      </c>
      <c r="I2172">
        <v>14</v>
      </c>
      <c r="J2172">
        <v>492</v>
      </c>
      <c r="K2172">
        <v>5</v>
      </c>
      <c r="L2172">
        <v>32</v>
      </c>
      <c r="M2172">
        <v>13</v>
      </c>
      <c r="N2172">
        <v>5</v>
      </c>
      <c r="O2172">
        <v>21</v>
      </c>
      <c r="P2172">
        <v>1</v>
      </c>
      <c r="Q2172">
        <v>9</v>
      </c>
      <c r="R2172">
        <v>1</v>
      </c>
      <c r="S2172">
        <v>7</v>
      </c>
      <c r="T2172">
        <v>6</v>
      </c>
      <c r="U2172">
        <v>0</v>
      </c>
      <c r="V2172">
        <v>1</v>
      </c>
      <c r="W2172">
        <v>0</v>
      </c>
      <c r="X2172">
        <v>0</v>
      </c>
      <c r="Y2172">
        <v>0</v>
      </c>
      <c r="Z2172">
        <v>0</v>
      </c>
      <c r="AA2172">
        <v>3</v>
      </c>
      <c r="AB2172">
        <v>11</v>
      </c>
      <c r="AC2172">
        <v>0</v>
      </c>
      <c r="AD2172" t="str">
        <f t="shared" si="429"/>
        <v>Ok</v>
      </c>
      <c r="AE2172" t="str">
        <f>IF(AND(Audit_Data[[#This Row],[Year_Birth]]&gt;=1900,Audit_Data[[#This Row],[Year_Birth]]&lt;=2010),"OK","Invalid")</f>
        <v>OK</v>
      </c>
      <c r="AF2172" t="str">
        <f t="shared" si="430"/>
        <v>Valid</v>
      </c>
      <c r="AG2172" t="str">
        <f t="shared" si="431"/>
        <v>Valid</v>
      </c>
      <c r="AH2172" t="str">
        <f t="shared" si="432"/>
        <v>Valid</v>
      </c>
      <c r="AI2172" t="str">
        <f t="shared" si="433"/>
        <v>Valid</v>
      </c>
      <c r="AJ2172" t="str">
        <f t="shared" si="434"/>
        <v>Valid</v>
      </c>
      <c r="AK2172" t="str">
        <f t="shared" si="441"/>
        <v xml:space="preserve">Valid </v>
      </c>
      <c r="AL2172" t="str">
        <f>IF(AND(Audit_Data[[#This Row],[Recency]]&gt;=0,Audit_Data[[#This Row],[Recency]]&lt;=100),"Valid","Invalid")</f>
        <v>Valid</v>
      </c>
      <c r="AM2172" t="str">
        <f t="shared" si="435"/>
        <v>Valid</v>
      </c>
      <c r="AN2172" t="str">
        <f t="shared" si="436"/>
        <v>Valid</v>
      </c>
      <c r="AO2172" t="str">
        <f t="shared" si="437"/>
        <v>Valid</v>
      </c>
      <c r="AP2172" t="str">
        <f t="shared" si="438"/>
        <v>Valid</v>
      </c>
      <c r="AQ2172" t="str">
        <f>IF(Audit_Data[[#This Row],[Z_CostContact]]=3,"Valid","Invalid")</f>
        <v>Valid</v>
      </c>
      <c r="AR2172" t="str">
        <f t="shared" si="439"/>
        <v>Valid</v>
      </c>
      <c r="AS2172" t="str">
        <f t="shared" si="440"/>
        <v>Valid</v>
      </c>
    </row>
    <row r="2173" spans="1:45" x14ac:dyDescent="0.3">
      <c r="A2173">
        <v>3968</v>
      </c>
      <c r="B2173">
        <v>1970</v>
      </c>
      <c r="C2173" t="s">
        <v>37</v>
      </c>
      <c r="D2173" t="s">
        <v>35</v>
      </c>
      <c r="E2173">
        <v>65706</v>
      </c>
      <c r="F2173">
        <v>0</v>
      </c>
      <c r="G2173">
        <v>0</v>
      </c>
      <c r="H2173" s="1">
        <v>41453</v>
      </c>
      <c r="I2173">
        <v>77</v>
      </c>
      <c r="J2173">
        <v>918</v>
      </c>
      <c r="K2173">
        <v>10</v>
      </c>
      <c r="L2173">
        <v>129</v>
      </c>
      <c r="M2173">
        <v>13</v>
      </c>
      <c r="N2173">
        <v>0</v>
      </c>
      <c r="O2173">
        <v>129</v>
      </c>
      <c r="P2173">
        <v>1</v>
      </c>
      <c r="Q2173">
        <v>11</v>
      </c>
      <c r="R2173">
        <v>3</v>
      </c>
      <c r="S2173">
        <v>12</v>
      </c>
      <c r="T2173">
        <v>7</v>
      </c>
      <c r="U2173">
        <v>0</v>
      </c>
      <c r="V2173">
        <v>1</v>
      </c>
      <c r="W2173">
        <v>1</v>
      </c>
      <c r="X2173">
        <v>0</v>
      </c>
      <c r="Y2173">
        <v>1</v>
      </c>
      <c r="Z2173">
        <v>0</v>
      </c>
      <c r="AA2173">
        <v>3</v>
      </c>
      <c r="AB2173">
        <v>11</v>
      </c>
      <c r="AC2173">
        <v>1</v>
      </c>
      <c r="AD2173" t="str">
        <f t="shared" si="429"/>
        <v>Ok</v>
      </c>
      <c r="AE2173" t="str">
        <f>IF(AND(Audit_Data[[#This Row],[Year_Birth]]&gt;=1900,Audit_Data[[#This Row],[Year_Birth]]&lt;=2010),"OK","Invalid")</f>
        <v>OK</v>
      </c>
      <c r="AF2173" t="str">
        <f t="shared" si="430"/>
        <v>Valid</v>
      </c>
      <c r="AG2173" t="str">
        <f t="shared" si="431"/>
        <v>Valid</v>
      </c>
      <c r="AH2173" t="str">
        <f t="shared" si="432"/>
        <v>Valid</v>
      </c>
      <c r="AI2173" t="str">
        <f t="shared" si="433"/>
        <v>Valid</v>
      </c>
      <c r="AJ2173" t="str">
        <f t="shared" si="434"/>
        <v>Valid</v>
      </c>
      <c r="AK2173" t="str">
        <f t="shared" si="441"/>
        <v xml:space="preserve">Valid </v>
      </c>
      <c r="AL2173" t="str">
        <f>IF(AND(Audit_Data[[#This Row],[Recency]]&gt;=0,Audit_Data[[#This Row],[Recency]]&lt;=100),"Valid","Invalid")</f>
        <v>Valid</v>
      </c>
      <c r="AM2173" t="str">
        <f t="shared" si="435"/>
        <v>Valid</v>
      </c>
      <c r="AN2173" t="str">
        <f t="shared" si="436"/>
        <v>Valid</v>
      </c>
      <c r="AO2173" t="str">
        <f t="shared" si="437"/>
        <v>Valid</v>
      </c>
      <c r="AP2173" t="str">
        <f t="shared" si="438"/>
        <v>Valid</v>
      </c>
      <c r="AQ2173" t="str">
        <f>IF(Audit_Data[[#This Row],[Z_CostContact]]=3,"Valid","Invalid")</f>
        <v>Valid</v>
      </c>
      <c r="AR2173" t="str">
        <f t="shared" si="439"/>
        <v>Valid</v>
      </c>
      <c r="AS2173" t="str">
        <f t="shared" si="440"/>
        <v>Valid</v>
      </c>
    </row>
    <row r="2174" spans="1:45" x14ac:dyDescent="0.3">
      <c r="A2174">
        <v>4084</v>
      </c>
      <c r="B2174">
        <v>1975</v>
      </c>
      <c r="C2174" t="s">
        <v>29</v>
      </c>
      <c r="D2174" t="s">
        <v>31</v>
      </c>
      <c r="E2174">
        <v>60934</v>
      </c>
      <c r="F2174">
        <v>0</v>
      </c>
      <c r="G2174">
        <v>1</v>
      </c>
      <c r="H2174" s="1">
        <v>41656</v>
      </c>
      <c r="I2174">
        <v>41</v>
      </c>
      <c r="J2174">
        <v>224</v>
      </c>
      <c r="K2174">
        <v>155</v>
      </c>
      <c r="L2174">
        <v>155</v>
      </c>
      <c r="M2174">
        <v>192</v>
      </c>
      <c r="N2174">
        <v>93</v>
      </c>
      <c r="O2174">
        <v>54</v>
      </c>
      <c r="P2174">
        <v>2</v>
      </c>
      <c r="Q2174">
        <v>6</v>
      </c>
      <c r="R2174">
        <v>4</v>
      </c>
      <c r="S2174">
        <v>11</v>
      </c>
      <c r="T2174">
        <v>4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3</v>
      </c>
      <c r="AB2174">
        <v>11</v>
      </c>
      <c r="AC2174">
        <v>0</v>
      </c>
      <c r="AD2174" t="str">
        <f t="shared" si="429"/>
        <v>Ok</v>
      </c>
      <c r="AE2174" t="str">
        <f>IF(AND(Audit_Data[[#This Row],[Year_Birth]]&gt;=1900,Audit_Data[[#This Row],[Year_Birth]]&lt;=2010),"OK","Invalid")</f>
        <v>OK</v>
      </c>
      <c r="AF2174" t="str">
        <f t="shared" si="430"/>
        <v>Valid</v>
      </c>
      <c r="AG2174" t="str">
        <f t="shared" si="431"/>
        <v>Valid</v>
      </c>
      <c r="AH2174" t="str">
        <f t="shared" si="432"/>
        <v>Valid</v>
      </c>
      <c r="AI2174" t="str">
        <f t="shared" si="433"/>
        <v>Valid</v>
      </c>
      <c r="AJ2174" t="str">
        <f t="shared" si="434"/>
        <v>Valid</v>
      </c>
      <c r="AK2174" t="str">
        <f t="shared" si="441"/>
        <v xml:space="preserve">Valid </v>
      </c>
      <c r="AL2174" t="str">
        <f>IF(AND(Audit_Data[[#This Row],[Recency]]&gt;=0,Audit_Data[[#This Row],[Recency]]&lt;=100),"Valid","Invalid")</f>
        <v>Valid</v>
      </c>
      <c r="AM2174" t="str">
        <f t="shared" si="435"/>
        <v>Valid</v>
      </c>
      <c r="AN2174" t="str">
        <f t="shared" si="436"/>
        <v>Valid</v>
      </c>
      <c r="AO2174" t="str">
        <f t="shared" si="437"/>
        <v>Valid</v>
      </c>
      <c r="AP2174" t="str">
        <f t="shared" si="438"/>
        <v>Valid</v>
      </c>
      <c r="AQ2174" t="str">
        <f>IF(Audit_Data[[#This Row],[Z_CostContact]]=3,"Valid","Invalid")</f>
        <v>Valid</v>
      </c>
      <c r="AR2174" t="str">
        <f t="shared" si="439"/>
        <v>Valid</v>
      </c>
      <c r="AS2174" t="str">
        <f t="shared" si="440"/>
        <v>Valid</v>
      </c>
    </row>
    <row r="2175" spans="1:45" x14ac:dyDescent="0.3">
      <c r="A2175">
        <v>6721</v>
      </c>
      <c r="B2175">
        <v>1951</v>
      </c>
      <c r="C2175" t="s">
        <v>29</v>
      </c>
      <c r="D2175" t="s">
        <v>33</v>
      </c>
      <c r="E2175">
        <v>71965</v>
      </c>
      <c r="F2175">
        <v>0</v>
      </c>
      <c r="G2175">
        <v>1</v>
      </c>
      <c r="H2175" s="1">
        <v>41484</v>
      </c>
      <c r="I2175">
        <v>21</v>
      </c>
      <c r="J2175">
        <v>572</v>
      </c>
      <c r="K2175">
        <v>19</v>
      </c>
      <c r="L2175">
        <v>286</v>
      </c>
      <c r="M2175">
        <v>50</v>
      </c>
      <c r="N2175">
        <v>38</v>
      </c>
      <c r="O2175">
        <v>248</v>
      </c>
      <c r="P2175">
        <v>3</v>
      </c>
      <c r="Q2175">
        <v>6</v>
      </c>
      <c r="R2175">
        <v>3</v>
      </c>
      <c r="S2175">
        <v>5</v>
      </c>
      <c r="T2175">
        <v>3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3</v>
      </c>
      <c r="AB2175">
        <v>11</v>
      </c>
      <c r="AC2175">
        <v>0</v>
      </c>
      <c r="AD2175" t="str">
        <f t="shared" si="429"/>
        <v>Ok</v>
      </c>
      <c r="AE2175" t="str">
        <f>IF(AND(Audit_Data[[#This Row],[Year_Birth]]&gt;=1900,Audit_Data[[#This Row],[Year_Birth]]&lt;=2010),"OK","Invalid")</f>
        <v>OK</v>
      </c>
      <c r="AF2175" t="str">
        <f t="shared" si="430"/>
        <v>Valid</v>
      </c>
      <c r="AG2175" t="str">
        <f t="shared" si="431"/>
        <v>Valid</v>
      </c>
      <c r="AH2175" t="str">
        <f t="shared" si="432"/>
        <v>Valid</v>
      </c>
      <c r="AI2175" t="str">
        <f t="shared" si="433"/>
        <v>Valid</v>
      </c>
      <c r="AJ2175" t="str">
        <f t="shared" si="434"/>
        <v>Valid</v>
      </c>
      <c r="AK2175" t="str">
        <f t="shared" si="441"/>
        <v xml:space="preserve">Valid </v>
      </c>
      <c r="AL2175" t="str">
        <f>IF(AND(Audit_Data[[#This Row],[Recency]]&gt;=0,Audit_Data[[#This Row],[Recency]]&lt;=100),"Valid","Invalid")</f>
        <v>Valid</v>
      </c>
      <c r="AM2175" t="str">
        <f t="shared" si="435"/>
        <v>Valid</v>
      </c>
      <c r="AN2175" t="str">
        <f t="shared" si="436"/>
        <v>Valid</v>
      </c>
      <c r="AO2175" t="str">
        <f t="shared" si="437"/>
        <v>Valid</v>
      </c>
      <c r="AP2175" t="str">
        <f t="shared" si="438"/>
        <v>Valid</v>
      </c>
      <c r="AQ2175" t="str">
        <f>IF(Audit_Data[[#This Row],[Z_CostContact]]=3,"Valid","Invalid")</f>
        <v>Valid</v>
      </c>
      <c r="AR2175" t="str">
        <f t="shared" si="439"/>
        <v>Valid</v>
      </c>
      <c r="AS2175" t="str">
        <f t="shared" si="440"/>
        <v>Valid</v>
      </c>
    </row>
    <row r="2176" spans="1:45" x14ac:dyDescent="0.3">
      <c r="A2176">
        <v>2829</v>
      </c>
      <c r="B2176">
        <v>1955</v>
      </c>
      <c r="C2176" t="s">
        <v>29</v>
      </c>
      <c r="D2176" t="s">
        <v>33</v>
      </c>
      <c r="E2176">
        <v>65210</v>
      </c>
      <c r="F2176">
        <v>0</v>
      </c>
      <c r="G2176">
        <v>1</v>
      </c>
      <c r="H2176" s="1">
        <v>41708</v>
      </c>
      <c r="I2176">
        <v>25</v>
      </c>
      <c r="J2176">
        <v>626</v>
      </c>
      <c r="K2176">
        <v>0</v>
      </c>
      <c r="L2176">
        <v>70</v>
      </c>
      <c r="M2176">
        <v>0</v>
      </c>
      <c r="N2176">
        <v>7</v>
      </c>
      <c r="O2176">
        <v>28</v>
      </c>
      <c r="P2176">
        <v>2</v>
      </c>
      <c r="Q2176">
        <v>9</v>
      </c>
      <c r="R2176">
        <v>3</v>
      </c>
      <c r="S2176">
        <v>8</v>
      </c>
      <c r="T2176">
        <v>6</v>
      </c>
      <c r="U2176">
        <v>0</v>
      </c>
      <c r="V2176">
        <v>1</v>
      </c>
      <c r="W2176">
        <v>0</v>
      </c>
      <c r="X2176">
        <v>1</v>
      </c>
      <c r="Y2176">
        <v>0</v>
      </c>
      <c r="Z2176">
        <v>0</v>
      </c>
      <c r="AA2176">
        <v>3</v>
      </c>
      <c r="AB2176">
        <v>11</v>
      </c>
      <c r="AC2176">
        <v>0</v>
      </c>
      <c r="AD2176" t="str">
        <f t="shared" si="429"/>
        <v>Ok</v>
      </c>
      <c r="AE2176" t="str">
        <f>IF(AND(Audit_Data[[#This Row],[Year_Birth]]&gt;=1900,Audit_Data[[#This Row],[Year_Birth]]&lt;=2010),"OK","Invalid")</f>
        <v>OK</v>
      </c>
      <c r="AF2176" t="str">
        <f t="shared" si="430"/>
        <v>Valid</v>
      </c>
      <c r="AG2176" t="str">
        <f t="shared" si="431"/>
        <v>Valid</v>
      </c>
      <c r="AH2176" t="str">
        <f t="shared" si="432"/>
        <v>Valid</v>
      </c>
      <c r="AI2176" t="str">
        <f t="shared" si="433"/>
        <v>Valid</v>
      </c>
      <c r="AJ2176" t="str">
        <f t="shared" si="434"/>
        <v>Valid</v>
      </c>
      <c r="AK2176" t="str">
        <f t="shared" si="441"/>
        <v xml:space="preserve">Valid </v>
      </c>
      <c r="AL2176" t="str">
        <f>IF(AND(Audit_Data[[#This Row],[Recency]]&gt;=0,Audit_Data[[#This Row],[Recency]]&lt;=100),"Valid","Invalid")</f>
        <v>Valid</v>
      </c>
      <c r="AM2176" t="str">
        <f t="shared" si="435"/>
        <v>Valid</v>
      </c>
      <c r="AN2176" t="str">
        <f t="shared" si="436"/>
        <v>Valid</v>
      </c>
      <c r="AO2176" t="str">
        <f t="shared" si="437"/>
        <v>Valid</v>
      </c>
      <c r="AP2176" t="str">
        <f t="shared" si="438"/>
        <v>Valid</v>
      </c>
      <c r="AQ2176" t="str">
        <f>IF(Audit_Data[[#This Row],[Z_CostContact]]=3,"Valid","Invalid")</f>
        <v>Valid</v>
      </c>
      <c r="AR2176" t="str">
        <f t="shared" si="439"/>
        <v>Valid</v>
      </c>
      <c r="AS2176" t="str">
        <f t="shared" si="440"/>
        <v>Valid</v>
      </c>
    </row>
    <row r="2177" spans="1:45" x14ac:dyDescent="0.3">
      <c r="A2177">
        <v>1772</v>
      </c>
      <c r="B2177">
        <v>1975</v>
      </c>
      <c r="C2177" t="s">
        <v>32</v>
      </c>
      <c r="D2177" t="s">
        <v>33</v>
      </c>
      <c r="E2177">
        <v>79174</v>
      </c>
      <c r="F2177">
        <v>0</v>
      </c>
      <c r="G2177">
        <v>0</v>
      </c>
      <c r="H2177" s="1">
        <v>41285</v>
      </c>
      <c r="I2177">
        <v>2</v>
      </c>
      <c r="J2177">
        <v>1074</v>
      </c>
      <c r="K2177">
        <v>37</v>
      </c>
      <c r="L2177">
        <v>518</v>
      </c>
      <c r="M2177">
        <v>193</v>
      </c>
      <c r="N2177">
        <v>92</v>
      </c>
      <c r="O2177">
        <v>129</v>
      </c>
      <c r="P2177">
        <v>1</v>
      </c>
      <c r="Q2177">
        <v>5</v>
      </c>
      <c r="R2177">
        <v>6</v>
      </c>
      <c r="S2177">
        <v>7</v>
      </c>
      <c r="T2177">
        <v>2</v>
      </c>
      <c r="U2177">
        <v>0</v>
      </c>
      <c r="V2177">
        <v>0</v>
      </c>
      <c r="W2177">
        <v>1</v>
      </c>
      <c r="X2177">
        <v>1</v>
      </c>
      <c r="Y2177">
        <v>0</v>
      </c>
      <c r="Z2177">
        <v>0</v>
      </c>
      <c r="AA2177">
        <v>3</v>
      </c>
      <c r="AB2177">
        <v>11</v>
      </c>
      <c r="AC2177">
        <v>1</v>
      </c>
      <c r="AD2177" t="str">
        <f t="shared" si="429"/>
        <v>Ok</v>
      </c>
      <c r="AE2177" t="str">
        <f>IF(AND(Audit_Data[[#This Row],[Year_Birth]]&gt;=1900,Audit_Data[[#This Row],[Year_Birth]]&lt;=2010),"OK","Invalid")</f>
        <v>OK</v>
      </c>
      <c r="AF2177" t="str">
        <f t="shared" si="430"/>
        <v>Valid</v>
      </c>
      <c r="AG2177" t="str">
        <f t="shared" si="431"/>
        <v>Valid</v>
      </c>
      <c r="AH2177" t="str">
        <f t="shared" si="432"/>
        <v>Valid</v>
      </c>
      <c r="AI2177" t="str">
        <f t="shared" si="433"/>
        <v>Valid</v>
      </c>
      <c r="AJ2177" t="str">
        <f t="shared" si="434"/>
        <v>Valid</v>
      </c>
      <c r="AK2177" t="str">
        <f t="shared" si="441"/>
        <v xml:space="preserve">Valid </v>
      </c>
      <c r="AL2177" t="str">
        <f>IF(AND(Audit_Data[[#This Row],[Recency]]&gt;=0,Audit_Data[[#This Row],[Recency]]&lt;=100),"Valid","Invalid")</f>
        <v>Valid</v>
      </c>
      <c r="AM2177" t="str">
        <f t="shared" si="435"/>
        <v>Valid</v>
      </c>
      <c r="AN2177" t="str">
        <f t="shared" si="436"/>
        <v>Valid</v>
      </c>
      <c r="AO2177" t="str">
        <f t="shared" si="437"/>
        <v>Valid</v>
      </c>
      <c r="AP2177" t="str">
        <f t="shared" si="438"/>
        <v>Valid</v>
      </c>
      <c r="AQ2177" t="str">
        <f>IF(Audit_Data[[#This Row],[Z_CostContact]]=3,"Valid","Invalid")</f>
        <v>Valid</v>
      </c>
      <c r="AR2177" t="str">
        <f t="shared" si="439"/>
        <v>Valid</v>
      </c>
      <c r="AS2177" t="str">
        <f t="shared" si="440"/>
        <v>Valid</v>
      </c>
    </row>
    <row r="2178" spans="1:45" x14ac:dyDescent="0.3">
      <c r="A2178">
        <v>1544</v>
      </c>
      <c r="B2178">
        <v>1967</v>
      </c>
      <c r="C2178" t="s">
        <v>34</v>
      </c>
      <c r="D2178" t="s">
        <v>35</v>
      </c>
      <c r="E2178">
        <v>81380</v>
      </c>
      <c r="F2178">
        <v>0</v>
      </c>
      <c r="G2178">
        <v>0</v>
      </c>
      <c r="H2178" s="1">
        <v>41265</v>
      </c>
      <c r="I2178">
        <v>51</v>
      </c>
      <c r="J2178">
        <v>741</v>
      </c>
      <c r="K2178">
        <v>68</v>
      </c>
      <c r="L2178">
        <v>689</v>
      </c>
      <c r="M2178">
        <v>224</v>
      </c>
      <c r="N2178">
        <v>68</v>
      </c>
      <c r="O2178">
        <v>103</v>
      </c>
      <c r="P2178">
        <v>1</v>
      </c>
      <c r="Q2178">
        <v>4</v>
      </c>
      <c r="R2178">
        <v>2</v>
      </c>
      <c r="S2178">
        <v>10</v>
      </c>
      <c r="T2178">
        <v>2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3</v>
      </c>
      <c r="AB2178">
        <v>11</v>
      </c>
      <c r="AC2178">
        <v>0</v>
      </c>
      <c r="AD2178" t="str">
        <f t="shared" ref="AD2178:AD2241" si="442">IF(COUNTIF(A:A,A2178)&gt;1,"Duplicate","Ok")</f>
        <v>Ok</v>
      </c>
      <c r="AE2178" t="str">
        <f>IF(AND(Audit_Data[[#This Row],[Year_Birth]]&gt;=1900,Audit_Data[[#This Row],[Year_Birth]]&lt;=2010),"OK","Invalid")</f>
        <v>OK</v>
      </c>
      <c r="AF2178" t="str">
        <f t="shared" ref="AF2178:AF2241" si="443">IF(OR(C2178="Graduation",C2178="phD",C2178="Master",C2178="Basic",C2178="2n Cycle"),"Valid","Invalid")</f>
        <v>Valid</v>
      </c>
      <c r="AG2178" t="str">
        <f t="shared" ref="AG2178:AG2241" si="444">IF(OR(D2178="Single",D2178="Married",D2178="Divorced",D2178="Together",D2178="Widow",D2178="Alone"),"Valid","Invalid")</f>
        <v>Valid</v>
      </c>
      <c r="AH2178" t="str">
        <f t="shared" ref="AH2178:AH2241" si="445">IF(AND(ISNUMBER(E2178),E2178&lt;&gt;""),"Valid","Invalid")</f>
        <v>Valid</v>
      </c>
      <c r="AI2178" t="str">
        <f t="shared" ref="AI2178:AI2241" si="446">IF(AND(F2178&gt;=0,F2178&lt;=2),"Valid","Invalid")</f>
        <v>Valid</v>
      </c>
      <c r="AJ2178" t="str">
        <f t="shared" ref="AJ2178:AJ2241" si="447">IF(AND(G2178&gt;=0,G2178&lt;=2),"Valid","Invalid")</f>
        <v>Valid</v>
      </c>
      <c r="AK2178" t="str">
        <f t="shared" si="441"/>
        <v xml:space="preserve">Valid </v>
      </c>
      <c r="AL2178" t="str">
        <f>IF(AND(Audit_Data[[#This Row],[Recency]]&gt;=0,Audit_Data[[#This Row],[Recency]]&lt;=100),"Valid","Invalid")</f>
        <v>Valid</v>
      </c>
      <c r="AM2178" t="str">
        <f t="shared" ref="AM2178:AM2241" si="448">IF(AND(ISNUMBER(J2178),J2178&gt;=0,ISNUMBER(K2178),K2178&gt;=0,ISNUMBER(L2178),L2178&gt;=0,ISNUMBER(M2178),M2178&gt;=0,ISNUMBER(N2178),N2178&gt;=0,ISNUMBER(O2178),O2178&gt;=0),"Valid","Invalid")</f>
        <v>Valid</v>
      </c>
      <c r="AN2178" t="str">
        <f t="shared" ref="AN2178:AN2241" si="449">IF(AND(ISNUMBER(P2178),P2178&gt;=0,ISNUMBER(Q2178),Q2178&gt;=0,ISNUMBER(R2178),R2178&gt;=0,ISNUMBER(S2178),S2178&gt;=0,ISNUMBER(T2178),T2178&gt;=0),"Valid","Invalid")</f>
        <v>Valid</v>
      </c>
      <c r="AO2178" t="str">
        <f t="shared" ref="AO2178:AO2241" si="450">IF(AND(U2178&lt;=1,V2178&lt;=1,W2178&lt;=1,X2178&lt;=1,Y2178&lt;=1),"Valid","Invalid")</f>
        <v>Valid</v>
      </c>
      <c r="AP2178" t="str">
        <f t="shared" ref="AP2178:AP2241" si="451">IF(OR(Z2178=0,Z2178=1),"Valid","Invalid")</f>
        <v>Valid</v>
      </c>
      <c r="AQ2178" t="str">
        <f>IF(Audit_Data[[#This Row],[Z_CostContact]]=3,"Valid","Invalid")</f>
        <v>Valid</v>
      </c>
      <c r="AR2178" t="str">
        <f t="shared" ref="AR2178:AR2241" si="452">IF(AB2178=11,"Valid","Invalid")</f>
        <v>Valid</v>
      </c>
      <c r="AS2178" t="str">
        <f t="shared" ref="AS2178:AS2241" si="453">IF(OR(AC2178=0,AC2178=1),"Valid","Invalid")</f>
        <v>Valid</v>
      </c>
    </row>
    <row r="2179" spans="1:45" x14ac:dyDescent="0.3">
      <c r="A2179">
        <v>492</v>
      </c>
      <c r="B2179">
        <v>1973</v>
      </c>
      <c r="C2179" t="s">
        <v>32</v>
      </c>
      <c r="D2179" t="s">
        <v>41</v>
      </c>
      <c r="E2179">
        <v>48432</v>
      </c>
      <c r="F2179">
        <v>0</v>
      </c>
      <c r="G2179">
        <v>1</v>
      </c>
      <c r="H2179" s="1">
        <v>41200</v>
      </c>
      <c r="I2179">
        <v>3</v>
      </c>
      <c r="J2179">
        <v>322</v>
      </c>
      <c r="K2179">
        <v>3</v>
      </c>
      <c r="L2179">
        <v>50</v>
      </c>
      <c r="M2179">
        <v>4</v>
      </c>
      <c r="N2179">
        <v>3</v>
      </c>
      <c r="O2179">
        <v>42</v>
      </c>
      <c r="P2179">
        <v>5</v>
      </c>
      <c r="Q2179">
        <v>7</v>
      </c>
      <c r="R2179">
        <v>1</v>
      </c>
      <c r="S2179">
        <v>6</v>
      </c>
      <c r="T2179">
        <v>8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3</v>
      </c>
      <c r="AB2179">
        <v>11</v>
      </c>
      <c r="AC2179">
        <v>0</v>
      </c>
      <c r="AD2179" t="str">
        <f t="shared" si="442"/>
        <v>Ok</v>
      </c>
      <c r="AE2179" t="str">
        <f>IF(AND(Audit_Data[[#This Row],[Year_Birth]]&gt;=1900,Audit_Data[[#This Row],[Year_Birth]]&lt;=2010),"OK","Invalid")</f>
        <v>OK</v>
      </c>
      <c r="AF2179" t="str">
        <f t="shared" si="443"/>
        <v>Valid</v>
      </c>
      <c r="AG2179" t="str">
        <f t="shared" si="444"/>
        <v>Invalid</v>
      </c>
      <c r="AH2179" t="str">
        <f t="shared" si="445"/>
        <v>Valid</v>
      </c>
      <c r="AI2179" t="str">
        <f t="shared" si="446"/>
        <v>Valid</v>
      </c>
      <c r="AJ2179" t="str">
        <f t="shared" si="447"/>
        <v>Valid</v>
      </c>
      <c r="AK2179" t="str">
        <f t="shared" ref="AK2179:AK2241" si="454">IF(AND(ISNUMBER(H2179),H2179&gt;=DATE(2012,1,1),H2179&lt;=DATE(2014,12,31)),"Valid ","Invalid")</f>
        <v xml:space="preserve">Valid </v>
      </c>
      <c r="AL2179" t="str">
        <f>IF(AND(Audit_Data[[#This Row],[Recency]]&gt;=0,Audit_Data[[#This Row],[Recency]]&lt;=100),"Valid","Invalid")</f>
        <v>Valid</v>
      </c>
      <c r="AM2179" t="str">
        <f t="shared" si="448"/>
        <v>Valid</v>
      </c>
      <c r="AN2179" t="str">
        <f t="shared" si="449"/>
        <v>Valid</v>
      </c>
      <c r="AO2179" t="str">
        <f t="shared" si="450"/>
        <v>Valid</v>
      </c>
      <c r="AP2179" t="str">
        <f t="shared" si="451"/>
        <v>Valid</v>
      </c>
      <c r="AQ2179" t="str">
        <f>IF(Audit_Data[[#This Row],[Z_CostContact]]=3,"Valid","Invalid")</f>
        <v>Valid</v>
      </c>
      <c r="AR2179" t="str">
        <f t="shared" si="452"/>
        <v>Valid</v>
      </c>
      <c r="AS2179" t="str">
        <f t="shared" si="453"/>
        <v>Valid</v>
      </c>
    </row>
    <row r="2180" spans="1:45" x14ac:dyDescent="0.3">
      <c r="A2180">
        <v>4377</v>
      </c>
      <c r="B2180">
        <v>1971</v>
      </c>
      <c r="C2180" t="s">
        <v>29</v>
      </c>
      <c r="D2180" t="s">
        <v>33</v>
      </c>
      <c r="E2180">
        <v>52914</v>
      </c>
      <c r="F2180">
        <v>0</v>
      </c>
      <c r="G2180">
        <v>1</v>
      </c>
      <c r="H2180" s="1">
        <v>41281</v>
      </c>
      <c r="I2180">
        <v>32</v>
      </c>
      <c r="J2180">
        <v>254</v>
      </c>
      <c r="K2180">
        <v>10</v>
      </c>
      <c r="L2180">
        <v>44</v>
      </c>
      <c r="M2180">
        <v>30</v>
      </c>
      <c r="N2180">
        <v>10</v>
      </c>
      <c r="O2180">
        <v>227</v>
      </c>
      <c r="P2180">
        <v>2</v>
      </c>
      <c r="Q2180">
        <v>7</v>
      </c>
      <c r="R2180">
        <v>3</v>
      </c>
      <c r="S2180">
        <v>3</v>
      </c>
      <c r="T2180">
        <v>7</v>
      </c>
      <c r="U2180">
        <v>1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3</v>
      </c>
      <c r="AB2180">
        <v>11</v>
      </c>
      <c r="AC2180">
        <v>0</v>
      </c>
      <c r="AD2180" t="str">
        <f t="shared" si="442"/>
        <v>Ok</v>
      </c>
      <c r="AE2180" t="str">
        <f>IF(AND(Audit_Data[[#This Row],[Year_Birth]]&gt;=1900,Audit_Data[[#This Row],[Year_Birth]]&lt;=2010),"OK","Invalid")</f>
        <v>OK</v>
      </c>
      <c r="AF2180" t="str">
        <f t="shared" si="443"/>
        <v>Valid</v>
      </c>
      <c r="AG2180" t="str">
        <f t="shared" si="444"/>
        <v>Valid</v>
      </c>
      <c r="AH2180" t="str">
        <f t="shared" si="445"/>
        <v>Valid</v>
      </c>
      <c r="AI2180" t="str">
        <f t="shared" si="446"/>
        <v>Valid</v>
      </c>
      <c r="AJ2180" t="str">
        <f t="shared" si="447"/>
        <v>Valid</v>
      </c>
      <c r="AK2180" t="str">
        <f t="shared" si="454"/>
        <v xml:space="preserve">Valid </v>
      </c>
      <c r="AL2180" t="str">
        <f>IF(AND(Audit_Data[[#This Row],[Recency]]&gt;=0,Audit_Data[[#This Row],[Recency]]&lt;=100),"Valid","Invalid")</f>
        <v>Valid</v>
      </c>
      <c r="AM2180" t="str">
        <f t="shared" si="448"/>
        <v>Valid</v>
      </c>
      <c r="AN2180" t="str">
        <f t="shared" si="449"/>
        <v>Valid</v>
      </c>
      <c r="AO2180" t="str">
        <f t="shared" si="450"/>
        <v>Valid</v>
      </c>
      <c r="AP2180" t="str">
        <f t="shared" si="451"/>
        <v>Valid</v>
      </c>
      <c r="AQ2180" t="str">
        <f>IF(Audit_Data[[#This Row],[Z_CostContact]]=3,"Valid","Invalid")</f>
        <v>Valid</v>
      </c>
      <c r="AR2180" t="str">
        <f t="shared" si="452"/>
        <v>Valid</v>
      </c>
      <c r="AS2180" t="str">
        <f t="shared" si="453"/>
        <v>Valid</v>
      </c>
    </row>
    <row r="2181" spans="1:45" x14ac:dyDescent="0.3">
      <c r="A2181">
        <v>4541</v>
      </c>
      <c r="B2181">
        <v>1955</v>
      </c>
      <c r="C2181" t="s">
        <v>29</v>
      </c>
      <c r="D2181" t="s">
        <v>31</v>
      </c>
      <c r="E2181">
        <v>38946</v>
      </c>
      <c r="F2181">
        <v>0</v>
      </c>
      <c r="G2181">
        <v>1</v>
      </c>
      <c r="H2181" s="1">
        <v>41571</v>
      </c>
      <c r="I2181">
        <v>84</v>
      </c>
      <c r="J2181">
        <v>116</v>
      </c>
      <c r="K2181">
        <v>6</v>
      </c>
      <c r="L2181">
        <v>82</v>
      </c>
      <c r="M2181">
        <v>6</v>
      </c>
      <c r="N2181">
        <v>6</v>
      </c>
      <c r="O2181">
        <v>41</v>
      </c>
      <c r="P2181">
        <v>2</v>
      </c>
      <c r="Q2181">
        <v>3</v>
      </c>
      <c r="R2181">
        <v>1</v>
      </c>
      <c r="S2181">
        <v>6</v>
      </c>
      <c r="T2181">
        <v>5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3</v>
      </c>
      <c r="AB2181">
        <v>11</v>
      </c>
      <c r="AC2181">
        <v>0</v>
      </c>
      <c r="AD2181" t="str">
        <f t="shared" si="442"/>
        <v>Ok</v>
      </c>
      <c r="AE2181" t="str">
        <f>IF(AND(Audit_Data[[#This Row],[Year_Birth]]&gt;=1900,Audit_Data[[#This Row],[Year_Birth]]&lt;=2010),"OK","Invalid")</f>
        <v>OK</v>
      </c>
      <c r="AF2181" t="str">
        <f t="shared" si="443"/>
        <v>Valid</v>
      </c>
      <c r="AG2181" t="str">
        <f t="shared" si="444"/>
        <v>Valid</v>
      </c>
      <c r="AH2181" t="str">
        <f t="shared" si="445"/>
        <v>Valid</v>
      </c>
      <c r="AI2181" t="str">
        <f t="shared" si="446"/>
        <v>Valid</v>
      </c>
      <c r="AJ2181" t="str">
        <f t="shared" si="447"/>
        <v>Valid</v>
      </c>
      <c r="AK2181" t="str">
        <f t="shared" si="454"/>
        <v xml:space="preserve">Valid </v>
      </c>
      <c r="AL2181" t="str">
        <f>IF(AND(Audit_Data[[#This Row],[Recency]]&gt;=0,Audit_Data[[#This Row],[Recency]]&lt;=100),"Valid","Invalid")</f>
        <v>Valid</v>
      </c>
      <c r="AM2181" t="str">
        <f t="shared" si="448"/>
        <v>Valid</v>
      </c>
      <c r="AN2181" t="str">
        <f t="shared" si="449"/>
        <v>Valid</v>
      </c>
      <c r="AO2181" t="str">
        <f t="shared" si="450"/>
        <v>Valid</v>
      </c>
      <c r="AP2181" t="str">
        <f t="shared" si="451"/>
        <v>Valid</v>
      </c>
      <c r="AQ2181" t="str">
        <f>IF(Audit_Data[[#This Row],[Z_CostContact]]=3,"Valid","Invalid")</f>
        <v>Valid</v>
      </c>
      <c r="AR2181" t="str">
        <f t="shared" si="452"/>
        <v>Valid</v>
      </c>
      <c r="AS2181" t="str">
        <f t="shared" si="453"/>
        <v>Valid</v>
      </c>
    </row>
    <row r="2182" spans="1:45" x14ac:dyDescent="0.3">
      <c r="A2182">
        <v>1321</v>
      </c>
      <c r="B2182">
        <v>1974</v>
      </c>
      <c r="C2182" t="s">
        <v>29</v>
      </c>
      <c r="D2182" t="s">
        <v>33</v>
      </c>
      <c r="E2182">
        <v>26067</v>
      </c>
      <c r="F2182">
        <v>1</v>
      </c>
      <c r="G2182">
        <v>0</v>
      </c>
      <c r="H2182" s="1">
        <v>41582</v>
      </c>
      <c r="I2182">
        <v>49</v>
      </c>
      <c r="J2182">
        <v>22</v>
      </c>
      <c r="K2182">
        <v>2</v>
      </c>
      <c r="L2182">
        <v>18</v>
      </c>
      <c r="M2182">
        <v>0</v>
      </c>
      <c r="N2182">
        <v>2</v>
      </c>
      <c r="O2182">
        <v>12</v>
      </c>
      <c r="P2182">
        <v>3</v>
      </c>
      <c r="Q2182">
        <v>3</v>
      </c>
      <c r="R2182">
        <v>0</v>
      </c>
      <c r="S2182">
        <v>3</v>
      </c>
      <c r="T2182">
        <v>8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3</v>
      </c>
      <c r="AB2182">
        <v>11</v>
      </c>
      <c r="AC2182">
        <v>0</v>
      </c>
      <c r="AD2182" t="str">
        <f t="shared" si="442"/>
        <v>Ok</v>
      </c>
      <c r="AE2182" t="str">
        <f>IF(AND(Audit_Data[[#This Row],[Year_Birth]]&gt;=1900,Audit_Data[[#This Row],[Year_Birth]]&lt;=2010),"OK","Invalid")</f>
        <v>OK</v>
      </c>
      <c r="AF2182" t="str">
        <f t="shared" si="443"/>
        <v>Valid</v>
      </c>
      <c r="AG2182" t="str">
        <f t="shared" si="444"/>
        <v>Valid</v>
      </c>
      <c r="AH2182" t="str">
        <f t="shared" si="445"/>
        <v>Valid</v>
      </c>
      <c r="AI2182" t="str">
        <f t="shared" si="446"/>
        <v>Valid</v>
      </c>
      <c r="AJ2182" t="str">
        <f t="shared" si="447"/>
        <v>Valid</v>
      </c>
      <c r="AK2182" t="str">
        <f t="shared" si="454"/>
        <v xml:space="preserve">Valid </v>
      </c>
      <c r="AL2182" t="str">
        <f>IF(AND(Audit_Data[[#This Row],[Recency]]&gt;=0,Audit_Data[[#This Row],[Recency]]&lt;=100),"Valid","Invalid")</f>
        <v>Valid</v>
      </c>
      <c r="AM2182" t="str">
        <f t="shared" si="448"/>
        <v>Valid</v>
      </c>
      <c r="AN2182" t="str">
        <f t="shared" si="449"/>
        <v>Valid</v>
      </c>
      <c r="AO2182" t="str">
        <f t="shared" si="450"/>
        <v>Valid</v>
      </c>
      <c r="AP2182" t="str">
        <f t="shared" si="451"/>
        <v>Valid</v>
      </c>
      <c r="AQ2182" t="str">
        <f>IF(Audit_Data[[#This Row],[Z_CostContact]]=3,"Valid","Invalid")</f>
        <v>Valid</v>
      </c>
      <c r="AR2182" t="str">
        <f t="shared" si="452"/>
        <v>Valid</v>
      </c>
      <c r="AS2182" t="str">
        <f t="shared" si="453"/>
        <v>Valid</v>
      </c>
    </row>
    <row r="2183" spans="1:45" x14ac:dyDescent="0.3">
      <c r="A2183">
        <v>8858</v>
      </c>
      <c r="B2183">
        <v>1972</v>
      </c>
      <c r="C2183" t="s">
        <v>32</v>
      </c>
      <c r="D2183" t="s">
        <v>33</v>
      </c>
      <c r="E2183">
        <v>44325</v>
      </c>
      <c r="F2183">
        <v>0</v>
      </c>
      <c r="G2183">
        <v>1</v>
      </c>
      <c r="H2183" s="1">
        <v>41340</v>
      </c>
      <c r="I2183">
        <v>69</v>
      </c>
      <c r="J2183">
        <v>516</v>
      </c>
      <c r="K2183">
        <v>0</v>
      </c>
      <c r="L2183">
        <v>21</v>
      </c>
      <c r="M2183">
        <v>0</v>
      </c>
      <c r="N2183">
        <v>0</v>
      </c>
      <c r="O2183">
        <v>5</v>
      </c>
      <c r="P2183">
        <v>4</v>
      </c>
      <c r="Q2183">
        <v>8</v>
      </c>
      <c r="R2183">
        <v>2</v>
      </c>
      <c r="S2183">
        <v>7</v>
      </c>
      <c r="T2183">
        <v>8</v>
      </c>
      <c r="U2183">
        <v>0</v>
      </c>
      <c r="V2183">
        <v>1</v>
      </c>
      <c r="W2183">
        <v>0</v>
      </c>
      <c r="X2183">
        <v>0</v>
      </c>
      <c r="Y2183">
        <v>0</v>
      </c>
      <c r="Z2183">
        <v>0</v>
      </c>
      <c r="AA2183">
        <v>3</v>
      </c>
      <c r="AB2183">
        <v>11</v>
      </c>
      <c r="AC2183">
        <v>0</v>
      </c>
      <c r="AD2183" t="str">
        <f t="shared" si="442"/>
        <v>Ok</v>
      </c>
      <c r="AE2183" t="str">
        <f>IF(AND(Audit_Data[[#This Row],[Year_Birth]]&gt;=1900,Audit_Data[[#This Row],[Year_Birth]]&lt;=2010),"OK","Invalid")</f>
        <v>OK</v>
      </c>
      <c r="AF2183" t="str">
        <f t="shared" si="443"/>
        <v>Valid</v>
      </c>
      <c r="AG2183" t="str">
        <f t="shared" si="444"/>
        <v>Valid</v>
      </c>
      <c r="AH2183" t="str">
        <f t="shared" si="445"/>
        <v>Valid</v>
      </c>
      <c r="AI2183" t="str">
        <f t="shared" si="446"/>
        <v>Valid</v>
      </c>
      <c r="AJ2183" t="str">
        <f t="shared" si="447"/>
        <v>Valid</v>
      </c>
      <c r="AK2183" t="str">
        <f t="shared" si="454"/>
        <v xml:space="preserve">Valid </v>
      </c>
      <c r="AL2183" t="str">
        <f>IF(AND(Audit_Data[[#This Row],[Recency]]&gt;=0,Audit_Data[[#This Row],[Recency]]&lt;=100),"Valid","Invalid")</f>
        <v>Valid</v>
      </c>
      <c r="AM2183" t="str">
        <f t="shared" si="448"/>
        <v>Valid</v>
      </c>
      <c r="AN2183" t="str">
        <f t="shared" si="449"/>
        <v>Valid</v>
      </c>
      <c r="AO2183" t="str">
        <f t="shared" si="450"/>
        <v>Valid</v>
      </c>
      <c r="AP2183" t="str">
        <f t="shared" si="451"/>
        <v>Valid</v>
      </c>
      <c r="AQ2183" t="str">
        <f>IF(Audit_Data[[#This Row],[Z_CostContact]]=3,"Valid","Invalid")</f>
        <v>Valid</v>
      </c>
      <c r="AR2183" t="str">
        <f t="shared" si="452"/>
        <v>Valid</v>
      </c>
      <c r="AS2183" t="str">
        <f t="shared" si="453"/>
        <v>Valid</v>
      </c>
    </row>
    <row r="2184" spans="1:45" x14ac:dyDescent="0.3">
      <c r="A2184">
        <v>3266</v>
      </c>
      <c r="B2184">
        <v>1964</v>
      </c>
      <c r="C2184" t="s">
        <v>29</v>
      </c>
      <c r="D2184" t="s">
        <v>33</v>
      </c>
      <c r="E2184">
        <v>42523</v>
      </c>
      <c r="F2184">
        <v>0</v>
      </c>
      <c r="G2184">
        <v>0</v>
      </c>
      <c r="H2184" s="1">
        <v>41752</v>
      </c>
      <c r="I2184">
        <v>96</v>
      </c>
      <c r="J2184">
        <v>14</v>
      </c>
      <c r="K2184">
        <v>36</v>
      </c>
      <c r="L2184">
        <v>11</v>
      </c>
      <c r="M2184">
        <v>3</v>
      </c>
      <c r="N2184">
        <v>26</v>
      </c>
      <c r="O2184">
        <v>35</v>
      </c>
      <c r="P2184">
        <v>1</v>
      </c>
      <c r="Q2184">
        <v>1</v>
      </c>
      <c r="R2184">
        <v>1</v>
      </c>
      <c r="S2184">
        <v>4</v>
      </c>
      <c r="T2184">
        <v>2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3</v>
      </c>
      <c r="AB2184">
        <v>11</v>
      </c>
      <c r="AC2184">
        <v>0</v>
      </c>
      <c r="AD2184" t="str">
        <f t="shared" si="442"/>
        <v>Ok</v>
      </c>
      <c r="AE2184" t="str">
        <f>IF(AND(Audit_Data[[#This Row],[Year_Birth]]&gt;=1900,Audit_Data[[#This Row],[Year_Birth]]&lt;=2010),"OK","Invalid")</f>
        <v>OK</v>
      </c>
      <c r="AF2184" t="str">
        <f t="shared" si="443"/>
        <v>Valid</v>
      </c>
      <c r="AG2184" t="str">
        <f t="shared" si="444"/>
        <v>Valid</v>
      </c>
      <c r="AH2184" t="str">
        <f t="shared" si="445"/>
        <v>Valid</v>
      </c>
      <c r="AI2184" t="str">
        <f t="shared" si="446"/>
        <v>Valid</v>
      </c>
      <c r="AJ2184" t="str">
        <f t="shared" si="447"/>
        <v>Valid</v>
      </c>
      <c r="AK2184" t="str">
        <f t="shared" si="454"/>
        <v xml:space="preserve">Valid </v>
      </c>
      <c r="AL2184" t="str">
        <f>IF(AND(Audit_Data[[#This Row],[Recency]]&gt;=0,Audit_Data[[#This Row],[Recency]]&lt;=100),"Valid","Invalid")</f>
        <v>Valid</v>
      </c>
      <c r="AM2184" t="str">
        <f t="shared" si="448"/>
        <v>Valid</v>
      </c>
      <c r="AN2184" t="str">
        <f t="shared" si="449"/>
        <v>Valid</v>
      </c>
      <c r="AO2184" t="str">
        <f t="shared" si="450"/>
        <v>Valid</v>
      </c>
      <c r="AP2184" t="str">
        <f t="shared" si="451"/>
        <v>Valid</v>
      </c>
      <c r="AQ2184" t="str">
        <f>IF(Audit_Data[[#This Row],[Z_CostContact]]=3,"Valid","Invalid")</f>
        <v>Valid</v>
      </c>
      <c r="AR2184" t="str">
        <f t="shared" si="452"/>
        <v>Valid</v>
      </c>
      <c r="AS2184" t="str">
        <f t="shared" si="453"/>
        <v>Valid</v>
      </c>
    </row>
    <row r="2185" spans="1:45" x14ac:dyDescent="0.3">
      <c r="A2185">
        <v>11187</v>
      </c>
      <c r="B2185">
        <v>1978</v>
      </c>
      <c r="C2185" t="s">
        <v>36</v>
      </c>
      <c r="D2185" t="s">
        <v>30</v>
      </c>
      <c r="E2185">
        <v>26487</v>
      </c>
      <c r="F2185">
        <v>1</v>
      </c>
      <c r="G2185">
        <v>0</v>
      </c>
      <c r="H2185" s="1">
        <v>41414</v>
      </c>
      <c r="I2185">
        <v>23</v>
      </c>
      <c r="J2185">
        <v>2</v>
      </c>
      <c r="K2185">
        <v>8</v>
      </c>
      <c r="L2185">
        <v>10</v>
      </c>
      <c r="M2185">
        <v>12</v>
      </c>
      <c r="N2185">
        <v>14</v>
      </c>
      <c r="O2185">
        <v>23</v>
      </c>
      <c r="P2185">
        <v>3</v>
      </c>
      <c r="Q2185">
        <v>2</v>
      </c>
      <c r="R2185">
        <v>1</v>
      </c>
      <c r="S2185">
        <v>3</v>
      </c>
      <c r="T2185">
        <v>5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3</v>
      </c>
      <c r="AB2185">
        <v>11</v>
      </c>
      <c r="AC2185">
        <v>0</v>
      </c>
      <c r="AD2185" t="str">
        <f t="shared" si="442"/>
        <v>Ok</v>
      </c>
      <c r="AE2185" t="str">
        <f>IF(AND(Audit_Data[[#This Row],[Year_Birth]]&gt;=1900,Audit_Data[[#This Row],[Year_Birth]]&lt;=2010),"OK","Invalid")</f>
        <v>OK</v>
      </c>
      <c r="AF2185" t="str">
        <f t="shared" si="443"/>
        <v>Valid</v>
      </c>
      <c r="AG2185" t="str">
        <f t="shared" si="444"/>
        <v>Valid</v>
      </c>
      <c r="AH2185" t="str">
        <f t="shared" si="445"/>
        <v>Valid</v>
      </c>
      <c r="AI2185" t="str">
        <f t="shared" si="446"/>
        <v>Valid</v>
      </c>
      <c r="AJ2185" t="str">
        <f t="shared" si="447"/>
        <v>Valid</v>
      </c>
      <c r="AK2185" t="str">
        <f t="shared" si="454"/>
        <v xml:space="preserve">Valid </v>
      </c>
      <c r="AL2185" t="str">
        <f>IF(AND(Audit_Data[[#This Row],[Recency]]&gt;=0,Audit_Data[[#This Row],[Recency]]&lt;=100),"Valid","Invalid")</f>
        <v>Valid</v>
      </c>
      <c r="AM2185" t="str">
        <f t="shared" si="448"/>
        <v>Valid</v>
      </c>
      <c r="AN2185" t="str">
        <f t="shared" si="449"/>
        <v>Valid</v>
      </c>
      <c r="AO2185" t="str">
        <f t="shared" si="450"/>
        <v>Valid</v>
      </c>
      <c r="AP2185" t="str">
        <f t="shared" si="451"/>
        <v>Valid</v>
      </c>
      <c r="AQ2185" t="str">
        <f>IF(Audit_Data[[#This Row],[Z_CostContact]]=3,"Valid","Invalid")</f>
        <v>Valid</v>
      </c>
      <c r="AR2185" t="str">
        <f t="shared" si="452"/>
        <v>Valid</v>
      </c>
      <c r="AS2185" t="str">
        <f t="shared" si="453"/>
        <v>Valid</v>
      </c>
    </row>
    <row r="2186" spans="1:45" x14ac:dyDescent="0.3">
      <c r="A2186">
        <v>8207</v>
      </c>
      <c r="B2186">
        <v>1957</v>
      </c>
      <c r="C2186" t="s">
        <v>37</v>
      </c>
      <c r="D2186" t="s">
        <v>33</v>
      </c>
      <c r="E2186">
        <v>53233</v>
      </c>
      <c r="F2186">
        <v>0</v>
      </c>
      <c r="G2186">
        <v>1</v>
      </c>
      <c r="H2186" s="1">
        <v>41716</v>
      </c>
      <c r="I2186">
        <v>18</v>
      </c>
      <c r="J2186">
        <v>28</v>
      </c>
      <c r="K2186">
        <v>0</v>
      </c>
      <c r="L2186">
        <v>9</v>
      </c>
      <c r="M2186">
        <v>3</v>
      </c>
      <c r="N2186">
        <v>0</v>
      </c>
      <c r="O2186">
        <v>0</v>
      </c>
      <c r="P2186">
        <v>1</v>
      </c>
      <c r="Q2186">
        <v>1</v>
      </c>
      <c r="R2186">
        <v>0</v>
      </c>
      <c r="S2186">
        <v>3</v>
      </c>
      <c r="T2186">
        <v>4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3</v>
      </c>
      <c r="AB2186">
        <v>11</v>
      </c>
      <c r="AC2186">
        <v>0</v>
      </c>
      <c r="AD2186" t="str">
        <f t="shared" si="442"/>
        <v>Ok</v>
      </c>
      <c r="AE2186" t="str">
        <f>IF(AND(Audit_Data[[#This Row],[Year_Birth]]&gt;=1900,Audit_Data[[#This Row],[Year_Birth]]&lt;=2010),"OK","Invalid")</f>
        <v>OK</v>
      </c>
      <c r="AF2186" t="str">
        <f t="shared" si="443"/>
        <v>Valid</v>
      </c>
      <c r="AG2186" t="str">
        <f t="shared" si="444"/>
        <v>Valid</v>
      </c>
      <c r="AH2186" t="str">
        <f t="shared" si="445"/>
        <v>Valid</v>
      </c>
      <c r="AI2186" t="str">
        <f t="shared" si="446"/>
        <v>Valid</v>
      </c>
      <c r="AJ2186" t="str">
        <f t="shared" si="447"/>
        <v>Valid</v>
      </c>
      <c r="AK2186" t="str">
        <f t="shared" si="454"/>
        <v xml:space="preserve">Valid </v>
      </c>
      <c r="AL2186" t="str">
        <f>IF(AND(Audit_Data[[#This Row],[Recency]]&gt;=0,Audit_Data[[#This Row],[Recency]]&lt;=100),"Valid","Invalid")</f>
        <v>Valid</v>
      </c>
      <c r="AM2186" t="str">
        <f t="shared" si="448"/>
        <v>Valid</v>
      </c>
      <c r="AN2186" t="str">
        <f t="shared" si="449"/>
        <v>Valid</v>
      </c>
      <c r="AO2186" t="str">
        <f t="shared" si="450"/>
        <v>Valid</v>
      </c>
      <c r="AP2186" t="str">
        <f t="shared" si="451"/>
        <v>Valid</v>
      </c>
      <c r="AQ2186" t="str">
        <f>IF(Audit_Data[[#This Row],[Z_CostContact]]=3,"Valid","Invalid")</f>
        <v>Valid</v>
      </c>
      <c r="AR2186" t="str">
        <f t="shared" si="452"/>
        <v>Valid</v>
      </c>
      <c r="AS2186" t="str">
        <f t="shared" si="453"/>
        <v>Valid</v>
      </c>
    </row>
    <row r="2187" spans="1:45" x14ac:dyDescent="0.3">
      <c r="A2187">
        <v>9723</v>
      </c>
      <c r="B2187">
        <v>1960</v>
      </c>
      <c r="C2187" t="s">
        <v>29</v>
      </c>
      <c r="D2187" t="s">
        <v>33</v>
      </c>
      <c r="E2187">
        <v>67716</v>
      </c>
      <c r="F2187">
        <v>0</v>
      </c>
      <c r="G2187">
        <v>1</v>
      </c>
      <c r="H2187" s="1">
        <v>41284</v>
      </c>
      <c r="I2187">
        <v>8</v>
      </c>
      <c r="J2187">
        <v>530</v>
      </c>
      <c r="K2187">
        <v>142</v>
      </c>
      <c r="L2187">
        <v>217</v>
      </c>
      <c r="M2187">
        <v>62</v>
      </c>
      <c r="N2187">
        <v>9</v>
      </c>
      <c r="O2187">
        <v>56</v>
      </c>
      <c r="P2187">
        <v>4</v>
      </c>
      <c r="Q2187">
        <v>7</v>
      </c>
      <c r="R2187">
        <v>4</v>
      </c>
      <c r="S2187">
        <v>13</v>
      </c>
      <c r="T2187">
        <v>5</v>
      </c>
      <c r="U2187">
        <v>0</v>
      </c>
      <c r="V2187">
        <v>1</v>
      </c>
      <c r="W2187">
        <v>0</v>
      </c>
      <c r="X2187">
        <v>0</v>
      </c>
      <c r="Y2187">
        <v>0</v>
      </c>
      <c r="Z2187">
        <v>0</v>
      </c>
      <c r="AA2187">
        <v>3</v>
      </c>
      <c r="AB2187">
        <v>11</v>
      </c>
      <c r="AC2187">
        <v>0</v>
      </c>
      <c r="AD2187" t="str">
        <f t="shared" si="442"/>
        <v>Ok</v>
      </c>
      <c r="AE2187" t="str">
        <f>IF(AND(Audit_Data[[#This Row],[Year_Birth]]&gt;=1900,Audit_Data[[#This Row],[Year_Birth]]&lt;=2010),"OK","Invalid")</f>
        <v>OK</v>
      </c>
      <c r="AF2187" t="str">
        <f t="shared" si="443"/>
        <v>Valid</v>
      </c>
      <c r="AG2187" t="str">
        <f t="shared" si="444"/>
        <v>Valid</v>
      </c>
      <c r="AH2187" t="str">
        <f t="shared" si="445"/>
        <v>Valid</v>
      </c>
      <c r="AI2187" t="str">
        <f t="shared" si="446"/>
        <v>Valid</v>
      </c>
      <c r="AJ2187" t="str">
        <f t="shared" si="447"/>
        <v>Valid</v>
      </c>
      <c r="AK2187" t="str">
        <f t="shared" si="454"/>
        <v xml:space="preserve">Valid </v>
      </c>
      <c r="AL2187" t="str">
        <f>IF(AND(Audit_Data[[#This Row],[Recency]]&gt;=0,Audit_Data[[#This Row],[Recency]]&lt;=100),"Valid","Invalid")</f>
        <v>Valid</v>
      </c>
      <c r="AM2187" t="str">
        <f t="shared" si="448"/>
        <v>Valid</v>
      </c>
      <c r="AN2187" t="str">
        <f t="shared" si="449"/>
        <v>Valid</v>
      </c>
      <c r="AO2187" t="str">
        <f t="shared" si="450"/>
        <v>Valid</v>
      </c>
      <c r="AP2187" t="str">
        <f t="shared" si="451"/>
        <v>Valid</v>
      </c>
      <c r="AQ2187" t="str">
        <f>IF(Audit_Data[[#This Row],[Z_CostContact]]=3,"Valid","Invalid")</f>
        <v>Valid</v>
      </c>
      <c r="AR2187" t="str">
        <f t="shared" si="452"/>
        <v>Valid</v>
      </c>
      <c r="AS2187" t="str">
        <f t="shared" si="453"/>
        <v>Valid</v>
      </c>
    </row>
    <row r="2188" spans="1:45" x14ac:dyDescent="0.3">
      <c r="A2188">
        <v>2666</v>
      </c>
      <c r="B2188">
        <v>1972</v>
      </c>
      <c r="C2188" t="s">
        <v>34</v>
      </c>
      <c r="D2188" t="s">
        <v>33</v>
      </c>
      <c r="E2188">
        <v>76234</v>
      </c>
      <c r="F2188">
        <v>0</v>
      </c>
      <c r="G2188">
        <v>1</v>
      </c>
      <c r="H2188" s="1">
        <v>41676</v>
      </c>
      <c r="I2188">
        <v>21</v>
      </c>
      <c r="J2188">
        <v>519</v>
      </c>
      <c r="K2188">
        <v>50</v>
      </c>
      <c r="L2188">
        <v>167</v>
      </c>
      <c r="M2188">
        <v>130</v>
      </c>
      <c r="N2188">
        <v>0</v>
      </c>
      <c r="O2188">
        <v>41</v>
      </c>
      <c r="P2188">
        <v>1</v>
      </c>
      <c r="Q2188">
        <v>8</v>
      </c>
      <c r="R2188">
        <v>3</v>
      </c>
      <c r="S2188">
        <v>11</v>
      </c>
      <c r="T2188">
        <v>3</v>
      </c>
      <c r="U2188">
        <v>0</v>
      </c>
      <c r="V2188">
        <v>1</v>
      </c>
      <c r="W2188">
        <v>0</v>
      </c>
      <c r="X2188">
        <v>0</v>
      </c>
      <c r="Y2188">
        <v>0</v>
      </c>
      <c r="Z2188">
        <v>0</v>
      </c>
      <c r="AA2188">
        <v>3</v>
      </c>
      <c r="AB2188">
        <v>11</v>
      </c>
      <c r="AC2188">
        <v>0</v>
      </c>
      <c r="AD2188" t="str">
        <f t="shared" si="442"/>
        <v>Ok</v>
      </c>
      <c r="AE2188" t="str">
        <f>IF(AND(Audit_Data[[#This Row],[Year_Birth]]&gt;=1900,Audit_Data[[#This Row],[Year_Birth]]&lt;=2010),"OK","Invalid")</f>
        <v>OK</v>
      </c>
      <c r="AF2188" t="str">
        <f t="shared" si="443"/>
        <v>Valid</v>
      </c>
      <c r="AG2188" t="str">
        <f t="shared" si="444"/>
        <v>Valid</v>
      </c>
      <c r="AH2188" t="str">
        <f t="shared" si="445"/>
        <v>Valid</v>
      </c>
      <c r="AI2188" t="str">
        <f t="shared" si="446"/>
        <v>Valid</v>
      </c>
      <c r="AJ2188" t="str">
        <f t="shared" si="447"/>
        <v>Valid</v>
      </c>
      <c r="AK2188" t="str">
        <f t="shared" si="454"/>
        <v xml:space="preserve">Valid </v>
      </c>
      <c r="AL2188" t="str">
        <f>IF(AND(Audit_Data[[#This Row],[Recency]]&gt;=0,Audit_Data[[#This Row],[Recency]]&lt;=100),"Valid","Invalid")</f>
        <v>Valid</v>
      </c>
      <c r="AM2188" t="str">
        <f t="shared" si="448"/>
        <v>Valid</v>
      </c>
      <c r="AN2188" t="str">
        <f t="shared" si="449"/>
        <v>Valid</v>
      </c>
      <c r="AO2188" t="str">
        <f t="shared" si="450"/>
        <v>Valid</v>
      </c>
      <c r="AP2188" t="str">
        <f t="shared" si="451"/>
        <v>Valid</v>
      </c>
      <c r="AQ2188" t="str">
        <f>IF(Audit_Data[[#This Row],[Z_CostContact]]=3,"Valid","Invalid")</f>
        <v>Valid</v>
      </c>
      <c r="AR2188" t="str">
        <f t="shared" si="452"/>
        <v>Valid</v>
      </c>
      <c r="AS2188" t="str">
        <f t="shared" si="453"/>
        <v>Valid</v>
      </c>
    </row>
    <row r="2189" spans="1:45" x14ac:dyDescent="0.3">
      <c r="A2189">
        <v>5721</v>
      </c>
      <c r="B2189">
        <v>1956</v>
      </c>
      <c r="C2189" t="s">
        <v>32</v>
      </c>
      <c r="D2189" t="s">
        <v>33</v>
      </c>
      <c r="E2189">
        <v>84117</v>
      </c>
      <c r="F2189">
        <v>0</v>
      </c>
      <c r="G2189">
        <v>0</v>
      </c>
      <c r="H2189" s="1">
        <v>41770</v>
      </c>
      <c r="I2189">
        <v>60</v>
      </c>
      <c r="J2189">
        <v>611</v>
      </c>
      <c r="K2189">
        <v>76</v>
      </c>
      <c r="L2189">
        <v>749</v>
      </c>
      <c r="M2189">
        <v>59</v>
      </c>
      <c r="N2189">
        <v>45</v>
      </c>
      <c r="O2189">
        <v>26</v>
      </c>
      <c r="P2189">
        <v>1</v>
      </c>
      <c r="Q2189">
        <v>7</v>
      </c>
      <c r="R2189">
        <v>10</v>
      </c>
      <c r="S2189">
        <v>6</v>
      </c>
      <c r="T2189">
        <v>2</v>
      </c>
      <c r="U2189">
        <v>0</v>
      </c>
      <c r="V2189">
        <v>0</v>
      </c>
      <c r="W2189">
        <v>1</v>
      </c>
      <c r="X2189">
        <v>0</v>
      </c>
      <c r="Y2189">
        <v>0</v>
      </c>
      <c r="Z2189">
        <v>0</v>
      </c>
      <c r="AA2189">
        <v>3</v>
      </c>
      <c r="AB2189">
        <v>11</v>
      </c>
      <c r="AC2189">
        <v>0</v>
      </c>
      <c r="AD2189" t="str">
        <f t="shared" si="442"/>
        <v>Ok</v>
      </c>
      <c r="AE2189" t="str">
        <f>IF(AND(Audit_Data[[#This Row],[Year_Birth]]&gt;=1900,Audit_Data[[#This Row],[Year_Birth]]&lt;=2010),"OK","Invalid")</f>
        <v>OK</v>
      </c>
      <c r="AF2189" t="str">
        <f t="shared" si="443"/>
        <v>Valid</v>
      </c>
      <c r="AG2189" t="str">
        <f t="shared" si="444"/>
        <v>Valid</v>
      </c>
      <c r="AH2189" t="str">
        <f t="shared" si="445"/>
        <v>Valid</v>
      </c>
      <c r="AI2189" t="str">
        <f t="shared" si="446"/>
        <v>Valid</v>
      </c>
      <c r="AJ2189" t="str">
        <f t="shared" si="447"/>
        <v>Valid</v>
      </c>
      <c r="AK2189" t="str">
        <f t="shared" si="454"/>
        <v xml:space="preserve">Valid </v>
      </c>
      <c r="AL2189" t="str">
        <f>IF(AND(Audit_Data[[#This Row],[Recency]]&gt;=0,Audit_Data[[#This Row],[Recency]]&lt;=100),"Valid","Invalid")</f>
        <v>Valid</v>
      </c>
      <c r="AM2189" t="str">
        <f t="shared" si="448"/>
        <v>Valid</v>
      </c>
      <c r="AN2189" t="str">
        <f t="shared" si="449"/>
        <v>Valid</v>
      </c>
      <c r="AO2189" t="str">
        <f t="shared" si="450"/>
        <v>Valid</v>
      </c>
      <c r="AP2189" t="str">
        <f t="shared" si="451"/>
        <v>Valid</v>
      </c>
      <c r="AQ2189" t="str">
        <f>IF(Audit_Data[[#This Row],[Z_CostContact]]=3,"Valid","Invalid")</f>
        <v>Valid</v>
      </c>
      <c r="AR2189" t="str">
        <f t="shared" si="452"/>
        <v>Valid</v>
      </c>
      <c r="AS2189" t="str">
        <f t="shared" si="453"/>
        <v>Valid</v>
      </c>
    </row>
    <row r="2190" spans="1:45" x14ac:dyDescent="0.3">
      <c r="A2190">
        <v>10652</v>
      </c>
      <c r="B2190">
        <v>1957</v>
      </c>
      <c r="C2190" t="s">
        <v>34</v>
      </c>
      <c r="D2190" t="s">
        <v>31</v>
      </c>
      <c r="E2190">
        <v>65487</v>
      </c>
      <c r="F2190">
        <v>0</v>
      </c>
      <c r="G2190">
        <v>0</v>
      </c>
      <c r="H2190" s="1">
        <v>41649</v>
      </c>
      <c r="I2190">
        <v>48</v>
      </c>
      <c r="J2190">
        <v>240</v>
      </c>
      <c r="K2190">
        <v>67</v>
      </c>
      <c r="L2190">
        <v>500</v>
      </c>
      <c r="M2190">
        <v>199</v>
      </c>
      <c r="N2190">
        <v>0</v>
      </c>
      <c r="O2190">
        <v>163</v>
      </c>
      <c r="P2190">
        <v>3</v>
      </c>
      <c r="Q2190">
        <v>3</v>
      </c>
      <c r="R2190">
        <v>5</v>
      </c>
      <c r="S2190">
        <v>6</v>
      </c>
      <c r="T2190">
        <v>2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3</v>
      </c>
      <c r="AB2190">
        <v>11</v>
      </c>
      <c r="AC2190">
        <v>0</v>
      </c>
      <c r="AD2190" t="str">
        <f t="shared" si="442"/>
        <v>Ok</v>
      </c>
      <c r="AE2190" t="str">
        <f>IF(AND(Audit_Data[[#This Row],[Year_Birth]]&gt;=1900,Audit_Data[[#This Row],[Year_Birth]]&lt;=2010),"OK","Invalid")</f>
        <v>OK</v>
      </c>
      <c r="AF2190" t="str">
        <f t="shared" si="443"/>
        <v>Valid</v>
      </c>
      <c r="AG2190" t="str">
        <f t="shared" si="444"/>
        <v>Valid</v>
      </c>
      <c r="AH2190" t="str">
        <f t="shared" si="445"/>
        <v>Valid</v>
      </c>
      <c r="AI2190" t="str">
        <f t="shared" si="446"/>
        <v>Valid</v>
      </c>
      <c r="AJ2190" t="str">
        <f t="shared" si="447"/>
        <v>Valid</v>
      </c>
      <c r="AK2190" t="str">
        <f t="shared" si="454"/>
        <v xml:space="preserve">Valid </v>
      </c>
      <c r="AL2190" t="str">
        <f>IF(AND(Audit_Data[[#This Row],[Recency]]&gt;=0,Audit_Data[[#This Row],[Recency]]&lt;=100),"Valid","Invalid")</f>
        <v>Valid</v>
      </c>
      <c r="AM2190" t="str">
        <f t="shared" si="448"/>
        <v>Valid</v>
      </c>
      <c r="AN2190" t="str">
        <f t="shared" si="449"/>
        <v>Valid</v>
      </c>
      <c r="AO2190" t="str">
        <f t="shared" si="450"/>
        <v>Valid</v>
      </c>
      <c r="AP2190" t="str">
        <f t="shared" si="451"/>
        <v>Valid</v>
      </c>
      <c r="AQ2190" t="str">
        <f>IF(Audit_Data[[#This Row],[Z_CostContact]]=3,"Valid","Invalid")</f>
        <v>Valid</v>
      </c>
      <c r="AR2190" t="str">
        <f t="shared" si="452"/>
        <v>Valid</v>
      </c>
      <c r="AS2190" t="str">
        <f t="shared" si="453"/>
        <v>Valid</v>
      </c>
    </row>
    <row r="2191" spans="1:45" x14ac:dyDescent="0.3">
      <c r="A2191">
        <v>1646</v>
      </c>
      <c r="B2191">
        <v>1972</v>
      </c>
      <c r="C2191" t="s">
        <v>36</v>
      </c>
      <c r="D2191" t="s">
        <v>33</v>
      </c>
      <c r="E2191">
        <v>25224</v>
      </c>
      <c r="F2191">
        <v>1</v>
      </c>
      <c r="G2191">
        <v>0</v>
      </c>
      <c r="H2191" s="1">
        <v>41714</v>
      </c>
      <c r="I2191">
        <v>36</v>
      </c>
      <c r="J2191">
        <v>4</v>
      </c>
      <c r="K2191">
        <v>9</v>
      </c>
      <c r="L2191">
        <v>12</v>
      </c>
      <c r="M2191">
        <v>11</v>
      </c>
      <c r="N2191">
        <v>2</v>
      </c>
      <c r="O2191">
        <v>8</v>
      </c>
      <c r="P2191">
        <v>2</v>
      </c>
      <c r="Q2191">
        <v>1</v>
      </c>
      <c r="R2191">
        <v>1</v>
      </c>
      <c r="S2191">
        <v>3</v>
      </c>
      <c r="T2191">
        <v>3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3</v>
      </c>
      <c r="AB2191">
        <v>11</v>
      </c>
      <c r="AC2191">
        <v>0</v>
      </c>
      <c r="AD2191" t="str">
        <f t="shared" si="442"/>
        <v>Ok</v>
      </c>
      <c r="AE2191" t="str">
        <f>IF(AND(Audit_Data[[#This Row],[Year_Birth]]&gt;=1900,Audit_Data[[#This Row],[Year_Birth]]&lt;=2010),"OK","Invalid")</f>
        <v>OK</v>
      </c>
      <c r="AF2191" t="str">
        <f t="shared" si="443"/>
        <v>Valid</v>
      </c>
      <c r="AG2191" t="str">
        <f t="shared" si="444"/>
        <v>Valid</v>
      </c>
      <c r="AH2191" t="str">
        <f t="shared" si="445"/>
        <v>Valid</v>
      </c>
      <c r="AI2191" t="str">
        <f t="shared" si="446"/>
        <v>Valid</v>
      </c>
      <c r="AJ2191" t="str">
        <f t="shared" si="447"/>
        <v>Valid</v>
      </c>
      <c r="AK2191" t="str">
        <f t="shared" si="454"/>
        <v xml:space="preserve">Valid </v>
      </c>
      <c r="AL2191" t="str">
        <f>IF(AND(Audit_Data[[#This Row],[Recency]]&gt;=0,Audit_Data[[#This Row],[Recency]]&lt;=100),"Valid","Invalid")</f>
        <v>Valid</v>
      </c>
      <c r="AM2191" t="str">
        <f t="shared" si="448"/>
        <v>Valid</v>
      </c>
      <c r="AN2191" t="str">
        <f t="shared" si="449"/>
        <v>Valid</v>
      </c>
      <c r="AO2191" t="str">
        <f t="shared" si="450"/>
        <v>Valid</v>
      </c>
      <c r="AP2191" t="str">
        <f t="shared" si="451"/>
        <v>Valid</v>
      </c>
      <c r="AQ2191" t="str">
        <f>IF(Audit_Data[[#This Row],[Z_CostContact]]=3,"Valid","Invalid")</f>
        <v>Valid</v>
      </c>
      <c r="AR2191" t="str">
        <f t="shared" si="452"/>
        <v>Valid</v>
      </c>
      <c r="AS2191" t="str">
        <f t="shared" si="453"/>
        <v>Valid</v>
      </c>
    </row>
    <row r="2192" spans="1:45" x14ac:dyDescent="0.3">
      <c r="A2192">
        <v>4418</v>
      </c>
      <c r="B2192">
        <v>1983</v>
      </c>
      <c r="C2192" t="s">
        <v>34</v>
      </c>
      <c r="D2192" t="s">
        <v>30</v>
      </c>
      <c r="E2192">
        <v>89616</v>
      </c>
      <c r="F2192">
        <v>0</v>
      </c>
      <c r="G2192">
        <v>0</v>
      </c>
      <c r="H2192" s="1">
        <v>41330</v>
      </c>
      <c r="I2192">
        <v>36</v>
      </c>
      <c r="J2192">
        <v>671</v>
      </c>
      <c r="K2192">
        <v>47</v>
      </c>
      <c r="L2192">
        <v>655</v>
      </c>
      <c r="M2192">
        <v>145</v>
      </c>
      <c r="N2192">
        <v>111</v>
      </c>
      <c r="O2192">
        <v>15</v>
      </c>
      <c r="P2192">
        <v>1</v>
      </c>
      <c r="Q2192">
        <v>7</v>
      </c>
      <c r="R2192">
        <v>5</v>
      </c>
      <c r="S2192">
        <v>12</v>
      </c>
      <c r="T2192">
        <v>2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3</v>
      </c>
      <c r="AB2192">
        <v>11</v>
      </c>
      <c r="AC2192">
        <v>1</v>
      </c>
      <c r="AD2192" t="str">
        <f t="shared" si="442"/>
        <v>Ok</v>
      </c>
      <c r="AE2192" t="str">
        <f>IF(AND(Audit_Data[[#This Row],[Year_Birth]]&gt;=1900,Audit_Data[[#This Row],[Year_Birth]]&lt;=2010),"OK","Invalid")</f>
        <v>OK</v>
      </c>
      <c r="AF2192" t="str">
        <f t="shared" si="443"/>
        <v>Valid</v>
      </c>
      <c r="AG2192" t="str">
        <f t="shared" si="444"/>
        <v>Valid</v>
      </c>
      <c r="AH2192" t="str">
        <f t="shared" si="445"/>
        <v>Valid</v>
      </c>
      <c r="AI2192" t="str">
        <f t="shared" si="446"/>
        <v>Valid</v>
      </c>
      <c r="AJ2192" t="str">
        <f t="shared" si="447"/>
        <v>Valid</v>
      </c>
      <c r="AK2192" t="str">
        <f t="shared" si="454"/>
        <v xml:space="preserve">Valid </v>
      </c>
      <c r="AL2192" t="str">
        <f>IF(AND(Audit_Data[[#This Row],[Recency]]&gt;=0,Audit_Data[[#This Row],[Recency]]&lt;=100),"Valid","Invalid")</f>
        <v>Valid</v>
      </c>
      <c r="AM2192" t="str">
        <f t="shared" si="448"/>
        <v>Valid</v>
      </c>
      <c r="AN2192" t="str">
        <f t="shared" si="449"/>
        <v>Valid</v>
      </c>
      <c r="AO2192" t="str">
        <f t="shared" si="450"/>
        <v>Valid</v>
      </c>
      <c r="AP2192" t="str">
        <f t="shared" si="451"/>
        <v>Valid</v>
      </c>
      <c r="AQ2192" t="str">
        <f>IF(Audit_Data[[#This Row],[Z_CostContact]]=3,"Valid","Invalid")</f>
        <v>Valid</v>
      </c>
      <c r="AR2192" t="str">
        <f t="shared" si="452"/>
        <v>Valid</v>
      </c>
      <c r="AS2192" t="str">
        <f t="shared" si="453"/>
        <v>Valid</v>
      </c>
    </row>
    <row r="2193" spans="1:45" x14ac:dyDescent="0.3">
      <c r="A2193">
        <v>2656</v>
      </c>
      <c r="B2193">
        <v>1971</v>
      </c>
      <c r="C2193" t="s">
        <v>29</v>
      </c>
      <c r="D2193" t="s">
        <v>35</v>
      </c>
      <c r="E2193">
        <v>40851</v>
      </c>
      <c r="F2193">
        <v>1</v>
      </c>
      <c r="G2193">
        <v>1</v>
      </c>
      <c r="H2193" s="1">
        <v>41326</v>
      </c>
      <c r="I2193">
        <v>63</v>
      </c>
      <c r="J2193">
        <v>23</v>
      </c>
      <c r="K2193">
        <v>1</v>
      </c>
      <c r="L2193">
        <v>7</v>
      </c>
      <c r="M2193">
        <v>0</v>
      </c>
      <c r="N2193">
        <v>4</v>
      </c>
      <c r="O2193">
        <v>24</v>
      </c>
      <c r="P2193">
        <v>1</v>
      </c>
      <c r="Q2193">
        <v>1</v>
      </c>
      <c r="R2193">
        <v>1</v>
      </c>
      <c r="S2193">
        <v>2</v>
      </c>
      <c r="T2193">
        <v>7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3</v>
      </c>
      <c r="AB2193">
        <v>11</v>
      </c>
      <c r="AC2193">
        <v>0</v>
      </c>
      <c r="AD2193" t="str">
        <f t="shared" si="442"/>
        <v>Ok</v>
      </c>
      <c r="AE2193" t="str">
        <f>IF(AND(Audit_Data[[#This Row],[Year_Birth]]&gt;=1900,Audit_Data[[#This Row],[Year_Birth]]&lt;=2010),"OK","Invalid")</f>
        <v>OK</v>
      </c>
      <c r="AF2193" t="str">
        <f t="shared" si="443"/>
        <v>Valid</v>
      </c>
      <c r="AG2193" t="str">
        <f t="shared" si="444"/>
        <v>Valid</v>
      </c>
      <c r="AH2193" t="str">
        <f t="shared" si="445"/>
        <v>Valid</v>
      </c>
      <c r="AI2193" t="str">
        <f t="shared" si="446"/>
        <v>Valid</v>
      </c>
      <c r="AJ2193" t="str">
        <f t="shared" si="447"/>
        <v>Valid</v>
      </c>
      <c r="AK2193" t="str">
        <f t="shared" si="454"/>
        <v xml:space="preserve">Valid </v>
      </c>
      <c r="AL2193" t="str">
        <f>IF(AND(Audit_Data[[#This Row],[Recency]]&gt;=0,Audit_Data[[#This Row],[Recency]]&lt;=100),"Valid","Invalid")</f>
        <v>Valid</v>
      </c>
      <c r="AM2193" t="str">
        <f t="shared" si="448"/>
        <v>Valid</v>
      </c>
      <c r="AN2193" t="str">
        <f t="shared" si="449"/>
        <v>Valid</v>
      </c>
      <c r="AO2193" t="str">
        <f t="shared" si="450"/>
        <v>Valid</v>
      </c>
      <c r="AP2193" t="str">
        <f t="shared" si="451"/>
        <v>Valid</v>
      </c>
      <c r="AQ2193" t="str">
        <f>IF(Audit_Data[[#This Row],[Z_CostContact]]=3,"Valid","Invalid")</f>
        <v>Valid</v>
      </c>
      <c r="AR2193" t="str">
        <f t="shared" si="452"/>
        <v>Valid</v>
      </c>
      <c r="AS2193" t="str">
        <f t="shared" si="453"/>
        <v>Valid</v>
      </c>
    </row>
    <row r="2194" spans="1:45" x14ac:dyDescent="0.3">
      <c r="A2194">
        <v>7990</v>
      </c>
      <c r="B2194">
        <v>1947</v>
      </c>
      <c r="C2194" t="s">
        <v>29</v>
      </c>
      <c r="D2194" t="s">
        <v>33</v>
      </c>
      <c r="E2194">
        <v>27469</v>
      </c>
      <c r="F2194">
        <v>0</v>
      </c>
      <c r="G2194">
        <v>0</v>
      </c>
      <c r="H2194" s="1">
        <v>41123</v>
      </c>
      <c r="I2194">
        <v>2</v>
      </c>
      <c r="J2194">
        <v>9</v>
      </c>
      <c r="K2194">
        <v>1</v>
      </c>
      <c r="L2194">
        <v>2</v>
      </c>
      <c r="M2194">
        <v>3</v>
      </c>
      <c r="N2194">
        <v>2</v>
      </c>
      <c r="O2194">
        <v>0</v>
      </c>
      <c r="P2194">
        <v>1</v>
      </c>
      <c r="Q2194">
        <v>0</v>
      </c>
      <c r="R2194">
        <v>0</v>
      </c>
      <c r="S2194">
        <v>3</v>
      </c>
      <c r="T2194">
        <v>6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3</v>
      </c>
      <c r="AB2194">
        <v>11</v>
      </c>
      <c r="AC2194">
        <v>0</v>
      </c>
      <c r="AD2194" t="str">
        <f t="shared" si="442"/>
        <v>Ok</v>
      </c>
      <c r="AE2194" t="str">
        <f>IF(AND(Audit_Data[[#This Row],[Year_Birth]]&gt;=1900,Audit_Data[[#This Row],[Year_Birth]]&lt;=2010),"OK","Invalid")</f>
        <v>OK</v>
      </c>
      <c r="AF2194" t="str">
        <f t="shared" si="443"/>
        <v>Valid</v>
      </c>
      <c r="AG2194" t="str">
        <f t="shared" si="444"/>
        <v>Valid</v>
      </c>
      <c r="AH2194" t="str">
        <f t="shared" si="445"/>
        <v>Valid</v>
      </c>
      <c r="AI2194" t="str">
        <f t="shared" si="446"/>
        <v>Valid</v>
      </c>
      <c r="AJ2194" t="str">
        <f t="shared" si="447"/>
        <v>Valid</v>
      </c>
      <c r="AK2194" t="str">
        <f t="shared" si="454"/>
        <v xml:space="preserve">Valid </v>
      </c>
      <c r="AL2194" t="str">
        <f>IF(AND(Audit_Data[[#This Row],[Recency]]&gt;=0,Audit_Data[[#This Row],[Recency]]&lt;=100),"Valid","Invalid")</f>
        <v>Valid</v>
      </c>
      <c r="AM2194" t="str">
        <f t="shared" si="448"/>
        <v>Valid</v>
      </c>
      <c r="AN2194" t="str">
        <f t="shared" si="449"/>
        <v>Valid</v>
      </c>
      <c r="AO2194" t="str">
        <f t="shared" si="450"/>
        <v>Valid</v>
      </c>
      <c r="AP2194" t="str">
        <f t="shared" si="451"/>
        <v>Valid</v>
      </c>
      <c r="AQ2194" t="str">
        <f>IF(Audit_Data[[#This Row],[Z_CostContact]]=3,"Valid","Invalid")</f>
        <v>Valid</v>
      </c>
      <c r="AR2194" t="str">
        <f t="shared" si="452"/>
        <v>Valid</v>
      </c>
      <c r="AS2194" t="str">
        <f t="shared" si="453"/>
        <v>Valid</v>
      </c>
    </row>
    <row r="2195" spans="1:45" x14ac:dyDescent="0.3">
      <c r="A2195">
        <v>8722</v>
      </c>
      <c r="B2195">
        <v>1957</v>
      </c>
      <c r="C2195" t="s">
        <v>37</v>
      </c>
      <c r="D2195" t="s">
        <v>33</v>
      </c>
      <c r="E2195">
        <v>82347</v>
      </c>
      <c r="F2195">
        <v>0</v>
      </c>
      <c r="G2195">
        <v>0</v>
      </c>
      <c r="H2195" s="1">
        <v>41219</v>
      </c>
      <c r="I2195">
        <v>38</v>
      </c>
      <c r="J2195">
        <v>556</v>
      </c>
      <c r="K2195">
        <v>54</v>
      </c>
      <c r="L2195">
        <v>845</v>
      </c>
      <c r="M2195">
        <v>202</v>
      </c>
      <c r="N2195">
        <v>133</v>
      </c>
      <c r="O2195">
        <v>63</v>
      </c>
      <c r="P2195">
        <v>1</v>
      </c>
      <c r="Q2195">
        <v>7</v>
      </c>
      <c r="R2195">
        <v>7</v>
      </c>
      <c r="S2195">
        <v>10</v>
      </c>
      <c r="T2195">
        <v>3</v>
      </c>
      <c r="U2195">
        <v>1</v>
      </c>
      <c r="V2195">
        <v>0</v>
      </c>
      <c r="W2195">
        <v>0</v>
      </c>
      <c r="X2195">
        <v>1</v>
      </c>
      <c r="Y2195">
        <v>0</v>
      </c>
      <c r="Z2195">
        <v>0</v>
      </c>
      <c r="AA2195">
        <v>3</v>
      </c>
      <c r="AB2195">
        <v>11</v>
      </c>
      <c r="AC2195">
        <v>1</v>
      </c>
      <c r="AD2195" t="str">
        <f t="shared" si="442"/>
        <v>Ok</v>
      </c>
      <c r="AE2195" t="str">
        <f>IF(AND(Audit_Data[[#This Row],[Year_Birth]]&gt;=1900,Audit_Data[[#This Row],[Year_Birth]]&lt;=2010),"OK","Invalid")</f>
        <v>OK</v>
      </c>
      <c r="AF2195" t="str">
        <f t="shared" si="443"/>
        <v>Valid</v>
      </c>
      <c r="AG2195" t="str">
        <f t="shared" si="444"/>
        <v>Valid</v>
      </c>
      <c r="AH2195" t="str">
        <f t="shared" si="445"/>
        <v>Valid</v>
      </c>
      <c r="AI2195" t="str">
        <f t="shared" si="446"/>
        <v>Valid</v>
      </c>
      <c r="AJ2195" t="str">
        <f t="shared" si="447"/>
        <v>Valid</v>
      </c>
      <c r="AK2195" t="str">
        <f t="shared" si="454"/>
        <v xml:space="preserve">Valid </v>
      </c>
      <c r="AL2195" t="str">
        <f>IF(AND(Audit_Data[[#This Row],[Recency]]&gt;=0,Audit_Data[[#This Row],[Recency]]&lt;=100),"Valid","Invalid")</f>
        <v>Valid</v>
      </c>
      <c r="AM2195" t="str">
        <f t="shared" si="448"/>
        <v>Valid</v>
      </c>
      <c r="AN2195" t="str">
        <f t="shared" si="449"/>
        <v>Valid</v>
      </c>
      <c r="AO2195" t="str">
        <f t="shared" si="450"/>
        <v>Valid</v>
      </c>
      <c r="AP2195" t="str">
        <f t="shared" si="451"/>
        <v>Valid</v>
      </c>
      <c r="AQ2195" t="str">
        <f>IF(Audit_Data[[#This Row],[Z_CostContact]]=3,"Valid","Invalid")</f>
        <v>Valid</v>
      </c>
      <c r="AR2195" t="str">
        <f t="shared" si="452"/>
        <v>Valid</v>
      </c>
      <c r="AS2195" t="str">
        <f t="shared" si="453"/>
        <v>Valid</v>
      </c>
    </row>
    <row r="2196" spans="1:45" x14ac:dyDescent="0.3">
      <c r="A2196">
        <v>7118</v>
      </c>
      <c r="B2196">
        <v>1957</v>
      </c>
      <c r="C2196" t="s">
        <v>29</v>
      </c>
      <c r="D2196" t="s">
        <v>33</v>
      </c>
      <c r="E2196">
        <v>73803</v>
      </c>
      <c r="F2196">
        <v>0</v>
      </c>
      <c r="G2196">
        <v>1</v>
      </c>
      <c r="H2196" s="1">
        <v>41122</v>
      </c>
      <c r="I2196">
        <v>61</v>
      </c>
      <c r="J2196">
        <v>833</v>
      </c>
      <c r="K2196">
        <v>80</v>
      </c>
      <c r="L2196">
        <v>363</v>
      </c>
      <c r="M2196">
        <v>52</v>
      </c>
      <c r="N2196">
        <v>26</v>
      </c>
      <c r="O2196">
        <v>174</v>
      </c>
      <c r="P2196">
        <v>2</v>
      </c>
      <c r="Q2196">
        <v>9</v>
      </c>
      <c r="R2196">
        <v>5</v>
      </c>
      <c r="S2196">
        <v>6</v>
      </c>
      <c r="T2196">
        <v>6</v>
      </c>
      <c r="U2196">
        <v>1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3</v>
      </c>
      <c r="AB2196">
        <v>11</v>
      </c>
      <c r="AC2196">
        <v>1</v>
      </c>
      <c r="AD2196" t="str">
        <f t="shared" si="442"/>
        <v>Ok</v>
      </c>
      <c r="AE2196" t="str">
        <f>IF(AND(Audit_Data[[#This Row],[Year_Birth]]&gt;=1900,Audit_Data[[#This Row],[Year_Birth]]&lt;=2010),"OK","Invalid")</f>
        <v>OK</v>
      </c>
      <c r="AF2196" t="str">
        <f t="shared" si="443"/>
        <v>Valid</v>
      </c>
      <c r="AG2196" t="str">
        <f t="shared" si="444"/>
        <v>Valid</v>
      </c>
      <c r="AH2196" t="str">
        <f t="shared" si="445"/>
        <v>Valid</v>
      </c>
      <c r="AI2196" t="str">
        <f t="shared" si="446"/>
        <v>Valid</v>
      </c>
      <c r="AJ2196" t="str">
        <f t="shared" si="447"/>
        <v>Valid</v>
      </c>
      <c r="AK2196" t="str">
        <f t="shared" si="454"/>
        <v xml:space="preserve">Valid </v>
      </c>
      <c r="AL2196" t="str">
        <f>IF(AND(Audit_Data[[#This Row],[Recency]]&gt;=0,Audit_Data[[#This Row],[Recency]]&lt;=100),"Valid","Invalid")</f>
        <v>Valid</v>
      </c>
      <c r="AM2196" t="str">
        <f t="shared" si="448"/>
        <v>Valid</v>
      </c>
      <c r="AN2196" t="str">
        <f t="shared" si="449"/>
        <v>Valid</v>
      </c>
      <c r="AO2196" t="str">
        <f t="shared" si="450"/>
        <v>Valid</v>
      </c>
      <c r="AP2196" t="str">
        <f t="shared" si="451"/>
        <v>Valid</v>
      </c>
      <c r="AQ2196" t="str">
        <f>IF(Audit_Data[[#This Row],[Z_CostContact]]=3,"Valid","Invalid")</f>
        <v>Valid</v>
      </c>
      <c r="AR2196" t="str">
        <f t="shared" si="452"/>
        <v>Valid</v>
      </c>
      <c r="AS2196" t="str">
        <f t="shared" si="453"/>
        <v>Valid</v>
      </c>
    </row>
    <row r="2197" spans="1:45" x14ac:dyDescent="0.3">
      <c r="A2197">
        <v>2980</v>
      </c>
      <c r="B2197">
        <v>1952</v>
      </c>
      <c r="C2197" t="s">
        <v>34</v>
      </c>
      <c r="D2197" t="s">
        <v>30</v>
      </c>
      <c r="E2197">
        <v>8820</v>
      </c>
      <c r="F2197">
        <v>1</v>
      </c>
      <c r="G2197">
        <v>1</v>
      </c>
      <c r="H2197" s="1">
        <v>41355</v>
      </c>
      <c r="I2197">
        <v>52</v>
      </c>
      <c r="J2197">
        <v>12</v>
      </c>
      <c r="K2197">
        <v>0</v>
      </c>
      <c r="L2197">
        <v>13</v>
      </c>
      <c r="M2197">
        <v>4</v>
      </c>
      <c r="N2197">
        <v>2</v>
      </c>
      <c r="O2197">
        <v>4</v>
      </c>
      <c r="P2197">
        <v>4</v>
      </c>
      <c r="Q2197">
        <v>3</v>
      </c>
      <c r="R2197">
        <v>0</v>
      </c>
      <c r="S2197">
        <v>3</v>
      </c>
      <c r="T2197">
        <v>8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3</v>
      </c>
      <c r="AB2197">
        <v>11</v>
      </c>
      <c r="AC2197">
        <v>0</v>
      </c>
      <c r="AD2197" t="str">
        <f t="shared" si="442"/>
        <v>Ok</v>
      </c>
      <c r="AE2197" t="str">
        <f>IF(AND(Audit_Data[[#This Row],[Year_Birth]]&gt;=1900,Audit_Data[[#This Row],[Year_Birth]]&lt;=2010),"OK","Invalid")</f>
        <v>OK</v>
      </c>
      <c r="AF2197" t="str">
        <f t="shared" si="443"/>
        <v>Valid</v>
      </c>
      <c r="AG2197" t="str">
        <f t="shared" si="444"/>
        <v>Valid</v>
      </c>
      <c r="AH2197" t="str">
        <f t="shared" si="445"/>
        <v>Valid</v>
      </c>
      <c r="AI2197" t="str">
        <f t="shared" si="446"/>
        <v>Valid</v>
      </c>
      <c r="AJ2197" t="str">
        <f t="shared" si="447"/>
        <v>Valid</v>
      </c>
      <c r="AK2197" t="str">
        <f t="shared" si="454"/>
        <v xml:space="preserve">Valid </v>
      </c>
      <c r="AL2197" t="str">
        <f>IF(AND(Audit_Data[[#This Row],[Recency]]&gt;=0,Audit_Data[[#This Row],[Recency]]&lt;=100),"Valid","Invalid")</f>
        <v>Valid</v>
      </c>
      <c r="AM2197" t="str">
        <f t="shared" si="448"/>
        <v>Valid</v>
      </c>
      <c r="AN2197" t="str">
        <f t="shared" si="449"/>
        <v>Valid</v>
      </c>
      <c r="AO2197" t="str">
        <f t="shared" si="450"/>
        <v>Valid</v>
      </c>
      <c r="AP2197" t="str">
        <f t="shared" si="451"/>
        <v>Valid</v>
      </c>
      <c r="AQ2197" t="str">
        <f>IF(Audit_Data[[#This Row],[Z_CostContact]]=3,"Valid","Invalid")</f>
        <v>Valid</v>
      </c>
      <c r="AR2197" t="str">
        <f t="shared" si="452"/>
        <v>Valid</v>
      </c>
      <c r="AS2197" t="str">
        <f t="shared" si="453"/>
        <v>Valid</v>
      </c>
    </row>
    <row r="2198" spans="1:45" x14ac:dyDescent="0.3">
      <c r="A2198">
        <v>1839</v>
      </c>
      <c r="B2198">
        <v>1974</v>
      </c>
      <c r="C2198" t="s">
        <v>29</v>
      </c>
      <c r="D2198" t="s">
        <v>30</v>
      </c>
      <c r="E2198">
        <v>43322</v>
      </c>
      <c r="F2198">
        <v>0</v>
      </c>
      <c r="G2198">
        <v>0</v>
      </c>
      <c r="H2198" s="1">
        <v>41750</v>
      </c>
      <c r="I2198">
        <v>25</v>
      </c>
      <c r="J2198">
        <v>56</v>
      </c>
      <c r="K2198">
        <v>7</v>
      </c>
      <c r="L2198">
        <v>48</v>
      </c>
      <c r="M2198">
        <v>10</v>
      </c>
      <c r="N2198">
        <v>2</v>
      </c>
      <c r="O2198">
        <v>18</v>
      </c>
      <c r="P2198">
        <v>1</v>
      </c>
      <c r="Q2198">
        <v>3</v>
      </c>
      <c r="R2198">
        <v>0</v>
      </c>
      <c r="S2198">
        <v>4</v>
      </c>
      <c r="T2198">
        <v>7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3</v>
      </c>
      <c r="AB2198">
        <v>11</v>
      </c>
      <c r="AC2198">
        <v>0</v>
      </c>
      <c r="AD2198" t="str">
        <f t="shared" si="442"/>
        <v>Ok</v>
      </c>
      <c r="AE2198" t="str">
        <f>IF(AND(Audit_Data[[#This Row],[Year_Birth]]&gt;=1900,Audit_Data[[#This Row],[Year_Birth]]&lt;=2010),"OK","Invalid")</f>
        <v>OK</v>
      </c>
      <c r="AF2198" t="str">
        <f t="shared" si="443"/>
        <v>Valid</v>
      </c>
      <c r="AG2198" t="str">
        <f t="shared" si="444"/>
        <v>Valid</v>
      </c>
      <c r="AH2198" t="str">
        <f t="shared" si="445"/>
        <v>Valid</v>
      </c>
      <c r="AI2198" t="str">
        <f t="shared" si="446"/>
        <v>Valid</v>
      </c>
      <c r="AJ2198" t="str">
        <f t="shared" si="447"/>
        <v>Valid</v>
      </c>
      <c r="AK2198" t="str">
        <f t="shared" si="454"/>
        <v xml:space="preserve">Valid </v>
      </c>
      <c r="AL2198" t="str">
        <f>IF(AND(Audit_Data[[#This Row],[Recency]]&gt;=0,Audit_Data[[#This Row],[Recency]]&lt;=100),"Valid","Invalid")</f>
        <v>Valid</v>
      </c>
      <c r="AM2198" t="str">
        <f t="shared" si="448"/>
        <v>Valid</v>
      </c>
      <c r="AN2198" t="str">
        <f t="shared" si="449"/>
        <v>Valid</v>
      </c>
      <c r="AO2198" t="str">
        <f t="shared" si="450"/>
        <v>Valid</v>
      </c>
      <c r="AP2198" t="str">
        <f t="shared" si="451"/>
        <v>Valid</v>
      </c>
      <c r="AQ2198" t="str">
        <f>IF(Audit_Data[[#This Row],[Z_CostContact]]=3,"Valid","Invalid")</f>
        <v>Valid</v>
      </c>
      <c r="AR2198" t="str">
        <f t="shared" si="452"/>
        <v>Valid</v>
      </c>
      <c r="AS2198" t="str">
        <f t="shared" si="453"/>
        <v>Valid</v>
      </c>
    </row>
    <row r="2199" spans="1:45" x14ac:dyDescent="0.3">
      <c r="A2199">
        <v>10722</v>
      </c>
      <c r="B2199">
        <v>1973</v>
      </c>
      <c r="C2199" t="s">
        <v>29</v>
      </c>
      <c r="D2199" t="s">
        <v>31</v>
      </c>
      <c r="E2199">
        <v>55593</v>
      </c>
      <c r="F2199">
        <v>0</v>
      </c>
      <c r="G2199">
        <v>1</v>
      </c>
      <c r="H2199" s="1">
        <v>41507</v>
      </c>
      <c r="I2199">
        <v>63</v>
      </c>
      <c r="J2199">
        <v>293</v>
      </c>
      <c r="K2199">
        <v>8</v>
      </c>
      <c r="L2199">
        <v>124</v>
      </c>
      <c r="M2199">
        <v>11</v>
      </c>
      <c r="N2199">
        <v>4</v>
      </c>
      <c r="O2199">
        <v>106</v>
      </c>
      <c r="P2199">
        <v>2</v>
      </c>
      <c r="Q2199">
        <v>6</v>
      </c>
      <c r="R2199">
        <v>6</v>
      </c>
      <c r="S2199">
        <v>3</v>
      </c>
      <c r="T2199">
        <v>6</v>
      </c>
      <c r="U2199">
        <v>1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3</v>
      </c>
      <c r="AB2199">
        <v>11</v>
      </c>
      <c r="AC2199">
        <v>0</v>
      </c>
      <c r="AD2199" t="str">
        <f t="shared" si="442"/>
        <v>Ok</v>
      </c>
      <c r="AE2199" t="str">
        <f>IF(AND(Audit_Data[[#This Row],[Year_Birth]]&gt;=1900,Audit_Data[[#This Row],[Year_Birth]]&lt;=2010),"OK","Invalid")</f>
        <v>OK</v>
      </c>
      <c r="AF2199" t="str">
        <f t="shared" si="443"/>
        <v>Valid</v>
      </c>
      <c r="AG2199" t="str">
        <f t="shared" si="444"/>
        <v>Valid</v>
      </c>
      <c r="AH2199" t="str">
        <f t="shared" si="445"/>
        <v>Valid</v>
      </c>
      <c r="AI2199" t="str">
        <f t="shared" si="446"/>
        <v>Valid</v>
      </c>
      <c r="AJ2199" t="str">
        <f t="shared" si="447"/>
        <v>Valid</v>
      </c>
      <c r="AK2199" t="str">
        <f t="shared" si="454"/>
        <v xml:space="preserve">Valid </v>
      </c>
      <c r="AL2199" t="str">
        <f>IF(AND(Audit_Data[[#This Row],[Recency]]&gt;=0,Audit_Data[[#This Row],[Recency]]&lt;=100),"Valid","Invalid")</f>
        <v>Valid</v>
      </c>
      <c r="AM2199" t="str">
        <f t="shared" si="448"/>
        <v>Valid</v>
      </c>
      <c r="AN2199" t="str">
        <f t="shared" si="449"/>
        <v>Valid</v>
      </c>
      <c r="AO2199" t="str">
        <f t="shared" si="450"/>
        <v>Valid</v>
      </c>
      <c r="AP2199" t="str">
        <f t="shared" si="451"/>
        <v>Valid</v>
      </c>
      <c r="AQ2199" t="str">
        <f>IF(Audit_Data[[#This Row],[Z_CostContact]]=3,"Valid","Invalid")</f>
        <v>Valid</v>
      </c>
      <c r="AR2199" t="str">
        <f t="shared" si="452"/>
        <v>Valid</v>
      </c>
      <c r="AS2199" t="str">
        <f t="shared" si="453"/>
        <v>Valid</v>
      </c>
    </row>
    <row r="2200" spans="1:45" x14ac:dyDescent="0.3">
      <c r="A2200">
        <v>2632</v>
      </c>
      <c r="B2200">
        <v>1954</v>
      </c>
      <c r="C2200" t="s">
        <v>29</v>
      </c>
      <c r="D2200" t="s">
        <v>33</v>
      </c>
      <c r="E2200">
        <v>50501</v>
      </c>
      <c r="F2200">
        <v>1</v>
      </c>
      <c r="G2200">
        <v>1</v>
      </c>
      <c r="H2200" s="1">
        <v>41443</v>
      </c>
      <c r="I2200">
        <v>10</v>
      </c>
      <c r="J2200">
        <v>297</v>
      </c>
      <c r="K2200">
        <v>0</v>
      </c>
      <c r="L2200">
        <v>38</v>
      </c>
      <c r="M2200">
        <v>13</v>
      </c>
      <c r="N2200">
        <v>0</v>
      </c>
      <c r="O2200">
        <v>152</v>
      </c>
      <c r="P2200">
        <v>7</v>
      </c>
      <c r="Q2200">
        <v>5</v>
      </c>
      <c r="R2200">
        <v>4</v>
      </c>
      <c r="S2200">
        <v>4</v>
      </c>
      <c r="T2200">
        <v>6</v>
      </c>
      <c r="U2200">
        <v>1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3</v>
      </c>
      <c r="AB2200">
        <v>11</v>
      </c>
      <c r="AC2200">
        <v>1</v>
      </c>
      <c r="AD2200" t="str">
        <f t="shared" si="442"/>
        <v>Ok</v>
      </c>
      <c r="AE2200" t="str">
        <f>IF(AND(Audit_Data[[#This Row],[Year_Birth]]&gt;=1900,Audit_Data[[#This Row],[Year_Birth]]&lt;=2010),"OK","Invalid")</f>
        <v>OK</v>
      </c>
      <c r="AF2200" t="str">
        <f t="shared" si="443"/>
        <v>Valid</v>
      </c>
      <c r="AG2200" t="str">
        <f t="shared" si="444"/>
        <v>Valid</v>
      </c>
      <c r="AH2200" t="str">
        <f t="shared" si="445"/>
        <v>Valid</v>
      </c>
      <c r="AI2200" t="str">
        <f t="shared" si="446"/>
        <v>Valid</v>
      </c>
      <c r="AJ2200" t="str">
        <f t="shared" si="447"/>
        <v>Valid</v>
      </c>
      <c r="AK2200" t="str">
        <f t="shared" si="454"/>
        <v xml:space="preserve">Valid </v>
      </c>
      <c r="AL2200" t="str">
        <f>IF(AND(Audit_Data[[#This Row],[Recency]]&gt;=0,Audit_Data[[#This Row],[Recency]]&lt;=100),"Valid","Invalid")</f>
        <v>Valid</v>
      </c>
      <c r="AM2200" t="str">
        <f t="shared" si="448"/>
        <v>Valid</v>
      </c>
      <c r="AN2200" t="str">
        <f t="shared" si="449"/>
        <v>Valid</v>
      </c>
      <c r="AO2200" t="str">
        <f t="shared" si="450"/>
        <v>Valid</v>
      </c>
      <c r="AP2200" t="str">
        <f t="shared" si="451"/>
        <v>Valid</v>
      </c>
      <c r="AQ2200" t="str">
        <f>IF(Audit_Data[[#This Row],[Z_CostContact]]=3,"Valid","Invalid")</f>
        <v>Valid</v>
      </c>
      <c r="AR2200" t="str">
        <f t="shared" si="452"/>
        <v>Valid</v>
      </c>
      <c r="AS2200" t="str">
        <f t="shared" si="453"/>
        <v>Valid</v>
      </c>
    </row>
    <row r="2201" spans="1:45" x14ac:dyDescent="0.3">
      <c r="A2201">
        <v>9014</v>
      </c>
      <c r="B2201">
        <v>1975</v>
      </c>
      <c r="C2201" t="s">
        <v>29</v>
      </c>
      <c r="D2201" t="s">
        <v>33</v>
      </c>
      <c r="E2201">
        <v>37085</v>
      </c>
      <c r="F2201">
        <v>1</v>
      </c>
      <c r="G2201">
        <v>1</v>
      </c>
      <c r="H2201" s="1">
        <v>41816</v>
      </c>
      <c r="I2201">
        <v>65</v>
      </c>
      <c r="J2201">
        <v>39</v>
      </c>
      <c r="K2201">
        <v>1</v>
      </c>
      <c r="L2201">
        <v>16</v>
      </c>
      <c r="M2201">
        <v>2</v>
      </c>
      <c r="N2201">
        <v>0</v>
      </c>
      <c r="O2201">
        <v>3</v>
      </c>
      <c r="P2201">
        <v>4</v>
      </c>
      <c r="Q2201">
        <v>3</v>
      </c>
      <c r="R2201">
        <v>0</v>
      </c>
      <c r="S2201">
        <v>3</v>
      </c>
      <c r="T2201">
        <v>8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3</v>
      </c>
      <c r="AB2201">
        <v>11</v>
      </c>
      <c r="AC2201">
        <v>0</v>
      </c>
      <c r="AD2201" t="str">
        <f t="shared" si="442"/>
        <v>Ok</v>
      </c>
      <c r="AE2201" t="str">
        <f>IF(AND(Audit_Data[[#This Row],[Year_Birth]]&gt;=1900,Audit_Data[[#This Row],[Year_Birth]]&lt;=2010),"OK","Invalid")</f>
        <v>OK</v>
      </c>
      <c r="AF2201" t="str">
        <f t="shared" si="443"/>
        <v>Valid</v>
      </c>
      <c r="AG2201" t="str">
        <f t="shared" si="444"/>
        <v>Valid</v>
      </c>
      <c r="AH2201" t="str">
        <f t="shared" si="445"/>
        <v>Valid</v>
      </c>
      <c r="AI2201" t="str">
        <f t="shared" si="446"/>
        <v>Valid</v>
      </c>
      <c r="AJ2201" t="str">
        <f t="shared" si="447"/>
        <v>Valid</v>
      </c>
      <c r="AK2201" t="str">
        <f t="shared" si="454"/>
        <v xml:space="preserve">Valid </v>
      </c>
      <c r="AL2201" t="str">
        <f>IF(AND(Audit_Data[[#This Row],[Recency]]&gt;=0,Audit_Data[[#This Row],[Recency]]&lt;=100),"Valid","Invalid")</f>
        <v>Valid</v>
      </c>
      <c r="AM2201" t="str">
        <f t="shared" si="448"/>
        <v>Valid</v>
      </c>
      <c r="AN2201" t="str">
        <f t="shared" si="449"/>
        <v>Valid</v>
      </c>
      <c r="AO2201" t="str">
        <f t="shared" si="450"/>
        <v>Valid</v>
      </c>
      <c r="AP2201" t="str">
        <f t="shared" si="451"/>
        <v>Valid</v>
      </c>
      <c r="AQ2201" t="str">
        <f>IF(Audit_Data[[#This Row],[Z_CostContact]]=3,"Valid","Invalid")</f>
        <v>Valid</v>
      </c>
      <c r="AR2201" t="str">
        <f t="shared" si="452"/>
        <v>Valid</v>
      </c>
      <c r="AS2201" t="str">
        <f t="shared" si="453"/>
        <v>Valid</v>
      </c>
    </row>
    <row r="2202" spans="1:45" x14ac:dyDescent="0.3">
      <c r="A2202">
        <v>7620</v>
      </c>
      <c r="B2202">
        <v>1990</v>
      </c>
      <c r="C2202" t="s">
        <v>36</v>
      </c>
      <c r="D2202" t="s">
        <v>30</v>
      </c>
      <c r="E2202">
        <v>16185</v>
      </c>
      <c r="F2202">
        <v>1</v>
      </c>
      <c r="G2202">
        <v>0</v>
      </c>
      <c r="H2202" s="1">
        <v>41491</v>
      </c>
      <c r="I2202">
        <v>71</v>
      </c>
      <c r="J2202">
        <v>5</v>
      </c>
      <c r="K2202">
        <v>11</v>
      </c>
      <c r="L2202">
        <v>16</v>
      </c>
      <c r="M2202">
        <v>21</v>
      </c>
      <c r="N2202">
        <v>8</v>
      </c>
      <c r="O2202">
        <v>45</v>
      </c>
      <c r="P2202">
        <v>2</v>
      </c>
      <c r="Q2202">
        <v>2</v>
      </c>
      <c r="R2202">
        <v>2</v>
      </c>
      <c r="S2202">
        <v>2</v>
      </c>
      <c r="T2202">
        <v>8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3</v>
      </c>
      <c r="AB2202">
        <v>11</v>
      </c>
      <c r="AC2202">
        <v>0</v>
      </c>
      <c r="AD2202" t="str">
        <f t="shared" si="442"/>
        <v>Ok</v>
      </c>
      <c r="AE2202" t="str">
        <f>IF(AND(Audit_Data[[#This Row],[Year_Birth]]&gt;=1900,Audit_Data[[#This Row],[Year_Birth]]&lt;=2010),"OK","Invalid")</f>
        <v>OK</v>
      </c>
      <c r="AF2202" t="str">
        <f t="shared" si="443"/>
        <v>Valid</v>
      </c>
      <c r="AG2202" t="str">
        <f t="shared" si="444"/>
        <v>Valid</v>
      </c>
      <c r="AH2202" t="str">
        <f t="shared" si="445"/>
        <v>Valid</v>
      </c>
      <c r="AI2202" t="str">
        <f t="shared" si="446"/>
        <v>Valid</v>
      </c>
      <c r="AJ2202" t="str">
        <f t="shared" si="447"/>
        <v>Valid</v>
      </c>
      <c r="AK2202" t="str">
        <f t="shared" si="454"/>
        <v xml:space="preserve">Valid </v>
      </c>
      <c r="AL2202" t="str">
        <f>IF(AND(Audit_Data[[#This Row],[Recency]]&gt;=0,Audit_Data[[#This Row],[Recency]]&lt;=100),"Valid","Invalid")</f>
        <v>Valid</v>
      </c>
      <c r="AM2202" t="str">
        <f t="shared" si="448"/>
        <v>Valid</v>
      </c>
      <c r="AN2202" t="str">
        <f t="shared" si="449"/>
        <v>Valid</v>
      </c>
      <c r="AO2202" t="str">
        <f t="shared" si="450"/>
        <v>Valid</v>
      </c>
      <c r="AP2202" t="str">
        <f t="shared" si="451"/>
        <v>Valid</v>
      </c>
      <c r="AQ2202" t="str">
        <f>IF(Audit_Data[[#This Row],[Z_CostContact]]=3,"Valid","Invalid")</f>
        <v>Valid</v>
      </c>
      <c r="AR2202" t="str">
        <f t="shared" si="452"/>
        <v>Valid</v>
      </c>
      <c r="AS2202" t="str">
        <f t="shared" si="453"/>
        <v>Valid</v>
      </c>
    </row>
    <row r="2203" spans="1:45" x14ac:dyDescent="0.3">
      <c r="A2203">
        <v>10968</v>
      </c>
      <c r="B2203">
        <v>1969</v>
      </c>
      <c r="C2203" t="s">
        <v>29</v>
      </c>
      <c r="D2203" t="s">
        <v>30</v>
      </c>
      <c r="E2203">
        <v>57731</v>
      </c>
      <c r="F2203">
        <v>0</v>
      </c>
      <c r="G2203">
        <v>1</v>
      </c>
      <c r="H2203" s="1">
        <v>41236</v>
      </c>
      <c r="I2203">
        <v>0</v>
      </c>
      <c r="J2203">
        <v>266</v>
      </c>
      <c r="K2203">
        <v>21</v>
      </c>
      <c r="L2203">
        <v>300</v>
      </c>
      <c r="M2203">
        <v>65</v>
      </c>
      <c r="N2203">
        <v>8</v>
      </c>
      <c r="O2203">
        <v>44</v>
      </c>
      <c r="P2203">
        <v>4</v>
      </c>
      <c r="Q2203">
        <v>8</v>
      </c>
      <c r="R2203">
        <v>8</v>
      </c>
      <c r="S2203">
        <v>6</v>
      </c>
      <c r="T2203">
        <v>6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3</v>
      </c>
      <c r="AB2203">
        <v>11</v>
      </c>
      <c r="AC2203">
        <v>0</v>
      </c>
      <c r="AD2203" t="str">
        <f t="shared" si="442"/>
        <v>Ok</v>
      </c>
      <c r="AE2203" t="str">
        <f>IF(AND(Audit_Data[[#This Row],[Year_Birth]]&gt;=1900,Audit_Data[[#This Row],[Year_Birth]]&lt;=2010),"OK","Invalid")</f>
        <v>OK</v>
      </c>
      <c r="AF2203" t="str">
        <f t="shared" si="443"/>
        <v>Valid</v>
      </c>
      <c r="AG2203" t="str">
        <f t="shared" si="444"/>
        <v>Valid</v>
      </c>
      <c r="AH2203" t="str">
        <f t="shared" si="445"/>
        <v>Valid</v>
      </c>
      <c r="AI2203" t="str">
        <f t="shared" si="446"/>
        <v>Valid</v>
      </c>
      <c r="AJ2203" t="str">
        <f t="shared" si="447"/>
        <v>Valid</v>
      </c>
      <c r="AK2203" t="str">
        <f t="shared" si="454"/>
        <v xml:space="preserve">Valid </v>
      </c>
      <c r="AL2203" t="str">
        <f>IF(AND(Audit_Data[[#This Row],[Recency]]&gt;=0,Audit_Data[[#This Row],[Recency]]&lt;=100),"Valid","Invalid")</f>
        <v>Valid</v>
      </c>
      <c r="AM2203" t="str">
        <f t="shared" si="448"/>
        <v>Valid</v>
      </c>
      <c r="AN2203" t="str">
        <f t="shared" si="449"/>
        <v>Valid</v>
      </c>
      <c r="AO2203" t="str">
        <f t="shared" si="450"/>
        <v>Valid</v>
      </c>
      <c r="AP2203" t="str">
        <f t="shared" si="451"/>
        <v>Valid</v>
      </c>
      <c r="AQ2203" t="str">
        <f>IF(Audit_Data[[#This Row],[Z_CostContact]]=3,"Valid","Invalid")</f>
        <v>Valid</v>
      </c>
      <c r="AR2203" t="str">
        <f t="shared" si="452"/>
        <v>Valid</v>
      </c>
      <c r="AS2203" t="str">
        <f t="shared" si="453"/>
        <v>Valid</v>
      </c>
    </row>
    <row r="2204" spans="1:45" x14ac:dyDescent="0.3">
      <c r="A2204">
        <v>11133</v>
      </c>
      <c r="B2204">
        <v>1973</v>
      </c>
      <c r="C2204" t="s">
        <v>32</v>
      </c>
      <c r="D2204" t="s">
        <v>41</v>
      </c>
      <c r="E2204">
        <v>48432</v>
      </c>
      <c r="F2204">
        <v>0</v>
      </c>
      <c r="G2204">
        <v>1</v>
      </c>
      <c r="H2204" s="1">
        <v>41200</v>
      </c>
      <c r="I2204">
        <v>3</v>
      </c>
      <c r="J2204">
        <v>322</v>
      </c>
      <c r="K2204">
        <v>3</v>
      </c>
      <c r="L2204">
        <v>50</v>
      </c>
      <c r="M2204">
        <v>4</v>
      </c>
      <c r="N2204">
        <v>3</v>
      </c>
      <c r="O2204">
        <v>42</v>
      </c>
      <c r="P2204">
        <v>5</v>
      </c>
      <c r="Q2204">
        <v>7</v>
      </c>
      <c r="R2204">
        <v>1</v>
      </c>
      <c r="S2204">
        <v>6</v>
      </c>
      <c r="T2204">
        <v>8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3</v>
      </c>
      <c r="AB2204">
        <v>11</v>
      </c>
      <c r="AC2204">
        <v>1</v>
      </c>
      <c r="AD2204" t="str">
        <f t="shared" si="442"/>
        <v>Ok</v>
      </c>
      <c r="AE2204" t="str">
        <f>IF(AND(Audit_Data[[#This Row],[Year_Birth]]&gt;=1900,Audit_Data[[#This Row],[Year_Birth]]&lt;=2010),"OK","Invalid")</f>
        <v>OK</v>
      </c>
      <c r="AF2204" t="str">
        <f t="shared" si="443"/>
        <v>Valid</v>
      </c>
      <c r="AG2204" t="str">
        <f t="shared" si="444"/>
        <v>Invalid</v>
      </c>
      <c r="AH2204" t="str">
        <f t="shared" si="445"/>
        <v>Valid</v>
      </c>
      <c r="AI2204" t="str">
        <f t="shared" si="446"/>
        <v>Valid</v>
      </c>
      <c r="AJ2204" t="str">
        <f t="shared" si="447"/>
        <v>Valid</v>
      </c>
      <c r="AK2204" t="str">
        <f t="shared" si="454"/>
        <v xml:space="preserve">Valid </v>
      </c>
      <c r="AL2204" t="str">
        <f>IF(AND(Audit_Data[[#This Row],[Recency]]&gt;=0,Audit_Data[[#This Row],[Recency]]&lt;=100),"Valid","Invalid")</f>
        <v>Valid</v>
      </c>
      <c r="AM2204" t="str">
        <f t="shared" si="448"/>
        <v>Valid</v>
      </c>
      <c r="AN2204" t="str">
        <f t="shared" si="449"/>
        <v>Valid</v>
      </c>
      <c r="AO2204" t="str">
        <f t="shared" si="450"/>
        <v>Valid</v>
      </c>
      <c r="AP2204" t="str">
        <f t="shared" si="451"/>
        <v>Valid</v>
      </c>
      <c r="AQ2204" t="str">
        <f>IF(Audit_Data[[#This Row],[Z_CostContact]]=3,"Valid","Invalid")</f>
        <v>Valid</v>
      </c>
      <c r="AR2204" t="str">
        <f t="shared" si="452"/>
        <v>Valid</v>
      </c>
      <c r="AS2204" t="str">
        <f t="shared" si="453"/>
        <v>Valid</v>
      </c>
    </row>
    <row r="2205" spans="1:45" x14ac:dyDescent="0.3">
      <c r="A2205">
        <v>2736</v>
      </c>
      <c r="B2205">
        <v>1978</v>
      </c>
      <c r="C2205" t="s">
        <v>29</v>
      </c>
      <c r="D2205" t="s">
        <v>33</v>
      </c>
      <c r="E2205">
        <v>73807</v>
      </c>
      <c r="F2205">
        <v>0</v>
      </c>
      <c r="G2205">
        <v>1</v>
      </c>
      <c r="H2205" s="1">
        <v>41276</v>
      </c>
      <c r="I2205">
        <v>88</v>
      </c>
      <c r="J2205">
        <v>366</v>
      </c>
      <c r="K2205">
        <v>124</v>
      </c>
      <c r="L2205">
        <v>156</v>
      </c>
      <c r="M2205">
        <v>71</v>
      </c>
      <c r="N2205">
        <v>78</v>
      </c>
      <c r="O2205">
        <v>54</v>
      </c>
      <c r="P2205">
        <v>2</v>
      </c>
      <c r="Q2205">
        <v>5</v>
      </c>
      <c r="R2205">
        <v>5</v>
      </c>
      <c r="S2205">
        <v>11</v>
      </c>
      <c r="T2205">
        <v>2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3</v>
      </c>
      <c r="AB2205">
        <v>11</v>
      </c>
      <c r="AC2205">
        <v>0</v>
      </c>
      <c r="AD2205" t="str">
        <f t="shared" si="442"/>
        <v>Ok</v>
      </c>
      <c r="AE2205" t="str">
        <f>IF(AND(Audit_Data[[#This Row],[Year_Birth]]&gt;=1900,Audit_Data[[#This Row],[Year_Birth]]&lt;=2010),"OK","Invalid")</f>
        <v>OK</v>
      </c>
      <c r="AF2205" t="str">
        <f t="shared" si="443"/>
        <v>Valid</v>
      </c>
      <c r="AG2205" t="str">
        <f t="shared" si="444"/>
        <v>Valid</v>
      </c>
      <c r="AH2205" t="str">
        <f t="shared" si="445"/>
        <v>Valid</v>
      </c>
      <c r="AI2205" t="str">
        <f t="shared" si="446"/>
        <v>Valid</v>
      </c>
      <c r="AJ2205" t="str">
        <f t="shared" si="447"/>
        <v>Valid</v>
      </c>
      <c r="AK2205" t="str">
        <f t="shared" si="454"/>
        <v xml:space="preserve">Valid </v>
      </c>
      <c r="AL2205" t="str">
        <f>IF(AND(Audit_Data[[#This Row],[Recency]]&gt;=0,Audit_Data[[#This Row],[Recency]]&lt;=100),"Valid","Invalid")</f>
        <v>Valid</v>
      </c>
      <c r="AM2205" t="str">
        <f t="shared" si="448"/>
        <v>Valid</v>
      </c>
      <c r="AN2205" t="str">
        <f t="shared" si="449"/>
        <v>Valid</v>
      </c>
      <c r="AO2205" t="str">
        <f t="shared" si="450"/>
        <v>Valid</v>
      </c>
      <c r="AP2205" t="str">
        <f t="shared" si="451"/>
        <v>Valid</v>
      </c>
      <c r="AQ2205" t="str">
        <f>IF(Audit_Data[[#This Row],[Z_CostContact]]=3,"Valid","Invalid")</f>
        <v>Valid</v>
      </c>
      <c r="AR2205" t="str">
        <f t="shared" si="452"/>
        <v>Valid</v>
      </c>
      <c r="AS2205" t="str">
        <f t="shared" si="453"/>
        <v>Valid</v>
      </c>
    </row>
    <row r="2206" spans="1:45" x14ac:dyDescent="0.3">
      <c r="A2206">
        <v>1876</v>
      </c>
      <c r="B2206">
        <v>1990</v>
      </c>
      <c r="C2206" t="s">
        <v>29</v>
      </c>
      <c r="D2206" t="s">
        <v>33</v>
      </c>
      <c r="E2206">
        <v>18929</v>
      </c>
      <c r="F2206">
        <v>0</v>
      </c>
      <c r="G2206">
        <v>0</v>
      </c>
      <c r="H2206" s="1">
        <v>41321</v>
      </c>
      <c r="I2206">
        <v>15</v>
      </c>
      <c r="J2206">
        <v>32</v>
      </c>
      <c r="K2206">
        <v>0</v>
      </c>
      <c r="L2206">
        <v>8</v>
      </c>
      <c r="M2206">
        <v>23</v>
      </c>
      <c r="N2206">
        <v>4</v>
      </c>
      <c r="O2206">
        <v>18</v>
      </c>
      <c r="P2206">
        <v>1</v>
      </c>
      <c r="Q2206">
        <v>1</v>
      </c>
      <c r="R2206">
        <v>0</v>
      </c>
      <c r="S2206">
        <v>4</v>
      </c>
      <c r="T2206">
        <v>6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3</v>
      </c>
      <c r="AB2206">
        <v>11</v>
      </c>
      <c r="AC2206">
        <v>0</v>
      </c>
      <c r="AD2206" t="str">
        <f t="shared" si="442"/>
        <v>Ok</v>
      </c>
      <c r="AE2206" t="str">
        <f>IF(AND(Audit_Data[[#This Row],[Year_Birth]]&gt;=1900,Audit_Data[[#This Row],[Year_Birth]]&lt;=2010),"OK","Invalid")</f>
        <v>OK</v>
      </c>
      <c r="AF2206" t="str">
        <f t="shared" si="443"/>
        <v>Valid</v>
      </c>
      <c r="AG2206" t="str">
        <f t="shared" si="444"/>
        <v>Valid</v>
      </c>
      <c r="AH2206" t="str">
        <f t="shared" si="445"/>
        <v>Valid</v>
      </c>
      <c r="AI2206" t="str">
        <f t="shared" si="446"/>
        <v>Valid</v>
      </c>
      <c r="AJ2206" t="str">
        <f t="shared" si="447"/>
        <v>Valid</v>
      </c>
      <c r="AK2206" t="str">
        <f t="shared" si="454"/>
        <v xml:space="preserve">Valid </v>
      </c>
      <c r="AL2206" t="str">
        <f>IF(AND(Audit_Data[[#This Row],[Recency]]&gt;=0,Audit_Data[[#This Row],[Recency]]&lt;=100),"Valid","Invalid")</f>
        <v>Valid</v>
      </c>
      <c r="AM2206" t="str">
        <f t="shared" si="448"/>
        <v>Valid</v>
      </c>
      <c r="AN2206" t="str">
        <f t="shared" si="449"/>
        <v>Valid</v>
      </c>
      <c r="AO2206" t="str">
        <f t="shared" si="450"/>
        <v>Valid</v>
      </c>
      <c r="AP2206" t="str">
        <f t="shared" si="451"/>
        <v>Valid</v>
      </c>
      <c r="AQ2206" t="str">
        <f>IF(Audit_Data[[#This Row],[Z_CostContact]]=3,"Valid","Invalid")</f>
        <v>Valid</v>
      </c>
      <c r="AR2206" t="str">
        <f t="shared" si="452"/>
        <v>Valid</v>
      </c>
      <c r="AS2206" t="str">
        <f t="shared" si="453"/>
        <v>Valid</v>
      </c>
    </row>
    <row r="2207" spans="1:45" x14ac:dyDescent="0.3">
      <c r="A2207">
        <v>5959</v>
      </c>
      <c r="B2207">
        <v>1968</v>
      </c>
      <c r="C2207" t="s">
        <v>29</v>
      </c>
      <c r="D2207" t="s">
        <v>30</v>
      </c>
      <c r="E2207">
        <v>35893</v>
      </c>
      <c r="F2207">
        <v>1</v>
      </c>
      <c r="G2207">
        <v>1</v>
      </c>
      <c r="H2207" s="1">
        <v>41197</v>
      </c>
      <c r="I2207">
        <v>80</v>
      </c>
      <c r="J2207">
        <v>158</v>
      </c>
      <c r="K2207">
        <v>0</v>
      </c>
      <c r="L2207">
        <v>23</v>
      </c>
      <c r="M2207">
        <v>0</v>
      </c>
      <c r="N2207">
        <v>0</v>
      </c>
      <c r="O2207">
        <v>18</v>
      </c>
      <c r="P2207">
        <v>6</v>
      </c>
      <c r="Q2207">
        <v>3</v>
      </c>
      <c r="R2207">
        <v>1</v>
      </c>
      <c r="S2207">
        <v>5</v>
      </c>
      <c r="T2207">
        <v>8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3</v>
      </c>
      <c r="AB2207">
        <v>11</v>
      </c>
      <c r="AC2207">
        <v>0</v>
      </c>
      <c r="AD2207" t="str">
        <f t="shared" si="442"/>
        <v>Ok</v>
      </c>
      <c r="AE2207" t="str">
        <f>IF(AND(Audit_Data[[#This Row],[Year_Birth]]&gt;=1900,Audit_Data[[#This Row],[Year_Birth]]&lt;=2010),"OK","Invalid")</f>
        <v>OK</v>
      </c>
      <c r="AF2207" t="str">
        <f t="shared" si="443"/>
        <v>Valid</v>
      </c>
      <c r="AG2207" t="str">
        <f t="shared" si="444"/>
        <v>Valid</v>
      </c>
      <c r="AH2207" t="str">
        <f t="shared" si="445"/>
        <v>Valid</v>
      </c>
      <c r="AI2207" t="str">
        <f t="shared" si="446"/>
        <v>Valid</v>
      </c>
      <c r="AJ2207" t="str">
        <f t="shared" si="447"/>
        <v>Valid</v>
      </c>
      <c r="AK2207" t="str">
        <f t="shared" si="454"/>
        <v xml:space="preserve">Valid </v>
      </c>
      <c r="AL2207" t="str">
        <f>IF(AND(Audit_Data[[#This Row],[Recency]]&gt;=0,Audit_Data[[#This Row],[Recency]]&lt;=100),"Valid","Invalid")</f>
        <v>Valid</v>
      </c>
      <c r="AM2207" t="str">
        <f t="shared" si="448"/>
        <v>Valid</v>
      </c>
      <c r="AN2207" t="str">
        <f t="shared" si="449"/>
        <v>Valid</v>
      </c>
      <c r="AO2207" t="str">
        <f t="shared" si="450"/>
        <v>Valid</v>
      </c>
      <c r="AP2207" t="str">
        <f t="shared" si="451"/>
        <v>Valid</v>
      </c>
      <c r="AQ2207" t="str">
        <f>IF(Audit_Data[[#This Row],[Z_CostContact]]=3,"Valid","Invalid")</f>
        <v>Valid</v>
      </c>
      <c r="AR2207" t="str">
        <f t="shared" si="452"/>
        <v>Valid</v>
      </c>
      <c r="AS2207" t="str">
        <f t="shared" si="453"/>
        <v>Valid</v>
      </c>
    </row>
    <row r="2208" spans="1:45" x14ac:dyDescent="0.3">
      <c r="A2208">
        <v>1092</v>
      </c>
      <c r="B2208">
        <v>1980</v>
      </c>
      <c r="C2208" t="s">
        <v>29</v>
      </c>
      <c r="D2208" t="s">
        <v>33</v>
      </c>
      <c r="E2208">
        <v>61014</v>
      </c>
      <c r="F2208">
        <v>0</v>
      </c>
      <c r="G2208">
        <v>1</v>
      </c>
      <c r="H2208" s="1">
        <v>41132</v>
      </c>
      <c r="I2208">
        <v>17</v>
      </c>
      <c r="J2208">
        <v>269</v>
      </c>
      <c r="K2208">
        <v>129</v>
      </c>
      <c r="L2208">
        <v>495</v>
      </c>
      <c r="M2208">
        <v>182</v>
      </c>
      <c r="N2208">
        <v>43</v>
      </c>
      <c r="O2208">
        <v>29</v>
      </c>
      <c r="P2208">
        <v>4</v>
      </c>
      <c r="Q2208">
        <v>9</v>
      </c>
      <c r="R2208">
        <v>3</v>
      </c>
      <c r="S2208">
        <v>4</v>
      </c>
      <c r="T2208">
        <v>7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3</v>
      </c>
      <c r="AB2208">
        <v>11</v>
      </c>
      <c r="AC2208">
        <v>0</v>
      </c>
      <c r="AD2208" t="str">
        <f t="shared" si="442"/>
        <v>Ok</v>
      </c>
      <c r="AE2208" t="str">
        <f>IF(AND(Audit_Data[[#This Row],[Year_Birth]]&gt;=1900,Audit_Data[[#This Row],[Year_Birth]]&lt;=2010),"OK","Invalid")</f>
        <v>OK</v>
      </c>
      <c r="AF2208" t="str">
        <f t="shared" si="443"/>
        <v>Valid</v>
      </c>
      <c r="AG2208" t="str">
        <f t="shared" si="444"/>
        <v>Valid</v>
      </c>
      <c r="AH2208" t="str">
        <f t="shared" si="445"/>
        <v>Valid</v>
      </c>
      <c r="AI2208" t="str">
        <f t="shared" si="446"/>
        <v>Valid</v>
      </c>
      <c r="AJ2208" t="str">
        <f t="shared" si="447"/>
        <v>Valid</v>
      </c>
      <c r="AK2208" t="str">
        <f t="shared" si="454"/>
        <v xml:space="preserve">Valid </v>
      </c>
      <c r="AL2208" t="str">
        <f>IF(AND(Audit_Data[[#This Row],[Recency]]&gt;=0,Audit_Data[[#This Row],[Recency]]&lt;=100),"Valid","Invalid")</f>
        <v>Valid</v>
      </c>
      <c r="AM2208" t="str">
        <f t="shared" si="448"/>
        <v>Valid</v>
      </c>
      <c r="AN2208" t="str">
        <f t="shared" si="449"/>
        <v>Valid</v>
      </c>
      <c r="AO2208" t="str">
        <f t="shared" si="450"/>
        <v>Valid</v>
      </c>
      <c r="AP2208" t="str">
        <f t="shared" si="451"/>
        <v>Valid</v>
      </c>
      <c r="AQ2208" t="str">
        <f>IF(Audit_Data[[#This Row],[Z_CostContact]]=3,"Valid","Invalid")</f>
        <v>Valid</v>
      </c>
      <c r="AR2208" t="str">
        <f t="shared" si="452"/>
        <v>Valid</v>
      </c>
      <c r="AS2208" t="str">
        <f t="shared" si="453"/>
        <v>Valid</v>
      </c>
    </row>
    <row r="2209" spans="1:45" x14ac:dyDescent="0.3">
      <c r="A2209">
        <v>4333</v>
      </c>
      <c r="B2209">
        <v>1954</v>
      </c>
      <c r="C2209" t="s">
        <v>29</v>
      </c>
      <c r="D2209" t="s">
        <v>31</v>
      </c>
      <c r="E2209">
        <v>32144</v>
      </c>
      <c r="F2209">
        <v>1</v>
      </c>
      <c r="G2209">
        <v>1</v>
      </c>
      <c r="H2209" s="1">
        <v>41721</v>
      </c>
      <c r="I2209">
        <v>76</v>
      </c>
      <c r="J2209">
        <v>41</v>
      </c>
      <c r="K2209">
        <v>0</v>
      </c>
      <c r="L2209">
        <v>10</v>
      </c>
      <c r="M2209">
        <v>0</v>
      </c>
      <c r="N2209">
        <v>0</v>
      </c>
      <c r="O2209">
        <v>3</v>
      </c>
      <c r="P2209">
        <v>4</v>
      </c>
      <c r="Q2209">
        <v>2</v>
      </c>
      <c r="R2209">
        <v>1</v>
      </c>
      <c r="S2209">
        <v>3</v>
      </c>
      <c r="T2209">
        <v>7</v>
      </c>
      <c r="U2209">
        <v>0</v>
      </c>
      <c r="V2209">
        <v>1</v>
      </c>
      <c r="W2209">
        <v>0</v>
      </c>
      <c r="X2209">
        <v>0</v>
      </c>
      <c r="Y2209">
        <v>0</v>
      </c>
      <c r="Z2209">
        <v>0</v>
      </c>
      <c r="AA2209">
        <v>3</v>
      </c>
      <c r="AB2209">
        <v>11</v>
      </c>
      <c r="AC2209">
        <v>0</v>
      </c>
      <c r="AD2209" t="str">
        <f t="shared" si="442"/>
        <v>Ok</v>
      </c>
      <c r="AE2209" t="str">
        <f>IF(AND(Audit_Data[[#This Row],[Year_Birth]]&gt;=1900,Audit_Data[[#This Row],[Year_Birth]]&lt;=2010),"OK","Invalid")</f>
        <v>OK</v>
      </c>
      <c r="AF2209" t="str">
        <f t="shared" si="443"/>
        <v>Valid</v>
      </c>
      <c r="AG2209" t="str">
        <f t="shared" si="444"/>
        <v>Valid</v>
      </c>
      <c r="AH2209" t="str">
        <f t="shared" si="445"/>
        <v>Valid</v>
      </c>
      <c r="AI2209" t="str">
        <f t="shared" si="446"/>
        <v>Valid</v>
      </c>
      <c r="AJ2209" t="str">
        <f t="shared" si="447"/>
        <v>Valid</v>
      </c>
      <c r="AK2209" t="str">
        <f t="shared" si="454"/>
        <v xml:space="preserve">Valid </v>
      </c>
      <c r="AL2209" t="str">
        <f>IF(AND(Audit_Data[[#This Row],[Recency]]&gt;=0,Audit_Data[[#This Row],[Recency]]&lt;=100),"Valid","Invalid")</f>
        <v>Valid</v>
      </c>
      <c r="AM2209" t="str">
        <f t="shared" si="448"/>
        <v>Valid</v>
      </c>
      <c r="AN2209" t="str">
        <f t="shared" si="449"/>
        <v>Valid</v>
      </c>
      <c r="AO2209" t="str">
        <f t="shared" si="450"/>
        <v>Valid</v>
      </c>
      <c r="AP2209" t="str">
        <f t="shared" si="451"/>
        <v>Valid</v>
      </c>
      <c r="AQ2209" t="str">
        <f>IF(Audit_Data[[#This Row],[Z_CostContact]]=3,"Valid","Invalid")</f>
        <v>Valid</v>
      </c>
      <c r="AR2209" t="str">
        <f t="shared" si="452"/>
        <v>Valid</v>
      </c>
      <c r="AS2209" t="str">
        <f t="shared" si="453"/>
        <v>Valid</v>
      </c>
    </row>
    <row r="2210" spans="1:45" x14ac:dyDescent="0.3">
      <c r="A2210">
        <v>3850</v>
      </c>
      <c r="B2210">
        <v>1963</v>
      </c>
      <c r="C2210" t="s">
        <v>36</v>
      </c>
      <c r="D2210" t="s">
        <v>31</v>
      </c>
      <c r="E2210">
        <v>14918</v>
      </c>
      <c r="F2210">
        <v>0</v>
      </c>
      <c r="G2210">
        <v>1</v>
      </c>
      <c r="H2210" s="1">
        <v>41250</v>
      </c>
      <c r="I2210">
        <v>52</v>
      </c>
      <c r="J2210">
        <v>3</v>
      </c>
      <c r="K2210">
        <v>3</v>
      </c>
      <c r="L2210">
        <v>3</v>
      </c>
      <c r="M2210">
        <v>15</v>
      </c>
      <c r="N2210">
        <v>4</v>
      </c>
      <c r="O2210">
        <v>15</v>
      </c>
      <c r="P2210">
        <v>1</v>
      </c>
      <c r="Q2210">
        <v>1</v>
      </c>
      <c r="R2210">
        <v>0</v>
      </c>
      <c r="S2210">
        <v>3</v>
      </c>
      <c r="T2210">
        <v>6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3</v>
      </c>
      <c r="AB2210">
        <v>11</v>
      </c>
      <c r="AC2210">
        <v>0</v>
      </c>
      <c r="AD2210" t="str">
        <f t="shared" si="442"/>
        <v>Ok</v>
      </c>
      <c r="AE2210" t="str">
        <f>IF(AND(Audit_Data[[#This Row],[Year_Birth]]&gt;=1900,Audit_Data[[#This Row],[Year_Birth]]&lt;=2010),"OK","Invalid")</f>
        <v>OK</v>
      </c>
      <c r="AF2210" t="str">
        <f t="shared" si="443"/>
        <v>Valid</v>
      </c>
      <c r="AG2210" t="str">
        <f t="shared" si="444"/>
        <v>Valid</v>
      </c>
      <c r="AH2210" t="str">
        <f t="shared" si="445"/>
        <v>Valid</v>
      </c>
      <c r="AI2210" t="str">
        <f t="shared" si="446"/>
        <v>Valid</v>
      </c>
      <c r="AJ2210" t="str">
        <f t="shared" si="447"/>
        <v>Valid</v>
      </c>
      <c r="AK2210" t="str">
        <f t="shared" si="454"/>
        <v xml:space="preserve">Valid </v>
      </c>
      <c r="AL2210" t="str">
        <f>IF(AND(Audit_Data[[#This Row],[Recency]]&gt;=0,Audit_Data[[#This Row],[Recency]]&lt;=100),"Valid","Invalid")</f>
        <v>Valid</v>
      </c>
      <c r="AM2210" t="str">
        <f t="shared" si="448"/>
        <v>Valid</v>
      </c>
      <c r="AN2210" t="str">
        <f t="shared" si="449"/>
        <v>Valid</v>
      </c>
      <c r="AO2210" t="str">
        <f t="shared" si="450"/>
        <v>Valid</v>
      </c>
      <c r="AP2210" t="str">
        <f t="shared" si="451"/>
        <v>Valid</v>
      </c>
      <c r="AQ2210" t="str">
        <f>IF(Audit_Data[[#This Row],[Z_CostContact]]=3,"Valid","Invalid")</f>
        <v>Valid</v>
      </c>
      <c r="AR2210" t="str">
        <f t="shared" si="452"/>
        <v>Valid</v>
      </c>
      <c r="AS2210" t="str">
        <f t="shared" si="453"/>
        <v>Valid</v>
      </c>
    </row>
    <row r="2211" spans="1:45" x14ac:dyDescent="0.3">
      <c r="A2211">
        <v>6168</v>
      </c>
      <c r="B2211">
        <v>1963</v>
      </c>
      <c r="C2211" t="s">
        <v>29</v>
      </c>
      <c r="D2211" t="s">
        <v>35</v>
      </c>
      <c r="E2211">
        <v>45146</v>
      </c>
      <c r="F2211">
        <v>1</v>
      </c>
      <c r="G2211">
        <v>1</v>
      </c>
      <c r="H2211" s="1">
        <v>41470</v>
      </c>
      <c r="I2211">
        <v>28</v>
      </c>
      <c r="J2211">
        <v>33</v>
      </c>
      <c r="K2211">
        <v>0</v>
      </c>
      <c r="L2211">
        <v>5</v>
      </c>
      <c r="M2211">
        <v>0</v>
      </c>
      <c r="N2211">
        <v>0</v>
      </c>
      <c r="O2211">
        <v>15</v>
      </c>
      <c r="P2211">
        <v>2</v>
      </c>
      <c r="Q2211">
        <v>1</v>
      </c>
      <c r="R2211">
        <v>1</v>
      </c>
      <c r="S2211">
        <v>2</v>
      </c>
      <c r="T2211">
        <v>4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3</v>
      </c>
      <c r="AB2211">
        <v>11</v>
      </c>
      <c r="AC2211">
        <v>0</v>
      </c>
      <c r="AD2211" t="str">
        <f t="shared" si="442"/>
        <v>Ok</v>
      </c>
      <c r="AE2211" t="str">
        <f>IF(AND(Audit_Data[[#This Row],[Year_Birth]]&gt;=1900,Audit_Data[[#This Row],[Year_Birth]]&lt;=2010),"OK","Invalid")</f>
        <v>OK</v>
      </c>
      <c r="AF2211" t="str">
        <f t="shared" si="443"/>
        <v>Valid</v>
      </c>
      <c r="AG2211" t="str">
        <f t="shared" si="444"/>
        <v>Valid</v>
      </c>
      <c r="AH2211" t="str">
        <f t="shared" si="445"/>
        <v>Valid</v>
      </c>
      <c r="AI2211" t="str">
        <f t="shared" si="446"/>
        <v>Valid</v>
      </c>
      <c r="AJ2211" t="str">
        <f t="shared" si="447"/>
        <v>Valid</v>
      </c>
      <c r="AK2211" t="str">
        <f t="shared" si="454"/>
        <v xml:space="preserve">Valid </v>
      </c>
      <c r="AL2211" t="str">
        <f>IF(AND(Audit_Data[[#This Row],[Recency]]&gt;=0,Audit_Data[[#This Row],[Recency]]&lt;=100),"Valid","Invalid")</f>
        <v>Valid</v>
      </c>
      <c r="AM2211" t="str">
        <f t="shared" si="448"/>
        <v>Valid</v>
      </c>
      <c r="AN2211" t="str">
        <f t="shared" si="449"/>
        <v>Valid</v>
      </c>
      <c r="AO2211" t="str">
        <f t="shared" si="450"/>
        <v>Valid</v>
      </c>
      <c r="AP2211" t="str">
        <f t="shared" si="451"/>
        <v>Valid</v>
      </c>
      <c r="AQ2211" t="str">
        <f>IF(Audit_Data[[#This Row],[Z_CostContact]]=3,"Valid","Invalid")</f>
        <v>Valid</v>
      </c>
      <c r="AR2211" t="str">
        <f t="shared" si="452"/>
        <v>Valid</v>
      </c>
      <c r="AS2211" t="str">
        <f t="shared" si="453"/>
        <v>Valid</v>
      </c>
    </row>
    <row r="2212" spans="1:45" x14ac:dyDescent="0.3">
      <c r="A2212">
        <v>607</v>
      </c>
      <c r="B2212">
        <v>1955</v>
      </c>
      <c r="C2212" t="s">
        <v>37</v>
      </c>
      <c r="D2212" t="s">
        <v>35</v>
      </c>
      <c r="E2212">
        <v>41769</v>
      </c>
      <c r="F2212">
        <v>0</v>
      </c>
      <c r="G2212">
        <v>1</v>
      </c>
      <c r="H2212" s="1">
        <v>41318</v>
      </c>
      <c r="I2212">
        <v>31</v>
      </c>
      <c r="J2212">
        <v>302</v>
      </c>
      <c r="K2212">
        <v>29</v>
      </c>
      <c r="L2212">
        <v>131</v>
      </c>
      <c r="M2212">
        <v>32</v>
      </c>
      <c r="N2212">
        <v>0</v>
      </c>
      <c r="O2212">
        <v>27</v>
      </c>
      <c r="P2212">
        <v>6</v>
      </c>
      <c r="Q2212">
        <v>8</v>
      </c>
      <c r="R2212">
        <v>1</v>
      </c>
      <c r="S2212">
        <v>7</v>
      </c>
      <c r="T2212">
        <v>8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3</v>
      </c>
      <c r="AB2212">
        <v>11</v>
      </c>
      <c r="AC2212">
        <v>0</v>
      </c>
      <c r="AD2212" t="str">
        <f t="shared" si="442"/>
        <v>Ok</v>
      </c>
      <c r="AE2212" t="str">
        <f>IF(AND(Audit_Data[[#This Row],[Year_Birth]]&gt;=1900,Audit_Data[[#This Row],[Year_Birth]]&lt;=2010),"OK","Invalid")</f>
        <v>OK</v>
      </c>
      <c r="AF2212" t="str">
        <f t="shared" si="443"/>
        <v>Valid</v>
      </c>
      <c r="AG2212" t="str">
        <f t="shared" si="444"/>
        <v>Valid</v>
      </c>
      <c r="AH2212" t="str">
        <f t="shared" si="445"/>
        <v>Valid</v>
      </c>
      <c r="AI2212" t="str">
        <f t="shared" si="446"/>
        <v>Valid</v>
      </c>
      <c r="AJ2212" t="str">
        <f t="shared" si="447"/>
        <v>Valid</v>
      </c>
      <c r="AK2212" t="str">
        <f t="shared" si="454"/>
        <v xml:space="preserve">Valid </v>
      </c>
      <c r="AL2212" t="str">
        <f>IF(AND(Audit_Data[[#This Row],[Recency]]&gt;=0,Audit_Data[[#This Row],[Recency]]&lt;=100),"Valid","Invalid")</f>
        <v>Valid</v>
      </c>
      <c r="AM2212" t="str">
        <f t="shared" si="448"/>
        <v>Valid</v>
      </c>
      <c r="AN2212" t="str">
        <f t="shared" si="449"/>
        <v>Valid</v>
      </c>
      <c r="AO2212" t="str">
        <f t="shared" si="450"/>
        <v>Valid</v>
      </c>
      <c r="AP2212" t="str">
        <f t="shared" si="451"/>
        <v>Valid</v>
      </c>
      <c r="AQ2212" t="str">
        <f>IF(Audit_Data[[#This Row],[Z_CostContact]]=3,"Valid","Invalid")</f>
        <v>Valid</v>
      </c>
      <c r="AR2212" t="str">
        <f t="shared" si="452"/>
        <v>Valid</v>
      </c>
      <c r="AS2212" t="str">
        <f t="shared" si="453"/>
        <v>Valid</v>
      </c>
    </row>
    <row r="2213" spans="1:45" x14ac:dyDescent="0.3">
      <c r="A2213">
        <v>10469</v>
      </c>
      <c r="B2213">
        <v>1981</v>
      </c>
      <c r="C2213" t="s">
        <v>29</v>
      </c>
      <c r="D2213" t="s">
        <v>31</v>
      </c>
      <c r="E2213">
        <v>88325</v>
      </c>
      <c r="F2213">
        <v>0</v>
      </c>
      <c r="G2213">
        <v>0</v>
      </c>
      <c r="H2213" s="1">
        <v>41675</v>
      </c>
      <c r="I2213">
        <v>42</v>
      </c>
      <c r="J2213">
        <v>519</v>
      </c>
      <c r="K2213">
        <v>71</v>
      </c>
      <c r="L2213">
        <v>860</v>
      </c>
      <c r="M2213">
        <v>93</v>
      </c>
      <c r="N2213">
        <v>27</v>
      </c>
      <c r="O2213">
        <v>53</v>
      </c>
      <c r="P2213">
        <v>1</v>
      </c>
      <c r="Q2213">
        <v>6</v>
      </c>
      <c r="R2213">
        <v>2</v>
      </c>
      <c r="S2213">
        <v>9</v>
      </c>
      <c r="T2213">
        <v>2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3</v>
      </c>
      <c r="AB2213">
        <v>11</v>
      </c>
      <c r="AC2213">
        <v>0</v>
      </c>
      <c r="AD2213" t="str">
        <f t="shared" si="442"/>
        <v>Ok</v>
      </c>
      <c r="AE2213" t="str">
        <f>IF(AND(Audit_Data[[#This Row],[Year_Birth]]&gt;=1900,Audit_Data[[#This Row],[Year_Birth]]&lt;=2010),"OK","Invalid")</f>
        <v>OK</v>
      </c>
      <c r="AF2213" t="str">
        <f t="shared" si="443"/>
        <v>Valid</v>
      </c>
      <c r="AG2213" t="str">
        <f t="shared" si="444"/>
        <v>Valid</v>
      </c>
      <c r="AH2213" t="str">
        <f t="shared" si="445"/>
        <v>Valid</v>
      </c>
      <c r="AI2213" t="str">
        <f t="shared" si="446"/>
        <v>Valid</v>
      </c>
      <c r="AJ2213" t="str">
        <f t="shared" si="447"/>
        <v>Valid</v>
      </c>
      <c r="AK2213" t="str">
        <f t="shared" si="454"/>
        <v xml:space="preserve">Valid </v>
      </c>
      <c r="AL2213" t="str">
        <f>IF(AND(Audit_Data[[#This Row],[Recency]]&gt;=0,Audit_Data[[#This Row],[Recency]]&lt;=100),"Valid","Invalid")</f>
        <v>Valid</v>
      </c>
      <c r="AM2213" t="str">
        <f t="shared" si="448"/>
        <v>Valid</v>
      </c>
      <c r="AN2213" t="str">
        <f t="shared" si="449"/>
        <v>Valid</v>
      </c>
      <c r="AO2213" t="str">
        <f t="shared" si="450"/>
        <v>Valid</v>
      </c>
      <c r="AP2213" t="str">
        <f t="shared" si="451"/>
        <v>Valid</v>
      </c>
      <c r="AQ2213" t="str">
        <f>IF(Audit_Data[[#This Row],[Z_CostContact]]=3,"Valid","Invalid")</f>
        <v>Valid</v>
      </c>
      <c r="AR2213" t="str">
        <f t="shared" si="452"/>
        <v>Valid</v>
      </c>
      <c r="AS2213" t="str">
        <f t="shared" si="453"/>
        <v>Valid</v>
      </c>
    </row>
    <row r="2214" spans="1:45" x14ac:dyDescent="0.3">
      <c r="A2214">
        <v>6983</v>
      </c>
      <c r="B2214">
        <v>1950</v>
      </c>
      <c r="C2214" t="s">
        <v>34</v>
      </c>
      <c r="D2214" t="s">
        <v>35</v>
      </c>
      <c r="E2214">
        <v>38054</v>
      </c>
      <c r="F2214">
        <v>1</v>
      </c>
      <c r="G2214">
        <v>1</v>
      </c>
      <c r="H2214" s="1">
        <v>41760</v>
      </c>
      <c r="I2214">
        <v>24</v>
      </c>
      <c r="J2214">
        <v>23</v>
      </c>
      <c r="K2214">
        <v>2</v>
      </c>
      <c r="L2214">
        <v>17</v>
      </c>
      <c r="M2214">
        <v>2</v>
      </c>
      <c r="N2214">
        <v>1</v>
      </c>
      <c r="O2214">
        <v>0</v>
      </c>
      <c r="P2214">
        <v>2</v>
      </c>
      <c r="Q2214">
        <v>2</v>
      </c>
      <c r="R2214">
        <v>0</v>
      </c>
      <c r="S2214">
        <v>3</v>
      </c>
      <c r="T2214">
        <v>7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3</v>
      </c>
      <c r="AB2214">
        <v>11</v>
      </c>
      <c r="AC2214">
        <v>0</v>
      </c>
      <c r="AD2214" t="str">
        <f t="shared" si="442"/>
        <v>Ok</v>
      </c>
      <c r="AE2214" t="str">
        <f>IF(AND(Audit_Data[[#This Row],[Year_Birth]]&gt;=1900,Audit_Data[[#This Row],[Year_Birth]]&lt;=2010),"OK","Invalid")</f>
        <v>OK</v>
      </c>
      <c r="AF2214" t="str">
        <f t="shared" si="443"/>
        <v>Valid</v>
      </c>
      <c r="AG2214" t="str">
        <f t="shared" si="444"/>
        <v>Valid</v>
      </c>
      <c r="AH2214" t="str">
        <f t="shared" si="445"/>
        <v>Valid</v>
      </c>
      <c r="AI2214" t="str">
        <f t="shared" si="446"/>
        <v>Valid</v>
      </c>
      <c r="AJ2214" t="str">
        <f t="shared" si="447"/>
        <v>Valid</v>
      </c>
      <c r="AK2214" t="str">
        <f t="shared" si="454"/>
        <v xml:space="preserve">Valid </v>
      </c>
      <c r="AL2214" t="str">
        <f>IF(AND(Audit_Data[[#This Row],[Recency]]&gt;=0,Audit_Data[[#This Row],[Recency]]&lt;=100),"Valid","Invalid")</f>
        <v>Valid</v>
      </c>
      <c r="AM2214" t="str">
        <f t="shared" si="448"/>
        <v>Valid</v>
      </c>
      <c r="AN2214" t="str">
        <f t="shared" si="449"/>
        <v>Valid</v>
      </c>
      <c r="AO2214" t="str">
        <f t="shared" si="450"/>
        <v>Valid</v>
      </c>
      <c r="AP2214" t="str">
        <f t="shared" si="451"/>
        <v>Valid</v>
      </c>
      <c r="AQ2214" t="str">
        <f>IF(Audit_Data[[#This Row],[Z_CostContact]]=3,"Valid","Invalid")</f>
        <v>Valid</v>
      </c>
      <c r="AR2214" t="str">
        <f t="shared" si="452"/>
        <v>Valid</v>
      </c>
      <c r="AS2214" t="str">
        <f t="shared" si="453"/>
        <v>Valid</v>
      </c>
    </row>
    <row r="2215" spans="1:45" x14ac:dyDescent="0.3">
      <c r="A2215">
        <v>3661</v>
      </c>
      <c r="B2215">
        <v>1995</v>
      </c>
      <c r="C2215" t="s">
        <v>37</v>
      </c>
      <c r="D2215" t="s">
        <v>30</v>
      </c>
      <c r="E2215">
        <v>80617</v>
      </c>
      <c r="F2215">
        <v>0</v>
      </c>
      <c r="G2215">
        <v>0</v>
      </c>
      <c r="H2215" s="1">
        <v>41194</v>
      </c>
      <c r="I2215">
        <v>42</v>
      </c>
      <c r="J2215">
        <v>594</v>
      </c>
      <c r="K2215">
        <v>51</v>
      </c>
      <c r="L2215">
        <v>631</v>
      </c>
      <c r="M2215">
        <v>72</v>
      </c>
      <c r="N2215">
        <v>55</v>
      </c>
      <c r="O2215">
        <v>32</v>
      </c>
      <c r="P2215">
        <v>1</v>
      </c>
      <c r="Q2215">
        <v>4</v>
      </c>
      <c r="R2215">
        <v>6</v>
      </c>
      <c r="S2215">
        <v>8</v>
      </c>
      <c r="T2215">
        <v>2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3</v>
      </c>
      <c r="AB2215">
        <v>11</v>
      </c>
      <c r="AC2215">
        <v>0</v>
      </c>
      <c r="AD2215" t="str">
        <f t="shared" si="442"/>
        <v>Ok</v>
      </c>
      <c r="AE2215" t="str">
        <f>IF(AND(Audit_Data[[#This Row],[Year_Birth]]&gt;=1900,Audit_Data[[#This Row],[Year_Birth]]&lt;=2010),"OK","Invalid")</f>
        <v>OK</v>
      </c>
      <c r="AF2215" t="str">
        <f t="shared" si="443"/>
        <v>Valid</v>
      </c>
      <c r="AG2215" t="str">
        <f t="shared" si="444"/>
        <v>Valid</v>
      </c>
      <c r="AH2215" t="str">
        <f t="shared" si="445"/>
        <v>Valid</v>
      </c>
      <c r="AI2215" t="str">
        <f t="shared" si="446"/>
        <v>Valid</v>
      </c>
      <c r="AJ2215" t="str">
        <f t="shared" si="447"/>
        <v>Valid</v>
      </c>
      <c r="AK2215" t="str">
        <f t="shared" si="454"/>
        <v xml:space="preserve">Valid </v>
      </c>
      <c r="AL2215" t="str">
        <f>IF(AND(Audit_Data[[#This Row],[Recency]]&gt;=0,Audit_Data[[#This Row],[Recency]]&lt;=100),"Valid","Invalid")</f>
        <v>Valid</v>
      </c>
      <c r="AM2215" t="str">
        <f t="shared" si="448"/>
        <v>Valid</v>
      </c>
      <c r="AN2215" t="str">
        <f t="shared" si="449"/>
        <v>Valid</v>
      </c>
      <c r="AO2215" t="str">
        <f t="shared" si="450"/>
        <v>Valid</v>
      </c>
      <c r="AP2215" t="str">
        <f t="shared" si="451"/>
        <v>Valid</v>
      </c>
      <c r="AQ2215" t="str">
        <f>IF(Audit_Data[[#This Row],[Z_CostContact]]=3,"Valid","Invalid")</f>
        <v>Valid</v>
      </c>
      <c r="AR2215" t="str">
        <f t="shared" si="452"/>
        <v>Valid</v>
      </c>
      <c r="AS2215" t="str">
        <f t="shared" si="453"/>
        <v>Valid</v>
      </c>
    </row>
    <row r="2216" spans="1:45" x14ac:dyDescent="0.3">
      <c r="A2216">
        <v>9303</v>
      </c>
      <c r="B2216">
        <v>1976</v>
      </c>
      <c r="C2216" t="s">
        <v>29</v>
      </c>
      <c r="D2216" t="s">
        <v>33</v>
      </c>
      <c r="E2216">
        <v>5305</v>
      </c>
      <c r="F2216">
        <v>0</v>
      </c>
      <c r="G2216">
        <v>1</v>
      </c>
      <c r="H2216" s="1">
        <v>41485</v>
      </c>
      <c r="I2216">
        <v>12</v>
      </c>
      <c r="J2216">
        <v>12</v>
      </c>
      <c r="K2216">
        <v>4</v>
      </c>
      <c r="L2216">
        <v>7</v>
      </c>
      <c r="M2216">
        <v>1</v>
      </c>
      <c r="N2216">
        <v>3</v>
      </c>
      <c r="O2216">
        <v>5</v>
      </c>
      <c r="P2216">
        <v>0</v>
      </c>
      <c r="Q2216">
        <v>1</v>
      </c>
      <c r="R2216">
        <v>0</v>
      </c>
      <c r="S2216">
        <v>0</v>
      </c>
      <c r="T2216">
        <v>13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3</v>
      </c>
      <c r="AB2216">
        <v>11</v>
      </c>
      <c r="AC2216">
        <v>0</v>
      </c>
      <c r="AD2216" t="str">
        <f t="shared" si="442"/>
        <v>Ok</v>
      </c>
      <c r="AE2216" t="str">
        <f>IF(AND(Audit_Data[[#This Row],[Year_Birth]]&gt;=1900,Audit_Data[[#This Row],[Year_Birth]]&lt;=2010),"OK","Invalid")</f>
        <v>OK</v>
      </c>
      <c r="AF2216" t="str">
        <f t="shared" si="443"/>
        <v>Valid</v>
      </c>
      <c r="AG2216" t="str">
        <f t="shared" si="444"/>
        <v>Valid</v>
      </c>
      <c r="AH2216" t="str">
        <f t="shared" si="445"/>
        <v>Valid</v>
      </c>
      <c r="AI2216" t="str">
        <f t="shared" si="446"/>
        <v>Valid</v>
      </c>
      <c r="AJ2216" t="str">
        <f t="shared" si="447"/>
        <v>Valid</v>
      </c>
      <c r="AK2216" t="str">
        <f t="shared" si="454"/>
        <v xml:space="preserve">Valid </v>
      </c>
      <c r="AL2216" t="str">
        <f>IF(AND(Audit_Data[[#This Row],[Recency]]&gt;=0,Audit_Data[[#This Row],[Recency]]&lt;=100),"Valid","Invalid")</f>
        <v>Valid</v>
      </c>
      <c r="AM2216" t="str">
        <f t="shared" si="448"/>
        <v>Valid</v>
      </c>
      <c r="AN2216" t="str">
        <f t="shared" si="449"/>
        <v>Valid</v>
      </c>
      <c r="AO2216" t="str">
        <f t="shared" si="450"/>
        <v>Valid</v>
      </c>
      <c r="AP2216" t="str">
        <f t="shared" si="451"/>
        <v>Valid</v>
      </c>
      <c r="AQ2216" t="str">
        <f>IF(Audit_Data[[#This Row],[Z_CostContact]]=3,"Valid","Invalid")</f>
        <v>Valid</v>
      </c>
      <c r="AR2216" t="str">
        <f t="shared" si="452"/>
        <v>Valid</v>
      </c>
      <c r="AS2216" t="str">
        <f t="shared" si="453"/>
        <v>Valid</v>
      </c>
    </row>
    <row r="2217" spans="1:45" x14ac:dyDescent="0.3">
      <c r="A2217">
        <v>692</v>
      </c>
      <c r="B2217">
        <v>1954</v>
      </c>
      <c r="C2217" t="s">
        <v>29</v>
      </c>
      <c r="D2217" t="s">
        <v>31</v>
      </c>
      <c r="E2217">
        <v>36807</v>
      </c>
      <c r="F2217">
        <v>1</v>
      </c>
      <c r="G2217">
        <v>1</v>
      </c>
      <c r="H2217" s="1">
        <v>41263</v>
      </c>
      <c r="I2217">
        <v>88</v>
      </c>
      <c r="J2217">
        <v>4</v>
      </c>
      <c r="K2217">
        <v>2</v>
      </c>
      <c r="L2217">
        <v>5</v>
      </c>
      <c r="M2217">
        <v>0</v>
      </c>
      <c r="N2217">
        <v>0</v>
      </c>
      <c r="O2217">
        <v>5</v>
      </c>
      <c r="P2217">
        <v>1</v>
      </c>
      <c r="Q2217">
        <v>1</v>
      </c>
      <c r="R2217">
        <v>0</v>
      </c>
      <c r="S2217">
        <v>2</v>
      </c>
      <c r="T2217">
        <v>6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3</v>
      </c>
      <c r="AB2217">
        <v>11</v>
      </c>
      <c r="AC2217">
        <v>0</v>
      </c>
      <c r="AD2217" t="str">
        <f t="shared" si="442"/>
        <v>Ok</v>
      </c>
      <c r="AE2217" t="str">
        <f>IF(AND(Audit_Data[[#This Row],[Year_Birth]]&gt;=1900,Audit_Data[[#This Row],[Year_Birth]]&lt;=2010),"OK","Invalid")</f>
        <v>OK</v>
      </c>
      <c r="AF2217" t="str">
        <f t="shared" si="443"/>
        <v>Valid</v>
      </c>
      <c r="AG2217" t="str">
        <f t="shared" si="444"/>
        <v>Valid</v>
      </c>
      <c r="AH2217" t="str">
        <f t="shared" si="445"/>
        <v>Valid</v>
      </c>
      <c r="AI2217" t="str">
        <f t="shared" si="446"/>
        <v>Valid</v>
      </c>
      <c r="AJ2217" t="str">
        <f t="shared" si="447"/>
        <v>Valid</v>
      </c>
      <c r="AK2217" t="str">
        <f t="shared" si="454"/>
        <v xml:space="preserve">Valid </v>
      </c>
      <c r="AL2217" t="str">
        <f>IF(AND(Audit_Data[[#This Row],[Recency]]&gt;=0,Audit_Data[[#This Row],[Recency]]&lt;=100),"Valid","Invalid")</f>
        <v>Valid</v>
      </c>
      <c r="AM2217" t="str">
        <f t="shared" si="448"/>
        <v>Valid</v>
      </c>
      <c r="AN2217" t="str">
        <f t="shared" si="449"/>
        <v>Valid</v>
      </c>
      <c r="AO2217" t="str">
        <f t="shared" si="450"/>
        <v>Valid</v>
      </c>
      <c r="AP2217" t="str">
        <f t="shared" si="451"/>
        <v>Valid</v>
      </c>
      <c r="AQ2217" t="str">
        <f>IF(Audit_Data[[#This Row],[Z_CostContact]]=3,"Valid","Invalid")</f>
        <v>Valid</v>
      </c>
      <c r="AR2217" t="str">
        <f t="shared" si="452"/>
        <v>Valid</v>
      </c>
      <c r="AS2217" t="str">
        <f t="shared" si="453"/>
        <v>Valid</v>
      </c>
    </row>
    <row r="2218" spans="1:45" x14ac:dyDescent="0.3">
      <c r="A2218">
        <v>736</v>
      </c>
      <c r="B2218">
        <v>1983</v>
      </c>
      <c r="C2218" t="s">
        <v>29</v>
      </c>
      <c r="D2218" t="s">
        <v>31</v>
      </c>
      <c r="E2218">
        <v>28427</v>
      </c>
      <c r="F2218">
        <v>1</v>
      </c>
      <c r="G2218">
        <v>0</v>
      </c>
      <c r="H2218" s="1">
        <v>41354</v>
      </c>
      <c r="I2218">
        <v>67</v>
      </c>
      <c r="J2218">
        <v>18</v>
      </c>
      <c r="K2218">
        <v>3</v>
      </c>
      <c r="L2218">
        <v>19</v>
      </c>
      <c r="M2218">
        <v>3</v>
      </c>
      <c r="N2218">
        <v>3</v>
      </c>
      <c r="O2218">
        <v>6</v>
      </c>
      <c r="P2218">
        <v>2</v>
      </c>
      <c r="Q2218">
        <v>2</v>
      </c>
      <c r="R2218">
        <v>0</v>
      </c>
      <c r="S2218">
        <v>3</v>
      </c>
      <c r="T2218">
        <v>8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3</v>
      </c>
      <c r="AB2218">
        <v>11</v>
      </c>
      <c r="AC2218">
        <v>0</v>
      </c>
      <c r="AD2218" t="str">
        <f t="shared" si="442"/>
        <v>Ok</v>
      </c>
      <c r="AE2218" t="str">
        <f>IF(AND(Audit_Data[[#This Row],[Year_Birth]]&gt;=1900,Audit_Data[[#This Row],[Year_Birth]]&lt;=2010),"OK","Invalid")</f>
        <v>OK</v>
      </c>
      <c r="AF2218" t="str">
        <f t="shared" si="443"/>
        <v>Valid</v>
      </c>
      <c r="AG2218" t="str">
        <f t="shared" si="444"/>
        <v>Valid</v>
      </c>
      <c r="AH2218" t="str">
        <f t="shared" si="445"/>
        <v>Valid</v>
      </c>
      <c r="AI2218" t="str">
        <f t="shared" si="446"/>
        <v>Valid</v>
      </c>
      <c r="AJ2218" t="str">
        <f t="shared" si="447"/>
        <v>Valid</v>
      </c>
      <c r="AK2218" t="str">
        <f t="shared" si="454"/>
        <v xml:space="preserve">Valid </v>
      </c>
      <c r="AL2218" t="str">
        <f>IF(AND(Audit_Data[[#This Row],[Recency]]&gt;=0,Audit_Data[[#This Row],[Recency]]&lt;=100),"Valid","Invalid")</f>
        <v>Valid</v>
      </c>
      <c r="AM2218" t="str">
        <f t="shared" si="448"/>
        <v>Valid</v>
      </c>
      <c r="AN2218" t="str">
        <f t="shared" si="449"/>
        <v>Valid</v>
      </c>
      <c r="AO2218" t="str">
        <f t="shared" si="450"/>
        <v>Valid</v>
      </c>
      <c r="AP2218" t="str">
        <f t="shared" si="451"/>
        <v>Valid</v>
      </c>
      <c r="AQ2218" t="str">
        <f>IF(Audit_Data[[#This Row],[Z_CostContact]]=3,"Valid","Invalid")</f>
        <v>Valid</v>
      </c>
      <c r="AR2218" t="str">
        <f t="shared" si="452"/>
        <v>Valid</v>
      </c>
      <c r="AS2218" t="str">
        <f t="shared" si="453"/>
        <v>Valid</v>
      </c>
    </row>
    <row r="2219" spans="1:45" x14ac:dyDescent="0.3">
      <c r="A2219">
        <v>9589</v>
      </c>
      <c r="B2219">
        <v>1948</v>
      </c>
      <c r="C2219" t="s">
        <v>32</v>
      </c>
      <c r="D2219" t="s">
        <v>38</v>
      </c>
      <c r="E2219">
        <v>82032</v>
      </c>
      <c r="F2219">
        <v>0</v>
      </c>
      <c r="G2219">
        <v>0</v>
      </c>
      <c r="H2219" s="1">
        <v>41734</v>
      </c>
      <c r="I2219">
        <v>54</v>
      </c>
      <c r="J2219">
        <v>332</v>
      </c>
      <c r="K2219">
        <v>194</v>
      </c>
      <c r="L2219">
        <v>377</v>
      </c>
      <c r="M2219">
        <v>149</v>
      </c>
      <c r="N2219">
        <v>125</v>
      </c>
      <c r="O2219">
        <v>57</v>
      </c>
      <c r="P2219">
        <v>0</v>
      </c>
      <c r="Q2219">
        <v>4</v>
      </c>
      <c r="R2219">
        <v>6</v>
      </c>
      <c r="S2219">
        <v>7</v>
      </c>
      <c r="T2219">
        <v>1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3</v>
      </c>
      <c r="AB2219">
        <v>11</v>
      </c>
      <c r="AC2219">
        <v>0</v>
      </c>
      <c r="AD2219" t="str">
        <f t="shared" si="442"/>
        <v>Ok</v>
      </c>
      <c r="AE2219" t="str">
        <f>IF(AND(Audit_Data[[#This Row],[Year_Birth]]&gt;=1900,Audit_Data[[#This Row],[Year_Birth]]&lt;=2010),"OK","Invalid")</f>
        <v>OK</v>
      </c>
      <c r="AF2219" t="str">
        <f t="shared" si="443"/>
        <v>Valid</v>
      </c>
      <c r="AG2219" t="str">
        <f t="shared" si="444"/>
        <v>Valid</v>
      </c>
      <c r="AH2219" t="str">
        <f t="shared" si="445"/>
        <v>Valid</v>
      </c>
      <c r="AI2219" t="str">
        <f t="shared" si="446"/>
        <v>Valid</v>
      </c>
      <c r="AJ2219" t="str">
        <f t="shared" si="447"/>
        <v>Valid</v>
      </c>
      <c r="AK2219" t="str">
        <f t="shared" si="454"/>
        <v xml:space="preserve">Valid </v>
      </c>
      <c r="AL2219" t="str">
        <f>IF(AND(Audit_Data[[#This Row],[Recency]]&gt;=0,Audit_Data[[#This Row],[Recency]]&lt;=100),"Valid","Invalid")</f>
        <v>Valid</v>
      </c>
      <c r="AM2219" t="str">
        <f t="shared" si="448"/>
        <v>Valid</v>
      </c>
      <c r="AN2219" t="str">
        <f t="shared" si="449"/>
        <v>Valid</v>
      </c>
      <c r="AO2219" t="str">
        <f t="shared" si="450"/>
        <v>Valid</v>
      </c>
      <c r="AP2219" t="str">
        <f t="shared" si="451"/>
        <v>Valid</v>
      </c>
      <c r="AQ2219" t="str">
        <f>IF(Audit_Data[[#This Row],[Z_CostContact]]=3,"Valid","Invalid")</f>
        <v>Valid</v>
      </c>
      <c r="AR2219" t="str">
        <f t="shared" si="452"/>
        <v>Valid</v>
      </c>
      <c r="AS2219" t="str">
        <f t="shared" si="453"/>
        <v>Valid</v>
      </c>
    </row>
    <row r="2220" spans="1:45" x14ac:dyDescent="0.3">
      <c r="A2220">
        <v>4838</v>
      </c>
      <c r="B2220">
        <v>1978</v>
      </c>
      <c r="C2220" t="s">
        <v>29</v>
      </c>
      <c r="D2220" t="s">
        <v>31</v>
      </c>
      <c r="E2220">
        <v>22775</v>
      </c>
      <c r="F2220">
        <v>1</v>
      </c>
      <c r="G2220">
        <v>0</v>
      </c>
      <c r="H2220" s="1">
        <v>41444</v>
      </c>
      <c r="I2220">
        <v>40</v>
      </c>
      <c r="J2220">
        <v>5</v>
      </c>
      <c r="K2220">
        <v>1</v>
      </c>
      <c r="L2220">
        <v>8</v>
      </c>
      <c r="M2220">
        <v>0</v>
      </c>
      <c r="N2220">
        <v>0</v>
      </c>
      <c r="O2220">
        <v>1</v>
      </c>
      <c r="P2220">
        <v>1</v>
      </c>
      <c r="Q2220">
        <v>1</v>
      </c>
      <c r="R2220">
        <v>0</v>
      </c>
      <c r="S2220">
        <v>2</v>
      </c>
      <c r="T2220">
        <v>8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3</v>
      </c>
      <c r="AB2220">
        <v>11</v>
      </c>
      <c r="AC2220">
        <v>0</v>
      </c>
      <c r="AD2220" t="str">
        <f t="shared" si="442"/>
        <v>Ok</v>
      </c>
      <c r="AE2220" t="str">
        <f>IF(AND(Audit_Data[[#This Row],[Year_Birth]]&gt;=1900,Audit_Data[[#This Row],[Year_Birth]]&lt;=2010),"OK","Invalid")</f>
        <v>OK</v>
      </c>
      <c r="AF2220" t="str">
        <f t="shared" si="443"/>
        <v>Valid</v>
      </c>
      <c r="AG2220" t="str">
        <f t="shared" si="444"/>
        <v>Valid</v>
      </c>
      <c r="AH2220" t="str">
        <f t="shared" si="445"/>
        <v>Valid</v>
      </c>
      <c r="AI2220" t="str">
        <f t="shared" si="446"/>
        <v>Valid</v>
      </c>
      <c r="AJ2220" t="str">
        <f t="shared" si="447"/>
        <v>Valid</v>
      </c>
      <c r="AK2220" t="str">
        <f t="shared" si="454"/>
        <v xml:space="preserve">Valid </v>
      </c>
      <c r="AL2220" t="str">
        <f>IF(AND(Audit_Data[[#This Row],[Recency]]&gt;=0,Audit_Data[[#This Row],[Recency]]&lt;=100),"Valid","Invalid")</f>
        <v>Valid</v>
      </c>
      <c r="AM2220" t="str">
        <f t="shared" si="448"/>
        <v>Valid</v>
      </c>
      <c r="AN2220" t="str">
        <f t="shared" si="449"/>
        <v>Valid</v>
      </c>
      <c r="AO2220" t="str">
        <f t="shared" si="450"/>
        <v>Valid</v>
      </c>
      <c r="AP2220" t="str">
        <f t="shared" si="451"/>
        <v>Valid</v>
      </c>
      <c r="AQ2220" t="str">
        <f>IF(Audit_Data[[#This Row],[Z_CostContact]]=3,"Valid","Invalid")</f>
        <v>Valid</v>
      </c>
      <c r="AR2220" t="str">
        <f t="shared" si="452"/>
        <v>Valid</v>
      </c>
      <c r="AS2220" t="str">
        <f t="shared" si="453"/>
        <v>Valid</v>
      </c>
    </row>
    <row r="2221" spans="1:45" x14ac:dyDescent="0.3">
      <c r="A2221">
        <v>9246</v>
      </c>
      <c r="B2221">
        <v>1985</v>
      </c>
      <c r="C2221" t="s">
        <v>34</v>
      </c>
      <c r="D2221" t="s">
        <v>31</v>
      </c>
      <c r="E2221">
        <v>40101</v>
      </c>
      <c r="F2221">
        <v>1</v>
      </c>
      <c r="G2221">
        <v>0</v>
      </c>
      <c r="H2221" s="1">
        <v>41196</v>
      </c>
      <c r="I2221">
        <v>73</v>
      </c>
      <c r="J2221">
        <v>171</v>
      </c>
      <c r="K2221">
        <v>3</v>
      </c>
      <c r="L2221">
        <v>129</v>
      </c>
      <c r="M2221">
        <v>26</v>
      </c>
      <c r="N2221">
        <v>24</v>
      </c>
      <c r="O2221">
        <v>62</v>
      </c>
      <c r="P2221">
        <v>4</v>
      </c>
      <c r="Q2221">
        <v>6</v>
      </c>
      <c r="R2221">
        <v>1</v>
      </c>
      <c r="S2221">
        <v>6</v>
      </c>
      <c r="T2221">
        <v>7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3</v>
      </c>
      <c r="AB2221">
        <v>11</v>
      </c>
      <c r="AC2221">
        <v>0</v>
      </c>
      <c r="AD2221" t="str">
        <f t="shared" si="442"/>
        <v>Ok</v>
      </c>
      <c r="AE2221" t="str">
        <f>IF(AND(Audit_Data[[#This Row],[Year_Birth]]&gt;=1900,Audit_Data[[#This Row],[Year_Birth]]&lt;=2010),"OK","Invalid")</f>
        <v>OK</v>
      </c>
      <c r="AF2221" t="str">
        <f t="shared" si="443"/>
        <v>Valid</v>
      </c>
      <c r="AG2221" t="str">
        <f t="shared" si="444"/>
        <v>Valid</v>
      </c>
      <c r="AH2221" t="str">
        <f t="shared" si="445"/>
        <v>Valid</v>
      </c>
      <c r="AI2221" t="str">
        <f t="shared" si="446"/>
        <v>Valid</v>
      </c>
      <c r="AJ2221" t="str">
        <f t="shared" si="447"/>
        <v>Valid</v>
      </c>
      <c r="AK2221" t="str">
        <f t="shared" si="454"/>
        <v xml:space="preserve">Valid </v>
      </c>
      <c r="AL2221" t="str">
        <f>IF(AND(Audit_Data[[#This Row],[Recency]]&gt;=0,Audit_Data[[#This Row],[Recency]]&lt;=100),"Valid","Invalid")</f>
        <v>Valid</v>
      </c>
      <c r="AM2221" t="str">
        <f t="shared" si="448"/>
        <v>Valid</v>
      </c>
      <c r="AN2221" t="str">
        <f t="shared" si="449"/>
        <v>Valid</v>
      </c>
      <c r="AO2221" t="str">
        <f t="shared" si="450"/>
        <v>Valid</v>
      </c>
      <c r="AP2221" t="str">
        <f t="shared" si="451"/>
        <v>Valid</v>
      </c>
      <c r="AQ2221" t="str">
        <f>IF(Audit_Data[[#This Row],[Z_CostContact]]=3,"Valid","Invalid")</f>
        <v>Valid</v>
      </c>
      <c r="AR2221" t="str">
        <f t="shared" si="452"/>
        <v>Valid</v>
      </c>
      <c r="AS2221" t="str">
        <f t="shared" si="453"/>
        <v>Valid</v>
      </c>
    </row>
    <row r="2222" spans="1:45" x14ac:dyDescent="0.3">
      <c r="A2222">
        <v>6261</v>
      </c>
      <c r="B2222">
        <v>1979</v>
      </c>
      <c r="C2222" t="s">
        <v>29</v>
      </c>
      <c r="D2222" t="s">
        <v>33</v>
      </c>
      <c r="E2222">
        <v>58025</v>
      </c>
      <c r="F2222">
        <v>0</v>
      </c>
      <c r="G2222">
        <v>1</v>
      </c>
      <c r="H2222" s="1">
        <v>41604</v>
      </c>
      <c r="I2222">
        <v>81</v>
      </c>
      <c r="J2222">
        <v>270</v>
      </c>
      <c r="K2222">
        <v>31</v>
      </c>
      <c r="L2222">
        <v>88</v>
      </c>
      <c r="M2222">
        <v>11</v>
      </c>
      <c r="N2222">
        <v>48</v>
      </c>
      <c r="O2222">
        <v>22</v>
      </c>
      <c r="P2222">
        <v>3</v>
      </c>
      <c r="Q2222">
        <v>3</v>
      </c>
      <c r="R2222">
        <v>2</v>
      </c>
      <c r="S2222">
        <v>10</v>
      </c>
      <c r="T2222">
        <v>4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3</v>
      </c>
      <c r="AB2222">
        <v>11</v>
      </c>
      <c r="AC2222">
        <v>0</v>
      </c>
      <c r="AD2222" t="str">
        <f t="shared" si="442"/>
        <v>Ok</v>
      </c>
      <c r="AE2222" t="str">
        <f>IF(AND(Audit_Data[[#This Row],[Year_Birth]]&gt;=1900,Audit_Data[[#This Row],[Year_Birth]]&lt;=2010),"OK","Invalid")</f>
        <v>OK</v>
      </c>
      <c r="AF2222" t="str">
        <f t="shared" si="443"/>
        <v>Valid</v>
      </c>
      <c r="AG2222" t="str">
        <f t="shared" si="444"/>
        <v>Valid</v>
      </c>
      <c r="AH2222" t="str">
        <f t="shared" si="445"/>
        <v>Valid</v>
      </c>
      <c r="AI2222" t="str">
        <f t="shared" si="446"/>
        <v>Valid</v>
      </c>
      <c r="AJ2222" t="str">
        <f t="shared" si="447"/>
        <v>Valid</v>
      </c>
      <c r="AK2222" t="str">
        <f t="shared" si="454"/>
        <v xml:space="preserve">Valid </v>
      </c>
      <c r="AL2222" t="str">
        <f>IF(AND(Audit_Data[[#This Row],[Recency]]&gt;=0,Audit_Data[[#This Row],[Recency]]&lt;=100),"Valid","Invalid")</f>
        <v>Valid</v>
      </c>
      <c r="AM2222" t="str">
        <f t="shared" si="448"/>
        <v>Valid</v>
      </c>
      <c r="AN2222" t="str">
        <f t="shared" si="449"/>
        <v>Valid</v>
      </c>
      <c r="AO2222" t="str">
        <f t="shared" si="450"/>
        <v>Valid</v>
      </c>
      <c r="AP2222" t="str">
        <f t="shared" si="451"/>
        <v>Valid</v>
      </c>
      <c r="AQ2222" t="str">
        <f>IF(Audit_Data[[#This Row],[Z_CostContact]]=3,"Valid","Invalid")</f>
        <v>Valid</v>
      </c>
      <c r="AR2222" t="str">
        <f t="shared" si="452"/>
        <v>Valid</v>
      </c>
      <c r="AS2222" t="str">
        <f t="shared" si="453"/>
        <v>Valid</v>
      </c>
    </row>
    <row r="2223" spans="1:45" x14ac:dyDescent="0.3">
      <c r="A2223">
        <v>7366</v>
      </c>
      <c r="B2223">
        <v>1982</v>
      </c>
      <c r="C2223" t="s">
        <v>34</v>
      </c>
      <c r="D2223" t="s">
        <v>30</v>
      </c>
      <c r="E2223">
        <v>75777</v>
      </c>
      <c r="F2223">
        <v>0</v>
      </c>
      <c r="G2223">
        <v>0</v>
      </c>
      <c r="H2223" s="1">
        <v>41459</v>
      </c>
      <c r="I2223">
        <v>12</v>
      </c>
      <c r="J2223">
        <v>712</v>
      </c>
      <c r="K2223">
        <v>26</v>
      </c>
      <c r="L2223">
        <v>538</v>
      </c>
      <c r="M2223">
        <v>69</v>
      </c>
      <c r="N2223">
        <v>13</v>
      </c>
      <c r="O2223">
        <v>80</v>
      </c>
      <c r="P2223">
        <v>1</v>
      </c>
      <c r="Q2223">
        <v>3</v>
      </c>
      <c r="R2223">
        <v>6</v>
      </c>
      <c r="S2223">
        <v>11</v>
      </c>
      <c r="T2223">
        <v>1</v>
      </c>
      <c r="U2223">
        <v>0</v>
      </c>
      <c r="V2223">
        <v>1</v>
      </c>
      <c r="W2223">
        <v>1</v>
      </c>
      <c r="X2223">
        <v>0</v>
      </c>
      <c r="Y2223">
        <v>0</v>
      </c>
      <c r="Z2223">
        <v>0</v>
      </c>
      <c r="AA2223">
        <v>3</v>
      </c>
      <c r="AB2223">
        <v>11</v>
      </c>
      <c r="AC2223">
        <v>1</v>
      </c>
      <c r="AD2223" t="str">
        <f t="shared" si="442"/>
        <v>Ok</v>
      </c>
      <c r="AE2223" t="str">
        <f>IF(AND(Audit_Data[[#This Row],[Year_Birth]]&gt;=1900,Audit_Data[[#This Row],[Year_Birth]]&lt;=2010),"OK","Invalid")</f>
        <v>OK</v>
      </c>
      <c r="AF2223" t="str">
        <f t="shared" si="443"/>
        <v>Valid</v>
      </c>
      <c r="AG2223" t="str">
        <f t="shared" si="444"/>
        <v>Valid</v>
      </c>
      <c r="AH2223" t="str">
        <f t="shared" si="445"/>
        <v>Valid</v>
      </c>
      <c r="AI2223" t="str">
        <f t="shared" si="446"/>
        <v>Valid</v>
      </c>
      <c r="AJ2223" t="str">
        <f t="shared" si="447"/>
        <v>Valid</v>
      </c>
      <c r="AK2223" t="str">
        <f t="shared" si="454"/>
        <v xml:space="preserve">Valid </v>
      </c>
      <c r="AL2223" t="str">
        <f>IF(AND(Audit_Data[[#This Row],[Recency]]&gt;=0,Audit_Data[[#This Row],[Recency]]&lt;=100),"Valid","Invalid")</f>
        <v>Valid</v>
      </c>
      <c r="AM2223" t="str">
        <f t="shared" si="448"/>
        <v>Valid</v>
      </c>
      <c r="AN2223" t="str">
        <f t="shared" si="449"/>
        <v>Valid</v>
      </c>
      <c r="AO2223" t="str">
        <f t="shared" si="450"/>
        <v>Valid</v>
      </c>
      <c r="AP2223" t="str">
        <f t="shared" si="451"/>
        <v>Valid</v>
      </c>
      <c r="AQ2223" t="str">
        <f>IF(Audit_Data[[#This Row],[Z_CostContact]]=3,"Valid","Invalid")</f>
        <v>Valid</v>
      </c>
      <c r="AR2223" t="str">
        <f t="shared" si="452"/>
        <v>Valid</v>
      </c>
      <c r="AS2223" t="str">
        <f t="shared" si="453"/>
        <v>Valid</v>
      </c>
    </row>
    <row r="2224" spans="1:45" x14ac:dyDescent="0.3">
      <c r="A2224">
        <v>10659</v>
      </c>
      <c r="B2224">
        <v>1979</v>
      </c>
      <c r="C2224" t="s">
        <v>37</v>
      </c>
      <c r="D2224" t="s">
        <v>31</v>
      </c>
      <c r="E2224">
        <v>7500</v>
      </c>
      <c r="F2224">
        <v>1</v>
      </c>
      <c r="G2224">
        <v>0</v>
      </c>
      <c r="H2224" s="1">
        <v>41401</v>
      </c>
      <c r="I2224">
        <v>7</v>
      </c>
      <c r="J2224">
        <v>2</v>
      </c>
      <c r="K2224">
        <v>8</v>
      </c>
      <c r="L2224">
        <v>11</v>
      </c>
      <c r="M2224">
        <v>3</v>
      </c>
      <c r="N2224">
        <v>8</v>
      </c>
      <c r="O2224">
        <v>21</v>
      </c>
      <c r="P2224">
        <v>4</v>
      </c>
      <c r="Q2224">
        <v>3</v>
      </c>
      <c r="R2224">
        <v>2</v>
      </c>
      <c r="S2224">
        <v>2</v>
      </c>
      <c r="T2224">
        <v>7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3</v>
      </c>
      <c r="AB2224">
        <v>11</v>
      </c>
      <c r="AC2224">
        <v>0</v>
      </c>
      <c r="AD2224" t="str">
        <f t="shared" si="442"/>
        <v>Ok</v>
      </c>
      <c r="AE2224" t="str">
        <f>IF(AND(Audit_Data[[#This Row],[Year_Birth]]&gt;=1900,Audit_Data[[#This Row],[Year_Birth]]&lt;=2010),"OK","Invalid")</f>
        <v>OK</v>
      </c>
      <c r="AF2224" t="str">
        <f t="shared" si="443"/>
        <v>Valid</v>
      </c>
      <c r="AG2224" t="str">
        <f t="shared" si="444"/>
        <v>Valid</v>
      </c>
      <c r="AH2224" t="str">
        <f t="shared" si="445"/>
        <v>Valid</v>
      </c>
      <c r="AI2224" t="str">
        <f t="shared" si="446"/>
        <v>Valid</v>
      </c>
      <c r="AJ2224" t="str">
        <f t="shared" si="447"/>
        <v>Valid</v>
      </c>
      <c r="AK2224" t="str">
        <f t="shared" si="454"/>
        <v xml:space="preserve">Valid </v>
      </c>
      <c r="AL2224" t="str">
        <f>IF(AND(Audit_Data[[#This Row],[Recency]]&gt;=0,Audit_Data[[#This Row],[Recency]]&lt;=100),"Valid","Invalid")</f>
        <v>Valid</v>
      </c>
      <c r="AM2224" t="str">
        <f t="shared" si="448"/>
        <v>Valid</v>
      </c>
      <c r="AN2224" t="str">
        <f t="shared" si="449"/>
        <v>Valid</v>
      </c>
      <c r="AO2224" t="str">
        <f t="shared" si="450"/>
        <v>Valid</v>
      </c>
      <c r="AP2224" t="str">
        <f t="shared" si="451"/>
        <v>Valid</v>
      </c>
      <c r="AQ2224" t="str">
        <f>IF(Audit_Data[[#This Row],[Z_CostContact]]=3,"Valid","Invalid")</f>
        <v>Valid</v>
      </c>
      <c r="AR2224" t="str">
        <f t="shared" si="452"/>
        <v>Valid</v>
      </c>
      <c r="AS2224" t="str">
        <f t="shared" si="453"/>
        <v>Valid</v>
      </c>
    </row>
    <row r="2225" spans="1:45" x14ac:dyDescent="0.3">
      <c r="A2225">
        <v>1448</v>
      </c>
      <c r="B2225">
        <v>1963</v>
      </c>
      <c r="C2225" t="s">
        <v>34</v>
      </c>
      <c r="D2225" t="s">
        <v>33</v>
      </c>
      <c r="E2225">
        <v>33562</v>
      </c>
      <c r="F2225">
        <v>1</v>
      </c>
      <c r="G2225">
        <v>2</v>
      </c>
      <c r="H2225" s="1">
        <v>41815</v>
      </c>
      <c r="I2225">
        <v>33</v>
      </c>
      <c r="J2225">
        <v>21</v>
      </c>
      <c r="K2225">
        <v>12</v>
      </c>
      <c r="L2225">
        <v>12</v>
      </c>
      <c r="M2225">
        <v>0</v>
      </c>
      <c r="N2225">
        <v>3</v>
      </c>
      <c r="O2225">
        <v>3</v>
      </c>
      <c r="P2225">
        <v>3</v>
      </c>
      <c r="Q2225">
        <v>2</v>
      </c>
      <c r="R2225">
        <v>0</v>
      </c>
      <c r="S2225">
        <v>4</v>
      </c>
      <c r="T2225">
        <v>4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3</v>
      </c>
      <c r="AB2225">
        <v>11</v>
      </c>
      <c r="AC2225">
        <v>0</v>
      </c>
      <c r="AD2225" t="str">
        <f t="shared" si="442"/>
        <v>Ok</v>
      </c>
      <c r="AE2225" t="str">
        <f>IF(AND(Audit_Data[[#This Row],[Year_Birth]]&gt;=1900,Audit_Data[[#This Row],[Year_Birth]]&lt;=2010),"OK","Invalid")</f>
        <v>OK</v>
      </c>
      <c r="AF2225" t="str">
        <f t="shared" si="443"/>
        <v>Valid</v>
      </c>
      <c r="AG2225" t="str">
        <f t="shared" si="444"/>
        <v>Valid</v>
      </c>
      <c r="AH2225" t="str">
        <f t="shared" si="445"/>
        <v>Valid</v>
      </c>
      <c r="AI2225" t="str">
        <f t="shared" si="446"/>
        <v>Valid</v>
      </c>
      <c r="AJ2225" t="str">
        <f t="shared" si="447"/>
        <v>Valid</v>
      </c>
      <c r="AK2225" t="str">
        <f t="shared" si="454"/>
        <v xml:space="preserve">Valid </v>
      </c>
      <c r="AL2225" t="str">
        <f>IF(AND(Audit_Data[[#This Row],[Recency]]&gt;=0,Audit_Data[[#This Row],[Recency]]&lt;=100),"Valid","Invalid")</f>
        <v>Valid</v>
      </c>
      <c r="AM2225" t="str">
        <f t="shared" si="448"/>
        <v>Valid</v>
      </c>
      <c r="AN2225" t="str">
        <f t="shared" si="449"/>
        <v>Valid</v>
      </c>
      <c r="AO2225" t="str">
        <f t="shared" si="450"/>
        <v>Valid</v>
      </c>
      <c r="AP2225" t="str">
        <f t="shared" si="451"/>
        <v>Valid</v>
      </c>
      <c r="AQ2225" t="str">
        <f>IF(Audit_Data[[#This Row],[Z_CostContact]]=3,"Valid","Invalid")</f>
        <v>Valid</v>
      </c>
      <c r="AR2225" t="str">
        <f t="shared" si="452"/>
        <v>Valid</v>
      </c>
      <c r="AS2225" t="str">
        <f t="shared" si="453"/>
        <v>Valid</v>
      </c>
    </row>
    <row r="2226" spans="1:45" x14ac:dyDescent="0.3">
      <c r="A2226">
        <v>4286</v>
      </c>
      <c r="B2226">
        <v>1970</v>
      </c>
      <c r="C2226" t="s">
        <v>32</v>
      </c>
      <c r="D2226" t="s">
        <v>30</v>
      </c>
      <c r="E2226">
        <v>57642</v>
      </c>
      <c r="F2226">
        <v>0</v>
      </c>
      <c r="G2226">
        <v>1</v>
      </c>
      <c r="H2226" s="1">
        <v>41648</v>
      </c>
      <c r="I2226">
        <v>24</v>
      </c>
      <c r="J2226">
        <v>580</v>
      </c>
      <c r="K2226">
        <v>6</v>
      </c>
      <c r="L2226">
        <v>58</v>
      </c>
      <c r="M2226">
        <v>8</v>
      </c>
      <c r="N2226">
        <v>0</v>
      </c>
      <c r="O2226">
        <v>27</v>
      </c>
      <c r="P2226">
        <v>3</v>
      </c>
      <c r="Q2226">
        <v>7</v>
      </c>
      <c r="R2226">
        <v>6</v>
      </c>
      <c r="S2226">
        <v>6</v>
      </c>
      <c r="T2226">
        <v>4</v>
      </c>
      <c r="U2226">
        <v>1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3</v>
      </c>
      <c r="AB2226">
        <v>11</v>
      </c>
      <c r="AC2226">
        <v>0</v>
      </c>
      <c r="AD2226" t="str">
        <f t="shared" si="442"/>
        <v>Ok</v>
      </c>
      <c r="AE2226" t="str">
        <f>IF(AND(Audit_Data[[#This Row],[Year_Birth]]&gt;=1900,Audit_Data[[#This Row],[Year_Birth]]&lt;=2010),"OK","Invalid")</f>
        <v>OK</v>
      </c>
      <c r="AF2226" t="str">
        <f t="shared" si="443"/>
        <v>Valid</v>
      </c>
      <c r="AG2226" t="str">
        <f t="shared" si="444"/>
        <v>Valid</v>
      </c>
      <c r="AH2226" t="str">
        <f t="shared" si="445"/>
        <v>Valid</v>
      </c>
      <c r="AI2226" t="str">
        <f t="shared" si="446"/>
        <v>Valid</v>
      </c>
      <c r="AJ2226" t="str">
        <f t="shared" si="447"/>
        <v>Valid</v>
      </c>
      <c r="AK2226" t="str">
        <f t="shared" si="454"/>
        <v xml:space="preserve">Valid </v>
      </c>
      <c r="AL2226" t="str">
        <f>IF(AND(Audit_Data[[#This Row],[Recency]]&gt;=0,Audit_Data[[#This Row],[Recency]]&lt;=100),"Valid","Invalid")</f>
        <v>Valid</v>
      </c>
      <c r="AM2226" t="str">
        <f t="shared" si="448"/>
        <v>Valid</v>
      </c>
      <c r="AN2226" t="str">
        <f t="shared" si="449"/>
        <v>Valid</v>
      </c>
      <c r="AO2226" t="str">
        <f t="shared" si="450"/>
        <v>Valid</v>
      </c>
      <c r="AP2226" t="str">
        <f t="shared" si="451"/>
        <v>Valid</v>
      </c>
      <c r="AQ2226" t="str">
        <f>IF(Audit_Data[[#This Row],[Z_CostContact]]=3,"Valid","Invalid")</f>
        <v>Valid</v>
      </c>
      <c r="AR2226" t="str">
        <f t="shared" si="452"/>
        <v>Valid</v>
      </c>
      <c r="AS2226" t="str">
        <f t="shared" si="453"/>
        <v>Valid</v>
      </c>
    </row>
    <row r="2227" spans="1:45" x14ac:dyDescent="0.3">
      <c r="A2227">
        <v>4749</v>
      </c>
      <c r="B2227">
        <v>1968</v>
      </c>
      <c r="C2227" t="s">
        <v>29</v>
      </c>
      <c r="D2227" t="s">
        <v>31</v>
      </c>
      <c r="E2227">
        <v>58554</v>
      </c>
      <c r="F2227">
        <v>1</v>
      </c>
      <c r="G2227">
        <v>1</v>
      </c>
      <c r="H2227" s="1">
        <v>41178</v>
      </c>
      <c r="I2227">
        <v>55</v>
      </c>
      <c r="J2227">
        <v>368</v>
      </c>
      <c r="K2227">
        <v>24</v>
      </c>
      <c r="L2227">
        <v>68</v>
      </c>
      <c r="M2227">
        <v>38</v>
      </c>
      <c r="N2227">
        <v>0</v>
      </c>
      <c r="O2227">
        <v>88</v>
      </c>
      <c r="P2227">
        <v>6</v>
      </c>
      <c r="Q2227">
        <v>8</v>
      </c>
      <c r="R2227">
        <v>2</v>
      </c>
      <c r="S2227">
        <v>6</v>
      </c>
      <c r="T2227">
        <v>7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3</v>
      </c>
      <c r="AB2227">
        <v>11</v>
      </c>
      <c r="AC2227">
        <v>0</v>
      </c>
      <c r="AD2227" t="str">
        <f t="shared" si="442"/>
        <v>Ok</v>
      </c>
      <c r="AE2227" t="str">
        <f>IF(AND(Audit_Data[[#This Row],[Year_Birth]]&gt;=1900,Audit_Data[[#This Row],[Year_Birth]]&lt;=2010),"OK","Invalid")</f>
        <v>OK</v>
      </c>
      <c r="AF2227" t="str">
        <f t="shared" si="443"/>
        <v>Valid</v>
      </c>
      <c r="AG2227" t="str">
        <f t="shared" si="444"/>
        <v>Valid</v>
      </c>
      <c r="AH2227" t="str">
        <f t="shared" si="445"/>
        <v>Valid</v>
      </c>
      <c r="AI2227" t="str">
        <f t="shared" si="446"/>
        <v>Valid</v>
      </c>
      <c r="AJ2227" t="str">
        <f t="shared" si="447"/>
        <v>Valid</v>
      </c>
      <c r="AK2227" t="str">
        <f t="shared" si="454"/>
        <v xml:space="preserve">Valid </v>
      </c>
      <c r="AL2227" t="str">
        <f>IF(AND(Audit_Data[[#This Row],[Recency]]&gt;=0,Audit_Data[[#This Row],[Recency]]&lt;=100),"Valid","Invalid")</f>
        <v>Valid</v>
      </c>
      <c r="AM2227" t="str">
        <f t="shared" si="448"/>
        <v>Valid</v>
      </c>
      <c r="AN2227" t="str">
        <f t="shared" si="449"/>
        <v>Valid</v>
      </c>
      <c r="AO2227" t="str">
        <f t="shared" si="450"/>
        <v>Valid</v>
      </c>
      <c r="AP2227" t="str">
        <f t="shared" si="451"/>
        <v>Valid</v>
      </c>
      <c r="AQ2227" t="str">
        <f>IF(Audit_Data[[#This Row],[Z_CostContact]]=3,"Valid","Invalid")</f>
        <v>Valid</v>
      </c>
      <c r="AR2227" t="str">
        <f t="shared" si="452"/>
        <v>Valid</v>
      </c>
      <c r="AS2227" t="str">
        <f t="shared" si="453"/>
        <v>Valid</v>
      </c>
    </row>
    <row r="2228" spans="1:45" x14ac:dyDescent="0.3">
      <c r="A2228">
        <v>4478</v>
      </c>
      <c r="B2228">
        <v>1979</v>
      </c>
      <c r="C2228" t="s">
        <v>29</v>
      </c>
      <c r="D2228" t="s">
        <v>33</v>
      </c>
      <c r="E2228">
        <v>63777</v>
      </c>
      <c r="F2228">
        <v>1</v>
      </c>
      <c r="G2228">
        <v>1</v>
      </c>
      <c r="H2228" s="1">
        <v>41357</v>
      </c>
      <c r="I2228">
        <v>87</v>
      </c>
      <c r="J2228">
        <v>457</v>
      </c>
      <c r="K2228">
        <v>5</v>
      </c>
      <c r="L2228">
        <v>106</v>
      </c>
      <c r="M2228">
        <v>15</v>
      </c>
      <c r="N2228">
        <v>17</v>
      </c>
      <c r="O2228">
        <v>53</v>
      </c>
      <c r="P2228">
        <v>8</v>
      </c>
      <c r="Q2228">
        <v>11</v>
      </c>
      <c r="R2228">
        <v>1</v>
      </c>
      <c r="S2228">
        <v>6</v>
      </c>
      <c r="T2228">
        <v>8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3</v>
      </c>
      <c r="AB2228">
        <v>11</v>
      </c>
      <c r="AC2228">
        <v>0</v>
      </c>
      <c r="AD2228" t="str">
        <f t="shared" si="442"/>
        <v>Ok</v>
      </c>
      <c r="AE2228" t="str">
        <f>IF(AND(Audit_Data[[#This Row],[Year_Birth]]&gt;=1900,Audit_Data[[#This Row],[Year_Birth]]&lt;=2010),"OK","Invalid")</f>
        <v>OK</v>
      </c>
      <c r="AF2228" t="str">
        <f t="shared" si="443"/>
        <v>Valid</v>
      </c>
      <c r="AG2228" t="str">
        <f t="shared" si="444"/>
        <v>Valid</v>
      </c>
      <c r="AH2228" t="str">
        <f t="shared" si="445"/>
        <v>Valid</v>
      </c>
      <c r="AI2228" t="str">
        <f t="shared" si="446"/>
        <v>Valid</v>
      </c>
      <c r="AJ2228" t="str">
        <f t="shared" si="447"/>
        <v>Valid</v>
      </c>
      <c r="AK2228" t="str">
        <f t="shared" si="454"/>
        <v xml:space="preserve">Valid </v>
      </c>
      <c r="AL2228" t="str">
        <f>IF(AND(Audit_Data[[#This Row],[Recency]]&gt;=0,Audit_Data[[#This Row],[Recency]]&lt;=100),"Valid","Invalid")</f>
        <v>Valid</v>
      </c>
      <c r="AM2228" t="str">
        <f t="shared" si="448"/>
        <v>Valid</v>
      </c>
      <c r="AN2228" t="str">
        <f t="shared" si="449"/>
        <v>Valid</v>
      </c>
      <c r="AO2228" t="str">
        <f t="shared" si="450"/>
        <v>Valid</v>
      </c>
      <c r="AP2228" t="str">
        <f t="shared" si="451"/>
        <v>Valid</v>
      </c>
      <c r="AQ2228" t="str">
        <f>IF(Audit_Data[[#This Row],[Z_CostContact]]=3,"Valid","Invalid")</f>
        <v>Valid</v>
      </c>
      <c r="AR2228" t="str">
        <f t="shared" si="452"/>
        <v>Valid</v>
      </c>
      <c r="AS2228" t="str">
        <f t="shared" si="453"/>
        <v>Valid</v>
      </c>
    </row>
    <row r="2229" spans="1:45" x14ac:dyDescent="0.3">
      <c r="A2229">
        <v>4201</v>
      </c>
      <c r="B2229">
        <v>1962</v>
      </c>
      <c r="C2229" t="s">
        <v>29</v>
      </c>
      <c r="D2229" t="s">
        <v>30</v>
      </c>
      <c r="E2229">
        <v>57967</v>
      </c>
      <c r="F2229">
        <v>0</v>
      </c>
      <c r="G2229">
        <v>1</v>
      </c>
      <c r="H2229" s="1">
        <v>41336</v>
      </c>
      <c r="I2229">
        <v>39</v>
      </c>
      <c r="J2229">
        <v>229</v>
      </c>
      <c r="K2229">
        <v>7</v>
      </c>
      <c r="L2229">
        <v>137</v>
      </c>
      <c r="M2229">
        <v>4</v>
      </c>
      <c r="N2229">
        <v>0</v>
      </c>
      <c r="O2229">
        <v>91</v>
      </c>
      <c r="P2229">
        <v>5</v>
      </c>
      <c r="Q2229">
        <v>4</v>
      </c>
      <c r="R2229">
        <v>2</v>
      </c>
      <c r="S2229">
        <v>8</v>
      </c>
      <c r="T2229">
        <v>5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3</v>
      </c>
      <c r="AB2229">
        <v>11</v>
      </c>
      <c r="AC2229">
        <v>0</v>
      </c>
      <c r="AD2229" t="str">
        <f t="shared" si="442"/>
        <v>Ok</v>
      </c>
      <c r="AE2229" t="str">
        <f>IF(AND(Audit_Data[[#This Row],[Year_Birth]]&gt;=1900,Audit_Data[[#This Row],[Year_Birth]]&lt;=2010),"OK","Invalid")</f>
        <v>OK</v>
      </c>
      <c r="AF2229" t="str">
        <f t="shared" si="443"/>
        <v>Valid</v>
      </c>
      <c r="AG2229" t="str">
        <f t="shared" si="444"/>
        <v>Valid</v>
      </c>
      <c r="AH2229" t="str">
        <f t="shared" si="445"/>
        <v>Valid</v>
      </c>
      <c r="AI2229" t="str">
        <f t="shared" si="446"/>
        <v>Valid</v>
      </c>
      <c r="AJ2229" t="str">
        <f t="shared" si="447"/>
        <v>Valid</v>
      </c>
      <c r="AK2229" t="str">
        <f t="shared" si="454"/>
        <v xml:space="preserve">Valid </v>
      </c>
      <c r="AL2229" t="str">
        <f>IF(AND(Audit_Data[[#This Row],[Recency]]&gt;=0,Audit_Data[[#This Row],[Recency]]&lt;=100),"Valid","Invalid")</f>
        <v>Valid</v>
      </c>
      <c r="AM2229" t="str">
        <f t="shared" si="448"/>
        <v>Valid</v>
      </c>
      <c r="AN2229" t="str">
        <f t="shared" si="449"/>
        <v>Valid</v>
      </c>
      <c r="AO2229" t="str">
        <f t="shared" si="450"/>
        <v>Valid</v>
      </c>
      <c r="AP2229" t="str">
        <f t="shared" si="451"/>
        <v>Valid</v>
      </c>
      <c r="AQ2229" t="str">
        <f>IF(Audit_Data[[#This Row],[Z_CostContact]]=3,"Valid","Invalid")</f>
        <v>Valid</v>
      </c>
      <c r="AR2229" t="str">
        <f t="shared" si="452"/>
        <v>Valid</v>
      </c>
      <c r="AS2229" t="str">
        <f t="shared" si="453"/>
        <v>Valid</v>
      </c>
    </row>
    <row r="2230" spans="1:45" x14ac:dyDescent="0.3">
      <c r="A2230">
        <v>8720</v>
      </c>
      <c r="B2230">
        <v>1978</v>
      </c>
      <c r="C2230" t="s">
        <v>37</v>
      </c>
      <c r="D2230" t="s">
        <v>31</v>
      </c>
      <c r="F2230">
        <v>0</v>
      </c>
      <c r="G2230">
        <v>0</v>
      </c>
      <c r="H2230" s="1">
        <v>41133</v>
      </c>
      <c r="I2230">
        <v>53</v>
      </c>
      <c r="J2230">
        <v>32</v>
      </c>
      <c r="K2230">
        <v>2</v>
      </c>
      <c r="L2230">
        <v>1607</v>
      </c>
      <c r="M2230">
        <v>12</v>
      </c>
      <c r="N2230">
        <v>4</v>
      </c>
      <c r="O2230">
        <v>22</v>
      </c>
      <c r="P2230">
        <v>0</v>
      </c>
      <c r="Q2230">
        <v>0</v>
      </c>
      <c r="R2230">
        <v>0</v>
      </c>
      <c r="S2230">
        <v>1</v>
      </c>
      <c r="T2230">
        <v>0</v>
      </c>
      <c r="U2230">
        <v>0</v>
      </c>
      <c r="V2230">
        <v>1</v>
      </c>
      <c r="W2230">
        <v>0</v>
      </c>
      <c r="X2230">
        <v>0</v>
      </c>
      <c r="Y2230">
        <v>0</v>
      </c>
      <c r="Z2230">
        <v>0</v>
      </c>
      <c r="AA2230">
        <v>3</v>
      </c>
      <c r="AB2230">
        <v>11</v>
      </c>
      <c r="AC2230">
        <v>0</v>
      </c>
      <c r="AD2230" t="str">
        <f t="shared" si="442"/>
        <v>Ok</v>
      </c>
      <c r="AE2230" t="str">
        <f>IF(AND(Audit_Data[[#This Row],[Year_Birth]]&gt;=1900,Audit_Data[[#This Row],[Year_Birth]]&lt;=2010),"OK","Invalid")</f>
        <v>OK</v>
      </c>
      <c r="AF2230" t="str">
        <f t="shared" si="443"/>
        <v>Valid</v>
      </c>
      <c r="AG2230" t="str">
        <f t="shared" si="444"/>
        <v>Valid</v>
      </c>
      <c r="AH2230" t="str">
        <f t="shared" si="445"/>
        <v>Invalid</v>
      </c>
      <c r="AI2230" t="str">
        <f t="shared" si="446"/>
        <v>Valid</v>
      </c>
      <c r="AJ2230" t="str">
        <f t="shared" si="447"/>
        <v>Valid</v>
      </c>
      <c r="AK2230" t="str">
        <f t="shared" si="454"/>
        <v xml:space="preserve">Valid </v>
      </c>
      <c r="AL2230" t="str">
        <f>IF(AND(Audit_Data[[#This Row],[Recency]]&gt;=0,Audit_Data[[#This Row],[Recency]]&lt;=100),"Valid","Invalid")</f>
        <v>Valid</v>
      </c>
      <c r="AM2230" t="str">
        <f t="shared" si="448"/>
        <v>Valid</v>
      </c>
      <c r="AN2230" t="str">
        <f t="shared" si="449"/>
        <v>Valid</v>
      </c>
      <c r="AO2230" t="str">
        <f t="shared" si="450"/>
        <v>Valid</v>
      </c>
      <c r="AP2230" t="str">
        <f t="shared" si="451"/>
        <v>Valid</v>
      </c>
      <c r="AQ2230" t="str">
        <f>IF(Audit_Data[[#This Row],[Z_CostContact]]=3,"Valid","Invalid")</f>
        <v>Valid</v>
      </c>
      <c r="AR2230" t="str">
        <f t="shared" si="452"/>
        <v>Valid</v>
      </c>
      <c r="AS2230" t="str">
        <f t="shared" si="453"/>
        <v>Valid</v>
      </c>
    </row>
    <row r="2231" spans="1:45" x14ac:dyDescent="0.3">
      <c r="A2231">
        <v>10084</v>
      </c>
      <c r="B2231">
        <v>1972</v>
      </c>
      <c r="C2231" t="s">
        <v>29</v>
      </c>
      <c r="D2231" t="s">
        <v>33</v>
      </c>
      <c r="E2231">
        <v>24434</v>
      </c>
      <c r="F2231">
        <v>2</v>
      </c>
      <c r="G2231">
        <v>0</v>
      </c>
      <c r="H2231" s="1">
        <v>41777</v>
      </c>
      <c r="I2231">
        <v>9</v>
      </c>
      <c r="J2231">
        <v>3</v>
      </c>
      <c r="K2231">
        <v>2</v>
      </c>
      <c r="L2231">
        <v>8</v>
      </c>
      <c r="M2231">
        <v>20</v>
      </c>
      <c r="N2231">
        <v>0</v>
      </c>
      <c r="O2231">
        <v>17</v>
      </c>
      <c r="P2231">
        <v>2</v>
      </c>
      <c r="Q2231">
        <v>2</v>
      </c>
      <c r="R2231">
        <v>1</v>
      </c>
      <c r="S2231">
        <v>2</v>
      </c>
      <c r="T2231">
        <v>7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3</v>
      </c>
      <c r="AB2231">
        <v>11</v>
      </c>
      <c r="AC2231">
        <v>0</v>
      </c>
      <c r="AD2231" t="str">
        <f t="shared" si="442"/>
        <v>Ok</v>
      </c>
      <c r="AE2231" t="str">
        <f>IF(AND(Audit_Data[[#This Row],[Year_Birth]]&gt;=1900,Audit_Data[[#This Row],[Year_Birth]]&lt;=2010),"OK","Invalid")</f>
        <v>OK</v>
      </c>
      <c r="AF2231" t="str">
        <f t="shared" si="443"/>
        <v>Valid</v>
      </c>
      <c r="AG2231" t="str">
        <f t="shared" si="444"/>
        <v>Valid</v>
      </c>
      <c r="AH2231" t="str">
        <f t="shared" si="445"/>
        <v>Valid</v>
      </c>
      <c r="AI2231" t="str">
        <f t="shared" si="446"/>
        <v>Valid</v>
      </c>
      <c r="AJ2231" t="str">
        <f t="shared" si="447"/>
        <v>Valid</v>
      </c>
      <c r="AK2231" t="str">
        <f t="shared" si="454"/>
        <v xml:space="preserve">Valid </v>
      </c>
      <c r="AL2231" t="str">
        <f>IF(AND(Audit_Data[[#This Row],[Recency]]&gt;=0,Audit_Data[[#This Row],[Recency]]&lt;=100),"Valid","Invalid")</f>
        <v>Valid</v>
      </c>
      <c r="AM2231" t="str">
        <f t="shared" si="448"/>
        <v>Valid</v>
      </c>
      <c r="AN2231" t="str">
        <f t="shared" si="449"/>
        <v>Valid</v>
      </c>
      <c r="AO2231" t="str">
        <f t="shared" si="450"/>
        <v>Valid</v>
      </c>
      <c r="AP2231" t="str">
        <f t="shared" si="451"/>
        <v>Valid</v>
      </c>
      <c r="AQ2231" t="str">
        <f>IF(Audit_Data[[#This Row],[Z_CostContact]]=3,"Valid","Invalid")</f>
        <v>Valid</v>
      </c>
      <c r="AR2231" t="str">
        <f t="shared" si="452"/>
        <v>Valid</v>
      </c>
      <c r="AS2231" t="str">
        <f t="shared" si="453"/>
        <v>Valid</v>
      </c>
    </row>
    <row r="2232" spans="1:45" x14ac:dyDescent="0.3">
      <c r="A2232">
        <v>7004</v>
      </c>
      <c r="B2232">
        <v>1984</v>
      </c>
      <c r="C2232" t="s">
        <v>29</v>
      </c>
      <c r="D2232" t="s">
        <v>30</v>
      </c>
      <c r="E2232">
        <v>11012</v>
      </c>
      <c r="F2232">
        <v>1</v>
      </c>
      <c r="G2232">
        <v>0</v>
      </c>
      <c r="H2232" s="1">
        <v>41349</v>
      </c>
      <c r="I2232">
        <v>82</v>
      </c>
      <c r="J2232">
        <v>24</v>
      </c>
      <c r="K2232">
        <v>3</v>
      </c>
      <c r="L2232">
        <v>26</v>
      </c>
      <c r="M2232">
        <v>7</v>
      </c>
      <c r="N2232">
        <v>1</v>
      </c>
      <c r="O2232">
        <v>23</v>
      </c>
      <c r="P2232">
        <v>3</v>
      </c>
      <c r="Q2232">
        <v>3</v>
      </c>
      <c r="R2232">
        <v>1</v>
      </c>
      <c r="S2232">
        <v>2</v>
      </c>
      <c r="T2232">
        <v>9</v>
      </c>
      <c r="U2232">
        <v>1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3</v>
      </c>
      <c r="AB2232">
        <v>11</v>
      </c>
      <c r="AC2232">
        <v>0</v>
      </c>
      <c r="AD2232" t="str">
        <f t="shared" si="442"/>
        <v>Ok</v>
      </c>
      <c r="AE2232" t="str">
        <f>IF(AND(Audit_Data[[#This Row],[Year_Birth]]&gt;=1900,Audit_Data[[#This Row],[Year_Birth]]&lt;=2010),"OK","Invalid")</f>
        <v>OK</v>
      </c>
      <c r="AF2232" t="str">
        <f t="shared" si="443"/>
        <v>Valid</v>
      </c>
      <c r="AG2232" t="str">
        <f t="shared" si="444"/>
        <v>Valid</v>
      </c>
      <c r="AH2232" t="str">
        <f t="shared" si="445"/>
        <v>Valid</v>
      </c>
      <c r="AI2232" t="str">
        <f t="shared" si="446"/>
        <v>Valid</v>
      </c>
      <c r="AJ2232" t="str">
        <f t="shared" si="447"/>
        <v>Valid</v>
      </c>
      <c r="AK2232" t="str">
        <f t="shared" si="454"/>
        <v xml:space="preserve">Valid </v>
      </c>
      <c r="AL2232" t="str">
        <f>IF(AND(Audit_Data[[#This Row],[Recency]]&gt;=0,Audit_Data[[#This Row],[Recency]]&lt;=100),"Valid","Invalid")</f>
        <v>Valid</v>
      </c>
      <c r="AM2232" t="str">
        <f t="shared" si="448"/>
        <v>Valid</v>
      </c>
      <c r="AN2232" t="str">
        <f t="shared" si="449"/>
        <v>Valid</v>
      </c>
      <c r="AO2232" t="str">
        <f t="shared" si="450"/>
        <v>Valid</v>
      </c>
      <c r="AP2232" t="str">
        <f t="shared" si="451"/>
        <v>Valid</v>
      </c>
      <c r="AQ2232" t="str">
        <f>IF(Audit_Data[[#This Row],[Z_CostContact]]=3,"Valid","Invalid")</f>
        <v>Valid</v>
      </c>
      <c r="AR2232" t="str">
        <f t="shared" si="452"/>
        <v>Valid</v>
      </c>
      <c r="AS2232" t="str">
        <f t="shared" si="453"/>
        <v>Valid</v>
      </c>
    </row>
    <row r="2233" spans="1:45" x14ac:dyDescent="0.3">
      <c r="A2233">
        <v>9817</v>
      </c>
      <c r="B2233">
        <v>1970</v>
      </c>
      <c r="C2233" t="s">
        <v>34</v>
      </c>
      <c r="D2233" t="s">
        <v>30</v>
      </c>
      <c r="E2233">
        <v>44802</v>
      </c>
      <c r="F2233">
        <v>0</v>
      </c>
      <c r="G2233">
        <v>0</v>
      </c>
      <c r="H2233" s="1">
        <v>41142</v>
      </c>
      <c r="I2233">
        <v>71</v>
      </c>
      <c r="J2233">
        <v>853</v>
      </c>
      <c r="K2233">
        <v>10</v>
      </c>
      <c r="L2233">
        <v>143</v>
      </c>
      <c r="M2233">
        <v>13</v>
      </c>
      <c r="N2233">
        <v>10</v>
      </c>
      <c r="O2233">
        <v>20</v>
      </c>
      <c r="P2233">
        <v>2</v>
      </c>
      <c r="Q2233">
        <v>9</v>
      </c>
      <c r="R2233">
        <v>4</v>
      </c>
      <c r="S2233">
        <v>12</v>
      </c>
      <c r="T2233">
        <v>8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3</v>
      </c>
      <c r="AB2233">
        <v>11</v>
      </c>
      <c r="AC2233">
        <v>0</v>
      </c>
      <c r="AD2233" t="str">
        <f t="shared" si="442"/>
        <v>Ok</v>
      </c>
      <c r="AE2233" t="str">
        <f>IF(AND(Audit_Data[[#This Row],[Year_Birth]]&gt;=1900,Audit_Data[[#This Row],[Year_Birth]]&lt;=2010),"OK","Invalid")</f>
        <v>OK</v>
      </c>
      <c r="AF2233" t="str">
        <f t="shared" si="443"/>
        <v>Valid</v>
      </c>
      <c r="AG2233" t="str">
        <f t="shared" si="444"/>
        <v>Valid</v>
      </c>
      <c r="AH2233" t="str">
        <f t="shared" si="445"/>
        <v>Valid</v>
      </c>
      <c r="AI2233" t="str">
        <f t="shared" si="446"/>
        <v>Valid</v>
      </c>
      <c r="AJ2233" t="str">
        <f t="shared" si="447"/>
        <v>Valid</v>
      </c>
      <c r="AK2233" t="str">
        <f t="shared" si="454"/>
        <v xml:space="preserve">Valid </v>
      </c>
      <c r="AL2233" t="str">
        <f>IF(AND(Audit_Data[[#This Row],[Recency]]&gt;=0,Audit_Data[[#This Row],[Recency]]&lt;=100),"Valid","Invalid")</f>
        <v>Valid</v>
      </c>
      <c r="AM2233" t="str">
        <f t="shared" si="448"/>
        <v>Valid</v>
      </c>
      <c r="AN2233" t="str">
        <f t="shared" si="449"/>
        <v>Valid</v>
      </c>
      <c r="AO2233" t="str">
        <f t="shared" si="450"/>
        <v>Valid</v>
      </c>
      <c r="AP2233" t="str">
        <f t="shared" si="451"/>
        <v>Valid</v>
      </c>
      <c r="AQ2233" t="str">
        <f>IF(Audit_Data[[#This Row],[Z_CostContact]]=3,"Valid","Invalid")</f>
        <v>Valid</v>
      </c>
      <c r="AR2233" t="str">
        <f t="shared" si="452"/>
        <v>Valid</v>
      </c>
      <c r="AS2233" t="str">
        <f t="shared" si="453"/>
        <v>Valid</v>
      </c>
    </row>
    <row r="2234" spans="1:45" x14ac:dyDescent="0.3">
      <c r="A2234">
        <v>8080</v>
      </c>
      <c r="B2234">
        <v>1986</v>
      </c>
      <c r="C2234" t="s">
        <v>29</v>
      </c>
      <c r="D2234" t="s">
        <v>30</v>
      </c>
      <c r="E2234">
        <v>26816</v>
      </c>
      <c r="F2234">
        <v>0</v>
      </c>
      <c r="G2234">
        <v>0</v>
      </c>
      <c r="H2234" s="1">
        <v>41138</v>
      </c>
      <c r="I2234">
        <v>50</v>
      </c>
      <c r="J2234">
        <v>5</v>
      </c>
      <c r="K2234">
        <v>1</v>
      </c>
      <c r="L2234">
        <v>6</v>
      </c>
      <c r="M2234">
        <v>3</v>
      </c>
      <c r="N2234">
        <v>4</v>
      </c>
      <c r="O2234">
        <v>3</v>
      </c>
      <c r="P2234">
        <v>1</v>
      </c>
      <c r="Q2234">
        <v>0</v>
      </c>
      <c r="R2234">
        <v>0</v>
      </c>
      <c r="S2234">
        <v>3</v>
      </c>
      <c r="T2234">
        <v>4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3</v>
      </c>
      <c r="AB2234">
        <v>11</v>
      </c>
      <c r="AC2234">
        <v>0</v>
      </c>
      <c r="AD2234" t="str">
        <f t="shared" si="442"/>
        <v>Ok</v>
      </c>
      <c r="AE2234" t="str">
        <f>IF(AND(Audit_Data[[#This Row],[Year_Birth]]&gt;=1900,Audit_Data[[#This Row],[Year_Birth]]&lt;=2010),"OK","Invalid")</f>
        <v>OK</v>
      </c>
      <c r="AF2234" t="str">
        <f t="shared" si="443"/>
        <v>Valid</v>
      </c>
      <c r="AG2234" t="str">
        <f t="shared" si="444"/>
        <v>Valid</v>
      </c>
      <c r="AH2234" t="str">
        <f t="shared" si="445"/>
        <v>Valid</v>
      </c>
      <c r="AI2234" t="str">
        <f t="shared" si="446"/>
        <v>Valid</v>
      </c>
      <c r="AJ2234" t="str">
        <f t="shared" si="447"/>
        <v>Valid</v>
      </c>
      <c r="AK2234" t="str">
        <f t="shared" si="454"/>
        <v xml:space="preserve">Valid </v>
      </c>
      <c r="AL2234" t="str">
        <f>IF(AND(Audit_Data[[#This Row],[Recency]]&gt;=0,Audit_Data[[#This Row],[Recency]]&lt;=100),"Valid","Invalid")</f>
        <v>Valid</v>
      </c>
      <c r="AM2234" t="str">
        <f t="shared" si="448"/>
        <v>Valid</v>
      </c>
      <c r="AN2234" t="str">
        <f t="shared" si="449"/>
        <v>Valid</v>
      </c>
      <c r="AO2234" t="str">
        <f t="shared" si="450"/>
        <v>Valid</v>
      </c>
      <c r="AP2234" t="str">
        <f t="shared" si="451"/>
        <v>Valid</v>
      </c>
      <c r="AQ2234" t="str">
        <f>IF(Audit_Data[[#This Row],[Z_CostContact]]=3,"Valid","Invalid")</f>
        <v>Valid</v>
      </c>
      <c r="AR2234" t="str">
        <f t="shared" si="452"/>
        <v>Valid</v>
      </c>
      <c r="AS2234" t="str">
        <f t="shared" si="453"/>
        <v>Valid</v>
      </c>
    </row>
    <row r="2235" spans="1:45" x14ac:dyDescent="0.3">
      <c r="A2235">
        <v>9432</v>
      </c>
      <c r="B2235">
        <v>1977</v>
      </c>
      <c r="C2235" t="s">
        <v>29</v>
      </c>
      <c r="D2235" t="s">
        <v>31</v>
      </c>
      <c r="E2235">
        <v>666666</v>
      </c>
      <c r="F2235">
        <v>1</v>
      </c>
      <c r="G2235">
        <v>0</v>
      </c>
      <c r="H2235" s="1">
        <v>41427</v>
      </c>
      <c r="I2235">
        <v>23</v>
      </c>
      <c r="J2235">
        <v>9</v>
      </c>
      <c r="K2235">
        <v>14</v>
      </c>
      <c r="L2235">
        <v>18</v>
      </c>
      <c r="M2235">
        <v>8</v>
      </c>
      <c r="N2235">
        <v>1</v>
      </c>
      <c r="O2235">
        <v>12</v>
      </c>
      <c r="P2235">
        <v>4</v>
      </c>
      <c r="Q2235">
        <v>3</v>
      </c>
      <c r="R2235">
        <v>1</v>
      </c>
      <c r="S2235">
        <v>3</v>
      </c>
      <c r="T2235">
        <v>6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3</v>
      </c>
      <c r="AB2235">
        <v>11</v>
      </c>
      <c r="AC2235">
        <v>0</v>
      </c>
      <c r="AD2235" t="str">
        <f t="shared" si="442"/>
        <v>Ok</v>
      </c>
      <c r="AE2235" t="str">
        <f>IF(AND(Audit_Data[[#This Row],[Year_Birth]]&gt;=1900,Audit_Data[[#This Row],[Year_Birth]]&lt;=2010),"OK","Invalid")</f>
        <v>OK</v>
      </c>
      <c r="AF2235" t="str">
        <f t="shared" si="443"/>
        <v>Valid</v>
      </c>
      <c r="AG2235" t="str">
        <f t="shared" si="444"/>
        <v>Valid</v>
      </c>
      <c r="AH2235" t="str">
        <f t="shared" si="445"/>
        <v>Valid</v>
      </c>
      <c r="AI2235" t="str">
        <f t="shared" si="446"/>
        <v>Valid</v>
      </c>
      <c r="AJ2235" t="str">
        <f t="shared" si="447"/>
        <v>Valid</v>
      </c>
      <c r="AK2235" t="str">
        <f t="shared" si="454"/>
        <v xml:space="preserve">Valid </v>
      </c>
      <c r="AL2235" t="str">
        <f>IF(AND(Audit_Data[[#This Row],[Recency]]&gt;=0,Audit_Data[[#This Row],[Recency]]&lt;=100),"Valid","Invalid")</f>
        <v>Valid</v>
      </c>
      <c r="AM2235" t="str">
        <f t="shared" si="448"/>
        <v>Valid</v>
      </c>
      <c r="AN2235" t="str">
        <f t="shared" si="449"/>
        <v>Valid</v>
      </c>
      <c r="AO2235" t="str">
        <f t="shared" si="450"/>
        <v>Valid</v>
      </c>
      <c r="AP2235" t="str">
        <f t="shared" si="451"/>
        <v>Valid</v>
      </c>
      <c r="AQ2235" t="str">
        <f>IF(Audit_Data[[#This Row],[Z_CostContact]]=3,"Valid","Invalid")</f>
        <v>Valid</v>
      </c>
      <c r="AR2235" t="str">
        <f t="shared" si="452"/>
        <v>Valid</v>
      </c>
      <c r="AS2235" t="str">
        <f t="shared" si="453"/>
        <v>Valid</v>
      </c>
    </row>
    <row r="2236" spans="1:45" x14ac:dyDescent="0.3">
      <c r="A2236">
        <v>8372</v>
      </c>
      <c r="B2236">
        <v>1974</v>
      </c>
      <c r="C2236" t="s">
        <v>29</v>
      </c>
      <c r="D2236" t="s">
        <v>33</v>
      </c>
      <c r="E2236">
        <v>34421</v>
      </c>
      <c r="F2236">
        <v>1</v>
      </c>
      <c r="G2236">
        <v>0</v>
      </c>
      <c r="H2236" s="1">
        <v>41456</v>
      </c>
      <c r="I2236">
        <v>81</v>
      </c>
      <c r="J2236">
        <v>3</v>
      </c>
      <c r="K2236">
        <v>3</v>
      </c>
      <c r="L2236">
        <v>7</v>
      </c>
      <c r="M2236">
        <v>6</v>
      </c>
      <c r="N2236">
        <v>2</v>
      </c>
      <c r="O2236">
        <v>9</v>
      </c>
      <c r="P2236">
        <v>1</v>
      </c>
      <c r="Q2236">
        <v>1</v>
      </c>
      <c r="R2236">
        <v>0</v>
      </c>
      <c r="S2236">
        <v>2</v>
      </c>
      <c r="T2236">
        <v>7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3</v>
      </c>
      <c r="AB2236">
        <v>11</v>
      </c>
      <c r="AC2236">
        <v>0</v>
      </c>
      <c r="AD2236" t="str">
        <f t="shared" si="442"/>
        <v>Ok</v>
      </c>
      <c r="AE2236" t="str">
        <f>IF(AND(Audit_Data[[#This Row],[Year_Birth]]&gt;=1900,Audit_Data[[#This Row],[Year_Birth]]&lt;=2010),"OK","Invalid")</f>
        <v>OK</v>
      </c>
      <c r="AF2236" t="str">
        <f t="shared" si="443"/>
        <v>Valid</v>
      </c>
      <c r="AG2236" t="str">
        <f t="shared" si="444"/>
        <v>Valid</v>
      </c>
      <c r="AH2236" t="str">
        <f t="shared" si="445"/>
        <v>Valid</v>
      </c>
      <c r="AI2236" t="str">
        <f t="shared" si="446"/>
        <v>Valid</v>
      </c>
      <c r="AJ2236" t="str">
        <f t="shared" si="447"/>
        <v>Valid</v>
      </c>
      <c r="AK2236" t="str">
        <f t="shared" si="454"/>
        <v xml:space="preserve">Valid </v>
      </c>
      <c r="AL2236" t="str">
        <f>IF(AND(Audit_Data[[#This Row],[Recency]]&gt;=0,Audit_Data[[#This Row],[Recency]]&lt;=100),"Valid","Invalid")</f>
        <v>Valid</v>
      </c>
      <c r="AM2236" t="str">
        <f t="shared" si="448"/>
        <v>Valid</v>
      </c>
      <c r="AN2236" t="str">
        <f t="shared" si="449"/>
        <v>Valid</v>
      </c>
      <c r="AO2236" t="str">
        <f t="shared" si="450"/>
        <v>Valid</v>
      </c>
      <c r="AP2236" t="str">
        <f t="shared" si="451"/>
        <v>Valid</v>
      </c>
      <c r="AQ2236" t="str">
        <f>IF(Audit_Data[[#This Row],[Z_CostContact]]=3,"Valid","Invalid")</f>
        <v>Valid</v>
      </c>
      <c r="AR2236" t="str">
        <f t="shared" si="452"/>
        <v>Valid</v>
      </c>
      <c r="AS2236" t="str">
        <f t="shared" si="453"/>
        <v>Valid</v>
      </c>
    </row>
    <row r="2237" spans="1:45" x14ac:dyDescent="0.3">
      <c r="A2237">
        <v>10870</v>
      </c>
      <c r="B2237">
        <v>1967</v>
      </c>
      <c r="C2237" t="s">
        <v>29</v>
      </c>
      <c r="D2237" t="s">
        <v>33</v>
      </c>
      <c r="E2237">
        <v>61223</v>
      </c>
      <c r="F2237">
        <v>0</v>
      </c>
      <c r="G2237">
        <v>1</v>
      </c>
      <c r="H2237" s="1">
        <v>41438</v>
      </c>
      <c r="I2237">
        <v>46</v>
      </c>
      <c r="J2237">
        <v>709</v>
      </c>
      <c r="K2237">
        <v>43</v>
      </c>
      <c r="L2237">
        <v>182</v>
      </c>
      <c r="M2237">
        <v>42</v>
      </c>
      <c r="N2237">
        <v>118</v>
      </c>
      <c r="O2237">
        <v>247</v>
      </c>
      <c r="P2237">
        <v>2</v>
      </c>
      <c r="Q2237">
        <v>9</v>
      </c>
      <c r="R2237">
        <v>3</v>
      </c>
      <c r="S2237">
        <v>4</v>
      </c>
      <c r="T2237">
        <v>5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3</v>
      </c>
      <c r="AB2237">
        <v>11</v>
      </c>
      <c r="AC2237">
        <v>0</v>
      </c>
      <c r="AD2237" t="str">
        <f t="shared" si="442"/>
        <v>Ok</v>
      </c>
      <c r="AE2237" t="str">
        <f>IF(AND(Audit_Data[[#This Row],[Year_Birth]]&gt;=1900,Audit_Data[[#This Row],[Year_Birth]]&lt;=2010),"OK","Invalid")</f>
        <v>OK</v>
      </c>
      <c r="AF2237" t="str">
        <f t="shared" si="443"/>
        <v>Valid</v>
      </c>
      <c r="AG2237" t="str">
        <f t="shared" si="444"/>
        <v>Valid</v>
      </c>
      <c r="AH2237" t="str">
        <f t="shared" si="445"/>
        <v>Valid</v>
      </c>
      <c r="AI2237" t="str">
        <f t="shared" si="446"/>
        <v>Valid</v>
      </c>
      <c r="AJ2237" t="str">
        <f t="shared" si="447"/>
        <v>Valid</v>
      </c>
      <c r="AK2237" t="str">
        <f t="shared" si="454"/>
        <v xml:space="preserve">Valid </v>
      </c>
      <c r="AL2237" t="str">
        <f>IF(AND(Audit_Data[[#This Row],[Recency]]&gt;=0,Audit_Data[[#This Row],[Recency]]&lt;=100),"Valid","Invalid")</f>
        <v>Valid</v>
      </c>
      <c r="AM2237" t="str">
        <f t="shared" si="448"/>
        <v>Valid</v>
      </c>
      <c r="AN2237" t="str">
        <f t="shared" si="449"/>
        <v>Valid</v>
      </c>
      <c r="AO2237" t="str">
        <f t="shared" si="450"/>
        <v>Valid</v>
      </c>
      <c r="AP2237" t="str">
        <f t="shared" si="451"/>
        <v>Valid</v>
      </c>
      <c r="AQ2237" t="str">
        <f>IF(Audit_Data[[#This Row],[Z_CostContact]]=3,"Valid","Invalid")</f>
        <v>Valid</v>
      </c>
      <c r="AR2237" t="str">
        <f t="shared" si="452"/>
        <v>Valid</v>
      </c>
      <c r="AS2237" t="str">
        <f t="shared" si="453"/>
        <v>Valid</v>
      </c>
    </row>
    <row r="2238" spans="1:45" x14ac:dyDescent="0.3">
      <c r="A2238">
        <v>4001</v>
      </c>
      <c r="B2238">
        <v>1946</v>
      </c>
      <c r="C2238" t="s">
        <v>32</v>
      </c>
      <c r="D2238" t="s">
        <v>31</v>
      </c>
      <c r="E2238">
        <v>64014</v>
      </c>
      <c r="F2238">
        <v>2</v>
      </c>
      <c r="G2238">
        <v>1</v>
      </c>
      <c r="H2238" s="1">
        <v>41800</v>
      </c>
      <c r="I2238">
        <v>56</v>
      </c>
      <c r="J2238">
        <v>406</v>
      </c>
      <c r="K2238">
        <v>0</v>
      </c>
      <c r="L2238">
        <v>30</v>
      </c>
      <c r="M2238">
        <v>0</v>
      </c>
      <c r="N2238">
        <v>0</v>
      </c>
      <c r="O2238">
        <v>8</v>
      </c>
      <c r="P2238">
        <v>7</v>
      </c>
      <c r="Q2238">
        <v>8</v>
      </c>
      <c r="R2238">
        <v>2</v>
      </c>
      <c r="S2238">
        <v>5</v>
      </c>
      <c r="T2238">
        <v>7</v>
      </c>
      <c r="U2238">
        <v>0</v>
      </c>
      <c r="V2238">
        <v>0</v>
      </c>
      <c r="W2238">
        <v>0</v>
      </c>
      <c r="X2238">
        <v>1</v>
      </c>
      <c r="Y2238">
        <v>0</v>
      </c>
      <c r="Z2238">
        <v>0</v>
      </c>
      <c r="AA2238">
        <v>3</v>
      </c>
      <c r="AB2238">
        <v>11</v>
      </c>
      <c r="AC2238">
        <v>0</v>
      </c>
      <c r="AD2238" t="str">
        <f t="shared" si="442"/>
        <v>Ok</v>
      </c>
      <c r="AE2238" t="str">
        <f>IF(AND(Audit_Data[[#This Row],[Year_Birth]]&gt;=1900,Audit_Data[[#This Row],[Year_Birth]]&lt;=2010),"OK","Invalid")</f>
        <v>OK</v>
      </c>
      <c r="AF2238" t="str">
        <f t="shared" si="443"/>
        <v>Valid</v>
      </c>
      <c r="AG2238" t="str">
        <f t="shared" si="444"/>
        <v>Valid</v>
      </c>
      <c r="AH2238" t="str">
        <f t="shared" si="445"/>
        <v>Valid</v>
      </c>
      <c r="AI2238" t="str">
        <f t="shared" si="446"/>
        <v>Valid</v>
      </c>
      <c r="AJ2238" t="str">
        <f t="shared" si="447"/>
        <v>Valid</v>
      </c>
      <c r="AK2238" t="str">
        <f t="shared" si="454"/>
        <v xml:space="preserve">Valid </v>
      </c>
      <c r="AL2238" t="str">
        <f>IF(AND(Audit_Data[[#This Row],[Recency]]&gt;=0,Audit_Data[[#This Row],[Recency]]&lt;=100),"Valid","Invalid")</f>
        <v>Valid</v>
      </c>
      <c r="AM2238" t="str">
        <f t="shared" si="448"/>
        <v>Valid</v>
      </c>
      <c r="AN2238" t="str">
        <f t="shared" si="449"/>
        <v>Valid</v>
      </c>
      <c r="AO2238" t="str">
        <f t="shared" si="450"/>
        <v>Valid</v>
      </c>
      <c r="AP2238" t="str">
        <f t="shared" si="451"/>
        <v>Valid</v>
      </c>
      <c r="AQ2238" t="str">
        <f>IF(Audit_Data[[#This Row],[Z_CostContact]]=3,"Valid","Invalid")</f>
        <v>Valid</v>
      </c>
      <c r="AR2238" t="str">
        <f t="shared" si="452"/>
        <v>Valid</v>
      </c>
      <c r="AS2238" t="str">
        <f t="shared" si="453"/>
        <v>Valid</v>
      </c>
    </row>
    <row r="2239" spans="1:45" x14ac:dyDescent="0.3">
      <c r="A2239">
        <v>7270</v>
      </c>
      <c r="B2239">
        <v>1981</v>
      </c>
      <c r="C2239" t="s">
        <v>29</v>
      </c>
      <c r="D2239" t="s">
        <v>35</v>
      </c>
      <c r="E2239">
        <v>56981</v>
      </c>
      <c r="F2239">
        <v>0</v>
      </c>
      <c r="G2239">
        <v>0</v>
      </c>
      <c r="H2239" s="1">
        <v>41664</v>
      </c>
      <c r="I2239">
        <v>91</v>
      </c>
      <c r="J2239">
        <v>908</v>
      </c>
      <c r="K2239">
        <v>48</v>
      </c>
      <c r="L2239">
        <v>217</v>
      </c>
      <c r="M2239">
        <v>32</v>
      </c>
      <c r="N2239">
        <v>12</v>
      </c>
      <c r="O2239">
        <v>24</v>
      </c>
      <c r="P2239">
        <v>1</v>
      </c>
      <c r="Q2239">
        <v>2</v>
      </c>
      <c r="R2239">
        <v>3</v>
      </c>
      <c r="S2239">
        <v>13</v>
      </c>
      <c r="T2239">
        <v>6</v>
      </c>
      <c r="U2239">
        <v>0</v>
      </c>
      <c r="V2239">
        <v>1</v>
      </c>
      <c r="W2239">
        <v>0</v>
      </c>
      <c r="X2239">
        <v>0</v>
      </c>
      <c r="Y2239">
        <v>0</v>
      </c>
      <c r="Z2239">
        <v>0</v>
      </c>
      <c r="AA2239">
        <v>3</v>
      </c>
      <c r="AB2239">
        <v>11</v>
      </c>
      <c r="AC2239">
        <v>0</v>
      </c>
      <c r="AD2239" t="str">
        <f t="shared" si="442"/>
        <v>Ok</v>
      </c>
      <c r="AE2239" t="str">
        <f>IF(AND(Audit_Data[[#This Row],[Year_Birth]]&gt;=1900,Audit_Data[[#This Row],[Year_Birth]]&lt;=2010),"OK","Invalid")</f>
        <v>OK</v>
      </c>
      <c r="AF2239" t="str">
        <f t="shared" si="443"/>
        <v>Valid</v>
      </c>
      <c r="AG2239" t="str">
        <f t="shared" si="444"/>
        <v>Valid</v>
      </c>
      <c r="AH2239" t="str">
        <f t="shared" si="445"/>
        <v>Valid</v>
      </c>
      <c r="AI2239" t="str">
        <f t="shared" si="446"/>
        <v>Valid</v>
      </c>
      <c r="AJ2239" t="str">
        <f t="shared" si="447"/>
        <v>Valid</v>
      </c>
      <c r="AK2239" t="str">
        <f t="shared" si="454"/>
        <v xml:space="preserve">Valid </v>
      </c>
      <c r="AL2239" t="str">
        <f>IF(AND(Audit_Data[[#This Row],[Recency]]&gt;=0,Audit_Data[[#This Row],[Recency]]&lt;=100),"Valid","Invalid")</f>
        <v>Valid</v>
      </c>
      <c r="AM2239" t="str">
        <f t="shared" si="448"/>
        <v>Valid</v>
      </c>
      <c r="AN2239" t="str">
        <f t="shared" si="449"/>
        <v>Valid</v>
      </c>
      <c r="AO2239" t="str">
        <f t="shared" si="450"/>
        <v>Valid</v>
      </c>
      <c r="AP2239" t="str">
        <f t="shared" si="451"/>
        <v>Valid</v>
      </c>
      <c r="AQ2239" t="str">
        <f>IF(Audit_Data[[#This Row],[Z_CostContact]]=3,"Valid","Invalid")</f>
        <v>Valid</v>
      </c>
      <c r="AR2239" t="str">
        <f t="shared" si="452"/>
        <v>Valid</v>
      </c>
      <c r="AS2239" t="str">
        <f t="shared" si="453"/>
        <v>Valid</v>
      </c>
    </row>
    <row r="2240" spans="1:45" x14ac:dyDescent="0.3">
      <c r="A2240">
        <v>8235</v>
      </c>
      <c r="B2240">
        <v>1956</v>
      </c>
      <c r="C2240" t="s">
        <v>34</v>
      </c>
      <c r="D2240" t="s">
        <v>31</v>
      </c>
      <c r="E2240">
        <v>69245</v>
      </c>
      <c r="F2240">
        <v>0</v>
      </c>
      <c r="G2240">
        <v>1</v>
      </c>
      <c r="H2240" s="1">
        <v>41663</v>
      </c>
      <c r="I2240">
        <v>8</v>
      </c>
      <c r="J2240">
        <v>428</v>
      </c>
      <c r="K2240">
        <v>30</v>
      </c>
      <c r="L2240">
        <v>214</v>
      </c>
      <c r="M2240">
        <v>80</v>
      </c>
      <c r="N2240">
        <v>30</v>
      </c>
      <c r="O2240">
        <v>61</v>
      </c>
      <c r="P2240">
        <v>2</v>
      </c>
      <c r="Q2240">
        <v>6</v>
      </c>
      <c r="R2240">
        <v>5</v>
      </c>
      <c r="S2240">
        <v>10</v>
      </c>
      <c r="T2240">
        <v>3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3</v>
      </c>
      <c r="AB2240">
        <v>11</v>
      </c>
      <c r="AC2240">
        <v>0</v>
      </c>
      <c r="AD2240" t="str">
        <f t="shared" si="442"/>
        <v>Ok</v>
      </c>
      <c r="AE2240" t="str">
        <f>IF(AND(Audit_Data[[#This Row],[Year_Birth]]&gt;=1900,Audit_Data[[#This Row],[Year_Birth]]&lt;=2010),"OK","Invalid")</f>
        <v>OK</v>
      </c>
      <c r="AF2240" t="str">
        <f t="shared" si="443"/>
        <v>Valid</v>
      </c>
      <c r="AG2240" t="str">
        <f t="shared" si="444"/>
        <v>Valid</v>
      </c>
      <c r="AH2240" t="str">
        <f t="shared" si="445"/>
        <v>Valid</v>
      </c>
      <c r="AI2240" t="str">
        <f t="shared" si="446"/>
        <v>Valid</v>
      </c>
      <c r="AJ2240" t="str">
        <f t="shared" si="447"/>
        <v>Valid</v>
      </c>
      <c r="AK2240" t="str">
        <f t="shared" si="454"/>
        <v xml:space="preserve">Valid </v>
      </c>
      <c r="AL2240" t="str">
        <f>IF(AND(Audit_Data[[#This Row],[Recency]]&gt;=0,Audit_Data[[#This Row],[Recency]]&lt;=100),"Valid","Invalid")</f>
        <v>Valid</v>
      </c>
      <c r="AM2240" t="str">
        <f t="shared" si="448"/>
        <v>Valid</v>
      </c>
      <c r="AN2240" t="str">
        <f t="shared" si="449"/>
        <v>Valid</v>
      </c>
      <c r="AO2240" t="str">
        <f t="shared" si="450"/>
        <v>Valid</v>
      </c>
      <c r="AP2240" t="str">
        <f t="shared" si="451"/>
        <v>Valid</v>
      </c>
      <c r="AQ2240" t="str">
        <f>IF(Audit_Data[[#This Row],[Z_CostContact]]=3,"Valid","Invalid")</f>
        <v>Valid</v>
      </c>
      <c r="AR2240" t="str">
        <f t="shared" si="452"/>
        <v>Valid</v>
      </c>
      <c r="AS2240" t="str">
        <f t="shared" si="453"/>
        <v>Valid</v>
      </c>
    </row>
    <row r="2241" spans="1:45" x14ac:dyDescent="0.3">
      <c r="A2241">
        <v>9405</v>
      </c>
      <c r="B2241">
        <v>1954</v>
      </c>
      <c r="C2241" t="s">
        <v>32</v>
      </c>
      <c r="D2241" t="s">
        <v>33</v>
      </c>
      <c r="E2241">
        <v>52869</v>
      </c>
      <c r="F2241">
        <v>1</v>
      </c>
      <c r="G2241">
        <v>1</v>
      </c>
      <c r="H2241" s="1">
        <v>41197</v>
      </c>
      <c r="I2241">
        <v>40</v>
      </c>
      <c r="J2241">
        <v>84</v>
      </c>
      <c r="K2241">
        <v>3</v>
      </c>
      <c r="L2241">
        <v>61</v>
      </c>
      <c r="M2241">
        <v>2</v>
      </c>
      <c r="N2241">
        <v>1</v>
      </c>
      <c r="O2241">
        <v>21</v>
      </c>
      <c r="P2241">
        <v>3</v>
      </c>
      <c r="Q2241">
        <v>3</v>
      </c>
      <c r="R2241">
        <v>1</v>
      </c>
      <c r="S2241">
        <v>4</v>
      </c>
      <c r="T2241">
        <v>7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3</v>
      </c>
      <c r="AB2241">
        <v>11</v>
      </c>
      <c r="AC2241">
        <v>1</v>
      </c>
      <c r="AD2241" t="str">
        <f t="shared" si="442"/>
        <v>Ok</v>
      </c>
      <c r="AE2241" t="str">
        <f>IF(AND(Audit_Data[[#This Row],[Year_Birth]]&gt;=1900,Audit_Data[[#This Row],[Year_Birth]]&lt;=2010),"OK","Invalid")</f>
        <v>OK</v>
      </c>
      <c r="AF2241" t="str">
        <f t="shared" si="443"/>
        <v>Valid</v>
      </c>
      <c r="AG2241" t="str">
        <f t="shared" si="444"/>
        <v>Valid</v>
      </c>
      <c r="AH2241" t="str">
        <f t="shared" si="445"/>
        <v>Valid</v>
      </c>
      <c r="AI2241" t="str">
        <f t="shared" si="446"/>
        <v>Valid</v>
      </c>
      <c r="AJ2241" t="str">
        <f t="shared" si="447"/>
        <v>Valid</v>
      </c>
      <c r="AK2241" t="str">
        <f t="shared" si="454"/>
        <v xml:space="preserve">Valid </v>
      </c>
      <c r="AL2241" t="str">
        <f>IF(AND(Audit_Data[[#This Row],[Recency]]&gt;=0,Audit_Data[[#This Row],[Recency]]&lt;=100),"Valid","Invalid")</f>
        <v>Valid</v>
      </c>
      <c r="AM2241" t="str">
        <f t="shared" si="448"/>
        <v>Valid</v>
      </c>
      <c r="AN2241" t="str">
        <f t="shared" si="449"/>
        <v>Valid</v>
      </c>
      <c r="AO2241" t="str">
        <f t="shared" si="450"/>
        <v>Valid</v>
      </c>
      <c r="AP2241" t="str">
        <f t="shared" si="451"/>
        <v>Valid</v>
      </c>
      <c r="AQ2241" t="str">
        <f>IF(Audit_Data[[#This Row],[Z_CostContact]]=3,"Valid","Invalid")</f>
        <v>Valid</v>
      </c>
      <c r="AR2241" t="str">
        <f t="shared" si="452"/>
        <v>Valid</v>
      </c>
      <c r="AS2241" t="str">
        <f t="shared" si="453"/>
        <v>Valid</v>
      </c>
    </row>
  </sheetData>
  <conditionalFormatting sqref="AF1:AS1048576">
    <cfRule type="cellIs" dxfId="0" priority="1" operator="equal">
      <formula>"Invalid"</formula>
    </cfRule>
  </conditionalFormatting>
  <pageMargins left="0.7" right="0.7" top="0.75" bottom="0.75" header="0.3" footer="0.3"/>
  <ignoredErrors>
    <ignoredError sqref="AK2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B447B-A0D6-43CA-A8BE-770E5099A839}">
  <sheetPr>
    <tabColor theme="4" tint="0.39997558519241921"/>
  </sheetPr>
  <dimension ref="A1:D30"/>
  <sheetViews>
    <sheetView topLeftCell="D1" zoomScale="116" workbookViewId="0">
      <selection activeCell="D24" sqref="D24"/>
    </sheetView>
  </sheetViews>
  <sheetFormatPr defaultRowHeight="14.4" x14ac:dyDescent="0.3"/>
  <cols>
    <col min="1" max="1" width="19.44140625" customWidth="1"/>
    <col min="2" max="2" width="16.44140625" customWidth="1"/>
    <col min="3" max="3" width="15.44140625" customWidth="1"/>
    <col min="4" max="4" width="109.5546875" customWidth="1"/>
    <col min="5" max="13" width="10.77734375" bestFit="1" customWidth="1"/>
    <col min="14" max="29" width="11.77734375" bestFit="1" customWidth="1"/>
  </cols>
  <sheetData>
    <row r="1" spans="1:4" ht="15.6" x14ac:dyDescent="0.3">
      <c r="A1" s="2" t="s">
        <v>42</v>
      </c>
      <c r="B1" s="2" t="s">
        <v>43</v>
      </c>
      <c r="C1" s="2" t="s">
        <v>44</v>
      </c>
      <c r="D1" s="2" t="s">
        <v>45</v>
      </c>
    </row>
    <row r="2" spans="1:4" x14ac:dyDescent="0.3">
      <c r="A2" t="s">
        <v>0</v>
      </c>
      <c r="B2" t="s">
        <v>46</v>
      </c>
      <c r="C2" t="s">
        <v>49</v>
      </c>
      <c r="D2" t="s">
        <v>57</v>
      </c>
    </row>
    <row r="3" spans="1:4" x14ac:dyDescent="0.3">
      <c r="A3" t="s">
        <v>1</v>
      </c>
      <c r="B3" t="s">
        <v>46</v>
      </c>
      <c r="C3" t="s">
        <v>50</v>
      </c>
      <c r="D3" t="s">
        <v>58</v>
      </c>
    </row>
    <row r="4" spans="1:4" x14ac:dyDescent="0.3">
      <c r="A4" t="s">
        <v>2</v>
      </c>
      <c r="B4" t="s">
        <v>47</v>
      </c>
      <c r="C4" t="s">
        <v>51</v>
      </c>
      <c r="D4" t="s">
        <v>59</v>
      </c>
    </row>
    <row r="5" spans="1:4" x14ac:dyDescent="0.3">
      <c r="A5" t="s">
        <v>3</v>
      </c>
      <c r="B5" t="s">
        <v>47</v>
      </c>
      <c r="C5" t="s">
        <v>51</v>
      </c>
      <c r="D5" t="s">
        <v>112</v>
      </c>
    </row>
    <row r="6" spans="1:4" x14ac:dyDescent="0.3">
      <c r="A6" t="s">
        <v>4</v>
      </c>
      <c r="B6" t="s">
        <v>46</v>
      </c>
      <c r="C6" t="s">
        <v>52</v>
      </c>
      <c r="D6" t="s">
        <v>111</v>
      </c>
    </row>
    <row r="7" spans="1:4" x14ac:dyDescent="0.3">
      <c r="A7" t="s">
        <v>5</v>
      </c>
      <c r="B7" t="s">
        <v>46</v>
      </c>
      <c r="C7" t="s">
        <v>50</v>
      </c>
      <c r="D7" t="s">
        <v>60</v>
      </c>
    </row>
    <row r="8" spans="1:4" x14ac:dyDescent="0.3">
      <c r="A8" t="s">
        <v>6</v>
      </c>
      <c r="B8" t="s">
        <v>46</v>
      </c>
      <c r="C8" t="s">
        <v>50</v>
      </c>
      <c r="D8" t="s">
        <v>60</v>
      </c>
    </row>
    <row r="9" spans="1:4" x14ac:dyDescent="0.3">
      <c r="A9" t="s">
        <v>7</v>
      </c>
      <c r="B9" t="s">
        <v>48</v>
      </c>
      <c r="C9" t="s">
        <v>53</v>
      </c>
      <c r="D9" t="s">
        <v>113</v>
      </c>
    </row>
    <row r="10" spans="1:4" x14ac:dyDescent="0.3">
      <c r="A10" t="s">
        <v>8</v>
      </c>
      <c r="B10" t="s">
        <v>46</v>
      </c>
      <c r="C10" t="s">
        <v>50</v>
      </c>
      <c r="D10" t="s">
        <v>61</v>
      </c>
    </row>
    <row r="11" spans="1:4" x14ac:dyDescent="0.3">
      <c r="A11" t="s">
        <v>9</v>
      </c>
      <c r="B11" t="s">
        <v>46</v>
      </c>
      <c r="C11" t="s">
        <v>54</v>
      </c>
      <c r="D11" t="s">
        <v>62</v>
      </c>
    </row>
    <row r="12" spans="1:4" x14ac:dyDescent="0.3">
      <c r="A12" t="s">
        <v>10</v>
      </c>
      <c r="B12" t="s">
        <v>46</v>
      </c>
      <c r="C12" t="s">
        <v>54</v>
      </c>
      <c r="D12" t="s">
        <v>62</v>
      </c>
    </row>
    <row r="13" spans="1:4" x14ac:dyDescent="0.3">
      <c r="A13" t="s">
        <v>11</v>
      </c>
      <c r="B13" t="s">
        <v>46</v>
      </c>
      <c r="C13" t="s">
        <v>54</v>
      </c>
      <c r="D13" t="s">
        <v>62</v>
      </c>
    </row>
    <row r="14" spans="1:4" x14ac:dyDescent="0.3">
      <c r="A14" t="s">
        <v>12</v>
      </c>
      <c r="B14" t="s">
        <v>46</v>
      </c>
      <c r="C14" t="s">
        <v>54</v>
      </c>
      <c r="D14" t="s">
        <v>62</v>
      </c>
    </row>
    <row r="15" spans="1:4" x14ac:dyDescent="0.3">
      <c r="A15" t="s">
        <v>13</v>
      </c>
      <c r="B15" t="s">
        <v>46</v>
      </c>
      <c r="C15" t="s">
        <v>54</v>
      </c>
      <c r="D15" t="s">
        <v>62</v>
      </c>
    </row>
    <row r="16" spans="1:4" x14ac:dyDescent="0.3">
      <c r="A16" t="s">
        <v>14</v>
      </c>
      <c r="B16" t="s">
        <v>46</v>
      </c>
      <c r="C16" t="s">
        <v>54</v>
      </c>
      <c r="D16" t="s">
        <v>62</v>
      </c>
    </row>
    <row r="17" spans="1:4" x14ac:dyDescent="0.3">
      <c r="A17" t="s">
        <v>15</v>
      </c>
      <c r="B17" t="s">
        <v>46</v>
      </c>
      <c r="C17" t="s">
        <v>54</v>
      </c>
      <c r="D17" t="s">
        <v>62</v>
      </c>
    </row>
    <row r="18" spans="1:4" x14ac:dyDescent="0.3">
      <c r="A18" t="s">
        <v>16</v>
      </c>
      <c r="B18" t="s">
        <v>46</v>
      </c>
      <c r="C18" t="s">
        <v>54</v>
      </c>
      <c r="D18" t="s">
        <v>62</v>
      </c>
    </row>
    <row r="19" spans="1:4" x14ac:dyDescent="0.3">
      <c r="A19" t="s">
        <v>17</v>
      </c>
      <c r="B19" t="s">
        <v>46</v>
      </c>
      <c r="C19" t="s">
        <v>54</v>
      </c>
      <c r="D19" t="s">
        <v>62</v>
      </c>
    </row>
    <row r="20" spans="1:4" x14ac:dyDescent="0.3">
      <c r="A20" t="s">
        <v>18</v>
      </c>
      <c r="B20" t="s">
        <v>46</v>
      </c>
      <c r="C20" t="s">
        <v>54</v>
      </c>
      <c r="D20" t="s">
        <v>62</v>
      </c>
    </row>
    <row r="21" spans="1:4" x14ac:dyDescent="0.3">
      <c r="A21" t="s">
        <v>19</v>
      </c>
      <c r="B21" t="s">
        <v>46</v>
      </c>
      <c r="C21" t="s">
        <v>54</v>
      </c>
      <c r="D21" t="s">
        <v>62</v>
      </c>
    </row>
    <row r="22" spans="1:4" x14ac:dyDescent="0.3">
      <c r="A22" t="s">
        <v>20</v>
      </c>
      <c r="B22" t="s">
        <v>46</v>
      </c>
      <c r="C22" t="s">
        <v>55</v>
      </c>
      <c r="D22" t="s">
        <v>63</v>
      </c>
    </row>
    <row r="23" spans="1:4" x14ac:dyDescent="0.3">
      <c r="A23" t="s">
        <v>21</v>
      </c>
      <c r="B23" t="s">
        <v>46</v>
      </c>
      <c r="C23" t="s">
        <v>55</v>
      </c>
      <c r="D23" t="s">
        <v>63</v>
      </c>
    </row>
    <row r="24" spans="1:4" x14ac:dyDescent="0.3">
      <c r="A24" t="s">
        <v>22</v>
      </c>
      <c r="B24" t="s">
        <v>46</v>
      </c>
      <c r="C24" t="s">
        <v>55</v>
      </c>
      <c r="D24" t="s">
        <v>63</v>
      </c>
    </row>
    <row r="25" spans="1:4" x14ac:dyDescent="0.3">
      <c r="A25" t="s">
        <v>23</v>
      </c>
      <c r="B25" t="s">
        <v>46</v>
      </c>
      <c r="C25" t="s">
        <v>55</v>
      </c>
      <c r="D25" t="s">
        <v>63</v>
      </c>
    </row>
    <row r="26" spans="1:4" x14ac:dyDescent="0.3">
      <c r="A26" t="s">
        <v>24</v>
      </c>
      <c r="B26" t="s">
        <v>46</v>
      </c>
      <c r="C26" t="s">
        <v>55</v>
      </c>
      <c r="D26" t="s">
        <v>63</v>
      </c>
    </row>
    <row r="27" spans="1:4" x14ac:dyDescent="0.3">
      <c r="A27" t="s">
        <v>25</v>
      </c>
      <c r="B27" t="s">
        <v>46</v>
      </c>
      <c r="C27" t="s">
        <v>55</v>
      </c>
      <c r="D27" t="s">
        <v>63</v>
      </c>
    </row>
    <row r="28" spans="1:4" x14ac:dyDescent="0.3">
      <c r="A28" t="s">
        <v>26</v>
      </c>
      <c r="B28" t="s">
        <v>46</v>
      </c>
      <c r="C28" t="s">
        <v>56</v>
      </c>
      <c r="D28" t="s">
        <v>64</v>
      </c>
    </row>
    <row r="29" spans="1:4" x14ac:dyDescent="0.3">
      <c r="A29" t="s">
        <v>27</v>
      </c>
      <c r="B29" t="s">
        <v>46</v>
      </c>
      <c r="C29" t="s">
        <v>56</v>
      </c>
      <c r="D29" t="s">
        <v>65</v>
      </c>
    </row>
    <row r="30" spans="1:4" x14ac:dyDescent="0.3">
      <c r="A30" t="s">
        <v>28</v>
      </c>
      <c r="B30" t="s">
        <v>46</v>
      </c>
      <c r="C30" t="s">
        <v>55</v>
      </c>
      <c r="D30" t="s">
        <v>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A1:AC2241"/>
  <sheetViews>
    <sheetView zoomScaleNormal="100" workbookViewId="0">
      <pane ySplit="1" topLeftCell="A693" activePane="bottomLeft" state="frozen"/>
      <selection pane="bottomLeft"/>
    </sheetView>
  </sheetViews>
  <sheetFormatPr defaultRowHeight="14.4" x14ac:dyDescent="0.3"/>
  <cols>
    <col min="1" max="1" width="6" bestFit="1" customWidth="1"/>
    <col min="2" max="2" width="11.5546875" customWidth="1"/>
    <col min="3" max="3" width="11.33203125" customWidth="1"/>
    <col min="4" max="4" width="15.109375" customWidth="1"/>
    <col min="5" max="5" width="9.21875" customWidth="1"/>
    <col min="6" max="6" width="10.44140625" customWidth="1"/>
    <col min="7" max="7" width="11.88671875" customWidth="1"/>
    <col min="8" max="8" width="13.88671875" customWidth="1"/>
    <col min="9" max="9" width="9.88671875" customWidth="1"/>
    <col min="10" max="10" width="11.5546875" customWidth="1"/>
    <col min="11" max="11" width="11" customWidth="1"/>
    <col min="12" max="12" width="18.33203125" customWidth="1"/>
    <col min="13" max="13" width="17.109375" customWidth="1"/>
    <col min="14" max="14" width="19" customWidth="1"/>
    <col min="15" max="15" width="15.109375" customWidth="1"/>
    <col min="16" max="16" width="19.88671875" customWidth="1"/>
    <col min="17" max="17" width="19.33203125" customWidth="1"/>
    <col min="18" max="18" width="21.77734375" customWidth="1"/>
    <col min="19" max="19" width="19.88671875" customWidth="1"/>
    <col min="20" max="20" width="21" customWidth="1"/>
    <col min="21" max="25" width="15.6640625" customWidth="1"/>
    <col min="26" max="26" width="10.88671875" customWidth="1"/>
    <col min="27" max="27" width="15.109375" customWidth="1"/>
    <col min="28" max="28" width="12.21875" customWidth="1"/>
    <col min="29" max="29" width="10.88671875" customWidth="1"/>
  </cols>
  <sheetData>
    <row r="1" spans="1:2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3">
      <c r="A2">
        <v>5524</v>
      </c>
      <c r="B2">
        <v>1957</v>
      </c>
      <c r="C2" t="s">
        <v>29</v>
      </c>
      <c r="D2" t="s">
        <v>30</v>
      </c>
      <c r="E2">
        <v>58138</v>
      </c>
      <c r="F2">
        <v>0</v>
      </c>
      <c r="G2">
        <v>0</v>
      </c>
      <c r="H2" s="1">
        <v>41156</v>
      </c>
      <c r="I2">
        <v>58</v>
      </c>
      <c r="J2">
        <v>635</v>
      </c>
      <c r="K2">
        <v>88</v>
      </c>
      <c r="L2">
        <v>546</v>
      </c>
      <c r="M2">
        <v>172</v>
      </c>
      <c r="N2">
        <v>88</v>
      </c>
      <c r="O2">
        <v>88</v>
      </c>
      <c r="P2">
        <v>3</v>
      </c>
      <c r="Q2">
        <v>8</v>
      </c>
      <c r="R2">
        <v>10</v>
      </c>
      <c r="S2">
        <v>4</v>
      </c>
      <c r="T2">
        <v>7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3</v>
      </c>
      <c r="AB2">
        <v>11</v>
      </c>
      <c r="AC2">
        <v>1</v>
      </c>
    </row>
    <row r="3" spans="1:29" x14ac:dyDescent="0.3">
      <c r="A3">
        <v>2174</v>
      </c>
      <c r="B3">
        <v>1954</v>
      </c>
      <c r="C3" t="s">
        <v>29</v>
      </c>
      <c r="D3" t="s">
        <v>30</v>
      </c>
      <c r="E3">
        <v>46344</v>
      </c>
      <c r="F3">
        <v>1</v>
      </c>
      <c r="G3">
        <v>1</v>
      </c>
      <c r="H3" s="1">
        <v>41706</v>
      </c>
      <c r="I3">
        <v>38</v>
      </c>
      <c r="J3">
        <v>11</v>
      </c>
      <c r="K3">
        <v>1</v>
      </c>
      <c r="L3">
        <v>6</v>
      </c>
      <c r="M3">
        <v>2</v>
      </c>
      <c r="N3">
        <v>1</v>
      </c>
      <c r="O3">
        <v>6</v>
      </c>
      <c r="P3">
        <v>2</v>
      </c>
      <c r="Q3">
        <v>1</v>
      </c>
      <c r="R3">
        <v>1</v>
      </c>
      <c r="S3">
        <v>2</v>
      </c>
      <c r="T3">
        <v>5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3</v>
      </c>
      <c r="AB3">
        <v>11</v>
      </c>
      <c r="AC3">
        <v>0</v>
      </c>
    </row>
    <row r="4" spans="1:29" x14ac:dyDescent="0.3">
      <c r="A4">
        <v>4141</v>
      </c>
      <c r="B4">
        <v>1965</v>
      </c>
      <c r="C4" t="s">
        <v>29</v>
      </c>
      <c r="D4" t="s">
        <v>31</v>
      </c>
      <c r="E4">
        <v>71613</v>
      </c>
      <c r="F4">
        <v>0</v>
      </c>
      <c r="G4">
        <v>0</v>
      </c>
      <c r="H4" s="1">
        <v>41507</v>
      </c>
      <c r="I4">
        <v>26</v>
      </c>
      <c r="J4">
        <v>426</v>
      </c>
      <c r="K4">
        <v>49</v>
      </c>
      <c r="L4">
        <v>127</v>
      </c>
      <c r="M4">
        <v>111</v>
      </c>
      <c r="N4">
        <v>21</v>
      </c>
      <c r="O4">
        <v>42</v>
      </c>
      <c r="P4">
        <v>1</v>
      </c>
      <c r="Q4">
        <v>8</v>
      </c>
      <c r="R4">
        <v>2</v>
      </c>
      <c r="S4">
        <v>10</v>
      </c>
      <c r="T4">
        <v>4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3</v>
      </c>
      <c r="AB4">
        <v>11</v>
      </c>
      <c r="AC4">
        <v>0</v>
      </c>
    </row>
    <row r="5" spans="1:29" x14ac:dyDescent="0.3">
      <c r="A5">
        <v>6182</v>
      </c>
      <c r="B5">
        <v>1984</v>
      </c>
      <c r="C5" t="s">
        <v>29</v>
      </c>
      <c r="D5" t="s">
        <v>31</v>
      </c>
      <c r="E5">
        <v>26646</v>
      </c>
      <c r="F5">
        <v>1</v>
      </c>
      <c r="G5">
        <v>0</v>
      </c>
      <c r="H5" s="1">
        <v>41680</v>
      </c>
      <c r="I5">
        <v>26</v>
      </c>
      <c r="J5">
        <v>11</v>
      </c>
      <c r="K5">
        <v>4</v>
      </c>
      <c r="L5">
        <v>20</v>
      </c>
      <c r="M5">
        <v>10</v>
      </c>
      <c r="N5">
        <v>3</v>
      </c>
      <c r="O5">
        <v>5</v>
      </c>
      <c r="P5">
        <v>2</v>
      </c>
      <c r="Q5">
        <v>2</v>
      </c>
      <c r="R5">
        <v>0</v>
      </c>
      <c r="S5">
        <v>4</v>
      </c>
      <c r="T5">
        <v>6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3</v>
      </c>
      <c r="AB5">
        <v>11</v>
      </c>
      <c r="AC5">
        <v>0</v>
      </c>
    </row>
    <row r="6" spans="1:29" x14ac:dyDescent="0.3">
      <c r="A6">
        <v>5324</v>
      </c>
      <c r="B6">
        <v>1981</v>
      </c>
      <c r="C6" t="s">
        <v>32</v>
      </c>
      <c r="D6" t="s">
        <v>33</v>
      </c>
      <c r="E6">
        <v>58293</v>
      </c>
      <c r="F6">
        <v>1</v>
      </c>
      <c r="G6">
        <v>0</v>
      </c>
      <c r="H6" s="1">
        <v>41658</v>
      </c>
      <c r="I6">
        <v>94</v>
      </c>
      <c r="J6">
        <v>173</v>
      </c>
      <c r="K6">
        <v>43</v>
      </c>
      <c r="L6">
        <v>118</v>
      </c>
      <c r="M6">
        <v>46</v>
      </c>
      <c r="N6">
        <v>27</v>
      </c>
      <c r="O6">
        <v>15</v>
      </c>
      <c r="P6">
        <v>5</v>
      </c>
      <c r="Q6">
        <v>5</v>
      </c>
      <c r="R6">
        <v>3</v>
      </c>
      <c r="S6">
        <v>6</v>
      </c>
      <c r="T6">
        <v>5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3</v>
      </c>
      <c r="AB6">
        <v>11</v>
      </c>
      <c r="AC6">
        <v>0</v>
      </c>
    </row>
    <row r="7" spans="1:29" x14ac:dyDescent="0.3">
      <c r="A7">
        <v>7446</v>
      </c>
      <c r="B7">
        <v>1967</v>
      </c>
      <c r="C7" t="s">
        <v>34</v>
      </c>
      <c r="D7" t="s">
        <v>31</v>
      </c>
      <c r="E7">
        <v>62513</v>
      </c>
      <c r="F7">
        <v>0</v>
      </c>
      <c r="G7">
        <v>1</v>
      </c>
      <c r="H7" s="1">
        <v>41526</v>
      </c>
      <c r="I7">
        <v>16</v>
      </c>
      <c r="J7">
        <v>520</v>
      </c>
      <c r="K7">
        <v>42</v>
      </c>
      <c r="L7">
        <v>98</v>
      </c>
      <c r="M7">
        <v>0</v>
      </c>
      <c r="N7">
        <v>42</v>
      </c>
      <c r="O7">
        <v>14</v>
      </c>
      <c r="P7">
        <v>2</v>
      </c>
      <c r="Q7">
        <v>6</v>
      </c>
      <c r="R7">
        <v>4</v>
      </c>
      <c r="S7">
        <v>10</v>
      </c>
      <c r="T7">
        <v>6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3</v>
      </c>
      <c r="AB7">
        <v>11</v>
      </c>
      <c r="AC7">
        <v>0</v>
      </c>
    </row>
    <row r="8" spans="1:29" x14ac:dyDescent="0.3">
      <c r="A8">
        <v>965</v>
      </c>
      <c r="B8">
        <v>1971</v>
      </c>
      <c r="C8" t="s">
        <v>29</v>
      </c>
      <c r="D8" t="s">
        <v>35</v>
      </c>
      <c r="E8">
        <v>55635</v>
      </c>
      <c r="F8">
        <v>0</v>
      </c>
      <c r="G8">
        <v>1</v>
      </c>
      <c r="H8" s="1">
        <v>41226</v>
      </c>
      <c r="I8">
        <v>34</v>
      </c>
      <c r="J8">
        <v>235</v>
      </c>
      <c r="K8">
        <v>65</v>
      </c>
      <c r="L8">
        <v>164</v>
      </c>
      <c r="M8">
        <v>50</v>
      </c>
      <c r="N8">
        <v>49</v>
      </c>
      <c r="O8">
        <v>27</v>
      </c>
      <c r="P8">
        <v>4</v>
      </c>
      <c r="Q8">
        <v>7</v>
      </c>
      <c r="R8">
        <v>3</v>
      </c>
      <c r="S8">
        <v>7</v>
      </c>
      <c r="T8">
        <v>6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3</v>
      </c>
      <c r="AB8">
        <v>11</v>
      </c>
      <c r="AC8">
        <v>0</v>
      </c>
    </row>
    <row r="9" spans="1:29" x14ac:dyDescent="0.3">
      <c r="A9">
        <v>6177</v>
      </c>
      <c r="B9">
        <v>1985</v>
      </c>
      <c r="C9" t="s">
        <v>32</v>
      </c>
      <c r="D9" t="s">
        <v>33</v>
      </c>
      <c r="E9">
        <v>33454</v>
      </c>
      <c r="F9">
        <v>1</v>
      </c>
      <c r="G9">
        <v>0</v>
      </c>
      <c r="H9" s="1">
        <v>41402</v>
      </c>
      <c r="I9">
        <v>32</v>
      </c>
      <c r="J9">
        <v>76</v>
      </c>
      <c r="K9">
        <v>10</v>
      </c>
      <c r="L9">
        <v>56</v>
      </c>
      <c r="M9">
        <v>3</v>
      </c>
      <c r="N9">
        <v>1</v>
      </c>
      <c r="O9">
        <v>23</v>
      </c>
      <c r="P9">
        <v>2</v>
      </c>
      <c r="Q9">
        <v>4</v>
      </c>
      <c r="R9">
        <v>0</v>
      </c>
      <c r="S9">
        <v>4</v>
      </c>
      <c r="T9">
        <v>8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3</v>
      </c>
      <c r="AB9">
        <v>11</v>
      </c>
      <c r="AC9">
        <v>0</v>
      </c>
    </row>
    <row r="10" spans="1:29" x14ac:dyDescent="0.3">
      <c r="A10">
        <v>4855</v>
      </c>
      <c r="B10">
        <v>1974</v>
      </c>
      <c r="C10" t="s">
        <v>32</v>
      </c>
      <c r="D10" t="s">
        <v>31</v>
      </c>
      <c r="E10">
        <v>30351</v>
      </c>
      <c r="F10">
        <v>1</v>
      </c>
      <c r="G10">
        <v>0</v>
      </c>
      <c r="H10" s="1">
        <v>41431</v>
      </c>
      <c r="I10">
        <v>19</v>
      </c>
      <c r="J10">
        <v>14</v>
      </c>
      <c r="K10">
        <v>0</v>
      </c>
      <c r="L10">
        <v>24</v>
      </c>
      <c r="M10">
        <v>3</v>
      </c>
      <c r="N10">
        <v>3</v>
      </c>
      <c r="O10">
        <v>2</v>
      </c>
      <c r="P10">
        <v>1</v>
      </c>
      <c r="Q10">
        <v>3</v>
      </c>
      <c r="R10">
        <v>0</v>
      </c>
      <c r="S10">
        <v>2</v>
      </c>
      <c r="T10">
        <v>9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3</v>
      </c>
      <c r="AB10">
        <v>11</v>
      </c>
      <c r="AC10">
        <v>1</v>
      </c>
    </row>
    <row r="11" spans="1:29" x14ac:dyDescent="0.3">
      <c r="A11">
        <v>5899</v>
      </c>
      <c r="B11">
        <v>1950</v>
      </c>
      <c r="C11" t="s">
        <v>32</v>
      </c>
      <c r="D11" t="s">
        <v>31</v>
      </c>
      <c r="E11">
        <v>5648</v>
      </c>
      <c r="F11">
        <v>1</v>
      </c>
      <c r="G11">
        <v>1</v>
      </c>
      <c r="H11" s="1">
        <v>41711</v>
      </c>
      <c r="I11">
        <v>68</v>
      </c>
      <c r="J11">
        <v>28</v>
      </c>
      <c r="K11">
        <v>0</v>
      </c>
      <c r="L11">
        <v>6</v>
      </c>
      <c r="M11">
        <v>1</v>
      </c>
      <c r="N11">
        <v>1</v>
      </c>
      <c r="O11">
        <v>13</v>
      </c>
      <c r="P11">
        <v>1</v>
      </c>
      <c r="Q11">
        <v>1</v>
      </c>
      <c r="R11">
        <v>0</v>
      </c>
      <c r="S11">
        <v>0</v>
      </c>
      <c r="T11">
        <v>20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3</v>
      </c>
      <c r="AB11">
        <v>11</v>
      </c>
      <c r="AC11">
        <v>0</v>
      </c>
    </row>
    <row r="12" spans="1:29" x14ac:dyDescent="0.3">
      <c r="A12">
        <v>1994</v>
      </c>
      <c r="B12">
        <v>1983</v>
      </c>
      <c r="C12" t="s">
        <v>29</v>
      </c>
      <c r="D12" t="s">
        <v>33</v>
      </c>
      <c r="F12">
        <v>1</v>
      </c>
      <c r="G12">
        <v>0</v>
      </c>
      <c r="H12" s="1">
        <v>41593</v>
      </c>
      <c r="I12">
        <v>11</v>
      </c>
      <c r="J12">
        <v>5</v>
      </c>
      <c r="K12">
        <v>5</v>
      </c>
      <c r="L12">
        <v>6</v>
      </c>
      <c r="M12">
        <v>0</v>
      </c>
      <c r="N12">
        <v>2</v>
      </c>
      <c r="O12">
        <v>1</v>
      </c>
      <c r="P12">
        <v>1</v>
      </c>
      <c r="Q12">
        <v>1</v>
      </c>
      <c r="R12">
        <v>0</v>
      </c>
      <c r="S12">
        <v>2</v>
      </c>
      <c r="T12">
        <v>7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3</v>
      </c>
      <c r="AB12">
        <v>11</v>
      </c>
      <c r="AC12">
        <v>0</v>
      </c>
    </row>
    <row r="13" spans="1:29" x14ac:dyDescent="0.3">
      <c r="A13">
        <v>387</v>
      </c>
      <c r="B13">
        <v>1976</v>
      </c>
      <c r="C13" t="s">
        <v>36</v>
      </c>
      <c r="D13" t="s">
        <v>33</v>
      </c>
      <c r="E13">
        <v>7500</v>
      </c>
      <c r="F13">
        <v>0</v>
      </c>
      <c r="G13">
        <v>0</v>
      </c>
      <c r="H13" s="1">
        <v>41226</v>
      </c>
      <c r="I13">
        <v>59</v>
      </c>
      <c r="J13">
        <v>6</v>
      </c>
      <c r="K13">
        <v>16</v>
      </c>
      <c r="L13">
        <v>11</v>
      </c>
      <c r="M13">
        <v>11</v>
      </c>
      <c r="N13">
        <v>1</v>
      </c>
      <c r="O13">
        <v>16</v>
      </c>
      <c r="P13">
        <v>1</v>
      </c>
      <c r="Q13">
        <v>2</v>
      </c>
      <c r="R13">
        <v>0</v>
      </c>
      <c r="S13">
        <v>3</v>
      </c>
      <c r="T13">
        <v>8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3</v>
      </c>
      <c r="AB13">
        <v>11</v>
      </c>
      <c r="AC13">
        <v>0</v>
      </c>
    </row>
    <row r="14" spans="1:29" x14ac:dyDescent="0.3">
      <c r="A14">
        <v>2125</v>
      </c>
      <c r="B14">
        <v>1959</v>
      </c>
      <c r="C14" t="s">
        <v>29</v>
      </c>
      <c r="D14" t="s">
        <v>35</v>
      </c>
      <c r="E14">
        <v>63033</v>
      </c>
      <c r="F14">
        <v>0</v>
      </c>
      <c r="G14">
        <v>0</v>
      </c>
      <c r="H14" s="1">
        <v>41593</v>
      </c>
      <c r="I14">
        <v>82</v>
      </c>
      <c r="J14">
        <v>194</v>
      </c>
      <c r="K14">
        <v>61</v>
      </c>
      <c r="L14">
        <v>480</v>
      </c>
      <c r="M14">
        <v>225</v>
      </c>
      <c r="N14">
        <v>112</v>
      </c>
      <c r="O14">
        <v>30</v>
      </c>
      <c r="P14">
        <v>1</v>
      </c>
      <c r="Q14">
        <v>3</v>
      </c>
      <c r="R14">
        <v>4</v>
      </c>
      <c r="S14">
        <v>8</v>
      </c>
      <c r="T14">
        <v>2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3</v>
      </c>
      <c r="AB14">
        <v>11</v>
      </c>
      <c r="AC14">
        <v>0</v>
      </c>
    </row>
    <row r="15" spans="1:29" x14ac:dyDescent="0.3">
      <c r="A15">
        <v>8180</v>
      </c>
      <c r="B15">
        <v>1952</v>
      </c>
      <c r="C15" t="s">
        <v>34</v>
      </c>
      <c r="D15" t="s">
        <v>35</v>
      </c>
      <c r="E15">
        <v>59354</v>
      </c>
      <c r="F15">
        <v>1</v>
      </c>
      <c r="G15">
        <v>1</v>
      </c>
      <c r="H15" s="1">
        <v>41593</v>
      </c>
      <c r="I15">
        <v>53</v>
      </c>
      <c r="J15">
        <v>233</v>
      </c>
      <c r="K15">
        <v>2</v>
      </c>
      <c r="L15">
        <v>53</v>
      </c>
      <c r="M15">
        <v>3</v>
      </c>
      <c r="N15">
        <v>5</v>
      </c>
      <c r="O15">
        <v>14</v>
      </c>
      <c r="P15">
        <v>3</v>
      </c>
      <c r="Q15">
        <v>6</v>
      </c>
      <c r="R15">
        <v>1</v>
      </c>
      <c r="S15">
        <v>5</v>
      </c>
      <c r="T15">
        <v>6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3</v>
      </c>
      <c r="AB15">
        <v>11</v>
      </c>
      <c r="AC15">
        <v>0</v>
      </c>
    </row>
    <row r="16" spans="1:29" x14ac:dyDescent="0.3">
      <c r="A16">
        <v>2569</v>
      </c>
      <c r="B16">
        <v>1987</v>
      </c>
      <c r="C16" t="s">
        <v>29</v>
      </c>
      <c r="D16" t="s">
        <v>33</v>
      </c>
      <c r="E16">
        <v>17323</v>
      </c>
      <c r="F16">
        <v>0</v>
      </c>
      <c r="G16">
        <v>0</v>
      </c>
      <c r="H16" s="1">
        <v>41192</v>
      </c>
      <c r="I16">
        <v>38</v>
      </c>
      <c r="J16">
        <v>3</v>
      </c>
      <c r="K16">
        <v>14</v>
      </c>
      <c r="L16">
        <v>17</v>
      </c>
      <c r="M16">
        <v>6</v>
      </c>
      <c r="N16">
        <v>1</v>
      </c>
      <c r="O16">
        <v>5</v>
      </c>
      <c r="P16">
        <v>1</v>
      </c>
      <c r="Q16">
        <v>1</v>
      </c>
      <c r="R16">
        <v>0</v>
      </c>
      <c r="S16">
        <v>3</v>
      </c>
      <c r="T16">
        <v>8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3</v>
      </c>
      <c r="AB16">
        <v>11</v>
      </c>
      <c r="AC16">
        <v>0</v>
      </c>
    </row>
    <row r="17" spans="1:29" x14ac:dyDescent="0.3">
      <c r="A17">
        <v>2114</v>
      </c>
      <c r="B17">
        <v>1946</v>
      </c>
      <c r="C17" t="s">
        <v>32</v>
      </c>
      <c r="D17" t="s">
        <v>30</v>
      </c>
      <c r="E17">
        <v>82800</v>
      </c>
      <c r="F17">
        <v>0</v>
      </c>
      <c r="G17">
        <v>0</v>
      </c>
      <c r="H17" s="1">
        <v>41237</v>
      </c>
      <c r="I17">
        <v>23</v>
      </c>
      <c r="J17">
        <v>1006</v>
      </c>
      <c r="K17">
        <v>22</v>
      </c>
      <c r="L17">
        <v>115</v>
      </c>
      <c r="M17">
        <v>59</v>
      </c>
      <c r="N17">
        <v>68</v>
      </c>
      <c r="O17">
        <v>45</v>
      </c>
      <c r="P17">
        <v>1</v>
      </c>
      <c r="Q17">
        <v>7</v>
      </c>
      <c r="R17">
        <v>6</v>
      </c>
      <c r="S17">
        <v>12</v>
      </c>
      <c r="T17">
        <v>3</v>
      </c>
      <c r="U17">
        <v>0</v>
      </c>
      <c r="V17">
        <v>0</v>
      </c>
      <c r="W17">
        <v>1</v>
      </c>
      <c r="X17">
        <v>1</v>
      </c>
      <c r="Y17">
        <v>0</v>
      </c>
      <c r="Z17">
        <v>0</v>
      </c>
      <c r="AA17">
        <v>3</v>
      </c>
      <c r="AB17">
        <v>11</v>
      </c>
      <c r="AC17">
        <v>1</v>
      </c>
    </row>
    <row r="18" spans="1:29" x14ac:dyDescent="0.3">
      <c r="A18">
        <v>9736</v>
      </c>
      <c r="B18">
        <v>1980</v>
      </c>
      <c r="C18" t="s">
        <v>29</v>
      </c>
      <c r="D18" t="s">
        <v>33</v>
      </c>
      <c r="E18">
        <v>41850</v>
      </c>
      <c r="F18">
        <v>1</v>
      </c>
      <c r="G18">
        <v>1</v>
      </c>
      <c r="H18" s="1">
        <v>41267</v>
      </c>
      <c r="I18">
        <v>51</v>
      </c>
      <c r="J18">
        <v>53</v>
      </c>
      <c r="K18">
        <v>5</v>
      </c>
      <c r="L18">
        <v>19</v>
      </c>
      <c r="M18">
        <v>2</v>
      </c>
      <c r="N18">
        <v>13</v>
      </c>
      <c r="O18">
        <v>4</v>
      </c>
      <c r="P18">
        <v>3</v>
      </c>
      <c r="Q18">
        <v>3</v>
      </c>
      <c r="R18">
        <v>0</v>
      </c>
      <c r="S18">
        <v>3</v>
      </c>
      <c r="T18">
        <v>8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3</v>
      </c>
      <c r="AB18">
        <v>11</v>
      </c>
      <c r="AC18">
        <v>0</v>
      </c>
    </row>
    <row r="19" spans="1:29" x14ac:dyDescent="0.3">
      <c r="A19">
        <v>4939</v>
      </c>
      <c r="B19">
        <v>1946</v>
      </c>
      <c r="C19" t="s">
        <v>29</v>
      </c>
      <c r="D19" t="s">
        <v>31</v>
      </c>
      <c r="E19">
        <v>37760</v>
      </c>
      <c r="F19">
        <v>0</v>
      </c>
      <c r="G19">
        <v>0</v>
      </c>
      <c r="H19" s="1">
        <v>41152</v>
      </c>
      <c r="I19">
        <v>20</v>
      </c>
      <c r="J19">
        <v>84</v>
      </c>
      <c r="K19">
        <v>5</v>
      </c>
      <c r="L19">
        <v>38</v>
      </c>
      <c r="M19">
        <v>150</v>
      </c>
      <c r="N19">
        <v>12</v>
      </c>
      <c r="O19">
        <v>28</v>
      </c>
      <c r="P19">
        <v>2</v>
      </c>
      <c r="Q19">
        <v>4</v>
      </c>
      <c r="R19">
        <v>1</v>
      </c>
      <c r="S19">
        <v>6</v>
      </c>
      <c r="T19">
        <v>7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</v>
      </c>
      <c r="AB19">
        <v>11</v>
      </c>
      <c r="AC19">
        <v>0</v>
      </c>
    </row>
    <row r="20" spans="1:29" x14ac:dyDescent="0.3">
      <c r="A20">
        <v>6565</v>
      </c>
      <c r="B20">
        <v>1949</v>
      </c>
      <c r="C20" t="s">
        <v>34</v>
      </c>
      <c r="D20" t="s">
        <v>33</v>
      </c>
      <c r="E20">
        <v>76995</v>
      </c>
      <c r="F20">
        <v>0</v>
      </c>
      <c r="G20">
        <v>1</v>
      </c>
      <c r="H20" s="1">
        <v>41361</v>
      </c>
      <c r="I20">
        <v>91</v>
      </c>
      <c r="J20">
        <v>1012</v>
      </c>
      <c r="K20">
        <v>80</v>
      </c>
      <c r="L20">
        <v>498</v>
      </c>
      <c r="M20">
        <v>0</v>
      </c>
      <c r="N20">
        <v>16</v>
      </c>
      <c r="O20">
        <v>176</v>
      </c>
      <c r="P20">
        <v>2</v>
      </c>
      <c r="Q20">
        <v>11</v>
      </c>
      <c r="R20">
        <v>4</v>
      </c>
      <c r="S20">
        <v>9</v>
      </c>
      <c r="T20">
        <v>5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3</v>
      </c>
      <c r="AB20">
        <v>11</v>
      </c>
      <c r="AC20">
        <v>0</v>
      </c>
    </row>
    <row r="21" spans="1:29" x14ac:dyDescent="0.3">
      <c r="A21">
        <v>2278</v>
      </c>
      <c r="B21">
        <v>1985</v>
      </c>
      <c r="C21" t="s">
        <v>37</v>
      </c>
      <c r="D21" t="s">
        <v>30</v>
      </c>
      <c r="E21">
        <v>33812</v>
      </c>
      <c r="F21">
        <v>1</v>
      </c>
      <c r="G21">
        <v>0</v>
      </c>
      <c r="H21" s="1">
        <v>41216</v>
      </c>
      <c r="I21">
        <v>86</v>
      </c>
      <c r="J21">
        <v>4</v>
      </c>
      <c r="K21">
        <v>17</v>
      </c>
      <c r="L21">
        <v>19</v>
      </c>
      <c r="M21">
        <v>30</v>
      </c>
      <c r="N21">
        <v>24</v>
      </c>
      <c r="O21">
        <v>39</v>
      </c>
      <c r="P21">
        <v>2</v>
      </c>
      <c r="Q21">
        <v>2</v>
      </c>
      <c r="R21">
        <v>1</v>
      </c>
      <c r="S21">
        <v>3</v>
      </c>
      <c r="T21">
        <v>6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3</v>
      </c>
      <c r="AB21">
        <v>11</v>
      </c>
      <c r="AC21">
        <v>0</v>
      </c>
    </row>
    <row r="22" spans="1:29" x14ac:dyDescent="0.3">
      <c r="A22">
        <v>9360</v>
      </c>
      <c r="B22">
        <v>1982</v>
      </c>
      <c r="C22" t="s">
        <v>29</v>
      </c>
      <c r="D22" t="s">
        <v>33</v>
      </c>
      <c r="E22">
        <v>37040</v>
      </c>
      <c r="F22">
        <v>0</v>
      </c>
      <c r="G22">
        <v>0</v>
      </c>
      <c r="H22" s="1">
        <v>41129</v>
      </c>
      <c r="I22">
        <v>41</v>
      </c>
      <c r="J22">
        <v>86</v>
      </c>
      <c r="K22">
        <v>2</v>
      </c>
      <c r="L22">
        <v>73</v>
      </c>
      <c r="M22">
        <v>69</v>
      </c>
      <c r="N22">
        <v>38</v>
      </c>
      <c r="O22">
        <v>48</v>
      </c>
      <c r="P22">
        <v>1</v>
      </c>
      <c r="Q22">
        <v>4</v>
      </c>
      <c r="R22">
        <v>2</v>
      </c>
      <c r="S22">
        <v>5</v>
      </c>
      <c r="T22">
        <v>8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3</v>
      </c>
      <c r="AB22">
        <v>11</v>
      </c>
      <c r="AC22">
        <v>0</v>
      </c>
    </row>
    <row r="23" spans="1:29" x14ac:dyDescent="0.3">
      <c r="A23">
        <v>5376</v>
      </c>
      <c r="B23">
        <v>1979</v>
      </c>
      <c r="C23" t="s">
        <v>29</v>
      </c>
      <c r="D23" t="s">
        <v>33</v>
      </c>
      <c r="E23">
        <v>2447</v>
      </c>
      <c r="F23">
        <v>1</v>
      </c>
      <c r="G23">
        <v>0</v>
      </c>
      <c r="H23" s="1">
        <v>41280</v>
      </c>
      <c r="I23">
        <v>42</v>
      </c>
      <c r="J23">
        <v>1</v>
      </c>
      <c r="K23">
        <v>1</v>
      </c>
      <c r="L23">
        <v>1725</v>
      </c>
      <c r="M23">
        <v>1</v>
      </c>
      <c r="N23">
        <v>1</v>
      </c>
      <c r="O23">
        <v>1</v>
      </c>
      <c r="P23">
        <v>15</v>
      </c>
      <c r="Q23">
        <v>0</v>
      </c>
      <c r="R23">
        <v>28</v>
      </c>
      <c r="S23">
        <v>0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3</v>
      </c>
      <c r="AB23">
        <v>11</v>
      </c>
      <c r="AC23">
        <v>0</v>
      </c>
    </row>
    <row r="24" spans="1:29" x14ac:dyDescent="0.3">
      <c r="A24">
        <v>1993</v>
      </c>
      <c r="B24">
        <v>1949</v>
      </c>
      <c r="C24" t="s">
        <v>32</v>
      </c>
      <c r="D24" t="s">
        <v>33</v>
      </c>
      <c r="E24">
        <v>58607</v>
      </c>
      <c r="F24">
        <v>0</v>
      </c>
      <c r="G24">
        <v>1</v>
      </c>
      <c r="H24" s="1">
        <v>41266</v>
      </c>
      <c r="I24">
        <v>63</v>
      </c>
      <c r="J24">
        <v>867</v>
      </c>
      <c r="K24">
        <v>0</v>
      </c>
      <c r="L24">
        <v>86</v>
      </c>
      <c r="M24">
        <v>0</v>
      </c>
      <c r="N24">
        <v>0</v>
      </c>
      <c r="O24">
        <v>19</v>
      </c>
      <c r="P24">
        <v>3</v>
      </c>
      <c r="Q24">
        <v>2</v>
      </c>
      <c r="R24">
        <v>3</v>
      </c>
      <c r="S24">
        <v>9</v>
      </c>
      <c r="T24">
        <v>8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3</v>
      </c>
      <c r="AB24">
        <v>11</v>
      </c>
      <c r="AC24">
        <v>0</v>
      </c>
    </row>
    <row r="25" spans="1:29" x14ac:dyDescent="0.3">
      <c r="A25">
        <v>4047</v>
      </c>
      <c r="B25">
        <v>1954</v>
      </c>
      <c r="C25" t="s">
        <v>32</v>
      </c>
      <c r="D25" t="s">
        <v>33</v>
      </c>
      <c r="E25">
        <v>65324</v>
      </c>
      <c r="F25">
        <v>0</v>
      </c>
      <c r="G25">
        <v>1</v>
      </c>
      <c r="H25" s="1">
        <v>41650</v>
      </c>
      <c r="I25">
        <v>0</v>
      </c>
      <c r="J25">
        <v>384</v>
      </c>
      <c r="K25">
        <v>0</v>
      </c>
      <c r="L25">
        <v>102</v>
      </c>
      <c r="M25">
        <v>21</v>
      </c>
      <c r="N25">
        <v>32</v>
      </c>
      <c r="O25">
        <v>5</v>
      </c>
      <c r="P25">
        <v>3</v>
      </c>
      <c r="Q25">
        <v>6</v>
      </c>
      <c r="R25">
        <v>2</v>
      </c>
      <c r="S25">
        <v>9</v>
      </c>
      <c r="T25">
        <v>4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3</v>
      </c>
      <c r="AB25">
        <v>11</v>
      </c>
      <c r="AC25">
        <v>0</v>
      </c>
    </row>
    <row r="26" spans="1:29" x14ac:dyDescent="0.3">
      <c r="A26">
        <v>1409</v>
      </c>
      <c r="B26">
        <v>1951</v>
      </c>
      <c r="C26" t="s">
        <v>29</v>
      </c>
      <c r="D26" t="s">
        <v>31</v>
      </c>
      <c r="E26">
        <v>40689</v>
      </c>
      <c r="F26">
        <v>0</v>
      </c>
      <c r="G26">
        <v>1</v>
      </c>
      <c r="H26" s="1">
        <v>41351</v>
      </c>
      <c r="I26">
        <v>69</v>
      </c>
      <c r="J26">
        <v>270</v>
      </c>
      <c r="K26">
        <v>3</v>
      </c>
      <c r="L26">
        <v>27</v>
      </c>
      <c r="M26">
        <v>39</v>
      </c>
      <c r="N26">
        <v>6</v>
      </c>
      <c r="O26">
        <v>99</v>
      </c>
      <c r="P26">
        <v>7</v>
      </c>
      <c r="Q26">
        <v>7</v>
      </c>
      <c r="R26">
        <v>1</v>
      </c>
      <c r="S26">
        <v>5</v>
      </c>
      <c r="T26">
        <v>8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3</v>
      </c>
      <c r="AB26">
        <v>11</v>
      </c>
      <c r="AC26">
        <v>0</v>
      </c>
    </row>
    <row r="27" spans="1:29" x14ac:dyDescent="0.3">
      <c r="A27">
        <v>7892</v>
      </c>
      <c r="B27">
        <v>1969</v>
      </c>
      <c r="C27" t="s">
        <v>29</v>
      </c>
      <c r="D27" t="s">
        <v>30</v>
      </c>
      <c r="E27">
        <v>18589</v>
      </c>
      <c r="F27">
        <v>0</v>
      </c>
      <c r="G27">
        <v>0</v>
      </c>
      <c r="H27" s="1">
        <v>41276</v>
      </c>
      <c r="I27">
        <v>89</v>
      </c>
      <c r="J27">
        <v>6</v>
      </c>
      <c r="K27">
        <v>4</v>
      </c>
      <c r="L27">
        <v>25</v>
      </c>
      <c r="M27">
        <v>15</v>
      </c>
      <c r="N27">
        <v>12</v>
      </c>
      <c r="O27">
        <v>13</v>
      </c>
      <c r="P27">
        <v>2</v>
      </c>
      <c r="Q27">
        <v>2</v>
      </c>
      <c r="R27">
        <v>1</v>
      </c>
      <c r="S27">
        <v>3</v>
      </c>
      <c r="T27">
        <v>7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3</v>
      </c>
      <c r="AB27">
        <v>11</v>
      </c>
      <c r="AC27">
        <v>0</v>
      </c>
    </row>
    <row r="28" spans="1:29" x14ac:dyDescent="0.3">
      <c r="A28">
        <v>2404</v>
      </c>
      <c r="B28">
        <v>1976</v>
      </c>
      <c r="C28" t="s">
        <v>29</v>
      </c>
      <c r="D28" t="s">
        <v>33</v>
      </c>
      <c r="E28">
        <v>53359</v>
      </c>
      <c r="F28">
        <v>1</v>
      </c>
      <c r="G28">
        <v>1</v>
      </c>
      <c r="H28" s="1">
        <v>41421</v>
      </c>
      <c r="I28">
        <v>4</v>
      </c>
      <c r="J28">
        <v>173</v>
      </c>
      <c r="K28">
        <v>4</v>
      </c>
      <c r="L28">
        <v>30</v>
      </c>
      <c r="M28">
        <v>3</v>
      </c>
      <c r="N28">
        <v>6</v>
      </c>
      <c r="O28">
        <v>41</v>
      </c>
      <c r="P28">
        <v>4</v>
      </c>
      <c r="Q28">
        <v>5</v>
      </c>
      <c r="R28">
        <v>1</v>
      </c>
      <c r="S28">
        <v>4</v>
      </c>
      <c r="T28">
        <v>7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3</v>
      </c>
      <c r="AB28">
        <v>11</v>
      </c>
      <c r="AC28">
        <v>0</v>
      </c>
    </row>
    <row r="29" spans="1:29" x14ac:dyDescent="0.3">
      <c r="A29">
        <v>5255</v>
      </c>
      <c r="B29">
        <v>1986</v>
      </c>
      <c r="C29" t="s">
        <v>29</v>
      </c>
      <c r="D29" t="s">
        <v>30</v>
      </c>
      <c r="F29">
        <v>1</v>
      </c>
      <c r="G29">
        <v>0</v>
      </c>
      <c r="H29" s="1">
        <v>41325</v>
      </c>
      <c r="I29">
        <v>19</v>
      </c>
      <c r="J29">
        <v>5</v>
      </c>
      <c r="K29">
        <v>1</v>
      </c>
      <c r="L29">
        <v>3</v>
      </c>
      <c r="M29">
        <v>3</v>
      </c>
      <c r="N29">
        <v>263</v>
      </c>
      <c r="O29">
        <v>362</v>
      </c>
      <c r="P29">
        <v>0</v>
      </c>
      <c r="Q29">
        <v>27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3</v>
      </c>
      <c r="AB29">
        <v>11</v>
      </c>
      <c r="AC29">
        <v>0</v>
      </c>
    </row>
    <row r="30" spans="1:29" x14ac:dyDescent="0.3">
      <c r="A30">
        <v>9422</v>
      </c>
      <c r="B30">
        <v>1989</v>
      </c>
      <c r="C30" t="s">
        <v>29</v>
      </c>
      <c r="D30" t="s">
        <v>33</v>
      </c>
      <c r="E30">
        <v>38360</v>
      </c>
      <c r="F30">
        <v>1</v>
      </c>
      <c r="G30">
        <v>0</v>
      </c>
      <c r="H30" s="1">
        <v>41425</v>
      </c>
      <c r="I30">
        <v>26</v>
      </c>
      <c r="J30">
        <v>36</v>
      </c>
      <c r="K30">
        <v>2</v>
      </c>
      <c r="L30">
        <v>42</v>
      </c>
      <c r="M30">
        <v>20</v>
      </c>
      <c r="N30">
        <v>21</v>
      </c>
      <c r="O30">
        <v>10</v>
      </c>
      <c r="P30">
        <v>2</v>
      </c>
      <c r="Q30">
        <v>2</v>
      </c>
      <c r="R30">
        <v>1</v>
      </c>
      <c r="S30">
        <v>4</v>
      </c>
      <c r="T30">
        <v>3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3</v>
      </c>
      <c r="AB30">
        <v>11</v>
      </c>
      <c r="AC30">
        <v>0</v>
      </c>
    </row>
    <row r="31" spans="1:29" x14ac:dyDescent="0.3">
      <c r="A31">
        <v>1966</v>
      </c>
      <c r="B31">
        <v>1965</v>
      </c>
      <c r="C31" t="s">
        <v>32</v>
      </c>
      <c r="D31" t="s">
        <v>33</v>
      </c>
      <c r="E31">
        <v>84618</v>
      </c>
      <c r="F31">
        <v>0</v>
      </c>
      <c r="G31">
        <v>0</v>
      </c>
      <c r="H31" s="1">
        <v>41600</v>
      </c>
      <c r="I31">
        <v>96</v>
      </c>
      <c r="J31">
        <v>684</v>
      </c>
      <c r="K31">
        <v>100</v>
      </c>
      <c r="L31">
        <v>801</v>
      </c>
      <c r="M31">
        <v>21</v>
      </c>
      <c r="N31">
        <v>66</v>
      </c>
      <c r="O31">
        <v>0</v>
      </c>
      <c r="P31">
        <v>1</v>
      </c>
      <c r="Q31">
        <v>6</v>
      </c>
      <c r="R31">
        <v>9</v>
      </c>
      <c r="S31">
        <v>10</v>
      </c>
      <c r="T31">
        <v>2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3</v>
      </c>
      <c r="AB31">
        <v>11</v>
      </c>
      <c r="AC31">
        <v>0</v>
      </c>
    </row>
    <row r="32" spans="1:29" x14ac:dyDescent="0.3">
      <c r="A32">
        <v>6864</v>
      </c>
      <c r="B32">
        <v>1989</v>
      </c>
      <c r="C32" t="s">
        <v>34</v>
      </c>
      <c r="D32" t="s">
        <v>35</v>
      </c>
      <c r="E32">
        <v>10979</v>
      </c>
      <c r="F32">
        <v>0</v>
      </c>
      <c r="G32">
        <v>0</v>
      </c>
      <c r="H32" s="1">
        <v>41781</v>
      </c>
      <c r="I32">
        <v>34</v>
      </c>
      <c r="J32">
        <v>8</v>
      </c>
      <c r="K32">
        <v>4</v>
      </c>
      <c r="L32">
        <v>10</v>
      </c>
      <c r="M32">
        <v>2</v>
      </c>
      <c r="N32">
        <v>2</v>
      </c>
      <c r="O32">
        <v>4</v>
      </c>
      <c r="P32">
        <v>2</v>
      </c>
      <c r="Q32">
        <v>3</v>
      </c>
      <c r="R32">
        <v>0</v>
      </c>
      <c r="S32">
        <v>3</v>
      </c>
      <c r="T32">
        <v>5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3</v>
      </c>
      <c r="AB32">
        <v>11</v>
      </c>
      <c r="AC32">
        <v>0</v>
      </c>
    </row>
    <row r="33" spans="1:29" x14ac:dyDescent="0.3">
      <c r="A33">
        <v>3033</v>
      </c>
      <c r="B33">
        <v>1963</v>
      </c>
      <c r="C33" t="s">
        <v>34</v>
      </c>
      <c r="D33" t="s">
        <v>31</v>
      </c>
      <c r="E33">
        <v>38620</v>
      </c>
      <c r="F33">
        <v>0</v>
      </c>
      <c r="G33">
        <v>0</v>
      </c>
      <c r="H33" s="1">
        <v>41405</v>
      </c>
      <c r="I33">
        <v>56</v>
      </c>
      <c r="J33">
        <v>112</v>
      </c>
      <c r="K33">
        <v>17</v>
      </c>
      <c r="L33">
        <v>44</v>
      </c>
      <c r="M33">
        <v>34</v>
      </c>
      <c r="N33">
        <v>22</v>
      </c>
      <c r="O33">
        <v>89</v>
      </c>
      <c r="P33">
        <v>1</v>
      </c>
      <c r="Q33">
        <v>2</v>
      </c>
      <c r="R33">
        <v>5</v>
      </c>
      <c r="S33">
        <v>3</v>
      </c>
      <c r="T33">
        <v>3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3</v>
      </c>
      <c r="AB33">
        <v>11</v>
      </c>
      <c r="AC33">
        <v>0</v>
      </c>
    </row>
    <row r="34" spans="1:29" x14ac:dyDescent="0.3">
      <c r="A34">
        <v>5710</v>
      </c>
      <c r="B34">
        <v>1970</v>
      </c>
      <c r="C34" t="s">
        <v>29</v>
      </c>
      <c r="D34" t="s">
        <v>31</v>
      </c>
      <c r="E34">
        <v>40548</v>
      </c>
      <c r="F34">
        <v>0</v>
      </c>
      <c r="G34">
        <v>1</v>
      </c>
      <c r="H34" s="1">
        <v>41192</v>
      </c>
      <c r="I34">
        <v>31</v>
      </c>
      <c r="J34">
        <v>110</v>
      </c>
      <c r="K34">
        <v>0</v>
      </c>
      <c r="L34">
        <v>5</v>
      </c>
      <c r="M34">
        <v>2</v>
      </c>
      <c r="N34">
        <v>0</v>
      </c>
      <c r="O34">
        <v>3</v>
      </c>
      <c r="P34">
        <v>2</v>
      </c>
      <c r="Q34">
        <v>2</v>
      </c>
      <c r="R34">
        <v>1</v>
      </c>
      <c r="S34">
        <v>4</v>
      </c>
      <c r="T34">
        <v>5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3</v>
      </c>
      <c r="AB34">
        <v>11</v>
      </c>
      <c r="AC34">
        <v>0</v>
      </c>
    </row>
    <row r="35" spans="1:29" x14ac:dyDescent="0.3">
      <c r="A35">
        <v>7373</v>
      </c>
      <c r="B35">
        <v>1952</v>
      </c>
      <c r="C35" t="s">
        <v>32</v>
      </c>
      <c r="D35" t="s">
        <v>35</v>
      </c>
      <c r="E35">
        <v>46610</v>
      </c>
      <c r="F35">
        <v>0</v>
      </c>
      <c r="G35">
        <v>2</v>
      </c>
      <c r="H35" s="1">
        <v>41211</v>
      </c>
      <c r="I35">
        <v>8</v>
      </c>
      <c r="J35">
        <v>96</v>
      </c>
      <c r="K35">
        <v>12</v>
      </c>
      <c r="L35">
        <v>96</v>
      </c>
      <c r="M35">
        <v>33</v>
      </c>
      <c r="N35">
        <v>22</v>
      </c>
      <c r="O35">
        <v>43</v>
      </c>
      <c r="P35">
        <v>6</v>
      </c>
      <c r="Q35">
        <v>4</v>
      </c>
      <c r="R35">
        <v>1</v>
      </c>
      <c r="S35">
        <v>6</v>
      </c>
      <c r="T35">
        <v>6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3</v>
      </c>
      <c r="AB35">
        <v>11</v>
      </c>
      <c r="AC35">
        <v>1</v>
      </c>
    </row>
    <row r="36" spans="1:29" x14ac:dyDescent="0.3">
      <c r="A36">
        <v>8755</v>
      </c>
      <c r="B36">
        <v>1946</v>
      </c>
      <c r="C36" t="s">
        <v>34</v>
      </c>
      <c r="D36" t="s">
        <v>33</v>
      </c>
      <c r="E36">
        <v>68657</v>
      </c>
      <c r="F36">
        <v>0</v>
      </c>
      <c r="G36">
        <v>0</v>
      </c>
      <c r="H36" s="1">
        <v>41325</v>
      </c>
      <c r="I36">
        <v>4</v>
      </c>
      <c r="J36">
        <v>482</v>
      </c>
      <c r="K36">
        <v>34</v>
      </c>
      <c r="L36">
        <v>471</v>
      </c>
      <c r="M36">
        <v>119</v>
      </c>
      <c r="N36">
        <v>68</v>
      </c>
      <c r="O36">
        <v>22</v>
      </c>
      <c r="P36">
        <v>1</v>
      </c>
      <c r="Q36">
        <v>3</v>
      </c>
      <c r="R36">
        <v>5</v>
      </c>
      <c r="S36">
        <v>9</v>
      </c>
      <c r="T36">
        <v>7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3</v>
      </c>
      <c r="AB36">
        <v>11</v>
      </c>
      <c r="AC36">
        <v>0</v>
      </c>
    </row>
    <row r="37" spans="1:29" x14ac:dyDescent="0.3">
      <c r="A37">
        <v>10738</v>
      </c>
      <c r="B37">
        <v>1951</v>
      </c>
      <c r="C37" t="s">
        <v>34</v>
      </c>
      <c r="D37" t="s">
        <v>30</v>
      </c>
      <c r="E37">
        <v>49389</v>
      </c>
      <c r="F37">
        <v>1</v>
      </c>
      <c r="G37">
        <v>1</v>
      </c>
      <c r="H37" s="1">
        <v>41515</v>
      </c>
      <c r="I37">
        <v>55</v>
      </c>
      <c r="J37">
        <v>40</v>
      </c>
      <c r="K37">
        <v>0</v>
      </c>
      <c r="L37">
        <v>19</v>
      </c>
      <c r="M37">
        <v>2</v>
      </c>
      <c r="N37">
        <v>1</v>
      </c>
      <c r="O37">
        <v>3</v>
      </c>
      <c r="P37">
        <v>1</v>
      </c>
      <c r="Q37">
        <v>2</v>
      </c>
      <c r="R37">
        <v>0</v>
      </c>
      <c r="S37">
        <v>3</v>
      </c>
      <c r="T37">
        <v>7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3</v>
      </c>
      <c r="AB37">
        <v>11</v>
      </c>
      <c r="AC37">
        <v>0</v>
      </c>
    </row>
    <row r="38" spans="1:29" x14ac:dyDescent="0.3">
      <c r="A38">
        <v>4339</v>
      </c>
      <c r="B38">
        <v>1970</v>
      </c>
      <c r="C38" t="s">
        <v>32</v>
      </c>
      <c r="D38" t="s">
        <v>33</v>
      </c>
      <c r="E38">
        <v>67353</v>
      </c>
      <c r="F38">
        <v>0</v>
      </c>
      <c r="G38">
        <v>1</v>
      </c>
      <c r="H38" s="1">
        <v>41639</v>
      </c>
      <c r="I38">
        <v>37</v>
      </c>
      <c r="J38">
        <v>702</v>
      </c>
      <c r="K38">
        <v>17</v>
      </c>
      <c r="L38">
        <v>151</v>
      </c>
      <c r="M38">
        <v>0</v>
      </c>
      <c r="N38">
        <v>8</v>
      </c>
      <c r="O38">
        <v>35</v>
      </c>
      <c r="P38">
        <v>5</v>
      </c>
      <c r="Q38">
        <v>5</v>
      </c>
      <c r="R38">
        <v>6</v>
      </c>
      <c r="S38">
        <v>12</v>
      </c>
      <c r="T38">
        <v>2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3</v>
      </c>
      <c r="AB38">
        <v>11</v>
      </c>
      <c r="AC38">
        <v>0</v>
      </c>
    </row>
    <row r="39" spans="1:29" x14ac:dyDescent="0.3">
      <c r="A39">
        <v>10755</v>
      </c>
      <c r="B39">
        <v>1976</v>
      </c>
      <c r="C39" t="s">
        <v>37</v>
      </c>
      <c r="D39" t="s">
        <v>33</v>
      </c>
      <c r="E39">
        <v>23718</v>
      </c>
      <c r="F39">
        <v>1</v>
      </c>
      <c r="G39">
        <v>0</v>
      </c>
      <c r="H39" s="1">
        <v>41519</v>
      </c>
      <c r="I39">
        <v>76</v>
      </c>
      <c r="J39">
        <v>6</v>
      </c>
      <c r="K39">
        <v>3</v>
      </c>
      <c r="L39">
        <v>14</v>
      </c>
      <c r="M39">
        <v>15</v>
      </c>
      <c r="N39">
        <v>7</v>
      </c>
      <c r="O39">
        <v>36</v>
      </c>
      <c r="P39">
        <v>3</v>
      </c>
      <c r="Q39">
        <v>3</v>
      </c>
      <c r="R39">
        <v>1</v>
      </c>
      <c r="S39">
        <v>2</v>
      </c>
      <c r="T39">
        <v>7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3</v>
      </c>
      <c r="AB39">
        <v>11</v>
      </c>
      <c r="AC39">
        <v>0</v>
      </c>
    </row>
    <row r="40" spans="1:29" x14ac:dyDescent="0.3">
      <c r="A40">
        <v>8595</v>
      </c>
      <c r="B40">
        <v>1973</v>
      </c>
      <c r="C40" t="s">
        <v>29</v>
      </c>
      <c r="D40" t="s">
        <v>38</v>
      </c>
      <c r="E40">
        <v>42429</v>
      </c>
      <c r="F40">
        <v>0</v>
      </c>
      <c r="G40">
        <v>1</v>
      </c>
      <c r="H40" s="1">
        <v>41681</v>
      </c>
      <c r="I40">
        <v>99</v>
      </c>
      <c r="J40">
        <v>55</v>
      </c>
      <c r="K40">
        <v>0</v>
      </c>
      <c r="L40">
        <v>6</v>
      </c>
      <c r="M40">
        <v>2</v>
      </c>
      <c r="N40">
        <v>0</v>
      </c>
      <c r="O40">
        <v>4</v>
      </c>
      <c r="P40">
        <v>2</v>
      </c>
      <c r="Q40">
        <v>1</v>
      </c>
      <c r="R40">
        <v>1</v>
      </c>
      <c r="S40">
        <v>3</v>
      </c>
      <c r="T40">
        <v>5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3</v>
      </c>
      <c r="AB40">
        <v>11</v>
      </c>
      <c r="AC40">
        <v>0</v>
      </c>
    </row>
    <row r="41" spans="1:29" x14ac:dyDescent="0.3">
      <c r="A41">
        <v>2968</v>
      </c>
      <c r="B41">
        <v>1943</v>
      </c>
      <c r="C41" t="s">
        <v>32</v>
      </c>
      <c r="D41" t="s">
        <v>35</v>
      </c>
      <c r="E41">
        <v>48948</v>
      </c>
      <c r="F41">
        <v>0</v>
      </c>
      <c r="G41">
        <v>0</v>
      </c>
      <c r="H41" s="1">
        <v>41306</v>
      </c>
      <c r="I41">
        <v>53</v>
      </c>
      <c r="J41">
        <v>437</v>
      </c>
      <c r="K41">
        <v>8</v>
      </c>
      <c r="L41">
        <v>206</v>
      </c>
      <c r="M41">
        <v>160</v>
      </c>
      <c r="N41">
        <v>49</v>
      </c>
      <c r="O41">
        <v>42</v>
      </c>
      <c r="P41">
        <v>2</v>
      </c>
      <c r="Q41">
        <v>7</v>
      </c>
      <c r="R41">
        <v>10</v>
      </c>
      <c r="S41">
        <v>5</v>
      </c>
      <c r="T41">
        <v>6</v>
      </c>
      <c r="U41">
        <v>1</v>
      </c>
      <c r="V41">
        <v>0</v>
      </c>
      <c r="W41">
        <v>0</v>
      </c>
      <c r="X41">
        <v>0</v>
      </c>
      <c r="Y41">
        <v>0</v>
      </c>
      <c r="Z41">
        <v>0</v>
      </c>
      <c r="AA41">
        <v>3</v>
      </c>
      <c r="AB41">
        <v>11</v>
      </c>
      <c r="AC41">
        <v>1</v>
      </c>
    </row>
    <row r="42" spans="1:29" x14ac:dyDescent="0.3">
      <c r="A42">
        <v>8601</v>
      </c>
      <c r="B42">
        <v>1980</v>
      </c>
      <c r="C42" t="s">
        <v>29</v>
      </c>
      <c r="D42" t="s">
        <v>33</v>
      </c>
      <c r="E42">
        <v>80011</v>
      </c>
      <c r="F42">
        <v>0</v>
      </c>
      <c r="G42">
        <v>1</v>
      </c>
      <c r="H42" s="1">
        <v>41393</v>
      </c>
      <c r="I42">
        <v>3</v>
      </c>
      <c r="J42">
        <v>421</v>
      </c>
      <c r="K42">
        <v>76</v>
      </c>
      <c r="L42">
        <v>536</v>
      </c>
      <c r="M42">
        <v>82</v>
      </c>
      <c r="N42">
        <v>178</v>
      </c>
      <c r="O42">
        <v>102</v>
      </c>
      <c r="P42">
        <v>2</v>
      </c>
      <c r="Q42">
        <v>8</v>
      </c>
      <c r="R42">
        <v>6</v>
      </c>
      <c r="S42">
        <v>5</v>
      </c>
      <c r="T42">
        <v>4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3</v>
      </c>
      <c r="AB42">
        <v>11</v>
      </c>
      <c r="AC42">
        <v>0</v>
      </c>
    </row>
    <row r="43" spans="1:29" x14ac:dyDescent="0.3">
      <c r="A43">
        <v>503</v>
      </c>
      <c r="B43">
        <v>1985</v>
      </c>
      <c r="C43" t="s">
        <v>34</v>
      </c>
      <c r="D43" t="s">
        <v>33</v>
      </c>
      <c r="E43">
        <v>20559</v>
      </c>
      <c r="F43">
        <v>1</v>
      </c>
      <c r="G43">
        <v>0</v>
      </c>
      <c r="H43" s="1">
        <v>41345</v>
      </c>
      <c r="I43">
        <v>88</v>
      </c>
      <c r="J43">
        <v>13</v>
      </c>
      <c r="K43">
        <v>1</v>
      </c>
      <c r="L43">
        <v>29</v>
      </c>
      <c r="M43">
        <v>3</v>
      </c>
      <c r="N43">
        <v>0</v>
      </c>
      <c r="O43">
        <v>7</v>
      </c>
      <c r="P43">
        <v>2</v>
      </c>
      <c r="Q43">
        <v>2</v>
      </c>
      <c r="R43">
        <v>0</v>
      </c>
      <c r="S43">
        <v>3</v>
      </c>
      <c r="T43">
        <v>8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3</v>
      </c>
      <c r="AB43">
        <v>11</v>
      </c>
      <c r="AC43">
        <v>0</v>
      </c>
    </row>
    <row r="44" spans="1:29" x14ac:dyDescent="0.3">
      <c r="A44">
        <v>8430</v>
      </c>
      <c r="B44">
        <v>1957</v>
      </c>
      <c r="C44" t="s">
        <v>29</v>
      </c>
      <c r="D44" t="s">
        <v>31</v>
      </c>
      <c r="E44">
        <v>21994</v>
      </c>
      <c r="F44">
        <v>0</v>
      </c>
      <c r="G44">
        <v>1</v>
      </c>
      <c r="H44" s="1">
        <v>41267</v>
      </c>
      <c r="I44">
        <v>4</v>
      </c>
      <c r="J44">
        <v>9</v>
      </c>
      <c r="K44">
        <v>0</v>
      </c>
      <c r="L44">
        <v>6</v>
      </c>
      <c r="M44">
        <v>3</v>
      </c>
      <c r="N44">
        <v>1</v>
      </c>
      <c r="O44">
        <v>3</v>
      </c>
      <c r="P44">
        <v>1</v>
      </c>
      <c r="Q44">
        <v>0</v>
      </c>
      <c r="R44">
        <v>0</v>
      </c>
      <c r="S44">
        <v>3</v>
      </c>
      <c r="T44">
        <v>5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3</v>
      </c>
      <c r="AB44">
        <v>11</v>
      </c>
      <c r="AC44">
        <v>0</v>
      </c>
    </row>
    <row r="45" spans="1:29" x14ac:dyDescent="0.3">
      <c r="A45">
        <v>7281</v>
      </c>
      <c r="B45">
        <v>1959</v>
      </c>
      <c r="C45" t="s">
        <v>32</v>
      </c>
      <c r="D45" t="s">
        <v>30</v>
      </c>
      <c r="F45">
        <v>0</v>
      </c>
      <c r="G45">
        <v>0</v>
      </c>
      <c r="H45" s="1">
        <v>41583</v>
      </c>
      <c r="I45">
        <v>80</v>
      </c>
      <c r="J45">
        <v>81</v>
      </c>
      <c r="K45">
        <v>11</v>
      </c>
      <c r="L45">
        <v>50</v>
      </c>
      <c r="M45">
        <v>3</v>
      </c>
      <c r="N45">
        <v>2</v>
      </c>
      <c r="O45">
        <v>39</v>
      </c>
      <c r="P45">
        <v>1</v>
      </c>
      <c r="Q45">
        <v>1</v>
      </c>
      <c r="R45">
        <v>3</v>
      </c>
      <c r="S45">
        <v>4</v>
      </c>
      <c r="T45">
        <v>2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3</v>
      </c>
      <c r="AB45">
        <v>11</v>
      </c>
      <c r="AC45">
        <v>0</v>
      </c>
    </row>
    <row r="46" spans="1:29" x14ac:dyDescent="0.3">
      <c r="A46">
        <v>2139</v>
      </c>
      <c r="B46">
        <v>1975</v>
      </c>
      <c r="C46" t="s">
        <v>34</v>
      </c>
      <c r="D46" t="s">
        <v>33</v>
      </c>
      <c r="E46">
        <v>7500</v>
      </c>
      <c r="F46">
        <v>1</v>
      </c>
      <c r="G46">
        <v>0</v>
      </c>
      <c r="H46" s="1">
        <v>41549</v>
      </c>
      <c r="I46">
        <v>19</v>
      </c>
      <c r="J46">
        <v>3</v>
      </c>
      <c r="K46">
        <v>1</v>
      </c>
      <c r="L46">
        <v>10</v>
      </c>
      <c r="M46">
        <v>3</v>
      </c>
      <c r="N46">
        <v>2</v>
      </c>
      <c r="O46">
        <v>12</v>
      </c>
      <c r="P46">
        <v>3</v>
      </c>
      <c r="Q46">
        <v>2</v>
      </c>
      <c r="R46">
        <v>0</v>
      </c>
      <c r="S46">
        <v>3</v>
      </c>
      <c r="T46">
        <v>5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3</v>
      </c>
      <c r="AB46">
        <v>11</v>
      </c>
      <c r="AC46">
        <v>0</v>
      </c>
    </row>
    <row r="47" spans="1:29" x14ac:dyDescent="0.3">
      <c r="A47">
        <v>1371</v>
      </c>
      <c r="B47">
        <v>1976</v>
      </c>
      <c r="C47" t="s">
        <v>29</v>
      </c>
      <c r="D47" t="s">
        <v>30</v>
      </c>
      <c r="E47">
        <v>79941</v>
      </c>
      <c r="F47">
        <v>0</v>
      </c>
      <c r="G47">
        <v>0</v>
      </c>
      <c r="H47" s="1">
        <v>41818</v>
      </c>
      <c r="I47">
        <v>72</v>
      </c>
      <c r="J47">
        <v>123</v>
      </c>
      <c r="K47">
        <v>164</v>
      </c>
      <c r="L47">
        <v>266</v>
      </c>
      <c r="M47">
        <v>227</v>
      </c>
      <c r="N47">
        <v>30</v>
      </c>
      <c r="O47">
        <v>174</v>
      </c>
      <c r="P47">
        <v>1</v>
      </c>
      <c r="Q47">
        <v>2</v>
      </c>
      <c r="R47">
        <v>4</v>
      </c>
      <c r="S47">
        <v>9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3</v>
      </c>
      <c r="AB47">
        <v>11</v>
      </c>
      <c r="AC47">
        <v>0</v>
      </c>
    </row>
    <row r="48" spans="1:29" x14ac:dyDescent="0.3">
      <c r="A48">
        <v>9909</v>
      </c>
      <c r="B48">
        <v>1996</v>
      </c>
      <c r="C48" t="s">
        <v>37</v>
      </c>
      <c r="D48" t="s">
        <v>33</v>
      </c>
      <c r="E48">
        <v>7500</v>
      </c>
      <c r="F48">
        <v>0</v>
      </c>
      <c r="G48">
        <v>0</v>
      </c>
      <c r="H48" s="1">
        <v>41222</v>
      </c>
      <c r="I48">
        <v>24</v>
      </c>
      <c r="J48">
        <v>3</v>
      </c>
      <c r="K48">
        <v>18</v>
      </c>
      <c r="L48">
        <v>14</v>
      </c>
      <c r="M48">
        <v>15</v>
      </c>
      <c r="N48">
        <v>22</v>
      </c>
      <c r="O48">
        <v>50</v>
      </c>
      <c r="P48">
        <v>3</v>
      </c>
      <c r="Q48">
        <v>3</v>
      </c>
      <c r="R48">
        <v>1</v>
      </c>
      <c r="S48">
        <v>3</v>
      </c>
      <c r="T48">
        <v>9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3</v>
      </c>
      <c r="AB48">
        <v>11</v>
      </c>
      <c r="AC48">
        <v>1</v>
      </c>
    </row>
    <row r="49" spans="1:29" x14ac:dyDescent="0.3">
      <c r="A49">
        <v>7286</v>
      </c>
      <c r="B49">
        <v>1968</v>
      </c>
      <c r="C49" t="s">
        <v>29</v>
      </c>
      <c r="D49" t="s">
        <v>31</v>
      </c>
      <c r="E49">
        <v>41728</v>
      </c>
      <c r="F49">
        <v>1</v>
      </c>
      <c r="G49">
        <v>0</v>
      </c>
      <c r="H49" s="1">
        <v>41418</v>
      </c>
      <c r="I49">
        <v>92</v>
      </c>
      <c r="J49">
        <v>13</v>
      </c>
      <c r="K49">
        <v>6</v>
      </c>
      <c r="L49">
        <v>15</v>
      </c>
      <c r="M49">
        <v>3</v>
      </c>
      <c r="N49">
        <v>5</v>
      </c>
      <c r="O49">
        <v>13</v>
      </c>
      <c r="P49">
        <v>1</v>
      </c>
      <c r="Q49">
        <v>2</v>
      </c>
      <c r="R49">
        <v>0</v>
      </c>
      <c r="S49">
        <v>2</v>
      </c>
      <c r="T49">
        <v>10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3</v>
      </c>
      <c r="AB49">
        <v>11</v>
      </c>
      <c r="AC49">
        <v>0</v>
      </c>
    </row>
    <row r="50" spans="1:29" x14ac:dyDescent="0.3">
      <c r="A50">
        <v>7244</v>
      </c>
      <c r="B50">
        <v>1951</v>
      </c>
      <c r="C50" t="s">
        <v>29</v>
      </c>
      <c r="D50" t="s">
        <v>30</v>
      </c>
      <c r="F50">
        <v>2</v>
      </c>
      <c r="G50">
        <v>1</v>
      </c>
      <c r="H50" s="1">
        <v>41640</v>
      </c>
      <c r="I50">
        <v>96</v>
      </c>
      <c r="J50">
        <v>48</v>
      </c>
      <c r="K50">
        <v>5</v>
      </c>
      <c r="L50">
        <v>48</v>
      </c>
      <c r="M50">
        <v>6</v>
      </c>
      <c r="N50">
        <v>10</v>
      </c>
      <c r="O50">
        <v>7</v>
      </c>
      <c r="P50">
        <v>3</v>
      </c>
      <c r="Q50">
        <v>2</v>
      </c>
      <c r="R50">
        <v>1</v>
      </c>
      <c r="S50">
        <v>4</v>
      </c>
      <c r="T50">
        <v>6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3</v>
      </c>
      <c r="AB50">
        <v>11</v>
      </c>
      <c r="AC50">
        <v>0</v>
      </c>
    </row>
    <row r="51" spans="1:29" x14ac:dyDescent="0.3">
      <c r="A51">
        <v>6566</v>
      </c>
      <c r="B51">
        <v>1954</v>
      </c>
      <c r="C51" t="s">
        <v>32</v>
      </c>
      <c r="D51" t="s">
        <v>33</v>
      </c>
      <c r="E51">
        <v>72550</v>
      </c>
      <c r="F51">
        <v>1</v>
      </c>
      <c r="G51">
        <v>1</v>
      </c>
      <c r="H51" s="1">
        <v>41221</v>
      </c>
      <c r="I51">
        <v>39</v>
      </c>
      <c r="J51">
        <v>826</v>
      </c>
      <c r="K51">
        <v>50</v>
      </c>
      <c r="L51">
        <v>317</v>
      </c>
      <c r="M51">
        <v>50</v>
      </c>
      <c r="N51">
        <v>38</v>
      </c>
      <c r="O51">
        <v>38</v>
      </c>
      <c r="P51">
        <v>9</v>
      </c>
      <c r="Q51">
        <v>5</v>
      </c>
      <c r="R51">
        <v>2</v>
      </c>
      <c r="S51">
        <v>12</v>
      </c>
      <c r="T51">
        <v>8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3</v>
      </c>
      <c r="AB51">
        <v>11</v>
      </c>
      <c r="AC51">
        <v>0</v>
      </c>
    </row>
    <row r="52" spans="1:29" x14ac:dyDescent="0.3">
      <c r="A52">
        <v>8614</v>
      </c>
      <c r="B52">
        <v>1957</v>
      </c>
      <c r="C52" t="s">
        <v>29</v>
      </c>
      <c r="D52" t="s">
        <v>38</v>
      </c>
      <c r="E52">
        <v>65486</v>
      </c>
      <c r="F52">
        <v>0</v>
      </c>
      <c r="G52">
        <v>1</v>
      </c>
      <c r="H52" s="1">
        <v>41771</v>
      </c>
      <c r="I52">
        <v>29</v>
      </c>
      <c r="J52">
        <v>245</v>
      </c>
      <c r="K52">
        <v>19</v>
      </c>
      <c r="L52">
        <v>125</v>
      </c>
      <c r="M52">
        <v>37</v>
      </c>
      <c r="N52">
        <v>67</v>
      </c>
      <c r="O52">
        <v>14</v>
      </c>
      <c r="P52">
        <v>1</v>
      </c>
      <c r="Q52">
        <v>4</v>
      </c>
      <c r="R52">
        <v>2</v>
      </c>
      <c r="S52">
        <v>10</v>
      </c>
      <c r="T52">
        <v>2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3</v>
      </c>
      <c r="AB52">
        <v>11</v>
      </c>
      <c r="AC52">
        <v>0</v>
      </c>
    </row>
    <row r="53" spans="1:29" x14ac:dyDescent="0.3">
      <c r="A53">
        <v>4114</v>
      </c>
      <c r="B53">
        <v>1964</v>
      </c>
      <c r="C53" t="s">
        <v>34</v>
      </c>
      <c r="D53" t="s">
        <v>33</v>
      </c>
      <c r="E53">
        <v>79143</v>
      </c>
      <c r="F53">
        <v>0</v>
      </c>
      <c r="G53">
        <v>0</v>
      </c>
      <c r="H53" s="1">
        <v>41132</v>
      </c>
      <c r="I53">
        <v>2</v>
      </c>
      <c r="J53">
        <v>650</v>
      </c>
      <c r="K53">
        <v>37</v>
      </c>
      <c r="L53">
        <v>780</v>
      </c>
      <c r="M53">
        <v>27</v>
      </c>
      <c r="N53">
        <v>167</v>
      </c>
      <c r="O53">
        <v>32</v>
      </c>
      <c r="P53">
        <v>1</v>
      </c>
      <c r="Q53">
        <v>6</v>
      </c>
      <c r="R53">
        <v>9</v>
      </c>
      <c r="S53">
        <v>13</v>
      </c>
      <c r="T53">
        <v>3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3</v>
      </c>
      <c r="AB53">
        <v>11</v>
      </c>
      <c r="AC53">
        <v>0</v>
      </c>
    </row>
    <row r="54" spans="1:29" x14ac:dyDescent="0.3">
      <c r="A54">
        <v>1331</v>
      </c>
      <c r="B54">
        <v>1977</v>
      </c>
      <c r="C54" t="s">
        <v>29</v>
      </c>
      <c r="D54" t="s">
        <v>30</v>
      </c>
      <c r="E54">
        <v>35790</v>
      </c>
      <c r="F54">
        <v>1</v>
      </c>
      <c r="G54">
        <v>0</v>
      </c>
      <c r="H54" s="1">
        <v>41276</v>
      </c>
      <c r="I54">
        <v>54</v>
      </c>
      <c r="J54">
        <v>12</v>
      </c>
      <c r="K54">
        <v>6</v>
      </c>
      <c r="L54">
        <v>20</v>
      </c>
      <c r="M54">
        <v>30</v>
      </c>
      <c r="N54">
        <v>1</v>
      </c>
      <c r="O54">
        <v>3</v>
      </c>
      <c r="P54">
        <v>2</v>
      </c>
      <c r="Q54">
        <v>2</v>
      </c>
      <c r="R54">
        <v>0</v>
      </c>
      <c r="S54">
        <v>3</v>
      </c>
      <c r="T54">
        <v>7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3</v>
      </c>
      <c r="AB54">
        <v>11</v>
      </c>
      <c r="AC54">
        <v>0</v>
      </c>
    </row>
    <row r="55" spans="1:29" x14ac:dyDescent="0.3">
      <c r="A55">
        <v>2225</v>
      </c>
      <c r="B55">
        <v>1977</v>
      </c>
      <c r="C55" t="s">
        <v>29</v>
      </c>
      <c r="D55" t="s">
        <v>35</v>
      </c>
      <c r="E55">
        <v>82582</v>
      </c>
      <c r="F55">
        <v>0</v>
      </c>
      <c r="G55">
        <v>0</v>
      </c>
      <c r="H55" s="1">
        <v>41797</v>
      </c>
      <c r="I55">
        <v>54</v>
      </c>
      <c r="J55">
        <v>510</v>
      </c>
      <c r="K55">
        <v>120</v>
      </c>
      <c r="L55">
        <v>550</v>
      </c>
      <c r="M55">
        <v>156</v>
      </c>
      <c r="N55">
        <v>40</v>
      </c>
      <c r="O55">
        <v>241</v>
      </c>
      <c r="P55">
        <v>1</v>
      </c>
      <c r="Q55">
        <v>4</v>
      </c>
      <c r="R55">
        <v>9</v>
      </c>
      <c r="S55">
        <v>7</v>
      </c>
      <c r="T55">
        <v>1</v>
      </c>
      <c r="U55">
        <v>1</v>
      </c>
      <c r="V55">
        <v>0</v>
      </c>
      <c r="W55">
        <v>0</v>
      </c>
      <c r="X55">
        <v>1</v>
      </c>
      <c r="Y55">
        <v>0</v>
      </c>
      <c r="Z55">
        <v>0</v>
      </c>
      <c r="AA55">
        <v>3</v>
      </c>
      <c r="AB55">
        <v>11</v>
      </c>
      <c r="AC55">
        <v>1</v>
      </c>
    </row>
    <row r="56" spans="1:29" x14ac:dyDescent="0.3">
      <c r="A56">
        <v>9381</v>
      </c>
      <c r="B56">
        <v>1978</v>
      </c>
      <c r="C56" t="s">
        <v>29</v>
      </c>
      <c r="D56" t="s">
        <v>33</v>
      </c>
      <c r="E56">
        <v>66373</v>
      </c>
      <c r="F56">
        <v>1</v>
      </c>
      <c r="G56">
        <v>1</v>
      </c>
      <c r="H56" s="1">
        <v>41437</v>
      </c>
      <c r="I56">
        <v>57</v>
      </c>
      <c r="J56">
        <v>328</v>
      </c>
      <c r="K56">
        <v>9</v>
      </c>
      <c r="L56">
        <v>124</v>
      </c>
      <c r="M56">
        <v>12</v>
      </c>
      <c r="N56">
        <v>24</v>
      </c>
      <c r="O56">
        <v>109</v>
      </c>
      <c r="P56">
        <v>7</v>
      </c>
      <c r="Q56">
        <v>4</v>
      </c>
      <c r="R56">
        <v>2</v>
      </c>
      <c r="S56">
        <v>10</v>
      </c>
      <c r="T56">
        <v>3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3</v>
      </c>
      <c r="AB56">
        <v>11</v>
      </c>
      <c r="AC56">
        <v>0</v>
      </c>
    </row>
    <row r="57" spans="1:29" x14ac:dyDescent="0.3">
      <c r="A57">
        <v>6260</v>
      </c>
      <c r="B57">
        <v>1955</v>
      </c>
      <c r="C57" t="s">
        <v>34</v>
      </c>
      <c r="D57" t="s">
        <v>31</v>
      </c>
      <c r="E57">
        <v>82384</v>
      </c>
      <c r="F57">
        <v>0</v>
      </c>
      <c r="G57">
        <v>0</v>
      </c>
      <c r="H57" s="1">
        <v>41232</v>
      </c>
      <c r="I57">
        <v>55</v>
      </c>
      <c r="J57">
        <v>984</v>
      </c>
      <c r="K57">
        <v>51</v>
      </c>
      <c r="L57">
        <v>432</v>
      </c>
      <c r="M57">
        <v>180</v>
      </c>
      <c r="N57">
        <v>120</v>
      </c>
      <c r="O57">
        <v>190</v>
      </c>
      <c r="P57">
        <v>1</v>
      </c>
      <c r="Q57">
        <v>3</v>
      </c>
      <c r="R57">
        <v>10</v>
      </c>
      <c r="S57">
        <v>13</v>
      </c>
      <c r="T57">
        <v>1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3</v>
      </c>
      <c r="AB57">
        <v>11</v>
      </c>
      <c r="AC57">
        <v>1</v>
      </c>
    </row>
    <row r="58" spans="1:29" x14ac:dyDescent="0.3">
      <c r="A58">
        <v>10383</v>
      </c>
      <c r="B58">
        <v>1966</v>
      </c>
      <c r="C58" t="s">
        <v>29</v>
      </c>
      <c r="D58" t="s">
        <v>35</v>
      </c>
      <c r="E58">
        <v>70287</v>
      </c>
      <c r="F58">
        <v>0</v>
      </c>
      <c r="G58">
        <v>0</v>
      </c>
      <c r="H58" s="1">
        <v>41366</v>
      </c>
      <c r="I58">
        <v>30</v>
      </c>
      <c r="J58">
        <v>295</v>
      </c>
      <c r="K58">
        <v>35</v>
      </c>
      <c r="L58">
        <v>482</v>
      </c>
      <c r="M58">
        <v>121</v>
      </c>
      <c r="N58">
        <v>120</v>
      </c>
      <c r="O58">
        <v>40</v>
      </c>
      <c r="P58">
        <v>1</v>
      </c>
      <c r="Q58">
        <v>5</v>
      </c>
      <c r="R58">
        <v>5</v>
      </c>
      <c r="S58">
        <v>10</v>
      </c>
      <c r="T58">
        <v>3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3</v>
      </c>
      <c r="AB58">
        <v>11</v>
      </c>
      <c r="AC58">
        <v>1</v>
      </c>
    </row>
    <row r="59" spans="1:29" x14ac:dyDescent="0.3">
      <c r="A59">
        <v>7437</v>
      </c>
      <c r="B59">
        <v>1988</v>
      </c>
      <c r="C59" t="s">
        <v>29</v>
      </c>
      <c r="D59" t="s">
        <v>30</v>
      </c>
      <c r="E59">
        <v>27938</v>
      </c>
      <c r="F59">
        <v>1</v>
      </c>
      <c r="G59">
        <v>0</v>
      </c>
      <c r="H59" s="1">
        <v>41757</v>
      </c>
      <c r="I59">
        <v>31</v>
      </c>
      <c r="J59">
        <v>13</v>
      </c>
      <c r="K59">
        <v>0</v>
      </c>
      <c r="L59">
        <v>8</v>
      </c>
      <c r="M59">
        <v>2</v>
      </c>
      <c r="N59">
        <v>1</v>
      </c>
      <c r="O59">
        <v>5</v>
      </c>
      <c r="P59">
        <v>1</v>
      </c>
      <c r="Q59">
        <v>1</v>
      </c>
      <c r="R59">
        <v>0</v>
      </c>
      <c r="S59">
        <v>4</v>
      </c>
      <c r="T59">
        <v>3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3</v>
      </c>
      <c r="AB59">
        <v>11</v>
      </c>
      <c r="AC59">
        <v>0</v>
      </c>
    </row>
    <row r="60" spans="1:29" x14ac:dyDescent="0.3">
      <c r="A60">
        <v>8557</v>
      </c>
      <c r="B60">
        <v>1982</v>
      </c>
      <c r="C60" t="s">
        <v>29</v>
      </c>
      <c r="D60" t="s">
        <v>30</v>
      </c>
      <c r="F60">
        <v>1</v>
      </c>
      <c r="G60">
        <v>0</v>
      </c>
      <c r="H60" s="1">
        <v>41442</v>
      </c>
      <c r="I60">
        <v>57</v>
      </c>
      <c r="J60">
        <v>11</v>
      </c>
      <c r="K60">
        <v>3</v>
      </c>
      <c r="L60">
        <v>22</v>
      </c>
      <c r="M60">
        <v>2</v>
      </c>
      <c r="N60">
        <v>2</v>
      </c>
      <c r="O60">
        <v>6</v>
      </c>
      <c r="P60">
        <v>2</v>
      </c>
      <c r="Q60">
        <v>2</v>
      </c>
      <c r="R60">
        <v>0</v>
      </c>
      <c r="S60">
        <v>3</v>
      </c>
      <c r="T60">
        <v>6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3</v>
      </c>
      <c r="AB60">
        <v>11</v>
      </c>
      <c r="AC60">
        <v>0</v>
      </c>
    </row>
    <row r="61" spans="1:29" x14ac:dyDescent="0.3">
      <c r="A61">
        <v>8375</v>
      </c>
      <c r="B61">
        <v>1968</v>
      </c>
      <c r="C61" t="s">
        <v>32</v>
      </c>
      <c r="D61" t="s">
        <v>33</v>
      </c>
      <c r="E61">
        <v>55954</v>
      </c>
      <c r="F61">
        <v>0</v>
      </c>
      <c r="G61">
        <v>1</v>
      </c>
      <c r="H61" s="1">
        <v>41701</v>
      </c>
      <c r="I61">
        <v>63</v>
      </c>
      <c r="J61">
        <v>447</v>
      </c>
      <c r="K61">
        <v>0</v>
      </c>
      <c r="L61">
        <v>28</v>
      </c>
      <c r="M61">
        <v>0</v>
      </c>
      <c r="N61">
        <v>0</v>
      </c>
      <c r="O61">
        <v>43</v>
      </c>
      <c r="P61">
        <v>3</v>
      </c>
      <c r="Q61">
        <v>8</v>
      </c>
      <c r="R61">
        <v>2</v>
      </c>
      <c r="S61">
        <v>6</v>
      </c>
      <c r="T61">
        <v>7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3</v>
      </c>
      <c r="AB61">
        <v>11</v>
      </c>
      <c r="AC61">
        <v>0</v>
      </c>
    </row>
    <row r="62" spans="1:29" x14ac:dyDescent="0.3">
      <c r="A62">
        <v>6853</v>
      </c>
      <c r="B62">
        <v>1982</v>
      </c>
      <c r="C62" t="s">
        <v>34</v>
      </c>
      <c r="D62" t="s">
        <v>30</v>
      </c>
      <c r="E62">
        <v>75777</v>
      </c>
      <c r="F62">
        <v>0</v>
      </c>
      <c r="G62">
        <v>0</v>
      </c>
      <c r="H62" s="1">
        <v>41459</v>
      </c>
      <c r="I62">
        <v>12</v>
      </c>
      <c r="J62">
        <v>712</v>
      </c>
      <c r="K62">
        <v>26</v>
      </c>
      <c r="L62">
        <v>538</v>
      </c>
      <c r="M62">
        <v>69</v>
      </c>
      <c r="N62">
        <v>13</v>
      </c>
      <c r="O62">
        <v>80</v>
      </c>
      <c r="P62">
        <v>1</v>
      </c>
      <c r="Q62">
        <v>3</v>
      </c>
      <c r="R62">
        <v>6</v>
      </c>
      <c r="S62">
        <v>11</v>
      </c>
      <c r="T62">
        <v>1</v>
      </c>
      <c r="U62">
        <v>0</v>
      </c>
      <c r="V62">
        <v>1</v>
      </c>
      <c r="W62">
        <v>1</v>
      </c>
      <c r="X62">
        <v>0</v>
      </c>
      <c r="Y62">
        <v>0</v>
      </c>
      <c r="Z62">
        <v>0</v>
      </c>
      <c r="AA62">
        <v>3</v>
      </c>
      <c r="AB62">
        <v>11</v>
      </c>
      <c r="AC62">
        <v>1</v>
      </c>
    </row>
    <row r="63" spans="1:29" x14ac:dyDescent="0.3">
      <c r="A63">
        <v>3076</v>
      </c>
      <c r="B63">
        <v>1975</v>
      </c>
      <c r="C63" t="s">
        <v>29</v>
      </c>
      <c r="D63" t="s">
        <v>31</v>
      </c>
      <c r="E63">
        <v>66653</v>
      </c>
      <c r="F63">
        <v>1</v>
      </c>
      <c r="G63">
        <v>1</v>
      </c>
      <c r="H63" s="1">
        <v>41159</v>
      </c>
      <c r="I63">
        <v>18</v>
      </c>
      <c r="J63">
        <v>452</v>
      </c>
      <c r="K63">
        <v>18</v>
      </c>
      <c r="L63">
        <v>102</v>
      </c>
      <c r="M63">
        <v>16</v>
      </c>
      <c r="N63">
        <v>18</v>
      </c>
      <c r="O63">
        <v>6</v>
      </c>
      <c r="P63">
        <v>4</v>
      </c>
      <c r="Q63">
        <v>4</v>
      </c>
      <c r="R63">
        <v>2</v>
      </c>
      <c r="S63">
        <v>12</v>
      </c>
      <c r="T63">
        <v>3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3</v>
      </c>
      <c r="AB63">
        <v>11</v>
      </c>
      <c r="AC63">
        <v>0</v>
      </c>
    </row>
    <row r="64" spans="1:29" x14ac:dyDescent="0.3">
      <c r="A64">
        <v>1012</v>
      </c>
      <c r="B64">
        <v>1952</v>
      </c>
      <c r="C64" t="s">
        <v>29</v>
      </c>
      <c r="D64" t="s">
        <v>30</v>
      </c>
      <c r="E64">
        <v>61823</v>
      </c>
      <c r="F64">
        <v>0</v>
      </c>
      <c r="G64">
        <v>1</v>
      </c>
      <c r="H64" s="1">
        <v>41323</v>
      </c>
      <c r="I64">
        <v>26</v>
      </c>
      <c r="J64">
        <v>523</v>
      </c>
      <c r="K64">
        <v>7</v>
      </c>
      <c r="L64">
        <v>134</v>
      </c>
      <c r="M64">
        <v>37</v>
      </c>
      <c r="N64">
        <v>14</v>
      </c>
      <c r="O64">
        <v>169</v>
      </c>
      <c r="P64">
        <v>4</v>
      </c>
      <c r="Q64">
        <v>8</v>
      </c>
      <c r="R64">
        <v>2</v>
      </c>
      <c r="S64">
        <v>10</v>
      </c>
      <c r="T64">
        <v>7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3</v>
      </c>
      <c r="AB64">
        <v>11</v>
      </c>
      <c r="AC64">
        <v>0</v>
      </c>
    </row>
    <row r="65" spans="1:29" x14ac:dyDescent="0.3">
      <c r="A65">
        <v>6518</v>
      </c>
      <c r="B65">
        <v>1951</v>
      </c>
      <c r="C65" t="s">
        <v>32</v>
      </c>
      <c r="D65" t="s">
        <v>38</v>
      </c>
      <c r="E65">
        <v>67680</v>
      </c>
      <c r="F65">
        <v>0</v>
      </c>
      <c r="G65">
        <v>1</v>
      </c>
      <c r="H65" s="1">
        <v>41436</v>
      </c>
      <c r="I65">
        <v>8</v>
      </c>
      <c r="J65">
        <v>546</v>
      </c>
      <c r="K65">
        <v>0</v>
      </c>
      <c r="L65">
        <v>48</v>
      </c>
      <c r="M65">
        <v>0</v>
      </c>
      <c r="N65">
        <v>6</v>
      </c>
      <c r="O65">
        <v>6</v>
      </c>
      <c r="P65">
        <v>1</v>
      </c>
      <c r="Q65">
        <v>7</v>
      </c>
      <c r="R65">
        <v>3</v>
      </c>
      <c r="S65">
        <v>8</v>
      </c>
      <c r="T65">
        <v>5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3</v>
      </c>
      <c r="AB65">
        <v>11</v>
      </c>
      <c r="AC65">
        <v>0</v>
      </c>
    </row>
    <row r="66" spans="1:29" x14ac:dyDescent="0.3">
      <c r="A66">
        <v>4137</v>
      </c>
      <c r="B66">
        <v>1948</v>
      </c>
      <c r="C66" t="s">
        <v>29</v>
      </c>
      <c r="D66" t="s">
        <v>31</v>
      </c>
      <c r="E66">
        <v>70666</v>
      </c>
      <c r="F66">
        <v>0</v>
      </c>
      <c r="G66">
        <v>0</v>
      </c>
      <c r="H66" s="1">
        <v>41614</v>
      </c>
      <c r="I66">
        <v>29</v>
      </c>
      <c r="J66">
        <v>398</v>
      </c>
      <c r="K66">
        <v>40</v>
      </c>
      <c r="L66">
        <v>367</v>
      </c>
      <c r="M66">
        <v>119</v>
      </c>
      <c r="N66">
        <v>122</v>
      </c>
      <c r="O66">
        <v>30</v>
      </c>
      <c r="P66">
        <v>1</v>
      </c>
      <c r="Q66">
        <v>7</v>
      </c>
      <c r="R66">
        <v>4</v>
      </c>
      <c r="S66">
        <v>4</v>
      </c>
      <c r="T66">
        <v>4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3</v>
      </c>
      <c r="AB66">
        <v>11</v>
      </c>
      <c r="AC66">
        <v>0</v>
      </c>
    </row>
    <row r="67" spans="1:29" x14ac:dyDescent="0.3">
      <c r="A67">
        <v>8082</v>
      </c>
      <c r="B67">
        <v>1971</v>
      </c>
      <c r="C67" t="s">
        <v>29</v>
      </c>
      <c r="D67" t="s">
        <v>33</v>
      </c>
      <c r="E67">
        <v>25721</v>
      </c>
      <c r="F67">
        <v>1</v>
      </c>
      <c r="G67">
        <v>0</v>
      </c>
      <c r="H67" s="1">
        <v>41415</v>
      </c>
      <c r="I67">
        <v>75</v>
      </c>
      <c r="J67">
        <v>1</v>
      </c>
      <c r="K67">
        <v>3</v>
      </c>
      <c r="L67">
        <v>6</v>
      </c>
      <c r="M67">
        <v>3</v>
      </c>
      <c r="N67">
        <v>6</v>
      </c>
      <c r="O67">
        <v>15</v>
      </c>
      <c r="P67">
        <v>1</v>
      </c>
      <c r="Q67">
        <v>1</v>
      </c>
      <c r="R67">
        <v>1</v>
      </c>
      <c r="S67">
        <v>2</v>
      </c>
      <c r="T67">
        <v>7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3</v>
      </c>
      <c r="AB67">
        <v>11</v>
      </c>
      <c r="AC67">
        <v>1</v>
      </c>
    </row>
    <row r="68" spans="1:29" x14ac:dyDescent="0.3">
      <c r="A68">
        <v>1386</v>
      </c>
      <c r="B68">
        <v>1967</v>
      </c>
      <c r="C68" t="s">
        <v>29</v>
      </c>
      <c r="D68" t="s">
        <v>31</v>
      </c>
      <c r="E68">
        <v>32474</v>
      </c>
      <c r="F68">
        <v>1</v>
      </c>
      <c r="G68">
        <v>1</v>
      </c>
      <c r="H68" s="1">
        <v>41770</v>
      </c>
      <c r="I68">
        <v>0</v>
      </c>
      <c r="J68">
        <v>10</v>
      </c>
      <c r="K68">
        <v>0</v>
      </c>
      <c r="L68">
        <v>1</v>
      </c>
      <c r="M68">
        <v>0</v>
      </c>
      <c r="N68">
        <v>0</v>
      </c>
      <c r="O68">
        <v>0</v>
      </c>
      <c r="P68">
        <v>1</v>
      </c>
      <c r="Q68">
        <v>1</v>
      </c>
      <c r="R68">
        <v>0</v>
      </c>
      <c r="S68">
        <v>2</v>
      </c>
      <c r="T68">
        <v>7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3</v>
      </c>
      <c r="AB68">
        <v>11</v>
      </c>
      <c r="AC68">
        <v>0</v>
      </c>
    </row>
    <row r="69" spans="1:29" x14ac:dyDescent="0.3">
      <c r="A69">
        <v>9369</v>
      </c>
      <c r="B69">
        <v>1979</v>
      </c>
      <c r="C69" t="s">
        <v>37</v>
      </c>
      <c r="D69" t="s">
        <v>30</v>
      </c>
      <c r="E69">
        <v>88194</v>
      </c>
      <c r="F69">
        <v>0</v>
      </c>
      <c r="G69">
        <v>1</v>
      </c>
      <c r="H69" s="1">
        <v>41717</v>
      </c>
      <c r="I69">
        <v>19</v>
      </c>
      <c r="J69">
        <v>688</v>
      </c>
      <c r="K69">
        <v>14</v>
      </c>
      <c r="L69">
        <v>309</v>
      </c>
      <c r="M69">
        <v>201</v>
      </c>
      <c r="N69">
        <v>24</v>
      </c>
      <c r="O69">
        <v>38</v>
      </c>
      <c r="P69">
        <v>1</v>
      </c>
      <c r="Q69">
        <v>11</v>
      </c>
      <c r="R69">
        <v>10</v>
      </c>
      <c r="S69">
        <v>10</v>
      </c>
      <c r="T69">
        <v>5</v>
      </c>
      <c r="U69">
        <v>1</v>
      </c>
      <c r="V69">
        <v>0</v>
      </c>
      <c r="W69">
        <v>0</v>
      </c>
      <c r="X69">
        <v>1</v>
      </c>
      <c r="Y69">
        <v>0</v>
      </c>
      <c r="Z69">
        <v>0</v>
      </c>
      <c r="AA69">
        <v>3</v>
      </c>
      <c r="AB69">
        <v>11</v>
      </c>
      <c r="AC69">
        <v>1</v>
      </c>
    </row>
    <row r="70" spans="1:29" x14ac:dyDescent="0.3">
      <c r="A70">
        <v>4477</v>
      </c>
      <c r="B70">
        <v>1958</v>
      </c>
      <c r="C70" t="s">
        <v>29</v>
      </c>
      <c r="D70" t="s">
        <v>31</v>
      </c>
      <c r="E70">
        <v>69096</v>
      </c>
      <c r="F70">
        <v>0</v>
      </c>
      <c r="G70">
        <v>1</v>
      </c>
      <c r="H70" s="1">
        <v>41544</v>
      </c>
      <c r="I70">
        <v>4</v>
      </c>
      <c r="J70">
        <v>247</v>
      </c>
      <c r="K70">
        <v>49</v>
      </c>
      <c r="L70">
        <v>159</v>
      </c>
      <c r="M70">
        <v>7</v>
      </c>
      <c r="N70">
        <v>82</v>
      </c>
      <c r="O70">
        <v>109</v>
      </c>
      <c r="P70">
        <v>1</v>
      </c>
      <c r="Q70">
        <v>5</v>
      </c>
      <c r="R70">
        <v>2</v>
      </c>
      <c r="S70">
        <v>10</v>
      </c>
      <c r="T70">
        <v>4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3</v>
      </c>
      <c r="AB70">
        <v>11</v>
      </c>
      <c r="AC70">
        <v>0</v>
      </c>
    </row>
    <row r="71" spans="1:29" x14ac:dyDescent="0.3">
      <c r="A71">
        <v>1357</v>
      </c>
      <c r="B71">
        <v>1970</v>
      </c>
      <c r="C71" t="s">
        <v>29</v>
      </c>
      <c r="D71" t="s">
        <v>31</v>
      </c>
      <c r="E71">
        <v>74854</v>
      </c>
      <c r="F71">
        <v>1</v>
      </c>
      <c r="G71">
        <v>2</v>
      </c>
      <c r="H71" s="1">
        <v>41372</v>
      </c>
      <c r="I71">
        <v>90</v>
      </c>
      <c r="J71">
        <v>856</v>
      </c>
      <c r="K71">
        <v>59</v>
      </c>
      <c r="L71">
        <v>487</v>
      </c>
      <c r="M71">
        <v>58</v>
      </c>
      <c r="N71">
        <v>29</v>
      </c>
      <c r="O71">
        <v>73</v>
      </c>
      <c r="P71">
        <v>7</v>
      </c>
      <c r="Q71">
        <v>2</v>
      </c>
      <c r="R71">
        <v>5</v>
      </c>
      <c r="S71">
        <v>5</v>
      </c>
      <c r="T71">
        <v>5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3</v>
      </c>
      <c r="AB71">
        <v>11</v>
      </c>
      <c r="AC71">
        <v>0</v>
      </c>
    </row>
    <row r="72" spans="1:29" x14ac:dyDescent="0.3">
      <c r="A72">
        <v>1402</v>
      </c>
      <c r="B72">
        <v>1954</v>
      </c>
      <c r="C72" t="s">
        <v>34</v>
      </c>
      <c r="D72" t="s">
        <v>33</v>
      </c>
      <c r="E72">
        <v>66991</v>
      </c>
      <c r="F72">
        <v>0</v>
      </c>
      <c r="G72">
        <v>0</v>
      </c>
      <c r="H72" s="1">
        <v>41163</v>
      </c>
      <c r="I72">
        <v>1</v>
      </c>
      <c r="J72">
        <v>496</v>
      </c>
      <c r="K72">
        <v>36</v>
      </c>
      <c r="L72">
        <v>460</v>
      </c>
      <c r="M72">
        <v>189</v>
      </c>
      <c r="N72">
        <v>60</v>
      </c>
      <c r="O72">
        <v>12</v>
      </c>
      <c r="P72">
        <v>3</v>
      </c>
      <c r="Q72">
        <v>4</v>
      </c>
      <c r="R72">
        <v>8</v>
      </c>
      <c r="S72">
        <v>6</v>
      </c>
      <c r="T72">
        <v>3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3</v>
      </c>
      <c r="AB72">
        <v>11</v>
      </c>
      <c r="AC72">
        <v>0</v>
      </c>
    </row>
    <row r="73" spans="1:29" x14ac:dyDescent="0.3">
      <c r="A73">
        <v>10629</v>
      </c>
      <c r="B73">
        <v>1973</v>
      </c>
      <c r="C73" t="s">
        <v>37</v>
      </c>
      <c r="D73" t="s">
        <v>33</v>
      </c>
      <c r="F73">
        <v>1</v>
      </c>
      <c r="G73">
        <v>0</v>
      </c>
      <c r="H73" s="1">
        <v>41166</v>
      </c>
      <c r="I73">
        <v>25</v>
      </c>
      <c r="J73">
        <v>25</v>
      </c>
      <c r="K73">
        <v>3</v>
      </c>
      <c r="L73">
        <v>43</v>
      </c>
      <c r="M73">
        <v>17</v>
      </c>
      <c r="N73">
        <v>4</v>
      </c>
      <c r="O73">
        <v>17</v>
      </c>
      <c r="P73">
        <v>3</v>
      </c>
      <c r="Q73">
        <v>3</v>
      </c>
      <c r="R73">
        <v>0</v>
      </c>
      <c r="S73">
        <v>3</v>
      </c>
      <c r="T73">
        <v>8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3</v>
      </c>
      <c r="AB73">
        <v>11</v>
      </c>
      <c r="AC73">
        <v>0</v>
      </c>
    </row>
    <row r="74" spans="1:29" x14ac:dyDescent="0.3">
      <c r="A74">
        <v>6312</v>
      </c>
      <c r="B74">
        <v>1959</v>
      </c>
      <c r="C74" t="s">
        <v>29</v>
      </c>
      <c r="D74" t="s">
        <v>33</v>
      </c>
      <c r="E74">
        <v>65031</v>
      </c>
      <c r="F74">
        <v>0</v>
      </c>
      <c r="G74">
        <v>1</v>
      </c>
      <c r="H74" s="1">
        <v>41350</v>
      </c>
      <c r="I74">
        <v>29</v>
      </c>
      <c r="J74">
        <v>258</v>
      </c>
      <c r="K74">
        <v>107</v>
      </c>
      <c r="L74">
        <v>291</v>
      </c>
      <c r="M74">
        <v>84</v>
      </c>
      <c r="N74">
        <v>37</v>
      </c>
      <c r="O74">
        <v>86</v>
      </c>
      <c r="P74">
        <v>4</v>
      </c>
      <c r="Q74">
        <v>10</v>
      </c>
      <c r="R74">
        <v>3</v>
      </c>
      <c r="S74">
        <v>13</v>
      </c>
      <c r="T74">
        <v>7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3</v>
      </c>
      <c r="AB74">
        <v>11</v>
      </c>
      <c r="AC74">
        <v>0</v>
      </c>
    </row>
    <row r="75" spans="1:29" x14ac:dyDescent="0.3">
      <c r="A75">
        <v>8132</v>
      </c>
      <c r="B75">
        <v>1975</v>
      </c>
      <c r="C75" t="s">
        <v>32</v>
      </c>
      <c r="D75" t="s">
        <v>33</v>
      </c>
      <c r="E75">
        <v>60631</v>
      </c>
      <c r="F75">
        <v>1</v>
      </c>
      <c r="G75">
        <v>1</v>
      </c>
      <c r="H75" s="1">
        <v>41369</v>
      </c>
      <c r="I75">
        <v>88</v>
      </c>
      <c r="J75">
        <v>565</v>
      </c>
      <c r="K75">
        <v>6</v>
      </c>
      <c r="L75">
        <v>65</v>
      </c>
      <c r="M75">
        <v>0</v>
      </c>
      <c r="N75">
        <v>6</v>
      </c>
      <c r="O75">
        <v>19</v>
      </c>
      <c r="P75">
        <v>5</v>
      </c>
      <c r="Q75">
        <v>9</v>
      </c>
      <c r="R75">
        <v>2</v>
      </c>
      <c r="S75">
        <v>8</v>
      </c>
      <c r="T75">
        <v>7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3</v>
      </c>
      <c r="AB75">
        <v>11</v>
      </c>
      <c r="AC75">
        <v>0</v>
      </c>
    </row>
    <row r="76" spans="1:29" x14ac:dyDescent="0.3">
      <c r="A76">
        <v>1050</v>
      </c>
      <c r="B76">
        <v>1952</v>
      </c>
      <c r="C76" t="s">
        <v>29</v>
      </c>
      <c r="D76" t="s">
        <v>33</v>
      </c>
      <c r="E76">
        <v>28332</v>
      </c>
      <c r="F76">
        <v>0</v>
      </c>
      <c r="G76">
        <v>0</v>
      </c>
      <c r="H76" s="1">
        <v>41759</v>
      </c>
      <c r="I76">
        <v>58</v>
      </c>
      <c r="J76">
        <v>14</v>
      </c>
      <c r="K76">
        <v>10</v>
      </c>
      <c r="L76">
        <v>13</v>
      </c>
      <c r="M76">
        <v>4</v>
      </c>
      <c r="N76">
        <v>15</v>
      </c>
      <c r="O76">
        <v>9</v>
      </c>
      <c r="P76">
        <v>1</v>
      </c>
      <c r="Q76">
        <v>2</v>
      </c>
      <c r="R76">
        <v>1</v>
      </c>
      <c r="S76">
        <v>4</v>
      </c>
      <c r="T76">
        <v>2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3</v>
      </c>
      <c r="AB76">
        <v>11</v>
      </c>
      <c r="AC76">
        <v>0</v>
      </c>
    </row>
    <row r="77" spans="1:29" x14ac:dyDescent="0.3">
      <c r="A77">
        <v>5846</v>
      </c>
      <c r="B77">
        <v>1977</v>
      </c>
      <c r="C77" t="s">
        <v>29</v>
      </c>
      <c r="D77" t="s">
        <v>35</v>
      </c>
      <c r="E77">
        <v>40246</v>
      </c>
      <c r="F77">
        <v>1</v>
      </c>
      <c r="G77">
        <v>0</v>
      </c>
      <c r="H77" s="1">
        <v>41262</v>
      </c>
      <c r="I77">
        <v>68</v>
      </c>
      <c r="J77">
        <v>2</v>
      </c>
      <c r="K77">
        <v>1</v>
      </c>
      <c r="L77">
        <v>6</v>
      </c>
      <c r="M77">
        <v>2</v>
      </c>
      <c r="N77">
        <v>1</v>
      </c>
      <c r="O77">
        <v>1</v>
      </c>
      <c r="P77">
        <v>1</v>
      </c>
      <c r="Q77">
        <v>1</v>
      </c>
      <c r="R77">
        <v>0</v>
      </c>
      <c r="S77">
        <v>2</v>
      </c>
      <c r="T77">
        <v>6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3</v>
      </c>
      <c r="AB77">
        <v>11</v>
      </c>
      <c r="AC77">
        <v>0</v>
      </c>
    </row>
    <row r="78" spans="1:29" x14ac:dyDescent="0.3">
      <c r="A78">
        <v>1859</v>
      </c>
      <c r="B78">
        <v>1972</v>
      </c>
      <c r="C78" t="s">
        <v>34</v>
      </c>
      <c r="D78" t="s">
        <v>33</v>
      </c>
      <c r="E78">
        <v>75251</v>
      </c>
      <c r="F78">
        <v>0</v>
      </c>
      <c r="G78">
        <v>0</v>
      </c>
      <c r="H78" s="1">
        <v>41148</v>
      </c>
      <c r="I78">
        <v>34</v>
      </c>
      <c r="J78">
        <v>721</v>
      </c>
      <c r="K78">
        <v>111</v>
      </c>
      <c r="L78">
        <v>925</v>
      </c>
      <c r="M78">
        <v>97</v>
      </c>
      <c r="N78">
        <v>18</v>
      </c>
      <c r="O78">
        <v>18</v>
      </c>
      <c r="P78">
        <v>1</v>
      </c>
      <c r="Q78">
        <v>7</v>
      </c>
      <c r="R78">
        <v>6</v>
      </c>
      <c r="S78">
        <v>5</v>
      </c>
      <c r="T78">
        <v>5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3</v>
      </c>
      <c r="AB78">
        <v>11</v>
      </c>
      <c r="AC78">
        <v>1</v>
      </c>
    </row>
    <row r="79" spans="1:29" x14ac:dyDescent="0.3">
      <c r="A79">
        <v>7503</v>
      </c>
      <c r="B79">
        <v>1976</v>
      </c>
      <c r="C79" t="s">
        <v>29</v>
      </c>
      <c r="D79" t="s">
        <v>30</v>
      </c>
      <c r="E79">
        <v>75825</v>
      </c>
      <c r="F79">
        <v>0</v>
      </c>
      <c r="G79">
        <v>0</v>
      </c>
      <c r="H79" s="1">
        <v>41194</v>
      </c>
      <c r="I79">
        <v>40</v>
      </c>
      <c r="J79">
        <v>1032</v>
      </c>
      <c r="K79">
        <v>105</v>
      </c>
      <c r="L79">
        <v>779</v>
      </c>
      <c r="M79">
        <v>137</v>
      </c>
      <c r="N79">
        <v>105</v>
      </c>
      <c r="O79">
        <v>51</v>
      </c>
      <c r="P79">
        <v>0</v>
      </c>
      <c r="Q79">
        <v>5</v>
      </c>
      <c r="R79">
        <v>8</v>
      </c>
      <c r="S79">
        <v>9</v>
      </c>
      <c r="T79">
        <v>4</v>
      </c>
      <c r="U79">
        <v>1</v>
      </c>
      <c r="V79">
        <v>0</v>
      </c>
      <c r="W79">
        <v>0</v>
      </c>
      <c r="X79">
        <v>0</v>
      </c>
      <c r="Y79">
        <v>0</v>
      </c>
      <c r="Z79">
        <v>0</v>
      </c>
      <c r="AA79">
        <v>3</v>
      </c>
      <c r="AB79">
        <v>11</v>
      </c>
      <c r="AC79">
        <v>1</v>
      </c>
    </row>
    <row r="80" spans="1:29" x14ac:dyDescent="0.3">
      <c r="A80">
        <v>10401</v>
      </c>
      <c r="B80">
        <v>1976</v>
      </c>
      <c r="C80" t="s">
        <v>37</v>
      </c>
      <c r="D80" t="s">
        <v>31</v>
      </c>
      <c r="E80">
        <v>26326</v>
      </c>
      <c r="F80">
        <v>0</v>
      </c>
      <c r="G80">
        <v>0</v>
      </c>
      <c r="H80" s="1">
        <v>41521</v>
      </c>
      <c r="I80">
        <v>12</v>
      </c>
      <c r="J80">
        <v>1</v>
      </c>
      <c r="K80">
        <v>0</v>
      </c>
      <c r="L80">
        <v>5</v>
      </c>
      <c r="M80">
        <v>0</v>
      </c>
      <c r="N80">
        <v>3</v>
      </c>
      <c r="O80">
        <v>9</v>
      </c>
      <c r="P80">
        <v>1</v>
      </c>
      <c r="Q80">
        <v>0</v>
      </c>
      <c r="R80">
        <v>0</v>
      </c>
      <c r="S80">
        <v>3</v>
      </c>
      <c r="T80">
        <v>3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3</v>
      </c>
      <c r="AB80">
        <v>11</v>
      </c>
      <c r="AC80">
        <v>0</v>
      </c>
    </row>
    <row r="81" spans="1:29" x14ac:dyDescent="0.3">
      <c r="A81">
        <v>1618</v>
      </c>
      <c r="B81">
        <v>1965</v>
      </c>
      <c r="C81" t="s">
        <v>29</v>
      </c>
      <c r="D81" t="s">
        <v>31</v>
      </c>
      <c r="E81">
        <v>56046</v>
      </c>
      <c r="F81">
        <v>0</v>
      </c>
      <c r="G81">
        <v>0</v>
      </c>
      <c r="H81" s="1">
        <v>41276</v>
      </c>
      <c r="I81">
        <v>9</v>
      </c>
      <c r="J81">
        <v>577</v>
      </c>
      <c r="K81">
        <v>0</v>
      </c>
      <c r="L81">
        <v>64</v>
      </c>
      <c r="M81">
        <v>0</v>
      </c>
      <c r="N81">
        <v>0</v>
      </c>
      <c r="O81">
        <v>51</v>
      </c>
      <c r="P81">
        <v>2</v>
      </c>
      <c r="Q81">
        <v>10</v>
      </c>
      <c r="R81">
        <v>1</v>
      </c>
      <c r="S81">
        <v>8</v>
      </c>
      <c r="T81">
        <v>8</v>
      </c>
      <c r="U81">
        <v>1</v>
      </c>
      <c r="V81">
        <v>0</v>
      </c>
      <c r="W81">
        <v>0</v>
      </c>
      <c r="X81">
        <v>0</v>
      </c>
      <c r="Y81">
        <v>0</v>
      </c>
      <c r="Z81">
        <v>0</v>
      </c>
      <c r="AA81">
        <v>3</v>
      </c>
      <c r="AB81">
        <v>11</v>
      </c>
      <c r="AC81">
        <v>1</v>
      </c>
    </row>
    <row r="82" spans="1:29" x14ac:dyDescent="0.3">
      <c r="A82">
        <v>3332</v>
      </c>
      <c r="B82">
        <v>1985</v>
      </c>
      <c r="C82" t="s">
        <v>29</v>
      </c>
      <c r="D82" t="s">
        <v>30</v>
      </c>
      <c r="E82">
        <v>29760</v>
      </c>
      <c r="F82">
        <v>1</v>
      </c>
      <c r="G82">
        <v>0</v>
      </c>
      <c r="H82" s="1">
        <v>41150</v>
      </c>
      <c r="I82">
        <v>87</v>
      </c>
      <c r="J82">
        <v>64</v>
      </c>
      <c r="K82">
        <v>4</v>
      </c>
      <c r="L82">
        <v>68</v>
      </c>
      <c r="M82">
        <v>7</v>
      </c>
      <c r="N82">
        <v>5</v>
      </c>
      <c r="O82">
        <v>17</v>
      </c>
      <c r="P82">
        <v>4</v>
      </c>
      <c r="Q82">
        <v>3</v>
      </c>
      <c r="R82">
        <v>1</v>
      </c>
      <c r="S82">
        <v>4</v>
      </c>
      <c r="T82">
        <v>8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3</v>
      </c>
      <c r="AB82">
        <v>11</v>
      </c>
      <c r="AC82">
        <v>0</v>
      </c>
    </row>
    <row r="83" spans="1:29" x14ac:dyDescent="0.3">
      <c r="A83">
        <v>2261</v>
      </c>
      <c r="B83">
        <v>1969</v>
      </c>
      <c r="C83" t="s">
        <v>29</v>
      </c>
      <c r="D83" t="s">
        <v>33</v>
      </c>
      <c r="E83">
        <v>26304</v>
      </c>
      <c r="F83">
        <v>1</v>
      </c>
      <c r="G83">
        <v>0</v>
      </c>
      <c r="H83" s="1">
        <v>41448</v>
      </c>
      <c r="I83">
        <v>5</v>
      </c>
      <c r="J83">
        <v>4</v>
      </c>
      <c r="K83">
        <v>1</v>
      </c>
      <c r="L83">
        <v>5</v>
      </c>
      <c r="M83">
        <v>2</v>
      </c>
      <c r="N83">
        <v>0</v>
      </c>
      <c r="O83">
        <v>4</v>
      </c>
      <c r="P83">
        <v>1</v>
      </c>
      <c r="Q83">
        <v>1</v>
      </c>
      <c r="R83">
        <v>0</v>
      </c>
      <c r="S83">
        <v>2</v>
      </c>
      <c r="T83">
        <v>7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3</v>
      </c>
      <c r="AB83">
        <v>11</v>
      </c>
      <c r="AC83">
        <v>0</v>
      </c>
    </row>
    <row r="84" spans="1:29" x14ac:dyDescent="0.3">
      <c r="A84">
        <v>5346</v>
      </c>
      <c r="B84">
        <v>1973</v>
      </c>
      <c r="C84" t="s">
        <v>37</v>
      </c>
      <c r="D84" t="s">
        <v>33</v>
      </c>
      <c r="E84">
        <v>23559</v>
      </c>
      <c r="F84">
        <v>1</v>
      </c>
      <c r="G84">
        <v>0</v>
      </c>
      <c r="H84" s="1">
        <v>41458</v>
      </c>
      <c r="I84">
        <v>87</v>
      </c>
      <c r="J84">
        <v>25</v>
      </c>
      <c r="K84">
        <v>5</v>
      </c>
      <c r="L84">
        <v>19</v>
      </c>
      <c r="M84">
        <v>7</v>
      </c>
      <c r="N84">
        <v>0</v>
      </c>
      <c r="O84">
        <v>23</v>
      </c>
      <c r="P84">
        <v>3</v>
      </c>
      <c r="Q84">
        <v>3</v>
      </c>
      <c r="R84">
        <v>0</v>
      </c>
      <c r="S84">
        <v>3</v>
      </c>
      <c r="T84">
        <v>7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3</v>
      </c>
      <c r="AB84">
        <v>11</v>
      </c>
      <c r="AC84">
        <v>0</v>
      </c>
    </row>
    <row r="85" spans="1:29" x14ac:dyDescent="0.3">
      <c r="A85">
        <v>4119</v>
      </c>
      <c r="B85">
        <v>1963</v>
      </c>
      <c r="C85" t="s">
        <v>34</v>
      </c>
      <c r="D85" t="s">
        <v>31</v>
      </c>
      <c r="E85">
        <v>38620</v>
      </c>
      <c r="F85">
        <v>0</v>
      </c>
      <c r="G85">
        <v>0</v>
      </c>
      <c r="H85" s="1">
        <v>41405</v>
      </c>
      <c r="I85">
        <v>56</v>
      </c>
      <c r="J85">
        <v>112</v>
      </c>
      <c r="K85">
        <v>17</v>
      </c>
      <c r="L85">
        <v>44</v>
      </c>
      <c r="M85">
        <v>34</v>
      </c>
      <c r="N85">
        <v>22</v>
      </c>
      <c r="O85">
        <v>89</v>
      </c>
      <c r="P85">
        <v>1</v>
      </c>
      <c r="Q85">
        <v>2</v>
      </c>
      <c r="R85">
        <v>5</v>
      </c>
      <c r="S85">
        <v>3</v>
      </c>
      <c r="T85">
        <v>3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3</v>
      </c>
      <c r="AB85">
        <v>11</v>
      </c>
      <c r="AC85">
        <v>0</v>
      </c>
    </row>
    <row r="86" spans="1:29" x14ac:dyDescent="0.3">
      <c r="A86">
        <v>535</v>
      </c>
      <c r="B86">
        <v>1987</v>
      </c>
      <c r="C86" t="s">
        <v>29</v>
      </c>
      <c r="D86" t="s">
        <v>35</v>
      </c>
      <c r="E86">
        <v>81361</v>
      </c>
      <c r="F86">
        <v>0</v>
      </c>
      <c r="G86">
        <v>0</v>
      </c>
      <c r="H86" s="1">
        <v>41695</v>
      </c>
      <c r="I86">
        <v>18</v>
      </c>
      <c r="J86">
        <v>163</v>
      </c>
      <c r="K86">
        <v>23</v>
      </c>
      <c r="L86">
        <v>424</v>
      </c>
      <c r="M86">
        <v>27</v>
      </c>
      <c r="N86">
        <v>65</v>
      </c>
      <c r="O86">
        <v>76</v>
      </c>
      <c r="P86">
        <v>1</v>
      </c>
      <c r="Q86">
        <v>3</v>
      </c>
      <c r="R86">
        <v>10</v>
      </c>
      <c r="S86">
        <v>13</v>
      </c>
      <c r="T86">
        <v>1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3</v>
      </c>
      <c r="AB86">
        <v>11</v>
      </c>
      <c r="AC86">
        <v>0</v>
      </c>
    </row>
    <row r="87" spans="1:29" x14ac:dyDescent="0.3">
      <c r="A87">
        <v>5268</v>
      </c>
      <c r="B87">
        <v>1960</v>
      </c>
      <c r="C87" t="s">
        <v>29</v>
      </c>
      <c r="D87" t="s">
        <v>33</v>
      </c>
      <c r="E87">
        <v>29440</v>
      </c>
      <c r="F87">
        <v>1</v>
      </c>
      <c r="G87">
        <v>1</v>
      </c>
      <c r="H87" s="1">
        <v>41497</v>
      </c>
      <c r="I87">
        <v>95</v>
      </c>
      <c r="J87">
        <v>17</v>
      </c>
      <c r="K87">
        <v>8</v>
      </c>
      <c r="L87">
        <v>14</v>
      </c>
      <c r="M87">
        <v>10</v>
      </c>
      <c r="N87">
        <v>4</v>
      </c>
      <c r="O87">
        <v>3</v>
      </c>
      <c r="P87">
        <v>2</v>
      </c>
      <c r="Q87">
        <v>1</v>
      </c>
      <c r="R87">
        <v>0</v>
      </c>
      <c r="S87">
        <v>4</v>
      </c>
      <c r="T87">
        <v>7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3</v>
      </c>
      <c r="AB87">
        <v>11</v>
      </c>
      <c r="AC87">
        <v>0</v>
      </c>
    </row>
    <row r="88" spans="1:29" x14ac:dyDescent="0.3">
      <c r="A88">
        <v>273</v>
      </c>
      <c r="B88">
        <v>1970</v>
      </c>
      <c r="C88" t="s">
        <v>34</v>
      </c>
      <c r="D88" t="s">
        <v>33</v>
      </c>
      <c r="E88">
        <v>36138</v>
      </c>
      <c r="F88">
        <v>1</v>
      </c>
      <c r="G88">
        <v>1</v>
      </c>
      <c r="H88" s="1">
        <v>41471</v>
      </c>
      <c r="I88">
        <v>48</v>
      </c>
      <c r="J88">
        <v>130</v>
      </c>
      <c r="K88">
        <v>0</v>
      </c>
      <c r="L88">
        <v>16</v>
      </c>
      <c r="M88">
        <v>0</v>
      </c>
      <c r="N88">
        <v>0</v>
      </c>
      <c r="O88">
        <v>5</v>
      </c>
      <c r="P88">
        <v>5</v>
      </c>
      <c r="Q88">
        <v>3</v>
      </c>
      <c r="R88">
        <v>1</v>
      </c>
      <c r="S88">
        <v>4</v>
      </c>
      <c r="T88">
        <v>7</v>
      </c>
      <c r="U88">
        <v>0</v>
      </c>
      <c r="V88">
        <v>1</v>
      </c>
      <c r="W88">
        <v>0</v>
      </c>
      <c r="X88">
        <v>0</v>
      </c>
      <c r="Y88">
        <v>0</v>
      </c>
      <c r="Z88">
        <v>0</v>
      </c>
      <c r="AA88">
        <v>3</v>
      </c>
      <c r="AB88">
        <v>11</v>
      </c>
      <c r="AC88">
        <v>0</v>
      </c>
    </row>
    <row r="89" spans="1:29" x14ac:dyDescent="0.3">
      <c r="A89">
        <v>4452</v>
      </c>
      <c r="B89">
        <v>1957</v>
      </c>
      <c r="C89" t="s">
        <v>29</v>
      </c>
      <c r="D89" t="s">
        <v>30</v>
      </c>
      <c r="E89">
        <v>50388</v>
      </c>
      <c r="F89">
        <v>0</v>
      </c>
      <c r="G89">
        <v>1</v>
      </c>
      <c r="H89" s="1">
        <v>41787</v>
      </c>
      <c r="I89">
        <v>3</v>
      </c>
      <c r="J89">
        <v>292</v>
      </c>
      <c r="K89">
        <v>6</v>
      </c>
      <c r="L89">
        <v>37</v>
      </c>
      <c r="M89">
        <v>0</v>
      </c>
      <c r="N89">
        <v>3</v>
      </c>
      <c r="O89">
        <v>34</v>
      </c>
      <c r="P89">
        <v>4</v>
      </c>
      <c r="Q89">
        <v>6</v>
      </c>
      <c r="R89">
        <v>1</v>
      </c>
      <c r="S89">
        <v>6</v>
      </c>
      <c r="T89">
        <v>7</v>
      </c>
      <c r="U89">
        <v>0</v>
      </c>
      <c r="V89">
        <v>1</v>
      </c>
      <c r="W89">
        <v>0</v>
      </c>
      <c r="X89">
        <v>1</v>
      </c>
      <c r="Y89">
        <v>0</v>
      </c>
      <c r="Z89">
        <v>0</v>
      </c>
      <c r="AA89">
        <v>3</v>
      </c>
      <c r="AB89">
        <v>11</v>
      </c>
      <c r="AC89">
        <v>1</v>
      </c>
    </row>
    <row r="90" spans="1:29" x14ac:dyDescent="0.3">
      <c r="A90">
        <v>8504</v>
      </c>
      <c r="B90">
        <v>1973</v>
      </c>
      <c r="C90" t="s">
        <v>29</v>
      </c>
      <c r="D90" t="s">
        <v>33</v>
      </c>
      <c r="E90">
        <v>79593</v>
      </c>
      <c r="F90">
        <v>0</v>
      </c>
      <c r="G90">
        <v>0</v>
      </c>
      <c r="H90" s="1">
        <v>41771</v>
      </c>
      <c r="I90">
        <v>70</v>
      </c>
      <c r="J90">
        <v>350</v>
      </c>
      <c r="K90">
        <v>60</v>
      </c>
      <c r="L90">
        <v>568</v>
      </c>
      <c r="M90">
        <v>110</v>
      </c>
      <c r="N90">
        <v>133</v>
      </c>
      <c r="O90">
        <v>145</v>
      </c>
      <c r="P90">
        <v>1</v>
      </c>
      <c r="Q90">
        <v>5</v>
      </c>
      <c r="R90">
        <v>6</v>
      </c>
      <c r="S90">
        <v>7</v>
      </c>
      <c r="T90">
        <v>2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3</v>
      </c>
      <c r="AB90">
        <v>11</v>
      </c>
      <c r="AC90">
        <v>0</v>
      </c>
    </row>
    <row r="91" spans="1:29" x14ac:dyDescent="0.3">
      <c r="A91">
        <v>771</v>
      </c>
      <c r="B91">
        <v>1967</v>
      </c>
      <c r="C91" t="s">
        <v>29</v>
      </c>
      <c r="D91" t="s">
        <v>31</v>
      </c>
      <c r="E91">
        <v>54178</v>
      </c>
      <c r="F91">
        <v>0</v>
      </c>
      <c r="G91">
        <v>1</v>
      </c>
      <c r="H91" s="1">
        <v>41660</v>
      </c>
      <c r="I91">
        <v>79</v>
      </c>
      <c r="J91">
        <v>135</v>
      </c>
      <c r="K91">
        <v>9</v>
      </c>
      <c r="L91">
        <v>39</v>
      </c>
      <c r="M91">
        <v>4</v>
      </c>
      <c r="N91">
        <v>0</v>
      </c>
      <c r="O91">
        <v>7</v>
      </c>
      <c r="P91">
        <v>1</v>
      </c>
      <c r="Q91">
        <v>2</v>
      </c>
      <c r="R91">
        <v>2</v>
      </c>
      <c r="S91">
        <v>5</v>
      </c>
      <c r="T91">
        <v>2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3</v>
      </c>
      <c r="AB91">
        <v>11</v>
      </c>
      <c r="AC91">
        <v>0</v>
      </c>
    </row>
    <row r="92" spans="1:29" x14ac:dyDescent="0.3">
      <c r="A92">
        <v>8996</v>
      </c>
      <c r="B92">
        <v>1957</v>
      </c>
      <c r="C92" t="s">
        <v>32</v>
      </c>
      <c r="D92" t="s">
        <v>33</v>
      </c>
      <c r="F92">
        <v>2</v>
      </c>
      <c r="G92">
        <v>1</v>
      </c>
      <c r="H92" s="1">
        <v>41232</v>
      </c>
      <c r="I92">
        <v>4</v>
      </c>
      <c r="J92">
        <v>230</v>
      </c>
      <c r="K92">
        <v>42</v>
      </c>
      <c r="L92">
        <v>192</v>
      </c>
      <c r="M92">
        <v>49</v>
      </c>
      <c r="N92">
        <v>37</v>
      </c>
      <c r="O92">
        <v>53</v>
      </c>
      <c r="P92">
        <v>12</v>
      </c>
      <c r="Q92">
        <v>7</v>
      </c>
      <c r="R92">
        <v>2</v>
      </c>
      <c r="S92">
        <v>8</v>
      </c>
      <c r="T92">
        <v>9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3</v>
      </c>
      <c r="AB92">
        <v>11</v>
      </c>
      <c r="AC92">
        <v>0</v>
      </c>
    </row>
    <row r="93" spans="1:29" x14ac:dyDescent="0.3">
      <c r="A93">
        <v>9235</v>
      </c>
      <c r="B93">
        <v>1957</v>
      </c>
      <c r="C93" t="s">
        <v>29</v>
      </c>
      <c r="D93" t="s">
        <v>30</v>
      </c>
      <c r="F93">
        <v>1</v>
      </c>
      <c r="G93">
        <v>1</v>
      </c>
      <c r="H93" s="1">
        <v>41786</v>
      </c>
      <c r="I93">
        <v>45</v>
      </c>
      <c r="J93">
        <v>7</v>
      </c>
      <c r="K93">
        <v>0</v>
      </c>
      <c r="L93">
        <v>8</v>
      </c>
      <c r="M93">
        <v>2</v>
      </c>
      <c r="N93">
        <v>0</v>
      </c>
      <c r="O93">
        <v>1</v>
      </c>
      <c r="P93">
        <v>1</v>
      </c>
      <c r="Q93">
        <v>1</v>
      </c>
      <c r="R93">
        <v>0</v>
      </c>
      <c r="S93">
        <v>2</v>
      </c>
      <c r="T93">
        <v>7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3</v>
      </c>
      <c r="AB93">
        <v>11</v>
      </c>
      <c r="AC93">
        <v>0</v>
      </c>
    </row>
    <row r="94" spans="1:29" x14ac:dyDescent="0.3">
      <c r="A94">
        <v>5798</v>
      </c>
      <c r="B94">
        <v>1973</v>
      </c>
      <c r="C94" t="s">
        <v>34</v>
      </c>
      <c r="D94" t="s">
        <v>31</v>
      </c>
      <c r="F94">
        <v>0</v>
      </c>
      <c r="G94">
        <v>0</v>
      </c>
      <c r="H94" s="1">
        <v>41601</v>
      </c>
      <c r="I94">
        <v>87</v>
      </c>
      <c r="J94">
        <v>445</v>
      </c>
      <c r="K94">
        <v>37</v>
      </c>
      <c r="L94">
        <v>359</v>
      </c>
      <c r="M94">
        <v>98</v>
      </c>
      <c r="N94">
        <v>28</v>
      </c>
      <c r="O94">
        <v>18</v>
      </c>
      <c r="P94">
        <v>1</v>
      </c>
      <c r="Q94">
        <v>2</v>
      </c>
      <c r="R94">
        <v>4</v>
      </c>
      <c r="S94">
        <v>8</v>
      </c>
      <c r="T94">
        <v>1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3</v>
      </c>
      <c r="AB94">
        <v>11</v>
      </c>
      <c r="AC94">
        <v>0</v>
      </c>
    </row>
    <row r="95" spans="1:29" x14ac:dyDescent="0.3">
      <c r="A95">
        <v>11178</v>
      </c>
      <c r="B95">
        <v>1972</v>
      </c>
      <c r="C95" t="s">
        <v>34</v>
      </c>
      <c r="D95" t="s">
        <v>30</v>
      </c>
      <c r="E95">
        <v>42394</v>
      </c>
      <c r="F95">
        <v>1</v>
      </c>
      <c r="G95">
        <v>0</v>
      </c>
      <c r="H95" s="1">
        <v>41721</v>
      </c>
      <c r="I95">
        <v>69</v>
      </c>
      <c r="J95">
        <v>15</v>
      </c>
      <c r="K95">
        <v>2</v>
      </c>
      <c r="L95">
        <v>10</v>
      </c>
      <c r="M95">
        <v>0</v>
      </c>
      <c r="N95">
        <v>1</v>
      </c>
      <c r="O95">
        <v>4</v>
      </c>
      <c r="P95">
        <v>1</v>
      </c>
      <c r="Q95">
        <v>1</v>
      </c>
      <c r="R95">
        <v>0</v>
      </c>
      <c r="S95">
        <v>3</v>
      </c>
      <c r="T95">
        <v>7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3</v>
      </c>
      <c r="AB95">
        <v>11</v>
      </c>
      <c r="AC95">
        <v>0</v>
      </c>
    </row>
    <row r="96" spans="1:29" x14ac:dyDescent="0.3">
      <c r="A96">
        <v>2230</v>
      </c>
      <c r="B96">
        <v>1970</v>
      </c>
      <c r="C96" t="s">
        <v>32</v>
      </c>
      <c r="D96" t="s">
        <v>33</v>
      </c>
      <c r="E96">
        <v>23626</v>
      </c>
      <c r="F96">
        <v>1</v>
      </c>
      <c r="G96">
        <v>0</v>
      </c>
      <c r="H96" s="1">
        <v>41783</v>
      </c>
      <c r="I96">
        <v>84</v>
      </c>
      <c r="J96">
        <v>27</v>
      </c>
      <c r="K96">
        <v>2</v>
      </c>
      <c r="L96">
        <v>14</v>
      </c>
      <c r="M96">
        <v>0</v>
      </c>
      <c r="N96">
        <v>0</v>
      </c>
      <c r="O96">
        <v>0</v>
      </c>
      <c r="P96">
        <v>3</v>
      </c>
      <c r="Q96">
        <v>3</v>
      </c>
      <c r="R96">
        <v>1</v>
      </c>
      <c r="S96">
        <v>3</v>
      </c>
      <c r="T96">
        <v>5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3</v>
      </c>
      <c r="AB96">
        <v>11</v>
      </c>
      <c r="AC96">
        <v>0</v>
      </c>
    </row>
    <row r="97" spans="1:29" x14ac:dyDescent="0.3">
      <c r="A97">
        <v>7516</v>
      </c>
      <c r="B97">
        <v>1983</v>
      </c>
      <c r="C97" t="s">
        <v>29</v>
      </c>
      <c r="D97" t="s">
        <v>33</v>
      </c>
      <c r="E97">
        <v>30096</v>
      </c>
      <c r="F97">
        <v>1</v>
      </c>
      <c r="G97">
        <v>0</v>
      </c>
      <c r="H97" s="1">
        <v>41781</v>
      </c>
      <c r="I97">
        <v>30</v>
      </c>
      <c r="J97">
        <v>5</v>
      </c>
      <c r="K97">
        <v>3</v>
      </c>
      <c r="L97">
        <v>11</v>
      </c>
      <c r="M97">
        <v>12</v>
      </c>
      <c r="N97">
        <v>5</v>
      </c>
      <c r="O97">
        <v>9</v>
      </c>
      <c r="P97">
        <v>1</v>
      </c>
      <c r="Q97">
        <v>2</v>
      </c>
      <c r="R97">
        <v>0</v>
      </c>
      <c r="S97">
        <v>3</v>
      </c>
      <c r="T97">
        <v>6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3</v>
      </c>
      <c r="AB97">
        <v>11</v>
      </c>
      <c r="AC97">
        <v>0</v>
      </c>
    </row>
    <row r="98" spans="1:29" x14ac:dyDescent="0.3">
      <c r="A98">
        <v>7247</v>
      </c>
      <c r="B98">
        <v>1960</v>
      </c>
      <c r="C98" t="s">
        <v>29</v>
      </c>
      <c r="D98" t="s">
        <v>38</v>
      </c>
      <c r="E98">
        <v>47916</v>
      </c>
      <c r="F98">
        <v>0</v>
      </c>
      <c r="G98">
        <v>1</v>
      </c>
      <c r="H98" s="1">
        <v>41235</v>
      </c>
      <c r="I98">
        <v>72</v>
      </c>
      <c r="J98">
        <v>505</v>
      </c>
      <c r="K98">
        <v>0</v>
      </c>
      <c r="L98">
        <v>26</v>
      </c>
      <c r="M98">
        <v>0</v>
      </c>
      <c r="N98">
        <v>0</v>
      </c>
      <c r="O98">
        <v>75</v>
      </c>
      <c r="P98">
        <v>5</v>
      </c>
      <c r="Q98">
        <v>7</v>
      </c>
      <c r="R98">
        <v>4</v>
      </c>
      <c r="S98">
        <v>6</v>
      </c>
      <c r="T98">
        <v>6</v>
      </c>
      <c r="U98">
        <v>0</v>
      </c>
      <c r="V98">
        <v>1</v>
      </c>
      <c r="W98">
        <v>0</v>
      </c>
      <c r="X98">
        <v>0</v>
      </c>
      <c r="Y98">
        <v>0</v>
      </c>
      <c r="Z98">
        <v>0</v>
      </c>
      <c r="AA98">
        <v>3</v>
      </c>
      <c r="AB98">
        <v>11</v>
      </c>
      <c r="AC98">
        <v>0</v>
      </c>
    </row>
    <row r="99" spans="1:29" x14ac:dyDescent="0.3">
      <c r="A99">
        <v>11100</v>
      </c>
      <c r="B99">
        <v>1972</v>
      </c>
      <c r="C99" t="s">
        <v>29</v>
      </c>
      <c r="D99" t="s">
        <v>35</v>
      </c>
      <c r="E99">
        <v>51813</v>
      </c>
      <c r="F99">
        <v>1</v>
      </c>
      <c r="G99">
        <v>1</v>
      </c>
      <c r="H99" s="1">
        <v>41375</v>
      </c>
      <c r="I99">
        <v>37</v>
      </c>
      <c r="J99">
        <v>51</v>
      </c>
      <c r="K99">
        <v>2</v>
      </c>
      <c r="L99">
        <v>7</v>
      </c>
      <c r="M99">
        <v>0</v>
      </c>
      <c r="N99">
        <v>1</v>
      </c>
      <c r="O99">
        <v>2</v>
      </c>
      <c r="P99">
        <v>2</v>
      </c>
      <c r="Q99">
        <v>2</v>
      </c>
      <c r="R99">
        <v>0</v>
      </c>
      <c r="S99">
        <v>3</v>
      </c>
      <c r="T99">
        <v>7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3</v>
      </c>
      <c r="AB99">
        <v>11</v>
      </c>
      <c r="AC99">
        <v>0</v>
      </c>
    </row>
    <row r="100" spans="1:29" x14ac:dyDescent="0.3">
      <c r="A100">
        <v>4646</v>
      </c>
      <c r="B100">
        <v>1951</v>
      </c>
      <c r="C100" t="s">
        <v>37</v>
      </c>
      <c r="D100" t="s">
        <v>33</v>
      </c>
      <c r="E100">
        <v>78497</v>
      </c>
      <c r="F100">
        <v>0</v>
      </c>
      <c r="G100">
        <v>0</v>
      </c>
      <c r="H100" s="1">
        <v>41609</v>
      </c>
      <c r="I100">
        <v>44</v>
      </c>
      <c r="J100">
        <v>207</v>
      </c>
      <c r="K100">
        <v>26</v>
      </c>
      <c r="L100">
        <v>447</v>
      </c>
      <c r="M100">
        <v>75</v>
      </c>
      <c r="N100">
        <v>0</v>
      </c>
      <c r="O100">
        <v>223</v>
      </c>
      <c r="P100">
        <v>1</v>
      </c>
      <c r="Q100">
        <v>5</v>
      </c>
      <c r="R100">
        <v>7</v>
      </c>
      <c r="S100">
        <v>12</v>
      </c>
      <c r="T100">
        <v>2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>
        <v>3</v>
      </c>
      <c r="AB100">
        <v>11</v>
      </c>
      <c r="AC100">
        <v>0</v>
      </c>
    </row>
    <row r="101" spans="1:29" x14ac:dyDescent="0.3">
      <c r="A101">
        <v>3037</v>
      </c>
      <c r="B101">
        <v>1983</v>
      </c>
      <c r="C101" t="s">
        <v>32</v>
      </c>
      <c r="D101" t="s">
        <v>33</v>
      </c>
      <c r="E101">
        <v>50150</v>
      </c>
      <c r="F101">
        <v>0</v>
      </c>
      <c r="G101">
        <v>0</v>
      </c>
      <c r="H101" s="1">
        <v>41445</v>
      </c>
      <c r="I101">
        <v>32</v>
      </c>
      <c r="J101">
        <v>135</v>
      </c>
      <c r="K101">
        <v>46</v>
      </c>
      <c r="L101">
        <v>92</v>
      </c>
      <c r="M101">
        <v>65</v>
      </c>
      <c r="N101">
        <v>61</v>
      </c>
      <c r="O101">
        <v>11</v>
      </c>
      <c r="P101">
        <v>2</v>
      </c>
      <c r="Q101">
        <v>5</v>
      </c>
      <c r="R101">
        <v>2</v>
      </c>
      <c r="S101">
        <v>7</v>
      </c>
      <c r="T101">
        <v>5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3</v>
      </c>
      <c r="AB101">
        <v>11</v>
      </c>
      <c r="AC101">
        <v>0</v>
      </c>
    </row>
    <row r="102" spans="1:29" x14ac:dyDescent="0.3">
      <c r="A102">
        <v>1473</v>
      </c>
      <c r="B102">
        <v>1960</v>
      </c>
      <c r="C102" t="s">
        <v>37</v>
      </c>
      <c r="D102" t="s">
        <v>30</v>
      </c>
      <c r="E102">
        <v>47823</v>
      </c>
      <c r="F102">
        <v>0</v>
      </c>
      <c r="G102">
        <v>1</v>
      </c>
      <c r="H102" s="1">
        <v>41478</v>
      </c>
      <c r="I102">
        <v>0</v>
      </c>
      <c r="J102">
        <v>53</v>
      </c>
      <c r="K102">
        <v>1</v>
      </c>
      <c r="L102">
        <v>5</v>
      </c>
      <c r="M102">
        <v>2</v>
      </c>
      <c r="N102">
        <v>1</v>
      </c>
      <c r="O102">
        <v>10</v>
      </c>
      <c r="P102">
        <v>2</v>
      </c>
      <c r="Q102">
        <v>2</v>
      </c>
      <c r="R102">
        <v>0</v>
      </c>
      <c r="S102">
        <v>3</v>
      </c>
      <c r="T102">
        <v>8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3</v>
      </c>
      <c r="AB102">
        <v>11</v>
      </c>
      <c r="AC102">
        <v>0</v>
      </c>
    </row>
    <row r="103" spans="1:29" x14ac:dyDescent="0.3">
      <c r="A103">
        <v>1016</v>
      </c>
      <c r="B103">
        <v>1959</v>
      </c>
      <c r="C103" t="s">
        <v>32</v>
      </c>
      <c r="D103" t="s">
        <v>30</v>
      </c>
      <c r="E103">
        <v>34554</v>
      </c>
      <c r="F103">
        <v>0</v>
      </c>
      <c r="G103">
        <v>1</v>
      </c>
      <c r="H103" s="1">
        <v>41728</v>
      </c>
      <c r="I103">
        <v>43</v>
      </c>
      <c r="J103">
        <v>41</v>
      </c>
      <c r="K103">
        <v>1</v>
      </c>
      <c r="L103">
        <v>6</v>
      </c>
      <c r="M103">
        <v>2</v>
      </c>
      <c r="N103">
        <v>0</v>
      </c>
      <c r="O103">
        <v>5</v>
      </c>
      <c r="P103">
        <v>2</v>
      </c>
      <c r="Q103">
        <v>2</v>
      </c>
      <c r="R103">
        <v>0</v>
      </c>
      <c r="S103">
        <v>3</v>
      </c>
      <c r="T103">
        <v>6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3</v>
      </c>
      <c r="AB103">
        <v>11</v>
      </c>
      <c r="AC103">
        <v>0</v>
      </c>
    </row>
    <row r="104" spans="1:29" x14ac:dyDescent="0.3">
      <c r="A104">
        <v>4518</v>
      </c>
      <c r="B104">
        <v>1979</v>
      </c>
      <c r="C104" t="s">
        <v>29</v>
      </c>
      <c r="D104" t="s">
        <v>31</v>
      </c>
      <c r="E104">
        <v>85693</v>
      </c>
      <c r="F104">
        <v>0</v>
      </c>
      <c r="G104">
        <v>1</v>
      </c>
      <c r="H104" s="1">
        <v>41384</v>
      </c>
      <c r="I104">
        <v>59</v>
      </c>
      <c r="J104">
        <v>386</v>
      </c>
      <c r="K104">
        <v>172</v>
      </c>
      <c r="L104">
        <v>183</v>
      </c>
      <c r="M104">
        <v>185</v>
      </c>
      <c r="N104">
        <v>132</v>
      </c>
      <c r="O104">
        <v>111</v>
      </c>
      <c r="P104">
        <v>2</v>
      </c>
      <c r="Q104">
        <v>9</v>
      </c>
      <c r="R104">
        <v>5</v>
      </c>
      <c r="S104">
        <v>11</v>
      </c>
      <c r="T104">
        <v>5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3</v>
      </c>
      <c r="AB104">
        <v>11</v>
      </c>
      <c r="AC104">
        <v>0</v>
      </c>
    </row>
    <row r="105" spans="1:29" x14ac:dyDescent="0.3">
      <c r="A105">
        <v>9370</v>
      </c>
      <c r="B105">
        <v>1945</v>
      </c>
      <c r="C105" t="s">
        <v>32</v>
      </c>
      <c r="D105" t="s">
        <v>33</v>
      </c>
      <c r="E105">
        <v>65846</v>
      </c>
      <c r="F105">
        <v>0</v>
      </c>
      <c r="G105">
        <v>0</v>
      </c>
      <c r="H105" s="1">
        <v>41411</v>
      </c>
      <c r="I105">
        <v>68</v>
      </c>
      <c r="J105">
        <v>562</v>
      </c>
      <c r="K105">
        <v>81</v>
      </c>
      <c r="L105">
        <v>276</v>
      </c>
      <c r="M105">
        <v>80</v>
      </c>
      <c r="N105">
        <v>40</v>
      </c>
      <c r="O105">
        <v>81</v>
      </c>
      <c r="P105">
        <v>1</v>
      </c>
      <c r="Q105">
        <v>6</v>
      </c>
      <c r="R105">
        <v>3</v>
      </c>
      <c r="S105">
        <v>6</v>
      </c>
      <c r="T105">
        <v>4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3</v>
      </c>
      <c r="AB105">
        <v>11</v>
      </c>
      <c r="AC105">
        <v>0</v>
      </c>
    </row>
    <row r="106" spans="1:29" x14ac:dyDescent="0.3">
      <c r="A106">
        <v>8908</v>
      </c>
      <c r="B106">
        <v>1959</v>
      </c>
      <c r="C106" t="s">
        <v>29</v>
      </c>
      <c r="D106" t="s">
        <v>33</v>
      </c>
      <c r="E106">
        <v>87195</v>
      </c>
      <c r="F106">
        <v>0</v>
      </c>
      <c r="G106">
        <v>0</v>
      </c>
      <c r="H106" s="1">
        <v>41767</v>
      </c>
      <c r="I106">
        <v>35</v>
      </c>
      <c r="J106">
        <v>217</v>
      </c>
      <c r="K106">
        <v>76</v>
      </c>
      <c r="L106">
        <v>690</v>
      </c>
      <c r="M106">
        <v>50</v>
      </c>
      <c r="N106">
        <v>26</v>
      </c>
      <c r="O106">
        <v>38</v>
      </c>
      <c r="P106">
        <v>1</v>
      </c>
      <c r="Q106">
        <v>3</v>
      </c>
      <c r="R106">
        <v>11</v>
      </c>
      <c r="S106">
        <v>5</v>
      </c>
      <c r="T106">
        <v>1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3</v>
      </c>
      <c r="AB106">
        <v>11</v>
      </c>
      <c r="AC106">
        <v>1</v>
      </c>
    </row>
    <row r="107" spans="1:29" x14ac:dyDescent="0.3">
      <c r="A107">
        <v>8373</v>
      </c>
      <c r="B107">
        <v>1979</v>
      </c>
      <c r="C107" t="s">
        <v>36</v>
      </c>
      <c r="D107" t="s">
        <v>31</v>
      </c>
      <c r="E107">
        <v>24594</v>
      </c>
      <c r="F107">
        <v>1</v>
      </c>
      <c r="G107">
        <v>0</v>
      </c>
      <c r="H107" s="1">
        <v>41618</v>
      </c>
      <c r="I107">
        <v>94</v>
      </c>
      <c r="J107">
        <v>1</v>
      </c>
      <c r="K107">
        <v>3</v>
      </c>
      <c r="L107">
        <v>6</v>
      </c>
      <c r="M107">
        <v>10</v>
      </c>
      <c r="N107">
        <v>0</v>
      </c>
      <c r="O107">
        <v>9</v>
      </c>
      <c r="P107">
        <v>1</v>
      </c>
      <c r="Q107">
        <v>1</v>
      </c>
      <c r="R107">
        <v>0</v>
      </c>
      <c r="S107">
        <v>3</v>
      </c>
      <c r="T107">
        <v>5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3</v>
      </c>
      <c r="AB107">
        <v>11</v>
      </c>
      <c r="AC107">
        <v>0</v>
      </c>
    </row>
    <row r="108" spans="1:29" x14ac:dyDescent="0.3">
      <c r="A108">
        <v>7533</v>
      </c>
      <c r="B108">
        <v>1964</v>
      </c>
      <c r="C108" t="s">
        <v>29</v>
      </c>
      <c r="D108" t="s">
        <v>33</v>
      </c>
      <c r="E108">
        <v>49096</v>
      </c>
      <c r="F108">
        <v>1</v>
      </c>
      <c r="G108">
        <v>1</v>
      </c>
      <c r="H108" s="1">
        <v>41541</v>
      </c>
      <c r="I108">
        <v>15</v>
      </c>
      <c r="J108">
        <v>144</v>
      </c>
      <c r="K108">
        <v>1</v>
      </c>
      <c r="L108">
        <v>32</v>
      </c>
      <c r="M108">
        <v>2</v>
      </c>
      <c r="N108">
        <v>1</v>
      </c>
      <c r="O108">
        <v>7</v>
      </c>
      <c r="P108">
        <v>4</v>
      </c>
      <c r="Q108">
        <v>4</v>
      </c>
      <c r="R108">
        <v>1</v>
      </c>
      <c r="S108">
        <v>4</v>
      </c>
      <c r="T108">
        <v>7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3</v>
      </c>
      <c r="AB108">
        <v>11</v>
      </c>
      <c r="AC108">
        <v>0</v>
      </c>
    </row>
    <row r="109" spans="1:29" x14ac:dyDescent="0.3">
      <c r="A109">
        <v>2683</v>
      </c>
      <c r="B109">
        <v>1969</v>
      </c>
      <c r="C109" t="s">
        <v>29</v>
      </c>
      <c r="D109" t="s">
        <v>33</v>
      </c>
      <c r="E109">
        <v>52413</v>
      </c>
      <c r="F109">
        <v>0</v>
      </c>
      <c r="G109">
        <v>2</v>
      </c>
      <c r="H109" s="1">
        <v>41307</v>
      </c>
      <c r="I109">
        <v>56</v>
      </c>
      <c r="J109">
        <v>295</v>
      </c>
      <c r="K109">
        <v>106</v>
      </c>
      <c r="L109">
        <v>271</v>
      </c>
      <c r="M109">
        <v>75</v>
      </c>
      <c r="N109">
        <v>98</v>
      </c>
      <c r="O109">
        <v>65</v>
      </c>
      <c r="P109">
        <v>4</v>
      </c>
      <c r="Q109">
        <v>6</v>
      </c>
      <c r="R109">
        <v>4</v>
      </c>
      <c r="S109">
        <v>12</v>
      </c>
      <c r="T109">
        <v>6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3</v>
      </c>
      <c r="AB109">
        <v>11</v>
      </c>
      <c r="AC109">
        <v>0</v>
      </c>
    </row>
    <row r="110" spans="1:29" x14ac:dyDescent="0.3">
      <c r="A110">
        <v>3629</v>
      </c>
      <c r="B110">
        <v>1978</v>
      </c>
      <c r="C110" t="s">
        <v>29</v>
      </c>
      <c r="D110" t="s">
        <v>30</v>
      </c>
      <c r="E110">
        <v>38557</v>
      </c>
      <c r="F110">
        <v>1</v>
      </c>
      <c r="G110">
        <v>0</v>
      </c>
      <c r="H110" s="1">
        <v>41262</v>
      </c>
      <c r="I110">
        <v>17</v>
      </c>
      <c r="J110">
        <v>76</v>
      </c>
      <c r="K110">
        <v>3</v>
      </c>
      <c r="L110">
        <v>31</v>
      </c>
      <c r="M110">
        <v>4</v>
      </c>
      <c r="N110">
        <v>4</v>
      </c>
      <c r="O110">
        <v>27</v>
      </c>
      <c r="P110">
        <v>2</v>
      </c>
      <c r="Q110">
        <v>3</v>
      </c>
      <c r="R110">
        <v>1</v>
      </c>
      <c r="S110">
        <v>3</v>
      </c>
      <c r="T110">
        <v>7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3</v>
      </c>
      <c r="AB110">
        <v>11</v>
      </c>
      <c r="AC110">
        <v>0</v>
      </c>
    </row>
    <row r="111" spans="1:29" x14ac:dyDescent="0.3">
      <c r="A111">
        <v>10991</v>
      </c>
      <c r="B111">
        <v>1960</v>
      </c>
      <c r="C111" t="s">
        <v>34</v>
      </c>
      <c r="D111" t="s">
        <v>33</v>
      </c>
      <c r="E111">
        <v>89058</v>
      </c>
      <c r="F111">
        <v>0</v>
      </c>
      <c r="G111">
        <v>0</v>
      </c>
      <c r="H111" s="1">
        <v>41250</v>
      </c>
      <c r="I111">
        <v>18</v>
      </c>
      <c r="J111">
        <v>454</v>
      </c>
      <c r="K111">
        <v>194</v>
      </c>
      <c r="L111">
        <v>106</v>
      </c>
      <c r="M111">
        <v>31</v>
      </c>
      <c r="N111">
        <v>22</v>
      </c>
      <c r="O111">
        <v>43</v>
      </c>
      <c r="P111">
        <v>1</v>
      </c>
      <c r="Q111">
        <v>5</v>
      </c>
      <c r="R111">
        <v>4</v>
      </c>
      <c r="S111">
        <v>4</v>
      </c>
      <c r="T111">
        <v>2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3</v>
      </c>
      <c r="AB111">
        <v>11</v>
      </c>
      <c r="AC111">
        <v>0</v>
      </c>
    </row>
    <row r="112" spans="1:29" x14ac:dyDescent="0.3">
      <c r="A112">
        <v>5077</v>
      </c>
      <c r="B112">
        <v>1979</v>
      </c>
      <c r="C112" t="s">
        <v>29</v>
      </c>
      <c r="D112" t="s">
        <v>31</v>
      </c>
      <c r="E112">
        <v>77298</v>
      </c>
      <c r="F112">
        <v>0</v>
      </c>
      <c r="G112">
        <v>1</v>
      </c>
      <c r="H112" s="1">
        <v>41580</v>
      </c>
      <c r="I112">
        <v>46</v>
      </c>
      <c r="J112">
        <v>425</v>
      </c>
      <c r="K112">
        <v>115</v>
      </c>
      <c r="L112">
        <v>292</v>
      </c>
      <c r="M112">
        <v>23</v>
      </c>
      <c r="N112">
        <v>35</v>
      </c>
      <c r="O112">
        <v>79</v>
      </c>
      <c r="P112">
        <v>1</v>
      </c>
      <c r="Q112">
        <v>6</v>
      </c>
      <c r="R112">
        <v>6</v>
      </c>
      <c r="S112">
        <v>11</v>
      </c>
      <c r="T112">
        <v>3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3</v>
      </c>
      <c r="AB112">
        <v>11</v>
      </c>
      <c r="AC112">
        <v>0</v>
      </c>
    </row>
    <row r="113" spans="1:29" x14ac:dyDescent="0.3">
      <c r="A113">
        <v>7431</v>
      </c>
      <c r="B113">
        <v>1991</v>
      </c>
      <c r="C113" t="s">
        <v>32</v>
      </c>
      <c r="D113" t="s">
        <v>30</v>
      </c>
      <c r="E113">
        <v>68126</v>
      </c>
      <c r="F113">
        <v>0</v>
      </c>
      <c r="G113">
        <v>0</v>
      </c>
      <c r="H113" s="1">
        <v>41223</v>
      </c>
      <c r="I113">
        <v>40</v>
      </c>
      <c r="J113">
        <v>1332</v>
      </c>
      <c r="K113">
        <v>17</v>
      </c>
      <c r="L113">
        <v>311</v>
      </c>
      <c r="M113">
        <v>23</v>
      </c>
      <c r="N113">
        <v>51</v>
      </c>
      <c r="O113">
        <v>86</v>
      </c>
      <c r="P113">
        <v>1</v>
      </c>
      <c r="Q113">
        <v>7</v>
      </c>
      <c r="R113">
        <v>4</v>
      </c>
      <c r="S113">
        <v>5</v>
      </c>
      <c r="T113">
        <v>9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0</v>
      </c>
      <c r="AA113">
        <v>3</v>
      </c>
      <c r="AB113">
        <v>11</v>
      </c>
      <c r="AC113">
        <v>1</v>
      </c>
    </row>
    <row r="114" spans="1:29" x14ac:dyDescent="0.3">
      <c r="A114">
        <v>3267</v>
      </c>
      <c r="B114">
        <v>1963</v>
      </c>
      <c r="C114" t="s">
        <v>34</v>
      </c>
      <c r="D114" t="s">
        <v>31</v>
      </c>
      <c r="E114">
        <v>57288</v>
      </c>
      <c r="F114">
        <v>0</v>
      </c>
      <c r="G114">
        <v>1</v>
      </c>
      <c r="H114" s="1">
        <v>41815</v>
      </c>
      <c r="I114">
        <v>27</v>
      </c>
      <c r="J114">
        <v>527</v>
      </c>
      <c r="K114">
        <v>0</v>
      </c>
      <c r="L114">
        <v>21</v>
      </c>
      <c r="M114">
        <v>0</v>
      </c>
      <c r="N114">
        <v>0</v>
      </c>
      <c r="O114">
        <v>60</v>
      </c>
      <c r="P114">
        <v>3</v>
      </c>
      <c r="Q114">
        <v>8</v>
      </c>
      <c r="R114">
        <v>1</v>
      </c>
      <c r="S114">
        <v>8</v>
      </c>
      <c r="T114">
        <v>6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0</v>
      </c>
      <c r="AA114">
        <v>3</v>
      </c>
      <c r="AB114">
        <v>11</v>
      </c>
      <c r="AC114">
        <v>0</v>
      </c>
    </row>
    <row r="115" spans="1:29" x14ac:dyDescent="0.3">
      <c r="A115">
        <v>999</v>
      </c>
      <c r="B115">
        <v>1991</v>
      </c>
      <c r="C115" t="s">
        <v>29</v>
      </c>
      <c r="D115" t="s">
        <v>30</v>
      </c>
      <c r="E115">
        <v>86037</v>
      </c>
      <c r="F115">
        <v>0</v>
      </c>
      <c r="G115">
        <v>0</v>
      </c>
      <c r="H115" s="1">
        <v>41276</v>
      </c>
      <c r="I115">
        <v>95</v>
      </c>
      <c r="J115">
        <v>490</v>
      </c>
      <c r="K115">
        <v>44</v>
      </c>
      <c r="L115">
        <v>125</v>
      </c>
      <c r="M115">
        <v>29</v>
      </c>
      <c r="N115">
        <v>20</v>
      </c>
      <c r="O115">
        <v>22</v>
      </c>
      <c r="P115">
        <v>1</v>
      </c>
      <c r="Q115">
        <v>6</v>
      </c>
      <c r="R115">
        <v>7</v>
      </c>
      <c r="S115">
        <v>11</v>
      </c>
      <c r="T115">
        <v>3</v>
      </c>
      <c r="U115">
        <v>0</v>
      </c>
      <c r="V115">
        <v>1</v>
      </c>
      <c r="W115">
        <v>1</v>
      </c>
      <c r="X115">
        <v>0</v>
      </c>
      <c r="Y115">
        <v>0</v>
      </c>
      <c r="Z115">
        <v>0</v>
      </c>
      <c r="AA115">
        <v>3</v>
      </c>
      <c r="AB115">
        <v>11</v>
      </c>
      <c r="AC115">
        <v>1</v>
      </c>
    </row>
    <row r="116" spans="1:29" x14ac:dyDescent="0.3">
      <c r="A116">
        <v>9215</v>
      </c>
      <c r="B116">
        <v>1980</v>
      </c>
      <c r="C116" t="s">
        <v>32</v>
      </c>
      <c r="D116" t="s">
        <v>33</v>
      </c>
      <c r="E116">
        <v>43974</v>
      </c>
      <c r="F116">
        <v>1</v>
      </c>
      <c r="G116">
        <v>0</v>
      </c>
      <c r="H116" s="1">
        <v>41255</v>
      </c>
      <c r="I116">
        <v>19</v>
      </c>
      <c r="J116">
        <v>378</v>
      </c>
      <c r="K116">
        <v>0</v>
      </c>
      <c r="L116">
        <v>101</v>
      </c>
      <c r="M116">
        <v>0</v>
      </c>
      <c r="N116">
        <v>0</v>
      </c>
      <c r="O116">
        <v>72</v>
      </c>
      <c r="P116">
        <v>5</v>
      </c>
      <c r="Q116">
        <v>6</v>
      </c>
      <c r="R116">
        <v>4</v>
      </c>
      <c r="S116">
        <v>6</v>
      </c>
      <c r="T116">
        <v>7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3</v>
      </c>
      <c r="AB116">
        <v>11</v>
      </c>
      <c r="AC116">
        <v>0</v>
      </c>
    </row>
    <row r="117" spans="1:29" x14ac:dyDescent="0.3">
      <c r="A117">
        <v>2286</v>
      </c>
      <c r="B117">
        <v>1962</v>
      </c>
      <c r="C117" t="s">
        <v>29</v>
      </c>
      <c r="D117" t="s">
        <v>30</v>
      </c>
      <c r="E117">
        <v>50785</v>
      </c>
      <c r="F117">
        <v>1</v>
      </c>
      <c r="G117">
        <v>1</v>
      </c>
      <c r="H117" s="1">
        <v>41527</v>
      </c>
      <c r="I117">
        <v>27</v>
      </c>
      <c r="J117">
        <v>64</v>
      </c>
      <c r="K117">
        <v>1</v>
      </c>
      <c r="L117">
        <v>21</v>
      </c>
      <c r="M117">
        <v>0</v>
      </c>
      <c r="N117">
        <v>1</v>
      </c>
      <c r="O117">
        <v>27</v>
      </c>
      <c r="P117">
        <v>2</v>
      </c>
      <c r="Q117">
        <v>2</v>
      </c>
      <c r="R117">
        <v>1</v>
      </c>
      <c r="S117">
        <v>3</v>
      </c>
      <c r="T117">
        <v>6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3</v>
      </c>
      <c r="AB117">
        <v>11</v>
      </c>
      <c r="AC117">
        <v>0</v>
      </c>
    </row>
    <row r="118" spans="1:29" x14ac:dyDescent="0.3">
      <c r="A118">
        <v>1592</v>
      </c>
      <c r="B118">
        <v>1970</v>
      </c>
      <c r="C118" t="s">
        <v>29</v>
      </c>
      <c r="D118" t="s">
        <v>33</v>
      </c>
      <c r="E118">
        <v>90765</v>
      </c>
      <c r="F118">
        <v>0</v>
      </c>
      <c r="G118">
        <v>0</v>
      </c>
      <c r="H118" s="1">
        <v>41663</v>
      </c>
      <c r="I118">
        <v>25</v>
      </c>
      <c r="J118">
        <v>547</v>
      </c>
      <c r="K118">
        <v>99</v>
      </c>
      <c r="L118">
        <v>812</v>
      </c>
      <c r="M118">
        <v>151</v>
      </c>
      <c r="N118">
        <v>82</v>
      </c>
      <c r="O118">
        <v>33</v>
      </c>
      <c r="P118">
        <v>0</v>
      </c>
      <c r="Q118">
        <v>4</v>
      </c>
      <c r="R118">
        <v>6</v>
      </c>
      <c r="S118">
        <v>5</v>
      </c>
      <c r="T118">
        <v>1</v>
      </c>
      <c r="U118">
        <v>0</v>
      </c>
      <c r="V118">
        <v>0</v>
      </c>
      <c r="W118">
        <v>1</v>
      </c>
      <c r="X118">
        <v>1</v>
      </c>
      <c r="Y118">
        <v>0</v>
      </c>
      <c r="Z118">
        <v>0</v>
      </c>
      <c r="AA118">
        <v>3</v>
      </c>
      <c r="AB118">
        <v>11</v>
      </c>
      <c r="AC118">
        <v>0</v>
      </c>
    </row>
    <row r="119" spans="1:29" x14ac:dyDescent="0.3">
      <c r="A119">
        <v>367</v>
      </c>
      <c r="B119">
        <v>1978</v>
      </c>
      <c r="C119" t="s">
        <v>37</v>
      </c>
      <c r="D119" t="s">
        <v>33</v>
      </c>
      <c r="E119">
        <v>36550</v>
      </c>
      <c r="F119">
        <v>1</v>
      </c>
      <c r="G119">
        <v>0</v>
      </c>
      <c r="H119" s="1">
        <v>41324</v>
      </c>
      <c r="I119">
        <v>74</v>
      </c>
      <c r="J119">
        <v>47</v>
      </c>
      <c r="K119">
        <v>90</v>
      </c>
      <c r="L119">
        <v>94</v>
      </c>
      <c r="M119">
        <v>123</v>
      </c>
      <c r="N119">
        <v>103</v>
      </c>
      <c r="O119">
        <v>120</v>
      </c>
      <c r="P119">
        <v>5</v>
      </c>
      <c r="Q119">
        <v>9</v>
      </c>
      <c r="R119">
        <v>1</v>
      </c>
      <c r="S119">
        <v>5</v>
      </c>
      <c r="T119">
        <v>9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3</v>
      </c>
      <c r="AB119">
        <v>11</v>
      </c>
      <c r="AC119">
        <v>0</v>
      </c>
    </row>
    <row r="120" spans="1:29" x14ac:dyDescent="0.3">
      <c r="A120">
        <v>5234</v>
      </c>
      <c r="B120">
        <v>1967</v>
      </c>
      <c r="C120" t="s">
        <v>37</v>
      </c>
      <c r="D120" t="s">
        <v>31</v>
      </c>
      <c r="E120">
        <v>30753</v>
      </c>
      <c r="F120">
        <v>1</v>
      </c>
      <c r="G120">
        <v>1</v>
      </c>
      <c r="H120" s="1">
        <v>41466</v>
      </c>
      <c r="I120">
        <v>85</v>
      </c>
      <c r="J120">
        <v>12</v>
      </c>
      <c r="K120">
        <v>5</v>
      </c>
      <c r="L120">
        <v>25</v>
      </c>
      <c r="M120">
        <v>0</v>
      </c>
      <c r="N120">
        <v>9</v>
      </c>
      <c r="O120">
        <v>30</v>
      </c>
      <c r="P120">
        <v>2</v>
      </c>
      <c r="Q120">
        <v>1</v>
      </c>
      <c r="R120">
        <v>1</v>
      </c>
      <c r="S120">
        <v>3</v>
      </c>
      <c r="T120">
        <v>5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3</v>
      </c>
      <c r="AB120">
        <v>11</v>
      </c>
      <c r="AC120">
        <v>0</v>
      </c>
    </row>
    <row r="121" spans="1:29" x14ac:dyDescent="0.3">
      <c r="A121">
        <v>9862</v>
      </c>
      <c r="B121">
        <v>1969</v>
      </c>
      <c r="C121" t="s">
        <v>29</v>
      </c>
      <c r="D121" t="s">
        <v>31</v>
      </c>
      <c r="E121">
        <v>21918</v>
      </c>
      <c r="F121">
        <v>1</v>
      </c>
      <c r="G121">
        <v>0</v>
      </c>
      <c r="H121" s="1">
        <v>41592</v>
      </c>
      <c r="I121">
        <v>37</v>
      </c>
      <c r="J121">
        <v>1</v>
      </c>
      <c r="K121">
        <v>6</v>
      </c>
      <c r="L121">
        <v>7</v>
      </c>
      <c r="M121">
        <v>11</v>
      </c>
      <c r="N121">
        <v>5</v>
      </c>
      <c r="O121">
        <v>3</v>
      </c>
      <c r="P121">
        <v>2</v>
      </c>
      <c r="Q121">
        <v>2</v>
      </c>
      <c r="R121">
        <v>0</v>
      </c>
      <c r="S121">
        <v>3</v>
      </c>
      <c r="T121">
        <v>6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3</v>
      </c>
      <c r="AB121">
        <v>11</v>
      </c>
      <c r="AC121">
        <v>0</v>
      </c>
    </row>
    <row r="122" spans="1:29" x14ac:dyDescent="0.3">
      <c r="A122">
        <v>9805</v>
      </c>
      <c r="B122">
        <v>1953</v>
      </c>
      <c r="C122" t="s">
        <v>34</v>
      </c>
      <c r="D122" t="s">
        <v>31</v>
      </c>
      <c r="E122">
        <v>56129</v>
      </c>
      <c r="F122">
        <v>0</v>
      </c>
      <c r="G122">
        <v>1</v>
      </c>
      <c r="H122" s="1">
        <v>41445</v>
      </c>
      <c r="I122">
        <v>65</v>
      </c>
      <c r="J122">
        <v>320</v>
      </c>
      <c r="K122">
        <v>48</v>
      </c>
      <c r="L122">
        <v>133</v>
      </c>
      <c r="M122">
        <v>39</v>
      </c>
      <c r="N122">
        <v>72</v>
      </c>
      <c r="O122">
        <v>48</v>
      </c>
      <c r="P122">
        <v>4</v>
      </c>
      <c r="Q122">
        <v>6</v>
      </c>
      <c r="R122">
        <v>2</v>
      </c>
      <c r="S122">
        <v>10</v>
      </c>
      <c r="T122">
        <v>4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3</v>
      </c>
      <c r="AB122">
        <v>11</v>
      </c>
      <c r="AC122">
        <v>0</v>
      </c>
    </row>
    <row r="123" spans="1:29" x14ac:dyDescent="0.3">
      <c r="A123">
        <v>6205</v>
      </c>
      <c r="B123">
        <v>1967</v>
      </c>
      <c r="C123" t="s">
        <v>34</v>
      </c>
      <c r="D123" t="s">
        <v>30</v>
      </c>
      <c r="E123">
        <v>32557</v>
      </c>
      <c r="F123">
        <v>1</v>
      </c>
      <c r="G123">
        <v>0</v>
      </c>
      <c r="H123" s="1">
        <v>41694</v>
      </c>
      <c r="I123">
        <v>13</v>
      </c>
      <c r="J123">
        <v>34</v>
      </c>
      <c r="K123">
        <v>3</v>
      </c>
      <c r="L123">
        <v>29</v>
      </c>
      <c r="M123">
        <v>0</v>
      </c>
      <c r="N123">
        <v>4</v>
      </c>
      <c r="O123">
        <v>10</v>
      </c>
      <c r="P123">
        <v>3</v>
      </c>
      <c r="Q123">
        <v>2</v>
      </c>
      <c r="R123">
        <v>1</v>
      </c>
      <c r="S123">
        <v>3</v>
      </c>
      <c r="T123">
        <v>5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3</v>
      </c>
      <c r="AB123">
        <v>11</v>
      </c>
      <c r="AC123">
        <v>1</v>
      </c>
    </row>
    <row r="124" spans="1:29" x14ac:dyDescent="0.3">
      <c r="A124">
        <v>8442</v>
      </c>
      <c r="B124">
        <v>1985</v>
      </c>
      <c r="C124" t="s">
        <v>34</v>
      </c>
      <c r="D124" t="s">
        <v>33</v>
      </c>
      <c r="E124">
        <v>19510</v>
      </c>
      <c r="F124">
        <v>2</v>
      </c>
      <c r="G124">
        <v>0</v>
      </c>
      <c r="H124" s="1">
        <v>41521</v>
      </c>
      <c r="I124">
        <v>63</v>
      </c>
      <c r="J124">
        <v>9</v>
      </c>
      <c r="K124">
        <v>0</v>
      </c>
      <c r="L124">
        <v>7</v>
      </c>
      <c r="M124">
        <v>3</v>
      </c>
      <c r="N124">
        <v>4</v>
      </c>
      <c r="O124">
        <v>7</v>
      </c>
      <c r="P124">
        <v>2</v>
      </c>
      <c r="Q124">
        <v>1</v>
      </c>
      <c r="R124">
        <v>0</v>
      </c>
      <c r="S124">
        <v>3</v>
      </c>
      <c r="T124">
        <v>7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3</v>
      </c>
      <c r="AB124">
        <v>11</v>
      </c>
      <c r="AC124">
        <v>0</v>
      </c>
    </row>
    <row r="125" spans="1:29" x14ac:dyDescent="0.3">
      <c r="A125">
        <v>7386</v>
      </c>
      <c r="B125">
        <v>1976</v>
      </c>
      <c r="C125" t="s">
        <v>29</v>
      </c>
      <c r="D125" t="s">
        <v>35</v>
      </c>
      <c r="E125">
        <v>30992</v>
      </c>
      <c r="F125">
        <v>1</v>
      </c>
      <c r="G125">
        <v>0</v>
      </c>
      <c r="H125" s="1">
        <v>41386</v>
      </c>
      <c r="I125">
        <v>83</v>
      </c>
      <c r="J125">
        <v>17</v>
      </c>
      <c r="K125">
        <v>0</v>
      </c>
      <c r="L125">
        <v>14</v>
      </c>
      <c r="M125">
        <v>7</v>
      </c>
      <c r="N125">
        <v>3</v>
      </c>
      <c r="O125">
        <v>2</v>
      </c>
      <c r="P125">
        <v>1</v>
      </c>
      <c r="Q125">
        <v>1</v>
      </c>
      <c r="R125">
        <v>0</v>
      </c>
      <c r="S125">
        <v>3</v>
      </c>
      <c r="T125">
        <v>7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3</v>
      </c>
      <c r="AB125">
        <v>11</v>
      </c>
      <c r="AC125">
        <v>0</v>
      </c>
    </row>
    <row r="126" spans="1:29" x14ac:dyDescent="0.3">
      <c r="A126">
        <v>7215</v>
      </c>
      <c r="B126">
        <v>1983</v>
      </c>
      <c r="C126" t="s">
        <v>29</v>
      </c>
      <c r="D126" t="s">
        <v>30</v>
      </c>
      <c r="E126">
        <v>101970</v>
      </c>
      <c r="F126">
        <v>0</v>
      </c>
      <c r="G126">
        <v>0</v>
      </c>
      <c r="H126" s="1">
        <v>41345</v>
      </c>
      <c r="I126">
        <v>69</v>
      </c>
      <c r="J126">
        <v>722</v>
      </c>
      <c r="K126">
        <v>27</v>
      </c>
      <c r="L126">
        <v>102</v>
      </c>
      <c r="M126">
        <v>44</v>
      </c>
      <c r="N126">
        <v>72</v>
      </c>
      <c r="O126">
        <v>168</v>
      </c>
      <c r="P126">
        <v>0</v>
      </c>
      <c r="Q126">
        <v>6</v>
      </c>
      <c r="R126">
        <v>8</v>
      </c>
      <c r="S126">
        <v>13</v>
      </c>
      <c r="T126">
        <v>2</v>
      </c>
      <c r="U126">
        <v>0</v>
      </c>
      <c r="V126">
        <v>1</v>
      </c>
      <c r="W126">
        <v>1</v>
      </c>
      <c r="X126">
        <v>1</v>
      </c>
      <c r="Y126">
        <v>0</v>
      </c>
      <c r="Z126">
        <v>0</v>
      </c>
      <c r="AA126">
        <v>3</v>
      </c>
      <c r="AB126">
        <v>11</v>
      </c>
      <c r="AC126">
        <v>1</v>
      </c>
    </row>
    <row r="127" spans="1:29" x14ac:dyDescent="0.3">
      <c r="A127">
        <v>1491</v>
      </c>
      <c r="B127">
        <v>1965</v>
      </c>
      <c r="C127" t="s">
        <v>37</v>
      </c>
      <c r="D127" t="s">
        <v>31</v>
      </c>
      <c r="E127">
        <v>71488</v>
      </c>
      <c r="F127">
        <v>0</v>
      </c>
      <c r="G127">
        <v>0</v>
      </c>
      <c r="H127" s="1">
        <v>41323</v>
      </c>
      <c r="I127">
        <v>87</v>
      </c>
      <c r="J127">
        <v>162</v>
      </c>
      <c r="K127">
        <v>33</v>
      </c>
      <c r="L127">
        <v>124</v>
      </c>
      <c r="M127">
        <v>40</v>
      </c>
      <c r="N127">
        <v>28</v>
      </c>
      <c r="O127">
        <v>172</v>
      </c>
      <c r="P127">
        <v>2</v>
      </c>
      <c r="Q127">
        <v>3</v>
      </c>
      <c r="R127">
        <v>4</v>
      </c>
      <c r="S127">
        <v>7</v>
      </c>
      <c r="T127">
        <v>1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3</v>
      </c>
      <c r="AB127">
        <v>11</v>
      </c>
      <c r="AC127">
        <v>0</v>
      </c>
    </row>
    <row r="128" spans="1:29" x14ac:dyDescent="0.3">
      <c r="A128">
        <v>11071</v>
      </c>
      <c r="B128">
        <v>1984</v>
      </c>
      <c r="C128" t="s">
        <v>29</v>
      </c>
      <c r="D128" t="s">
        <v>30</v>
      </c>
      <c r="E128">
        <v>79607</v>
      </c>
      <c r="F128">
        <v>0</v>
      </c>
      <c r="G128">
        <v>0</v>
      </c>
      <c r="H128" s="1">
        <v>41385</v>
      </c>
      <c r="I128">
        <v>37</v>
      </c>
      <c r="J128">
        <v>450</v>
      </c>
      <c r="K128">
        <v>133</v>
      </c>
      <c r="L128">
        <v>951</v>
      </c>
      <c r="M128">
        <v>173</v>
      </c>
      <c r="N128">
        <v>0</v>
      </c>
      <c r="O128">
        <v>216</v>
      </c>
      <c r="P128">
        <v>1</v>
      </c>
      <c r="Q128">
        <v>3</v>
      </c>
      <c r="R128">
        <v>6</v>
      </c>
      <c r="S128">
        <v>6</v>
      </c>
      <c r="T128">
        <v>1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3</v>
      </c>
      <c r="AB128">
        <v>11</v>
      </c>
      <c r="AC128">
        <v>1</v>
      </c>
    </row>
    <row r="129" spans="1:29" x14ac:dyDescent="0.3">
      <c r="A129">
        <v>3381</v>
      </c>
      <c r="B129">
        <v>1953</v>
      </c>
      <c r="C129" t="s">
        <v>34</v>
      </c>
      <c r="D129" t="s">
        <v>33</v>
      </c>
      <c r="E129">
        <v>54348</v>
      </c>
      <c r="F129">
        <v>1</v>
      </c>
      <c r="G129">
        <v>1</v>
      </c>
      <c r="H129" s="1">
        <v>41798</v>
      </c>
      <c r="I129">
        <v>51</v>
      </c>
      <c r="J129">
        <v>70</v>
      </c>
      <c r="K129">
        <v>0</v>
      </c>
      <c r="L129">
        <v>16</v>
      </c>
      <c r="M129">
        <v>0</v>
      </c>
      <c r="N129">
        <v>0</v>
      </c>
      <c r="O129">
        <v>4</v>
      </c>
      <c r="P129">
        <v>2</v>
      </c>
      <c r="Q129">
        <v>2</v>
      </c>
      <c r="R129">
        <v>0</v>
      </c>
      <c r="S129">
        <v>4</v>
      </c>
      <c r="T129">
        <v>6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3</v>
      </c>
      <c r="AB129">
        <v>11</v>
      </c>
      <c r="AC129">
        <v>0</v>
      </c>
    </row>
    <row r="130" spans="1:29" x14ac:dyDescent="0.3">
      <c r="A130">
        <v>8268</v>
      </c>
      <c r="B130">
        <v>1961</v>
      </c>
      <c r="C130" t="s">
        <v>32</v>
      </c>
      <c r="D130" t="s">
        <v>33</v>
      </c>
      <c r="F130">
        <v>0</v>
      </c>
      <c r="G130">
        <v>1</v>
      </c>
      <c r="H130" s="1">
        <v>41466</v>
      </c>
      <c r="I130">
        <v>23</v>
      </c>
      <c r="J130">
        <v>352</v>
      </c>
      <c r="K130">
        <v>0</v>
      </c>
      <c r="L130">
        <v>27</v>
      </c>
      <c r="M130">
        <v>10</v>
      </c>
      <c r="N130">
        <v>0</v>
      </c>
      <c r="O130">
        <v>15</v>
      </c>
      <c r="P130">
        <v>3</v>
      </c>
      <c r="Q130">
        <v>6</v>
      </c>
      <c r="R130">
        <v>1</v>
      </c>
      <c r="S130">
        <v>7</v>
      </c>
      <c r="T130">
        <v>6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3</v>
      </c>
      <c r="AB130">
        <v>11</v>
      </c>
      <c r="AC130">
        <v>0</v>
      </c>
    </row>
    <row r="131" spans="1:29" x14ac:dyDescent="0.3">
      <c r="A131">
        <v>11051</v>
      </c>
      <c r="B131">
        <v>1956</v>
      </c>
      <c r="C131" t="s">
        <v>32</v>
      </c>
      <c r="D131" t="s">
        <v>31</v>
      </c>
      <c r="E131">
        <v>77376</v>
      </c>
      <c r="F131">
        <v>1</v>
      </c>
      <c r="G131">
        <v>1</v>
      </c>
      <c r="H131" s="1">
        <v>41769</v>
      </c>
      <c r="I131">
        <v>72</v>
      </c>
      <c r="J131">
        <v>492</v>
      </c>
      <c r="K131">
        <v>19</v>
      </c>
      <c r="L131">
        <v>110</v>
      </c>
      <c r="M131">
        <v>16</v>
      </c>
      <c r="N131">
        <v>12</v>
      </c>
      <c r="O131">
        <v>12</v>
      </c>
      <c r="P131">
        <v>4</v>
      </c>
      <c r="Q131">
        <v>6</v>
      </c>
      <c r="R131">
        <v>3</v>
      </c>
      <c r="S131">
        <v>10</v>
      </c>
      <c r="T131">
        <v>4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3</v>
      </c>
      <c r="AB131">
        <v>11</v>
      </c>
      <c r="AC131">
        <v>0</v>
      </c>
    </row>
    <row r="132" spans="1:29" x14ac:dyDescent="0.3">
      <c r="A132">
        <v>8026</v>
      </c>
      <c r="B132">
        <v>1952</v>
      </c>
      <c r="C132" t="s">
        <v>29</v>
      </c>
      <c r="D132" t="s">
        <v>33</v>
      </c>
      <c r="E132">
        <v>62998</v>
      </c>
      <c r="F132">
        <v>0</v>
      </c>
      <c r="G132">
        <v>1</v>
      </c>
      <c r="H132" s="1">
        <v>41547</v>
      </c>
      <c r="I132">
        <v>10</v>
      </c>
      <c r="J132">
        <v>120</v>
      </c>
      <c r="K132">
        <v>58</v>
      </c>
      <c r="L132">
        <v>73</v>
      </c>
      <c r="M132">
        <v>65</v>
      </c>
      <c r="N132">
        <v>89</v>
      </c>
      <c r="O132">
        <v>58</v>
      </c>
      <c r="P132">
        <v>5</v>
      </c>
      <c r="Q132">
        <v>5</v>
      </c>
      <c r="R132">
        <v>4</v>
      </c>
      <c r="S132">
        <v>5</v>
      </c>
      <c r="T132">
        <v>5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3</v>
      </c>
      <c r="AB132">
        <v>11</v>
      </c>
      <c r="AC132">
        <v>0</v>
      </c>
    </row>
    <row r="133" spans="1:29" x14ac:dyDescent="0.3">
      <c r="A133">
        <v>433</v>
      </c>
      <c r="B133">
        <v>1958</v>
      </c>
      <c r="C133" t="s">
        <v>34</v>
      </c>
      <c r="D133" t="s">
        <v>39</v>
      </c>
      <c r="E133">
        <v>61331</v>
      </c>
      <c r="F133">
        <v>1</v>
      </c>
      <c r="G133">
        <v>1</v>
      </c>
      <c r="H133" s="1">
        <v>41343</v>
      </c>
      <c r="I133">
        <v>42</v>
      </c>
      <c r="J133">
        <v>534</v>
      </c>
      <c r="K133">
        <v>5</v>
      </c>
      <c r="L133">
        <v>47</v>
      </c>
      <c r="M133">
        <v>0</v>
      </c>
      <c r="N133">
        <v>5</v>
      </c>
      <c r="O133">
        <v>41</v>
      </c>
      <c r="P133">
        <v>5</v>
      </c>
      <c r="Q133">
        <v>11</v>
      </c>
      <c r="R133">
        <v>1</v>
      </c>
      <c r="S133">
        <v>6</v>
      </c>
      <c r="T133">
        <v>8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3</v>
      </c>
      <c r="AB133">
        <v>11</v>
      </c>
      <c r="AC133">
        <v>0</v>
      </c>
    </row>
    <row r="134" spans="1:29" x14ac:dyDescent="0.3">
      <c r="A134">
        <v>9597</v>
      </c>
      <c r="B134">
        <v>1969</v>
      </c>
      <c r="C134" t="s">
        <v>29</v>
      </c>
      <c r="D134" t="s">
        <v>33</v>
      </c>
      <c r="E134">
        <v>73448</v>
      </c>
      <c r="F134">
        <v>0</v>
      </c>
      <c r="G134">
        <v>0</v>
      </c>
      <c r="H134" s="1">
        <v>41680</v>
      </c>
      <c r="I134">
        <v>10</v>
      </c>
      <c r="J134">
        <v>236</v>
      </c>
      <c r="K134">
        <v>106</v>
      </c>
      <c r="L134">
        <v>189</v>
      </c>
      <c r="M134">
        <v>23</v>
      </c>
      <c r="N134">
        <v>41</v>
      </c>
      <c r="O134">
        <v>130</v>
      </c>
      <c r="P134">
        <v>1</v>
      </c>
      <c r="Q134">
        <v>7</v>
      </c>
      <c r="R134">
        <v>2</v>
      </c>
      <c r="S134">
        <v>9</v>
      </c>
      <c r="T134">
        <v>4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3</v>
      </c>
      <c r="AB134">
        <v>11</v>
      </c>
      <c r="AC134">
        <v>0</v>
      </c>
    </row>
    <row r="135" spans="1:29" x14ac:dyDescent="0.3">
      <c r="A135">
        <v>1295</v>
      </c>
      <c r="B135">
        <v>1963</v>
      </c>
      <c r="C135" t="s">
        <v>29</v>
      </c>
      <c r="D135" t="s">
        <v>33</v>
      </c>
      <c r="F135">
        <v>0</v>
      </c>
      <c r="G135">
        <v>1</v>
      </c>
      <c r="H135" s="1">
        <v>41497</v>
      </c>
      <c r="I135">
        <v>96</v>
      </c>
      <c r="J135">
        <v>231</v>
      </c>
      <c r="K135">
        <v>65</v>
      </c>
      <c r="L135">
        <v>196</v>
      </c>
      <c r="M135">
        <v>38</v>
      </c>
      <c r="N135">
        <v>71</v>
      </c>
      <c r="O135">
        <v>124</v>
      </c>
      <c r="P135">
        <v>1</v>
      </c>
      <c r="Q135">
        <v>6</v>
      </c>
      <c r="R135">
        <v>5</v>
      </c>
      <c r="S135">
        <v>7</v>
      </c>
      <c r="T135">
        <v>4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3</v>
      </c>
      <c r="AB135">
        <v>11</v>
      </c>
      <c r="AC135">
        <v>0</v>
      </c>
    </row>
    <row r="136" spans="1:29" x14ac:dyDescent="0.3">
      <c r="A136">
        <v>5290</v>
      </c>
      <c r="B136">
        <v>1964</v>
      </c>
      <c r="C136" t="s">
        <v>32</v>
      </c>
      <c r="D136" t="s">
        <v>33</v>
      </c>
      <c r="E136">
        <v>41551</v>
      </c>
      <c r="F136">
        <v>1</v>
      </c>
      <c r="G136">
        <v>1</v>
      </c>
      <c r="H136" s="1">
        <v>41500</v>
      </c>
      <c r="I136">
        <v>51</v>
      </c>
      <c r="J136">
        <v>220</v>
      </c>
      <c r="K136">
        <v>0</v>
      </c>
      <c r="L136">
        <v>33</v>
      </c>
      <c r="M136">
        <v>3</v>
      </c>
      <c r="N136">
        <v>0</v>
      </c>
      <c r="O136">
        <v>23</v>
      </c>
      <c r="P136">
        <v>5</v>
      </c>
      <c r="Q136">
        <v>5</v>
      </c>
      <c r="R136">
        <v>1</v>
      </c>
      <c r="S136">
        <v>5</v>
      </c>
      <c r="T136">
        <v>8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3</v>
      </c>
      <c r="AB136">
        <v>11</v>
      </c>
      <c r="AC136">
        <v>0</v>
      </c>
    </row>
    <row r="137" spans="1:29" x14ac:dyDescent="0.3">
      <c r="A137">
        <v>1685</v>
      </c>
      <c r="B137">
        <v>1967</v>
      </c>
      <c r="C137" t="s">
        <v>32</v>
      </c>
      <c r="D137" t="s">
        <v>31</v>
      </c>
      <c r="E137">
        <v>62981</v>
      </c>
      <c r="F137">
        <v>0</v>
      </c>
      <c r="G137">
        <v>0</v>
      </c>
      <c r="H137" s="1">
        <v>41350</v>
      </c>
      <c r="I137">
        <v>21</v>
      </c>
      <c r="J137">
        <v>796</v>
      </c>
      <c r="K137">
        <v>14</v>
      </c>
      <c r="L137">
        <v>590</v>
      </c>
      <c r="M137">
        <v>38</v>
      </c>
      <c r="N137">
        <v>44</v>
      </c>
      <c r="O137">
        <v>0</v>
      </c>
      <c r="P137">
        <v>1</v>
      </c>
      <c r="Q137">
        <v>4</v>
      </c>
      <c r="R137">
        <v>5</v>
      </c>
      <c r="S137">
        <v>13</v>
      </c>
      <c r="T137">
        <v>3</v>
      </c>
      <c r="U137">
        <v>0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3</v>
      </c>
      <c r="AB137">
        <v>11</v>
      </c>
      <c r="AC137">
        <v>0</v>
      </c>
    </row>
    <row r="138" spans="1:29" x14ac:dyDescent="0.3">
      <c r="A138">
        <v>5342</v>
      </c>
      <c r="B138">
        <v>1976</v>
      </c>
      <c r="C138" t="s">
        <v>36</v>
      </c>
      <c r="D138" t="s">
        <v>35</v>
      </c>
      <c r="E138">
        <v>9548</v>
      </c>
      <c r="F138">
        <v>1</v>
      </c>
      <c r="G138">
        <v>0</v>
      </c>
      <c r="H138" s="1">
        <v>41129</v>
      </c>
      <c r="I138">
        <v>31</v>
      </c>
      <c r="J138">
        <v>0</v>
      </c>
      <c r="K138">
        <v>1</v>
      </c>
      <c r="L138">
        <v>3</v>
      </c>
      <c r="M138">
        <v>10</v>
      </c>
      <c r="N138">
        <v>6</v>
      </c>
      <c r="O138">
        <v>9</v>
      </c>
      <c r="P138">
        <v>2</v>
      </c>
      <c r="Q138">
        <v>1</v>
      </c>
      <c r="R138">
        <v>0</v>
      </c>
      <c r="S138">
        <v>3</v>
      </c>
      <c r="T138">
        <v>8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3</v>
      </c>
      <c r="AB138">
        <v>11</v>
      </c>
      <c r="AC138">
        <v>0</v>
      </c>
    </row>
    <row r="139" spans="1:29" x14ac:dyDescent="0.3">
      <c r="A139">
        <v>9579</v>
      </c>
      <c r="B139">
        <v>1959</v>
      </c>
      <c r="C139" t="s">
        <v>32</v>
      </c>
      <c r="D139" t="s">
        <v>33</v>
      </c>
      <c r="E139">
        <v>33762</v>
      </c>
      <c r="F139">
        <v>2</v>
      </c>
      <c r="G139">
        <v>1</v>
      </c>
      <c r="H139" s="1">
        <v>41462</v>
      </c>
      <c r="I139">
        <v>61</v>
      </c>
      <c r="J139">
        <v>53</v>
      </c>
      <c r="K139">
        <v>1</v>
      </c>
      <c r="L139">
        <v>34</v>
      </c>
      <c r="M139">
        <v>2</v>
      </c>
      <c r="N139">
        <v>0</v>
      </c>
      <c r="O139">
        <v>16</v>
      </c>
      <c r="P139">
        <v>3</v>
      </c>
      <c r="Q139">
        <v>2</v>
      </c>
      <c r="R139">
        <v>2</v>
      </c>
      <c r="S139">
        <v>2</v>
      </c>
      <c r="T139">
        <v>8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3</v>
      </c>
      <c r="AB139">
        <v>11</v>
      </c>
      <c r="AC139">
        <v>0</v>
      </c>
    </row>
    <row r="140" spans="1:29" x14ac:dyDescent="0.3">
      <c r="A140">
        <v>7660</v>
      </c>
      <c r="B140">
        <v>1973</v>
      </c>
      <c r="C140" t="s">
        <v>32</v>
      </c>
      <c r="D140" t="s">
        <v>39</v>
      </c>
      <c r="E140">
        <v>35860</v>
      </c>
      <c r="F140">
        <v>1</v>
      </c>
      <c r="G140">
        <v>1</v>
      </c>
      <c r="H140" s="1">
        <v>41778</v>
      </c>
      <c r="I140">
        <v>37</v>
      </c>
      <c r="J140">
        <v>15</v>
      </c>
      <c r="K140">
        <v>0</v>
      </c>
      <c r="L140">
        <v>8</v>
      </c>
      <c r="M140">
        <v>4</v>
      </c>
      <c r="N140">
        <v>2</v>
      </c>
      <c r="O140">
        <v>20</v>
      </c>
      <c r="P140">
        <v>2</v>
      </c>
      <c r="Q140">
        <v>1</v>
      </c>
      <c r="R140">
        <v>1</v>
      </c>
      <c r="S140">
        <v>2</v>
      </c>
      <c r="T140">
        <v>5</v>
      </c>
      <c r="U140">
        <v>1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3</v>
      </c>
      <c r="AB140">
        <v>11</v>
      </c>
      <c r="AC140">
        <v>1</v>
      </c>
    </row>
    <row r="141" spans="1:29" x14ac:dyDescent="0.3">
      <c r="A141">
        <v>1461</v>
      </c>
      <c r="B141">
        <v>1965</v>
      </c>
      <c r="C141" t="s">
        <v>32</v>
      </c>
      <c r="D141" t="s">
        <v>35</v>
      </c>
      <c r="E141">
        <v>36921</v>
      </c>
      <c r="F141">
        <v>1</v>
      </c>
      <c r="G141">
        <v>1</v>
      </c>
      <c r="H141" s="1">
        <v>41483</v>
      </c>
      <c r="I141">
        <v>74</v>
      </c>
      <c r="J141">
        <v>17</v>
      </c>
      <c r="K141">
        <v>1</v>
      </c>
      <c r="L141">
        <v>12</v>
      </c>
      <c r="M141">
        <v>3</v>
      </c>
      <c r="N141">
        <v>1</v>
      </c>
      <c r="O141">
        <v>4</v>
      </c>
      <c r="P141">
        <v>2</v>
      </c>
      <c r="Q141">
        <v>2</v>
      </c>
      <c r="R141">
        <v>0</v>
      </c>
      <c r="S141">
        <v>3</v>
      </c>
      <c r="T141">
        <v>7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3</v>
      </c>
      <c r="AB141">
        <v>11</v>
      </c>
      <c r="AC141">
        <v>0</v>
      </c>
    </row>
    <row r="142" spans="1:29" x14ac:dyDescent="0.3">
      <c r="A142">
        <v>821</v>
      </c>
      <c r="B142">
        <v>1992</v>
      </c>
      <c r="C142" t="s">
        <v>34</v>
      </c>
      <c r="D142" t="s">
        <v>30</v>
      </c>
      <c r="E142">
        <v>92859</v>
      </c>
      <c r="F142">
        <v>0</v>
      </c>
      <c r="G142">
        <v>0</v>
      </c>
      <c r="H142" s="1">
        <v>41201</v>
      </c>
      <c r="I142">
        <v>46</v>
      </c>
      <c r="J142">
        <v>962</v>
      </c>
      <c r="K142">
        <v>61</v>
      </c>
      <c r="L142">
        <v>921</v>
      </c>
      <c r="M142">
        <v>52</v>
      </c>
      <c r="N142">
        <v>61</v>
      </c>
      <c r="O142">
        <v>20</v>
      </c>
      <c r="P142">
        <v>1</v>
      </c>
      <c r="Q142">
        <v>5</v>
      </c>
      <c r="R142">
        <v>4</v>
      </c>
      <c r="S142">
        <v>12</v>
      </c>
      <c r="T142">
        <v>2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3</v>
      </c>
      <c r="AB142">
        <v>11</v>
      </c>
      <c r="AC142">
        <v>0</v>
      </c>
    </row>
    <row r="143" spans="1:29" x14ac:dyDescent="0.3">
      <c r="A143">
        <v>11084</v>
      </c>
      <c r="B143">
        <v>1976</v>
      </c>
      <c r="C143" t="s">
        <v>34</v>
      </c>
      <c r="D143" t="s">
        <v>31</v>
      </c>
      <c r="E143">
        <v>65104</v>
      </c>
      <c r="F143">
        <v>0</v>
      </c>
      <c r="G143">
        <v>1</v>
      </c>
      <c r="H143" s="1">
        <v>41592</v>
      </c>
      <c r="I143">
        <v>4</v>
      </c>
      <c r="J143">
        <v>738</v>
      </c>
      <c r="K143">
        <v>0</v>
      </c>
      <c r="L143">
        <v>232</v>
      </c>
      <c r="M143">
        <v>13</v>
      </c>
      <c r="N143">
        <v>20</v>
      </c>
      <c r="O143">
        <v>50</v>
      </c>
      <c r="P143">
        <v>2</v>
      </c>
      <c r="Q143">
        <v>3</v>
      </c>
      <c r="R143">
        <v>5</v>
      </c>
      <c r="S143">
        <v>7</v>
      </c>
      <c r="T143">
        <v>7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3</v>
      </c>
      <c r="AB143">
        <v>11</v>
      </c>
      <c r="AC143">
        <v>1</v>
      </c>
    </row>
    <row r="144" spans="1:29" x14ac:dyDescent="0.3">
      <c r="A144">
        <v>8690</v>
      </c>
      <c r="B144">
        <v>1962</v>
      </c>
      <c r="C144" t="s">
        <v>29</v>
      </c>
      <c r="D144" t="s">
        <v>33</v>
      </c>
      <c r="E144">
        <v>86111</v>
      </c>
      <c r="F144">
        <v>0</v>
      </c>
      <c r="G144">
        <v>0</v>
      </c>
      <c r="H144" s="1">
        <v>41383</v>
      </c>
      <c r="I144">
        <v>73</v>
      </c>
      <c r="J144">
        <v>399</v>
      </c>
      <c r="K144">
        <v>28</v>
      </c>
      <c r="L144">
        <v>756</v>
      </c>
      <c r="M144">
        <v>36</v>
      </c>
      <c r="N144">
        <v>40</v>
      </c>
      <c r="O144">
        <v>126</v>
      </c>
      <c r="P144">
        <v>1</v>
      </c>
      <c r="Q144">
        <v>5</v>
      </c>
      <c r="R144">
        <v>7</v>
      </c>
      <c r="S144">
        <v>10</v>
      </c>
      <c r="T144">
        <v>2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3</v>
      </c>
      <c r="AB144">
        <v>11</v>
      </c>
      <c r="AC144">
        <v>0</v>
      </c>
    </row>
    <row r="145" spans="1:29" x14ac:dyDescent="0.3">
      <c r="A145">
        <v>2937</v>
      </c>
      <c r="B145">
        <v>1974</v>
      </c>
      <c r="C145" t="s">
        <v>32</v>
      </c>
      <c r="D145" t="s">
        <v>30</v>
      </c>
      <c r="E145">
        <v>68352</v>
      </c>
      <c r="F145">
        <v>0</v>
      </c>
      <c r="G145">
        <v>1</v>
      </c>
      <c r="H145" s="1">
        <v>41514</v>
      </c>
      <c r="I145">
        <v>47</v>
      </c>
      <c r="J145">
        <v>614</v>
      </c>
      <c r="K145">
        <v>16</v>
      </c>
      <c r="L145">
        <v>132</v>
      </c>
      <c r="M145">
        <v>43</v>
      </c>
      <c r="N145">
        <v>33</v>
      </c>
      <c r="O145">
        <v>33</v>
      </c>
      <c r="P145">
        <v>3</v>
      </c>
      <c r="Q145">
        <v>8</v>
      </c>
      <c r="R145">
        <v>5</v>
      </c>
      <c r="S145">
        <v>9</v>
      </c>
      <c r="T145">
        <v>6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3</v>
      </c>
      <c r="AB145">
        <v>11</v>
      </c>
      <c r="AC145">
        <v>0</v>
      </c>
    </row>
    <row r="146" spans="1:29" x14ac:dyDescent="0.3">
      <c r="A146">
        <v>9701</v>
      </c>
      <c r="B146">
        <v>1988</v>
      </c>
      <c r="C146" t="s">
        <v>29</v>
      </c>
      <c r="D146" t="s">
        <v>31</v>
      </c>
      <c r="E146">
        <v>41883</v>
      </c>
      <c r="F146">
        <v>1</v>
      </c>
      <c r="G146">
        <v>0</v>
      </c>
      <c r="H146" s="1">
        <v>41352</v>
      </c>
      <c r="I146">
        <v>13</v>
      </c>
      <c r="J146">
        <v>32</v>
      </c>
      <c r="K146">
        <v>34</v>
      </c>
      <c r="L146">
        <v>41</v>
      </c>
      <c r="M146">
        <v>73</v>
      </c>
      <c r="N146">
        <v>16</v>
      </c>
      <c r="O146">
        <v>116</v>
      </c>
      <c r="P146">
        <v>3</v>
      </c>
      <c r="Q146">
        <v>4</v>
      </c>
      <c r="R146">
        <v>2</v>
      </c>
      <c r="S146">
        <v>3</v>
      </c>
      <c r="T146">
        <v>7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3</v>
      </c>
      <c r="AB146">
        <v>11</v>
      </c>
      <c r="AC146">
        <v>0</v>
      </c>
    </row>
    <row r="147" spans="1:29" x14ac:dyDescent="0.3">
      <c r="A147">
        <v>9949</v>
      </c>
      <c r="B147">
        <v>1976</v>
      </c>
      <c r="C147" t="s">
        <v>29</v>
      </c>
      <c r="D147" t="s">
        <v>33</v>
      </c>
      <c r="E147">
        <v>59809</v>
      </c>
      <c r="F147">
        <v>0</v>
      </c>
      <c r="G147">
        <v>2</v>
      </c>
      <c r="H147" s="1">
        <v>41200</v>
      </c>
      <c r="I147">
        <v>36</v>
      </c>
      <c r="J147">
        <v>598</v>
      </c>
      <c r="K147">
        <v>16</v>
      </c>
      <c r="L147">
        <v>141</v>
      </c>
      <c r="M147">
        <v>32</v>
      </c>
      <c r="N147">
        <v>41</v>
      </c>
      <c r="O147">
        <v>49</v>
      </c>
      <c r="P147">
        <v>3</v>
      </c>
      <c r="Q147">
        <v>3</v>
      </c>
      <c r="R147">
        <v>3</v>
      </c>
      <c r="S147">
        <v>6</v>
      </c>
      <c r="T147">
        <v>8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3</v>
      </c>
      <c r="AB147">
        <v>11</v>
      </c>
      <c r="AC147">
        <v>0</v>
      </c>
    </row>
    <row r="148" spans="1:29" x14ac:dyDescent="0.3">
      <c r="A148">
        <v>10837</v>
      </c>
      <c r="B148">
        <v>1975</v>
      </c>
      <c r="C148" t="s">
        <v>29</v>
      </c>
      <c r="D148" t="s">
        <v>33</v>
      </c>
      <c r="E148">
        <v>23957</v>
      </c>
      <c r="F148">
        <v>1</v>
      </c>
      <c r="G148">
        <v>0</v>
      </c>
      <c r="H148" s="1">
        <v>41210</v>
      </c>
      <c r="I148">
        <v>47</v>
      </c>
      <c r="J148">
        <v>2</v>
      </c>
      <c r="K148">
        <v>1</v>
      </c>
      <c r="L148">
        <v>18</v>
      </c>
      <c r="M148">
        <v>20</v>
      </c>
      <c r="N148">
        <v>11</v>
      </c>
      <c r="O148">
        <v>16</v>
      </c>
      <c r="P148">
        <v>1</v>
      </c>
      <c r="Q148">
        <v>2</v>
      </c>
      <c r="R148">
        <v>0</v>
      </c>
      <c r="S148">
        <v>3</v>
      </c>
      <c r="T148">
        <v>6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3</v>
      </c>
      <c r="AB148">
        <v>11</v>
      </c>
      <c r="AC148">
        <v>1</v>
      </c>
    </row>
    <row r="149" spans="1:29" x14ac:dyDescent="0.3">
      <c r="A149">
        <v>3120</v>
      </c>
      <c r="B149">
        <v>1981</v>
      </c>
      <c r="C149" t="s">
        <v>29</v>
      </c>
      <c r="D149" t="s">
        <v>31</v>
      </c>
      <c r="E149">
        <v>38547</v>
      </c>
      <c r="F149">
        <v>1</v>
      </c>
      <c r="G149">
        <v>0</v>
      </c>
      <c r="H149" s="1">
        <v>41514</v>
      </c>
      <c r="I149">
        <v>49</v>
      </c>
      <c r="J149">
        <v>6</v>
      </c>
      <c r="K149">
        <v>1</v>
      </c>
      <c r="L149">
        <v>10</v>
      </c>
      <c r="M149">
        <v>0</v>
      </c>
      <c r="N149">
        <v>1</v>
      </c>
      <c r="O149">
        <v>4</v>
      </c>
      <c r="P149">
        <v>1</v>
      </c>
      <c r="Q149">
        <v>1</v>
      </c>
      <c r="R149">
        <v>0</v>
      </c>
      <c r="S149">
        <v>2</v>
      </c>
      <c r="T149">
        <v>8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>
        <v>3</v>
      </c>
      <c r="AB149">
        <v>11</v>
      </c>
      <c r="AC149">
        <v>0</v>
      </c>
    </row>
    <row r="150" spans="1:29" x14ac:dyDescent="0.3">
      <c r="A150">
        <v>5885</v>
      </c>
      <c r="B150">
        <v>1973</v>
      </c>
      <c r="C150" t="s">
        <v>37</v>
      </c>
      <c r="D150" t="s">
        <v>33</v>
      </c>
      <c r="E150">
        <v>35688</v>
      </c>
      <c r="F150">
        <v>2</v>
      </c>
      <c r="G150">
        <v>1</v>
      </c>
      <c r="H150" s="1">
        <v>41143</v>
      </c>
      <c r="I150">
        <v>94</v>
      </c>
      <c r="J150">
        <v>73</v>
      </c>
      <c r="K150">
        <v>3</v>
      </c>
      <c r="L150">
        <v>90</v>
      </c>
      <c r="M150">
        <v>12</v>
      </c>
      <c r="N150">
        <v>1</v>
      </c>
      <c r="O150">
        <v>32</v>
      </c>
      <c r="P150">
        <v>7</v>
      </c>
      <c r="Q150">
        <v>4</v>
      </c>
      <c r="R150">
        <v>1</v>
      </c>
      <c r="S150">
        <v>4</v>
      </c>
      <c r="T150">
        <v>8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3</v>
      </c>
      <c r="AB150">
        <v>11</v>
      </c>
      <c r="AC150">
        <v>0</v>
      </c>
    </row>
    <row r="151" spans="1:29" x14ac:dyDescent="0.3">
      <c r="A151">
        <v>4050</v>
      </c>
      <c r="B151">
        <v>1966</v>
      </c>
      <c r="C151" t="s">
        <v>34</v>
      </c>
      <c r="D151" t="s">
        <v>33</v>
      </c>
      <c r="E151">
        <v>49605</v>
      </c>
      <c r="F151">
        <v>0</v>
      </c>
      <c r="G151">
        <v>0</v>
      </c>
      <c r="H151" s="1">
        <v>41811</v>
      </c>
      <c r="I151">
        <v>65</v>
      </c>
      <c r="J151">
        <v>42</v>
      </c>
      <c r="K151">
        <v>16</v>
      </c>
      <c r="L151">
        <v>29</v>
      </c>
      <c r="M151">
        <v>12</v>
      </c>
      <c r="N151">
        <v>20</v>
      </c>
      <c r="O151">
        <v>8</v>
      </c>
      <c r="P151">
        <v>1</v>
      </c>
      <c r="Q151">
        <v>2</v>
      </c>
      <c r="R151">
        <v>1</v>
      </c>
      <c r="S151">
        <v>4</v>
      </c>
      <c r="T151">
        <v>3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3</v>
      </c>
      <c r="AB151">
        <v>11</v>
      </c>
      <c r="AC151">
        <v>0</v>
      </c>
    </row>
    <row r="152" spans="1:29" x14ac:dyDescent="0.3">
      <c r="A152">
        <v>3830</v>
      </c>
      <c r="B152">
        <v>1953</v>
      </c>
      <c r="C152" t="s">
        <v>34</v>
      </c>
      <c r="D152" t="s">
        <v>33</v>
      </c>
      <c r="E152">
        <v>59354</v>
      </c>
      <c r="F152">
        <v>0</v>
      </c>
      <c r="G152">
        <v>2</v>
      </c>
      <c r="H152" s="1">
        <v>41753</v>
      </c>
      <c r="I152">
        <v>59</v>
      </c>
      <c r="J152">
        <v>295</v>
      </c>
      <c r="K152">
        <v>21</v>
      </c>
      <c r="L152">
        <v>78</v>
      </c>
      <c r="M152">
        <v>39</v>
      </c>
      <c r="N152">
        <v>13</v>
      </c>
      <c r="O152">
        <v>13</v>
      </c>
      <c r="P152">
        <v>1</v>
      </c>
      <c r="Q152">
        <v>4</v>
      </c>
      <c r="R152">
        <v>4</v>
      </c>
      <c r="S152">
        <v>7</v>
      </c>
      <c r="T152">
        <v>3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3</v>
      </c>
      <c r="AB152">
        <v>11</v>
      </c>
      <c r="AC152">
        <v>0</v>
      </c>
    </row>
    <row r="153" spans="1:29" x14ac:dyDescent="0.3">
      <c r="A153">
        <v>7987</v>
      </c>
      <c r="B153">
        <v>1969</v>
      </c>
      <c r="C153" t="s">
        <v>29</v>
      </c>
      <c r="D153" t="s">
        <v>33</v>
      </c>
      <c r="E153">
        <v>65747</v>
      </c>
      <c r="F153">
        <v>0</v>
      </c>
      <c r="G153">
        <v>1</v>
      </c>
      <c r="H153" s="1">
        <v>41705</v>
      </c>
      <c r="I153">
        <v>96</v>
      </c>
      <c r="J153">
        <v>346</v>
      </c>
      <c r="K153">
        <v>17</v>
      </c>
      <c r="L153">
        <v>48</v>
      </c>
      <c r="M153">
        <v>23</v>
      </c>
      <c r="N153">
        <v>13</v>
      </c>
      <c r="O153">
        <v>13</v>
      </c>
      <c r="P153">
        <v>4</v>
      </c>
      <c r="Q153">
        <v>8</v>
      </c>
      <c r="R153">
        <v>1</v>
      </c>
      <c r="S153">
        <v>6</v>
      </c>
      <c r="T153">
        <v>6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11</v>
      </c>
      <c r="AC153">
        <v>0</v>
      </c>
    </row>
    <row r="154" spans="1:29" x14ac:dyDescent="0.3">
      <c r="A154">
        <v>7798</v>
      </c>
      <c r="B154">
        <v>1972</v>
      </c>
      <c r="C154" t="s">
        <v>37</v>
      </c>
      <c r="D154" t="s">
        <v>31</v>
      </c>
      <c r="E154">
        <v>46344</v>
      </c>
      <c r="F154">
        <v>0</v>
      </c>
      <c r="G154">
        <v>1</v>
      </c>
      <c r="H154" s="1">
        <v>41257</v>
      </c>
      <c r="I154">
        <v>28</v>
      </c>
      <c r="J154">
        <v>233</v>
      </c>
      <c r="K154">
        <v>20</v>
      </c>
      <c r="L154">
        <v>57</v>
      </c>
      <c r="M154">
        <v>8</v>
      </c>
      <c r="N154">
        <v>20</v>
      </c>
      <c r="O154">
        <v>91</v>
      </c>
      <c r="P154">
        <v>4</v>
      </c>
      <c r="Q154">
        <v>7</v>
      </c>
      <c r="R154">
        <v>1</v>
      </c>
      <c r="S154">
        <v>5</v>
      </c>
      <c r="T154">
        <v>7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3</v>
      </c>
      <c r="AB154">
        <v>11</v>
      </c>
      <c r="AC154">
        <v>0</v>
      </c>
    </row>
    <row r="155" spans="1:29" x14ac:dyDescent="0.3">
      <c r="A155">
        <v>92</v>
      </c>
      <c r="B155">
        <v>1988</v>
      </c>
      <c r="C155" t="s">
        <v>29</v>
      </c>
      <c r="D155" t="s">
        <v>39</v>
      </c>
      <c r="E155">
        <v>34176</v>
      </c>
      <c r="F155">
        <v>1</v>
      </c>
      <c r="G155">
        <v>0</v>
      </c>
      <c r="H155" s="1">
        <v>41771</v>
      </c>
      <c r="I155">
        <v>12</v>
      </c>
      <c r="J155">
        <v>5</v>
      </c>
      <c r="K155">
        <v>7</v>
      </c>
      <c r="L155">
        <v>24</v>
      </c>
      <c r="M155">
        <v>19</v>
      </c>
      <c r="N155">
        <v>14</v>
      </c>
      <c r="O155">
        <v>20</v>
      </c>
      <c r="P155">
        <v>4</v>
      </c>
      <c r="Q155">
        <v>3</v>
      </c>
      <c r="R155">
        <v>0</v>
      </c>
      <c r="S155">
        <v>4</v>
      </c>
      <c r="T155">
        <v>6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3</v>
      </c>
      <c r="AB155">
        <v>11</v>
      </c>
      <c r="AC155">
        <v>0</v>
      </c>
    </row>
    <row r="156" spans="1:29" x14ac:dyDescent="0.3">
      <c r="A156">
        <v>7055</v>
      </c>
      <c r="B156">
        <v>1952</v>
      </c>
      <c r="C156" t="s">
        <v>32</v>
      </c>
      <c r="D156" t="s">
        <v>31</v>
      </c>
      <c r="E156">
        <v>61010</v>
      </c>
      <c r="F156">
        <v>0</v>
      </c>
      <c r="G156">
        <v>1</v>
      </c>
      <c r="H156" s="1">
        <v>41191</v>
      </c>
      <c r="I156">
        <v>57</v>
      </c>
      <c r="J156">
        <v>888</v>
      </c>
      <c r="K156">
        <v>0</v>
      </c>
      <c r="L156">
        <v>57</v>
      </c>
      <c r="M156">
        <v>0</v>
      </c>
      <c r="N156">
        <v>0</v>
      </c>
      <c r="O156">
        <v>76</v>
      </c>
      <c r="P156">
        <v>2</v>
      </c>
      <c r="Q156">
        <v>8</v>
      </c>
      <c r="R156">
        <v>5</v>
      </c>
      <c r="S156">
        <v>11</v>
      </c>
      <c r="T156">
        <v>5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3</v>
      </c>
      <c r="AB156">
        <v>11</v>
      </c>
      <c r="AC156">
        <v>0</v>
      </c>
    </row>
    <row r="157" spans="1:29" x14ac:dyDescent="0.3">
      <c r="A157">
        <v>10240</v>
      </c>
      <c r="B157">
        <v>1949</v>
      </c>
      <c r="C157" t="s">
        <v>29</v>
      </c>
      <c r="D157" t="s">
        <v>31</v>
      </c>
      <c r="E157">
        <v>69372</v>
      </c>
      <c r="F157">
        <v>0</v>
      </c>
      <c r="G157">
        <v>0</v>
      </c>
      <c r="H157" s="1">
        <v>41324</v>
      </c>
      <c r="I157">
        <v>10</v>
      </c>
      <c r="J157">
        <v>997</v>
      </c>
      <c r="K157">
        <v>26</v>
      </c>
      <c r="L157">
        <v>269</v>
      </c>
      <c r="M157">
        <v>34</v>
      </c>
      <c r="N157">
        <v>13</v>
      </c>
      <c r="O157">
        <v>42</v>
      </c>
      <c r="P157">
        <v>1</v>
      </c>
      <c r="Q157">
        <v>10</v>
      </c>
      <c r="R157">
        <v>4</v>
      </c>
      <c r="S157">
        <v>6</v>
      </c>
      <c r="T157">
        <v>4</v>
      </c>
      <c r="U157">
        <v>0</v>
      </c>
      <c r="V157">
        <v>1</v>
      </c>
      <c r="W157">
        <v>1</v>
      </c>
      <c r="X157">
        <v>0</v>
      </c>
      <c r="Y157">
        <v>0</v>
      </c>
      <c r="Z157">
        <v>0</v>
      </c>
      <c r="AA157">
        <v>3</v>
      </c>
      <c r="AB157">
        <v>11</v>
      </c>
      <c r="AC157">
        <v>1</v>
      </c>
    </row>
    <row r="158" spans="1:29" x14ac:dyDescent="0.3">
      <c r="A158">
        <v>3025</v>
      </c>
      <c r="B158">
        <v>1958</v>
      </c>
      <c r="C158" t="s">
        <v>29</v>
      </c>
      <c r="D158" t="s">
        <v>30</v>
      </c>
      <c r="E158">
        <v>49967</v>
      </c>
      <c r="F158">
        <v>0</v>
      </c>
      <c r="G158">
        <v>1</v>
      </c>
      <c r="H158" s="1">
        <v>41463</v>
      </c>
      <c r="I158">
        <v>4</v>
      </c>
      <c r="J158">
        <v>212</v>
      </c>
      <c r="K158">
        <v>6</v>
      </c>
      <c r="L158">
        <v>69</v>
      </c>
      <c r="M158">
        <v>4</v>
      </c>
      <c r="N158">
        <v>12</v>
      </c>
      <c r="O158">
        <v>3</v>
      </c>
      <c r="P158">
        <v>3</v>
      </c>
      <c r="Q158">
        <v>6</v>
      </c>
      <c r="R158">
        <v>1</v>
      </c>
      <c r="S158">
        <v>5</v>
      </c>
      <c r="T158">
        <v>7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3</v>
      </c>
      <c r="AB158">
        <v>11</v>
      </c>
      <c r="AC158">
        <v>0</v>
      </c>
    </row>
    <row r="159" spans="1:29" x14ac:dyDescent="0.3">
      <c r="A159">
        <v>9283</v>
      </c>
      <c r="B159">
        <v>1978</v>
      </c>
      <c r="C159" t="s">
        <v>29</v>
      </c>
      <c r="D159" t="s">
        <v>30</v>
      </c>
      <c r="E159">
        <v>60199</v>
      </c>
      <c r="F159">
        <v>1</v>
      </c>
      <c r="G159">
        <v>2</v>
      </c>
      <c r="H159" s="1">
        <v>41529</v>
      </c>
      <c r="I159">
        <v>49</v>
      </c>
      <c r="J159">
        <v>8</v>
      </c>
      <c r="K159">
        <v>1</v>
      </c>
      <c r="L159">
        <v>7</v>
      </c>
      <c r="M159">
        <v>2</v>
      </c>
      <c r="N159">
        <v>0</v>
      </c>
      <c r="O159">
        <v>0</v>
      </c>
      <c r="P159">
        <v>1</v>
      </c>
      <c r="Q159">
        <v>0</v>
      </c>
      <c r="R159">
        <v>0</v>
      </c>
      <c r="S159">
        <v>3</v>
      </c>
      <c r="T159">
        <v>4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3</v>
      </c>
      <c r="AB159">
        <v>11</v>
      </c>
      <c r="AC159">
        <v>0</v>
      </c>
    </row>
    <row r="160" spans="1:29" x14ac:dyDescent="0.3">
      <c r="A160">
        <v>9970</v>
      </c>
      <c r="B160">
        <v>1977</v>
      </c>
      <c r="C160" t="s">
        <v>29</v>
      </c>
      <c r="D160" t="s">
        <v>31</v>
      </c>
      <c r="E160">
        <v>55375</v>
      </c>
      <c r="F160">
        <v>0</v>
      </c>
      <c r="G160">
        <v>1</v>
      </c>
      <c r="H160" s="1">
        <v>41564</v>
      </c>
      <c r="I160">
        <v>3</v>
      </c>
      <c r="J160">
        <v>42</v>
      </c>
      <c r="K160">
        <v>11</v>
      </c>
      <c r="L160">
        <v>57</v>
      </c>
      <c r="M160">
        <v>10</v>
      </c>
      <c r="N160">
        <v>28</v>
      </c>
      <c r="O160">
        <v>14</v>
      </c>
      <c r="P160">
        <v>1</v>
      </c>
      <c r="Q160">
        <v>1</v>
      </c>
      <c r="R160">
        <v>1</v>
      </c>
      <c r="S160">
        <v>6</v>
      </c>
      <c r="T160">
        <v>2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3</v>
      </c>
      <c r="AB160">
        <v>11</v>
      </c>
      <c r="AC160">
        <v>0</v>
      </c>
    </row>
    <row r="161" spans="1:29" x14ac:dyDescent="0.3">
      <c r="A161">
        <v>2730</v>
      </c>
      <c r="B161">
        <v>1955</v>
      </c>
      <c r="C161" t="s">
        <v>29</v>
      </c>
      <c r="D161" t="s">
        <v>30</v>
      </c>
      <c r="E161">
        <v>80317</v>
      </c>
      <c r="F161">
        <v>0</v>
      </c>
      <c r="G161">
        <v>0</v>
      </c>
      <c r="H161" s="1">
        <v>41506</v>
      </c>
      <c r="I161">
        <v>64</v>
      </c>
      <c r="J161">
        <v>536</v>
      </c>
      <c r="K161">
        <v>11</v>
      </c>
      <c r="L161">
        <v>387</v>
      </c>
      <c r="M161">
        <v>149</v>
      </c>
      <c r="N161">
        <v>91</v>
      </c>
      <c r="O161">
        <v>57</v>
      </c>
      <c r="P161">
        <v>1</v>
      </c>
      <c r="Q161">
        <v>3</v>
      </c>
      <c r="R161">
        <v>4</v>
      </c>
      <c r="S161">
        <v>10</v>
      </c>
      <c r="T161">
        <v>1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3</v>
      </c>
      <c r="AB161">
        <v>11</v>
      </c>
      <c r="AC161">
        <v>0</v>
      </c>
    </row>
    <row r="162" spans="1:29" x14ac:dyDescent="0.3">
      <c r="A162">
        <v>2795</v>
      </c>
      <c r="B162">
        <v>1958</v>
      </c>
      <c r="C162" t="s">
        <v>34</v>
      </c>
      <c r="D162" t="s">
        <v>30</v>
      </c>
      <c r="E162">
        <v>30523</v>
      </c>
      <c r="F162">
        <v>2</v>
      </c>
      <c r="G162">
        <v>1</v>
      </c>
      <c r="H162" s="1">
        <v>41456</v>
      </c>
      <c r="I162">
        <v>0</v>
      </c>
      <c r="J162">
        <v>5</v>
      </c>
      <c r="K162">
        <v>0</v>
      </c>
      <c r="L162">
        <v>3</v>
      </c>
      <c r="M162">
        <v>0</v>
      </c>
      <c r="N162">
        <v>0</v>
      </c>
      <c r="O162">
        <v>5</v>
      </c>
      <c r="P162">
        <v>1</v>
      </c>
      <c r="Q162">
        <v>1</v>
      </c>
      <c r="R162">
        <v>0</v>
      </c>
      <c r="S162">
        <v>2</v>
      </c>
      <c r="T162">
        <v>7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3</v>
      </c>
      <c r="AB162">
        <v>11</v>
      </c>
      <c r="AC162">
        <v>0</v>
      </c>
    </row>
    <row r="163" spans="1:29" x14ac:dyDescent="0.3">
      <c r="A163">
        <v>9260</v>
      </c>
      <c r="B163">
        <v>1945</v>
      </c>
      <c r="C163" t="s">
        <v>32</v>
      </c>
      <c r="D163" t="s">
        <v>33</v>
      </c>
      <c r="E163">
        <v>70356</v>
      </c>
      <c r="F163">
        <v>0</v>
      </c>
      <c r="G163">
        <v>0</v>
      </c>
      <c r="H163" s="1">
        <v>41218</v>
      </c>
      <c r="I163">
        <v>20</v>
      </c>
      <c r="J163">
        <v>1349</v>
      </c>
      <c r="K163">
        <v>16</v>
      </c>
      <c r="L163">
        <v>249</v>
      </c>
      <c r="M163">
        <v>43</v>
      </c>
      <c r="N163">
        <v>16</v>
      </c>
      <c r="O163">
        <v>33</v>
      </c>
      <c r="P163">
        <v>2</v>
      </c>
      <c r="Q163">
        <v>10</v>
      </c>
      <c r="R163">
        <v>6</v>
      </c>
      <c r="S163">
        <v>9</v>
      </c>
      <c r="T163">
        <v>6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3</v>
      </c>
      <c r="AB163">
        <v>11</v>
      </c>
      <c r="AC163">
        <v>0</v>
      </c>
    </row>
    <row r="164" spans="1:29" x14ac:dyDescent="0.3">
      <c r="A164">
        <v>8182</v>
      </c>
      <c r="B164">
        <v>1984</v>
      </c>
      <c r="C164" t="s">
        <v>29</v>
      </c>
      <c r="D164" t="s">
        <v>33</v>
      </c>
      <c r="E164">
        <v>23228</v>
      </c>
      <c r="F164">
        <v>1</v>
      </c>
      <c r="G164">
        <v>0</v>
      </c>
      <c r="H164" s="1">
        <v>41644</v>
      </c>
      <c r="I164">
        <v>91</v>
      </c>
      <c r="J164">
        <v>53</v>
      </c>
      <c r="K164">
        <v>3</v>
      </c>
      <c r="L164">
        <v>49</v>
      </c>
      <c r="M164">
        <v>7</v>
      </c>
      <c r="N164">
        <v>4</v>
      </c>
      <c r="O164">
        <v>5</v>
      </c>
      <c r="P164">
        <v>4</v>
      </c>
      <c r="Q164">
        <v>3</v>
      </c>
      <c r="R164">
        <v>0</v>
      </c>
      <c r="S164">
        <v>4</v>
      </c>
      <c r="T164">
        <v>8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3</v>
      </c>
      <c r="AB164">
        <v>11</v>
      </c>
      <c r="AC164">
        <v>0</v>
      </c>
    </row>
    <row r="165" spans="1:29" x14ac:dyDescent="0.3">
      <c r="A165">
        <v>10095</v>
      </c>
      <c r="B165">
        <v>1975</v>
      </c>
      <c r="C165" t="s">
        <v>32</v>
      </c>
      <c r="D165" t="s">
        <v>35</v>
      </c>
      <c r="E165">
        <v>74165</v>
      </c>
      <c r="F165">
        <v>0</v>
      </c>
      <c r="G165">
        <v>0</v>
      </c>
      <c r="H165" s="1">
        <v>41395</v>
      </c>
      <c r="I165">
        <v>9</v>
      </c>
      <c r="J165">
        <v>1001</v>
      </c>
      <c r="K165">
        <v>12</v>
      </c>
      <c r="L165">
        <v>240</v>
      </c>
      <c r="M165">
        <v>16</v>
      </c>
      <c r="N165">
        <v>12</v>
      </c>
      <c r="O165">
        <v>12</v>
      </c>
      <c r="P165">
        <v>1</v>
      </c>
      <c r="Q165">
        <v>5</v>
      </c>
      <c r="R165">
        <v>4</v>
      </c>
      <c r="S165">
        <v>10</v>
      </c>
      <c r="T165">
        <v>2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3</v>
      </c>
      <c r="AB165">
        <v>11</v>
      </c>
      <c r="AC165">
        <v>0</v>
      </c>
    </row>
    <row r="166" spans="1:29" x14ac:dyDescent="0.3">
      <c r="A166">
        <v>8475</v>
      </c>
      <c r="B166">
        <v>1973</v>
      </c>
      <c r="C166" t="s">
        <v>32</v>
      </c>
      <c r="D166" t="s">
        <v>33</v>
      </c>
      <c r="E166">
        <v>157243</v>
      </c>
      <c r="F166">
        <v>0</v>
      </c>
      <c r="G166">
        <v>1</v>
      </c>
      <c r="H166" s="1">
        <v>41699</v>
      </c>
      <c r="I166">
        <v>98</v>
      </c>
      <c r="J166">
        <v>20</v>
      </c>
      <c r="K166">
        <v>2</v>
      </c>
      <c r="L166">
        <v>1582</v>
      </c>
      <c r="M166">
        <v>1</v>
      </c>
      <c r="N166">
        <v>2</v>
      </c>
      <c r="O166">
        <v>1</v>
      </c>
      <c r="P166">
        <v>15</v>
      </c>
      <c r="Q166">
        <v>0</v>
      </c>
      <c r="R166">
        <v>22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3</v>
      </c>
      <c r="AB166">
        <v>11</v>
      </c>
      <c r="AC166">
        <v>0</v>
      </c>
    </row>
    <row r="167" spans="1:29" x14ac:dyDescent="0.3">
      <c r="A167">
        <v>4370</v>
      </c>
      <c r="B167">
        <v>1966</v>
      </c>
      <c r="C167" t="s">
        <v>29</v>
      </c>
      <c r="D167" t="s">
        <v>31</v>
      </c>
      <c r="E167">
        <v>43482</v>
      </c>
      <c r="F167">
        <v>2</v>
      </c>
      <c r="G167">
        <v>1</v>
      </c>
      <c r="H167" s="1">
        <v>41591</v>
      </c>
      <c r="I167">
        <v>83</v>
      </c>
      <c r="J167">
        <v>18</v>
      </c>
      <c r="K167">
        <v>1</v>
      </c>
      <c r="L167">
        <v>32</v>
      </c>
      <c r="M167">
        <v>6</v>
      </c>
      <c r="N167">
        <v>3</v>
      </c>
      <c r="O167">
        <v>28</v>
      </c>
      <c r="P167">
        <v>3</v>
      </c>
      <c r="Q167">
        <v>2</v>
      </c>
      <c r="R167">
        <v>0</v>
      </c>
      <c r="S167">
        <v>4</v>
      </c>
      <c r="T167">
        <v>6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3</v>
      </c>
      <c r="AB167">
        <v>11</v>
      </c>
      <c r="AC167">
        <v>0</v>
      </c>
    </row>
    <row r="168" spans="1:29" x14ac:dyDescent="0.3">
      <c r="A168">
        <v>10573</v>
      </c>
      <c r="B168">
        <v>1953</v>
      </c>
      <c r="C168" t="s">
        <v>29</v>
      </c>
      <c r="D168" t="s">
        <v>35</v>
      </c>
      <c r="E168">
        <v>62551</v>
      </c>
      <c r="F168">
        <v>0</v>
      </c>
      <c r="G168">
        <v>0</v>
      </c>
      <c r="H168" s="1">
        <v>41596</v>
      </c>
      <c r="I168">
        <v>27</v>
      </c>
      <c r="J168">
        <v>125</v>
      </c>
      <c r="K168">
        <v>16</v>
      </c>
      <c r="L168">
        <v>98</v>
      </c>
      <c r="M168">
        <v>134</v>
      </c>
      <c r="N168">
        <v>21</v>
      </c>
      <c r="O168">
        <v>27</v>
      </c>
      <c r="P168">
        <v>1</v>
      </c>
      <c r="Q168">
        <v>6</v>
      </c>
      <c r="R168">
        <v>7</v>
      </c>
      <c r="S168">
        <v>4</v>
      </c>
      <c r="T168">
        <v>3</v>
      </c>
      <c r="U168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11</v>
      </c>
      <c r="AC168">
        <v>0</v>
      </c>
    </row>
    <row r="169" spans="1:29" x14ac:dyDescent="0.3">
      <c r="A169">
        <v>3712</v>
      </c>
      <c r="B169">
        <v>1959</v>
      </c>
      <c r="C169" t="s">
        <v>29</v>
      </c>
      <c r="D169" t="s">
        <v>35</v>
      </c>
      <c r="E169">
        <v>52332</v>
      </c>
      <c r="F169">
        <v>0</v>
      </c>
      <c r="G169">
        <v>0</v>
      </c>
      <c r="H169" s="1">
        <v>41514</v>
      </c>
      <c r="I169">
        <v>63</v>
      </c>
      <c r="J169">
        <v>212</v>
      </c>
      <c r="K169">
        <v>5</v>
      </c>
      <c r="L169">
        <v>33</v>
      </c>
      <c r="M169">
        <v>7</v>
      </c>
      <c r="N169">
        <v>0</v>
      </c>
      <c r="O169">
        <v>2</v>
      </c>
      <c r="P169">
        <v>1</v>
      </c>
      <c r="Q169">
        <v>3</v>
      </c>
      <c r="R169">
        <v>2</v>
      </c>
      <c r="S169">
        <v>6</v>
      </c>
      <c r="T169">
        <v>4</v>
      </c>
      <c r="U169">
        <v>0</v>
      </c>
      <c r="V169">
        <v>1</v>
      </c>
      <c r="W169">
        <v>0</v>
      </c>
      <c r="X169">
        <v>0</v>
      </c>
      <c r="Y169">
        <v>0</v>
      </c>
      <c r="Z169">
        <v>0</v>
      </c>
      <c r="AA169">
        <v>3</v>
      </c>
      <c r="AB169">
        <v>11</v>
      </c>
      <c r="AC169">
        <v>0</v>
      </c>
    </row>
    <row r="170" spans="1:29" x14ac:dyDescent="0.3">
      <c r="A170">
        <v>6637</v>
      </c>
      <c r="B170">
        <v>1988</v>
      </c>
      <c r="C170" t="s">
        <v>29</v>
      </c>
      <c r="D170" t="s">
        <v>30</v>
      </c>
      <c r="E170">
        <v>66951</v>
      </c>
      <c r="F170">
        <v>0</v>
      </c>
      <c r="G170">
        <v>0</v>
      </c>
      <c r="H170" s="1">
        <v>41580</v>
      </c>
      <c r="I170">
        <v>46</v>
      </c>
      <c r="J170">
        <v>277</v>
      </c>
      <c r="K170">
        <v>162</v>
      </c>
      <c r="L170">
        <v>305</v>
      </c>
      <c r="M170">
        <v>173</v>
      </c>
      <c r="N170">
        <v>76</v>
      </c>
      <c r="O170">
        <v>124</v>
      </c>
      <c r="P170">
        <v>1</v>
      </c>
      <c r="Q170">
        <v>3</v>
      </c>
      <c r="R170">
        <v>4</v>
      </c>
      <c r="S170">
        <v>7</v>
      </c>
      <c r="T170">
        <v>1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3</v>
      </c>
      <c r="AB170">
        <v>11</v>
      </c>
      <c r="AC170">
        <v>0</v>
      </c>
    </row>
    <row r="171" spans="1:29" x14ac:dyDescent="0.3">
      <c r="A171">
        <v>3152</v>
      </c>
      <c r="B171">
        <v>1957</v>
      </c>
      <c r="C171" t="s">
        <v>29</v>
      </c>
      <c r="D171" t="s">
        <v>31</v>
      </c>
      <c r="E171">
        <v>26091</v>
      </c>
      <c r="F171">
        <v>1</v>
      </c>
      <c r="G171">
        <v>1</v>
      </c>
      <c r="H171" s="1">
        <v>41695</v>
      </c>
      <c r="I171">
        <v>84</v>
      </c>
      <c r="J171">
        <v>15</v>
      </c>
      <c r="K171">
        <v>10</v>
      </c>
      <c r="L171">
        <v>19</v>
      </c>
      <c r="M171">
        <v>8</v>
      </c>
      <c r="N171">
        <v>17</v>
      </c>
      <c r="O171">
        <v>20</v>
      </c>
      <c r="P171">
        <v>3</v>
      </c>
      <c r="Q171">
        <v>2</v>
      </c>
      <c r="R171">
        <v>1</v>
      </c>
      <c r="S171">
        <v>3</v>
      </c>
      <c r="T171">
        <v>5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3</v>
      </c>
      <c r="AB171">
        <v>11</v>
      </c>
      <c r="AC171">
        <v>0</v>
      </c>
    </row>
    <row r="172" spans="1:29" x14ac:dyDescent="0.3">
      <c r="A172">
        <v>5610</v>
      </c>
      <c r="B172">
        <v>1965</v>
      </c>
      <c r="C172" t="s">
        <v>29</v>
      </c>
      <c r="D172" t="s">
        <v>31</v>
      </c>
      <c r="E172">
        <v>33456</v>
      </c>
      <c r="F172">
        <v>1</v>
      </c>
      <c r="G172">
        <v>1</v>
      </c>
      <c r="H172" s="1">
        <v>41750</v>
      </c>
      <c r="I172">
        <v>58</v>
      </c>
      <c r="J172">
        <v>7</v>
      </c>
      <c r="K172">
        <v>3</v>
      </c>
      <c r="L172">
        <v>10</v>
      </c>
      <c r="M172">
        <v>8</v>
      </c>
      <c r="N172">
        <v>1</v>
      </c>
      <c r="O172">
        <v>7</v>
      </c>
      <c r="P172">
        <v>2</v>
      </c>
      <c r="Q172">
        <v>1</v>
      </c>
      <c r="R172">
        <v>0</v>
      </c>
      <c r="S172">
        <v>3</v>
      </c>
      <c r="T172">
        <v>7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3</v>
      </c>
      <c r="AB172">
        <v>11</v>
      </c>
      <c r="AC172">
        <v>0</v>
      </c>
    </row>
    <row r="173" spans="1:29" x14ac:dyDescent="0.3">
      <c r="A173">
        <v>6460</v>
      </c>
      <c r="B173">
        <v>1982</v>
      </c>
      <c r="C173" t="s">
        <v>29</v>
      </c>
      <c r="D173" t="s">
        <v>33</v>
      </c>
      <c r="E173">
        <v>28718</v>
      </c>
      <c r="F173">
        <v>1</v>
      </c>
      <c r="G173">
        <v>0</v>
      </c>
      <c r="H173" s="1">
        <v>41468</v>
      </c>
      <c r="I173">
        <v>78</v>
      </c>
      <c r="J173">
        <v>12</v>
      </c>
      <c r="K173">
        <v>4</v>
      </c>
      <c r="L173">
        <v>6</v>
      </c>
      <c r="M173">
        <v>11</v>
      </c>
      <c r="N173">
        <v>8</v>
      </c>
      <c r="O173">
        <v>16</v>
      </c>
      <c r="P173">
        <v>2</v>
      </c>
      <c r="Q173">
        <v>2</v>
      </c>
      <c r="R173">
        <v>0</v>
      </c>
      <c r="S173">
        <v>3</v>
      </c>
      <c r="T173">
        <v>8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3</v>
      </c>
      <c r="AB173">
        <v>11</v>
      </c>
      <c r="AC173">
        <v>0</v>
      </c>
    </row>
    <row r="174" spans="1:29" x14ac:dyDescent="0.3">
      <c r="A174">
        <v>1349</v>
      </c>
      <c r="B174">
        <v>1970</v>
      </c>
      <c r="C174" t="s">
        <v>29</v>
      </c>
      <c r="D174" t="s">
        <v>33</v>
      </c>
      <c r="E174">
        <v>50447</v>
      </c>
      <c r="F174">
        <v>2</v>
      </c>
      <c r="G174">
        <v>0</v>
      </c>
      <c r="H174" s="1">
        <v>41750</v>
      </c>
      <c r="I174">
        <v>4</v>
      </c>
      <c r="J174">
        <v>85</v>
      </c>
      <c r="K174">
        <v>7</v>
      </c>
      <c r="L174">
        <v>24</v>
      </c>
      <c r="M174">
        <v>2</v>
      </c>
      <c r="N174">
        <v>3</v>
      </c>
      <c r="O174">
        <v>27</v>
      </c>
      <c r="P174">
        <v>1</v>
      </c>
      <c r="Q174">
        <v>3</v>
      </c>
      <c r="R174">
        <v>1</v>
      </c>
      <c r="S174">
        <v>3</v>
      </c>
      <c r="T174">
        <v>6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3</v>
      </c>
      <c r="AB174">
        <v>11</v>
      </c>
      <c r="AC174">
        <v>0</v>
      </c>
    </row>
    <row r="175" spans="1:29" x14ac:dyDescent="0.3">
      <c r="A175">
        <v>1880</v>
      </c>
      <c r="B175">
        <v>1959</v>
      </c>
      <c r="C175" t="s">
        <v>32</v>
      </c>
      <c r="D175" t="s">
        <v>31</v>
      </c>
      <c r="E175">
        <v>53537</v>
      </c>
      <c r="F175">
        <v>1</v>
      </c>
      <c r="G175">
        <v>1</v>
      </c>
      <c r="H175" s="1">
        <v>41669</v>
      </c>
      <c r="I175">
        <v>17</v>
      </c>
      <c r="J175">
        <v>81</v>
      </c>
      <c r="K175">
        <v>0</v>
      </c>
      <c r="L175">
        <v>6</v>
      </c>
      <c r="M175">
        <v>0</v>
      </c>
      <c r="N175">
        <v>0</v>
      </c>
      <c r="O175">
        <v>6</v>
      </c>
      <c r="P175">
        <v>2</v>
      </c>
      <c r="Q175">
        <v>2</v>
      </c>
      <c r="R175">
        <v>1</v>
      </c>
      <c r="S175">
        <v>3</v>
      </c>
      <c r="T175">
        <v>5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3</v>
      </c>
      <c r="AB175">
        <v>11</v>
      </c>
      <c r="AC175">
        <v>0</v>
      </c>
    </row>
    <row r="176" spans="1:29" x14ac:dyDescent="0.3">
      <c r="A176">
        <v>641</v>
      </c>
      <c r="B176">
        <v>1967</v>
      </c>
      <c r="C176" t="s">
        <v>29</v>
      </c>
      <c r="D176" t="s">
        <v>30</v>
      </c>
      <c r="E176">
        <v>52074</v>
      </c>
      <c r="F176">
        <v>0</v>
      </c>
      <c r="G176">
        <v>1</v>
      </c>
      <c r="H176" s="1">
        <v>41733</v>
      </c>
      <c r="I176">
        <v>77</v>
      </c>
      <c r="J176">
        <v>59</v>
      </c>
      <c r="K176">
        <v>0</v>
      </c>
      <c r="L176">
        <v>12</v>
      </c>
      <c r="M176">
        <v>0</v>
      </c>
      <c r="N176">
        <v>0</v>
      </c>
      <c r="O176">
        <v>48</v>
      </c>
      <c r="P176">
        <v>1</v>
      </c>
      <c r="Q176">
        <v>2</v>
      </c>
      <c r="R176">
        <v>2</v>
      </c>
      <c r="S176">
        <v>2</v>
      </c>
      <c r="T176">
        <v>4</v>
      </c>
      <c r="U176">
        <v>1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3</v>
      </c>
      <c r="AB176">
        <v>11</v>
      </c>
      <c r="AC176">
        <v>0</v>
      </c>
    </row>
    <row r="177" spans="1:29" x14ac:dyDescent="0.3">
      <c r="A177">
        <v>8717</v>
      </c>
      <c r="B177">
        <v>1975</v>
      </c>
      <c r="C177" t="s">
        <v>32</v>
      </c>
      <c r="D177" t="s">
        <v>33</v>
      </c>
      <c r="E177">
        <v>80427</v>
      </c>
      <c r="F177">
        <v>0</v>
      </c>
      <c r="G177">
        <v>1</v>
      </c>
      <c r="H177" s="1">
        <v>41164</v>
      </c>
      <c r="I177">
        <v>56</v>
      </c>
      <c r="J177">
        <v>1149</v>
      </c>
      <c r="K177">
        <v>71</v>
      </c>
      <c r="L177">
        <v>449</v>
      </c>
      <c r="M177">
        <v>69</v>
      </c>
      <c r="N177">
        <v>71</v>
      </c>
      <c r="O177">
        <v>26</v>
      </c>
      <c r="P177">
        <v>1</v>
      </c>
      <c r="Q177">
        <v>11</v>
      </c>
      <c r="R177">
        <v>8</v>
      </c>
      <c r="S177">
        <v>8</v>
      </c>
      <c r="T177">
        <v>5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11</v>
      </c>
      <c r="AC177">
        <v>0</v>
      </c>
    </row>
    <row r="178" spans="1:29" x14ac:dyDescent="0.3">
      <c r="A178">
        <v>10314</v>
      </c>
      <c r="B178">
        <v>1948</v>
      </c>
      <c r="C178" t="s">
        <v>32</v>
      </c>
      <c r="D178" t="s">
        <v>33</v>
      </c>
      <c r="E178">
        <v>83837</v>
      </c>
      <c r="F178">
        <v>0</v>
      </c>
      <c r="G178">
        <v>0</v>
      </c>
      <c r="H178" s="1">
        <v>41259</v>
      </c>
      <c r="I178">
        <v>79</v>
      </c>
      <c r="J178">
        <v>847</v>
      </c>
      <c r="K178">
        <v>66</v>
      </c>
      <c r="L178">
        <v>119</v>
      </c>
      <c r="M178">
        <v>86</v>
      </c>
      <c r="N178">
        <v>89</v>
      </c>
      <c r="O178">
        <v>111</v>
      </c>
      <c r="P178">
        <v>1</v>
      </c>
      <c r="Q178">
        <v>9</v>
      </c>
      <c r="R178">
        <v>10</v>
      </c>
      <c r="S178">
        <v>5</v>
      </c>
      <c r="T178">
        <v>4</v>
      </c>
      <c r="U178">
        <v>0</v>
      </c>
      <c r="V178">
        <v>1</v>
      </c>
      <c r="W178">
        <v>0</v>
      </c>
      <c r="X178">
        <v>1</v>
      </c>
      <c r="Y178">
        <v>0</v>
      </c>
      <c r="Z178">
        <v>0</v>
      </c>
      <c r="AA178">
        <v>3</v>
      </c>
      <c r="AB178">
        <v>11</v>
      </c>
      <c r="AC178">
        <v>1</v>
      </c>
    </row>
    <row r="179" spans="1:29" x14ac:dyDescent="0.3">
      <c r="A179">
        <v>10854</v>
      </c>
      <c r="B179">
        <v>1970</v>
      </c>
      <c r="C179" t="s">
        <v>32</v>
      </c>
      <c r="D179" t="s">
        <v>33</v>
      </c>
      <c r="E179">
        <v>38853</v>
      </c>
      <c r="F179">
        <v>1</v>
      </c>
      <c r="G179">
        <v>1</v>
      </c>
      <c r="H179" s="1">
        <v>41782</v>
      </c>
      <c r="I179">
        <v>90</v>
      </c>
      <c r="J179">
        <v>29</v>
      </c>
      <c r="K179">
        <v>0</v>
      </c>
      <c r="L179">
        <v>14</v>
      </c>
      <c r="M179">
        <v>0</v>
      </c>
      <c r="N179">
        <v>0</v>
      </c>
      <c r="O179">
        <v>2</v>
      </c>
      <c r="P179">
        <v>2</v>
      </c>
      <c r="Q179">
        <v>2</v>
      </c>
      <c r="R179">
        <v>0</v>
      </c>
      <c r="S179">
        <v>3</v>
      </c>
      <c r="T179">
        <v>7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3</v>
      </c>
      <c r="AB179">
        <v>11</v>
      </c>
      <c r="AC179">
        <v>0</v>
      </c>
    </row>
    <row r="180" spans="1:29" x14ac:dyDescent="0.3">
      <c r="A180">
        <v>10492</v>
      </c>
      <c r="B180">
        <v>1959</v>
      </c>
      <c r="C180" t="s">
        <v>29</v>
      </c>
      <c r="D180" t="s">
        <v>31</v>
      </c>
      <c r="E180">
        <v>38285</v>
      </c>
      <c r="F180">
        <v>2</v>
      </c>
      <c r="G180">
        <v>1</v>
      </c>
      <c r="H180" s="1">
        <v>41814</v>
      </c>
      <c r="I180">
        <v>96</v>
      </c>
      <c r="J180">
        <v>2</v>
      </c>
      <c r="K180">
        <v>0</v>
      </c>
      <c r="L180">
        <v>5</v>
      </c>
      <c r="M180">
        <v>2</v>
      </c>
      <c r="N180">
        <v>0</v>
      </c>
      <c r="O180">
        <v>1</v>
      </c>
      <c r="P180">
        <v>1</v>
      </c>
      <c r="Q180">
        <v>0</v>
      </c>
      <c r="R180">
        <v>0</v>
      </c>
      <c r="S180">
        <v>3</v>
      </c>
      <c r="T180">
        <v>2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3</v>
      </c>
      <c r="AB180">
        <v>11</v>
      </c>
      <c r="AC180">
        <v>0</v>
      </c>
    </row>
    <row r="181" spans="1:29" x14ac:dyDescent="0.3">
      <c r="A181">
        <v>6935</v>
      </c>
      <c r="B181">
        <v>1951</v>
      </c>
      <c r="C181" t="s">
        <v>37</v>
      </c>
      <c r="D181" t="s">
        <v>33</v>
      </c>
      <c r="E181">
        <v>78497</v>
      </c>
      <c r="F181">
        <v>0</v>
      </c>
      <c r="G181">
        <v>0</v>
      </c>
      <c r="H181" s="1">
        <v>41609</v>
      </c>
      <c r="I181">
        <v>44</v>
      </c>
      <c r="J181">
        <v>207</v>
      </c>
      <c r="K181">
        <v>26</v>
      </c>
      <c r="L181">
        <v>447</v>
      </c>
      <c r="M181">
        <v>75</v>
      </c>
      <c r="N181">
        <v>0</v>
      </c>
      <c r="O181">
        <v>223</v>
      </c>
      <c r="P181">
        <v>1</v>
      </c>
      <c r="Q181">
        <v>5</v>
      </c>
      <c r="R181">
        <v>7</v>
      </c>
      <c r="S181">
        <v>12</v>
      </c>
      <c r="T181">
        <v>2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v>3</v>
      </c>
      <c r="AB181">
        <v>11</v>
      </c>
      <c r="AC181">
        <v>0</v>
      </c>
    </row>
    <row r="182" spans="1:29" x14ac:dyDescent="0.3">
      <c r="A182">
        <v>7698</v>
      </c>
      <c r="B182">
        <v>1976</v>
      </c>
      <c r="C182" t="s">
        <v>32</v>
      </c>
      <c r="D182" t="s">
        <v>33</v>
      </c>
      <c r="E182">
        <v>51650</v>
      </c>
      <c r="F182">
        <v>0</v>
      </c>
      <c r="G182">
        <v>1</v>
      </c>
      <c r="H182" s="1">
        <v>41770</v>
      </c>
      <c r="I182">
        <v>81</v>
      </c>
      <c r="J182">
        <v>152</v>
      </c>
      <c r="K182">
        <v>3</v>
      </c>
      <c r="L182">
        <v>22</v>
      </c>
      <c r="M182">
        <v>2</v>
      </c>
      <c r="N182">
        <v>5</v>
      </c>
      <c r="O182">
        <v>7</v>
      </c>
      <c r="P182">
        <v>1</v>
      </c>
      <c r="Q182">
        <v>4</v>
      </c>
      <c r="R182">
        <v>1</v>
      </c>
      <c r="S182">
        <v>4</v>
      </c>
      <c r="T182">
        <v>5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3</v>
      </c>
      <c r="AB182">
        <v>11</v>
      </c>
      <c r="AC182">
        <v>0</v>
      </c>
    </row>
    <row r="183" spans="1:29" x14ac:dyDescent="0.3">
      <c r="A183">
        <v>3559</v>
      </c>
      <c r="B183">
        <v>1988</v>
      </c>
      <c r="C183" t="s">
        <v>37</v>
      </c>
      <c r="D183" t="s">
        <v>33</v>
      </c>
      <c r="E183">
        <v>16248</v>
      </c>
      <c r="F183">
        <v>1</v>
      </c>
      <c r="G183">
        <v>0</v>
      </c>
      <c r="H183" s="1">
        <v>41769</v>
      </c>
      <c r="I183">
        <v>77</v>
      </c>
      <c r="J183">
        <v>12</v>
      </c>
      <c r="K183">
        <v>11</v>
      </c>
      <c r="L183">
        <v>10</v>
      </c>
      <c r="M183">
        <v>3</v>
      </c>
      <c r="N183">
        <v>12</v>
      </c>
      <c r="O183">
        <v>9</v>
      </c>
      <c r="P183">
        <v>3</v>
      </c>
      <c r="Q183">
        <v>2</v>
      </c>
      <c r="R183">
        <v>1</v>
      </c>
      <c r="S183">
        <v>3</v>
      </c>
      <c r="T183">
        <v>6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3</v>
      </c>
      <c r="AB183">
        <v>11</v>
      </c>
      <c r="AC183">
        <v>0</v>
      </c>
    </row>
    <row r="184" spans="1:29" x14ac:dyDescent="0.3">
      <c r="A184">
        <v>10562</v>
      </c>
      <c r="B184">
        <v>1946</v>
      </c>
      <c r="C184" t="s">
        <v>34</v>
      </c>
      <c r="D184" t="s">
        <v>33</v>
      </c>
      <c r="E184">
        <v>66835</v>
      </c>
      <c r="F184">
        <v>0</v>
      </c>
      <c r="G184">
        <v>0</v>
      </c>
      <c r="H184" s="1">
        <v>41545</v>
      </c>
      <c r="I184">
        <v>21</v>
      </c>
      <c r="J184">
        <v>620</v>
      </c>
      <c r="K184">
        <v>26</v>
      </c>
      <c r="L184">
        <v>195</v>
      </c>
      <c r="M184">
        <v>34</v>
      </c>
      <c r="N184">
        <v>17</v>
      </c>
      <c r="O184">
        <v>141</v>
      </c>
      <c r="P184">
        <v>1</v>
      </c>
      <c r="Q184">
        <v>6</v>
      </c>
      <c r="R184">
        <v>4</v>
      </c>
      <c r="S184">
        <v>13</v>
      </c>
      <c r="T184">
        <v>2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3</v>
      </c>
      <c r="AB184">
        <v>11</v>
      </c>
      <c r="AC184">
        <v>0</v>
      </c>
    </row>
    <row r="185" spans="1:29" x14ac:dyDescent="0.3">
      <c r="A185">
        <v>10796</v>
      </c>
      <c r="B185">
        <v>1984</v>
      </c>
      <c r="C185" t="s">
        <v>34</v>
      </c>
      <c r="D185" t="s">
        <v>33</v>
      </c>
      <c r="E185">
        <v>30477</v>
      </c>
      <c r="F185">
        <v>1</v>
      </c>
      <c r="G185">
        <v>0</v>
      </c>
      <c r="H185" s="1">
        <v>41661</v>
      </c>
      <c r="I185">
        <v>16</v>
      </c>
      <c r="J185">
        <v>47</v>
      </c>
      <c r="K185">
        <v>1</v>
      </c>
      <c r="L185">
        <v>6</v>
      </c>
      <c r="M185">
        <v>0</v>
      </c>
      <c r="N185">
        <v>0</v>
      </c>
      <c r="O185">
        <v>12</v>
      </c>
      <c r="P185">
        <v>1</v>
      </c>
      <c r="Q185">
        <v>1</v>
      </c>
      <c r="R185">
        <v>1</v>
      </c>
      <c r="S185">
        <v>3</v>
      </c>
      <c r="T185">
        <v>6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3</v>
      </c>
      <c r="AB185">
        <v>11</v>
      </c>
      <c r="AC185">
        <v>0</v>
      </c>
    </row>
    <row r="186" spans="1:29" x14ac:dyDescent="0.3">
      <c r="A186">
        <v>2563</v>
      </c>
      <c r="B186">
        <v>1961</v>
      </c>
      <c r="C186" t="s">
        <v>36</v>
      </c>
      <c r="D186" t="s">
        <v>33</v>
      </c>
      <c r="E186">
        <v>28249</v>
      </c>
      <c r="F186">
        <v>0</v>
      </c>
      <c r="G186">
        <v>0</v>
      </c>
      <c r="H186" s="1">
        <v>41805</v>
      </c>
      <c r="I186">
        <v>80</v>
      </c>
      <c r="J186">
        <v>1</v>
      </c>
      <c r="K186">
        <v>9</v>
      </c>
      <c r="L186">
        <v>7</v>
      </c>
      <c r="M186">
        <v>2</v>
      </c>
      <c r="N186">
        <v>14</v>
      </c>
      <c r="O186">
        <v>10</v>
      </c>
      <c r="P186">
        <v>1</v>
      </c>
      <c r="Q186">
        <v>2</v>
      </c>
      <c r="R186">
        <v>0</v>
      </c>
      <c r="S186">
        <v>3</v>
      </c>
      <c r="T186">
        <v>6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3</v>
      </c>
      <c r="AB186">
        <v>11</v>
      </c>
      <c r="AC186">
        <v>0</v>
      </c>
    </row>
    <row r="187" spans="1:29" x14ac:dyDescent="0.3">
      <c r="A187">
        <v>3518</v>
      </c>
      <c r="B187">
        <v>1983</v>
      </c>
      <c r="C187" t="s">
        <v>29</v>
      </c>
      <c r="D187" t="s">
        <v>33</v>
      </c>
      <c r="E187">
        <v>25271</v>
      </c>
      <c r="F187">
        <v>1</v>
      </c>
      <c r="G187">
        <v>0</v>
      </c>
      <c r="H187" s="1">
        <v>41248</v>
      </c>
      <c r="I187">
        <v>45</v>
      </c>
      <c r="J187">
        <v>10</v>
      </c>
      <c r="K187">
        <v>1</v>
      </c>
      <c r="L187">
        <v>18</v>
      </c>
      <c r="M187">
        <v>10</v>
      </c>
      <c r="N187">
        <v>4</v>
      </c>
      <c r="O187">
        <v>7</v>
      </c>
      <c r="P187">
        <v>1</v>
      </c>
      <c r="Q187">
        <v>1</v>
      </c>
      <c r="R187">
        <v>1</v>
      </c>
      <c r="S187">
        <v>2</v>
      </c>
      <c r="T187">
        <v>9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3</v>
      </c>
      <c r="AB187">
        <v>11</v>
      </c>
      <c r="AC187">
        <v>0</v>
      </c>
    </row>
    <row r="188" spans="1:29" x14ac:dyDescent="0.3">
      <c r="A188">
        <v>5823</v>
      </c>
      <c r="B188">
        <v>1970</v>
      </c>
      <c r="C188" t="s">
        <v>32</v>
      </c>
      <c r="D188" t="s">
        <v>30</v>
      </c>
      <c r="E188">
        <v>32303</v>
      </c>
      <c r="F188">
        <v>0</v>
      </c>
      <c r="G188">
        <v>1</v>
      </c>
      <c r="H188" s="1">
        <v>41706</v>
      </c>
      <c r="I188">
        <v>63</v>
      </c>
      <c r="J188">
        <v>35</v>
      </c>
      <c r="K188">
        <v>0</v>
      </c>
      <c r="L188">
        <v>2</v>
      </c>
      <c r="M188">
        <v>0</v>
      </c>
      <c r="N188">
        <v>0</v>
      </c>
      <c r="O188">
        <v>2</v>
      </c>
      <c r="P188">
        <v>2</v>
      </c>
      <c r="Q188">
        <v>1</v>
      </c>
      <c r="R188">
        <v>0</v>
      </c>
      <c r="S188">
        <v>4</v>
      </c>
      <c r="T188">
        <v>5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3</v>
      </c>
      <c r="AB188">
        <v>11</v>
      </c>
      <c r="AC188">
        <v>0</v>
      </c>
    </row>
    <row r="189" spans="1:29" x14ac:dyDescent="0.3">
      <c r="A189">
        <v>3934</v>
      </c>
      <c r="B189">
        <v>1966</v>
      </c>
      <c r="C189" t="s">
        <v>29</v>
      </c>
      <c r="D189" t="s">
        <v>33</v>
      </c>
      <c r="E189">
        <v>61286</v>
      </c>
      <c r="F189">
        <v>0</v>
      </c>
      <c r="G189">
        <v>1</v>
      </c>
      <c r="H189" s="1">
        <v>41488</v>
      </c>
      <c r="I189">
        <v>34</v>
      </c>
      <c r="J189">
        <v>356</v>
      </c>
      <c r="K189">
        <v>0</v>
      </c>
      <c r="L189">
        <v>107</v>
      </c>
      <c r="M189">
        <v>19</v>
      </c>
      <c r="N189">
        <v>9</v>
      </c>
      <c r="O189">
        <v>117</v>
      </c>
      <c r="P189">
        <v>2</v>
      </c>
      <c r="Q189">
        <v>7</v>
      </c>
      <c r="R189">
        <v>1</v>
      </c>
      <c r="S189">
        <v>8</v>
      </c>
      <c r="T189">
        <v>5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3</v>
      </c>
      <c r="AB189">
        <v>11</v>
      </c>
      <c r="AC189">
        <v>0</v>
      </c>
    </row>
    <row r="190" spans="1:29" x14ac:dyDescent="0.3">
      <c r="A190">
        <v>6982</v>
      </c>
      <c r="B190">
        <v>1976</v>
      </c>
      <c r="C190" t="s">
        <v>29</v>
      </c>
      <c r="D190" t="s">
        <v>33</v>
      </c>
      <c r="E190">
        <v>74068</v>
      </c>
      <c r="F190">
        <v>0</v>
      </c>
      <c r="G190">
        <v>0</v>
      </c>
      <c r="H190" s="1">
        <v>41352</v>
      </c>
      <c r="I190">
        <v>14</v>
      </c>
      <c r="J190">
        <v>783</v>
      </c>
      <c r="K190">
        <v>30</v>
      </c>
      <c r="L190">
        <v>537</v>
      </c>
      <c r="M190">
        <v>140</v>
      </c>
      <c r="N190">
        <v>76</v>
      </c>
      <c r="O190">
        <v>15</v>
      </c>
      <c r="P190">
        <v>1</v>
      </c>
      <c r="Q190">
        <v>4</v>
      </c>
      <c r="R190">
        <v>10</v>
      </c>
      <c r="S190">
        <v>9</v>
      </c>
      <c r="T190">
        <v>2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3</v>
      </c>
      <c r="AB190">
        <v>11</v>
      </c>
      <c r="AC190">
        <v>0</v>
      </c>
    </row>
    <row r="191" spans="1:29" x14ac:dyDescent="0.3">
      <c r="A191">
        <v>6431</v>
      </c>
      <c r="B191">
        <v>1964</v>
      </c>
      <c r="C191" t="s">
        <v>32</v>
      </c>
      <c r="D191" t="s">
        <v>33</v>
      </c>
      <c r="E191">
        <v>45759</v>
      </c>
      <c r="F191">
        <v>1</v>
      </c>
      <c r="G191">
        <v>1</v>
      </c>
      <c r="H191" s="1">
        <v>41328</v>
      </c>
      <c r="I191">
        <v>13</v>
      </c>
      <c r="J191">
        <v>42</v>
      </c>
      <c r="K191">
        <v>1</v>
      </c>
      <c r="L191">
        <v>18</v>
      </c>
      <c r="M191">
        <v>3</v>
      </c>
      <c r="N191">
        <v>0</v>
      </c>
      <c r="O191">
        <v>4</v>
      </c>
      <c r="P191">
        <v>2</v>
      </c>
      <c r="Q191">
        <v>2</v>
      </c>
      <c r="R191">
        <v>0</v>
      </c>
      <c r="S191">
        <v>3</v>
      </c>
      <c r="T191">
        <v>7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3</v>
      </c>
      <c r="AB191">
        <v>11</v>
      </c>
      <c r="AC191">
        <v>0</v>
      </c>
    </row>
    <row r="192" spans="1:29" x14ac:dyDescent="0.3">
      <c r="A192">
        <v>9733</v>
      </c>
      <c r="B192">
        <v>1978</v>
      </c>
      <c r="C192" t="s">
        <v>36</v>
      </c>
      <c r="D192" t="s">
        <v>31</v>
      </c>
      <c r="E192">
        <v>24882</v>
      </c>
      <c r="F192">
        <v>1</v>
      </c>
      <c r="G192">
        <v>0</v>
      </c>
      <c r="H192" s="1">
        <v>41161</v>
      </c>
      <c r="I192">
        <v>52</v>
      </c>
      <c r="J192">
        <v>1</v>
      </c>
      <c r="K192">
        <v>4</v>
      </c>
      <c r="L192">
        <v>10</v>
      </c>
      <c r="M192">
        <v>29</v>
      </c>
      <c r="N192">
        <v>0</v>
      </c>
      <c r="O192">
        <v>36</v>
      </c>
      <c r="P192">
        <v>1</v>
      </c>
      <c r="Q192">
        <v>1</v>
      </c>
      <c r="R192">
        <v>1</v>
      </c>
      <c r="S192">
        <v>2</v>
      </c>
      <c r="T192">
        <v>6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3</v>
      </c>
      <c r="AB192">
        <v>11</v>
      </c>
      <c r="AC192">
        <v>0</v>
      </c>
    </row>
    <row r="193" spans="1:29" x14ac:dyDescent="0.3">
      <c r="A193">
        <v>5602</v>
      </c>
      <c r="B193">
        <v>1989</v>
      </c>
      <c r="C193" t="s">
        <v>32</v>
      </c>
      <c r="D193" t="s">
        <v>31</v>
      </c>
      <c r="E193">
        <v>66973</v>
      </c>
      <c r="F193">
        <v>0</v>
      </c>
      <c r="G193">
        <v>0</v>
      </c>
      <c r="H193" s="1">
        <v>41411</v>
      </c>
      <c r="I193">
        <v>98</v>
      </c>
      <c r="J193">
        <v>466</v>
      </c>
      <c r="K193">
        <v>22</v>
      </c>
      <c r="L193">
        <v>432</v>
      </c>
      <c r="M193">
        <v>147</v>
      </c>
      <c r="N193">
        <v>113</v>
      </c>
      <c r="O193">
        <v>102</v>
      </c>
      <c r="P193">
        <v>1</v>
      </c>
      <c r="Q193">
        <v>8</v>
      </c>
      <c r="R193">
        <v>7</v>
      </c>
      <c r="S193">
        <v>12</v>
      </c>
      <c r="T193">
        <v>3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3</v>
      </c>
      <c r="AB193">
        <v>11</v>
      </c>
      <c r="AC193">
        <v>0</v>
      </c>
    </row>
    <row r="194" spans="1:29" x14ac:dyDescent="0.3">
      <c r="A194">
        <v>7829</v>
      </c>
      <c r="B194">
        <v>1900</v>
      </c>
      <c r="C194" t="s">
        <v>37</v>
      </c>
      <c r="D194" t="s">
        <v>35</v>
      </c>
      <c r="E194">
        <v>36640</v>
      </c>
      <c r="F194">
        <v>1</v>
      </c>
      <c r="G194">
        <v>0</v>
      </c>
      <c r="H194" s="1">
        <v>41543</v>
      </c>
      <c r="I194">
        <v>99</v>
      </c>
      <c r="J194">
        <v>15</v>
      </c>
      <c r="K194">
        <v>6</v>
      </c>
      <c r="L194">
        <v>8</v>
      </c>
      <c r="M194">
        <v>7</v>
      </c>
      <c r="N194">
        <v>4</v>
      </c>
      <c r="O194">
        <v>25</v>
      </c>
      <c r="P194">
        <v>1</v>
      </c>
      <c r="Q194">
        <v>2</v>
      </c>
      <c r="R194">
        <v>1</v>
      </c>
      <c r="S194">
        <v>2</v>
      </c>
      <c r="T194">
        <v>5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3</v>
      </c>
      <c r="AB194">
        <v>11</v>
      </c>
      <c r="AC194">
        <v>0</v>
      </c>
    </row>
    <row r="195" spans="1:29" x14ac:dyDescent="0.3">
      <c r="A195">
        <v>1324</v>
      </c>
      <c r="B195">
        <v>1988</v>
      </c>
      <c r="C195" t="s">
        <v>29</v>
      </c>
      <c r="D195" t="s">
        <v>33</v>
      </c>
      <c r="E195">
        <v>38872</v>
      </c>
      <c r="F195">
        <v>1</v>
      </c>
      <c r="G195">
        <v>0</v>
      </c>
      <c r="H195" s="1">
        <v>41424</v>
      </c>
      <c r="I195">
        <v>93</v>
      </c>
      <c r="J195">
        <v>23</v>
      </c>
      <c r="K195">
        <v>3</v>
      </c>
      <c r="L195">
        <v>21</v>
      </c>
      <c r="M195">
        <v>3</v>
      </c>
      <c r="N195">
        <v>19</v>
      </c>
      <c r="O195">
        <v>22</v>
      </c>
      <c r="P195">
        <v>2</v>
      </c>
      <c r="Q195">
        <v>3</v>
      </c>
      <c r="R195">
        <v>0</v>
      </c>
      <c r="S195">
        <v>3</v>
      </c>
      <c r="T195">
        <v>8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3</v>
      </c>
      <c r="AB195">
        <v>11</v>
      </c>
      <c r="AC195">
        <v>0</v>
      </c>
    </row>
    <row r="196" spans="1:29" x14ac:dyDescent="0.3">
      <c r="A196">
        <v>326</v>
      </c>
      <c r="B196">
        <v>1973</v>
      </c>
      <c r="C196" t="s">
        <v>29</v>
      </c>
      <c r="D196" t="s">
        <v>33</v>
      </c>
      <c r="E196">
        <v>51148</v>
      </c>
      <c r="F196">
        <v>1</v>
      </c>
      <c r="G196">
        <v>1</v>
      </c>
      <c r="H196" s="1">
        <v>41323</v>
      </c>
      <c r="I196">
        <v>38</v>
      </c>
      <c r="J196">
        <v>235</v>
      </c>
      <c r="K196">
        <v>6</v>
      </c>
      <c r="L196">
        <v>45</v>
      </c>
      <c r="M196">
        <v>8</v>
      </c>
      <c r="N196">
        <v>9</v>
      </c>
      <c r="O196">
        <v>12</v>
      </c>
      <c r="P196">
        <v>4</v>
      </c>
      <c r="Q196">
        <v>5</v>
      </c>
      <c r="R196">
        <v>1</v>
      </c>
      <c r="S196">
        <v>6</v>
      </c>
      <c r="T196">
        <v>6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3</v>
      </c>
      <c r="AB196">
        <v>11</v>
      </c>
      <c r="AC196">
        <v>0</v>
      </c>
    </row>
    <row r="197" spans="1:29" x14ac:dyDescent="0.3">
      <c r="A197">
        <v>7224</v>
      </c>
      <c r="B197">
        <v>1977</v>
      </c>
      <c r="C197" t="s">
        <v>29</v>
      </c>
      <c r="D197" t="s">
        <v>33</v>
      </c>
      <c r="E197">
        <v>31353</v>
      </c>
      <c r="F197">
        <v>1</v>
      </c>
      <c r="G197">
        <v>1</v>
      </c>
      <c r="H197" s="1">
        <v>41637</v>
      </c>
      <c r="I197">
        <v>24</v>
      </c>
      <c r="J197">
        <v>10</v>
      </c>
      <c r="K197">
        <v>0</v>
      </c>
      <c r="L197">
        <v>10</v>
      </c>
      <c r="M197">
        <v>3</v>
      </c>
      <c r="N197">
        <v>1</v>
      </c>
      <c r="O197">
        <v>7</v>
      </c>
      <c r="P197">
        <v>2</v>
      </c>
      <c r="Q197">
        <v>1</v>
      </c>
      <c r="R197">
        <v>1</v>
      </c>
      <c r="S197">
        <v>2</v>
      </c>
      <c r="T197">
        <v>8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3</v>
      </c>
      <c r="AB197">
        <v>11</v>
      </c>
      <c r="AC197">
        <v>0</v>
      </c>
    </row>
    <row r="198" spans="1:29" x14ac:dyDescent="0.3">
      <c r="A198">
        <v>6999</v>
      </c>
      <c r="B198">
        <v>1980</v>
      </c>
      <c r="C198" t="s">
        <v>34</v>
      </c>
      <c r="D198" t="s">
        <v>33</v>
      </c>
      <c r="E198">
        <v>69661</v>
      </c>
      <c r="F198">
        <v>0</v>
      </c>
      <c r="G198">
        <v>0</v>
      </c>
      <c r="H198" s="1">
        <v>41772</v>
      </c>
      <c r="I198">
        <v>80</v>
      </c>
      <c r="J198">
        <v>656</v>
      </c>
      <c r="K198">
        <v>16</v>
      </c>
      <c r="L198">
        <v>106</v>
      </c>
      <c r="M198">
        <v>32</v>
      </c>
      <c r="N198">
        <v>16</v>
      </c>
      <c r="O198">
        <v>8</v>
      </c>
      <c r="P198">
        <v>1</v>
      </c>
      <c r="Q198">
        <v>7</v>
      </c>
      <c r="R198">
        <v>3</v>
      </c>
      <c r="S198">
        <v>12</v>
      </c>
      <c r="T198">
        <v>3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3</v>
      </c>
      <c r="AB198">
        <v>11</v>
      </c>
      <c r="AC198">
        <v>0</v>
      </c>
    </row>
    <row r="199" spans="1:29" x14ac:dyDescent="0.3">
      <c r="A199">
        <v>9938</v>
      </c>
      <c r="B199">
        <v>1954</v>
      </c>
      <c r="C199" t="s">
        <v>29</v>
      </c>
      <c r="D199" t="s">
        <v>33</v>
      </c>
      <c r="E199">
        <v>80067</v>
      </c>
      <c r="F199">
        <v>0</v>
      </c>
      <c r="G199">
        <v>0</v>
      </c>
      <c r="H199" s="1">
        <v>41536</v>
      </c>
      <c r="I199">
        <v>82</v>
      </c>
      <c r="J199">
        <v>519</v>
      </c>
      <c r="K199">
        <v>17</v>
      </c>
      <c r="L199">
        <v>813</v>
      </c>
      <c r="M199">
        <v>27</v>
      </c>
      <c r="N199">
        <v>173</v>
      </c>
      <c r="O199">
        <v>51</v>
      </c>
      <c r="P199">
        <v>1</v>
      </c>
      <c r="Q199">
        <v>4</v>
      </c>
      <c r="R199">
        <v>6</v>
      </c>
      <c r="S199">
        <v>6</v>
      </c>
      <c r="T199">
        <v>2</v>
      </c>
      <c r="U199">
        <v>0</v>
      </c>
      <c r="V199">
        <v>0</v>
      </c>
      <c r="W199">
        <v>1</v>
      </c>
      <c r="X199">
        <v>0</v>
      </c>
      <c r="Y199">
        <v>0</v>
      </c>
      <c r="Z199">
        <v>0</v>
      </c>
      <c r="AA199">
        <v>3</v>
      </c>
      <c r="AB199">
        <v>11</v>
      </c>
      <c r="AC199">
        <v>0</v>
      </c>
    </row>
    <row r="200" spans="1:29" x14ac:dyDescent="0.3">
      <c r="A200">
        <v>6422</v>
      </c>
      <c r="B200">
        <v>1954</v>
      </c>
      <c r="C200" t="s">
        <v>29</v>
      </c>
      <c r="D200" t="s">
        <v>33</v>
      </c>
      <c r="E200">
        <v>86718</v>
      </c>
      <c r="F200">
        <v>0</v>
      </c>
      <c r="G200">
        <v>0</v>
      </c>
      <c r="H200" s="1">
        <v>41291</v>
      </c>
      <c r="I200">
        <v>20</v>
      </c>
      <c r="J200">
        <v>344</v>
      </c>
      <c r="K200">
        <v>189</v>
      </c>
      <c r="L200">
        <v>482</v>
      </c>
      <c r="M200">
        <v>50</v>
      </c>
      <c r="N200">
        <v>33</v>
      </c>
      <c r="O200">
        <v>172</v>
      </c>
      <c r="P200">
        <v>1</v>
      </c>
      <c r="Q200">
        <v>5</v>
      </c>
      <c r="R200">
        <v>6</v>
      </c>
      <c r="S200">
        <v>5</v>
      </c>
      <c r="T200">
        <v>2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3</v>
      </c>
      <c r="AB200">
        <v>11</v>
      </c>
      <c r="AC200">
        <v>0</v>
      </c>
    </row>
    <row r="201" spans="1:29" x14ac:dyDescent="0.3">
      <c r="A201">
        <v>3182</v>
      </c>
      <c r="B201">
        <v>1973</v>
      </c>
      <c r="C201" t="s">
        <v>32</v>
      </c>
      <c r="D201" t="s">
        <v>30</v>
      </c>
      <c r="E201">
        <v>46854</v>
      </c>
      <c r="F201">
        <v>1</v>
      </c>
      <c r="G201">
        <v>1</v>
      </c>
      <c r="H201" s="1">
        <v>41729</v>
      </c>
      <c r="I201">
        <v>81</v>
      </c>
      <c r="J201">
        <v>96</v>
      </c>
      <c r="K201">
        <v>1</v>
      </c>
      <c r="L201">
        <v>79</v>
      </c>
      <c r="M201">
        <v>7</v>
      </c>
      <c r="N201">
        <v>1</v>
      </c>
      <c r="O201">
        <v>79</v>
      </c>
      <c r="P201">
        <v>6</v>
      </c>
      <c r="Q201">
        <v>5</v>
      </c>
      <c r="R201">
        <v>1</v>
      </c>
      <c r="S201">
        <v>3</v>
      </c>
      <c r="T201">
        <v>8</v>
      </c>
      <c r="U201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3</v>
      </c>
      <c r="AB201">
        <v>11</v>
      </c>
      <c r="AC201">
        <v>1</v>
      </c>
    </row>
    <row r="202" spans="1:29" x14ac:dyDescent="0.3">
      <c r="A202">
        <v>7300</v>
      </c>
      <c r="B202">
        <v>1952</v>
      </c>
      <c r="C202" t="s">
        <v>29</v>
      </c>
      <c r="D202" t="s">
        <v>35</v>
      </c>
      <c r="E202">
        <v>69142</v>
      </c>
      <c r="F202">
        <v>0</v>
      </c>
      <c r="G202">
        <v>1</v>
      </c>
      <c r="H202" s="1">
        <v>41819</v>
      </c>
      <c r="I202">
        <v>50</v>
      </c>
      <c r="J202">
        <v>448</v>
      </c>
      <c r="K202">
        <v>4</v>
      </c>
      <c r="L202">
        <v>34</v>
      </c>
      <c r="M202">
        <v>6</v>
      </c>
      <c r="N202">
        <v>4</v>
      </c>
      <c r="O202">
        <v>39</v>
      </c>
      <c r="P202">
        <v>3</v>
      </c>
      <c r="Q202">
        <v>8</v>
      </c>
      <c r="R202">
        <v>1</v>
      </c>
      <c r="S202">
        <v>7</v>
      </c>
      <c r="T202">
        <v>5</v>
      </c>
      <c r="U202">
        <v>0</v>
      </c>
      <c r="V202">
        <v>1</v>
      </c>
      <c r="W202">
        <v>0</v>
      </c>
      <c r="X202">
        <v>0</v>
      </c>
      <c r="Y202">
        <v>0</v>
      </c>
      <c r="Z202">
        <v>0</v>
      </c>
      <c r="AA202">
        <v>3</v>
      </c>
      <c r="AB202">
        <v>11</v>
      </c>
      <c r="AC202">
        <v>0</v>
      </c>
    </row>
    <row r="203" spans="1:29" x14ac:dyDescent="0.3">
      <c r="A203">
        <v>10424</v>
      </c>
      <c r="B203">
        <v>1968</v>
      </c>
      <c r="C203" t="s">
        <v>29</v>
      </c>
      <c r="D203" t="s">
        <v>30</v>
      </c>
      <c r="E203">
        <v>75922</v>
      </c>
      <c r="F203">
        <v>0</v>
      </c>
      <c r="G203">
        <v>0</v>
      </c>
      <c r="H203" s="1">
        <v>41617</v>
      </c>
      <c r="I203">
        <v>60</v>
      </c>
      <c r="J203">
        <v>265</v>
      </c>
      <c r="K203">
        <v>138</v>
      </c>
      <c r="L203">
        <v>553</v>
      </c>
      <c r="M203">
        <v>224</v>
      </c>
      <c r="N203">
        <v>23</v>
      </c>
      <c r="O203">
        <v>92</v>
      </c>
      <c r="P203">
        <v>1</v>
      </c>
      <c r="Q203">
        <v>4</v>
      </c>
      <c r="R203">
        <v>4</v>
      </c>
      <c r="S203">
        <v>9</v>
      </c>
      <c r="T203">
        <v>1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3</v>
      </c>
      <c r="AB203">
        <v>11</v>
      </c>
      <c r="AC203">
        <v>0</v>
      </c>
    </row>
    <row r="204" spans="1:29" x14ac:dyDescent="0.3">
      <c r="A204">
        <v>8727</v>
      </c>
      <c r="B204">
        <v>1978</v>
      </c>
      <c r="C204" t="s">
        <v>29</v>
      </c>
      <c r="D204" t="s">
        <v>35</v>
      </c>
      <c r="E204">
        <v>63693</v>
      </c>
      <c r="F204">
        <v>0</v>
      </c>
      <c r="G204">
        <v>1</v>
      </c>
      <c r="H204" s="1">
        <v>41561</v>
      </c>
      <c r="I204">
        <v>63</v>
      </c>
      <c r="J204">
        <v>587</v>
      </c>
      <c r="K204">
        <v>43</v>
      </c>
      <c r="L204">
        <v>337</v>
      </c>
      <c r="M204">
        <v>42</v>
      </c>
      <c r="N204">
        <v>87</v>
      </c>
      <c r="O204">
        <v>54</v>
      </c>
      <c r="P204">
        <v>3</v>
      </c>
      <c r="Q204">
        <v>11</v>
      </c>
      <c r="R204">
        <v>6</v>
      </c>
      <c r="S204">
        <v>9</v>
      </c>
      <c r="T204">
        <v>6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3</v>
      </c>
      <c r="AB204">
        <v>11</v>
      </c>
      <c r="AC204">
        <v>0</v>
      </c>
    </row>
    <row r="205" spans="1:29" x14ac:dyDescent="0.3">
      <c r="A205">
        <v>2798</v>
      </c>
      <c r="B205">
        <v>1977</v>
      </c>
      <c r="C205" t="s">
        <v>32</v>
      </c>
      <c r="D205" t="s">
        <v>31</v>
      </c>
      <c r="E205">
        <v>102160</v>
      </c>
      <c r="F205">
        <v>0</v>
      </c>
      <c r="G205">
        <v>0</v>
      </c>
      <c r="H205" s="1">
        <v>41215</v>
      </c>
      <c r="I205">
        <v>54</v>
      </c>
      <c r="J205">
        <v>763</v>
      </c>
      <c r="K205">
        <v>29</v>
      </c>
      <c r="L205">
        <v>138</v>
      </c>
      <c r="M205">
        <v>76</v>
      </c>
      <c r="N205">
        <v>176</v>
      </c>
      <c r="O205">
        <v>58</v>
      </c>
      <c r="P205">
        <v>0</v>
      </c>
      <c r="Q205">
        <v>7</v>
      </c>
      <c r="R205">
        <v>9</v>
      </c>
      <c r="S205">
        <v>10</v>
      </c>
      <c r="T205">
        <v>4</v>
      </c>
      <c r="U205">
        <v>0</v>
      </c>
      <c r="V205">
        <v>1</v>
      </c>
      <c r="W205">
        <v>1</v>
      </c>
      <c r="X205">
        <v>1</v>
      </c>
      <c r="Y205">
        <v>0</v>
      </c>
      <c r="Z205">
        <v>0</v>
      </c>
      <c r="AA205">
        <v>3</v>
      </c>
      <c r="AB205">
        <v>11</v>
      </c>
      <c r="AC205">
        <v>1</v>
      </c>
    </row>
    <row r="206" spans="1:29" x14ac:dyDescent="0.3">
      <c r="A206">
        <v>1030</v>
      </c>
      <c r="B206">
        <v>1965</v>
      </c>
      <c r="C206" t="s">
        <v>32</v>
      </c>
      <c r="D206" t="s">
        <v>30</v>
      </c>
      <c r="E206">
        <v>40637</v>
      </c>
      <c r="F206">
        <v>1</v>
      </c>
      <c r="G206">
        <v>1</v>
      </c>
      <c r="H206" s="1">
        <v>41472</v>
      </c>
      <c r="I206">
        <v>72</v>
      </c>
      <c r="J206">
        <v>22</v>
      </c>
      <c r="K206">
        <v>0</v>
      </c>
      <c r="L206">
        <v>13</v>
      </c>
      <c r="M206">
        <v>0</v>
      </c>
      <c r="N206">
        <v>0</v>
      </c>
      <c r="O206">
        <v>3</v>
      </c>
      <c r="P206">
        <v>2</v>
      </c>
      <c r="Q206">
        <v>1</v>
      </c>
      <c r="R206">
        <v>0</v>
      </c>
      <c r="S206">
        <v>3</v>
      </c>
      <c r="T206">
        <v>7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3</v>
      </c>
      <c r="AB206">
        <v>11</v>
      </c>
      <c r="AC206">
        <v>0</v>
      </c>
    </row>
    <row r="207" spans="1:29" x14ac:dyDescent="0.3">
      <c r="A207">
        <v>624</v>
      </c>
      <c r="B207">
        <v>1984</v>
      </c>
      <c r="C207" t="s">
        <v>34</v>
      </c>
      <c r="D207" t="s">
        <v>30</v>
      </c>
      <c r="E207">
        <v>18890</v>
      </c>
      <c r="F207">
        <v>0</v>
      </c>
      <c r="G207">
        <v>0</v>
      </c>
      <c r="H207" s="1">
        <v>41223</v>
      </c>
      <c r="I207">
        <v>5</v>
      </c>
      <c r="J207">
        <v>6</v>
      </c>
      <c r="K207">
        <v>4</v>
      </c>
      <c r="L207">
        <v>1</v>
      </c>
      <c r="M207">
        <v>7</v>
      </c>
      <c r="N207">
        <v>2</v>
      </c>
      <c r="O207">
        <v>15</v>
      </c>
      <c r="P207">
        <v>1</v>
      </c>
      <c r="Q207">
        <v>0</v>
      </c>
      <c r="R207">
        <v>1</v>
      </c>
      <c r="S207">
        <v>2</v>
      </c>
      <c r="T207">
        <v>6</v>
      </c>
      <c r="U207">
        <v>1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3</v>
      </c>
      <c r="AB207">
        <v>11</v>
      </c>
      <c r="AC207">
        <v>1</v>
      </c>
    </row>
    <row r="208" spans="1:29" x14ac:dyDescent="0.3">
      <c r="A208">
        <v>5176</v>
      </c>
      <c r="B208">
        <v>1988</v>
      </c>
      <c r="C208" t="s">
        <v>29</v>
      </c>
      <c r="D208" t="s">
        <v>31</v>
      </c>
      <c r="E208">
        <v>29604</v>
      </c>
      <c r="F208">
        <v>1</v>
      </c>
      <c r="G208">
        <v>0</v>
      </c>
      <c r="H208" s="1">
        <v>41616</v>
      </c>
      <c r="I208">
        <v>88</v>
      </c>
      <c r="J208">
        <v>7</v>
      </c>
      <c r="K208">
        <v>6</v>
      </c>
      <c r="L208">
        <v>13</v>
      </c>
      <c r="M208">
        <v>7</v>
      </c>
      <c r="N208">
        <v>6</v>
      </c>
      <c r="O208">
        <v>14</v>
      </c>
      <c r="P208">
        <v>1</v>
      </c>
      <c r="Q208">
        <v>1</v>
      </c>
      <c r="R208">
        <v>0</v>
      </c>
      <c r="S208">
        <v>3</v>
      </c>
      <c r="T208">
        <v>9</v>
      </c>
      <c r="U208">
        <v>1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3</v>
      </c>
      <c r="AB208">
        <v>11</v>
      </c>
      <c r="AC208">
        <v>0</v>
      </c>
    </row>
    <row r="209" spans="1:29" x14ac:dyDescent="0.3">
      <c r="A209">
        <v>5552</v>
      </c>
      <c r="B209">
        <v>1963</v>
      </c>
      <c r="C209" t="s">
        <v>34</v>
      </c>
      <c r="D209" t="s">
        <v>35</v>
      </c>
      <c r="E209">
        <v>48721</v>
      </c>
      <c r="F209">
        <v>1</v>
      </c>
      <c r="G209">
        <v>1</v>
      </c>
      <c r="H209" s="1">
        <v>41407</v>
      </c>
      <c r="I209">
        <v>50</v>
      </c>
      <c r="J209">
        <v>81</v>
      </c>
      <c r="K209">
        <v>18</v>
      </c>
      <c r="L209">
        <v>113</v>
      </c>
      <c r="M209">
        <v>47</v>
      </c>
      <c r="N209">
        <v>13</v>
      </c>
      <c r="O209">
        <v>21</v>
      </c>
      <c r="P209">
        <v>6</v>
      </c>
      <c r="Q209">
        <v>4</v>
      </c>
      <c r="R209">
        <v>2</v>
      </c>
      <c r="S209">
        <v>5</v>
      </c>
      <c r="T209">
        <v>6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3</v>
      </c>
      <c r="AB209">
        <v>11</v>
      </c>
      <c r="AC209">
        <v>0</v>
      </c>
    </row>
    <row r="210" spans="1:29" x14ac:dyDescent="0.3">
      <c r="A210">
        <v>868</v>
      </c>
      <c r="B210">
        <v>1966</v>
      </c>
      <c r="C210" t="s">
        <v>29</v>
      </c>
      <c r="D210" t="s">
        <v>33</v>
      </c>
      <c r="E210">
        <v>44794</v>
      </c>
      <c r="F210">
        <v>0</v>
      </c>
      <c r="G210">
        <v>1</v>
      </c>
      <c r="H210" s="1">
        <v>41798</v>
      </c>
      <c r="I210">
        <v>99</v>
      </c>
      <c r="J210">
        <v>54</v>
      </c>
      <c r="K210">
        <v>0</v>
      </c>
      <c r="L210">
        <v>7</v>
      </c>
      <c r="M210">
        <v>0</v>
      </c>
      <c r="N210">
        <v>0</v>
      </c>
      <c r="O210">
        <v>4</v>
      </c>
      <c r="P210">
        <v>1</v>
      </c>
      <c r="Q210">
        <v>2</v>
      </c>
      <c r="R210">
        <v>0</v>
      </c>
      <c r="S210">
        <v>3</v>
      </c>
      <c r="T210">
        <v>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3</v>
      </c>
      <c r="AB210">
        <v>11</v>
      </c>
      <c r="AC210">
        <v>0</v>
      </c>
    </row>
    <row r="211" spans="1:29" x14ac:dyDescent="0.3">
      <c r="A211">
        <v>380</v>
      </c>
      <c r="B211">
        <v>1954</v>
      </c>
      <c r="C211" t="s">
        <v>29</v>
      </c>
      <c r="D211" t="s">
        <v>35</v>
      </c>
      <c r="E211">
        <v>64497</v>
      </c>
      <c r="F211">
        <v>0</v>
      </c>
      <c r="G211">
        <v>1</v>
      </c>
      <c r="H211" s="1">
        <v>41162</v>
      </c>
      <c r="I211">
        <v>17</v>
      </c>
      <c r="J211">
        <v>1170</v>
      </c>
      <c r="K211">
        <v>48</v>
      </c>
      <c r="L211">
        <v>320</v>
      </c>
      <c r="M211">
        <v>42</v>
      </c>
      <c r="N211">
        <v>32</v>
      </c>
      <c r="O211">
        <v>192</v>
      </c>
      <c r="P211">
        <v>5</v>
      </c>
      <c r="Q211">
        <v>11</v>
      </c>
      <c r="R211">
        <v>4</v>
      </c>
      <c r="S211">
        <v>9</v>
      </c>
      <c r="T211">
        <v>8</v>
      </c>
      <c r="U211">
        <v>1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3</v>
      </c>
      <c r="AB211">
        <v>11</v>
      </c>
      <c r="AC211">
        <v>1</v>
      </c>
    </row>
    <row r="212" spans="1:29" x14ac:dyDescent="0.3">
      <c r="A212">
        <v>2677</v>
      </c>
      <c r="B212">
        <v>1956</v>
      </c>
      <c r="C212" t="s">
        <v>29</v>
      </c>
      <c r="D212" t="s">
        <v>31</v>
      </c>
      <c r="E212">
        <v>46097</v>
      </c>
      <c r="F212">
        <v>0</v>
      </c>
      <c r="G212">
        <v>1</v>
      </c>
      <c r="H212" s="1">
        <v>41364</v>
      </c>
      <c r="I212">
        <v>11</v>
      </c>
      <c r="J212">
        <v>72</v>
      </c>
      <c r="K212">
        <v>24</v>
      </c>
      <c r="L212">
        <v>68</v>
      </c>
      <c r="M212">
        <v>65</v>
      </c>
      <c r="N212">
        <v>4</v>
      </c>
      <c r="O212">
        <v>8</v>
      </c>
      <c r="P212">
        <v>5</v>
      </c>
      <c r="Q212">
        <v>3</v>
      </c>
      <c r="R212">
        <v>1</v>
      </c>
      <c r="S212">
        <v>6</v>
      </c>
      <c r="T212">
        <v>4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3</v>
      </c>
      <c r="AB212">
        <v>11</v>
      </c>
      <c r="AC212">
        <v>0</v>
      </c>
    </row>
    <row r="213" spans="1:29" x14ac:dyDescent="0.3">
      <c r="A213">
        <v>6521</v>
      </c>
      <c r="B213">
        <v>1954</v>
      </c>
      <c r="C213" t="s">
        <v>29</v>
      </c>
      <c r="D213" t="s">
        <v>31</v>
      </c>
      <c r="E213">
        <v>77972</v>
      </c>
      <c r="F213">
        <v>0</v>
      </c>
      <c r="G213">
        <v>0</v>
      </c>
      <c r="H213" s="1">
        <v>41716</v>
      </c>
      <c r="I213">
        <v>18</v>
      </c>
      <c r="J213">
        <v>613</v>
      </c>
      <c r="K213">
        <v>22</v>
      </c>
      <c r="L213">
        <v>319</v>
      </c>
      <c r="M213">
        <v>33</v>
      </c>
      <c r="N213">
        <v>102</v>
      </c>
      <c r="O213">
        <v>12</v>
      </c>
      <c r="P213">
        <v>1</v>
      </c>
      <c r="Q213">
        <v>4</v>
      </c>
      <c r="R213">
        <v>6</v>
      </c>
      <c r="S213">
        <v>9</v>
      </c>
      <c r="T213">
        <v>1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3</v>
      </c>
      <c r="AB213">
        <v>11</v>
      </c>
      <c r="AC213">
        <v>0</v>
      </c>
    </row>
    <row r="214" spans="1:29" x14ac:dyDescent="0.3">
      <c r="A214">
        <v>6927</v>
      </c>
      <c r="B214">
        <v>1968</v>
      </c>
      <c r="C214" t="s">
        <v>32</v>
      </c>
      <c r="D214" t="s">
        <v>33</v>
      </c>
      <c r="E214">
        <v>44377</v>
      </c>
      <c r="F214">
        <v>1</v>
      </c>
      <c r="G214">
        <v>1</v>
      </c>
      <c r="H214" s="1">
        <v>41187</v>
      </c>
      <c r="I214">
        <v>70</v>
      </c>
      <c r="J214">
        <v>224</v>
      </c>
      <c r="K214">
        <v>0</v>
      </c>
      <c r="L214">
        <v>30</v>
      </c>
      <c r="M214">
        <v>0</v>
      </c>
      <c r="N214">
        <v>0</v>
      </c>
      <c r="O214">
        <v>10</v>
      </c>
      <c r="P214">
        <v>8</v>
      </c>
      <c r="Q214">
        <v>5</v>
      </c>
      <c r="R214">
        <v>1</v>
      </c>
      <c r="S214">
        <v>5</v>
      </c>
      <c r="T214">
        <v>8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3</v>
      </c>
      <c r="AB214">
        <v>11</v>
      </c>
      <c r="AC214">
        <v>0</v>
      </c>
    </row>
    <row r="215" spans="1:29" x14ac:dyDescent="0.3">
      <c r="A215">
        <v>2877</v>
      </c>
      <c r="B215">
        <v>1974</v>
      </c>
      <c r="C215" t="s">
        <v>34</v>
      </c>
      <c r="D215" t="s">
        <v>31</v>
      </c>
      <c r="E215">
        <v>46014</v>
      </c>
      <c r="F215">
        <v>1</v>
      </c>
      <c r="G215">
        <v>1</v>
      </c>
      <c r="H215" s="1">
        <v>41295</v>
      </c>
      <c r="I215">
        <v>21</v>
      </c>
      <c r="J215">
        <v>410</v>
      </c>
      <c r="K215">
        <v>0</v>
      </c>
      <c r="L215">
        <v>59</v>
      </c>
      <c r="M215">
        <v>19</v>
      </c>
      <c r="N215">
        <v>9</v>
      </c>
      <c r="O215">
        <v>44</v>
      </c>
      <c r="P215">
        <v>10</v>
      </c>
      <c r="Q215">
        <v>7</v>
      </c>
      <c r="R215">
        <v>1</v>
      </c>
      <c r="S215">
        <v>8</v>
      </c>
      <c r="T215">
        <v>7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11</v>
      </c>
      <c r="AC215">
        <v>0</v>
      </c>
    </row>
    <row r="216" spans="1:29" x14ac:dyDescent="0.3">
      <c r="A216">
        <v>0</v>
      </c>
      <c r="B216">
        <v>1985</v>
      </c>
      <c r="C216" t="s">
        <v>29</v>
      </c>
      <c r="D216" t="s">
        <v>33</v>
      </c>
      <c r="E216">
        <v>70951</v>
      </c>
      <c r="F216">
        <v>0</v>
      </c>
      <c r="G216">
        <v>0</v>
      </c>
      <c r="H216" s="1">
        <v>41398</v>
      </c>
      <c r="I216">
        <v>66</v>
      </c>
      <c r="J216">
        <v>239</v>
      </c>
      <c r="K216">
        <v>10</v>
      </c>
      <c r="L216">
        <v>554</v>
      </c>
      <c r="M216">
        <v>254</v>
      </c>
      <c r="N216">
        <v>87</v>
      </c>
      <c r="O216">
        <v>54</v>
      </c>
      <c r="P216">
        <v>1</v>
      </c>
      <c r="Q216">
        <v>3</v>
      </c>
      <c r="R216">
        <v>4</v>
      </c>
      <c r="S216">
        <v>9</v>
      </c>
      <c r="T216">
        <v>1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3</v>
      </c>
      <c r="AB216">
        <v>11</v>
      </c>
      <c r="AC216">
        <v>0</v>
      </c>
    </row>
    <row r="217" spans="1:29" x14ac:dyDescent="0.3">
      <c r="A217">
        <v>1584</v>
      </c>
      <c r="B217">
        <v>1977</v>
      </c>
      <c r="C217" t="s">
        <v>29</v>
      </c>
      <c r="D217" t="s">
        <v>33</v>
      </c>
      <c r="E217">
        <v>41443</v>
      </c>
      <c r="F217">
        <v>1</v>
      </c>
      <c r="G217">
        <v>0</v>
      </c>
      <c r="H217" s="1">
        <v>41730</v>
      </c>
      <c r="I217">
        <v>79</v>
      </c>
      <c r="J217">
        <v>171</v>
      </c>
      <c r="K217">
        <v>7</v>
      </c>
      <c r="L217">
        <v>171</v>
      </c>
      <c r="M217">
        <v>25</v>
      </c>
      <c r="N217">
        <v>19</v>
      </c>
      <c r="O217">
        <v>89</v>
      </c>
      <c r="P217">
        <v>6</v>
      </c>
      <c r="Q217">
        <v>8</v>
      </c>
      <c r="R217">
        <v>1</v>
      </c>
      <c r="S217">
        <v>5</v>
      </c>
      <c r="T217">
        <v>8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3</v>
      </c>
      <c r="AB217">
        <v>11</v>
      </c>
      <c r="AC217">
        <v>0</v>
      </c>
    </row>
    <row r="218" spans="1:29" x14ac:dyDescent="0.3">
      <c r="A218">
        <v>7264</v>
      </c>
      <c r="B218">
        <v>1978</v>
      </c>
      <c r="C218" t="s">
        <v>37</v>
      </c>
      <c r="D218" t="s">
        <v>30</v>
      </c>
      <c r="E218">
        <v>52195</v>
      </c>
      <c r="F218">
        <v>2</v>
      </c>
      <c r="G218">
        <v>1</v>
      </c>
      <c r="H218" s="1">
        <v>41771</v>
      </c>
      <c r="I218">
        <v>2</v>
      </c>
      <c r="J218">
        <v>12</v>
      </c>
      <c r="K218">
        <v>0</v>
      </c>
      <c r="L218">
        <v>4</v>
      </c>
      <c r="M218">
        <v>0</v>
      </c>
      <c r="N218">
        <v>0</v>
      </c>
      <c r="O218">
        <v>1</v>
      </c>
      <c r="P218">
        <v>1</v>
      </c>
      <c r="Q218">
        <v>1</v>
      </c>
      <c r="R218">
        <v>0</v>
      </c>
      <c r="S218">
        <v>2</v>
      </c>
      <c r="T218">
        <v>8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3</v>
      </c>
      <c r="AB218">
        <v>11</v>
      </c>
      <c r="AC218">
        <v>0</v>
      </c>
    </row>
    <row r="219" spans="1:29" x14ac:dyDescent="0.3">
      <c r="A219">
        <v>6274</v>
      </c>
      <c r="B219">
        <v>1948</v>
      </c>
      <c r="C219" t="s">
        <v>34</v>
      </c>
      <c r="D219" t="s">
        <v>33</v>
      </c>
      <c r="E219">
        <v>83790</v>
      </c>
      <c r="F219">
        <v>0</v>
      </c>
      <c r="G219">
        <v>0</v>
      </c>
      <c r="H219" s="1">
        <v>41593</v>
      </c>
      <c r="I219">
        <v>81</v>
      </c>
      <c r="J219">
        <v>1076</v>
      </c>
      <c r="K219">
        <v>16</v>
      </c>
      <c r="L219">
        <v>417</v>
      </c>
      <c r="M219">
        <v>42</v>
      </c>
      <c r="N219">
        <v>48</v>
      </c>
      <c r="O219">
        <v>16</v>
      </c>
      <c r="P219">
        <v>1</v>
      </c>
      <c r="Q219">
        <v>8</v>
      </c>
      <c r="R219">
        <v>10</v>
      </c>
      <c r="S219">
        <v>6</v>
      </c>
      <c r="T219">
        <v>3</v>
      </c>
      <c r="U219">
        <v>0</v>
      </c>
      <c r="V219">
        <v>1</v>
      </c>
      <c r="W219">
        <v>1</v>
      </c>
      <c r="X219">
        <v>0</v>
      </c>
      <c r="Y219">
        <v>0</v>
      </c>
      <c r="Z219">
        <v>0</v>
      </c>
      <c r="AA219">
        <v>3</v>
      </c>
      <c r="AB219">
        <v>11</v>
      </c>
      <c r="AC219">
        <v>0</v>
      </c>
    </row>
    <row r="220" spans="1:29" x14ac:dyDescent="0.3">
      <c r="A220">
        <v>1377</v>
      </c>
      <c r="B220">
        <v>1954</v>
      </c>
      <c r="C220" t="s">
        <v>34</v>
      </c>
      <c r="D220" t="s">
        <v>38</v>
      </c>
      <c r="E220">
        <v>44551</v>
      </c>
      <c r="F220">
        <v>0</v>
      </c>
      <c r="G220">
        <v>1</v>
      </c>
      <c r="H220" s="1">
        <v>41517</v>
      </c>
      <c r="I220">
        <v>24</v>
      </c>
      <c r="J220">
        <v>182</v>
      </c>
      <c r="K220">
        <v>4</v>
      </c>
      <c r="L220">
        <v>33</v>
      </c>
      <c r="M220">
        <v>0</v>
      </c>
      <c r="N220">
        <v>0</v>
      </c>
      <c r="O220">
        <v>66</v>
      </c>
      <c r="P220">
        <v>2</v>
      </c>
      <c r="Q220">
        <v>4</v>
      </c>
      <c r="R220">
        <v>1</v>
      </c>
      <c r="S220">
        <v>5</v>
      </c>
      <c r="T220">
        <v>7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3</v>
      </c>
      <c r="AB220">
        <v>11</v>
      </c>
      <c r="AC220">
        <v>0</v>
      </c>
    </row>
    <row r="221" spans="1:29" x14ac:dyDescent="0.3">
      <c r="A221">
        <v>454</v>
      </c>
      <c r="B221">
        <v>1980</v>
      </c>
      <c r="C221" t="s">
        <v>29</v>
      </c>
      <c r="D221" t="s">
        <v>31</v>
      </c>
      <c r="E221">
        <v>69508</v>
      </c>
      <c r="F221">
        <v>1</v>
      </c>
      <c r="G221">
        <v>0</v>
      </c>
      <c r="H221" s="1">
        <v>41227</v>
      </c>
      <c r="I221">
        <v>48</v>
      </c>
      <c r="J221">
        <v>824</v>
      </c>
      <c r="K221">
        <v>32</v>
      </c>
      <c r="L221">
        <v>162</v>
      </c>
      <c r="M221">
        <v>42</v>
      </c>
      <c r="N221">
        <v>32</v>
      </c>
      <c r="O221">
        <v>43</v>
      </c>
      <c r="P221">
        <v>2</v>
      </c>
      <c r="Q221">
        <v>11</v>
      </c>
      <c r="R221">
        <v>4</v>
      </c>
      <c r="S221">
        <v>11</v>
      </c>
      <c r="T221">
        <v>6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3</v>
      </c>
      <c r="AB221">
        <v>11</v>
      </c>
      <c r="AC221">
        <v>0</v>
      </c>
    </row>
    <row r="222" spans="1:29" x14ac:dyDescent="0.3">
      <c r="A222">
        <v>1755</v>
      </c>
      <c r="B222">
        <v>1988</v>
      </c>
      <c r="C222" t="s">
        <v>37</v>
      </c>
      <c r="D222" t="s">
        <v>31</v>
      </c>
      <c r="E222">
        <v>45204</v>
      </c>
      <c r="F222">
        <v>1</v>
      </c>
      <c r="G222">
        <v>0</v>
      </c>
      <c r="H222" s="1">
        <v>41740</v>
      </c>
      <c r="I222">
        <v>93</v>
      </c>
      <c r="J222">
        <v>30</v>
      </c>
      <c r="K222">
        <v>11</v>
      </c>
      <c r="L222">
        <v>25</v>
      </c>
      <c r="M222">
        <v>29</v>
      </c>
      <c r="N222">
        <v>1</v>
      </c>
      <c r="O222">
        <v>18</v>
      </c>
      <c r="P222">
        <v>1</v>
      </c>
      <c r="Q222">
        <v>1</v>
      </c>
      <c r="R222">
        <v>1</v>
      </c>
      <c r="S222">
        <v>4</v>
      </c>
      <c r="T222">
        <v>3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11</v>
      </c>
      <c r="AC222">
        <v>0</v>
      </c>
    </row>
    <row r="223" spans="1:29" x14ac:dyDescent="0.3">
      <c r="A223">
        <v>2075</v>
      </c>
      <c r="B223">
        <v>1969</v>
      </c>
      <c r="C223" t="s">
        <v>29</v>
      </c>
      <c r="D223" t="s">
        <v>33</v>
      </c>
      <c r="E223">
        <v>72460</v>
      </c>
      <c r="F223">
        <v>0</v>
      </c>
      <c r="G223">
        <v>0</v>
      </c>
      <c r="H223" s="1">
        <v>41592</v>
      </c>
      <c r="I223">
        <v>56</v>
      </c>
      <c r="J223">
        <v>377</v>
      </c>
      <c r="K223">
        <v>10</v>
      </c>
      <c r="L223">
        <v>540</v>
      </c>
      <c r="M223">
        <v>80</v>
      </c>
      <c r="N223">
        <v>30</v>
      </c>
      <c r="O223">
        <v>10</v>
      </c>
      <c r="P223">
        <v>1</v>
      </c>
      <c r="Q223">
        <v>3</v>
      </c>
      <c r="R223">
        <v>5</v>
      </c>
      <c r="S223">
        <v>7</v>
      </c>
      <c r="T223">
        <v>1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3</v>
      </c>
      <c r="AB223">
        <v>11</v>
      </c>
      <c r="AC223">
        <v>0</v>
      </c>
    </row>
    <row r="224" spans="1:29" x14ac:dyDescent="0.3">
      <c r="A224">
        <v>4785</v>
      </c>
      <c r="B224">
        <v>1970</v>
      </c>
      <c r="C224" t="s">
        <v>32</v>
      </c>
      <c r="D224" t="s">
        <v>31</v>
      </c>
      <c r="E224">
        <v>77622</v>
      </c>
      <c r="F224">
        <v>0</v>
      </c>
      <c r="G224">
        <v>2</v>
      </c>
      <c r="H224" s="1">
        <v>41743</v>
      </c>
      <c r="I224">
        <v>3</v>
      </c>
      <c r="J224">
        <v>520</v>
      </c>
      <c r="K224">
        <v>7</v>
      </c>
      <c r="L224">
        <v>154</v>
      </c>
      <c r="M224">
        <v>19</v>
      </c>
      <c r="N224">
        <v>0</v>
      </c>
      <c r="O224">
        <v>14</v>
      </c>
      <c r="P224">
        <v>2</v>
      </c>
      <c r="Q224">
        <v>6</v>
      </c>
      <c r="R224">
        <v>3</v>
      </c>
      <c r="S224">
        <v>11</v>
      </c>
      <c r="T224">
        <v>3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3</v>
      </c>
      <c r="AB224">
        <v>11</v>
      </c>
      <c r="AC224">
        <v>0</v>
      </c>
    </row>
    <row r="225" spans="1:29" x14ac:dyDescent="0.3">
      <c r="A225">
        <v>9076</v>
      </c>
      <c r="B225">
        <v>1980</v>
      </c>
      <c r="C225" t="s">
        <v>32</v>
      </c>
      <c r="D225" t="s">
        <v>33</v>
      </c>
      <c r="E225">
        <v>30732</v>
      </c>
      <c r="F225">
        <v>1</v>
      </c>
      <c r="G225">
        <v>0</v>
      </c>
      <c r="H225" s="1">
        <v>41279</v>
      </c>
      <c r="I225">
        <v>44</v>
      </c>
      <c r="J225">
        <v>155</v>
      </c>
      <c r="K225">
        <v>1</v>
      </c>
      <c r="L225">
        <v>25</v>
      </c>
      <c r="M225">
        <v>0</v>
      </c>
      <c r="N225">
        <v>1</v>
      </c>
      <c r="O225">
        <v>3</v>
      </c>
      <c r="P225">
        <v>4</v>
      </c>
      <c r="Q225">
        <v>4</v>
      </c>
      <c r="R225">
        <v>1</v>
      </c>
      <c r="S225">
        <v>4</v>
      </c>
      <c r="T225">
        <v>8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3</v>
      </c>
      <c r="AB225">
        <v>11</v>
      </c>
      <c r="AC225">
        <v>0</v>
      </c>
    </row>
    <row r="226" spans="1:29" x14ac:dyDescent="0.3">
      <c r="A226">
        <v>7079</v>
      </c>
      <c r="B226">
        <v>1962</v>
      </c>
      <c r="C226" t="s">
        <v>29</v>
      </c>
      <c r="D226" t="s">
        <v>35</v>
      </c>
      <c r="E226">
        <v>63887</v>
      </c>
      <c r="F226">
        <v>0</v>
      </c>
      <c r="G226">
        <v>1</v>
      </c>
      <c r="H226" s="1">
        <v>41160</v>
      </c>
      <c r="I226">
        <v>38</v>
      </c>
      <c r="J226">
        <v>897</v>
      </c>
      <c r="K226">
        <v>23</v>
      </c>
      <c r="L226">
        <v>207</v>
      </c>
      <c r="M226">
        <v>15</v>
      </c>
      <c r="N226">
        <v>11</v>
      </c>
      <c r="O226">
        <v>92</v>
      </c>
      <c r="P226">
        <v>5</v>
      </c>
      <c r="Q226">
        <v>9</v>
      </c>
      <c r="R226">
        <v>6</v>
      </c>
      <c r="S226">
        <v>12</v>
      </c>
      <c r="T226">
        <v>6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3</v>
      </c>
      <c r="AB226">
        <v>11</v>
      </c>
      <c r="AC226">
        <v>0</v>
      </c>
    </row>
    <row r="227" spans="1:29" x14ac:dyDescent="0.3">
      <c r="A227">
        <v>4653</v>
      </c>
      <c r="B227">
        <v>1978</v>
      </c>
      <c r="C227" t="s">
        <v>29</v>
      </c>
      <c r="D227" t="s">
        <v>31</v>
      </c>
      <c r="E227">
        <v>42011</v>
      </c>
      <c r="F227">
        <v>1</v>
      </c>
      <c r="G227">
        <v>0</v>
      </c>
      <c r="H227" s="1">
        <v>41359</v>
      </c>
      <c r="I227">
        <v>46</v>
      </c>
      <c r="J227">
        <v>131</v>
      </c>
      <c r="K227">
        <v>0</v>
      </c>
      <c r="L227">
        <v>16</v>
      </c>
      <c r="M227">
        <v>2</v>
      </c>
      <c r="N227">
        <v>1</v>
      </c>
      <c r="O227">
        <v>39</v>
      </c>
      <c r="P227">
        <v>4</v>
      </c>
      <c r="Q227">
        <v>3</v>
      </c>
      <c r="R227">
        <v>1</v>
      </c>
      <c r="S227">
        <v>4</v>
      </c>
      <c r="T227">
        <v>8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3</v>
      </c>
      <c r="AB227">
        <v>11</v>
      </c>
      <c r="AC227">
        <v>0</v>
      </c>
    </row>
    <row r="228" spans="1:29" x14ac:dyDescent="0.3">
      <c r="A228">
        <v>7375</v>
      </c>
      <c r="B228">
        <v>1976</v>
      </c>
      <c r="C228" t="s">
        <v>29</v>
      </c>
      <c r="D228" t="s">
        <v>31</v>
      </c>
      <c r="E228">
        <v>51369</v>
      </c>
      <c r="F228">
        <v>0</v>
      </c>
      <c r="G228">
        <v>1</v>
      </c>
      <c r="H228" s="1">
        <v>41207</v>
      </c>
      <c r="I228">
        <v>84</v>
      </c>
      <c r="J228">
        <v>297</v>
      </c>
      <c r="K228">
        <v>7</v>
      </c>
      <c r="L228">
        <v>79</v>
      </c>
      <c r="M228">
        <v>0</v>
      </c>
      <c r="N228">
        <v>11</v>
      </c>
      <c r="O228">
        <v>182</v>
      </c>
      <c r="P228">
        <v>2</v>
      </c>
      <c r="Q228">
        <v>8</v>
      </c>
      <c r="R228">
        <v>2</v>
      </c>
      <c r="S228">
        <v>4</v>
      </c>
      <c r="T228">
        <v>8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3</v>
      </c>
      <c r="AB228">
        <v>11</v>
      </c>
      <c r="AC228">
        <v>0</v>
      </c>
    </row>
    <row r="229" spans="1:29" x14ac:dyDescent="0.3">
      <c r="A229">
        <v>709</v>
      </c>
      <c r="B229">
        <v>1952</v>
      </c>
      <c r="C229" t="s">
        <v>29</v>
      </c>
      <c r="D229" t="s">
        <v>35</v>
      </c>
      <c r="E229">
        <v>51537</v>
      </c>
      <c r="F229">
        <v>0</v>
      </c>
      <c r="G229">
        <v>1</v>
      </c>
      <c r="H229" s="1">
        <v>41252</v>
      </c>
      <c r="I229">
        <v>27</v>
      </c>
      <c r="J229">
        <v>787</v>
      </c>
      <c r="K229">
        <v>20</v>
      </c>
      <c r="L229">
        <v>204</v>
      </c>
      <c r="M229">
        <v>0</v>
      </c>
      <c r="N229">
        <v>0</v>
      </c>
      <c r="O229">
        <v>92</v>
      </c>
      <c r="P229">
        <v>3</v>
      </c>
      <c r="Q229">
        <v>2</v>
      </c>
      <c r="R229">
        <v>2</v>
      </c>
      <c r="S229">
        <v>11</v>
      </c>
      <c r="T229">
        <v>8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3</v>
      </c>
      <c r="AB229">
        <v>11</v>
      </c>
      <c r="AC229">
        <v>0</v>
      </c>
    </row>
    <row r="230" spans="1:29" x14ac:dyDescent="0.3">
      <c r="A230">
        <v>460</v>
      </c>
      <c r="B230">
        <v>1972</v>
      </c>
      <c r="C230" t="s">
        <v>32</v>
      </c>
      <c r="D230" t="s">
        <v>33</v>
      </c>
      <c r="E230">
        <v>79930</v>
      </c>
      <c r="F230">
        <v>0</v>
      </c>
      <c r="G230">
        <v>0</v>
      </c>
      <c r="H230" s="1">
        <v>41129</v>
      </c>
      <c r="I230">
        <v>72</v>
      </c>
      <c r="J230">
        <v>792</v>
      </c>
      <c r="K230">
        <v>86</v>
      </c>
      <c r="L230">
        <v>740</v>
      </c>
      <c r="M230">
        <v>67</v>
      </c>
      <c r="N230">
        <v>51</v>
      </c>
      <c r="O230">
        <v>17</v>
      </c>
      <c r="P230">
        <v>1</v>
      </c>
      <c r="Q230">
        <v>3</v>
      </c>
      <c r="R230">
        <v>5</v>
      </c>
      <c r="S230">
        <v>8</v>
      </c>
      <c r="T230">
        <v>2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3</v>
      </c>
      <c r="AB230">
        <v>11</v>
      </c>
      <c r="AC230">
        <v>0</v>
      </c>
    </row>
    <row r="231" spans="1:29" x14ac:dyDescent="0.3">
      <c r="A231">
        <v>3726</v>
      </c>
      <c r="B231">
        <v>1986</v>
      </c>
      <c r="C231" t="s">
        <v>32</v>
      </c>
      <c r="D231" t="s">
        <v>31</v>
      </c>
      <c r="E231">
        <v>34320</v>
      </c>
      <c r="F231">
        <v>1</v>
      </c>
      <c r="G231">
        <v>0</v>
      </c>
      <c r="H231" s="1">
        <v>41686</v>
      </c>
      <c r="I231">
        <v>66</v>
      </c>
      <c r="J231">
        <v>4</v>
      </c>
      <c r="K231">
        <v>1</v>
      </c>
      <c r="L231">
        <v>9</v>
      </c>
      <c r="M231">
        <v>3</v>
      </c>
      <c r="N231">
        <v>0</v>
      </c>
      <c r="O231">
        <v>0</v>
      </c>
      <c r="P231">
        <v>1</v>
      </c>
      <c r="Q231">
        <v>1</v>
      </c>
      <c r="R231">
        <v>0</v>
      </c>
      <c r="S231">
        <v>2</v>
      </c>
      <c r="T231">
        <v>8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3</v>
      </c>
      <c r="AB231">
        <v>11</v>
      </c>
      <c r="AC231">
        <v>0</v>
      </c>
    </row>
    <row r="232" spans="1:29" x14ac:dyDescent="0.3">
      <c r="A232">
        <v>6798</v>
      </c>
      <c r="B232">
        <v>1966</v>
      </c>
      <c r="C232" t="s">
        <v>29</v>
      </c>
      <c r="D232" t="s">
        <v>30</v>
      </c>
      <c r="E232">
        <v>37070</v>
      </c>
      <c r="F232">
        <v>1</v>
      </c>
      <c r="G232">
        <v>1</v>
      </c>
      <c r="H232" s="1">
        <v>41353</v>
      </c>
      <c r="I232">
        <v>30</v>
      </c>
      <c r="J232">
        <v>231</v>
      </c>
      <c r="K232">
        <v>7</v>
      </c>
      <c r="L232">
        <v>137</v>
      </c>
      <c r="M232">
        <v>4</v>
      </c>
      <c r="N232">
        <v>15</v>
      </c>
      <c r="O232">
        <v>39</v>
      </c>
      <c r="P232">
        <v>9</v>
      </c>
      <c r="Q232">
        <v>5</v>
      </c>
      <c r="R232">
        <v>1</v>
      </c>
      <c r="S232">
        <v>8</v>
      </c>
      <c r="T232">
        <v>7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3</v>
      </c>
      <c r="AB232">
        <v>11</v>
      </c>
      <c r="AC232">
        <v>1</v>
      </c>
    </row>
    <row r="233" spans="1:29" x14ac:dyDescent="0.3">
      <c r="A233">
        <v>5341</v>
      </c>
      <c r="B233">
        <v>1962</v>
      </c>
      <c r="C233" t="s">
        <v>37</v>
      </c>
      <c r="D233" t="s">
        <v>35</v>
      </c>
      <c r="E233">
        <v>81975</v>
      </c>
      <c r="F233">
        <v>0</v>
      </c>
      <c r="G233">
        <v>1</v>
      </c>
      <c r="H233" s="1">
        <v>41279</v>
      </c>
      <c r="I233">
        <v>2</v>
      </c>
      <c r="J233">
        <v>983</v>
      </c>
      <c r="K233">
        <v>76</v>
      </c>
      <c r="L233">
        <v>184</v>
      </c>
      <c r="M233">
        <v>180</v>
      </c>
      <c r="N233">
        <v>138</v>
      </c>
      <c r="O233">
        <v>27</v>
      </c>
      <c r="P233">
        <v>1</v>
      </c>
      <c r="Q233">
        <v>6</v>
      </c>
      <c r="R233">
        <v>3</v>
      </c>
      <c r="S233">
        <v>4</v>
      </c>
      <c r="T233">
        <v>7</v>
      </c>
      <c r="U233">
        <v>0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3</v>
      </c>
      <c r="AB233">
        <v>11</v>
      </c>
      <c r="AC233">
        <v>0</v>
      </c>
    </row>
    <row r="234" spans="1:29" x14ac:dyDescent="0.3">
      <c r="A234">
        <v>1606</v>
      </c>
      <c r="B234">
        <v>1971</v>
      </c>
      <c r="C234" t="s">
        <v>29</v>
      </c>
      <c r="D234" t="s">
        <v>31</v>
      </c>
      <c r="E234">
        <v>38590</v>
      </c>
      <c r="F234">
        <v>1</v>
      </c>
      <c r="G234">
        <v>0</v>
      </c>
      <c r="H234" s="1">
        <v>41409</v>
      </c>
      <c r="I234">
        <v>65</v>
      </c>
      <c r="J234">
        <v>3</v>
      </c>
      <c r="K234">
        <v>1</v>
      </c>
      <c r="L234">
        <v>8</v>
      </c>
      <c r="M234">
        <v>4</v>
      </c>
      <c r="N234">
        <v>3</v>
      </c>
      <c r="O234">
        <v>3</v>
      </c>
      <c r="P234">
        <v>1</v>
      </c>
      <c r="Q234">
        <v>1</v>
      </c>
      <c r="R234">
        <v>0</v>
      </c>
      <c r="S234">
        <v>2</v>
      </c>
      <c r="T234">
        <v>8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3</v>
      </c>
      <c r="AB234">
        <v>11</v>
      </c>
      <c r="AC234">
        <v>0</v>
      </c>
    </row>
    <row r="235" spans="1:29" x14ac:dyDescent="0.3">
      <c r="A235">
        <v>9617</v>
      </c>
      <c r="B235">
        <v>1951</v>
      </c>
      <c r="C235" t="s">
        <v>29</v>
      </c>
      <c r="D235" t="s">
        <v>30</v>
      </c>
      <c r="E235">
        <v>15033</v>
      </c>
      <c r="F235">
        <v>0</v>
      </c>
      <c r="G235">
        <v>0</v>
      </c>
      <c r="H235" s="1">
        <v>41745</v>
      </c>
      <c r="I235">
        <v>37</v>
      </c>
      <c r="J235">
        <v>0</v>
      </c>
      <c r="K235">
        <v>4</v>
      </c>
      <c r="L235">
        <v>5</v>
      </c>
      <c r="M235">
        <v>6</v>
      </c>
      <c r="N235">
        <v>0</v>
      </c>
      <c r="O235">
        <v>4</v>
      </c>
      <c r="P235">
        <v>1</v>
      </c>
      <c r="Q235">
        <v>1</v>
      </c>
      <c r="R235">
        <v>0</v>
      </c>
      <c r="S235">
        <v>3</v>
      </c>
      <c r="T235">
        <v>3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11</v>
      </c>
      <c r="AC235">
        <v>0</v>
      </c>
    </row>
    <row r="236" spans="1:29" x14ac:dyDescent="0.3">
      <c r="A236">
        <v>3233</v>
      </c>
      <c r="B236">
        <v>1965</v>
      </c>
      <c r="C236" t="s">
        <v>32</v>
      </c>
      <c r="D236" t="s">
        <v>33</v>
      </c>
      <c r="E236">
        <v>62745</v>
      </c>
      <c r="F236">
        <v>0</v>
      </c>
      <c r="G236">
        <v>1</v>
      </c>
      <c r="H236" s="1">
        <v>41356</v>
      </c>
      <c r="I236">
        <v>89</v>
      </c>
      <c r="J236">
        <v>562</v>
      </c>
      <c r="K236">
        <v>21</v>
      </c>
      <c r="L236">
        <v>464</v>
      </c>
      <c r="M236">
        <v>28</v>
      </c>
      <c r="N236">
        <v>10</v>
      </c>
      <c r="O236">
        <v>32</v>
      </c>
      <c r="P236">
        <v>3</v>
      </c>
      <c r="Q236">
        <v>7</v>
      </c>
      <c r="R236">
        <v>8</v>
      </c>
      <c r="S236">
        <v>11</v>
      </c>
      <c r="T236">
        <v>5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3</v>
      </c>
      <c r="AB236">
        <v>11</v>
      </c>
      <c r="AC236">
        <v>0</v>
      </c>
    </row>
    <row r="237" spans="1:29" x14ac:dyDescent="0.3">
      <c r="A237">
        <v>89</v>
      </c>
      <c r="B237">
        <v>1975</v>
      </c>
      <c r="C237" t="s">
        <v>37</v>
      </c>
      <c r="D237" t="s">
        <v>33</v>
      </c>
      <c r="E237">
        <v>22212</v>
      </c>
      <c r="F237">
        <v>1</v>
      </c>
      <c r="G237">
        <v>0</v>
      </c>
      <c r="H237" s="1">
        <v>41617</v>
      </c>
      <c r="I237">
        <v>49</v>
      </c>
      <c r="J237">
        <v>5</v>
      </c>
      <c r="K237">
        <v>9</v>
      </c>
      <c r="L237">
        <v>20</v>
      </c>
      <c r="M237">
        <v>6</v>
      </c>
      <c r="N237">
        <v>8</v>
      </c>
      <c r="O237">
        <v>21</v>
      </c>
      <c r="P237">
        <v>2</v>
      </c>
      <c r="Q237">
        <v>2</v>
      </c>
      <c r="R237">
        <v>0</v>
      </c>
      <c r="S237">
        <v>4</v>
      </c>
      <c r="T237">
        <v>6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3</v>
      </c>
      <c r="AB237">
        <v>11</v>
      </c>
      <c r="AC237">
        <v>0</v>
      </c>
    </row>
    <row r="238" spans="1:29" x14ac:dyDescent="0.3">
      <c r="A238">
        <v>2936</v>
      </c>
      <c r="B238">
        <v>1982</v>
      </c>
      <c r="C238" t="s">
        <v>34</v>
      </c>
      <c r="D238" t="s">
        <v>31</v>
      </c>
      <c r="E238">
        <v>23661</v>
      </c>
      <c r="F238">
        <v>1</v>
      </c>
      <c r="G238">
        <v>0</v>
      </c>
      <c r="H238" s="1">
        <v>41612</v>
      </c>
      <c r="I238">
        <v>46</v>
      </c>
      <c r="J238">
        <v>18</v>
      </c>
      <c r="K238">
        <v>0</v>
      </c>
      <c r="L238">
        <v>4</v>
      </c>
      <c r="M238">
        <v>0</v>
      </c>
      <c r="N238">
        <v>0</v>
      </c>
      <c r="O238">
        <v>1</v>
      </c>
      <c r="P238">
        <v>1</v>
      </c>
      <c r="Q238">
        <v>1</v>
      </c>
      <c r="R238">
        <v>0</v>
      </c>
      <c r="S238">
        <v>3</v>
      </c>
      <c r="T238">
        <v>7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3</v>
      </c>
      <c r="AB238">
        <v>11</v>
      </c>
      <c r="AC238">
        <v>0</v>
      </c>
    </row>
    <row r="239" spans="1:29" x14ac:dyDescent="0.3">
      <c r="A239">
        <v>9449</v>
      </c>
      <c r="B239">
        <v>1958</v>
      </c>
      <c r="C239" t="s">
        <v>32</v>
      </c>
      <c r="D239" t="s">
        <v>30</v>
      </c>
      <c r="E239">
        <v>79761</v>
      </c>
      <c r="F239">
        <v>0</v>
      </c>
      <c r="G239">
        <v>1</v>
      </c>
      <c r="H239" s="1">
        <v>41551</v>
      </c>
      <c r="I239">
        <v>32</v>
      </c>
      <c r="J239">
        <v>415</v>
      </c>
      <c r="K239">
        <v>5</v>
      </c>
      <c r="L239">
        <v>124</v>
      </c>
      <c r="M239">
        <v>15</v>
      </c>
      <c r="N239">
        <v>35</v>
      </c>
      <c r="O239">
        <v>11</v>
      </c>
      <c r="P239">
        <v>1</v>
      </c>
      <c r="Q239">
        <v>5</v>
      </c>
      <c r="R239">
        <v>2</v>
      </c>
      <c r="S239">
        <v>11</v>
      </c>
      <c r="T239">
        <v>3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3</v>
      </c>
      <c r="AB239">
        <v>11</v>
      </c>
      <c r="AC239">
        <v>0</v>
      </c>
    </row>
    <row r="240" spans="1:29" x14ac:dyDescent="0.3">
      <c r="A240">
        <v>7297</v>
      </c>
      <c r="B240">
        <v>1973</v>
      </c>
      <c r="C240" t="s">
        <v>29</v>
      </c>
      <c r="D240" t="s">
        <v>30</v>
      </c>
      <c r="E240">
        <v>7500</v>
      </c>
      <c r="F240">
        <v>1</v>
      </c>
      <c r="G240">
        <v>0</v>
      </c>
      <c r="H240" s="1">
        <v>41634</v>
      </c>
      <c r="I240">
        <v>54</v>
      </c>
      <c r="J240">
        <v>5</v>
      </c>
      <c r="K240">
        <v>3</v>
      </c>
      <c r="L240">
        <v>10</v>
      </c>
      <c r="M240">
        <v>12</v>
      </c>
      <c r="N240">
        <v>7</v>
      </c>
      <c r="O240">
        <v>20</v>
      </c>
      <c r="P240">
        <v>4</v>
      </c>
      <c r="Q240">
        <v>3</v>
      </c>
      <c r="R240">
        <v>1</v>
      </c>
      <c r="S240">
        <v>3</v>
      </c>
      <c r="T240">
        <v>7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3</v>
      </c>
      <c r="AB240">
        <v>11</v>
      </c>
      <c r="AC240">
        <v>0</v>
      </c>
    </row>
    <row r="241" spans="1:29" x14ac:dyDescent="0.3">
      <c r="A241">
        <v>11004</v>
      </c>
      <c r="B241">
        <v>1893</v>
      </c>
      <c r="C241" t="s">
        <v>37</v>
      </c>
      <c r="D241" t="s">
        <v>30</v>
      </c>
      <c r="E241">
        <v>60182</v>
      </c>
      <c r="F241">
        <v>0</v>
      </c>
      <c r="G241">
        <v>1</v>
      </c>
      <c r="H241" s="1">
        <v>41776</v>
      </c>
      <c r="I241">
        <v>23</v>
      </c>
      <c r="J241">
        <v>8</v>
      </c>
      <c r="K241">
        <v>0</v>
      </c>
      <c r="L241">
        <v>5</v>
      </c>
      <c r="M241">
        <v>7</v>
      </c>
      <c r="N241">
        <v>0</v>
      </c>
      <c r="O241">
        <v>2</v>
      </c>
      <c r="P241">
        <v>1</v>
      </c>
      <c r="Q241">
        <v>1</v>
      </c>
      <c r="R241">
        <v>0</v>
      </c>
      <c r="S241">
        <v>2</v>
      </c>
      <c r="T241">
        <v>4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3</v>
      </c>
      <c r="AB241">
        <v>11</v>
      </c>
      <c r="AC241">
        <v>0</v>
      </c>
    </row>
    <row r="242" spans="1:29" x14ac:dyDescent="0.3">
      <c r="A242">
        <v>313</v>
      </c>
      <c r="B242">
        <v>1968</v>
      </c>
      <c r="C242" t="s">
        <v>29</v>
      </c>
      <c r="D242" t="s">
        <v>38</v>
      </c>
      <c r="E242">
        <v>73455</v>
      </c>
      <c r="F242">
        <v>0</v>
      </c>
      <c r="G242">
        <v>0</v>
      </c>
      <c r="H242" s="1">
        <v>41575</v>
      </c>
      <c r="I242">
        <v>98</v>
      </c>
      <c r="J242">
        <v>901</v>
      </c>
      <c r="K242">
        <v>61</v>
      </c>
      <c r="L242">
        <v>757</v>
      </c>
      <c r="M242">
        <v>186</v>
      </c>
      <c r="N242">
        <v>163</v>
      </c>
      <c r="O242">
        <v>20</v>
      </c>
      <c r="P242">
        <v>1</v>
      </c>
      <c r="Q242">
        <v>6</v>
      </c>
      <c r="R242">
        <v>5</v>
      </c>
      <c r="S242">
        <v>10</v>
      </c>
      <c r="T242">
        <v>3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3</v>
      </c>
      <c r="AB242">
        <v>11</v>
      </c>
      <c r="AC242">
        <v>0</v>
      </c>
    </row>
    <row r="243" spans="1:29" x14ac:dyDescent="0.3">
      <c r="A243">
        <v>9940</v>
      </c>
      <c r="B243">
        <v>1958</v>
      </c>
      <c r="C243" t="s">
        <v>29</v>
      </c>
      <c r="D243" t="s">
        <v>31</v>
      </c>
      <c r="E243">
        <v>64961</v>
      </c>
      <c r="F243">
        <v>0</v>
      </c>
      <c r="G243">
        <v>1</v>
      </c>
      <c r="H243" s="1">
        <v>41266</v>
      </c>
      <c r="I243">
        <v>97</v>
      </c>
      <c r="J243">
        <v>382</v>
      </c>
      <c r="K243">
        <v>114</v>
      </c>
      <c r="L243">
        <v>276</v>
      </c>
      <c r="M243">
        <v>75</v>
      </c>
      <c r="N243">
        <v>124</v>
      </c>
      <c r="O243">
        <v>38</v>
      </c>
      <c r="P243">
        <v>2</v>
      </c>
      <c r="Q243">
        <v>6</v>
      </c>
      <c r="R243">
        <v>4</v>
      </c>
      <c r="S243">
        <v>4</v>
      </c>
      <c r="T243">
        <v>3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3</v>
      </c>
      <c r="AB243">
        <v>11</v>
      </c>
      <c r="AC243">
        <v>0</v>
      </c>
    </row>
    <row r="244" spans="1:29" x14ac:dyDescent="0.3">
      <c r="A244">
        <v>10735</v>
      </c>
      <c r="B244">
        <v>1971</v>
      </c>
      <c r="C244" t="s">
        <v>29</v>
      </c>
      <c r="D244" t="s">
        <v>30</v>
      </c>
      <c r="E244">
        <v>22804</v>
      </c>
      <c r="F244">
        <v>1</v>
      </c>
      <c r="G244">
        <v>0</v>
      </c>
      <c r="H244" s="1">
        <v>41486</v>
      </c>
      <c r="I244">
        <v>75</v>
      </c>
      <c r="J244">
        <v>14</v>
      </c>
      <c r="K244">
        <v>1</v>
      </c>
      <c r="L244">
        <v>7</v>
      </c>
      <c r="M244">
        <v>2</v>
      </c>
      <c r="N244">
        <v>1</v>
      </c>
      <c r="O244">
        <v>1</v>
      </c>
      <c r="P244">
        <v>1</v>
      </c>
      <c r="Q244">
        <v>2</v>
      </c>
      <c r="R244">
        <v>0</v>
      </c>
      <c r="S244">
        <v>2</v>
      </c>
      <c r="T244">
        <v>9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3</v>
      </c>
      <c r="AB244">
        <v>11</v>
      </c>
      <c r="AC244">
        <v>0</v>
      </c>
    </row>
    <row r="245" spans="1:29" x14ac:dyDescent="0.3">
      <c r="A245">
        <v>9529</v>
      </c>
      <c r="B245">
        <v>1990</v>
      </c>
      <c r="C245" t="s">
        <v>29</v>
      </c>
      <c r="D245" t="s">
        <v>33</v>
      </c>
      <c r="E245">
        <v>73687</v>
      </c>
      <c r="F245">
        <v>0</v>
      </c>
      <c r="G245">
        <v>0</v>
      </c>
      <c r="H245" s="1">
        <v>41606</v>
      </c>
      <c r="I245">
        <v>8</v>
      </c>
      <c r="J245">
        <v>559</v>
      </c>
      <c r="K245">
        <v>153</v>
      </c>
      <c r="L245">
        <v>503</v>
      </c>
      <c r="M245">
        <v>218</v>
      </c>
      <c r="N245">
        <v>13</v>
      </c>
      <c r="O245">
        <v>181</v>
      </c>
      <c r="P245">
        <v>1</v>
      </c>
      <c r="Q245">
        <v>3</v>
      </c>
      <c r="R245">
        <v>9</v>
      </c>
      <c r="S245">
        <v>9</v>
      </c>
      <c r="T245">
        <v>2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0</v>
      </c>
      <c r="AA245">
        <v>3</v>
      </c>
      <c r="AB245">
        <v>11</v>
      </c>
      <c r="AC245">
        <v>1</v>
      </c>
    </row>
    <row r="246" spans="1:29" x14ac:dyDescent="0.3">
      <c r="A246">
        <v>6439</v>
      </c>
      <c r="B246">
        <v>1958</v>
      </c>
      <c r="C246" t="s">
        <v>29</v>
      </c>
      <c r="D246" t="s">
        <v>33</v>
      </c>
      <c r="E246">
        <v>61074</v>
      </c>
      <c r="F246">
        <v>0</v>
      </c>
      <c r="G246">
        <v>1</v>
      </c>
      <c r="H246" s="1">
        <v>41138</v>
      </c>
      <c r="I246">
        <v>37</v>
      </c>
      <c r="J246">
        <v>789</v>
      </c>
      <c r="K246">
        <v>0</v>
      </c>
      <c r="L246">
        <v>133</v>
      </c>
      <c r="M246">
        <v>0</v>
      </c>
      <c r="N246">
        <v>28</v>
      </c>
      <c r="O246">
        <v>152</v>
      </c>
      <c r="P246">
        <v>7</v>
      </c>
      <c r="Q246">
        <v>11</v>
      </c>
      <c r="R246">
        <v>5</v>
      </c>
      <c r="S246">
        <v>8</v>
      </c>
      <c r="T246">
        <v>7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3</v>
      </c>
      <c r="AB246">
        <v>11</v>
      </c>
      <c r="AC246">
        <v>0</v>
      </c>
    </row>
    <row r="247" spans="1:29" x14ac:dyDescent="0.3">
      <c r="A247">
        <v>7411</v>
      </c>
      <c r="B247">
        <v>1964</v>
      </c>
      <c r="C247" t="s">
        <v>32</v>
      </c>
      <c r="D247" t="s">
        <v>33</v>
      </c>
      <c r="E247">
        <v>31686</v>
      </c>
      <c r="F247">
        <v>1</v>
      </c>
      <c r="G247">
        <v>1</v>
      </c>
      <c r="H247" s="1">
        <v>41795</v>
      </c>
      <c r="I247">
        <v>31</v>
      </c>
      <c r="J247">
        <v>11</v>
      </c>
      <c r="K247">
        <v>0</v>
      </c>
      <c r="L247">
        <v>5</v>
      </c>
      <c r="M247">
        <v>0</v>
      </c>
      <c r="N247">
        <v>0</v>
      </c>
      <c r="O247">
        <v>1</v>
      </c>
      <c r="P247">
        <v>2</v>
      </c>
      <c r="Q247">
        <v>1</v>
      </c>
      <c r="R247">
        <v>0</v>
      </c>
      <c r="S247">
        <v>3</v>
      </c>
      <c r="T247">
        <v>6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3</v>
      </c>
      <c r="AB247">
        <v>11</v>
      </c>
      <c r="AC247">
        <v>0</v>
      </c>
    </row>
    <row r="248" spans="1:29" x14ac:dyDescent="0.3">
      <c r="A248">
        <v>2176</v>
      </c>
      <c r="B248">
        <v>1972</v>
      </c>
      <c r="C248" t="s">
        <v>29</v>
      </c>
      <c r="D248" t="s">
        <v>33</v>
      </c>
      <c r="E248">
        <v>80134</v>
      </c>
      <c r="F248">
        <v>1</v>
      </c>
      <c r="G248">
        <v>0</v>
      </c>
      <c r="H248" s="1">
        <v>41414</v>
      </c>
      <c r="I248">
        <v>40</v>
      </c>
      <c r="J248">
        <v>1218</v>
      </c>
      <c r="K248">
        <v>16</v>
      </c>
      <c r="L248">
        <v>272</v>
      </c>
      <c r="M248">
        <v>104</v>
      </c>
      <c r="N248">
        <v>0</v>
      </c>
      <c r="O248">
        <v>80</v>
      </c>
      <c r="P248">
        <v>2</v>
      </c>
      <c r="Q248">
        <v>5</v>
      </c>
      <c r="R248">
        <v>3</v>
      </c>
      <c r="S248">
        <v>6</v>
      </c>
      <c r="T248">
        <v>6</v>
      </c>
      <c r="U248">
        <v>0</v>
      </c>
      <c r="V248">
        <v>1</v>
      </c>
      <c r="W248">
        <v>1</v>
      </c>
      <c r="X248">
        <v>1</v>
      </c>
      <c r="Y248">
        <v>0</v>
      </c>
      <c r="Z248">
        <v>0</v>
      </c>
      <c r="AA248">
        <v>3</v>
      </c>
      <c r="AB248">
        <v>11</v>
      </c>
      <c r="AC248">
        <v>1</v>
      </c>
    </row>
    <row r="249" spans="1:29" x14ac:dyDescent="0.3">
      <c r="A249">
        <v>9265</v>
      </c>
      <c r="B249">
        <v>1953</v>
      </c>
      <c r="C249" t="s">
        <v>29</v>
      </c>
      <c r="D249" t="s">
        <v>33</v>
      </c>
      <c r="E249">
        <v>75027</v>
      </c>
      <c r="F249">
        <v>0</v>
      </c>
      <c r="G249">
        <v>1</v>
      </c>
      <c r="H249" s="1">
        <v>41283</v>
      </c>
      <c r="I249">
        <v>74</v>
      </c>
      <c r="J249">
        <v>925</v>
      </c>
      <c r="K249">
        <v>64</v>
      </c>
      <c r="L249">
        <v>179</v>
      </c>
      <c r="M249">
        <v>133</v>
      </c>
      <c r="N249">
        <v>12</v>
      </c>
      <c r="O249">
        <v>77</v>
      </c>
      <c r="P249">
        <v>2</v>
      </c>
      <c r="Q249">
        <v>9</v>
      </c>
      <c r="R249">
        <v>4</v>
      </c>
      <c r="S249">
        <v>6</v>
      </c>
      <c r="T249">
        <v>5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3</v>
      </c>
      <c r="AB249">
        <v>11</v>
      </c>
      <c r="AC249">
        <v>0</v>
      </c>
    </row>
    <row r="250" spans="1:29" x14ac:dyDescent="0.3">
      <c r="A250">
        <v>8867</v>
      </c>
      <c r="B250">
        <v>1988</v>
      </c>
      <c r="C250" t="s">
        <v>32</v>
      </c>
      <c r="D250" t="s">
        <v>33</v>
      </c>
      <c r="E250">
        <v>67546</v>
      </c>
      <c r="F250">
        <v>0</v>
      </c>
      <c r="G250">
        <v>0</v>
      </c>
      <c r="H250" s="1">
        <v>41152</v>
      </c>
      <c r="I250">
        <v>90</v>
      </c>
      <c r="J250">
        <v>864</v>
      </c>
      <c r="K250">
        <v>134</v>
      </c>
      <c r="L250">
        <v>768</v>
      </c>
      <c r="M250">
        <v>150</v>
      </c>
      <c r="N250">
        <v>38</v>
      </c>
      <c r="O250">
        <v>172</v>
      </c>
      <c r="P250">
        <v>1</v>
      </c>
      <c r="Q250">
        <v>4</v>
      </c>
      <c r="R250">
        <v>10</v>
      </c>
      <c r="S250">
        <v>5</v>
      </c>
      <c r="T250">
        <v>3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3</v>
      </c>
      <c r="AB250">
        <v>11</v>
      </c>
      <c r="AC250">
        <v>0</v>
      </c>
    </row>
    <row r="251" spans="1:29" x14ac:dyDescent="0.3">
      <c r="A251">
        <v>8932</v>
      </c>
      <c r="B251">
        <v>1969</v>
      </c>
      <c r="C251" t="s">
        <v>34</v>
      </c>
      <c r="D251" t="s">
        <v>31</v>
      </c>
      <c r="E251">
        <v>65176</v>
      </c>
      <c r="F251">
        <v>0</v>
      </c>
      <c r="G251">
        <v>1</v>
      </c>
      <c r="H251" s="1">
        <v>41211</v>
      </c>
      <c r="I251">
        <v>57</v>
      </c>
      <c r="J251">
        <v>960</v>
      </c>
      <c r="K251">
        <v>28</v>
      </c>
      <c r="L251">
        <v>183</v>
      </c>
      <c r="M251">
        <v>220</v>
      </c>
      <c r="N251">
        <v>70</v>
      </c>
      <c r="O251">
        <v>70</v>
      </c>
      <c r="P251">
        <v>4</v>
      </c>
      <c r="Q251">
        <v>9</v>
      </c>
      <c r="R251">
        <v>6</v>
      </c>
      <c r="S251">
        <v>6</v>
      </c>
      <c r="T251">
        <v>6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3</v>
      </c>
      <c r="AB251">
        <v>11</v>
      </c>
      <c r="AC251">
        <v>0</v>
      </c>
    </row>
    <row r="252" spans="1:29" x14ac:dyDescent="0.3">
      <c r="A252">
        <v>10236</v>
      </c>
      <c r="B252">
        <v>1975</v>
      </c>
      <c r="C252" t="s">
        <v>34</v>
      </c>
      <c r="D252" t="s">
        <v>30</v>
      </c>
      <c r="E252">
        <v>31160</v>
      </c>
      <c r="F252">
        <v>1</v>
      </c>
      <c r="G252">
        <v>0</v>
      </c>
      <c r="H252" s="1">
        <v>41533</v>
      </c>
      <c r="I252">
        <v>59</v>
      </c>
      <c r="J252">
        <v>16</v>
      </c>
      <c r="K252">
        <v>3</v>
      </c>
      <c r="L252">
        <v>25</v>
      </c>
      <c r="M252">
        <v>6</v>
      </c>
      <c r="N252">
        <v>1</v>
      </c>
      <c r="O252">
        <v>13</v>
      </c>
      <c r="P252">
        <v>2</v>
      </c>
      <c r="Q252">
        <v>2</v>
      </c>
      <c r="R252">
        <v>0</v>
      </c>
      <c r="S252">
        <v>3</v>
      </c>
      <c r="T252">
        <v>8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3</v>
      </c>
      <c r="AB252">
        <v>11</v>
      </c>
      <c r="AC252">
        <v>0</v>
      </c>
    </row>
    <row r="253" spans="1:29" x14ac:dyDescent="0.3">
      <c r="A253">
        <v>6340</v>
      </c>
      <c r="B253">
        <v>1985</v>
      </c>
      <c r="C253" t="s">
        <v>29</v>
      </c>
      <c r="D253" t="s">
        <v>30</v>
      </c>
      <c r="E253">
        <v>29938</v>
      </c>
      <c r="F253">
        <v>1</v>
      </c>
      <c r="G253">
        <v>0</v>
      </c>
      <c r="H253" s="1">
        <v>41574</v>
      </c>
      <c r="I253">
        <v>52</v>
      </c>
      <c r="J253">
        <v>3</v>
      </c>
      <c r="K253">
        <v>3</v>
      </c>
      <c r="L253">
        <v>7</v>
      </c>
      <c r="M253">
        <v>0</v>
      </c>
      <c r="N253">
        <v>2</v>
      </c>
      <c r="O253">
        <v>11</v>
      </c>
      <c r="P253">
        <v>2</v>
      </c>
      <c r="Q253">
        <v>1</v>
      </c>
      <c r="R253">
        <v>0</v>
      </c>
      <c r="S253">
        <v>3</v>
      </c>
      <c r="T253">
        <v>6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3</v>
      </c>
      <c r="AB253">
        <v>11</v>
      </c>
      <c r="AC253">
        <v>0</v>
      </c>
    </row>
    <row r="254" spans="1:29" x14ac:dyDescent="0.3">
      <c r="A254">
        <v>10089</v>
      </c>
      <c r="B254">
        <v>1974</v>
      </c>
      <c r="C254" t="s">
        <v>29</v>
      </c>
      <c r="D254" t="s">
        <v>35</v>
      </c>
      <c r="E254">
        <v>102692</v>
      </c>
      <c r="F254">
        <v>0</v>
      </c>
      <c r="G254">
        <v>0</v>
      </c>
      <c r="H254" s="1">
        <v>41369</v>
      </c>
      <c r="I254">
        <v>5</v>
      </c>
      <c r="J254">
        <v>168</v>
      </c>
      <c r="K254">
        <v>148</v>
      </c>
      <c r="L254">
        <v>444</v>
      </c>
      <c r="M254">
        <v>32</v>
      </c>
      <c r="N254">
        <v>172</v>
      </c>
      <c r="O254">
        <v>148</v>
      </c>
      <c r="P254">
        <v>1</v>
      </c>
      <c r="Q254">
        <v>6</v>
      </c>
      <c r="R254">
        <v>9</v>
      </c>
      <c r="S254">
        <v>13</v>
      </c>
      <c r="T254">
        <v>2</v>
      </c>
      <c r="U254">
        <v>0</v>
      </c>
      <c r="V254">
        <v>1</v>
      </c>
      <c r="W254">
        <v>1</v>
      </c>
      <c r="X254">
        <v>1</v>
      </c>
      <c r="Y254">
        <v>1</v>
      </c>
      <c r="Z254">
        <v>0</v>
      </c>
      <c r="AA254">
        <v>3</v>
      </c>
      <c r="AB254">
        <v>11</v>
      </c>
      <c r="AC254">
        <v>1</v>
      </c>
    </row>
    <row r="255" spans="1:29" x14ac:dyDescent="0.3">
      <c r="A255">
        <v>2227</v>
      </c>
      <c r="B255">
        <v>1958</v>
      </c>
      <c r="C255" t="s">
        <v>37</v>
      </c>
      <c r="D255" t="s">
        <v>31</v>
      </c>
      <c r="E255">
        <v>26490</v>
      </c>
      <c r="F255">
        <v>0</v>
      </c>
      <c r="G255">
        <v>0</v>
      </c>
      <c r="H255" s="1">
        <v>41174</v>
      </c>
      <c r="I255">
        <v>92</v>
      </c>
      <c r="J255">
        <v>45</v>
      </c>
      <c r="K255">
        <v>47</v>
      </c>
      <c r="L255">
        <v>52</v>
      </c>
      <c r="M255">
        <v>21</v>
      </c>
      <c r="N255">
        <v>20</v>
      </c>
      <c r="O255">
        <v>25</v>
      </c>
      <c r="P255">
        <v>2</v>
      </c>
      <c r="Q255">
        <v>3</v>
      </c>
      <c r="R255">
        <v>1</v>
      </c>
      <c r="S255">
        <v>5</v>
      </c>
      <c r="T255">
        <v>6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3</v>
      </c>
      <c r="AB255">
        <v>11</v>
      </c>
      <c r="AC255">
        <v>0</v>
      </c>
    </row>
    <row r="256" spans="1:29" x14ac:dyDescent="0.3">
      <c r="A256">
        <v>10992</v>
      </c>
      <c r="B256">
        <v>1967</v>
      </c>
      <c r="C256" t="s">
        <v>29</v>
      </c>
      <c r="D256" t="s">
        <v>31</v>
      </c>
      <c r="E256">
        <v>75702</v>
      </c>
      <c r="F256">
        <v>1</v>
      </c>
      <c r="G256">
        <v>1</v>
      </c>
      <c r="H256" s="1">
        <v>41150</v>
      </c>
      <c r="I256">
        <v>77</v>
      </c>
      <c r="J256">
        <v>650</v>
      </c>
      <c r="K256">
        <v>28</v>
      </c>
      <c r="L256">
        <v>353</v>
      </c>
      <c r="M256">
        <v>45</v>
      </c>
      <c r="N256">
        <v>42</v>
      </c>
      <c r="O256">
        <v>30</v>
      </c>
      <c r="P256">
        <v>5</v>
      </c>
      <c r="Q256">
        <v>4</v>
      </c>
      <c r="R256">
        <v>6</v>
      </c>
      <c r="S256">
        <v>11</v>
      </c>
      <c r="T256">
        <v>8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3</v>
      </c>
      <c r="AB256">
        <v>11</v>
      </c>
      <c r="AC256">
        <v>0</v>
      </c>
    </row>
    <row r="257" spans="1:29" x14ac:dyDescent="0.3">
      <c r="A257">
        <v>5304</v>
      </c>
      <c r="B257">
        <v>1974</v>
      </c>
      <c r="C257" t="s">
        <v>32</v>
      </c>
      <c r="D257" t="s">
        <v>30</v>
      </c>
      <c r="E257">
        <v>30899</v>
      </c>
      <c r="F257">
        <v>1</v>
      </c>
      <c r="G257">
        <v>0</v>
      </c>
      <c r="H257" s="1">
        <v>41195</v>
      </c>
      <c r="I257">
        <v>35</v>
      </c>
      <c r="J257">
        <v>24</v>
      </c>
      <c r="K257">
        <v>0</v>
      </c>
      <c r="L257">
        <v>8</v>
      </c>
      <c r="M257">
        <v>0</v>
      </c>
      <c r="N257">
        <v>0</v>
      </c>
      <c r="O257">
        <v>1</v>
      </c>
      <c r="P257">
        <v>2</v>
      </c>
      <c r="Q257">
        <v>1</v>
      </c>
      <c r="R257">
        <v>0</v>
      </c>
      <c r="S257">
        <v>3</v>
      </c>
      <c r="T257">
        <v>6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3</v>
      </c>
      <c r="AB257">
        <v>11</v>
      </c>
      <c r="AC257">
        <v>0</v>
      </c>
    </row>
    <row r="258" spans="1:29" x14ac:dyDescent="0.3">
      <c r="A258">
        <v>309</v>
      </c>
      <c r="B258">
        <v>1961</v>
      </c>
      <c r="C258" t="s">
        <v>32</v>
      </c>
      <c r="D258" t="s">
        <v>31</v>
      </c>
      <c r="E258">
        <v>63342</v>
      </c>
      <c r="F258">
        <v>0</v>
      </c>
      <c r="G258">
        <v>1</v>
      </c>
      <c r="H258" s="1">
        <v>41198</v>
      </c>
      <c r="I258">
        <v>48</v>
      </c>
      <c r="J258">
        <v>918</v>
      </c>
      <c r="K258">
        <v>21</v>
      </c>
      <c r="L258">
        <v>118</v>
      </c>
      <c r="M258">
        <v>13</v>
      </c>
      <c r="N258">
        <v>10</v>
      </c>
      <c r="O258">
        <v>21</v>
      </c>
      <c r="P258">
        <v>3</v>
      </c>
      <c r="Q258">
        <v>8</v>
      </c>
      <c r="R258">
        <v>3</v>
      </c>
      <c r="S258">
        <v>5</v>
      </c>
      <c r="T258">
        <v>6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3</v>
      </c>
      <c r="AB258">
        <v>11</v>
      </c>
      <c r="AC258">
        <v>0</v>
      </c>
    </row>
    <row r="259" spans="1:29" x14ac:dyDescent="0.3">
      <c r="A259">
        <v>3406</v>
      </c>
      <c r="B259">
        <v>1964</v>
      </c>
      <c r="C259" t="s">
        <v>29</v>
      </c>
      <c r="D259" t="s">
        <v>30</v>
      </c>
      <c r="E259">
        <v>45989</v>
      </c>
      <c r="F259">
        <v>0</v>
      </c>
      <c r="G259">
        <v>1</v>
      </c>
      <c r="H259" s="1">
        <v>41204</v>
      </c>
      <c r="I259">
        <v>97</v>
      </c>
      <c r="J259">
        <v>138</v>
      </c>
      <c r="K259">
        <v>33</v>
      </c>
      <c r="L259">
        <v>87</v>
      </c>
      <c r="M259">
        <v>28</v>
      </c>
      <c r="N259">
        <v>24</v>
      </c>
      <c r="O259">
        <v>12</v>
      </c>
      <c r="P259">
        <v>4</v>
      </c>
      <c r="Q259">
        <v>3</v>
      </c>
      <c r="R259">
        <v>2</v>
      </c>
      <c r="S259">
        <v>7</v>
      </c>
      <c r="T259">
        <v>3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3</v>
      </c>
      <c r="AB259">
        <v>11</v>
      </c>
      <c r="AC259">
        <v>0</v>
      </c>
    </row>
    <row r="260" spans="1:29" x14ac:dyDescent="0.3">
      <c r="A260">
        <v>2661</v>
      </c>
      <c r="B260">
        <v>1964</v>
      </c>
      <c r="C260" t="s">
        <v>29</v>
      </c>
      <c r="D260" t="s">
        <v>30</v>
      </c>
      <c r="E260">
        <v>18701</v>
      </c>
      <c r="F260">
        <v>1</v>
      </c>
      <c r="G260">
        <v>1</v>
      </c>
      <c r="H260" s="1">
        <v>41429</v>
      </c>
      <c r="I260">
        <v>95</v>
      </c>
      <c r="J260">
        <v>12</v>
      </c>
      <c r="K260">
        <v>4</v>
      </c>
      <c r="L260">
        <v>2</v>
      </c>
      <c r="M260">
        <v>10</v>
      </c>
      <c r="N260">
        <v>6</v>
      </c>
      <c r="O260">
        <v>10</v>
      </c>
      <c r="P260">
        <v>4</v>
      </c>
      <c r="Q260">
        <v>2</v>
      </c>
      <c r="R260">
        <v>0</v>
      </c>
      <c r="S260">
        <v>4</v>
      </c>
      <c r="T260">
        <v>5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3</v>
      </c>
      <c r="AB260">
        <v>11</v>
      </c>
      <c r="AC260">
        <v>0</v>
      </c>
    </row>
    <row r="261" spans="1:29" x14ac:dyDescent="0.3">
      <c r="A261">
        <v>3153</v>
      </c>
      <c r="B261">
        <v>1957</v>
      </c>
      <c r="C261" t="s">
        <v>32</v>
      </c>
      <c r="D261" t="s">
        <v>30</v>
      </c>
      <c r="E261">
        <v>40737</v>
      </c>
      <c r="F261">
        <v>2</v>
      </c>
      <c r="G261">
        <v>1</v>
      </c>
      <c r="H261" s="1">
        <v>41616</v>
      </c>
      <c r="I261">
        <v>24</v>
      </c>
      <c r="J261">
        <v>11</v>
      </c>
      <c r="K261">
        <v>0</v>
      </c>
      <c r="L261">
        <v>4</v>
      </c>
      <c r="M261">
        <v>0</v>
      </c>
      <c r="N261">
        <v>0</v>
      </c>
      <c r="O261">
        <v>2</v>
      </c>
      <c r="P261">
        <v>1</v>
      </c>
      <c r="Q261">
        <v>1</v>
      </c>
      <c r="R261">
        <v>0</v>
      </c>
      <c r="S261">
        <v>2</v>
      </c>
      <c r="T261">
        <v>8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3</v>
      </c>
      <c r="AB261">
        <v>11</v>
      </c>
      <c r="AC261">
        <v>0</v>
      </c>
    </row>
    <row r="262" spans="1:29" x14ac:dyDescent="0.3">
      <c r="A262">
        <v>10264</v>
      </c>
      <c r="B262">
        <v>1979</v>
      </c>
      <c r="C262" t="s">
        <v>29</v>
      </c>
      <c r="D262" t="s">
        <v>35</v>
      </c>
      <c r="E262">
        <v>15287</v>
      </c>
      <c r="F262">
        <v>1</v>
      </c>
      <c r="G262">
        <v>0</v>
      </c>
      <c r="H262" s="1">
        <v>41192</v>
      </c>
      <c r="I262">
        <v>60</v>
      </c>
      <c r="J262">
        <v>1</v>
      </c>
      <c r="K262">
        <v>2</v>
      </c>
      <c r="L262">
        <v>8</v>
      </c>
      <c r="M262">
        <v>4</v>
      </c>
      <c r="N262">
        <v>3</v>
      </c>
      <c r="O262">
        <v>13</v>
      </c>
      <c r="P262">
        <v>2</v>
      </c>
      <c r="Q262">
        <v>1</v>
      </c>
      <c r="R262">
        <v>1</v>
      </c>
      <c r="S262">
        <v>2</v>
      </c>
      <c r="T262">
        <v>7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3</v>
      </c>
      <c r="AB262">
        <v>11</v>
      </c>
      <c r="AC262">
        <v>1</v>
      </c>
    </row>
    <row r="263" spans="1:29" x14ac:dyDescent="0.3">
      <c r="A263">
        <v>1184</v>
      </c>
      <c r="B263">
        <v>1968</v>
      </c>
      <c r="C263" t="s">
        <v>32</v>
      </c>
      <c r="D263" t="s">
        <v>35</v>
      </c>
      <c r="E263">
        <v>69674</v>
      </c>
      <c r="F263">
        <v>0</v>
      </c>
      <c r="G263">
        <v>2</v>
      </c>
      <c r="H263" s="1">
        <v>41416</v>
      </c>
      <c r="I263">
        <v>46</v>
      </c>
      <c r="J263">
        <v>554</v>
      </c>
      <c r="K263">
        <v>41</v>
      </c>
      <c r="L263">
        <v>215</v>
      </c>
      <c r="M263">
        <v>11</v>
      </c>
      <c r="N263">
        <v>0</v>
      </c>
      <c r="O263">
        <v>24</v>
      </c>
      <c r="P263">
        <v>3</v>
      </c>
      <c r="Q263">
        <v>10</v>
      </c>
      <c r="R263">
        <v>2</v>
      </c>
      <c r="S263">
        <v>10</v>
      </c>
      <c r="T263">
        <v>5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3</v>
      </c>
      <c r="AB263">
        <v>11</v>
      </c>
      <c r="AC263">
        <v>0</v>
      </c>
    </row>
    <row r="264" spans="1:29" x14ac:dyDescent="0.3">
      <c r="A264">
        <v>4200</v>
      </c>
      <c r="B264">
        <v>1970</v>
      </c>
      <c r="C264" t="s">
        <v>34</v>
      </c>
      <c r="D264" t="s">
        <v>33</v>
      </c>
      <c r="E264">
        <v>44159</v>
      </c>
      <c r="F264">
        <v>1</v>
      </c>
      <c r="G264">
        <v>0</v>
      </c>
      <c r="H264" s="1">
        <v>41807</v>
      </c>
      <c r="I264">
        <v>85</v>
      </c>
      <c r="J264">
        <v>167</v>
      </c>
      <c r="K264">
        <v>2</v>
      </c>
      <c r="L264">
        <v>62</v>
      </c>
      <c r="M264">
        <v>24</v>
      </c>
      <c r="N264">
        <v>13</v>
      </c>
      <c r="O264">
        <v>7</v>
      </c>
      <c r="P264">
        <v>4</v>
      </c>
      <c r="Q264">
        <v>4</v>
      </c>
      <c r="R264">
        <v>1</v>
      </c>
      <c r="S264">
        <v>6</v>
      </c>
      <c r="T264">
        <v>5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3</v>
      </c>
      <c r="AB264">
        <v>11</v>
      </c>
      <c r="AC264">
        <v>0</v>
      </c>
    </row>
    <row r="265" spans="1:29" x14ac:dyDescent="0.3">
      <c r="A265">
        <v>9396</v>
      </c>
      <c r="B265">
        <v>1978</v>
      </c>
      <c r="C265" t="s">
        <v>32</v>
      </c>
      <c r="D265" t="s">
        <v>33</v>
      </c>
      <c r="E265">
        <v>37717</v>
      </c>
      <c r="F265">
        <v>1</v>
      </c>
      <c r="G265">
        <v>0</v>
      </c>
      <c r="H265" s="1">
        <v>41236</v>
      </c>
      <c r="I265">
        <v>31</v>
      </c>
      <c r="J265">
        <v>9</v>
      </c>
      <c r="K265">
        <v>0</v>
      </c>
      <c r="L265">
        <v>6</v>
      </c>
      <c r="M265">
        <v>4</v>
      </c>
      <c r="N265">
        <v>1</v>
      </c>
      <c r="O265">
        <v>5</v>
      </c>
      <c r="P265">
        <v>1</v>
      </c>
      <c r="Q265">
        <v>1</v>
      </c>
      <c r="R265">
        <v>0</v>
      </c>
      <c r="S265">
        <v>2</v>
      </c>
      <c r="T265">
        <v>9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3</v>
      </c>
      <c r="AB265">
        <v>11</v>
      </c>
      <c r="AC265">
        <v>0</v>
      </c>
    </row>
    <row r="266" spans="1:29" x14ac:dyDescent="0.3">
      <c r="A266">
        <v>2387</v>
      </c>
      <c r="B266">
        <v>1952</v>
      </c>
      <c r="C266" t="s">
        <v>34</v>
      </c>
      <c r="D266" t="s">
        <v>31</v>
      </c>
      <c r="E266">
        <v>43776</v>
      </c>
      <c r="F266">
        <v>1</v>
      </c>
      <c r="G266">
        <v>1</v>
      </c>
      <c r="H266" s="1">
        <v>41308</v>
      </c>
      <c r="I266">
        <v>9</v>
      </c>
      <c r="J266">
        <v>177</v>
      </c>
      <c r="K266">
        <v>2</v>
      </c>
      <c r="L266">
        <v>71</v>
      </c>
      <c r="M266">
        <v>3</v>
      </c>
      <c r="N266">
        <v>2</v>
      </c>
      <c r="O266">
        <v>20</v>
      </c>
      <c r="P266">
        <v>6</v>
      </c>
      <c r="Q266">
        <v>5</v>
      </c>
      <c r="R266">
        <v>2</v>
      </c>
      <c r="S266">
        <v>4</v>
      </c>
      <c r="T266">
        <v>8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3</v>
      </c>
      <c r="AB266">
        <v>11</v>
      </c>
      <c r="AC266">
        <v>1</v>
      </c>
    </row>
    <row r="267" spans="1:29" x14ac:dyDescent="0.3">
      <c r="A267">
        <v>6690</v>
      </c>
      <c r="B267">
        <v>1966</v>
      </c>
      <c r="C267" t="s">
        <v>34</v>
      </c>
      <c r="D267" t="s">
        <v>33</v>
      </c>
      <c r="E267">
        <v>38179</v>
      </c>
      <c r="F267">
        <v>1</v>
      </c>
      <c r="G267">
        <v>1</v>
      </c>
      <c r="H267" s="1">
        <v>41347</v>
      </c>
      <c r="I267">
        <v>30</v>
      </c>
      <c r="J267">
        <v>38</v>
      </c>
      <c r="K267">
        <v>4</v>
      </c>
      <c r="L267">
        <v>22</v>
      </c>
      <c r="M267">
        <v>4</v>
      </c>
      <c r="N267">
        <v>2</v>
      </c>
      <c r="O267">
        <v>20</v>
      </c>
      <c r="P267">
        <v>4</v>
      </c>
      <c r="Q267">
        <v>3</v>
      </c>
      <c r="R267">
        <v>1</v>
      </c>
      <c r="S267">
        <v>3</v>
      </c>
      <c r="T267">
        <v>7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3</v>
      </c>
      <c r="AB267">
        <v>11</v>
      </c>
      <c r="AC267">
        <v>0</v>
      </c>
    </row>
    <row r="268" spans="1:29" x14ac:dyDescent="0.3">
      <c r="A268">
        <v>1225</v>
      </c>
      <c r="B268">
        <v>1963</v>
      </c>
      <c r="C268" t="s">
        <v>29</v>
      </c>
      <c r="D268" t="s">
        <v>33</v>
      </c>
      <c r="E268">
        <v>80124</v>
      </c>
      <c r="F268">
        <v>0</v>
      </c>
      <c r="G268">
        <v>0</v>
      </c>
      <c r="H268" s="1">
        <v>41816</v>
      </c>
      <c r="I268">
        <v>47</v>
      </c>
      <c r="J268">
        <v>483</v>
      </c>
      <c r="K268">
        <v>84</v>
      </c>
      <c r="L268">
        <v>398</v>
      </c>
      <c r="M268">
        <v>205</v>
      </c>
      <c r="N268">
        <v>84</v>
      </c>
      <c r="O268">
        <v>241</v>
      </c>
      <c r="P268">
        <v>1</v>
      </c>
      <c r="Q268">
        <v>3</v>
      </c>
      <c r="R268">
        <v>7</v>
      </c>
      <c r="S268">
        <v>8</v>
      </c>
      <c r="T268">
        <v>1</v>
      </c>
      <c r="U268">
        <v>1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3</v>
      </c>
      <c r="AB268">
        <v>11</v>
      </c>
      <c r="AC268">
        <v>0</v>
      </c>
    </row>
    <row r="269" spans="1:29" x14ac:dyDescent="0.3">
      <c r="A269">
        <v>9703</v>
      </c>
      <c r="B269">
        <v>1970</v>
      </c>
      <c r="C269" t="s">
        <v>32</v>
      </c>
      <c r="D269" t="s">
        <v>33</v>
      </c>
      <c r="E269">
        <v>38097</v>
      </c>
      <c r="F269">
        <v>1</v>
      </c>
      <c r="G269">
        <v>1</v>
      </c>
      <c r="H269" s="1">
        <v>41197</v>
      </c>
      <c r="I269">
        <v>70</v>
      </c>
      <c r="J269">
        <v>77</v>
      </c>
      <c r="K269">
        <v>2</v>
      </c>
      <c r="L269">
        <v>35</v>
      </c>
      <c r="M269">
        <v>0</v>
      </c>
      <c r="N269">
        <v>1</v>
      </c>
      <c r="O269">
        <v>69</v>
      </c>
      <c r="P269">
        <v>4</v>
      </c>
      <c r="Q269">
        <v>3</v>
      </c>
      <c r="R269">
        <v>2</v>
      </c>
      <c r="S269">
        <v>2</v>
      </c>
      <c r="T269">
        <v>7</v>
      </c>
      <c r="U269">
        <v>1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3</v>
      </c>
      <c r="AB269">
        <v>11</v>
      </c>
      <c r="AC269">
        <v>1</v>
      </c>
    </row>
    <row r="270" spans="1:29" x14ac:dyDescent="0.3">
      <c r="A270">
        <v>291</v>
      </c>
      <c r="B270">
        <v>1970</v>
      </c>
      <c r="C270" t="s">
        <v>29</v>
      </c>
      <c r="D270" t="s">
        <v>33</v>
      </c>
      <c r="E270">
        <v>72940</v>
      </c>
      <c r="F270">
        <v>0</v>
      </c>
      <c r="G270">
        <v>0</v>
      </c>
      <c r="H270" s="1">
        <v>41444</v>
      </c>
      <c r="I270">
        <v>13</v>
      </c>
      <c r="J270">
        <v>182</v>
      </c>
      <c r="K270">
        <v>74</v>
      </c>
      <c r="L270">
        <v>298</v>
      </c>
      <c r="M270">
        <v>162</v>
      </c>
      <c r="N270">
        <v>149</v>
      </c>
      <c r="O270">
        <v>116</v>
      </c>
      <c r="P270">
        <v>1</v>
      </c>
      <c r="Q270">
        <v>3</v>
      </c>
      <c r="R270">
        <v>3</v>
      </c>
      <c r="S270">
        <v>6</v>
      </c>
      <c r="T270">
        <v>1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3</v>
      </c>
      <c r="AB270">
        <v>11</v>
      </c>
      <c r="AC270">
        <v>0</v>
      </c>
    </row>
    <row r="271" spans="1:29" x14ac:dyDescent="0.3">
      <c r="A271">
        <v>4557</v>
      </c>
      <c r="B271">
        <v>1970</v>
      </c>
      <c r="C271" t="s">
        <v>29</v>
      </c>
      <c r="D271" t="s">
        <v>31</v>
      </c>
      <c r="E271">
        <v>22070</v>
      </c>
      <c r="F271">
        <v>1</v>
      </c>
      <c r="G271">
        <v>0</v>
      </c>
      <c r="H271" s="1">
        <v>41551</v>
      </c>
      <c r="I271">
        <v>11</v>
      </c>
      <c r="J271">
        <v>10</v>
      </c>
      <c r="K271">
        <v>7</v>
      </c>
      <c r="L271">
        <v>19</v>
      </c>
      <c r="M271">
        <v>8</v>
      </c>
      <c r="N271">
        <v>2</v>
      </c>
      <c r="O271">
        <v>21</v>
      </c>
      <c r="P271">
        <v>2</v>
      </c>
      <c r="Q271">
        <v>2</v>
      </c>
      <c r="R271">
        <v>2</v>
      </c>
      <c r="S271">
        <v>2</v>
      </c>
      <c r="T271">
        <v>6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3</v>
      </c>
      <c r="AB271">
        <v>11</v>
      </c>
      <c r="AC271">
        <v>0</v>
      </c>
    </row>
    <row r="272" spans="1:29" x14ac:dyDescent="0.3">
      <c r="A272">
        <v>2379</v>
      </c>
      <c r="B272">
        <v>1953</v>
      </c>
      <c r="C272" t="s">
        <v>29</v>
      </c>
      <c r="D272" t="s">
        <v>30</v>
      </c>
      <c r="E272">
        <v>69267</v>
      </c>
      <c r="F272">
        <v>0</v>
      </c>
      <c r="G272">
        <v>0</v>
      </c>
      <c r="H272" s="1">
        <v>41174</v>
      </c>
      <c r="I272">
        <v>31</v>
      </c>
      <c r="J272">
        <v>778</v>
      </c>
      <c r="K272">
        <v>44</v>
      </c>
      <c r="L272">
        <v>499</v>
      </c>
      <c r="M272">
        <v>95</v>
      </c>
      <c r="N272">
        <v>73</v>
      </c>
      <c r="O272">
        <v>146</v>
      </c>
      <c r="P272">
        <v>2</v>
      </c>
      <c r="Q272">
        <v>3</v>
      </c>
      <c r="R272">
        <v>4</v>
      </c>
      <c r="S272">
        <v>5</v>
      </c>
      <c r="T272">
        <v>7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3</v>
      </c>
      <c r="AB272">
        <v>11</v>
      </c>
      <c r="AC272">
        <v>1</v>
      </c>
    </row>
    <row r="273" spans="1:29" x14ac:dyDescent="0.3">
      <c r="A273">
        <v>5726</v>
      </c>
      <c r="B273">
        <v>1983</v>
      </c>
      <c r="C273" t="s">
        <v>34</v>
      </c>
      <c r="D273" t="s">
        <v>30</v>
      </c>
      <c r="E273">
        <v>31788</v>
      </c>
      <c r="F273">
        <v>1</v>
      </c>
      <c r="G273">
        <v>0</v>
      </c>
      <c r="H273" s="1">
        <v>41718</v>
      </c>
      <c r="I273">
        <v>15</v>
      </c>
      <c r="J273">
        <v>16</v>
      </c>
      <c r="K273">
        <v>7</v>
      </c>
      <c r="L273">
        <v>23</v>
      </c>
      <c r="M273">
        <v>0</v>
      </c>
      <c r="N273">
        <v>8</v>
      </c>
      <c r="O273">
        <v>6</v>
      </c>
      <c r="P273">
        <v>3</v>
      </c>
      <c r="Q273">
        <v>3</v>
      </c>
      <c r="R273">
        <v>0</v>
      </c>
      <c r="S273">
        <v>4</v>
      </c>
      <c r="T273">
        <v>5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3</v>
      </c>
      <c r="AB273">
        <v>11</v>
      </c>
      <c r="AC273">
        <v>0</v>
      </c>
    </row>
    <row r="274" spans="1:29" x14ac:dyDescent="0.3">
      <c r="A274">
        <v>3066</v>
      </c>
      <c r="B274">
        <v>1975</v>
      </c>
      <c r="C274" t="s">
        <v>32</v>
      </c>
      <c r="D274" t="s">
        <v>31</v>
      </c>
      <c r="E274">
        <v>61905</v>
      </c>
      <c r="F274">
        <v>0</v>
      </c>
      <c r="G274">
        <v>1</v>
      </c>
      <c r="H274" s="1">
        <v>41674</v>
      </c>
      <c r="I274">
        <v>2</v>
      </c>
      <c r="J274">
        <v>167</v>
      </c>
      <c r="K274">
        <v>0</v>
      </c>
      <c r="L274">
        <v>43</v>
      </c>
      <c r="M274">
        <v>6</v>
      </c>
      <c r="N274">
        <v>2</v>
      </c>
      <c r="O274">
        <v>13</v>
      </c>
      <c r="P274">
        <v>2</v>
      </c>
      <c r="Q274">
        <v>4</v>
      </c>
      <c r="R274">
        <v>2</v>
      </c>
      <c r="S274">
        <v>4</v>
      </c>
      <c r="T274">
        <v>5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3</v>
      </c>
      <c r="AB274">
        <v>11</v>
      </c>
      <c r="AC274">
        <v>0</v>
      </c>
    </row>
    <row r="275" spans="1:29" x14ac:dyDescent="0.3">
      <c r="A275">
        <v>6336</v>
      </c>
      <c r="B275">
        <v>1960</v>
      </c>
      <c r="C275" t="s">
        <v>29</v>
      </c>
      <c r="D275" t="s">
        <v>33</v>
      </c>
      <c r="E275">
        <v>29315</v>
      </c>
      <c r="F275">
        <v>1</v>
      </c>
      <c r="G275">
        <v>1</v>
      </c>
      <c r="H275" s="1">
        <v>41735</v>
      </c>
      <c r="I275">
        <v>55</v>
      </c>
      <c r="J275">
        <v>13</v>
      </c>
      <c r="K275">
        <v>2</v>
      </c>
      <c r="L275">
        <v>14</v>
      </c>
      <c r="M275">
        <v>8</v>
      </c>
      <c r="N275">
        <v>7</v>
      </c>
      <c r="O275">
        <v>4</v>
      </c>
      <c r="P275">
        <v>4</v>
      </c>
      <c r="Q275">
        <v>2</v>
      </c>
      <c r="R275">
        <v>0</v>
      </c>
      <c r="S275">
        <v>4</v>
      </c>
      <c r="T275">
        <v>6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3</v>
      </c>
      <c r="AB275">
        <v>11</v>
      </c>
      <c r="AC275">
        <v>0</v>
      </c>
    </row>
    <row r="276" spans="1:29" x14ac:dyDescent="0.3">
      <c r="A276">
        <v>10967</v>
      </c>
      <c r="B276">
        <v>1963</v>
      </c>
      <c r="C276" t="s">
        <v>29</v>
      </c>
      <c r="D276" t="s">
        <v>35</v>
      </c>
      <c r="E276">
        <v>33378</v>
      </c>
      <c r="F276">
        <v>1</v>
      </c>
      <c r="G276">
        <v>1</v>
      </c>
      <c r="H276" s="1">
        <v>41311</v>
      </c>
      <c r="I276">
        <v>38</v>
      </c>
      <c r="J276">
        <v>33</v>
      </c>
      <c r="K276">
        <v>6</v>
      </c>
      <c r="L276">
        <v>40</v>
      </c>
      <c r="M276">
        <v>3</v>
      </c>
      <c r="N276">
        <v>7</v>
      </c>
      <c r="O276">
        <v>10</v>
      </c>
      <c r="P276">
        <v>3</v>
      </c>
      <c r="Q276">
        <v>2</v>
      </c>
      <c r="R276">
        <v>0</v>
      </c>
      <c r="S276">
        <v>4</v>
      </c>
      <c r="T276">
        <v>7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3</v>
      </c>
      <c r="AB276">
        <v>11</v>
      </c>
      <c r="AC276">
        <v>0</v>
      </c>
    </row>
    <row r="277" spans="1:29" x14ac:dyDescent="0.3">
      <c r="A277">
        <v>2304</v>
      </c>
      <c r="B277">
        <v>1963</v>
      </c>
      <c r="C277" t="s">
        <v>32</v>
      </c>
      <c r="D277" t="s">
        <v>31</v>
      </c>
      <c r="E277">
        <v>66313</v>
      </c>
      <c r="F277">
        <v>0</v>
      </c>
      <c r="G277">
        <v>1</v>
      </c>
      <c r="H277" s="1">
        <v>41533</v>
      </c>
      <c r="I277">
        <v>86</v>
      </c>
      <c r="J277">
        <v>625</v>
      </c>
      <c r="K277">
        <v>7</v>
      </c>
      <c r="L277">
        <v>99</v>
      </c>
      <c r="M277">
        <v>10</v>
      </c>
      <c r="N277">
        <v>22</v>
      </c>
      <c r="O277">
        <v>7</v>
      </c>
      <c r="P277">
        <v>2</v>
      </c>
      <c r="Q277">
        <v>6</v>
      </c>
      <c r="R277">
        <v>3</v>
      </c>
      <c r="S277">
        <v>12</v>
      </c>
      <c r="T277">
        <v>4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3</v>
      </c>
      <c r="AB277">
        <v>11</v>
      </c>
      <c r="AC277">
        <v>0</v>
      </c>
    </row>
    <row r="278" spans="1:29" x14ac:dyDescent="0.3">
      <c r="A278">
        <v>3445</v>
      </c>
      <c r="B278">
        <v>1956</v>
      </c>
      <c r="C278" t="s">
        <v>29</v>
      </c>
      <c r="D278" t="s">
        <v>30</v>
      </c>
      <c r="E278">
        <v>60714</v>
      </c>
      <c r="F278">
        <v>0</v>
      </c>
      <c r="G278">
        <v>0</v>
      </c>
      <c r="H278" s="1">
        <v>41291</v>
      </c>
      <c r="I278">
        <v>56</v>
      </c>
      <c r="J278">
        <v>216</v>
      </c>
      <c r="K278">
        <v>162</v>
      </c>
      <c r="L278">
        <v>224</v>
      </c>
      <c r="M278">
        <v>101</v>
      </c>
      <c r="N278">
        <v>92</v>
      </c>
      <c r="O278">
        <v>162</v>
      </c>
      <c r="P278">
        <v>2</v>
      </c>
      <c r="Q278">
        <v>7</v>
      </c>
      <c r="R278">
        <v>4</v>
      </c>
      <c r="S278">
        <v>10</v>
      </c>
      <c r="T278">
        <v>5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3</v>
      </c>
      <c r="AB278">
        <v>11</v>
      </c>
      <c r="AC278">
        <v>1</v>
      </c>
    </row>
    <row r="279" spans="1:29" x14ac:dyDescent="0.3">
      <c r="A279">
        <v>7828</v>
      </c>
      <c r="B279">
        <v>1981</v>
      </c>
      <c r="C279" t="s">
        <v>34</v>
      </c>
      <c r="D279" t="s">
        <v>31</v>
      </c>
      <c r="E279">
        <v>77882</v>
      </c>
      <c r="F279">
        <v>0</v>
      </c>
      <c r="G279">
        <v>0</v>
      </c>
      <c r="H279" s="1">
        <v>41759</v>
      </c>
      <c r="I279">
        <v>29</v>
      </c>
      <c r="J279">
        <v>68</v>
      </c>
      <c r="K279">
        <v>129</v>
      </c>
      <c r="L279">
        <v>396</v>
      </c>
      <c r="M279">
        <v>188</v>
      </c>
      <c r="N279">
        <v>22</v>
      </c>
      <c r="O279">
        <v>15</v>
      </c>
      <c r="P279">
        <v>1</v>
      </c>
      <c r="Q279">
        <v>3</v>
      </c>
      <c r="R279">
        <v>3</v>
      </c>
      <c r="S279">
        <v>5</v>
      </c>
      <c r="T279">
        <v>1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3</v>
      </c>
      <c r="AB279">
        <v>11</v>
      </c>
      <c r="AC279">
        <v>0</v>
      </c>
    </row>
    <row r="280" spans="1:29" x14ac:dyDescent="0.3">
      <c r="A280">
        <v>3762</v>
      </c>
      <c r="B280">
        <v>1986</v>
      </c>
      <c r="C280" t="s">
        <v>32</v>
      </c>
      <c r="D280" t="s">
        <v>30</v>
      </c>
      <c r="E280">
        <v>69867</v>
      </c>
      <c r="F280">
        <v>0</v>
      </c>
      <c r="G280">
        <v>0</v>
      </c>
      <c r="H280" s="1">
        <v>41366</v>
      </c>
      <c r="I280">
        <v>30</v>
      </c>
      <c r="J280">
        <v>196</v>
      </c>
      <c r="K280">
        <v>0</v>
      </c>
      <c r="L280">
        <v>512</v>
      </c>
      <c r="M280">
        <v>33</v>
      </c>
      <c r="N280">
        <v>130</v>
      </c>
      <c r="O280">
        <v>54</v>
      </c>
      <c r="P280">
        <v>1</v>
      </c>
      <c r="Q280">
        <v>3</v>
      </c>
      <c r="R280">
        <v>5</v>
      </c>
      <c r="S280">
        <v>8</v>
      </c>
      <c r="T280">
        <v>1</v>
      </c>
      <c r="U280">
        <v>0</v>
      </c>
      <c r="V280">
        <v>0</v>
      </c>
      <c r="W280">
        <v>0</v>
      </c>
      <c r="X280">
        <v>1</v>
      </c>
      <c r="Y280">
        <v>0</v>
      </c>
      <c r="Z280">
        <v>0</v>
      </c>
      <c r="AA280">
        <v>3</v>
      </c>
      <c r="AB280">
        <v>11</v>
      </c>
      <c r="AC280">
        <v>1</v>
      </c>
    </row>
    <row r="281" spans="1:29" x14ac:dyDescent="0.3">
      <c r="A281">
        <v>4391</v>
      </c>
      <c r="B281">
        <v>1968</v>
      </c>
      <c r="C281" t="s">
        <v>34</v>
      </c>
      <c r="D281" t="s">
        <v>35</v>
      </c>
      <c r="E281">
        <v>63841</v>
      </c>
      <c r="F281">
        <v>0</v>
      </c>
      <c r="G281">
        <v>1</v>
      </c>
      <c r="H281" s="1">
        <v>41385</v>
      </c>
      <c r="I281">
        <v>64</v>
      </c>
      <c r="J281">
        <v>635</v>
      </c>
      <c r="K281">
        <v>15</v>
      </c>
      <c r="L281">
        <v>100</v>
      </c>
      <c r="M281">
        <v>20</v>
      </c>
      <c r="N281">
        <v>7</v>
      </c>
      <c r="O281">
        <v>131</v>
      </c>
      <c r="P281">
        <v>1</v>
      </c>
      <c r="Q281">
        <v>9</v>
      </c>
      <c r="R281">
        <v>3</v>
      </c>
      <c r="S281">
        <v>9</v>
      </c>
      <c r="T281">
        <v>6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3</v>
      </c>
      <c r="AB281">
        <v>11</v>
      </c>
      <c r="AC281">
        <v>0</v>
      </c>
    </row>
    <row r="282" spans="1:29" x14ac:dyDescent="0.3">
      <c r="A282">
        <v>4669</v>
      </c>
      <c r="B282">
        <v>1981</v>
      </c>
      <c r="C282" t="s">
        <v>36</v>
      </c>
      <c r="D282" t="s">
        <v>33</v>
      </c>
      <c r="E282">
        <v>24480</v>
      </c>
      <c r="F282">
        <v>1</v>
      </c>
      <c r="G282">
        <v>0</v>
      </c>
      <c r="H282" s="1">
        <v>41316</v>
      </c>
      <c r="I282">
        <v>46</v>
      </c>
      <c r="J282">
        <v>4</v>
      </c>
      <c r="K282">
        <v>19</v>
      </c>
      <c r="L282">
        <v>9</v>
      </c>
      <c r="M282">
        <v>28</v>
      </c>
      <c r="N282">
        <v>25</v>
      </c>
      <c r="O282">
        <v>17</v>
      </c>
      <c r="P282">
        <v>3</v>
      </c>
      <c r="Q282">
        <v>3</v>
      </c>
      <c r="R282">
        <v>0</v>
      </c>
      <c r="S282">
        <v>4</v>
      </c>
      <c r="T282">
        <v>7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3</v>
      </c>
      <c r="AB282">
        <v>11</v>
      </c>
      <c r="AC282">
        <v>0</v>
      </c>
    </row>
    <row r="283" spans="1:29" x14ac:dyDescent="0.3">
      <c r="A283">
        <v>10144</v>
      </c>
      <c r="B283">
        <v>1976</v>
      </c>
      <c r="C283" t="s">
        <v>29</v>
      </c>
      <c r="D283" t="s">
        <v>31</v>
      </c>
      <c r="E283">
        <v>51369</v>
      </c>
      <c r="F283">
        <v>0</v>
      </c>
      <c r="G283">
        <v>1</v>
      </c>
      <c r="H283" s="1">
        <v>41207</v>
      </c>
      <c r="I283">
        <v>84</v>
      </c>
      <c r="J283">
        <v>297</v>
      </c>
      <c r="K283">
        <v>7</v>
      </c>
      <c r="L283">
        <v>79</v>
      </c>
      <c r="M283">
        <v>0</v>
      </c>
      <c r="N283">
        <v>11</v>
      </c>
      <c r="O283">
        <v>182</v>
      </c>
      <c r="P283">
        <v>2</v>
      </c>
      <c r="Q283">
        <v>8</v>
      </c>
      <c r="R283">
        <v>2</v>
      </c>
      <c r="S283">
        <v>4</v>
      </c>
      <c r="T283">
        <v>8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3</v>
      </c>
      <c r="AB283">
        <v>11</v>
      </c>
      <c r="AC283">
        <v>0</v>
      </c>
    </row>
    <row r="284" spans="1:29" x14ac:dyDescent="0.3">
      <c r="A284">
        <v>8652</v>
      </c>
      <c r="B284">
        <v>1946</v>
      </c>
      <c r="C284" t="s">
        <v>29</v>
      </c>
      <c r="D284" t="s">
        <v>31</v>
      </c>
      <c r="E284">
        <v>37760</v>
      </c>
      <c r="F284">
        <v>0</v>
      </c>
      <c r="G284">
        <v>0</v>
      </c>
      <c r="H284" s="1">
        <v>41152</v>
      </c>
      <c r="I284">
        <v>20</v>
      </c>
      <c r="J284">
        <v>84</v>
      </c>
      <c r="K284">
        <v>5</v>
      </c>
      <c r="L284">
        <v>38</v>
      </c>
      <c r="M284">
        <v>150</v>
      </c>
      <c r="N284">
        <v>12</v>
      </c>
      <c r="O284">
        <v>28</v>
      </c>
      <c r="P284">
        <v>2</v>
      </c>
      <c r="Q284">
        <v>4</v>
      </c>
      <c r="R284">
        <v>1</v>
      </c>
      <c r="S284">
        <v>6</v>
      </c>
      <c r="T284">
        <v>7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3</v>
      </c>
      <c r="AB284">
        <v>11</v>
      </c>
      <c r="AC284">
        <v>0</v>
      </c>
    </row>
    <row r="285" spans="1:29" x14ac:dyDescent="0.3">
      <c r="A285">
        <v>1672</v>
      </c>
      <c r="B285">
        <v>1974</v>
      </c>
      <c r="C285" t="s">
        <v>32</v>
      </c>
      <c r="D285" t="s">
        <v>31</v>
      </c>
      <c r="E285">
        <v>65640</v>
      </c>
      <c r="F285">
        <v>0</v>
      </c>
      <c r="G285">
        <v>1</v>
      </c>
      <c r="H285" s="1">
        <v>41699</v>
      </c>
      <c r="I285">
        <v>74</v>
      </c>
      <c r="J285">
        <v>204</v>
      </c>
      <c r="K285">
        <v>7</v>
      </c>
      <c r="L285">
        <v>149</v>
      </c>
      <c r="M285">
        <v>20</v>
      </c>
      <c r="N285">
        <v>15</v>
      </c>
      <c r="O285">
        <v>66</v>
      </c>
      <c r="P285">
        <v>1</v>
      </c>
      <c r="Q285">
        <v>5</v>
      </c>
      <c r="R285">
        <v>1</v>
      </c>
      <c r="S285">
        <v>8</v>
      </c>
      <c r="T285">
        <v>2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3</v>
      </c>
      <c r="AB285">
        <v>11</v>
      </c>
      <c r="AC285">
        <v>0</v>
      </c>
    </row>
    <row r="286" spans="1:29" x14ac:dyDescent="0.3">
      <c r="A286">
        <v>8962</v>
      </c>
      <c r="B286">
        <v>1975</v>
      </c>
      <c r="C286" t="s">
        <v>34</v>
      </c>
      <c r="D286" t="s">
        <v>33</v>
      </c>
      <c r="E286">
        <v>44319</v>
      </c>
      <c r="F286">
        <v>1</v>
      </c>
      <c r="G286">
        <v>1</v>
      </c>
      <c r="H286" s="1">
        <v>41746</v>
      </c>
      <c r="I286">
        <v>18</v>
      </c>
      <c r="J286">
        <v>26</v>
      </c>
      <c r="K286">
        <v>0</v>
      </c>
      <c r="L286">
        <v>8</v>
      </c>
      <c r="M286">
        <v>0</v>
      </c>
      <c r="N286">
        <v>0</v>
      </c>
      <c r="O286">
        <v>3</v>
      </c>
      <c r="P286">
        <v>2</v>
      </c>
      <c r="Q286">
        <v>2</v>
      </c>
      <c r="R286">
        <v>0</v>
      </c>
      <c r="S286">
        <v>3</v>
      </c>
      <c r="T286">
        <v>5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3</v>
      </c>
      <c r="AB286">
        <v>11</v>
      </c>
      <c r="AC286">
        <v>0</v>
      </c>
    </row>
    <row r="287" spans="1:29" x14ac:dyDescent="0.3">
      <c r="A287">
        <v>9974</v>
      </c>
      <c r="B287">
        <v>1974</v>
      </c>
      <c r="C287" t="s">
        <v>29</v>
      </c>
      <c r="D287" t="s">
        <v>33</v>
      </c>
      <c r="E287">
        <v>30631</v>
      </c>
      <c r="F287">
        <v>1</v>
      </c>
      <c r="G287">
        <v>0</v>
      </c>
      <c r="H287" s="1">
        <v>41467</v>
      </c>
      <c r="I287">
        <v>75</v>
      </c>
      <c r="J287">
        <v>15</v>
      </c>
      <c r="K287">
        <v>6</v>
      </c>
      <c r="L287">
        <v>20</v>
      </c>
      <c r="M287">
        <v>4</v>
      </c>
      <c r="N287">
        <v>5</v>
      </c>
      <c r="O287">
        <v>20</v>
      </c>
      <c r="P287">
        <v>1</v>
      </c>
      <c r="Q287">
        <v>3</v>
      </c>
      <c r="R287">
        <v>1</v>
      </c>
      <c r="S287">
        <v>2</v>
      </c>
      <c r="T287">
        <v>7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3</v>
      </c>
      <c r="AB287">
        <v>11</v>
      </c>
      <c r="AC287">
        <v>0</v>
      </c>
    </row>
    <row r="288" spans="1:29" x14ac:dyDescent="0.3">
      <c r="A288">
        <v>10983</v>
      </c>
      <c r="B288">
        <v>1952</v>
      </c>
      <c r="C288" t="s">
        <v>29</v>
      </c>
      <c r="D288" t="s">
        <v>31</v>
      </c>
      <c r="E288">
        <v>75278</v>
      </c>
      <c r="F288">
        <v>0</v>
      </c>
      <c r="G288">
        <v>0</v>
      </c>
      <c r="H288" s="1">
        <v>41303</v>
      </c>
      <c r="I288">
        <v>17</v>
      </c>
      <c r="J288">
        <v>304</v>
      </c>
      <c r="K288">
        <v>98</v>
      </c>
      <c r="L288">
        <v>230</v>
      </c>
      <c r="M288">
        <v>150</v>
      </c>
      <c r="N288">
        <v>74</v>
      </c>
      <c r="O288">
        <v>74</v>
      </c>
      <c r="P288">
        <v>1</v>
      </c>
      <c r="Q288">
        <v>6</v>
      </c>
      <c r="R288">
        <v>3</v>
      </c>
      <c r="S288">
        <v>13</v>
      </c>
      <c r="T288">
        <v>3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3</v>
      </c>
      <c r="AB288">
        <v>11</v>
      </c>
      <c r="AC288">
        <v>0</v>
      </c>
    </row>
    <row r="289" spans="1:29" x14ac:dyDescent="0.3">
      <c r="A289">
        <v>8148</v>
      </c>
      <c r="B289">
        <v>1956</v>
      </c>
      <c r="C289" t="s">
        <v>34</v>
      </c>
      <c r="D289" t="s">
        <v>31</v>
      </c>
      <c r="E289">
        <v>50898</v>
      </c>
      <c r="F289">
        <v>1</v>
      </c>
      <c r="G289">
        <v>1</v>
      </c>
      <c r="H289" s="1">
        <v>41282</v>
      </c>
      <c r="I289">
        <v>88</v>
      </c>
      <c r="J289">
        <v>285</v>
      </c>
      <c r="K289">
        <v>28</v>
      </c>
      <c r="L289">
        <v>242</v>
      </c>
      <c r="M289">
        <v>55</v>
      </c>
      <c r="N289">
        <v>114</v>
      </c>
      <c r="O289">
        <v>135</v>
      </c>
      <c r="P289">
        <v>13</v>
      </c>
      <c r="Q289">
        <v>6</v>
      </c>
      <c r="R289">
        <v>2</v>
      </c>
      <c r="S289">
        <v>12</v>
      </c>
      <c r="T289">
        <v>5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3</v>
      </c>
      <c r="AB289">
        <v>11</v>
      </c>
      <c r="AC289">
        <v>0</v>
      </c>
    </row>
    <row r="290" spans="1:29" x14ac:dyDescent="0.3">
      <c r="A290">
        <v>10102</v>
      </c>
      <c r="B290">
        <v>1966</v>
      </c>
      <c r="C290" t="s">
        <v>29</v>
      </c>
      <c r="D290" t="s">
        <v>38</v>
      </c>
      <c r="E290">
        <v>79946</v>
      </c>
      <c r="F290">
        <v>0</v>
      </c>
      <c r="G290">
        <v>0</v>
      </c>
      <c r="H290" s="1">
        <v>41771</v>
      </c>
      <c r="I290">
        <v>19</v>
      </c>
      <c r="J290">
        <v>395</v>
      </c>
      <c r="K290">
        <v>183</v>
      </c>
      <c r="L290">
        <v>565</v>
      </c>
      <c r="M290">
        <v>166</v>
      </c>
      <c r="N290">
        <v>141</v>
      </c>
      <c r="O290">
        <v>28</v>
      </c>
      <c r="P290">
        <v>1</v>
      </c>
      <c r="Q290">
        <v>5</v>
      </c>
      <c r="R290">
        <v>11</v>
      </c>
      <c r="S290">
        <v>5</v>
      </c>
      <c r="T290">
        <v>3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3</v>
      </c>
      <c r="AB290">
        <v>11</v>
      </c>
      <c r="AC290">
        <v>0</v>
      </c>
    </row>
    <row r="291" spans="1:29" x14ac:dyDescent="0.3">
      <c r="A291">
        <v>4697</v>
      </c>
      <c r="B291">
        <v>1949</v>
      </c>
      <c r="C291" t="s">
        <v>34</v>
      </c>
      <c r="D291" t="s">
        <v>35</v>
      </c>
      <c r="E291">
        <v>35416</v>
      </c>
      <c r="F291">
        <v>0</v>
      </c>
      <c r="G291">
        <v>0</v>
      </c>
      <c r="H291" s="1">
        <v>41438</v>
      </c>
      <c r="I291">
        <v>62</v>
      </c>
      <c r="J291">
        <v>248</v>
      </c>
      <c r="K291">
        <v>3</v>
      </c>
      <c r="L291">
        <v>81</v>
      </c>
      <c r="M291">
        <v>4</v>
      </c>
      <c r="N291">
        <v>3</v>
      </c>
      <c r="O291">
        <v>51</v>
      </c>
      <c r="P291">
        <v>3</v>
      </c>
      <c r="Q291">
        <v>7</v>
      </c>
      <c r="R291">
        <v>1</v>
      </c>
      <c r="S291">
        <v>5</v>
      </c>
      <c r="T291">
        <v>8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3</v>
      </c>
      <c r="AB291">
        <v>11</v>
      </c>
      <c r="AC291">
        <v>0</v>
      </c>
    </row>
    <row r="292" spans="1:29" x14ac:dyDescent="0.3">
      <c r="A292">
        <v>9262</v>
      </c>
      <c r="B292">
        <v>1984</v>
      </c>
      <c r="C292" t="s">
        <v>37</v>
      </c>
      <c r="D292" t="s">
        <v>31</v>
      </c>
      <c r="E292">
        <v>32414</v>
      </c>
      <c r="F292">
        <v>0</v>
      </c>
      <c r="G292">
        <v>0</v>
      </c>
      <c r="H292" s="1">
        <v>41459</v>
      </c>
      <c r="I292">
        <v>11</v>
      </c>
      <c r="J292">
        <v>20</v>
      </c>
      <c r="K292">
        <v>6</v>
      </c>
      <c r="L292">
        <v>5</v>
      </c>
      <c r="M292">
        <v>0</v>
      </c>
      <c r="N292">
        <v>9</v>
      </c>
      <c r="O292">
        <v>12</v>
      </c>
      <c r="P292">
        <v>1</v>
      </c>
      <c r="Q292">
        <v>1</v>
      </c>
      <c r="R292">
        <v>0</v>
      </c>
      <c r="S292">
        <v>3</v>
      </c>
      <c r="T292">
        <v>7</v>
      </c>
      <c r="U292">
        <v>1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3</v>
      </c>
      <c r="AB292">
        <v>11</v>
      </c>
      <c r="AC292">
        <v>0</v>
      </c>
    </row>
    <row r="293" spans="1:29" x14ac:dyDescent="0.3">
      <c r="A293">
        <v>7254</v>
      </c>
      <c r="B293">
        <v>1969</v>
      </c>
      <c r="C293" t="s">
        <v>29</v>
      </c>
      <c r="D293" t="s">
        <v>31</v>
      </c>
      <c r="E293">
        <v>38361</v>
      </c>
      <c r="F293">
        <v>1</v>
      </c>
      <c r="G293">
        <v>0</v>
      </c>
      <c r="H293" s="1">
        <v>41635</v>
      </c>
      <c r="I293">
        <v>74</v>
      </c>
      <c r="J293">
        <v>39</v>
      </c>
      <c r="K293">
        <v>0</v>
      </c>
      <c r="L293">
        <v>56</v>
      </c>
      <c r="M293">
        <v>20</v>
      </c>
      <c r="N293">
        <v>8</v>
      </c>
      <c r="O293">
        <v>14</v>
      </c>
      <c r="P293">
        <v>3</v>
      </c>
      <c r="Q293">
        <v>3</v>
      </c>
      <c r="R293">
        <v>1</v>
      </c>
      <c r="S293">
        <v>3</v>
      </c>
      <c r="T293">
        <v>7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3</v>
      </c>
      <c r="AB293">
        <v>11</v>
      </c>
      <c r="AC293">
        <v>0</v>
      </c>
    </row>
    <row r="294" spans="1:29" x14ac:dyDescent="0.3">
      <c r="A294">
        <v>4543</v>
      </c>
      <c r="B294">
        <v>1980</v>
      </c>
      <c r="C294" t="s">
        <v>29</v>
      </c>
      <c r="D294" t="s">
        <v>33</v>
      </c>
      <c r="E294">
        <v>82497</v>
      </c>
      <c r="F294">
        <v>0</v>
      </c>
      <c r="G294">
        <v>0</v>
      </c>
      <c r="H294" s="1">
        <v>41213</v>
      </c>
      <c r="I294">
        <v>32</v>
      </c>
      <c r="J294">
        <v>777</v>
      </c>
      <c r="K294">
        <v>129</v>
      </c>
      <c r="L294">
        <v>573</v>
      </c>
      <c r="M294">
        <v>216</v>
      </c>
      <c r="N294">
        <v>21</v>
      </c>
      <c r="O294">
        <v>203</v>
      </c>
      <c r="P294">
        <v>1</v>
      </c>
      <c r="Q294">
        <v>2</v>
      </c>
      <c r="R294">
        <v>7</v>
      </c>
      <c r="S294">
        <v>9</v>
      </c>
      <c r="T294">
        <v>4</v>
      </c>
      <c r="U294">
        <v>0</v>
      </c>
      <c r="V294">
        <v>0</v>
      </c>
      <c r="W294">
        <v>1</v>
      </c>
      <c r="X294">
        <v>0</v>
      </c>
      <c r="Y294">
        <v>0</v>
      </c>
      <c r="Z294">
        <v>0</v>
      </c>
      <c r="AA294">
        <v>3</v>
      </c>
      <c r="AB294">
        <v>11</v>
      </c>
      <c r="AC294">
        <v>0</v>
      </c>
    </row>
    <row r="295" spans="1:29" x14ac:dyDescent="0.3">
      <c r="A295">
        <v>4927</v>
      </c>
      <c r="B295">
        <v>1971</v>
      </c>
      <c r="C295" t="s">
        <v>29</v>
      </c>
      <c r="D295" t="s">
        <v>31</v>
      </c>
      <c r="E295">
        <v>16626</v>
      </c>
      <c r="F295">
        <v>2</v>
      </c>
      <c r="G295">
        <v>0</v>
      </c>
      <c r="H295" s="1">
        <v>41654</v>
      </c>
      <c r="I295">
        <v>76</v>
      </c>
      <c r="J295">
        <v>8</v>
      </c>
      <c r="K295">
        <v>3</v>
      </c>
      <c r="L295">
        <v>22</v>
      </c>
      <c r="M295">
        <v>21</v>
      </c>
      <c r="N295">
        <v>1</v>
      </c>
      <c r="O295">
        <v>13</v>
      </c>
      <c r="P295">
        <v>3</v>
      </c>
      <c r="Q295">
        <v>3</v>
      </c>
      <c r="R295">
        <v>0</v>
      </c>
      <c r="S295">
        <v>3</v>
      </c>
      <c r="T295">
        <v>9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3</v>
      </c>
      <c r="AB295">
        <v>11</v>
      </c>
      <c r="AC295">
        <v>0</v>
      </c>
    </row>
    <row r="296" spans="1:29" x14ac:dyDescent="0.3">
      <c r="A296">
        <v>10451</v>
      </c>
      <c r="B296">
        <v>1965</v>
      </c>
      <c r="C296" t="s">
        <v>29</v>
      </c>
      <c r="D296" t="s">
        <v>31</v>
      </c>
      <c r="E296">
        <v>29672</v>
      </c>
      <c r="F296">
        <v>1</v>
      </c>
      <c r="G296">
        <v>1</v>
      </c>
      <c r="H296" s="1">
        <v>41345</v>
      </c>
      <c r="I296">
        <v>6</v>
      </c>
      <c r="J296">
        <v>9</v>
      </c>
      <c r="K296">
        <v>1</v>
      </c>
      <c r="L296">
        <v>3</v>
      </c>
      <c r="M296">
        <v>0</v>
      </c>
      <c r="N296">
        <v>4</v>
      </c>
      <c r="O296">
        <v>8</v>
      </c>
      <c r="P296">
        <v>1</v>
      </c>
      <c r="Q296">
        <v>0</v>
      </c>
      <c r="R296">
        <v>0</v>
      </c>
      <c r="S296">
        <v>3</v>
      </c>
      <c r="T296">
        <v>6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3</v>
      </c>
      <c r="AB296">
        <v>11</v>
      </c>
      <c r="AC296">
        <v>0</v>
      </c>
    </row>
    <row r="297" spans="1:29" x14ac:dyDescent="0.3">
      <c r="A297">
        <v>2926</v>
      </c>
      <c r="B297">
        <v>1952</v>
      </c>
      <c r="C297" t="s">
        <v>34</v>
      </c>
      <c r="D297" t="s">
        <v>31</v>
      </c>
      <c r="E297">
        <v>55951</v>
      </c>
      <c r="F297">
        <v>0</v>
      </c>
      <c r="G297">
        <v>1</v>
      </c>
      <c r="H297" s="1">
        <v>41144</v>
      </c>
      <c r="I297">
        <v>62</v>
      </c>
      <c r="J297">
        <v>1241</v>
      </c>
      <c r="K297">
        <v>0</v>
      </c>
      <c r="L297">
        <v>80</v>
      </c>
      <c r="M297">
        <v>0</v>
      </c>
      <c r="N297">
        <v>13</v>
      </c>
      <c r="O297">
        <v>40</v>
      </c>
      <c r="P297">
        <v>3</v>
      </c>
      <c r="Q297">
        <v>3</v>
      </c>
      <c r="R297">
        <v>6</v>
      </c>
      <c r="S297">
        <v>11</v>
      </c>
      <c r="T297">
        <v>8</v>
      </c>
      <c r="U297">
        <v>0</v>
      </c>
      <c r="V297">
        <v>1</v>
      </c>
      <c r="W297">
        <v>0</v>
      </c>
      <c r="X297">
        <v>0</v>
      </c>
      <c r="Y297">
        <v>1</v>
      </c>
      <c r="Z297">
        <v>0</v>
      </c>
      <c r="AA297">
        <v>3</v>
      </c>
      <c r="AB297">
        <v>11</v>
      </c>
      <c r="AC297">
        <v>0</v>
      </c>
    </row>
    <row r="298" spans="1:29" x14ac:dyDescent="0.3">
      <c r="A298">
        <v>2874</v>
      </c>
      <c r="B298">
        <v>1988</v>
      </c>
      <c r="C298" t="s">
        <v>37</v>
      </c>
      <c r="D298" t="s">
        <v>35</v>
      </c>
      <c r="E298">
        <v>35388</v>
      </c>
      <c r="F298">
        <v>1</v>
      </c>
      <c r="G298">
        <v>0</v>
      </c>
      <c r="H298" s="1">
        <v>41340</v>
      </c>
      <c r="I298">
        <v>20</v>
      </c>
      <c r="J298">
        <v>6</v>
      </c>
      <c r="K298">
        <v>4</v>
      </c>
      <c r="L298">
        <v>7</v>
      </c>
      <c r="M298">
        <v>4</v>
      </c>
      <c r="N298">
        <v>3</v>
      </c>
      <c r="O298">
        <v>8</v>
      </c>
      <c r="P298">
        <v>1</v>
      </c>
      <c r="Q298">
        <v>1</v>
      </c>
      <c r="R298">
        <v>0</v>
      </c>
      <c r="S298">
        <v>3</v>
      </c>
      <c r="T298">
        <v>7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3</v>
      </c>
      <c r="AB298">
        <v>11</v>
      </c>
      <c r="AC298">
        <v>0</v>
      </c>
    </row>
    <row r="299" spans="1:29" x14ac:dyDescent="0.3">
      <c r="A299">
        <v>9738</v>
      </c>
      <c r="B299">
        <v>1986</v>
      </c>
      <c r="C299" t="s">
        <v>34</v>
      </c>
      <c r="D299" t="s">
        <v>31</v>
      </c>
      <c r="E299">
        <v>42386</v>
      </c>
      <c r="F299">
        <v>1</v>
      </c>
      <c r="G299">
        <v>0</v>
      </c>
      <c r="H299" s="1">
        <v>41287</v>
      </c>
      <c r="I299">
        <v>43</v>
      </c>
      <c r="J299">
        <v>65</v>
      </c>
      <c r="K299">
        <v>4</v>
      </c>
      <c r="L299">
        <v>16</v>
      </c>
      <c r="M299">
        <v>0</v>
      </c>
      <c r="N299">
        <v>4</v>
      </c>
      <c r="O299">
        <v>11</v>
      </c>
      <c r="P299">
        <v>1</v>
      </c>
      <c r="Q299">
        <v>3</v>
      </c>
      <c r="R299">
        <v>0</v>
      </c>
      <c r="S299">
        <v>3</v>
      </c>
      <c r="T299">
        <v>8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3</v>
      </c>
      <c r="AB299">
        <v>11</v>
      </c>
      <c r="AC299">
        <v>0</v>
      </c>
    </row>
    <row r="300" spans="1:29" x14ac:dyDescent="0.3">
      <c r="A300">
        <v>7119</v>
      </c>
      <c r="B300">
        <v>1982</v>
      </c>
      <c r="C300" t="s">
        <v>29</v>
      </c>
      <c r="D300" t="s">
        <v>30</v>
      </c>
      <c r="E300">
        <v>68627</v>
      </c>
      <c r="F300">
        <v>0</v>
      </c>
      <c r="G300">
        <v>0</v>
      </c>
      <c r="H300" s="1">
        <v>41286</v>
      </c>
      <c r="I300">
        <v>45</v>
      </c>
      <c r="J300">
        <v>395</v>
      </c>
      <c r="K300">
        <v>15</v>
      </c>
      <c r="L300">
        <v>263</v>
      </c>
      <c r="M300">
        <v>60</v>
      </c>
      <c r="N300">
        <v>54</v>
      </c>
      <c r="O300">
        <v>38</v>
      </c>
      <c r="P300">
        <v>1</v>
      </c>
      <c r="Q300">
        <v>2</v>
      </c>
      <c r="R300">
        <v>3</v>
      </c>
      <c r="S300">
        <v>6</v>
      </c>
      <c r="T300">
        <v>1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3</v>
      </c>
      <c r="AB300">
        <v>11</v>
      </c>
      <c r="AC300">
        <v>0</v>
      </c>
    </row>
    <row r="301" spans="1:29" x14ac:dyDescent="0.3">
      <c r="A301">
        <v>3924</v>
      </c>
      <c r="B301">
        <v>1965</v>
      </c>
      <c r="C301" t="s">
        <v>32</v>
      </c>
      <c r="D301" t="s">
        <v>35</v>
      </c>
      <c r="E301">
        <v>57912</v>
      </c>
      <c r="F301">
        <v>0</v>
      </c>
      <c r="G301">
        <v>1</v>
      </c>
      <c r="H301" s="1">
        <v>41715</v>
      </c>
      <c r="I301">
        <v>34</v>
      </c>
      <c r="J301">
        <v>801</v>
      </c>
      <c r="K301">
        <v>0</v>
      </c>
      <c r="L301">
        <v>80</v>
      </c>
      <c r="M301">
        <v>0</v>
      </c>
      <c r="N301">
        <v>0</v>
      </c>
      <c r="O301">
        <v>35</v>
      </c>
      <c r="P301">
        <v>5</v>
      </c>
      <c r="Q301">
        <v>8</v>
      </c>
      <c r="R301">
        <v>3</v>
      </c>
      <c r="S301">
        <v>12</v>
      </c>
      <c r="T301">
        <v>5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3</v>
      </c>
      <c r="AB301">
        <v>11</v>
      </c>
      <c r="AC301">
        <v>0</v>
      </c>
    </row>
    <row r="302" spans="1:29" x14ac:dyDescent="0.3">
      <c r="A302">
        <v>5827</v>
      </c>
      <c r="B302">
        <v>1958</v>
      </c>
      <c r="C302" t="s">
        <v>29</v>
      </c>
      <c r="D302" t="s">
        <v>35</v>
      </c>
      <c r="E302">
        <v>35246</v>
      </c>
      <c r="F302">
        <v>1</v>
      </c>
      <c r="G302">
        <v>1</v>
      </c>
      <c r="H302" s="1">
        <v>41745</v>
      </c>
      <c r="I302">
        <v>53</v>
      </c>
      <c r="J302">
        <v>36</v>
      </c>
      <c r="K302">
        <v>0</v>
      </c>
      <c r="L302">
        <v>12</v>
      </c>
      <c r="M302">
        <v>2</v>
      </c>
      <c r="N302">
        <v>2</v>
      </c>
      <c r="O302">
        <v>10</v>
      </c>
      <c r="P302">
        <v>4</v>
      </c>
      <c r="Q302">
        <v>3</v>
      </c>
      <c r="R302">
        <v>1</v>
      </c>
      <c r="S302">
        <v>3</v>
      </c>
      <c r="T302">
        <v>5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3</v>
      </c>
      <c r="AB302">
        <v>11</v>
      </c>
      <c r="AC302">
        <v>0</v>
      </c>
    </row>
    <row r="303" spans="1:29" x14ac:dyDescent="0.3">
      <c r="A303">
        <v>5596</v>
      </c>
      <c r="B303">
        <v>1956</v>
      </c>
      <c r="C303" t="s">
        <v>37</v>
      </c>
      <c r="D303" t="s">
        <v>31</v>
      </c>
      <c r="E303">
        <v>58821</v>
      </c>
      <c r="F303">
        <v>0</v>
      </c>
      <c r="G303">
        <v>1</v>
      </c>
      <c r="H303" s="1">
        <v>41559</v>
      </c>
      <c r="I303">
        <v>44</v>
      </c>
      <c r="J303">
        <v>513</v>
      </c>
      <c r="K303">
        <v>14</v>
      </c>
      <c r="L303">
        <v>154</v>
      </c>
      <c r="M303">
        <v>19</v>
      </c>
      <c r="N303">
        <v>0</v>
      </c>
      <c r="O303">
        <v>28</v>
      </c>
      <c r="P303">
        <v>1</v>
      </c>
      <c r="Q303">
        <v>9</v>
      </c>
      <c r="R303">
        <v>2</v>
      </c>
      <c r="S303">
        <v>9</v>
      </c>
      <c r="T303">
        <v>6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3</v>
      </c>
      <c r="AB303">
        <v>11</v>
      </c>
      <c r="AC303">
        <v>0</v>
      </c>
    </row>
    <row r="304" spans="1:29" x14ac:dyDescent="0.3">
      <c r="A304">
        <v>10812</v>
      </c>
      <c r="B304">
        <v>1978</v>
      </c>
      <c r="C304" t="s">
        <v>32</v>
      </c>
      <c r="D304" t="s">
        <v>33</v>
      </c>
      <c r="E304">
        <v>46377</v>
      </c>
      <c r="F304">
        <v>1</v>
      </c>
      <c r="G304">
        <v>0</v>
      </c>
      <c r="H304" s="1">
        <v>41699</v>
      </c>
      <c r="I304">
        <v>89</v>
      </c>
      <c r="J304">
        <v>37</v>
      </c>
      <c r="K304">
        <v>0</v>
      </c>
      <c r="L304">
        <v>46</v>
      </c>
      <c r="M304">
        <v>4</v>
      </c>
      <c r="N304">
        <v>3</v>
      </c>
      <c r="O304">
        <v>0</v>
      </c>
      <c r="P304">
        <v>1</v>
      </c>
      <c r="Q304">
        <v>2</v>
      </c>
      <c r="R304">
        <v>1</v>
      </c>
      <c r="S304">
        <v>3</v>
      </c>
      <c r="T304">
        <v>4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3</v>
      </c>
      <c r="AB304">
        <v>11</v>
      </c>
      <c r="AC304">
        <v>0</v>
      </c>
    </row>
    <row r="305" spans="1:29" x14ac:dyDescent="0.3">
      <c r="A305">
        <v>1717</v>
      </c>
      <c r="B305">
        <v>1988</v>
      </c>
      <c r="C305" t="s">
        <v>29</v>
      </c>
      <c r="D305" t="s">
        <v>30</v>
      </c>
      <c r="E305">
        <v>39747</v>
      </c>
      <c r="F305">
        <v>1</v>
      </c>
      <c r="G305">
        <v>0</v>
      </c>
      <c r="H305" s="1">
        <v>41742</v>
      </c>
      <c r="I305">
        <v>43</v>
      </c>
      <c r="J305">
        <v>80</v>
      </c>
      <c r="K305">
        <v>15</v>
      </c>
      <c r="L305">
        <v>93</v>
      </c>
      <c r="M305">
        <v>20</v>
      </c>
      <c r="N305">
        <v>13</v>
      </c>
      <c r="O305">
        <v>52</v>
      </c>
      <c r="P305">
        <v>3</v>
      </c>
      <c r="Q305">
        <v>5</v>
      </c>
      <c r="R305">
        <v>1</v>
      </c>
      <c r="S305">
        <v>4</v>
      </c>
      <c r="T305">
        <v>8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3</v>
      </c>
      <c r="AB305">
        <v>11</v>
      </c>
      <c r="AC305">
        <v>0</v>
      </c>
    </row>
    <row r="306" spans="1:29" x14ac:dyDescent="0.3">
      <c r="A306">
        <v>9491</v>
      </c>
      <c r="B306">
        <v>1984</v>
      </c>
      <c r="C306" t="s">
        <v>29</v>
      </c>
      <c r="D306" t="s">
        <v>31</v>
      </c>
      <c r="E306">
        <v>23976</v>
      </c>
      <c r="F306">
        <v>1</v>
      </c>
      <c r="G306">
        <v>0</v>
      </c>
      <c r="H306" s="1">
        <v>41635</v>
      </c>
      <c r="I306">
        <v>68</v>
      </c>
      <c r="J306">
        <v>14</v>
      </c>
      <c r="K306">
        <v>1</v>
      </c>
      <c r="L306">
        <v>21</v>
      </c>
      <c r="M306">
        <v>2</v>
      </c>
      <c r="N306">
        <v>3</v>
      </c>
      <c r="O306">
        <v>25</v>
      </c>
      <c r="P306">
        <v>3</v>
      </c>
      <c r="Q306">
        <v>3</v>
      </c>
      <c r="R306">
        <v>1</v>
      </c>
      <c r="S306">
        <v>3</v>
      </c>
      <c r="T306">
        <v>7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3</v>
      </c>
      <c r="AB306">
        <v>11</v>
      </c>
      <c r="AC306">
        <v>0</v>
      </c>
    </row>
    <row r="307" spans="1:29" x14ac:dyDescent="0.3">
      <c r="A307">
        <v>9274</v>
      </c>
      <c r="B307">
        <v>1961</v>
      </c>
      <c r="C307" t="s">
        <v>34</v>
      </c>
      <c r="D307" t="s">
        <v>33</v>
      </c>
      <c r="E307">
        <v>80950</v>
      </c>
      <c r="F307">
        <v>0</v>
      </c>
      <c r="G307">
        <v>0</v>
      </c>
      <c r="H307" s="1">
        <v>41361</v>
      </c>
      <c r="I307">
        <v>44</v>
      </c>
      <c r="J307">
        <v>525</v>
      </c>
      <c r="K307">
        <v>147</v>
      </c>
      <c r="L307">
        <v>112</v>
      </c>
      <c r="M307">
        <v>219</v>
      </c>
      <c r="N307">
        <v>147</v>
      </c>
      <c r="O307">
        <v>63</v>
      </c>
      <c r="P307">
        <v>1</v>
      </c>
      <c r="Q307">
        <v>6</v>
      </c>
      <c r="R307">
        <v>7</v>
      </c>
      <c r="S307">
        <v>9</v>
      </c>
      <c r="T307">
        <v>2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v>3</v>
      </c>
      <c r="AB307">
        <v>11</v>
      </c>
      <c r="AC307">
        <v>0</v>
      </c>
    </row>
    <row r="308" spans="1:29" x14ac:dyDescent="0.3">
      <c r="A308">
        <v>6609</v>
      </c>
      <c r="B308">
        <v>1966</v>
      </c>
      <c r="C308" t="s">
        <v>29</v>
      </c>
      <c r="D308" t="s">
        <v>38</v>
      </c>
      <c r="E308">
        <v>27038</v>
      </c>
      <c r="F308">
        <v>0</v>
      </c>
      <c r="G308">
        <v>0</v>
      </c>
      <c r="H308" s="1">
        <v>41170</v>
      </c>
      <c r="I308">
        <v>64</v>
      </c>
      <c r="J308">
        <v>1</v>
      </c>
      <c r="K308">
        <v>26</v>
      </c>
      <c r="L308">
        <v>25</v>
      </c>
      <c r="M308">
        <v>17</v>
      </c>
      <c r="N308">
        <v>23</v>
      </c>
      <c r="O308">
        <v>15</v>
      </c>
      <c r="P308">
        <v>1</v>
      </c>
      <c r="Q308">
        <v>3</v>
      </c>
      <c r="R308">
        <v>0</v>
      </c>
      <c r="S308">
        <v>3</v>
      </c>
      <c r="T308">
        <v>9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3</v>
      </c>
      <c r="AB308">
        <v>11</v>
      </c>
      <c r="AC308">
        <v>1</v>
      </c>
    </row>
    <row r="309" spans="1:29" x14ac:dyDescent="0.3">
      <c r="A309">
        <v>6963</v>
      </c>
      <c r="B309">
        <v>1947</v>
      </c>
      <c r="C309" t="s">
        <v>29</v>
      </c>
      <c r="D309" t="s">
        <v>30</v>
      </c>
      <c r="E309">
        <v>77457</v>
      </c>
      <c r="F309">
        <v>0</v>
      </c>
      <c r="G309">
        <v>0</v>
      </c>
      <c r="H309" s="1">
        <v>41703</v>
      </c>
      <c r="I309">
        <v>85</v>
      </c>
      <c r="J309">
        <v>675</v>
      </c>
      <c r="K309">
        <v>11</v>
      </c>
      <c r="L309">
        <v>400</v>
      </c>
      <c r="M309">
        <v>15</v>
      </c>
      <c r="N309">
        <v>45</v>
      </c>
      <c r="O309">
        <v>11</v>
      </c>
      <c r="P309">
        <v>1</v>
      </c>
      <c r="Q309">
        <v>2</v>
      </c>
      <c r="R309">
        <v>5</v>
      </c>
      <c r="S309">
        <v>10</v>
      </c>
      <c r="T309">
        <v>1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3</v>
      </c>
      <c r="AB309">
        <v>11</v>
      </c>
      <c r="AC309">
        <v>0</v>
      </c>
    </row>
    <row r="310" spans="1:29" x14ac:dyDescent="0.3">
      <c r="A310">
        <v>4440</v>
      </c>
      <c r="B310">
        <v>1964</v>
      </c>
      <c r="C310" t="s">
        <v>34</v>
      </c>
      <c r="D310" t="s">
        <v>33</v>
      </c>
      <c r="E310">
        <v>64100</v>
      </c>
      <c r="F310">
        <v>0</v>
      </c>
      <c r="G310">
        <v>1</v>
      </c>
      <c r="H310" s="1">
        <v>41527</v>
      </c>
      <c r="I310">
        <v>93</v>
      </c>
      <c r="J310">
        <v>509</v>
      </c>
      <c r="K310">
        <v>0</v>
      </c>
      <c r="L310">
        <v>27</v>
      </c>
      <c r="M310">
        <v>0</v>
      </c>
      <c r="N310">
        <v>0</v>
      </c>
      <c r="O310">
        <v>10</v>
      </c>
      <c r="P310">
        <v>1</v>
      </c>
      <c r="Q310">
        <v>8</v>
      </c>
      <c r="R310">
        <v>3</v>
      </c>
      <c r="S310">
        <v>6</v>
      </c>
      <c r="T310">
        <v>7</v>
      </c>
      <c r="U310">
        <v>0</v>
      </c>
      <c r="V310">
        <v>1</v>
      </c>
      <c r="W310">
        <v>0</v>
      </c>
      <c r="X310">
        <v>0</v>
      </c>
      <c r="Y310">
        <v>0</v>
      </c>
      <c r="Z310">
        <v>0</v>
      </c>
      <c r="AA310">
        <v>3</v>
      </c>
      <c r="AB310">
        <v>11</v>
      </c>
      <c r="AC310">
        <v>0</v>
      </c>
    </row>
    <row r="311" spans="1:29" x14ac:dyDescent="0.3">
      <c r="A311">
        <v>1379</v>
      </c>
      <c r="B311">
        <v>1992</v>
      </c>
      <c r="C311" t="s">
        <v>34</v>
      </c>
      <c r="D311" t="s">
        <v>31</v>
      </c>
      <c r="E311">
        <v>42670</v>
      </c>
      <c r="F311">
        <v>0</v>
      </c>
      <c r="G311">
        <v>0</v>
      </c>
      <c r="H311" s="1">
        <v>41391</v>
      </c>
      <c r="I311">
        <v>12</v>
      </c>
      <c r="J311">
        <v>154</v>
      </c>
      <c r="K311">
        <v>2</v>
      </c>
      <c r="L311">
        <v>46</v>
      </c>
      <c r="M311">
        <v>20</v>
      </c>
      <c r="N311">
        <v>4</v>
      </c>
      <c r="O311">
        <v>15</v>
      </c>
      <c r="P311">
        <v>1</v>
      </c>
      <c r="Q311">
        <v>4</v>
      </c>
      <c r="R311">
        <v>2</v>
      </c>
      <c r="S311">
        <v>4</v>
      </c>
      <c r="T311">
        <v>4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3</v>
      </c>
      <c r="AB311">
        <v>11</v>
      </c>
      <c r="AC311">
        <v>0</v>
      </c>
    </row>
    <row r="312" spans="1:29" x14ac:dyDescent="0.3">
      <c r="A312">
        <v>10032</v>
      </c>
      <c r="B312">
        <v>1976</v>
      </c>
      <c r="C312" t="s">
        <v>29</v>
      </c>
      <c r="D312" t="s">
        <v>35</v>
      </c>
      <c r="E312">
        <v>12571</v>
      </c>
      <c r="F312">
        <v>1</v>
      </c>
      <c r="G312">
        <v>0</v>
      </c>
      <c r="H312" s="1">
        <v>41657</v>
      </c>
      <c r="I312">
        <v>86</v>
      </c>
      <c r="J312">
        <v>3</v>
      </c>
      <c r="K312">
        <v>5</v>
      </c>
      <c r="L312">
        <v>14</v>
      </c>
      <c r="M312">
        <v>2</v>
      </c>
      <c r="N312">
        <v>12</v>
      </c>
      <c r="O312">
        <v>17</v>
      </c>
      <c r="P312">
        <v>4</v>
      </c>
      <c r="Q312">
        <v>3</v>
      </c>
      <c r="R312">
        <v>1</v>
      </c>
      <c r="S312">
        <v>3</v>
      </c>
      <c r="T312">
        <v>6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3</v>
      </c>
      <c r="AB312">
        <v>11</v>
      </c>
      <c r="AC312">
        <v>0</v>
      </c>
    </row>
    <row r="313" spans="1:29" x14ac:dyDescent="0.3">
      <c r="A313">
        <v>2826</v>
      </c>
      <c r="B313">
        <v>1967</v>
      </c>
      <c r="C313" t="s">
        <v>29</v>
      </c>
      <c r="D313" t="s">
        <v>33</v>
      </c>
      <c r="E313">
        <v>22574</v>
      </c>
      <c r="F313">
        <v>2</v>
      </c>
      <c r="G313">
        <v>1</v>
      </c>
      <c r="H313" s="1">
        <v>41575</v>
      </c>
      <c r="I313">
        <v>28</v>
      </c>
      <c r="J313">
        <v>25</v>
      </c>
      <c r="K313">
        <v>0</v>
      </c>
      <c r="L313">
        <v>8</v>
      </c>
      <c r="M313">
        <v>2</v>
      </c>
      <c r="N313">
        <v>0</v>
      </c>
      <c r="O313">
        <v>2</v>
      </c>
      <c r="P313">
        <v>2</v>
      </c>
      <c r="Q313">
        <v>2</v>
      </c>
      <c r="R313">
        <v>0</v>
      </c>
      <c r="S313">
        <v>3</v>
      </c>
      <c r="T313">
        <v>7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3</v>
      </c>
      <c r="AB313">
        <v>11</v>
      </c>
      <c r="AC313">
        <v>0</v>
      </c>
    </row>
    <row r="314" spans="1:29" x14ac:dyDescent="0.3">
      <c r="A314">
        <v>2437</v>
      </c>
      <c r="B314">
        <v>1989</v>
      </c>
      <c r="C314" t="s">
        <v>29</v>
      </c>
      <c r="D314" t="s">
        <v>33</v>
      </c>
      <c r="F314">
        <v>0</v>
      </c>
      <c r="G314">
        <v>0</v>
      </c>
      <c r="H314" s="1">
        <v>41428</v>
      </c>
      <c r="I314">
        <v>69</v>
      </c>
      <c r="J314">
        <v>861</v>
      </c>
      <c r="K314">
        <v>138</v>
      </c>
      <c r="L314">
        <v>461</v>
      </c>
      <c r="M314">
        <v>60</v>
      </c>
      <c r="N314">
        <v>30</v>
      </c>
      <c r="O314">
        <v>61</v>
      </c>
      <c r="P314">
        <v>1</v>
      </c>
      <c r="Q314">
        <v>6</v>
      </c>
      <c r="R314">
        <v>5</v>
      </c>
      <c r="S314">
        <v>12</v>
      </c>
      <c r="T314">
        <v>3</v>
      </c>
      <c r="U314">
        <v>0</v>
      </c>
      <c r="V314">
        <v>1</v>
      </c>
      <c r="W314">
        <v>0</v>
      </c>
      <c r="X314">
        <v>1</v>
      </c>
      <c r="Y314">
        <v>0</v>
      </c>
      <c r="Z314">
        <v>0</v>
      </c>
      <c r="AA314">
        <v>3</v>
      </c>
      <c r="AB314">
        <v>11</v>
      </c>
      <c r="AC314">
        <v>0</v>
      </c>
    </row>
    <row r="315" spans="1:29" x14ac:dyDescent="0.3">
      <c r="A315">
        <v>6320</v>
      </c>
      <c r="B315">
        <v>1976</v>
      </c>
      <c r="C315" t="s">
        <v>34</v>
      </c>
      <c r="D315" t="s">
        <v>30</v>
      </c>
      <c r="E315">
        <v>70893</v>
      </c>
      <c r="F315">
        <v>0</v>
      </c>
      <c r="G315">
        <v>0</v>
      </c>
      <c r="H315" s="1">
        <v>41311</v>
      </c>
      <c r="I315">
        <v>42</v>
      </c>
      <c r="J315">
        <v>768</v>
      </c>
      <c r="K315">
        <v>44</v>
      </c>
      <c r="L315">
        <v>561</v>
      </c>
      <c r="M315">
        <v>77</v>
      </c>
      <c r="N315">
        <v>44</v>
      </c>
      <c r="O315">
        <v>14</v>
      </c>
      <c r="P315">
        <v>1</v>
      </c>
      <c r="Q315">
        <v>6</v>
      </c>
      <c r="R315">
        <v>6</v>
      </c>
      <c r="S315">
        <v>10</v>
      </c>
      <c r="T315">
        <v>3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3</v>
      </c>
      <c r="AB315">
        <v>11</v>
      </c>
      <c r="AC315">
        <v>0</v>
      </c>
    </row>
    <row r="316" spans="1:29" x14ac:dyDescent="0.3">
      <c r="A316">
        <v>3050</v>
      </c>
      <c r="B316">
        <v>1966</v>
      </c>
      <c r="C316" t="s">
        <v>29</v>
      </c>
      <c r="D316" t="s">
        <v>33</v>
      </c>
      <c r="E316">
        <v>54198</v>
      </c>
      <c r="F316">
        <v>1</v>
      </c>
      <c r="G316">
        <v>1</v>
      </c>
      <c r="H316" s="1">
        <v>41625</v>
      </c>
      <c r="I316">
        <v>13</v>
      </c>
      <c r="J316">
        <v>185</v>
      </c>
      <c r="K316">
        <v>0</v>
      </c>
      <c r="L316">
        <v>28</v>
      </c>
      <c r="M316">
        <v>3</v>
      </c>
      <c r="N316">
        <v>2</v>
      </c>
      <c r="O316">
        <v>17</v>
      </c>
      <c r="P316">
        <v>6</v>
      </c>
      <c r="Q316">
        <v>3</v>
      </c>
      <c r="R316">
        <v>1</v>
      </c>
      <c r="S316">
        <v>6</v>
      </c>
      <c r="T316">
        <v>4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3</v>
      </c>
      <c r="AB316">
        <v>11</v>
      </c>
      <c r="AC316">
        <v>0</v>
      </c>
    </row>
    <row r="317" spans="1:29" x14ac:dyDescent="0.3">
      <c r="A317">
        <v>231</v>
      </c>
      <c r="B317">
        <v>1956</v>
      </c>
      <c r="C317" t="s">
        <v>34</v>
      </c>
      <c r="D317" t="s">
        <v>31</v>
      </c>
      <c r="E317">
        <v>28839</v>
      </c>
      <c r="F317">
        <v>1</v>
      </c>
      <c r="G317">
        <v>1</v>
      </c>
      <c r="H317" s="1">
        <v>41709</v>
      </c>
      <c r="I317">
        <v>86</v>
      </c>
      <c r="J317">
        <v>24</v>
      </c>
      <c r="K317">
        <v>0</v>
      </c>
      <c r="L317">
        <v>7</v>
      </c>
      <c r="M317">
        <v>0</v>
      </c>
      <c r="N317">
        <v>0</v>
      </c>
      <c r="O317">
        <v>1</v>
      </c>
      <c r="P317">
        <v>2</v>
      </c>
      <c r="Q317">
        <v>2</v>
      </c>
      <c r="R317">
        <v>0</v>
      </c>
      <c r="S317">
        <v>3</v>
      </c>
      <c r="T317">
        <v>5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3</v>
      </c>
      <c r="AB317">
        <v>11</v>
      </c>
      <c r="AC317">
        <v>0</v>
      </c>
    </row>
    <row r="318" spans="1:29" x14ac:dyDescent="0.3">
      <c r="A318">
        <v>2392</v>
      </c>
      <c r="B318">
        <v>1972</v>
      </c>
      <c r="C318" t="s">
        <v>29</v>
      </c>
      <c r="D318" t="s">
        <v>33</v>
      </c>
      <c r="E318">
        <v>40321</v>
      </c>
      <c r="F318">
        <v>1</v>
      </c>
      <c r="G318">
        <v>1</v>
      </c>
      <c r="H318" s="1">
        <v>41484</v>
      </c>
      <c r="I318">
        <v>59</v>
      </c>
      <c r="J318">
        <v>44</v>
      </c>
      <c r="K318">
        <v>4</v>
      </c>
      <c r="L318">
        <v>21</v>
      </c>
      <c r="M318">
        <v>6</v>
      </c>
      <c r="N318">
        <v>0</v>
      </c>
      <c r="O318">
        <v>27</v>
      </c>
      <c r="P318">
        <v>2</v>
      </c>
      <c r="Q318">
        <v>3</v>
      </c>
      <c r="R318">
        <v>0</v>
      </c>
      <c r="S318">
        <v>3</v>
      </c>
      <c r="T318">
        <v>7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3</v>
      </c>
      <c r="AB318">
        <v>11</v>
      </c>
      <c r="AC318">
        <v>0</v>
      </c>
    </row>
    <row r="319" spans="1:29" x14ac:dyDescent="0.3">
      <c r="A319">
        <v>9478</v>
      </c>
      <c r="B319">
        <v>1985</v>
      </c>
      <c r="C319" t="s">
        <v>29</v>
      </c>
      <c r="D319" t="s">
        <v>30</v>
      </c>
      <c r="E319">
        <v>66503</v>
      </c>
      <c r="F319">
        <v>1</v>
      </c>
      <c r="G319">
        <v>0</v>
      </c>
      <c r="H319" s="1">
        <v>41135</v>
      </c>
      <c r="I319">
        <v>30</v>
      </c>
      <c r="J319">
        <v>91</v>
      </c>
      <c r="K319">
        <v>64</v>
      </c>
      <c r="L319">
        <v>128</v>
      </c>
      <c r="M319">
        <v>65</v>
      </c>
      <c r="N319">
        <v>3</v>
      </c>
      <c r="O319">
        <v>50</v>
      </c>
      <c r="P319">
        <v>2</v>
      </c>
      <c r="Q319">
        <v>4</v>
      </c>
      <c r="R319">
        <v>3</v>
      </c>
      <c r="S319">
        <v>6</v>
      </c>
      <c r="T319">
        <v>3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3</v>
      </c>
      <c r="AB319">
        <v>11</v>
      </c>
      <c r="AC319">
        <v>0</v>
      </c>
    </row>
    <row r="320" spans="1:29" x14ac:dyDescent="0.3">
      <c r="A320">
        <v>113</v>
      </c>
      <c r="B320">
        <v>1951</v>
      </c>
      <c r="C320" t="s">
        <v>29</v>
      </c>
      <c r="D320" t="s">
        <v>33</v>
      </c>
      <c r="E320">
        <v>30833</v>
      </c>
      <c r="F320">
        <v>1</v>
      </c>
      <c r="G320">
        <v>1</v>
      </c>
      <c r="H320" s="1">
        <v>41471</v>
      </c>
      <c r="I320">
        <v>33</v>
      </c>
      <c r="J320">
        <v>11</v>
      </c>
      <c r="K320">
        <v>0</v>
      </c>
      <c r="L320">
        <v>7</v>
      </c>
      <c r="M320">
        <v>3</v>
      </c>
      <c r="N320">
        <v>1</v>
      </c>
      <c r="O320">
        <v>6</v>
      </c>
      <c r="P320">
        <v>2</v>
      </c>
      <c r="Q320">
        <v>1</v>
      </c>
      <c r="R320">
        <v>0</v>
      </c>
      <c r="S320">
        <v>3</v>
      </c>
      <c r="T320">
        <v>5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3</v>
      </c>
      <c r="AB320">
        <v>11</v>
      </c>
      <c r="AC320">
        <v>0</v>
      </c>
    </row>
    <row r="321" spans="1:29" x14ac:dyDescent="0.3">
      <c r="A321">
        <v>2863</v>
      </c>
      <c r="B321">
        <v>1970</v>
      </c>
      <c r="C321" t="s">
        <v>29</v>
      </c>
      <c r="D321" t="s">
        <v>30</v>
      </c>
      <c r="F321">
        <v>1</v>
      </c>
      <c r="G321">
        <v>2</v>
      </c>
      <c r="H321" s="1">
        <v>41509</v>
      </c>
      <c r="I321">
        <v>67</v>
      </c>
      <c r="J321">
        <v>738</v>
      </c>
      <c r="K321">
        <v>20</v>
      </c>
      <c r="L321">
        <v>172</v>
      </c>
      <c r="M321">
        <v>52</v>
      </c>
      <c r="N321">
        <v>50</v>
      </c>
      <c r="O321">
        <v>20</v>
      </c>
      <c r="P321">
        <v>6</v>
      </c>
      <c r="Q321">
        <v>2</v>
      </c>
      <c r="R321">
        <v>3</v>
      </c>
      <c r="S321">
        <v>10</v>
      </c>
      <c r="T321">
        <v>7</v>
      </c>
      <c r="U321">
        <v>0</v>
      </c>
      <c r="V321">
        <v>1</v>
      </c>
      <c r="W321">
        <v>0</v>
      </c>
      <c r="X321">
        <v>1</v>
      </c>
      <c r="Y321">
        <v>0</v>
      </c>
      <c r="Z321">
        <v>0</v>
      </c>
      <c r="AA321">
        <v>3</v>
      </c>
      <c r="AB321">
        <v>11</v>
      </c>
      <c r="AC321">
        <v>0</v>
      </c>
    </row>
    <row r="322" spans="1:29" x14ac:dyDescent="0.3">
      <c r="A322">
        <v>1802</v>
      </c>
      <c r="B322">
        <v>1971</v>
      </c>
      <c r="C322" t="s">
        <v>29</v>
      </c>
      <c r="D322" t="s">
        <v>33</v>
      </c>
      <c r="E322">
        <v>64795</v>
      </c>
      <c r="F322">
        <v>0</v>
      </c>
      <c r="G322">
        <v>1</v>
      </c>
      <c r="H322" s="1">
        <v>41291</v>
      </c>
      <c r="I322">
        <v>23</v>
      </c>
      <c r="J322">
        <v>412</v>
      </c>
      <c r="K322">
        <v>5</v>
      </c>
      <c r="L322">
        <v>119</v>
      </c>
      <c r="M322">
        <v>38</v>
      </c>
      <c r="N322">
        <v>29</v>
      </c>
      <c r="O322">
        <v>77</v>
      </c>
      <c r="P322">
        <v>3</v>
      </c>
      <c r="Q322">
        <v>3</v>
      </c>
      <c r="R322">
        <v>3</v>
      </c>
      <c r="S322">
        <v>12</v>
      </c>
      <c r="T322">
        <v>2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3</v>
      </c>
      <c r="AB322">
        <v>11</v>
      </c>
      <c r="AC322">
        <v>0</v>
      </c>
    </row>
    <row r="323" spans="1:29" x14ac:dyDescent="0.3">
      <c r="A323">
        <v>520</v>
      </c>
      <c r="B323">
        <v>1974</v>
      </c>
      <c r="C323" t="s">
        <v>29</v>
      </c>
      <c r="D323" t="s">
        <v>33</v>
      </c>
      <c r="E323">
        <v>34421</v>
      </c>
      <c r="F323">
        <v>1</v>
      </c>
      <c r="G323">
        <v>0</v>
      </c>
      <c r="H323" s="1">
        <v>41456</v>
      </c>
      <c r="I323">
        <v>81</v>
      </c>
      <c r="J323">
        <v>3</v>
      </c>
      <c r="K323">
        <v>3</v>
      </c>
      <c r="L323">
        <v>7</v>
      </c>
      <c r="M323">
        <v>6</v>
      </c>
      <c r="N323">
        <v>2</v>
      </c>
      <c r="O323">
        <v>9</v>
      </c>
      <c r="P323">
        <v>1</v>
      </c>
      <c r="Q323">
        <v>1</v>
      </c>
      <c r="R323">
        <v>0</v>
      </c>
      <c r="S323">
        <v>2</v>
      </c>
      <c r="T323">
        <v>7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3</v>
      </c>
      <c r="AB323">
        <v>11</v>
      </c>
      <c r="AC323">
        <v>0</v>
      </c>
    </row>
    <row r="324" spans="1:29" x14ac:dyDescent="0.3">
      <c r="A324">
        <v>8275</v>
      </c>
      <c r="B324">
        <v>1965</v>
      </c>
      <c r="C324" t="s">
        <v>32</v>
      </c>
      <c r="D324" t="s">
        <v>35</v>
      </c>
      <c r="E324">
        <v>47025</v>
      </c>
      <c r="F324">
        <v>1</v>
      </c>
      <c r="G324">
        <v>1</v>
      </c>
      <c r="H324" s="1">
        <v>41679</v>
      </c>
      <c r="I324">
        <v>6</v>
      </c>
      <c r="J324">
        <v>16</v>
      </c>
      <c r="K324">
        <v>0</v>
      </c>
      <c r="L324">
        <v>3</v>
      </c>
      <c r="M324">
        <v>0</v>
      </c>
      <c r="N324">
        <v>0</v>
      </c>
      <c r="O324">
        <v>1</v>
      </c>
      <c r="P324">
        <v>1</v>
      </c>
      <c r="Q324">
        <v>1</v>
      </c>
      <c r="R324">
        <v>0</v>
      </c>
      <c r="S324">
        <v>2</v>
      </c>
      <c r="T324">
        <v>7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3</v>
      </c>
      <c r="AB324">
        <v>11</v>
      </c>
      <c r="AC324">
        <v>0</v>
      </c>
    </row>
    <row r="325" spans="1:29" x14ac:dyDescent="0.3">
      <c r="A325">
        <v>9750</v>
      </c>
      <c r="B325">
        <v>1961</v>
      </c>
      <c r="C325" t="s">
        <v>32</v>
      </c>
      <c r="D325" t="s">
        <v>35</v>
      </c>
      <c r="E325">
        <v>64325</v>
      </c>
      <c r="F325">
        <v>0</v>
      </c>
      <c r="G325">
        <v>1</v>
      </c>
      <c r="H325" s="1">
        <v>41312</v>
      </c>
      <c r="I325">
        <v>41</v>
      </c>
      <c r="J325">
        <v>731</v>
      </c>
      <c r="K325">
        <v>60</v>
      </c>
      <c r="L325">
        <v>353</v>
      </c>
      <c r="M325">
        <v>78</v>
      </c>
      <c r="N325">
        <v>12</v>
      </c>
      <c r="O325">
        <v>73</v>
      </c>
      <c r="P325">
        <v>5</v>
      </c>
      <c r="Q325">
        <v>10</v>
      </c>
      <c r="R325">
        <v>3</v>
      </c>
      <c r="S325">
        <v>5</v>
      </c>
      <c r="T325">
        <v>7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3</v>
      </c>
      <c r="AB325">
        <v>11</v>
      </c>
      <c r="AC325">
        <v>0</v>
      </c>
    </row>
    <row r="326" spans="1:29" x14ac:dyDescent="0.3">
      <c r="A326">
        <v>2607</v>
      </c>
      <c r="B326">
        <v>1953</v>
      </c>
      <c r="C326" t="s">
        <v>29</v>
      </c>
      <c r="D326" t="s">
        <v>30</v>
      </c>
      <c r="E326">
        <v>40464</v>
      </c>
      <c r="F326">
        <v>0</v>
      </c>
      <c r="G326">
        <v>1</v>
      </c>
      <c r="H326" s="1">
        <v>41285</v>
      </c>
      <c r="I326">
        <v>78</v>
      </c>
      <c r="J326">
        <v>424</v>
      </c>
      <c r="K326">
        <v>17</v>
      </c>
      <c r="L326">
        <v>118</v>
      </c>
      <c r="M326">
        <v>7</v>
      </c>
      <c r="N326">
        <v>23</v>
      </c>
      <c r="O326">
        <v>41</v>
      </c>
      <c r="P326">
        <v>6</v>
      </c>
      <c r="Q326">
        <v>8</v>
      </c>
      <c r="R326">
        <v>2</v>
      </c>
      <c r="S326">
        <v>8</v>
      </c>
      <c r="T326">
        <v>8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3</v>
      </c>
      <c r="AB326">
        <v>11</v>
      </c>
      <c r="AC326">
        <v>0</v>
      </c>
    </row>
    <row r="327" spans="1:29" x14ac:dyDescent="0.3">
      <c r="A327">
        <v>7214</v>
      </c>
      <c r="B327">
        <v>1957</v>
      </c>
      <c r="C327" t="s">
        <v>29</v>
      </c>
      <c r="D327" t="s">
        <v>33</v>
      </c>
      <c r="E327">
        <v>62187</v>
      </c>
      <c r="F327">
        <v>0</v>
      </c>
      <c r="G327">
        <v>0</v>
      </c>
      <c r="H327" s="1">
        <v>41460</v>
      </c>
      <c r="I327">
        <v>49</v>
      </c>
      <c r="J327">
        <v>792</v>
      </c>
      <c r="K327">
        <v>0</v>
      </c>
      <c r="L327">
        <v>275</v>
      </c>
      <c r="M327">
        <v>45</v>
      </c>
      <c r="N327">
        <v>45</v>
      </c>
      <c r="O327">
        <v>126</v>
      </c>
      <c r="P327">
        <v>1</v>
      </c>
      <c r="Q327">
        <v>4</v>
      </c>
      <c r="R327">
        <v>8</v>
      </c>
      <c r="S327">
        <v>5</v>
      </c>
      <c r="T327">
        <v>3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3</v>
      </c>
      <c r="AB327">
        <v>11</v>
      </c>
      <c r="AC327">
        <v>0</v>
      </c>
    </row>
    <row r="328" spans="1:29" x14ac:dyDescent="0.3">
      <c r="A328">
        <v>5835</v>
      </c>
      <c r="B328">
        <v>1976</v>
      </c>
      <c r="C328" t="s">
        <v>32</v>
      </c>
      <c r="D328" t="s">
        <v>35</v>
      </c>
      <c r="E328">
        <v>14849</v>
      </c>
      <c r="F328">
        <v>1</v>
      </c>
      <c r="G328">
        <v>0</v>
      </c>
      <c r="H328" s="1">
        <v>41457</v>
      </c>
      <c r="I328">
        <v>39</v>
      </c>
      <c r="J328">
        <v>21</v>
      </c>
      <c r="K328">
        <v>2</v>
      </c>
      <c r="L328">
        <v>28</v>
      </c>
      <c r="M328">
        <v>3</v>
      </c>
      <c r="N328">
        <v>2</v>
      </c>
      <c r="O328">
        <v>9</v>
      </c>
      <c r="P328">
        <v>3</v>
      </c>
      <c r="Q328">
        <v>2</v>
      </c>
      <c r="R328">
        <v>0</v>
      </c>
      <c r="S328">
        <v>4</v>
      </c>
      <c r="T328">
        <v>8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3</v>
      </c>
      <c r="AB328">
        <v>11</v>
      </c>
      <c r="AC328">
        <v>0</v>
      </c>
    </row>
    <row r="329" spans="1:29" x14ac:dyDescent="0.3">
      <c r="A329">
        <v>3896</v>
      </c>
      <c r="B329">
        <v>1984</v>
      </c>
      <c r="C329" t="s">
        <v>29</v>
      </c>
      <c r="D329" t="s">
        <v>33</v>
      </c>
      <c r="E329">
        <v>27255</v>
      </c>
      <c r="F329">
        <v>1</v>
      </c>
      <c r="G329">
        <v>0</v>
      </c>
      <c r="H329" s="1">
        <v>41585</v>
      </c>
      <c r="I329">
        <v>3</v>
      </c>
      <c r="J329">
        <v>22</v>
      </c>
      <c r="K329">
        <v>1</v>
      </c>
      <c r="L329">
        <v>11</v>
      </c>
      <c r="M329">
        <v>0</v>
      </c>
      <c r="N329">
        <v>1</v>
      </c>
      <c r="O329">
        <v>2</v>
      </c>
      <c r="P329">
        <v>1</v>
      </c>
      <c r="Q329">
        <v>1</v>
      </c>
      <c r="R329">
        <v>0</v>
      </c>
      <c r="S329">
        <v>3</v>
      </c>
      <c r="T329">
        <v>7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3</v>
      </c>
      <c r="AB329">
        <v>11</v>
      </c>
      <c r="AC329">
        <v>0</v>
      </c>
    </row>
    <row r="330" spans="1:29" x14ac:dyDescent="0.3">
      <c r="A330">
        <v>10350</v>
      </c>
      <c r="B330">
        <v>1950</v>
      </c>
      <c r="C330" t="s">
        <v>32</v>
      </c>
      <c r="D330" t="s">
        <v>33</v>
      </c>
      <c r="E330">
        <v>54432</v>
      </c>
      <c r="F330">
        <v>2</v>
      </c>
      <c r="G330">
        <v>1</v>
      </c>
      <c r="H330" s="1">
        <v>41403</v>
      </c>
      <c r="I330">
        <v>37</v>
      </c>
      <c r="J330">
        <v>33</v>
      </c>
      <c r="K330">
        <v>0</v>
      </c>
      <c r="L330">
        <v>5</v>
      </c>
      <c r="M330">
        <v>0</v>
      </c>
      <c r="N330">
        <v>0</v>
      </c>
      <c r="O330">
        <v>0</v>
      </c>
      <c r="P330">
        <v>1</v>
      </c>
      <c r="Q330">
        <v>1</v>
      </c>
      <c r="R330">
        <v>0</v>
      </c>
      <c r="S330">
        <v>3</v>
      </c>
      <c r="T330">
        <v>4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3</v>
      </c>
      <c r="AB330">
        <v>11</v>
      </c>
      <c r="AC330">
        <v>0</v>
      </c>
    </row>
    <row r="331" spans="1:29" x14ac:dyDescent="0.3">
      <c r="A331">
        <v>7786</v>
      </c>
      <c r="B331">
        <v>1986</v>
      </c>
      <c r="C331" t="s">
        <v>32</v>
      </c>
      <c r="D331" t="s">
        <v>30</v>
      </c>
      <c r="E331">
        <v>29999</v>
      </c>
      <c r="F331">
        <v>1</v>
      </c>
      <c r="G331">
        <v>0</v>
      </c>
      <c r="H331" s="1">
        <v>41318</v>
      </c>
      <c r="I331">
        <v>22</v>
      </c>
      <c r="J331">
        <v>68</v>
      </c>
      <c r="K331">
        <v>7</v>
      </c>
      <c r="L331">
        <v>59</v>
      </c>
      <c r="M331">
        <v>10</v>
      </c>
      <c r="N331">
        <v>5</v>
      </c>
      <c r="O331">
        <v>11</v>
      </c>
      <c r="P331">
        <v>4</v>
      </c>
      <c r="Q331">
        <v>3</v>
      </c>
      <c r="R331">
        <v>1</v>
      </c>
      <c r="S331">
        <v>4</v>
      </c>
      <c r="T331">
        <v>8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3</v>
      </c>
      <c r="AB331">
        <v>11</v>
      </c>
      <c r="AC331">
        <v>0</v>
      </c>
    </row>
    <row r="332" spans="1:29" x14ac:dyDescent="0.3">
      <c r="A332">
        <v>2861</v>
      </c>
      <c r="B332">
        <v>1983</v>
      </c>
      <c r="C332" t="s">
        <v>29</v>
      </c>
      <c r="D332" t="s">
        <v>30</v>
      </c>
      <c r="E332">
        <v>24072</v>
      </c>
      <c r="F332">
        <v>1</v>
      </c>
      <c r="G332">
        <v>0</v>
      </c>
      <c r="H332" s="1">
        <v>41380</v>
      </c>
      <c r="I332">
        <v>79</v>
      </c>
      <c r="J332">
        <v>9</v>
      </c>
      <c r="K332">
        <v>1</v>
      </c>
      <c r="L332">
        <v>6</v>
      </c>
      <c r="M332">
        <v>3</v>
      </c>
      <c r="N332">
        <v>0</v>
      </c>
      <c r="O332">
        <v>4</v>
      </c>
      <c r="P332">
        <v>1</v>
      </c>
      <c r="Q332">
        <v>1</v>
      </c>
      <c r="R332">
        <v>0</v>
      </c>
      <c r="S332">
        <v>2</v>
      </c>
      <c r="T332">
        <v>8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3</v>
      </c>
      <c r="AB332">
        <v>11</v>
      </c>
      <c r="AC332">
        <v>0</v>
      </c>
    </row>
    <row r="333" spans="1:29" x14ac:dyDescent="0.3">
      <c r="A333">
        <v>663</v>
      </c>
      <c r="B333">
        <v>1989</v>
      </c>
      <c r="C333" t="s">
        <v>32</v>
      </c>
      <c r="D333" t="s">
        <v>30</v>
      </c>
      <c r="E333">
        <v>33996</v>
      </c>
      <c r="F333">
        <v>0</v>
      </c>
      <c r="G333">
        <v>0</v>
      </c>
      <c r="H333" s="1">
        <v>41528</v>
      </c>
      <c r="I333">
        <v>46</v>
      </c>
      <c r="J333">
        <v>40</v>
      </c>
      <c r="K333">
        <v>2</v>
      </c>
      <c r="L333">
        <v>15</v>
      </c>
      <c r="M333">
        <v>8</v>
      </c>
      <c r="N333">
        <v>0</v>
      </c>
      <c r="O333">
        <v>6</v>
      </c>
      <c r="P333">
        <v>1</v>
      </c>
      <c r="Q333">
        <v>1</v>
      </c>
      <c r="R333">
        <v>1</v>
      </c>
      <c r="S333">
        <v>3</v>
      </c>
      <c r="T333">
        <v>4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3</v>
      </c>
      <c r="AB333">
        <v>11</v>
      </c>
      <c r="AC333">
        <v>0</v>
      </c>
    </row>
    <row r="334" spans="1:29" x14ac:dyDescent="0.3">
      <c r="A334">
        <v>10675</v>
      </c>
      <c r="B334">
        <v>1956</v>
      </c>
      <c r="C334" t="s">
        <v>32</v>
      </c>
      <c r="D334" t="s">
        <v>33</v>
      </c>
      <c r="E334">
        <v>66334</v>
      </c>
      <c r="F334">
        <v>0</v>
      </c>
      <c r="G334">
        <v>1</v>
      </c>
      <c r="H334" s="1">
        <v>41367</v>
      </c>
      <c r="I334">
        <v>82</v>
      </c>
      <c r="J334">
        <v>909</v>
      </c>
      <c r="K334">
        <v>11</v>
      </c>
      <c r="L334">
        <v>218</v>
      </c>
      <c r="M334">
        <v>0</v>
      </c>
      <c r="N334">
        <v>0</v>
      </c>
      <c r="O334">
        <v>23</v>
      </c>
      <c r="P334">
        <v>2</v>
      </c>
      <c r="Q334">
        <v>9</v>
      </c>
      <c r="R334">
        <v>3</v>
      </c>
      <c r="S334">
        <v>5</v>
      </c>
      <c r="T334">
        <v>5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3</v>
      </c>
      <c r="AB334">
        <v>11</v>
      </c>
      <c r="AC334">
        <v>1</v>
      </c>
    </row>
    <row r="335" spans="1:29" x14ac:dyDescent="0.3">
      <c r="A335">
        <v>2521</v>
      </c>
      <c r="B335">
        <v>1971</v>
      </c>
      <c r="C335" t="s">
        <v>34</v>
      </c>
      <c r="D335" t="s">
        <v>33</v>
      </c>
      <c r="E335">
        <v>35178</v>
      </c>
      <c r="F335">
        <v>1</v>
      </c>
      <c r="G335">
        <v>0</v>
      </c>
      <c r="H335" s="1">
        <v>41284</v>
      </c>
      <c r="I335">
        <v>10</v>
      </c>
      <c r="J335">
        <v>23</v>
      </c>
      <c r="K335">
        <v>1</v>
      </c>
      <c r="L335">
        <v>13</v>
      </c>
      <c r="M335">
        <v>2</v>
      </c>
      <c r="N335">
        <v>2</v>
      </c>
      <c r="O335">
        <v>18</v>
      </c>
      <c r="P335">
        <v>1</v>
      </c>
      <c r="Q335">
        <v>1</v>
      </c>
      <c r="R335">
        <v>1</v>
      </c>
      <c r="S335">
        <v>2</v>
      </c>
      <c r="T335">
        <v>7</v>
      </c>
      <c r="U335">
        <v>1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3</v>
      </c>
      <c r="AB335">
        <v>11</v>
      </c>
      <c r="AC335">
        <v>1</v>
      </c>
    </row>
    <row r="336" spans="1:29" x14ac:dyDescent="0.3">
      <c r="A336">
        <v>9592</v>
      </c>
      <c r="B336">
        <v>1983</v>
      </c>
      <c r="C336" t="s">
        <v>29</v>
      </c>
      <c r="D336" t="s">
        <v>31</v>
      </c>
      <c r="E336">
        <v>22010</v>
      </c>
      <c r="F336">
        <v>1</v>
      </c>
      <c r="G336">
        <v>0</v>
      </c>
      <c r="H336" s="1">
        <v>41455</v>
      </c>
      <c r="I336">
        <v>51</v>
      </c>
      <c r="J336">
        <v>11</v>
      </c>
      <c r="K336">
        <v>2</v>
      </c>
      <c r="L336">
        <v>9</v>
      </c>
      <c r="M336">
        <v>3</v>
      </c>
      <c r="N336">
        <v>0</v>
      </c>
      <c r="O336">
        <v>8</v>
      </c>
      <c r="P336">
        <v>2</v>
      </c>
      <c r="Q336">
        <v>2</v>
      </c>
      <c r="R336">
        <v>0</v>
      </c>
      <c r="S336">
        <v>3</v>
      </c>
      <c r="T336">
        <v>8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3</v>
      </c>
      <c r="AB336">
        <v>11</v>
      </c>
      <c r="AC336">
        <v>0</v>
      </c>
    </row>
    <row r="337" spans="1:29" x14ac:dyDescent="0.3">
      <c r="A337">
        <v>10151</v>
      </c>
      <c r="B337">
        <v>1960</v>
      </c>
      <c r="C337" t="s">
        <v>29</v>
      </c>
      <c r="D337" t="s">
        <v>35</v>
      </c>
      <c r="E337">
        <v>62204</v>
      </c>
      <c r="F337">
        <v>0</v>
      </c>
      <c r="G337">
        <v>2</v>
      </c>
      <c r="H337" s="1">
        <v>41164</v>
      </c>
      <c r="I337">
        <v>38</v>
      </c>
      <c r="J337">
        <v>317</v>
      </c>
      <c r="K337">
        <v>46</v>
      </c>
      <c r="L337">
        <v>247</v>
      </c>
      <c r="M337">
        <v>151</v>
      </c>
      <c r="N337">
        <v>46</v>
      </c>
      <c r="O337">
        <v>139</v>
      </c>
      <c r="P337">
        <v>1</v>
      </c>
      <c r="Q337">
        <v>4</v>
      </c>
      <c r="R337">
        <v>5</v>
      </c>
      <c r="S337">
        <v>12</v>
      </c>
      <c r="T337">
        <v>3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3</v>
      </c>
      <c r="AB337">
        <v>11</v>
      </c>
      <c r="AC337">
        <v>0</v>
      </c>
    </row>
    <row r="338" spans="1:29" x14ac:dyDescent="0.3">
      <c r="A338">
        <v>7381</v>
      </c>
      <c r="B338">
        <v>1968</v>
      </c>
      <c r="C338" t="s">
        <v>29</v>
      </c>
      <c r="D338" t="s">
        <v>35</v>
      </c>
      <c r="E338">
        <v>75693</v>
      </c>
      <c r="F338">
        <v>0</v>
      </c>
      <c r="G338">
        <v>0</v>
      </c>
      <c r="H338" s="1">
        <v>41249</v>
      </c>
      <c r="I338">
        <v>10</v>
      </c>
      <c r="J338">
        <v>797</v>
      </c>
      <c r="K338">
        <v>153</v>
      </c>
      <c r="L338">
        <v>293</v>
      </c>
      <c r="M338">
        <v>72</v>
      </c>
      <c r="N338">
        <v>97</v>
      </c>
      <c r="O338">
        <v>30</v>
      </c>
      <c r="P338">
        <v>1</v>
      </c>
      <c r="Q338">
        <v>11</v>
      </c>
      <c r="R338">
        <v>4</v>
      </c>
      <c r="S338">
        <v>6</v>
      </c>
      <c r="T338">
        <v>4</v>
      </c>
      <c r="U338">
        <v>0</v>
      </c>
      <c r="V338">
        <v>1</v>
      </c>
      <c r="W338">
        <v>1</v>
      </c>
      <c r="X338">
        <v>1</v>
      </c>
      <c r="Y338">
        <v>0</v>
      </c>
      <c r="Z338">
        <v>0</v>
      </c>
      <c r="AA338">
        <v>3</v>
      </c>
      <c r="AB338">
        <v>11</v>
      </c>
      <c r="AC338">
        <v>1</v>
      </c>
    </row>
    <row r="339" spans="1:29" x14ac:dyDescent="0.3">
      <c r="A339">
        <v>4099</v>
      </c>
      <c r="B339">
        <v>1972</v>
      </c>
      <c r="C339" t="s">
        <v>29</v>
      </c>
      <c r="D339" t="s">
        <v>33</v>
      </c>
      <c r="E339">
        <v>30675</v>
      </c>
      <c r="F339">
        <v>1</v>
      </c>
      <c r="G339">
        <v>0</v>
      </c>
      <c r="H339" s="1">
        <v>41225</v>
      </c>
      <c r="I339">
        <v>14</v>
      </c>
      <c r="J339">
        <v>10</v>
      </c>
      <c r="K339">
        <v>2</v>
      </c>
      <c r="L339">
        <v>16</v>
      </c>
      <c r="M339">
        <v>11</v>
      </c>
      <c r="N339">
        <v>2</v>
      </c>
      <c r="O339">
        <v>21</v>
      </c>
      <c r="P339">
        <v>1</v>
      </c>
      <c r="Q339">
        <v>1</v>
      </c>
      <c r="R339">
        <v>0</v>
      </c>
      <c r="S339">
        <v>3</v>
      </c>
      <c r="T339">
        <v>8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3</v>
      </c>
      <c r="AB339">
        <v>11</v>
      </c>
      <c r="AC339">
        <v>0</v>
      </c>
    </row>
    <row r="340" spans="1:29" x14ac:dyDescent="0.3">
      <c r="A340">
        <v>9560</v>
      </c>
      <c r="B340">
        <v>1965</v>
      </c>
      <c r="C340" t="s">
        <v>29</v>
      </c>
      <c r="D340" t="s">
        <v>31</v>
      </c>
      <c r="E340">
        <v>83003</v>
      </c>
      <c r="F340">
        <v>0</v>
      </c>
      <c r="G340">
        <v>0</v>
      </c>
      <c r="H340" s="1">
        <v>41336</v>
      </c>
      <c r="I340">
        <v>18</v>
      </c>
      <c r="J340">
        <v>856</v>
      </c>
      <c r="K340">
        <v>61</v>
      </c>
      <c r="L340">
        <v>570</v>
      </c>
      <c r="M340">
        <v>40</v>
      </c>
      <c r="N340">
        <v>25</v>
      </c>
      <c r="O340">
        <v>122</v>
      </c>
      <c r="P340">
        <v>1</v>
      </c>
      <c r="Q340">
        <v>7</v>
      </c>
      <c r="R340">
        <v>6</v>
      </c>
      <c r="S340">
        <v>8</v>
      </c>
      <c r="T340">
        <v>3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>
        <v>3</v>
      </c>
      <c r="AB340">
        <v>11</v>
      </c>
      <c r="AC340">
        <v>1</v>
      </c>
    </row>
    <row r="341" spans="1:29" x14ac:dyDescent="0.3">
      <c r="A341">
        <v>1150</v>
      </c>
      <c r="B341">
        <v>1899</v>
      </c>
      <c r="C341" t="s">
        <v>32</v>
      </c>
      <c r="D341" t="s">
        <v>31</v>
      </c>
      <c r="E341">
        <v>83532</v>
      </c>
      <c r="F341">
        <v>0</v>
      </c>
      <c r="G341">
        <v>0</v>
      </c>
      <c r="H341" s="1">
        <v>41543</v>
      </c>
      <c r="I341">
        <v>36</v>
      </c>
      <c r="J341">
        <v>755</v>
      </c>
      <c r="K341">
        <v>144</v>
      </c>
      <c r="L341">
        <v>562</v>
      </c>
      <c r="M341">
        <v>104</v>
      </c>
      <c r="N341">
        <v>64</v>
      </c>
      <c r="O341">
        <v>224</v>
      </c>
      <c r="P341">
        <v>1</v>
      </c>
      <c r="Q341">
        <v>4</v>
      </c>
      <c r="R341">
        <v>6</v>
      </c>
      <c r="S341">
        <v>4</v>
      </c>
      <c r="T341">
        <v>1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>
        <v>3</v>
      </c>
      <c r="AB341">
        <v>11</v>
      </c>
      <c r="AC341">
        <v>0</v>
      </c>
    </row>
    <row r="342" spans="1:29" x14ac:dyDescent="0.3">
      <c r="A342">
        <v>10172</v>
      </c>
      <c r="B342">
        <v>1988</v>
      </c>
      <c r="C342" t="s">
        <v>29</v>
      </c>
      <c r="D342" t="s">
        <v>30</v>
      </c>
      <c r="E342">
        <v>68655</v>
      </c>
      <c r="F342">
        <v>0</v>
      </c>
      <c r="G342">
        <v>0</v>
      </c>
      <c r="H342" s="1">
        <v>41131</v>
      </c>
      <c r="I342">
        <v>95</v>
      </c>
      <c r="J342">
        <v>456</v>
      </c>
      <c r="K342">
        <v>19</v>
      </c>
      <c r="L342">
        <v>832</v>
      </c>
      <c r="M342">
        <v>75</v>
      </c>
      <c r="N342">
        <v>118</v>
      </c>
      <c r="O342">
        <v>38</v>
      </c>
      <c r="P342">
        <v>1</v>
      </c>
      <c r="Q342">
        <v>4</v>
      </c>
      <c r="R342">
        <v>5</v>
      </c>
      <c r="S342">
        <v>11</v>
      </c>
      <c r="T342">
        <v>3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3</v>
      </c>
      <c r="AB342">
        <v>11</v>
      </c>
      <c r="AC342">
        <v>0</v>
      </c>
    </row>
    <row r="343" spans="1:29" x14ac:dyDescent="0.3">
      <c r="A343">
        <v>11191</v>
      </c>
      <c r="B343">
        <v>1986</v>
      </c>
      <c r="C343" t="s">
        <v>29</v>
      </c>
      <c r="D343" t="s">
        <v>35</v>
      </c>
      <c r="E343">
        <v>41411</v>
      </c>
      <c r="F343">
        <v>0</v>
      </c>
      <c r="G343">
        <v>0</v>
      </c>
      <c r="H343" s="1">
        <v>41615</v>
      </c>
      <c r="I343">
        <v>11</v>
      </c>
      <c r="J343">
        <v>37</v>
      </c>
      <c r="K343">
        <v>32</v>
      </c>
      <c r="L343">
        <v>38</v>
      </c>
      <c r="M343">
        <v>11</v>
      </c>
      <c r="N343">
        <v>3</v>
      </c>
      <c r="O343">
        <v>18</v>
      </c>
      <c r="P343">
        <v>1</v>
      </c>
      <c r="Q343">
        <v>2</v>
      </c>
      <c r="R343">
        <v>1</v>
      </c>
      <c r="S343">
        <v>4</v>
      </c>
      <c r="T343">
        <v>6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3</v>
      </c>
      <c r="AB343">
        <v>11</v>
      </c>
      <c r="AC343">
        <v>0</v>
      </c>
    </row>
    <row r="344" spans="1:29" x14ac:dyDescent="0.3">
      <c r="A344">
        <v>9707</v>
      </c>
      <c r="B344">
        <v>1969</v>
      </c>
      <c r="C344" t="s">
        <v>32</v>
      </c>
      <c r="D344" t="s">
        <v>33</v>
      </c>
      <c r="E344">
        <v>55212</v>
      </c>
      <c r="F344">
        <v>0</v>
      </c>
      <c r="G344">
        <v>1</v>
      </c>
      <c r="H344" s="1">
        <v>41236</v>
      </c>
      <c r="I344">
        <v>65</v>
      </c>
      <c r="J344">
        <v>1103</v>
      </c>
      <c r="K344">
        <v>0</v>
      </c>
      <c r="L344">
        <v>45</v>
      </c>
      <c r="M344">
        <v>0</v>
      </c>
      <c r="N344">
        <v>0</v>
      </c>
      <c r="O344">
        <v>34</v>
      </c>
      <c r="P344">
        <v>3</v>
      </c>
      <c r="Q344">
        <v>4</v>
      </c>
      <c r="R344">
        <v>2</v>
      </c>
      <c r="S344">
        <v>11</v>
      </c>
      <c r="T344">
        <v>8</v>
      </c>
      <c r="U344">
        <v>0</v>
      </c>
      <c r="V344">
        <v>1</v>
      </c>
      <c r="W344">
        <v>0</v>
      </c>
      <c r="X344">
        <v>0</v>
      </c>
      <c r="Y344">
        <v>1</v>
      </c>
      <c r="Z344">
        <v>0</v>
      </c>
      <c r="AA344">
        <v>3</v>
      </c>
      <c r="AB344">
        <v>11</v>
      </c>
      <c r="AC344">
        <v>0</v>
      </c>
    </row>
    <row r="345" spans="1:29" x14ac:dyDescent="0.3">
      <c r="A345">
        <v>6245</v>
      </c>
      <c r="B345">
        <v>1950</v>
      </c>
      <c r="C345" t="s">
        <v>32</v>
      </c>
      <c r="D345" t="s">
        <v>31</v>
      </c>
      <c r="E345">
        <v>59292</v>
      </c>
      <c r="F345">
        <v>0</v>
      </c>
      <c r="G345">
        <v>1</v>
      </c>
      <c r="H345" s="1">
        <v>41438</v>
      </c>
      <c r="I345">
        <v>71</v>
      </c>
      <c r="J345">
        <v>378</v>
      </c>
      <c r="K345">
        <v>14</v>
      </c>
      <c r="L345">
        <v>68</v>
      </c>
      <c r="M345">
        <v>19</v>
      </c>
      <c r="N345">
        <v>14</v>
      </c>
      <c r="O345">
        <v>14</v>
      </c>
      <c r="P345">
        <v>2</v>
      </c>
      <c r="Q345">
        <v>3</v>
      </c>
      <c r="R345">
        <v>5</v>
      </c>
      <c r="S345">
        <v>8</v>
      </c>
      <c r="T345">
        <v>3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3</v>
      </c>
      <c r="AB345">
        <v>11</v>
      </c>
      <c r="AC345">
        <v>0</v>
      </c>
    </row>
    <row r="346" spans="1:29" x14ac:dyDescent="0.3">
      <c r="A346">
        <v>8234</v>
      </c>
      <c r="B346">
        <v>1973</v>
      </c>
      <c r="C346" t="s">
        <v>36</v>
      </c>
      <c r="D346" t="s">
        <v>31</v>
      </c>
      <c r="E346">
        <v>27190</v>
      </c>
      <c r="F346">
        <v>1</v>
      </c>
      <c r="G346">
        <v>0</v>
      </c>
      <c r="H346" s="1">
        <v>41501</v>
      </c>
      <c r="I346">
        <v>13</v>
      </c>
      <c r="J346">
        <v>1</v>
      </c>
      <c r="K346">
        <v>6</v>
      </c>
      <c r="L346">
        <v>7</v>
      </c>
      <c r="M346">
        <v>0</v>
      </c>
      <c r="N346">
        <v>1</v>
      </c>
      <c r="O346">
        <v>3</v>
      </c>
      <c r="P346">
        <v>1</v>
      </c>
      <c r="Q346">
        <v>1</v>
      </c>
      <c r="R346">
        <v>0</v>
      </c>
      <c r="S346">
        <v>2</v>
      </c>
      <c r="T346">
        <v>8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3</v>
      </c>
      <c r="AB346">
        <v>11</v>
      </c>
      <c r="AC346">
        <v>1</v>
      </c>
    </row>
    <row r="347" spans="1:29" x14ac:dyDescent="0.3">
      <c r="A347">
        <v>1411</v>
      </c>
      <c r="B347">
        <v>1952</v>
      </c>
      <c r="C347" t="s">
        <v>29</v>
      </c>
      <c r="D347" t="s">
        <v>35</v>
      </c>
      <c r="E347">
        <v>82623</v>
      </c>
      <c r="F347">
        <v>0</v>
      </c>
      <c r="G347">
        <v>0</v>
      </c>
      <c r="H347" s="1">
        <v>41588</v>
      </c>
      <c r="I347">
        <v>58</v>
      </c>
      <c r="J347">
        <v>204</v>
      </c>
      <c r="K347">
        <v>34</v>
      </c>
      <c r="L347">
        <v>204</v>
      </c>
      <c r="M347">
        <v>172</v>
      </c>
      <c r="N347">
        <v>153</v>
      </c>
      <c r="O347">
        <v>173</v>
      </c>
      <c r="P347">
        <v>1</v>
      </c>
      <c r="Q347">
        <v>2</v>
      </c>
      <c r="R347">
        <v>9</v>
      </c>
      <c r="S347">
        <v>4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3</v>
      </c>
      <c r="AB347">
        <v>11</v>
      </c>
      <c r="AC347">
        <v>0</v>
      </c>
    </row>
    <row r="348" spans="1:29" x14ac:dyDescent="0.3">
      <c r="A348">
        <v>8553</v>
      </c>
      <c r="B348">
        <v>1965</v>
      </c>
      <c r="C348" t="s">
        <v>29</v>
      </c>
      <c r="D348" t="s">
        <v>33</v>
      </c>
      <c r="E348">
        <v>44300</v>
      </c>
      <c r="F348">
        <v>1</v>
      </c>
      <c r="G348">
        <v>1</v>
      </c>
      <c r="H348" s="1">
        <v>41448</v>
      </c>
      <c r="I348">
        <v>65</v>
      </c>
      <c r="J348">
        <v>30</v>
      </c>
      <c r="K348">
        <v>0</v>
      </c>
      <c r="L348">
        <v>9</v>
      </c>
      <c r="M348">
        <v>0</v>
      </c>
      <c r="N348">
        <v>0</v>
      </c>
      <c r="O348">
        <v>3</v>
      </c>
      <c r="P348">
        <v>2</v>
      </c>
      <c r="Q348">
        <v>1</v>
      </c>
      <c r="R348">
        <v>0</v>
      </c>
      <c r="S348">
        <v>3</v>
      </c>
      <c r="T348">
        <v>6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3</v>
      </c>
      <c r="AB348">
        <v>11</v>
      </c>
      <c r="AC348">
        <v>0</v>
      </c>
    </row>
    <row r="349" spans="1:29" x14ac:dyDescent="0.3">
      <c r="A349">
        <v>1826</v>
      </c>
      <c r="B349">
        <v>1970</v>
      </c>
      <c r="C349" t="s">
        <v>29</v>
      </c>
      <c r="D349" t="s">
        <v>35</v>
      </c>
      <c r="E349">
        <v>84835</v>
      </c>
      <c r="F349">
        <v>0</v>
      </c>
      <c r="G349">
        <v>0</v>
      </c>
      <c r="H349" s="1">
        <v>41806</v>
      </c>
      <c r="I349">
        <v>0</v>
      </c>
      <c r="J349">
        <v>189</v>
      </c>
      <c r="K349">
        <v>104</v>
      </c>
      <c r="L349">
        <v>379</v>
      </c>
      <c r="M349">
        <v>111</v>
      </c>
      <c r="N349">
        <v>189</v>
      </c>
      <c r="O349">
        <v>218</v>
      </c>
      <c r="P349">
        <v>1</v>
      </c>
      <c r="Q349">
        <v>4</v>
      </c>
      <c r="R349">
        <v>4</v>
      </c>
      <c r="S349">
        <v>6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3</v>
      </c>
      <c r="AB349">
        <v>11</v>
      </c>
      <c r="AC349">
        <v>1</v>
      </c>
    </row>
    <row r="350" spans="1:29" x14ac:dyDescent="0.3">
      <c r="A350">
        <v>8842</v>
      </c>
      <c r="B350">
        <v>1971</v>
      </c>
      <c r="C350" t="s">
        <v>29</v>
      </c>
      <c r="D350" t="s">
        <v>38</v>
      </c>
      <c r="E350">
        <v>30372</v>
      </c>
      <c r="F350">
        <v>1</v>
      </c>
      <c r="G350">
        <v>1</v>
      </c>
      <c r="H350" s="1">
        <v>41268</v>
      </c>
      <c r="I350">
        <v>33</v>
      </c>
      <c r="J350">
        <v>15</v>
      </c>
      <c r="K350">
        <v>0</v>
      </c>
      <c r="L350">
        <v>12</v>
      </c>
      <c r="M350">
        <v>7</v>
      </c>
      <c r="N350">
        <v>3</v>
      </c>
      <c r="O350">
        <v>7</v>
      </c>
      <c r="P350">
        <v>3</v>
      </c>
      <c r="Q350">
        <v>2</v>
      </c>
      <c r="R350">
        <v>0</v>
      </c>
      <c r="S350">
        <v>3</v>
      </c>
      <c r="T350">
        <v>7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3</v>
      </c>
      <c r="AB350">
        <v>11</v>
      </c>
      <c r="AC350">
        <v>0</v>
      </c>
    </row>
    <row r="351" spans="1:29" x14ac:dyDescent="0.3">
      <c r="A351">
        <v>11030</v>
      </c>
      <c r="B351">
        <v>1976</v>
      </c>
      <c r="C351" t="s">
        <v>34</v>
      </c>
      <c r="D351" t="s">
        <v>33</v>
      </c>
      <c r="E351">
        <v>33181</v>
      </c>
      <c r="F351">
        <v>1</v>
      </c>
      <c r="G351">
        <v>0</v>
      </c>
      <c r="H351" s="1">
        <v>41642</v>
      </c>
      <c r="I351">
        <v>90</v>
      </c>
      <c r="J351">
        <v>9</v>
      </c>
      <c r="K351">
        <v>0</v>
      </c>
      <c r="L351">
        <v>3</v>
      </c>
      <c r="M351">
        <v>0</v>
      </c>
      <c r="N351">
        <v>0</v>
      </c>
      <c r="O351">
        <v>4</v>
      </c>
      <c r="P351">
        <v>1</v>
      </c>
      <c r="Q351">
        <v>1</v>
      </c>
      <c r="R351">
        <v>0</v>
      </c>
      <c r="S351">
        <v>2</v>
      </c>
      <c r="T351">
        <v>6</v>
      </c>
      <c r="U351">
        <v>1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3</v>
      </c>
      <c r="AB351">
        <v>11</v>
      </c>
      <c r="AC351">
        <v>0</v>
      </c>
    </row>
    <row r="352" spans="1:29" x14ac:dyDescent="0.3">
      <c r="A352">
        <v>2579</v>
      </c>
      <c r="B352">
        <v>1957</v>
      </c>
      <c r="C352" t="s">
        <v>29</v>
      </c>
      <c r="D352" t="s">
        <v>33</v>
      </c>
      <c r="E352">
        <v>71113</v>
      </c>
      <c r="F352">
        <v>0</v>
      </c>
      <c r="G352">
        <v>1</v>
      </c>
      <c r="H352" s="1">
        <v>41625</v>
      </c>
      <c r="I352">
        <v>95</v>
      </c>
      <c r="J352">
        <v>495</v>
      </c>
      <c r="K352">
        <v>33</v>
      </c>
      <c r="L352">
        <v>255</v>
      </c>
      <c r="M352">
        <v>11</v>
      </c>
      <c r="N352">
        <v>33</v>
      </c>
      <c r="O352">
        <v>8</v>
      </c>
      <c r="P352">
        <v>4</v>
      </c>
      <c r="Q352">
        <v>6</v>
      </c>
      <c r="R352">
        <v>7</v>
      </c>
      <c r="S352">
        <v>9</v>
      </c>
      <c r="T352">
        <v>4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3</v>
      </c>
      <c r="AB352">
        <v>11</v>
      </c>
      <c r="AC352">
        <v>0</v>
      </c>
    </row>
    <row r="353" spans="1:29" x14ac:dyDescent="0.3">
      <c r="A353">
        <v>175</v>
      </c>
      <c r="B353">
        <v>1986</v>
      </c>
      <c r="C353" t="s">
        <v>29</v>
      </c>
      <c r="D353" t="s">
        <v>33</v>
      </c>
      <c r="E353">
        <v>71952</v>
      </c>
      <c r="F353">
        <v>1</v>
      </c>
      <c r="G353">
        <v>0</v>
      </c>
      <c r="H353" s="1">
        <v>41284</v>
      </c>
      <c r="I353">
        <v>93</v>
      </c>
      <c r="J353">
        <v>656</v>
      </c>
      <c r="K353">
        <v>80</v>
      </c>
      <c r="L353">
        <v>455</v>
      </c>
      <c r="M353">
        <v>52</v>
      </c>
      <c r="N353">
        <v>107</v>
      </c>
      <c r="O353">
        <v>93</v>
      </c>
      <c r="P353">
        <v>2</v>
      </c>
      <c r="Q353">
        <v>8</v>
      </c>
      <c r="R353">
        <v>4</v>
      </c>
      <c r="S353">
        <v>8</v>
      </c>
      <c r="T353">
        <v>4</v>
      </c>
      <c r="U353">
        <v>1</v>
      </c>
      <c r="V353">
        <v>0</v>
      </c>
      <c r="W353">
        <v>1</v>
      </c>
      <c r="X353">
        <v>0</v>
      </c>
      <c r="Y353">
        <v>0</v>
      </c>
      <c r="Z353">
        <v>0</v>
      </c>
      <c r="AA353">
        <v>3</v>
      </c>
      <c r="AB353">
        <v>11</v>
      </c>
      <c r="AC353">
        <v>0</v>
      </c>
    </row>
    <row r="354" spans="1:29" x14ac:dyDescent="0.3">
      <c r="A354">
        <v>9185</v>
      </c>
      <c r="B354">
        <v>1966</v>
      </c>
      <c r="C354" t="s">
        <v>32</v>
      </c>
      <c r="D354" t="s">
        <v>30</v>
      </c>
      <c r="E354">
        <v>69759</v>
      </c>
      <c r="F354">
        <v>0</v>
      </c>
      <c r="G354">
        <v>0</v>
      </c>
      <c r="H354" s="1">
        <v>41575</v>
      </c>
      <c r="I354">
        <v>38</v>
      </c>
      <c r="J354">
        <v>452</v>
      </c>
      <c r="K354">
        <v>20</v>
      </c>
      <c r="L354">
        <v>514</v>
      </c>
      <c r="M354">
        <v>13</v>
      </c>
      <c r="N354">
        <v>30</v>
      </c>
      <c r="O354">
        <v>0</v>
      </c>
      <c r="P354">
        <v>3</v>
      </c>
      <c r="Q354">
        <v>4</v>
      </c>
      <c r="R354">
        <v>6</v>
      </c>
      <c r="S354">
        <v>5</v>
      </c>
      <c r="T354">
        <v>3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3</v>
      </c>
      <c r="AB354">
        <v>11</v>
      </c>
      <c r="AC354">
        <v>1</v>
      </c>
    </row>
    <row r="355" spans="1:29" x14ac:dyDescent="0.3">
      <c r="A355">
        <v>11056</v>
      </c>
      <c r="B355">
        <v>1974</v>
      </c>
      <c r="C355" t="s">
        <v>29</v>
      </c>
      <c r="D355" t="s">
        <v>33</v>
      </c>
      <c r="E355">
        <v>72099</v>
      </c>
      <c r="F355">
        <v>0</v>
      </c>
      <c r="G355">
        <v>0</v>
      </c>
      <c r="H355" s="1">
        <v>41209</v>
      </c>
      <c r="I355">
        <v>18</v>
      </c>
      <c r="J355">
        <v>546</v>
      </c>
      <c r="K355">
        <v>91</v>
      </c>
      <c r="L355">
        <v>410</v>
      </c>
      <c r="M355">
        <v>119</v>
      </c>
      <c r="N355">
        <v>0</v>
      </c>
      <c r="O355">
        <v>22</v>
      </c>
      <c r="P355">
        <v>1</v>
      </c>
      <c r="Q355">
        <v>3</v>
      </c>
      <c r="R355">
        <v>4</v>
      </c>
      <c r="S355">
        <v>10</v>
      </c>
      <c r="T355">
        <v>1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3</v>
      </c>
      <c r="AB355">
        <v>11</v>
      </c>
      <c r="AC355">
        <v>0</v>
      </c>
    </row>
    <row r="356" spans="1:29" x14ac:dyDescent="0.3">
      <c r="A356">
        <v>9365</v>
      </c>
      <c r="B356">
        <v>1976</v>
      </c>
      <c r="C356" t="s">
        <v>32</v>
      </c>
      <c r="D356" t="s">
        <v>30</v>
      </c>
      <c r="E356">
        <v>60000</v>
      </c>
      <c r="F356">
        <v>0</v>
      </c>
      <c r="G356">
        <v>1</v>
      </c>
      <c r="H356" s="1">
        <v>41265</v>
      </c>
      <c r="I356">
        <v>57</v>
      </c>
      <c r="J356">
        <v>1048</v>
      </c>
      <c r="K356">
        <v>0</v>
      </c>
      <c r="L356">
        <v>217</v>
      </c>
      <c r="M356">
        <v>0</v>
      </c>
      <c r="N356">
        <v>0</v>
      </c>
      <c r="O356">
        <v>12</v>
      </c>
      <c r="P356">
        <v>5</v>
      </c>
      <c r="Q356">
        <v>11</v>
      </c>
      <c r="R356">
        <v>3</v>
      </c>
      <c r="S356">
        <v>5</v>
      </c>
      <c r="T356">
        <v>6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3</v>
      </c>
      <c r="AB356">
        <v>11</v>
      </c>
      <c r="AC356">
        <v>0</v>
      </c>
    </row>
    <row r="357" spans="1:29" x14ac:dyDescent="0.3">
      <c r="A357">
        <v>6201</v>
      </c>
      <c r="B357">
        <v>1978</v>
      </c>
      <c r="C357" t="s">
        <v>29</v>
      </c>
      <c r="D357" t="s">
        <v>30</v>
      </c>
      <c r="E357">
        <v>38643</v>
      </c>
      <c r="F357">
        <v>1</v>
      </c>
      <c r="G357">
        <v>1</v>
      </c>
      <c r="H357" s="1">
        <v>41607</v>
      </c>
      <c r="I357">
        <v>45</v>
      </c>
      <c r="J357">
        <v>22</v>
      </c>
      <c r="K357">
        <v>2</v>
      </c>
      <c r="L357">
        <v>14</v>
      </c>
      <c r="M357">
        <v>0</v>
      </c>
      <c r="N357">
        <v>1</v>
      </c>
      <c r="O357">
        <v>10</v>
      </c>
      <c r="P357">
        <v>2</v>
      </c>
      <c r="Q357">
        <v>2</v>
      </c>
      <c r="R357">
        <v>0</v>
      </c>
      <c r="S357">
        <v>3</v>
      </c>
      <c r="T357">
        <v>7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3</v>
      </c>
      <c r="AB357">
        <v>11</v>
      </c>
      <c r="AC357">
        <v>0</v>
      </c>
    </row>
    <row r="358" spans="1:29" x14ac:dyDescent="0.3">
      <c r="A358">
        <v>2061</v>
      </c>
      <c r="B358">
        <v>1955</v>
      </c>
      <c r="C358" t="s">
        <v>29</v>
      </c>
      <c r="D358" t="s">
        <v>33</v>
      </c>
      <c r="E358">
        <v>50737</v>
      </c>
      <c r="F358">
        <v>0</v>
      </c>
      <c r="G358">
        <v>1</v>
      </c>
      <c r="H358" s="1">
        <v>41405</v>
      </c>
      <c r="I358">
        <v>61</v>
      </c>
      <c r="J358">
        <v>78</v>
      </c>
      <c r="K358">
        <v>0</v>
      </c>
      <c r="L358">
        <v>11</v>
      </c>
      <c r="M358">
        <v>0</v>
      </c>
      <c r="N358">
        <v>0</v>
      </c>
      <c r="O358">
        <v>10</v>
      </c>
      <c r="P358">
        <v>1</v>
      </c>
      <c r="Q358">
        <v>2</v>
      </c>
      <c r="R358">
        <v>0</v>
      </c>
      <c r="S358">
        <v>4</v>
      </c>
      <c r="T358">
        <v>6</v>
      </c>
      <c r="U358">
        <v>0</v>
      </c>
      <c r="V358">
        <v>1</v>
      </c>
      <c r="W358">
        <v>0</v>
      </c>
      <c r="X358">
        <v>0</v>
      </c>
      <c r="Y358">
        <v>0</v>
      </c>
      <c r="Z358">
        <v>0</v>
      </c>
      <c r="AA358">
        <v>3</v>
      </c>
      <c r="AB358">
        <v>11</v>
      </c>
      <c r="AC358">
        <v>0</v>
      </c>
    </row>
    <row r="359" spans="1:29" x14ac:dyDescent="0.3">
      <c r="A359">
        <v>6184</v>
      </c>
      <c r="B359">
        <v>1969</v>
      </c>
      <c r="C359" t="s">
        <v>32</v>
      </c>
      <c r="D359" t="s">
        <v>33</v>
      </c>
      <c r="E359">
        <v>68462</v>
      </c>
      <c r="F359">
        <v>0</v>
      </c>
      <c r="G359">
        <v>0</v>
      </c>
      <c r="H359" s="1">
        <v>41255</v>
      </c>
      <c r="I359">
        <v>6</v>
      </c>
      <c r="J359">
        <v>561</v>
      </c>
      <c r="K359">
        <v>64</v>
      </c>
      <c r="L359">
        <v>785</v>
      </c>
      <c r="M359">
        <v>84</v>
      </c>
      <c r="N359">
        <v>128</v>
      </c>
      <c r="O359">
        <v>48</v>
      </c>
      <c r="P359">
        <v>1</v>
      </c>
      <c r="Q359">
        <v>3</v>
      </c>
      <c r="R359">
        <v>3</v>
      </c>
      <c r="S359">
        <v>8</v>
      </c>
      <c r="T359">
        <v>1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3</v>
      </c>
      <c r="AB359">
        <v>11</v>
      </c>
      <c r="AC359">
        <v>0</v>
      </c>
    </row>
    <row r="360" spans="1:29" x14ac:dyDescent="0.3">
      <c r="A360">
        <v>6142</v>
      </c>
      <c r="B360">
        <v>1943</v>
      </c>
      <c r="C360" t="s">
        <v>34</v>
      </c>
      <c r="D360" t="s">
        <v>33</v>
      </c>
      <c r="E360">
        <v>65073</v>
      </c>
      <c r="F360">
        <v>0</v>
      </c>
      <c r="G360">
        <v>0</v>
      </c>
      <c r="H360" s="1">
        <v>41506</v>
      </c>
      <c r="I360">
        <v>65</v>
      </c>
      <c r="J360">
        <v>629</v>
      </c>
      <c r="K360">
        <v>17</v>
      </c>
      <c r="L360">
        <v>177</v>
      </c>
      <c r="M360">
        <v>69</v>
      </c>
      <c r="N360">
        <v>0</v>
      </c>
      <c r="O360">
        <v>8</v>
      </c>
      <c r="P360">
        <v>1</v>
      </c>
      <c r="Q360">
        <v>5</v>
      </c>
      <c r="R360">
        <v>3</v>
      </c>
      <c r="S360">
        <v>5</v>
      </c>
      <c r="T360">
        <v>2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v>3</v>
      </c>
      <c r="AB360">
        <v>11</v>
      </c>
      <c r="AC360">
        <v>0</v>
      </c>
    </row>
    <row r="361" spans="1:29" x14ac:dyDescent="0.3">
      <c r="A361">
        <v>4107</v>
      </c>
      <c r="B361">
        <v>1948</v>
      </c>
      <c r="C361" t="s">
        <v>32</v>
      </c>
      <c r="D361" t="s">
        <v>31</v>
      </c>
      <c r="E361">
        <v>46681</v>
      </c>
      <c r="F361">
        <v>0</v>
      </c>
      <c r="G361">
        <v>2</v>
      </c>
      <c r="H361" s="1">
        <v>41555</v>
      </c>
      <c r="I361">
        <v>52</v>
      </c>
      <c r="J361">
        <v>269</v>
      </c>
      <c r="K361">
        <v>15</v>
      </c>
      <c r="L361">
        <v>69</v>
      </c>
      <c r="M361">
        <v>15</v>
      </c>
      <c r="N361">
        <v>19</v>
      </c>
      <c r="O361">
        <v>38</v>
      </c>
      <c r="P361">
        <v>2</v>
      </c>
      <c r="Q361">
        <v>4</v>
      </c>
      <c r="R361">
        <v>6</v>
      </c>
      <c r="S361">
        <v>4</v>
      </c>
      <c r="T361">
        <v>5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3</v>
      </c>
      <c r="AB361">
        <v>11</v>
      </c>
      <c r="AC361">
        <v>0</v>
      </c>
    </row>
    <row r="362" spans="1:29" x14ac:dyDescent="0.3">
      <c r="A362">
        <v>7274</v>
      </c>
      <c r="B362">
        <v>1957</v>
      </c>
      <c r="C362" t="s">
        <v>29</v>
      </c>
      <c r="D362" t="s">
        <v>33</v>
      </c>
      <c r="E362">
        <v>78618</v>
      </c>
      <c r="F362">
        <v>0</v>
      </c>
      <c r="G362">
        <v>0</v>
      </c>
      <c r="H362" s="1">
        <v>41180</v>
      </c>
      <c r="I362">
        <v>87</v>
      </c>
      <c r="J362">
        <v>736</v>
      </c>
      <c r="K362">
        <v>163</v>
      </c>
      <c r="L362">
        <v>818</v>
      </c>
      <c r="M362">
        <v>212</v>
      </c>
      <c r="N362">
        <v>163</v>
      </c>
      <c r="O362">
        <v>61</v>
      </c>
      <c r="P362">
        <v>1</v>
      </c>
      <c r="Q362">
        <v>4</v>
      </c>
      <c r="R362">
        <v>7</v>
      </c>
      <c r="S362">
        <v>10</v>
      </c>
      <c r="T362">
        <v>2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3</v>
      </c>
      <c r="AB362">
        <v>11</v>
      </c>
      <c r="AC362">
        <v>0</v>
      </c>
    </row>
    <row r="363" spans="1:29" x14ac:dyDescent="0.3">
      <c r="A363">
        <v>9336</v>
      </c>
      <c r="B363">
        <v>1969</v>
      </c>
      <c r="C363" t="s">
        <v>32</v>
      </c>
      <c r="D363" t="s">
        <v>38</v>
      </c>
      <c r="E363">
        <v>62187</v>
      </c>
      <c r="F363">
        <v>0</v>
      </c>
      <c r="G363">
        <v>1</v>
      </c>
      <c r="H363" s="1">
        <v>41720</v>
      </c>
      <c r="I363">
        <v>38</v>
      </c>
      <c r="J363">
        <v>512</v>
      </c>
      <c r="K363">
        <v>0</v>
      </c>
      <c r="L363">
        <v>83</v>
      </c>
      <c r="M363">
        <v>0</v>
      </c>
      <c r="N363">
        <v>0</v>
      </c>
      <c r="O363">
        <v>41</v>
      </c>
      <c r="P363">
        <v>3</v>
      </c>
      <c r="Q363">
        <v>6</v>
      </c>
      <c r="R363">
        <v>2</v>
      </c>
      <c r="S363">
        <v>10</v>
      </c>
      <c r="T363">
        <v>4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3</v>
      </c>
      <c r="AB363">
        <v>11</v>
      </c>
      <c r="AC363">
        <v>0</v>
      </c>
    </row>
    <row r="364" spans="1:29" x14ac:dyDescent="0.3">
      <c r="A364">
        <v>2958</v>
      </c>
      <c r="B364">
        <v>1978</v>
      </c>
      <c r="C364" t="s">
        <v>29</v>
      </c>
      <c r="D364" t="s">
        <v>33</v>
      </c>
      <c r="E364">
        <v>28442</v>
      </c>
      <c r="F364">
        <v>2</v>
      </c>
      <c r="G364">
        <v>0</v>
      </c>
      <c r="H364" s="1">
        <v>41694</v>
      </c>
      <c r="I364">
        <v>53</v>
      </c>
      <c r="J364">
        <v>19</v>
      </c>
      <c r="K364">
        <v>3</v>
      </c>
      <c r="L364">
        <v>10</v>
      </c>
      <c r="M364">
        <v>11</v>
      </c>
      <c r="N364">
        <v>8</v>
      </c>
      <c r="O364">
        <v>6</v>
      </c>
      <c r="P364">
        <v>3</v>
      </c>
      <c r="Q364">
        <v>2</v>
      </c>
      <c r="R364">
        <v>1</v>
      </c>
      <c r="S364">
        <v>4</v>
      </c>
      <c r="T364">
        <v>4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3</v>
      </c>
      <c r="AB364">
        <v>11</v>
      </c>
      <c r="AC364">
        <v>0</v>
      </c>
    </row>
    <row r="365" spans="1:29" x14ac:dyDescent="0.3">
      <c r="A365">
        <v>933</v>
      </c>
      <c r="B365">
        <v>1978</v>
      </c>
      <c r="C365" t="s">
        <v>32</v>
      </c>
      <c r="D365" t="s">
        <v>33</v>
      </c>
      <c r="E365">
        <v>37717</v>
      </c>
      <c r="F365">
        <v>1</v>
      </c>
      <c r="G365">
        <v>0</v>
      </c>
      <c r="H365" s="1">
        <v>41236</v>
      </c>
      <c r="I365">
        <v>31</v>
      </c>
      <c r="J365">
        <v>9</v>
      </c>
      <c r="K365">
        <v>0</v>
      </c>
      <c r="L365">
        <v>6</v>
      </c>
      <c r="M365">
        <v>4</v>
      </c>
      <c r="N365">
        <v>1</v>
      </c>
      <c r="O365">
        <v>5</v>
      </c>
      <c r="P365">
        <v>1</v>
      </c>
      <c r="Q365">
        <v>1</v>
      </c>
      <c r="R365">
        <v>0</v>
      </c>
      <c r="S365">
        <v>2</v>
      </c>
      <c r="T365">
        <v>9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3</v>
      </c>
      <c r="AB365">
        <v>11</v>
      </c>
      <c r="AC365">
        <v>0</v>
      </c>
    </row>
    <row r="366" spans="1:29" x14ac:dyDescent="0.3">
      <c r="A366">
        <v>5837</v>
      </c>
      <c r="B366">
        <v>1967</v>
      </c>
      <c r="C366" t="s">
        <v>29</v>
      </c>
      <c r="D366" t="s">
        <v>33</v>
      </c>
      <c r="E366">
        <v>51479</v>
      </c>
      <c r="F366">
        <v>1</v>
      </c>
      <c r="G366">
        <v>1</v>
      </c>
      <c r="H366" s="1">
        <v>41271</v>
      </c>
      <c r="I366">
        <v>67</v>
      </c>
      <c r="J366">
        <v>247</v>
      </c>
      <c r="K366">
        <v>8</v>
      </c>
      <c r="L366">
        <v>160</v>
      </c>
      <c r="M366">
        <v>6</v>
      </c>
      <c r="N366">
        <v>8</v>
      </c>
      <c r="O366">
        <v>65</v>
      </c>
      <c r="P366">
        <v>7</v>
      </c>
      <c r="Q366">
        <v>6</v>
      </c>
      <c r="R366">
        <v>3</v>
      </c>
      <c r="S366">
        <v>6</v>
      </c>
      <c r="T366">
        <v>7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3</v>
      </c>
      <c r="AB366">
        <v>11</v>
      </c>
      <c r="AC366">
        <v>0</v>
      </c>
    </row>
    <row r="367" spans="1:29" x14ac:dyDescent="0.3">
      <c r="A367">
        <v>10704</v>
      </c>
      <c r="B367">
        <v>1969</v>
      </c>
      <c r="C367" t="s">
        <v>29</v>
      </c>
      <c r="D367" t="s">
        <v>30</v>
      </c>
      <c r="E367">
        <v>54803</v>
      </c>
      <c r="F367">
        <v>0</v>
      </c>
      <c r="G367">
        <v>1</v>
      </c>
      <c r="H367" s="1">
        <v>41142</v>
      </c>
      <c r="I367">
        <v>65</v>
      </c>
      <c r="J367">
        <v>404</v>
      </c>
      <c r="K367">
        <v>0</v>
      </c>
      <c r="L367">
        <v>92</v>
      </c>
      <c r="M367">
        <v>28</v>
      </c>
      <c r="N367">
        <v>27</v>
      </c>
      <c r="O367">
        <v>142</v>
      </c>
      <c r="P367">
        <v>2</v>
      </c>
      <c r="Q367">
        <v>6</v>
      </c>
      <c r="R367">
        <v>2</v>
      </c>
      <c r="S367">
        <v>9</v>
      </c>
      <c r="T367">
        <v>4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3</v>
      </c>
      <c r="AB367">
        <v>11</v>
      </c>
      <c r="AC367">
        <v>0</v>
      </c>
    </row>
    <row r="368" spans="1:29" x14ac:dyDescent="0.3">
      <c r="A368">
        <v>5125</v>
      </c>
      <c r="B368">
        <v>1960</v>
      </c>
      <c r="C368" t="s">
        <v>29</v>
      </c>
      <c r="D368" t="s">
        <v>33</v>
      </c>
      <c r="E368">
        <v>79530</v>
      </c>
      <c r="F368">
        <v>0</v>
      </c>
      <c r="G368">
        <v>0</v>
      </c>
      <c r="H368" s="1">
        <v>41411</v>
      </c>
      <c r="I368">
        <v>64</v>
      </c>
      <c r="J368">
        <v>333</v>
      </c>
      <c r="K368">
        <v>0</v>
      </c>
      <c r="L368">
        <v>815</v>
      </c>
      <c r="M368">
        <v>129</v>
      </c>
      <c r="N368">
        <v>42</v>
      </c>
      <c r="O368">
        <v>29</v>
      </c>
      <c r="P368">
        <v>1</v>
      </c>
      <c r="Q368">
        <v>4</v>
      </c>
      <c r="R368">
        <v>10</v>
      </c>
      <c r="S368">
        <v>11</v>
      </c>
      <c r="T368">
        <v>2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3</v>
      </c>
      <c r="AB368">
        <v>11</v>
      </c>
      <c r="AC368">
        <v>0</v>
      </c>
    </row>
    <row r="369" spans="1:29" x14ac:dyDescent="0.3">
      <c r="A369">
        <v>4432</v>
      </c>
      <c r="B369">
        <v>1976</v>
      </c>
      <c r="C369" t="s">
        <v>29</v>
      </c>
      <c r="D369" t="s">
        <v>35</v>
      </c>
      <c r="E369">
        <v>31615</v>
      </c>
      <c r="F369">
        <v>1</v>
      </c>
      <c r="G369">
        <v>0</v>
      </c>
      <c r="H369" s="1">
        <v>41349</v>
      </c>
      <c r="I369">
        <v>82</v>
      </c>
      <c r="J369">
        <v>2</v>
      </c>
      <c r="K369">
        <v>3</v>
      </c>
      <c r="L369">
        <v>20</v>
      </c>
      <c r="M369">
        <v>6</v>
      </c>
      <c r="N369">
        <v>11</v>
      </c>
      <c r="O369">
        <v>9</v>
      </c>
      <c r="P369">
        <v>2</v>
      </c>
      <c r="Q369">
        <v>2</v>
      </c>
      <c r="R369">
        <v>0</v>
      </c>
      <c r="S369">
        <v>3</v>
      </c>
      <c r="T369">
        <v>7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3</v>
      </c>
      <c r="AB369">
        <v>11</v>
      </c>
      <c r="AC369">
        <v>0</v>
      </c>
    </row>
    <row r="370" spans="1:29" x14ac:dyDescent="0.3">
      <c r="A370">
        <v>5955</v>
      </c>
      <c r="B370">
        <v>1962</v>
      </c>
      <c r="C370" t="s">
        <v>29</v>
      </c>
      <c r="D370" t="s">
        <v>31</v>
      </c>
      <c r="E370">
        <v>72025</v>
      </c>
      <c r="F370">
        <v>0</v>
      </c>
      <c r="G370">
        <v>0</v>
      </c>
      <c r="H370" s="1">
        <v>41230</v>
      </c>
      <c r="I370">
        <v>27</v>
      </c>
      <c r="J370">
        <v>833</v>
      </c>
      <c r="K370">
        <v>33</v>
      </c>
      <c r="L370">
        <v>549</v>
      </c>
      <c r="M370">
        <v>151</v>
      </c>
      <c r="N370">
        <v>133</v>
      </c>
      <c r="O370">
        <v>233</v>
      </c>
      <c r="P370">
        <v>1</v>
      </c>
      <c r="Q370">
        <v>4</v>
      </c>
      <c r="R370">
        <v>3</v>
      </c>
      <c r="S370">
        <v>8</v>
      </c>
      <c r="T370">
        <v>3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3</v>
      </c>
      <c r="AB370">
        <v>11</v>
      </c>
      <c r="AC370">
        <v>0</v>
      </c>
    </row>
    <row r="371" spans="1:29" x14ac:dyDescent="0.3">
      <c r="A371">
        <v>2928</v>
      </c>
      <c r="B371">
        <v>1975</v>
      </c>
      <c r="C371" t="s">
        <v>32</v>
      </c>
      <c r="D371" t="s">
        <v>30</v>
      </c>
      <c r="E371">
        <v>52614</v>
      </c>
      <c r="F371">
        <v>0</v>
      </c>
      <c r="G371">
        <v>1</v>
      </c>
      <c r="H371" s="1">
        <v>41244</v>
      </c>
      <c r="I371">
        <v>63</v>
      </c>
      <c r="J371">
        <v>789</v>
      </c>
      <c r="K371">
        <v>0</v>
      </c>
      <c r="L371">
        <v>142</v>
      </c>
      <c r="M371">
        <v>12</v>
      </c>
      <c r="N371">
        <v>9</v>
      </c>
      <c r="O371">
        <v>38</v>
      </c>
      <c r="P371">
        <v>2</v>
      </c>
      <c r="Q371">
        <v>2</v>
      </c>
      <c r="R371">
        <v>4</v>
      </c>
      <c r="S371">
        <v>8</v>
      </c>
      <c r="T371">
        <v>8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3</v>
      </c>
      <c r="AB371">
        <v>11</v>
      </c>
      <c r="AC371">
        <v>0</v>
      </c>
    </row>
    <row r="372" spans="1:29" x14ac:dyDescent="0.3">
      <c r="A372">
        <v>5680</v>
      </c>
      <c r="B372">
        <v>1984</v>
      </c>
      <c r="C372" t="s">
        <v>37</v>
      </c>
      <c r="D372" t="s">
        <v>33</v>
      </c>
      <c r="E372">
        <v>35684</v>
      </c>
      <c r="F372">
        <v>1</v>
      </c>
      <c r="G372">
        <v>0</v>
      </c>
      <c r="H372" s="1">
        <v>41751</v>
      </c>
      <c r="I372">
        <v>66</v>
      </c>
      <c r="J372">
        <v>10</v>
      </c>
      <c r="K372">
        <v>4</v>
      </c>
      <c r="L372">
        <v>7</v>
      </c>
      <c r="M372">
        <v>0</v>
      </c>
      <c r="N372">
        <v>6</v>
      </c>
      <c r="O372">
        <v>3</v>
      </c>
      <c r="P372">
        <v>1</v>
      </c>
      <c r="Q372">
        <v>1</v>
      </c>
      <c r="R372">
        <v>0</v>
      </c>
      <c r="S372">
        <v>3</v>
      </c>
      <c r="T372">
        <v>6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3</v>
      </c>
      <c r="AB372">
        <v>11</v>
      </c>
      <c r="AC372">
        <v>0</v>
      </c>
    </row>
    <row r="373" spans="1:29" x14ac:dyDescent="0.3">
      <c r="A373">
        <v>10313</v>
      </c>
      <c r="B373">
        <v>1975</v>
      </c>
      <c r="C373" t="s">
        <v>29</v>
      </c>
      <c r="D373" t="s">
        <v>33</v>
      </c>
      <c r="E373">
        <v>48178</v>
      </c>
      <c r="F373">
        <v>1</v>
      </c>
      <c r="G373">
        <v>1</v>
      </c>
      <c r="H373" s="1">
        <v>41210</v>
      </c>
      <c r="I373">
        <v>69</v>
      </c>
      <c r="J373">
        <v>159</v>
      </c>
      <c r="K373">
        <v>4</v>
      </c>
      <c r="L373">
        <v>45</v>
      </c>
      <c r="M373">
        <v>6</v>
      </c>
      <c r="N373">
        <v>2</v>
      </c>
      <c r="O373">
        <v>38</v>
      </c>
      <c r="P373">
        <v>6</v>
      </c>
      <c r="Q373">
        <v>5</v>
      </c>
      <c r="R373">
        <v>1</v>
      </c>
      <c r="S373">
        <v>4</v>
      </c>
      <c r="T373">
        <v>8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3</v>
      </c>
      <c r="AB373">
        <v>11</v>
      </c>
      <c r="AC373">
        <v>0</v>
      </c>
    </row>
    <row r="374" spans="1:29" x14ac:dyDescent="0.3">
      <c r="A374">
        <v>2557</v>
      </c>
      <c r="B374">
        <v>1970</v>
      </c>
      <c r="C374" t="s">
        <v>34</v>
      </c>
      <c r="D374" t="s">
        <v>30</v>
      </c>
      <c r="E374">
        <v>29548</v>
      </c>
      <c r="F374">
        <v>1</v>
      </c>
      <c r="G374">
        <v>0</v>
      </c>
      <c r="H374" s="1">
        <v>41515</v>
      </c>
      <c r="I374">
        <v>52</v>
      </c>
      <c r="J374">
        <v>7</v>
      </c>
      <c r="K374">
        <v>1</v>
      </c>
      <c r="L374">
        <v>6</v>
      </c>
      <c r="M374">
        <v>3</v>
      </c>
      <c r="N374">
        <v>1</v>
      </c>
      <c r="O374">
        <v>11</v>
      </c>
      <c r="P374">
        <v>1</v>
      </c>
      <c r="Q374">
        <v>1</v>
      </c>
      <c r="R374">
        <v>1</v>
      </c>
      <c r="S374">
        <v>2</v>
      </c>
      <c r="T374">
        <v>4</v>
      </c>
      <c r="U374">
        <v>1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3</v>
      </c>
      <c r="AB374">
        <v>11</v>
      </c>
      <c r="AC374">
        <v>0</v>
      </c>
    </row>
    <row r="375" spans="1:29" x14ac:dyDescent="0.3">
      <c r="A375">
        <v>1245</v>
      </c>
      <c r="B375">
        <v>1966</v>
      </c>
      <c r="C375" t="s">
        <v>29</v>
      </c>
      <c r="D375" t="s">
        <v>30</v>
      </c>
      <c r="E375">
        <v>63810</v>
      </c>
      <c r="F375">
        <v>0</v>
      </c>
      <c r="G375">
        <v>1</v>
      </c>
      <c r="H375" s="1">
        <v>41224</v>
      </c>
      <c r="I375">
        <v>45</v>
      </c>
      <c r="J375">
        <v>977</v>
      </c>
      <c r="K375">
        <v>12</v>
      </c>
      <c r="L375">
        <v>253</v>
      </c>
      <c r="M375">
        <v>16</v>
      </c>
      <c r="N375">
        <v>12</v>
      </c>
      <c r="O375">
        <v>101</v>
      </c>
      <c r="P375">
        <v>4</v>
      </c>
      <c r="Q375">
        <v>4</v>
      </c>
      <c r="R375">
        <v>3</v>
      </c>
      <c r="S375">
        <v>12</v>
      </c>
      <c r="T375">
        <v>8</v>
      </c>
      <c r="U375">
        <v>0</v>
      </c>
      <c r="V375">
        <v>1</v>
      </c>
      <c r="W375">
        <v>0</v>
      </c>
      <c r="X375">
        <v>0</v>
      </c>
      <c r="Y375">
        <v>0</v>
      </c>
      <c r="Z375">
        <v>0</v>
      </c>
      <c r="AA375">
        <v>3</v>
      </c>
      <c r="AB375">
        <v>11</v>
      </c>
      <c r="AC375">
        <v>0</v>
      </c>
    </row>
    <row r="376" spans="1:29" x14ac:dyDescent="0.3">
      <c r="A376">
        <v>1519</v>
      </c>
      <c r="B376">
        <v>1972</v>
      </c>
      <c r="C376" t="s">
        <v>32</v>
      </c>
      <c r="D376" t="s">
        <v>30</v>
      </c>
      <c r="E376">
        <v>38578</v>
      </c>
      <c r="F376">
        <v>1</v>
      </c>
      <c r="G376">
        <v>1</v>
      </c>
      <c r="H376" s="1">
        <v>41447</v>
      </c>
      <c r="I376">
        <v>2</v>
      </c>
      <c r="J376">
        <v>38</v>
      </c>
      <c r="K376">
        <v>4</v>
      </c>
      <c r="L376">
        <v>22</v>
      </c>
      <c r="M376">
        <v>3</v>
      </c>
      <c r="N376">
        <v>3</v>
      </c>
      <c r="O376">
        <v>3</v>
      </c>
      <c r="P376">
        <v>3</v>
      </c>
      <c r="Q376">
        <v>3</v>
      </c>
      <c r="R376">
        <v>0</v>
      </c>
      <c r="S376">
        <v>3</v>
      </c>
      <c r="T376">
        <v>8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3</v>
      </c>
      <c r="AB376">
        <v>11</v>
      </c>
      <c r="AC376">
        <v>1</v>
      </c>
    </row>
    <row r="377" spans="1:29" x14ac:dyDescent="0.3">
      <c r="A377">
        <v>10703</v>
      </c>
      <c r="B377">
        <v>1975</v>
      </c>
      <c r="C377" t="s">
        <v>34</v>
      </c>
      <c r="D377" t="s">
        <v>30</v>
      </c>
      <c r="E377">
        <v>46098</v>
      </c>
      <c r="F377">
        <v>1</v>
      </c>
      <c r="G377">
        <v>1</v>
      </c>
      <c r="H377" s="1">
        <v>41139</v>
      </c>
      <c r="I377">
        <v>86</v>
      </c>
      <c r="J377">
        <v>57</v>
      </c>
      <c r="K377">
        <v>0</v>
      </c>
      <c r="L377">
        <v>27</v>
      </c>
      <c r="M377">
        <v>0</v>
      </c>
      <c r="N377">
        <v>0</v>
      </c>
      <c r="O377">
        <v>36</v>
      </c>
      <c r="P377">
        <v>4</v>
      </c>
      <c r="Q377">
        <v>3</v>
      </c>
      <c r="R377">
        <v>2</v>
      </c>
      <c r="S377">
        <v>2</v>
      </c>
      <c r="T377">
        <v>8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3</v>
      </c>
      <c r="AB377">
        <v>11</v>
      </c>
      <c r="AC377">
        <v>0</v>
      </c>
    </row>
    <row r="378" spans="1:29" x14ac:dyDescent="0.3">
      <c r="A378">
        <v>1726</v>
      </c>
      <c r="B378">
        <v>1970</v>
      </c>
      <c r="C378" t="s">
        <v>29</v>
      </c>
      <c r="D378" t="s">
        <v>30</v>
      </c>
      <c r="E378">
        <v>22585</v>
      </c>
      <c r="F378">
        <v>0</v>
      </c>
      <c r="G378">
        <v>0</v>
      </c>
      <c r="H378" s="1">
        <v>41351</v>
      </c>
      <c r="I378">
        <v>23</v>
      </c>
      <c r="J378">
        <v>3</v>
      </c>
      <c r="K378">
        <v>9</v>
      </c>
      <c r="L378">
        <v>15</v>
      </c>
      <c r="M378">
        <v>13</v>
      </c>
      <c r="N378">
        <v>2</v>
      </c>
      <c r="O378">
        <v>39</v>
      </c>
      <c r="P378">
        <v>1</v>
      </c>
      <c r="Q378">
        <v>1</v>
      </c>
      <c r="R378">
        <v>1</v>
      </c>
      <c r="S378">
        <v>2</v>
      </c>
      <c r="T378">
        <v>9</v>
      </c>
      <c r="U378">
        <v>1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3</v>
      </c>
      <c r="AB378">
        <v>11</v>
      </c>
      <c r="AC378">
        <v>1</v>
      </c>
    </row>
    <row r="379" spans="1:29" x14ac:dyDescent="0.3">
      <c r="A379">
        <v>4459</v>
      </c>
      <c r="B379">
        <v>1989</v>
      </c>
      <c r="C379" t="s">
        <v>29</v>
      </c>
      <c r="D379" t="s">
        <v>30</v>
      </c>
      <c r="E379">
        <v>30279</v>
      </c>
      <c r="F379">
        <v>1</v>
      </c>
      <c r="G379">
        <v>0</v>
      </c>
      <c r="H379" s="1">
        <v>41273</v>
      </c>
      <c r="I379">
        <v>13</v>
      </c>
      <c r="J379">
        <v>10</v>
      </c>
      <c r="K379">
        <v>4</v>
      </c>
      <c r="L379">
        <v>14</v>
      </c>
      <c r="M379">
        <v>4</v>
      </c>
      <c r="N379">
        <v>4</v>
      </c>
      <c r="O379">
        <v>1</v>
      </c>
      <c r="P379">
        <v>1</v>
      </c>
      <c r="Q379">
        <v>1</v>
      </c>
      <c r="R379">
        <v>0</v>
      </c>
      <c r="S379">
        <v>3</v>
      </c>
      <c r="T379">
        <v>8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3</v>
      </c>
      <c r="AB379">
        <v>11</v>
      </c>
      <c r="AC379">
        <v>0</v>
      </c>
    </row>
    <row r="380" spans="1:29" x14ac:dyDescent="0.3">
      <c r="A380">
        <v>1729</v>
      </c>
      <c r="B380">
        <v>1961</v>
      </c>
      <c r="C380" t="s">
        <v>32</v>
      </c>
      <c r="D380" t="s">
        <v>31</v>
      </c>
      <c r="E380">
        <v>66426</v>
      </c>
      <c r="F380">
        <v>0</v>
      </c>
      <c r="G380">
        <v>1</v>
      </c>
      <c r="H380" s="1">
        <v>41549</v>
      </c>
      <c r="I380">
        <v>14</v>
      </c>
      <c r="J380">
        <v>1043</v>
      </c>
      <c r="K380">
        <v>24</v>
      </c>
      <c r="L380">
        <v>97</v>
      </c>
      <c r="M380">
        <v>32</v>
      </c>
      <c r="N380">
        <v>24</v>
      </c>
      <c r="O380">
        <v>157</v>
      </c>
      <c r="P380">
        <v>2</v>
      </c>
      <c r="Q380">
        <v>3</v>
      </c>
      <c r="R380">
        <v>5</v>
      </c>
      <c r="S380">
        <v>10</v>
      </c>
      <c r="T380">
        <v>6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3</v>
      </c>
      <c r="AB380">
        <v>11</v>
      </c>
      <c r="AC380">
        <v>0</v>
      </c>
    </row>
    <row r="381" spans="1:29" x14ac:dyDescent="0.3">
      <c r="A381">
        <v>1517</v>
      </c>
      <c r="B381">
        <v>1969</v>
      </c>
      <c r="C381" t="s">
        <v>29</v>
      </c>
      <c r="D381" t="s">
        <v>30</v>
      </c>
      <c r="E381">
        <v>30822</v>
      </c>
      <c r="F381">
        <v>1</v>
      </c>
      <c r="G381">
        <v>0</v>
      </c>
      <c r="H381" s="1">
        <v>41439</v>
      </c>
      <c r="I381">
        <v>92</v>
      </c>
      <c r="J381">
        <v>3</v>
      </c>
      <c r="K381">
        <v>9</v>
      </c>
      <c r="L381">
        <v>13</v>
      </c>
      <c r="M381">
        <v>2</v>
      </c>
      <c r="N381">
        <v>12</v>
      </c>
      <c r="O381">
        <v>12</v>
      </c>
      <c r="P381">
        <v>1</v>
      </c>
      <c r="Q381">
        <v>1</v>
      </c>
      <c r="R381">
        <v>0</v>
      </c>
      <c r="S381">
        <v>3</v>
      </c>
      <c r="T381">
        <v>7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3</v>
      </c>
      <c r="AB381">
        <v>11</v>
      </c>
      <c r="AC381">
        <v>0</v>
      </c>
    </row>
    <row r="382" spans="1:29" x14ac:dyDescent="0.3">
      <c r="A382">
        <v>2098</v>
      </c>
      <c r="B382">
        <v>1969</v>
      </c>
      <c r="C382" t="s">
        <v>32</v>
      </c>
      <c r="D382" t="s">
        <v>33</v>
      </c>
      <c r="E382">
        <v>33581</v>
      </c>
      <c r="F382">
        <v>2</v>
      </c>
      <c r="G382">
        <v>0</v>
      </c>
      <c r="H382" s="1">
        <v>41282</v>
      </c>
      <c r="I382">
        <v>38</v>
      </c>
      <c r="J382">
        <v>11</v>
      </c>
      <c r="K382">
        <v>0</v>
      </c>
      <c r="L382">
        <v>5</v>
      </c>
      <c r="M382">
        <v>0</v>
      </c>
      <c r="N382">
        <v>0</v>
      </c>
      <c r="O382">
        <v>1</v>
      </c>
      <c r="P382">
        <v>1</v>
      </c>
      <c r="Q382">
        <v>1</v>
      </c>
      <c r="R382">
        <v>0</v>
      </c>
      <c r="S382">
        <v>2</v>
      </c>
      <c r="T382">
        <v>8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3</v>
      </c>
      <c r="AB382">
        <v>11</v>
      </c>
      <c r="AC382">
        <v>0</v>
      </c>
    </row>
    <row r="383" spans="1:29" x14ac:dyDescent="0.3">
      <c r="A383">
        <v>9543</v>
      </c>
      <c r="B383">
        <v>1985</v>
      </c>
      <c r="C383" t="s">
        <v>29</v>
      </c>
      <c r="D383" t="s">
        <v>33</v>
      </c>
      <c r="E383">
        <v>19986</v>
      </c>
      <c r="F383">
        <v>1</v>
      </c>
      <c r="G383">
        <v>0</v>
      </c>
      <c r="H383" s="1">
        <v>41592</v>
      </c>
      <c r="I383">
        <v>74</v>
      </c>
      <c r="J383">
        <v>3</v>
      </c>
      <c r="K383">
        <v>6</v>
      </c>
      <c r="L383">
        <v>5</v>
      </c>
      <c r="M383">
        <v>0</v>
      </c>
      <c r="N383">
        <v>2</v>
      </c>
      <c r="O383">
        <v>6</v>
      </c>
      <c r="P383">
        <v>1</v>
      </c>
      <c r="Q383">
        <v>0</v>
      </c>
      <c r="R383">
        <v>0</v>
      </c>
      <c r="S383">
        <v>3</v>
      </c>
      <c r="T383">
        <v>7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3</v>
      </c>
      <c r="AB383">
        <v>11</v>
      </c>
      <c r="AC383">
        <v>0</v>
      </c>
    </row>
    <row r="384" spans="1:29" x14ac:dyDescent="0.3">
      <c r="A384">
        <v>6878</v>
      </c>
      <c r="B384">
        <v>1954</v>
      </c>
      <c r="C384" t="s">
        <v>29</v>
      </c>
      <c r="D384" t="s">
        <v>38</v>
      </c>
      <c r="E384">
        <v>27421</v>
      </c>
      <c r="F384">
        <v>0</v>
      </c>
      <c r="G384">
        <v>0</v>
      </c>
      <c r="H384" s="1">
        <v>41255</v>
      </c>
      <c r="I384">
        <v>14</v>
      </c>
      <c r="J384">
        <v>43</v>
      </c>
      <c r="K384">
        <v>12</v>
      </c>
      <c r="L384">
        <v>96</v>
      </c>
      <c r="M384">
        <v>78</v>
      </c>
      <c r="N384">
        <v>40</v>
      </c>
      <c r="O384">
        <v>55</v>
      </c>
      <c r="P384">
        <v>3</v>
      </c>
      <c r="Q384">
        <v>4</v>
      </c>
      <c r="R384">
        <v>1</v>
      </c>
      <c r="S384">
        <v>6</v>
      </c>
      <c r="T384">
        <v>7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3</v>
      </c>
      <c r="AB384">
        <v>11</v>
      </c>
      <c r="AC384">
        <v>0</v>
      </c>
    </row>
    <row r="385" spans="1:29" x14ac:dyDescent="0.3">
      <c r="A385">
        <v>3310</v>
      </c>
      <c r="B385">
        <v>1973</v>
      </c>
      <c r="C385" t="s">
        <v>37</v>
      </c>
      <c r="D385" t="s">
        <v>33</v>
      </c>
      <c r="E385">
        <v>35688</v>
      </c>
      <c r="F385">
        <v>2</v>
      </c>
      <c r="G385">
        <v>1</v>
      </c>
      <c r="H385" s="1">
        <v>41143</v>
      </c>
      <c r="I385">
        <v>94</v>
      </c>
      <c r="J385">
        <v>73</v>
      </c>
      <c r="K385">
        <v>3</v>
      </c>
      <c r="L385">
        <v>90</v>
      </c>
      <c r="M385">
        <v>12</v>
      </c>
      <c r="N385">
        <v>1</v>
      </c>
      <c r="O385">
        <v>32</v>
      </c>
      <c r="P385">
        <v>7</v>
      </c>
      <c r="Q385">
        <v>4</v>
      </c>
      <c r="R385">
        <v>1</v>
      </c>
      <c r="S385">
        <v>4</v>
      </c>
      <c r="T385">
        <v>8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3</v>
      </c>
      <c r="AB385">
        <v>11</v>
      </c>
      <c r="AC385">
        <v>0</v>
      </c>
    </row>
    <row r="386" spans="1:29" x14ac:dyDescent="0.3">
      <c r="A386">
        <v>2724</v>
      </c>
      <c r="B386">
        <v>1981</v>
      </c>
      <c r="C386" t="s">
        <v>34</v>
      </c>
      <c r="D386" t="s">
        <v>30</v>
      </c>
      <c r="E386">
        <v>36143</v>
      </c>
      <c r="F386">
        <v>1</v>
      </c>
      <c r="G386">
        <v>0</v>
      </c>
      <c r="H386" s="1">
        <v>41728</v>
      </c>
      <c r="I386">
        <v>33</v>
      </c>
      <c r="J386">
        <v>12</v>
      </c>
      <c r="K386">
        <v>0</v>
      </c>
      <c r="L386">
        <v>1</v>
      </c>
      <c r="M386">
        <v>0</v>
      </c>
      <c r="N386">
        <v>0</v>
      </c>
      <c r="O386">
        <v>6</v>
      </c>
      <c r="P386">
        <v>1</v>
      </c>
      <c r="Q386">
        <v>0</v>
      </c>
      <c r="R386">
        <v>1</v>
      </c>
      <c r="S386">
        <v>2</v>
      </c>
      <c r="T386">
        <v>3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3</v>
      </c>
      <c r="AB386">
        <v>11</v>
      </c>
      <c r="AC386">
        <v>0</v>
      </c>
    </row>
    <row r="387" spans="1:29" x14ac:dyDescent="0.3">
      <c r="A387">
        <v>948</v>
      </c>
      <c r="B387">
        <v>1971</v>
      </c>
      <c r="C387" t="s">
        <v>29</v>
      </c>
      <c r="D387" t="s">
        <v>30</v>
      </c>
      <c r="E387">
        <v>10245</v>
      </c>
      <c r="F387">
        <v>1</v>
      </c>
      <c r="G387">
        <v>0</v>
      </c>
      <c r="H387" s="1">
        <v>41409</v>
      </c>
      <c r="I387">
        <v>32</v>
      </c>
      <c r="J387">
        <v>4</v>
      </c>
      <c r="K387">
        <v>7</v>
      </c>
      <c r="L387">
        <v>7</v>
      </c>
      <c r="M387">
        <v>6</v>
      </c>
      <c r="N387">
        <v>4</v>
      </c>
      <c r="O387">
        <v>13</v>
      </c>
      <c r="P387">
        <v>3</v>
      </c>
      <c r="Q387">
        <v>1</v>
      </c>
      <c r="R387">
        <v>2</v>
      </c>
      <c r="S387">
        <v>2</v>
      </c>
      <c r="T387">
        <v>5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3</v>
      </c>
      <c r="AB387">
        <v>11</v>
      </c>
      <c r="AC387">
        <v>0</v>
      </c>
    </row>
    <row r="388" spans="1:29" x14ac:dyDescent="0.3">
      <c r="A388">
        <v>6720</v>
      </c>
      <c r="B388">
        <v>1968</v>
      </c>
      <c r="C388" t="s">
        <v>34</v>
      </c>
      <c r="D388" t="s">
        <v>31</v>
      </c>
      <c r="E388">
        <v>43795</v>
      </c>
      <c r="F388">
        <v>0</v>
      </c>
      <c r="G388">
        <v>1</v>
      </c>
      <c r="H388" s="1">
        <v>41563</v>
      </c>
      <c r="I388">
        <v>11</v>
      </c>
      <c r="J388">
        <v>314</v>
      </c>
      <c r="K388">
        <v>11</v>
      </c>
      <c r="L388">
        <v>53</v>
      </c>
      <c r="M388">
        <v>4</v>
      </c>
      <c r="N388">
        <v>3</v>
      </c>
      <c r="O388">
        <v>107</v>
      </c>
      <c r="P388">
        <v>3</v>
      </c>
      <c r="Q388">
        <v>7</v>
      </c>
      <c r="R388">
        <v>3</v>
      </c>
      <c r="S388">
        <v>4</v>
      </c>
      <c r="T388">
        <v>7</v>
      </c>
      <c r="U388">
        <v>0</v>
      </c>
      <c r="V388">
        <v>1</v>
      </c>
      <c r="W388">
        <v>0</v>
      </c>
      <c r="X388">
        <v>0</v>
      </c>
      <c r="Y388">
        <v>0</v>
      </c>
      <c r="Z388">
        <v>0</v>
      </c>
      <c r="AA388">
        <v>3</v>
      </c>
      <c r="AB388">
        <v>11</v>
      </c>
      <c r="AC388">
        <v>1</v>
      </c>
    </row>
    <row r="389" spans="1:29" x14ac:dyDescent="0.3">
      <c r="A389">
        <v>6202</v>
      </c>
      <c r="B389">
        <v>1960</v>
      </c>
      <c r="C389" t="s">
        <v>29</v>
      </c>
      <c r="D389" t="s">
        <v>31</v>
      </c>
      <c r="E389">
        <v>63381</v>
      </c>
      <c r="F389">
        <v>0</v>
      </c>
      <c r="G389">
        <v>1</v>
      </c>
      <c r="H389" s="1">
        <v>41187</v>
      </c>
      <c r="I389">
        <v>78</v>
      </c>
      <c r="J389">
        <v>571</v>
      </c>
      <c r="K389">
        <v>50</v>
      </c>
      <c r="L389">
        <v>142</v>
      </c>
      <c r="M389">
        <v>33</v>
      </c>
      <c r="N389">
        <v>50</v>
      </c>
      <c r="O389">
        <v>159</v>
      </c>
      <c r="P389">
        <v>4</v>
      </c>
      <c r="Q389">
        <v>4</v>
      </c>
      <c r="R389">
        <v>5</v>
      </c>
      <c r="S389">
        <v>13</v>
      </c>
      <c r="T389">
        <v>2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3</v>
      </c>
      <c r="AB389">
        <v>11</v>
      </c>
      <c r="AC389">
        <v>0</v>
      </c>
    </row>
    <row r="390" spans="1:29" x14ac:dyDescent="0.3">
      <c r="A390">
        <v>2066</v>
      </c>
      <c r="B390">
        <v>1949</v>
      </c>
      <c r="C390" t="s">
        <v>29</v>
      </c>
      <c r="D390" t="s">
        <v>31</v>
      </c>
      <c r="E390">
        <v>38823</v>
      </c>
      <c r="F390">
        <v>0</v>
      </c>
      <c r="G390">
        <v>1</v>
      </c>
      <c r="H390" s="1">
        <v>41151</v>
      </c>
      <c r="I390">
        <v>56</v>
      </c>
      <c r="J390">
        <v>70</v>
      </c>
      <c r="K390">
        <v>0</v>
      </c>
      <c r="L390">
        <v>11</v>
      </c>
      <c r="M390">
        <v>2</v>
      </c>
      <c r="N390">
        <v>8</v>
      </c>
      <c r="O390">
        <v>23</v>
      </c>
      <c r="P390">
        <v>1</v>
      </c>
      <c r="Q390">
        <v>2</v>
      </c>
      <c r="R390">
        <v>1</v>
      </c>
      <c r="S390">
        <v>3</v>
      </c>
      <c r="T390">
        <v>6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3</v>
      </c>
      <c r="AB390">
        <v>11</v>
      </c>
      <c r="AC390">
        <v>0</v>
      </c>
    </row>
    <row r="391" spans="1:29" x14ac:dyDescent="0.3">
      <c r="A391">
        <v>9799</v>
      </c>
      <c r="B391">
        <v>1968</v>
      </c>
      <c r="C391" t="s">
        <v>32</v>
      </c>
      <c r="D391" t="s">
        <v>35</v>
      </c>
      <c r="E391">
        <v>83664</v>
      </c>
      <c r="F391">
        <v>1</v>
      </c>
      <c r="G391">
        <v>1</v>
      </c>
      <c r="H391" s="1">
        <v>41402</v>
      </c>
      <c r="I391">
        <v>57</v>
      </c>
      <c r="J391">
        <v>866</v>
      </c>
      <c r="K391">
        <v>21</v>
      </c>
      <c r="L391">
        <v>151</v>
      </c>
      <c r="M391">
        <v>28</v>
      </c>
      <c r="N391">
        <v>21</v>
      </c>
      <c r="O391">
        <v>86</v>
      </c>
      <c r="P391">
        <v>3</v>
      </c>
      <c r="Q391">
        <v>2</v>
      </c>
      <c r="R391">
        <v>2</v>
      </c>
      <c r="S391">
        <v>12</v>
      </c>
      <c r="T391">
        <v>5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3</v>
      </c>
      <c r="AB391">
        <v>11</v>
      </c>
      <c r="AC391">
        <v>0</v>
      </c>
    </row>
    <row r="392" spans="1:29" x14ac:dyDescent="0.3">
      <c r="A392">
        <v>8318</v>
      </c>
      <c r="B392">
        <v>1979</v>
      </c>
      <c r="C392" t="s">
        <v>29</v>
      </c>
      <c r="D392" t="s">
        <v>31</v>
      </c>
      <c r="E392">
        <v>90300</v>
      </c>
      <c r="F392">
        <v>0</v>
      </c>
      <c r="G392">
        <v>0</v>
      </c>
      <c r="H392" s="1">
        <v>41642</v>
      </c>
      <c r="I392">
        <v>7</v>
      </c>
      <c r="J392">
        <v>594</v>
      </c>
      <c r="K392">
        <v>134</v>
      </c>
      <c r="L392">
        <v>786</v>
      </c>
      <c r="M392">
        <v>33</v>
      </c>
      <c r="N392">
        <v>134</v>
      </c>
      <c r="O392">
        <v>57</v>
      </c>
      <c r="P392">
        <v>0</v>
      </c>
      <c r="Q392">
        <v>5</v>
      </c>
      <c r="R392">
        <v>6</v>
      </c>
      <c r="S392">
        <v>8</v>
      </c>
      <c r="T392">
        <v>1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>
        <v>3</v>
      </c>
      <c r="AB392">
        <v>11</v>
      </c>
      <c r="AC392">
        <v>0</v>
      </c>
    </row>
    <row r="393" spans="1:29" x14ac:dyDescent="0.3">
      <c r="A393">
        <v>5642</v>
      </c>
      <c r="B393">
        <v>1979</v>
      </c>
      <c r="C393" t="s">
        <v>34</v>
      </c>
      <c r="D393" t="s">
        <v>31</v>
      </c>
      <c r="E393">
        <v>62499</v>
      </c>
      <c r="F393">
        <v>1</v>
      </c>
      <c r="G393">
        <v>0</v>
      </c>
      <c r="H393" s="1">
        <v>41617</v>
      </c>
      <c r="I393">
        <v>0</v>
      </c>
      <c r="J393">
        <v>140</v>
      </c>
      <c r="K393">
        <v>4</v>
      </c>
      <c r="L393">
        <v>61</v>
      </c>
      <c r="M393">
        <v>0</v>
      </c>
      <c r="N393">
        <v>13</v>
      </c>
      <c r="O393">
        <v>4</v>
      </c>
      <c r="P393">
        <v>2</v>
      </c>
      <c r="Q393">
        <v>3</v>
      </c>
      <c r="R393">
        <v>1</v>
      </c>
      <c r="S393">
        <v>6</v>
      </c>
      <c r="T393">
        <v>4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3</v>
      </c>
      <c r="AB393">
        <v>11</v>
      </c>
      <c r="AC393">
        <v>0</v>
      </c>
    </row>
    <row r="394" spans="1:29" x14ac:dyDescent="0.3">
      <c r="A394">
        <v>2669</v>
      </c>
      <c r="B394">
        <v>1993</v>
      </c>
      <c r="C394" t="s">
        <v>29</v>
      </c>
      <c r="D394" t="s">
        <v>30</v>
      </c>
      <c r="E394">
        <v>74293</v>
      </c>
      <c r="F394">
        <v>0</v>
      </c>
      <c r="G394">
        <v>0</v>
      </c>
      <c r="H394" s="1">
        <v>41763</v>
      </c>
      <c r="I394">
        <v>66</v>
      </c>
      <c r="J394">
        <v>375</v>
      </c>
      <c r="K394">
        <v>152</v>
      </c>
      <c r="L394">
        <v>335</v>
      </c>
      <c r="M394">
        <v>93</v>
      </c>
      <c r="N394">
        <v>91</v>
      </c>
      <c r="O394">
        <v>81</v>
      </c>
      <c r="P394">
        <v>1</v>
      </c>
      <c r="Q394">
        <v>5</v>
      </c>
      <c r="R394">
        <v>4</v>
      </c>
      <c r="S394">
        <v>6</v>
      </c>
      <c r="T394">
        <v>2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3</v>
      </c>
      <c r="AB394">
        <v>11</v>
      </c>
      <c r="AC394">
        <v>0</v>
      </c>
    </row>
    <row r="395" spans="1:29" x14ac:dyDescent="0.3">
      <c r="A395">
        <v>455</v>
      </c>
      <c r="B395">
        <v>1946</v>
      </c>
      <c r="C395" t="s">
        <v>32</v>
      </c>
      <c r="D395" t="s">
        <v>33</v>
      </c>
      <c r="E395">
        <v>51012</v>
      </c>
      <c r="F395">
        <v>0</v>
      </c>
      <c r="G395">
        <v>0</v>
      </c>
      <c r="H395" s="1">
        <v>41382</v>
      </c>
      <c r="I395">
        <v>86</v>
      </c>
      <c r="J395">
        <v>102</v>
      </c>
      <c r="K395">
        <v>9</v>
      </c>
      <c r="L395">
        <v>63</v>
      </c>
      <c r="M395">
        <v>2</v>
      </c>
      <c r="N395">
        <v>9</v>
      </c>
      <c r="O395">
        <v>24</v>
      </c>
      <c r="P395">
        <v>1</v>
      </c>
      <c r="Q395">
        <v>4</v>
      </c>
      <c r="R395">
        <v>1</v>
      </c>
      <c r="S395">
        <v>4</v>
      </c>
      <c r="T395">
        <v>6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3</v>
      </c>
      <c r="AB395">
        <v>11</v>
      </c>
      <c r="AC395">
        <v>0</v>
      </c>
    </row>
    <row r="396" spans="1:29" x14ac:dyDescent="0.3">
      <c r="A396">
        <v>7683</v>
      </c>
      <c r="B396">
        <v>1968</v>
      </c>
      <c r="C396" t="s">
        <v>34</v>
      </c>
      <c r="D396" t="s">
        <v>33</v>
      </c>
      <c r="E396">
        <v>70777</v>
      </c>
      <c r="F396">
        <v>0</v>
      </c>
      <c r="G396">
        <v>1</v>
      </c>
      <c r="H396" s="1">
        <v>41695</v>
      </c>
      <c r="I396">
        <v>80</v>
      </c>
      <c r="J396">
        <v>554</v>
      </c>
      <c r="K396">
        <v>35</v>
      </c>
      <c r="L396">
        <v>113</v>
      </c>
      <c r="M396">
        <v>0</v>
      </c>
      <c r="N396">
        <v>7</v>
      </c>
      <c r="O396">
        <v>78</v>
      </c>
      <c r="P396">
        <v>3</v>
      </c>
      <c r="Q396">
        <v>5</v>
      </c>
      <c r="R396">
        <v>3</v>
      </c>
      <c r="S396">
        <v>12</v>
      </c>
      <c r="T396">
        <v>3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3</v>
      </c>
      <c r="AB396">
        <v>11</v>
      </c>
      <c r="AC396">
        <v>0</v>
      </c>
    </row>
    <row r="397" spans="1:29" x14ac:dyDescent="0.3">
      <c r="A397">
        <v>3428</v>
      </c>
      <c r="B397">
        <v>1991</v>
      </c>
      <c r="C397" t="s">
        <v>32</v>
      </c>
      <c r="D397" t="s">
        <v>31</v>
      </c>
      <c r="E397">
        <v>68682</v>
      </c>
      <c r="F397">
        <v>0</v>
      </c>
      <c r="G397">
        <v>0</v>
      </c>
      <c r="H397" s="1">
        <v>41553</v>
      </c>
      <c r="I397">
        <v>56</v>
      </c>
      <c r="J397">
        <v>919</v>
      </c>
      <c r="K397">
        <v>0</v>
      </c>
      <c r="L397">
        <v>505</v>
      </c>
      <c r="M397">
        <v>99</v>
      </c>
      <c r="N397">
        <v>30</v>
      </c>
      <c r="O397">
        <v>45</v>
      </c>
      <c r="P397">
        <v>1</v>
      </c>
      <c r="Q397">
        <v>4</v>
      </c>
      <c r="R397">
        <v>9</v>
      </c>
      <c r="S397">
        <v>10</v>
      </c>
      <c r="T397">
        <v>2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3</v>
      </c>
      <c r="AB397">
        <v>11</v>
      </c>
      <c r="AC397">
        <v>0</v>
      </c>
    </row>
    <row r="398" spans="1:29" x14ac:dyDescent="0.3">
      <c r="A398">
        <v>7414</v>
      </c>
      <c r="B398">
        <v>1971</v>
      </c>
      <c r="C398" t="s">
        <v>29</v>
      </c>
      <c r="D398" t="s">
        <v>33</v>
      </c>
      <c r="E398">
        <v>43824</v>
      </c>
      <c r="F398">
        <v>1</v>
      </c>
      <c r="G398">
        <v>1</v>
      </c>
      <c r="H398" s="1">
        <v>41167</v>
      </c>
      <c r="I398">
        <v>18</v>
      </c>
      <c r="J398">
        <v>96</v>
      </c>
      <c r="K398">
        <v>1</v>
      </c>
      <c r="L398">
        <v>42</v>
      </c>
      <c r="M398">
        <v>12</v>
      </c>
      <c r="N398">
        <v>3</v>
      </c>
      <c r="O398">
        <v>32</v>
      </c>
      <c r="P398">
        <v>4</v>
      </c>
      <c r="Q398">
        <v>3</v>
      </c>
      <c r="R398">
        <v>1</v>
      </c>
      <c r="S398">
        <v>4</v>
      </c>
      <c r="T398">
        <v>8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3</v>
      </c>
      <c r="AB398">
        <v>11</v>
      </c>
      <c r="AC398">
        <v>0</v>
      </c>
    </row>
    <row r="399" spans="1:29" x14ac:dyDescent="0.3">
      <c r="A399">
        <v>6354</v>
      </c>
      <c r="B399">
        <v>1984</v>
      </c>
      <c r="C399" t="s">
        <v>29</v>
      </c>
      <c r="D399" t="s">
        <v>31</v>
      </c>
      <c r="E399">
        <v>15345</v>
      </c>
      <c r="F399">
        <v>1</v>
      </c>
      <c r="G399">
        <v>0</v>
      </c>
      <c r="H399" s="1">
        <v>41152</v>
      </c>
      <c r="I399">
        <v>51</v>
      </c>
      <c r="J399">
        <v>5</v>
      </c>
      <c r="K399">
        <v>2</v>
      </c>
      <c r="L399">
        <v>16</v>
      </c>
      <c r="M399">
        <v>3</v>
      </c>
      <c r="N399">
        <v>2</v>
      </c>
      <c r="O399">
        <v>19</v>
      </c>
      <c r="P399">
        <v>2</v>
      </c>
      <c r="Q399">
        <v>1</v>
      </c>
      <c r="R399">
        <v>1</v>
      </c>
      <c r="S399">
        <v>2</v>
      </c>
      <c r="T399">
        <v>8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3</v>
      </c>
      <c r="AB399">
        <v>11</v>
      </c>
      <c r="AC399">
        <v>1</v>
      </c>
    </row>
    <row r="400" spans="1:29" x14ac:dyDescent="0.3">
      <c r="A400">
        <v>798</v>
      </c>
      <c r="B400">
        <v>1987</v>
      </c>
      <c r="C400" t="s">
        <v>29</v>
      </c>
      <c r="D400" t="s">
        <v>30</v>
      </c>
      <c r="E400">
        <v>23442</v>
      </c>
      <c r="F400">
        <v>1</v>
      </c>
      <c r="G400">
        <v>0</v>
      </c>
      <c r="H400" s="1">
        <v>41267</v>
      </c>
      <c r="I400">
        <v>71</v>
      </c>
      <c r="J400">
        <v>2</v>
      </c>
      <c r="K400">
        <v>0</v>
      </c>
      <c r="L400">
        <v>6</v>
      </c>
      <c r="M400">
        <v>8</v>
      </c>
      <c r="N400">
        <v>6</v>
      </c>
      <c r="O400">
        <v>5</v>
      </c>
      <c r="P400">
        <v>1</v>
      </c>
      <c r="Q400">
        <v>1</v>
      </c>
      <c r="R400">
        <v>0</v>
      </c>
      <c r="S400">
        <v>3</v>
      </c>
      <c r="T400">
        <v>7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3</v>
      </c>
      <c r="AB400">
        <v>11</v>
      </c>
      <c r="AC400">
        <v>0</v>
      </c>
    </row>
    <row r="401" spans="1:29" x14ac:dyDescent="0.3">
      <c r="A401">
        <v>8213</v>
      </c>
      <c r="B401">
        <v>1980</v>
      </c>
      <c r="C401" t="s">
        <v>37</v>
      </c>
      <c r="D401" t="s">
        <v>31</v>
      </c>
      <c r="E401">
        <v>14515</v>
      </c>
      <c r="F401">
        <v>1</v>
      </c>
      <c r="G401">
        <v>0</v>
      </c>
      <c r="H401" s="1">
        <v>41222</v>
      </c>
      <c r="I401">
        <v>71</v>
      </c>
      <c r="J401">
        <v>6</v>
      </c>
      <c r="K401">
        <v>4</v>
      </c>
      <c r="L401">
        <v>9</v>
      </c>
      <c r="M401">
        <v>6</v>
      </c>
      <c r="N401">
        <v>36</v>
      </c>
      <c r="O401">
        <v>35</v>
      </c>
      <c r="P401">
        <v>4</v>
      </c>
      <c r="Q401">
        <v>2</v>
      </c>
      <c r="R401">
        <v>2</v>
      </c>
      <c r="S401">
        <v>3</v>
      </c>
      <c r="T401">
        <v>7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3</v>
      </c>
      <c r="AB401">
        <v>11</v>
      </c>
      <c r="AC401">
        <v>1</v>
      </c>
    </row>
    <row r="402" spans="1:29" x14ac:dyDescent="0.3">
      <c r="A402">
        <v>2488</v>
      </c>
      <c r="B402">
        <v>1956</v>
      </c>
      <c r="C402" t="s">
        <v>37</v>
      </c>
      <c r="D402" t="s">
        <v>35</v>
      </c>
      <c r="E402">
        <v>31395</v>
      </c>
      <c r="F402">
        <v>1</v>
      </c>
      <c r="G402">
        <v>1</v>
      </c>
      <c r="H402" s="1">
        <v>41356</v>
      </c>
      <c r="I402">
        <v>80</v>
      </c>
      <c r="J402">
        <v>23</v>
      </c>
      <c r="K402">
        <v>1</v>
      </c>
      <c r="L402">
        <v>25</v>
      </c>
      <c r="M402">
        <v>0</v>
      </c>
      <c r="N402">
        <v>8</v>
      </c>
      <c r="O402">
        <v>7</v>
      </c>
      <c r="P402">
        <v>4</v>
      </c>
      <c r="Q402">
        <v>2</v>
      </c>
      <c r="R402">
        <v>1</v>
      </c>
      <c r="S402">
        <v>3</v>
      </c>
      <c r="T402">
        <v>6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3</v>
      </c>
      <c r="AB402">
        <v>11</v>
      </c>
      <c r="AC402">
        <v>0</v>
      </c>
    </row>
    <row r="403" spans="1:29" x14ac:dyDescent="0.3">
      <c r="A403">
        <v>9999</v>
      </c>
      <c r="B403">
        <v>1965</v>
      </c>
      <c r="C403" t="s">
        <v>29</v>
      </c>
      <c r="D403" t="s">
        <v>31</v>
      </c>
      <c r="E403">
        <v>75276</v>
      </c>
      <c r="F403">
        <v>0</v>
      </c>
      <c r="G403">
        <v>0</v>
      </c>
      <c r="H403" s="1">
        <v>41179</v>
      </c>
      <c r="I403">
        <v>2</v>
      </c>
      <c r="J403">
        <v>610</v>
      </c>
      <c r="K403">
        <v>105</v>
      </c>
      <c r="L403">
        <v>125</v>
      </c>
      <c r="M403">
        <v>137</v>
      </c>
      <c r="N403">
        <v>42</v>
      </c>
      <c r="O403">
        <v>21</v>
      </c>
      <c r="P403">
        <v>1</v>
      </c>
      <c r="Q403">
        <v>9</v>
      </c>
      <c r="R403">
        <v>4</v>
      </c>
      <c r="S403">
        <v>9</v>
      </c>
      <c r="T403">
        <v>5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3</v>
      </c>
      <c r="AB403">
        <v>11</v>
      </c>
      <c r="AC403">
        <v>0</v>
      </c>
    </row>
    <row r="404" spans="1:29" x14ac:dyDescent="0.3">
      <c r="A404">
        <v>7617</v>
      </c>
      <c r="B404">
        <v>1974</v>
      </c>
      <c r="C404" t="s">
        <v>29</v>
      </c>
      <c r="D404" t="s">
        <v>30</v>
      </c>
      <c r="E404">
        <v>42373</v>
      </c>
      <c r="F404">
        <v>1</v>
      </c>
      <c r="G404">
        <v>1</v>
      </c>
      <c r="H404" s="1">
        <v>41501</v>
      </c>
      <c r="I404">
        <v>83</v>
      </c>
      <c r="J404">
        <v>67</v>
      </c>
      <c r="K404">
        <v>5</v>
      </c>
      <c r="L404">
        <v>61</v>
      </c>
      <c r="M404">
        <v>3</v>
      </c>
      <c r="N404">
        <v>8</v>
      </c>
      <c r="O404">
        <v>19</v>
      </c>
      <c r="P404">
        <v>5</v>
      </c>
      <c r="Q404">
        <v>2</v>
      </c>
      <c r="R404">
        <v>1</v>
      </c>
      <c r="S404">
        <v>5</v>
      </c>
      <c r="T404">
        <v>5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3</v>
      </c>
      <c r="AB404">
        <v>11</v>
      </c>
      <c r="AC404">
        <v>0</v>
      </c>
    </row>
    <row r="405" spans="1:29" x14ac:dyDescent="0.3">
      <c r="A405">
        <v>615</v>
      </c>
      <c r="B405">
        <v>1960</v>
      </c>
      <c r="C405" t="s">
        <v>29</v>
      </c>
      <c r="D405" t="s">
        <v>31</v>
      </c>
      <c r="E405">
        <v>30507</v>
      </c>
      <c r="F405">
        <v>0</v>
      </c>
      <c r="G405">
        <v>0</v>
      </c>
      <c r="H405" s="1">
        <v>41344</v>
      </c>
      <c r="I405">
        <v>29</v>
      </c>
      <c r="J405">
        <v>65</v>
      </c>
      <c r="K405">
        <v>36</v>
      </c>
      <c r="L405">
        <v>74</v>
      </c>
      <c r="M405">
        <v>38</v>
      </c>
      <c r="N405">
        <v>20</v>
      </c>
      <c r="O405">
        <v>110</v>
      </c>
      <c r="P405">
        <v>1</v>
      </c>
      <c r="Q405">
        <v>5</v>
      </c>
      <c r="R405">
        <v>1</v>
      </c>
      <c r="S405">
        <v>4</v>
      </c>
      <c r="T405">
        <v>7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3</v>
      </c>
      <c r="AB405">
        <v>11</v>
      </c>
      <c r="AC405">
        <v>0</v>
      </c>
    </row>
    <row r="406" spans="1:29" x14ac:dyDescent="0.3">
      <c r="A406">
        <v>2552</v>
      </c>
      <c r="B406">
        <v>1955</v>
      </c>
      <c r="C406" t="s">
        <v>32</v>
      </c>
      <c r="D406" t="s">
        <v>30</v>
      </c>
      <c r="E406">
        <v>55521</v>
      </c>
      <c r="F406">
        <v>1</v>
      </c>
      <c r="G406">
        <v>2</v>
      </c>
      <c r="H406" s="1">
        <v>41569</v>
      </c>
      <c r="I406">
        <v>11</v>
      </c>
      <c r="J406">
        <v>416</v>
      </c>
      <c r="K406">
        <v>0</v>
      </c>
      <c r="L406">
        <v>26</v>
      </c>
      <c r="M406">
        <v>0</v>
      </c>
      <c r="N406">
        <v>0</v>
      </c>
      <c r="O406">
        <v>4</v>
      </c>
      <c r="P406">
        <v>9</v>
      </c>
      <c r="Q406">
        <v>6</v>
      </c>
      <c r="R406">
        <v>3</v>
      </c>
      <c r="S406">
        <v>6</v>
      </c>
      <c r="T406">
        <v>7</v>
      </c>
      <c r="U406">
        <v>0</v>
      </c>
      <c r="V406">
        <v>1</v>
      </c>
      <c r="W406">
        <v>0</v>
      </c>
      <c r="X406">
        <v>0</v>
      </c>
      <c r="Y406">
        <v>0</v>
      </c>
      <c r="Z406">
        <v>0</v>
      </c>
      <c r="AA406">
        <v>3</v>
      </c>
      <c r="AB406">
        <v>11</v>
      </c>
      <c r="AC406">
        <v>1</v>
      </c>
    </row>
    <row r="407" spans="1:29" x14ac:dyDescent="0.3">
      <c r="A407">
        <v>194</v>
      </c>
      <c r="B407">
        <v>1965</v>
      </c>
      <c r="C407" t="s">
        <v>29</v>
      </c>
      <c r="D407" t="s">
        <v>33</v>
      </c>
      <c r="E407">
        <v>48006</v>
      </c>
      <c r="F407">
        <v>1</v>
      </c>
      <c r="G407">
        <v>1</v>
      </c>
      <c r="H407" s="1">
        <v>41799</v>
      </c>
      <c r="I407">
        <v>55</v>
      </c>
      <c r="J407">
        <v>23</v>
      </c>
      <c r="K407">
        <v>0</v>
      </c>
      <c r="L407">
        <v>11</v>
      </c>
      <c r="M407">
        <v>3</v>
      </c>
      <c r="N407">
        <v>2</v>
      </c>
      <c r="O407">
        <v>2</v>
      </c>
      <c r="P407">
        <v>1</v>
      </c>
      <c r="Q407">
        <v>1</v>
      </c>
      <c r="R407">
        <v>0</v>
      </c>
      <c r="S407">
        <v>3</v>
      </c>
      <c r="T407">
        <v>6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3</v>
      </c>
      <c r="AB407">
        <v>11</v>
      </c>
      <c r="AC407">
        <v>0</v>
      </c>
    </row>
    <row r="408" spans="1:29" x14ac:dyDescent="0.3">
      <c r="A408">
        <v>3645</v>
      </c>
      <c r="B408">
        <v>1972</v>
      </c>
      <c r="C408" t="s">
        <v>32</v>
      </c>
      <c r="D408" t="s">
        <v>30</v>
      </c>
      <c r="E408">
        <v>27213</v>
      </c>
      <c r="F408">
        <v>1</v>
      </c>
      <c r="G408">
        <v>0</v>
      </c>
      <c r="H408" s="1">
        <v>41151</v>
      </c>
      <c r="I408">
        <v>19</v>
      </c>
      <c r="J408">
        <v>19</v>
      </c>
      <c r="K408">
        <v>3</v>
      </c>
      <c r="L408">
        <v>26</v>
      </c>
      <c r="M408">
        <v>10</v>
      </c>
      <c r="N408">
        <v>9</v>
      </c>
      <c r="O408">
        <v>3</v>
      </c>
      <c r="P408">
        <v>3</v>
      </c>
      <c r="Q408">
        <v>2</v>
      </c>
      <c r="R408">
        <v>0</v>
      </c>
      <c r="S408">
        <v>4</v>
      </c>
      <c r="T408">
        <v>8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3</v>
      </c>
      <c r="AB408">
        <v>11</v>
      </c>
      <c r="AC408">
        <v>1</v>
      </c>
    </row>
    <row r="409" spans="1:29" x14ac:dyDescent="0.3">
      <c r="A409">
        <v>8890</v>
      </c>
      <c r="B409">
        <v>1971</v>
      </c>
      <c r="C409" t="s">
        <v>32</v>
      </c>
      <c r="D409" t="s">
        <v>35</v>
      </c>
      <c r="E409">
        <v>65808</v>
      </c>
      <c r="F409">
        <v>1</v>
      </c>
      <c r="G409">
        <v>1</v>
      </c>
      <c r="H409" s="1">
        <v>41789</v>
      </c>
      <c r="I409">
        <v>1</v>
      </c>
      <c r="J409">
        <v>155</v>
      </c>
      <c r="K409">
        <v>7</v>
      </c>
      <c r="L409">
        <v>80</v>
      </c>
      <c r="M409">
        <v>13</v>
      </c>
      <c r="N409">
        <v>7</v>
      </c>
      <c r="O409">
        <v>10</v>
      </c>
      <c r="P409">
        <v>3</v>
      </c>
      <c r="Q409">
        <v>5</v>
      </c>
      <c r="R409">
        <v>1</v>
      </c>
      <c r="S409">
        <v>5</v>
      </c>
      <c r="T409">
        <v>6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3</v>
      </c>
      <c r="AB409">
        <v>11</v>
      </c>
      <c r="AC409">
        <v>0</v>
      </c>
    </row>
    <row r="410" spans="1:29" x14ac:dyDescent="0.3">
      <c r="A410">
        <v>5049</v>
      </c>
      <c r="B410">
        <v>1974</v>
      </c>
      <c r="C410" t="s">
        <v>32</v>
      </c>
      <c r="D410" t="s">
        <v>31</v>
      </c>
      <c r="E410">
        <v>30351</v>
      </c>
      <c r="F410">
        <v>1</v>
      </c>
      <c r="G410">
        <v>0</v>
      </c>
      <c r="H410" s="1">
        <v>41431</v>
      </c>
      <c r="I410">
        <v>19</v>
      </c>
      <c r="J410">
        <v>14</v>
      </c>
      <c r="K410">
        <v>0</v>
      </c>
      <c r="L410">
        <v>24</v>
      </c>
      <c r="M410">
        <v>3</v>
      </c>
      <c r="N410">
        <v>3</v>
      </c>
      <c r="O410">
        <v>2</v>
      </c>
      <c r="P410">
        <v>1</v>
      </c>
      <c r="Q410">
        <v>3</v>
      </c>
      <c r="R410">
        <v>0</v>
      </c>
      <c r="S410">
        <v>2</v>
      </c>
      <c r="T410">
        <v>9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3</v>
      </c>
      <c r="AB410">
        <v>11</v>
      </c>
      <c r="AC410">
        <v>0</v>
      </c>
    </row>
    <row r="411" spans="1:29" x14ac:dyDescent="0.3">
      <c r="A411">
        <v>9973</v>
      </c>
      <c r="B411">
        <v>1963</v>
      </c>
      <c r="C411" t="s">
        <v>29</v>
      </c>
      <c r="D411" t="s">
        <v>33</v>
      </c>
      <c r="E411">
        <v>50437</v>
      </c>
      <c r="F411">
        <v>0</v>
      </c>
      <c r="G411">
        <v>2</v>
      </c>
      <c r="H411" s="1">
        <v>41199</v>
      </c>
      <c r="I411">
        <v>28</v>
      </c>
      <c r="J411">
        <v>370</v>
      </c>
      <c r="K411">
        <v>9</v>
      </c>
      <c r="L411">
        <v>92</v>
      </c>
      <c r="M411">
        <v>6</v>
      </c>
      <c r="N411">
        <v>9</v>
      </c>
      <c r="O411">
        <v>4</v>
      </c>
      <c r="P411">
        <v>3</v>
      </c>
      <c r="Q411">
        <v>7</v>
      </c>
      <c r="R411">
        <v>1</v>
      </c>
      <c r="S411">
        <v>8</v>
      </c>
      <c r="T411">
        <v>7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3</v>
      </c>
      <c r="AB411">
        <v>11</v>
      </c>
      <c r="AC411">
        <v>0</v>
      </c>
    </row>
    <row r="412" spans="1:29" x14ac:dyDescent="0.3">
      <c r="A412">
        <v>7301</v>
      </c>
      <c r="B412">
        <v>1982</v>
      </c>
      <c r="C412" t="s">
        <v>37</v>
      </c>
      <c r="D412" t="s">
        <v>30</v>
      </c>
      <c r="E412">
        <v>23616</v>
      </c>
      <c r="F412">
        <v>1</v>
      </c>
      <c r="G412">
        <v>0</v>
      </c>
      <c r="H412" s="1">
        <v>41230</v>
      </c>
      <c r="I412">
        <v>76</v>
      </c>
      <c r="J412">
        <v>4</v>
      </c>
      <c r="K412">
        <v>22</v>
      </c>
      <c r="L412">
        <v>11</v>
      </c>
      <c r="M412">
        <v>3</v>
      </c>
      <c r="N412">
        <v>7</v>
      </c>
      <c r="O412">
        <v>32</v>
      </c>
      <c r="P412">
        <v>2</v>
      </c>
      <c r="Q412">
        <v>3</v>
      </c>
      <c r="R412">
        <v>0</v>
      </c>
      <c r="S412">
        <v>3</v>
      </c>
      <c r="T412">
        <v>8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3</v>
      </c>
      <c r="AB412">
        <v>11</v>
      </c>
      <c r="AC412">
        <v>1</v>
      </c>
    </row>
    <row r="413" spans="1:29" x14ac:dyDescent="0.3">
      <c r="A413">
        <v>10882</v>
      </c>
      <c r="B413">
        <v>1976</v>
      </c>
      <c r="C413" t="s">
        <v>29</v>
      </c>
      <c r="D413" t="s">
        <v>33</v>
      </c>
      <c r="E413">
        <v>53858</v>
      </c>
      <c r="F413">
        <v>0</v>
      </c>
      <c r="G413">
        <v>1</v>
      </c>
      <c r="H413" s="1">
        <v>41222</v>
      </c>
      <c r="I413">
        <v>50</v>
      </c>
      <c r="J413">
        <v>407</v>
      </c>
      <c r="K413">
        <v>53</v>
      </c>
      <c r="L413">
        <v>221</v>
      </c>
      <c r="M413">
        <v>58</v>
      </c>
      <c r="N413">
        <v>150</v>
      </c>
      <c r="O413">
        <v>26</v>
      </c>
      <c r="P413">
        <v>4</v>
      </c>
      <c r="Q413">
        <v>4</v>
      </c>
      <c r="R413">
        <v>3</v>
      </c>
      <c r="S413">
        <v>6</v>
      </c>
      <c r="T413">
        <v>4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3</v>
      </c>
      <c r="AB413">
        <v>11</v>
      </c>
      <c r="AC413">
        <v>0</v>
      </c>
    </row>
    <row r="414" spans="1:29" x14ac:dyDescent="0.3">
      <c r="A414">
        <v>7030</v>
      </c>
      <c r="B414">
        <v>1955</v>
      </c>
      <c r="C414" t="s">
        <v>32</v>
      </c>
      <c r="D414" t="s">
        <v>33</v>
      </c>
      <c r="E414">
        <v>66465</v>
      </c>
      <c r="F414">
        <v>0</v>
      </c>
      <c r="G414">
        <v>1</v>
      </c>
      <c r="H414" s="1">
        <v>41363</v>
      </c>
      <c r="I414">
        <v>1</v>
      </c>
      <c r="J414">
        <v>1200</v>
      </c>
      <c r="K414">
        <v>0</v>
      </c>
      <c r="L414">
        <v>204</v>
      </c>
      <c r="M414">
        <v>38</v>
      </c>
      <c r="N414">
        <v>29</v>
      </c>
      <c r="O414">
        <v>14</v>
      </c>
      <c r="P414">
        <v>3</v>
      </c>
      <c r="Q414">
        <v>11</v>
      </c>
      <c r="R414">
        <v>9</v>
      </c>
      <c r="S414">
        <v>12</v>
      </c>
      <c r="T414">
        <v>6</v>
      </c>
      <c r="U414">
        <v>0</v>
      </c>
      <c r="V414">
        <v>0</v>
      </c>
      <c r="W414">
        <v>0</v>
      </c>
      <c r="X414">
        <v>1</v>
      </c>
      <c r="Y414">
        <v>0</v>
      </c>
      <c r="Z414">
        <v>0</v>
      </c>
      <c r="AA414">
        <v>3</v>
      </c>
      <c r="AB414">
        <v>11</v>
      </c>
      <c r="AC414">
        <v>0</v>
      </c>
    </row>
    <row r="415" spans="1:29" x14ac:dyDescent="0.3">
      <c r="A415">
        <v>7422</v>
      </c>
      <c r="B415">
        <v>1987</v>
      </c>
      <c r="C415" t="s">
        <v>29</v>
      </c>
      <c r="D415" t="s">
        <v>30</v>
      </c>
      <c r="E415">
        <v>46923</v>
      </c>
      <c r="F415">
        <v>1</v>
      </c>
      <c r="G415">
        <v>0</v>
      </c>
      <c r="H415" s="1">
        <v>41143</v>
      </c>
      <c r="I415">
        <v>90</v>
      </c>
      <c r="J415">
        <v>85</v>
      </c>
      <c r="K415">
        <v>44</v>
      </c>
      <c r="L415">
        <v>54</v>
      </c>
      <c r="M415">
        <v>102</v>
      </c>
      <c r="N415">
        <v>78</v>
      </c>
      <c r="O415">
        <v>6</v>
      </c>
      <c r="P415">
        <v>3</v>
      </c>
      <c r="Q415">
        <v>5</v>
      </c>
      <c r="R415">
        <v>1</v>
      </c>
      <c r="S415">
        <v>7</v>
      </c>
      <c r="T415">
        <v>7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3</v>
      </c>
      <c r="AB415">
        <v>11</v>
      </c>
      <c r="AC415">
        <v>0</v>
      </c>
    </row>
    <row r="416" spans="1:29" x14ac:dyDescent="0.3">
      <c r="A416">
        <v>3523</v>
      </c>
      <c r="B416">
        <v>1962</v>
      </c>
      <c r="C416" t="s">
        <v>29</v>
      </c>
      <c r="D416" t="s">
        <v>31</v>
      </c>
      <c r="E416">
        <v>75072</v>
      </c>
      <c r="F416">
        <v>0</v>
      </c>
      <c r="G416">
        <v>1</v>
      </c>
      <c r="H416" s="1">
        <v>41297</v>
      </c>
      <c r="I416">
        <v>83</v>
      </c>
      <c r="J416">
        <v>583</v>
      </c>
      <c r="K416">
        <v>34</v>
      </c>
      <c r="L416">
        <v>309</v>
      </c>
      <c r="M416">
        <v>0</v>
      </c>
      <c r="N416">
        <v>22</v>
      </c>
      <c r="O416">
        <v>125</v>
      </c>
      <c r="P416">
        <v>2</v>
      </c>
      <c r="Q416">
        <v>5</v>
      </c>
      <c r="R416">
        <v>4</v>
      </c>
      <c r="S416">
        <v>8</v>
      </c>
      <c r="T416">
        <v>3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3</v>
      </c>
      <c r="AB416">
        <v>11</v>
      </c>
      <c r="AC416">
        <v>0</v>
      </c>
    </row>
    <row r="417" spans="1:29" x14ac:dyDescent="0.3">
      <c r="A417">
        <v>7106</v>
      </c>
      <c r="B417">
        <v>1943</v>
      </c>
      <c r="C417" t="s">
        <v>32</v>
      </c>
      <c r="D417" t="s">
        <v>33</v>
      </c>
      <c r="E417">
        <v>75865</v>
      </c>
      <c r="F417">
        <v>0</v>
      </c>
      <c r="G417">
        <v>0</v>
      </c>
      <c r="H417" s="1">
        <v>41729</v>
      </c>
      <c r="I417">
        <v>73</v>
      </c>
      <c r="J417">
        <v>483</v>
      </c>
      <c r="K417">
        <v>0</v>
      </c>
      <c r="L417">
        <v>591</v>
      </c>
      <c r="M417">
        <v>156</v>
      </c>
      <c r="N417">
        <v>0</v>
      </c>
      <c r="O417">
        <v>12</v>
      </c>
      <c r="P417">
        <v>1</v>
      </c>
      <c r="Q417">
        <v>3</v>
      </c>
      <c r="R417">
        <v>5</v>
      </c>
      <c r="S417">
        <v>10</v>
      </c>
      <c r="T417">
        <v>1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3</v>
      </c>
      <c r="AB417">
        <v>11</v>
      </c>
      <c r="AC417">
        <v>0</v>
      </c>
    </row>
    <row r="418" spans="1:29" x14ac:dyDescent="0.3">
      <c r="A418">
        <v>6504</v>
      </c>
      <c r="B418">
        <v>1975</v>
      </c>
      <c r="C418" t="s">
        <v>37</v>
      </c>
      <c r="D418" t="s">
        <v>31</v>
      </c>
      <c r="E418">
        <v>19789</v>
      </c>
      <c r="F418">
        <v>1</v>
      </c>
      <c r="G418">
        <v>0</v>
      </c>
      <c r="H418" s="1">
        <v>41598</v>
      </c>
      <c r="I418">
        <v>24</v>
      </c>
      <c r="J418">
        <v>2</v>
      </c>
      <c r="K418">
        <v>5</v>
      </c>
      <c r="L418">
        <v>9</v>
      </c>
      <c r="M418">
        <v>28</v>
      </c>
      <c r="N418">
        <v>6</v>
      </c>
      <c r="O418">
        <v>28</v>
      </c>
      <c r="P418">
        <v>3</v>
      </c>
      <c r="Q418">
        <v>2</v>
      </c>
      <c r="R418">
        <v>1</v>
      </c>
      <c r="S418">
        <v>3</v>
      </c>
      <c r="T418">
        <v>5</v>
      </c>
      <c r="U418">
        <v>1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3</v>
      </c>
      <c r="AB418">
        <v>11</v>
      </c>
      <c r="AC418">
        <v>0</v>
      </c>
    </row>
    <row r="419" spans="1:29" x14ac:dyDescent="0.3">
      <c r="A419">
        <v>5067</v>
      </c>
      <c r="B419">
        <v>1994</v>
      </c>
      <c r="C419" t="s">
        <v>29</v>
      </c>
      <c r="D419" t="s">
        <v>31</v>
      </c>
      <c r="E419">
        <v>80134</v>
      </c>
      <c r="F419">
        <v>0</v>
      </c>
      <c r="G419">
        <v>0</v>
      </c>
      <c r="H419" s="1">
        <v>41684</v>
      </c>
      <c r="I419">
        <v>11</v>
      </c>
      <c r="J419">
        <v>966</v>
      </c>
      <c r="K419">
        <v>26</v>
      </c>
      <c r="L419">
        <v>282</v>
      </c>
      <c r="M419">
        <v>52</v>
      </c>
      <c r="N419">
        <v>26</v>
      </c>
      <c r="O419">
        <v>26</v>
      </c>
      <c r="P419">
        <v>1</v>
      </c>
      <c r="Q419">
        <v>2</v>
      </c>
      <c r="R419">
        <v>7</v>
      </c>
      <c r="S419">
        <v>11</v>
      </c>
      <c r="T419">
        <v>5</v>
      </c>
      <c r="U419">
        <v>0</v>
      </c>
      <c r="V419">
        <v>1</v>
      </c>
      <c r="W419">
        <v>1</v>
      </c>
      <c r="X419">
        <v>1</v>
      </c>
      <c r="Y419">
        <v>1</v>
      </c>
      <c r="Z419">
        <v>0</v>
      </c>
      <c r="AA419">
        <v>3</v>
      </c>
      <c r="AB419">
        <v>11</v>
      </c>
      <c r="AC419">
        <v>0</v>
      </c>
    </row>
    <row r="420" spans="1:29" x14ac:dyDescent="0.3">
      <c r="A420">
        <v>4216</v>
      </c>
      <c r="B420">
        <v>1981</v>
      </c>
      <c r="C420" t="s">
        <v>29</v>
      </c>
      <c r="D420" t="s">
        <v>30</v>
      </c>
      <c r="E420">
        <v>91065</v>
      </c>
      <c r="F420">
        <v>0</v>
      </c>
      <c r="G420">
        <v>0</v>
      </c>
      <c r="H420" s="1">
        <v>41327</v>
      </c>
      <c r="I420">
        <v>33</v>
      </c>
      <c r="J420">
        <v>822</v>
      </c>
      <c r="K420">
        <v>114</v>
      </c>
      <c r="L420">
        <v>108</v>
      </c>
      <c r="M420">
        <v>179</v>
      </c>
      <c r="N420">
        <v>137</v>
      </c>
      <c r="O420">
        <v>114</v>
      </c>
      <c r="P420">
        <v>1</v>
      </c>
      <c r="Q420">
        <v>7</v>
      </c>
      <c r="R420">
        <v>9</v>
      </c>
      <c r="S420">
        <v>9</v>
      </c>
      <c r="T420">
        <v>3</v>
      </c>
      <c r="U420">
        <v>0</v>
      </c>
      <c r="V420">
        <v>0</v>
      </c>
      <c r="W420">
        <v>1</v>
      </c>
      <c r="X420">
        <v>1</v>
      </c>
      <c r="Y420">
        <v>0</v>
      </c>
      <c r="Z420">
        <v>0</v>
      </c>
      <c r="AA420">
        <v>3</v>
      </c>
      <c r="AB420">
        <v>11</v>
      </c>
      <c r="AC420">
        <v>1</v>
      </c>
    </row>
    <row r="421" spans="1:29" x14ac:dyDescent="0.3">
      <c r="A421">
        <v>8581</v>
      </c>
      <c r="B421">
        <v>1971</v>
      </c>
      <c r="C421" t="s">
        <v>34</v>
      </c>
      <c r="D421" t="s">
        <v>33</v>
      </c>
      <c r="E421">
        <v>49505</v>
      </c>
      <c r="F421">
        <v>1</v>
      </c>
      <c r="G421">
        <v>1</v>
      </c>
      <c r="H421" s="1">
        <v>41338</v>
      </c>
      <c r="I421">
        <v>4</v>
      </c>
      <c r="J421">
        <v>604</v>
      </c>
      <c r="K421">
        <v>0</v>
      </c>
      <c r="L421">
        <v>100</v>
      </c>
      <c r="M421">
        <v>19</v>
      </c>
      <c r="N421">
        <v>0</v>
      </c>
      <c r="O421">
        <v>28</v>
      </c>
      <c r="P421">
        <v>9</v>
      </c>
      <c r="Q421">
        <v>10</v>
      </c>
      <c r="R421">
        <v>2</v>
      </c>
      <c r="S421">
        <v>8</v>
      </c>
      <c r="T421">
        <v>8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3</v>
      </c>
      <c r="AB421">
        <v>11</v>
      </c>
      <c r="AC421">
        <v>0</v>
      </c>
    </row>
    <row r="422" spans="1:29" x14ac:dyDescent="0.3">
      <c r="A422">
        <v>5929</v>
      </c>
      <c r="B422">
        <v>1973</v>
      </c>
      <c r="C422" t="s">
        <v>32</v>
      </c>
      <c r="D422" t="s">
        <v>33</v>
      </c>
      <c r="E422">
        <v>37401</v>
      </c>
      <c r="F422">
        <v>1</v>
      </c>
      <c r="G422">
        <v>0</v>
      </c>
      <c r="H422" s="1">
        <v>41765</v>
      </c>
      <c r="I422">
        <v>14</v>
      </c>
      <c r="J422">
        <v>19</v>
      </c>
      <c r="K422">
        <v>3</v>
      </c>
      <c r="L422">
        <v>19</v>
      </c>
      <c r="M422">
        <v>3</v>
      </c>
      <c r="N422">
        <v>1</v>
      </c>
      <c r="O422">
        <v>3</v>
      </c>
      <c r="P422">
        <v>2</v>
      </c>
      <c r="Q422">
        <v>2</v>
      </c>
      <c r="R422">
        <v>0</v>
      </c>
      <c r="S422">
        <v>3</v>
      </c>
      <c r="T422">
        <v>7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3</v>
      </c>
      <c r="AB422">
        <v>11</v>
      </c>
      <c r="AC422">
        <v>0</v>
      </c>
    </row>
    <row r="423" spans="1:29" x14ac:dyDescent="0.3">
      <c r="A423">
        <v>3129</v>
      </c>
      <c r="B423">
        <v>1983</v>
      </c>
      <c r="C423" t="s">
        <v>29</v>
      </c>
      <c r="D423" t="s">
        <v>33</v>
      </c>
      <c r="E423">
        <v>30096</v>
      </c>
      <c r="F423">
        <v>1</v>
      </c>
      <c r="G423">
        <v>0</v>
      </c>
      <c r="H423" s="1">
        <v>41781</v>
      </c>
      <c r="I423">
        <v>30</v>
      </c>
      <c r="J423">
        <v>5</v>
      </c>
      <c r="K423">
        <v>3</v>
      </c>
      <c r="L423">
        <v>11</v>
      </c>
      <c r="M423">
        <v>12</v>
      </c>
      <c r="N423">
        <v>5</v>
      </c>
      <c r="O423">
        <v>9</v>
      </c>
      <c r="P423">
        <v>1</v>
      </c>
      <c r="Q423">
        <v>2</v>
      </c>
      <c r="R423">
        <v>0</v>
      </c>
      <c r="S423">
        <v>3</v>
      </c>
      <c r="T423">
        <v>6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3</v>
      </c>
      <c r="AB423">
        <v>11</v>
      </c>
      <c r="AC423">
        <v>0</v>
      </c>
    </row>
    <row r="424" spans="1:29" x14ac:dyDescent="0.3">
      <c r="A424">
        <v>6528</v>
      </c>
      <c r="B424">
        <v>1982</v>
      </c>
      <c r="C424" t="s">
        <v>34</v>
      </c>
      <c r="D424" t="s">
        <v>31</v>
      </c>
      <c r="E424">
        <v>18492</v>
      </c>
      <c r="F424">
        <v>1</v>
      </c>
      <c r="G424">
        <v>0</v>
      </c>
      <c r="H424" s="1">
        <v>41795</v>
      </c>
      <c r="I424">
        <v>75</v>
      </c>
      <c r="J424">
        <v>2</v>
      </c>
      <c r="K424">
        <v>2</v>
      </c>
      <c r="L424">
        <v>2</v>
      </c>
      <c r="M424">
        <v>2</v>
      </c>
      <c r="N424">
        <v>1</v>
      </c>
      <c r="O424">
        <v>1</v>
      </c>
      <c r="P424">
        <v>1</v>
      </c>
      <c r="Q424">
        <v>1</v>
      </c>
      <c r="R424">
        <v>0</v>
      </c>
      <c r="S424">
        <v>2</v>
      </c>
      <c r="T424">
        <v>8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3</v>
      </c>
      <c r="AB424">
        <v>11</v>
      </c>
      <c r="AC424">
        <v>0</v>
      </c>
    </row>
    <row r="425" spans="1:29" x14ac:dyDescent="0.3">
      <c r="A425">
        <v>1361</v>
      </c>
      <c r="B425">
        <v>1974</v>
      </c>
      <c r="C425" t="s">
        <v>34</v>
      </c>
      <c r="D425" t="s">
        <v>33</v>
      </c>
      <c r="E425">
        <v>82584</v>
      </c>
      <c r="F425">
        <v>0</v>
      </c>
      <c r="G425">
        <v>0</v>
      </c>
      <c r="H425" s="1">
        <v>41429</v>
      </c>
      <c r="I425">
        <v>26</v>
      </c>
      <c r="J425">
        <v>1076</v>
      </c>
      <c r="K425">
        <v>68</v>
      </c>
      <c r="L425">
        <v>103</v>
      </c>
      <c r="M425">
        <v>29</v>
      </c>
      <c r="N425">
        <v>91</v>
      </c>
      <c r="O425">
        <v>68</v>
      </c>
      <c r="P425">
        <v>1</v>
      </c>
      <c r="Q425">
        <v>3</v>
      </c>
      <c r="R425">
        <v>4</v>
      </c>
      <c r="S425">
        <v>8</v>
      </c>
      <c r="T425">
        <v>1</v>
      </c>
      <c r="U425">
        <v>0</v>
      </c>
      <c r="V425">
        <v>1</v>
      </c>
      <c r="W425">
        <v>1</v>
      </c>
      <c r="X425">
        <v>0</v>
      </c>
      <c r="Y425">
        <v>0</v>
      </c>
      <c r="Z425">
        <v>0</v>
      </c>
      <c r="AA425">
        <v>3</v>
      </c>
      <c r="AB425">
        <v>11</v>
      </c>
      <c r="AC425">
        <v>1</v>
      </c>
    </row>
    <row r="426" spans="1:29" x14ac:dyDescent="0.3">
      <c r="A426">
        <v>6932</v>
      </c>
      <c r="B426">
        <v>1941</v>
      </c>
      <c r="C426" t="s">
        <v>32</v>
      </c>
      <c r="D426" t="s">
        <v>33</v>
      </c>
      <c r="E426">
        <v>93027</v>
      </c>
      <c r="F426">
        <v>0</v>
      </c>
      <c r="G426">
        <v>0</v>
      </c>
      <c r="H426" s="1">
        <v>41377</v>
      </c>
      <c r="I426">
        <v>77</v>
      </c>
      <c r="J426">
        <v>1285</v>
      </c>
      <c r="K426">
        <v>42</v>
      </c>
      <c r="L426">
        <v>716</v>
      </c>
      <c r="M426">
        <v>55</v>
      </c>
      <c r="N426">
        <v>0</v>
      </c>
      <c r="O426">
        <v>21</v>
      </c>
      <c r="P426">
        <v>0</v>
      </c>
      <c r="Q426">
        <v>7</v>
      </c>
      <c r="R426">
        <v>10</v>
      </c>
      <c r="S426">
        <v>5</v>
      </c>
      <c r="T426">
        <v>2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>
        <v>3</v>
      </c>
      <c r="AB426">
        <v>11</v>
      </c>
      <c r="AC426">
        <v>0</v>
      </c>
    </row>
    <row r="427" spans="1:29" x14ac:dyDescent="0.3">
      <c r="A427">
        <v>7284</v>
      </c>
      <c r="B427">
        <v>1953</v>
      </c>
      <c r="C427" t="s">
        <v>29</v>
      </c>
      <c r="D427" t="s">
        <v>33</v>
      </c>
      <c r="E427">
        <v>48686</v>
      </c>
      <c r="F427">
        <v>1</v>
      </c>
      <c r="G427">
        <v>2</v>
      </c>
      <c r="H427" s="1">
        <v>41612</v>
      </c>
      <c r="I427">
        <v>8</v>
      </c>
      <c r="J427">
        <v>10</v>
      </c>
      <c r="K427">
        <v>0</v>
      </c>
      <c r="L427">
        <v>7</v>
      </c>
      <c r="M427">
        <v>2</v>
      </c>
      <c r="N427">
        <v>0</v>
      </c>
      <c r="O427">
        <v>1</v>
      </c>
      <c r="P427">
        <v>1</v>
      </c>
      <c r="Q427">
        <v>1</v>
      </c>
      <c r="R427">
        <v>0</v>
      </c>
      <c r="S427">
        <v>2</v>
      </c>
      <c r="T427">
        <v>8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3</v>
      </c>
      <c r="AB427">
        <v>11</v>
      </c>
      <c r="AC427">
        <v>0</v>
      </c>
    </row>
    <row r="428" spans="1:29" x14ac:dyDescent="0.3">
      <c r="A428">
        <v>1340</v>
      </c>
      <c r="B428">
        <v>1986</v>
      </c>
      <c r="C428" t="s">
        <v>29</v>
      </c>
      <c r="D428" t="s">
        <v>33</v>
      </c>
      <c r="E428">
        <v>92910</v>
      </c>
      <c r="F428">
        <v>0</v>
      </c>
      <c r="G428">
        <v>0</v>
      </c>
      <c r="H428" s="1">
        <v>41753</v>
      </c>
      <c r="I428">
        <v>42</v>
      </c>
      <c r="J428">
        <v>551</v>
      </c>
      <c r="K428">
        <v>137</v>
      </c>
      <c r="L428">
        <v>792</v>
      </c>
      <c r="M428">
        <v>179</v>
      </c>
      <c r="N428">
        <v>103</v>
      </c>
      <c r="O428">
        <v>33</v>
      </c>
      <c r="P428">
        <v>1</v>
      </c>
      <c r="Q428">
        <v>6</v>
      </c>
      <c r="R428">
        <v>7</v>
      </c>
      <c r="S428">
        <v>13</v>
      </c>
      <c r="T428">
        <v>1</v>
      </c>
      <c r="U428">
        <v>0</v>
      </c>
      <c r="V428">
        <v>1</v>
      </c>
      <c r="W428">
        <v>1</v>
      </c>
      <c r="X428">
        <v>1</v>
      </c>
      <c r="Y428">
        <v>0</v>
      </c>
      <c r="Z428">
        <v>0</v>
      </c>
      <c r="AA428">
        <v>3</v>
      </c>
      <c r="AB428">
        <v>11</v>
      </c>
      <c r="AC428">
        <v>0</v>
      </c>
    </row>
    <row r="429" spans="1:29" x14ac:dyDescent="0.3">
      <c r="A429">
        <v>8746</v>
      </c>
      <c r="B429">
        <v>1989</v>
      </c>
      <c r="C429" t="s">
        <v>29</v>
      </c>
      <c r="D429" t="s">
        <v>33</v>
      </c>
      <c r="E429">
        <v>75433</v>
      </c>
      <c r="F429">
        <v>1</v>
      </c>
      <c r="G429">
        <v>0</v>
      </c>
      <c r="H429" s="1">
        <v>41734</v>
      </c>
      <c r="I429">
        <v>28</v>
      </c>
      <c r="J429">
        <v>800</v>
      </c>
      <c r="K429">
        <v>0</v>
      </c>
      <c r="L429">
        <v>297</v>
      </c>
      <c r="M429">
        <v>0</v>
      </c>
      <c r="N429">
        <v>34</v>
      </c>
      <c r="O429">
        <v>57</v>
      </c>
      <c r="P429">
        <v>2</v>
      </c>
      <c r="Q429">
        <v>2</v>
      </c>
      <c r="R429">
        <v>5</v>
      </c>
      <c r="S429">
        <v>10</v>
      </c>
      <c r="T429">
        <v>6</v>
      </c>
      <c r="U429">
        <v>0</v>
      </c>
      <c r="V429">
        <v>1</v>
      </c>
      <c r="W429">
        <v>0</v>
      </c>
      <c r="X429">
        <v>1</v>
      </c>
      <c r="Y429">
        <v>0</v>
      </c>
      <c r="Z429">
        <v>0</v>
      </c>
      <c r="AA429">
        <v>3</v>
      </c>
      <c r="AB429">
        <v>11</v>
      </c>
      <c r="AC429">
        <v>0</v>
      </c>
    </row>
    <row r="430" spans="1:29" x14ac:dyDescent="0.3">
      <c r="A430">
        <v>5987</v>
      </c>
      <c r="B430">
        <v>1989</v>
      </c>
      <c r="C430" t="s">
        <v>37</v>
      </c>
      <c r="D430" t="s">
        <v>31</v>
      </c>
      <c r="E430">
        <v>10404</v>
      </c>
      <c r="F430">
        <v>1</v>
      </c>
      <c r="G430">
        <v>0</v>
      </c>
      <c r="H430" s="1">
        <v>41763</v>
      </c>
      <c r="I430">
        <v>52</v>
      </c>
      <c r="J430">
        <v>2</v>
      </c>
      <c r="K430">
        <v>2</v>
      </c>
      <c r="L430">
        <v>11</v>
      </c>
      <c r="M430">
        <v>10</v>
      </c>
      <c r="N430">
        <v>6</v>
      </c>
      <c r="O430">
        <v>12</v>
      </c>
      <c r="P430">
        <v>2</v>
      </c>
      <c r="Q430">
        <v>1</v>
      </c>
      <c r="R430">
        <v>0</v>
      </c>
      <c r="S430">
        <v>4</v>
      </c>
      <c r="T430">
        <v>5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3</v>
      </c>
      <c r="AB430">
        <v>11</v>
      </c>
      <c r="AC430">
        <v>0</v>
      </c>
    </row>
    <row r="431" spans="1:29" x14ac:dyDescent="0.3">
      <c r="A431">
        <v>3767</v>
      </c>
      <c r="B431">
        <v>1968</v>
      </c>
      <c r="C431" t="s">
        <v>29</v>
      </c>
      <c r="D431" t="s">
        <v>33</v>
      </c>
      <c r="E431">
        <v>61314</v>
      </c>
      <c r="F431">
        <v>0</v>
      </c>
      <c r="G431">
        <v>1</v>
      </c>
      <c r="H431" s="1">
        <v>41389</v>
      </c>
      <c r="I431">
        <v>1</v>
      </c>
      <c r="J431">
        <v>378</v>
      </c>
      <c r="K431">
        <v>0</v>
      </c>
      <c r="L431">
        <v>189</v>
      </c>
      <c r="M431">
        <v>97</v>
      </c>
      <c r="N431">
        <v>172</v>
      </c>
      <c r="O431">
        <v>172</v>
      </c>
      <c r="P431">
        <v>2</v>
      </c>
      <c r="Q431">
        <v>5</v>
      </c>
      <c r="R431">
        <v>5</v>
      </c>
      <c r="S431">
        <v>12</v>
      </c>
      <c r="T431">
        <v>3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3</v>
      </c>
      <c r="AB431">
        <v>11</v>
      </c>
      <c r="AC431">
        <v>0</v>
      </c>
    </row>
    <row r="432" spans="1:29" x14ac:dyDescent="0.3">
      <c r="A432">
        <v>3725</v>
      </c>
      <c r="B432">
        <v>1961</v>
      </c>
      <c r="C432" t="s">
        <v>32</v>
      </c>
      <c r="D432" t="s">
        <v>30</v>
      </c>
      <c r="E432">
        <v>84865</v>
      </c>
      <c r="F432">
        <v>0</v>
      </c>
      <c r="G432">
        <v>0</v>
      </c>
      <c r="H432" s="1">
        <v>41403</v>
      </c>
      <c r="I432">
        <v>1</v>
      </c>
      <c r="J432">
        <v>1248</v>
      </c>
      <c r="K432">
        <v>16</v>
      </c>
      <c r="L432">
        <v>349</v>
      </c>
      <c r="M432">
        <v>43</v>
      </c>
      <c r="N432">
        <v>16</v>
      </c>
      <c r="O432">
        <v>16</v>
      </c>
      <c r="P432">
        <v>1</v>
      </c>
      <c r="Q432">
        <v>2</v>
      </c>
      <c r="R432">
        <v>4</v>
      </c>
      <c r="S432">
        <v>9</v>
      </c>
      <c r="T432">
        <v>4</v>
      </c>
      <c r="U432">
        <v>0</v>
      </c>
      <c r="V432">
        <v>1</v>
      </c>
      <c r="W432">
        <v>1</v>
      </c>
      <c r="X432">
        <v>1</v>
      </c>
      <c r="Y432">
        <v>1</v>
      </c>
      <c r="Z432">
        <v>0</v>
      </c>
      <c r="AA432">
        <v>3</v>
      </c>
      <c r="AB432">
        <v>11</v>
      </c>
      <c r="AC432">
        <v>1</v>
      </c>
    </row>
    <row r="433" spans="1:29" x14ac:dyDescent="0.3">
      <c r="A433">
        <v>4324</v>
      </c>
      <c r="B433">
        <v>1989</v>
      </c>
      <c r="C433" t="s">
        <v>29</v>
      </c>
      <c r="D433" t="s">
        <v>33</v>
      </c>
      <c r="E433">
        <v>42387</v>
      </c>
      <c r="F433">
        <v>1</v>
      </c>
      <c r="G433">
        <v>0</v>
      </c>
      <c r="H433" s="1">
        <v>41211</v>
      </c>
      <c r="I433">
        <v>42</v>
      </c>
      <c r="J433">
        <v>235</v>
      </c>
      <c r="K433">
        <v>0</v>
      </c>
      <c r="L433">
        <v>235</v>
      </c>
      <c r="M433">
        <v>19</v>
      </c>
      <c r="N433">
        <v>4</v>
      </c>
      <c r="O433">
        <v>191</v>
      </c>
      <c r="P433">
        <v>5</v>
      </c>
      <c r="Q433">
        <v>8</v>
      </c>
      <c r="R433">
        <v>1</v>
      </c>
      <c r="S433">
        <v>7</v>
      </c>
      <c r="T433">
        <v>8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3</v>
      </c>
      <c r="AB433">
        <v>11</v>
      </c>
      <c r="AC433">
        <v>0</v>
      </c>
    </row>
    <row r="434" spans="1:29" x14ac:dyDescent="0.3">
      <c r="A434">
        <v>238</v>
      </c>
      <c r="B434">
        <v>1967</v>
      </c>
      <c r="C434" t="s">
        <v>37</v>
      </c>
      <c r="D434" t="s">
        <v>31</v>
      </c>
      <c r="E434">
        <v>67309</v>
      </c>
      <c r="F434">
        <v>1</v>
      </c>
      <c r="G434">
        <v>1</v>
      </c>
      <c r="H434" s="1">
        <v>41297</v>
      </c>
      <c r="I434">
        <v>76</v>
      </c>
      <c r="J434">
        <v>515</v>
      </c>
      <c r="K434">
        <v>47</v>
      </c>
      <c r="L434">
        <v>181</v>
      </c>
      <c r="M434">
        <v>149</v>
      </c>
      <c r="N434">
        <v>95</v>
      </c>
      <c r="O434">
        <v>95</v>
      </c>
      <c r="P434">
        <v>15</v>
      </c>
      <c r="Q434">
        <v>9</v>
      </c>
      <c r="R434">
        <v>6</v>
      </c>
      <c r="S434">
        <v>9</v>
      </c>
      <c r="T434">
        <v>7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3</v>
      </c>
      <c r="AB434">
        <v>11</v>
      </c>
      <c r="AC434">
        <v>0</v>
      </c>
    </row>
    <row r="435" spans="1:29" x14ac:dyDescent="0.3">
      <c r="A435">
        <v>6694</v>
      </c>
      <c r="B435">
        <v>1964</v>
      </c>
      <c r="C435" t="s">
        <v>29</v>
      </c>
      <c r="D435" t="s">
        <v>33</v>
      </c>
      <c r="E435">
        <v>75236</v>
      </c>
      <c r="F435">
        <v>0</v>
      </c>
      <c r="G435">
        <v>1</v>
      </c>
      <c r="H435" s="1">
        <v>41603</v>
      </c>
      <c r="I435">
        <v>27</v>
      </c>
      <c r="J435">
        <v>438</v>
      </c>
      <c r="K435">
        <v>66</v>
      </c>
      <c r="L435">
        <v>400</v>
      </c>
      <c r="M435">
        <v>12</v>
      </c>
      <c r="N435">
        <v>38</v>
      </c>
      <c r="O435">
        <v>114</v>
      </c>
      <c r="P435">
        <v>1</v>
      </c>
      <c r="Q435">
        <v>8</v>
      </c>
      <c r="R435">
        <v>3</v>
      </c>
      <c r="S435">
        <v>13</v>
      </c>
      <c r="T435">
        <v>4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3</v>
      </c>
      <c r="AB435">
        <v>11</v>
      </c>
      <c r="AC435">
        <v>0</v>
      </c>
    </row>
    <row r="436" spans="1:29" x14ac:dyDescent="0.3">
      <c r="A436">
        <v>498</v>
      </c>
      <c r="B436">
        <v>1970</v>
      </c>
      <c r="C436" t="s">
        <v>29</v>
      </c>
      <c r="D436" t="s">
        <v>30</v>
      </c>
      <c r="E436">
        <v>30015</v>
      </c>
      <c r="F436">
        <v>1</v>
      </c>
      <c r="G436">
        <v>0</v>
      </c>
      <c r="H436" s="1">
        <v>41672</v>
      </c>
      <c r="I436">
        <v>28</v>
      </c>
      <c r="J436">
        <v>25</v>
      </c>
      <c r="K436">
        <v>0</v>
      </c>
      <c r="L436">
        <v>22</v>
      </c>
      <c r="M436">
        <v>2</v>
      </c>
      <c r="N436">
        <v>3</v>
      </c>
      <c r="O436">
        <v>5</v>
      </c>
      <c r="P436">
        <v>2</v>
      </c>
      <c r="Q436">
        <v>1</v>
      </c>
      <c r="R436">
        <v>0</v>
      </c>
      <c r="S436">
        <v>4</v>
      </c>
      <c r="T436">
        <v>5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3</v>
      </c>
      <c r="AB436">
        <v>11</v>
      </c>
      <c r="AC436">
        <v>0</v>
      </c>
    </row>
    <row r="437" spans="1:29" x14ac:dyDescent="0.3">
      <c r="A437">
        <v>9347</v>
      </c>
      <c r="B437">
        <v>1956</v>
      </c>
      <c r="C437" t="s">
        <v>34</v>
      </c>
      <c r="D437" t="s">
        <v>31</v>
      </c>
      <c r="E437">
        <v>50943</v>
      </c>
      <c r="F437">
        <v>0</v>
      </c>
      <c r="G437">
        <v>1</v>
      </c>
      <c r="H437" s="1">
        <v>41446</v>
      </c>
      <c r="I437">
        <v>49</v>
      </c>
      <c r="J437">
        <v>31</v>
      </c>
      <c r="K437">
        <v>0</v>
      </c>
      <c r="L437">
        <v>7</v>
      </c>
      <c r="M437">
        <v>2</v>
      </c>
      <c r="N437">
        <v>0</v>
      </c>
      <c r="O437">
        <v>6</v>
      </c>
      <c r="P437">
        <v>1</v>
      </c>
      <c r="Q437">
        <v>1</v>
      </c>
      <c r="R437">
        <v>0</v>
      </c>
      <c r="S437">
        <v>3</v>
      </c>
      <c r="T437">
        <v>5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3</v>
      </c>
      <c r="AB437">
        <v>11</v>
      </c>
      <c r="AC437">
        <v>0</v>
      </c>
    </row>
    <row r="438" spans="1:29" x14ac:dyDescent="0.3">
      <c r="A438">
        <v>9699</v>
      </c>
      <c r="B438">
        <v>1966</v>
      </c>
      <c r="C438" t="s">
        <v>29</v>
      </c>
      <c r="D438" t="s">
        <v>35</v>
      </c>
      <c r="E438">
        <v>67272</v>
      </c>
      <c r="F438">
        <v>0</v>
      </c>
      <c r="G438">
        <v>1</v>
      </c>
      <c r="H438" s="1">
        <v>41629</v>
      </c>
      <c r="I438">
        <v>12</v>
      </c>
      <c r="J438">
        <v>357</v>
      </c>
      <c r="K438">
        <v>35</v>
      </c>
      <c r="L438">
        <v>271</v>
      </c>
      <c r="M438">
        <v>28</v>
      </c>
      <c r="N438">
        <v>28</v>
      </c>
      <c r="O438">
        <v>14</v>
      </c>
      <c r="P438">
        <v>3</v>
      </c>
      <c r="Q438">
        <v>6</v>
      </c>
      <c r="R438">
        <v>2</v>
      </c>
      <c r="S438">
        <v>12</v>
      </c>
      <c r="T438">
        <v>5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3</v>
      </c>
      <c r="AB438">
        <v>11</v>
      </c>
      <c r="AC438">
        <v>0</v>
      </c>
    </row>
    <row r="439" spans="1:29" x14ac:dyDescent="0.3">
      <c r="A439">
        <v>10664</v>
      </c>
      <c r="B439">
        <v>1949</v>
      </c>
      <c r="C439" t="s">
        <v>34</v>
      </c>
      <c r="D439" t="s">
        <v>38</v>
      </c>
      <c r="E439">
        <v>51529</v>
      </c>
      <c r="F439">
        <v>0</v>
      </c>
      <c r="G439">
        <v>1</v>
      </c>
      <c r="H439" s="1">
        <v>41524</v>
      </c>
      <c r="I439">
        <v>14</v>
      </c>
      <c r="J439">
        <v>400</v>
      </c>
      <c r="K439">
        <v>4</v>
      </c>
      <c r="L439">
        <v>35</v>
      </c>
      <c r="M439">
        <v>6</v>
      </c>
      <c r="N439">
        <v>0</v>
      </c>
      <c r="O439">
        <v>22</v>
      </c>
      <c r="P439">
        <v>2</v>
      </c>
      <c r="Q439">
        <v>9</v>
      </c>
      <c r="R439">
        <v>1</v>
      </c>
      <c r="S439">
        <v>5</v>
      </c>
      <c r="T439">
        <v>8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3</v>
      </c>
      <c r="AB439">
        <v>11</v>
      </c>
      <c r="AC439">
        <v>0</v>
      </c>
    </row>
    <row r="440" spans="1:29" x14ac:dyDescent="0.3">
      <c r="A440">
        <v>5455</v>
      </c>
      <c r="B440">
        <v>1971</v>
      </c>
      <c r="C440" t="s">
        <v>32</v>
      </c>
      <c r="D440" t="s">
        <v>33</v>
      </c>
      <c r="E440">
        <v>32011</v>
      </c>
      <c r="F440">
        <v>1</v>
      </c>
      <c r="G440">
        <v>0</v>
      </c>
      <c r="H440" s="1">
        <v>41508</v>
      </c>
      <c r="I440">
        <v>89</v>
      </c>
      <c r="J440">
        <v>99</v>
      </c>
      <c r="K440">
        <v>0</v>
      </c>
      <c r="L440">
        <v>15</v>
      </c>
      <c r="M440">
        <v>2</v>
      </c>
      <c r="N440">
        <v>1</v>
      </c>
      <c r="O440">
        <v>5</v>
      </c>
      <c r="P440">
        <v>3</v>
      </c>
      <c r="Q440">
        <v>2</v>
      </c>
      <c r="R440">
        <v>1</v>
      </c>
      <c r="S440">
        <v>4</v>
      </c>
      <c r="T440">
        <v>7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3</v>
      </c>
      <c r="AB440">
        <v>11</v>
      </c>
      <c r="AC440">
        <v>0</v>
      </c>
    </row>
    <row r="441" spans="1:29" x14ac:dyDescent="0.3">
      <c r="A441">
        <v>456</v>
      </c>
      <c r="B441">
        <v>1986</v>
      </c>
      <c r="C441" t="s">
        <v>37</v>
      </c>
      <c r="D441" t="s">
        <v>33</v>
      </c>
      <c r="E441">
        <v>7500</v>
      </c>
      <c r="F441">
        <v>1</v>
      </c>
      <c r="G441">
        <v>0</v>
      </c>
      <c r="H441" s="1">
        <v>41312</v>
      </c>
      <c r="I441">
        <v>96</v>
      </c>
      <c r="J441">
        <v>1</v>
      </c>
      <c r="K441">
        <v>11</v>
      </c>
      <c r="L441">
        <v>5</v>
      </c>
      <c r="M441">
        <v>4</v>
      </c>
      <c r="N441">
        <v>6</v>
      </c>
      <c r="O441">
        <v>9</v>
      </c>
      <c r="P441">
        <v>2</v>
      </c>
      <c r="Q441">
        <v>2</v>
      </c>
      <c r="R441">
        <v>0</v>
      </c>
      <c r="S441">
        <v>3</v>
      </c>
      <c r="T441">
        <v>8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3</v>
      </c>
      <c r="AB441">
        <v>11</v>
      </c>
      <c r="AC441">
        <v>0</v>
      </c>
    </row>
    <row r="442" spans="1:29" x14ac:dyDescent="0.3">
      <c r="A442">
        <v>5012</v>
      </c>
      <c r="B442">
        <v>1989</v>
      </c>
      <c r="C442" t="s">
        <v>29</v>
      </c>
      <c r="D442" t="s">
        <v>33</v>
      </c>
      <c r="E442">
        <v>28691</v>
      </c>
      <c r="F442">
        <v>1</v>
      </c>
      <c r="G442">
        <v>0</v>
      </c>
      <c r="H442" s="1">
        <v>41459</v>
      </c>
      <c r="I442">
        <v>56</v>
      </c>
      <c r="J442">
        <v>5</v>
      </c>
      <c r="K442">
        <v>4</v>
      </c>
      <c r="L442">
        <v>13</v>
      </c>
      <c r="M442">
        <v>8</v>
      </c>
      <c r="N442">
        <v>0</v>
      </c>
      <c r="O442">
        <v>4</v>
      </c>
      <c r="P442">
        <v>1</v>
      </c>
      <c r="Q442">
        <v>1</v>
      </c>
      <c r="R442">
        <v>0</v>
      </c>
      <c r="S442">
        <v>3</v>
      </c>
      <c r="T442">
        <v>8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3</v>
      </c>
      <c r="AB442">
        <v>11</v>
      </c>
      <c r="AC442">
        <v>0</v>
      </c>
    </row>
    <row r="443" spans="1:29" x14ac:dyDescent="0.3">
      <c r="A443">
        <v>7495</v>
      </c>
      <c r="B443">
        <v>1948</v>
      </c>
      <c r="C443" t="s">
        <v>32</v>
      </c>
      <c r="D443" t="s">
        <v>33</v>
      </c>
      <c r="E443">
        <v>56223</v>
      </c>
      <c r="F443">
        <v>0</v>
      </c>
      <c r="G443">
        <v>1</v>
      </c>
      <c r="H443" s="1">
        <v>41628</v>
      </c>
      <c r="I443">
        <v>72</v>
      </c>
      <c r="J443">
        <v>77</v>
      </c>
      <c r="K443">
        <v>28</v>
      </c>
      <c r="L443">
        <v>31</v>
      </c>
      <c r="M443">
        <v>16</v>
      </c>
      <c r="N443">
        <v>0</v>
      </c>
      <c r="O443">
        <v>4</v>
      </c>
      <c r="P443">
        <v>2</v>
      </c>
      <c r="Q443">
        <v>2</v>
      </c>
      <c r="R443">
        <v>1</v>
      </c>
      <c r="S443">
        <v>5</v>
      </c>
      <c r="T443">
        <v>4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3</v>
      </c>
      <c r="AB443">
        <v>11</v>
      </c>
      <c r="AC443">
        <v>0</v>
      </c>
    </row>
    <row r="444" spans="1:29" x14ac:dyDescent="0.3">
      <c r="A444">
        <v>5029</v>
      </c>
      <c r="B444">
        <v>1946</v>
      </c>
      <c r="C444" t="s">
        <v>29</v>
      </c>
      <c r="D444" t="s">
        <v>33</v>
      </c>
      <c r="E444">
        <v>18100</v>
      </c>
      <c r="F444">
        <v>0</v>
      </c>
      <c r="G444">
        <v>0</v>
      </c>
      <c r="H444" s="1">
        <v>41492</v>
      </c>
      <c r="I444">
        <v>14</v>
      </c>
      <c r="J444">
        <v>3</v>
      </c>
      <c r="K444">
        <v>1</v>
      </c>
      <c r="L444">
        <v>2</v>
      </c>
      <c r="M444">
        <v>4</v>
      </c>
      <c r="N444">
        <v>3</v>
      </c>
      <c r="O444">
        <v>1</v>
      </c>
      <c r="P444">
        <v>1</v>
      </c>
      <c r="Q444">
        <v>0</v>
      </c>
      <c r="R444">
        <v>0</v>
      </c>
      <c r="S444">
        <v>3</v>
      </c>
      <c r="T444">
        <v>5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3</v>
      </c>
      <c r="AB444">
        <v>11</v>
      </c>
      <c r="AC444">
        <v>0</v>
      </c>
    </row>
    <row r="445" spans="1:29" x14ac:dyDescent="0.3">
      <c r="A445">
        <v>10642</v>
      </c>
      <c r="B445">
        <v>1989</v>
      </c>
      <c r="C445" t="s">
        <v>29</v>
      </c>
      <c r="D445" t="s">
        <v>30</v>
      </c>
      <c r="E445">
        <v>30279</v>
      </c>
      <c r="F445">
        <v>1</v>
      </c>
      <c r="G445">
        <v>0</v>
      </c>
      <c r="H445" s="1">
        <v>41273</v>
      </c>
      <c r="I445">
        <v>13</v>
      </c>
      <c r="J445">
        <v>10</v>
      </c>
      <c r="K445">
        <v>4</v>
      </c>
      <c r="L445">
        <v>14</v>
      </c>
      <c r="M445">
        <v>4</v>
      </c>
      <c r="N445">
        <v>4</v>
      </c>
      <c r="O445">
        <v>1</v>
      </c>
      <c r="P445">
        <v>1</v>
      </c>
      <c r="Q445">
        <v>1</v>
      </c>
      <c r="R445">
        <v>0</v>
      </c>
      <c r="S445">
        <v>3</v>
      </c>
      <c r="T445">
        <v>8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3</v>
      </c>
      <c r="AB445">
        <v>11</v>
      </c>
      <c r="AC445">
        <v>0</v>
      </c>
    </row>
    <row r="446" spans="1:29" x14ac:dyDescent="0.3">
      <c r="A446">
        <v>2106</v>
      </c>
      <c r="B446">
        <v>1974</v>
      </c>
      <c r="C446" t="s">
        <v>37</v>
      </c>
      <c r="D446" t="s">
        <v>33</v>
      </c>
      <c r="E446">
        <v>20130</v>
      </c>
      <c r="F446">
        <v>0</v>
      </c>
      <c r="G446">
        <v>0</v>
      </c>
      <c r="H446" s="1">
        <v>41715</v>
      </c>
      <c r="I446">
        <v>99</v>
      </c>
      <c r="J446">
        <v>0</v>
      </c>
      <c r="K446">
        <v>6</v>
      </c>
      <c r="L446">
        <v>3</v>
      </c>
      <c r="M446">
        <v>7</v>
      </c>
      <c r="N446">
        <v>6</v>
      </c>
      <c r="O446">
        <v>12</v>
      </c>
      <c r="P446">
        <v>1</v>
      </c>
      <c r="Q446">
        <v>1</v>
      </c>
      <c r="R446">
        <v>0</v>
      </c>
      <c r="S446">
        <v>3</v>
      </c>
      <c r="T446">
        <v>8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3</v>
      </c>
      <c r="AB446">
        <v>11</v>
      </c>
      <c r="AC446">
        <v>0</v>
      </c>
    </row>
    <row r="447" spans="1:29" x14ac:dyDescent="0.3">
      <c r="A447">
        <v>10364</v>
      </c>
      <c r="B447">
        <v>1959</v>
      </c>
      <c r="C447" t="s">
        <v>29</v>
      </c>
      <c r="D447" t="s">
        <v>35</v>
      </c>
      <c r="E447">
        <v>23295</v>
      </c>
      <c r="F447">
        <v>0</v>
      </c>
      <c r="G447">
        <v>0</v>
      </c>
      <c r="H447" s="1">
        <v>41468</v>
      </c>
      <c r="I447">
        <v>72</v>
      </c>
      <c r="J447">
        <v>0</v>
      </c>
      <c r="K447">
        <v>0</v>
      </c>
      <c r="L447">
        <v>1</v>
      </c>
      <c r="M447">
        <v>2</v>
      </c>
      <c r="N447">
        <v>12</v>
      </c>
      <c r="O447">
        <v>5</v>
      </c>
      <c r="P447">
        <v>1</v>
      </c>
      <c r="Q447">
        <v>1</v>
      </c>
      <c r="R447">
        <v>0</v>
      </c>
      <c r="S447">
        <v>2</v>
      </c>
      <c r="T447">
        <v>8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3</v>
      </c>
      <c r="AB447">
        <v>11</v>
      </c>
      <c r="AC447">
        <v>0</v>
      </c>
    </row>
    <row r="448" spans="1:29" x14ac:dyDescent="0.3">
      <c r="A448">
        <v>5954</v>
      </c>
      <c r="B448">
        <v>1972</v>
      </c>
      <c r="C448" t="s">
        <v>34</v>
      </c>
      <c r="D448" t="s">
        <v>35</v>
      </c>
      <c r="E448">
        <v>42618</v>
      </c>
      <c r="F448">
        <v>1</v>
      </c>
      <c r="G448">
        <v>0</v>
      </c>
      <c r="H448" s="1">
        <v>41556</v>
      </c>
      <c r="I448">
        <v>92</v>
      </c>
      <c r="J448">
        <v>76</v>
      </c>
      <c r="K448">
        <v>14</v>
      </c>
      <c r="L448">
        <v>74</v>
      </c>
      <c r="M448">
        <v>13</v>
      </c>
      <c r="N448">
        <v>5</v>
      </c>
      <c r="O448">
        <v>10</v>
      </c>
      <c r="P448">
        <v>2</v>
      </c>
      <c r="Q448">
        <v>5</v>
      </c>
      <c r="R448">
        <v>0</v>
      </c>
      <c r="S448">
        <v>4</v>
      </c>
      <c r="T448">
        <v>8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3</v>
      </c>
      <c r="AB448">
        <v>11</v>
      </c>
      <c r="AC448">
        <v>0</v>
      </c>
    </row>
    <row r="449" spans="1:29" x14ac:dyDescent="0.3">
      <c r="A449">
        <v>1137</v>
      </c>
      <c r="B449">
        <v>1964</v>
      </c>
      <c r="C449" t="s">
        <v>29</v>
      </c>
      <c r="D449" t="s">
        <v>30</v>
      </c>
      <c r="E449">
        <v>81246</v>
      </c>
      <c r="F449">
        <v>0</v>
      </c>
      <c r="G449">
        <v>0</v>
      </c>
      <c r="H449" s="1">
        <v>41637</v>
      </c>
      <c r="I449">
        <v>87</v>
      </c>
      <c r="J449">
        <v>398</v>
      </c>
      <c r="K449">
        <v>190</v>
      </c>
      <c r="L449">
        <v>537</v>
      </c>
      <c r="M449">
        <v>61</v>
      </c>
      <c r="N449">
        <v>156</v>
      </c>
      <c r="O449">
        <v>37</v>
      </c>
      <c r="P449">
        <v>1</v>
      </c>
      <c r="Q449">
        <v>4</v>
      </c>
      <c r="R449">
        <v>5</v>
      </c>
      <c r="S449">
        <v>7</v>
      </c>
      <c r="T449">
        <v>1</v>
      </c>
      <c r="U449">
        <v>1</v>
      </c>
      <c r="V449">
        <v>0</v>
      </c>
      <c r="W449">
        <v>0</v>
      </c>
      <c r="X449">
        <v>1</v>
      </c>
      <c r="Y449">
        <v>0</v>
      </c>
      <c r="Z449">
        <v>0</v>
      </c>
      <c r="AA449">
        <v>3</v>
      </c>
      <c r="AB449">
        <v>11</v>
      </c>
      <c r="AC449">
        <v>0</v>
      </c>
    </row>
    <row r="450" spans="1:29" x14ac:dyDescent="0.3">
      <c r="A450">
        <v>2541</v>
      </c>
      <c r="B450">
        <v>1976</v>
      </c>
      <c r="C450" t="s">
        <v>29</v>
      </c>
      <c r="D450" t="s">
        <v>33</v>
      </c>
      <c r="E450">
        <v>24027</v>
      </c>
      <c r="F450">
        <v>1</v>
      </c>
      <c r="G450">
        <v>0</v>
      </c>
      <c r="H450" s="1">
        <v>41434</v>
      </c>
      <c r="I450">
        <v>7</v>
      </c>
      <c r="J450">
        <v>14</v>
      </c>
      <c r="K450">
        <v>7</v>
      </c>
      <c r="L450">
        <v>11</v>
      </c>
      <c r="M450">
        <v>11</v>
      </c>
      <c r="N450">
        <v>0</v>
      </c>
      <c r="O450">
        <v>5</v>
      </c>
      <c r="P450">
        <v>2</v>
      </c>
      <c r="Q450">
        <v>2</v>
      </c>
      <c r="R450">
        <v>0</v>
      </c>
      <c r="S450">
        <v>3</v>
      </c>
      <c r="T450">
        <v>8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3</v>
      </c>
      <c r="AB450">
        <v>11</v>
      </c>
      <c r="AC450">
        <v>0</v>
      </c>
    </row>
    <row r="451" spans="1:29" x14ac:dyDescent="0.3">
      <c r="A451">
        <v>1142</v>
      </c>
      <c r="B451">
        <v>1953</v>
      </c>
      <c r="C451" t="s">
        <v>32</v>
      </c>
      <c r="D451" t="s">
        <v>33</v>
      </c>
      <c r="E451">
        <v>55707</v>
      </c>
      <c r="F451">
        <v>0</v>
      </c>
      <c r="G451">
        <v>1</v>
      </c>
      <c r="H451" s="1">
        <v>41630</v>
      </c>
      <c r="I451">
        <v>91</v>
      </c>
      <c r="J451">
        <v>208</v>
      </c>
      <c r="K451">
        <v>7</v>
      </c>
      <c r="L451">
        <v>82</v>
      </c>
      <c r="M451">
        <v>30</v>
      </c>
      <c r="N451">
        <v>66</v>
      </c>
      <c r="O451">
        <v>35</v>
      </c>
      <c r="P451">
        <v>2</v>
      </c>
      <c r="Q451">
        <v>3</v>
      </c>
      <c r="R451">
        <v>2</v>
      </c>
      <c r="S451">
        <v>9</v>
      </c>
      <c r="T451">
        <v>3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3</v>
      </c>
      <c r="AB451">
        <v>11</v>
      </c>
      <c r="AC451">
        <v>0</v>
      </c>
    </row>
    <row r="452" spans="1:29" x14ac:dyDescent="0.3">
      <c r="A452">
        <v>2276</v>
      </c>
      <c r="B452">
        <v>1955</v>
      </c>
      <c r="C452" t="s">
        <v>29</v>
      </c>
      <c r="D452" t="s">
        <v>30</v>
      </c>
      <c r="E452">
        <v>57959</v>
      </c>
      <c r="F452">
        <v>0</v>
      </c>
      <c r="G452">
        <v>1</v>
      </c>
      <c r="H452" s="1">
        <v>41396</v>
      </c>
      <c r="I452">
        <v>71</v>
      </c>
      <c r="J452">
        <v>430</v>
      </c>
      <c r="K452">
        <v>16</v>
      </c>
      <c r="L452">
        <v>322</v>
      </c>
      <c r="M452">
        <v>43</v>
      </c>
      <c r="N452">
        <v>24</v>
      </c>
      <c r="O452">
        <v>33</v>
      </c>
      <c r="P452">
        <v>5</v>
      </c>
      <c r="Q452">
        <v>4</v>
      </c>
      <c r="R452">
        <v>7</v>
      </c>
      <c r="S452">
        <v>11</v>
      </c>
      <c r="T452">
        <v>3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3</v>
      </c>
      <c r="AB452">
        <v>11</v>
      </c>
      <c r="AC452">
        <v>0</v>
      </c>
    </row>
    <row r="453" spans="1:29" x14ac:dyDescent="0.3">
      <c r="A453">
        <v>2807</v>
      </c>
      <c r="B453">
        <v>1969</v>
      </c>
      <c r="C453" t="s">
        <v>29</v>
      </c>
      <c r="D453" t="s">
        <v>33</v>
      </c>
      <c r="E453">
        <v>56796</v>
      </c>
      <c r="F453">
        <v>0</v>
      </c>
      <c r="G453">
        <v>1</v>
      </c>
      <c r="H453" s="1">
        <v>41321</v>
      </c>
      <c r="I453">
        <v>24</v>
      </c>
      <c r="J453">
        <v>656</v>
      </c>
      <c r="K453">
        <v>38</v>
      </c>
      <c r="L453">
        <v>161</v>
      </c>
      <c r="M453">
        <v>62</v>
      </c>
      <c r="N453">
        <v>47</v>
      </c>
      <c r="O453">
        <v>37</v>
      </c>
      <c r="P453">
        <v>3</v>
      </c>
      <c r="Q453">
        <v>8</v>
      </c>
      <c r="R453">
        <v>9</v>
      </c>
      <c r="S453">
        <v>7</v>
      </c>
      <c r="T453">
        <v>7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3</v>
      </c>
      <c r="AB453">
        <v>11</v>
      </c>
      <c r="AC453">
        <v>0</v>
      </c>
    </row>
    <row r="454" spans="1:29" x14ac:dyDescent="0.3">
      <c r="A454">
        <v>6471</v>
      </c>
      <c r="B454">
        <v>1971</v>
      </c>
      <c r="C454" t="s">
        <v>34</v>
      </c>
      <c r="D454" t="s">
        <v>30</v>
      </c>
      <c r="E454">
        <v>36230</v>
      </c>
      <c r="F454">
        <v>1</v>
      </c>
      <c r="G454">
        <v>0</v>
      </c>
      <c r="H454" s="1">
        <v>41564</v>
      </c>
      <c r="I454">
        <v>17</v>
      </c>
      <c r="J454">
        <v>14</v>
      </c>
      <c r="K454">
        <v>2</v>
      </c>
      <c r="L454">
        <v>30</v>
      </c>
      <c r="M454">
        <v>8</v>
      </c>
      <c r="N454">
        <v>2</v>
      </c>
      <c r="O454">
        <v>3</v>
      </c>
      <c r="P454">
        <v>1</v>
      </c>
      <c r="Q454">
        <v>2</v>
      </c>
      <c r="R454">
        <v>0</v>
      </c>
      <c r="S454">
        <v>4</v>
      </c>
      <c r="T454">
        <v>5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3</v>
      </c>
      <c r="AB454">
        <v>11</v>
      </c>
      <c r="AC454">
        <v>0</v>
      </c>
    </row>
    <row r="455" spans="1:29" x14ac:dyDescent="0.3">
      <c r="A455">
        <v>6131</v>
      </c>
      <c r="B455">
        <v>1980</v>
      </c>
      <c r="C455" t="s">
        <v>37</v>
      </c>
      <c r="D455" t="s">
        <v>33</v>
      </c>
      <c r="E455">
        <v>70829</v>
      </c>
      <c r="F455">
        <v>1</v>
      </c>
      <c r="G455">
        <v>1</v>
      </c>
      <c r="H455" s="1">
        <v>41609</v>
      </c>
      <c r="I455">
        <v>87</v>
      </c>
      <c r="J455">
        <v>141</v>
      </c>
      <c r="K455">
        <v>70</v>
      </c>
      <c r="L455">
        <v>106</v>
      </c>
      <c r="M455">
        <v>72</v>
      </c>
      <c r="N455">
        <v>19</v>
      </c>
      <c r="O455">
        <v>23</v>
      </c>
      <c r="P455">
        <v>2</v>
      </c>
      <c r="Q455">
        <v>4</v>
      </c>
      <c r="R455">
        <v>2</v>
      </c>
      <c r="S455">
        <v>8</v>
      </c>
      <c r="T455">
        <v>3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3</v>
      </c>
      <c r="AB455">
        <v>11</v>
      </c>
      <c r="AC455">
        <v>0</v>
      </c>
    </row>
    <row r="456" spans="1:29" x14ac:dyDescent="0.3">
      <c r="A456">
        <v>6233</v>
      </c>
      <c r="B456">
        <v>1976</v>
      </c>
      <c r="C456" t="s">
        <v>29</v>
      </c>
      <c r="D456" t="s">
        <v>33</v>
      </c>
      <c r="E456">
        <v>65991</v>
      </c>
      <c r="F456">
        <v>0</v>
      </c>
      <c r="G456">
        <v>1</v>
      </c>
      <c r="H456" s="1">
        <v>41159</v>
      </c>
      <c r="I456">
        <v>21</v>
      </c>
      <c r="J456">
        <v>507</v>
      </c>
      <c r="K456">
        <v>19</v>
      </c>
      <c r="L456">
        <v>364</v>
      </c>
      <c r="M456">
        <v>25</v>
      </c>
      <c r="N456">
        <v>47</v>
      </c>
      <c r="O456">
        <v>9</v>
      </c>
      <c r="P456">
        <v>3</v>
      </c>
      <c r="Q456">
        <v>9</v>
      </c>
      <c r="R456">
        <v>5</v>
      </c>
      <c r="S456">
        <v>10</v>
      </c>
      <c r="T456">
        <v>7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3</v>
      </c>
      <c r="AB456">
        <v>11</v>
      </c>
      <c r="AC456">
        <v>0</v>
      </c>
    </row>
    <row r="457" spans="1:29" x14ac:dyDescent="0.3">
      <c r="A457">
        <v>4148</v>
      </c>
      <c r="B457">
        <v>1972</v>
      </c>
      <c r="C457" t="s">
        <v>29</v>
      </c>
      <c r="D457" t="s">
        <v>33</v>
      </c>
      <c r="E457">
        <v>38988</v>
      </c>
      <c r="F457">
        <v>1</v>
      </c>
      <c r="G457">
        <v>2</v>
      </c>
      <c r="H457" s="1">
        <v>41141</v>
      </c>
      <c r="I457">
        <v>90</v>
      </c>
      <c r="J457">
        <v>164</v>
      </c>
      <c r="K457">
        <v>24</v>
      </c>
      <c r="L457">
        <v>103</v>
      </c>
      <c r="M457">
        <v>12</v>
      </c>
      <c r="N457">
        <v>3</v>
      </c>
      <c r="O457">
        <v>42</v>
      </c>
      <c r="P457">
        <v>7</v>
      </c>
      <c r="Q457">
        <v>5</v>
      </c>
      <c r="R457">
        <v>1</v>
      </c>
      <c r="S457">
        <v>6</v>
      </c>
      <c r="T457">
        <v>8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3</v>
      </c>
      <c r="AB457">
        <v>11</v>
      </c>
      <c r="AC457">
        <v>0</v>
      </c>
    </row>
    <row r="458" spans="1:29" x14ac:dyDescent="0.3">
      <c r="A458">
        <v>4947</v>
      </c>
      <c r="B458">
        <v>1966</v>
      </c>
      <c r="C458" t="s">
        <v>37</v>
      </c>
      <c r="D458" t="s">
        <v>30</v>
      </c>
      <c r="E458">
        <v>89572</v>
      </c>
      <c r="F458">
        <v>0</v>
      </c>
      <c r="G458">
        <v>0</v>
      </c>
      <c r="H458" s="1">
        <v>41167</v>
      </c>
      <c r="I458">
        <v>44</v>
      </c>
      <c r="J458">
        <v>606</v>
      </c>
      <c r="K458">
        <v>24</v>
      </c>
      <c r="L458">
        <v>974</v>
      </c>
      <c r="M458">
        <v>197</v>
      </c>
      <c r="N458">
        <v>194</v>
      </c>
      <c r="O458">
        <v>64</v>
      </c>
      <c r="P458">
        <v>1</v>
      </c>
      <c r="Q458">
        <v>7</v>
      </c>
      <c r="R458">
        <v>7</v>
      </c>
      <c r="S458">
        <v>9</v>
      </c>
      <c r="T458">
        <v>4</v>
      </c>
      <c r="U458">
        <v>0</v>
      </c>
      <c r="V458">
        <v>1</v>
      </c>
      <c r="W458">
        <v>0</v>
      </c>
      <c r="X458">
        <v>1</v>
      </c>
      <c r="Y458">
        <v>0</v>
      </c>
      <c r="Z458">
        <v>0</v>
      </c>
      <c r="AA458">
        <v>3</v>
      </c>
      <c r="AB458">
        <v>11</v>
      </c>
      <c r="AC458">
        <v>1</v>
      </c>
    </row>
    <row r="459" spans="1:29" x14ac:dyDescent="0.3">
      <c r="A459">
        <v>3225</v>
      </c>
      <c r="B459">
        <v>1984</v>
      </c>
      <c r="C459" t="s">
        <v>34</v>
      </c>
      <c r="D459" t="s">
        <v>33</v>
      </c>
      <c r="E459">
        <v>42207</v>
      </c>
      <c r="F459">
        <v>1</v>
      </c>
      <c r="G459">
        <v>0</v>
      </c>
      <c r="H459" s="1">
        <v>41365</v>
      </c>
      <c r="I459">
        <v>71</v>
      </c>
      <c r="J459">
        <v>116</v>
      </c>
      <c r="K459">
        <v>11</v>
      </c>
      <c r="L459">
        <v>72</v>
      </c>
      <c r="M459">
        <v>3</v>
      </c>
      <c r="N459">
        <v>17</v>
      </c>
      <c r="O459">
        <v>46</v>
      </c>
      <c r="P459">
        <v>4</v>
      </c>
      <c r="Q459">
        <v>4</v>
      </c>
      <c r="R459">
        <v>1</v>
      </c>
      <c r="S459">
        <v>5</v>
      </c>
      <c r="T459">
        <v>6</v>
      </c>
      <c r="U459">
        <v>1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3</v>
      </c>
      <c r="AB459">
        <v>11</v>
      </c>
      <c r="AC459">
        <v>1</v>
      </c>
    </row>
    <row r="460" spans="1:29" x14ac:dyDescent="0.3">
      <c r="A460">
        <v>7540</v>
      </c>
      <c r="B460">
        <v>1952</v>
      </c>
      <c r="C460" t="s">
        <v>29</v>
      </c>
      <c r="D460" t="s">
        <v>33</v>
      </c>
      <c r="E460">
        <v>50300</v>
      </c>
      <c r="F460">
        <v>0</v>
      </c>
      <c r="G460">
        <v>1</v>
      </c>
      <c r="H460" s="1">
        <v>41784</v>
      </c>
      <c r="I460">
        <v>52</v>
      </c>
      <c r="J460">
        <v>143</v>
      </c>
      <c r="K460">
        <v>15</v>
      </c>
      <c r="L460">
        <v>60</v>
      </c>
      <c r="M460">
        <v>24</v>
      </c>
      <c r="N460">
        <v>23</v>
      </c>
      <c r="O460">
        <v>5</v>
      </c>
      <c r="P460">
        <v>2</v>
      </c>
      <c r="Q460">
        <v>2</v>
      </c>
      <c r="R460">
        <v>1</v>
      </c>
      <c r="S460">
        <v>8</v>
      </c>
      <c r="T460">
        <v>2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3</v>
      </c>
      <c r="AB460">
        <v>11</v>
      </c>
      <c r="AC460">
        <v>0</v>
      </c>
    </row>
    <row r="461" spans="1:29" x14ac:dyDescent="0.3">
      <c r="A461">
        <v>10648</v>
      </c>
      <c r="B461">
        <v>1982</v>
      </c>
      <c r="C461" t="s">
        <v>37</v>
      </c>
      <c r="D461" t="s">
        <v>31</v>
      </c>
      <c r="E461">
        <v>66664</v>
      </c>
      <c r="F461">
        <v>0</v>
      </c>
      <c r="G461">
        <v>0</v>
      </c>
      <c r="H461" s="1">
        <v>41177</v>
      </c>
      <c r="I461">
        <v>78</v>
      </c>
      <c r="J461">
        <v>398</v>
      </c>
      <c r="K461">
        <v>96</v>
      </c>
      <c r="L461">
        <v>447</v>
      </c>
      <c r="M461">
        <v>220</v>
      </c>
      <c r="N461">
        <v>96</v>
      </c>
      <c r="O461">
        <v>32</v>
      </c>
      <c r="P461">
        <v>1</v>
      </c>
      <c r="Q461">
        <v>5</v>
      </c>
      <c r="R461">
        <v>7</v>
      </c>
      <c r="S461">
        <v>6</v>
      </c>
      <c r="T461">
        <v>3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3</v>
      </c>
      <c r="AB461">
        <v>11</v>
      </c>
      <c r="AC461">
        <v>0</v>
      </c>
    </row>
    <row r="462" spans="1:29" x14ac:dyDescent="0.3">
      <c r="A462">
        <v>1992</v>
      </c>
      <c r="B462">
        <v>1964</v>
      </c>
      <c r="C462" t="s">
        <v>29</v>
      </c>
      <c r="D462" t="s">
        <v>33</v>
      </c>
      <c r="E462">
        <v>60597</v>
      </c>
      <c r="F462">
        <v>0</v>
      </c>
      <c r="G462">
        <v>1</v>
      </c>
      <c r="H462" s="1">
        <v>41640</v>
      </c>
      <c r="I462">
        <v>2</v>
      </c>
      <c r="J462">
        <v>522</v>
      </c>
      <c r="K462">
        <v>0</v>
      </c>
      <c r="L462">
        <v>257</v>
      </c>
      <c r="M462">
        <v>32</v>
      </c>
      <c r="N462">
        <v>16</v>
      </c>
      <c r="O462">
        <v>66</v>
      </c>
      <c r="P462">
        <v>4</v>
      </c>
      <c r="Q462">
        <v>2</v>
      </c>
      <c r="R462">
        <v>2</v>
      </c>
      <c r="S462">
        <v>8</v>
      </c>
      <c r="T462">
        <v>7</v>
      </c>
      <c r="U462">
        <v>0</v>
      </c>
      <c r="V462">
        <v>0</v>
      </c>
      <c r="W462">
        <v>0</v>
      </c>
      <c r="X462">
        <v>1</v>
      </c>
      <c r="Y462">
        <v>0</v>
      </c>
      <c r="Z462">
        <v>0</v>
      </c>
      <c r="AA462">
        <v>3</v>
      </c>
      <c r="AB462">
        <v>11</v>
      </c>
      <c r="AC462">
        <v>1</v>
      </c>
    </row>
    <row r="463" spans="1:29" x14ac:dyDescent="0.3">
      <c r="A463">
        <v>7851</v>
      </c>
      <c r="B463">
        <v>1949</v>
      </c>
      <c r="C463" t="s">
        <v>29</v>
      </c>
      <c r="D463" t="s">
        <v>38</v>
      </c>
      <c r="E463">
        <v>70165</v>
      </c>
      <c r="F463">
        <v>0</v>
      </c>
      <c r="G463">
        <v>0</v>
      </c>
      <c r="H463" s="1">
        <v>41539</v>
      </c>
      <c r="I463">
        <v>60</v>
      </c>
      <c r="J463">
        <v>161</v>
      </c>
      <c r="K463">
        <v>0</v>
      </c>
      <c r="L463">
        <v>253</v>
      </c>
      <c r="M463">
        <v>199</v>
      </c>
      <c r="N463">
        <v>191</v>
      </c>
      <c r="O463">
        <v>122</v>
      </c>
      <c r="P463">
        <v>1</v>
      </c>
      <c r="Q463">
        <v>3</v>
      </c>
      <c r="R463">
        <v>7</v>
      </c>
      <c r="S463">
        <v>11</v>
      </c>
      <c r="T463">
        <v>1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3</v>
      </c>
      <c r="AB463">
        <v>11</v>
      </c>
      <c r="AC463">
        <v>0</v>
      </c>
    </row>
    <row r="464" spans="1:29" x14ac:dyDescent="0.3">
      <c r="A464">
        <v>8594</v>
      </c>
      <c r="B464">
        <v>1958</v>
      </c>
      <c r="C464" t="s">
        <v>32</v>
      </c>
      <c r="D464" t="s">
        <v>38</v>
      </c>
      <c r="E464">
        <v>50520</v>
      </c>
      <c r="F464">
        <v>0</v>
      </c>
      <c r="G464">
        <v>1</v>
      </c>
      <c r="H464" s="1">
        <v>41667</v>
      </c>
      <c r="I464">
        <v>25</v>
      </c>
      <c r="J464">
        <v>112</v>
      </c>
      <c r="K464">
        <v>0</v>
      </c>
      <c r="L464">
        <v>6</v>
      </c>
      <c r="M464">
        <v>2</v>
      </c>
      <c r="N464">
        <v>1</v>
      </c>
      <c r="O464">
        <v>14</v>
      </c>
      <c r="P464">
        <v>2</v>
      </c>
      <c r="Q464">
        <v>3</v>
      </c>
      <c r="R464">
        <v>1</v>
      </c>
      <c r="S464">
        <v>3</v>
      </c>
      <c r="T464">
        <v>6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3</v>
      </c>
      <c r="AB464">
        <v>11</v>
      </c>
      <c r="AC464">
        <v>0</v>
      </c>
    </row>
    <row r="465" spans="1:29" x14ac:dyDescent="0.3">
      <c r="A465">
        <v>7059</v>
      </c>
      <c r="B465">
        <v>1963</v>
      </c>
      <c r="C465" t="s">
        <v>29</v>
      </c>
      <c r="D465" t="s">
        <v>33</v>
      </c>
      <c r="E465">
        <v>80124</v>
      </c>
      <c r="F465">
        <v>0</v>
      </c>
      <c r="G465">
        <v>0</v>
      </c>
      <c r="H465" s="1">
        <v>41816</v>
      </c>
      <c r="I465">
        <v>47</v>
      </c>
      <c r="J465">
        <v>483</v>
      </c>
      <c r="K465">
        <v>84</v>
      </c>
      <c r="L465">
        <v>398</v>
      </c>
      <c r="M465">
        <v>205</v>
      </c>
      <c r="N465">
        <v>84</v>
      </c>
      <c r="O465">
        <v>241</v>
      </c>
      <c r="P465">
        <v>1</v>
      </c>
      <c r="Q465">
        <v>3</v>
      </c>
      <c r="R465">
        <v>7</v>
      </c>
      <c r="S465">
        <v>8</v>
      </c>
      <c r="T465">
        <v>1</v>
      </c>
      <c r="U465">
        <v>1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3</v>
      </c>
      <c r="AB465">
        <v>11</v>
      </c>
      <c r="AC465">
        <v>0</v>
      </c>
    </row>
    <row r="466" spans="1:29" x14ac:dyDescent="0.3">
      <c r="A466">
        <v>2815</v>
      </c>
      <c r="B466">
        <v>1975</v>
      </c>
      <c r="C466" t="s">
        <v>29</v>
      </c>
      <c r="D466" t="s">
        <v>33</v>
      </c>
      <c r="E466">
        <v>33183</v>
      </c>
      <c r="F466">
        <v>1</v>
      </c>
      <c r="G466">
        <v>0</v>
      </c>
      <c r="H466" s="1">
        <v>41694</v>
      </c>
      <c r="I466">
        <v>46</v>
      </c>
      <c r="J466">
        <v>7</v>
      </c>
      <c r="K466">
        <v>5</v>
      </c>
      <c r="L466">
        <v>39</v>
      </c>
      <c r="M466">
        <v>17</v>
      </c>
      <c r="N466">
        <v>15</v>
      </c>
      <c r="O466">
        <v>37</v>
      </c>
      <c r="P466">
        <v>2</v>
      </c>
      <c r="Q466">
        <v>4</v>
      </c>
      <c r="R466">
        <v>0</v>
      </c>
      <c r="S466">
        <v>3</v>
      </c>
      <c r="T466">
        <v>7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3</v>
      </c>
      <c r="AB466">
        <v>11</v>
      </c>
      <c r="AC466">
        <v>0</v>
      </c>
    </row>
    <row r="467" spans="1:29" x14ac:dyDescent="0.3">
      <c r="A467">
        <v>2416</v>
      </c>
      <c r="B467">
        <v>1969</v>
      </c>
      <c r="C467" t="s">
        <v>32</v>
      </c>
      <c r="D467" t="s">
        <v>30</v>
      </c>
      <c r="E467">
        <v>66582</v>
      </c>
      <c r="F467">
        <v>0</v>
      </c>
      <c r="G467">
        <v>0</v>
      </c>
      <c r="H467" s="1">
        <v>41701</v>
      </c>
      <c r="I467">
        <v>83</v>
      </c>
      <c r="J467">
        <v>789</v>
      </c>
      <c r="K467">
        <v>25</v>
      </c>
      <c r="L467">
        <v>420</v>
      </c>
      <c r="M467">
        <v>16</v>
      </c>
      <c r="N467">
        <v>38</v>
      </c>
      <c r="O467">
        <v>0</v>
      </c>
      <c r="P467">
        <v>1</v>
      </c>
      <c r="Q467">
        <v>2</v>
      </c>
      <c r="R467">
        <v>8</v>
      </c>
      <c r="S467">
        <v>9</v>
      </c>
      <c r="T467">
        <v>1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3</v>
      </c>
      <c r="AB467">
        <v>11</v>
      </c>
      <c r="AC467">
        <v>0</v>
      </c>
    </row>
    <row r="468" spans="1:29" x14ac:dyDescent="0.3">
      <c r="A468">
        <v>7999</v>
      </c>
      <c r="B468">
        <v>1955</v>
      </c>
      <c r="C468" t="s">
        <v>32</v>
      </c>
      <c r="D468" t="s">
        <v>31</v>
      </c>
      <c r="E468">
        <v>75261</v>
      </c>
      <c r="F468">
        <v>0</v>
      </c>
      <c r="G468">
        <v>0</v>
      </c>
      <c r="H468" s="1">
        <v>41387</v>
      </c>
      <c r="I468">
        <v>17</v>
      </c>
      <c r="J468">
        <v>1239</v>
      </c>
      <c r="K468">
        <v>17</v>
      </c>
      <c r="L468">
        <v>413</v>
      </c>
      <c r="M468">
        <v>23</v>
      </c>
      <c r="N468">
        <v>34</v>
      </c>
      <c r="O468">
        <v>17</v>
      </c>
      <c r="P468">
        <v>1</v>
      </c>
      <c r="Q468">
        <v>5</v>
      </c>
      <c r="R468">
        <v>6</v>
      </c>
      <c r="S468">
        <v>5</v>
      </c>
      <c r="T468">
        <v>2</v>
      </c>
      <c r="U468">
        <v>0</v>
      </c>
      <c r="V468">
        <v>1</v>
      </c>
      <c r="W468">
        <v>1</v>
      </c>
      <c r="X468">
        <v>0</v>
      </c>
      <c r="Y468">
        <v>0</v>
      </c>
      <c r="Z468">
        <v>0</v>
      </c>
      <c r="AA468">
        <v>3</v>
      </c>
      <c r="AB468">
        <v>11</v>
      </c>
      <c r="AC468">
        <v>1</v>
      </c>
    </row>
    <row r="469" spans="1:29" x14ac:dyDescent="0.3">
      <c r="A469">
        <v>9213</v>
      </c>
      <c r="B469">
        <v>1970</v>
      </c>
      <c r="C469" t="s">
        <v>29</v>
      </c>
      <c r="D469" t="s">
        <v>38</v>
      </c>
      <c r="E469">
        <v>31880</v>
      </c>
      <c r="F469">
        <v>1</v>
      </c>
      <c r="G469">
        <v>0</v>
      </c>
      <c r="H469" s="1">
        <v>41213</v>
      </c>
      <c r="I469">
        <v>13</v>
      </c>
      <c r="J469">
        <v>4</v>
      </c>
      <c r="K469">
        <v>1</v>
      </c>
      <c r="L469">
        <v>5</v>
      </c>
      <c r="M469">
        <v>2</v>
      </c>
      <c r="N469">
        <v>0</v>
      </c>
      <c r="O469">
        <v>3</v>
      </c>
      <c r="P469">
        <v>1</v>
      </c>
      <c r="Q469">
        <v>1</v>
      </c>
      <c r="R469">
        <v>0</v>
      </c>
      <c r="S469">
        <v>2</v>
      </c>
      <c r="T469">
        <v>8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3</v>
      </c>
      <c r="AB469">
        <v>11</v>
      </c>
      <c r="AC469">
        <v>0</v>
      </c>
    </row>
    <row r="470" spans="1:29" x14ac:dyDescent="0.3">
      <c r="A470">
        <v>9697</v>
      </c>
      <c r="B470">
        <v>1951</v>
      </c>
      <c r="C470" t="s">
        <v>29</v>
      </c>
      <c r="D470" t="s">
        <v>33</v>
      </c>
      <c r="E470">
        <v>53790</v>
      </c>
      <c r="F470">
        <v>0</v>
      </c>
      <c r="G470">
        <v>2</v>
      </c>
      <c r="H470" s="1">
        <v>41704</v>
      </c>
      <c r="I470">
        <v>86</v>
      </c>
      <c r="J470">
        <v>335</v>
      </c>
      <c r="K470">
        <v>42</v>
      </c>
      <c r="L470">
        <v>127</v>
      </c>
      <c r="M470">
        <v>28</v>
      </c>
      <c r="N470">
        <v>5</v>
      </c>
      <c r="O470">
        <v>5</v>
      </c>
      <c r="P470">
        <v>3</v>
      </c>
      <c r="Q470">
        <v>7</v>
      </c>
      <c r="R470">
        <v>2</v>
      </c>
      <c r="S470">
        <v>8</v>
      </c>
      <c r="T470">
        <v>6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3</v>
      </c>
      <c r="AB470">
        <v>11</v>
      </c>
      <c r="AC470">
        <v>0</v>
      </c>
    </row>
    <row r="471" spans="1:29" x14ac:dyDescent="0.3">
      <c r="A471">
        <v>3916</v>
      </c>
      <c r="B471">
        <v>1971</v>
      </c>
      <c r="C471" t="s">
        <v>32</v>
      </c>
      <c r="D471" t="s">
        <v>31</v>
      </c>
      <c r="E471">
        <v>49269</v>
      </c>
      <c r="F471">
        <v>1</v>
      </c>
      <c r="G471">
        <v>0</v>
      </c>
      <c r="H471" s="1">
        <v>41136</v>
      </c>
      <c r="I471">
        <v>92</v>
      </c>
      <c r="J471">
        <v>639</v>
      </c>
      <c r="K471">
        <v>8</v>
      </c>
      <c r="L471">
        <v>166</v>
      </c>
      <c r="M471">
        <v>11</v>
      </c>
      <c r="N471">
        <v>8</v>
      </c>
      <c r="O471">
        <v>58</v>
      </c>
      <c r="P471">
        <v>3</v>
      </c>
      <c r="Q471">
        <v>7</v>
      </c>
      <c r="R471">
        <v>3</v>
      </c>
      <c r="S471">
        <v>12</v>
      </c>
      <c r="T471">
        <v>7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3</v>
      </c>
      <c r="AB471">
        <v>11</v>
      </c>
      <c r="AC471">
        <v>0</v>
      </c>
    </row>
    <row r="472" spans="1:29" x14ac:dyDescent="0.3">
      <c r="A472">
        <v>2021</v>
      </c>
      <c r="B472">
        <v>1975</v>
      </c>
      <c r="C472" t="s">
        <v>29</v>
      </c>
      <c r="D472" t="s">
        <v>33</v>
      </c>
      <c r="E472">
        <v>61456</v>
      </c>
      <c r="F472">
        <v>0</v>
      </c>
      <c r="G472">
        <v>1</v>
      </c>
      <c r="H472" s="1">
        <v>41360</v>
      </c>
      <c r="I472">
        <v>47</v>
      </c>
      <c r="J472">
        <v>563</v>
      </c>
      <c r="K472">
        <v>76</v>
      </c>
      <c r="L472">
        <v>384</v>
      </c>
      <c r="M472">
        <v>84</v>
      </c>
      <c r="N472">
        <v>192</v>
      </c>
      <c r="O472">
        <v>89</v>
      </c>
      <c r="P472">
        <v>4</v>
      </c>
      <c r="Q472">
        <v>6</v>
      </c>
      <c r="R472">
        <v>10</v>
      </c>
      <c r="S472">
        <v>13</v>
      </c>
      <c r="T472">
        <v>4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3</v>
      </c>
      <c r="AB472">
        <v>11</v>
      </c>
      <c r="AC472">
        <v>0</v>
      </c>
    </row>
    <row r="473" spans="1:29" x14ac:dyDescent="0.3">
      <c r="A473">
        <v>1581</v>
      </c>
      <c r="B473">
        <v>1980</v>
      </c>
      <c r="C473" t="s">
        <v>29</v>
      </c>
      <c r="D473" t="s">
        <v>33</v>
      </c>
      <c r="E473">
        <v>37406</v>
      </c>
      <c r="F473">
        <v>1</v>
      </c>
      <c r="G473">
        <v>0</v>
      </c>
      <c r="H473" s="1">
        <v>41557</v>
      </c>
      <c r="I473">
        <v>18</v>
      </c>
      <c r="J473">
        <v>2</v>
      </c>
      <c r="K473">
        <v>0</v>
      </c>
      <c r="L473">
        <v>8</v>
      </c>
      <c r="M473">
        <v>2</v>
      </c>
      <c r="N473">
        <v>2</v>
      </c>
      <c r="O473">
        <v>3</v>
      </c>
      <c r="P473">
        <v>1</v>
      </c>
      <c r="Q473">
        <v>1</v>
      </c>
      <c r="R473">
        <v>0</v>
      </c>
      <c r="S473">
        <v>2</v>
      </c>
      <c r="T473">
        <v>8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3</v>
      </c>
      <c r="AB473">
        <v>11</v>
      </c>
      <c r="AC473">
        <v>1</v>
      </c>
    </row>
    <row r="474" spans="1:29" x14ac:dyDescent="0.3">
      <c r="A474">
        <v>564</v>
      </c>
      <c r="B474">
        <v>1981</v>
      </c>
      <c r="C474" t="s">
        <v>32</v>
      </c>
      <c r="D474" t="s">
        <v>31</v>
      </c>
      <c r="E474">
        <v>56937</v>
      </c>
      <c r="F474">
        <v>1</v>
      </c>
      <c r="G474">
        <v>0</v>
      </c>
      <c r="H474" s="1">
        <v>41125</v>
      </c>
      <c r="I474">
        <v>81</v>
      </c>
      <c r="J474">
        <v>746</v>
      </c>
      <c r="K474">
        <v>8</v>
      </c>
      <c r="L474">
        <v>125</v>
      </c>
      <c r="M474">
        <v>11</v>
      </c>
      <c r="N474">
        <v>8</v>
      </c>
      <c r="O474">
        <v>8</v>
      </c>
      <c r="P474">
        <v>7</v>
      </c>
      <c r="Q474">
        <v>8</v>
      </c>
      <c r="R474">
        <v>6</v>
      </c>
      <c r="S474">
        <v>9</v>
      </c>
      <c r="T474">
        <v>6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3</v>
      </c>
      <c r="AB474">
        <v>11</v>
      </c>
      <c r="AC474">
        <v>1</v>
      </c>
    </row>
    <row r="475" spans="1:29" x14ac:dyDescent="0.3">
      <c r="A475">
        <v>6619</v>
      </c>
      <c r="B475">
        <v>1978</v>
      </c>
      <c r="C475" t="s">
        <v>29</v>
      </c>
      <c r="D475" t="s">
        <v>33</v>
      </c>
      <c r="E475">
        <v>38415</v>
      </c>
      <c r="F475">
        <v>1</v>
      </c>
      <c r="G475">
        <v>1</v>
      </c>
      <c r="H475" s="1">
        <v>41276</v>
      </c>
      <c r="I475">
        <v>91</v>
      </c>
      <c r="J475">
        <v>22</v>
      </c>
      <c r="K475">
        <v>1</v>
      </c>
      <c r="L475">
        <v>13</v>
      </c>
      <c r="M475">
        <v>4</v>
      </c>
      <c r="N475">
        <v>0</v>
      </c>
      <c r="O475">
        <v>4</v>
      </c>
      <c r="P475">
        <v>2</v>
      </c>
      <c r="Q475">
        <v>1</v>
      </c>
      <c r="R475">
        <v>0</v>
      </c>
      <c r="S475">
        <v>3</v>
      </c>
      <c r="T475">
        <v>7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3</v>
      </c>
      <c r="AB475">
        <v>11</v>
      </c>
      <c r="AC475">
        <v>0</v>
      </c>
    </row>
    <row r="476" spans="1:29" x14ac:dyDescent="0.3">
      <c r="A476">
        <v>9081</v>
      </c>
      <c r="B476">
        <v>1988</v>
      </c>
      <c r="C476" t="s">
        <v>29</v>
      </c>
      <c r="D476" t="s">
        <v>30</v>
      </c>
      <c r="E476">
        <v>20518</v>
      </c>
      <c r="F476">
        <v>1</v>
      </c>
      <c r="G476">
        <v>0</v>
      </c>
      <c r="H476" s="1">
        <v>41777</v>
      </c>
      <c r="I476">
        <v>58</v>
      </c>
      <c r="J476">
        <v>4</v>
      </c>
      <c r="K476">
        <v>1</v>
      </c>
      <c r="L476">
        <v>6</v>
      </c>
      <c r="M476">
        <v>4</v>
      </c>
      <c r="N476">
        <v>1</v>
      </c>
      <c r="O476">
        <v>9</v>
      </c>
      <c r="P476">
        <v>1</v>
      </c>
      <c r="Q476">
        <v>1</v>
      </c>
      <c r="R476">
        <v>1</v>
      </c>
      <c r="S476">
        <v>2</v>
      </c>
      <c r="T476">
        <v>5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3</v>
      </c>
      <c r="AB476">
        <v>11</v>
      </c>
      <c r="AC476">
        <v>0</v>
      </c>
    </row>
    <row r="477" spans="1:29" x14ac:dyDescent="0.3">
      <c r="A477">
        <v>178</v>
      </c>
      <c r="B477">
        <v>1956</v>
      </c>
      <c r="C477" t="s">
        <v>29</v>
      </c>
      <c r="D477" t="s">
        <v>33</v>
      </c>
      <c r="E477">
        <v>62503</v>
      </c>
      <c r="F477">
        <v>0</v>
      </c>
      <c r="G477">
        <v>1</v>
      </c>
      <c r="H477" s="1">
        <v>41323</v>
      </c>
      <c r="I477">
        <v>40</v>
      </c>
      <c r="J477">
        <v>478</v>
      </c>
      <c r="K477">
        <v>0</v>
      </c>
      <c r="L477">
        <v>193</v>
      </c>
      <c r="M477">
        <v>110</v>
      </c>
      <c r="N477">
        <v>75</v>
      </c>
      <c r="O477">
        <v>117</v>
      </c>
      <c r="P477">
        <v>4</v>
      </c>
      <c r="Q477">
        <v>8</v>
      </c>
      <c r="R477">
        <v>3</v>
      </c>
      <c r="S477">
        <v>11</v>
      </c>
      <c r="T477">
        <v>5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3</v>
      </c>
      <c r="AB477">
        <v>11</v>
      </c>
      <c r="AC477">
        <v>0</v>
      </c>
    </row>
    <row r="478" spans="1:29" x14ac:dyDescent="0.3">
      <c r="A478">
        <v>916</v>
      </c>
      <c r="B478">
        <v>1972</v>
      </c>
      <c r="C478" t="s">
        <v>32</v>
      </c>
      <c r="D478" t="s">
        <v>30</v>
      </c>
      <c r="E478">
        <v>41644</v>
      </c>
      <c r="F478">
        <v>1</v>
      </c>
      <c r="G478">
        <v>1</v>
      </c>
      <c r="H478" s="1">
        <v>41768</v>
      </c>
      <c r="I478">
        <v>67</v>
      </c>
      <c r="J478">
        <v>20</v>
      </c>
      <c r="K478">
        <v>3</v>
      </c>
      <c r="L478">
        <v>4</v>
      </c>
      <c r="M478">
        <v>2</v>
      </c>
      <c r="N478">
        <v>0</v>
      </c>
      <c r="O478">
        <v>2</v>
      </c>
      <c r="P478">
        <v>2</v>
      </c>
      <c r="Q478">
        <v>1</v>
      </c>
      <c r="R478">
        <v>0</v>
      </c>
      <c r="S478">
        <v>3</v>
      </c>
      <c r="T478">
        <v>3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3</v>
      </c>
      <c r="AB478">
        <v>11</v>
      </c>
      <c r="AC478">
        <v>0</v>
      </c>
    </row>
    <row r="479" spans="1:29" x14ac:dyDescent="0.3">
      <c r="A479">
        <v>5512</v>
      </c>
      <c r="B479">
        <v>1977</v>
      </c>
      <c r="C479" t="s">
        <v>34</v>
      </c>
      <c r="D479" t="s">
        <v>33</v>
      </c>
      <c r="E479">
        <v>55842</v>
      </c>
      <c r="F479">
        <v>0</v>
      </c>
      <c r="G479">
        <v>1</v>
      </c>
      <c r="H479" s="1">
        <v>41782</v>
      </c>
      <c r="I479">
        <v>19</v>
      </c>
      <c r="J479">
        <v>451</v>
      </c>
      <c r="K479">
        <v>0</v>
      </c>
      <c r="L479">
        <v>39</v>
      </c>
      <c r="M479">
        <v>0</v>
      </c>
      <c r="N479">
        <v>4</v>
      </c>
      <c r="O479">
        <v>24</v>
      </c>
      <c r="P479">
        <v>1</v>
      </c>
      <c r="Q479">
        <v>7</v>
      </c>
      <c r="R479">
        <v>1</v>
      </c>
      <c r="S479">
        <v>8</v>
      </c>
      <c r="T479">
        <v>5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3</v>
      </c>
      <c r="AB479">
        <v>11</v>
      </c>
      <c r="AC479">
        <v>0</v>
      </c>
    </row>
    <row r="480" spans="1:29" x14ac:dyDescent="0.3">
      <c r="A480">
        <v>8970</v>
      </c>
      <c r="B480">
        <v>1972</v>
      </c>
      <c r="C480" t="s">
        <v>32</v>
      </c>
      <c r="D480" t="s">
        <v>33</v>
      </c>
      <c r="E480">
        <v>62010</v>
      </c>
      <c r="F480">
        <v>0</v>
      </c>
      <c r="G480">
        <v>1</v>
      </c>
      <c r="H480" s="1">
        <v>41205</v>
      </c>
      <c r="I480">
        <v>93</v>
      </c>
      <c r="J480">
        <v>371</v>
      </c>
      <c r="K480">
        <v>22</v>
      </c>
      <c r="L480">
        <v>39</v>
      </c>
      <c r="M480">
        <v>6</v>
      </c>
      <c r="N480">
        <v>0</v>
      </c>
      <c r="O480">
        <v>92</v>
      </c>
      <c r="P480">
        <v>4</v>
      </c>
      <c r="Q480">
        <v>6</v>
      </c>
      <c r="R480">
        <v>2</v>
      </c>
      <c r="S480">
        <v>7</v>
      </c>
      <c r="T480">
        <v>5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3</v>
      </c>
      <c r="AB480">
        <v>11</v>
      </c>
      <c r="AC480">
        <v>0</v>
      </c>
    </row>
    <row r="481" spans="1:29" x14ac:dyDescent="0.3">
      <c r="A481">
        <v>10581</v>
      </c>
      <c r="B481">
        <v>1977</v>
      </c>
      <c r="C481" t="s">
        <v>29</v>
      </c>
      <c r="D481" t="s">
        <v>33</v>
      </c>
      <c r="E481">
        <v>41124</v>
      </c>
      <c r="F481">
        <v>1</v>
      </c>
      <c r="G481">
        <v>0</v>
      </c>
      <c r="H481" s="1">
        <v>41213</v>
      </c>
      <c r="I481">
        <v>41</v>
      </c>
      <c r="J481">
        <v>281</v>
      </c>
      <c r="K481">
        <v>7</v>
      </c>
      <c r="L481">
        <v>84</v>
      </c>
      <c r="M481">
        <v>15</v>
      </c>
      <c r="N481">
        <v>0</v>
      </c>
      <c r="O481">
        <v>119</v>
      </c>
      <c r="P481">
        <v>7</v>
      </c>
      <c r="Q481">
        <v>7</v>
      </c>
      <c r="R481">
        <v>3</v>
      </c>
      <c r="S481">
        <v>4</v>
      </c>
      <c r="T481">
        <v>8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3</v>
      </c>
      <c r="AB481">
        <v>11</v>
      </c>
      <c r="AC481">
        <v>0</v>
      </c>
    </row>
    <row r="482" spans="1:29" x14ac:dyDescent="0.3">
      <c r="A482">
        <v>5300</v>
      </c>
      <c r="B482">
        <v>1973</v>
      </c>
      <c r="C482" t="s">
        <v>34</v>
      </c>
      <c r="D482" t="s">
        <v>33</v>
      </c>
      <c r="E482">
        <v>38961</v>
      </c>
      <c r="F482">
        <v>1</v>
      </c>
      <c r="G482">
        <v>0</v>
      </c>
      <c r="H482" s="1">
        <v>41638</v>
      </c>
      <c r="I482">
        <v>60</v>
      </c>
      <c r="J482">
        <v>19</v>
      </c>
      <c r="K482">
        <v>7</v>
      </c>
      <c r="L482">
        <v>19</v>
      </c>
      <c r="M482">
        <v>0</v>
      </c>
      <c r="N482">
        <v>1</v>
      </c>
      <c r="O482">
        <v>24</v>
      </c>
      <c r="P482">
        <v>1</v>
      </c>
      <c r="Q482">
        <v>2</v>
      </c>
      <c r="R482">
        <v>1</v>
      </c>
      <c r="S482">
        <v>2</v>
      </c>
      <c r="T482">
        <v>7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3</v>
      </c>
      <c r="AB482">
        <v>11</v>
      </c>
      <c r="AC482">
        <v>0</v>
      </c>
    </row>
    <row r="483" spans="1:29" x14ac:dyDescent="0.3">
      <c r="A483">
        <v>5154</v>
      </c>
      <c r="B483">
        <v>1972</v>
      </c>
      <c r="C483" t="s">
        <v>34</v>
      </c>
      <c r="D483" t="s">
        <v>35</v>
      </c>
      <c r="E483">
        <v>37760</v>
      </c>
      <c r="F483">
        <v>1</v>
      </c>
      <c r="G483">
        <v>0</v>
      </c>
      <c r="H483" s="1">
        <v>41497</v>
      </c>
      <c r="I483">
        <v>54</v>
      </c>
      <c r="J483">
        <v>26</v>
      </c>
      <c r="K483">
        <v>3</v>
      </c>
      <c r="L483">
        <v>13</v>
      </c>
      <c r="M483">
        <v>2</v>
      </c>
      <c r="N483">
        <v>10</v>
      </c>
      <c r="O483">
        <v>0</v>
      </c>
      <c r="P483">
        <v>1</v>
      </c>
      <c r="Q483">
        <v>2</v>
      </c>
      <c r="R483">
        <v>0</v>
      </c>
      <c r="S483">
        <v>3</v>
      </c>
      <c r="T483">
        <v>6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3</v>
      </c>
      <c r="AB483">
        <v>11</v>
      </c>
      <c r="AC483">
        <v>0</v>
      </c>
    </row>
    <row r="484" spans="1:29" x14ac:dyDescent="0.3">
      <c r="A484">
        <v>8346</v>
      </c>
      <c r="B484">
        <v>1974</v>
      </c>
      <c r="C484" t="s">
        <v>29</v>
      </c>
      <c r="D484" t="s">
        <v>30</v>
      </c>
      <c r="E484">
        <v>32233</v>
      </c>
      <c r="F484">
        <v>1</v>
      </c>
      <c r="G484">
        <v>0</v>
      </c>
      <c r="H484" s="1">
        <v>41140</v>
      </c>
      <c r="I484">
        <v>26</v>
      </c>
      <c r="J484">
        <v>138</v>
      </c>
      <c r="K484">
        <v>15</v>
      </c>
      <c r="L484">
        <v>35</v>
      </c>
      <c r="M484">
        <v>25</v>
      </c>
      <c r="N484">
        <v>11</v>
      </c>
      <c r="O484">
        <v>72</v>
      </c>
      <c r="P484">
        <v>2</v>
      </c>
      <c r="Q484">
        <v>6</v>
      </c>
      <c r="R484">
        <v>2</v>
      </c>
      <c r="S484">
        <v>2</v>
      </c>
      <c r="T484">
        <v>9</v>
      </c>
      <c r="U484">
        <v>1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3</v>
      </c>
      <c r="AB484">
        <v>11</v>
      </c>
      <c r="AC484">
        <v>1</v>
      </c>
    </row>
    <row r="485" spans="1:29" x14ac:dyDescent="0.3">
      <c r="A485">
        <v>1676</v>
      </c>
      <c r="B485">
        <v>1975</v>
      </c>
      <c r="C485" t="s">
        <v>29</v>
      </c>
      <c r="D485" t="s">
        <v>33</v>
      </c>
      <c r="E485">
        <v>43057</v>
      </c>
      <c r="F485">
        <v>0</v>
      </c>
      <c r="G485">
        <v>1</v>
      </c>
      <c r="H485" s="1">
        <v>41577</v>
      </c>
      <c r="I485">
        <v>30</v>
      </c>
      <c r="J485">
        <v>213</v>
      </c>
      <c r="K485">
        <v>2</v>
      </c>
      <c r="L485">
        <v>44</v>
      </c>
      <c r="M485">
        <v>0</v>
      </c>
      <c r="N485">
        <v>2</v>
      </c>
      <c r="O485">
        <v>5</v>
      </c>
      <c r="P485">
        <v>4</v>
      </c>
      <c r="Q485">
        <v>4</v>
      </c>
      <c r="R485">
        <v>2</v>
      </c>
      <c r="S485">
        <v>5</v>
      </c>
      <c r="T485">
        <v>5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3</v>
      </c>
      <c r="AB485">
        <v>11</v>
      </c>
      <c r="AC485">
        <v>0</v>
      </c>
    </row>
    <row r="486" spans="1:29" x14ac:dyDescent="0.3">
      <c r="A486">
        <v>9286</v>
      </c>
      <c r="B486">
        <v>1960</v>
      </c>
      <c r="C486" t="s">
        <v>34</v>
      </c>
      <c r="D486" t="s">
        <v>31</v>
      </c>
      <c r="E486">
        <v>83151</v>
      </c>
      <c r="F486">
        <v>0</v>
      </c>
      <c r="G486">
        <v>0</v>
      </c>
      <c r="H486" s="1">
        <v>41192</v>
      </c>
      <c r="I486">
        <v>93</v>
      </c>
      <c r="J486">
        <v>407</v>
      </c>
      <c r="K486">
        <v>28</v>
      </c>
      <c r="L486">
        <v>100</v>
      </c>
      <c r="M486">
        <v>120</v>
      </c>
      <c r="N486">
        <v>74</v>
      </c>
      <c r="O486">
        <v>18</v>
      </c>
      <c r="P486">
        <v>1</v>
      </c>
      <c r="Q486">
        <v>5</v>
      </c>
      <c r="R486">
        <v>9</v>
      </c>
      <c r="S486">
        <v>4</v>
      </c>
      <c r="T486">
        <v>3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3</v>
      </c>
      <c r="AB486">
        <v>11</v>
      </c>
      <c r="AC486">
        <v>0</v>
      </c>
    </row>
    <row r="487" spans="1:29" x14ac:dyDescent="0.3">
      <c r="A487">
        <v>2426</v>
      </c>
      <c r="B487">
        <v>1964</v>
      </c>
      <c r="C487" t="s">
        <v>32</v>
      </c>
      <c r="D487" t="s">
        <v>35</v>
      </c>
      <c r="E487">
        <v>78825</v>
      </c>
      <c r="F487">
        <v>0</v>
      </c>
      <c r="G487">
        <v>0</v>
      </c>
      <c r="H487" s="1">
        <v>41166</v>
      </c>
      <c r="I487">
        <v>35</v>
      </c>
      <c r="J487">
        <v>483</v>
      </c>
      <c r="K487">
        <v>74</v>
      </c>
      <c r="L487">
        <v>114</v>
      </c>
      <c r="M487">
        <v>169</v>
      </c>
      <c r="N487">
        <v>37</v>
      </c>
      <c r="O487">
        <v>18</v>
      </c>
      <c r="P487">
        <v>1</v>
      </c>
      <c r="Q487">
        <v>5</v>
      </c>
      <c r="R487">
        <v>10</v>
      </c>
      <c r="S487">
        <v>13</v>
      </c>
      <c r="T487">
        <v>3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3</v>
      </c>
      <c r="AB487">
        <v>11</v>
      </c>
      <c r="AC487">
        <v>1</v>
      </c>
    </row>
    <row r="488" spans="1:29" x14ac:dyDescent="0.3">
      <c r="A488">
        <v>5172</v>
      </c>
      <c r="B488">
        <v>1976</v>
      </c>
      <c r="C488" t="s">
        <v>34</v>
      </c>
      <c r="D488" t="s">
        <v>31</v>
      </c>
      <c r="E488">
        <v>65104</v>
      </c>
      <c r="F488">
        <v>0</v>
      </c>
      <c r="G488">
        <v>1</v>
      </c>
      <c r="H488" s="1">
        <v>41592</v>
      </c>
      <c r="I488">
        <v>4</v>
      </c>
      <c r="J488">
        <v>738</v>
      </c>
      <c r="K488">
        <v>0</v>
      </c>
      <c r="L488">
        <v>232</v>
      </c>
      <c r="M488">
        <v>13</v>
      </c>
      <c r="N488">
        <v>20</v>
      </c>
      <c r="O488">
        <v>50</v>
      </c>
      <c r="P488">
        <v>2</v>
      </c>
      <c r="Q488">
        <v>3</v>
      </c>
      <c r="R488">
        <v>5</v>
      </c>
      <c r="S488">
        <v>7</v>
      </c>
      <c r="T488">
        <v>7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3</v>
      </c>
      <c r="AB488">
        <v>11</v>
      </c>
      <c r="AC488">
        <v>0</v>
      </c>
    </row>
    <row r="489" spans="1:29" x14ac:dyDescent="0.3">
      <c r="A489">
        <v>5562</v>
      </c>
      <c r="B489">
        <v>1974</v>
      </c>
      <c r="C489" t="s">
        <v>29</v>
      </c>
      <c r="D489" t="s">
        <v>33</v>
      </c>
      <c r="E489">
        <v>60093</v>
      </c>
      <c r="F489">
        <v>0</v>
      </c>
      <c r="G489">
        <v>1</v>
      </c>
      <c r="H489" s="1">
        <v>41451</v>
      </c>
      <c r="I489">
        <v>92</v>
      </c>
      <c r="J489">
        <v>502</v>
      </c>
      <c r="K489">
        <v>12</v>
      </c>
      <c r="L489">
        <v>109</v>
      </c>
      <c r="M489">
        <v>16</v>
      </c>
      <c r="N489">
        <v>6</v>
      </c>
      <c r="O489">
        <v>90</v>
      </c>
      <c r="P489">
        <v>2</v>
      </c>
      <c r="Q489">
        <v>7</v>
      </c>
      <c r="R489">
        <v>2</v>
      </c>
      <c r="S489">
        <v>10</v>
      </c>
      <c r="T489">
        <v>6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3</v>
      </c>
      <c r="AB489">
        <v>11</v>
      </c>
      <c r="AC489">
        <v>0</v>
      </c>
    </row>
    <row r="490" spans="1:29" x14ac:dyDescent="0.3">
      <c r="A490">
        <v>3436</v>
      </c>
      <c r="B490">
        <v>1969</v>
      </c>
      <c r="C490" t="s">
        <v>29</v>
      </c>
      <c r="D490" t="s">
        <v>33</v>
      </c>
      <c r="E490">
        <v>14045</v>
      </c>
      <c r="F490">
        <v>1</v>
      </c>
      <c r="G490">
        <v>0</v>
      </c>
      <c r="H490" s="1">
        <v>41665</v>
      </c>
      <c r="I490">
        <v>24</v>
      </c>
      <c r="J490">
        <v>11</v>
      </c>
      <c r="K490">
        <v>0</v>
      </c>
      <c r="L490">
        <v>5</v>
      </c>
      <c r="M490">
        <v>2</v>
      </c>
      <c r="N490">
        <v>1</v>
      </c>
      <c r="O490">
        <v>1</v>
      </c>
      <c r="P490">
        <v>1</v>
      </c>
      <c r="Q490">
        <v>1</v>
      </c>
      <c r="R490">
        <v>0</v>
      </c>
      <c r="S490">
        <v>3</v>
      </c>
      <c r="T490">
        <v>7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3</v>
      </c>
      <c r="AB490">
        <v>11</v>
      </c>
      <c r="AC490">
        <v>0</v>
      </c>
    </row>
    <row r="491" spans="1:29" x14ac:dyDescent="0.3">
      <c r="A491">
        <v>3921</v>
      </c>
      <c r="B491">
        <v>1952</v>
      </c>
      <c r="C491" t="s">
        <v>37</v>
      </c>
      <c r="D491" t="s">
        <v>38</v>
      </c>
      <c r="E491">
        <v>28457</v>
      </c>
      <c r="F491">
        <v>0</v>
      </c>
      <c r="G491">
        <v>0</v>
      </c>
      <c r="H491" s="1">
        <v>41210</v>
      </c>
      <c r="I491">
        <v>96</v>
      </c>
      <c r="J491">
        <v>24</v>
      </c>
      <c r="K491">
        <v>1</v>
      </c>
      <c r="L491">
        <v>108</v>
      </c>
      <c r="M491">
        <v>29</v>
      </c>
      <c r="N491">
        <v>29</v>
      </c>
      <c r="O491">
        <v>14</v>
      </c>
      <c r="P491">
        <v>1</v>
      </c>
      <c r="Q491">
        <v>4</v>
      </c>
      <c r="R491">
        <v>1</v>
      </c>
      <c r="S491">
        <v>4</v>
      </c>
      <c r="T491">
        <v>8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3</v>
      </c>
      <c r="AB491">
        <v>11</v>
      </c>
      <c r="AC491">
        <v>0</v>
      </c>
    </row>
    <row r="492" spans="1:29" x14ac:dyDescent="0.3">
      <c r="A492">
        <v>3403</v>
      </c>
      <c r="B492">
        <v>1958</v>
      </c>
      <c r="C492" t="s">
        <v>32</v>
      </c>
      <c r="D492" t="s">
        <v>31</v>
      </c>
      <c r="E492">
        <v>78952</v>
      </c>
      <c r="F492">
        <v>0</v>
      </c>
      <c r="G492">
        <v>1</v>
      </c>
      <c r="H492" s="1">
        <v>41176</v>
      </c>
      <c r="I492">
        <v>11</v>
      </c>
      <c r="J492">
        <v>1170</v>
      </c>
      <c r="K492">
        <v>19</v>
      </c>
      <c r="L492">
        <v>594</v>
      </c>
      <c r="M492">
        <v>99</v>
      </c>
      <c r="N492">
        <v>76</v>
      </c>
      <c r="O492">
        <v>134</v>
      </c>
      <c r="P492">
        <v>2</v>
      </c>
      <c r="Q492">
        <v>2</v>
      </c>
      <c r="R492">
        <v>5</v>
      </c>
      <c r="S492">
        <v>12</v>
      </c>
      <c r="T492">
        <v>6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3</v>
      </c>
      <c r="AB492">
        <v>11</v>
      </c>
      <c r="AC492">
        <v>0</v>
      </c>
    </row>
    <row r="493" spans="1:29" x14ac:dyDescent="0.3">
      <c r="A493">
        <v>22</v>
      </c>
      <c r="B493">
        <v>1976</v>
      </c>
      <c r="C493" t="s">
        <v>29</v>
      </c>
      <c r="D493" t="s">
        <v>35</v>
      </c>
      <c r="E493">
        <v>46310</v>
      </c>
      <c r="F493">
        <v>1</v>
      </c>
      <c r="G493">
        <v>0</v>
      </c>
      <c r="H493" s="1">
        <v>41246</v>
      </c>
      <c r="I493">
        <v>99</v>
      </c>
      <c r="J493">
        <v>185</v>
      </c>
      <c r="K493">
        <v>2</v>
      </c>
      <c r="L493">
        <v>88</v>
      </c>
      <c r="M493">
        <v>15</v>
      </c>
      <c r="N493">
        <v>5</v>
      </c>
      <c r="O493">
        <v>14</v>
      </c>
      <c r="P493">
        <v>2</v>
      </c>
      <c r="Q493">
        <v>6</v>
      </c>
      <c r="R493">
        <v>1</v>
      </c>
      <c r="S493">
        <v>5</v>
      </c>
      <c r="T493">
        <v>8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3</v>
      </c>
      <c r="AB493">
        <v>11</v>
      </c>
      <c r="AC493">
        <v>0</v>
      </c>
    </row>
    <row r="494" spans="1:29" x14ac:dyDescent="0.3">
      <c r="A494">
        <v>10965</v>
      </c>
      <c r="B494">
        <v>1955</v>
      </c>
      <c r="C494" t="s">
        <v>29</v>
      </c>
      <c r="D494" t="s">
        <v>31</v>
      </c>
      <c r="E494">
        <v>76005</v>
      </c>
      <c r="F494">
        <v>0</v>
      </c>
      <c r="G494">
        <v>0</v>
      </c>
      <c r="H494" s="1">
        <v>41327</v>
      </c>
      <c r="I494">
        <v>72</v>
      </c>
      <c r="J494">
        <v>983</v>
      </c>
      <c r="K494">
        <v>20</v>
      </c>
      <c r="L494">
        <v>389</v>
      </c>
      <c r="M494">
        <v>240</v>
      </c>
      <c r="N494">
        <v>50</v>
      </c>
      <c r="O494">
        <v>40</v>
      </c>
      <c r="P494">
        <v>1</v>
      </c>
      <c r="Q494">
        <v>3</v>
      </c>
      <c r="R494">
        <v>5</v>
      </c>
      <c r="S494">
        <v>13</v>
      </c>
      <c r="T494">
        <v>6</v>
      </c>
      <c r="U494">
        <v>0</v>
      </c>
      <c r="V494">
        <v>0</v>
      </c>
      <c r="W494">
        <v>0</v>
      </c>
      <c r="X494">
        <v>1</v>
      </c>
      <c r="Y494">
        <v>0</v>
      </c>
      <c r="Z494">
        <v>0</v>
      </c>
      <c r="AA494">
        <v>3</v>
      </c>
      <c r="AB494">
        <v>11</v>
      </c>
      <c r="AC494">
        <v>0</v>
      </c>
    </row>
    <row r="495" spans="1:29" x14ac:dyDescent="0.3">
      <c r="A495">
        <v>9426</v>
      </c>
      <c r="B495">
        <v>1964</v>
      </c>
      <c r="C495" t="s">
        <v>34</v>
      </c>
      <c r="D495" t="s">
        <v>30</v>
      </c>
      <c r="E495">
        <v>58308</v>
      </c>
      <c r="F495">
        <v>0</v>
      </c>
      <c r="G495">
        <v>1</v>
      </c>
      <c r="H495" s="1">
        <v>41286</v>
      </c>
      <c r="I495">
        <v>77</v>
      </c>
      <c r="J495">
        <v>691</v>
      </c>
      <c r="K495">
        <v>0</v>
      </c>
      <c r="L495">
        <v>69</v>
      </c>
      <c r="M495">
        <v>10</v>
      </c>
      <c r="N495">
        <v>0</v>
      </c>
      <c r="O495">
        <v>130</v>
      </c>
      <c r="P495">
        <v>4</v>
      </c>
      <c r="Q495">
        <v>2</v>
      </c>
      <c r="R495">
        <v>6</v>
      </c>
      <c r="S495">
        <v>3</v>
      </c>
      <c r="T495">
        <v>8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3</v>
      </c>
      <c r="AB495">
        <v>11</v>
      </c>
      <c r="AC495">
        <v>0</v>
      </c>
    </row>
    <row r="496" spans="1:29" x14ac:dyDescent="0.3">
      <c r="A496">
        <v>6605</v>
      </c>
      <c r="B496">
        <v>1944</v>
      </c>
      <c r="C496" t="s">
        <v>32</v>
      </c>
      <c r="D496" t="s">
        <v>35</v>
      </c>
      <c r="E496">
        <v>55614</v>
      </c>
      <c r="F496">
        <v>0</v>
      </c>
      <c r="G496">
        <v>0</v>
      </c>
      <c r="H496" s="1">
        <v>41605</v>
      </c>
      <c r="I496">
        <v>85</v>
      </c>
      <c r="J496">
        <v>504</v>
      </c>
      <c r="K496">
        <v>13</v>
      </c>
      <c r="L496">
        <v>131</v>
      </c>
      <c r="M496">
        <v>8</v>
      </c>
      <c r="N496">
        <v>0</v>
      </c>
      <c r="O496">
        <v>26</v>
      </c>
      <c r="P496">
        <v>1</v>
      </c>
      <c r="Q496">
        <v>9</v>
      </c>
      <c r="R496">
        <v>4</v>
      </c>
      <c r="S496">
        <v>6</v>
      </c>
      <c r="T496">
        <v>7</v>
      </c>
      <c r="U496">
        <v>0</v>
      </c>
      <c r="V496">
        <v>1</v>
      </c>
      <c r="W496">
        <v>0</v>
      </c>
      <c r="X496">
        <v>0</v>
      </c>
      <c r="Y496">
        <v>0</v>
      </c>
      <c r="Z496">
        <v>0</v>
      </c>
      <c r="AA496">
        <v>3</v>
      </c>
      <c r="AB496">
        <v>11</v>
      </c>
      <c r="AC496">
        <v>0</v>
      </c>
    </row>
    <row r="497" spans="1:29" x14ac:dyDescent="0.3">
      <c r="A497">
        <v>3136</v>
      </c>
      <c r="B497">
        <v>1962</v>
      </c>
      <c r="C497" t="s">
        <v>34</v>
      </c>
      <c r="D497" t="s">
        <v>35</v>
      </c>
      <c r="E497">
        <v>59432</v>
      </c>
      <c r="F497">
        <v>0</v>
      </c>
      <c r="G497">
        <v>1</v>
      </c>
      <c r="H497" s="1">
        <v>41377</v>
      </c>
      <c r="I497">
        <v>88</v>
      </c>
      <c r="J497">
        <v>317</v>
      </c>
      <c r="K497">
        <v>25</v>
      </c>
      <c r="L497">
        <v>265</v>
      </c>
      <c r="M497">
        <v>25</v>
      </c>
      <c r="N497">
        <v>19</v>
      </c>
      <c r="O497">
        <v>12</v>
      </c>
      <c r="P497">
        <v>3</v>
      </c>
      <c r="Q497">
        <v>5</v>
      </c>
      <c r="R497">
        <v>3</v>
      </c>
      <c r="S497">
        <v>11</v>
      </c>
      <c r="T497">
        <v>5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3</v>
      </c>
      <c r="AB497">
        <v>11</v>
      </c>
      <c r="AC497">
        <v>0</v>
      </c>
    </row>
    <row r="498" spans="1:29" x14ac:dyDescent="0.3">
      <c r="A498">
        <v>8737</v>
      </c>
      <c r="B498">
        <v>1978</v>
      </c>
      <c r="C498" t="s">
        <v>29</v>
      </c>
      <c r="D498" t="s">
        <v>35</v>
      </c>
      <c r="E498">
        <v>55563</v>
      </c>
      <c r="F498">
        <v>0</v>
      </c>
      <c r="G498">
        <v>1</v>
      </c>
      <c r="H498" s="1">
        <v>41734</v>
      </c>
      <c r="I498">
        <v>22</v>
      </c>
      <c r="J498">
        <v>29</v>
      </c>
      <c r="K498">
        <v>1</v>
      </c>
      <c r="L498">
        <v>9</v>
      </c>
      <c r="M498">
        <v>2</v>
      </c>
      <c r="N498">
        <v>0</v>
      </c>
      <c r="O498">
        <v>2</v>
      </c>
      <c r="P498">
        <v>1</v>
      </c>
      <c r="Q498">
        <v>2</v>
      </c>
      <c r="R498">
        <v>0</v>
      </c>
      <c r="S498">
        <v>3</v>
      </c>
      <c r="T498">
        <v>3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3</v>
      </c>
      <c r="AB498">
        <v>11</v>
      </c>
      <c r="AC498">
        <v>0</v>
      </c>
    </row>
    <row r="499" spans="1:29" x14ac:dyDescent="0.3">
      <c r="A499">
        <v>11088</v>
      </c>
      <c r="B499">
        <v>1971</v>
      </c>
      <c r="C499" t="s">
        <v>32</v>
      </c>
      <c r="D499" t="s">
        <v>31</v>
      </c>
      <c r="E499">
        <v>78642</v>
      </c>
      <c r="F499">
        <v>0</v>
      </c>
      <c r="G499">
        <v>1</v>
      </c>
      <c r="H499" s="1">
        <v>41385</v>
      </c>
      <c r="I499">
        <v>83</v>
      </c>
      <c r="J499">
        <v>1396</v>
      </c>
      <c r="K499">
        <v>0</v>
      </c>
      <c r="L499">
        <v>322</v>
      </c>
      <c r="M499">
        <v>46</v>
      </c>
      <c r="N499">
        <v>35</v>
      </c>
      <c r="O499">
        <v>17</v>
      </c>
      <c r="P499">
        <v>1</v>
      </c>
      <c r="Q499">
        <v>4</v>
      </c>
      <c r="R499">
        <v>9</v>
      </c>
      <c r="S499">
        <v>4</v>
      </c>
      <c r="T499">
        <v>6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3</v>
      </c>
      <c r="AB499">
        <v>11</v>
      </c>
      <c r="AC499">
        <v>0</v>
      </c>
    </row>
    <row r="500" spans="1:29" x14ac:dyDescent="0.3">
      <c r="A500">
        <v>716</v>
      </c>
      <c r="B500">
        <v>1949</v>
      </c>
      <c r="C500" t="s">
        <v>32</v>
      </c>
      <c r="D500" t="s">
        <v>31</v>
      </c>
      <c r="E500">
        <v>67911</v>
      </c>
      <c r="F500">
        <v>0</v>
      </c>
      <c r="G500">
        <v>1</v>
      </c>
      <c r="H500" s="1">
        <v>41781</v>
      </c>
      <c r="I500">
        <v>63</v>
      </c>
      <c r="J500">
        <v>529</v>
      </c>
      <c r="K500">
        <v>0</v>
      </c>
      <c r="L500">
        <v>356</v>
      </c>
      <c r="M500">
        <v>63</v>
      </c>
      <c r="N500">
        <v>28</v>
      </c>
      <c r="O500">
        <v>0</v>
      </c>
      <c r="P500">
        <v>3</v>
      </c>
      <c r="Q500">
        <v>6</v>
      </c>
      <c r="R500">
        <v>7</v>
      </c>
      <c r="S500">
        <v>11</v>
      </c>
      <c r="T500">
        <v>3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3</v>
      </c>
      <c r="AB500">
        <v>11</v>
      </c>
      <c r="AC500">
        <v>0</v>
      </c>
    </row>
    <row r="501" spans="1:29" x14ac:dyDescent="0.3">
      <c r="A501">
        <v>466</v>
      </c>
      <c r="B501">
        <v>1944</v>
      </c>
      <c r="C501" t="s">
        <v>29</v>
      </c>
      <c r="D501" t="s">
        <v>33</v>
      </c>
      <c r="E501">
        <v>65275</v>
      </c>
      <c r="F501">
        <v>0</v>
      </c>
      <c r="G501">
        <v>0</v>
      </c>
      <c r="H501" s="1">
        <v>41367</v>
      </c>
      <c r="I501">
        <v>9</v>
      </c>
      <c r="J501">
        <v>388</v>
      </c>
      <c r="K501">
        <v>14</v>
      </c>
      <c r="L501">
        <v>218</v>
      </c>
      <c r="M501">
        <v>91</v>
      </c>
      <c r="N501">
        <v>14</v>
      </c>
      <c r="O501">
        <v>21</v>
      </c>
      <c r="P501">
        <v>1</v>
      </c>
      <c r="Q501">
        <v>4</v>
      </c>
      <c r="R501">
        <v>3</v>
      </c>
      <c r="S501">
        <v>13</v>
      </c>
      <c r="T501">
        <v>2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3</v>
      </c>
      <c r="AB501">
        <v>11</v>
      </c>
      <c r="AC501">
        <v>0</v>
      </c>
    </row>
    <row r="502" spans="1:29" x14ac:dyDescent="0.3">
      <c r="A502">
        <v>9135</v>
      </c>
      <c r="B502">
        <v>1950</v>
      </c>
      <c r="C502" t="s">
        <v>29</v>
      </c>
      <c r="D502" t="s">
        <v>31</v>
      </c>
      <c r="E502">
        <v>27203</v>
      </c>
      <c r="F502">
        <v>1</v>
      </c>
      <c r="G502">
        <v>1</v>
      </c>
      <c r="H502" s="1">
        <v>41127</v>
      </c>
      <c r="I502">
        <v>92</v>
      </c>
      <c r="J502">
        <v>13</v>
      </c>
      <c r="K502">
        <v>2</v>
      </c>
      <c r="L502">
        <v>21</v>
      </c>
      <c r="M502">
        <v>4</v>
      </c>
      <c r="N502">
        <v>0</v>
      </c>
      <c r="O502">
        <v>24</v>
      </c>
      <c r="P502">
        <v>2</v>
      </c>
      <c r="Q502">
        <v>1</v>
      </c>
      <c r="R502">
        <v>1</v>
      </c>
      <c r="S502">
        <v>2</v>
      </c>
      <c r="T502">
        <v>8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3</v>
      </c>
      <c r="AB502">
        <v>11</v>
      </c>
      <c r="AC502">
        <v>0</v>
      </c>
    </row>
    <row r="503" spans="1:29" x14ac:dyDescent="0.3">
      <c r="A503">
        <v>10623</v>
      </c>
      <c r="B503">
        <v>1961</v>
      </c>
      <c r="C503" t="s">
        <v>34</v>
      </c>
      <c r="D503" t="s">
        <v>31</v>
      </c>
      <c r="E503">
        <v>48330</v>
      </c>
      <c r="F503">
        <v>0</v>
      </c>
      <c r="G503">
        <v>1</v>
      </c>
      <c r="H503" s="1">
        <v>41593</v>
      </c>
      <c r="I503">
        <v>2</v>
      </c>
      <c r="J503">
        <v>28</v>
      </c>
      <c r="K503">
        <v>0</v>
      </c>
      <c r="L503">
        <v>4</v>
      </c>
      <c r="M503">
        <v>0</v>
      </c>
      <c r="N503">
        <v>0</v>
      </c>
      <c r="O503">
        <v>0</v>
      </c>
      <c r="P503">
        <v>1</v>
      </c>
      <c r="Q503">
        <v>1</v>
      </c>
      <c r="R503">
        <v>0</v>
      </c>
      <c r="S503">
        <v>3</v>
      </c>
      <c r="T503">
        <v>5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3</v>
      </c>
      <c r="AB503">
        <v>11</v>
      </c>
      <c r="AC503">
        <v>0</v>
      </c>
    </row>
    <row r="504" spans="1:29" x14ac:dyDescent="0.3">
      <c r="A504">
        <v>8151</v>
      </c>
      <c r="B504">
        <v>1990</v>
      </c>
      <c r="C504" t="s">
        <v>36</v>
      </c>
      <c r="D504" t="s">
        <v>33</v>
      </c>
      <c r="E504">
        <v>24279</v>
      </c>
      <c r="F504">
        <v>0</v>
      </c>
      <c r="G504">
        <v>0</v>
      </c>
      <c r="H504" s="1">
        <v>41272</v>
      </c>
      <c r="I504">
        <v>6</v>
      </c>
      <c r="J504">
        <v>16</v>
      </c>
      <c r="K504">
        <v>36</v>
      </c>
      <c r="L504">
        <v>21</v>
      </c>
      <c r="M504">
        <v>20</v>
      </c>
      <c r="N504">
        <v>62</v>
      </c>
      <c r="O504">
        <v>108</v>
      </c>
      <c r="P504">
        <v>1</v>
      </c>
      <c r="Q504">
        <v>4</v>
      </c>
      <c r="R504">
        <v>1</v>
      </c>
      <c r="S504">
        <v>3</v>
      </c>
      <c r="T504">
        <v>8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3</v>
      </c>
      <c r="AB504">
        <v>11</v>
      </c>
      <c r="AC504">
        <v>0</v>
      </c>
    </row>
    <row r="505" spans="1:29" x14ac:dyDescent="0.3">
      <c r="A505">
        <v>5140</v>
      </c>
      <c r="B505">
        <v>1985</v>
      </c>
      <c r="C505" t="s">
        <v>32</v>
      </c>
      <c r="D505" t="s">
        <v>33</v>
      </c>
      <c r="E505">
        <v>64355</v>
      </c>
      <c r="F505">
        <v>1</v>
      </c>
      <c r="G505">
        <v>0</v>
      </c>
      <c r="H505" s="1">
        <v>41145</v>
      </c>
      <c r="I505">
        <v>66</v>
      </c>
      <c r="J505">
        <v>1047</v>
      </c>
      <c r="K505">
        <v>0</v>
      </c>
      <c r="L505">
        <v>140</v>
      </c>
      <c r="M505">
        <v>67</v>
      </c>
      <c r="N505">
        <v>38</v>
      </c>
      <c r="O505">
        <v>153</v>
      </c>
      <c r="P505">
        <v>2</v>
      </c>
      <c r="Q505">
        <v>4</v>
      </c>
      <c r="R505">
        <v>3</v>
      </c>
      <c r="S505">
        <v>12</v>
      </c>
      <c r="T505">
        <v>8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3</v>
      </c>
      <c r="AB505">
        <v>11</v>
      </c>
      <c r="AC505">
        <v>0</v>
      </c>
    </row>
    <row r="506" spans="1:29" x14ac:dyDescent="0.3">
      <c r="A506">
        <v>10160</v>
      </c>
      <c r="B506">
        <v>1956</v>
      </c>
      <c r="C506" t="s">
        <v>34</v>
      </c>
      <c r="D506" t="s">
        <v>31</v>
      </c>
      <c r="E506">
        <v>50943</v>
      </c>
      <c r="F506">
        <v>0</v>
      </c>
      <c r="G506">
        <v>1</v>
      </c>
      <c r="H506" s="1">
        <v>41446</v>
      </c>
      <c r="I506">
        <v>49</v>
      </c>
      <c r="J506">
        <v>31</v>
      </c>
      <c r="K506">
        <v>0</v>
      </c>
      <c r="L506">
        <v>7</v>
      </c>
      <c r="M506">
        <v>2</v>
      </c>
      <c r="N506">
        <v>0</v>
      </c>
      <c r="O506">
        <v>6</v>
      </c>
      <c r="P506">
        <v>1</v>
      </c>
      <c r="Q506">
        <v>1</v>
      </c>
      <c r="R506">
        <v>0</v>
      </c>
      <c r="S506">
        <v>3</v>
      </c>
      <c r="T506">
        <v>5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3</v>
      </c>
      <c r="AB506">
        <v>11</v>
      </c>
      <c r="AC506">
        <v>0</v>
      </c>
    </row>
    <row r="507" spans="1:29" x14ac:dyDescent="0.3">
      <c r="A507">
        <v>4945</v>
      </c>
      <c r="B507">
        <v>1953</v>
      </c>
      <c r="C507" t="s">
        <v>29</v>
      </c>
      <c r="D507" t="s">
        <v>38</v>
      </c>
      <c r="E507">
        <v>53653</v>
      </c>
      <c r="F507">
        <v>0</v>
      </c>
      <c r="G507">
        <v>0</v>
      </c>
      <c r="H507" s="1">
        <v>41220</v>
      </c>
      <c r="I507">
        <v>29</v>
      </c>
      <c r="J507">
        <v>815</v>
      </c>
      <c r="K507">
        <v>10</v>
      </c>
      <c r="L507">
        <v>239</v>
      </c>
      <c r="M507">
        <v>28</v>
      </c>
      <c r="N507">
        <v>10</v>
      </c>
      <c r="O507">
        <v>108</v>
      </c>
      <c r="P507">
        <v>2</v>
      </c>
      <c r="Q507">
        <v>10</v>
      </c>
      <c r="R507">
        <v>4</v>
      </c>
      <c r="S507">
        <v>12</v>
      </c>
      <c r="T507">
        <v>6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3</v>
      </c>
      <c r="AB507">
        <v>11</v>
      </c>
      <c r="AC507">
        <v>0</v>
      </c>
    </row>
    <row r="508" spans="1:29" x14ac:dyDescent="0.3">
      <c r="A508">
        <v>10584</v>
      </c>
      <c r="B508">
        <v>1976</v>
      </c>
      <c r="C508" t="s">
        <v>29</v>
      </c>
      <c r="D508" t="s">
        <v>33</v>
      </c>
      <c r="E508">
        <v>65665</v>
      </c>
      <c r="F508">
        <v>0</v>
      </c>
      <c r="G508">
        <v>1</v>
      </c>
      <c r="H508" s="1">
        <v>41610</v>
      </c>
      <c r="I508">
        <v>77</v>
      </c>
      <c r="J508">
        <v>225</v>
      </c>
      <c r="K508">
        <v>162</v>
      </c>
      <c r="L508">
        <v>387</v>
      </c>
      <c r="M508">
        <v>106</v>
      </c>
      <c r="N508">
        <v>36</v>
      </c>
      <c r="O508">
        <v>29</v>
      </c>
      <c r="P508">
        <v>1</v>
      </c>
      <c r="Q508">
        <v>5</v>
      </c>
      <c r="R508">
        <v>10</v>
      </c>
      <c r="S508">
        <v>8</v>
      </c>
      <c r="T508">
        <v>3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3</v>
      </c>
      <c r="AB508">
        <v>11</v>
      </c>
      <c r="AC508">
        <v>0</v>
      </c>
    </row>
    <row r="509" spans="1:29" x14ac:dyDescent="0.3">
      <c r="A509">
        <v>6071</v>
      </c>
      <c r="B509">
        <v>1989</v>
      </c>
      <c r="C509" t="s">
        <v>29</v>
      </c>
      <c r="D509" t="s">
        <v>30</v>
      </c>
      <c r="E509">
        <v>81217</v>
      </c>
      <c r="F509">
        <v>0</v>
      </c>
      <c r="G509">
        <v>0</v>
      </c>
      <c r="H509" s="1">
        <v>41474</v>
      </c>
      <c r="I509">
        <v>77</v>
      </c>
      <c r="J509">
        <v>493</v>
      </c>
      <c r="K509">
        <v>70</v>
      </c>
      <c r="L509">
        <v>324</v>
      </c>
      <c r="M509">
        <v>146</v>
      </c>
      <c r="N509">
        <v>40</v>
      </c>
      <c r="O509">
        <v>84</v>
      </c>
      <c r="P509">
        <v>1</v>
      </c>
      <c r="Q509">
        <v>3</v>
      </c>
      <c r="R509">
        <v>7</v>
      </c>
      <c r="S509">
        <v>11</v>
      </c>
      <c r="T509">
        <v>1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3</v>
      </c>
      <c r="AB509">
        <v>11</v>
      </c>
      <c r="AC509">
        <v>0</v>
      </c>
    </row>
    <row r="510" spans="1:29" x14ac:dyDescent="0.3">
      <c r="A510">
        <v>3386</v>
      </c>
      <c r="B510">
        <v>1992</v>
      </c>
      <c r="C510" t="s">
        <v>29</v>
      </c>
      <c r="D510" t="s">
        <v>33</v>
      </c>
      <c r="E510">
        <v>34935</v>
      </c>
      <c r="F510">
        <v>0</v>
      </c>
      <c r="G510">
        <v>0</v>
      </c>
      <c r="H510" s="1">
        <v>41446</v>
      </c>
      <c r="I510">
        <v>71</v>
      </c>
      <c r="J510">
        <v>34</v>
      </c>
      <c r="K510">
        <v>4</v>
      </c>
      <c r="L510">
        <v>66</v>
      </c>
      <c r="M510">
        <v>3</v>
      </c>
      <c r="N510">
        <v>10</v>
      </c>
      <c r="O510">
        <v>20</v>
      </c>
      <c r="P510">
        <v>1</v>
      </c>
      <c r="Q510">
        <v>2</v>
      </c>
      <c r="R510">
        <v>1</v>
      </c>
      <c r="S510">
        <v>4</v>
      </c>
      <c r="T510">
        <v>7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3</v>
      </c>
      <c r="AB510">
        <v>11</v>
      </c>
      <c r="AC510">
        <v>0</v>
      </c>
    </row>
    <row r="511" spans="1:29" x14ac:dyDescent="0.3">
      <c r="A511">
        <v>8939</v>
      </c>
      <c r="B511">
        <v>1959</v>
      </c>
      <c r="C511" t="s">
        <v>29</v>
      </c>
      <c r="D511" t="s">
        <v>35</v>
      </c>
      <c r="E511">
        <v>61250</v>
      </c>
      <c r="F511">
        <v>0</v>
      </c>
      <c r="G511">
        <v>1</v>
      </c>
      <c r="H511" s="1">
        <v>41259</v>
      </c>
      <c r="I511">
        <v>49</v>
      </c>
      <c r="J511">
        <v>382</v>
      </c>
      <c r="K511">
        <v>138</v>
      </c>
      <c r="L511">
        <v>65</v>
      </c>
      <c r="M511">
        <v>60</v>
      </c>
      <c r="N511">
        <v>26</v>
      </c>
      <c r="O511">
        <v>59</v>
      </c>
      <c r="P511">
        <v>6</v>
      </c>
      <c r="Q511">
        <v>5</v>
      </c>
      <c r="R511">
        <v>2</v>
      </c>
      <c r="S511">
        <v>12</v>
      </c>
      <c r="T511">
        <v>5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3</v>
      </c>
      <c r="AB511">
        <v>11</v>
      </c>
      <c r="AC511">
        <v>0</v>
      </c>
    </row>
    <row r="512" spans="1:29" x14ac:dyDescent="0.3">
      <c r="A512">
        <v>9925</v>
      </c>
      <c r="B512">
        <v>1981</v>
      </c>
      <c r="C512" t="s">
        <v>32</v>
      </c>
      <c r="D512" t="s">
        <v>31</v>
      </c>
      <c r="E512">
        <v>39665</v>
      </c>
      <c r="F512">
        <v>1</v>
      </c>
      <c r="G512">
        <v>0</v>
      </c>
      <c r="H512" s="1">
        <v>41419</v>
      </c>
      <c r="I512">
        <v>97</v>
      </c>
      <c r="J512">
        <v>127</v>
      </c>
      <c r="K512">
        <v>1</v>
      </c>
      <c r="L512">
        <v>56</v>
      </c>
      <c r="M512">
        <v>0</v>
      </c>
      <c r="N512">
        <v>1</v>
      </c>
      <c r="O512">
        <v>31</v>
      </c>
      <c r="P512">
        <v>3</v>
      </c>
      <c r="Q512">
        <v>4</v>
      </c>
      <c r="R512">
        <v>2</v>
      </c>
      <c r="S512">
        <v>3</v>
      </c>
      <c r="T512">
        <v>7</v>
      </c>
      <c r="U512">
        <v>1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3</v>
      </c>
      <c r="AB512">
        <v>11</v>
      </c>
      <c r="AC512">
        <v>0</v>
      </c>
    </row>
    <row r="513" spans="1:29" x14ac:dyDescent="0.3">
      <c r="A513">
        <v>4320</v>
      </c>
      <c r="B513">
        <v>1979</v>
      </c>
      <c r="C513" t="s">
        <v>29</v>
      </c>
      <c r="D513" t="s">
        <v>30</v>
      </c>
      <c r="E513">
        <v>60152</v>
      </c>
      <c r="F513">
        <v>0</v>
      </c>
      <c r="G513">
        <v>1</v>
      </c>
      <c r="H513" s="1">
        <v>41361</v>
      </c>
      <c r="I513">
        <v>6</v>
      </c>
      <c r="J513">
        <v>325</v>
      </c>
      <c r="K513">
        <v>83</v>
      </c>
      <c r="L513">
        <v>300</v>
      </c>
      <c r="M513">
        <v>86</v>
      </c>
      <c r="N513">
        <v>58</v>
      </c>
      <c r="O513">
        <v>91</v>
      </c>
      <c r="P513">
        <v>1</v>
      </c>
      <c r="Q513">
        <v>6</v>
      </c>
      <c r="R513">
        <v>4</v>
      </c>
      <c r="S513">
        <v>12</v>
      </c>
      <c r="T513">
        <v>3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3</v>
      </c>
      <c r="AB513">
        <v>11</v>
      </c>
      <c r="AC513">
        <v>0</v>
      </c>
    </row>
    <row r="514" spans="1:29" x14ac:dyDescent="0.3">
      <c r="A514">
        <v>5389</v>
      </c>
      <c r="B514">
        <v>1964</v>
      </c>
      <c r="C514" t="s">
        <v>29</v>
      </c>
      <c r="D514" t="s">
        <v>33</v>
      </c>
      <c r="E514">
        <v>48920</v>
      </c>
      <c r="F514">
        <v>0</v>
      </c>
      <c r="G514">
        <v>2</v>
      </c>
      <c r="H514" s="1">
        <v>41567</v>
      </c>
      <c r="I514">
        <v>93</v>
      </c>
      <c r="J514">
        <v>238</v>
      </c>
      <c r="K514">
        <v>17</v>
      </c>
      <c r="L514">
        <v>68</v>
      </c>
      <c r="M514">
        <v>8</v>
      </c>
      <c r="N514">
        <v>10</v>
      </c>
      <c r="O514">
        <v>6</v>
      </c>
      <c r="P514">
        <v>3</v>
      </c>
      <c r="Q514">
        <v>6</v>
      </c>
      <c r="R514">
        <v>2</v>
      </c>
      <c r="S514">
        <v>5</v>
      </c>
      <c r="T514">
        <v>7</v>
      </c>
      <c r="U514">
        <v>0</v>
      </c>
      <c r="V514">
        <v>1</v>
      </c>
      <c r="W514">
        <v>0</v>
      </c>
      <c r="X514">
        <v>0</v>
      </c>
      <c r="Y514">
        <v>0</v>
      </c>
      <c r="Z514">
        <v>0</v>
      </c>
      <c r="AA514">
        <v>3</v>
      </c>
      <c r="AB514">
        <v>11</v>
      </c>
      <c r="AC514">
        <v>0</v>
      </c>
    </row>
    <row r="515" spans="1:29" x14ac:dyDescent="0.3">
      <c r="A515">
        <v>6036</v>
      </c>
      <c r="B515">
        <v>1959</v>
      </c>
      <c r="C515" t="s">
        <v>34</v>
      </c>
      <c r="D515" t="s">
        <v>31</v>
      </c>
      <c r="E515">
        <v>89120</v>
      </c>
      <c r="F515">
        <v>0</v>
      </c>
      <c r="G515">
        <v>0</v>
      </c>
      <c r="H515" s="1">
        <v>41715</v>
      </c>
      <c r="I515">
        <v>78</v>
      </c>
      <c r="J515">
        <v>1168</v>
      </c>
      <c r="K515">
        <v>92</v>
      </c>
      <c r="L515">
        <v>408</v>
      </c>
      <c r="M515">
        <v>72</v>
      </c>
      <c r="N515">
        <v>129</v>
      </c>
      <c r="O515">
        <v>55</v>
      </c>
      <c r="P515">
        <v>1</v>
      </c>
      <c r="Q515">
        <v>5</v>
      </c>
      <c r="R515">
        <v>6</v>
      </c>
      <c r="S515">
        <v>7</v>
      </c>
      <c r="T515">
        <v>1</v>
      </c>
      <c r="U515">
        <v>0</v>
      </c>
      <c r="V515">
        <v>0</v>
      </c>
      <c r="W515">
        <v>1</v>
      </c>
      <c r="X515">
        <v>0</v>
      </c>
      <c r="Y515">
        <v>0</v>
      </c>
      <c r="Z515">
        <v>0</v>
      </c>
      <c r="AA515">
        <v>3</v>
      </c>
      <c r="AB515">
        <v>11</v>
      </c>
      <c r="AC515">
        <v>0</v>
      </c>
    </row>
    <row r="516" spans="1:29" x14ac:dyDescent="0.3">
      <c r="A516">
        <v>182</v>
      </c>
      <c r="B516">
        <v>1946</v>
      </c>
      <c r="C516" t="s">
        <v>32</v>
      </c>
      <c r="D516" t="s">
        <v>31</v>
      </c>
      <c r="E516">
        <v>44124</v>
      </c>
      <c r="F516">
        <v>0</v>
      </c>
      <c r="G516">
        <v>1</v>
      </c>
      <c r="H516" s="1">
        <v>41405</v>
      </c>
      <c r="I516">
        <v>62</v>
      </c>
      <c r="J516">
        <v>284</v>
      </c>
      <c r="K516">
        <v>0</v>
      </c>
      <c r="L516">
        <v>55</v>
      </c>
      <c r="M516">
        <v>0</v>
      </c>
      <c r="N516">
        <v>6</v>
      </c>
      <c r="O516">
        <v>52</v>
      </c>
      <c r="P516">
        <v>4</v>
      </c>
      <c r="Q516">
        <v>6</v>
      </c>
      <c r="R516">
        <v>2</v>
      </c>
      <c r="S516">
        <v>5</v>
      </c>
      <c r="T516">
        <v>8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3</v>
      </c>
      <c r="AB516">
        <v>11</v>
      </c>
      <c r="AC516">
        <v>0</v>
      </c>
    </row>
    <row r="517" spans="1:29" x14ac:dyDescent="0.3">
      <c r="A517">
        <v>203</v>
      </c>
      <c r="B517">
        <v>1975</v>
      </c>
      <c r="C517" t="s">
        <v>34</v>
      </c>
      <c r="D517" t="s">
        <v>30</v>
      </c>
      <c r="E517">
        <v>81169</v>
      </c>
      <c r="F517">
        <v>0</v>
      </c>
      <c r="G517">
        <v>0</v>
      </c>
      <c r="H517" s="1">
        <v>41378</v>
      </c>
      <c r="I517">
        <v>47</v>
      </c>
      <c r="J517">
        <v>1288</v>
      </c>
      <c r="K517">
        <v>20</v>
      </c>
      <c r="L517">
        <v>613</v>
      </c>
      <c r="M517">
        <v>80</v>
      </c>
      <c r="N517">
        <v>61</v>
      </c>
      <c r="O517">
        <v>27</v>
      </c>
      <c r="P517">
        <v>1</v>
      </c>
      <c r="Q517">
        <v>5</v>
      </c>
      <c r="R517">
        <v>7</v>
      </c>
      <c r="S517">
        <v>9</v>
      </c>
      <c r="T517">
        <v>2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3</v>
      </c>
      <c r="AB517">
        <v>11</v>
      </c>
      <c r="AC517">
        <v>0</v>
      </c>
    </row>
    <row r="518" spans="1:29" x14ac:dyDescent="0.3">
      <c r="A518">
        <v>11025</v>
      </c>
      <c r="B518">
        <v>1961</v>
      </c>
      <c r="C518" t="s">
        <v>29</v>
      </c>
      <c r="D518" t="s">
        <v>33</v>
      </c>
      <c r="E518">
        <v>36443</v>
      </c>
      <c r="F518">
        <v>1</v>
      </c>
      <c r="G518">
        <v>1</v>
      </c>
      <c r="H518" s="1">
        <v>41308</v>
      </c>
      <c r="I518">
        <v>9</v>
      </c>
      <c r="J518">
        <v>65</v>
      </c>
      <c r="K518">
        <v>0</v>
      </c>
      <c r="L518">
        <v>46</v>
      </c>
      <c r="M518">
        <v>4</v>
      </c>
      <c r="N518">
        <v>3</v>
      </c>
      <c r="O518">
        <v>20</v>
      </c>
      <c r="P518">
        <v>4</v>
      </c>
      <c r="Q518">
        <v>3</v>
      </c>
      <c r="R518">
        <v>1</v>
      </c>
      <c r="S518">
        <v>3</v>
      </c>
      <c r="T518">
        <v>8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3</v>
      </c>
      <c r="AB518">
        <v>11</v>
      </c>
      <c r="AC518">
        <v>0</v>
      </c>
    </row>
    <row r="519" spans="1:29" x14ac:dyDescent="0.3">
      <c r="A519">
        <v>10203</v>
      </c>
      <c r="B519">
        <v>1990</v>
      </c>
      <c r="C519" t="s">
        <v>29</v>
      </c>
      <c r="D519" t="s">
        <v>30</v>
      </c>
      <c r="E519">
        <v>26095</v>
      </c>
      <c r="F519">
        <v>1</v>
      </c>
      <c r="G519">
        <v>0</v>
      </c>
      <c r="H519" s="1">
        <v>41455</v>
      </c>
      <c r="I519">
        <v>77</v>
      </c>
      <c r="J519">
        <v>11</v>
      </c>
      <c r="K519">
        <v>7</v>
      </c>
      <c r="L519">
        <v>9</v>
      </c>
      <c r="M519">
        <v>3</v>
      </c>
      <c r="N519">
        <v>1</v>
      </c>
      <c r="O519">
        <v>11</v>
      </c>
      <c r="P519">
        <v>1</v>
      </c>
      <c r="Q519">
        <v>1</v>
      </c>
      <c r="R519">
        <v>0</v>
      </c>
      <c r="S519">
        <v>3</v>
      </c>
      <c r="T519">
        <v>7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3</v>
      </c>
      <c r="AB519">
        <v>11</v>
      </c>
      <c r="AC519">
        <v>0</v>
      </c>
    </row>
    <row r="520" spans="1:29" x14ac:dyDescent="0.3">
      <c r="A520">
        <v>4607</v>
      </c>
      <c r="B520">
        <v>1959</v>
      </c>
      <c r="C520" t="s">
        <v>29</v>
      </c>
      <c r="D520" t="s">
        <v>31</v>
      </c>
      <c r="E520">
        <v>71367</v>
      </c>
      <c r="F520">
        <v>0</v>
      </c>
      <c r="G520">
        <v>0</v>
      </c>
      <c r="H520" s="1">
        <v>41509</v>
      </c>
      <c r="I520">
        <v>24</v>
      </c>
      <c r="J520">
        <v>227</v>
      </c>
      <c r="K520">
        <v>23</v>
      </c>
      <c r="L520">
        <v>389</v>
      </c>
      <c r="M520">
        <v>42</v>
      </c>
      <c r="N520">
        <v>21</v>
      </c>
      <c r="O520">
        <v>75</v>
      </c>
      <c r="P520">
        <v>1</v>
      </c>
      <c r="Q520">
        <v>4</v>
      </c>
      <c r="R520">
        <v>5</v>
      </c>
      <c r="S520">
        <v>7</v>
      </c>
      <c r="T520">
        <v>2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3</v>
      </c>
      <c r="AB520">
        <v>11</v>
      </c>
      <c r="AC520">
        <v>0</v>
      </c>
    </row>
    <row r="521" spans="1:29" x14ac:dyDescent="0.3">
      <c r="A521">
        <v>3711</v>
      </c>
      <c r="B521">
        <v>1944</v>
      </c>
      <c r="C521" t="s">
        <v>34</v>
      </c>
      <c r="D521" t="s">
        <v>33</v>
      </c>
      <c r="E521">
        <v>80184</v>
      </c>
      <c r="F521">
        <v>0</v>
      </c>
      <c r="G521">
        <v>0</v>
      </c>
      <c r="H521" s="1">
        <v>41699</v>
      </c>
      <c r="I521">
        <v>19</v>
      </c>
      <c r="J521">
        <v>1035</v>
      </c>
      <c r="K521">
        <v>134</v>
      </c>
      <c r="L521">
        <v>670</v>
      </c>
      <c r="M521">
        <v>25</v>
      </c>
      <c r="N521">
        <v>38</v>
      </c>
      <c r="O521">
        <v>0</v>
      </c>
      <c r="P521">
        <v>1</v>
      </c>
      <c r="Q521">
        <v>6</v>
      </c>
      <c r="R521">
        <v>3</v>
      </c>
      <c r="S521">
        <v>10</v>
      </c>
      <c r="T521">
        <v>3</v>
      </c>
      <c r="U521">
        <v>0</v>
      </c>
      <c r="V521">
        <v>0</v>
      </c>
      <c r="W521">
        <v>1</v>
      </c>
      <c r="X521">
        <v>1</v>
      </c>
      <c r="Y521">
        <v>0</v>
      </c>
      <c r="Z521">
        <v>0</v>
      </c>
      <c r="AA521">
        <v>3</v>
      </c>
      <c r="AB521">
        <v>11</v>
      </c>
      <c r="AC521">
        <v>0</v>
      </c>
    </row>
    <row r="522" spans="1:29" x14ac:dyDescent="0.3">
      <c r="A522">
        <v>3696</v>
      </c>
      <c r="B522">
        <v>1965</v>
      </c>
      <c r="C522" t="s">
        <v>29</v>
      </c>
      <c r="D522" t="s">
        <v>35</v>
      </c>
      <c r="E522">
        <v>30630</v>
      </c>
      <c r="F522">
        <v>1</v>
      </c>
      <c r="G522">
        <v>1</v>
      </c>
      <c r="H522" s="1">
        <v>41666</v>
      </c>
      <c r="I522">
        <v>67</v>
      </c>
      <c r="J522">
        <v>27</v>
      </c>
      <c r="K522">
        <v>1</v>
      </c>
      <c r="L522">
        <v>12</v>
      </c>
      <c r="M522">
        <v>2</v>
      </c>
      <c r="N522">
        <v>0</v>
      </c>
      <c r="O522">
        <v>10</v>
      </c>
      <c r="P522">
        <v>2</v>
      </c>
      <c r="Q522">
        <v>2</v>
      </c>
      <c r="R522">
        <v>0</v>
      </c>
      <c r="S522">
        <v>3</v>
      </c>
      <c r="T522">
        <v>7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3</v>
      </c>
      <c r="AB522">
        <v>11</v>
      </c>
      <c r="AC522">
        <v>0</v>
      </c>
    </row>
    <row r="523" spans="1:29" x14ac:dyDescent="0.3">
      <c r="A523">
        <v>2532</v>
      </c>
      <c r="B523">
        <v>1987</v>
      </c>
      <c r="C523" t="s">
        <v>34</v>
      </c>
      <c r="D523" t="s">
        <v>30</v>
      </c>
      <c r="E523">
        <v>73454</v>
      </c>
      <c r="F523">
        <v>0</v>
      </c>
      <c r="G523">
        <v>0</v>
      </c>
      <c r="H523" s="1">
        <v>41699</v>
      </c>
      <c r="I523">
        <v>95</v>
      </c>
      <c r="J523">
        <v>982</v>
      </c>
      <c r="K523">
        <v>73</v>
      </c>
      <c r="L523">
        <v>351</v>
      </c>
      <c r="M523">
        <v>56</v>
      </c>
      <c r="N523">
        <v>14</v>
      </c>
      <c r="O523">
        <v>175</v>
      </c>
      <c r="P523">
        <v>1</v>
      </c>
      <c r="Q523">
        <v>2</v>
      </c>
      <c r="R523">
        <v>4</v>
      </c>
      <c r="S523">
        <v>6</v>
      </c>
      <c r="T523">
        <v>5</v>
      </c>
      <c r="U523">
        <v>1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3</v>
      </c>
      <c r="AB523">
        <v>11</v>
      </c>
      <c r="AC523">
        <v>0</v>
      </c>
    </row>
    <row r="524" spans="1:29" x14ac:dyDescent="0.3">
      <c r="A524">
        <v>9214</v>
      </c>
      <c r="B524">
        <v>1991</v>
      </c>
      <c r="C524" t="s">
        <v>29</v>
      </c>
      <c r="D524" t="s">
        <v>33</v>
      </c>
      <c r="E524">
        <v>42691</v>
      </c>
      <c r="F524">
        <v>0</v>
      </c>
      <c r="G524">
        <v>0</v>
      </c>
      <c r="H524" s="1">
        <v>41502</v>
      </c>
      <c r="I524">
        <v>48</v>
      </c>
      <c r="J524">
        <v>179</v>
      </c>
      <c r="K524">
        <v>2</v>
      </c>
      <c r="L524">
        <v>64</v>
      </c>
      <c r="M524">
        <v>38</v>
      </c>
      <c r="N524">
        <v>17</v>
      </c>
      <c r="O524">
        <v>58</v>
      </c>
      <c r="P524">
        <v>1</v>
      </c>
      <c r="Q524">
        <v>5</v>
      </c>
      <c r="R524">
        <v>1</v>
      </c>
      <c r="S524">
        <v>6</v>
      </c>
      <c r="T524">
        <v>5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3</v>
      </c>
      <c r="AB524">
        <v>11</v>
      </c>
      <c r="AC524">
        <v>0</v>
      </c>
    </row>
    <row r="525" spans="1:29" x14ac:dyDescent="0.3">
      <c r="A525">
        <v>4943</v>
      </c>
      <c r="B525">
        <v>1953</v>
      </c>
      <c r="C525" t="s">
        <v>29</v>
      </c>
      <c r="D525" t="s">
        <v>33</v>
      </c>
      <c r="E525">
        <v>70503</v>
      </c>
      <c r="F525">
        <v>0</v>
      </c>
      <c r="G525">
        <v>0</v>
      </c>
      <c r="H525" s="1">
        <v>41182</v>
      </c>
      <c r="I525">
        <v>73</v>
      </c>
      <c r="J525">
        <v>1379</v>
      </c>
      <c r="K525">
        <v>33</v>
      </c>
      <c r="L525">
        <v>216</v>
      </c>
      <c r="M525">
        <v>0</v>
      </c>
      <c r="N525">
        <v>33</v>
      </c>
      <c r="O525">
        <v>66</v>
      </c>
      <c r="P525">
        <v>1</v>
      </c>
      <c r="Q525">
        <v>2</v>
      </c>
      <c r="R525">
        <v>4</v>
      </c>
      <c r="S525">
        <v>9</v>
      </c>
      <c r="T525">
        <v>6</v>
      </c>
      <c r="U525">
        <v>0</v>
      </c>
      <c r="V525">
        <v>1</v>
      </c>
      <c r="W525">
        <v>1</v>
      </c>
      <c r="X525">
        <v>0</v>
      </c>
      <c r="Y525">
        <v>0</v>
      </c>
      <c r="Z525">
        <v>0</v>
      </c>
      <c r="AA525">
        <v>3</v>
      </c>
      <c r="AB525">
        <v>11</v>
      </c>
      <c r="AC525">
        <v>0</v>
      </c>
    </row>
    <row r="526" spans="1:29" x14ac:dyDescent="0.3">
      <c r="A526">
        <v>35</v>
      </c>
      <c r="B526">
        <v>1987</v>
      </c>
      <c r="C526" t="s">
        <v>29</v>
      </c>
      <c r="D526" t="s">
        <v>33</v>
      </c>
      <c r="E526">
        <v>25545</v>
      </c>
      <c r="F526">
        <v>1</v>
      </c>
      <c r="G526">
        <v>0</v>
      </c>
      <c r="H526" s="1">
        <v>41160</v>
      </c>
      <c r="I526">
        <v>35</v>
      </c>
      <c r="J526">
        <v>32</v>
      </c>
      <c r="K526">
        <v>1</v>
      </c>
      <c r="L526">
        <v>64</v>
      </c>
      <c r="M526">
        <v>16</v>
      </c>
      <c r="N526">
        <v>12</v>
      </c>
      <c r="O526">
        <v>85</v>
      </c>
      <c r="P526">
        <v>3</v>
      </c>
      <c r="Q526">
        <v>2</v>
      </c>
      <c r="R526">
        <v>2</v>
      </c>
      <c r="S526">
        <v>3</v>
      </c>
      <c r="T526">
        <v>6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3</v>
      </c>
      <c r="AB526">
        <v>11</v>
      </c>
      <c r="AC526">
        <v>1</v>
      </c>
    </row>
    <row r="527" spans="1:29" x14ac:dyDescent="0.3">
      <c r="A527">
        <v>2258</v>
      </c>
      <c r="B527">
        <v>1986</v>
      </c>
      <c r="C527" t="s">
        <v>29</v>
      </c>
      <c r="D527" t="s">
        <v>33</v>
      </c>
      <c r="E527">
        <v>32880</v>
      </c>
      <c r="F527">
        <v>1</v>
      </c>
      <c r="G527">
        <v>0</v>
      </c>
      <c r="H527" s="1">
        <v>41247</v>
      </c>
      <c r="I527">
        <v>76</v>
      </c>
      <c r="J527">
        <v>8</v>
      </c>
      <c r="K527">
        <v>4</v>
      </c>
      <c r="L527">
        <v>15</v>
      </c>
      <c r="M527">
        <v>7</v>
      </c>
      <c r="N527">
        <v>6</v>
      </c>
      <c r="O527">
        <v>2</v>
      </c>
      <c r="P527">
        <v>1</v>
      </c>
      <c r="Q527">
        <v>1</v>
      </c>
      <c r="R527">
        <v>0</v>
      </c>
      <c r="S527">
        <v>3</v>
      </c>
      <c r="T527">
        <v>8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3</v>
      </c>
      <c r="AB527">
        <v>11</v>
      </c>
      <c r="AC527">
        <v>0</v>
      </c>
    </row>
    <row r="528" spans="1:29" x14ac:dyDescent="0.3">
      <c r="A528">
        <v>4322</v>
      </c>
      <c r="B528">
        <v>1958</v>
      </c>
      <c r="C528" t="s">
        <v>32</v>
      </c>
      <c r="D528" t="s">
        <v>31</v>
      </c>
      <c r="E528">
        <v>77863</v>
      </c>
      <c r="F528">
        <v>0</v>
      </c>
      <c r="G528">
        <v>0</v>
      </c>
      <c r="H528" s="1">
        <v>41605</v>
      </c>
      <c r="I528">
        <v>20</v>
      </c>
      <c r="J528">
        <v>881</v>
      </c>
      <c r="K528">
        <v>38</v>
      </c>
      <c r="L528">
        <v>319</v>
      </c>
      <c r="M528">
        <v>16</v>
      </c>
      <c r="N528">
        <v>25</v>
      </c>
      <c r="O528">
        <v>12</v>
      </c>
      <c r="P528">
        <v>1</v>
      </c>
      <c r="Q528">
        <v>4</v>
      </c>
      <c r="R528">
        <v>5</v>
      </c>
      <c r="S528">
        <v>10</v>
      </c>
      <c r="T528">
        <v>2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3</v>
      </c>
      <c r="AB528">
        <v>11</v>
      </c>
      <c r="AC528">
        <v>0</v>
      </c>
    </row>
    <row r="529" spans="1:29" x14ac:dyDescent="0.3">
      <c r="A529">
        <v>713</v>
      </c>
      <c r="B529">
        <v>1977</v>
      </c>
      <c r="C529" t="s">
        <v>34</v>
      </c>
      <c r="D529" t="s">
        <v>33</v>
      </c>
      <c r="E529">
        <v>50353</v>
      </c>
      <c r="F529">
        <v>0</v>
      </c>
      <c r="G529">
        <v>0</v>
      </c>
      <c r="H529" s="1">
        <v>41798</v>
      </c>
      <c r="I529">
        <v>72</v>
      </c>
      <c r="J529">
        <v>141</v>
      </c>
      <c r="K529">
        <v>15</v>
      </c>
      <c r="L529">
        <v>153</v>
      </c>
      <c r="M529">
        <v>67</v>
      </c>
      <c r="N529">
        <v>31</v>
      </c>
      <c r="O529">
        <v>35</v>
      </c>
      <c r="P529">
        <v>1</v>
      </c>
      <c r="Q529">
        <v>4</v>
      </c>
      <c r="R529">
        <v>4</v>
      </c>
      <c r="S529">
        <v>6</v>
      </c>
      <c r="T529">
        <v>3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3</v>
      </c>
      <c r="AB529">
        <v>11</v>
      </c>
      <c r="AC529">
        <v>0</v>
      </c>
    </row>
    <row r="530" spans="1:29" x14ac:dyDescent="0.3">
      <c r="A530">
        <v>4702</v>
      </c>
      <c r="B530">
        <v>1964</v>
      </c>
      <c r="C530" t="s">
        <v>29</v>
      </c>
      <c r="D530" t="s">
        <v>30</v>
      </c>
      <c r="E530">
        <v>61839</v>
      </c>
      <c r="F530">
        <v>0</v>
      </c>
      <c r="G530">
        <v>0</v>
      </c>
      <c r="H530" s="1">
        <v>41133</v>
      </c>
      <c r="I530">
        <v>20</v>
      </c>
      <c r="J530">
        <v>1000</v>
      </c>
      <c r="K530">
        <v>155</v>
      </c>
      <c r="L530">
        <v>379</v>
      </c>
      <c r="M530">
        <v>224</v>
      </c>
      <c r="N530">
        <v>17</v>
      </c>
      <c r="O530">
        <v>120</v>
      </c>
      <c r="P530">
        <v>1</v>
      </c>
      <c r="Q530">
        <v>4</v>
      </c>
      <c r="R530">
        <v>8</v>
      </c>
      <c r="S530">
        <v>4</v>
      </c>
      <c r="T530">
        <v>8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3</v>
      </c>
      <c r="AB530">
        <v>11</v>
      </c>
      <c r="AC530">
        <v>0</v>
      </c>
    </row>
    <row r="531" spans="1:29" x14ac:dyDescent="0.3">
      <c r="A531">
        <v>3281</v>
      </c>
      <c r="B531">
        <v>1960</v>
      </c>
      <c r="C531" t="s">
        <v>32</v>
      </c>
      <c r="D531" t="s">
        <v>33</v>
      </c>
      <c r="E531">
        <v>49154</v>
      </c>
      <c r="F531">
        <v>1</v>
      </c>
      <c r="G531">
        <v>1</v>
      </c>
      <c r="H531" s="1">
        <v>41581</v>
      </c>
      <c r="I531">
        <v>69</v>
      </c>
      <c r="J531">
        <v>206</v>
      </c>
      <c r="K531">
        <v>10</v>
      </c>
      <c r="L531">
        <v>67</v>
      </c>
      <c r="M531">
        <v>30</v>
      </c>
      <c r="N531">
        <v>27</v>
      </c>
      <c r="O531">
        <v>71</v>
      </c>
      <c r="P531">
        <v>6</v>
      </c>
      <c r="Q531">
        <v>4</v>
      </c>
      <c r="R531">
        <v>1</v>
      </c>
      <c r="S531">
        <v>8</v>
      </c>
      <c r="T531">
        <v>6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3</v>
      </c>
      <c r="AB531">
        <v>11</v>
      </c>
      <c r="AC531">
        <v>0</v>
      </c>
    </row>
    <row r="532" spans="1:29" x14ac:dyDescent="0.3">
      <c r="A532">
        <v>702</v>
      </c>
      <c r="B532">
        <v>1975</v>
      </c>
      <c r="C532" t="s">
        <v>37</v>
      </c>
      <c r="D532" t="s">
        <v>38</v>
      </c>
      <c r="E532">
        <v>47682</v>
      </c>
      <c r="F532">
        <v>0</v>
      </c>
      <c r="G532">
        <v>1</v>
      </c>
      <c r="H532" s="1">
        <v>41320</v>
      </c>
      <c r="I532">
        <v>80</v>
      </c>
      <c r="J532">
        <v>162</v>
      </c>
      <c r="K532">
        <v>61</v>
      </c>
      <c r="L532">
        <v>83</v>
      </c>
      <c r="M532">
        <v>97</v>
      </c>
      <c r="N532">
        <v>57</v>
      </c>
      <c r="O532">
        <v>61</v>
      </c>
      <c r="P532">
        <v>4</v>
      </c>
      <c r="Q532">
        <v>4</v>
      </c>
      <c r="R532">
        <v>3</v>
      </c>
      <c r="S532">
        <v>8</v>
      </c>
      <c r="T532">
        <v>5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3</v>
      </c>
      <c r="AB532">
        <v>11</v>
      </c>
      <c r="AC532">
        <v>0</v>
      </c>
    </row>
    <row r="533" spans="1:29" x14ac:dyDescent="0.3">
      <c r="A533">
        <v>2004</v>
      </c>
      <c r="B533">
        <v>1969</v>
      </c>
      <c r="C533" t="s">
        <v>29</v>
      </c>
      <c r="D533" t="s">
        <v>30</v>
      </c>
      <c r="E533">
        <v>72679</v>
      </c>
      <c r="F533">
        <v>0</v>
      </c>
      <c r="G533">
        <v>1</v>
      </c>
      <c r="H533" s="1">
        <v>41535</v>
      </c>
      <c r="I533">
        <v>65</v>
      </c>
      <c r="J533">
        <v>619</v>
      </c>
      <c r="K533">
        <v>54</v>
      </c>
      <c r="L533">
        <v>260</v>
      </c>
      <c r="M533">
        <v>127</v>
      </c>
      <c r="N533">
        <v>54</v>
      </c>
      <c r="O533">
        <v>54</v>
      </c>
      <c r="P533">
        <v>1</v>
      </c>
      <c r="Q533">
        <v>4</v>
      </c>
      <c r="R533">
        <v>7</v>
      </c>
      <c r="S533">
        <v>5</v>
      </c>
      <c r="T533">
        <v>1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3</v>
      </c>
      <c r="AB533">
        <v>11</v>
      </c>
      <c r="AC533">
        <v>0</v>
      </c>
    </row>
    <row r="534" spans="1:29" x14ac:dyDescent="0.3">
      <c r="A534">
        <v>4769</v>
      </c>
      <c r="B534">
        <v>1977</v>
      </c>
      <c r="C534" t="s">
        <v>34</v>
      </c>
      <c r="D534" t="s">
        <v>31</v>
      </c>
      <c r="E534">
        <v>57954</v>
      </c>
      <c r="F534">
        <v>1</v>
      </c>
      <c r="G534">
        <v>1</v>
      </c>
      <c r="H534" s="1">
        <v>41808</v>
      </c>
      <c r="I534">
        <v>52</v>
      </c>
      <c r="J534">
        <v>456</v>
      </c>
      <c r="K534">
        <v>4</v>
      </c>
      <c r="L534">
        <v>24</v>
      </c>
      <c r="M534">
        <v>0</v>
      </c>
      <c r="N534">
        <v>0</v>
      </c>
      <c r="O534">
        <v>9</v>
      </c>
      <c r="P534">
        <v>7</v>
      </c>
      <c r="Q534">
        <v>8</v>
      </c>
      <c r="R534">
        <v>2</v>
      </c>
      <c r="S534">
        <v>6</v>
      </c>
      <c r="T534">
        <v>7</v>
      </c>
      <c r="U534">
        <v>0</v>
      </c>
      <c r="V534">
        <v>1</v>
      </c>
      <c r="W534">
        <v>0</v>
      </c>
      <c r="X534">
        <v>0</v>
      </c>
      <c r="Y534">
        <v>0</v>
      </c>
      <c r="Z534">
        <v>0</v>
      </c>
      <c r="AA534">
        <v>3</v>
      </c>
      <c r="AB534">
        <v>11</v>
      </c>
      <c r="AC534">
        <v>0</v>
      </c>
    </row>
    <row r="535" spans="1:29" x14ac:dyDescent="0.3">
      <c r="A535">
        <v>4437</v>
      </c>
      <c r="B535">
        <v>1962</v>
      </c>
      <c r="C535" t="s">
        <v>29</v>
      </c>
      <c r="D535" t="s">
        <v>33</v>
      </c>
      <c r="E535">
        <v>65316</v>
      </c>
      <c r="F535">
        <v>1</v>
      </c>
      <c r="G535">
        <v>1</v>
      </c>
      <c r="H535" s="1">
        <v>41388</v>
      </c>
      <c r="I535">
        <v>65</v>
      </c>
      <c r="J535">
        <v>112</v>
      </c>
      <c r="K535">
        <v>6</v>
      </c>
      <c r="L535">
        <v>92</v>
      </c>
      <c r="M535">
        <v>3</v>
      </c>
      <c r="N535">
        <v>9</v>
      </c>
      <c r="O535">
        <v>38</v>
      </c>
      <c r="P535">
        <v>2</v>
      </c>
      <c r="Q535">
        <v>3</v>
      </c>
      <c r="R535">
        <v>2</v>
      </c>
      <c r="S535">
        <v>5</v>
      </c>
      <c r="T535">
        <v>4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3</v>
      </c>
      <c r="AB535">
        <v>11</v>
      </c>
      <c r="AC535">
        <v>0</v>
      </c>
    </row>
    <row r="536" spans="1:29" x14ac:dyDescent="0.3">
      <c r="A536">
        <v>8724</v>
      </c>
      <c r="B536">
        <v>1982</v>
      </c>
      <c r="C536" t="s">
        <v>29</v>
      </c>
      <c r="D536" t="s">
        <v>30</v>
      </c>
      <c r="E536">
        <v>28567</v>
      </c>
      <c r="F536">
        <v>1</v>
      </c>
      <c r="G536">
        <v>0</v>
      </c>
      <c r="H536" s="1">
        <v>41442</v>
      </c>
      <c r="I536">
        <v>57</v>
      </c>
      <c r="J536">
        <v>11</v>
      </c>
      <c r="K536">
        <v>3</v>
      </c>
      <c r="L536">
        <v>22</v>
      </c>
      <c r="M536">
        <v>2</v>
      </c>
      <c r="N536">
        <v>2</v>
      </c>
      <c r="O536">
        <v>6</v>
      </c>
      <c r="P536">
        <v>2</v>
      </c>
      <c r="Q536">
        <v>2</v>
      </c>
      <c r="R536">
        <v>0</v>
      </c>
      <c r="S536">
        <v>3</v>
      </c>
      <c r="T536">
        <v>6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3</v>
      </c>
      <c r="AB536">
        <v>11</v>
      </c>
      <c r="AC536">
        <v>0</v>
      </c>
    </row>
    <row r="537" spans="1:29" x14ac:dyDescent="0.3">
      <c r="A537">
        <v>10741</v>
      </c>
      <c r="B537">
        <v>1951</v>
      </c>
      <c r="C537" t="s">
        <v>34</v>
      </c>
      <c r="D537" t="s">
        <v>31</v>
      </c>
      <c r="E537">
        <v>47352</v>
      </c>
      <c r="F537">
        <v>0</v>
      </c>
      <c r="G537">
        <v>1</v>
      </c>
      <c r="H537" s="1">
        <v>41375</v>
      </c>
      <c r="I537">
        <v>70</v>
      </c>
      <c r="J537">
        <v>172</v>
      </c>
      <c r="K537">
        <v>12</v>
      </c>
      <c r="L537">
        <v>112</v>
      </c>
      <c r="M537">
        <v>8</v>
      </c>
      <c r="N537">
        <v>0</v>
      </c>
      <c r="O537">
        <v>15</v>
      </c>
      <c r="P537">
        <v>4</v>
      </c>
      <c r="Q537">
        <v>6</v>
      </c>
      <c r="R537">
        <v>1</v>
      </c>
      <c r="S537">
        <v>5</v>
      </c>
      <c r="T537">
        <v>7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3</v>
      </c>
      <c r="AB537">
        <v>11</v>
      </c>
      <c r="AC537">
        <v>0</v>
      </c>
    </row>
    <row r="538" spans="1:29" x14ac:dyDescent="0.3">
      <c r="A538">
        <v>1991</v>
      </c>
      <c r="B538">
        <v>1967</v>
      </c>
      <c r="C538" t="s">
        <v>29</v>
      </c>
      <c r="D538" t="s">
        <v>31</v>
      </c>
      <c r="E538">
        <v>44931</v>
      </c>
      <c r="F538">
        <v>0</v>
      </c>
      <c r="G538">
        <v>1</v>
      </c>
      <c r="H538" s="1">
        <v>41657</v>
      </c>
      <c r="I538">
        <v>0</v>
      </c>
      <c r="J538">
        <v>78</v>
      </c>
      <c r="K538">
        <v>0</v>
      </c>
      <c r="L538">
        <v>11</v>
      </c>
      <c r="M538">
        <v>0</v>
      </c>
      <c r="N538">
        <v>0</v>
      </c>
      <c r="O538">
        <v>7</v>
      </c>
      <c r="P538">
        <v>1</v>
      </c>
      <c r="Q538">
        <v>2</v>
      </c>
      <c r="R538">
        <v>1</v>
      </c>
      <c r="S538">
        <v>3</v>
      </c>
      <c r="T538">
        <v>5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3</v>
      </c>
      <c r="AB538">
        <v>11</v>
      </c>
      <c r="AC538">
        <v>0</v>
      </c>
    </row>
    <row r="539" spans="1:29" x14ac:dyDescent="0.3">
      <c r="A539">
        <v>6931</v>
      </c>
      <c r="B539">
        <v>1967</v>
      </c>
      <c r="C539" t="s">
        <v>29</v>
      </c>
      <c r="D539" t="s">
        <v>35</v>
      </c>
      <c r="E539">
        <v>76982</v>
      </c>
      <c r="F539">
        <v>0</v>
      </c>
      <c r="G539">
        <v>0</v>
      </c>
      <c r="H539" s="1">
        <v>41685</v>
      </c>
      <c r="I539">
        <v>19</v>
      </c>
      <c r="J539">
        <v>464</v>
      </c>
      <c r="K539">
        <v>151</v>
      </c>
      <c r="L539">
        <v>292</v>
      </c>
      <c r="M539">
        <v>65</v>
      </c>
      <c r="N539">
        <v>60</v>
      </c>
      <c r="O539">
        <v>30</v>
      </c>
      <c r="P539">
        <v>1</v>
      </c>
      <c r="Q539">
        <v>8</v>
      </c>
      <c r="R539">
        <v>3</v>
      </c>
      <c r="S539">
        <v>4</v>
      </c>
      <c r="T539">
        <v>4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>
        <v>3</v>
      </c>
      <c r="AB539">
        <v>11</v>
      </c>
      <c r="AC539">
        <v>1</v>
      </c>
    </row>
    <row r="540" spans="1:29" x14ac:dyDescent="0.3">
      <c r="A540">
        <v>11096</v>
      </c>
      <c r="B540">
        <v>1952</v>
      </c>
      <c r="C540" t="s">
        <v>37</v>
      </c>
      <c r="D540" t="s">
        <v>31</v>
      </c>
      <c r="E540">
        <v>57247</v>
      </c>
      <c r="F540">
        <v>0</v>
      </c>
      <c r="G540">
        <v>1</v>
      </c>
      <c r="H540" s="1">
        <v>41494</v>
      </c>
      <c r="I540">
        <v>50</v>
      </c>
      <c r="J540">
        <v>99</v>
      </c>
      <c r="K540">
        <v>4</v>
      </c>
      <c r="L540">
        <v>32</v>
      </c>
      <c r="M540">
        <v>37</v>
      </c>
      <c r="N540">
        <v>54</v>
      </c>
      <c r="O540">
        <v>6</v>
      </c>
      <c r="P540">
        <v>2</v>
      </c>
      <c r="Q540">
        <v>2</v>
      </c>
      <c r="R540">
        <v>1</v>
      </c>
      <c r="S540">
        <v>7</v>
      </c>
      <c r="T540">
        <v>2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3</v>
      </c>
      <c r="AB540">
        <v>11</v>
      </c>
      <c r="AC540">
        <v>0</v>
      </c>
    </row>
    <row r="541" spans="1:29" x14ac:dyDescent="0.3">
      <c r="A541">
        <v>304</v>
      </c>
      <c r="B541">
        <v>1981</v>
      </c>
      <c r="C541" t="s">
        <v>34</v>
      </c>
      <c r="D541" t="s">
        <v>30</v>
      </c>
      <c r="E541">
        <v>22944</v>
      </c>
      <c r="F541">
        <v>1</v>
      </c>
      <c r="G541">
        <v>0</v>
      </c>
      <c r="H541" s="1">
        <v>41631</v>
      </c>
      <c r="I541">
        <v>67</v>
      </c>
      <c r="J541">
        <v>19</v>
      </c>
      <c r="K541">
        <v>3</v>
      </c>
      <c r="L541">
        <v>19</v>
      </c>
      <c r="M541">
        <v>4</v>
      </c>
      <c r="N541">
        <v>5</v>
      </c>
      <c r="O541">
        <v>26</v>
      </c>
      <c r="P541">
        <v>3</v>
      </c>
      <c r="Q541">
        <v>3</v>
      </c>
      <c r="R541">
        <v>0</v>
      </c>
      <c r="S541">
        <v>3</v>
      </c>
      <c r="T541">
        <v>7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3</v>
      </c>
      <c r="AB541">
        <v>11</v>
      </c>
      <c r="AC541">
        <v>0</v>
      </c>
    </row>
    <row r="542" spans="1:29" x14ac:dyDescent="0.3">
      <c r="A542">
        <v>3665</v>
      </c>
      <c r="B542">
        <v>1977</v>
      </c>
      <c r="C542" t="s">
        <v>37</v>
      </c>
      <c r="D542" t="s">
        <v>31</v>
      </c>
      <c r="E542">
        <v>25315</v>
      </c>
      <c r="F542">
        <v>1</v>
      </c>
      <c r="G542">
        <v>0</v>
      </c>
      <c r="H542" s="1">
        <v>41585</v>
      </c>
      <c r="I542">
        <v>46</v>
      </c>
      <c r="J542">
        <v>1</v>
      </c>
      <c r="K542">
        <v>9</v>
      </c>
      <c r="L542">
        <v>8</v>
      </c>
      <c r="M542">
        <v>11</v>
      </c>
      <c r="N542">
        <v>3</v>
      </c>
      <c r="O542">
        <v>22</v>
      </c>
      <c r="P542">
        <v>3</v>
      </c>
      <c r="Q542">
        <v>3</v>
      </c>
      <c r="R542">
        <v>0</v>
      </c>
      <c r="S542">
        <v>3</v>
      </c>
      <c r="T542">
        <v>8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3</v>
      </c>
      <c r="AB542">
        <v>11</v>
      </c>
      <c r="AC542">
        <v>0</v>
      </c>
    </row>
    <row r="543" spans="1:29" x14ac:dyDescent="0.3">
      <c r="A543">
        <v>10591</v>
      </c>
      <c r="B543">
        <v>1969</v>
      </c>
      <c r="C543" t="s">
        <v>29</v>
      </c>
      <c r="D543" t="s">
        <v>38</v>
      </c>
      <c r="E543">
        <v>43638</v>
      </c>
      <c r="F543">
        <v>0</v>
      </c>
      <c r="G543">
        <v>1</v>
      </c>
      <c r="H543" s="1">
        <v>41127</v>
      </c>
      <c r="I543">
        <v>37</v>
      </c>
      <c r="J543">
        <v>63</v>
      </c>
      <c r="K543">
        <v>10</v>
      </c>
      <c r="L543">
        <v>83</v>
      </c>
      <c r="M543">
        <v>7</v>
      </c>
      <c r="N543">
        <v>19</v>
      </c>
      <c r="O543">
        <v>19</v>
      </c>
      <c r="P543">
        <v>2</v>
      </c>
      <c r="Q543">
        <v>4</v>
      </c>
      <c r="R543">
        <v>1</v>
      </c>
      <c r="S543">
        <v>4</v>
      </c>
      <c r="T543">
        <v>7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3</v>
      </c>
      <c r="AB543">
        <v>11</v>
      </c>
      <c r="AC543">
        <v>0</v>
      </c>
    </row>
    <row r="544" spans="1:29" x14ac:dyDescent="0.3">
      <c r="A544">
        <v>5036</v>
      </c>
      <c r="B544">
        <v>1984</v>
      </c>
      <c r="C544" t="s">
        <v>32</v>
      </c>
      <c r="D544" t="s">
        <v>30</v>
      </c>
      <c r="E544">
        <v>42710</v>
      </c>
      <c r="F544">
        <v>1</v>
      </c>
      <c r="G544">
        <v>0</v>
      </c>
      <c r="H544" s="1">
        <v>41241</v>
      </c>
      <c r="I544">
        <v>38</v>
      </c>
      <c r="J544">
        <v>252</v>
      </c>
      <c r="K544">
        <v>3</v>
      </c>
      <c r="L544">
        <v>42</v>
      </c>
      <c r="M544">
        <v>4</v>
      </c>
      <c r="N544">
        <v>3</v>
      </c>
      <c r="O544">
        <v>102</v>
      </c>
      <c r="P544">
        <v>2</v>
      </c>
      <c r="Q544">
        <v>4</v>
      </c>
      <c r="R544">
        <v>5</v>
      </c>
      <c r="S544">
        <v>3</v>
      </c>
      <c r="T544">
        <v>6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3</v>
      </c>
      <c r="AB544">
        <v>11</v>
      </c>
      <c r="AC544">
        <v>0</v>
      </c>
    </row>
    <row r="545" spans="1:29" x14ac:dyDescent="0.3">
      <c r="A545">
        <v>5547</v>
      </c>
      <c r="B545">
        <v>1982</v>
      </c>
      <c r="C545" t="s">
        <v>32</v>
      </c>
      <c r="D545" t="s">
        <v>33</v>
      </c>
      <c r="E545">
        <v>84169</v>
      </c>
      <c r="F545">
        <v>0</v>
      </c>
      <c r="G545">
        <v>0</v>
      </c>
      <c r="H545" s="1">
        <v>41493</v>
      </c>
      <c r="I545">
        <v>9</v>
      </c>
      <c r="J545">
        <v>1478</v>
      </c>
      <c r="K545">
        <v>19</v>
      </c>
      <c r="L545">
        <v>403</v>
      </c>
      <c r="M545">
        <v>0</v>
      </c>
      <c r="N545">
        <v>19</v>
      </c>
      <c r="O545">
        <v>0</v>
      </c>
      <c r="P545">
        <v>1</v>
      </c>
      <c r="Q545">
        <v>7</v>
      </c>
      <c r="R545">
        <v>6</v>
      </c>
      <c r="S545">
        <v>6</v>
      </c>
      <c r="T545">
        <v>3</v>
      </c>
      <c r="U545">
        <v>0</v>
      </c>
      <c r="V545">
        <v>1</v>
      </c>
      <c r="W545">
        <v>1</v>
      </c>
      <c r="X545">
        <v>0</v>
      </c>
      <c r="Y545">
        <v>0</v>
      </c>
      <c r="Z545">
        <v>0</v>
      </c>
      <c r="AA545">
        <v>3</v>
      </c>
      <c r="AB545">
        <v>11</v>
      </c>
      <c r="AC545">
        <v>1</v>
      </c>
    </row>
    <row r="546" spans="1:29" x14ac:dyDescent="0.3">
      <c r="A546">
        <v>7822</v>
      </c>
      <c r="B546">
        <v>1976</v>
      </c>
      <c r="C546" t="s">
        <v>29</v>
      </c>
      <c r="D546" t="s">
        <v>31</v>
      </c>
      <c r="E546">
        <v>54058</v>
      </c>
      <c r="F546">
        <v>0</v>
      </c>
      <c r="G546">
        <v>1</v>
      </c>
      <c r="H546" s="1">
        <v>41429</v>
      </c>
      <c r="I546">
        <v>56</v>
      </c>
      <c r="J546">
        <v>198</v>
      </c>
      <c r="K546">
        <v>18</v>
      </c>
      <c r="L546">
        <v>252</v>
      </c>
      <c r="M546">
        <v>32</v>
      </c>
      <c r="N546">
        <v>108</v>
      </c>
      <c r="O546">
        <v>54</v>
      </c>
      <c r="P546">
        <v>2</v>
      </c>
      <c r="Q546">
        <v>4</v>
      </c>
      <c r="R546">
        <v>6</v>
      </c>
      <c r="S546">
        <v>8</v>
      </c>
      <c r="T546">
        <v>3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3</v>
      </c>
      <c r="AB546">
        <v>11</v>
      </c>
      <c r="AC546">
        <v>0</v>
      </c>
    </row>
    <row r="547" spans="1:29" x14ac:dyDescent="0.3">
      <c r="A547">
        <v>8541</v>
      </c>
      <c r="B547">
        <v>1990</v>
      </c>
      <c r="C547" t="s">
        <v>37</v>
      </c>
      <c r="D547" t="s">
        <v>33</v>
      </c>
      <c r="E547">
        <v>24683</v>
      </c>
      <c r="F547">
        <v>1</v>
      </c>
      <c r="G547">
        <v>0</v>
      </c>
      <c r="H547" s="1">
        <v>41706</v>
      </c>
      <c r="I547">
        <v>98</v>
      </c>
      <c r="J547">
        <v>8</v>
      </c>
      <c r="K547">
        <v>4</v>
      </c>
      <c r="L547">
        <v>10</v>
      </c>
      <c r="M547">
        <v>6</v>
      </c>
      <c r="N547">
        <v>7</v>
      </c>
      <c r="O547">
        <v>6</v>
      </c>
      <c r="P547">
        <v>2</v>
      </c>
      <c r="Q547">
        <v>2</v>
      </c>
      <c r="R547">
        <v>0</v>
      </c>
      <c r="S547">
        <v>4</v>
      </c>
      <c r="T547">
        <v>5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3</v>
      </c>
      <c r="AB547">
        <v>11</v>
      </c>
      <c r="AC547">
        <v>0</v>
      </c>
    </row>
    <row r="548" spans="1:29" x14ac:dyDescent="0.3">
      <c r="A548">
        <v>10955</v>
      </c>
      <c r="B548">
        <v>1964</v>
      </c>
      <c r="C548" t="s">
        <v>29</v>
      </c>
      <c r="D548" t="s">
        <v>38</v>
      </c>
      <c r="E548">
        <v>85620</v>
      </c>
      <c r="F548">
        <v>0</v>
      </c>
      <c r="G548">
        <v>0</v>
      </c>
      <c r="H548" s="1">
        <v>41646</v>
      </c>
      <c r="I548">
        <v>68</v>
      </c>
      <c r="J548">
        <v>416</v>
      </c>
      <c r="K548">
        <v>46</v>
      </c>
      <c r="L548">
        <v>925</v>
      </c>
      <c r="M548">
        <v>60</v>
      </c>
      <c r="N548">
        <v>107</v>
      </c>
      <c r="O548">
        <v>46</v>
      </c>
      <c r="P548">
        <v>1</v>
      </c>
      <c r="Q548">
        <v>3</v>
      </c>
      <c r="R548">
        <v>6</v>
      </c>
      <c r="S548">
        <v>4</v>
      </c>
      <c r="T548">
        <v>1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3</v>
      </c>
      <c r="AB548">
        <v>11</v>
      </c>
      <c r="AC548">
        <v>1</v>
      </c>
    </row>
    <row r="549" spans="1:29" x14ac:dyDescent="0.3">
      <c r="A549">
        <v>4368</v>
      </c>
      <c r="B549">
        <v>1980</v>
      </c>
      <c r="C549" t="s">
        <v>29</v>
      </c>
      <c r="D549" t="s">
        <v>33</v>
      </c>
      <c r="E549">
        <v>47850</v>
      </c>
      <c r="F549">
        <v>1</v>
      </c>
      <c r="G549">
        <v>0</v>
      </c>
      <c r="H549" s="1">
        <v>41611</v>
      </c>
      <c r="I549">
        <v>72</v>
      </c>
      <c r="J549">
        <v>42</v>
      </c>
      <c r="K549">
        <v>7</v>
      </c>
      <c r="L549">
        <v>43</v>
      </c>
      <c r="M549">
        <v>20</v>
      </c>
      <c r="N549">
        <v>12</v>
      </c>
      <c r="O549">
        <v>10</v>
      </c>
      <c r="P549">
        <v>1</v>
      </c>
      <c r="Q549">
        <v>3</v>
      </c>
      <c r="R549">
        <v>0</v>
      </c>
      <c r="S549">
        <v>4</v>
      </c>
      <c r="T549">
        <v>6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3</v>
      </c>
      <c r="AB549">
        <v>11</v>
      </c>
      <c r="AC549">
        <v>0</v>
      </c>
    </row>
    <row r="550" spans="1:29" x14ac:dyDescent="0.3">
      <c r="A550">
        <v>9671</v>
      </c>
      <c r="B550">
        <v>1968</v>
      </c>
      <c r="C550" t="s">
        <v>29</v>
      </c>
      <c r="D550" t="s">
        <v>33</v>
      </c>
      <c r="E550">
        <v>19514</v>
      </c>
      <c r="F550">
        <v>1</v>
      </c>
      <c r="G550">
        <v>1</v>
      </c>
      <c r="H550" s="1">
        <v>41665</v>
      </c>
      <c r="I550">
        <v>47</v>
      </c>
      <c r="J550">
        <v>14</v>
      </c>
      <c r="K550">
        <v>3</v>
      </c>
      <c r="L550">
        <v>21</v>
      </c>
      <c r="M550">
        <v>2</v>
      </c>
      <c r="N550">
        <v>1</v>
      </c>
      <c r="O550">
        <v>28</v>
      </c>
      <c r="P550">
        <v>4</v>
      </c>
      <c r="Q550">
        <v>3</v>
      </c>
      <c r="R550">
        <v>1</v>
      </c>
      <c r="S550">
        <v>2</v>
      </c>
      <c r="T550">
        <v>8</v>
      </c>
      <c r="U550">
        <v>1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3</v>
      </c>
      <c r="AB550">
        <v>11</v>
      </c>
      <c r="AC550">
        <v>1</v>
      </c>
    </row>
    <row r="551" spans="1:29" x14ac:dyDescent="0.3">
      <c r="A551">
        <v>2256</v>
      </c>
      <c r="B551">
        <v>1973</v>
      </c>
      <c r="C551" t="s">
        <v>34</v>
      </c>
      <c r="D551" t="s">
        <v>33</v>
      </c>
      <c r="E551">
        <v>27159</v>
      </c>
      <c r="F551">
        <v>1</v>
      </c>
      <c r="G551">
        <v>1</v>
      </c>
      <c r="H551" s="1">
        <v>41727</v>
      </c>
      <c r="I551">
        <v>33</v>
      </c>
      <c r="J551">
        <v>17</v>
      </c>
      <c r="K551">
        <v>0</v>
      </c>
      <c r="L551">
        <v>3</v>
      </c>
      <c r="M551">
        <v>0</v>
      </c>
      <c r="N551">
        <v>0</v>
      </c>
      <c r="O551">
        <v>1</v>
      </c>
      <c r="P551">
        <v>2</v>
      </c>
      <c r="Q551">
        <v>1</v>
      </c>
      <c r="R551">
        <v>0</v>
      </c>
      <c r="S551">
        <v>3</v>
      </c>
      <c r="T551">
        <v>6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3</v>
      </c>
      <c r="AB551">
        <v>11</v>
      </c>
      <c r="AC551">
        <v>0</v>
      </c>
    </row>
    <row r="552" spans="1:29" x14ac:dyDescent="0.3">
      <c r="A552">
        <v>4279</v>
      </c>
      <c r="B552">
        <v>1963</v>
      </c>
      <c r="C552" t="s">
        <v>37</v>
      </c>
      <c r="D552" t="s">
        <v>30</v>
      </c>
      <c r="E552">
        <v>39548</v>
      </c>
      <c r="F552">
        <v>1</v>
      </c>
      <c r="G552">
        <v>1</v>
      </c>
      <c r="H552" s="1">
        <v>41729</v>
      </c>
      <c r="I552">
        <v>87</v>
      </c>
      <c r="J552">
        <v>15</v>
      </c>
      <c r="K552">
        <v>4</v>
      </c>
      <c r="L552">
        <v>10</v>
      </c>
      <c r="M552">
        <v>3</v>
      </c>
      <c r="N552">
        <v>4</v>
      </c>
      <c r="O552">
        <v>18</v>
      </c>
      <c r="P552">
        <v>2</v>
      </c>
      <c r="Q552">
        <v>1</v>
      </c>
      <c r="R552">
        <v>1</v>
      </c>
      <c r="S552">
        <v>3</v>
      </c>
      <c r="T552">
        <v>3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3</v>
      </c>
      <c r="AB552">
        <v>11</v>
      </c>
      <c r="AC552">
        <v>0</v>
      </c>
    </row>
    <row r="553" spans="1:29" x14ac:dyDescent="0.3">
      <c r="A553">
        <v>5371</v>
      </c>
      <c r="B553">
        <v>1989</v>
      </c>
      <c r="C553" t="s">
        <v>29</v>
      </c>
      <c r="D553" t="s">
        <v>30</v>
      </c>
      <c r="E553">
        <v>21474</v>
      </c>
      <c r="F553">
        <v>1</v>
      </c>
      <c r="G553">
        <v>0</v>
      </c>
      <c r="H553" s="1">
        <v>41737</v>
      </c>
      <c r="I553">
        <v>0</v>
      </c>
      <c r="J553">
        <v>6</v>
      </c>
      <c r="K553">
        <v>16</v>
      </c>
      <c r="L553">
        <v>24</v>
      </c>
      <c r="M553">
        <v>11</v>
      </c>
      <c r="N553">
        <v>0</v>
      </c>
      <c r="O553">
        <v>34</v>
      </c>
      <c r="P553">
        <v>2</v>
      </c>
      <c r="Q553">
        <v>3</v>
      </c>
      <c r="R553">
        <v>1</v>
      </c>
      <c r="S553">
        <v>2</v>
      </c>
      <c r="T553">
        <v>7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3</v>
      </c>
      <c r="AB553">
        <v>11</v>
      </c>
      <c r="AC553">
        <v>1</v>
      </c>
    </row>
    <row r="554" spans="1:29" x14ac:dyDescent="0.3">
      <c r="A554">
        <v>9240</v>
      </c>
      <c r="B554">
        <v>1971</v>
      </c>
      <c r="C554" t="s">
        <v>32</v>
      </c>
      <c r="D554" t="s">
        <v>30</v>
      </c>
      <c r="E554">
        <v>60504</v>
      </c>
      <c r="F554">
        <v>0</v>
      </c>
      <c r="G554">
        <v>1</v>
      </c>
      <c r="H554" s="1">
        <v>41677</v>
      </c>
      <c r="I554">
        <v>73</v>
      </c>
      <c r="J554">
        <v>458</v>
      </c>
      <c r="K554">
        <v>0</v>
      </c>
      <c r="L554">
        <v>24</v>
      </c>
      <c r="M554">
        <v>6</v>
      </c>
      <c r="N554">
        <v>4</v>
      </c>
      <c r="O554">
        <v>34</v>
      </c>
      <c r="P554">
        <v>2</v>
      </c>
      <c r="Q554">
        <v>6</v>
      </c>
      <c r="R554">
        <v>2</v>
      </c>
      <c r="S554">
        <v>8</v>
      </c>
      <c r="T554">
        <v>6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3</v>
      </c>
      <c r="AB554">
        <v>11</v>
      </c>
      <c r="AC554">
        <v>0</v>
      </c>
    </row>
    <row r="555" spans="1:29" x14ac:dyDescent="0.3">
      <c r="A555">
        <v>9460</v>
      </c>
      <c r="B555">
        <v>1963</v>
      </c>
      <c r="C555" t="s">
        <v>29</v>
      </c>
      <c r="D555" t="s">
        <v>33</v>
      </c>
      <c r="E555">
        <v>22419</v>
      </c>
      <c r="F555">
        <v>0</v>
      </c>
      <c r="G555">
        <v>0</v>
      </c>
      <c r="H555" s="1">
        <v>41382</v>
      </c>
      <c r="I555">
        <v>74</v>
      </c>
      <c r="J555">
        <v>30</v>
      </c>
      <c r="K555">
        <v>3</v>
      </c>
      <c r="L555">
        <v>47</v>
      </c>
      <c r="M555">
        <v>19</v>
      </c>
      <c r="N555">
        <v>21</v>
      </c>
      <c r="O555">
        <v>42</v>
      </c>
      <c r="P555">
        <v>1</v>
      </c>
      <c r="Q555">
        <v>3</v>
      </c>
      <c r="R555">
        <v>2</v>
      </c>
      <c r="S555">
        <v>2</v>
      </c>
      <c r="T555">
        <v>8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3</v>
      </c>
      <c r="AB555">
        <v>11</v>
      </c>
      <c r="AC555">
        <v>0</v>
      </c>
    </row>
    <row r="556" spans="1:29" x14ac:dyDescent="0.3">
      <c r="A556">
        <v>9504</v>
      </c>
      <c r="B556">
        <v>1949</v>
      </c>
      <c r="C556" t="s">
        <v>34</v>
      </c>
      <c r="D556" t="s">
        <v>33</v>
      </c>
      <c r="E556">
        <v>81698</v>
      </c>
      <c r="F556">
        <v>0</v>
      </c>
      <c r="G556">
        <v>0</v>
      </c>
      <c r="H556" s="1">
        <v>41584</v>
      </c>
      <c r="I556">
        <v>4</v>
      </c>
      <c r="J556">
        <v>179</v>
      </c>
      <c r="K556">
        <v>28</v>
      </c>
      <c r="L556">
        <v>520</v>
      </c>
      <c r="M556">
        <v>111</v>
      </c>
      <c r="N556">
        <v>123</v>
      </c>
      <c r="O556">
        <v>47</v>
      </c>
      <c r="P556">
        <v>1</v>
      </c>
      <c r="Q556">
        <v>3</v>
      </c>
      <c r="R556">
        <v>8</v>
      </c>
      <c r="S556">
        <v>13</v>
      </c>
      <c r="T556">
        <v>1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3</v>
      </c>
      <c r="AB556">
        <v>11</v>
      </c>
      <c r="AC556">
        <v>1</v>
      </c>
    </row>
    <row r="557" spans="1:29" x14ac:dyDescent="0.3">
      <c r="A557">
        <v>8692</v>
      </c>
      <c r="B557">
        <v>1952</v>
      </c>
      <c r="C557" t="s">
        <v>29</v>
      </c>
      <c r="D557" t="s">
        <v>31</v>
      </c>
      <c r="E557">
        <v>43462</v>
      </c>
      <c r="F557">
        <v>1</v>
      </c>
      <c r="G557">
        <v>1</v>
      </c>
      <c r="H557" s="1">
        <v>41164</v>
      </c>
      <c r="I557">
        <v>50</v>
      </c>
      <c r="J557">
        <v>90</v>
      </c>
      <c r="K557">
        <v>17</v>
      </c>
      <c r="L557">
        <v>97</v>
      </c>
      <c r="M557">
        <v>15</v>
      </c>
      <c r="N557">
        <v>6</v>
      </c>
      <c r="O557">
        <v>15</v>
      </c>
      <c r="P557">
        <v>6</v>
      </c>
      <c r="Q557">
        <v>4</v>
      </c>
      <c r="R557">
        <v>1</v>
      </c>
      <c r="S557">
        <v>5</v>
      </c>
      <c r="T557">
        <v>8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3</v>
      </c>
      <c r="AB557">
        <v>11</v>
      </c>
      <c r="AC557">
        <v>0</v>
      </c>
    </row>
    <row r="558" spans="1:29" x14ac:dyDescent="0.3">
      <c r="A558">
        <v>448</v>
      </c>
      <c r="B558">
        <v>1978</v>
      </c>
      <c r="C558" t="s">
        <v>32</v>
      </c>
      <c r="D558" t="s">
        <v>30</v>
      </c>
      <c r="E558">
        <v>54880</v>
      </c>
      <c r="F558">
        <v>1</v>
      </c>
      <c r="G558">
        <v>0</v>
      </c>
      <c r="H558" s="1">
        <v>41334</v>
      </c>
      <c r="I558">
        <v>57</v>
      </c>
      <c r="J558">
        <v>308</v>
      </c>
      <c r="K558">
        <v>85</v>
      </c>
      <c r="L558">
        <v>137</v>
      </c>
      <c r="M558">
        <v>102</v>
      </c>
      <c r="N558">
        <v>45</v>
      </c>
      <c r="O558">
        <v>118</v>
      </c>
      <c r="P558">
        <v>2</v>
      </c>
      <c r="Q558">
        <v>6</v>
      </c>
      <c r="R558">
        <v>2</v>
      </c>
      <c r="S558">
        <v>11</v>
      </c>
      <c r="T558">
        <v>5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3</v>
      </c>
      <c r="AB558">
        <v>11</v>
      </c>
      <c r="AC558">
        <v>0</v>
      </c>
    </row>
    <row r="559" spans="1:29" x14ac:dyDescent="0.3">
      <c r="A559">
        <v>8314</v>
      </c>
      <c r="B559">
        <v>1982</v>
      </c>
      <c r="C559" t="s">
        <v>29</v>
      </c>
      <c r="D559" t="s">
        <v>33</v>
      </c>
      <c r="E559">
        <v>79908</v>
      </c>
      <c r="F559">
        <v>0</v>
      </c>
      <c r="G559">
        <v>0</v>
      </c>
      <c r="H559" s="1">
        <v>41369</v>
      </c>
      <c r="I559">
        <v>30</v>
      </c>
      <c r="J559">
        <v>557</v>
      </c>
      <c r="K559">
        <v>129</v>
      </c>
      <c r="L559">
        <v>761</v>
      </c>
      <c r="M559">
        <v>29</v>
      </c>
      <c r="N559">
        <v>185</v>
      </c>
      <c r="O559">
        <v>111</v>
      </c>
      <c r="P559">
        <v>1</v>
      </c>
      <c r="Q559">
        <v>5</v>
      </c>
      <c r="R559">
        <v>6</v>
      </c>
      <c r="S559">
        <v>7</v>
      </c>
      <c r="T559">
        <v>2</v>
      </c>
      <c r="U559">
        <v>0</v>
      </c>
      <c r="V559">
        <v>0</v>
      </c>
      <c r="W559">
        <v>1</v>
      </c>
      <c r="X559">
        <v>0</v>
      </c>
      <c r="Y559">
        <v>0</v>
      </c>
      <c r="Z559">
        <v>0</v>
      </c>
      <c r="AA559">
        <v>3</v>
      </c>
      <c r="AB559">
        <v>11</v>
      </c>
      <c r="AC559">
        <v>0</v>
      </c>
    </row>
    <row r="560" spans="1:29" x14ac:dyDescent="0.3">
      <c r="A560">
        <v>8420</v>
      </c>
      <c r="B560">
        <v>1970</v>
      </c>
      <c r="C560" t="s">
        <v>37</v>
      </c>
      <c r="D560" t="s">
        <v>33</v>
      </c>
      <c r="E560">
        <v>15315</v>
      </c>
      <c r="F560">
        <v>0</v>
      </c>
      <c r="G560">
        <v>0</v>
      </c>
      <c r="H560" s="1">
        <v>41489</v>
      </c>
      <c r="I560">
        <v>27</v>
      </c>
      <c r="J560">
        <v>7</v>
      </c>
      <c r="K560">
        <v>4</v>
      </c>
      <c r="L560">
        <v>13</v>
      </c>
      <c r="M560">
        <v>15</v>
      </c>
      <c r="N560">
        <v>8</v>
      </c>
      <c r="O560">
        <v>17</v>
      </c>
      <c r="P560">
        <v>2</v>
      </c>
      <c r="Q560">
        <v>2</v>
      </c>
      <c r="R560">
        <v>0</v>
      </c>
      <c r="S560">
        <v>4</v>
      </c>
      <c r="T560">
        <v>5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3</v>
      </c>
      <c r="AB560">
        <v>11</v>
      </c>
      <c r="AC560">
        <v>0</v>
      </c>
    </row>
    <row r="561" spans="1:29" x14ac:dyDescent="0.3">
      <c r="A561">
        <v>3174</v>
      </c>
      <c r="B561">
        <v>1959</v>
      </c>
      <c r="C561" t="s">
        <v>29</v>
      </c>
      <c r="D561" t="s">
        <v>31</v>
      </c>
      <c r="E561">
        <v>87771</v>
      </c>
      <c r="F561">
        <v>0</v>
      </c>
      <c r="G561">
        <v>1</v>
      </c>
      <c r="H561" s="1">
        <v>41416</v>
      </c>
      <c r="I561">
        <v>61</v>
      </c>
      <c r="J561">
        <v>1492</v>
      </c>
      <c r="K561">
        <v>38</v>
      </c>
      <c r="L561">
        <v>287</v>
      </c>
      <c r="M561">
        <v>50</v>
      </c>
      <c r="N561">
        <v>57</v>
      </c>
      <c r="O561">
        <v>33</v>
      </c>
      <c r="P561">
        <v>1</v>
      </c>
      <c r="Q561">
        <v>5</v>
      </c>
      <c r="R561">
        <v>10</v>
      </c>
      <c r="S561">
        <v>4</v>
      </c>
      <c r="T561">
        <v>6</v>
      </c>
      <c r="U561">
        <v>0</v>
      </c>
      <c r="V561">
        <v>1</v>
      </c>
      <c r="W561">
        <v>1</v>
      </c>
      <c r="X561">
        <v>1</v>
      </c>
      <c r="Y561">
        <v>1</v>
      </c>
      <c r="Z561">
        <v>0</v>
      </c>
      <c r="AA561">
        <v>3</v>
      </c>
      <c r="AB561">
        <v>11</v>
      </c>
      <c r="AC561">
        <v>1</v>
      </c>
    </row>
    <row r="562" spans="1:29" x14ac:dyDescent="0.3">
      <c r="A562">
        <v>7685</v>
      </c>
      <c r="B562">
        <v>1978</v>
      </c>
      <c r="C562" t="s">
        <v>29</v>
      </c>
      <c r="D562" t="s">
        <v>33</v>
      </c>
      <c r="E562">
        <v>33039</v>
      </c>
      <c r="F562">
        <v>1</v>
      </c>
      <c r="G562">
        <v>0</v>
      </c>
      <c r="H562" s="1">
        <v>41526</v>
      </c>
      <c r="I562">
        <v>4</v>
      </c>
      <c r="J562">
        <v>30</v>
      </c>
      <c r="K562">
        <v>8</v>
      </c>
      <c r="L562">
        <v>12</v>
      </c>
      <c r="M562">
        <v>8</v>
      </c>
      <c r="N562">
        <v>8</v>
      </c>
      <c r="O562">
        <v>12</v>
      </c>
      <c r="P562">
        <v>1</v>
      </c>
      <c r="Q562">
        <v>2</v>
      </c>
      <c r="R562">
        <v>0</v>
      </c>
      <c r="S562">
        <v>4</v>
      </c>
      <c r="T562">
        <v>5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3</v>
      </c>
      <c r="AB562">
        <v>11</v>
      </c>
      <c r="AC562">
        <v>0</v>
      </c>
    </row>
    <row r="563" spans="1:29" x14ac:dyDescent="0.3">
      <c r="A563">
        <v>3179</v>
      </c>
      <c r="B563">
        <v>1980</v>
      </c>
      <c r="C563" t="s">
        <v>29</v>
      </c>
      <c r="D563" t="s">
        <v>30</v>
      </c>
      <c r="E563">
        <v>81741</v>
      </c>
      <c r="F563">
        <v>0</v>
      </c>
      <c r="G563">
        <v>0</v>
      </c>
      <c r="H563" s="1">
        <v>41441</v>
      </c>
      <c r="I563">
        <v>75</v>
      </c>
      <c r="J563">
        <v>249</v>
      </c>
      <c r="K563">
        <v>153</v>
      </c>
      <c r="L563">
        <v>940</v>
      </c>
      <c r="M563">
        <v>58</v>
      </c>
      <c r="N563">
        <v>134</v>
      </c>
      <c r="O563">
        <v>38</v>
      </c>
      <c r="P563">
        <v>0</v>
      </c>
      <c r="Q563">
        <v>6</v>
      </c>
      <c r="R563">
        <v>6</v>
      </c>
      <c r="S563">
        <v>7</v>
      </c>
      <c r="T563">
        <v>2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3</v>
      </c>
      <c r="AB563">
        <v>11</v>
      </c>
      <c r="AC563">
        <v>0</v>
      </c>
    </row>
    <row r="564" spans="1:29" x14ac:dyDescent="0.3">
      <c r="A564">
        <v>9780</v>
      </c>
      <c r="B564">
        <v>1971</v>
      </c>
      <c r="C564" t="s">
        <v>34</v>
      </c>
      <c r="D564" t="s">
        <v>31</v>
      </c>
      <c r="E564">
        <v>71499</v>
      </c>
      <c r="F564">
        <v>0</v>
      </c>
      <c r="G564">
        <v>1</v>
      </c>
      <c r="H564" s="1">
        <v>41450</v>
      </c>
      <c r="I564">
        <v>12</v>
      </c>
      <c r="J564">
        <v>465</v>
      </c>
      <c r="K564">
        <v>25</v>
      </c>
      <c r="L564">
        <v>132</v>
      </c>
      <c r="M564">
        <v>136</v>
      </c>
      <c r="N564">
        <v>0</v>
      </c>
      <c r="O564">
        <v>37</v>
      </c>
      <c r="P564">
        <v>2</v>
      </c>
      <c r="Q564">
        <v>8</v>
      </c>
      <c r="R564">
        <v>3</v>
      </c>
      <c r="S564">
        <v>13</v>
      </c>
      <c r="T564">
        <v>4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3</v>
      </c>
      <c r="AB564">
        <v>11</v>
      </c>
      <c r="AC564">
        <v>0</v>
      </c>
    </row>
    <row r="565" spans="1:29" x14ac:dyDescent="0.3">
      <c r="A565">
        <v>10681</v>
      </c>
      <c r="B565">
        <v>1970</v>
      </c>
      <c r="C565" t="s">
        <v>37</v>
      </c>
      <c r="D565" t="s">
        <v>33</v>
      </c>
      <c r="E565">
        <v>62466</v>
      </c>
      <c r="F565">
        <v>0</v>
      </c>
      <c r="G565">
        <v>1</v>
      </c>
      <c r="H565" s="1">
        <v>41654</v>
      </c>
      <c r="I565">
        <v>13</v>
      </c>
      <c r="J565">
        <v>129</v>
      </c>
      <c r="K565">
        <v>129</v>
      </c>
      <c r="L565">
        <v>259</v>
      </c>
      <c r="M565">
        <v>168</v>
      </c>
      <c r="N565">
        <v>121</v>
      </c>
      <c r="O565">
        <v>83</v>
      </c>
      <c r="P565">
        <v>5</v>
      </c>
      <c r="Q565">
        <v>6</v>
      </c>
      <c r="R565">
        <v>3</v>
      </c>
      <c r="S565">
        <v>12</v>
      </c>
      <c r="T565">
        <v>4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3</v>
      </c>
      <c r="AB565">
        <v>11</v>
      </c>
      <c r="AC565">
        <v>0</v>
      </c>
    </row>
    <row r="566" spans="1:29" x14ac:dyDescent="0.3">
      <c r="A566">
        <v>10232</v>
      </c>
      <c r="B566">
        <v>1963</v>
      </c>
      <c r="C566" t="s">
        <v>32</v>
      </c>
      <c r="D566" t="s">
        <v>35</v>
      </c>
      <c r="E566">
        <v>48799</v>
      </c>
      <c r="F566">
        <v>0</v>
      </c>
      <c r="G566">
        <v>1</v>
      </c>
      <c r="H566" s="1">
        <v>41583</v>
      </c>
      <c r="I566">
        <v>9</v>
      </c>
      <c r="J566">
        <v>174</v>
      </c>
      <c r="K566">
        <v>18</v>
      </c>
      <c r="L566">
        <v>81</v>
      </c>
      <c r="M566">
        <v>28</v>
      </c>
      <c r="N566">
        <v>6</v>
      </c>
      <c r="O566">
        <v>24</v>
      </c>
      <c r="P566">
        <v>3</v>
      </c>
      <c r="Q566">
        <v>3</v>
      </c>
      <c r="R566">
        <v>2</v>
      </c>
      <c r="S566">
        <v>7</v>
      </c>
      <c r="T566">
        <v>3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3</v>
      </c>
      <c r="AB566">
        <v>11</v>
      </c>
      <c r="AC566">
        <v>0</v>
      </c>
    </row>
    <row r="567" spans="1:29" x14ac:dyDescent="0.3">
      <c r="A567">
        <v>4184</v>
      </c>
      <c r="B567">
        <v>1950</v>
      </c>
      <c r="C567" t="s">
        <v>32</v>
      </c>
      <c r="D567" t="s">
        <v>31</v>
      </c>
      <c r="E567">
        <v>52157</v>
      </c>
      <c r="F567">
        <v>0</v>
      </c>
      <c r="G567">
        <v>1</v>
      </c>
      <c r="H567" s="1">
        <v>41797</v>
      </c>
      <c r="I567">
        <v>48</v>
      </c>
      <c r="J567">
        <v>189</v>
      </c>
      <c r="K567">
        <v>2</v>
      </c>
      <c r="L567">
        <v>29</v>
      </c>
      <c r="M567">
        <v>3</v>
      </c>
      <c r="N567">
        <v>2</v>
      </c>
      <c r="O567">
        <v>40</v>
      </c>
      <c r="P567">
        <v>2</v>
      </c>
      <c r="Q567">
        <v>3</v>
      </c>
      <c r="R567">
        <v>2</v>
      </c>
      <c r="S567">
        <v>5</v>
      </c>
      <c r="T567">
        <v>4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3</v>
      </c>
      <c r="AB567">
        <v>11</v>
      </c>
      <c r="AC567">
        <v>0</v>
      </c>
    </row>
    <row r="568" spans="1:29" x14ac:dyDescent="0.3">
      <c r="A568">
        <v>9120</v>
      </c>
      <c r="B568">
        <v>1962</v>
      </c>
      <c r="C568" t="s">
        <v>29</v>
      </c>
      <c r="D568" t="s">
        <v>30</v>
      </c>
      <c r="E568">
        <v>66565</v>
      </c>
      <c r="F568">
        <v>0</v>
      </c>
      <c r="G568">
        <v>1</v>
      </c>
      <c r="H568" s="1">
        <v>41248</v>
      </c>
      <c r="I568">
        <v>80</v>
      </c>
      <c r="J568">
        <v>747</v>
      </c>
      <c r="K568">
        <v>10</v>
      </c>
      <c r="L568">
        <v>161</v>
      </c>
      <c r="M568">
        <v>65</v>
      </c>
      <c r="N568">
        <v>40</v>
      </c>
      <c r="O568">
        <v>42</v>
      </c>
      <c r="P568">
        <v>4</v>
      </c>
      <c r="Q568">
        <v>4</v>
      </c>
      <c r="R568">
        <v>2</v>
      </c>
      <c r="S568">
        <v>9</v>
      </c>
      <c r="T568">
        <v>8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3</v>
      </c>
      <c r="AB568">
        <v>11</v>
      </c>
      <c r="AC568">
        <v>0</v>
      </c>
    </row>
    <row r="569" spans="1:29" x14ac:dyDescent="0.3">
      <c r="A569">
        <v>891</v>
      </c>
      <c r="B569">
        <v>1951</v>
      </c>
      <c r="C569" t="s">
        <v>34</v>
      </c>
      <c r="D569" t="s">
        <v>31</v>
      </c>
      <c r="E569">
        <v>29298</v>
      </c>
      <c r="F569">
        <v>1</v>
      </c>
      <c r="G569">
        <v>1</v>
      </c>
      <c r="H569" s="1">
        <v>41524</v>
      </c>
      <c r="I569">
        <v>60</v>
      </c>
      <c r="J569">
        <v>6</v>
      </c>
      <c r="K569">
        <v>0</v>
      </c>
      <c r="L569">
        <v>2</v>
      </c>
      <c r="M569">
        <v>2</v>
      </c>
      <c r="N569">
        <v>0</v>
      </c>
      <c r="O569">
        <v>1</v>
      </c>
      <c r="P569">
        <v>1</v>
      </c>
      <c r="Q569">
        <v>1</v>
      </c>
      <c r="R569">
        <v>0</v>
      </c>
      <c r="S569">
        <v>2</v>
      </c>
      <c r="T569">
        <v>5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3</v>
      </c>
      <c r="AB569">
        <v>11</v>
      </c>
      <c r="AC569">
        <v>0</v>
      </c>
    </row>
    <row r="570" spans="1:29" x14ac:dyDescent="0.3">
      <c r="A570">
        <v>10381</v>
      </c>
      <c r="B570">
        <v>1979</v>
      </c>
      <c r="C570" t="s">
        <v>29</v>
      </c>
      <c r="D570" t="s">
        <v>30</v>
      </c>
      <c r="E570">
        <v>47691</v>
      </c>
      <c r="F570">
        <v>0</v>
      </c>
      <c r="G570">
        <v>1</v>
      </c>
      <c r="H570" s="1">
        <v>41460</v>
      </c>
      <c r="I570">
        <v>43</v>
      </c>
      <c r="J570">
        <v>14</v>
      </c>
      <c r="K570">
        <v>0</v>
      </c>
      <c r="L570">
        <v>3</v>
      </c>
      <c r="M570">
        <v>0</v>
      </c>
      <c r="N570">
        <v>0</v>
      </c>
      <c r="O570">
        <v>4</v>
      </c>
      <c r="P570">
        <v>1</v>
      </c>
      <c r="Q570">
        <v>1</v>
      </c>
      <c r="R570">
        <v>0</v>
      </c>
      <c r="S570">
        <v>2</v>
      </c>
      <c r="T570">
        <v>6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3</v>
      </c>
      <c r="AB570">
        <v>11</v>
      </c>
      <c r="AC570">
        <v>0</v>
      </c>
    </row>
    <row r="571" spans="1:29" x14ac:dyDescent="0.3">
      <c r="A571">
        <v>3525</v>
      </c>
      <c r="B571">
        <v>1970</v>
      </c>
      <c r="C571" t="s">
        <v>29</v>
      </c>
      <c r="D571" t="s">
        <v>31</v>
      </c>
      <c r="E571">
        <v>38200</v>
      </c>
      <c r="F571">
        <v>1</v>
      </c>
      <c r="G571">
        <v>1</v>
      </c>
      <c r="H571" s="1">
        <v>41250</v>
      </c>
      <c r="I571">
        <v>19</v>
      </c>
      <c r="J571">
        <v>12</v>
      </c>
      <c r="K571">
        <v>0</v>
      </c>
      <c r="L571">
        <v>4</v>
      </c>
      <c r="M571">
        <v>0</v>
      </c>
      <c r="N571">
        <v>0</v>
      </c>
      <c r="O571">
        <v>1</v>
      </c>
      <c r="P571">
        <v>1</v>
      </c>
      <c r="Q571">
        <v>1</v>
      </c>
      <c r="R571">
        <v>0</v>
      </c>
      <c r="S571">
        <v>2</v>
      </c>
      <c r="T571">
        <v>7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3</v>
      </c>
      <c r="AB571">
        <v>11</v>
      </c>
      <c r="AC571">
        <v>0</v>
      </c>
    </row>
    <row r="572" spans="1:29" x14ac:dyDescent="0.3">
      <c r="A572">
        <v>6818</v>
      </c>
      <c r="B572">
        <v>1974</v>
      </c>
      <c r="C572" t="s">
        <v>29</v>
      </c>
      <c r="D572" t="s">
        <v>33</v>
      </c>
      <c r="E572">
        <v>44989</v>
      </c>
      <c r="F572">
        <v>0</v>
      </c>
      <c r="G572">
        <v>1</v>
      </c>
      <c r="H572" s="1">
        <v>41164</v>
      </c>
      <c r="I572">
        <v>26</v>
      </c>
      <c r="J572">
        <v>98</v>
      </c>
      <c r="K572">
        <v>0</v>
      </c>
      <c r="L572">
        <v>106</v>
      </c>
      <c r="M572">
        <v>49</v>
      </c>
      <c r="N572">
        <v>10</v>
      </c>
      <c r="O572">
        <v>106</v>
      </c>
      <c r="P572">
        <v>5</v>
      </c>
      <c r="Q572">
        <v>5</v>
      </c>
      <c r="R572">
        <v>1</v>
      </c>
      <c r="S572">
        <v>5</v>
      </c>
      <c r="T572">
        <v>6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3</v>
      </c>
      <c r="AB572">
        <v>11</v>
      </c>
      <c r="AC572">
        <v>0</v>
      </c>
    </row>
    <row r="573" spans="1:29" x14ac:dyDescent="0.3">
      <c r="A573">
        <v>3526</v>
      </c>
      <c r="B573">
        <v>1968</v>
      </c>
      <c r="C573" t="s">
        <v>32</v>
      </c>
      <c r="D573" t="s">
        <v>33</v>
      </c>
      <c r="E573">
        <v>38443</v>
      </c>
      <c r="F573">
        <v>1</v>
      </c>
      <c r="G573">
        <v>1</v>
      </c>
      <c r="H573" s="1">
        <v>41666</v>
      </c>
      <c r="I573">
        <v>58</v>
      </c>
      <c r="J573">
        <v>32</v>
      </c>
      <c r="K573">
        <v>0</v>
      </c>
      <c r="L573">
        <v>5</v>
      </c>
      <c r="M573">
        <v>0</v>
      </c>
      <c r="N573">
        <v>0</v>
      </c>
      <c r="O573">
        <v>1</v>
      </c>
      <c r="P573">
        <v>2</v>
      </c>
      <c r="Q573">
        <v>1</v>
      </c>
      <c r="R573">
        <v>0</v>
      </c>
      <c r="S573">
        <v>3</v>
      </c>
      <c r="T573">
        <v>7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3</v>
      </c>
      <c r="AB573">
        <v>11</v>
      </c>
      <c r="AC573">
        <v>0</v>
      </c>
    </row>
    <row r="574" spans="1:29" x14ac:dyDescent="0.3">
      <c r="A574">
        <v>8181</v>
      </c>
      <c r="B574">
        <v>1978</v>
      </c>
      <c r="C574" t="s">
        <v>37</v>
      </c>
      <c r="D574" t="s">
        <v>30</v>
      </c>
      <c r="E574">
        <v>38593</v>
      </c>
      <c r="F574">
        <v>1</v>
      </c>
      <c r="G574">
        <v>0</v>
      </c>
      <c r="H574" s="1">
        <v>41530</v>
      </c>
      <c r="I574">
        <v>42</v>
      </c>
      <c r="J574">
        <v>51</v>
      </c>
      <c r="K574">
        <v>12</v>
      </c>
      <c r="L574">
        <v>49</v>
      </c>
      <c r="M574">
        <v>17</v>
      </c>
      <c r="N574">
        <v>24</v>
      </c>
      <c r="O574">
        <v>24</v>
      </c>
      <c r="P574">
        <v>3</v>
      </c>
      <c r="Q574">
        <v>4</v>
      </c>
      <c r="R574">
        <v>1</v>
      </c>
      <c r="S574">
        <v>3</v>
      </c>
      <c r="T574">
        <v>8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3</v>
      </c>
      <c r="AB574">
        <v>11</v>
      </c>
      <c r="AC574">
        <v>0</v>
      </c>
    </row>
    <row r="575" spans="1:29" x14ac:dyDescent="0.3">
      <c r="A575">
        <v>1029</v>
      </c>
      <c r="B575">
        <v>1970</v>
      </c>
      <c r="C575" t="s">
        <v>32</v>
      </c>
      <c r="D575" t="s">
        <v>31</v>
      </c>
      <c r="E575">
        <v>64413</v>
      </c>
      <c r="F575">
        <v>0</v>
      </c>
      <c r="G575">
        <v>1</v>
      </c>
      <c r="H575" s="1">
        <v>41487</v>
      </c>
      <c r="I575">
        <v>27</v>
      </c>
      <c r="J575">
        <v>200</v>
      </c>
      <c r="K575">
        <v>5</v>
      </c>
      <c r="L575">
        <v>44</v>
      </c>
      <c r="M575">
        <v>0</v>
      </c>
      <c r="N575">
        <v>10</v>
      </c>
      <c r="O575">
        <v>20</v>
      </c>
      <c r="P575">
        <v>1</v>
      </c>
      <c r="Q575">
        <v>5</v>
      </c>
      <c r="R575">
        <v>1</v>
      </c>
      <c r="S575">
        <v>5</v>
      </c>
      <c r="T575">
        <v>5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3</v>
      </c>
      <c r="AB575">
        <v>11</v>
      </c>
      <c r="AC575">
        <v>0</v>
      </c>
    </row>
    <row r="576" spans="1:29" x14ac:dyDescent="0.3">
      <c r="A576">
        <v>7369</v>
      </c>
      <c r="B576">
        <v>1981</v>
      </c>
      <c r="C576" t="s">
        <v>34</v>
      </c>
      <c r="D576" t="s">
        <v>33</v>
      </c>
      <c r="E576">
        <v>36959</v>
      </c>
      <c r="F576">
        <v>1</v>
      </c>
      <c r="G576">
        <v>0</v>
      </c>
      <c r="H576" s="1">
        <v>41549</v>
      </c>
      <c r="I576">
        <v>56</v>
      </c>
      <c r="J576">
        <v>25</v>
      </c>
      <c r="K576">
        <v>6</v>
      </c>
      <c r="L576">
        <v>25</v>
      </c>
      <c r="M576">
        <v>6</v>
      </c>
      <c r="N576">
        <v>0</v>
      </c>
      <c r="O576">
        <v>0</v>
      </c>
      <c r="P576">
        <v>2</v>
      </c>
      <c r="Q576">
        <v>2</v>
      </c>
      <c r="R576">
        <v>0</v>
      </c>
      <c r="S576">
        <v>3</v>
      </c>
      <c r="T576">
        <v>8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3</v>
      </c>
      <c r="AB576">
        <v>11</v>
      </c>
      <c r="AC576">
        <v>0</v>
      </c>
    </row>
    <row r="577" spans="1:29" x14ac:dyDescent="0.3">
      <c r="A577">
        <v>2574</v>
      </c>
      <c r="B577">
        <v>1977</v>
      </c>
      <c r="C577" t="s">
        <v>32</v>
      </c>
      <c r="D577" t="s">
        <v>33</v>
      </c>
      <c r="E577">
        <v>61996</v>
      </c>
      <c r="F577">
        <v>0</v>
      </c>
      <c r="G577">
        <v>1</v>
      </c>
      <c r="H577" s="1">
        <v>41305</v>
      </c>
      <c r="I577">
        <v>27</v>
      </c>
      <c r="J577">
        <v>1050</v>
      </c>
      <c r="K577">
        <v>12</v>
      </c>
      <c r="L577">
        <v>144</v>
      </c>
      <c r="M577">
        <v>0</v>
      </c>
      <c r="N577">
        <v>0</v>
      </c>
      <c r="O577">
        <v>24</v>
      </c>
      <c r="P577">
        <v>3</v>
      </c>
      <c r="Q577">
        <v>6</v>
      </c>
      <c r="R577">
        <v>4</v>
      </c>
      <c r="S577">
        <v>8</v>
      </c>
      <c r="T577">
        <v>5</v>
      </c>
      <c r="U577">
        <v>0</v>
      </c>
      <c r="V577">
        <v>1</v>
      </c>
      <c r="W577">
        <v>0</v>
      </c>
      <c r="X577">
        <v>1</v>
      </c>
      <c r="Y577">
        <v>1</v>
      </c>
      <c r="Z577">
        <v>0</v>
      </c>
      <c r="AA577">
        <v>3</v>
      </c>
      <c r="AB577">
        <v>11</v>
      </c>
      <c r="AC577">
        <v>1</v>
      </c>
    </row>
    <row r="578" spans="1:29" x14ac:dyDescent="0.3">
      <c r="A578">
        <v>8159</v>
      </c>
      <c r="B578">
        <v>1968</v>
      </c>
      <c r="C578" t="s">
        <v>29</v>
      </c>
      <c r="D578" t="s">
        <v>33</v>
      </c>
      <c r="E578">
        <v>51287</v>
      </c>
      <c r="F578">
        <v>1</v>
      </c>
      <c r="G578">
        <v>1</v>
      </c>
      <c r="H578" s="1">
        <v>41730</v>
      </c>
      <c r="I578">
        <v>10</v>
      </c>
      <c r="J578">
        <v>117</v>
      </c>
      <c r="K578">
        <v>0</v>
      </c>
      <c r="L578">
        <v>22</v>
      </c>
      <c r="M578">
        <v>13</v>
      </c>
      <c r="N578">
        <v>0</v>
      </c>
      <c r="O578">
        <v>30</v>
      </c>
      <c r="P578">
        <v>3</v>
      </c>
      <c r="Q578">
        <v>4</v>
      </c>
      <c r="R578">
        <v>1</v>
      </c>
      <c r="S578">
        <v>3</v>
      </c>
      <c r="T578">
        <v>7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3</v>
      </c>
      <c r="AB578">
        <v>11</v>
      </c>
      <c r="AC578">
        <v>0</v>
      </c>
    </row>
    <row r="579" spans="1:29" x14ac:dyDescent="0.3">
      <c r="A579">
        <v>1160</v>
      </c>
      <c r="B579">
        <v>1970</v>
      </c>
      <c r="C579" t="s">
        <v>29</v>
      </c>
      <c r="D579" t="s">
        <v>33</v>
      </c>
      <c r="E579">
        <v>13260</v>
      </c>
      <c r="F579">
        <v>1</v>
      </c>
      <c r="G579">
        <v>1</v>
      </c>
      <c r="H579" s="1">
        <v>41509</v>
      </c>
      <c r="I579">
        <v>48</v>
      </c>
      <c r="J579">
        <v>9</v>
      </c>
      <c r="K579">
        <v>4</v>
      </c>
      <c r="L579">
        <v>17</v>
      </c>
      <c r="M579">
        <v>10</v>
      </c>
      <c r="N579">
        <v>2</v>
      </c>
      <c r="O579">
        <v>7</v>
      </c>
      <c r="P579">
        <v>4</v>
      </c>
      <c r="Q579">
        <v>3</v>
      </c>
      <c r="R579">
        <v>0</v>
      </c>
      <c r="S579">
        <v>3</v>
      </c>
      <c r="T579">
        <v>8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3</v>
      </c>
      <c r="AB579">
        <v>11</v>
      </c>
      <c r="AC579">
        <v>0</v>
      </c>
    </row>
    <row r="580" spans="1:29" x14ac:dyDescent="0.3">
      <c r="A580">
        <v>10242</v>
      </c>
      <c r="B580">
        <v>1966</v>
      </c>
      <c r="C580" t="s">
        <v>32</v>
      </c>
      <c r="D580" t="s">
        <v>31</v>
      </c>
      <c r="E580">
        <v>47472</v>
      </c>
      <c r="F580">
        <v>1</v>
      </c>
      <c r="G580">
        <v>1</v>
      </c>
      <c r="H580" s="1">
        <v>41533</v>
      </c>
      <c r="I580">
        <v>39</v>
      </c>
      <c r="J580">
        <v>56</v>
      </c>
      <c r="K580">
        <v>0</v>
      </c>
      <c r="L580">
        <v>11</v>
      </c>
      <c r="M580">
        <v>0</v>
      </c>
      <c r="N580">
        <v>0</v>
      </c>
      <c r="O580">
        <v>8</v>
      </c>
      <c r="P580">
        <v>2</v>
      </c>
      <c r="Q580">
        <v>2</v>
      </c>
      <c r="R580">
        <v>0</v>
      </c>
      <c r="S580">
        <v>4</v>
      </c>
      <c r="T580">
        <v>5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3</v>
      </c>
      <c r="AB580">
        <v>11</v>
      </c>
      <c r="AC580">
        <v>0</v>
      </c>
    </row>
    <row r="581" spans="1:29" x14ac:dyDescent="0.3">
      <c r="A581">
        <v>5253</v>
      </c>
      <c r="B581">
        <v>1956</v>
      </c>
      <c r="C581" t="s">
        <v>34</v>
      </c>
      <c r="D581" t="s">
        <v>31</v>
      </c>
      <c r="E581">
        <v>54603</v>
      </c>
      <c r="F581">
        <v>1</v>
      </c>
      <c r="G581">
        <v>1</v>
      </c>
      <c r="H581" s="1">
        <v>41464</v>
      </c>
      <c r="I581">
        <v>85</v>
      </c>
      <c r="J581">
        <v>145</v>
      </c>
      <c r="K581">
        <v>13</v>
      </c>
      <c r="L581">
        <v>46</v>
      </c>
      <c r="M581">
        <v>17</v>
      </c>
      <c r="N581">
        <v>2</v>
      </c>
      <c r="O581">
        <v>4</v>
      </c>
      <c r="P581">
        <v>6</v>
      </c>
      <c r="Q581">
        <v>4</v>
      </c>
      <c r="R581">
        <v>2</v>
      </c>
      <c r="S581">
        <v>4</v>
      </c>
      <c r="T581">
        <v>7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3</v>
      </c>
      <c r="AB581">
        <v>11</v>
      </c>
      <c r="AC581">
        <v>0</v>
      </c>
    </row>
    <row r="582" spans="1:29" x14ac:dyDescent="0.3">
      <c r="A582">
        <v>5966</v>
      </c>
      <c r="B582">
        <v>1974</v>
      </c>
      <c r="C582" t="s">
        <v>32</v>
      </c>
      <c r="D582" t="s">
        <v>33</v>
      </c>
      <c r="E582">
        <v>45207</v>
      </c>
      <c r="F582">
        <v>1</v>
      </c>
      <c r="G582">
        <v>1</v>
      </c>
      <c r="H582" s="1">
        <v>41223</v>
      </c>
      <c r="I582">
        <v>64</v>
      </c>
      <c r="J582">
        <v>203</v>
      </c>
      <c r="K582">
        <v>0</v>
      </c>
      <c r="L582">
        <v>10</v>
      </c>
      <c r="M582">
        <v>0</v>
      </c>
      <c r="N582">
        <v>0</v>
      </c>
      <c r="O582">
        <v>2</v>
      </c>
      <c r="P582">
        <v>5</v>
      </c>
      <c r="Q582">
        <v>3</v>
      </c>
      <c r="R582">
        <v>1</v>
      </c>
      <c r="S582">
        <v>6</v>
      </c>
      <c r="T582">
        <v>6</v>
      </c>
      <c r="U582">
        <v>0</v>
      </c>
      <c r="V582">
        <v>1</v>
      </c>
      <c r="W582">
        <v>0</v>
      </c>
      <c r="X582">
        <v>0</v>
      </c>
      <c r="Y582">
        <v>0</v>
      </c>
      <c r="Z582">
        <v>0</v>
      </c>
      <c r="AA582">
        <v>3</v>
      </c>
      <c r="AB582">
        <v>11</v>
      </c>
      <c r="AC582">
        <v>0</v>
      </c>
    </row>
    <row r="583" spans="1:29" x14ac:dyDescent="0.3">
      <c r="A583">
        <v>5314</v>
      </c>
      <c r="B583">
        <v>1951</v>
      </c>
      <c r="C583" t="s">
        <v>29</v>
      </c>
      <c r="D583" t="s">
        <v>31</v>
      </c>
      <c r="E583">
        <v>40689</v>
      </c>
      <c r="F583">
        <v>0</v>
      </c>
      <c r="G583">
        <v>1</v>
      </c>
      <c r="H583" s="1">
        <v>41351</v>
      </c>
      <c r="I583">
        <v>69</v>
      </c>
      <c r="J583">
        <v>270</v>
      </c>
      <c r="K583">
        <v>3</v>
      </c>
      <c r="L583">
        <v>27</v>
      </c>
      <c r="M583">
        <v>39</v>
      </c>
      <c r="N583">
        <v>6</v>
      </c>
      <c r="O583">
        <v>99</v>
      </c>
      <c r="P583">
        <v>7</v>
      </c>
      <c r="Q583">
        <v>7</v>
      </c>
      <c r="R583">
        <v>1</v>
      </c>
      <c r="S583">
        <v>5</v>
      </c>
      <c r="T583">
        <v>8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3</v>
      </c>
      <c r="AB583">
        <v>11</v>
      </c>
      <c r="AC583">
        <v>0</v>
      </c>
    </row>
    <row r="584" spans="1:29" x14ac:dyDescent="0.3">
      <c r="A584">
        <v>5081</v>
      </c>
      <c r="B584">
        <v>1967</v>
      </c>
      <c r="C584" t="s">
        <v>37</v>
      </c>
      <c r="D584" t="s">
        <v>31</v>
      </c>
      <c r="E584">
        <v>47821</v>
      </c>
      <c r="F584">
        <v>1</v>
      </c>
      <c r="G584">
        <v>1</v>
      </c>
      <c r="H584" s="1">
        <v>41567</v>
      </c>
      <c r="I584">
        <v>54</v>
      </c>
      <c r="J584">
        <v>9</v>
      </c>
      <c r="K584">
        <v>0</v>
      </c>
      <c r="L584">
        <v>16</v>
      </c>
      <c r="M584">
        <v>6</v>
      </c>
      <c r="N584">
        <v>6</v>
      </c>
      <c r="O584">
        <v>10</v>
      </c>
      <c r="P584">
        <v>1</v>
      </c>
      <c r="Q584">
        <v>1</v>
      </c>
      <c r="R584">
        <v>0</v>
      </c>
      <c r="S584">
        <v>3</v>
      </c>
      <c r="T584">
        <v>8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3</v>
      </c>
      <c r="AB584">
        <v>11</v>
      </c>
      <c r="AC584">
        <v>0</v>
      </c>
    </row>
    <row r="585" spans="1:29" x14ac:dyDescent="0.3">
      <c r="A585">
        <v>5123</v>
      </c>
      <c r="B585">
        <v>1951</v>
      </c>
      <c r="C585" t="s">
        <v>34</v>
      </c>
      <c r="D585" t="s">
        <v>33</v>
      </c>
      <c r="E585">
        <v>27450</v>
      </c>
      <c r="F585">
        <v>0</v>
      </c>
      <c r="G585">
        <v>0</v>
      </c>
      <c r="H585" s="1">
        <v>41379</v>
      </c>
      <c r="I585">
        <v>57</v>
      </c>
      <c r="J585">
        <v>37</v>
      </c>
      <c r="K585">
        <v>12</v>
      </c>
      <c r="L585">
        <v>23</v>
      </c>
      <c r="M585">
        <v>8</v>
      </c>
      <c r="N585">
        <v>11</v>
      </c>
      <c r="O585">
        <v>52</v>
      </c>
      <c r="P585">
        <v>1</v>
      </c>
      <c r="Q585">
        <v>2</v>
      </c>
      <c r="R585">
        <v>1</v>
      </c>
      <c r="S585">
        <v>3</v>
      </c>
      <c r="T585">
        <v>7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3</v>
      </c>
      <c r="AB585">
        <v>11</v>
      </c>
      <c r="AC585">
        <v>0</v>
      </c>
    </row>
    <row r="586" spans="1:29" x14ac:dyDescent="0.3">
      <c r="A586">
        <v>5756</v>
      </c>
      <c r="B586">
        <v>1983</v>
      </c>
      <c r="C586" t="s">
        <v>29</v>
      </c>
      <c r="D586" t="s">
        <v>31</v>
      </c>
      <c r="E586">
        <v>39453</v>
      </c>
      <c r="F586">
        <v>1</v>
      </c>
      <c r="G586">
        <v>0</v>
      </c>
      <c r="H586" s="1">
        <v>41732</v>
      </c>
      <c r="I586">
        <v>64</v>
      </c>
      <c r="J586">
        <v>46</v>
      </c>
      <c r="K586">
        <v>0</v>
      </c>
      <c r="L586">
        <v>7</v>
      </c>
      <c r="M586">
        <v>0</v>
      </c>
      <c r="N586">
        <v>0</v>
      </c>
      <c r="O586">
        <v>2</v>
      </c>
      <c r="P586">
        <v>2</v>
      </c>
      <c r="Q586">
        <v>2</v>
      </c>
      <c r="R586">
        <v>0</v>
      </c>
      <c r="S586">
        <v>3</v>
      </c>
      <c r="T586">
        <v>6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3</v>
      </c>
      <c r="AB586">
        <v>11</v>
      </c>
      <c r="AC586">
        <v>0</v>
      </c>
    </row>
    <row r="587" spans="1:29" x14ac:dyDescent="0.3">
      <c r="A587">
        <v>8036</v>
      </c>
      <c r="B587">
        <v>1971</v>
      </c>
      <c r="C587" t="s">
        <v>37</v>
      </c>
      <c r="D587" t="s">
        <v>31</v>
      </c>
      <c r="E587">
        <v>26850</v>
      </c>
      <c r="F587">
        <v>1</v>
      </c>
      <c r="G587">
        <v>1</v>
      </c>
      <c r="H587" s="1">
        <v>41747</v>
      </c>
      <c r="I587">
        <v>10</v>
      </c>
      <c r="J587">
        <v>31</v>
      </c>
      <c r="K587">
        <v>1</v>
      </c>
      <c r="L587">
        <v>13</v>
      </c>
      <c r="M587">
        <v>7</v>
      </c>
      <c r="N587">
        <v>2</v>
      </c>
      <c r="O587">
        <v>9</v>
      </c>
      <c r="P587">
        <v>4</v>
      </c>
      <c r="Q587">
        <v>2</v>
      </c>
      <c r="R587">
        <v>1</v>
      </c>
      <c r="S587">
        <v>4</v>
      </c>
      <c r="T587">
        <v>4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3</v>
      </c>
      <c r="AB587">
        <v>11</v>
      </c>
      <c r="AC587">
        <v>0</v>
      </c>
    </row>
    <row r="588" spans="1:29" x14ac:dyDescent="0.3">
      <c r="A588">
        <v>9058</v>
      </c>
      <c r="B588">
        <v>1955</v>
      </c>
      <c r="C588" t="s">
        <v>29</v>
      </c>
      <c r="D588" t="s">
        <v>38</v>
      </c>
      <c r="E588">
        <v>79800</v>
      </c>
      <c r="F588">
        <v>0</v>
      </c>
      <c r="G588">
        <v>0</v>
      </c>
      <c r="H588" s="1">
        <v>41175</v>
      </c>
      <c r="I588">
        <v>65</v>
      </c>
      <c r="J588">
        <v>1060</v>
      </c>
      <c r="K588">
        <v>21</v>
      </c>
      <c r="L588">
        <v>530</v>
      </c>
      <c r="M588">
        <v>32</v>
      </c>
      <c r="N588">
        <v>0</v>
      </c>
      <c r="O588">
        <v>224</v>
      </c>
      <c r="P588">
        <v>1</v>
      </c>
      <c r="Q588">
        <v>5</v>
      </c>
      <c r="R588">
        <v>11</v>
      </c>
      <c r="S588">
        <v>5</v>
      </c>
      <c r="T588">
        <v>3</v>
      </c>
      <c r="U588">
        <v>1</v>
      </c>
      <c r="V588">
        <v>0</v>
      </c>
      <c r="W588">
        <v>1</v>
      </c>
      <c r="X588">
        <v>1</v>
      </c>
      <c r="Y588">
        <v>0</v>
      </c>
      <c r="Z588">
        <v>0</v>
      </c>
      <c r="AA588">
        <v>3</v>
      </c>
      <c r="AB588">
        <v>11</v>
      </c>
      <c r="AC588">
        <v>1</v>
      </c>
    </row>
    <row r="589" spans="1:29" x14ac:dyDescent="0.3">
      <c r="A589">
        <v>5057</v>
      </c>
      <c r="B589">
        <v>1961</v>
      </c>
      <c r="C589" t="s">
        <v>34</v>
      </c>
      <c r="D589" t="s">
        <v>33</v>
      </c>
      <c r="E589">
        <v>61794</v>
      </c>
      <c r="F589">
        <v>0</v>
      </c>
      <c r="G589">
        <v>1</v>
      </c>
      <c r="H589" s="1">
        <v>41531</v>
      </c>
      <c r="I589">
        <v>74</v>
      </c>
      <c r="J589">
        <v>264</v>
      </c>
      <c r="K589">
        <v>47</v>
      </c>
      <c r="L589">
        <v>188</v>
      </c>
      <c r="M589">
        <v>54</v>
      </c>
      <c r="N589">
        <v>47</v>
      </c>
      <c r="O589">
        <v>11</v>
      </c>
      <c r="P589">
        <v>2</v>
      </c>
      <c r="Q589">
        <v>4</v>
      </c>
      <c r="R589">
        <v>4</v>
      </c>
      <c r="S589">
        <v>10</v>
      </c>
      <c r="T589">
        <v>2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3</v>
      </c>
      <c r="AB589">
        <v>11</v>
      </c>
      <c r="AC589">
        <v>0</v>
      </c>
    </row>
    <row r="590" spans="1:29" x14ac:dyDescent="0.3">
      <c r="A590">
        <v>254</v>
      </c>
      <c r="B590">
        <v>1955</v>
      </c>
      <c r="C590" t="s">
        <v>29</v>
      </c>
      <c r="D590" t="s">
        <v>31</v>
      </c>
      <c r="E590">
        <v>53863</v>
      </c>
      <c r="F590">
        <v>0</v>
      </c>
      <c r="G590">
        <v>1</v>
      </c>
      <c r="H590" s="1">
        <v>41776</v>
      </c>
      <c r="I590">
        <v>4</v>
      </c>
      <c r="J590">
        <v>399</v>
      </c>
      <c r="K590">
        <v>4</v>
      </c>
      <c r="L590">
        <v>30</v>
      </c>
      <c r="M590">
        <v>6</v>
      </c>
      <c r="N590">
        <v>4</v>
      </c>
      <c r="O590">
        <v>30</v>
      </c>
      <c r="P590">
        <v>3</v>
      </c>
      <c r="Q590">
        <v>7</v>
      </c>
      <c r="R590">
        <v>1</v>
      </c>
      <c r="S590">
        <v>7</v>
      </c>
      <c r="T590">
        <v>7</v>
      </c>
      <c r="U590">
        <v>0</v>
      </c>
      <c r="V590">
        <v>1</v>
      </c>
      <c r="W590">
        <v>0</v>
      </c>
      <c r="X590">
        <v>0</v>
      </c>
      <c r="Y590">
        <v>0</v>
      </c>
      <c r="Z590">
        <v>0</v>
      </c>
      <c r="AA590">
        <v>3</v>
      </c>
      <c r="AB590">
        <v>11</v>
      </c>
      <c r="AC590">
        <v>0</v>
      </c>
    </row>
    <row r="591" spans="1:29" x14ac:dyDescent="0.3">
      <c r="A591">
        <v>4179</v>
      </c>
      <c r="B591">
        <v>1959</v>
      </c>
      <c r="C591" t="s">
        <v>29</v>
      </c>
      <c r="D591" t="s">
        <v>31</v>
      </c>
      <c r="E591">
        <v>24221</v>
      </c>
      <c r="F591">
        <v>0</v>
      </c>
      <c r="G591">
        <v>0</v>
      </c>
      <c r="H591" s="1">
        <v>41506</v>
      </c>
      <c r="I591">
        <v>94</v>
      </c>
      <c r="J591">
        <v>8</v>
      </c>
      <c r="K591">
        <v>9</v>
      </c>
      <c r="L591">
        <v>9</v>
      </c>
      <c r="M591">
        <v>2</v>
      </c>
      <c r="N591">
        <v>5</v>
      </c>
      <c r="O591">
        <v>22</v>
      </c>
      <c r="P591">
        <v>1</v>
      </c>
      <c r="Q591">
        <v>1</v>
      </c>
      <c r="R591">
        <v>1</v>
      </c>
      <c r="S591">
        <v>3</v>
      </c>
      <c r="T591">
        <v>4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3</v>
      </c>
      <c r="AB591">
        <v>11</v>
      </c>
      <c r="AC591">
        <v>0</v>
      </c>
    </row>
    <row r="592" spans="1:29" x14ac:dyDescent="0.3">
      <c r="A592">
        <v>3710</v>
      </c>
      <c r="B592">
        <v>1984</v>
      </c>
      <c r="C592" t="s">
        <v>32</v>
      </c>
      <c r="D592" t="s">
        <v>30</v>
      </c>
      <c r="E592">
        <v>39684</v>
      </c>
      <c r="F592">
        <v>1</v>
      </c>
      <c r="G592">
        <v>0</v>
      </c>
      <c r="H592" s="1">
        <v>41194</v>
      </c>
      <c r="I592">
        <v>41</v>
      </c>
      <c r="J592">
        <v>19</v>
      </c>
      <c r="K592">
        <v>0</v>
      </c>
      <c r="L592">
        <v>35</v>
      </c>
      <c r="M592">
        <v>6</v>
      </c>
      <c r="N592">
        <v>4</v>
      </c>
      <c r="O592">
        <v>17</v>
      </c>
      <c r="P592">
        <v>2</v>
      </c>
      <c r="Q592">
        <v>2</v>
      </c>
      <c r="R592">
        <v>1</v>
      </c>
      <c r="S592">
        <v>2</v>
      </c>
      <c r="T592">
        <v>7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1</v>
      </c>
      <c r="AA592">
        <v>3</v>
      </c>
      <c r="AB592">
        <v>11</v>
      </c>
      <c r="AC592">
        <v>1</v>
      </c>
    </row>
    <row r="593" spans="1:29" x14ac:dyDescent="0.3">
      <c r="A593">
        <v>7627</v>
      </c>
      <c r="B593">
        <v>1975</v>
      </c>
      <c r="C593" t="s">
        <v>34</v>
      </c>
      <c r="D593" t="s">
        <v>33</v>
      </c>
      <c r="E593">
        <v>92163</v>
      </c>
      <c r="F593">
        <v>0</v>
      </c>
      <c r="G593">
        <v>0</v>
      </c>
      <c r="H593" s="1">
        <v>41255</v>
      </c>
      <c r="I593">
        <v>25</v>
      </c>
      <c r="J593">
        <v>817</v>
      </c>
      <c r="K593">
        <v>183</v>
      </c>
      <c r="L593">
        <v>797</v>
      </c>
      <c r="M593">
        <v>106</v>
      </c>
      <c r="N593">
        <v>163</v>
      </c>
      <c r="O593">
        <v>20</v>
      </c>
      <c r="P593">
        <v>0</v>
      </c>
      <c r="Q593">
        <v>5</v>
      </c>
      <c r="R593">
        <v>11</v>
      </c>
      <c r="S593">
        <v>5</v>
      </c>
      <c r="T593">
        <v>2</v>
      </c>
      <c r="U593">
        <v>0</v>
      </c>
      <c r="V593">
        <v>0</v>
      </c>
      <c r="W593">
        <v>1</v>
      </c>
      <c r="X593">
        <v>1</v>
      </c>
      <c r="Y593">
        <v>0</v>
      </c>
      <c r="Z593">
        <v>0</v>
      </c>
      <c r="AA593">
        <v>3</v>
      </c>
      <c r="AB593">
        <v>11</v>
      </c>
      <c r="AC593">
        <v>1</v>
      </c>
    </row>
    <row r="594" spans="1:29" x14ac:dyDescent="0.3">
      <c r="A594">
        <v>4501</v>
      </c>
      <c r="B594">
        <v>1965</v>
      </c>
      <c r="C594" t="s">
        <v>34</v>
      </c>
      <c r="D594" t="s">
        <v>30</v>
      </c>
      <c r="E594">
        <v>69882</v>
      </c>
      <c r="F594">
        <v>0</v>
      </c>
      <c r="G594">
        <v>0</v>
      </c>
      <c r="H594" s="1">
        <v>41588</v>
      </c>
      <c r="I594">
        <v>94</v>
      </c>
      <c r="J594">
        <v>292</v>
      </c>
      <c r="K594">
        <v>127</v>
      </c>
      <c r="L594">
        <v>635</v>
      </c>
      <c r="M594">
        <v>132</v>
      </c>
      <c r="N594">
        <v>127</v>
      </c>
      <c r="O594">
        <v>165</v>
      </c>
      <c r="P594">
        <v>1</v>
      </c>
      <c r="Q594">
        <v>3</v>
      </c>
      <c r="R594">
        <v>7</v>
      </c>
      <c r="S594">
        <v>9</v>
      </c>
      <c r="T594">
        <v>1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3</v>
      </c>
      <c r="AB594">
        <v>11</v>
      </c>
      <c r="AC594">
        <v>0</v>
      </c>
    </row>
    <row r="595" spans="1:29" x14ac:dyDescent="0.3">
      <c r="A595">
        <v>6424</v>
      </c>
      <c r="B595">
        <v>1977</v>
      </c>
      <c r="C595" t="s">
        <v>29</v>
      </c>
      <c r="D595" t="s">
        <v>31</v>
      </c>
      <c r="E595">
        <v>33178</v>
      </c>
      <c r="F595">
        <v>1</v>
      </c>
      <c r="G595">
        <v>0</v>
      </c>
      <c r="H595" s="1">
        <v>41669</v>
      </c>
      <c r="I595">
        <v>9</v>
      </c>
      <c r="J595">
        <v>12</v>
      </c>
      <c r="K595">
        <v>6</v>
      </c>
      <c r="L595">
        <v>2</v>
      </c>
      <c r="M595">
        <v>11</v>
      </c>
      <c r="N595">
        <v>2</v>
      </c>
      <c r="O595">
        <v>16</v>
      </c>
      <c r="P595">
        <v>1</v>
      </c>
      <c r="Q595">
        <v>1</v>
      </c>
      <c r="R595">
        <v>0</v>
      </c>
      <c r="S595">
        <v>3</v>
      </c>
      <c r="T595">
        <v>4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3</v>
      </c>
      <c r="AB595">
        <v>11</v>
      </c>
      <c r="AC595">
        <v>0</v>
      </c>
    </row>
    <row r="596" spans="1:29" x14ac:dyDescent="0.3">
      <c r="A596">
        <v>3075</v>
      </c>
      <c r="B596">
        <v>1972</v>
      </c>
      <c r="C596" t="s">
        <v>32</v>
      </c>
      <c r="D596" t="s">
        <v>33</v>
      </c>
      <c r="E596">
        <v>59973</v>
      </c>
      <c r="F596">
        <v>0</v>
      </c>
      <c r="G596">
        <v>0</v>
      </c>
      <c r="H596" s="1">
        <v>41528</v>
      </c>
      <c r="I596">
        <v>47</v>
      </c>
      <c r="J596">
        <v>130</v>
      </c>
      <c r="K596">
        <v>30</v>
      </c>
      <c r="L596">
        <v>168</v>
      </c>
      <c r="M596">
        <v>20</v>
      </c>
      <c r="N596">
        <v>34</v>
      </c>
      <c r="O596">
        <v>0</v>
      </c>
      <c r="P596">
        <v>1</v>
      </c>
      <c r="Q596">
        <v>3</v>
      </c>
      <c r="R596">
        <v>4</v>
      </c>
      <c r="S596">
        <v>7</v>
      </c>
      <c r="T596">
        <v>1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3</v>
      </c>
      <c r="AB596">
        <v>11</v>
      </c>
      <c r="AC596">
        <v>0</v>
      </c>
    </row>
    <row r="597" spans="1:29" x14ac:dyDescent="0.3">
      <c r="A597">
        <v>4992</v>
      </c>
      <c r="B597">
        <v>1975</v>
      </c>
      <c r="C597" t="s">
        <v>34</v>
      </c>
      <c r="D597" t="s">
        <v>31</v>
      </c>
      <c r="E597">
        <v>17459</v>
      </c>
      <c r="F597">
        <v>1</v>
      </c>
      <c r="G597">
        <v>0</v>
      </c>
      <c r="H597" s="1">
        <v>41536</v>
      </c>
      <c r="I597">
        <v>12</v>
      </c>
      <c r="J597">
        <v>6</v>
      </c>
      <c r="K597">
        <v>4</v>
      </c>
      <c r="L597">
        <v>16</v>
      </c>
      <c r="M597">
        <v>3</v>
      </c>
      <c r="N597">
        <v>10</v>
      </c>
      <c r="O597">
        <v>30</v>
      </c>
      <c r="P597">
        <v>3</v>
      </c>
      <c r="Q597">
        <v>3</v>
      </c>
      <c r="R597">
        <v>1</v>
      </c>
      <c r="S597">
        <v>2</v>
      </c>
      <c r="T597">
        <v>7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3</v>
      </c>
      <c r="AB597">
        <v>11</v>
      </c>
      <c r="AC597">
        <v>1</v>
      </c>
    </row>
    <row r="598" spans="1:29" x14ac:dyDescent="0.3">
      <c r="A598">
        <v>5252</v>
      </c>
      <c r="B598">
        <v>1969</v>
      </c>
      <c r="C598" t="s">
        <v>29</v>
      </c>
      <c r="D598" t="s">
        <v>35</v>
      </c>
      <c r="E598">
        <v>23910</v>
      </c>
      <c r="F598">
        <v>1</v>
      </c>
      <c r="G598">
        <v>0</v>
      </c>
      <c r="H598" s="1">
        <v>41208</v>
      </c>
      <c r="I598">
        <v>80</v>
      </c>
      <c r="J598">
        <v>16</v>
      </c>
      <c r="K598">
        <v>12</v>
      </c>
      <c r="L598">
        <v>18</v>
      </c>
      <c r="M598">
        <v>7</v>
      </c>
      <c r="N598">
        <v>1</v>
      </c>
      <c r="O598">
        <v>13</v>
      </c>
      <c r="P598">
        <v>1</v>
      </c>
      <c r="Q598">
        <v>2</v>
      </c>
      <c r="R598">
        <v>0</v>
      </c>
      <c r="S598">
        <v>3</v>
      </c>
      <c r="T598">
        <v>7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3</v>
      </c>
      <c r="AB598">
        <v>11</v>
      </c>
      <c r="AC598">
        <v>0</v>
      </c>
    </row>
    <row r="599" spans="1:29" x14ac:dyDescent="0.3">
      <c r="A599">
        <v>7444</v>
      </c>
      <c r="B599">
        <v>1969</v>
      </c>
      <c r="C599" t="s">
        <v>34</v>
      </c>
      <c r="D599" t="s">
        <v>33</v>
      </c>
      <c r="E599">
        <v>42169</v>
      </c>
      <c r="F599">
        <v>1</v>
      </c>
      <c r="G599">
        <v>1</v>
      </c>
      <c r="H599" s="1">
        <v>41566</v>
      </c>
      <c r="I599">
        <v>20</v>
      </c>
      <c r="J599">
        <v>19</v>
      </c>
      <c r="K599">
        <v>0</v>
      </c>
      <c r="L599">
        <v>9</v>
      </c>
      <c r="M599">
        <v>0</v>
      </c>
      <c r="N599">
        <v>0</v>
      </c>
      <c r="O599">
        <v>2</v>
      </c>
      <c r="P599">
        <v>2</v>
      </c>
      <c r="Q599">
        <v>1</v>
      </c>
      <c r="R599">
        <v>0</v>
      </c>
      <c r="S599">
        <v>3</v>
      </c>
      <c r="T599">
        <v>8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3</v>
      </c>
      <c r="AB599">
        <v>11</v>
      </c>
      <c r="AC599">
        <v>0</v>
      </c>
    </row>
    <row r="600" spans="1:29" x14ac:dyDescent="0.3">
      <c r="A600">
        <v>6919</v>
      </c>
      <c r="B600">
        <v>1978</v>
      </c>
      <c r="C600" t="s">
        <v>37</v>
      </c>
      <c r="D600" t="s">
        <v>33</v>
      </c>
      <c r="E600">
        <v>26224</v>
      </c>
      <c r="F600">
        <v>1</v>
      </c>
      <c r="G600">
        <v>0</v>
      </c>
      <c r="H600" s="1">
        <v>41429</v>
      </c>
      <c r="I600">
        <v>39</v>
      </c>
      <c r="J600">
        <v>4</v>
      </c>
      <c r="K600">
        <v>7</v>
      </c>
      <c r="L600">
        <v>15</v>
      </c>
      <c r="M600">
        <v>13</v>
      </c>
      <c r="N600">
        <v>9</v>
      </c>
      <c r="O600">
        <v>15</v>
      </c>
      <c r="P600">
        <v>3</v>
      </c>
      <c r="Q600">
        <v>2</v>
      </c>
      <c r="R600">
        <v>1</v>
      </c>
      <c r="S600">
        <v>3</v>
      </c>
      <c r="T600">
        <v>6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3</v>
      </c>
      <c r="AB600">
        <v>11</v>
      </c>
      <c r="AC600">
        <v>0</v>
      </c>
    </row>
    <row r="601" spans="1:29" x14ac:dyDescent="0.3">
      <c r="A601">
        <v>3537</v>
      </c>
      <c r="B601">
        <v>1981</v>
      </c>
      <c r="C601" t="s">
        <v>29</v>
      </c>
      <c r="D601" t="s">
        <v>31</v>
      </c>
      <c r="E601">
        <v>31089</v>
      </c>
      <c r="F601">
        <v>1</v>
      </c>
      <c r="G601">
        <v>0</v>
      </c>
      <c r="H601" s="1">
        <v>41138</v>
      </c>
      <c r="I601">
        <v>57</v>
      </c>
      <c r="J601">
        <v>31</v>
      </c>
      <c r="K601">
        <v>3</v>
      </c>
      <c r="L601">
        <v>31</v>
      </c>
      <c r="M601">
        <v>2</v>
      </c>
      <c r="N601">
        <v>8</v>
      </c>
      <c r="O601">
        <v>4</v>
      </c>
      <c r="P601">
        <v>3</v>
      </c>
      <c r="Q601">
        <v>3</v>
      </c>
      <c r="R601">
        <v>0</v>
      </c>
      <c r="S601">
        <v>4</v>
      </c>
      <c r="T601">
        <v>8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3</v>
      </c>
      <c r="AB601">
        <v>11</v>
      </c>
      <c r="AC601">
        <v>0</v>
      </c>
    </row>
    <row r="602" spans="1:29" x14ac:dyDescent="0.3">
      <c r="A602">
        <v>10277</v>
      </c>
      <c r="B602">
        <v>1961</v>
      </c>
      <c r="C602" t="s">
        <v>29</v>
      </c>
      <c r="D602" t="s">
        <v>30</v>
      </c>
      <c r="E602">
        <v>30081</v>
      </c>
      <c r="F602">
        <v>0</v>
      </c>
      <c r="G602">
        <v>1</v>
      </c>
      <c r="H602" s="1">
        <v>41326</v>
      </c>
      <c r="I602">
        <v>27</v>
      </c>
      <c r="J602">
        <v>36</v>
      </c>
      <c r="K602">
        <v>0</v>
      </c>
      <c r="L602">
        <v>2</v>
      </c>
      <c r="M602">
        <v>0</v>
      </c>
      <c r="N602">
        <v>0</v>
      </c>
      <c r="O602">
        <v>4</v>
      </c>
      <c r="P602">
        <v>1</v>
      </c>
      <c r="Q602">
        <v>1</v>
      </c>
      <c r="R602">
        <v>0</v>
      </c>
      <c r="S602">
        <v>3</v>
      </c>
      <c r="T602">
        <v>7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3</v>
      </c>
      <c r="AB602">
        <v>11</v>
      </c>
      <c r="AC602">
        <v>0</v>
      </c>
    </row>
    <row r="603" spans="1:29" x14ac:dyDescent="0.3">
      <c r="A603">
        <v>2453</v>
      </c>
      <c r="B603">
        <v>1960</v>
      </c>
      <c r="C603" t="s">
        <v>29</v>
      </c>
      <c r="D603" t="s">
        <v>31</v>
      </c>
      <c r="E603">
        <v>62807</v>
      </c>
      <c r="F603">
        <v>0</v>
      </c>
      <c r="G603">
        <v>1</v>
      </c>
      <c r="H603" s="1">
        <v>41152</v>
      </c>
      <c r="I603">
        <v>83</v>
      </c>
      <c r="J603">
        <v>526</v>
      </c>
      <c r="K603">
        <v>28</v>
      </c>
      <c r="L603">
        <v>135</v>
      </c>
      <c r="M603">
        <v>10</v>
      </c>
      <c r="N603">
        <v>21</v>
      </c>
      <c r="O603">
        <v>99</v>
      </c>
      <c r="P603">
        <v>3</v>
      </c>
      <c r="Q603">
        <v>5</v>
      </c>
      <c r="R603">
        <v>3</v>
      </c>
      <c r="S603">
        <v>12</v>
      </c>
      <c r="T603">
        <v>5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3</v>
      </c>
      <c r="AB603">
        <v>11</v>
      </c>
      <c r="AC603">
        <v>0</v>
      </c>
    </row>
    <row r="604" spans="1:29" x14ac:dyDescent="0.3">
      <c r="A604">
        <v>7972</v>
      </c>
      <c r="B604">
        <v>1955</v>
      </c>
      <c r="C604" t="s">
        <v>29</v>
      </c>
      <c r="D604" t="s">
        <v>30</v>
      </c>
      <c r="E604">
        <v>72906</v>
      </c>
      <c r="F604">
        <v>0</v>
      </c>
      <c r="G604">
        <v>0</v>
      </c>
      <c r="H604" s="1">
        <v>41534</v>
      </c>
      <c r="I604">
        <v>79</v>
      </c>
      <c r="J604">
        <v>400</v>
      </c>
      <c r="K604">
        <v>32</v>
      </c>
      <c r="L604">
        <v>519</v>
      </c>
      <c r="M604">
        <v>71</v>
      </c>
      <c r="N604">
        <v>75</v>
      </c>
      <c r="O604">
        <v>54</v>
      </c>
      <c r="P604">
        <v>1</v>
      </c>
      <c r="Q604">
        <v>3</v>
      </c>
      <c r="R604">
        <v>4</v>
      </c>
      <c r="S604">
        <v>9</v>
      </c>
      <c r="T604">
        <v>1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3</v>
      </c>
      <c r="AB604">
        <v>11</v>
      </c>
      <c r="AC604">
        <v>0</v>
      </c>
    </row>
    <row r="605" spans="1:29" x14ac:dyDescent="0.3">
      <c r="A605">
        <v>895</v>
      </c>
      <c r="B605">
        <v>1948</v>
      </c>
      <c r="C605" t="s">
        <v>32</v>
      </c>
      <c r="D605" t="s">
        <v>33</v>
      </c>
      <c r="E605">
        <v>61467</v>
      </c>
      <c r="F605">
        <v>0</v>
      </c>
      <c r="G605">
        <v>2</v>
      </c>
      <c r="H605" s="1">
        <v>41252</v>
      </c>
      <c r="I605">
        <v>69</v>
      </c>
      <c r="J605">
        <v>410</v>
      </c>
      <c r="K605">
        <v>16</v>
      </c>
      <c r="L605">
        <v>114</v>
      </c>
      <c r="M605">
        <v>0</v>
      </c>
      <c r="N605">
        <v>5</v>
      </c>
      <c r="O605">
        <v>49</v>
      </c>
      <c r="P605">
        <v>3</v>
      </c>
      <c r="Q605">
        <v>5</v>
      </c>
      <c r="R605">
        <v>2</v>
      </c>
      <c r="S605">
        <v>10</v>
      </c>
      <c r="T605">
        <v>5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3</v>
      </c>
      <c r="AB605">
        <v>11</v>
      </c>
      <c r="AC605">
        <v>0</v>
      </c>
    </row>
    <row r="606" spans="1:29" x14ac:dyDescent="0.3">
      <c r="A606">
        <v>1177</v>
      </c>
      <c r="B606">
        <v>1966</v>
      </c>
      <c r="C606" t="s">
        <v>34</v>
      </c>
      <c r="D606" t="s">
        <v>31</v>
      </c>
      <c r="E606">
        <v>49618</v>
      </c>
      <c r="F606">
        <v>1</v>
      </c>
      <c r="G606">
        <v>1</v>
      </c>
      <c r="H606" s="1">
        <v>41300</v>
      </c>
      <c r="I606">
        <v>77</v>
      </c>
      <c r="J606">
        <v>80</v>
      </c>
      <c r="K606">
        <v>3</v>
      </c>
      <c r="L606">
        <v>26</v>
      </c>
      <c r="M606">
        <v>4</v>
      </c>
      <c r="N606">
        <v>2</v>
      </c>
      <c r="O606">
        <v>14</v>
      </c>
      <c r="P606">
        <v>4</v>
      </c>
      <c r="Q606">
        <v>3</v>
      </c>
      <c r="R606">
        <v>1</v>
      </c>
      <c r="S606">
        <v>3</v>
      </c>
      <c r="T606">
        <v>7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3</v>
      </c>
      <c r="AB606">
        <v>11</v>
      </c>
      <c r="AC606">
        <v>0</v>
      </c>
    </row>
    <row r="607" spans="1:29" x14ac:dyDescent="0.3">
      <c r="A607">
        <v>7141</v>
      </c>
      <c r="B607">
        <v>1986</v>
      </c>
      <c r="C607" t="s">
        <v>34</v>
      </c>
      <c r="D607" t="s">
        <v>30</v>
      </c>
      <c r="E607">
        <v>21888</v>
      </c>
      <c r="F607">
        <v>1</v>
      </c>
      <c r="G607">
        <v>0</v>
      </c>
      <c r="H607" s="1">
        <v>41272</v>
      </c>
      <c r="I607">
        <v>15</v>
      </c>
      <c r="J607">
        <v>88</v>
      </c>
      <c r="K607">
        <v>10</v>
      </c>
      <c r="L607">
        <v>46</v>
      </c>
      <c r="M607">
        <v>2</v>
      </c>
      <c r="N607">
        <v>3</v>
      </c>
      <c r="O607">
        <v>64</v>
      </c>
      <c r="P607">
        <v>4</v>
      </c>
      <c r="Q607">
        <v>5</v>
      </c>
      <c r="R607">
        <v>1</v>
      </c>
      <c r="S607">
        <v>2</v>
      </c>
      <c r="T607">
        <v>10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3</v>
      </c>
      <c r="AB607">
        <v>11</v>
      </c>
      <c r="AC607">
        <v>1</v>
      </c>
    </row>
    <row r="608" spans="1:29" x14ac:dyDescent="0.3">
      <c r="A608">
        <v>7232</v>
      </c>
      <c r="B608">
        <v>1973</v>
      </c>
      <c r="C608" t="s">
        <v>29</v>
      </c>
      <c r="D608" t="s">
        <v>38</v>
      </c>
      <c r="E608">
        <v>42429</v>
      </c>
      <c r="F608">
        <v>0</v>
      </c>
      <c r="G608">
        <v>1</v>
      </c>
      <c r="H608" s="1">
        <v>41681</v>
      </c>
      <c r="I608">
        <v>99</v>
      </c>
      <c r="J608">
        <v>55</v>
      </c>
      <c r="K608">
        <v>0</v>
      </c>
      <c r="L608">
        <v>6</v>
      </c>
      <c r="M608">
        <v>2</v>
      </c>
      <c r="N608">
        <v>0</v>
      </c>
      <c r="O608">
        <v>4</v>
      </c>
      <c r="P608">
        <v>2</v>
      </c>
      <c r="Q608">
        <v>1</v>
      </c>
      <c r="R608">
        <v>1</v>
      </c>
      <c r="S608">
        <v>3</v>
      </c>
      <c r="T608">
        <v>5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3</v>
      </c>
      <c r="AB608">
        <v>11</v>
      </c>
      <c r="AC608">
        <v>0</v>
      </c>
    </row>
    <row r="609" spans="1:29" x14ac:dyDescent="0.3">
      <c r="A609">
        <v>8477</v>
      </c>
      <c r="B609">
        <v>1956</v>
      </c>
      <c r="C609" t="s">
        <v>29</v>
      </c>
      <c r="D609" t="s">
        <v>35</v>
      </c>
      <c r="E609">
        <v>26150</v>
      </c>
      <c r="F609">
        <v>2</v>
      </c>
      <c r="G609">
        <v>1</v>
      </c>
      <c r="H609" s="1">
        <v>41344</v>
      </c>
      <c r="I609">
        <v>61</v>
      </c>
      <c r="J609">
        <v>5</v>
      </c>
      <c r="K609">
        <v>1</v>
      </c>
      <c r="L609">
        <v>13</v>
      </c>
      <c r="M609">
        <v>3</v>
      </c>
      <c r="N609">
        <v>5</v>
      </c>
      <c r="O609">
        <v>1</v>
      </c>
      <c r="P609">
        <v>1</v>
      </c>
      <c r="Q609">
        <v>1</v>
      </c>
      <c r="R609">
        <v>0</v>
      </c>
      <c r="S609">
        <v>3</v>
      </c>
      <c r="T609">
        <v>7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3</v>
      </c>
      <c r="AB609">
        <v>11</v>
      </c>
      <c r="AC609">
        <v>0</v>
      </c>
    </row>
    <row r="610" spans="1:29" x14ac:dyDescent="0.3">
      <c r="A610">
        <v>2457</v>
      </c>
      <c r="B610">
        <v>1975</v>
      </c>
      <c r="C610" t="s">
        <v>36</v>
      </c>
      <c r="D610" t="s">
        <v>33</v>
      </c>
      <c r="E610">
        <v>30801</v>
      </c>
      <c r="F610">
        <v>0</v>
      </c>
      <c r="G610">
        <v>1</v>
      </c>
      <c r="H610" s="1">
        <v>41208</v>
      </c>
      <c r="I610">
        <v>23</v>
      </c>
      <c r="J610">
        <v>8</v>
      </c>
      <c r="K610">
        <v>4</v>
      </c>
      <c r="L610">
        <v>5</v>
      </c>
      <c r="M610">
        <v>15</v>
      </c>
      <c r="N610">
        <v>2</v>
      </c>
      <c r="O610">
        <v>11</v>
      </c>
      <c r="P610">
        <v>2</v>
      </c>
      <c r="Q610">
        <v>1</v>
      </c>
      <c r="R610">
        <v>0</v>
      </c>
      <c r="S610">
        <v>3</v>
      </c>
      <c r="T610">
        <v>7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3</v>
      </c>
      <c r="AB610">
        <v>11</v>
      </c>
      <c r="AC610">
        <v>0</v>
      </c>
    </row>
    <row r="611" spans="1:29" x14ac:dyDescent="0.3">
      <c r="A611">
        <v>988</v>
      </c>
      <c r="B611">
        <v>1965</v>
      </c>
      <c r="C611" t="s">
        <v>29</v>
      </c>
      <c r="D611" t="s">
        <v>33</v>
      </c>
      <c r="E611">
        <v>81168</v>
      </c>
      <c r="F611">
        <v>0</v>
      </c>
      <c r="G611">
        <v>0</v>
      </c>
      <c r="H611" s="1">
        <v>41766</v>
      </c>
      <c r="I611">
        <v>84</v>
      </c>
      <c r="J611">
        <v>410</v>
      </c>
      <c r="K611">
        <v>0</v>
      </c>
      <c r="L611">
        <v>592</v>
      </c>
      <c r="M611">
        <v>147</v>
      </c>
      <c r="N611">
        <v>22</v>
      </c>
      <c r="O611">
        <v>22</v>
      </c>
      <c r="P611">
        <v>1</v>
      </c>
      <c r="Q611">
        <v>6</v>
      </c>
      <c r="R611">
        <v>4</v>
      </c>
      <c r="S611">
        <v>7</v>
      </c>
      <c r="T611">
        <v>3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3</v>
      </c>
      <c r="AB611">
        <v>11</v>
      </c>
      <c r="AC611">
        <v>0</v>
      </c>
    </row>
    <row r="612" spans="1:29" x14ac:dyDescent="0.3">
      <c r="A612">
        <v>7930</v>
      </c>
      <c r="B612">
        <v>1969</v>
      </c>
      <c r="C612" t="s">
        <v>34</v>
      </c>
      <c r="D612" t="s">
        <v>30</v>
      </c>
      <c r="E612">
        <v>26877</v>
      </c>
      <c r="F612">
        <v>0</v>
      </c>
      <c r="G612">
        <v>0</v>
      </c>
      <c r="H612" s="1">
        <v>41505</v>
      </c>
      <c r="I612">
        <v>74</v>
      </c>
      <c r="J612">
        <v>101</v>
      </c>
      <c r="K612">
        <v>13</v>
      </c>
      <c r="L612">
        <v>76</v>
      </c>
      <c r="M612">
        <v>20</v>
      </c>
      <c r="N612">
        <v>18</v>
      </c>
      <c r="O612">
        <v>40</v>
      </c>
      <c r="P612">
        <v>2</v>
      </c>
      <c r="Q612">
        <v>3</v>
      </c>
      <c r="R612">
        <v>1</v>
      </c>
      <c r="S612">
        <v>6</v>
      </c>
      <c r="T612">
        <v>6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3</v>
      </c>
      <c r="AB612">
        <v>11</v>
      </c>
      <c r="AC612">
        <v>0</v>
      </c>
    </row>
    <row r="613" spans="1:29" x14ac:dyDescent="0.3">
      <c r="A613">
        <v>4587</v>
      </c>
      <c r="B613">
        <v>1944</v>
      </c>
      <c r="C613" t="s">
        <v>34</v>
      </c>
      <c r="D613" t="s">
        <v>38</v>
      </c>
      <c r="E613">
        <v>45006</v>
      </c>
      <c r="F613">
        <v>0</v>
      </c>
      <c r="G613">
        <v>0</v>
      </c>
      <c r="H613" s="1">
        <v>41473</v>
      </c>
      <c r="I613">
        <v>90</v>
      </c>
      <c r="J613">
        <v>162</v>
      </c>
      <c r="K613">
        <v>25</v>
      </c>
      <c r="L613">
        <v>53</v>
      </c>
      <c r="M613">
        <v>16</v>
      </c>
      <c r="N613">
        <v>0</v>
      </c>
      <c r="O613">
        <v>10</v>
      </c>
      <c r="P613">
        <v>1</v>
      </c>
      <c r="Q613">
        <v>3</v>
      </c>
      <c r="R613">
        <v>1</v>
      </c>
      <c r="S613">
        <v>7</v>
      </c>
      <c r="T613">
        <v>3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3</v>
      </c>
      <c r="AB613">
        <v>11</v>
      </c>
      <c r="AC613">
        <v>0</v>
      </c>
    </row>
    <row r="614" spans="1:29" x14ac:dyDescent="0.3">
      <c r="A614">
        <v>6682</v>
      </c>
      <c r="B614">
        <v>1973</v>
      </c>
      <c r="C614" t="s">
        <v>36</v>
      </c>
      <c r="D614" t="s">
        <v>33</v>
      </c>
      <c r="E614">
        <v>18978</v>
      </c>
      <c r="F614">
        <v>1</v>
      </c>
      <c r="G614">
        <v>0</v>
      </c>
      <c r="H614" s="1">
        <v>41254</v>
      </c>
      <c r="I614">
        <v>41</v>
      </c>
      <c r="J614">
        <v>2</v>
      </c>
      <c r="K614">
        <v>8</v>
      </c>
      <c r="L614">
        <v>1</v>
      </c>
      <c r="M614">
        <v>4</v>
      </c>
      <c r="N614">
        <v>7</v>
      </c>
      <c r="O614">
        <v>15</v>
      </c>
      <c r="P614">
        <v>1</v>
      </c>
      <c r="Q614">
        <v>1</v>
      </c>
      <c r="R614">
        <v>0</v>
      </c>
      <c r="S614">
        <v>3</v>
      </c>
      <c r="T614">
        <v>8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3</v>
      </c>
      <c r="AB614">
        <v>11</v>
      </c>
      <c r="AC614">
        <v>0</v>
      </c>
    </row>
    <row r="615" spans="1:29" x14ac:dyDescent="0.3">
      <c r="A615">
        <v>6222</v>
      </c>
      <c r="B615">
        <v>1967</v>
      </c>
      <c r="C615" t="s">
        <v>29</v>
      </c>
      <c r="D615" t="s">
        <v>33</v>
      </c>
      <c r="E615">
        <v>22574</v>
      </c>
      <c r="F615">
        <v>2</v>
      </c>
      <c r="G615">
        <v>1</v>
      </c>
      <c r="H615" s="1">
        <v>41575</v>
      </c>
      <c r="I615">
        <v>28</v>
      </c>
      <c r="J615">
        <v>25</v>
      </c>
      <c r="K615">
        <v>0</v>
      </c>
      <c r="L615">
        <v>8</v>
      </c>
      <c r="M615">
        <v>2</v>
      </c>
      <c r="N615">
        <v>0</v>
      </c>
      <c r="O615">
        <v>2</v>
      </c>
      <c r="P615">
        <v>2</v>
      </c>
      <c r="Q615">
        <v>2</v>
      </c>
      <c r="R615">
        <v>0</v>
      </c>
      <c r="S615">
        <v>3</v>
      </c>
      <c r="T615">
        <v>7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3</v>
      </c>
      <c r="AB615">
        <v>11</v>
      </c>
      <c r="AC615">
        <v>0</v>
      </c>
    </row>
    <row r="616" spans="1:29" x14ac:dyDescent="0.3">
      <c r="A616">
        <v>10299</v>
      </c>
      <c r="B616">
        <v>1969</v>
      </c>
      <c r="C616" t="s">
        <v>32</v>
      </c>
      <c r="D616" t="s">
        <v>30</v>
      </c>
      <c r="E616">
        <v>48240</v>
      </c>
      <c r="F616">
        <v>0</v>
      </c>
      <c r="G616">
        <v>0</v>
      </c>
      <c r="H616" s="1">
        <v>41222</v>
      </c>
      <c r="I616">
        <v>73</v>
      </c>
      <c r="J616">
        <v>389</v>
      </c>
      <c r="K616">
        <v>91</v>
      </c>
      <c r="L616">
        <v>248</v>
      </c>
      <c r="M616">
        <v>64</v>
      </c>
      <c r="N616">
        <v>49</v>
      </c>
      <c r="O616">
        <v>41</v>
      </c>
      <c r="P616">
        <v>3</v>
      </c>
      <c r="Q616">
        <v>6</v>
      </c>
      <c r="R616">
        <v>3</v>
      </c>
      <c r="S616">
        <v>13</v>
      </c>
      <c r="T616">
        <v>5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3</v>
      </c>
      <c r="AB616">
        <v>11</v>
      </c>
      <c r="AC616">
        <v>1</v>
      </c>
    </row>
    <row r="617" spans="1:29" x14ac:dyDescent="0.3">
      <c r="A617">
        <v>3083</v>
      </c>
      <c r="B617">
        <v>1974</v>
      </c>
      <c r="C617" t="s">
        <v>29</v>
      </c>
      <c r="D617" t="s">
        <v>33</v>
      </c>
      <c r="E617">
        <v>45837</v>
      </c>
      <c r="F617">
        <v>1</v>
      </c>
      <c r="G617">
        <v>1</v>
      </c>
      <c r="H617" s="1">
        <v>41481</v>
      </c>
      <c r="I617">
        <v>88</v>
      </c>
      <c r="J617">
        <v>215</v>
      </c>
      <c r="K617">
        <v>13</v>
      </c>
      <c r="L617">
        <v>87</v>
      </c>
      <c r="M617">
        <v>17</v>
      </c>
      <c r="N617">
        <v>17</v>
      </c>
      <c r="O617">
        <v>24</v>
      </c>
      <c r="P617">
        <v>5</v>
      </c>
      <c r="Q617">
        <v>6</v>
      </c>
      <c r="R617">
        <v>2</v>
      </c>
      <c r="S617">
        <v>5</v>
      </c>
      <c r="T617">
        <v>7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3</v>
      </c>
      <c r="AB617">
        <v>11</v>
      </c>
      <c r="AC617">
        <v>0</v>
      </c>
    </row>
    <row r="618" spans="1:29" x14ac:dyDescent="0.3">
      <c r="A618">
        <v>8953</v>
      </c>
      <c r="B618">
        <v>1965</v>
      </c>
      <c r="C618" t="s">
        <v>34</v>
      </c>
      <c r="D618" t="s">
        <v>30</v>
      </c>
      <c r="E618">
        <v>35791</v>
      </c>
      <c r="F618">
        <v>2</v>
      </c>
      <c r="G618">
        <v>1</v>
      </c>
      <c r="H618" s="1">
        <v>41400</v>
      </c>
      <c r="I618">
        <v>94</v>
      </c>
      <c r="J618">
        <v>27</v>
      </c>
      <c r="K618">
        <v>0</v>
      </c>
      <c r="L618">
        <v>5</v>
      </c>
      <c r="M618">
        <v>0</v>
      </c>
      <c r="N618">
        <v>0</v>
      </c>
      <c r="O618">
        <v>3</v>
      </c>
      <c r="P618">
        <v>2</v>
      </c>
      <c r="Q618">
        <v>1</v>
      </c>
      <c r="R618">
        <v>0</v>
      </c>
      <c r="S618">
        <v>3</v>
      </c>
      <c r="T618">
        <v>8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3</v>
      </c>
      <c r="AB618">
        <v>11</v>
      </c>
      <c r="AC618">
        <v>0</v>
      </c>
    </row>
    <row r="619" spans="1:29" x14ac:dyDescent="0.3">
      <c r="A619">
        <v>1503</v>
      </c>
      <c r="B619">
        <v>1976</v>
      </c>
      <c r="C619" t="s">
        <v>32</v>
      </c>
      <c r="D619" t="s">
        <v>31</v>
      </c>
      <c r="E619">
        <v>162397</v>
      </c>
      <c r="F619">
        <v>1</v>
      </c>
      <c r="G619">
        <v>1</v>
      </c>
      <c r="H619" s="1">
        <v>41428</v>
      </c>
      <c r="I619">
        <v>31</v>
      </c>
      <c r="J619">
        <v>85</v>
      </c>
      <c r="K619">
        <v>1</v>
      </c>
      <c r="L619">
        <v>16</v>
      </c>
      <c r="M619">
        <v>2</v>
      </c>
      <c r="N619">
        <v>1</v>
      </c>
      <c r="O619">
        <v>2</v>
      </c>
      <c r="P619">
        <v>0</v>
      </c>
      <c r="Q619">
        <v>0</v>
      </c>
      <c r="R619">
        <v>0</v>
      </c>
      <c r="S619">
        <v>1</v>
      </c>
      <c r="T619">
        <v>1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3</v>
      </c>
      <c r="AB619">
        <v>11</v>
      </c>
      <c r="AC619">
        <v>0</v>
      </c>
    </row>
    <row r="620" spans="1:29" x14ac:dyDescent="0.3">
      <c r="A620">
        <v>8650</v>
      </c>
      <c r="B620">
        <v>1978</v>
      </c>
      <c r="C620" t="s">
        <v>29</v>
      </c>
      <c r="D620" t="s">
        <v>38</v>
      </c>
      <c r="E620">
        <v>54162</v>
      </c>
      <c r="F620">
        <v>1</v>
      </c>
      <c r="G620">
        <v>1</v>
      </c>
      <c r="H620" s="1">
        <v>41351</v>
      </c>
      <c r="I620">
        <v>31</v>
      </c>
      <c r="J620">
        <v>5</v>
      </c>
      <c r="K620">
        <v>6</v>
      </c>
      <c r="L620">
        <v>10</v>
      </c>
      <c r="M620">
        <v>6</v>
      </c>
      <c r="N620">
        <v>5</v>
      </c>
      <c r="O620">
        <v>10</v>
      </c>
      <c r="P620">
        <v>1</v>
      </c>
      <c r="Q620">
        <v>1</v>
      </c>
      <c r="R620">
        <v>0</v>
      </c>
      <c r="S620">
        <v>3</v>
      </c>
      <c r="T620">
        <v>4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3</v>
      </c>
      <c r="AB620">
        <v>11</v>
      </c>
      <c r="AC620">
        <v>0</v>
      </c>
    </row>
    <row r="621" spans="1:29" x14ac:dyDescent="0.3">
      <c r="A621">
        <v>10862</v>
      </c>
      <c r="B621">
        <v>1960</v>
      </c>
      <c r="C621" t="s">
        <v>34</v>
      </c>
      <c r="D621" t="s">
        <v>33</v>
      </c>
      <c r="E621">
        <v>30522</v>
      </c>
      <c r="F621">
        <v>0</v>
      </c>
      <c r="G621">
        <v>1</v>
      </c>
      <c r="H621" s="1">
        <v>41138</v>
      </c>
      <c r="I621">
        <v>6</v>
      </c>
      <c r="J621">
        <v>179</v>
      </c>
      <c r="K621">
        <v>8</v>
      </c>
      <c r="L621">
        <v>83</v>
      </c>
      <c r="M621">
        <v>19</v>
      </c>
      <c r="N621">
        <v>11</v>
      </c>
      <c r="O621">
        <v>26</v>
      </c>
      <c r="P621">
        <v>5</v>
      </c>
      <c r="Q621">
        <v>1</v>
      </c>
      <c r="R621">
        <v>2</v>
      </c>
      <c r="S621">
        <v>9</v>
      </c>
      <c r="T621">
        <v>2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3</v>
      </c>
      <c r="AB621">
        <v>11</v>
      </c>
      <c r="AC621">
        <v>0</v>
      </c>
    </row>
    <row r="622" spans="1:29" x14ac:dyDescent="0.3">
      <c r="A622">
        <v>2782</v>
      </c>
      <c r="B622">
        <v>1961</v>
      </c>
      <c r="C622" t="s">
        <v>32</v>
      </c>
      <c r="D622" t="s">
        <v>33</v>
      </c>
      <c r="E622">
        <v>54456</v>
      </c>
      <c r="F622">
        <v>0</v>
      </c>
      <c r="G622">
        <v>1</v>
      </c>
      <c r="H622" s="1">
        <v>41466</v>
      </c>
      <c r="I622">
        <v>23</v>
      </c>
      <c r="J622">
        <v>352</v>
      </c>
      <c r="K622">
        <v>0</v>
      </c>
      <c r="L622">
        <v>27</v>
      </c>
      <c r="M622">
        <v>10</v>
      </c>
      <c r="N622">
        <v>0</v>
      </c>
      <c r="O622">
        <v>15</v>
      </c>
      <c r="P622">
        <v>3</v>
      </c>
      <c r="Q622">
        <v>6</v>
      </c>
      <c r="R622">
        <v>1</v>
      </c>
      <c r="S622">
        <v>7</v>
      </c>
      <c r="T622">
        <v>6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3</v>
      </c>
      <c r="AB622">
        <v>11</v>
      </c>
      <c r="AC622">
        <v>0</v>
      </c>
    </row>
    <row r="623" spans="1:29" x14ac:dyDescent="0.3">
      <c r="A623">
        <v>6941</v>
      </c>
      <c r="B623">
        <v>1971</v>
      </c>
      <c r="C623" t="s">
        <v>29</v>
      </c>
      <c r="D623" t="s">
        <v>30</v>
      </c>
      <c r="E623">
        <v>31632</v>
      </c>
      <c r="F623">
        <v>0</v>
      </c>
      <c r="G623">
        <v>0</v>
      </c>
      <c r="H623" s="1">
        <v>41469</v>
      </c>
      <c r="I623">
        <v>92</v>
      </c>
      <c r="J623">
        <v>17</v>
      </c>
      <c r="K623">
        <v>8</v>
      </c>
      <c r="L623">
        <v>12</v>
      </c>
      <c r="M623">
        <v>11</v>
      </c>
      <c r="N623">
        <v>15</v>
      </c>
      <c r="O623">
        <v>32</v>
      </c>
      <c r="P623">
        <v>1</v>
      </c>
      <c r="Q623">
        <v>2</v>
      </c>
      <c r="R623">
        <v>1</v>
      </c>
      <c r="S623">
        <v>2</v>
      </c>
      <c r="T623">
        <v>7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3</v>
      </c>
      <c r="AB623">
        <v>11</v>
      </c>
      <c r="AC623">
        <v>0</v>
      </c>
    </row>
    <row r="624" spans="1:29" x14ac:dyDescent="0.3">
      <c r="A624">
        <v>10972</v>
      </c>
      <c r="B624">
        <v>1949</v>
      </c>
      <c r="C624" t="s">
        <v>29</v>
      </c>
      <c r="D624" t="s">
        <v>38</v>
      </c>
      <c r="E624">
        <v>72298</v>
      </c>
      <c r="F624">
        <v>0</v>
      </c>
      <c r="G624">
        <v>0</v>
      </c>
      <c r="H624" s="1">
        <v>41708</v>
      </c>
      <c r="I624">
        <v>52</v>
      </c>
      <c r="J624">
        <v>625</v>
      </c>
      <c r="K624">
        <v>35</v>
      </c>
      <c r="L624">
        <v>169</v>
      </c>
      <c r="M624">
        <v>58</v>
      </c>
      <c r="N624">
        <v>17</v>
      </c>
      <c r="O624">
        <v>35</v>
      </c>
      <c r="P624">
        <v>1</v>
      </c>
      <c r="Q624">
        <v>4</v>
      </c>
      <c r="R624">
        <v>3</v>
      </c>
      <c r="S624">
        <v>6</v>
      </c>
      <c r="T624">
        <v>1</v>
      </c>
      <c r="U624">
        <v>0</v>
      </c>
      <c r="V624">
        <v>1</v>
      </c>
      <c r="W624">
        <v>1</v>
      </c>
      <c r="X624">
        <v>0</v>
      </c>
      <c r="Y624">
        <v>0</v>
      </c>
      <c r="Z624">
        <v>0</v>
      </c>
      <c r="AA624">
        <v>3</v>
      </c>
      <c r="AB624">
        <v>11</v>
      </c>
      <c r="AC624">
        <v>0</v>
      </c>
    </row>
    <row r="625" spans="1:29" x14ac:dyDescent="0.3">
      <c r="A625">
        <v>10708</v>
      </c>
      <c r="B625">
        <v>1978</v>
      </c>
      <c r="C625" t="s">
        <v>37</v>
      </c>
      <c r="D625" t="s">
        <v>30</v>
      </c>
      <c r="E625">
        <v>36975</v>
      </c>
      <c r="F625">
        <v>1</v>
      </c>
      <c r="G625">
        <v>0</v>
      </c>
      <c r="H625" s="1">
        <v>41636</v>
      </c>
      <c r="I625">
        <v>50</v>
      </c>
      <c r="J625">
        <v>10</v>
      </c>
      <c r="K625">
        <v>6</v>
      </c>
      <c r="L625">
        <v>11</v>
      </c>
      <c r="M625">
        <v>0</v>
      </c>
      <c r="N625">
        <v>4</v>
      </c>
      <c r="O625">
        <v>2</v>
      </c>
      <c r="P625">
        <v>1</v>
      </c>
      <c r="Q625">
        <v>1</v>
      </c>
      <c r="R625">
        <v>0</v>
      </c>
      <c r="S625">
        <v>3</v>
      </c>
      <c r="T625">
        <v>7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3</v>
      </c>
      <c r="AB625">
        <v>11</v>
      </c>
      <c r="AC625">
        <v>0</v>
      </c>
    </row>
    <row r="626" spans="1:29" x14ac:dyDescent="0.3">
      <c r="A626">
        <v>6583</v>
      </c>
      <c r="B626">
        <v>1955</v>
      </c>
      <c r="C626" t="s">
        <v>37</v>
      </c>
      <c r="D626" t="s">
        <v>33</v>
      </c>
      <c r="E626">
        <v>72635</v>
      </c>
      <c r="F626">
        <v>0</v>
      </c>
      <c r="G626">
        <v>0</v>
      </c>
      <c r="H626" s="1">
        <v>41428</v>
      </c>
      <c r="I626">
        <v>54</v>
      </c>
      <c r="J626">
        <v>390</v>
      </c>
      <c r="K626">
        <v>22</v>
      </c>
      <c r="L626">
        <v>323</v>
      </c>
      <c r="M626">
        <v>104</v>
      </c>
      <c r="N626">
        <v>35</v>
      </c>
      <c r="O626">
        <v>107</v>
      </c>
      <c r="P626">
        <v>1</v>
      </c>
      <c r="Q626">
        <v>6</v>
      </c>
      <c r="R626">
        <v>8</v>
      </c>
      <c r="S626">
        <v>6</v>
      </c>
      <c r="T626">
        <v>3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>
        <v>3</v>
      </c>
      <c r="AB626">
        <v>11</v>
      </c>
      <c r="AC626">
        <v>0</v>
      </c>
    </row>
    <row r="627" spans="1:29" x14ac:dyDescent="0.3">
      <c r="A627">
        <v>3641</v>
      </c>
      <c r="B627">
        <v>1976</v>
      </c>
      <c r="C627" t="s">
        <v>29</v>
      </c>
      <c r="D627" t="s">
        <v>33</v>
      </c>
      <c r="E627">
        <v>13624</v>
      </c>
      <c r="F627">
        <v>1</v>
      </c>
      <c r="G627">
        <v>0</v>
      </c>
      <c r="H627" s="1">
        <v>41294</v>
      </c>
      <c r="I627">
        <v>93</v>
      </c>
      <c r="J627">
        <v>10</v>
      </c>
      <c r="K627">
        <v>2</v>
      </c>
      <c r="L627">
        <v>15</v>
      </c>
      <c r="M627">
        <v>2</v>
      </c>
      <c r="N627">
        <v>1</v>
      </c>
      <c r="O627">
        <v>6</v>
      </c>
      <c r="P627">
        <v>2</v>
      </c>
      <c r="Q627">
        <v>2</v>
      </c>
      <c r="R627">
        <v>0</v>
      </c>
      <c r="S627">
        <v>3</v>
      </c>
      <c r="T627">
        <v>6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3</v>
      </c>
      <c r="AB627">
        <v>11</v>
      </c>
      <c r="AC627">
        <v>0</v>
      </c>
    </row>
    <row r="628" spans="1:29" x14ac:dyDescent="0.3">
      <c r="A628">
        <v>10156</v>
      </c>
      <c r="B628">
        <v>1975</v>
      </c>
      <c r="C628" t="s">
        <v>29</v>
      </c>
      <c r="D628" t="s">
        <v>30</v>
      </c>
      <c r="E628">
        <v>84196</v>
      </c>
      <c r="F628">
        <v>0</v>
      </c>
      <c r="G628">
        <v>1</v>
      </c>
      <c r="H628" s="1">
        <v>41428</v>
      </c>
      <c r="I628">
        <v>56</v>
      </c>
      <c r="J628">
        <v>215</v>
      </c>
      <c r="K628">
        <v>63</v>
      </c>
      <c r="L628">
        <v>507</v>
      </c>
      <c r="M628">
        <v>231</v>
      </c>
      <c r="N628">
        <v>31</v>
      </c>
      <c r="O628">
        <v>190</v>
      </c>
      <c r="P628">
        <v>1</v>
      </c>
      <c r="Q628">
        <v>8</v>
      </c>
      <c r="R628">
        <v>4</v>
      </c>
      <c r="S628">
        <v>7</v>
      </c>
      <c r="T628">
        <v>3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3</v>
      </c>
      <c r="AB628">
        <v>11</v>
      </c>
      <c r="AC628">
        <v>0</v>
      </c>
    </row>
    <row r="629" spans="1:29" x14ac:dyDescent="0.3">
      <c r="A629">
        <v>4299</v>
      </c>
      <c r="B629">
        <v>1960</v>
      </c>
      <c r="C629" t="s">
        <v>29</v>
      </c>
      <c r="D629" t="s">
        <v>31</v>
      </c>
      <c r="E629">
        <v>70971</v>
      </c>
      <c r="F629">
        <v>0</v>
      </c>
      <c r="G629">
        <v>1</v>
      </c>
      <c r="H629" s="1">
        <v>41173</v>
      </c>
      <c r="I629">
        <v>28</v>
      </c>
      <c r="J629">
        <v>1001</v>
      </c>
      <c r="K629">
        <v>17</v>
      </c>
      <c r="L629">
        <v>572</v>
      </c>
      <c r="M629">
        <v>93</v>
      </c>
      <c r="N629">
        <v>125</v>
      </c>
      <c r="O629">
        <v>17</v>
      </c>
      <c r="P629">
        <v>7</v>
      </c>
      <c r="Q629">
        <v>11</v>
      </c>
      <c r="R629">
        <v>11</v>
      </c>
      <c r="S629">
        <v>5</v>
      </c>
      <c r="T629">
        <v>7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3</v>
      </c>
      <c r="AB629">
        <v>11</v>
      </c>
      <c r="AC629">
        <v>1</v>
      </c>
    </row>
    <row r="630" spans="1:29" x14ac:dyDescent="0.3">
      <c r="A630">
        <v>3469</v>
      </c>
      <c r="B630">
        <v>1977</v>
      </c>
      <c r="C630" t="s">
        <v>32</v>
      </c>
      <c r="D630" t="s">
        <v>35</v>
      </c>
      <c r="E630">
        <v>34487</v>
      </c>
      <c r="F630">
        <v>1</v>
      </c>
      <c r="G630">
        <v>1</v>
      </c>
      <c r="H630" s="1">
        <v>41158</v>
      </c>
      <c r="I630">
        <v>94</v>
      </c>
      <c r="J630">
        <v>19</v>
      </c>
      <c r="K630">
        <v>18</v>
      </c>
      <c r="L630">
        <v>33</v>
      </c>
      <c r="M630">
        <v>24</v>
      </c>
      <c r="N630">
        <v>1</v>
      </c>
      <c r="O630">
        <v>8</v>
      </c>
      <c r="P630">
        <v>3</v>
      </c>
      <c r="Q630">
        <v>3</v>
      </c>
      <c r="R630">
        <v>0</v>
      </c>
      <c r="S630">
        <v>3</v>
      </c>
      <c r="T630">
        <v>9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3</v>
      </c>
      <c r="AB630">
        <v>11</v>
      </c>
      <c r="AC630">
        <v>0</v>
      </c>
    </row>
    <row r="631" spans="1:29" x14ac:dyDescent="0.3">
      <c r="A631">
        <v>5063</v>
      </c>
      <c r="B631">
        <v>1977</v>
      </c>
      <c r="C631" t="s">
        <v>29</v>
      </c>
      <c r="D631" t="s">
        <v>30</v>
      </c>
      <c r="E631">
        <v>28769</v>
      </c>
      <c r="F631">
        <v>1</v>
      </c>
      <c r="G631">
        <v>0</v>
      </c>
      <c r="H631" s="1">
        <v>41261</v>
      </c>
      <c r="I631">
        <v>76</v>
      </c>
      <c r="J631">
        <v>41</v>
      </c>
      <c r="K631">
        <v>5</v>
      </c>
      <c r="L631">
        <v>129</v>
      </c>
      <c r="M631">
        <v>10</v>
      </c>
      <c r="N631">
        <v>3</v>
      </c>
      <c r="O631">
        <v>3</v>
      </c>
      <c r="P631">
        <v>3</v>
      </c>
      <c r="Q631">
        <v>4</v>
      </c>
      <c r="R631">
        <v>1</v>
      </c>
      <c r="S631">
        <v>4</v>
      </c>
      <c r="T631">
        <v>9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3</v>
      </c>
      <c r="AB631">
        <v>11</v>
      </c>
      <c r="AC631">
        <v>0</v>
      </c>
    </row>
    <row r="632" spans="1:29" x14ac:dyDescent="0.3">
      <c r="A632">
        <v>10727</v>
      </c>
      <c r="B632">
        <v>1970</v>
      </c>
      <c r="C632" t="s">
        <v>32</v>
      </c>
      <c r="D632" t="s">
        <v>33</v>
      </c>
      <c r="E632">
        <v>69084</v>
      </c>
      <c r="F632">
        <v>1</v>
      </c>
      <c r="G632">
        <v>0</v>
      </c>
      <c r="H632" s="1">
        <v>41597</v>
      </c>
      <c r="I632">
        <v>43</v>
      </c>
      <c r="J632">
        <v>1181</v>
      </c>
      <c r="K632">
        <v>107</v>
      </c>
      <c r="L632">
        <v>199</v>
      </c>
      <c r="M632">
        <v>39</v>
      </c>
      <c r="N632">
        <v>30</v>
      </c>
      <c r="O632">
        <v>30</v>
      </c>
      <c r="P632">
        <v>2</v>
      </c>
      <c r="Q632">
        <v>7</v>
      </c>
      <c r="R632">
        <v>3</v>
      </c>
      <c r="S632">
        <v>13</v>
      </c>
      <c r="T632">
        <v>8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3</v>
      </c>
      <c r="AB632">
        <v>11</v>
      </c>
      <c r="AC632">
        <v>0</v>
      </c>
    </row>
    <row r="633" spans="1:29" x14ac:dyDescent="0.3">
      <c r="A633">
        <v>9624</v>
      </c>
      <c r="B633">
        <v>1958</v>
      </c>
      <c r="C633" t="s">
        <v>32</v>
      </c>
      <c r="D633" t="s">
        <v>31</v>
      </c>
      <c r="E633">
        <v>65488</v>
      </c>
      <c r="F633">
        <v>0</v>
      </c>
      <c r="G633">
        <v>0</v>
      </c>
      <c r="H633" s="1">
        <v>41803</v>
      </c>
      <c r="I633">
        <v>46</v>
      </c>
      <c r="J633">
        <v>603</v>
      </c>
      <c r="K633">
        <v>45</v>
      </c>
      <c r="L633">
        <v>207</v>
      </c>
      <c r="M633">
        <v>36</v>
      </c>
      <c r="N633">
        <v>18</v>
      </c>
      <c r="O633">
        <v>54</v>
      </c>
      <c r="P633">
        <v>1</v>
      </c>
      <c r="Q633">
        <v>3</v>
      </c>
      <c r="R633">
        <v>4</v>
      </c>
      <c r="S633">
        <v>6</v>
      </c>
      <c r="T633">
        <v>1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3</v>
      </c>
      <c r="AB633">
        <v>11</v>
      </c>
      <c r="AC633">
        <v>0</v>
      </c>
    </row>
    <row r="634" spans="1:29" x14ac:dyDescent="0.3">
      <c r="A634">
        <v>5156</v>
      </c>
      <c r="B634">
        <v>1970</v>
      </c>
      <c r="C634" t="s">
        <v>37</v>
      </c>
      <c r="D634" t="s">
        <v>33</v>
      </c>
      <c r="E634">
        <v>62466</v>
      </c>
      <c r="F634">
        <v>0</v>
      </c>
      <c r="G634">
        <v>1</v>
      </c>
      <c r="H634" s="1">
        <v>41654</v>
      </c>
      <c r="I634">
        <v>13</v>
      </c>
      <c r="J634">
        <v>129</v>
      </c>
      <c r="K634">
        <v>129</v>
      </c>
      <c r="L634">
        <v>259</v>
      </c>
      <c r="M634">
        <v>168</v>
      </c>
      <c r="N634">
        <v>121</v>
      </c>
      <c r="O634">
        <v>83</v>
      </c>
      <c r="P634">
        <v>5</v>
      </c>
      <c r="Q634">
        <v>6</v>
      </c>
      <c r="R634">
        <v>3</v>
      </c>
      <c r="S634">
        <v>12</v>
      </c>
      <c r="T634">
        <v>4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3</v>
      </c>
      <c r="AB634">
        <v>11</v>
      </c>
      <c r="AC634">
        <v>0</v>
      </c>
    </row>
    <row r="635" spans="1:29" x14ac:dyDescent="0.3">
      <c r="A635">
        <v>4376</v>
      </c>
      <c r="B635">
        <v>1960</v>
      </c>
      <c r="C635" t="s">
        <v>37</v>
      </c>
      <c r="D635" t="s">
        <v>30</v>
      </c>
      <c r="E635">
        <v>32218</v>
      </c>
      <c r="F635">
        <v>0</v>
      </c>
      <c r="G635">
        <v>0</v>
      </c>
      <c r="H635" s="1">
        <v>41685</v>
      </c>
      <c r="I635">
        <v>27</v>
      </c>
      <c r="J635">
        <v>10</v>
      </c>
      <c r="K635">
        <v>24</v>
      </c>
      <c r="L635">
        <v>15</v>
      </c>
      <c r="M635">
        <v>13</v>
      </c>
      <c r="N635">
        <v>1</v>
      </c>
      <c r="O635">
        <v>30</v>
      </c>
      <c r="P635">
        <v>1</v>
      </c>
      <c r="Q635">
        <v>2</v>
      </c>
      <c r="R635">
        <v>1</v>
      </c>
      <c r="S635">
        <v>3</v>
      </c>
      <c r="T635">
        <v>7</v>
      </c>
      <c r="U635">
        <v>1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3</v>
      </c>
      <c r="AB635">
        <v>11</v>
      </c>
      <c r="AC635">
        <v>1</v>
      </c>
    </row>
    <row r="636" spans="1:29" x14ac:dyDescent="0.3">
      <c r="A636">
        <v>8923</v>
      </c>
      <c r="B636">
        <v>1973</v>
      </c>
      <c r="C636" t="s">
        <v>29</v>
      </c>
      <c r="D636" t="s">
        <v>30</v>
      </c>
      <c r="E636">
        <v>83917</v>
      </c>
      <c r="F636">
        <v>0</v>
      </c>
      <c r="G636">
        <v>0</v>
      </c>
      <c r="H636" s="1">
        <v>41382</v>
      </c>
      <c r="I636">
        <v>12</v>
      </c>
      <c r="J636">
        <v>514</v>
      </c>
      <c r="K636">
        <v>22</v>
      </c>
      <c r="L636">
        <v>732</v>
      </c>
      <c r="M636">
        <v>42</v>
      </c>
      <c r="N636">
        <v>198</v>
      </c>
      <c r="O636">
        <v>79</v>
      </c>
      <c r="P636">
        <v>1</v>
      </c>
      <c r="Q636">
        <v>6</v>
      </c>
      <c r="R636">
        <v>7</v>
      </c>
      <c r="S636">
        <v>7</v>
      </c>
      <c r="T636">
        <v>3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3</v>
      </c>
      <c r="AB636">
        <v>11</v>
      </c>
      <c r="AC636">
        <v>1</v>
      </c>
    </row>
    <row r="637" spans="1:29" x14ac:dyDescent="0.3">
      <c r="A637">
        <v>8461</v>
      </c>
      <c r="B637">
        <v>1962</v>
      </c>
      <c r="C637" t="s">
        <v>29</v>
      </c>
      <c r="D637" t="s">
        <v>35</v>
      </c>
      <c r="E637">
        <v>46102</v>
      </c>
      <c r="F637">
        <v>2</v>
      </c>
      <c r="G637">
        <v>1</v>
      </c>
      <c r="H637" s="1">
        <v>41708</v>
      </c>
      <c r="I637">
        <v>3</v>
      </c>
      <c r="J637">
        <v>14</v>
      </c>
      <c r="K637">
        <v>0</v>
      </c>
      <c r="L637">
        <v>1</v>
      </c>
      <c r="M637">
        <v>0</v>
      </c>
      <c r="N637">
        <v>0</v>
      </c>
      <c r="O637">
        <v>1</v>
      </c>
      <c r="P637">
        <v>1</v>
      </c>
      <c r="Q637">
        <v>1</v>
      </c>
      <c r="R637">
        <v>0</v>
      </c>
      <c r="S637">
        <v>2</v>
      </c>
      <c r="T637">
        <v>7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3</v>
      </c>
      <c r="AB637">
        <v>11</v>
      </c>
      <c r="AC637">
        <v>0</v>
      </c>
    </row>
    <row r="638" spans="1:29" x14ac:dyDescent="0.3">
      <c r="A638">
        <v>6945</v>
      </c>
      <c r="B638">
        <v>1952</v>
      </c>
      <c r="C638" t="s">
        <v>29</v>
      </c>
      <c r="D638" t="s">
        <v>30</v>
      </c>
      <c r="E638">
        <v>84574</v>
      </c>
      <c r="F638">
        <v>0</v>
      </c>
      <c r="G638">
        <v>0</v>
      </c>
      <c r="H638" s="1">
        <v>41429</v>
      </c>
      <c r="I638">
        <v>72</v>
      </c>
      <c r="J638">
        <v>387</v>
      </c>
      <c r="K638">
        <v>20</v>
      </c>
      <c r="L638">
        <v>713</v>
      </c>
      <c r="M638">
        <v>38</v>
      </c>
      <c r="N638">
        <v>54</v>
      </c>
      <c r="O638">
        <v>163</v>
      </c>
      <c r="P638">
        <v>1</v>
      </c>
      <c r="Q638">
        <v>9</v>
      </c>
      <c r="R638">
        <v>11</v>
      </c>
      <c r="S638">
        <v>11</v>
      </c>
      <c r="T638">
        <v>5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3</v>
      </c>
      <c r="AB638">
        <v>11</v>
      </c>
      <c r="AC638">
        <v>0</v>
      </c>
    </row>
    <row r="639" spans="1:29" x14ac:dyDescent="0.3">
      <c r="A639">
        <v>944</v>
      </c>
      <c r="B639">
        <v>1962</v>
      </c>
      <c r="C639" t="s">
        <v>29</v>
      </c>
      <c r="D639" t="s">
        <v>33</v>
      </c>
      <c r="E639">
        <v>56181</v>
      </c>
      <c r="F639">
        <v>0</v>
      </c>
      <c r="G639">
        <v>1</v>
      </c>
      <c r="H639" s="1">
        <v>41282</v>
      </c>
      <c r="I639">
        <v>6</v>
      </c>
      <c r="J639">
        <v>121</v>
      </c>
      <c r="K639">
        <v>103</v>
      </c>
      <c r="L639">
        <v>69</v>
      </c>
      <c r="M639">
        <v>8</v>
      </c>
      <c r="N639">
        <v>44</v>
      </c>
      <c r="O639">
        <v>48</v>
      </c>
      <c r="P639">
        <v>1</v>
      </c>
      <c r="Q639">
        <v>4</v>
      </c>
      <c r="R639">
        <v>2</v>
      </c>
      <c r="S639">
        <v>7</v>
      </c>
      <c r="T639">
        <v>4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3</v>
      </c>
      <c r="AB639">
        <v>11</v>
      </c>
      <c r="AC639">
        <v>0</v>
      </c>
    </row>
    <row r="640" spans="1:29" x14ac:dyDescent="0.3">
      <c r="A640">
        <v>1907</v>
      </c>
      <c r="B640">
        <v>1950</v>
      </c>
      <c r="C640" t="s">
        <v>34</v>
      </c>
      <c r="D640" t="s">
        <v>35</v>
      </c>
      <c r="E640">
        <v>63120</v>
      </c>
      <c r="F640">
        <v>0</v>
      </c>
      <c r="G640">
        <v>1</v>
      </c>
      <c r="H640" s="1">
        <v>41180</v>
      </c>
      <c r="I640">
        <v>53</v>
      </c>
      <c r="J640">
        <v>965</v>
      </c>
      <c r="K640">
        <v>69</v>
      </c>
      <c r="L640">
        <v>279</v>
      </c>
      <c r="M640">
        <v>54</v>
      </c>
      <c r="N640">
        <v>41</v>
      </c>
      <c r="O640">
        <v>69</v>
      </c>
      <c r="P640">
        <v>5</v>
      </c>
      <c r="Q640">
        <v>8</v>
      </c>
      <c r="R640">
        <v>4</v>
      </c>
      <c r="S640">
        <v>9</v>
      </c>
      <c r="T640">
        <v>7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3</v>
      </c>
      <c r="AB640">
        <v>11</v>
      </c>
      <c r="AC640">
        <v>1</v>
      </c>
    </row>
    <row r="641" spans="1:29" x14ac:dyDescent="0.3">
      <c r="A641">
        <v>701</v>
      </c>
      <c r="B641">
        <v>1971</v>
      </c>
      <c r="C641" t="s">
        <v>29</v>
      </c>
      <c r="D641" t="s">
        <v>33</v>
      </c>
      <c r="E641">
        <v>73691</v>
      </c>
      <c r="F641">
        <v>0</v>
      </c>
      <c r="G641">
        <v>1</v>
      </c>
      <c r="H641" s="1">
        <v>41584</v>
      </c>
      <c r="I641">
        <v>58</v>
      </c>
      <c r="J641">
        <v>707</v>
      </c>
      <c r="K641">
        <v>21</v>
      </c>
      <c r="L641">
        <v>250</v>
      </c>
      <c r="M641">
        <v>85</v>
      </c>
      <c r="N641">
        <v>43</v>
      </c>
      <c r="O641">
        <v>73</v>
      </c>
      <c r="P641">
        <v>2</v>
      </c>
      <c r="Q641">
        <v>6</v>
      </c>
      <c r="R641">
        <v>2</v>
      </c>
      <c r="S641">
        <v>8</v>
      </c>
      <c r="T641">
        <v>2</v>
      </c>
      <c r="U641">
        <v>1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3</v>
      </c>
      <c r="AB641">
        <v>11</v>
      </c>
      <c r="AC641">
        <v>0</v>
      </c>
    </row>
    <row r="642" spans="1:29" x14ac:dyDescent="0.3">
      <c r="A642">
        <v>3856</v>
      </c>
      <c r="B642">
        <v>1960</v>
      </c>
      <c r="C642" t="s">
        <v>29</v>
      </c>
      <c r="D642" t="s">
        <v>31</v>
      </c>
      <c r="E642">
        <v>63381</v>
      </c>
      <c r="F642">
        <v>0</v>
      </c>
      <c r="G642">
        <v>1</v>
      </c>
      <c r="H642" s="1">
        <v>41187</v>
      </c>
      <c r="I642">
        <v>78</v>
      </c>
      <c r="J642">
        <v>571</v>
      </c>
      <c r="K642">
        <v>50</v>
      </c>
      <c r="L642">
        <v>142</v>
      </c>
      <c r="M642">
        <v>33</v>
      </c>
      <c r="N642">
        <v>50</v>
      </c>
      <c r="O642">
        <v>159</v>
      </c>
      <c r="P642">
        <v>4</v>
      </c>
      <c r="Q642">
        <v>4</v>
      </c>
      <c r="R642">
        <v>5</v>
      </c>
      <c r="S642">
        <v>13</v>
      </c>
      <c r="T642">
        <v>2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3</v>
      </c>
      <c r="AB642">
        <v>11</v>
      </c>
      <c r="AC642">
        <v>0</v>
      </c>
    </row>
    <row r="643" spans="1:29" x14ac:dyDescent="0.3">
      <c r="A643">
        <v>4149</v>
      </c>
      <c r="B643">
        <v>1948</v>
      </c>
      <c r="C643" t="s">
        <v>32</v>
      </c>
      <c r="D643" t="s">
        <v>31</v>
      </c>
      <c r="E643">
        <v>76140</v>
      </c>
      <c r="F643">
        <v>0</v>
      </c>
      <c r="G643">
        <v>0</v>
      </c>
      <c r="H643" s="1">
        <v>41772</v>
      </c>
      <c r="I643">
        <v>57</v>
      </c>
      <c r="J643">
        <v>586</v>
      </c>
      <c r="K643">
        <v>66</v>
      </c>
      <c r="L643">
        <v>653</v>
      </c>
      <c r="M643">
        <v>17</v>
      </c>
      <c r="N643">
        <v>0</v>
      </c>
      <c r="O643">
        <v>26</v>
      </c>
      <c r="P643">
        <v>1</v>
      </c>
      <c r="Q643">
        <v>5</v>
      </c>
      <c r="R643">
        <v>9</v>
      </c>
      <c r="S643">
        <v>6</v>
      </c>
      <c r="T643">
        <v>2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3</v>
      </c>
      <c r="AB643">
        <v>11</v>
      </c>
      <c r="AC643">
        <v>0</v>
      </c>
    </row>
    <row r="644" spans="1:29" x14ac:dyDescent="0.3">
      <c r="A644">
        <v>2131</v>
      </c>
      <c r="B644">
        <v>1959</v>
      </c>
      <c r="C644" t="s">
        <v>32</v>
      </c>
      <c r="D644" t="s">
        <v>35</v>
      </c>
      <c r="E644">
        <v>62859</v>
      </c>
      <c r="F644">
        <v>0</v>
      </c>
      <c r="G644">
        <v>1</v>
      </c>
      <c r="H644" s="1">
        <v>41273</v>
      </c>
      <c r="I644">
        <v>37</v>
      </c>
      <c r="J644">
        <v>1063</v>
      </c>
      <c r="K644">
        <v>89</v>
      </c>
      <c r="L644">
        <v>102</v>
      </c>
      <c r="M644">
        <v>16</v>
      </c>
      <c r="N644">
        <v>12</v>
      </c>
      <c r="O644">
        <v>25</v>
      </c>
      <c r="P644">
        <v>4</v>
      </c>
      <c r="Q644">
        <v>9</v>
      </c>
      <c r="R644">
        <v>4</v>
      </c>
      <c r="S644">
        <v>6</v>
      </c>
      <c r="T644">
        <v>6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3</v>
      </c>
      <c r="AB644">
        <v>11</v>
      </c>
      <c r="AC644">
        <v>0</v>
      </c>
    </row>
    <row r="645" spans="1:29" x14ac:dyDescent="0.3">
      <c r="A645">
        <v>2942</v>
      </c>
      <c r="B645">
        <v>1964</v>
      </c>
      <c r="C645" t="s">
        <v>29</v>
      </c>
      <c r="D645" t="s">
        <v>30</v>
      </c>
      <c r="E645">
        <v>45906</v>
      </c>
      <c r="F645">
        <v>0</v>
      </c>
      <c r="G645">
        <v>1</v>
      </c>
      <c r="H645" s="1">
        <v>41401</v>
      </c>
      <c r="I645">
        <v>20</v>
      </c>
      <c r="J645">
        <v>305</v>
      </c>
      <c r="K645">
        <v>3</v>
      </c>
      <c r="L645">
        <v>27</v>
      </c>
      <c r="M645">
        <v>4</v>
      </c>
      <c r="N645">
        <v>3</v>
      </c>
      <c r="O645">
        <v>144</v>
      </c>
      <c r="P645">
        <v>2</v>
      </c>
      <c r="Q645">
        <v>5</v>
      </c>
      <c r="R645">
        <v>4</v>
      </c>
      <c r="S645">
        <v>4</v>
      </c>
      <c r="T645">
        <v>5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3</v>
      </c>
      <c r="AB645">
        <v>11</v>
      </c>
      <c r="AC645">
        <v>0</v>
      </c>
    </row>
    <row r="646" spans="1:29" x14ac:dyDescent="0.3">
      <c r="A646">
        <v>1173</v>
      </c>
      <c r="B646">
        <v>1947</v>
      </c>
      <c r="C646" t="s">
        <v>34</v>
      </c>
      <c r="D646" t="s">
        <v>31</v>
      </c>
      <c r="E646">
        <v>77632</v>
      </c>
      <c r="F646">
        <v>0</v>
      </c>
      <c r="G646">
        <v>0</v>
      </c>
      <c r="H646" s="1">
        <v>41343</v>
      </c>
      <c r="I646">
        <v>73</v>
      </c>
      <c r="J646">
        <v>1200</v>
      </c>
      <c r="K646">
        <v>105</v>
      </c>
      <c r="L646">
        <v>758</v>
      </c>
      <c r="M646">
        <v>0</v>
      </c>
      <c r="N646">
        <v>42</v>
      </c>
      <c r="O646">
        <v>147</v>
      </c>
      <c r="P646">
        <v>1</v>
      </c>
      <c r="Q646">
        <v>4</v>
      </c>
      <c r="R646">
        <v>2</v>
      </c>
      <c r="S646">
        <v>6</v>
      </c>
      <c r="T646">
        <v>2</v>
      </c>
      <c r="U646">
        <v>0</v>
      </c>
      <c r="V646">
        <v>1</v>
      </c>
      <c r="W646">
        <v>1</v>
      </c>
      <c r="X646">
        <v>0</v>
      </c>
      <c r="Y646">
        <v>0</v>
      </c>
      <c r="Z646">
        <v>0</v>
      </c>
      <c r="AA646">
        <v>3</v>
      </c>
      <c r="AB646">
        <v>11</v>
      </c>
      <c r="AC646">
        <v>1</v>
      </c>
    </row>
    <row r="647" spans="1:29" x14ac:dyDescent="0.3">
      <c r="A647">
        <v>4381</v>
      </c>
      <c r="B647">
        <v>1971</v>
      </c>
      <c r="C647" t="s">
        <v>32</v>
      </c>
      <c r="D647" t="s">
        <v>33</v>
      </c>
      <c r="E647">
        <v>46463</v>
      </c>
      <c r="F647">
        <v>1</v>
      </c>
      <c r="G647">
        <v>1</v>
      </c>
      <c r="H647" s="1">
        <v>41504</v>
      </c>
      <c r="I647">
        <v>56</v>
      </c>
      <c r="J647">
        <v>163</v>
      </c>
      <c r="K647">
        <v>2</v>
      </c>
      <c r="L647">
        <v>40</v>
      </c>
      <c r="M647">
        <v>8</v>
      </c>
      <c r="N647">
        <v>11</v>
      </c>
      <c r="O647">
        <v>11</v>
      </c>
      <c r="P647">
        <v>7</v>
      </c>
      <c r="Q647">
        <v>3</v>
      </c>
      <c r="R647">
        <v>1</v>
      </c>
      <c r="S647">
        <v>6</v>
      </c>
      <c r="T647">
        <v>6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3</v>
      </c>
      <c r="AB647">
        <v>11</v>
      </c>
      <c r="AC647">
        <v>0</v>
      </c>
    </row>
    <row r="648" spans="1:29" x14ac:dyDescent="0.3">
      <c r="A648">
        <v>4611</v>
      </c>
      <c r="B648">
        <v>1970</v>
      </c>
      <c r="C648" t="s">
        <v>29</v>
      </c>
      <c r="D648" t="s">
        <v>31</v>
      </c>
      <c r="E648">
        <v>105471</v>
      </c>
      <c r="F648">
        <v>0</v>
      </c>
      <c r="G648">
        <v>0</v>
      </c>
      <c r="H648" s="1">
        <v>41295</v>
      </c>
      <c r="I648">
        <v>36</v>
      </c>
      <c r="J648">
        <v>1009</v>
      </c>
      <c r="K648">
        <v>181</v>
      </c>
      <c r="L648">
        <v>104</v>
      </c>
      <c r="M648">
        <v>202</v>
      </c>
      <c r="N648">
        <v>21</v>
      </c>
      <c r="O648">
        <v>207</v>
      </c>
      <c r="P648">
        <v>0</v>
      </c>
      <c r="Q648">
        <v>9</v>
      </c>
      <c r="R648">
        <v>8</v>
      </c>
      <c r="S648">
        <v>13</v>
      </c>
      <c r="T648">
        <v>3</v>
      </c>
      <c r="U648">
        <v>0</v>
      </c>
      <c r="V648">
        <v>0</v>
      </c>
      <c r="W648">
        <v>1</v>
      </c>
      <c r="X648">
        <v>1</v>
      </c>
      <c r="Y648">
        <v>0</v>
      </c>
      <c r="Z648">
        <v>0</v>
      </c>
      <c r="AA648">
        <v>3</v>
      </c>
      <c r="AB648">
        <v>11</v>
      </c>
      <c r="AC648">
        <v>1</v>
      </c>
    </row>
    <row r="649" spans="1:29" x14ac:dyDescent="0.3">
      <c r="A649">
        <v>3376</v>
      </c>
      <c r="B649">
        <v>1970</v>
      </c>
      <c r="C649" t="s">
        <v>34</v>
      </c>
      <c r="D649" t="s">
        <v>35</v>
      </c>
      <c r="E649">
        <v>55282</v>
      </c>
      <c r="F649">
        <v>1</v>
      </c>
      <c r="G649">
        <v>0</v>
      </c>
      <c r="H649" s="1">
        <v>41621</v>
      </c>
      <c r="I649">
        <v>9</v>
      </c>
      <c r="J649">
        <v>125</v>
      </c>
      <c r="K649">
        <v>6</v>
      </c>
      <c r="L649">
        <v>73</v>
      </c>
      <c r="M649">
        <v>8</v>
      </c>
      <c r="N649">
        <v>4</v>
      </c>
      <c r="O649">
        <v>19</v>
      </c>
      <c r="P649">
        <v>1</v>
      </c>
      <c r="Q649">
        <v>3</v>
      </c>
      <c r="R649">
        <v>1</v>
      </c>
      <c r="S649">
        <v>6</v>
      </c>
      <c r="T649">
        <v>4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3</v>
      </c>
      <c r="AB649">
        <v>11</v>
      </c>
      <c r="AC649">
        <v>0</v>
      </c>
    </row>
    <row r="650" spans="1:29" x14ac:dyDescent="0.3">
      <c r="A650">
        <v>4679</v>
      </c>
      <c r="B650">
        <v>1977</v>
      </c>
      <c r="C650" t="s">
        <v>34</v>
      </c>
      <c r="D650" t="s">
        <v>33</v>
      </c>
      <c r="E650">
        <v>78710</v>
      </c>
      <c r="F650">
        <v>0</v>
      </c>
      <c r="G650">
        <v>1</v>
      </c>
      <c r="H650" s="1">
        <v>41782</v>
      </c>
      <c r="I650">
        <v>42</v>
      </c>
      <c r="J650">
        <v>721</v>
      </c>
      <c r="K650">
        <v>0</v>
      </c>
      <c r="L650">
        <v>152</v>
      </c>
      <c r="M650">
        <v>119</v>
      </c>
      <c r="N650">
        <v>50</v>
      </c>
      <c r="O650">
        <v>50</v>
      </c>
      <c r="P650">
        <v>3</v>
      </c>
      <c r="Q650">
        <v>7</v>
      </c>
      <c r="R650">
        <v>6</v>
      </c>
      <c r="S650">
        <v>12</v>
      </c>
      <c r="T650">
        <v>4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3</v>
      </c>
      <c r="AB650">
        <v>11</v>
      </c>
      <c r="AC650">
        <v>0</v>
      </c>
    </row>
    <row r="651" spans="1:29" x14ac:dyDescent="0.3">
      <c r="A651">
        <v>10928</v>
      </c>
      <c r="B651">
        <v>1958</v>
      </c>
      <c r="C651" t="s">
        <v>29</v>
      </c>
      <c r="D651" t="s">
        <v>31</v>
      </c>
      <c r="E651">
        <v>66886</v>
      </c>
      <c r="F651">
        <v>0</v>
      </c>
      <c r="G651">
        <v>1</v>
      </c>
      <c r="H651" s="1">
        <v>41533</v>
      </c>
      <c r="I651">
        <v>28</v>
      </c>
      <c r="J651">
        <v>315</v>
      </c>
      <c r="K651">
        <v>4</v>
      </c>
      <c r="L651">
        <v>62</v>
      </c>
      <c r="M651">
        <v>41</v>
      </c>
      <c r="N651">
        <v>31</v>
      </c>
      <c r="O651">
        <v>146</v>
      </c>
      <c r="P651">
        <v>2</v>
      </c>
      <c r="Q651">
        <v>7</v>
      </c>
      <c r="R651">
        <v>1</v>
      </c>
      <c r="S651">
        <v>7</v>
      </c>
      <c r="T651">
        <v>5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3</v>
      </c>
      <c r="AB651">
        <v>11</v>
      </c>
      <c r="AC651">
        <v>0</v>
      </c>
    </row>
    <row r="652" spans="1:29" x14ac:dyDescent="0.3">
      <c r="A652">
        <v>4248</v>
      </c>
      <c r="B652">
        <v>1960</v>
      </c>
      <c r="C652" t="s">
        <v>34</v>
      </c>
      <c r="D652" t="s">
        <v>30</v>
      </c>
      <c r="E652">
        <v>98777</v>
      </c>
      <c r="F652">
        <v>0</v>
      </c>
      <c r="G652">
        <v>0</v>
      </c>
      <c r="H652" s="1">
        <v>41687</v>
      </c>
      <c r="I652">
        <v>23</v>
      </c>
      <c r="J652">
        <v>1000</v>
      </c>
      <c r="K652">
        <v>19</v>
      </c>
      <c r="L652">
        <v>711</v>
      </c>
      <c r="M652">
        <v>125</v>
      </c>
      <c r="N652">
        <v>115</v>
      </c>
      <c r="O652">
        <v>38</v>
      </c>
      <c r="P652">
        <v>0</v>
      </c>
      <c r="Q652">
        <v>4</v>
      </c>
      <c r="R652">
        <v>6</v>
      </c>
      <c r="S652">
        <v>9</v>
      </c>
      <c r="T652">
        <v>1</v>
      </c>
      <c r="U652">
        <v>0</v>
      </c>
      <c r="V652">
        <v>1</v>
      </c>
      <c r="W652">
        <v>0</v>
      </c>
      <c r="X652">
        <v>0</v>
      </c>
      <c r="Y652">
        <v>0</v>
      </c>
      <c r="Z652">
        <v>0</v>
      </c>
      <c r="AA652">
        <v>3</v>
      </c>
      <c r="AB652">
        <v>11</v>
      </c>
      <c r="AC652">
        <v>0</v>
      </c>
    </row>
    <row r="653" spans="1:29" x14ac:dyDescent="0.3">
      <c r="A653">
        <v>6728</v>
      </c>
      <c r="B653">
        <v>1985</v>
      </c>
      <c r="C653" t="s">
        <v>29</v>
      </c>
      <c r="D653" t="s">
        <v>31</v>
      </c>
      <c r="E653">
        <v>29103</v>
      </c>
      <c r="F653">
        <v>1</v>
      </c>
      <c r="G653">
        <v>0</v>
      </c>
      <c r="H653" s="1">
        <v>41148</v>
      </c>
      <c r="I653">
        <v>38</v>
      </c>
      <c r="J653">
        <v>16</v>
      </c>
      <c r="K653">
        <v>0</v>
      </c>
      <c r="L653">
        <v>17</v>
      </c>
      <c r="M653">
        <v>6</v>
      </c>
      <c r="N653">
        <v>3</v>
      </c>
      <c r="O653">
        <v>6</v>
      </c>
      <c r="P653">
        <v>2</v>
      </c>
      <c r="Q653">
        <v>1</v>
      </c>
      <c r="R653">
        <v>0</v>
      </c>
      <c r="S653">
        <v>3</v>
      </c>
      <c r="T653">
        <v>9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3</v>
      </c>
      <c r="AB653">
        <v>11</v>
      </c>
      <c r="AC653">
        <v>0</v>
      </c>
    </row>
    <row r="654" spans="1:29" x14ac:dyDescent="0.3">
      <c r="A654">
        <v>6661</v>
      </c>
      <c r="B654">
        <v>1974</v>
      </c>
      <c r="C654" t="s">
        <v>29</v>
      </c>
      <c r="D654" t="s">
        <v>33</v>
      </c>
      <c r="E654">
        <v>67445</v>
      </c>
      <c r="F654">
        <v>0</v>
      </c>
      <c r="G654">
        <v>1</v>
      </c>
      <c r="H654" s="1">
        <v>41133</v>
      </c>
      <c r="I654">
        <v>63</v>
      </c>
      <c r="J654">
        <v>757</v>
      </c>
      <c r="K654">
        <v>80</v>
      </c>
      <c r="L654">
        <v>217</v>
      </c>
      <c r="M654">
        <v>29</v>
      </c>
      <c r="N654">
        <v>80</v>
      </c>
      <c r="O654">
        <v>11</v>
      </c>
      <c r="P654">
        <v>5</v>
      </c>
      <c r="Q654">
        <v>9</v>
      </c>
      <c r="R654">
        <v>6</v>
      </c>
      <c r="S654">
        <v>12</v>
      </c>
      <c r="T654">
        <v>6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3</v>
      </c>
      <c r="AB654">
        <v>11</v>
      </c>
      <c r="AC654">
        <v>0</v>
      </c>
    </row>
    <row r="655" spans="1:29" x14ac:dyDescent="0.3">
      <c r="A655">
        <v>4725</v>
      </c>
      <c r="B655">
        <v>1950</v>
      </c>
      <c r="C655" t="s">
        <v>32</v>
      </c>
      <c r="D655" t="s">
        <v>31</v>
      </c>
      <c r="E655">
        <v>50616</v>
      </c>
      <c r="F655">
        <v>0</v>
      </c>
      <c r="G655">
        <v>1</v>
      </c>
      <c r="H655" s="1">
        <v>41742</v>
      </c>
      <c r="I655">
        <v>71</v>
      </c>
      <c r="J655">
        <v>30</v>
      </c>
      <c r="K655">
        <v>2</v>
      </c>
      <c r="L655">
        <v>25</v>
      </c>
      <c r="M655">
        <v>0</v>
      </c>
      <c r="N655">
        <v>1</v>
      </c>
      <c r="O655">
        <v>9</v>
      </c>
      <c r="P655">
        <v>1</v>
      </c>
      <c r="Q655">
        <v>1</v>
      </c>
      <c r="R655">
        <v>1</v>
      </c>
      <c r="S655">
        <v>4</v>
      </c>
      <c r="T655">
        <v>2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3</v>
      </c>
      <c r="AB655">
        <v>11</v>
      </c>
      <c r="AC655">
        <v>0</v>
      </c>
    </row>
    <row r="656" spans="1:29" x14ac:dyDescent="0.3">
      <c r="A656">
        <v>3277</v>
      </c>
      <c r="B656">
        <v>1955</v>
      </c>
      <c r="C656" t="s">
        <v>29</v>
      </c>
      <c r="D656" t="s">
        <v>35</v>
      </c>
      <c r="E656">
        <v>49431</v>
      </c>
      <c r="F656">
        <v>0</v>
      </c>
      <c r="G656">
        <v>1</v>
      </c>
      <c r="H656" s="1">
        <v>41124</v>
      </c>
      <c r="I656">
        <v>9</v>
      </c>
      <c r="J656">
        <v>219</v>
      </c>
      <c r="K656">
        <v>3</v>
      </c>
      <c r="L656">
        <v>100</v>
      </c>
      <c r="M656">
        <v>26</v>
      </c>
      <c r="N656">
        <v>0</v>
      </c>
      <c r="O656">
        <v>17</v>
      </c>
      <c r="P656">
        <v>2</v>
      </c>
      <c r="Q656">
        <v>7</v>
      </c>
      <c r="R656">
        <v>1</v>
      </c>
      <c r="S656">
        <v>5</v>
      </c>
      <c r="T656">
        <v>8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3</v>
      </c>
      <c r="AB656">
        <v>11</v>
      </c>
      <c r="AC656">
        <v>0</v>
      </c>
    </row>
    <row r="657" spans="1:29" x14ac:dyDescent="0.3">
      <c r="A657">
        <v>5555</v>
      </c>
      <c r="B657">
        <v>1975</v>
      </c>
      <c r="C657" t="s">
        <v>29</v>
      </c>
      <c r="D657" t="s">
        <v>35</v>
      </c>
      <c r="E657">
        <v>153924</v>
      </c>
      <c r="F657">
        <v>0</v>
      </c>
      <c r="G657">
        <v>0</v>
      </c>
      <c r="H657" s="1">
        <v>41677</v>
      </c>
      <c r="I657">
        <v>81</v>
      </c>
      <c r="J657">
        <v>1</v>
      </c>
      <c r="K657">
        <v>1</v>
      </c>
      <c r="L657">
        <v>1</v>
      </c>
      <c r="M657">
        <v>1</v>
      </c>
      <c r="N657">
        <v>1</v>
      </c>
      <c r="O657">
        <v>1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3</v>
      </c>
      <c r="AB657">
        <v>11</v>
      </c>
      <c r="AC657">
        <v>0</v>
      </c>
    </row>
    <row r="658" spans="1:29" x14ac:dyDescent="0.3">
      <c r="A658">
        <v>2564</v>
      </c>
      <c r="B658">
        <v>1953</v>
      </c>
      <c r="C658" t="s">
        <v>29</v>
      </c>
      <c r="D658" t="s">
        <v>31</v>
      </c>
      <c r="E658">
        <v>61278</v>
      </c>
      <c r="F658">
        <v>0</v>
      </c>
      <c r="G658">
        <v>1</v>
      </c>
      <c r="H658" s="1">
        <v>41643</v>
      </c>
      <c r="I658">
        <v>87</v>
      </c>
      <c r="J658">
        <v>111</v>
      </c>
      <c r="K658">
        <v>3</v>
      </c>
      <c r="L658">
        <v>28</v>
      </c>
      <c r="M658">
        <v>2</v>
      </c>
      <c r="N658">
        <v>6</v>
      </c>
      <c r="O658">
        <v>15</v>
      </c>
      <c r="P658">
        <v>2</v>
      </c>
      <c r="Q658">
        <v>3</v>
      </c>
      <c r="R658">
        <v>1</v>
      </c>
      <c r="S658">
        <v>4</v>
      </c>
      <c r="T658">
        <v>6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3</v>
      </c>
      <c r="AB658">
        <v>11</v>
      </c>
      <c r="AC658">
        <v>0</v>
      </c>
    </row>
    <row r="659" spans="1:29" x14ac:dyDescent="0.3">
      <c r="A659">
        <v>946</v>
      </c>
      <c r="B659">
        <v>1958</v>
      </c>
      <c r="C659" t="s">
        <v>37</v>
      </c>
      <c r="D659" t="s">
        <v>31</v>
      </c>
      <c r="E659">
        <v>26490</v>
      </c>
      <c r="F659">
        <v>0</v>
      </c>
      <c r="G659">
        <v>0</v>
      </c>
      <c r="H659" s="1">
        <v>41174</v>
      </c>
      <c r="I659">
        <v>92</v>
      </c>
      <c r="J659">
        <v>45</v>
      </c>
      <c r="K659">
        <v>47</v>
      </c>
      <c r="L659">
        <v>52</v>
      </c>
      <c r="M659">
        <v>21</v>
      </c>
      <c r="N659">
        <v>20</v>
      </c>
      <c r="O659">
        <v>25</v>
      </c>
      <c r="P659">
        <v>2</v>
      </c>
      <c r="Q659">
        <v>3</v>
      </c>
      <c r="R659">
        <v>1</v>
      </c>
      <c r="S659">
        <v>5</v>
      </c>
      <c r="T659">
        <v>6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3</v>
      </c>
      <c r="AB659">
        <v>11</v>
      </c>
      <c r="AC659">
        <v>0</v>
      </c>
    </row>
    <row r="660" spans="1:29" x14ac:dyDescent="0.3">
      <c r="A660">
        <v>3867</v>
      </c>
      <c r="B660">
        <v>1947</v>
      </c>
      <c r="C660" t="s">
        <v>32</v>
      </c>
      <c r="D660" t="s">
        <v>31</v>
      </c>
      <c r="E660">
        <v>73059</v>
      </c>
      <c r="F660">
        <v>0</v>
      </c>
      <c r="G660">
        <v>1</v>
      </c>
      <c r="H660" s="1">
        <v>41517</v>
      </c>
      <c r="I660">
        <v>36</v>
      </c>
      <c r="J660">
        <v>410</v>
      </c>
      <c r="K660">
        <v>112</v>
      </c>
      <c r="L660">
        <v>420</v>
      </c>
      <c r="M660">
        <v>0</v>
      </c>
      <c r="N660">
        <v>82</v>
      </c>
      <c r="O660">
        <v>71</v>
      </c>
      <c r="P660">
        <v>1</v>
      </c>
      <c r="Q660">
        <v>9</v>
      </c>
      <c r="R660">
        <v>3</v>
      </c>
      <c r="S660">
        <v>13</v>
      </c>
      <c r="T660">
        <v>4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3</v>
      </c>
      <c r="AB660">
        <v>11</v>
      </c>
      <c r="AC660">
        <v>0</v>
      </c>
    </row>
    <row r="661" spans="1:29" x14ac:dyDescent="0.3">
      <c r="A661">
        <v>6940</v>
      </c>
      <c r="B661">
        <v>1966</v>
      </c>
      <c r="C661" t="s">
        <v>32</v>
      </c>
      <c r="D661" t="s">
        <v>30</v>
      </c>
      <c r="E661">
        <v>46734</v>
      </c>
      <c r="F661">
        <v>1</v>
      </c>
      <c r="G661">
        <v>2</v>
      </c>
      <c r="H661" s="1">
        <v>41568</v>
      </c>
      <c r="I661">
        <v>86</v>
      </c>
      <c r="J661">
        <v>100</v>
      </c>
      <c r="K661">
        <v>1</v>
      </c>
      <c r="L661">
        <v>39</v>
      </c>
      <c r="M661">
        <v>6</v>
      </c>
      <c r="N661">
        <v>1</v>
      </c>
      <c r="O661">
        <v>76</v>
      </c>
      <c r="P661">
        <v>4</v>
      </c>
      <c r="Q661">
        <v>3</v>
      </c>
      <c r="R661">
        <v>2</v>
      </c>
      <c r="S661">
        <v>3</v>
      </c>
      <c r="T661">
        <v>6</v>
      </c>
      <c r="U661">
        <v>1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3</v>
      </c>
      <c r="AB661">
        <v>11</v>
      </c>
      <c r="AC661">
        <v>0</v>
      </c>
    </row>
    <row r="662" spans="1:29" x14ac:dyDescent="0.3">
      <c r="A662">
        <v>55</v>
      </c>
      <c r="B662">
        <v>1963</v>
      </c>
      <c r="C662" t="s">
        <v>29</v>
      </c>
      <c r="D662" t="s">
        <v>31</v>
      </c>
      <c r="E662">
        <v>56253</v>
      </c>
      <c r="F662">
        <v>0</v>
      </c>
      <c r="G662">
        <v>1</v>
      </c>
      <c r="H662" s="1">
        <v>41250</v>
      </c>
      <c r="I662">
        <v>83</v>
      </c>
      <c r="J662">
        <v>509</v>
      </c>
      <c r="K662">
        <v>0</v>
      </c>
      <c r="L662">
        <v>65</v>
      </c>
      <c r="M662">
        <v>7</v>
      </c>
      <c r="N662">
        <v>11</v>
      </c>
      <c r="O662">
        <v>5</v>
      </c>
      <c r="P662">
        <v>4</v>
      </c>
      <c r="Q662">
        <v>7</v>
      </c>
      <c r="R662">
        <v>2</v>
      </c>
      <c r="S662">
        <v>9</v>
      </c>
      <c r="T662">
        <v>6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3</v>
      </c>
      <c r="AB662">
        <v>11</v>
      </c>
      <c r="AC662">
        <v>0</v>
      </c>
    </row>
    <row r="663" spans="1:29" x14ac:dyDescent="0.3">
      <c r="A663">
        <v>7093</v>
      </c>
      <c r="B663">
        <v>1985</v>
      </c>
      <c r="C663" t="s">
        <v>29</v>
      </c>
      <c r="D663" t="s">
        <v>33</v>
      </c>
      <c r="E663">
        <v>19986</v>
      </c>
      <c r="F663">
        <v>1</v>
      </c>
      <c r="G663">
        <v>0</v>
      </c>
      <c r="H663" s="1">
        <v>41592</v>
      </c>
      <c r="I663">
        <v>74</v>
      </c>
      <c r="J663">
        <v>3</v>
      </c>
      <c r="K663">
        <v>6</v>
      </c>
      <c r="L663">
        <v>5</v>
      </c>
      <c r="M663">
        <v>0</v>
      </c>
      <c r="N663">
        <v>2</v>
      </c>
      <c r="O663">
        <v>6</v>
      </c>
      <c r="P663">
        <v>1</v>
      </c>
      <c r="Q663">
        <v>0</v>
      </c>
      <c r="R663">
        <v>0</v>
      </c>
      <c r="S663">
        <v>3</v>
      </c>
      <c r="T663">
        <v>7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3</v>
      </c>
      <c r="AB663">
        <v>11</v>
      </c>
      <c r="AC663">
        <v>0</v>
      </c>
    </row>
    <row r="664" spans="1:29" x14ac:dyDescent="0.3">
      <c r="A664">
        <v>5084</v>
      </c>
      <c r="B664">
        <v>1975</v>
      </c>
      <c r="C664" t="s">
        <v>29</v>
      </c>
      <c r="D664" t="s">
        <v>38</v>
      </c>
      <c r="E664">
        <v>58330</v>
      </c>
      <c r="F664">
        <v>0</v>
      </c>
      <c r="G664">
        <v>1</v>
      </c>
      <c r="H664" s="1">
        <v>41633</v>
      </c>
      <c r="I664">
        <v>87</v>
      </c>
      <c r="J664">
        <v>445</v>
      </c>
      <c r="K664">
        <v>53</v>
      </c>
      <c r="L664">
        <v>213</v>
      </c>
      <c r="M664">
        <v>104</v>
      </c>
      <c r="N664">
        <v>98</v>
      </c>
      <c r="O664">
        <v>151</v>
      </c>
      <c r="P664">
        <v>1</v>
      </c>
      <c r="Q664">
        <v>6</v>
      </c>
      <c r="R664">
        <v>4</v>
      </c>
      <c r="S664">
        <v>13</v>
      </c>
      <c r="T664">
        <v>4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3</v>
      </c>
      <c r="AB664">
        <v>11</v>
      </c>
      <c r="AC664">
        <v>0</v>
      </c>
    </row>
    <row r="665" spans="1:29" x14ac:dyDescent="0.3">
      <c r="A665">
        <v>1777</v>
      </c>
      <c r="B665">
        <v>1980</v>
      </c>
      <c r="C665" t="s">
        <v>36</v>
      </c>
      <c r="D665" t="s">
        <v>33</v>
      </c>
      <c r="E665">
        <v>25965</v>
      </c>
      <c r="F665">
        <v>0</v>
      </c>
      <c r="G665">
        <v>0</v>
      </c>
      <c r="H665" s="1">
        <v>41159</v>
      </c>
      <c r="I665">
        <v>29</v>
      </c>
      <c r="J665">
        <v>2</v>
      </c>
      <c r="K665">
        <v>2</v>
      </c>
      <c r="L665">
        <v>11</v>
      </c>
      <c r="M665">
        <v>41</v>
      </c>
      <c r="N665">
        <v>7</v>
      </c>
      <c r="O665">
        <v>11</v>
      </c>
      <c r="P665">
        <v>1</v>
      </c>
      <c r="Q665">
        <v>2</v>
      </c>
      <c r="R665">
        <v>0</v>
      </c>
      <c r="S665">
        <v>3</v>
      </c>
      <c r="T665">
        <v>8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3</v>
      </c>
      <c r="AB665">
        <v>11</v>
      </c>
      <c r="AC665">
        <v>0</v>
      </c>
    </row>
    <row r="666" spans="1:29" x14ac:dyDescent="0.3">
      <c r="A666">
        <v>8162</v>
      </c>
      <c r="B666">
        <v>1956</v>
      </c>
      <c r="C666" t="s">
        <v>34</v>
      </c>
      <c r="D666" t="s">
        <v>31</v>
      </c>
      <c r="E666">
        <v>14661</v>
      </c>
      <c r="F666">
        <v>0</v>
      </c>
      <c r="G666">
        <v>0</v>
      </c>
      <c r="H666" s="1">
        <v>41275</v>
      </c>
      <c r="I666">
        <v>88</v>
      </c>
      <c r="J666">
        <v>4</v>
      </c>
      <c r="K666">
        <v>1</v>
      </c>
      <c r="L666">
        <v>11</v>
      </c>
      <c r="M666">
        <v>6</v>
      </c>
      <c r="N666">
        <v>2</v>
      </c>
      <c r="O666">
        <v>2</v>
      </c>
      <c r="P666">
        <v>1</v>
      </c>
      <c r="Q666">
        <v>1</v>
      </c>
      <c r="R666">
        <v>0</v>
      </c>
      <c r="S666">
        <v>3</v>
      </c>
      <c r="T666">
        <v>6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3</v>
      </c>
      <c r="AB666">
        <v>11</v>
      </c>
      <c r="AC666">
        <v>0</v>
      </c>
    </row>
    <row r="667" spans="1:29" x14ac:dyDescent="0.3">
      <c r="A667">
        <v>10826</v>
      </c>
      <c r="B667">
        <v>1959</v>
      </c>
      <c r="C667" t="s">
        <v>29</v>
      </c>
      <c r="D667" t="s">
        <v>33</v>
      </c>
      <c r="E667">
        <v>18690</v>
      </c>
      <c r="F667">
        <v>0</v>
      </c>
      <c r="G667">
        <v>0</v>
      </c>
      <c r="H667" s="1">
        <v>41271</v>
      </c>
      <c r="I667">
        <v>77</v>
      </c>
      <c r="J667">
        <v>6</v>
      </c>
      <c r="K667">
        <v>1</v>
      </c>
      <c r="L667">
        <v>7</v>
      </c>
      <c r="M667">
        <v>23</v>
      </c>
      <c r="N667">
        <v>4</v>
      </c>
      <c r="O667">
        <v>19</v>
      </c>
      <c r="P667">
        <v>1</v>
      </c>
      <c r="Q667">
        <v>1</v>
      </c>
      <c r="R667">
        <v>1</v>
      </c>
      <c r="S667">
        <v>2</v>
      </c>
      <c r="T667">
        <v>8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3</v>
      </c>
      <c r="AB667">
        <v>11</v>
      </c>
      <c r="AC667">
        <v>0</v>
      </c>
    </row>
    <row r="668" spans="1:29" x14ac:dyDescent="0.3">
      <c r="A668">
        <v>8754</v>
      </c>
      <c r="B668">
        <v>1974</v>
      </c>
      <c r="C668" t="s">
        <v>32</v>
      </c>
      <c r="D668" t="s">
        <v>31</v>
      </c>
      <c r="E668">
        <v>45068</v>
      </c>
      <c r="F668">
        <v>0</v>
      </c>
      <c r="G668">
        <v>1</v>
      </c>
      <c r="H668" s="1">
        <v>41410</v>
      </c>
      <c r="I668">
        <v>25</v>
      </c>
      <c r="J668">
        <v>14</v>
      </c>
      <c r="K668">
        <v>0</v>
      </c>
      <c r="L668">
        <v>3</v>
      </c>
      <c r="M668">
        <v>0</v>
      </c>
      <c r="N668">
        <v>0</v>
      </c>
      <c r="O668">
        <v>3</v>
      </c>
      <c r="P668">
        <v>1</v>
      </c>
      <c r="Q668">
        <v>1</v>
      </c>
      <c r="R668">
        <v>0</v>
      </c>
      <c r="S668">
        <v>2</v>
      </c>
      <c r="T668">
        <v>7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3</v>
      </c>
      <c r="AB668">
        <v>11</v>
      </c>
      <c r="AC668">
        <v>0</v>
      </c>
    </row>
    <row r="669" spans="1:29" x14ac:dyDescent="0.3">
      <c r="A669">
        <v>1987</v>
      </c>
      <c r="B669">
        <v>1987</v>
      </c>
      <c r="C669" t="s">
        <v>36</v>
      </c>
      <c r="D669" t="s">
        <v>30</v>
      </c>
      <c r="E669">
        <v>21063</v>
      </c>
      <c r="F669">
        <v>1</v>
      </c>
      <c r="G669">
        <v>0</v>
      </c>
      <c r="H669" s="1">
        <v>41542</v>
      </c>
      <c r="I669">
        <v>34</v>
      </c>
      <c r="J669">
        <v>1</v>
      </c>
      <c r="K669">
        <v>10</v>
      </c>
      <c r="L669">
        <v>11</v>
      </c>
      <c r="M669">
        <v>19</v>
      </c>
      <c r="N669">
        <v>3</v>
      </c>
      <c r="O669">
        <v>15</v>
      </c>
      <c r="P669">
        <v>2</v>
      </c>
      <c r="Q669">
        <v>2</v>
      </c>
      <c r="R669">
        <v>0</v>
      </c>
      <c r="S669">
        <v>3</v>
      </c>
      <c r="T669">
        <v>6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3</v>
      </c>
      <c r="AB669">
        <v>11</v>
      </c>
      <c r="AC669">
        <v>0</v>
      </c>
    </row>
    <row r="670" spans="1:29" x14ac:dyDescent="0.3">
      <c r="A670">
        <v>11007</v>
      </c>
      <c r="B670">
        <v>1968</v>
      </c>
      <c r="C670" t="s">
        <v>32</v>
      </c>
      <c r="D670" t="s">
        <v>33</v>
      </c>
      <c r="E670">
        <v>29187</v>
      </c>
      <c r="F670">
        <v>1</v>
      </c>
      <c r="G670">
        <v>0</v>
      </c>
      <c r="H670" s="1">
        <v>41403</v>
      </c>
      <c r="I670">
        <v>43</v>
      </c>
      <c r="J670">
        <v>26</v>
      </c>
      <c r="K670">
        <v>0</v>
      </c>
      <c r="L670">
        <v>6</v>
      </c>
      <c r="M670">
        <v>0</v>
      </c>
      <c r="N670">
        <v>0</v>
      </c>
      <c r="O670">
        <v>2</v>
      </c>
      <c r="P670">
        <v>1</v>
      </c>
      <c r="Q670">
        <v>1</v>
      </c>
      <c r="R670">
        <v>0</v>
      </c>
      <c r="S670">
        <v>3</v>
      </c>
      <c r="T670">
        <v>8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3</v>
      </c>
      <c r="AB670">
        <v>11</v>
      </c>
      <c r="AC670">
        <v>0</v>
      </c>
    </row>
    <row r="671" spans="1:29" x14ac:dyDescent="0.3">
      <c r="A671">
        <v>7426</v>
      </c>
      <c r="B671">
        <v>1971</v>
      </c>
      <c r="C671" t="s">
        <v>37</v>
      </c>
      <c r="D671" t="s">
        <v>33</v>
      </c>
      <c r="E671">
        <v>54690</v>
      </c>
      <c r="F671">
        <v>1</v>
      </c>
      <c r="G671">
        <v>1</v>
      </c>
      <c r="H671" s="1">
        <v>41585</v>
      </c>
      <c r="I671">
        <v>76</v>
      </c>
      <c r="J671">
        <v>111</v>
      </c>
      <c r="K671">
        <v>16</v>
      </c>
      <c r="L671">
        <v>37</v>
      </c>
      <c r="M671">
        <v>7</v>
      </c>
      <c r="N671">
        <v>9</v>
      </c>
      <c r="O671">
        <v>18</v>
      </c>
      <c r="P671">
        <v>3</v>
      </c>
      <c r="Q671">
        <v>3</v>
      </c>
      <c r="R671">
        <v>1</v>
      </c>
      <c r="S671">
        <v>5</v>
      </c>
      <c r="T671">
        <v>3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3</v>
      </c>
      <c r="AB671">
        <v>11</v>
      </c>
      <c r="AC671">
        <v>0</v>
      </c>
    </row>
    <row r="672" spans="1:29" x14ac:dyDescent="0.3">
      <c r="A672">
        <v>9153</v>
      </c>
      <c r="B672">
        <v>1964</v>
      </c>
      <c r="C672" t="s">
        <v>32</v>
      </c>
      <c r="D672" t="s">
        <v>33</v>
      </c>
      <c r="E672">
        <v>59304</v>
      </c>
      <c r="F672">
        <v>0</v>
      </c>
      <c r="G672">
        <v>1</v>
      </c>
      <c r="H672" s="1">
        <v>41484</v>
      </c>
      <c r="I672">
        <v>81</v>
      </c>
      <c r="J672">
        <v>418</v>
      </c>
      <c r="K672">
        <v>61</v>
      </c>
      <c r="L672">
        <v>428</v>
      </c>
      <c r="M672">
        <v>80</v>
      </c>
      <c r="N672">
        <v>51</v>
      </c>
      <c r="O672">
        <v>10</v>
      </c>
      <c r="P672">
        <v>3</v>
      </c>
      <c r="Q672">
        <v>7</v>
      </c>
      <c r="R672">
        <v>8</v>
      </c>
      <c r="S672">
        <v>10</v>
      </c>
      <c r="T672">
        <v>5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3</v>
      </c>
      <c r="AB672">
        <v>11</v>
      </c>
      <c r="AC672">
        <v>0</v>
      </c>
    </row>
    <row r="673" spans="1:29" x14ac:dyDescent="0.3">
      <c r="A673">
        <v>10379</v>
      </c>
      <c r="B673">
        <v>1962</v>
      </c>
      <c r="C673" t="s">
        <v>34</v>
      </c>
      <c r="D673" t="s">
        <v>30</v>
      </c>
      <c r="E673">
        <v>59247</v>
      </c>
      <c r="F673">
        <v>0</v>
      </c>
      <c r="G673">
        <v>2</v>
      </c>
      <c r="H673" s="1">
        <v>41586</v>
      </c>
      <c r="I673">
        <v>87</v>
      </c>
      <c r="J673">
        <v>327</v>
      </c>
      <c r="K673">
        <v>9</v>
      </c>
      <c r="L673">
        <v>122</v>
      </c>
      <c r="M673">
        <v>19</v>
      </c>
      <c r="N673">
        <v>14</v>
      </c>
      <c r="O673">
        <v>83</v>
      </c>
      <c r="P673">
        <v>5</v>
      </c>
      <c r="Q673">
        <v>5</v>
      </c>
      <c r="R673">
        <v>2</v>
      </c>
      <c r="S673">
        <v>9</v>
      </c>
      <c r="T673">
        <v>6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3</v>
      </c>
      <c r="AB673">
        <v>11</v>
      </c>
      <c r="AC673">
        <v>0</v>
      </c>
    </row>
    <row r="674" spans="1:29" x14ac:dyDescent="0.3">
      <c r="A674">
        <v>9204</v>
      </c>
      <c r="B674">
        <v>1970</v>
      </c>
      <c r="C674" t="s">
        <v>29</v>
      </c>
      <c r="D674" t="s">
        <v>38</v>
      </c>
      <c r="E674">
        <v>66731</v>
      </c>
      <c r="F674">
        <v>0</v>
      </c>
      <c r="G674">
        <v>1</v>
      </c>
      <c r="H674" s="1">
        <v>41164</v>
      </c>
      <c r="I674">
        <v>33</v>
      </c>
      <c r="J674">
        <v>371</v>
      </c>
      <c r="K674">
        <v>159</v>
      </c>
      <c r="L674">
        <v>194</v>
      </c>
      <c r="M674">
        <v>58</v>
      </c>
      <c r="N674">
        <v>106</v>
      </c>
      <c r="O674">
        <v>141</v>
      </c>
      <c r="P674">
        <v>4</v>
      </c>
      <c r="Q674">
        <v>4</v>
      </c>
      <c r="R674">
        <v>3</v>
      </c>
      <c r="S674">
        <v>6</v>
      </c>
      <c r="T674">
        <v>3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3</v>
      </c>
      <c r="AB674">
        <v>11</v>
      </c>
      <c r="AC674">
        <v>0</v>
      </c>
    </row>
    <row r="675" spans="1:29" x14ac:dyDescent="0.3">
      <c r="A675">
        <v>3197</v>
      </c>
      <c r="B675">
        <v>1980</v>
      </c>
      <c r="C675" t="s">
        <v>29</v>
      </c>
      <c r="D675" t="s">
        <v>33</v>
      </c>
      <c r="E675">
        <v>77353</v>
      </c>
      <c r="F675">
        <v>0</v>
      </c>
      <c r="G675">
        <v>1</v>
      </c>
      <c r="H675" s="1">
        <v>41624</v>
      </c>
      <c r="I675">
        <v>38</v>
      </c>
      <c r="J675">
        <v>275</v>
      </c>
      <c r="K675">
        <v>59</v>
      </c>
      <c r="L675">
        <v>107</v>
      </c>
      <c r="M675">
        <v>69</v>
      </c>
      <c r="N675">
        <v>101</v>
      </c>
      <c r="O675">
        <v>59</v>
      </c>
      <c r="P675">
        <v>2</v>
      </c>
      <c r="Q675">
        <v>6</v>
      </c>
      <c r="R675">
        <v>4</v>
      </c>
      <c r="S675">
        <v>8</v>
      </c>
      <c r="T675">
        <v>4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3</v>
      </c>
      <c r="AB675">
        <v>11</v>
      </c>
      <c r="AC675">
        <v>0</v>
      </c>
    </row>
    <row r="676" spans="1:29" x14ac:dyDescent="0.3">
      <c r="A676">
        <v>2920</v>
      </c>
      <c r="B676">
        <v>1975</v>
      </c>
      <c r="C676" t="s">
        <v>32</v>
      </c>
      <c r="D676" t="s">
        <v>30</v>
      </c>
      <c r="E676">
        <v>52614</v>
      </c>
      <c r="F676">
        <v>0</v>
      </c>
      <c r="G676">
        <v>1</v>
      </c>
      <c r="H676" s="1">
        <v>41244</v>
      </c>
      <c r="I676">
        <v>63</v>
      </c>
      <c r="J676">
        <v>789</v>
      </c>
      <c r="K676">
        <v>0</v>
      </c>
      <c r="L676">
        <v>142</v>
      </c>
      <c r="M676">
        <v>12</v>
      </c>
      <c r="N676">
        <v>9</v>
      </c>
      <c r="O676">
        <v>38</v>
      </c>
      <c r="P676">
        <v>2</v>
      </c>
      <c r="Q676">
        <v>2</v>
      </c>
      <c r="R676">
        <v>4</v>
      </c>
      <c r="S676">
        <v>8</v>
      </c>
      <c r="T676">
        <v>8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3</v>
      </c>
      <c r="AB676">
        <v>11</v>
      </c>
      <c r="AC676">
        <v>0</v>
      </c>
    </row>
    <row r="677" spans="1:29" x14ac:dyDescent="0.3">
      <c r="A677">
        <v>6961</v>
      </c>
      <c r="B677">
        <v>1974</v>
      </c>
      <c r="C677" t="s">
        <v>29</v>
      </c>
      <c r="D677" t="s">
        <v>33</v>
      </c>
      <c r="E677">
        <v>26751</v>
      </c>
      <c r="F677">
        <v>2</v>
      </c>
      <c r="G677">
        <v>0</v>
      </c>
      <c r="H677" s="1">
        <v>41781</v>
      </c>
      <c r="I677">
        <v>26</v>
      </c>
      <c r="J677">
        <v>1</v>
      </c>
      <c r="K677">
        <v>1</v>
      </c>
      <c r="L677">
        <v>5</v>
      </c>
      <c r="M677">
        <v>0</v>
      </c>
      <c r="N677">
        <v>3</v>
      </c>
      <c r="O677">
        <v>1</v>
      </c>
      <c r="P677">
        <v>1</v>
      </c>
      <c r="Q677">
        <v>1</v>
      </c>
      <c r="R677">
        <v>0</v>
      </c>
      <c r="S677">
        <v>2</v>
      </c>
      <c r="T677">
        <v>8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3</v>
      </c>
      <c r="AB677">
        <v>11</v>
      </c>
      <c r="AC677">
        <v>0</v>
      </c>
    </row>
    <row r="678" spans="1:29" x14ac:dyDescent="0.3">
      <c r="A678">
        <v>4673</v>
      </c>
      <c r="B678">
        <v>1963</v>
      </c>
      <c r="C678" t="s">
        <v>32</v>
      </c>
      <c r="D678" t="s">
        <v>33</v>
      </c>
      <c r="E678">
        <v>81300</v>
      </c>
      <c r="F678">
        <v>0</v>
      </c>
      <c r="G678">
        <v>1</v>
      </c>
      <c r="H678" s="1">
        <v>41212</v>
      </c>
      <c r="I678">
        <v>17</v>
      </c>
      <c r="J678">
        <v>1004</v>
      </c>
      <c r="K678">
        <v>12</v>
      </c>
      <c r="L678">
        <v>145</v>
      </c>
      <c r="M678">
        <v>32</v>
      </c>
      <c r="N678">
        <v>12</v>
      </c>
      <c r="O678">
        <v>36</v>
      </c>
      <c r="P678">
        <v>3</v>
      </c>
      <c r="Q678">
        <v>10</v>
      </c>
      <c r="R678">
        <v>3</v>
      </c>
      <c r="S678">
        <v>5</v>
      </c>
      <c r="T678">
        <v>5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>
        <v>3</v>
      </c>
      <c r="AB678">
        <v>11</v>
      </c>
      <c r="AC678">
        <v>1</v>
      </c>
    </row>
    <row r="679" spans="1:29" x14ac:dyDescent="0.3">
      <c r="A679">
        <v>9937</v>
      </c>
      <c r="B679">
        <v>1979</v>
      </c>
      <c r="C679" t="s">
        <v>29</v>
      </c>
      <c r="D679" t="s">
        <v>30</v>
      </c>
      <c r="E679">
        <v>70337</v>
      </c>
      <c r="F679">
        <v>0</v>
      </c>
      <c r="G679">
        <v>0</v>
      </c>
      <c r="H679" s="1">
        <v>41641</v>
      </c>
      <c r="I679">
        <v>75</v>
      </c>
      <c r="J679">
        <v>187</v>
      </c>
      <c r="K679">
        <v>81</v>
      </c>
      <c r="L679">
        <v>149</v>
      </c>
      <c r="M679">
        <v>25</v>
      </c>
      <c r="N679">
        <v>43</v>
      </c>
      <c r="O679">
        <v>91</v>
      </c>
      <c r="P679">
        <v>1</v>
      </c>
      <c r="Q679">
        <v>2</v>
      </c>
      <c r="R679">
        <v>2</v>
      </c>
      <c r="S679">
        <v>12</v>
      </c>
      <c r="T679">
        <v>1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3</v>
      </c>
      <c r="AB679">
        <v>11</v>
      </c>
      <c r="AC679">
        <v>0</v>
      </c>
    </row>
    <row r="680" spans="1:29" x14ac:dyDescent="0.3">
      <c r="A680">
        <v>8779</v>
      </c>
      <c r="B680">
        <v>1985</v>
      </c>
      <c r="C680" t="s">
        <v>37</v>
      </c>
      <c r="D680" t="s">
        <v>33</v>
      </c>
      <c r="E680">
        <v>36145</v>
      </c>
      <c r="F680">
        <v>1</v>
      </c>
      <c r="G680">
        <v>0</v>
      </c>
      <c r="H680" s="1">
        <v>41441</v>
      </c>
      <c r="I680">
        <v>13</v>
      </c>
      <c r="J680">
        <v>56</v>
      </c>
      <c r="K680">
        <v>4</v>
      </c>
      <c r="L680">
        <v>76</v>
      </c>
      <c r="M680">
        <v>17</v>
      </c>
      <c r="N680">
        <v>1</v>
      </c>
      <c r="O680">
        <v>18</v>
      </c>
      <c r="P680">
        <v>4</v>
      </c>
      <c r="Q680">
        <v>4</v>
      </c>
      <c r="R680">
        <v>1</v>
      </c>
      <c r="S680">
        <v>3</v>
      </c>
      <c r="T680">
        <v>9</v>
      </c>
      <c r="U680">
        <v>1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3</v>
      </c>
      <c r="AB680">
        <v>11</v>
      </c>
      <c r="AC680">
        <v>1</v>
      </c>
    </row>
    <row r="681" spans="1:29" x14ac:dyDescent="0.3">
      <c r="A681">
        <v>9596</v>
      </c>
      <c r="B681">
        <v>1980</v>
      </c>
      <c r="C681" t="s">
        <v>32</v>
      </c>
      <c r="D681" t="s">
        <v>30</v>
      </c>
      <c r="E681">
        <v>65295</v>
      </c>
      <c r="F681">
        <v>0</v>
      </c>
      <c r="G681">
        <v>0</v>
      </c>
      <c r="H681" s="1">
        <v>41631</v>
      </c>
      <c r="I681">
        <v>19</v>
      </c>
      <c r="J681">
        <v>365</v>
      </c>
      <c r="K681">
        <v>32</v>
      </c>
      <c r="L681">
        <v>117</v>
      </c>
      <c r="M681">
        <v>34</v>
      </c>
      <c r="N681">
        <v>110</v>
      </c>
      <c r="O681">
        <v>6</v>
      </c>
      <c r="P681">
        <v>1</v>
      </c>
      <c r="Q681">
        <v>3</v>
      </c>
      <c r="R681">
        <v>3</v>
      </c>
      <c r="S681">
        <v>13</v>
      </c>
      <c r="T681">
        <v>2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3</v>
      </c>
      <c r="AB681">
        <v>11</v>
      </c>
      <c r="AC681">
        <v>0</v>
      </c>
    </row>
    <row r="682" spans="1:29" x14ac:dyDescent="0.3">
      <c r="A682">
        <v>2891</v>
      </c>
      <c r="B682">
        <v>1963</v>
      </c>
      <c r="C682" t="s">
        <v>29</v>
      </c>
      <c r="D682" t="s">
        <v>35</v>
      </c>
      <c r="E682">
        <v>68118</v>
      </c>
      <c r="F682">
        <v>0</v>
      </c>
      <c r="G682">
        <v>1</v>
      </c>
      <c r="H682" s="1">
        <v>41565</v>
      </c>
      <c r="I682">
        <v>51</v>
      </c>
      <c r="J682">
        <v>595</v>
      </c>
      <c r="K682">
        <v>23</v>
      </c>
      <c r="L682">
        <v>123</v>
      </c>
      <c r="M682">
        <v>10</v>
      </c>
      <c r="N682">
        <v>23</v>
      </c>
      <c r="O682">
        <v>154</v>
      </c>
      <c r="P682">
        <v>2</v>
      </c>
      <c r="Q682">
        <v>8</v>
      </c>
      <c r="R682">
        <v>9</v>
      </c>
      <c r="S682">
        <v>4</v>
      </c>
      <c r="T682">
        <v>6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3</v>
      </c>
      <c r="AB682">
        <v>11</v>
      </c>
      <c r="AC682">
        <v>0</v>
      </c>
    </row>
    <row r="683" spans="1:29" x14ac:dyDescent="0.3">
      <c r="A683">
        <v>4910</v>
      </c>
      <c r="B683">
        <v>1967</v>
      </c>
      <c r="C683" t="s">
        <v>29</v>
      </c>
      <c r="D683" t="s">
        <v>35</v>
      </c>
      <c r="E683">
        <v>68743</v>
      </c>
      <c r="F683">
        <v>0</v>
      </c>
      <c r="G683">
        <v>0</v>
      </c>
      <c r="H683" s="1">
        <v>41151</v>
      </c>
      <c r="I683">
        <v>81</v>
      </c>
      <c r="J683">
        <v>1132</v>
      </c>
      <c r="K683">
        <v>134</v>
      </c>
      <c r="L683">
        <v>384</v>
      </c>
      <c r="M683">
        <v>175</v>
      </c>
      <c r="N683">
        <v>134</v>
      </c>
      <c r="O683">
        <v>115</v>
      </c>
      <c r="P683">
        <v>1</v>
      </c>
      <c r="Q683">
        <v>11</v>
      </c>
      <c r="R683">
        <v>5</v>
      </c>
      <c r="S683">
        <v>13</v>
      </c>
      <c r="T683">
        <v>7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3</v>
      </c>
      <c r="AB683">
        <v>11</v>
      </c>
      <c r="AC683">
        <v>0</v>
      </c>
    </row>
    <row r="684" spans="1:29" x14ac:dyDescent="0.3">
      <c r="A684">
        <v>75</v>
      </c>
      <c r="B684">
        <v>1982</v>
      </c>
      <c r="C684" t="s">
        <v>37</v>
      </c>
      <c r="D684" t="s">
        <v>31</v>
      </c>
      <c r="E684">
        <v>41039</v>
      </c>
      <c r="F684">
        <v>0</v>
      </c>
      <c r="G684">
        <v>0</v>
      </c>
      <c r="H684" s="1">
        <v>41480</v>
      </c>
      <c r="I684">
        <v>32</v>
      </c>
      <c r="J684">
        <v>34</v>
      </c>
      <c r="K684">
        <v>11</v>
      </c>
      <c r="L684">
        <v>137</v>
      </c>
      <c r="M684">
        <v>179</v>
      </c>
      <c r="N684">
        <v>61</v>
      </c>
      <c r="O684">
        <v>45</v>
      </c>
      <c r="P684">
        <v>1</v>
      </c>
      <c r="Q684">
        <v>8</v>
      </c>
      <c r="R684">
        <v>1</v>
      </c>
      <c r="S684">
        <v>5</v>
      </c>
      <c r="T684">
        <v>8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3</v>
      </c>
      <c r="AB684">
        <v>11</v>
      </c>
      <c r="AC684">
        <v>0</v>
      </c>
    </row>
    <row r="685" spans="1:29" x14ac:dyDescent="0.3">
      <c r="A685">
        <v>10120</v>
      </c>
      <c r="B685">
        <v>1955</v>
      </c>
      <c r="C685" t="s">
        <v>29</v>
      </c>
      <c r="D685" t="s">
        <v>31</v>
      </c>
      <c r="E685">
        <v>38946</v>
      </c>
      <c r="F685">
        <v>0</v>
      </c>
      <c r="G685">
        <v>1</v>
      </c>
      <c r="H685" s="1">
        <v>41571</v>
      </c>
      <c r="I685">
        <v>84</v>
      </c>
      <c r="J685">
        <v>116</v>
      </c>
      <c r="K685">
        <v>6</v>
      </c>
      <c r="L685">
        <v>82</v>
      </c>
      <c r="M685">
        <v>6</v>
      </c>
      <c r="N685">
        <v>6</v>
      </c>
      <c r="O685">
        <v>41</v>
      </c>
      <c r="P685">
        <v>2</v>
      </c>
      <c r="Q685">
        <v>3</v>
      </c>
      <c r="R685">
        <v>1</v>
      </c>
      <c r="S685">
        <v>6</v>
      </c>
      <c r="T685">
        <v>5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3</v>
      </c>
      <c r="AB685">
        <v>11</v>
      </c>
      <c r="AC685">
        <v>0</v>
      </c>
    </row>
    <row r="686" spans="1:29" x14ac:dyDescent="0.3">
      <c r="A686">
        <v>6327</v>
      </c>
      <c r="B686">
        <v>1967</v>
      </c>
      <c r="C686" t="s">
        <v>29</v>
      </c>
      <c r="D686" t="s">
        <v>31</v>
      </c>
      <c r="E686">
        <v>65777</v>
      </c>
      <c r="F686">
        <v>0</v>
      </c>
      <c r="G686">
        <v>0</v>
      </c>
      <c r="H686" s="1">
        <v>41627</v>
      </c>
      <c r="I686">
        <v>87</v>
      </c>
      <c r="J686">
        <v>565</v>
      </c>
      <c r="K686">
        <v>32</v>
      </c>
      <c r="L686">
        <v>435</v>
      </c>
      <c r="M686">
        <v>28</v>
      </c>
      <c r="N686">
        <v>32</v>
      </c>
      <c r="O686">
        <v>54</v>
      </c>
      <c r="P686">
        <v>1</v>
      </c>
      <c r="Q686">
        <v>2</v>
      </c>
      <c r="R686">
        <v>8</v>
      </c>
      <c r="S686">
        <v>6</v>
      </c>
      <c r="T686">
        <v>1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3</v>
      </c>
      <c r="AB686">
        <v>11</v>
      </c>
      <c r="AC686">
        <v>0</v>
      </c>
    </row>
    <row r="687" spans="1:29" x14ac:dyDescent="0.3">
      <c r="A687">
        <v>10142</v>
      </c>
      <c r="B687">
        <v>1976</v>
      </c>
      <c r="C687" t="s">
        <v>32</v>
      </c>
      <c r="D687" t="s">
        <v>35</v>
      </c>
      <c r="E687">
        <v>66476</v>
      </c>
      <c r="F687">
        <v>0</v>
      </c>
      <c r="G687">
        <v>1</v>
      </c>
      <c r="H687" s="1">
        <v>41340</v>
      </c>
      <c r="I687">
        <v>99</v>
      </c>
      <c r="J687">
        <v>372</v>
      </c>
      <c r="K687">
        <v>18</v>
      </c>
      <c r="L687">
        <v>126</v>
      </c>
      <c r="M687">
        <v>47</v>
      </c>
      <c r="N687">
        <v>48</v>
      </c>
      <c r="O687">
        <v>78</v>
      </c>
      <c r="P687">
        <v>2</v>
      </c>
      <c r="Q687">
        <v>5</v>
      </c>
      <c r="R687">
        <v>2</v>
      </c>
      <c r="S687">
        <v>11</v>
      </c>
      <c r="T687">
        <v>4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3</v>
      </c>
      <c r="AB687">
        <v>11</v>
      </c>
      <c r="AC687">
        <v>0</v>
      </c>
    </row>
    <row r="688" spans="1:29" x14ac:dyDescent="0.3">
      <c r="A688">
        <v>9826</v>
      </c>
      <c r="B688">
        <v>1972</v>
      </c>
      <c r="C688" t="s">
        <v>32</v>
      </c>
      <c r="D688" t="s">
        <v>30</v>
      </c>
      <c r="E688">
        <v>86857</v>
      </c>
      <c r="F688">
        <v>0</v>
      </c>
      <c r="G688">
        <v>0</v>
      </c>
      <c r="H688" s="1">
        <v>41164</v>
      </c>
      <c r="I688">
        <v>96</v>
      </c>
      <c r="J688">
        <v>899</v>
      </c>
      <c r="K688">
        <v>102</v>
      </c>
      <c r="L688">
        <v>838</v>
      </c>
      <c r="M688">
        <v>133</v>
      </c>
      <c r="N688">
        <v>102</v>
      </c>
      <c r="O688">
        <v>40</v>
      </c>
      <c r="P688">
        <v>1</v>
      </c>
      <c r="Q688">
        <v>5</v>
      </c>
      <c r="R688">
        <v>6</v>
      </c>
      <c r="S688">
        <v>10</v>
      </c>
      <c r="T688">
        <v>2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3</v>
      </c>
      <c r="AB688">
        <v>11</v>
      </c>
      <c r="AC688">
        <v>1</v>
      </c>
    </row>
    <row r="689" spans="1:29" x14ac:dyDescent="0.3">
      <c r="A689">
        <v>1501</v>
      </c>
      <c r="B689">
        <v>1982</v>
      </c>
      <c r="C689" t="s">
        <v>32</v>
      </c>
      <c r="D689" t="s">
        <v>33</v>
      </c>
      <c r="E689">
        <v>160803</v>
      </c>
      <c r="F689">
        <v>0</v>
      </c>
      <c r="G689">
        <v>0</v>
      </c>
      <c r="H689" s="1">
        <v>41125</v>
      </c>
      <c r="I689">
        <v>21</v>
      </c>
      <c r="J689">
        <v>55</v>
      </c>
      <c r="K689">
        <v>16</v>
      </c>
      <c r="L689">
        <v>1622</v>
      </c>
      <c r="M689">
        <v>17</v>
      </c>
      <c r="N689">
        <v>3</v>
      </c>
      <c r="O689">
        <v>4</v>
      </c>
      <c r="P689">
        <v>15</v>
      </c>
      <c r="Q689">
        <v>0</v>
      </c>
      <c r="R689">
        <v>28</v>
      </c>
      <c r="S689">
        <v>1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3</v>
      </c>
      <c r="AB689">
        <v>11</v>
      </c>
      <c r="AC689">
        <v>0</v>
      </c>
    </row>
    <row r="690" spans="1:29" x14ac:dyDescent="0.3">
      <c r="A690">
        <v>10767</v>
      </c>
      <c r="B690">
        <v>1989</v>
      </c>
      <c r="C690" t="s">
        <v>32</v>
      </c>
      <c r="D690" t="s">
        <v>31</v>
      </c>
      <c r="E690">
        <v>77845</v>
      </c>
      <c r="F690">
        <v>0</v>
      </c>
      <c r="G690">
        <v>0</v>
      </c>
      <c r="H690" s="1">
        <v>41775</v>
      </c>
      <c r="I690">
        <v>40</v>
      </c>
      <c r="J690">
        <v>760</v>
      </c>
      <c r="K690">
        <v>40</v>
      </c>
      <c r="L690">
        <v>480</v>
      </c>
      <c r="M690">
        <v>0</v>
      </c>
      <c r="N690">
        <v>40</v>
      </c>
      <c r="O690">
        <v>26</v>
      </c>
      <c r="P690">
        <v>1</v>
      </c>
      <c r="Q690">
        <v>3</v>
      </c>
      <c r="R690">
        <v>5</v>
      </c>
      <c r="S690">
        <v>12</v>
      </c>
      <c r="T690">
        <v>1</v>
      </c>
      <c r="U690">
        <v>0</v>
      </c>
      <c r="V690">
        <v>0</v>
      </c>
      <c r="W690">
        <v>1</v>
      </c>
      <c r="X690">
        <v>1</v>
      </c>
      <c r="Y690">
        <v>0</v>
      </c>
      <c r="Z690">
        <v>0</v>
      </c>
      <c r="AA690">
        <v>3</v>
      </c>
      <c r="AB690">
        <v>11</v>
      </c>
      <c r="AC690">
        <v>0</v>
      </c>
    </row>
    <row r="691" spans="1:29" x14ac:dyDescent="0.3">
      <c r="A691">
        <v>7279</v>
      </c>
      <c r="B691">
        <v>1969</v>
      </c>
      <c r="C691" t="s">
        <v>32</v>
      </c>
      <c r="D691" t="s">
        <v>31</v>
      </c>
      <c r="E691">
        <v>69476</v>
      </c>
      <c r="F691">
        <v>0</v>
      </c>
      <c r="G691">
        <v>0</v>
      </c>
      <c r="H691" s="1">
        <v>41547</v>
      </c>
      <c r="I691">
        <v>3</v>
      </c>
      <c r="J691">
        <v>260</v>
      </c>
      <c r="K691">
        <v>86</v>
      </c>
      <c r="L691">
        <v>559</v>
      </c>
      <c r="M691">
        <v>63</v>
      </c>
      <c r="N691">
        <v>9</v>
      </c>
      <c r="O691">
        <v>67</v>
      </c>
      <c r="P691">
        <v>1</v>
      </c>
      <c r="Q691">
        <v>4</v>
      </c>
      <c r="R691">
        <v>6</v>
      </c>
      <c r="S691">
        <v>4</v>
      </c>
      <c r="T691">
        <v>2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3</v>
      </c>
      <c r="AB691">
        <v>11</v>
      </c>
      <c r="AC691">
        <v>0</v>
      </c>
    </row>
    <row r="692" spans="1:29" x14ac:dyDescent="0.3">
      <c r="A692">
        <v>7230</v>
      </c>
      <c r="B692">
        <v>1960</v>
      </c>
      <c r="C692" t="s">
        <v>32</v>
      </c>
      <c r="D692" t="s">
        <v>35</v>
      </c>
      <c r="E692">
        <v>50611</v>
      </c>
      <c r="F692">
        <v>0</v>
      </c>
      <c r="G692">
        <v>1</v>
      </c>
      <c r="H692" s="1">
        <v>41186</v>
      </c>
      <c r="I692">
        <v>98</v>
      </c>
      <c r="J692">
        <v>459</v>
      </c>
      <c r="K692">
        <v>0</v>
      </c>
      <c r="L692">
        <v>24</v>
      </c>
      <c r="M692">
        <v>6</v>
      </c>
      <c r="N692">
        <v>0</v>
      </c>
      <c r="O692">
        <v>4</v>
      </c>
      <c r="P692">
        <v>6</v>
      </c>
      <c r="Q692">
        <v>4</v>
      </c>
      <c r="R692">
        <v>5</v>
      </c>
      <c r="S692">
        <v>7</v>
      </c>
      <c r="T692">
        <v>6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0</v>
      </c>
      <c r="AA692">
        <v>3</v>
      </c>
      <c r="AB692">
        <v>11</v>
      </c>
      <c r="AC692">
        <v>1</v>
      </c>
    </row>
    <row r="693" spans="1:29" x14ac:dyDescent="0.3">
      <c r="A693">
        <v>143</v>
      </c>
      <c r="B693">
        <v>1970</v>
      </c>
      <c r="C693" t="s">
        <v>29</v>
      </c>
      <c r="D693" t="s">
        <v>30</v>
      </c>
      <c r="E693">
        <v>61209</v>
      </c>
      <c r="F693">
        <v>0</v>
      </c>
      <c r="G693">
        <v>0</v>
      </c>
      <c r="H693" s="1">
        <v>41511</v>
      </c>
      <c r="I693">
        <v>73</v>
      </c>
      <c r="J693">
        <v>466</v>
      </c>
      <c r="K693">
        <v>0</v>
      </c>
      <c r="L693">
        <v>224</v>
      </c>
      <c r="M693">
        <v>119</v>
      </c>
      <c r="N693">
        <v>49</v>
      </c>
      <c r="O693">
        <v>99</v>
      </c>
      <c r="P693">
        <v>1</v>
      </c>
      <c r="Q693">
        <v>5</v>
      </c>
      <c r="R693">
        <v>3</v>
      </c>
      <c r="S693">
        <v>4</v>
      </c>
      <c r="T693">
        <v>2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3</v>
      </c>
      <c r="AB693">
        <v>11</v>
      </c>
      <c r="AC693">
        <v>0</v>
      </c>
    </row>
    <row r="694" spans="1:29" x14ac:dyDescent="0.3">
      <c r="A694">
        <v>450</v>
      </c>
      <c r="B694">
        <v>1958</v>
      </c>
      <c r="C694" t="s">
        <v>34</v>
      </c>
      <c r="D694" t="s">
        <v>31</v>
      </c>
      <c r="E694">
        <v>42315</v>
      </c>
      <c r="F694">
        <v>0</v>
      </c>
      <c r="G694">
        <v>1</v>
      </c>
      <c r="H694" s="1">
        <v>41467</v>
      </c>
      <c r="I694">
        <v>90</v>
      </c>
      <c r="J694">
        <v>67</v>
      </c>
      <c r="K694">
        <v>15</v>
      </c>
      <c r="L694">
        <v>80</v>
      </c>
      <c r="M694">
        <v>17</v>
      </c>
      <c r="N694">
        <v>11</v>
      </c>
      <c r="O694">
        <v>80</v>
      </c>
      <c r="P694">
        <v>3</v>
      </c>
      <c r="Q694">
        <v>1</v>
      </c>
      <c r="R694">
        <v>4</v>
      </c>
      <c r="S694">
        <v>4</v>
      </c>
      <c r="T694">
        <v>3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3</v>
      </c>
      <c r="AB694">
        <v>11</v>
      </c>
      <c r="AC694">
        <v>0</v>
      </c>
    </row>
    <row r="695" spans="1:29" x14ac:dyDescent="0.3">
      <c r="A695">
        <v>9316</v>
      </c>
      <c r="B695">
        <v>1952</v>
      </c>
      <c r="C695" t="s">
        <v>36</v>
      </c>
      <c r="D695" t="s">
        <v>31</v>
      </c>
      <c r="E695">
        <v>13084</v>
      </c>
      <c r="F695">
        <v>0</v>
      </c>
      <c r="G695">
        <v>0</v>
      </c>
      <c r="H695" s="1">
        <v>41580</v>
      </c>
      <c r="I695">
        <v>29</v>
      </c>
      <c r="J695">
        <v>2</v>
      </c>
      <c r="K695">
        <v>0</v>
      </c>
      <c r="L695">
        <v>7</v>
      </c>
      <c r="M695">
        <v>3</v>
      </c>
      <c r="N695">
        <v>7</v>
      </c>
      <c r="O695">
        <v>10</v>
      </c>
      <c r="P695">
        <v>1</v>
      </c>
      <c r="Q695">
        <v>1</v>
      </c>
      <c r="R695">
        <v>0</v>
      </c>
      <c r="S695">
        <v>3</v>
      </c>
      <c r="T695">
        <v>6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3</v>
      </c>
      <c r="AB695">
        <v>11</v>
      </c>
      <c r="AC695">
        <v>0</v>
      </c>
    </row>
    <row r="696" spans="1:29" x14ac:dyDescent="0.3">
      <c r="A696">
        <v>6379</v>
      </c>
      <c r="B696">
        <v>1949</v>
      </c>
      <c r="C696" t="s">
        <v>34</v>
      </c>
      <c r="D696" t="s">
        <v>38</v>
      </c>
      <c r="E696">
        <v>47570</v>
      </c>
      <c r="F696">
        <v>1</v>
      </c>
      <c r="G696">
        <v>1</v>
      </c>
      <c r="H696" s="1">
        <v>41423</v>
      </c>
      <c r="I696">
        <v>3</v>
      </c>
      <c r="J696">
        <v>67</v>
      </c>
      <c r="K696">
        <v>1</v>
      </c>
      <c r="L696">
        <v>20</v>
      </c>
      <c r="M696">
        <v>0</v>
      </c>
      <c r="N696">
        <v>2</v>
      </c>
      <c r="O696">
        <v>31</v>
      </c>
      <c r="P696">
        <v>3</v>
      </c>
      <c r="Q696">
        <v>2</v>
      </c>
      <c r="R696">
        <v>2</v>
      </c>
      <c r="S696">
        <v>2</v>
      </c>
      <c r="T696">
        <v>7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3</v>
      </c>
      <c r="AB696">
        <v>11</v>
      </c>
      <c r="AC696">
        <v>1</v>
      </c>
    </row>
    <row r="697" spans="1:29" x14ac:dyDescent="0.3">
      <c r="A697">
        <v>9239</v>
      </c>
      <c r="B697">
        <v>1961</v>
      </c>
      <c r="C697" t="s">
        <v>34</v>
      </c>
      <c r="D697" t="s">
        <v>33</v>
      </c>
      <c r="E697">
        <v>61923</v>
      </c>
      <c r="F697">
        <v>0</v>
      </c>
      <c r="G697">
        <v>2</v>
      </c>
      <c r="H697" s="1">
        <v>41481</v>
      </c>
      <c r="I697">
        <v>94</v>
      </c>
      <c r="J697">
        <v>92</v>
      </c>
      <c r="K697">
        <v>4</v>
      </c>
      <c r="L697">
        <v>18</v>
      </c>
      <c r="M697">
        <v>3</v>
      </c>
      <c r="N697">
        <v>3</v>
      </c>
      <c r="O697">
        <v>6</v>
      </c>
      <c r="P697">
        <v>1</v>
      </c>
      <c r="Q697">
        <v>2</v>
      </c>
      <c r="R697">
        <v>1</v>
      </c>
      <c r="S697">
        <v>4</v>
      </c>
      <c r="T697">
        <v>3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3</v>
      </c>
      <c r="AB697">
        <v>11</v>
      </c>
      <c r="AC697">
        <v>0</v>
      </c>
    </row>
    <row r="698" spans="1:29" x14ac:dyDescent="0.3">
      <c r="A698">
        <v>8315</v>
      </c>
      <c r="B698">
        <v>1995</v>
      </c>
      <c r="C698" t="s">
        <v>29</v>
      </c>
      <c r="D698" t="s">
        <v>30</v>
      </c>
      <c r="E698">
        <v>34824</v>
      </c>
      <c r="F698">
        <v>0</v>
      </c>
      <c r="G698">
        <v>0</v>
      </c>
      <c r="H698" s="1">
        <v>41724</v>
      </c>
      <c r="I698">
        <v>65</v>
      </c>
      <c r="J698">
        <v>4</v>
      </c>
      <c r="K698">
        <v>2</v>
      </c>
      <c r="L698">
        <v>11</v>
      </c>
      <c r="M698">
        <v>2</v>
      </c>
      <c r="N698">
        <v>0</v>
      </c>
      <c r="O698">
        <v>4</v>
      </c>
      <c r="P698">
        <v>1</v>
      </c>
      <c r="Q698">
        <v>1</v>
      </c>
      <c r="R698">
        <v>0</v>
      </c>
      <c r="S698">
        <v>2</v>
      </c>
      <c r="T698">
        <v>6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3</v>
      </c>
      <c r="AB698">
        <v>11</v>
      </c>
      <c r="AC698">
        <v>0</v>
      </c>
    </row>
    <row r="699" spans="1:29" x14ac:dyDescent="0.3">
      <c r="A699">
        <v>2868</v>
      </c>
      <c r="B699">
        <v>1949</v>
      </c>
      <c r="C699" t="s">
        <v>32</v>
      </c>
      <c r="D699" t="s">
        <v>30</v>
      </c>
      <c r="E699">
        <v>26518</v>
      </c>
      <c r="F699">
        <v>1</v>
      </c>
      <c r="G699">
        <v>1</v>
      </c>
      <c r="H699" s="1">
        <v>41372</v>
      </c>
      <c r="I699">
        <v>33</v>
      </c>
      <c r="J699">
        <v>20</v>
      </c>
      <c r="K699">
        <v>1</v>
      </c>
      <c r="L699">
        <v>28</v>
      </c>
      <c r="M699">
        <v>3</v>
      </c>
      <c r="N699">
        <v>3</v>
      </c>
      <c r="O699">
        <v>2</v>
      </c>
      <c r="P699">
        <v>3</v>
      </c>
      <c r="Q699">
        <v>2</v>
      </c>
      <c r="R699">
        <v>0</v>
      </c>
      <c r="S699">
        <v>3</v>
      </c>
      <c r="T699">
        <v>8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3</v>
      </c>
      <c r="AB699">
        <v>11</v>
      </c>
      <c r="AC699">
        <v>1</v>
      </c>
    </row>
    <row r="700" spans="1:29" x14ac:dyDescent="0.3">
      <c r="A700">
        <v>10888</v>
      </c>
      <c r="B700">
        <v>1961</v>
      </c>
      <c r="C700" t="s">
        <v>29</v>
      </c>
      <c r="D700" t="s">
        <v>30</v>
      </c>
      <c r="E700">
        <v>45938</v>
      </c>
      <c r="F700">
        <v>0</v>
      </c>
      <c r="G700">
        <v>0</v>
      </c>
      <c r="H700" s="1">
        <v>41581</v>
      </c>
      <c r="I700">
        <v>46</v>
      </c>
      <c r="J700">
        <v>273</v>
      </c>
      <c r="K700">
        <v>11</v>
      </c>
      <c r="L700">
        <v>178</v>
      </c>
      <c r="M700">
        <v>62</v>
      </c>
      <c r="N700">
        <v>83</v>
      </c>
      <c r="O700">
        <v>29</v>
      </c>
      <c r="P700">
        <v>2</v>
      </c>
      <c r="Q700">
        <v>8</v>
      </c>
      <c r="R700">
        <v>4</v>
      </c>
      <c r="S700">
        <v>6</v>
      </c>
      <c r="T700">
        <v>6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3</v>
      </c>
      <c r="AB700">
        <v>11</v>
      </c>
      <c r="AC700">
        <v>0</v>
      </c>
    </row>
    <row r="701" spans="1:29" x14ac:dyDescent="0.3">
      <c r="A701">
        <v>1277</v>
      </c>
      <c r="B701">
        <v>1960</v>
      </c>
      <c r="C701" t="s">
        <v>29</v>
      </c>
      <c r="D701" t="s">
        <v>31</v>
      </c>
      <c r="E701">
        <v>78468</v>
      </c>
      <c r="F701">
        <v>0</v>
      </c>
      <c r="G701">
        <v>0</v>
      </c>
      <c r="H701" s="1">
        <v>41738</v>
      </c>
      <c r="I701">
        <v>29</v>
      </c>
      <c r="J701">
        <v>434</v>
      </c>
      <c r="K701">
        <v>22</v>
      </c>
      <c r="L701">
        <v>388</v>
      </c>
      <c r="M701">
        <v>104</v>
      </c>
      <c r="N701">
        <v>22</v>
      </c>
      <c r="O701">
        <v>34</v>
      </c>
      <c r="P701">
        <v>1</v>
      </c>
      <c r="Q701">
        <v>10</v>
      </c>
      <c r="R701">
        <v>7</v>
      </c>
      <c r="S701">
        <v>10</v>
      </c>
      <c r="T701">
        <v>4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>
        <v>3</v>
      </c>
      <c r="AB701">
        <v>11</v>
      </c>
      <c r="AC701">
        <v>0</v>
      </c>
    </row>
    <row r="702" spans="1:29" x14ac:dyDescent="0.3">
      <c r="A702">
        <v>9977</v>
      </c>
      <c r="B702">
        <v>1973</v>
      </c>
      <c r="C702" t="s">
        <v>29</v>
      </c>
      <c r="D702" t="s">
        <v>35</v>
      </c>
      <c r="E702">
        <v>78901</v>
      </c>
      <c r="F702">
        <v>0</v>
      </c>
      <c r="G702">
        <v>1</v>
      </c>
      <c r="H702" s="1">
        <v>41534</v>
      </c>
      <c r="I702">
        <v>99</v>
      </c>
      <c r="J702">
        <v>321</v>
      </c>
      <c r="K702">
        <v>11</v>
      </c>
      <c r="L702">
        <v>309</v>
      </c>
      <c r="M702">
        <v>33</v>
      </c>
      <c r="N702">
        <v>26</v>
      </c>
      <c r="O702">
        <v>34</v>
      </c>
      <c r="P702">
        <v>3</v>
      </c>
      <c r="Q702">
        <v>9</v>
      </c>
      <c r="R702">
        <v>3</v>
      </c>
      <c r="S702">
        <v>5</v>
      </c>
      <c r="T702">
        <v>4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3</v>
      </c>
      <c r="AB702">
        <v>11</v>
      </c>
      <c r="AC702">
        <v>0</v>
      </c>
    </row>
    <row r="703" spans="1:29" x14ac:dyDescent="0.3">
      <c r="A703">
        <v>10196</v>
      </c>
      <c r="B703">
        <v>1978</v>
      </c>
      <c r="C703" t="s">
        <v>29</v>
      </c>
      <c r="D703" t="s">
        <v>33</v>
      </c>
      <c r="E703">
        <v>71427</v>
      </c>
      <c r="F703">
        <v>2</v>
      </c>
      <c r="G703">
        <v>0</v>
      </c>
      <c r="H703" s="1">
        <v>41710</v>
      </c>
      <c r="I703">
        <v>26</v>
      </c>
      <c r="J703">
        <v>212</v>
      </c>
      <c r="K703">
        <v>123</v>
      </c>
      <c r="L703">
        <v>177</v>
      </c>
      <c r="M703">
        <v>15</v>
      </c>
      <c r="N703">
        <v>64</v>
      </c>
      <c r="O703">
        <v>23</v>
      </c>
      <c r="P703">
        <v>2</v>
      </c>
      <c r="Q703">
        <v>8</v>
      </c>
      <c r="R703">
        <v>2</v>
      </c>
      <c r="S703">
        <v>8</v>
      </c>
      <c r="T703">
        <v>4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3</v>
      </c>
      <c r="AB703">
        <v>11</v>
      </c>
      <c r="AC703">
        <v>0</v>
      </c>
    </row>
    <row r="704" spans="1:29" x14ac:dyDescent="0.3">
      <c r="A704">
        <v>6384</v>
      </c>
      <c r="B704">
        <v>1978</v>
      </c>
      <c r="C704" t="s">
        <v>29</v>
      </c>
      <c r="D704" t="s">
        <v>35</v>
      </c>
      <c r="E704">
        <v>71022</v>
      </c>
      <c r="F704">
        <v>0</v>
      </c>
      <c r="G704">
        <v>1</v>
      </c>
      <c r="H704" s="1">
        <v>41681</v>
      </c>
      <c r="I704">
        <v>30</v>
      </c>
      <c r="J704">
        <v>909</v>
      </c>
      <c r="K704">
        <v>12</v>
      </c>
      <c r="L704">
        <v>278</v>
      </c>
      <c r="M704">
        <v>0</v>
      </c>
      <c r="N704">
        <v>12</v>
      </c>
      <c r="O704">
        <v>242</v>
      </c>
      <c r="P704">
        <v>3</v>
      </c>
      <c r="Q704">
        <v>5</v>
      </c>
      <c r="R704">
        <v>2</v>
      </c>
      <c r="S704">
        <v>11</v>
      </c>
      <c r="T704">
        <v>8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3</v>
      </c>
      <c r="AB704">
        <v>11</v>
      </c>
      <c r="AC704">
        <v>0</v>
      </c>
    </row>
    <row r="705" spans="1:29" x14ac:dyDescent="0.3">
      <c r="A705">
        <v>8029</v>
      </c>
      <c r="B705">
        <v>1988</v>
      </c>
      <c r="C705" t="s">
        <v>34</v>
      </c>
      <c r="D705" t="s">
        <v>30</v>
      </c>
      <c r="E705">
        <v>90247</v>
      </c>
      <c r="F705">
        <v>0</v>
      </c>
      <c r="G705">
        <v>0</v>
      </c>
      <c r="H705" s="1">
        <v>41758</v>
      </c>
      <c r="I705">
        <v>27</v>
      </c>
      <c r="J705">
        <v>1184</v>
      </c>
      <c r="K705">
        <v>32</v>
      </c>
      <c r="L705">
        <v>352</v>
      </c>
      <c r="M705">
        <v>21</v>
      </c>
      <c r="N705">
        <v>16</v>
      </c>
      <c r="O705">
        <v>16</v>
      </c>
      <c r="P705">
        <v>1</v>
      </c>
      <c r="Q705">
        <v>3</v>
      </c>
      <c r="R705">
        <v>4</v>
      </c>
      <c r="S705">
        <v>7</v>
      </c>
      <c r="T705">
        <v>1</v>
      </c>
      <c r="U705">
        <v>0</v>
      </c>
      <c r="V705">
        <v>1</v>
      </c>
      <c r="W705">
        <v>1</v>
      </c>
      <c r="X705">
        <v>1</v>
      </c>
      <c r="Y705">
        <v>0</v>
      </c>
      <c r="Z705">
        <v>0</v>
      </c>
      <c r="AA705">
        <v>3</v>
      </c>
      <c r="AB705">
        <v>11</v>
      </c>
      <c r="AC705">
        <v>1</v>
      </c>
    </row>
    <row r="706" spans="1:29" x14ac:dyDescent="0.3">
      <c r="A706">
        <v>968</v>
      </c>
      <c r="B706">
        <v>1968</v>
      </c>
      <c r="C706" t="s">
        <v>34</v>
      </c>
      <c r="D706" t="s">
        <v>35</v>
      </c>
      <c r="E706">
        <v>41335</v>
      </c>
      <c r="F706">
        <v>1</v>
      </c>
      <c r="G706">
        <v>0</v>
      </c>
      <c r="H706" s="1">
        <v>41634</v>
      </c>
      <c r="I706">
        <v>24</v>
      </c>
      <c r="J706">
        <v>112</v>
      </c>
      <c r="K706">
        <v>19</v>
      </c>
      <c r="L706">
        <v>21</v>
      </c>
      <c r="M706">
        <v>16</v>
      </c>
      <c r="N706">
        <v>14</v>
      </c>
      <c r="O706">
        <v>5</v>
      </c>
      <c r="P706">
        <v>3</v>
      </c>
      <c r="Q706">
        <v>4</v>
      </c>
      <c r="R706">
        <v>1</v>
      </c>
      <c r="S706">
        <v>4</v>
      </c>
      <c r="T706">
        <v>7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3</v>
      </c>
      <c r="AB706">
        <v>11</v>
      </c>
      <c r="AC706">
        <v>0</v>
      </c>
    </row>
    <row r="707" spans="1:29" x14ac:dyDescent="0.3">
      <c r="A707">
        <v>6988</v>
      </c>
      <c r="B707">
        <v>1986</v>
      </c>
      <c r="C707" t="s">
        <v>29</v>
      </c>
      <c r="D707" t="s">
        <v>33</v>
      </c>
      <c r="E707">
        <v>71952</v>
      </c>
      <c r="F707">
        <v>1</v>
      </c>
      <c r="G707">
        <v>0</v>
      </c>
      <c r="H707" s="1">
        <v>41284</v>
      </c>
      <c r="I707">
        <v>93</v>
      </c>
      <c r="J707">
        <v>656</v>
      </c>
      <c r="K707">
        <v>80</v>
      </c>
      <c r="L707">
        <v>455</v>
      </c>
      <c r="M707">
        <v>52</v>
      </c>
      <c r="N707">
        <v>107</v>
      </c>
      <c r="O707">
        <v>93</v>
      </c>
      <c r="P707">
        <v>2</v>
      </c>
      <c r="Q707">
        <v>8</v>
      </c>
      <c r="R707">
        <v>4</v>
      </c>
      <c r="S707">
        <v>8</v>
      </c>
      <c r="T707">
        <v>4</v>
      </c>
      <c r="U707">
        <v>1</v>
      </c>
      <c r="V707">
        <v>0</v>
      </c>
      <c r="W707">
        <v>1</v>
      </c>
      <c r="X707">
        <v>0</v>
      </c>
      <c r="Y707">
        <v>0</v>
      </c>
      <c r="Z707">
        <v>0</v>
      </c>
      <c r="AA707">
        <v>3</v>
      </c>
      <c r="AB707">
        <v>11</v>
      </c>
      <c r="AC707">
        <v>0</v>
      </c>
    </row>
    <row r="708" spans="1:29" x14ac:dyDescent="0.3">
      <c r="A708">
        <v>4472</v>
      </c>
      <c r="B708">
        <v>1970</v>
      </c>
      <c r="C708" t="s">
        <v>32</v>
      </c>
      <c r="D708" t="s">
        <v>35</v>
      </c>
      <c r="E708">
        <v>35682</v>
      </c>
      <c r="F708">
        <v>1</v>
      </c>
      <c r="G708">
        <v>0</v>
      </c>
      <c r="H708" s="1">
        <v>41817</v>
      </c>
      <c r="I708">
        <v>34</v>
      </c>
      <c r="J708">
        <v>23</v>
      </c>
      <c r="K708">
        <v>0</v>
      </c>
      <c r="L708">
        <v>8</v>
      </c>
      <c r="M708">
        <v>6</v>
      </c>
      <c r="N708">
        <v>2</v>
      </c>
      <c r="O708">
        <v>18</v>
      </c>
      <c r="P708">
        <v>1</v>
      </c>
      <c r="Q708">
        <v>1</v>
      </c>
      <c r="R708">
        <v>1</v>
      </c>
      <c r="S708">
        <v>3</v>
      </c>
      <c r="T708">
        <v>2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3</v>
      </c>
      <c r="AB708">
        <v>11</v>
      </c>
      <c r="AC708">
        <v>0</v>
      </c>
    </row>
    <row r="709" spans="1:29" x14ac:dyDescent="0.3">
      <c r="A709">
        <v>6991</v>
      </c>
      <c r="B709">
        <v>1951</v>
      </c>
      <c r="C709" t="s">
        <v>29</v>
      </c>
      <c r="D709" t="s">
        <v>35</v>
      </c>
      <c r="E709">
        <v>43185</v>
      </c>
      <c r="F709">
        <v>0</v>
      </c>
      <c r="G709">
        <v>1</v>
      </c>
      <c r="H709" s="1">
        <v>41374</v>
      </c>
      <c r="I709">
        <v>88</v>
      </c>
      <c r="J709">
        <v>537</v>
      </c>
      <c r="K709">
        <v>6</v>
      </c>
      <c r="L709">
        <v>42</v>
      </c>
      <c r="M709">
        <v>16</v>
      </c>
      <c r="N709">
        <v>6</v>
      </c>
      <c r="O709">
        <v>30</v>
      </c>
      <c r="P709">
        <v>2</v>
      </c>
      <c r="Q709">
        <v>9</v>
      </c>
      <c r="R709">
        <v>3</v>
      </c>
      <c r="S709">
        <v>6</v>
      </c>
      <c r="T709">
        <v>8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3</v>
      </c>
      <c r="AB709">
        <v>11</v>
      </c>
      <c r="AC709">
        <v>0</v>
      </c>
    </row>
    <row r="710" spans="1:29" x14ac:dyDescent="0.3">
      <c r="A710">
        <v>3336</v>
      </c>
      <c r="B710">
        <v>1948</v>
      </c>
      <c r="C710" t="s">
        <v>32</v>
      </c>
      <c r="D710" t="s">
        <v>31</v>
      </c>
      <c r="E710">
        <v>66375</v>
      </c>
      <c r="F710">
        <v>0</v>
      </c>
      <c r="G710">
        <v>1</v>
      </c>
      <c r="H710" s="1">
        <v>41599</v>
      </c>
      <c r="I710">
        <v>96</v>
      </c>
      <c r="J710">
        <v>712</v>
      </c>
      <c r="K710">
        <v>0</v>
      </c>
      <c r="L710">
        <v>45</v>
      </c>
      <c r="M710">
        <v>0</v>
      </c>
      <c r="N710">
        <v>0</v>
      </c>
      <c r="O710">
        <v>191</v>
      </c>
      <c r="P710">
        <v>3</v>
      </c>
      <c r="Q710">
        <v>2</v>
      </c>
      <c r="R710">
        <v>4</v>
      </c>
      <c r="S710">
        <v>5</v>
      </c>
      <c r="T710">
        <v>7</v>
      </c>
      <c r="U710">
        <v>1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3</v>
      </c>
      <c r="AB710">
        <v>11</v>
      </c>
      <c r="AC710">
        <v>0</v>
      </c>
    </row>
    <row r="711" spans="1:29" x14ac:dyDescent="0.3">
      <c r="A711">
        <v>4301</v>
      </c>
      <c r="B711">
        <v>1971</v>
      </c>
      <c r="C711" t="s">
        <v>34</v>
      </c>
      <c r="D711" t="s">
        <v>33</v>
      </c>
      <c r="E711">
        <v>35178</v>
      </c>
      <c r="F711">
        <v>1</v>
      </c>
      <c r="G711">
        <v>0</v>
      </c>
      <c r="H711" s="1">
        <v>41284</v>
      </c>
      <c r="I711">
        <v>10</v>
      </c>
      <c r="J711">
        <v>23</v>
      </c>
      <c r="K711">
        <v>1</v>
      </c>
      <c r="L711">
        <v>13</v>
      </c>
      <c r="M711">
        <v>2</v>
      </c>
      <c r="N711">
        <v>2</v>
      </c>
      <c r="O711">
        <v>18</v>
      </c>
      <c r="P711">
        <v>1</v>
      </c>
      <c r="Q711">
        <v>1</v>
      </c>
      <c r="R711">
        <v>1</v>
      </c>
      <c r="S711">
        <v>2</v>
      </c>
      <c r="T711">
        <v>7</v>
      </c>
      <c r="U711">
        <v>1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3</v>
      </c>
      <c r="AB711">
        <v>11</v>
      </c>
      <c r="AC711">
        <v>1</v>
      </c>
    </row>
    <row r="712" spans="1:29" x14ac:dyDescent="0.3">
      <c r="A712">
        <v>1940</v>
      </c>
      <c r="B712">
        <v>1986</v>
      </c>
      <c r="C712" t="s">
        <v>29</v>
      </c>
      <c r="D712" t="s">
        <v>33</v>
      </c>
      <c r="E712">
        <v>25252</v>
      </c>
      <c r="F712">
        <v>1</v>
      </c>
      <c r="G712">
        <v>0</v>
      </c>
      <c r="H712" s="1">
        <v>41467</v>
      </c>
      <c r="I712">
        <v>26</v>
      </c>
      <c r="J712">
        <v>1</v>
      </c>
      <c r="K712">
        <v>3</v>
      </c>
      <c r="L712">
        <v>4</v>
      </c>
      <c r="M712">
        <v>2</v>
      </c>
      <c r="N712">
        <v>2</v>
      </c>
      <c r="O712">
        <v>6</v>
      </c>
      <c r="P712">
        <v>1</v>
      </c>
      <c r="Q712">
        <v>1</v>
      </c>
      <c r="R712">
        <v>0</v>
      </c>
      <c r="S712">
        <v>2</v>
      </c>
      <c r="T712">
        <v>8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3</v>
      </c>
      <c r="AB712">
        <v>11</v>
      </c>
      <c r="AC712">
        <v>0</v>
      </c>
    </row>
    <row r="713" spans="1:29" x14ac:dyDescent="0.3">
      <c r="A713">
        <v>1272</v>
      </c>
      <c r="B713">
        <v>1965</v>
      </c>
      <c r="C713" t="s">
        <v>34</v>
      </c>
      <c r="D713" t="s">
        <v>30</v>
      </c>
      <c r="E713">
        <v>55250</v>
      </c>
      <c r="F713">
        <v>0</v>
      </c>
      <c r="G713">
        <v>1</v>
      </c>
      <c r="H713" s="1">
        <v>41203</v>
      </c>
      <c r="I713">
        <v>49</v>
      </c>
      <c r="J713">
        <v>664</v>
      </c>
      <c r="K713">
        <v>58</v>
      </c>
      <c r="L713">
        <v>83</v>
      </c>
      <c r="M713">
        <v>32</v>
      </c>
      <c r="N713">
        <v>0</v>
      </c>
      <c r="O713">
        <v>66</v>
      </c>
      <c r="P713">
        <v>4</v>
      </c>
      <c r="Q713">
        <v>7</v>
      </c>
      <c r="R713">
        <v>5</v>
      </c>
      <c r="S713">
        <v>10</v>
      </c>
      <c r="T713">
        <v>5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3</v>
      </c>
      <c r="AB713">
        <v>11</v>
      </c>
      <c r="AC713">
        <v>0</v>
      </c>
    </row>
    <row r="714" spans="1:29" x14ac:dyDescent="0.3">
      <c r="A714">
        <v>1388</v>
      </c>
      <c r="B714">
        <v>1975</v>
      </c>
      <c r="C714" t="s">
        <v>29</v>
      </c>
      <c r="D714" t="s">
        <v>30</v>
      </c>
      <c r="E714">
        <v>33249</v>
      </c>
      <c r="F714">
        <v>1</v>
      </c>
      <c r="G714">
        <v>0</v>
      </c>
      <c r="H714" s="1">
        <v>41325</v>
      </c>
      <c r="I714">
        <v>11</v>
      </c>
      <c r="J714">
        <v>6</v>
      </c>
      <c r="K714">
        <v>10</v>
      </c>
      <c r="L714">
        <v>21</v>
      </c>
      <c r="M714">
        <v>19</v>
      </c>
      <c r="N714">
        <v>14</v>
      </c>
      <c r="O714">
        <v>42</v>
      </c>
      <c r="P714">
        <v>2</v>
      </c>
      <c r="Q714">
        <v>2</v>
      </c>
      <c r="R714">
        <v>1</v>
      </c>
      <c r="S714">
        <v>3</v>
      </c>
      <c r="T714">
        <v>6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3</v>
      </c>
      <c r="AB714">
        <v>11</v>
      </c>
      <c r="AC714">
        <v>0</v>
      </c>
    </row>
    <row r="715" spans="1:29" x14ac:dyDescent="0.3">
      <c r="A715">
        <v>1044</v>
      </c>
      <c r="B715">
        <v>1953</v>
      </c>
      <c r="C715" t="s">
        <v>29</v>
      </c>
      <c r="D715" t="s">
        <v>31</v>
      </c>
      <c r="E715">
        <v>58398</v>
      </c>
      <c r="F715">
        <v>0</v>
      </c>
      <c r="G715">
        <v>0</v>
      </c>
      <c r="H715" s="1">
        <v>41408</v>
      </c>
      <c r="I715">
        <v>44</v>
      </c>
      <c r="J715">
        <v>299</v>
      </c>
      <c r="K715">
        <v>5</v>
      </c>
      <c r="L715">
        <v>201</v>
      </c>
      <c r="M715">
        <v>21</v>
      </c>
      <c r="N715">
        <v>21</v>
      </c>
      <c r="O715">
        <v>49</v>
      </c>
      <c r="P715">
        <v>3</v>
      </c>
      <c r="Q715">
        <v>5</v>
      </c>
      <c r="R715">
        <v>4</v>
      </c>
      <c r="S715">
        <v>8</v>
      </c>
      <c r="T715">
        <v>4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3</v>
      </c>
      <c r="AB715">
        <v>11</v>
      </c>
      <c r="AC715">
        <v>0</v>
      </c>
    </row>
    <row r="716" spans="1:29" x14ac:dyDescent="0.3">
      <c r="A716">
        <v>6969</v>
      </c>
      <c r="B716">
        <v>1982</v>
      </c>
      <c r="C716" t="s">
        <v>29</v>
      </c>
      <c r="D716" t="s">
        <v>31</v>
      </c>
      <c r="E716">
        <v>50272</v>
      </c>
      <c r="F716">
        <v>1</v>
      </c>
      <c r="G716">
        <v>0</v>
      </c>
      <c r="H716" s="1">
        <v>41493</v>
      </c>
      <c r="I716">
        <v>75</v>
      </c>
      <c r="J716">
        <v>99</v>
      </c>
      <c r="K716">
        <v>13</v>
      </c>
      <c r="L716">
        <v>66</v>
      </c>
      <c r="M716">
        <v>43</v>
      </c>
      <c r="N716">
        <v>8</v>
      </c>
      <c r="O716">
        <v>4</v>
      </c>
      <c r="P716">
        <v>3</v>
      </c>
      <c r="Q716">
        <v>4</v>
      </c>
      <c r="R716">
        <v>1</v>
      </c>
      <c r="S716">
        <v>5</v>
      </c>
      <c r="T716">
        <v>7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3</v>
      </c>
      <c r="AB716">
        <v>11</v>
      </c>
      <c r="AC716">
        <v>0</v>
      </c>
    </row>
    <row r="717" spans="1:29" x14ac:dyDescent="0.3">
      <c r="A717">
        <v>10479</v>
      </c>
      <c r="B717">
        <v>1975</v>
      </c>
      <c r="C717" t="s">
        <v>32</v>
      </c>
      <c r="D717" t="s">
        <v>33</v>
      </c>
      <c r="E717">
        <v>76618</v>
      </c>
      <c r="F717">
        <v>0</v>
      </c>
      <c r="G717">
        <v>0</v>
      </c>
      <c r="H717" s="1">
        <v>41250</v>
      </c>
      <c r="I717">
        <v>64</v>
      </c>
      <c r="J717">
        <v>749</v>
      </c>
      <c r="K717">
        <v>40</v>
      </c>
      <c r="L717">
        <v>294</v>
      </c>
      <c r="M717">
        <v>121</v>
      </c>
      <c r="N717">
        <v>160</v>
      </c>
      <c r="O717">
        <v>147</v>
      </c>
      <c r="P717">
        <v>1</v>
      </c>
      <c r="Q717">
        <v>3</v>
      </c>
      <c r="R717">
        <v>2</v>
      </c>
      <c r="S717">
        <v>5</v>
      </c>
      <c r="T717">
        <v>1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3</v>
      </c>
      <c r="AB717">
        <v>11</v>
      </c>
      <c r="AC717">
        <v>0</v>
      </c>
    </row>
    <row r="718" spans="1:29" x14ac:dyDescent="0.3">
      <c r="A718">
        <v>3619</v>
      </c>
      <c r="B718">
        <v>1960</v>
      </c>
      <c r="C718" t="s">
        <v>37</v>
      </c>
      <c r="D718" t="s">
        <v>35</v>
      </c>
      <c r="E718">
        <v>87305</v>
      </c>
      <c r="F718">
        <v>0</v>
      </c>
      <c r="G718">
        <v>0</v>
      </c>
      <c r="H718" s="1">
        <v>41175</v>
      </c>
      <c r="I718">
        <v>19</v>
      </c>
      <c r="J718">
        <v>345</v>
      </c>
      <c r="K718">
        <v>25</v>
      </c>
      <c r="L718">
        <v>501</v>
      </c>
      <c r="M718">
        <v>63</v>
      </c>
      <c r="N718">
        <v>138</v>
      </c>
      <c r="O718">
        <v>80</v>
      </c>
      <c r="P718">
        <v>1</v>
      </c>
      <c r="Q718">
        <v>5</v>
      </c>
      <c r="R718">
        <v>3</v>
      </c>
      <c r="S718">
        <v>8</v>
      </c>
      <c r="T718">
        <v>2</v>
      </c>
      <c r="U718">
        <v>0</v>
      </c>
      <c r="V718">
        <v>0</v>
      </c>
      <c r="W718">
        <v>1</v>
      </c>
      <c r="X718">
        <v>0</v>
      </c>
      <c r="Y718">
        <v>0</v>
      </c>
      <c r="Z718">
        <v>0</v>
      </c>
      <c r="AA718">
        <v>3</v>
      </c>
      <c r="AB718">
        <v>11</v>
      </c>
      <c r="AC718">
        <v>1</v>
      </c>
    </row>
    <row r="719" spans="1:29" x14ac:dyDescent="0.3">
      <c r="A719">
        <v>1715</v>
      </c>
      <c r="B719">
        <v>1978</v>
      </c>
      <c r="C719" t="s">
        <v>29</v>
      </c>
      <c r="D719" t="s">
        <v>31</v>
      </c>
      <c r="E719">
        <v>25851</v>
      </c>
      <c r="F719">
        <v>1</v>
      </c>
      <c r="G719">
        <v>0</v>
      </c>
      <c r="H719" s="1">
        <v>41316</v>
      </c>
      <c r="I719">
        <v>45</v>
      </c>
      <c r="J719">
        <v>9</v>
      </c>
      <c r="K719">
        <v>4</v>
      </c>
      <c r="L719">
        <v>18</v>
      </c>
      <c r="M719">
        <v>7</v>
      </c>
      <c r="N719">
        <v>5</v>
      </c>
      <c r="O719">
        <v>5</v>
      </c>
      <c r="P719">
        <v>2</v>
      </c>
      <c r="Q719">
        <v>2</v>
      </c>
      <c r="R719">
        <v>0</v>
      </c>
      <c r="S719">
        <v>3</v>
      </c>
      <c r="T719">
        <v>7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3</v>
      </c>
      <c r="AB719">
        <v>11</v>
      </c>
      <c r="AC719">
        <v>0</v>
      </c>
    </row>
    <row r="720" spans="1:29" x14ac:dyDescent="0.3">
      <c r="A720">
        <v>10159</v>
      </c>
      <c r="B720">
        <v>1970</v>
      </c>
      <c r="C720" t="s">
        <v>29</v>
      </c>
      <c r="D720" t="s">
        <v>35</v>
      </c>
      <c r="E720">
        <v>58710</v>
      </c>
      <c r="F720">
        <v>0</v>
      </c>
      <c r="G720">
        <v>1</v>
      </c>
      <c r="H720" s="1">
        <v>41364</v>
      </c>
      <c r="I720">
        <v>77</v>
      </c>
      <c r="J720">
        <v>440</v>
      </c>
      <c r="K720">
        <v>81</v>
      </c>
      <c r="L720">
        <v>368</v>
      </c>
      <c r="M720">
        <v>0</v>
      </c>
      <c r="N720">
        <v>122</v>
      </c>
      <c r="O720">
        <v>174</v>
      </c>
      <c r="P720">
        <v>6</v>
      </c>
      <c r="Q720">
        <v>11</v>
      </c>
      <c r="R720">
        <v>5</v>
      </c>
      <c r="S720">
        <v>9</v>
      </c>
      <c r="T720">
        <v>6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3</v>
      </c>
      <c r="AB720">
        <v>11</v>
      </c>
      <c r="AC720">
        <v>0</v>
      </c>
    </row>
    <row r="721" spans="1:29" x14ac:dyDescent="0.3">
      <c r="A721">
        <v>1463</v>
      </c>
      <c r="B721">
        <v>1958</v>
      </c>
      <c r="C721" t="s">
        <v>29</v>
      </c>
      <c r="D721" t="s">
        <v>30</v>
      </c>
      <c r="E721">
        <v>45160</v>
      </c>
      <c r="F721">
        <v>1</v>
      </c>
      <c r="G721">
        <v>1</v>
      </c>
      <c r="H721" s="1">
        <v>41727</v>
      </c>
      <c r="I721">
        <v>9</v>
      </c>
      <c r="J721">
        <v>8</v>
      </c>
      <c r="K721">
        <v>2</v>
      </c>
      <c r="L721">
        <v>5</v>
      </c>
      <c r="M721">
        <v>3</v>
      </c>
      <c r="N721">
        <v>0</v>
      </c>
      <c r="O721">
        <v>3</v>
      </c>
      <c r="P721">
        <v>1</v>
      </c>
      <c r="Q721">
        <v>1</v>
      </c>
      <c r="R721">
        <v>0</v>
      </c>
      <c r="S721">
        <v>2</v>
      </c>
      <c r="T721">
        <v>7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3</v>
      </c>
      <c r="AB721">
        <v>11</v>
      </c>
      <c r="AC721">
        <v>0</v>
      </c>
    </row>
    <row r="722" spans="1:29" x14ac:dyDescent="0.3">
      <c r="A722">
        <v>5114</v>
      </c>
      <c r="B722">
        <v>1965</v>
      </c>
      <c r="C722" t="s">
        <v>34</v>
      </c>
      <c r="D722" t="s">
        <v>33</v>
      </c>
      <c r="E722">
        <v>74806</v>
      </c>
      <c r="F722">
        <v>0</v>
      </c>
      <c r="G722">
        <v>1</v>
      </c>
      <c r="H722" s="1">
        <v>41262</v>
      </c>
      <c r="I722">
        <v>1</v>
      </c>
      <c r="J722">
        <v>670</v>
      </c>
      <c r="K722">
        <v>9</v>
      </c>
      <c r="L722">
        <v>249</v>
      </c>
      <c r="M722">
        <v>0</v>
      </c>
      <c r="N722">
        <v>28</v>
      </c>
      <c r="O722">
        <v>9</v>
      </c>
      <c r="P722">
        <v>2</v>
      </c>
      <c r="Q722">
        <v>5</v>
      </c>
      <c r="R722">
        <v>4</v>
      </c>
      <c r="S722">
        <v>5</v>
      </c>
      <c r="T722">
        <v>4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3</v>
      </c>
      <c r="AB722">
        <v>11</v>
      </c>
      <c r="AC722">
        <v>0</v>
      </c>
    </row>
    <row r="723" spans="1:29" x14ac:dyDescent="0.3">
      <c r="A723">
        <v>4990</v>
      </c>
      <c r="B723">
        <v>1954</v>
      </c>
      <c r="C723" t="s">
        <v>29</v>
      </c>
      <c r="D723" t="s">
        <v>33</v>
      </c>
      <c r="E723">
        <v>59111</v>
      </c>
      <c r="F723">
        <v>0</v>
      </c>
      <c r="G723">
        <v>0</v>
      </c>
      <c r="H723" s="1">
        <v>41396</v>
      </c>
      <c r="I723">
        <v>90</v>
      </c>
      <c r="J723">
        <v>524</v>
      </c>
      <c r="K723">
        <v>0</v>
      </c>
      <c r="L723">
        <v>134</v>
      </c>
      <c r="M723">
        <v>28</v>
      </c>
      <c r="N723">
        <v>28</v>
      </c>
      <c r="O723">
        <v>155</v>
      </c>
      <c r="P723">
        <v>1</v>
      </c>
      <c r="Q723">
        <v>11</v>
      </c>
      <c r="R723">
        <v>1</v>
      </c>
      <c r="S723">
        <v>8</v>
      </c>
      <c r="T723">
        <v>7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3</v>
      </c>
      <c r="AB723">
        <v>11</v>
      </c>
      <c r="AC723">
        <v>0</v>
      </c>
    </row>
    <row r="724" spans="1:29" x14ac:dyDescent="0.3">
      <c r="A724">
        <v>4329</v>
      </c>
      <c r="B724">
        <v>1984</v>
      </c>
      <c r="C724" t="s">
        <v>32</v>
      </c>
      <c r="D724" t="s">
        <v>33</v>
      </c>
      <c r="E724">
        <v>18988</v>
      </c>
      <c r="F724">
        <v>1</v>
      </c>
      <c r="G724">
        <v>0</v>
      </c>
      <c r="H724" s="1">
        <v>41782</v>
      </c>
      <c r="I724">
        <v>43</v>
      </c>
      <c r="J724">
        <v>6</v>
      </c>
      <c r="K724">
        <v>0</v>
      </c>
      <c r="L724">
        <v>6</v>
      </c>
      <c r="M724">
        <v>2</v>
      </c>
      <c r="N724">
        <v>1</v>
      </c>
      <c r="O724">
        <v>1</v>
      </c>
      <c r="P724">
        <v>2</v>
      </c>
      <c r="Q724">
        <v>1</v>
      </c>
      <c r="R724">
        <v>0</v>
      </c>
      <c r="S724">
        <v>3</v>
      </c>
      <c r="T724">
        <v>7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3</v>
      </c>
      <c r="AB724">
        <v>11</v>
      </c>
      <c r="AC724">
        <v>0</v>
      </c>
    </row>
    <row r="725" spans="1:29" x14ac:dyDescent="0.3">
      <c r="A725">
        <v>10936</v>
      </c>
      <c r="B725">
        <v>1965</v>
      </c>
      <c r="C725" t="s">
        <v>29</v>
      </c>
      <c r="D725" t="s">
        <v>33</v>
      </c>
      <c r="E725">
        <v>72190</v>
      </c>
      <c r="F725">
        <v>0</v>
      </c>
      <c r="G725">
        <v>0</v>
      </c>
      <c r="H725" s="1">
        <v>41318</v>
      </c>
      <c r="I725">
        <v>79</v>
      </c>
      <c r="J725">
        <v>597</v>
      </c>
      <c r="K725">
        <v>166</v>
      </c>
      <c r="L725">
        <v>597</v>
      </c>
      <c r="M725">
        <v>172</v>
      </c>
      <c r="N725">
        <v>166</v>
      </c>
      <c r="O725">
        <v>249</v>
      </c>
      <c r="P725">
        <v>1</v>
      </c>
      <c r="Q725">
        <v>5</v>
      </c>
      <c r="R725">
        <v>6</v>
      </c>
      <c r="S725">
        <v>4</v>
      </c>
      <c r="T725">
        <v>3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3</v>
      </c>
      <c r="AB725">
        <v>11</v>
      </c>
      <c r="AC725">
        <v>0</v>
      </c>
    </row>
    <row r="726" spans="1:29" x14ac:dyDescent="0.3">
      <c r="A726">
        <v>4692</v>
      </c>
      <c r="B726">
        <v>1976</v>
      </c>
      <c r="C726" t="s">
        <v>29</v>
      </c>
      <c r="D726" t="s">
        <v>33</v>
      </c>
      <c r="E726">
        <v>7500</v>
      </c>
      <c r="F726">
        <v>1</v>
      </c>
      <c r="G726">
        <v>0</v>
      </c>
      <c r="H726" s="1">
        <v>41122</v>
      </c>
      <c r="I726">
        <v>19</v>
      </c>
      <c r="J726">
        <v>7</v>
      </c>
      <c r="K726">
        <v>0</v>
      </c>
      <c r="L726">
        <v>12</v>
      </c>
      <c r="M726">
        <v>13</v>
      </c>
      <c r="N726">
        <v>7</v>
      </c>
      <c r="O726">
        <v>32</v>
      </c>
      <c r="P726">
        <v>5</v>
      </c>
      <c r="Q726">
        <v>4</v>
      </c>
      <c r="R726">
        <v>1</v>
      </c>
      <c r="S726">
        <v>2</v>
      </c>
      <c r="T726">
        <v>9</v>
      </c>
      <c r="U726">
        <v>1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3</v>
      </c>
      <c r="AB726">
        <v>11</v>
      </c>
      <c r="AC726">
        <v>1</v>
      </c>
    </row>
    <row r="727" spans="1:29" x14ac:dyDescent="0.3">
      <c r="A727">
        <v>7212</v>
      </c>
      <c r="B727">
        <v>1966</v>
      </c>
      <c r="C727" t="s">
        <v>29</v>
      </c>
      <c r="D727" t="s">
        <v>33</v>
      </c>
      <c r="E727">
        <v>44794</v>
      </c>
      <c r="F727">
        <v>0</v>
      </c>
      <c r="G727">
        <v>1</v>
      </c>
      <c r="H727" s="1">
        <v>41798</v>
      </c>
      <c r="I727">
        <v>99</v>
      </c>
      <c r="J727">
        <v>54</v>
      </c>
      <c r="K727">
        <v>0</v>
      </c>
      <c r="L727">
        <v>7</v>
      </c>
      <c r="M727">
        <v>0</v>
      </c>
      <c r="N727">
        <v>0</v>
      </c>
      <c r="O727">
        <v>4</v>
      </c>
      <c r="P727">
        <v>1</v>
      </c>
      <c r="Q727">
        <v>2</v>
      </c>
      <c r="R727">
        <v>0</v>
      </c>
      <c r="S727">
        <v>3</v>
      </c>
      <c r="T727">
        <v>6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3</v>
      </c>
      <c r="AB727">
        <v>11</v>
      </c>
      <c r="AC727">
        <v>0</v>
      </c>
    </row>
    <row r="728" spans="1:29" x14ac:dyDescent="0.3">
      <c r="A728">
        <v>6086</v>
      </c>
      <c r="B728">
        <v>1955</v>
      </c>
      <c r="C728" t="s">
        <v>29</v>
      </c>
      <c r="D728" t="s">
        <v>33</v>
      </c>
      <c r="E728">
        <v>80395</v>
      </c>
      <c r="F728">
        <v>0</v>
      </c>
      <c r="G728">
        <v>0</v>
      </c>
      <c r="H728" s="1">
        <v>41601</v>
      </c>
      <c r="I728">
        <v>62</v>
      </c>
      <c r="J728">
        <v>445</v>
      </c>
      <c r="K728">
        <v>25</v>
      </c>
      <c r="L728">
        <v>706</v>
      </c>
      <c r="M728">
        <v>80</v>
      </c>
      <c r="N728">
        <v>76</v>
      </c>
      <c r="O728">
        <v>48</v>
      </c>
      <c r="P728">
        <v>1</v>
      </c>
      <c r="Q728">
        <v>6</v>
      </c>
      <c r="R728">
        <v>5</v>
      </c>
      <c r="S728">
        <v>12</v>
      </c>
      <c r="T728">
        <v>2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0</v>
      </c>
      <c r="AA728">
        <v>3</v>
      </c>
      <c r="AB728">
        <v>11</v>
      </c>
      <c r="AC728">
        <v>0</v>
      </c>
    </row>
    <row r="729" spans="1:29" x14ac:dyDescent="0.3">
      <c r="A729">
        <v>437</v>
      </c>
      <c r="B729">
        <v>1976</v>
      </c>
      <c r="C729" t="s">
        <v>34</v>
      </c>
      <c r="D729" t="s">
        <v>35</v>
      </c>
      <c r="E729">
        <v>75012</v>
      </c>
      <c r="F729">
        <v>0</v>
      </c>
      <c r="G729">
        <v>0</v>
      </c>
      <c r="H729" s="1">
        <v>41664</v>
      </c>
      <c r="I729">
        <v>41</v>
      </c>
      <c r="J729">
        <v>294</v>
      </c>
      <c r="K729">
        <v>142</v>
      </c>
      <c r="L729">
        <v>218</v>
      </c>
      <c r="M729">
        <v>164</v>
      </c>
      <c r="N729">
        <v>58</v>
      </c>
      <c r="O729">
        <v>151</v>
      </c>
      <c r="P729">
        <v>1</v>
      </c>
      <c r="Q729">
        <v>3</v>
      </c>
      <c r="R729">
        <v>8</v>
      </c>
      <c r="S729">
        <v>11</v>
      </c>
      <c r="T729">
        <v>1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3</v>
      </c>
      <c r="AB729">
        <v>11</v>
      </c>
      <c r="AC729">
        <v>0</v>
      </c>
    </row>
    <row r="730" spans="1:29" x14ac:dyDescent="0.3">
      <c r="A730">
        <v>11171</v>
      </c>
      <c r="B730">
        <v>1965</v>
      </c>
      <c r="C730" t="s">
        <v>34</v>
      </c>
      <c r="D730" t="s">
        <v>33</v>
      </c>
      <c r="E730">
        <v>56962</v>
      </c>
      <c r="F730">
        <v>2</v>
      </c>
      <c r="G730">
        <v>1</v>
      </c>
      <c r="H730" s="1">
        <v>41558</v>
      </c>
      <c r="I730">
        <v>60</v>
      </c>
      <c r="J730">
        <v>292</v>
      </c>
      <c r="K730">
        <v>3</v>
      </c>
      <c r="L730">
        <v>77</v>
      </c>
      <c r="M730">
        <v>10</v>
      </c>
      <c r="N730">
        <v>3</v>
      </c>
      <c r="O730">
        <v>26</v>
      </c>
      <c r="P730">
        <v>7</v>
      </c>
      <c r="Q730">
        <v>6</v>
      </c>
      <c r="R730">
        <v>3</v>
      </c>
      <c r="S730">
        <v>5</v>
      </c>
      <c r="T730">
        <v>7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3</v>
      </c>
      <c r="AB730">
        <v>11</v>
      </c>
      <c r="AC730">
        <v>0</v>
      </c>
    </row>
    <row r="731" spans="1:29" x14ac:dyDescent="0.3">
      <c r="A731">
        <v>11101</v>
      </c>
      <c r="B731">
        <v>1991</v>
      </c>
      <c r="C731" t="s">
        <v>29</v>
      </c>
      <c r="D731" t="s">
        <v>31</v>
      </c>
      <c r="E731">
        <v>89891</v>
      </c>
      <c r="F731">
        <v>0</v>
      </c>
      <c r="G731">
        <v>0</v>
      </c>
      <c r="H731" s="1">
        <v>41379</v>
      </c>
      <c r="I731">
        <v>17</v>
      </c>
      <c r="J731">
        <v>412</v>
      </c>
      <c r="K731">
        <v>22</v>
      </c>
      <c r="L731">
        <v>132</v>
      </c>
      <c r="M731">
        <v>59</v>
      </c>
      <c r="N731">
        <v>28</v>
      </c>
      <c r="O731">
        <v>183</v>
      </c>
      <c r="P731">
        <v>1</v>
      </c>
      <c r="Q731">
        <v>11</v>
      </c>
      <c r="R731">
        <v>6</v>
      </c>
      <c r="S731">
        <v>8</v>
      </c>
      <c r="T731">
        <v>4</v>
      </c>
      <c r="U731">
        <v>0</v>
      </c>
      <c r="V731">
        <v>0</v>
      </c>
      <c r="W731">
        <v>1</v>
      </c>
      <c r="X731">
        <v>0</v>
      </c>
      <c r="Y731">
        <v>0</v>
      </c>
      <c r="Z731">
        <v>0</v>
      </c>
      <c r="AA731">
        <v>3</v>
      </c>
      <c r="AB731">
        <v>11</v>
      </c>
      <c r="AC731">
        <v>0</v>
      </c>
    </row>
    <row r="732" spans="1:29" x14ac:dyDescent="0.3">
      <c r="A732">
        <v>5329</v>
      </c>
      <c r="B732">
        <v>1949</v>
      </c>
      <c r="C732" t="s">
        <v>32</v>
      </c>
      <c r="D732" t="s">
        <v>35</v>
      </c>
      <c r="E732">
        <v>35946</v>
      </c>
      <c r="F732">
        <v>1</v>
      </c>
      <c r="G732">
        <v>1</v>
      </c>
      <c r="H732" s="1">
        <v>41544</v>
      </c>
      <c r="I732">
        <v>24</v>
      </c>
      <c r="J732">
        <v>8</v>
      </c>
      <c r="K732">
        <v>0</v>
      </c>
      <c r="L732">
        <v>3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3</v>
      </c>
      <c r="T732">
        <v>5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3</v>
      </c>
      <c r="AB732">
        <v>11</v>
      </c>
      <c r="AC732">
        <v>0</v>
      </c>
    </row>
    <row r="733" spans="1:29" x14ac:dyDescent="0.3">
      <c r="A733">
        <v>610</v>
      </c>
      <c r="B733">
        <v>1953</v>
      </c>
      <c r="C733" t="s">
        <v>32</v>
      </c>
      <c r="D733" t="s">
        <v>31</v>
      </c>
      <c r="E733">
        <v>53593</v>
      </c>
      <c r="F733">
        <v>1</v>
      </c>
      <c r="G733">
        <v>1</v>
      </c>
      <c r="H733" s="1">
        <v>41128</v>
      </c>
      <c r="I733">
        <v>60</v>
      </c>
      <c r="J733">
        <v>349</v>
      </c>
      <c r="K733">
        <v>4</v>
      </c>
      <c r="L733">
        <v>78</v>
      </c>
      <c r="M733">
        <v>6</v>
      </c>
      <c r="N733">
        <v>0</v>
      </c>
      <c r="O733">
        <v>43</v>
      </c>
      <c r="P733">
        <v>8</v>
      </c>
      <c r="Q733">
        <v>7</v>
      </c>
      <c r="R733">
        <v>2</v>
      </c>
      <c r="S733">
        <v>6</v>
      </c>
      <c r="T733">
        <v>8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3</v>
      </c>
      <c r="AB733">
        <v>11</v>
      </c>
      <c r="AC733">
        <v>0</v>
      </c>
    </row>
    <row r="734" spans="1:29" x14ac:dyDescent="0.3">
      <c r="A734">
        <v>9384</v>
      </c>
      <c r="B734">
        <v>1978</v>
      </c>
      <c r="C734" t="s">
        <v>29</v>
      </c>
      <c r="D734" t="s">
        <v>33</v>
      </c>
      <c r="E734">
        <v>66373</v>
      </c>
      <c r="F734">
        <v>1</v>
      </c>
      <c r="G734">
        <v>1</v>
      </c>
      <c r="H734" s="1">
        <v>41437</v>
      </c>
      <c r="I734">
        <v>57</v>
      </c>
      <c r="J734">
        <v>328</v>
      </c>
      <c r="K734">
        <v>9</v>
      </c>
      <c r="L734">
        <v>124</v>
      </c>
      <c r="M734">
        <v>12</v>
      </c>
      <c r="N734">
        <v>24</v>
      </c>
      <c r="O734">
        <v>109</v>
      </c>
      <c r="P734">
        <v>7</v>
      </c>
      <c r="Q734">
        <v>4</v>
      </c>
      <c r="R734">
        <v>2</v>
      </c>
      <c r="S734">
        <v>10</v>
      </c>
      <c r="T734">
        <v>3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3</v>
      </c>
      <c r="AB734">
        <v>11</v>
      </c>
      <c r="AC734">
        <v>0</v>
      </c>
    </row>
    <row r="735" spans="1:29" x14ac:dyDescent="0.3">
      <c r="A735">
        <v>5956</v>
      </c>
      <c r="B735">
        <v>1948</v>
      </c>
      <c r="C735" t="s">
        <v>32</v>
      </c>
      <c r="D735" t="s">
        <v>35</v>
      </c>
      <c r="E735">
        <v>45072</v>
      </c>
      <c r="F735">
        <v>1</v>
      </c>
      <c r="G735">
        <v>2</v>
      </c>
      <c r="H735" s="1">
        <v>41563</v>
      </c>
      <c r="I735">
        <v>74</v>
      </c>
      <c r="J735">
        <v>144</v>
      </c>
      <c r="K735">
        <v>2</v>
      </c>
      <c r="L735">
        <v>99</v>
      </c>
      <c r="M735">
        <v>7</v>
      </c>
      <c r="N735">
        <v>2</v>
      </c>
      <c r="O735">
        <v>30</v>
      </c>
      <c r="P735">
        <v>5</v>
      </c>
      <c r="Q735">
        <v>6</v>
      </c>
      <c r="R735">
        <v>1</v>
      </c>
      <c r="S735">
        <v>4</v>
      </c>
      <c r="T735">
        <v>8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3</v>
      </c>
      <c r="AB735">
        <v>11</v>
      </c>
      <c r="AC735">
        <v>0</v>
      </c>
    </row>
    <row r="736" spans="1:29" x14ac:dyDescent="0.3">
      <c r="A736">
        <v>10430</v>
      </c>
      <c r="B736">
        <v>1973</v>
      </c>
      <c r="C736" t="s">
        <v>29</v>
      </c>
      <c r="D736" t="s">
        <v>35</v>
      </c>
      <c r="E736">
        <v>89694</v>
      </c>
      <c r="F736">
        <v>1</v>
      </c>
      <c r="G736">
        <v>1</v>
      </c>
      <c r="H736" s="1">
        <v>41556</v>
      </c>
      <c r="I736">
        <v>22</v>
      </c>
      <c r="J736">
        <v>1126</v>
      </c>
      <c r="K736">
        <v>28</v>
      </c>
      <c r="L736">
        <v>211</v>
      </c>
      <c r="M736">
        <v>37</v>
      </c>
      <c r="N736">
        <v>28</v>
      </c>
      <c r="O736">
        <v>42</v>
      </c>
      <c r="P736">
        <v>3</v>
      </c>
      <c r="Q736">
        <v>4</v>
      </c>
      <c r="R736">
        <v>3</v>
      </c>
      <c r="S736">
        <v>4</v>
      </c>
      <c r="T736">
        <v>5</v>
      </c>
      <c r="U736">
        <v>0</v>
      </c>
      <c r="V736">
        <v>1</v>
      </c>
      <c r="W736">
        <v>1</v>
      </c>
      <c r="X736">
        <v>1</v>
      </c>
      <c r="Y736">
        <v>0</v>
      </c>
      <c r="Z736">
        <v>0</v>
      </c>
      <c r="AA736">
        <v>3</v>
      </c>
      <c r="AB736">
        <v>11</v>
      </c>
      <c r="AC736">
        <v>0</v>
      </c>
    </row>
    <row r="737" spans="1:29" x14ac:dyDescent="0.3">
      <c r="A737">
        <v>7875</v>
      </c>
      <c r="B737">
        <v>1949</v>
      </c>
      <c r="C737" t="s">
        <v>29</v>
      </c>
      <c r="D737" t="s">
        <v>33</v>
      </c>
      <c r="E737">
        <v>72025</v>
      </c>
      <c r="F737">
        <v>0</v>
      </c>
      <c r="G737">
        <v>0</v>
      </c>
      <c r="H737" s="1">
        <v>41758</v>
      </c>
      <c r="I737">
        <v>46</v>
      </c>
      <c r="J737">
        <v>967</v>
      </c>
      <c r="K737">
        <v>0</v>
      </c>
      <c r="L737">
        <v>617</v>
      </c>
      <c r="M737">
        <v>43</v>
      </c>
      <c r="N737">
        <v>50</v>
      </c>
      <c r="O737">
        <v>0</v>
      </c>
      <c r="P737">
        <v>1</v>
      </c>
      <c r="Q737">
        <v>4</v>
      </c>
      <c r="R737">
        <v>8</v>
      </c>
      <c r="S737">
        <v>13</v>
      </c>
      <c r="T737">
        <v>2</v>
      </c>
      <c r="U737">
        <v>0</v>
      </c>
      <c r="V737">
        <v>1</v>
      </c>
      <c r="W737">
        <v>1</v>
      </c>
      <c r="X737">
        <v>1</v>
      </c>
      <c r="Y737">
        <v>0</v>
      </c>
      <c r="Z737">
        <v>0</v>
      </c>
      <c r="AA737">
        <v>3</v>
      </c>
      <c r="AB737">
        <v>11</v>
      </c>
      <c r="AC737">
        <v>1</v>
      </c>
    </row>
    <row r="738" spans="1:29" x14ac:dyDescent="0.3">
      <c r="A738">
        <v>7072</v>
      </c>
      <c r="B738">
        <v>1973</v>
      </c>
      <c r="C738" t="s">
        <v>29</v>
      </c>
      <c r="D738" t="s">
        <v>33</v>
      </c>
      <c r="E738">
        <v>67432</v>
      </c>
      <c r="F738">
        <v>0</v>
      </c>
      <c r="G738">
        <v>1</v>
      </c>
      <c r="H738" s="1">
        <v>41362</v>
      </c>
      <c r="I738">
        <v>69</v>
      </c>
      <c r="J738">
        <v>432</v>
      </c>
      <c r="K738">
        <v>79</v>
      </c>
      <c r="L738">
        <v>341</v>
      </c>
      <c r="M738">
        <v>177</v>
      </c>
      <c r="N738">
        <v>136</v>
      </c>
      <c r="O738">
        <v>170</v>
      </c>
      <c r="P738">
        <v>2</v>
      </c>
      <c r="Q738">
        <v>8</v>
      </c>
      <c r="R738">
        <v>5</v>
      </c>
      <c r="S738">
        <v>4</v>
      </c>
      <c r="T738">
        <v>4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3</v>
      </c>
      <c r="AB738">
        <v>11</v>
      </c>
      <c r="AC738">
        <v>0</v>
      </c>
    </row>
    <row r="739" spans="1:29" x14ac:dyDescent="0.3">
      <c r="A739">
        <v>6255</v>
      </c>
      <c r="B739">
        <v>1952</v>
      </c>
      <c r="C739" t="s">
        <v>34</v>
      </c>
      <c r="D739" t="s">
        <v>31</v>
      </c>
      <c r="E739">
        <v>70545</v>
      </c>
      <c r="F739">
        <v>0</v>
      </c>
      <c r="G739">
        <v>1</v>
      </c>
      <c r="H739" s="1">
        <v>41793</v>
      </c>
      <c r="I739">
        <v>29</v>
      </c>
      <c r="J739">
        <v>138</v>
      </c>
      <c r="K739">
        <v>39</v>
      </c>
      <c r="L739">
        <v>63</v>
      </c>
      <c r="M739">
        <v>55</v>
      </c>
      <c r="N739">
        <v>18</v>
      </c>
      <c r="O739">
        <v>21</v>
      </c>
      <c r="P739">
        <v>1</v>
      </c>
      <c r="Q739">
        <v>4</v>
      </c>
      <c r="R739">
        <v>1</v>
      </c>
      <c r="S739">
        <v>7</v>
      </c>
      <c r="T739">
        <v>2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3</v>
      </c>
      <c r="AB739">
        <v>11</v>
      </c>
      <c r="AC739">
        <v>0</v>
      </c>
    </row>
    <row r="740" spans="1:29" x14ac:dyDescent="0.3">
      <c r="A740">
        <v>6516</v>
      </c>
      <c r="B740">
        <v>1989</v>
      </c>
      <c r="C740" t="s">
        <v>36</v>
      </c>
      <c r="D740" t="s">
        <v>33</v>
      </c>
      <c r="E740">
        <v>17487</v>
      </c>
      <c r="F740">
        <v>1</v>
      </c>
      <c r="G740">
        <v>0</v>
      </c>
      <c r="H740" s="1">
        <v>41351</v>
      </c>
      <c r="I740">
        <v>37</v>
      </c>
      <c r="J740">
        <v>0</v>
      </c>
      <c r="K740">
        <v>0</v>
      </c>
      <c r="L740">
        <v>1</v>
      </c>
      <c r="M740">
        <v>7</v>
      </c>
      <c r="N740">
        <v>4</v>
      </c>
      <c r="O740">
        <v>6</v>
      </c>
      <c r="P740">
        <v>1</v>
      </c>
      <c r="Q740">
        <v>1</v>
      </c>
      <c r="R740">
        <v>0</v>
      </c>
      <c r="S740">
        <v>2</v>
      </c>
      <c r="T740">
        <v>7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3</v>
      </c>
      <c r="AB740">
        <v>11</v>
      </c>
      <c r="AC740">
        <v>0</v>
      </c>
    </row>
    <row r="741" spans="1:29" x14ac:dyDescent="0.3">
      <c r="A741">
        <v>5564</v>
      </c>
      <c r="B741">
        <v>1969</v>
      </c>
      <c r="C741" t="s">
        <v>29</v>
      </c>
      <c r="D741" t="s">
        <v>31</v>
      </c>
      <c r="E741">
        <v>62882</v>
      </c>
      <c r="F741">
        <v>0</v>
      </c>
      <c r="G741">
        <v>1</v>
      </c>
      <c r="H741" s="1">
        <v>41130</v>
      </c>
      <c r="I741">
        <v>26</v>
      </c>
      <c r="J741">
        <v>509</v>
      </c>
      <c r="K741">
        <v>133</v>
      </c>
      <c r="L741">
        <v>497</v>
      </c>
      <c r="M741">
        <v>78</v>
      </c>
      <c r="N741">
        <v>24</v>
      </c>
      <c r="O741">
        <v>97</v>
      </c>
      <c r="P741">
        <v>2</v>
      </c>
      <c r="Q741">
        <v>7</v>
      </c>
      <c r="R741">
        <v>5</v>
      </c>
      <c r="S741">
        <v>6</v>
      </c>
      <c r="T741">
        <v>4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3</v>
      </c>
      <c r="AB741">
        <v>11</v>
      </c>
      <c r="AC741">
        <v>0</v>
      </c>
    </row>
    <row r="742" spans="1:29" x14ac:dyDescent="0.3">
      <c r="A742">
        <v>5682</v>
      </c>
      <c r="B742">
        <v>1953</v>
      </c>
      <c r="C742" t="s">
        <v>32</v>
      </c>
      <c r="D742" t="s">
        <v>30</v>
      </c>
      <c r="E742">
        <v>64108</v>
      </c>
      <c r="F742">
        <v>0</v>
      </c>
      <c r="G742">
        <v>1</v>
      </c>
      <c r="H742" s="1">
        <v>41356</v>
      </c>
      <c r="I742">
        <v>8</v>
      </c>
      <c r="J742">
        <v>948</v>
      </c>
      <c r="K742">
        <v>10</v>
      </c>
      <c r="L742">
        <v>86</v>
      </c>
      <c r="M742">
        <v>13</v>
      </c>
      <c r="N742">
        <v>21</v>
      </c>
      <c r="O742">
        <v>21</v>
      </c>
      <c r="P742">
        <v>4</v>
      </c>
      <c r="Q742">
        <v>6</v>
      </c>
      <c r="R742">
        <v>9</v>
      </c>
      <c r="S742">
        <v>11</v>
      </c>
      <c r="T742">
        <v>5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3</v>
      </c>
      <c r="AB742">
        <v>11</v>
      </c>
      <c r="AC742">
        <v>0</v>
      </c>
    </row>
    <row r="743" spans="1:29" x14ac:dyDescent="0.3">
      <c r="A743">
        <v>7458</v>
      </c>
      <c r="B743">
        <v>1956</v>
      </c>
      <c r="C743" t="s">
        <v>34</v>
      </c>
      <c r="D743" t="s">
        <v>31</v>
      </c>
      <c r="E743">
        <v>34941</v>
      </c>
      <c r="F743">
        <v>1</v>
      </c>
      <c r="G743">
        <v>1</v>
      </c>
      <c r="H743" s="1">
        <v>41339</v>
      </c>
      <c r="I743">
        <v>26</v>
      </c>
      <c r="J743">
        <v>39</v>
      </c>
      <c r="K743">
        <v>2</v>
      </c>
      <c r="L743">
        <v>25</v>
      </c>
      <c r="M743">
        <v>4</v>
      </c>
      <c r="N743">
        <v>3</v>
      </c>
      <c r="O743">
        <v>24</v>
      </c>
      <c r="P743">
        <v>2</v>
      </c>
      <c r="Q743">
        <v>3</v>
      </c>
      <c r="R743">
        <v>0</v>
      </c>
      <c r="S743">
        <v>3</v>
      </c>
      <c r="T743">
        <v>8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3</v>
      </c>
      <c r="AB743">
        <v>11</v>
      </c>
      <c r="AC743">
        <v>0</v>
      </c>
    </row>
    <row r="744" spans="1:29" x14ac:dyDescent="0.3">
      <c r="A744">
        <v>5237</v>
      </c>
      <c r="B744">
        <v>1950</v>
      </c>
      <c r="C744" t="s">
        <v>32</v>
      </c>
      <c r="D744" t="s">
        <v>30</v>
      </c>
      <c r="E744">
        <v>48767</v>
      </c>
      <c r="F744">
        <v>1</v>
      </c>
      <c r="G744">
        <v>2</v>
      </c>
      <c r="H744" s="1">
        <v>41640</v>
      </c>
      <c r="I744">
        <v>79</v>
      </c>
      <c r="J744">
        <v>28</v>
      </c>
      <c r="K744">
        <v>1</v>
      </c>
      <c r="L744">
        <v>21</v>
      </c>
      <c r="M744">
        <v>3</v>
      </c>
      <c r="N744">
        <v>0</v>
      </c>
      <c r="O744">
        <v>10</v>
      </c>
      <c r="P744">
        <v>3</v>
      </c>
      <c r="Q744">
        <v>2</v>
      </c>
      <c r="R744">
        <v>1</v>
      </c>
      <c r="S744">
        <v>3</v>
      </c>
      <c r="T744">
        <v>5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3</v>
      </c>
      <c r="AB744">
        <v>11</v>
      </c>
      <c r="AC744">
        <v>0</v>
      </c>
    </row>
    <row r="745" spans="1:29" x14ac:dyDescent="0.3">
      <c r="A745">
        <v>7761</v>
      </c>
      <c r="B745">
        <v>1978</v>
      </c>
      <c r="C745" t="s">
        <v>37</v>
      </c>
      <c r="D745" t="s">
        <v>31</v>
      </c>
      <c r="E745">
        <v>38702</v>
      </c>
      <c r="F745">
        <v>1</v>
      </c>
      <c r="G745">
        <v>0</v>
      </c>
      <c r="H745" s="1">
        <v>41487</v>
      </c>
      <c r="I745">
        <v>71</v>
      </c>
      <c r="J745">
        <v>13</v>
      </c>
      <c r="K745">
        <v>11</v>
      </c>
      <c r="L745">
        <v>24</v>
      </c>
      <c r="M745">
        <v>13</v>
      </c>
      <c r="N745">
        <v>8</v>
      </c>
      <c r="O745">
        <v>40</v>
      </c>
      <c r="P745">
        <v>2</v>
      </c>
      <c r="Q745">
        <v>3</v>
      </c>
      <c r="R745">
        <v>0</v>
      </c>
      <c r="S745">
        <v>4</v>
      </c>
      <c r="T745">
        <v>6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3</v>
      </c>
      <c r="AB745">
        <v>11</v>
      </c>
      <c r="AC745">
        <v>0</v>
      </c>
    </row>
    <row r="746" spans="1:29" x14ac:dyDescent="0.3">
      <c r="A746">
        <v>5278</v>
      </c>
      <c r="B746">
        <v>1964</v>
      </c>
      <c r="C746" t="s">
        <v>29</v>
      </c>
      <c r="D746" t="s">
        <v>33</v>
      </c>
      <c r="E746">
        <v>82224</v>
      </c>
      <c r="F746">
        <v>0</v>
      </c>
      <c r="G746">
        <v>0</v>
      </c>
      <c r="H746" s="1">
        <v>41664</v>
      </c>
      <c r="I746">
        <v>83</v>
      </c>
      <c r="J746">
        <v>307</v>
      </c>
      <c r="K746">
        <v>26</v>
      </c>
      <c r="L746">
        <v>360</v>
      </c>
      <c r="M746">
        <v>138</v>
      </c>
      <c r="N746">
        <v>31</v>
      </c>
      <c r="O746">
        <v>40</v>
      </c>
      <c r="P746">
        <v>1</v>
      </c>
      <c r="Q746">
        <v>6</v>
      </c>
      <c r="R746">
        <v>9</v>
      </c>
      <c r="S746">
        <v>5</v>
      </c>
      <c r="T746">
        <v>3</v>
      </c>
      <c r="U746">
        <v>0</v>
      </c>
      <c r="V746">
        <v>0</v>
      </c>
      <c r="W746">
        <v>0</v>
      </c>
      <c r="X746">
        <v>1</v>
      </c>
      <c r="Y746">
        <v>0</v>
      </c>
      <c r="Z746">
        <v>0</v>
      </c>
      <c r="AA746">
        <v>3</v>
      </c>
      <c r="AB746">
        <v>11</v>
      </c>
      <c r="AC746">
        <v>0</v>
      </c>
    </row>
    <row r="747" spans="1:29" x14ac:dyDescent="0.3">
      <c r="A747">
        <v>3560</v>
      </c>
      <c r="B747">
        <v>1952</v>
      </c>
      <c r="C747" t="s">
        <v>29</v>
      </c>
      <c r="D747" t="s">
        <v>31</v>
      </c>
      <c r="E747">
        <v>83844</v>
      </c>
      <c r="F747">
        <v>0</v>
      </c>
      <c r="G747">
        <v>0</v>
      </c>
      <c r="H747" s="1">
        <v>41406</v>
      </c>
      <c r="I747">
        <v>57</v>
      </c>
      <c r="J747">
        <v>901</v>
      </c>
      <c r="K747">
        <v>31</v>
      </c>
      <c r="L747">
        <v>345</v>
      </c>
      <c r="M747">
        <v>75</v>
      </c>
      <c r="N747">
        <v>31</v>
      </c>
      <c r="O747">
        <v>191</v>
      </c>
      <c r="P747">
        <v>1</v>
      </c>
      <c r="Q747">
        <v>4</v>
      </c>
      <c r="R747">
        <v>4</v>
      </c>
      <c r="S747">
        <v>11</v>
      </c>
      <c r="T747">
        <v>1</v>
      </c>
      <c r="U747">
        <v>0</v>
      </c>
      <c r="V747">
        <v>0</v>
      </c>
      <c r="W747">
        <v>1</v>
      </c>
      <c r="X747">
        <v>0</v>
      </c>
      <c r="Y747">
        <v>0</v>
      </c>
      <c r="Z747">
        <v>0</v>
      </c>
      <c r="AA747">
        <v>3</v>
      </c>
      <c r="AB747">
        <v>11</v>
      </c>
      <c r="AC747">
        <v>0</v>
      </c>
    </row>
    <row r="748" spans="1:29" x14ac:dyDescent="0.3">
      <c r="A748">
        <v>7235</v>
      </c>
      <c r="B748">
        <v>1975</v>
      </c>
      <c r="C748" t="s">
        <v>37</v>
      </c>
      <c r="D748" t="s">
        <v>33</v>
      </c>
      <c r="E748">
        <v>17003</v>
      </c>
      <c r="F748">
        <v>1</v>
      </c>
      <c r="G748">
        <v>0</v>
      </c>
      <c r="H748" s="1">
        <v>41617</v>
      </c>
      <c r="I748">
        <v>37</v>
      </c>
      <c r="J748">
        <v>2</v>
      </c>
      <c r="K748">
        <v>5</v>
      </c>
      <c r="L748">
        <v>12</v>
      </c>
      <c r="M748">
        <v>4</v>
      </c>
      <c r="N748">
        <v>8</v>
      </c>
      <c r="O748">
        <v>7</v>
      </c>
      <c r="P748">
        <v>3</v>
      </c>
      <c r="Q748">
        <v>2</v>
      </c>
      <c r="R748">
        <v>0</v>
      </c>
      <c r="S748">
        <v>4</v>
      </c>
      <c r="T748">
        <v>5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3</v>
      </c>
      <c r="AB748">
        <v>11</v>
      </c>
      <c r="AC748">
        <v>0</v>
      </c>
    </row>
    <row r="749" spans="1:29" x14ac:dyDescent="0.3">
      <c r="A749">
        <v>10548</v>
      </c>
      <c r="B749">
        <v>1995</v>
      </c>
      <c r="C749" t="s">
        <v>29</v>
      </c>
      <c r="D749" t="s">
        <v>30</v>
      </c>
      <c r="E749">
        <v>71163</v>
      </c>
      <c r="F749">
        <v>0</v>
      </c>
      <c r="G749">
        <v>0</v>
      </c>
      <c r="H749" s="1">
        <v>41707</v>
      </c>
      <c r="I749">
        <v>30</v>
      </c>
      <c r="J749">
        <v>283</v>
      </c>
      <c r="K749">
        <v>17</v>
      </c>
      <c r="L749">
        <v>372</v>
      </c>
      <c r="M749">
        <v>138</v>
      </c>
      <c r="N749">
        <v>106</v>
      </c>
      <c r="O749">
        <v>44</v>
      </c>
      <c r="P749">
        <v>1</v>
      </c>
      <c r="Q749">
        <v>3</v>
      </c>
      <c r="R749">
        <v>8</v>
      </c>
      <c r="S749">
        <v>12</v>
      </c>
      <c r="T749">
        <v>1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3</v>
      </c>
      <c r="AB749">
        <v>11</v>
      </c>
      <c r="AC749">
        <v>0</v>
      </c>
    </row>
    <row r="750" spans="1:29" x14ac:dyDescent="0.3">
      <c r="A750">
        <v>2281</v>
      </c>
      <c r="B750">
        <v>1970</v>
      </c>
      <c r="C750" t="s">
        <v>29</v>
      </c>
      <c r="D750" t="s">
        <v>30</v>
      </c>
      <c r="E750">
        <v>33697</v>
      </c>
      <c r="F750">
        <v>1</v>
      </c>
      <c r="G750">
        <v>0</v>
      </c>
      <c r="H750" s="1">
        <v>41532</v>
      </c>
      <c r="I750">
        <v>34</v>
      </c>
      <c r="J750">
        <v>4</v>
      </c>
      <c r="K750">
        <v>3</v>
      </c>
      <c r="L750">
        <v>7</v>
      </c>
      <c r="M750">
        <v>0</v>
      </c>
      <c r="N750">
        <v>3</v>
      </c>
      <c r="O750">
        <v>11</v>
      </c>
      <c r="P750">
        <v>1</v>
      </c>
      <c r="Q750">
        <v>1</v>
      </c>
      <c r="R750">
        <v>0</v>
      </c>
      <c r="S750">
        <v>2</v>
      </c>
      <c r="T750">
        <v>7</v>
      </c>
      <c r="U750">
        <v>1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3</v>
      </c>
      <c r="AB750">
        <v>11</v>
      </c>
      <c r="AC750">
        <v>0</v>
      </c>
    </row>
    <row r="751" spans="1:29" x14ac:dyDescent="0.3">
      <c r="A751">
        <v>4073</v>
      </c>
      <c r="B751">
        <v>1954</v>
      </c>
      <c r="C751" t="s">
        <v>37</v>
      </c>
      <c r="D751" t="s">
        <v>33</v>
      </c>
      <c r="E751">
        <v>63564</v>
      </c>
      <c r="F751">
        <v>0</v>
      </c>
      <c r="G751">
        <v>0</v>
      </c>
      <c r="H751" s="1">
        <v>41668</v>
      </c>
      <c r="I751">
        <v>0</v>
      </c>
      <c r="J751">
        <v>769</v>
      </c>
      <c r="K751">
        <v>80</v>
      </c>
      <c r="L751">
        <v>252</v>
      </c>
      <c r="M751">
        <v>15</v>
      </c>
      <c r="N751">
        <v>34</v>
      </c>
      <c r="O751">
        <v>65</v>
      </c>
      <c r="P751">
        <v>1</v>
      </c>
      <c r="Q751">
        <v>10</v>
      </c>
      <c r="R751">
        <v>10</v>
      </c>
      <c r="S751">
        <v>7</v>
      </c>
      <c r="T751">
        <v>6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3</v>
      </c>
      <c r="AB751">
        <v>11</v>
      </c>
      <c r="AC751">
        <v>1</v>
      </c>
    </row>
    <row r="752" spans="1:29" x14ac:dyDescent="0.3">
      <c r="A752">
        <v>6974</v>
      </c>
      <c r="B752">
        <v>1972</v>
      </c>
      <c r="C752" t="s">
        <v>32</v>
      </c>
      <c r="D752" t="s">
        <v>31</v>
      </c>
      <c r="E752">
        <v>83443</v>
      </c>
      <c r="F752">
        <v>0</v>
      </c>
      <c r="G752">
        <v>0</v>
      </c>
      <c r="H752" s="1">
        <v>41639</v>
      </c>
      <c r="I752">
        <v>89</v>
      </c>
      <c r="J752">
        <v>518</v>
      </c>
      <c r="K752">
        <v>42</v>
      </c>
      <c r="L752">
        <v>742</v>
      </c>
      <c r="M752">
        <v>55</v>
      </c>
      <c r="N752">
        <v>56</v>
      </c>
      <c r="O752">
        <v>84</v>
      </c>
      <c r="P752">
        <v>1</v>
      </c>
      <c r="Q752">
        <v>6</v>
      </c>
      <c r="R752">
        <v>10</v>
      </c>
      <c r="S752">
        <v>5</v>
      </c>
      <c r="T752">
        <v>2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3</v>
      </c>
      <c r="AB752">
        <v>11</v>
      </c>
      <c r="AC752">
        <v>0</v>
      </c>
    </row>
    <row r="753" spans="1:29" x14ac:dyDescent="0.3">
      <c r="A753">
        <v>7938</v>
      </c>
      <c r="B753">
        <v>1958</v>
      </c>
      <c r="C753" t="s">
        <v>32</v>
      </c>
      <c r="D753" t="s">
        <v>31</v>
      </c>
      <c r="E753">
        <v>51518</v>
      </c>
      <c r="F753">
        <v>0</v>
      </c>
      <c r="G753">
        <v>1</v>
      </c>
      <c r="H753" s="1">
        <v>41550</v>
      </c>
      <c r="I753">
        <v>92</v>
      </c>
      <c r="J753">
        <v>350</v>
      </c>
      <c r="K753">
        <v>8</v>
      </c>
      <c r="L753">
        <v>66</v>
      </c>
      <c r="M753">
        <v>17</v>
      </c>
      <c r="N753">
        <v>4</v>
      </c>
      <c r="O753">
        <v>4</v>
      </c>
      <c r="P753">
        <v>2</v>
      </c>
      <c r="Q753">
        <v>3</v>
      </c>
      <c r="R753">
        <v>2</v>
      </c>
      <c r="S753">
        <v>10</v>
      </c>
      <c r="T753">
        <v>3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3</v>
      </c>
      <c r="AB753">
        <v>11</v>
      </c>
      <c r="AC753">
        <v>0</v>
      </c>
    </row>
    <row r="754" spans="1:29" x14ac:dyDescent="0.3">
      <c r="A754">
        <v>7094</v>
      </c>
      <c r="B754">
        <v>1975</v>
      </c>
      <c r="C754" t="s">
        <v>29</v>
      </c>
      <c r="D754" t="s">
        <v>38</v>
      </c>
      <c r="E754">
        <v>58330</v>
      </c>
      <c r="F754">
        <v>0</v>
      </c>
      <c r="G754">
        <v>1</v>
      </c>
      <c r="H754" s="1">
        <v>41633</v>
      </c>
      <c r="I754">
        <v>87</v>
      </c>
      <c r="J754">
        <v>445</v>
      </c>
      <c r="K754">
        <v>53</v>
      </c>
      <c r="L754">
        <v>213</v>
      </c>
      <c r="M754">
        <v>104</v>
      </c>
      <c r="N754">
        <v>98</v>
      </c>
      <c r="O754">
        <v>151</v>
      </c>
      <c r="P754">
        <v>1</v>
      </c>
      <c r="Q754">
        <v>6</v>
      </c>
      <c r="R754">
        <v>4</v>
      </c>
      <c r="S754">
        <v>13</v>
      </c>
      <c r="T754">
        <v>4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3</v>
      </c>
      <c r="AB754">
        <v>11</v>
      </c>
      <c r="AC754">
        <v>0</v>
      </c>
    </row>
    <row r="755" spans="1:29" x14ac:dyDescent="0.3">
      <c r="A755">
        <v>3667</v>
      </c>
      <c r="B755">
        <v>1969</v>
      </c>
      <c r="C755" t="s">
        <v>29</v>
      </c>
      <c r="D755" t="s">
        <v>33</v>
      </c>
      <c r="E755">
        <v>80952</v>
      </c>
      <c r="F755">
        <v>0</v>
      </c>
      <c r="G755">
        <v>0</v>
      </c>
      <c r="H755" s="1">
        <v>41333</v>
      </c>
      <c r="I755">
        <v>20</v>
      </c>
      <c r="J755">
        <v>778</v>
      </c>
      <c r="K755">
        <v>178</v>
      </c>
      <c r="L755">
        <v>689</v>
      </c>
      <c r="M755">
        <v>41</v>
      </c>
      <c r="N755">
        <v>27</v>
      </c>
      <c r="O755">
        <v>44</v>
      </c>
      <c r="P755">
        <v>1</v>
      </c>
      <c r="Q755">
        <v>8</v>
      </c>
      <c r="R755">
        <v>5</v>
      </c>
      <c r="S755">
        <v>11</v>
      </c>
      <c r="T755">
        <v>8</v>
      </c>
      <c r="U755">
        <v>0</v>
      </c>
      <c r="V755">
        <v>1</v>
      </c>
      <c r="W755">
        <v>1</v>
      </c>
      <c r="X755">
        <v>1</v>
      </c>
      <c r="Y755">
        <v>0</v>
      </c>
      <c r="Z755">
        <v>0</v>
      </c>
      <c r="AA755">
        <v>3</v>
      </c>
      <c r="AB755">
        <v>11</v>
      </c>
      <c r="AC755">
        <v>1</v>
      </c>
    </row>
    <row r="756" spans="1:29" x14ac:dyDescent="0.3">
      <c r="A756">
        <v>7723</v>
      </c>
      <c r="B756">
        <v>1979</v>
      </c>
      <c r="C756" t="s">
        <v>29</v>
      </c>
      <c r="D756" t="s">
        <v>31</v>
      </c>
      <c r="E756">
        <v>75507</v>
      </c>
      <c r="F756">
        <v>0</v>
      </c>
      <c r="G756">
        <v>0</v>
      </c>
      <c r="H756" s="1">
        <v>41761</v>
      </c>
      <c r="I756">
        <v>56</v>
      </c>
      <c r="J756">
        <v>709</v>
      </c>
      <c r="K756">
        <v>93</v>
      </c>
      <c r="L756">
        <v>374</v>
      </c>
      <c r="M756">
        <v>104</v>
      </c>
      <c r="N756">
        <v>80</v>
      </c>
      <c r="O756">
        <v>80</v>
      </c>
      <c r="P756">
        <v>1</v>
      </c>
      <c r="Q756">
        <v>8</v>
      </c>
      <c r="R756">
        <v>6</v>
      </c>
      <c r="S756">
        <v>6</v>
      </c>
      <c r="T756">
        <v>3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3</v>
      </c>
      <c r="AB756">
        <v>11</v>
      </c>
      <c r="AC756">
        <v>0</v>
      </c>
    </row>
    <row r="757" spans="1:29" x14ac:dyDescent="0.3">
      <c r="A757">
        <v>3870</v>
      </c>
      <c r="B757">
        <v>1978</v>
      </c>
      <c r="C757" t="s">
        <v>37</v>
      </c>
      <c r="D757" t="s">
        <v>31</v>
      </c>
      <c r="E757">
        <v>63855</v>
      </c>
      <c r="F757">
        <v>0</v>
      </c>
      <c r="G757">
        <v>0</v>
      </c>
      <c r="H757" s="1">
        <v>41314</v>
      </c>
      <c r="I757">
        <v>28</v>
      </c>
      <c r="J757">
        <v>359</v>
      </c>
      <c r="K757">
        <v>35</v>
      </c>
      <c r="L757">
        <v>314</v>
      </c>
      <c r="M757">
        <v>93</v>
      </c>
      <c r="N757">
        <v>116</v>
      </c>
      <c r="O757">
        <v>89</v>
      </c>
      <c r="P757">
        <v>1</v>
      </c>
      <c r="Q757">
        <v>7</v>
      </c>
      <c r="R757">
        <v>3</v>
      </c>
      <c r="S757">
        <v>13</v>
      </c>
      <c r="T757">
        <v>4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3</v>
      </c>
      <c r="AB757">
        <v>11</v>
      </c>
      <c r="AC757">
        <v>0</v>
      </c>
    </row>
    <row r="758" spans="1:29" x14ac:dyDescent="0.3">
      <c r="A758">
        <v>4012</v>
      </c>
      <c r="B758">
        <v>1972</v>
      </c>
      <c r="C758" t="s">
        <v>32</v>
      </c>
      <c r="D758" t="s">
        <v>31</v>
      </c>
      <c r="E758">
        <v>62220</v>
      </c>
      <c r="F758">
        <v>0</v>
      </c>
      <c r="G758">
        <v>1</v>
      </c>
      <c r="H758" s="1">
        <v>41132</v>
      </c>
      <c r="I758">
        <v>55</v>
      </c>
      <c r="J758">
        <v>799</v>
      </c>
      <c r="K758">
        <v>12</v>
      </c>
      <c r="L758">
        <v>375</v>
      </c>
      <c r="M758">
        <v>16</v>
      </c>
      <c r="N758">
        <v>12</v>
      </c>
      <c r="O758">
        <v>12</v>
      </c>
      <c r="P758">
        <v>5</v>
      </c>
      <c r="Q758">
        <v>7</v>
      </c>
      <c r="R758">
        <v>6</v>
      </c>
      <c r="S758">
        <v>5</v>
      </c>
      <c r="T758">
        <v>6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3</v>
      </c>
      <c r="AB758">
        <v>11</v>
      </c>
      <c r="AC758">
        <v>1</v>
      </c>
    </row>
    <row r="759" spans="1:29" x14ac:dyDescent="0.3">
      <c r="A759">
        <v>5909</v>
      </c>
      <c r="B759">
        <v>1964</v>
      </c>
      <c r="C759" t="s">
        <v>29</v>
      </c>
      <c r="D759" t="s">
        <v>33</v>
      </c>
      <c r="E759">
        <v>58512</v>
      </c>
      <c r="F759">
        <v>0</v>
      </c>
      <c r="G759">
        <v>1</v>
      </c>
      <c r="H759" s="1">
        <v>41536</v>
      </c>
      <c r="I759">
        <v>25</v>
      </c>
      <c r="J759">
        <v>895</v>
      </c>
      <c r="K759">
        <v>10</v>
      </c>
      <c r="L759">
        <v>101</v>
      </c>
      <c r="M759">
        <v>13</v>
      </c>
      <c r="N759">
        <v>0</v>
      </c>
      <c r="O759">
        <v>152</v>
      </c>
      <c r="P759">
        <v>5</v>
      </c>
      <c r="Q759">
        <v>3</v>
      </c>
      <c r="R759">
        <v>4</v>
      </c>
      <c r="S759">
        <v>8</v>
      </c>
      <c r="T759">
        <v>8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3</v>
      </c>
      <c r="AB759">
        <v>11</v>
      </c>
      <c r="AC759">
        <v>0</v>
      </c>
    </row>
    <row r="760" spans="1:29" x14ac:dyDescent="0.3">
      <c r="A760">
        <v>10470</v>
      </c>
      <c r="B760">
        <v>1979</v>
      </c>
      <c r="C760" t="s">
        <v>34</v>
      </c>
      <c r="D760" t="s">
        <v>33</v>
      </c>
      <c r="E760">
        <v>40662</v>
      </c>
      <c r="F760">
        <v>1</v>
      </c>
      <c r="G760">
        <v>0</v>
      </c>
      <c r="H760" s="1">
        <v>41348</v>
      </c>
      <c r="I760">
        <v>0</v>
      </c>
      <c r="J760">
        <v>40</v>
      </c>
      <c r="K760">
        <v>2</v>
      </c>
      <c r="L760">
        <v>23</v>
      </c>
      <c r="M760">
        <v>0</v>
      </c>
      <c r="N760">
        <v>4</v>
      </c>
      <c r="O760">
        <v>23</v>
      </c>
      <c r="P760">
        <v>2</v>
      </c>
      <c r="Q760">
        <v>2</v>
      </c>
      <c r="R760">
        <v>1</v>
      </c>
      <c r="S760">
        <v>3</v>
      </c>
      <c r="T760">
        <v>4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3</v>
      </c>
      <c r="AB760">
        <v>11</v>
      </c>
      <c r="AC760">
        <v>0</v>
      </c>
    </row>
    <row r="761" spans="1:29" x14ac:dyDescent="0.3">
      <c r="A761">
        <v>6488</v>
      </c>
      <c r="B761">
        <v>1959</v>
      </c>
      <c r="C761" t="s">
        <v>32</v>
      </c>
      <c r="D761" t="s">
        <v>33</v>
      </c>
      <c r="E761">
        <v>38829</v>
      </c>
      <c r="F761">
        <v>0</v>
      </c>
      <c r="G761">
        <v>1</v>
      </c>
      <c r="H761" s="1">
        <v>41735</v>
      </c>
      <c r="I761">
        <v>86</v>
      </c>
      <c r="J761">
        <v>76</v>
      </c>
      <c r="K761">
        <v>0</v>
      </c>
      <c r="L761">
        <v>7</v>
      </c>
      <c r="M761">
        <v>0</v>
      </c>
      <c r="N761">
        <v>0</v>
      </c>
      <c r="O761">
        <v>16</v>
      </c>
      <c r="P761">
        <v>1</v>
      </c>
      <c r="Q761">
        <v>3</v>
      </c>
      <c r="R761">
        <v>2</v>
      </c>
      <c r="S761">
        <v>2</v>
      </c>
      <c r="T761">
        <v>5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3</v>
      </c>
      <c r="AB761">
        <v>11</v>
      </c>
      <c r="AC761">
        <v>0</v>
      </c>
    </row>
    <row r="762" spans="1:29" x14ac:dyDescent="0.3">
      <c r="A762">
        <v>10270</v>
      </c>
      <c r="B762">
        <v>1981</v>
      </c>
      <c r="C762" t="s">
        <v>37</v>
      </c>
      <c r="D762" t="s">
        <v>33</v>
      </c>
      <c r="E762">
        <v>35523</v>
      </c>
      <c r="F762">
        <v>1</v>
      </c>
      <c r="G762">
        <v>0</v>
      </c>
      <c r="H762" s="1">
        <v>41550</v>
      </c>
      <c r="I762">
        <v>8</v>
      </c>
      <c r="J762">
        <v>11</v>
      </c>
      <c r="K762">
        <v>5</v>
      </c>
      <c r="L762">
        <v>22</v>
      </c>
      <c r="M762">
        <v>12</v>
      </c>
      <c r="N762">
        <v>5</v>
      </c>
      <c r="O762">
        <v>11</v>
      </c>
      <c r="P762">
        <v>2</v>
      </c>
      <c r="Q762">
        <v>3</v>
      </c>
      <c r="R762">
        <v>0</v>
      </c>
      <c r="S762">
        <v>3</v>
      </c>
      <c r="T762">
        <v>7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3</v>
      </c>
      <c r="AB762">
        <v>11</v>
      </c>
      <c r="AC762">
        <v>0</v>
      </c>
    </row>
    <row r="763" spans="1:29" x14ac:dyDescent="0.3">
      <c r="A763">
        <v>6887</v>
      </c>
      <c r="B763">
        <v>1967</v>
      </c>
      <c r="C763" t="s">
        <v>29</v>
      </c>
      <c r="D763" t="s">
        <v>30</v>
      </c>
      <c r="E763">
        <v>79146</v>
      </c>
      <c r="F763">
        <v>1</v>
      </c>
      <c r="G763">
        <v>1</v>
      </c>
      <c r="H763" s="1">
        <v>41753</v>
      </c>
      <c r="I763">
        <v>33</v>
      </c>
      <c r="J763">
        <v>245</v>
      </c>
      <c r="K763">
        <v>16</v>
      </c>
      <c r="L763">
        <v>223</v>
      </c>
      <c r="M763">
        <v>21</v>
      </c>
      <c r="N763">
        <v>43</v>
      </c>
      <c r="O763">
        <v>16</v>
      </c>
      <c r="P763">
        <v>2</v>
      </c>
      <c r="Q763">
        <v>8</v>
      </c>
      <c r="R763">
        <v>1</v>
      </c>
      <c r="S763">
        <v>8</v>
      </c>
      <c r="T763">
        <v>6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3</v>
      </c>
      <c r="AB763">
        <v>11</v>
      </c>
      <c r="AC763">
        <v>0</v>
      </c>
    </row>
    <row r="764" spans="1:29" x14ac:dyDescent="0.3">
      <c r="A764">
        <v>6406</v>
      </c>
      <c r="B764">
        <v>1988</v>
      </c>
      <c r="C764" t="s">
        <v>34</v>
      </c>
      <c r="D764" t="s">
        <v>33</v>
      </c>
      <c r="E764">
        <v>78285</v>
      </c>
      <c r="F764">
        <v>0</v>
      </c>
      <c r="G764">
        <v>0</v>
      </c>
      <c r="H764" s="1">
        <v>41575</v>
      </c>
      <c r="I764">
        <v>13</v>
      </c>
      <c r="J764">
        <v>647</v>
      </c>
      <c r="K764">
        <v>107</v>
      </c>
      <c r="L764">
        <v>391</v>
      </c>
      <c r="M764">
        <v>175</v>
      </c>
      <c r="N764">
        <v>67</v>
      </c>
      <c r="O764">
        <v>40</v>
      </c>
      <c r="P764">
        <v>1</v>
      </c>
      <c r="Q764">
        <v>6</v>
      </c>
      <c r="R764">
        <v>4</v>
      </c>
      <c r="S764">
        <v>10</v>
      </c>
      <c r="T764">
        <v>3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3</v>
      </c>
      <c r="AB764">
        <v>11</v>
      </c>
      <c r="AC764">
        <v>0</v>
      </c>
    </row>
    <row r="765" spans="1:29" x14ac:dyDescent="0.3">
      <c r="A765">
        <v>7573</v>
      </c>
      <c r="B765">
        <v>1978</v>
      </c>
      <c r="C765" t="s">
        <v>32</v>
      </c>
      <c r="D765" t="s">
        <v>30</v>
      </c>
      <c r="E765">
        <v>31626</v>
      </c>
      <c r="F765">
        <v>1</v>
      </c>
      <c r="G765">
        <v>0</v>
      </c>
      <c r="H765" s="1">
        <v>41404</v>
      </c>
      <c r="I765">
        <v>12</v>
      </c>
      <c r="J765">
        <v>39</v>
      </c>
      <c r="K765">
        <v>1</v>
      </c>
      <c r="L765">
        <v>9</v>
      </c>
      <c r="M765">
        <v>2</v>
      </c>
      <c r="N765">
        <v>1</v>
      </c>
      <c r="O765">
        <v>34</v>
      </c>
      <c r="P765">
        <v>1</v>
      </c>
      <c r="Q765">
        <v>2</v>
      </c>
      <c r="R765">
        <v>1</v>
      </c>
      <c r="S765">
        <v>2</v>
      </c>
      <c r="T765">
        <v>7</v>
      </c>
      <c r="U765">
        <v>1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3</v>
      </c>
      <c r="AB765">
        <v>11</v>
      </c>
      <c r="AC765">
        <v>1</v>
      </c>
    </row>
    <row r="766" spans="1:29" x14ac:dyDescent="0.3">
      <c r="A766">
        <v>4508</v>
      </c>
      <c r="B766">
        <v>1952</v>
      </c>
      <c r="C766" t="s">
        <v>29</v>
      </c>
      <c r="D766" t="s">
        <v>30</v>
      </c>
      <c r="E766">
        <v>75127</v>
      </c>
      <c r="F766">
        <v>0</v>
      </c>
      <c r="G766">
        <v>0</v>
      </c>
      <c r="H766" s="1">
        <v>41781</v>
      </c>
      <c r="I766">
        <v>92</v>
      </c>
      <c r="J766">
        <v>203</v>
      </c>
      <c r="K766">
        <v>35</v>
      </c>
      <c r="L766">
        <v>305</v>
      </c>
      <c r="M766">
        <v>46</v>
      </c>
      <c r="N766">
        <v>17</v>
      </c>
      <c r="O766">
        <v>227</v>
      </c>
      <c r="P766">
        <v>1</v>
      </c>
      <c r="Q766">
        <v>2</v>
      </c>
      <c r="R766">
        <v>11</v>
      </c>
      <c r="S766">
        <v>5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3</v>
      </c>
      <c r="AB766">
        <v>11</v>
      </c>
      <c r="AC766">
        <v>0</v>
      </c>
    </row>
    <row r="767" spans="1:29" x14ac:dyDescent="0.3">
      <c r="A767">
        <v>221</v>
      </c>
      <c r="B767">
        <v>1955</v>
      </c>
      <c r="C767" t="s">
        <v>29</v>
      </c>
      <c r="D767" t="s">
        <v>33</v>
      </c>
      <c r="E767">
        <v>48726</v>
      </c>
      <c r="F767">
        <v>0</v>
      </c>
      <c r="G767">
        <v>1</v>
      </c>
      <c r="H767" s="1">
        <v>41391</v>
      </c>
      <c r="I767">
        <v>90</v>
      </c>
      <c r="J767">
        <v>138</v>
      </c>
      <c r="K767">
        <v>3</v>
      </c>
      <c r="L767">
        <v>38</v>
      </c>
      <c r="M767">
        <v>4</v>
      </c>
      <c r="N767">
        <v>0</v>
      </c>
      <c r="O767">
        <v>59</v>
      </c>
      <c r="P767">
        <v>3</v>
      </c>
      <c r="Q767">
        <v>3</v>
      </c>
      <c r="R767">
        <v>2</v>
      </c>
      <c r="S767">
        <v>4</v>
      </c>
      <c r="T767">
        <v>6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3</v>
      </c>
      <c r="AB767">
        <v>11</v>
      </c>
      <c r="AC767">
        <v>0</v>
      </c>
    </row>
    <row r="768" spans="1:29" x14ac:dyDescent="0.3">
      <c r="A768">
        <v>5331</v>
      </c>
      <c r="B768">
        <v>1977</v>
      </c>
      <c r="C768" t="s">
        <v>29</v>
      </c>
      <c r="D768" t="s">
        <v>33</v>
      </c>
      <c r="E768">
        <v>74985</v>
      </c>
      <c r="F768">
        <v>0</v>
      </c>
      <c r="G768">
        <v>0</v>
      </c>
      <c r="H768" s="1">
        <v>41163</v>
      </c>
      <c r="I768">
        <v>8</v>
      </c>
      <c r="J768">
        <v>587</v>
      </c>
      <c r="K768">
        <v>51</v>
      </c>
      <c r="L768">
        <v>898</v>
      </c>
      <c r="M768">
        <v>247</v>
      </c>
      <c r="N768">
        <v>0</v>
      </c>
      <c r="O768">
        <v>86</v>
      </c>
      <c r="P768">
        <v>1</v>
      </c>
      <c r="Q768">
        <v>3</v>
      </c>
      <c r="R768">
        <v>6</v>
      </c>
      <c r="S768">
        <v>7</v>
      </c>
      <c r="T768">
        <v>2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3</v>
      </c>
      <c r="AB768">
        <v>11</v>
      </c>
      <c r="AC768">
        <v>0</v>
      </c>
    </row>
    <row r="769" spans="1:29" x14ac:dyDescent="0.3">
      <c r="A769">
        <v>1911</v>
      </c>
      <c r="B769">
        <v>1987</v>
      </c>
      <c r="C769" t="s">
        <v>29</v>
      </c>
      <c r="D769" t="s">
        <v>31</v>
      </c>
      <c r="E769">
        <v>67430</v>
      </c>
      <c r="F769">
        <v>0</v>
      </c>
      <c r="G769">
        <v>0</v>
      </c>
      <c r="H769" s="1">
        <v>41157</v>
      </c>
      <c r="I769">
        <v>6</v>
      </c>
      <c r="J769">
        <v>595</v>
      </c>
      <c r="K769">
        <v>97</v>
      </c>
      <c r="L769">
        <v>291</v>
      </c>
      <c r="M769">
        <v>127</v>
      </c>
      <c r="N769">
        <v>133</v>
      </c>
      <c r="O769">
        <v>121</v>
      </c>
      <c r="P769">
        <v>1</v>
      </c>
      <c r="Q769">
        <v>11</v>
      </c>
      <c r="R769">
        <v>5</v>
      </c>
      <c r="S769">
        <v>12</v>
      </c>
      <c r="T769">
        <v>6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3</v>
      </c>
      <c r="AB769">
        <v>11</v>
      </c>
      <c r="AC769">
        <v>0</v>
      </c>
    </row>
    <row r="770" spans="1:29" x14ac:dyDescent="0.3">
      <c r="A770">
        <v>20</v>
      </c>
      <c r="B770">
        <v>1965</v>
      </c>
      <c r="C770" t="s">
        <v>37</v>
      </c>
      <c r="D770" t="s">
        <v>33</v>
      </c>
      <c r="E770">
        <v>46891</v>
      </c>
      <c r="F770">
        <v>0</v>
      </c>
      <c r="G770">
        <v>1</v>
      </c>
      <c r="H770" s="1">
        <v>41518</v>
      </c>
      <c r="I770">
        <v>91</v>
      </c>
      <c r="J770">
        <v>43</v>
      </c>
      <c r="K770">
        <v>12</v>
      </c>
      <c r="L770">
        <v>23</v>
      </c>
      <c r="M770">
        <v>29</v>
      </c>
      <c r="N770">
        <v>15</v>
      </c>
      <c r="O770">
        <v>61</v>
      </c>
      <c r="P770">
        <v>1</v>
      </c>
      <c r="Q770">
        <v>2</v>
      </c>
      <c r="R770">
        <v>1</v>
      </c>
      <c r="S770">
        <v>4</v>
      </c>
      <c r="T770">
        <v>4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3</v>
      </c>
      <c r="AB770">
        <v>11</v>
      </c>
      <c r="AC770">
        <v>0</v>
      </c>
    </row>
    <row r="771" spans="1:29" x14ac:dyDescent="0.3">
      <c r="A771">
        <v>8786</v>
      </c>
      <c r="B771">
        <v>1956</v>
      </c>
      <c r="C771" t="s">
        <v>34</v>
      </c>
      <c r="D771" t="s">
        <v>33</v>
      </c>
      <c r="E771">
        <v>62058</v>
      </c>
      <c r="F771">
        <v>0</v>
      </c>
      <c r="G771">
        <v>1</v>
      </c>
      <c r="H771" s="1">
        <v>41420</v>
      </c>
      <c r="I771">
        <v>52</v>
      </c>
      <c r="J771">
        <v>301</v>
      </c>
      <c r="K771">
        <v>7</v>
      </c>
      <c r="L771">
        <v>74</v>
      </c>
      <c r="M771">
        <v>10</v>
      </c>
      <c r="N771">
        <v>0</v>
      </c>
      <c r="O771">
        <v>58</v>
      </c>
      <c r="P771">
        <v>4</v>
      </c>
      <c r="Q771">
        <v>6</v>
      </c>
      <c r="R771">
        <v>1</v>
      </c>
      <c r="S771">
        <v>7</v>
      </c>
      <c r="T771">
        <v>6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3</v>
      </c>
      <c r="AB771">
        <v>11</v>
      </c>
      <c r="AC771">
        <v>0</v>
      </c>
    </row>
    <row r="772" spans="1:29" x14ac:dyDescent="0.3">
      <c r="A772">
        <v>10582</v>
      </c>
      <c r="B772">
        <v>1979</v>
      </c>
      <c r="C772" t="s">
        <v>29</v>
      </c>
      <c r="D772" t="s">
        <v>33</v>
      </c>
      <c r="E772">
        <v>72063</v>
      </c>
      <c r="F772">
        <v>0</v>
      </c>
      <c r="G772">
        <v>1</v>
      </c>
      <c r="H772" s="1">
        <v>41458</v>
      </c>
      <c r="I772">
        <v>3</v>
      </c>
      <c r="J772">
        <v>180</v>
      </c>
      <c r="K772">
        <v>32</v>
      </c>
      <c r="L772">
        <v>348</v>
      </c>
      <c r="M772">
        <v>76</v>
      </c>
      <c r="N772">
        <v>32</v>
      </c>
      <c r="O772">
        <v>90</v>
      </c>
      <c r="P772">
        <v>2</v>
      </c>
      <c r="Q772">
        <v>5</v>
      </c>
      <c r="R772">
        <v>2</v>
      </c>
      <c r="S772">
        <v>12</v>
      </c>
      <c r="T772">
        <v>2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3</v>
      </c>
      <c r="AB772">
        <v>11</v>
      </c>
      <c r="AC772">
        <v>0</v>
      </c>
    </row>
    <row r="773" spans="1:29" x14ac:dyDescent="0.3">
      <c r="A773">
        <v>1915</v>
      </c>
      <c r="B773">
        <v>1951</v>
      </c>
      <c r="C773" t="s">
        <v>32</v>
      </c>
      <c r="D773" t="s">
        <v>33</v>
      </c>
      <c r="E773">
        <v>78939</v>
      </c>
      <c r="F773">
        <v>0</v>
      </c>
      <c r="G773">
        <v>0</v>
      </c>
      <c r="H773" s="1">
        <v>41620</v>
      </c>
      <c r="I773">
        <v>57</v>
      </c>
      <c r="J773">
        <v>794</v>
      </c>
      <c r="K773">
        <v>115</v>
      </c>
      <c r="L773">
        <v>243</v>
      </c>
      <c r="M773">
        <v>150</v>
      </c>
      <c r="N773">
        <v>0</v>
      </c>
      <c r="O773">
        <v>205</v>
      </c>
      <c r="P773">
        <v>1</v>
      </c>
      <c r="Q773">
        <v>8</v>
      </c>
      <c r="R773">
        <v>5</v>
      </c>
      <c r="S773">
        <v>6</v>
      </c>
      <c r="T773">
        <v>3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3</v>
      </c>
      <c r="AB773">
        <v>11</v>
      </c>
      <c r="AC773">
        <v>0</v>
      </c>
    </row>
    <row r="774" spans="1:29" x14ac:dyDescent="0.3">
      <c r="A774">
        <v>8897</v>
      </c>
      <c r="B774">
        <v>1965</v>
      </c>
      <c r="C774" t="s">
        <v>29</v>
      </c>
      <c r="D774" t="s">
        <v>30</v>
      </c>
      <c r="E774">
        <v>42720</v>
      </c>
      <c r="F774">
        <v>1</v>
      </c>
      <c r="G774">
        <v>1</v>
      </c>
      <c r="H774" s="1">
        <v>41388</v>
      </c>
      <c r="I774">
        <v>9</v>
      </c>
      <c r="J774">
        <v>392</v>
      </c>
      <c r="K774">
        <v>5</v>
      </c>
      <c r="L774">
        <v>91</v>
      </c>
      <c r="M774">
        <v>28</v>
      </c>
      <c r="N774">
        <v>26</v>
      </c>
      <c r="O774">
        <v>112</v>
      </c>
      <c r="P774">
        <v>8</v>
      </c>
      <c r="Q774">
        <v>7</v>
      </c>
      <c r="R774">
        <v>3</v>
      </c>
      <c r="S774">
        <v>7</v>
      </c>
      <c r="T774">
        <v>8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3</v>
      </c>
      <c r="AB774">
        <v>11</v>
      </c>
      <c r="AC774">
        <v>1</v>
      </c>
    </row>
    <row r="775" spans="1:29" x14ac:dyDescent="0.3">
      <c r="A775">
        <v>2371</v>
      </c>
      <c r="B775">
        <v>1972</v>
      </c>
      <c r="C775" t="s">
        <v>29</v>
      </c>
      <c r="D775" t="s">
        <v>33</v>
      </c>
      <c r="E775">
        <v>33622</v>
      </c>
      <c r="F775">
        <v>1</v>
      </c>
      <c r="G775">
        <v>1</v>
      </c>
      <c r="H775" s="1">
        <v>41377</v>
      </c>
      <c r="I775">
        <v>22</v>
      </c>
      <c r="J775">
        <v>39</v>
      </c>
      <c r="K775">
        <v>1</v>
      </c>
      <c r="L775">
        <v>22</v>
      </c>
      <c r="M775">
        <v>3</v>
      </c>
      <c r="N775">
        <v>4</v>
      </c>
      <c r="O775">
        <v>12</v>
      </c>
      <c r="P775">
        <v>3</v>
      </c>
      <c r="Q775">
        <v>2</v>
      </c>
      <c r="R775">
        <v>0</v>
      </c>
      <c r="S775">
        <v>4</v>
      </c>
      <c r="T775">
        <v>7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3</v>
      </c>
      <c r="AB775">
        <v>11</v>
      </c>
      <c r="AC775">
        <v>0</v>
      </c>
    </row>
    <row r="776" spans="1:29" x14ac:dyDescent="0.3">
      <c r="A776">
        <v>4303</v>
      </c>
      <c r="B776">
        <v>1957</v>
      </c>
      <c r="C776" t="s">
        <v>32</v>
      </c>
      <c r="D776" t="s">
        <v>31</v>
      </c>
      <c r="E776">
        <v>6835</v>
      </c>
      <c r="F776">
        <v>0</v>
      </c>
      <c r="G776">
        <v>1</v>
      </c>
      <c r="H776" s="1">
        <v>41251</v>
      </c>
      <c r="I776">
        <v>76</v>
      </c>
      <c r="J776">
        <v>107</v>
      </c>
      <c r="K776">
        <v>2</v>
      </c>
      <c r="L776">
        <v>12</v>
      </c>
      <c r="M776">
        <v>2</v>
      </c>
      <c r="N776">
        <v>2</v>
      </c>
      <c r="O776">
        <v>12</v>
      </c>
      <c r="P776">
        <v>0</v>
      </c>
      <c r="Q776">
        <v>0</v>
      </c>
      <c r="R776">
        <v>0</v>
      </c>
      <c r="S776">
        <v>1</v>
      </c>
      <c r="T776">
        <v>20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3</v>
      </c>
      <c r="AB776">
        <v>11</v>
      </c>
      <c r="AC776">
        <v>0</v>
      </c>
    </row>
    <row r="777" spans="1:29" x14ac:dyDescent="0.3">
      <c r="A777">
        <v>6825</v>
      </c>
      <c r="B777">
        <v>1953</v>
      </c>
      <c r="C777" t="s">
        <v>29</v>
      </c>
      <c r="D777" t="s">
        <v>31</v>
      </c>
      <c r="E777">
        <v>41452</v>
      </c>
      <c r="F777">
        <v>1</v>
      </c>
      <c r="G777">
        <v>1</v>
      </c>
      <c r="H777" s="1">
        <v>41339</v>
      </c>
      <c r="I777">
        <v>86</v>
      </c>
      <c r="J777">
        <v>13</v>
      </c>
      <c r="K777">
        <v>0</v>
      </c>
      <c r="L777">
        <v>3</v>
      </c>
      <c r="M777">
        <v>0</v>
      </c>
      <c r="N777">
        <v>0</v>
      </c>
      <c r="O777">
        <v>0</v>
      </c>
      <c r="P777">
        <v>1</v>
      </c>
      <c r="Q777">
        <v>1</v>
      </c>
      <c r="R777">
        <v>0</v>
      </c>
      <c r="S777">
        <v>2</v>
      </c>
      <c r="T777">
        <v>7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3</v>
      </c>
      <c r="AB777">
        <v>11</v>
      </c>
      <c r="AC777">
        <v>0</v>
      </c>
    </row>
    <row r="778" spans="1:29" x14ac:dyDescent="0.3">
      <c r="A778">
        <v>1072</v>
      </c>
      <c r="B778">
        <v>1965</v>
      </c>
      <c r="C778" t="s">
        <v>32</v>
      </c>
      <c r="D778" t="s">
        <v>30</v>
      </c>
      <c r="E778">
        <v>40760</v>
      </c>
      <c r="F778">
        <v>0</v>
      </c>
      <c r="G778">
        <v>1</v>
      </c>
      <c r="H778" s="1">
        <v>41516</v>
      </c>
      <c r="I778">
        <v>64</v>
      </c>
      <c r="J778">
        <v>70</v>
      </c>
      <c r="K778">
        <v>0</v>
      </c>
      <c r="L778">
        <v>17</v>
      </c>
      <c r="M778">
        <v>0</v>
      </c>
      <c r="N778">
        <v>0</v>
      </c>
      <c r="O778">
        <v>6</v>
      </c>
      <c r="P778">
        <v>2</v>
      </c>
      <c r="Q778">
        <v>2</v>
      </c>
      <c r="R778">
        <v>1</v>
      </c>
      <c r="S778">
        <v>3</v>
      </c>
      <c r="T778">
        <v>6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3</v>
      </c>
      <c r="AB778">
        <v>11</v>
      </c>
      <c r="AC778">
        <v>0</v>
      </c>
    </row>
    <row r="779" spans="1:29" x14ac:dyDescent="0.3">
      <c r="A779">
        <v>4964</v>
      </c>
      <c r="B779">
        <v>1958</v>
      </c>
      <c r="C779" t="s">
        <v>32</v>
      </c>
      <c r="D779" t="s">
        <v>31</v>
      </c>
      <c r="E779">
        <v>74250</v>
      </c>
      <c r="F779">
        <v>0</v>
      </c>
      <c r="G779">
        <v>0</v>
      </c>
      <c r="H779" s="1">
        <v>41665</v>
      </c>
      <c r="I779">
        <v>90</v>
      </c>
      <c r="J779">
        <v>680</v>
      </c>
      <c r="K779">
        <v>11</v>
      </c>
      <c r="L779">
        <v>392</v>
      </c>
      <c r="M779">
        <v>75</v>
      </c>
      <c r="N779">
        <v>0</v>
      </c>
      <c r="O779">
        <v>0</v>
      </c>
      <c r="P779">
        <v>1</v>
      </c>
      <c r="Q779">
        <v>2</v>
      </c>
      <c r="R779">
        <v>11</v>
      </c>
      <c r="S779">
        <v>4</v>
      </c>
      <c r="T779">
        <v>1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3</v>
      </c>
      <c r="AB779">
        <v>11</v>
      </c>
      <c r="AC779">
        <v>0</v>
      </c>
    </row>
    <row r="780" spans="1:29" x14ac:dyDescent="0.3">
      <c r="A780">
        <v>2461</v>
      </c>
      <c r="B780">
        <v>1955</v>
      </c>
      <c r="C780" t="s">
        <v>34</v>
      </c>
      <c r="D780" t="s">
        <v>30</v>
      </c>
      <c r="E780">
        <v>51124</v>
      </c>
      <c r="F780">
        <v>1</v>
      </c>
      <c r="G780">
        <v>1</v>
      </c>
      <c r="H780" s="1">
        <v>41626</v>
      </c>
      <c r="I780">
        <v>79</v>
      </c>
      <c r="J780">
        <v>26</v>
      </c>
      <c r="K780">
        <v>1</v>
      </c>
      <c r="L780">
        <v>11</v>
      </c>
      <c r="M780">
        <v>0</v>
      </c>
      <c r="N780">
        <v>1</v>
      </c>
      <c r="O780">
        <v>4</v>
      </c>
      <c r="P780">
        <v>2</v>
      </c>
      <c r="Q780">
        <v>1</v>
      </c>
      <c r="R780">
        <v>0</v>
      </c>
      <c r="S780">
        <v>3</v>
      </c>
      <c r="T780">
        <v>3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3</v>
      </c>
      <c r="AB780">
        <v>11</v>
      </c>
      <c r="AC780">
        <v>0</v>
      </c>
    </row>
    <row r="781" spans="1:29" x14ac:dyDescent="0.3">
      <c r="A781">
        <v>10736</v>
      </c>
      <c r="B781">
        <v>1971</v>
      </c>
      <c r="C781" t="s">
        <v>29</v>
      </c>
      <c r="D781" t="s">
        <v>30</v>
      </c>
      <c r="E781">
        <v>72258</v>
      </c>
      <c r="F781">
        <v>0</v>
      </c>
      <c r="G781">
        <v>1</v>
      </c>
      <c r="H781" s="1">
        <v>41529</v>
      </c>
      <c r="I781">
        <v>28</v>
      </c>
      <c r="J781">
        <v>522</v>
      </c>
      <c r="K781">
        <v>0</v>
      </c>
      <c r="L781">
        <v>522</v>
      </c>
      <c r="M781">
        <v>227</v>
      </c>
      <c r="N781">
        <v>120</v>
      </c>
      <c r="O781">
        <v>134</v>
      </c>
      <c r="P781">
        <v>2</v>
      </c>
      <c r="Q781">
        <v>6</v>
      </c>
      <c r="R781">
        <v>9</v>
      </c>
      <c r="S781">
        <v>5</v>
      </c>
      <c r="T781">
        <v>2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3</v>
      </c>
      <c r="AB781">
        <v>11</v>
      </c>
      <c r="AC781">
        <v>0</v>
      </c>
    </row>
    <row r="782" spans="1:29" x14ac:dyDescent="0.3">
      <c r="A782">
        <v>3194</v>
      </c>
      <c r="B782">
        <v>1974</v>
      </c>
      <c r="C782" t="s">
        <v>32</v>
      </c>
      <c r="D782" t="s">
        <v>30</v>
      </c>
      <c r="E782">
        <v>71466</v>
      </c>
      <c r="F782">
        <v>0</v>
      </c>
      <c r="G782">
        <v>0</v>
      </c>
      <c r="H782" s="1">
        <v>41734</v>
      </c>
      <c r="I782">
        <v>86</v>
      </c>
      <c r="J782">
        <v>412</v>
      </c>
      <c r="K782">
        <v>12</v>
      </c>
      <c r="L782">
        <v>546</v>
      </c>
      <c r="M782">
        <v>78</v>
      </c>
      <c r="N782">
        <v>182</v>
      </c>
      <c r="O782">
        <v>0</v>
      </c>
      <c r="P782">
        <v>1</v>
      </c>
      <c r="Q782">
        <v>4</v>
      </c>
      <c r="R782">
        <v>4</v>
      </c>
      <c r="S782">
        <v>10</v>
      </c>
      <c r="T782">
        <v>1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3</v>
      </c>
      <c r="AB782">
        <v>11</v>
      </c>
      <c r="AC782">
        <v>0</v>
      </c>
    </row>
    <row r="783" spans="1:29" x14ac:dyDescent="0.3">
      <c r="A783">
        <v>10839</v>
      </c>
      <c r="B783">
        <v>1976</v>
      </c>
      <c r="C783" t="s">
        <v>29</v>
      </c>
      <c r="D783" t="s">
        <v>31</v>
      </c>
      <c r="E783">
        <v>36283</v>
      </c>
      <c r="F783">
        <v>1</v>
      </c>
      <c r="G783">
        <v>1</v>
      </c>
      <c r="H783" s="1">
        <v>41743</v>
      </c>
      <c r="I783">
        <v>42</v>
      </c>
      <c r="J783">
        <v>6</v>
      </c>
      <c r="K783">
        <v>5</v>
      </c>
      <c r="L783">
        <v>5</v>
      </c>
      <c r="M783">
        <v>8</v>
      </c>
      <c r="N783">
        <v>0</v>
      </c>
      <c r="O783">
        <v>5</v>
      </c>
      <c r="P783">
        <v>2</v>
      </c>
      <c r="Q783">
        <v>1</v>
      </c>
      <c r="R783">
        <v>0</v>
      </c>
      <c r="S783">
        <v>3</v>
      </c>
      <c r="T783">
        <v>4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3</v>
      </c>
      <c r="AB783">
        <v>11</v>
      </c>
      <c r="AC783">
        <v>0</v>
      </c>
    </row>
    <row r="784" spans="1:29" x14ac:dyDescent="0.3">
      <c r="A784">
        <v>49</v>
      </c>
      <c r="B784">
        <v>1970</v>
      </c>
      <c r="C784" t="s">
        <v>29</v>
      </c>
      <c r="D784" t="s">
        <v>30</v>
      </c>
      <c r="E784">
        <v>20587</v>
      </c>
      <c r="F784">
        <v>1</v>
      </c>
      <c r="G784">
        <v>0</v>
      </c>
      <c r="H784" s="1">
        <v>41770</v>
      </c>
      <c r="I784">
        <v>39</v>
      </c>
      <c r="J784">
        <v>2</v>
      </c>
      <c r="K784">
        <v>3</v>
      </c>
      <c r="L784">
        <v>6</v>
      </c>
      <c r="M784">
        <v>4</v>
      </c>
      <c r="N784">
        <v>1</v>
      </c>
      <c r="O784">
        <v>9</v>
      </c>
      <c r="P784">
        <v>1</v>
      </c>
      <c r="Q784">
        <v>1</v>
      </c>
      <c r="R784">
        <v>1</v>
      </c>
      <c r="S784">
        <v>2</v>
      </c>
      <c r="T784">
        <v>7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3</v>
      </c>
      <c r="AB784">
        <v>11</v>
      </c>
      <c r="AC784">
        <v>0</v>
      </c>
    </row>
    <row r="785" spans="1:29" x14ac:dyDescent="0.3">
      <c r="A785">
        <v>4290</v>
      </c>
      <c r="B785">
        <v>1972</v>
      </c>
      <c r="C785" t="s">
        <v>29</v>
      </c>
      <c r="D785" t="s">
        <v>33</v>
      </c>
      <c r="E785">
        <v>30467</v>
      </c>
      <c r="F785">
        <v>1</v>
      </c>
      <c r="G785">
        <v>0</v>
      </c>
      <c r="H785" s="1">
        <v>41717</v>
      </c>
      <c r="I785">
        <v>8</v>
      </c>
      <c r="J785">
        <v>1</v>
      </c>
      <c r="K785">
        <v>3</v>
      </c>
      <c r="L785">
        <v>8</v>
      </c>
      <c r="M785">
        <v>2</v>
      </c>
      <c r="N785">
        <v>5</v>
      </c>
      <c r="O785">
        <v>5</v>
      </c>
      <c r="P785">
        <v>1</v>
      </c>
      <c r="Q785">
        <v>1</v>
      </c>
      <c r="R785">
        <v>0</v>
      </c>
      <c r="S785">
        <v>2</v>
      </c>
      <c r="T785">
        <v>7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3</v>
      </c>
      <c r="AB785">
        <v>11</v>
      </c>
      <c r="AC785">
        <v>0</v>
      </c>
    </row>
    <row r="786" spans="1:29" x14ac:dyDescent="0.3">
      <c r="A786">
        <v>10219</v>
      </c>
      <c r="B786">
        <v>1972</v>
      </c>
      <c r="C786" t="s">
        <v>29</v>
      </c>
      <c r="D786" t="s">
        <v>31</v>
      </c>
      <c r="E786">
        <v>31590</v>
      </c>
      <c r="F786">
        <v>1</v>
      </c>
      <c r="G786">
        <v>0</v>
      </c>
      <c r="H786" s="1">
        <v>41443</v>
      </c>
      <c r="I786">
        <v>40</v>
      </c>
      <c r="J786">
        <v>6</v>
      </c>
      <c r="K786">
        <v>2</v>
      </c>
      <c r="L786">
        <v>15</v>
      </c>
      <c r="M786">
        <v>6</v>
      </c>
      <c r="N786">
        <v>6</v>
      </c>
      <c r="O786">
        <v>3</v>
      </c>
      <c r="P786">
        <v>1</v>
      </c>
      <c r="Q786">
        <v>1</v>
      </c>
      <c r="R786">
        <v>0</v>
      </c>
      <c r="S786">
        <v>3</v>
      </c>
      <c r="T786">
        <v>8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3</v>
      </c>
      <c r="AB786">
        <v>11</v>
      </c>
      <c r="AC786">
        <v>0</v>
      </c>
    </row>
    <row r="787" spans="1:29" x14ac:dyDescent="0.3">
      <c r="A787">
        <v>4211</v>
      </c>
      <c r="B787">
        <v>1986</v>
      </c>
      <c r="C787" t="s">
        <v>36</v>
      </c>
      <c r="D787" t="s">
        <v>33</v>
      </c>
      <c r="E787">
        <v>20425</v>
      </c>
      <c r="F787">
        <v>1</v>
      </c>
      <c r="G787">
        <v>0</v>
      </c>
      <c r="H787" s="1">
        <v>41211</v>
      </c>
      <c r="I787">
        <v>5</v>
      </c>
      <c r="J787">
        <v>4</v>
      </c>
      <c r="K787">
        <v>12</v>
      </c>
      <c r="L787">
        <v>5</v>
      </c>
      <c r="M787">
        <v>3</v>
      </c>
      <c r="N787">
        <v>16</v>
      </c>
      <c r="O787">
        <v>17</v>
      </c>
      <c r="P787">
        <v>2</v>
      </c>
      <c r="Q787">
        <v>2</v>
      </c>
      <c r="R787">
        <v>0</v>
      </c>
      <c r="S787">
        <v>3</v>
      </c>
      <c r="T787">
        <v>7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3</v>
      </c>
      <c r="AB787">
        <v>11</v>
      </c>
      <c r="AC787">
        <v>0</v>
      </c>
    </row>
    <row r="788" spans="1:29" x14ac:dyDescent="0.3">
      <c r="A788">
        <v>1135</v>
      </c>
      <c r="B788">
        <v>1960</v>
      </c>
      <c r="C788" t="s">
        <v>34</v>
      </c>
      <c r="D788" t="s">
        <v>31</v>
      </c>
      <c r="E788">
        <v>17144</v>
      </c>
      <c r="F788">
        <v>1</v>
      </c>
      <c r="G788">
        <v>1</v>
      </c>
      <c r="H788" s="1">
        <v>41685</v>
      </c>
      <c r="I788">
        <v>96</v>
      </c>
      <c r="J788">
        <v>18</v>
      </c>
      <c r="K788">
        <v>2</v>
      </c>
      <c r="L788">
        <v>19</v>
      </c>
      <c r="M788">
        <v>0</v>
      </c>
      <c r="N788">
        <v>2</v>
      </c>
      <c r="O788">
        <v>6</v>
      </c>
      <c r="P788">
        <v>5</v>
      </c>
      <c r="Q788">
        <v>3</v>
      </c>
      <c r="R788">
        <v>0</v>
      </c>
      <c r="S788">
        <v>4</v>
      </c>
      <c r="T788">
        <v>7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3</v>
      </c>
      <c r="AB788">
        <v>11</v>
      </c>
      <c r="AC788">
        <v>0</v>
      </c>
    </row>
    <row r="789" spans="1:29" x14ac:dyDescent="0.3">
      <c r="A789">
        <v>6299</v>
      </c>
      <c r="B789">
        <v>1968</v>
      </c>
      <c r="C789" t="s">
        <v>32</v>
      </c>
      <c r="D789" t="s">
        <v>35</v>
      </c>
      <c r="E789">
        <v>42564</v>
      </c>
      <c r="F789">
        <v>0</v>
      </c>
      <c r="G789">
        <v>1</v>
      </c>
      <c r="H789" s="1">
        <v>41276</v>
      </c>
      <c r="I789">
        <v>28</v>
      </c>
      <c r="J789">
        <v>324</v>
      </c>
      <c r="K789">
        <v>48</v>
      </c>
      <c r="L789">
        <v>186</v>
      </c>
      <c r="M789">
        <v>39</v>
      </c>
      <c r="N789">
        <v>18</v>
      </c>
      <c r="O789">
        <v>198</v>
      </c>
      <c r="P789">
        <v>6</v>
      </c>
      <c r="Q789">
        <v>6</v>
      </c>
      <c r="R789">
        <v>8</v>
      </c>
      <c r="S789">
        <v>4</v>
      </c>
      <c r="T789">
        <v>7</v>
      </c>
      <c r="U789">
        <v>1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3</v>
      </c>
      <c r="AB789">
        <v>11</v>
      </c>
      <c r="AC789">
        <v>1</v>
      </c>
    </row>
    <row r="790" spans="1:29" x14ac:dyDescent="0.3">
      <c r="A790">
        <v>10846</v>
      </c>
      <c r="B790">
        <v>1978</v>
      </c>
      <c r="C790" t="s">
        <v>34</v>
      </c>
      <c r="D790" t="s">
        <v>33</v>
      </c>
      <c r="E790">
        <v>43783</v>
      </c>
      <c r="F790">
        <v>1</v>
      </c>
      <c r="G790">
        <v>0</v>
      </c>
      <c r="H790" s="1">
        <v>41788</v>
      </c>
      <c r="I790">
        <v>22</v>
      </c>
      <c r="J790">
        <v>327</v>
      </c>
      <c r="K790">
        <v>9</v>
      </c>
      <c r="L790">
        <v>125</v>
      </c>
      <c r="M790">
        <v>25</v>
      </c>
      <c r="N790">
        <v>4</v>
      </c>
      <c r="O790">
        <v>139</v>
      </c>
      <c r="P790">
        <v>6</v>
      </c>
      <c r="Q790">
        <v>7</v>
      </c>
      <c r="R790">
        <v>1</v>
      </c>
      <c r="S790">
        <v>8</v>
      </c>
      <c r="T790">
        <v>7</v>
      </c>
      <c r="U790">
        <v>1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3</v>
      </c>
      <c r="AB790">
        <v>11</v>
      </c>
      <c r="AC790">
        <v>0</v>
      </c>
    </row>
    <row r="791" spans="1:29" x14ac:dyDescent="0.3">
      <c r="A791">
        <v>347</v>
      </c>
      <c r="B791">
        <v>1976</v>
      </c>
      <c r="C791" t="s">
        <v>29</v>
      </c>
      <c r="D791" t="s">
        <v>35</v>
      </c>
      <c r="E791">
        <v>40780</v>
      </c>
      <c r="F791">
        <v>0</v>
      </c>
      <c r="G791">
        <v>1</v>
      </c>
      <c r="H791" s="1">
        <v>41160</v>
      </c>
      <c r="I791">
        <v>30</v>
      </c>
      <c r="J791">
        <v>229</v>
      </c>
      <c r="K791">
        <v>27</v>
      </c>
      <c r="L791">
        <v>71</v>
      </c>
      <c r="M791">
        <v>13</v>
      </c>
      <c r="N791">
        <v>3</v>
      </c>
      <c r="O791">
        <v>34</v>
      </c>
      <c r="P791">
        <v>4</v>
      </c>
      <c r="Q791">
        <v>7</v>
      </c>
      <c r="R791">
        <v>1</v>
      </c>
      <c r="S791">
        <v>5</v>
      </c>
      <c r="T791">
        <v>9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3</v>
      </c>
      <c r="AB791">
        <v>11</v>
      </c>
      <c r="AC791">
        <v>0</v>
      </c>
    </row>
    <row r="792" spans="1:29" x14ac:dyDescent="0.3">
      <c r="A792">
        <v>6543</v>
      </c>
      <c r="B792">
        <v>1945</v>
      </c>
      <c r="C792" t="s">
        <v>34</v>
      </c>
      <c r="D792" t="s">
        <v>31</v>
      </c>
      <c r="E792">
        <v>62847</v>
      </c>
      <c r="F792">
        <v>0</v>
      </c>
      <c r="G792">
        <v>0</v>
      </c>
      <c r="H792" s="1">
        <v>41289</v>
      </c>
      <c r="I792">
        <v>45</v>
      </c>
      <c r="J792">
        <v>521</v>
      </c>
      <c r="K792">
        <v>168</v>
      </c>
      <c r="L792">
        <v>706</v>
      </c>
      <c r="M792">
        <v>80</v>
      </c>
      <c r="N792">
        <v>76</v>
      </c>
      <c r="O792">
        <v>61</v>
      </c>
      <c r="P792">
        <v>1</v>
      </c>
      <c r="Q792">
        <v>3</v>
      </c>
      <c r="R792">
        <v>6</v>
      </c>
      <c r="S792">
        <v>4</v>
      </c>
      <c r="T792">
        <v>2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3</v>
      </c>
      <c r="AB792">
        <v>11</v>
      </c>
      <c r="AC792">
        <v>0</v>
      </c>
    </row>
    <row r="793" spans="1:29" x14ac:dyDescent="0.3">
      <c r="A793">
        <v>10446</v>
      </c>
      <c r="B793">
        <v>1957</v>
      </c>
      <c r="C793" t="s">
        <v>32</v>
      </c>
      <c r="D793" t="s">
        <v>33</v>
      </c>
      <c r="E793">
        <v>82017</v>
      </c>
      <c r="F793">
        <v>0</v>
      </c>
      <c r="G793">
        <v>0</v>
      </c>
      <c r="H793" s="1">
        <v>41220</v>
      </c>
      <c r="I793">
        <v>58</v>
      </c>
      <c r="J793">
        <v>184</v>
      </c>
      <c r="K793">
        <v>23</v>
      </c>
      <c r="L793">
        <v>446</v>
      </c>
      <c r="M793">
        <v>30</v>
      </c>
      <c r="N793">
        <v>23</v>
      </c>
      <c r="O793">
        <v>23</v>
      </c>
      <c r="P793">
        <v>1</v>
      </c>
      <c r="Q793">
        <v>5</v>
      </c>
      <c r="R793">
        <v>4</v>
      </c>
      <c r="S793">
        <v>7</v>
      </c>
      <c r="T793">
        <v>2</v>
      </c>
      <c r="U793">
        <v>0</v>
      </c>
      <c r="V793">
        <v>1</v>
      </c>
      <c r="W793">
        <v>1</v>
      </c>
      <c r="X793">
        <v>1</v>
      </c>
      <c r="Y793">
        <v>0</v>
      </c>
      <c r="Z793">
        <v>0</v>
      </c>
      <c r="AA793">
        <v>3</v>
      </c>
      <c r="AB793">
        <v>11</v>
      </c>
      <c r="AC793">
        <v>1</v>
      </c>
    </row>
    <row r="794" spans="1:29" x14ac:dyDescent="0.3">
      <c r="A794">
        <v>3479</v>
      </c>
      <c r="B794">
        <v>1950</v>
      </c>
      <c r="C794" t="s">
        <v>29</v>
      </c>
      <c r="D794" t="s">
        <v>30</v>
      </c>
      <c r="E794">
        <v>16813</v>
      </c>
      <c r="F794">
        <v>0</v>
      </c>
      <c r="G794">
        <v>0</v>
      </c>
      <c r="H794" s="1">
        <v>41474</v>
      </c>
      <c r="I794">
        <v>49</v>
      </c>
      <c r="J794">
        <v>4</v>
      </c>
      <c r="K794">
        <v>8</v>
      </c>
      <c r="L794">
        <v>11</v>
      </c>
      <c r="M794">
        <v>12</v>
      </c>
      <c r="N794">
        <v>2</v>
      </c>
      <c r="O794">
        <v>13</v>
      </c>
      <c r="P794">
        <v>1</v>
      </c>
      <c r="Q794">
        <v>2</v>
      </c>
      <c r="R794">
        <v>0</v>
      </c>
      <c r="S794">
        <v>3</v>
      </c>
      <c r="T794">
        <v>7</v>
      </c>
      <c r="U794">
        <v>1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3</v>
      </c>
      <c r="AB794">
        <v>11</v>
      </c>
      <c r="AC794">
        <v>0</v>
      </c>
    </row>
    <row r="795" spans="1:29" x14ac:dyDescent="0.3">
      <c r="A795">
        <v>11075</v>
      </c>
      <c r="B795">
        <v>1978</v>
      </c>
      <c r="C795" t="s">
        <v>29</v>
      </c>
      <c r="D795" t="s">
        <v>33</v>
      </c>
      <c r="E795">
        <v>51267</v>
      </c>
      <c r="F795">
        <v>1</v>
      </c>
      <c r="G795">
        <v>1</v>
      </c>
      <c r="H795" s="1">
        <v>41576</v>
      </c>
      <c r="I795">
        <v>37</v>
      </c>
      <c r="J795">
        <v>183</v>
      </c>
      <c r="K795">
        <v>2</v>
      </c>
      <c r="L795">
        <v>64</v>
      </c>
      <c r="M795">
        <v>7</v>
      </c>
      <c r="N795">
        <v>2</v>
      </c>
      <c r="O795">
        <v>12</v>
      </c>
      <c r="P795">
        <v>4</v>
      </c>
      <c r="Q795">
        <v>3</v>
      </c>
      <c r="R795">
        <v>3</v>
      </c>
      <c r="S795">
        <v>5</v>
      </c>
      <c r="T795">
        <v>4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3</v>
      </c>
      <c r="AB795">
        <v>11</v>
      </c>
      <c r="AC795">
        <v>0</v>
      </c>
    </row>
    <row r="796" spans="1:29" x14ac:dyDescent="0.3">
      <c r="A796">
        <v>4442</v>
      </c>
      <c r="B796">
        <v>1961</v>
      </c>
      <c r="C796" t="s">
        <v>29</v>
      </c>
      <c r="D796" t="s">
        <v>30</v>
      </c>
      <c r="E796">
        <v>46524</v>
      </c>
      <c r="F796">
        <v>0</v>
      </c>
      <c r="G796">
        <v>1</v>
      </c>
      <c r="H796" s="1">
        <v>41369</v>
      </c>
      <c r="I796">
        <v>70</v>
      </c>
      <c r="J796">
        <v>31</v>
      </c>
      <c r="K796">
        <v>19</v>
      </c>
      <c r="L796">
        <v>35</v>
      </c>
      <c r="M796">
        <v>26</v>
      </c>
      <c r="N796">
        <v>14</v>
      </c>
      <c r="O796">
        <v>52</v>
      </c>
      <c r="P796">
        <v>2</v>
      </c>
      <c r="Q796">
        <v>1</v>
      </c>
      <c r="R796">
        <v>1</v>
      </c>
      <c r="S796">
        <v>5</v>
      </c>
      <c r="T796">
        <v>3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3</v>
      </c>
      <c r="AB796">
        <v>11</v>
      </c>
      <c r="AC796">
        <v>0</v>
      </c>
    </row>
    <row r="797" spans="1:29" x14ac:dyDescent="0.3">
      <c r="A797">
        <v>199</v>
      </c>
      <c r="B797">
        <v>1962</v>
      </c>
      <c r="C797" t="s">
        <v>34</v>
      </c>
      <c r="D797" t="s">
        <v>30</v>
      </c>
      <c r="E797">
        <v>45183</v>
      </c>
      <c r="F797">
        <v>0</v>
      </c>
      <c r="G797">
        <v>0</v>
      </c>
      <c r="H797" s="1">
        <v>41294</v>
      </c>
      <c r="I797">
        <v>33</v>
      </c>
      <c r="J797">
        <v>219</v>
      </c>
      <c r="K797">
        <v>3</v>
      </c>
      <c r="L797">
        <v>60</v>
      </c>
      <c r="M797">
        <v>12</v>
      </c>
      <c r="N797">
        <v>9</v>
      </c>
      <c r="O797">
        <v>12</v>
      </c>
      <c r="P797">
        <v>1</v>
      </c>
      <c r="Q797">
        <v>4</v>
      </c>
      <c r="R797">
        <v>1</v>
      </c>
      <c r="S797">
        <v>7</v>
      </c>
      <c r="T797">
        <v>7</v>
      </c>
      <c r="U797">
        <v>0</v>
      </c>
      <c r="V797">
        <v>1</v>
      </c>
      <c r="W797">
        <v>0</v>
      </c>
      <c r="X797">
        <v>0</v>
      </c>
      <c r="Y797">
        <v>0</v>
      </c>
      <c r="Z797">
        <v>0</v>
      </c>
      <c r="AA797">
        <v>3</v>
      </c>
      <c r="AB797">
        <v>11</v>
      </c>
      <c r="AC797">
        <v>0</v>
      </c>
    </row>
    <row r="798" spans="1:29" x14ac:dyDescent="0.3">
      <c r="A798">
        <v>6722</v>
      </c>
      <c r="B798">
        <v>1954</v>
      </c>
      <c r="C798" t="s">
        <v>32</v>
      </c>
      <c r="D798" t="s">
        <v>33</v>
      </c>
      <c r="E798">
        <v>70421</v>
      </c>
      <c r="F798">
        <v>0</v>
      </c>
      <c r="G798">
        <v>1</v>
      </c>
      <c r="H798" s="1">
        <v>41818</v>
      </c>
      <c r="I798">
        <v>98</v>
      </c>
      <c r="J798">
        <v>479</v>
      </c>
      <c r="K798">
        <v>28</v>
      </c>
      <c r="L798">
        <v>136</v>
      </c>
      <c r="M798">
        <v>75</v>
      </c>
      <c r="N798">
        <v>14</v>
      </c>
      <c r="O798">
        <v>35</v>
      </c>
      <c r="P798">
        <v>3</v>
      </c>
      <c r="Q798">
        <v>10</v>
      </c>
      <c r="R798">
        <v>3</v>
      </c>
      <c r="S798">
        <v>7</v>
      </c>
      <c r="T798">
        <v>6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3</v>
      </c>
      <c r="AB798">
        <v>11</v>
      </c>
      <c r="AC798">
        <v>0</v>
      </c>
    </row>
    <row r="799" spans="1:29" x14ac:dyDescent="0.3">
      <c r="A799">
        <v>796</v>
      </c>
      <c r="B799">
        <v>1965</v>
      </c>
      <c r="C799" t="s">
        <v>37</v>
      </c>
      <c r="D799" t="s">
        <v>35</v>
      </c>
      <c r="E799">
        <v>60161</v>
      </c>
      <c r="F799">
        <v>0</v>
      </c>
      <c r="G799">
        <v>1</v>
      </c>
      <c r="H799" s="1">
        <v>41205</v>
      </c>
      <c r="I799">
        <v>17</v>
      </c>
      <c r="J799">
        <v>584</v>
      </c>
      <c r="K799">
        <v>44</v>
      </c>
      <c r="L799">
        <v>212</v>
      </c>
      <c r="M799">
        <v>46</v>
      </c>
      <c r="N799">
        <v>8</v>
      </c>
      <c r="O799">
        <v>177</v>
      </c>
      <c r="P799">
        <v>3</v>
      </c>
      <c r="Q799">
        <v>11</v>
      </c>
      <c r="R799">
        <v>4</v>
      </c>
      <c r="S799">
        <v>8</v>
      </c>
      <c r="T799">
        <v>8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3</v>
      </c>
      <c r="AB799">
        <v>11</v>
      </c>
      <c r="AC799">
        <v>0</v>
      </c>
    </row>
    <row r="800" spans="1:29" x14ac:dyDescent="0.3">
      <c r="A800">
        <v>3749</v>
      </c>
      <c r="B800">
        <v>1973</v>
      </c>
      <c r="C800" t="s">
        <v>29</v>
      </c>
      <c r="D800" t="s">
        <v>31</v>
      </c>
      <c r="E800">
        <v>73926</v>
      </c>
      <c r="F800">
        <v>0</v>
      </c>
      <c r="G800">
        <v>0</v>
      </c>
      <c r="H800" s="1">
        <v>41335</v>
      </c>
      <c r="I800">
        <v>54</v>
      </c>
      <c r="J800">
        <v>627</v>
      </c>
      <c r="K800">
        <v>91</v>
      </c>
      <c r="L800">
        <v>597</v>
      </c>
      <c r="M800">
        <v>159</v>
      </c>
      <c r="N800">
        <v>91</v>
      </c>
      <c r="O800">
        <v>15</v>
      </c>
      <c r="P800">
        <v>1</v>
      </c>
      <c r="Q800">
        <v>6</v>
      </c>
      <c r="R800">
        <v>5</v>
      </c>
      <c r="S800">
        <v>12</v>
      </c>
      <c r="T800">
        <v>3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3</v>
      </c>
      <c r="AB800">
        <v>11</v>
      </c>
      <c r="AC800">
        <v>0</v>
      </c>
    </row>
    <row r="801" spans="1:29" x14ac:dyDescent="0.3">
      <c r="A801">
        <v>8523</v>
      </c>
      <c r="B801">
        <v>1968</v>
      </c>
      <c r="C801" t="s">
        <v>29</v>
      </c>
      <c r="D801" t="s">
        <v>33</v>
      </c>
      <c r="E801">
        <v>19329</v>
      </c>
      <c r="F801">
        <v>1</v>
      </c>
      <c r="G801">
        <v>0</v>
      </c>
      <c r="H801" s="1">
        <v>41622</v>
      </c>
      <c r="I801">
        <v>39</v>
      </c>
      <c r="J801">
        <v>24</v>
      </c>
      <c r="K801">
        <v>1</v>
      </c>
      <c r="L801">
        <v>16</v>
      </c>
      <c r="M801">
        <v>12</v>
      </c>
      <c r="N801">
        <v>2</v>
      </c>
      <c r="O801">
        <v>5</v>
      </c>
      <c r="P801">
        <v>3</v>
      </c>
      <c r="Q801">
        <v>4</v>
      </c>
      <c r="R801">
        <v>0</v>
      </c>
      <c r="S801">
        <v>3</v>
      </c>
      <c r="T801">
        <v>8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3</v>
      </c>
      <c r="AB801">
        <v>11</v>
      </c>
      <c r="AC801">
        <v>0</v>
      </c>
    </row>
    <row r="802" spans="1:29" x14ac:dyDescent="0.3">
      <c r="A802">
        <v>310</v>
      </c>
      <c r="B802">
        <v>1970</v>
      </c>
      <c r="C802" t="s">
        <v>34</v>
      </c>
      <c r="D802" t="s">
        <v>33</v>
      </c>
      <c r="E802">
        <v>61872</v>
      </c>
      <c r="F802">
        <v>0</v>
      </c>
      <c r="G802">
        <v>1</v>
      </c>
      <c r="H802" s="1">
        <v>41621</v>
      </c>
      <c r="I802">
        <v>81</v>
      </c>
      <c r="J802">
        <v>330</v>
      </c>
      <c r="K802">
        <v>5</v>
      </c>
      <c r="L802">
        <v>159</v>
      </c>
      <c r="M802">
        <v>36</v>
      </c>
      <c r="N802">
        <v>27</v>
      </c>
      <c r="O802">
        <v>16</v>
      </c>
      <c r="P802">
        <v>4</v>
      </c>
      <c r="Q802">
        <v>4</v>
      </c>
      <c r="R802">
        <v>4</v>
      </c>
      <c r="S802">
        <v>9</v>
      </c>
      <c r="T802">
        <v>4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3</v>
      </c>
      <c r="AB802">
        <v>11</v>
      </c>
      <c r="AC802">
        <v>0</v>
      </c>
    </row>
    <row r="803" spans="1:29" x14ac:dyDescent="0.3">
      <c r="A803">
        <v>8629</v>
      </c>
      <c r="B803">
        <v>1956</v>
      </c>
      <c r="C803" t="s">
        <v>29</v>
      </c>
      <c r="D803" t="s">
        <v>38</v>
      </c>
      <c r="E803">
        <v>46984</v>
      </c>
      <c r="F803">
        <v>1</v>
      </c>
      <c r="G803">
        <v>1</v>
      </c>
      <c r="H803" s="1">
        <v>41359</v>
      </c>
      <c r="I803">
        <v>71</v>
      </c>
      <c r="J803">
        <v>19</v>
      </c>
      <c r="K803">
        <v>1</v>
      </c>
      <c r="L803">
        <v>10</v>
      </c>
      <c r="M803">
        <v>2</v>
      </c>
      <c r="N803">
        <v>1</v>
      </c>
      <c r="O803">
        <v>8</v>
      </c>
      <c r="P803">
        <v>1</v>
      </c>
      <c r="Q803">
        <v>1</v>
      </c>
      <c r="R803">
        <v>0</v>
      </c>
      <c r="S803">
        <v>3</v>
      </c>
      <c r="T803">
        <v>5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3</v>
      </c>
      <c r="AB803">
        <v>11</v>
      </c>
      <c r="AC803">
        <v>0</v>
      </c>
    </row>
    <row r="804" spans="1:29" x14ac:dyDescent="0.3">
      <c r="A804">
        <v>236</v>
      </c>
      <c r="B804">
        <v>1951</v>
      </c>
      <c r="C804" t="s">
        <v>29</v>
      </c>
      <c r="D804" t="s">
        <v>33</v>
      </c>
      <c r="E804">
        <v>34838</v>
      </c>
      <c r="F804">
        <v>1</v>
      </c>
      <c r="G804">
        <v>1</v>
      </c>
      <c r="H804" s="1">
        <v>41293</v>
      </c>
      <c r="I804">
        <v>62</v>
      </c>
      <c r="J804">
        <v>28</v>
      </c>
      <c r="K804">
        <v>23</v>
      </c>
      <c r="L804">
        <v>29</v>
      </c>
      <c r="M804">
        <v>29</v>
      </c>
      <c r="N804">
        <v>14</v>
      </c>
      <c r="O804">
        <v>47</v>
      </c>
      <c r="P804">
        <v>3</v>
      </c>
      <c r="Q804">
        <v>2</v>
      </c>
      <c r="R804">
        <v>1</v>
      </c>
      <c r="S804">
        <v>4</v>
      </c>
      <c r="T804">
        <v>6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3</v>
      </c>
      <c r="AB804">
        <v>11</v>
      </c>
      <c r="AC804">
        <v>0</v>
      </c>
    </row>
    <row r="805" spans="1:29" x14ac:dyDescent="0.3">
      <c r="A805">
        <v>9930</v>
      </c>
      <c r="B805">
        <v>1944</v>
      </c>
      <c r="C805" t="s">
        <v>32</v>
      </c>
      <c r="D805" t="s">
        <v>30</v>
      </c>
      <c r="E805">
        <v>82716</v>
      </c>
      <c r="F805">
        <v>0</v>
      </c>
      <c r="G805">
        <v>0</v>
      </c>
      <c r="H805" s="1">
        <v>41583</v>
      </c>
      <c r="I805">
        <v>8</v>
      </c>
      <c r="J805">
        <v>606</v>
      </c>
      <c r="K805">
        <v>148</v>
      </c>
      <c r="L805">
        <v>228</v>
      </c>
      <c r="M805">
        <v>15</v>
      </c>
      <c r="N805">
        <v>148</v>
      </c>
      <c r="O805">
        <v>22</v>
      </c>
      <c r="P805">
        <v>1</v>
      </c>
      <c r="Q805">
        <v>6</v>
      </c>
      <c r="R805">
        <v>8</v>
      </c>
      <c r="S805">
        <v>13</v>
      </c>
      <c r="T805">
        <v>2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3</v>
      </c>
      <c r="AB805">
        <v>11</v>
      </c>
      <c r="AC805">
        <v>0</v>
      </c>
    </row>
    <row r="806" spans="1:29" x14ac:dyDescent="0.3">
      <c r="A806">
        <v>3483</v>
      </c>
      <c r="B806">
        <v>1958</v>
      </c>
      <c r="C806" t="s">
        <v>29</v>
      </c>
      <c r="D806" t="s">
        <v>33</v>
      </c>
      <c r="E806">
        <v>48192</v>
      </c>
      <c r="F806">
        <v>0</v>
      </c>
      <c r="G806">
        <v>0</v>
      </c>
      <c r="H806" s="1">
        <v>41370</v>
      </c>
      <c r="I806">
        <v>76</v>
      </c>
      <c r="J806">
        <v>1039</v>
      </c>
      <c r="K806">
        <v>43</v>
      </c>
      <c r="L806">
        <v>204</v>
      </c>
      <c r="M806">
        <v>153</v>
      </c>
      <c r="N806">
        <v>58</v>
      </c>
      <c r="O806">
        <v>29</v>
      </c>
      <c r="P806">
        <v>3</v>
      </c>
      <c r="Q806">
        <v>2</v>
      </c>
      <c r="R806">
        <v>8</v>
      </c>
      <c r="S806">
        <v>12</v>
      </c>
      <c r="T806">
        <v>8</v>
      </c>
      <c r="U806">
        <v>0</v>
      </c>
      <c r="V806">
        <v>1</v>
      </c>
      <c r="W806">
        <v>0</v>
      </c>
      <c r="X806">
        <v>1</v>
      </c>
      <c r="Y806">
        <v>1</v>
      </c>
      <c r="Z806">
        <v>0</v>
      </c>
      <c r="AA806">
        <v>3</v>
      </c>
      <c r="AB806">
        <v>11</v>
      </c>
      <c r="AC806">
        <v>1</v>
      </c>
    </row>
    <row r="807" spans="1:29" x14ac:dyDescent="0.3">
      <c r="A807">
        <v>4599</v>
      </c>
      <c r="B807">
        <v>1976</v>
      </c>
      <c r="C807" t="s">
        <v>34</v>
      </c>
      <c r="D807" t="s">
        <v>33</v>
      </c>
      <c r="E807">
        <v>49681</v>
      </c>
      <c r="F807">
        <v>0</v>
      </c>
      <c r="G807">
        <v>2</v>
      </c>
      <c r="H807" s="1">
        <v>41582</v>
      </c>
      <c r="I807">
        <v>66</v>
      </c>
      <c r="J807">
        <v>411</v>
      </c>
      <c r="K807">
        <v>0</v>
      </c>
      <c r="L807">
        <v>26</v>
      </c>
      <c r="M807">
        <v>0</v>
      </c>
      <c r="N807">
        <v>0</v>
      </c>
      <c r="O807">
        <v>21</v>
      </c>
      <c r="P807">
        <v>6</v>
      </c>
      <c r="Q807">
        <v>7</v>
      </c>
      <c r="R807">
        <v>1</v>
      </c>
      <c r="S807">
        <v>7</v>
      </c>
      <c r="T807">
        <v>7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3</v>
      </c>
      <c r="AB807">
        <v>11</v>
      </c>
      <c r="AC807">
        <v>0</v>
      </c>
    </row>
    <row r="808" spans="1:29" x14ac:dyDescent="0.3">
      <c r="A808">
        <v>7326</v>
      </c>
      <c r="B808">
        <v>1971</v>
      </c>
      <c r="C808" t="s">
        <v>34</v>
      </c>
      <c r="D808" t="s">
        <v>33</v>
      </c>
      <c r="E808">
        <v>56850</v>
      </c>
      <c r="F808">
        <v>0</v>
      </c>
      <c r="G808">
        <v>1</v>
      </c>
      <c r="H808" s="1">
        <v>41721</v>
      </c>
      <c r="I808">
        <v>83</v>
      </c>
      <c r="J808">
        <v>34</v>
      </c>
      <c r="K808">
        <v>1</v>
      </c>
      <c r="L808">
        <v>19</v>
      </c>
      <c r="M808">
        <v>2</v>
      </c>
      <c r="N808">
        <v>7</v>
      </c>
      <c r="O808">
        <v>0</v>
      </c>
      <c r="P808">
        <v>1</v>
      </c>
      <c r="Q808">
        <v>1</v>
      </c>
      <c r="R808">
        <v>1</v>
      </c>
      <c r="S808">
        <v>3</v>
      </c>
      <c r="T808">
        <v>2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3</v>
      </c>
      <c r="AB808">
        <v>11</v>
      </c>
      <c r="AC808">
        <v>0</v>
      </c>
    </row>
    <row r="809" spans="1:29" x14ac:dyDescent="0.3">
      <c r="A809">
        <v>7352</v>
      </c>
      <c r="B809">
        <v>1957</v>
      </c>
      <c r="C809" t="s">
        <v>29</v>
      </c>
      <c r="D809" t="s">
        <v>33</v>
      </c>
      <c r="E809">
        <v>55267</v>
      </c>
      <c r="F809">
        <v>0</v>
      </c>
      <c r="G809">
        <v>1</v>
      </c>
      <c r="H809" s="1">
        <v>41568</v>
      </c>
      <c r="I809">
        <v>28</v>
      </c>
      <c r="J809">
        <v>161</v>
      </c>
      <c r="K809">
        <v>28</v>
      </c>
      <c r="L809">
        <v>136</v>
      </c>
      <c r="M809">
        <v>32</v>
      </c>
      <c r="N809">
        <v>3</v>
      </c>
      <c r="O809">
        <v>45</v>
      </c>
      <c r="P809">
        <v>4</v>
      </c>
      <c r="Q809">
        <v>3</v>
      </c>
      <c r="R809">
        <v>4</v>
      </c>
      <c r="S809">
        <v>6</v>
      </c>
      <c r="T809">
        <v>3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3</v>
      </c>
      <c r="AB809">
        <v>11</v>
      </c>
      <c r="AC809">
        <v>0</v>
      </c>
    </row>
    <row r="810" spans="1:29" x14ac:dyDescent="0.3">
      <c r="A810">
        <v>2350</v>
      </c>
      <c r="B810">
        <v>1972</v>
      </c>
      <c r="C810" t="s">
        <v>29</v>
      </c>
      <c r="D810" t="s">
        <v>33</v>
      </c>
      <c r="E810">
        <v>59666</v>
      </c>
      <c r="F810">
        <v>1</v>
      </c>
      <c r="G810">
        <v>1</v>
      </c>
      <c r="H810" s="1">
        <v>41355</v>
      </c>
      <c r="I810">
        <v>87</v>
      </c>
      <c r="J810">
        <v>623</v>
      </c>
      <c r="K810">
        <v>53</v>
      </c>
      <c r="L810">
        <v>178</v>
      </c>
      <c r="M810">
        <v>23</v>
      </c>
      <c r="N810">
        <v>17</v>
      </c>
      <c r="O810">
        <v>133</v>
      </c>
      <c r="P810">
        <v>7</v>
      </c>
      <c r="Q810">
        <v>3</v>
      </c>
      <c r="R810">
        <v>2</v>
      </c>
      <c r="S810">
        <v>8</v>
      </c>
      <c r="T810">
        <v>8</v>
      </c>
      <c r="U810">
        <v>0</v>
      </c>
      <c r="V810">
        <v>1</v>
      </c>
      <c r="W810">
        <v>0</v>
      </c>
      <c r="X810">
        <v>0</v>
      </c>
      <c r="Y810">
        <v>0</v>
      </c>
      <c r="Z810">
        <v>0</v>
      </c>
      <c r="AA810">
        <v>3</v>
      </c>
      <c r="AB810">
        <v>11</v>
      </c>
      <c r="AC810">
        <v>0</v>
      </c>
    </row>
    <row r="811" spans="1:29" x14ac:dyDescent="0.3">
      <c r="A811">
        <v>9145</v>
      </c>
      <c r="B811">
        <v>1972</v>
      </c>
      <c r="C811" t="s">
        <v>29</v>
      </c>
      <c r="D811" t="s">
        <v>30</v>
      </c>
      <c r="E811">
        <v>72504</v>
      </c>
      <c r="F811">
        <v>0</v>
      </c>
      <c r="G811">
        <v>1</v>
      </c>
      <c r="H811" s="1">
        <v>41370</v>
      </c>
      <c r="I811">
        <v>43</v>
      </c>
      <c r="J811">
        <v>604</v>
      </c>
      <c r="K811">
        <v>26</v>
      </c>
      <c r="L811">
        <v>470</v>
      </c>
      <c r="M811">
        <v>123</v>
      </c>
      <c r="N811">
        <v>161</v>
      </c>
      <c r="O811">
        <v>94</v>
      </c>
      <c r="P811">
        <v>2</v>
      </c>
      <c r="Q811">
        <v>5</v>
      </c>
      <c r="R811">
        <v>9</v>
      </c>
      <c r="S811">
        <v>6</v>
      </c>
      <c r="T811">
        <v>2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3</v>
      </c>
      <c r="AB811">
        <v>11</v>
      </c>
      <c r="AC811">
        <v>0</v>
      </c>
    </row>
    <row r="812" spans="1:29" x14ac:dyDescent="0.3">
      <c r="A812">
        <v>2964</v>
      </c>
      <c r="B812">
        <v>1981</v>
      </c>
      <c r="C812" t="s">
        <v>29</v>
      </c>
      <c r="D812" t="s">
        <v>33</v>
      </c>
      <c r="E812">
        <v>26872</v>
      </c>
      <c r="F812">
        <v>0</v>
      </c>
      <c r="G812">
        <v>0</v>
      </c>
      <c r="H812" s="1">
        <v>41563</v>
      </c>
      <c r="I812">
        <v>0</v>
      </c>
      <c r="J812">
        <v>3</v>
      </c>
      <c r="K812">
        <v>10</v>
      </c>
      <c r="L812">
        <v>8</v>
      </c>
      <c r="M812">
        <v>3</v>
      </c>
      <c r="N812">
        <v>16</v>
      </c>
      <c r="O812">
        <v>32</v>
      </c>
      <c r="P812">
        <v>1</v>
      </c>
      <c r="Q812">
        <v>1</v>
      </c>
      <c r="R812">
        <v>1</v>
      </c>
      <c r="S812">
        <v>2</v>
      </c>
      <c r="T812">
        <v>6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3</v>
      </c>
      <c r="AB812">
        <v>11</v>
      </c>
      <c r="AC812">
        <v>0</v>
      </c>
    </row>
    <row r="813" spans="1:29" x14ac:dyDescent="0.3">
      <c r="A813">
        <v>5585</v>
      </c>
      <c r="B813">
        <v>1972</v>
      </c>
      <c r="C813" t="s">
        <v>29</v>
      </c>
      <c r="D813" t="s">
        <v>30</v>
      </c>
      <c r="E813">
        <v>21359</v>
      </c>
      <c r="F813">
        <v>1</v>
      </c>
      <c r="G813">
        <v>0</v>
      </c>
      <c r="H813" s="1">
        <v>41384</v>
      </c>
      <c r="I813">
        <v>1</v>
      </c>
      <c r="J813">
        <v>12</v>
      </c>
      <c r="K813">
        <v>2</v>
      </c>
      <c r="L813">
        <v>17</v>
      </c>
      <c r="M813">
        <v>6</v>
      </c>
      <c r="N813">
        <v>1</v>
      </c>
      <c r="O813">
        <v>10</v>
      </c>
      <c r="P813">
        <v>2</v>
      </c>
      <c r="Q813">
        <v>2</v>
      </c>
      <c r="R813">
        <v>0</v>
      </c>
      <c r="S813">
        <v>3</v>
      </c>
      <c r="T813">
        <v>8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3</v>
      </c>
      <c r="AB813">
        <v>11</v>
      </c>
      <c r="AC813">
        <v>1</v>
      </c>
    </row>
    <row r="814" spans="1:29" x14ac:dyDescent="0.3">
      <c r="A814">
        <v>9687</v>
      </c>
      <c r="B814">
        <v>1975</v>
      </c>
      <c r="C814" t="s">
        <v>29</v>
      </c>
      <c r="D814" t="s">
        <v>30</v>
      </c>
      <c r="E814">
        <v>73170</v>
      </c>
      <c r="F814">
        <v>0</v>
      </c>
      <c r="G814">
        <v>0</v>
      </c>
      <c r="H814" s="1">
        <v>41790</v>
      </c>
      <c r="I814">
        <v>1</v>
      </c>
      <c r="J814">
        <v>184</v>
      </c>
      <c r="K814">
        <v>174</v>
      </c>
      <c r="L814">
        <v>256</v>
      </c>
      <c r="M814">
        <v>50</v>
      </c>
      <c r="N814">
        <v>30</v>
      </c>
      <c r="O814">
        <v>32</v>
      </c>
      <c r="P814">
        <v>1</v>
      </c>
      <c r="Q814">
        <v>5</v>
      </c>
      <c r="R814">
        <v>4</v>
      </c>
      <c r="S814">
        <v>6</v>
      </c>
      <c r="T814">
        <v>2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3</v>
      </c>
      <c r="AB814">
        <v>11</v>
      </c>
      <c r="AC814">
        <v>0</v>
      </c>
    </row>
    <row r="815" spans="1:29" x14ac:dyDescent="0.3">
      <c r="A815">
        <v>3732</v>
      </c>
      <c r="B815">
        <v>1955</v>
      </c>
      <c r="C815" t="s">
        <v>34</v>
      </c>
      <c r="D815" t="s">
        <v>33</v>
      </c>
      <c r="E815">
        <v>52750</v>
      </c>
      <c r="F815">
        <v>0</v>
      </c>
      <c r="G815">
        <v>1</v>
      </c>
      <c r="H815" s="1">
        <v>41309</v>
      </c>
      <c r="I815">
        <v>72</v>
      </c>
      <c r="J815">
        <v>393</v>
      </c>
      <c r="K815">
        <v>0</v>
      </c>
      <c r="L815">
        <v>239</v>
      </c>
      <c r="M815">
        <v>90</v>
      </c>
      <c r="N815">
        <v>69</v>
      </c>
      <c r="O815">
        <v>69</v>
      </c>
      <c r="P815">
        <v>6</v>
      </c>
      <c r="Q815">
        <v>5</v>
      </c>
      <c r="R815">
        <v>7</v>
      </c>
      <c r="S815">
        <v>9</v>
      </c>
      <c r="T815">
        <v>4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3</v>
      </c>
      <c r="AB815">
        <v>11</v>
      </c>
      <c r="AC815">
        <v>0</v>
      </c>
    </row>
    <row r="816" spans="1:29" x14ac:dyDescent="0.3">
      <c r="A816">
        <v>6303</v>
      </c>
      <c r="B816">
        <v>1986</v>
      </c>
      <c r="C816" t="s">
        <v>32</v>
      </c>
      <c r="D816" t="s">
        <v>31</v>
      </c>
      <c r="E816">
        <v>91820</v>
      </c>
      <c r="F816">
        <v>0</v>
      </c>
      <c r="G816">
        <v>0</v>
      </c>
      <c r="H816" s="1">
        <v>41601</v>
      </c>
      <c r="I816">
        <v>72</v>
      </c>
      <c r="J816">
        <v>410</v>
      </c>
      <c r="K816">
        <v>73</v>
      </c>
      <c r="L816">
        <v>747</v>
      </c>
      <c r="M816">
        <v>76</v>
      </c>
      <c r="N816">
        <v>161</v>
      </c>
      <c r="O816">
        <v>30</v>
      </c>
      <c r="P816">
        <v>0</v>
      </c>
      <c r="Q816">
        <v>5</v>
      </c>
      <c r="R816">
        <v>5</v>
      </c>
      <c r="S816">
        <v>12</v>
      </c>
      <c r="T816">
        <v>1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3</v>
      </c>
      <c r="AB816">
        <v>11</v>
      </c>
      <c r="AC816">
        <v>0</v>
      </c>
    </row>
    <row r="817" spans="1:29" x14ac:dyDescent="0.3">
      <c r="A817">
        <v>11176</v>
      </c>
      <c r="B817">
        <v>1970</v>
      </c>
      <c r="C817" t="s">
        <v>32</v>
      </c>
      <c r="D817" t="s">
        <v>31</v>
      </c>
      <c r="E817">
        <v>65968</v>
      </c>
      <c r="F817">
        <v>0</v>
      </c>
      <c r="G817">
        <v>1</v>
      </c>
      <c r="H817" s="1">
        <v>41771</v>
      </c>
      <c r="I817">
        <v>12</v>
      </c>
      <c r="J817">
        <v>376</v>
      </c>
      <c r="K817">
        <v>9</v>
      </c>
      <c r="L817">
        <v>83</v>
      </c>
      <c r="M817">
        <v>19</v>
      </c>
      <c r="N817">
        <v>4</v>
      </c>
      <c r="O817">
        <v>4</v>
      </c>
      <c r="P817">
        <v>2</v>
      </c>
      <c r="Q817">
        <v>5</v>
      </c>
      <c r="R817">
        <v>4</v>
      </c>
      <c r="S817">
        <v>7</v>
      </c>
      <c r="T817">
        <v>3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3</v>
      </c>
      <c r="AB817">
        <v>11</v>
      </c>
      <c r="AC817">
        <v>0</v>
      </c>
    </row>
    <row r="818" spans="1:29" x14ac:dyDescent="0.3">
      <c r="A818">
        <v>2986</v>
      </c>
      <c r="B818">
        <v>1976</v>
      </c>
      <c r="C818" t="s">
        <v>29</v>
      </c>
      <c r="D818" t="s">
        <v>33</v>
      </c>
      <c r="E818">
        <v>30772</v>
      </c>
      <c r="F818">
        <v>1</v>
      </c>
      <c r="G818">
        <v>1</v>
      </c>
      <c r="H818" s="1">
        <v>41710</v>
      </c>
      <c r="I818">
        <v>89</v>
      </c>
      <c r="J818">
        <v>7</v>
      </c>
      <c r="K818">
        <v>2</v>
      </c>
      <c r="L818">
        <v>4</v>
      </c>
      <c r="M818">
        <v>2</v>
      </c>
      <c r="N818">
        <v>1</v>
      </c>
      <c r="O818">
        <v>4</v>
      </c>
      <c r="P818">
        <v>1</v>
      </c>
      <c r="Q818">
        <v>1</v>
      </c>
      <c r="R818">
        <v>0</v>
      </c>
      <c r="S818">
        <v>2</v>
      </c>
      <c r="T818">
        <v>6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3</v>
      </c>
      <c r="AB818">
        <v>11</v>
      </c>
      <c r="AC818">
        <v>0</v>
      </c>
    </row>
    <row r="819" spans="1:29" x14ac:dyDescent="0.3">
      <c r="A819">
        <v>7462</v>
      </c>
      <c r="B819">
        <v>1954</v>
      </c>
      <c r="C819" t="s">
        <v>29</v>
      </c>
      <c r="D819" t="s">
        <v>30</v>
      </c>
      <c r="E819">
        <v>22507</v>
      </c>
      <c r="F819">
        <v>0</v>
      </c>
      <c r="G819">
        <v>0</v>
      </c>
      <c r="H819" s="1">
        <v>41237</v>
      </c>
      <c r="I819">
        <v>67</v>
      </c>
      <c r="J819">
        <v>68</v>
      </c>
      <c r="K819">
        <v>0</v>
      </c>
      <c r="L819">
        <v>226</v>
      </c>
      <c r="M819">
        <v>51</v>
      </c>
      <c r="N819">
        <v>157</v>
      </c>
      <c r="O819">
        <v>68</v>
      </c>
      <c r="P819">
        <v>3</v>
      </c>
      <c r="Q819">
        <v>10</v>
      </c>
      <c r="R819">
        <v>2</v>
      </c>
      <c r="S819">
        <v>4</v>
      </c>
      <c r="T819">
        <v>9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3</v>
      </c>
      <c r="AB819">
        <v>11</v>
      </c>
      <c r="AC819">
        <v>0</v>
      </c>
    </row>
    <row r="820" spans="1:29" x14ac:dyDescent="0.3">
      <c r="A820">
        <v>3900</v>
      </c>
      <c r="B820">
        <v>1972</v>
      </c>
      <c r="C820" t="s">
        <v>29</v>
      </c>
      <c r="D820" t="s">
        <v>33</v>
      </c>
      <c r="E820">
        <v>65685</v>
      </c>
      <c r="F820">
        <v>0</v>
      </c>
      <c r="G820">
        <v>1</v>
      </c>
      <c r="H820" s="1">
        <v>41727</v>
      </c>
      <c r="I820">
        <v>54</v>
      </c>
      <c r="J820">
        <v>642</v>
      </c>
      <c r="K820">
        <v>14</v>
      </c>
      <c r="L820">
        <v>49</v>
      </c>
      <c r="M820">
        <v>0</v>
      </c>
      <c r="N820">
        <v>7</v>
      </c>
      <c r="O820">
        <v>57</v>
      </c>
      <c r="P820">
        <v>1</v>
      </c>
      <c r="Q820">
        <v>9</v>
      </c>
      <c r="R820">
        <v>2</v>
      </c>
      <c r="S820">
        <v>9</v>
      </c>
      <c r="T820">
        <v>5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3</v>
      </c>
      <c r="AB820">
        <v>11</v>
      </c>
      <c r="AC820">
        <v>0</v>
      </c>
    </row>
    <row r="821" spans="1:29" x14ac:dyDescent="0.3">
      <c r="A821">
        <v>7034</v>
      </c>
      <c r="B821">
        <v>1978</v>
      </c>
      <c r="C821" t="s">
        <v>37</v>
      </c>
      <c r="D821" t="s">
        <v>33</v>
      </c>
      <c r="E821">
        <v>25804</v>
      </c>
      <c r="F821">
        <v>1</v>
      </c>
      <c r="G821">
        <v>0</v>
      </c>
      <c r="H821" s="1">
        <v>41518</v>
      </c>
      <c r="I821">
        <v>34</v>
      </c>
      <c r="J821">
        <v>8</v>
      </c>
      <c r="K821">
        <v>7</v>
      </c>
      <c r="L821">
        <v>9</v>
      </c>
      <c r="M821">
        <v>13</v>
      </c>
      <c r="N821">
        <v>6</v>
      </c>
      <c r="O821">
        <v>12</v>
      </c>
      <c r="P821">
        <v>2</v>
      </c>
      <c r="Q821">
        <v>2</v>
      </c>
      <c r="R821">
        <v>0</v>
      </c>
      <c r="S821">
        <v>3</v>
      </c>
      <c r="T821">
        <v>8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3</v>
      </c>
      <c r="AB821">
        <v>11</v>
      </c>
      <c r="AC821">
        <v>0</v>
      </c>
    </row>
    <row r="822" spans="1:29" x14ac:dyDescent="0.3">
      <c r="A822">
        <v>9493</v>
      </c>
      <c r="B822">
        <v>1980</v>
      </c>
      <c r="C822" t="s">
        <v>32</v>
      </c>
      <c r="D822" t="s">
        <v>30</v>
      </c>
      <c r="E822">
        <v>76412</v>
      </c>
      <c r="F822">
        <v>0</v>
      </c>
      <c r="G822">
        <v>0</v>
      </c>
      <c r="H822" s="1">
        <v>41399</v>
      </c>
      <c r="I822">
        <v>15</v>
      </c>
      <c r="J822">
        <v>840</v>
      </c>
      <c r="K822">
        <v>53</v>
      </c>
      <c r="L822">
        <v>804</v>
      </c>
      <c r="M822">
        <v>23</v>
      </c>
      <c r="N822">
        <v>71</v>
      </c>
      <c r="O822">
        <v>17</v>
      </c>
      <c r="P822">
        <v>1</v>
      </c>
      <c r="Q822">
        <v>5</v>
      </c>
      <c r="R822">
        <v>4</v>
      </c>
      <c r="S822">
        <v>8</v>
      </c>
      <c r="T822">
        <v>3</v>
      </c>
      <c r="U822">
        <v>0</v>
      </c>
      <c r="V822">
        <v>0</v>
      </c>
      <c r="W822">
        <v>1</v>
      </c>
      <c r="X822">
        <v>1</v>
      </c>
      <c r="Y822">
        <v>0</v>
      </c>
      <c r="Z822">
        <v>0</v>
      </c>
      <c r="AA822">
        <v>3</v>
      </c>
      <c r="AB822">
        <v>11</v>
      </c>
      <c r="AC822">
        <v>1</v>
      </c>
    </row>
    <row r="823" spans="1:29" x14ac:dyDescent="0.3">
      <c r="A823">
        <v>1143</v>
      </c>
      <c r="B823">
        <v>1972</v>
      </c>
      <c r="C823" t="s">
        <v>29</v>
      </c>
      <c r="D823" t="s">
        <v>33</v>
      </c>
      <c r="E823">
        <v>22063</v>
      </c>
      <c r="F823">
        <v>1</v>
      </c>
      <c r="G823">
        <v>0</v>
      </c>
      <c r="H823" s="1">
        <v>41494</v>
      </c>
      <c r="I823">
        <v>43</v>
      </c>
      <c r="J823">
        <v>7</v>
      </c>
      <c r="K823">
        <v>10</v>
      </c>
      <c r="L823">
        <v>13</v>
      </c>
      <c r="M823">
        <v>3</v>
      </c>
      <c r="N823">
        <v>11</v>
      </c>
      <c r="O823">
        <v>11</v>
      </c>
      <c r="P823">
        <v>2</v>
      </c>
      <c r="Q823">
        <v>2</v>
      </c>
      <c r="R823">
        <v>0</v>
      </c>
      <c r="S823">
        <v>3</v>
      </c>
      <c r="T823">
        <v>7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3</v>
      </c>
      <c r="AB823">
        <v>11</v>
      </c>
      <c r="AC823">
        <v>0</v>
      </c>
    </row>
    <row r="824" spans="1:29" x14ac:dyDescent="0.3">
      <c r="A824">
        <v>1</v>
      </c>
      <c r="B824">
        <v>1961</v>
      </c>
      <c r="C824" t="s">
        <v>29</v>
      </c>
      <c r="D824" t="s">
        <v>30</v>
      </c>
      <c r="E824">
        <v>57091</v>
      </c>
      <c r="F824">
        <v>0</v>
      </c>
      <c r="G824">
        <v>0</v>
      </c>
      <c r="H824" s="1">
        <v>41805</v>
      </c>
      <c r="I824">
        <v>0</v>
      </c>
      <c r="J824">
        <v>464</v>
      </c>
      <c r="K824">
        <v>5</v>
      </c>
      <c r="L824">
        <v>64</v>
      </c>
      <c r="M824">
        <v>7</v>
      </c>
      <c r="N824">
        <v>0</v>
      </c>
      <c r="O824">
        <v>37</v>
      </c>
      <c r="P824">
        <v>1</v>
      </c>
      <c r="Q824">
        <v>7</v>
      </c>
      <c r="R824">
        <v>3</v>
      </c>
      <c r="S824">
        <v>7</v>
      </c>
      <c r="T824">
        <v>5</v>
      </c>
      <c r="U824">
        <v>0</v>
      </c>
      <c r="V824">
        <v>0</v>
      </c>
      <c r="W824">
        <v>0</v>
      </c>
      <c r="X824">
        <v>0</v>
      </c>
      <c r="Y824">
        <v>1</v>
      </c>
      <c r="Z824">
        <v>0</v>
      </c>
      <c r="AA824">
        <v>3</v>
      </c>
      <c r="AB824">
        <v>11</v>
      </c>
      <c r="AC824">
        <v>1</v>
      </c>
    </row>
    <row r="825" spans="1:29" x14ac:dyDescent="0.3">
      <c r="A825">
        <v>3855</v>
      </c>
      <c r="B825">
        <v>1963</v>
      </c>
      <c r="C825" t="s">
        <v>29</v>
      </c>
      <c r="D825" t="s">
        <v>33</v>
      </c>
      <c r="E825">
        <v>22419</v>
      </c>
      <c r="F825">
        <v>0</v>
      </c>
      <c r="G825">
        <v>0</v>
      </c>
      <c r="H825" s="1">
        <v>41382</v>
      </c>
      <c r="I825">
        <v>74</v>
      </c>
      <c r="J825">
        <v>30</v>
      </c>
      <c r="K825">
        <v>3</v>
      </c>
      <c r="L825">
        <v>47</v>
      </c>
      <c r="M825">
        <v>19</v>
      </c>
      <c r="N825">
        <v>21</v>
      </c>
      <c r="O825">
        <v>42</v>
      </c>
      <c r="P825">
        <v>1</v>
      </c>
      <c r="Q825">
        <v>3</v>
      </c>
      <c r="R825">
        <v>2</v>
      </c>
      <c r="S825">
        <v>2</v>
      </c>
      <c r="T825">
        <v>8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3</v>
      </c>
      <c r="AB825">
        <v>11</v>
      </c>
      <c r="AC825">
        <v>0</v>
      </c>
    </row>
    <row r="826" spans="1:29" x14ac:dyDescent="0.3">
      <c r="A826">
        <v>5536</v>
      </c>
      <c r="B826">
        <v>1959</v>
      </c>
      <c r="C826" t="s">
        <v>29</v>
      </c>
      <c r="D826" t="s">
        <v>31</v>
      </c>
      <c r="E826">
        <v>87771</v>
      </c>
      <c r="F826">
        <v>0</v>
      </c>
      <c r="G826">
        <v>1</v>
      </c>
      <c r="H826" s="1">
        <v>41416</v>
      </c>
      <c r="I826">
        <v>61</v>
      </c>
      <c r="J826">
        <v>1492</v>
      </c>
      <c r="K826">
        <v>38</v>
      </c>
      <c r="L826">
        <v>287</v>
      </c>
      <c r="M826">
        <v>50</v>
      </c>
      <c r="N826">
        <v>57</v>
      </c>
      <c r="O826">
        <v>33</v>
      </c>
      <c r="P826">
        <v>1</v>
      </c>
      <c r="Q826">
        <v>5</v>
      </c>
      <c r="R826">
        <v>10</v>
      </c>
      <c r="S826">
        <v>4</v>
      </c>
      <c r="T826">
        <v>6</v>
      </c>
      <c r="U826">
        <v>0</v>
      </c>
      <c r="V826">
        <v>1</v>
      </c>
      <c r="W826">
        <v>1</v>
      </c>
      <c r="X826">
        <v>1</v>
      </c>
      <c r="Y826">
        <v>1</v>
      </c>
      <c r="Z826">
        <v>0</v>
      </c>
      <c r="AA826">
        <v>3</v>
      </c>
      <c r="AB826">
        <v>11</v>
      </c>
      <c r="AC826">
        <v>1</v>
      </c>
    </row>
    <row r="827" spans="1:29" x14ac:dyDescent="0.3">
      <c r="A827">
        <v>5989</v>
      </c>
      <c r="B827">
        <v>1959</v>
      </c>
      <c r="C827" t="s">
        <v>37</v>
      </c>
      <c r="D827" t="s">
        <v>35</v>
      </c>
      <c r="E827">
        <v>78353</v>
      </c>
      <c r="F827">
        <v>0</v>
      </c>
      <c r="G827">
        <v>1</v>
      </c>
      <c r="H827" s="1">
        <v>41380</v>
      </c>
      <c r="I827">
        <v>51</v>
      </c>
      <c r="J827">
        <v>752</v>
      </c>
      <c r="K827">
        <v>122</v>
      </c>
      <c r="L827">
        <v>476</v>
      </c>
      <c r="M827">
        <v>39</v>
      </c>
      <c r="N827">
        <v>153</v>
      </c>
      <c r="O827">
        <v>34</v>
      </c>
      <c r="P827">
        <v>1</v>
      </c>
      <c r="Q827">
        <v>10</v>
      </c>
      <c r="R827">
        <v>2</v>
      </c>
      <c r="S827">
        <v>11</v>
      </c>
      <c r="T827">
        <v>8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3</v>
      </c>
      <c r="AB827">
        <v>11</v>
      </c>
      <c r="AC827">
        <v>0</v>
      </c>
    </row>
    <row r="828" spans="1:29" x14ac:dyDescent="0.3">
      <c r="A828">
        <v>9499</v>
      </c>
      <c r="B828">
        <v>1954</v>
      </c>
      <c r="C828" t="s">
        <v>29</v>
      </c>
      <c r="D828" t="s">
        <v>33</v>
      </c>
      <c r="E828">
        <v>93404</v>
      </c>
      <c r="F828">
        <v>1</v>
      </c>
      <c r="G828">
        <v>2</v>
      </c>
      <c r="H828" s="1">
        <v>41401</v>
      </c>
      <c r="I828">
        <v>97</v>
      </c>
      <c r="J828">
        <v>1279</v>
      </c>
      <c r="K828">
        <v>15</v>
      </c>
      <c r="L828">
        <v>287</v>
      </c>
      <c r="M828">
        <v>20</v>
      </c>
      <c r="N828">
        <v>0</v>
      </c>
      <c r="O828">
        <v>15</v>
      </c>
      <c r="P828">
        <v>3</v>
      </c>
      <c r="Q828">
        <v>3</v>
      </c>
      <c r="R828">
        <v>4</v>
      </c>
      <c r="S828">
        <v>7</v>
      </c>
      <c r="T828">
        <v>5</v>
      </c>
      <c r="U828">
        <v>0</v>
      </c>
      <c r="V828">
        <v>1</v>
      </c>
      <c r="W828">
        <v>1</v>
      </c>
      <c r="X828">
        <v>0</v>
      </c>
      <c r="Y828">
        <v>0</v>
      </c>
      <c r="Z828">
        <v>0</v>
      </c>
      <c r="AA828">
        <v>3</v>
      </c>
      <c r="AB828">
        <v>11</v>
      </c>
      <c r="AC828">
        <v>0</v>
      </c>
    </row>
    <row r="829" spans="1:29" x14ac:dyDescent="0.3">
      <c r="A829">
        <v>6768</v>
      </c>
      <c r="B829">
        <v>1962</v>
      </c>
      <c r="C829" t="s">
        <v>29</v>
      </c>
      <c r="D829" t="s">
        <v>35</v>
      </c>
      <c r="E829">
        <v>37859</v>
      </c>
      <c r="F829">
        <v>1</v>
      </c>
      <c r="G829">
        <v>2</v>
      </c>
      <c r="H829" s="1">
        <v>41286</v>
      </c>
      <c r="I829">
        <v>75</v>
      </c>
      <c r="J829">
        <v>22</v>
      </c>
      <c r="K829">
        <v>1</v>
      </c>
      <c r="L829">
        <v>8</v>
      </c>
      <c r="M829">
        <v>2</v>
      </c>
      <c r="N829">
        <v>1</v>
      </c>
      <c r="O829">
        <v>2</v>
      </c>
      <c r="P829">
        <v>2</v>
      </c>
      <c r="Q829">
        <v>1</v>
      </c>
      <c r="R829">
        <v>0</v>
      </c>
      <c r="S829">
        <v>3</v>
      </c>
      <c r="T829">
        <v>8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3</v>
      </c>
      <c r="AB829">
        <v>11</v>
      </c>
      <c r="AC829">
        <v>0</v>
      </c>
    </row>
    <row r="830" spans="1:29" x14ac:dyDescent="0.3">
      <c r="A830">
        <v>2150</v>
      </c>
      <c r="B830">
        <v>1958</v>
      </c>
      <c r="C830" t="s">
        <v>32</v>
      </c>
      <c r="D830" t="s">
        <v>38</v>
      </c>
      <c r="E830">
        <v>80995</v>
      </c>
      <c r="F830">
        <v>0</v>
      </c>
      <c r="G830">
        <v>1</v>
      </c>
      <c r="H830" s="1">
        <v>41405</v>
      </c>
      <c r="I830">
        <v>83</v>
      </c>
      <c r="J830">
        <v>860</v>
      </c>
      <c r="K830">
        <v>28</v>
      </c>
      <c r="L830">
        <v>409</v>
      </c>
      <c r="M830">
        <v>73</v>
      </c>
      <c r="N830">
        <v>56</v>
      </c>
      <c r="O830">
        <v>56</v>
      </c>
      <c r="P830">
        <v>1</v>
      </c>
      <c r="Q830">
        <v>8</v>
      </c>
      <c r="R830">
        <v>9</v>
      </c>
      <c r="S830">
        <v>4</v>
      </c>
      <c r="T830">
        <v>4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3</v>
      </c>
      <c r="AB830">
        <v>11</v>
      </c>
      <c r="AC830">
        <v>0</v>
      </c>
    </row>
    <row r="831" spans="1:29" x14ac:dyDescent="0.3">
      <c r="A831">
        <v>6646</v>
      </c>
      <c r="B831">
        <v>1984</v>
      </c>
      <c r="C831" t="s">
        <v>29</v>
      </c>
      <c r="D831" t="s">
        <v>31</v>
      </c>
      <c r="E831">
        <v>16529</v>
      </c>
      <c r="F831">
        <v>1</v>
      </c>
      <c r="G831">
        <v>0</v>
      </c>
      <c r="H831" s="1">
        <v>41699</v>
      </c>
      <c r="I831">
        <v>23</v>
      </c>
      <c r="J831">
        <v>3</v>
      </c>
      <c r="K831">
        <v>0</v>
      </c>
      <c r="L831">
        <v>5</v>
      </c>
      <c r="M831">
        <v>13</v>
      </c>
      <c r="N831">
        <v>0</v>
      </c>
      <c r="O831">
        <v>1</v>
      </c>
      <c r="P831">
        <v>1</v>
      </c>
      <c r="Q831">
        <v>1</v>
      </c>
      <c r="R831">
        <v>0</v>
      </c>
      <c r="S831">
        <v>3</v>
      </c>
      <c r="T831">
        <v>6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3</v>
      </c>
      <c r="AB831">
        <v>11</v>
      </c>
      <c r="AC831">
        <v>0</v>
      </c>
    </row>
    <row r="832" spans="1:29" x14ac:dyDescent="0.3">
      <c r="A832">
        <v>4887</v>
      </c>
      <c r="B832">
        <v>1976</v>
      </c>
      <c r="C832" t="s">
        <v>32</v>
      </c>
      <c r="D832" t="s">
        <v>35</v>
      </c>
      <c r="E832">
        <v>55412</v>
      </c>
      <c r="F832">
        <v>1</v>
      </c>
      <c r="G832">
        <v>1</v>
      </c>
      <c r="H832" s="1">
        <v>41600</v>
      </c>
      <c r="I832">
        <v>65</v>
      </c>
      <c r="J832">
        <v>10</v>
      </c>
      <c r="K832">
        <v>5</v>
      </c>
      <c r="L832">
        <v>28</v>
      </c>
      <c r="M832">
        <v>11</v>
      </c>
      <c r="N832">
        <v>1</v>
      </c>
      <c r="O832">
        <v>8</v>
      </c>
      <c r="P832">
        <v>1</v>
      </c>
      <c r="Q832">
        <v>2</v>
      </c>
      <c r="R832">
        <v>0</v>
      </c>
      <c r="S832">
        <v>3</v>
      </c>
      <c r="T832">
        <v>5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3</v>
      </c>
      <c r="AB832">
        <v>11</v>
      </c>
      <c r="AC832">
        <v>0</v>
      </c>
    </row>
    <row r="833" spans="1:29" x14ac:dyDescent="0.3">
      <c r="A833">
        <v>8560</v>
      </c>
      <c r="B833">
        <v>1992</v>
      </c>
      <c r="C833" t="s">
        <v>29</v>
      </c>
      <c r="D833" t="s">
        <v>30</v>
      </c>
      <c r="E833">
        <v>48789</v>
      </c>
      <c r="F833">
        <v>0</v>
      </c>
      <c r="G833">
        <v>0</v>
      </c>
      <c r="H833" s="1">
        <v>41162</v>
      </c>
      <c r="I833">
        <v>94</v>
      </c>
      <c r="J833">
        <v>351</v>
      </c>
      <c r="K833">
        <v>16</v>
      </c>
      <c r="L833">
        <v>156</v>
      </c>
      <c r="M833">
        <v>7</v>
      </c>
      <c r="N833">
        <v>5</v>
      </c>
      <c r="O833">
        <v>145</v>
      </c>
      <c r="P833">
        <v>1</v>
      </c>
      <c r="Q833">
        <v>6</v>
      </c>
      <c r="R833">
        <v>4</v>
      </c>
      <c r="S833">
        <v>7</v>
      </c>
      <c r="T833">
        <v>6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3</v>
      </c>
      <c r="AB833">
        <v>11</v>
      </c>
      <c r="AC833">
        <v>0</v>
      </c>
    </row>
    <row r="834" spans="1:29" x14ac:dyDescent="0.3">
      <c r="A834">
        <v>3321</v>
      </c>
      <c r="B834">
        <v>1967</v>
      </c>
      <c r="C834" t="s">
        <v>32</v>
      </c>
      <c r="D834" t="s">
        <v>31</v>
      </c>
      <c r="E834">
        <v>56575</v>
      </c>
      <c r="F834">
        <v>0</v>
      </c>
      <c r="G834">
        <v>2</v>
      </c>
      <c r="H834" s="1">
        <v>41399</v>
      </c>
      <c r="I834">
        <v>42</v>
      </c>
      <c r="J834">
        <v>421</v>
      </c>
      <c r="K834">
        <v>5</v>
      </c>
      <c r="L834">
        <v>90</v>
      </c>
      <c r="M834">
        <v>0</v>
      </c>
      <c r="N834">
        <v>16</v>
      </c>
      <c r="O834">
        <v>10</v>
      </c>
      <c r="P834">
        <v>3</v>
      </c>
      <c r="Q834">
        <v>7</v>
      </c>
      <c r="R834">
        <v>3</v>
      </c>
      <c r="S834">
        <v>7</v>
      </c>
      <c r="T834">
        <v>5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3</v>
      </c>
      <c r="AB834">
        <v>11</v>
      </c>
      <c r="AC834">
        <v>0</v>
      </c>
    </row>
    <row r="835" spans="1:29" x14ac:dyDescent="0.3">
      <c r="A835">
        <v>11003</v>
      </c>
      <c r="B835">
        <v>1980</v>
      </c>
      <c r="C835" t="s">
        <v>37</v>
      </c>
      <c r="D835" t="s">
        <v>31</v>
      </c>
      <c r="E835">
        <v>25130</v>
      </c>
      <c r="F835">
        <v>1</v>
      </c>
      <c r="G835">
        <v>0</v>
      </c>
      <c r="H835" s="1">
        <v>41549</v>
      </c>
      <c r="I835">
        <v>10</v>
      </c>
      <c r="J835">
        <v>2</v>
      </c>
      <c r="K835">
        <v>5</v>
      </c>
      <c r="L835">
        <v>7</v>
      </c>
      <c r="M835">
        <v>0</v>
      </c>
      <c r="N835">
        <v>18</v>
      </c>
      <c r="O835">
        <v>18</v>
      </c>
      <c r="P835">
        <v>2</v>
      </c>
      <c r="Q835">
        <v>2</v>
      </c>
      <c r="R835">
        <v>0</v>
      </c>
      <c r="S835">
        <v>3</v>
      </c>
      <c r="T835">
        <v>7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3</v>
      </c>
      <c r="AB835">
        <v>11</v>
      </c>
      <c r="AC835">
        <v>0</v>
      </c>
    </row>
    <row r="836" spans="1:29" x14ac:dyDescent="0.3">
      <c r="A836">
        <v>10402</v>
      </c>
      <c r="B836">
        <v>1967</v>
      </c>
      <c r="C836" t="s">
        <v>29</v>
      </c>
      <c r="D836" t="s">
        <v>33</v>
      </c>
      <c r="E836">
        <v>35441</v>
      </c>
      <c r="F836">
        <v>1</v>
      </c>
      <c r="G836">
        <v>1</v>
      </c>
      <c r="H836" s="1">
        <v>41319</v>
      </c>
      <c r="I836">
        <v>94</v>
      </c>
      <c r="J836">
        <v>25</v>
      </c>
      <c r="K836">
        <v>1</v>
      </c>
      <c r="L836">
        <v>9</v>
      </c>
      <c r="M836">
        <v>2</v>
      </c>
      <c r="N836">
        <v>1</v>
      </c>
      <c r="O836">
        <v>1</v>
      </c>
      <c r="P836">
        <v>2</v>
      </c>
      <c r="Q836">
        <v>1</v>
      </c>
      <c r="R836">
        <v>0</v>
      </c>
      <c r="S836">
        <v>3</v>
      </c>
      <c r="T836">
        <v>8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3</v>
      </c>
      <c r="AB836">
        <v>11</v>
      </c>
      <c r="AC836">
        <v>0</v>
      </c>
    </row>
    <row r="837" spans="1:29" x14ac:dyDescent="0.3">
      <c r="A837">
        <v>9904</v>
      </c>
      <c r="B837">
        <v>1956</v>
      </c>
      <c r="C837" t="s">
        <v>29</v>
      </c>
      <c r="D837" t="s">
        <v>33</v>
      </c>
      <c r="E837">
        <v>71391</v>
      </c>
      <c r="F837">
        <v>0</v>
      </c>
      <c r="G837">
        <v>1</v>
      </c>
      <c r="H837" s="1">
        <v>41362</v>
      </c>
      <c r="I837">
        <v>50</v>
      </c>
      <c r="J837">
        <v>336</v>
      </c>
      <c r="K837">
        <v>123</v>
      </c>
      <c r="L837">
        <v>274</v>
      </c>
      <c r="M837">
        <v>46</v>
      </c>
      <c r="N837">
        <v>123</v>
      </c>
      <c r="O837">
        <v>141</v>
      </c>
      <c r="P837">
        <v>5</v>
      </c>
      <c r="Q837">
        <v>6</v>
      </c>
      <c r="R837">
        <v>5</v>
      </c>
      <c r="S837">
        <v>12</v>
      </c>
      <c r="T837">
        <v>3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3</v>
      </c>
      <c r="AB837">
        <v>11</v>
      </c>
      <c r="AC837">
        <v>0</v>
      </c>
    </row>
    <row r="838" spans="1:29" x14ac:dyDescent="0.3">
      <c r="A838">
        <v>6141</v>
      </c>
      <c r="B838">
        <v>1972</v>
      </c>
      <c r="C838" t="s">
        <v>34</v>
      </c>
      <c r="D838" t="s">
        <v>30</v>
      </c>
      <c r="E838">
        <v>49494</v>
      </c>
      <c r="F838">
        <v>1</v>
      </c>
      <c r="G838">
        <v>0</v>
      </c>
      <c r="H838" s="1">
        <v>41389</v>
      </c>
      <c r="I838">
        <v>46</v>
      </c>
      <c r="J838">
        <v>191</v>
      </c>
      <c r="K838">
        <v>9</v>
      </c>
      <c r="L838">
        <v>97</v>
      </c>
      <c r="M838">
        <v>0</v>
      </c>
      <c r="N838">
        <v>6</v>
      </c>
      <c r="O838">
        <v>82</v>
      </c>
      <c r="P838">
        <v>2</v>
      </c>
      <c r="Q838">
        <v>6</v>
      </c>
      <c r="R838">
        <v>1</v>
      </c>
      <c r="S838">
        <v>5</v>
      </c>
      <c r="T838">
        <v>7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3</v>
      </c>
      <c r="AB838">
        <v>11</v>
      </c>
      <c r="AC838">
        <v>0</v>
      </c>
    </row>
    <row r="839" spans="1:29" x14ac:dyDescent="0.3">
      <c r="A839">
        <v>5687</v>
      </c>
      <c r="B839">
        <v>1980</v>
      </c>
      <c r="C839" t="s">
        <v>29</v>
      </c>
      <c r="D839" t="s">
        <v>35</v>
      </c>
      <c r="E839">
        <v>81702</v>
      </c>
      <c r="F839">
        <v>0</v>
      </c>
      <c r="G839">
        <v>0</v>
      </c>
      <c r="H839" s="1">
        <v>41175</v>
      </c>
      <c r="I839">
        <v>98</v>
      </c>
      <c r="J839">
        <v>563</v>
      </c>
      <c r="K839">
        <v>50</v>
      </c>
      <c r="L839">
        <v>774</v>
      </c>
      <c r="M839">
        <v>28</v>
      </c>
      <c r="N839">
        <v>31</v>
      </c>
      <c r="O839">
        <v>187</v>
      </c>
      <c r="P839">
        <v>1</v>
      </c>
      <c r="Q839">
        <v>7</v>
      </c>
      <c r="R839">
        <v>7</v>
      </c>
      <c r="S839">
        <v>12</v>
      </c>
      <c r="T839">
        <v>3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3</v>
      </c>
      <c r="AB839">
        <v>11</v>
      </c>
      <c r="AC839">
        <v>0</v>
      </c>
    </row>
    <row r="840" spans="1:29" x14ac:dyDescent="0.3">
      <c r="A840">
        <v>10856</v>
      </c>
      <c r="B840">
        <v>1980</v>
      </c>
      <c r="C840" t="s">
        <v>37</v>
      </c>
      <c r="D840" t="s">
        <v>30</v>
      </c>
      <c r="E840">
        <v>45889</v>
      </c>
      <c r="F840">
        <v>0</v>
      </c>
      <c r="G840">
        <v>1</v>
      </c>
      <c r="H840" s="1">
        <v>41457</v>
      </c>
      <c r="I840">
        <v>42</v>
      </c>
      <c r="J840">
        <v>31</v>
      </c>
      <c r="K840">
        <v>0</v>
      </c>
      <c r="L840">
        <v>6</v>
      </c>
      <c r="M840">
        <v>0</v>
      </c>
      <c r="N840">
        <v>1</v>
      </c>
      <c r="O840">
        <v>8</v>
      </c>
      <c r="P840">
        <v>1</v>
      </c>
      <c r="Q840">
        <v>1</v>
      </c>
      <c r="R840">
        <v>0</v>
      </c>
      <c r="S840">
        <v>3</v>
      </c>
      <c r="T840">
        <v>6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3</v>
      </c>
      <c r="AB840">
        <v>11</v>
      </c>
      <c r="AC840">
        <v>0</v>
      </c>
    </row>
    <row r="841" spans="1:29" x14ac:dyDescent="0.3">
      <c r="A841">
        <v>5121</v>
      </c>
      <c r="B841">
        <v>1977</v>
      </c>
      <c r="C841" t="s">
        <v>29</v>
      </c>
      <c r="D841" t="s">
        <v>30</v>
      </c>
      <c r="E841">
        <v>56628</v>
      </c>
      <c r="F841">
        <v>0</v>
      </c>
      <c r="G841">
        <v>1</v>
      </c>
      <c r="H841" s="1">
        <v>41719</v>
      </c>
      <c r="I841">
        <v>30</v>
      </c>
      <c r="J841">
        <v>479</v>
      </c>
      <c r="K841">
        <v>5</v>
      </c>
      <c r="L841">
        <v>82</v>
      </c>
      <c r="M841">
        <v>7</v>
      </c>
      <c r="N841">
        <v>17</v>
      </c>
      <c r="O841">
        <v>171</v>
      </c>
      <c r="P841">
        <v>2</v>
      </c>
      <c r="Q841">
        <v>7</v>
      </c>
      <c r="R841">
        <v>6</v>
      </c>
      <c r="S841">
        <v>5</v>
      </c>
      <c r="T841">
        <v>5</v>
      </c>
      <c r="U841">
        <v>1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3</v>
      </c>
      <c r="AB841">
        <v>11</v>
      </c>
      <c r="AC841">
        <v>0</v>
      </c>
    </row>
    <row r="842" spans="1:29" x14ac:dyDescent="0.3">
      <c r="A842">
        <v>4186</v>
      </c>
      <c r="B842">
        <v>1950</v>
      </c>
      <c r="C842" t="s">
        <v>29</v>
      </c>
      <c r="D842" t="s">
        <v>31</v>
      </c>
      <c r="E842">
        <v>34026</v>
      </c>
      <c r="F842">
        <v>1</v>
      </c>
      <c r="G842">
        <v>1</v>
      </c>
      <c r="H842" s="1">
        <v>41491</v>
      </c>
      <c r="I842">
        <v>11</v>
      </c>
      <c r="J842">
        <v>18</v>
      </c>
      <c r="K842">
        <v>6</v>
      </c>
      <c r="L842">
        <v>15</v>
      </c>
      <c r="M842">
        <v>12</v>
      </c>
      <c r="N842">
        <v>8</v>
      </c>
      <c r="O842">
        <v>17</v>
      </c>
      <c r="P842">
        <v>3</v>
      </c>
      <c r="Q842">
        <v>2</v>
      </c>
      <c r="R842">
        <v>1</v>
      </c>
      <c r="S842">
        <v>3</v>
      </c>
      <c r="T842">
        <v>5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3</v>
      </c>
      <c r="AB842">
        <v>11</v>
      </c>
      <c r="AC842">
        <v>0</v>
      </c>
    </row>
    <row r="843" spans="1:29" x14ac:dyDescent="0.3">
      <c r="A843">
        <v>368</v>
      </c>
      <c r="B843">
        <v>1974</v>
      </c>
      <c r="C843" t="s">
        <v>29</v>
      </c>
      <c r="D843" t="s">
        <v>33</v>
      </c>
      <c r="E843">
        <v>40049</v>
      </c>
      <c r="F843">
        <v>0</v>
      </c>
      <c r="G843">
        <v>1</v>
      </c>
      <c r="H843" s="1">
        <v>41242</v>
      </c>
      <c r="I843">
        <v>61</v>
      </c>
      <c r="J843">
        <v>91</v>
      </c>
      <c r="K843">
        <v>65</v>
      </c>
      <c r="L843">
        <v>52</v>
      </c>
      <c r="M843">
        <v>10</v>
      </c>
      <c r="N843">
        <v>44</v>
      </c>
      <c r="O843">
        <v>28</v>
      </c>
      <c r="P843">
        <v>3</v>
      </c>
      <c r="Q843">
        <v>3</v>
      </c>
      <c r="R843">
        <v>2</v>
      </c>
      <c r="S843">
        <v>6</v>
      </c>
      <c r="T843">
        <v>5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3</v>
      </c>
      <c r="AB843">
        <v>11</v>
      </c>
      <c r="AC843">
        <v>0</v>
      </c>
    </row>
    <row r="844" spans="1:29" x14ac:dyDescent="0.3">
      <c r="A844">
        <v>3312</v>
      </c>
      <c r="B844">
        <v>1988</v>
      </c>
      <c r="C844" t="s">
        <v>29</v>
      </c>
      <c r="D844" t="s">
        <v>30</v>
      </c>
      <c r="E844">
        <v>34176</v>
      </c>
      <c r="F844">
        <v>1</v>
      </c>
      <c r="G844">
        <v>0</v>
      </c>
      <c r="H844" s="1">
        <v>41771</v>
      </c>
      <c r="I844">
        <v>12</v>
      </c>
      <c r="J844">
        <v>5</v>
      </c>
      <c r="K844">
        <v>7</v>
      </c>
      <c r="L844">
        <v>24</v>
      </c>
      <c r="M844">
        <v>19</v>
      </c>
      <c r="N844">
        <v>14</v>
      </c>
      <c r="O844">
        <v>20</v>
      </c>
      <c r="P844">
        <v>4</v>
      </c>
      <c r="Q844">
        <v>3</v>
      </c>
      <c r="R844">
        <v>0</v>
      </c>
      <c r="S844">
        <v>4</v>
      </c>
      <c r="T844">
        <v>6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3</v>
      </c>
      <c r="AB844">
        <v>11</v>
      </c>
      <c r="AC844">
        <v>0</v>
      </c>
    </row>
    <row r="845" spans="1:29" x14ac:dyDescent="0.3">
      <c r="A845">
        <v>11121</v>
      </c>
      <c r="B845">
        <v>1981</v>
      </c>
      <c r="C845" t="s">
        <v>29</v>
      </c>
      <c r="D845" t="s">
        <v>33</v>
      </c>
      <c r="E845">
        <v>19419</v>
      </c>
      <c r="F845">
        <v>1</v>
      </c>
      <c r="G845">
        <v>0</v>
      </c>
      <c r="H845" s="1">
        <v>41223</v>
      </c>
      <c r="I845">
        <v>76</v>
      </c>
      <c r="J845">
        <v>2</v>
      </c>
      <c r="K845">
        <v>14</v>
      </c>
      <c r="L845">
        <v>28</v>
      </c>
      <c r="M845">
        <v>16</v>
      </c>
      <c r="N845">
        <v>3</v>
      </c>
      <c r="O845">
        <v>7</v>
      </c>
      <c r="P845">
        <v>4</v>
      </c>
      <c r="Q845">
        <v>4</v>
      </c>
      <c r="R845">
        <v>0</v>
      </c>
      <c r="S845">
        <v>3</v>
      </c>
      <c r="T845">
        <v>9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3</v>
      </c>
      <c r="AB845">
        <v>11</v>
      </c>
      <c r="AC845">
        <v>0</v>
      </c>
    </row>
    <row r="846" spans="1:29" x14ac:dyDescent="0.3">
      <c r="A846">
        <v>5332</v>
      </c>
      <c r="B846">
        <v>1960</v>
      </c>
      <c r="C846" t="s">
        <v>37</v>
      </c>
      <c r="D846" t="s">
        <v>33</v>
      </c>
      <c r="E846">
        <v>82504</v>
      </c>
      <c r="F846">
        <v>0</v>
      </c>
      <c r="G846">
        <v>0</v>
      </c>
      <c r="H846" s="1">
        <v>41482</v>
      </c>
      <c r="I846">
        <v>2</v>
      </c>
      <c r="J846">
        <v>362</v>
      </c>
      <c r="K846">
        <v>50</v>
      </c>
      <c r="L846">
        <v>431</v>
      </c>
      <c r="M846">
        <v>134</v>
      </c>
      <c r="N846">
        <v>35</v>
      </c>
      <c r="O846">
        <v>54</v>
      </c>
      <c r="P846">
        <v>1</v>
      </c>
      <c r="Q846">
        <v>3</v>
      </c>
      <c r="R846">
        <v>6</v>
      </c>
      <c r="S846">
        <v>7</v>
      </c>
      <c r="T846">
        <v>1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3</v>
      </c>
      <c r="AB846">
        <v>11</v>
      </c>
      <c r="AC846">
        <v>0</v>
      </c>
    </row>
    <row r="847" spans="1:29" x14ac:dyDescent="0.3">
      <c r="A847">
        <v>5848</v>
      </c>
      <c r="B847">
        <v>1970</v>
      </c>
      <c r="C847" t="s">
        <v>29</v>
      </c>
      <c r="D847" t="s">
        <v>31</v>
      </c>
      <c r="E847">
        <v>81205</v>
      </c>
      <c r="F847">
        <v>0</v>
      </c>
      <c r="G847">
        <v>0</v>
      </c>
      <c r="H847" s="1">
        <v>41652</v>
      </c>
      <c r="I847">
        <v>43</v>
      </c>
      <c r="J847">
        <v>724</v>
      </c>
      <c r="K847">
        <v>74</v>
      </c>
      <c r="L847">
        <v>929</v>
      </c>
      <c r="M847">
        <v>97</v>
      </c>
      <c r="N847">
        <v>55</v>
      </c>
      <c r="O847">
        <v>130</v>
      </c>
      <c r="P847">
        <v>1</v>
      </c>
      <c r="Q847">
        <v>5</v>
      </c>
      <c r="R847">
        <v>6</v>
      </c>
      <c r="S847">
        <v>7</v>
      </c>
      <c r="T847">
        <v>2</v>
      </c>
      <c r="U847">
        <v>1</v>
      </c>
      <c r="V847">
        <v>0</v>
      </c>
      <c r="W847">
        <v>1</v>
      </c>
      <c r="X847">
        <v>0</v>
      </c>
      <c r="Y847">
        <v>1</v>
      </c>
      <c r="Z847">
        <v>0</v>
      </c>
      <c r="AA847">
        <v>3</v>
      </c>
      <c r="AB847">
        <v>11</v>
      </c>
      <c r="AC847">
        <v>1</v>
      </c>
    </row>
    <row r="848" spans="1:29" x14ac:dyDescent="0.3">
      <c r="A848">
        <v>10343</v>
      </c>
      <c r="B848">
        <v>1991</v>
      </c>
      <c r="C848" t="s">
        <v>37</v>
      </c>
      <c r="D848" t="s">
        <v>30</v>
      </c>
      <c r="E848">
        <v>61618</v>
      </c>
      <c r="F848">
        <v>0</v>
      </c>
      <c r="G848">
        <v>0</v>
      </c>
      <c r="H848" s="1">
        <v>41181</v>
      </c>
      <c r="I848">
        <v>27</v>
      </c>
      <c r="J848">
        <v>605</v>
      </c>
      <c r="K848">
        <v>91</v>
      </c>
      <c r="L848">
        <v>399</v>
      </c>
      <c r="M848">
        <v>0</v>
      </c>
      <c r="N848">
        <v>45</v>
      </c>
      <c r="O848">
        <v>205</v>
      </c>
      <c r="P848">
        <v>2</v>
      </c>
      <c r="Q848">
        <v>3</v>
      </c>
      <c r="R848">
        <v>6</v>
      </c>
      <c r="S848">
        <v>8</v>
      </c>
      <c r="T848">
        <v>3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3</v>
      </c>
      <c r="AB848">
        <v>11</v>
      </c>
      <c r="AC848">
        <v>0</v>
      </c>
    </row>
    <row r="849" spans="1:29" x14ac:dyDescent="0.3">
      <c r="A849">
        <v>5935</v>
      </c>
      <c r="B849">
        <v>1956</v>
      </c>
      <c r="C849" t="s">
        <v>34</v>
      </c>
      <c r="D849" t="s">
        <v>30</v>
      </c>
      <c r="E849">
        <v>55284</v>
      </c>
      <c r="F849">
        <v>0</v>
      </c>
      <c r="G849">
        <v>1</v>
      </c>
      <c r="H849" s="1">
        <v>41267</v>
      </c>
      <c r="I849">
        <v>60</v>
      </c>
      <c r="J849">
        <v>547</v>
      </c>
      <c r="K849">
        <v>7</v>
      </c>
      <c r="L849">
        <v>140</v>
      </c>
      <c r="M849">
        <v>0</v>
      </c>
      <c r="N849">
        <v>7</v>
      </c>
      <c r="O849">
        <v>63</v>
      </c>
      <c r="P849">
        <v>3</v>
      </c>
      <c r="Q849">
        <v>7</v>
      </c>
      <c r="R849">
        <v>5</v>
      </c>
      <c r="S849">
        <v>8</v>
      </c>
      <c r="T849">
        <v>5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3</v>
      </c>
      <c r="AB849">
        <v>11</v>
      </c>
      <c r="AC849">
        <v>0</v>
      </c>
    </row>
    <row r="850" spans="1:29" x14ac:dyDescent="0.3">
      <c r="A850">
        <v>2895</v>
      </c>
      <c r="B850">
        <v>1963</v>
      </c>
      <c r="C850" t="s">
        <v>29</v>
      </c>
      <c r="D850" t="s">
        <v>30</v>
      </c>
      <c r="E850">
        <v>49980</v>
      </c>
      <c r="F850">
        <v>0</v>
      </c>
      <c r="G850">
        <v>1</v>
      </c>
      <c r="H850" s="1">
        <v>41570</v>
      </c>
      <c r="I850">
        <v>79</v>
      </c>
      <c r="J850">
        <v>104</v>
      </c>
      <c r="K850">
        <v>1</v>
      </c>
      <c r="L850">
        <v>54</v>
      </c>
      <c r="M850">
        <v>13</v>
      </c>
      <c r="N850">
        <v>9</v>
      </c>
      <c r="O850">
        <v>14</v>
      </c>
      <c r="P850">
        <v>2</v>
      </c>
      <c r="Q850">
        <v>3</v>
      </c>
      <c r="R850">
        <v>1</v>
      </c>
      <c r="S850">
        <v>5</v>
      </c>
      <c r="T850">
        <v>5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3</v>
      </c>
      <c r="AB850">
        <v>11</v>
      </c>
      <c r="AC850">
        <v>0</v>
      </c>
    </row>
    <row r="851" spans="1:29" x14ac:dyDescent="0.3">
      <c r="A851">
        <v>10262</v>
      </c>
      <c r="B851">
        <v>1980</v>
      </c>
      <c r="C851" t="s">
        <v>29</v>
      </c>
      <c r="D851" t="s">
        <v>33</v>
      </c>
      <c r="E851">
        <v>15072</v>
      </c>
      <c r="F851">
        <v>2</v>
      </c>
      <c r="G851">
        <v>0</v>
      </c>
      <c r="H851" s="1">
        <v>41404</v>
      </c>
      <c r="I851">
        <v>96</v>
      </c>
      <c r="J851">
        <v>8</v>
      </c>
      <c r="K851">
        <v>2</v>
      </c>
      <c r="L851">
        <v>15</v>
      </c>
      <c r="M851">
        <v>0</v>
      </c>
      <c r="N851">
        <v>10</v>
      </c>
      <c r="O851">
        <v>18</v>
      </c>
      <c r="P851">
        <v>4</v>
      </c>
      <c r="Q851">
        <v>3</v>
      </c>
      <c r="R851">
        <v>1</v>
      </c>
      <c r="S851">
        <v>3</v>
      </c>
      <c r="T851">
        <v>5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3</v>
      </c>
      <c r="AB851">
        <v>11</v>
      </c>
      <c r="AC851">
        <v>0</v>
      </c>
    </row>
    <row r="852" spans="1:29" x14ac:dyDescent="0.3">
      <c r="A852">
        <v>7848</v>
      </c>
      <c r="B852">
        <v>1974</v>
      </c>
      <c r="C852" t="s">
        <v>29</v>
      </c>
      <c r="D852" t="s">
        <v>30</v>
      </c>
      <c r="E852">
        <v>49166</v>
      </c>
      <c r="F852">
        <v>0</v>
      </c>
      <c r="G852">
        <v>1</v>
      </c>
      <c r="H852" s="1">
        <v>41438</v>
      </c>
      <c r="I852">
        <v>17</v>
      </c>
      <c r="J852">
        <v>224</v>
      </c>
      <c r="K852">
        <v>2</v>
      </c>
      <c r="L852">
        <v>25</v>
      </c>
      <c r="M852">
        <v>7</v>
      </c>
      <c r="N852">
        <v>0</v>
      </c>
      <c r="O852">
        <v>110</v>
      </c>
      <c r="P852">
        <v>2</v>
      </c>
      <c r="Q852">
        <v>5</v>
      </c>
      <c r="R852">
        <v>3</v>
      </c>
      <c r="S852">
        <v>3</v>
      </c>
      <c r="T852">
        <v>6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3</v>
      </c>
      <c r="AB852">
        <v>11</v>
      </c>
      <c r="AC852">
        <v>0</v>
      </c>
    </row>
    <row r="853" spans="1:29" x14ac:dyDescent="0.3">
      <c r="A853">
        <v>9477</v>
      </c>
      <c r="B853">
        <v>1954</v>
      </c>
      <c r="C853" t="s">
        <v>32</v>
      </c>
      <c r="D853" t="s">
        <v>33</v>
      </c>
      <c r="E853">
        <v>65324</v>
      </c>
      <c r="F853">
        <v>0</v>
      </c>
      <c r="G853">
        <v>1</v>
      </c>
      <c r="H853" s="1">
        <v>41650</v>
      </c>
      <c r="I853">
        <v>0</v>
      </c>
      <c r="J853">
        <v>384</v>
      </c>
      <c r="K853">
        <v>0</v>
      </c>
      <c r="L853">
        <v>102</v>
      </c>
      <c r="M853">
        <v>21</v>
      </c>
      <c r="N853">
        <v>32</v>
      </c>
      <c r="O853">
        <v>5</v>
      </c>
      <c r="P853">
        <v>3</v>
      </c>
      <c r="Q853">
        <v>6</v>
      </c>
      <c r="R853">
        <v>2</v>
      </c>
      <c r="S853">
        <v>9</v>
      </c>
      <c r="T853">
        <v>4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3</v>
      </c>
      <c r="AB853">
        <v>11</v>
      </c>
      <c r="AC853">
        <v>0</v>
      </c>
    </row>
    <row r="854" spans="1:29" x14ac:dyDescent="0.3">
      <c r="A854">
        <v>4856</v>
      </c>
      <c r="B854">
        <v>1957</v>
      </c>
      <c r="C854" t="s">
        <v>37</v>
      </c>
      <c r="D854" t="s">
        <v>33</v>
      </c>
      <c r="E854">
        <v>82347</v>
      </c>
      <c r="F854">
        <v>0</v>
      </c>
      <c r="G854">
        <v>0</v>
      </c>
      <c r="H854" s="1">
        <v>41219</v>
      </c>
      <c r="I854">
        <v>38</v>
      </c>
      <c r="J854">
        <v>556</v>
      </c>
      <c r="K854">
        <v>54</v>
      </c>
      <c r="L854">
        <v>845</v>
      </c>
      <c r="M854">
        <v>202</v>
      </c>
      <c r="N854">
        <v>133</v>
      </c>
      <c r="O854">
        <v>63</v>
      </c>
      <c r="P854">
        <v>1</v>
      </c>
      <c r="Q854">
        <v>7</v>
      </c>
      <c r="R854">
        <v>7</v>
      </c>
      <c r="S854">
        <v>10</v>
      </c>
      <c r="T854">
        <v>3</v>
      </c>
      <c r="U854">
        <v>1</v>
      </c>
      <c r="V854">
        <v>0</v>
      </c>
      <c r="W854">
        <v>0</v>
      </c>
      <c r="X854">
        <v>1</v>
      </c>
      <c r="Y854">
        <v>0</v>
      </c>
      <c r="Z854">
        <v>0</v>
      </c>
      <c r="AA854">
        <v>3</v>
      </c>
      <c r="AB854">
        <v>11</v>
      </c>
      <c r="AC854">
        <v>0</v>
      </c>
    </row>
    <row r="855" spans="1:29" x14ac:dyDescent="0.3">
      <c r="A855">
        <v>7186</v>
      </c>
      <c r="B855">
        <v>1966</v>
      </c>
      <c r="C855" t="s">
        <v>32</v>
      </c>
      <c r="D855" t="s">
        <v>31</v>
      </c>
      <c r="E855">
        <v>30843</v>
      </c>
      <c r="F855">
        <v>1</v>
      </c>
      <c r="G855">
        <v>1</v>
      </c>
      <c r="H855" s="1">
        <v>41785</v>
      </c>
      <c r="I855">
        <v>43</v>
      </c>
      <c r="J855">
        <v>24</v>
      </c>
      <c r="K855">
        <v>0</v>
      </c>
      <c r="L855">
        <v>2</v>
      </c>
      <c r="M855">
        <v>0</v>
      </c>
      <c r="N855">
        <v>0</v>
      </c>
      <c r="O855">
        <v>9</v>
      </c>
      <c r="P855">
        <v>2</v>
      </c>
      <c r="Q855">
        <v>1</v>
      </c>
      <c r="R855">
        <v>1</v>
      </c>
      <c r="S855">
        <v>2</v>
      </c>
      <c r="T855">
        <v>5</v>
      </c>
      <c r="U855">
        <v>1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3</v>
      </c>
      <c r="AB855">
        <v>11</v>
      </c>
      <c r="AC855">
        <v>0</v>
      </c>
    </row>
    <row r="856" spans="1:29" x14ac:dyDescent="0.3">
      <c r="A856">
        <v>5794</v>
      </c>
      <c r="B856">
        <v>1974</v>
      </c>
      <c r="C856" t="s">
        <v>32</v>
      </c>
      <c r="D856" t="s">
        <v>33</v>
      </c>
      <c r="E856">
        <v>46374</v>
      </c>
      <c r="F856">
        <v>0</v>
      </c>
      <c r="G856">
        <v>1</v>
      </c>
      <c r="H856" s="1">
        <v>41715</v>
      </c>
      <c r="I856">
        <v>1</v>
      </c>
      <c r="J856">
        <v>408</v>
      </c>
      <c r="K856">
        <v>0</v>
      </c>
      <c r="L856">
        <v>21</v>
      </c>
      <c r="M856">
        <v>0</v>
      </c>
      <c r="N856">
        <v>0</v>
      </c>
      <c r="O856">
        <v>17</v>
      </c>
      <c r="P856">
        <v>3</v>
      </c>
      <c r="Q856">
        <v>7</v>
      </c>
      <c r="R856">
        <v>1</v>
      </c>
      <c r="S856">
        <v>7</v>
      </c>
      <c r="T856">
        <v>8</v>
      </c>
      <c r="U856">
        <v>0</v>
      </c>
      <c r="V856">
        <v>1</v>
      </c>
      <c r="W856">
        <v>0</v>
      </c>
      <c r="X856">
        <v>1</v>
      </c>
      <c r="Y856">
        <v>0</v>
      </c>
      <c r="Z856">
        <v>0</v>
      </c>
      <c r="AA856">
        <v>3</v>
      </c>
      <c r="AB856">
        <v>11</v>
      </c>
      <c r="AC856">
        <v>1</v>
      </c>
    </row>
    <row r="857" spans="1:29" x14ac:dyDescent="0.3">
      <c r="A857">
        <v>1456</v>
      </c>
      <c r="B857">
        <v>1979</v>
      </c>
      <c r="C857" t="s">
        <v>29</v>
      </c>
      <c r="D857" t="s">
        <v>30</v>
      </c>
      <c r="E857">
        <v>60474</v>
      </c>
      <c r="F857">
        <v>0</v>
      </c>
      <c r="G857">
        <v>1</v>
      </c>
      <c r="H857" s="1">
        <v>41365</v>
      </c>
      <c r="I857">
        <v>25</v>
      </c>
      <c r="J857">
        <v>265</v>
      </c>
      <c r="K857">
        <v>199</v>
      </c>
      <c r="L857">
        <v>303</v>
      </c>
      <c r="M857">
        <v>234</v>
      </c>
      <c r="N857">
        <v>9</v>
      </c>
      <c r="O857">
        <v>170</v>
      </c>
      <c r="P857">
        <v>7</v>
      </c>
      <c r="Q857">
        <v>10</v>
      </c>
      <c r="R857">
        <v>2</v>
      </c>
      <c r="S857">
        <v>12</v>
      </c>
      <c r="T857">
        <v>7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3</v>
      </c>
      <c r="AB857">
        <v>11</v>
      </c>
      <c r="AC857">
        <v>0</v>
      </c>
    </row>
    <row r="858" spans="1:29" x14ac:dyDescent="0.3">
      <c r="A858">
        <v>4877</v>
      </c>
      <c r="B858">
        <v>1973</v>
      </c>
      <c r="C858" t="s">
        <v>34</v>
      </c>
      <c r="D858" t="s">
        <v>33</v>
      </c>
      <c r="E858">
        <v>38576</v>
      </c>
      <c r="F858">
        <v>0</v>
      </c>
      <c r="G858">
        <v>1</v>
      </c>
      <c r="H858" s="1">
        <v>41702</v>
      </c>
      <c r="I858">
        <v>2</v>
      </c>
      <c r="J858">
        <v>34</v>
      </c>
      <c r="K858">
        <v>0</v>
      </c>
      <c r="L858">
        <v>7</v>
      </c>
      <c r="M858">
        <v>0</v>
      </c>
      <c r="N858">
        <v>0</v>
      </c>
      <c r="O858">
        <v>0</v>
      </c>
      <c r="P858">
        <v>1</v>
      </c>
      <c r="Q858">
        <v>1</v>
      </c>
      <c r="R858">
        <v>0</v>
      </c>
      <c r="S858">
        <v>3</v>
      </c>
      <c r="T858">
        <v>7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3</v>
      </c>
      <c r="AB858">
        <v>11</v>
      </c>
      <c r="AC858">
        <v>0</v>
      </c>
    </row>
    <row r="859" spans="1:29" x14ac:dyDescent="0.3">
      <c r="A859">
        <v>425</v>
      </c>
      <c r="B859">
        <v>1985</v>
      </c>
      <c r="C859" t="s">
        <v>29</v>
      </c>
      <c r="D859" t="s">
        <v>33</v>
      </c>
      <c r="E859">
        <v>55357</v>
      </c>
      <c r="F859">
        <v>2</v>
      </c>
      <c r="G859">
        <v>0</v>
      </c>
      <c r="H859" s="1">
        <v>41324</v>
      </c>
      <c r="I859">
        <v>66</v>
      </c>
      <c r="J859">
        <v>374</v>
      </c>
      <c r="K859">
        <v>64</v>
      </c>
      <c r="L859">
        <v>116</v>
      </c>
      <c r="M859">
        <v>84</v>
      </c>
      <c r="N859">
        <v>25</v>
      </c>
      <c r="O859">
        <v>64</v>
      </c>
      <c r="P859">
        <v>3</v>
      </c>
      <c r="Q859">
        <v>6</v>
      </c>
      <c r="R859">
        <v>2</v>
      </c>
      <c r="S859">
        <v>11</v>
      </c>
      <c r="T859">
        <v>5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3</v>
      </c>
      <c r="AB859">
        <v>11</v>
      </c>
      <c r="AC859">
        <v>0</v>
      </c>
    </row>
    <row r="860" spans="1:29" x14ac:dyDescent="0.3">
      <c r="A860">
        <v>3007</v>
      </c>
      <c r="B860">
        <v>1966</v>
      </c>
      <c r="C860" t="s">
        <v>29</v>
      </c>
      <c r="D860" t="s">
        <v>31</v>
      </c>
      <c r="E860">
        <v>37758</v>
      </c>
      <c r="F860">
        <v>1</v>
      </c>
      <c r="G860">
        <v>1</v>
      </c>
      <c r="H860" s="1">
        <v>41186</v>
      </c>
      <c r="I860">
        <v>49</v>
      </c>
      <c r="J860">
        <v>27</v>
      </c>
      <c r="K860">
        <v>2</v>
      </c>
      <c r="L860">
        <v>10</v>
      </c>
      <c r="M860">
        <v>0</v>
      </c>
      <c r="N860">
        <v>0</v>
      </c>
      <c r="O860">
        <v>1</v>
      </c>
      <c r="P860">
        <v>2</v>
      </c>
      <c r="Q860">
        <v>1</v>
      </c>
      <c r="R860">
        <v>0</v>
      </c>
      <c r="S860">
        <v>3</v>
      </c>
      <c r="T860">
        <v>8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3</v>
      </c>
      <c r="AB860">
        <v>11</v>
      </c>
      <c r="AC860">
        <v>0</v>
      </c>
    </row>
    <row r="861" spans="1:29" x14ac:dyDescent="0.3">
      <c r="A861">
        <v>1031</v>
      </c>
      <c r="B861">
        <v>1989</v>
      </c>
      <c r="C861" t="s">
        <v>37</v>
      </c>
      <c r="D861" t="s">
        <v>33</v>
      </c>
      <c r="E861">
        <v>85710</v>
      </c>
      <c r="F861">
        <v>0</v>
      </c>
      <c r="G861">
        <v>0</v>
      </c>
      <c r="H861" s="1">
        <v>41399</v>
      </c>
      <c r="I861">
        <v>5</v>
      </c>
      <c r="J861">
        <v>600</v>
      </c>
      <c r="K861">
        <v>20</v>
      </c>
      <c r="L861">
        <v>350</v>
      </c>
      <c r="M861">
        <v>29</v>
      </c>
      <c r="N861">
        <v>30</v>
      </c>
      <c r="O861">
        <v>33</v>
      </c>
      <c r="P861">
        <v>1</v>
      </c>
      <c r="Q861">
        <v>6</v>
      </c>
      <c r="R861">
        <v>9</v>
      </c>
      <c r="S861">
        <v>10</v>
      </c>
      <c r="T861">
        <v>2</v>
      </c>
      <c r="U861">
        <v>0</v>
      </c>
      <c r="V861">
        <v>0</v>
      </c>
      <c r="W861">
        <v>1</v>
      </c>
      <c r="X861">
        <v>0</v>
      </c>
      <c r="Y861">
        <v>0</v>
      </c>
      <c r="Z861">
        <v>0</v>
      </c>
      <c r="AA861">
        <v>3</v>
      </c>
      <c r="AB861">
        <v>11</v>
      </c>
      <c r="AC861">
        <v>0</v>
      </c>
    </row>
    <row r="862" spans="1:29" x14ac:dyDescent="0.3">
      <c r="A862">
        <v>4297</v>
      </c>
      <c r="B862">
        <v>1969</v>
      </c>
      <c r="C862" t="s">
        <v>29</v>
      </c>
      <c r="D862" t="s">
        <v>31</v>
      </c>
      <c r="E862">
        <v>23228</v>
      </c>
      <c r="F862">
        <v>1</v>
      </c>
      <c r="G862">
        <v>0</v>
      </c>
      <c r="H862" s="1">
        <v>41665</v>
      </c>
      <c r="I862">
        <v>71</v>
      </c>
      <c r="J862">
        <v>13</v>
      </c>
      <c r="K862">
        <v>2</v>
      </c>
      <c r="L862">
        <v>18</v>
      </c>
      <c r="M862">
        <v>6</v>
      </c>
      <c r="N862">
        <v>1</v>
      </c>
      <c r="O862">
        <v>0</v>
      </c>
      <c r="P862">
        <v>2</v>
      </c>
      <c r="Q862">
        <v>2</v>
      </c>
      <c r="R862">
        <v>0</v>
      </c>
      <c r="S862">
        <v>3</v>
      </c>
      <c r="T862">
        <v>8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3</v>
      </c>
      <c r="AB862">
        <v>11</v>
      </c>
      <c r="AC862">
        <v>0</v>
      </c>
    </row>
    <row r="863" spans="1:29" x14ac:dyDescent="0.3">
      <c r="A863">
        <v>807</v>
      </c>
      <c r="B863">
        <v>1969</v>
      </c>
      <c r="C863" t="s">
        <v>34</v>
      </c>
      <c r="D863" t="s">
        <v>31</v>
      </c>
      <c r="E863">
        <v>44602</v>
      </c>
      <c r="F863">
        <v>1</v>
      </c>
      <c r="G863">
        <v>1</v>
      </c>
      <c r="H863" s="1">
        <v>41685</v>
      </c>
      <c r="I863">
        <v>35</v>
      </c>
      <c r="J863">
        <v>167</v>
      </c>
      <c r="K863">
        <v>2</v>
      </c>
      <c r="L863">
        <v>89</v>
      </c>
      <c r="M863">
        <v>0</v>
      </c>
      <c r="N863">
        <v>0</v>
      </c>
      <c r="O863">
        <v>34</v>
      </c>
      <c r="P863">
        <v>6</v>
      </c>
      <c r="Q863">
        <v>6</v>
      </c>
      <c r="R863">
        <v>1</v>
      </c>
      <c r="S863">
        <v>4</v>
      </c>
      <c r="T863">
        <v>8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3</v>
      </c>
      <c r="AB863">
        <v>11</v>
      </c>
      <c r="AC863">
        <v>0</v>
      </c>
    </row>
    <row r="864" spans="1:29" x14ac:dyDescent="0.3">
      <c r="A864">
        <v>9553</v>
      </c>
      <c r="B864">
        <v>1987</v>
      </c>
      <c r="C864" t="s">
        <v>29</v>
      </c>
      <c r="D864" t="s">
        <v>33</v>
      </c>
      <c r="E864">
        <v>7500</v>
      </c>
      <c r="F864">
        <v>0</v>
      </c>
      <c r="G864">
        <v>0</v>
      </c>
      <c r="H864" s="1">
        <v>41283</v>
      </c>
      <c r="I864">
        <v>94</v>
      </c>
      <c r="J864">
        <v>0</v>
      </c>
      <c r="K864">
        <v>2</v>
      </c>
      <c r="L864">
        <v>3</v>
      </c>
      <c r="M864">
        <v>4</v>
      </c>
      <c r="N864">
        <v>1</v>
      </c>
      <c r="O864">
        <v>5</v>
      </c>
      <c r="P864">
        <v>1</v>
      </c>
      <c r="Q864">
        <v>0</v>
      </c>
      <c r="R864">
        <v>0</v>
      </c>
      <c r="S864">
        <v>3</v>
      </c>
      <c r="T864">
        <v>6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3</v>
      </c>
      <c r="AB864">
        <v>11</v>
      </c>
      <c r="AC864">
        <v>0</v>
      </c>
    </row>
    <row r="865" spans="1:29" x14ac:dyDescent="0.3">
      <c r="A865">
        <v>4271</v>
      </c>
      <c r="B865">
        <v>1989</v>
      </c>
      <c r="C865" t="s">
        <v>37</v>
      </c>
      <c r="D865" t="s">
        <v>31</v>
      </c>
      <c r="E865">
        <v>38683</v>
      </c>
      <c r="F865">
        <v>1</v>
      </c>
      <c r="G865">
        <v>0</v>
      </c>
      <c r="H865" s="1">
        <v>41186</v>
      </c>
      <c r="I865">
        <v>80</v>
      </c>
      <c r="J865">
        <v>46</v>
      </c>
      <c r="K865">
        <v>35</v>
      </c>
      <c r="L865">
        <v>69</v>
      </c>
      <c r="M865">
        <v>84</v>
      </c>
      <c r="N865">
        <v>41</v>
      </c>
      <c r="O865">
        <v>66</v>
      </c>
      <c r="P865">
        <v>6</v>
      </c>
      <c r="Q865">
        <v>4</v>
      </c>
      <c r="R865">
        <v>1</v>
      </c>
      <c r="S865">
        <v>6</v>
      </c>
      <c r="T865">
        <v>7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3</v>
      </c>
      <c r="AB865">
        <v>11</v>
      </c>
      <c r="AC865">
        <v>0</v>
      </c>
    </row>
    <row r="866" spans="1:29" x14ac:dyDescent="0.3">
      <c r="A866">
        <v>4120</v>
      </c>
      <c r="B866">
        <v>1975</v>
      </c>
      <c r="C866" t="s">
        <v>37</v>
      </c>
      <c r="D866" t="s">
        <v>30</v>
      </c>
      <c r="E866">
        <v>49514</v>
      </c>
      <c r="F866">
        <v>1</v>
      </c>
      <c r="G866">
        <v>0</v>
      </c>
      <c r="H866" s="1">
        <v>41625</v>
      </c>
      <c r="I866">
        <v>61</v>
      </c>
      <c r="J866">
        <v>88</v>
      </c>
      <c r="K866">
        <v>39</v>
      </c>
      <c r="L866">
        <v>78</v>
      </c>
      <c r="M866">
        <v>58</v>
      </c>
      <c r="N866">
        <v>13</v>
      </c>
      <c r="O866">
        <v>93</v>
      </c>
      <c r="P866">
        <v>2</v>
      </c>
      <c r="Q866">
        <v>6</v>
      </c>
      <c r="R866">
        <v>1</v>
      </c>
      <c r="S866">
        <v>4</v>
      </c>
      <c r="T866">
        <v>7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3</v>
      </c>
      <c r="AB866">
        <v>11</v>
      </c>
      <c r="AC866">
        <v>0</v>
      </c>
    </row>
    <row r="867" spans="1:29" x14ac:dyDescent="0.3">
      <c r="A867">
        <v>2036</v>
      </c>
      <c r="B867">
        <v>1973</v>
      </c>
      <c r="C867" t="s">
        <v>32</v>
      </c>
      <c r="D867" t="s">
        <v>31</v>
      </c>
      <c r="E867">
        <v>57906</v>
      </c>
      <c r="F867">
        <v>0</v>
      </c>
      <c r="G867">
        <v>1</v>
      </c>
      <c r="H867" s="1">
        <v>41436</v>
      </c>
      <c r="I867">
        <v>29</v>
      </c>
      <c r="J867">
        <v>243</v>
      </c>
      <c r="K867">
        <v>11</v>
      </c>
      <c r="L867">
        <v>119</v>
      </c>
      <c r="M867">
        <v>10</v>
      </c>
      <c r="N867">
        <v>3</v>
      </c>
      <c r="O867">
        <v>15</v>
      </c>
      <c r="P867">
        <v>3</v>
      </c>
      <c r="Q867">
        <v>4</v>
      </c>
      <c r="R867">
        <v>2</v>
      </c>
      <c r="S867">
        <v>8</v>
      </c>
      <c r="T867">
        <v>4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3</v>
      </c>
      <c r="AB867">
        <v>11</v>
      </c>
      <c r="AC867">
        <v>0</v>
      </c>
    </row>
    <row r="868" spans="1:29" x14ac:dyDescent="0.3">
      <c r="A868">
        <v>115</v>
      </c>
      <c r="B868">
        <v>1966</v>
      </c>
      <c r="C868" t="s">
        <v>34</v>
      </c>
      <c r="D868" t="s">
        <v>30</v>
      </c>
      <c r="E868">
        <v>43456</v>
      </c>
      <c r="F868">
        <v>0</v>
      </c>
      <c r="G868">
        <v>1</v>
      </c>
      <c r="H868" s="1">
        <v>41359</v>
      </c>
      <c r="I868">
        <v>0</v>
      </c>
      <c r="J868">
        <v>275</v>
      </c>
      <c r="K868">
        <v>11</v>
      </c>
      <c r="L868">
        <v>68</v>
      </c>
      <c r="M868">
        <v>25</v>
      </c>
      <c r="N868">
        <v>7</v>
      </c>
      <c r="O868">
        <v>7</v>
      </c>
      <c r="P868">
        <v>3</v>
      </c>
      <c r="Q868">
        <v>5</v>
      </c>
      <c r="R868">
        <v>1</v>
      </c>
      <c r="S868">
        <v>8</v>
      </c>
      <c r="T868">
        <v>5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3</v>
      </c>
      <c r="AB868">
        <v>11</v>
      </c>
      <c r="AC868">
        <v>0</v>
      </c>
    </row>
    <row r="869" spans="1:29" x14ac:dyDescent="0.3">
      <c r="A869">
        <v>4259</v>
      </c>
      <c r="B869">
        <v>1986</v>
      </c>
      <c r="C869" t="s">
        <v>34</v>
      </c>
      <c r="D869" t="s">
        <v>30</v>
      </c>
      <c r="E869">
        <v>19485</v>
      </c>
      <c r="F869">
        <v>2</v>
      </c>
      <c r="G869">
        <v>0</v>
      </c>
      <c r="H869" s="1">
        <v>41541</v>
      </c>
      <c r="I869">
        <v>80</v>
      </c>
      <c r="J869">
        <v>6</v>
      </c>
      <c r="K869">
        <v>0</v>
      </c>
      <c r="L869">
        <v>4</v>
      </c>
      <c r="M869">
        <v>0</v>
      </c>
      <c r="N869">
        <v>0</v>
      </c>
      <c r="O869">
        <v>0</v>
      </c>
      <c r="P869">
        <v>1</v>
      </c>
      <c r="Q869">
        <v>1</v>
      </c>
      <c r="R869">
        <v>0</v>
      </c>
      <c r="S869">
        <v>2</v>
      </c>
      <c r="T869">
        <v>7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3</v>
      </c>
      <c r="AB869">
        <v>11</v>
      </c>
      <c r="AC869">
        <v>0</v>
      </c>
    </row>
    <row r="870" spans="1:29" x14ac:dyDescent="0.3">
      <c r="A870">
        <v>8687</v>
      </c>
      <c r="B870">
        <v>1978</v>
      </c>
      <c r="C870" t="s">
        <v>29</v>
      </c>
      <c r="D870" t="s">
        <v>31</v>
      </c>
      <c r="E870">
        <v>53172</v>
      </c>
      <c r="F870">
        <v>0</v>
      </c>
      <c r="G870">
        <v>1</v>
      </c>
      <c r="H870" s="1">
        <v>41400</v>
      </c>
      <c r="I870">
        <v>54</v>
      </c>
      <c r="J870">
        <v>121</v>
      </c>
      <c r="K870">
        <v>62</v>
      </c>
      <c r="L870">
        <v>90</v>
      </c>
      <c r="M870">
        <v>68</v>
      </c>
      <c r="N870">
        <v>20</v>
      </c>
      <c r="O870">
        <v>125</v>
      </c>
      <c r="P870">
        <v>3</v>
      </c>
      <c r="Q870">
        <v>2</v>
      </c>
      <c r="R870">
        <v>3</v>
      </c>
      <c r="S870">
        <v>8</v>
      </c>
      <c r="T870">
        <v>3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3</v>
      </c>
      <c r="AB870">
        <v>11</v>
      </c>
      <c r="AC870">
        <v>0</v>
      </c>
    </row>
    <row r="871" spans="1:29" x14ac:dyDescent="0.3">
      <c r="A871">
        <v>2447</v>
      </c>
      <c r="B871">
        <v>1979</v>
      </c>
      <c r="C871" t="s">
        <v>29</v>
      </c>
      <c r="D871" t="s">
        <v>31</v>
      </c>
      <c r="E871">
        <v>30545</v>
      </c>
      <c r="F871">
        <v>1</v>
      </c>
      <c r="G871">
        <v>0</v>
      </c>
      <c r="H871" s="1">
        <v>41199</v>
      </c>
      <c r="I871">
        <v>71</v>
      </c>
      <c r="J871">
        <v>4</v>
      </c>
      <c r="K871">
        <v>12</v>
      </c>
      <c r="L871">
        <v>15</v>
      </c>
      <c r="M871">
        <v>19</v>
      </c>
      <c r="N871">
        <v>7</v>
      </c>
      <c r="O871">
        <v>12</v>
      </c>
      <c r="P871">
        <v>2</v>
      </c>
      <c r="Q871">
        <v>2</v>
      </c>
      <c r="R871">
        <v>0</v>
      </c>
      <c r="S871">
        <v>3</v>
      </c>
      <c r="T871">
        <v>7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3</v>
      </c>
      <c r="AB871">
        <v>11</v>
      </c>
      <c r="AC871">
        <v>0</v>
      </c>
    </row>
    <row r="872" spans="1:29" x14ac:dyDescent="0.3">
      <c r="A872">
        <v>10140</v>
      </c>
      <c r="B872">
        <v>1983</v>
      </c>
      <c r="C872" t="s">
        <v>32</v>
      </c>
      <c r="D872" t="s">
        <v>31</v>
      </c>
      <c r="E872">
        <v>70123</v>
      </c>
      <c r="F872">
        <v>0</v>
      </c>
      <c r="G872">
        <v>0</v>
      </c>
      <c r="H872" s="1">
        <v>41545</v>
      </c>
      <c r="I872">
        <v>27</v>
      </c>
      <c r="J872">
        <v>1308</v>
      </c>
      <c r="K872">
        <v>0</v>
      </c>
      <c r="L872">
        <v>396</v>
      </c>
      <c r="M872">
        <v>23</v>
      </c>
      <c r="N872">
        <v>0</v>
      </c>
      <c r="O872">
        <v>0</v>
      </c>
      <c r="P872">
        <v>1</v>
      </c>
      <c r="Q872">
        <v>5</v>
      </c>
      <c r="R872">
        <v>7</v>
      </c>
      <c r="S872">
        <v>4</v>
      </c>
      <c r="T872">
        <v>3</v>
      </c>
      <c r="U872">
        <v>0</v>
      </c>
      <c r="V872">
        <v>1</v>
      </c>
      <c r="W872">
        <v>0</v>
      </c>
      <c r="X872">
        <v>0</v>
      </c>
      <c r="Y872">
        <v>1</v>
      </c>
      <c r="Z872">
        <v>0</v>
      </c>
      <c r="AA872">
        <v>3</v>
      </c>
      <c r="AB872">
        <v>11</v>
      </c>
      <c r="AC872">
        <v>0</v>
      </c>
    </row>
    <row r="873" spans="1:29" x14ac:dyDescent="0.3">
      <c r="A873">
        <v>9353</v>
      </c>
      <c r="B873">
        <v>1959</v>
      </c>
      <c r="C873" t="s">
        <v>29</v>
      </c>
      <c r="D873" t="s">
        <v>30</v>
      </c>
      <c r="E873">
        <v>62450</v>
      </c>
      <c r="F873">
        <v>0</v>
      </c>
      <c r="G873">
        <v>1</v>
      </c>
      <c r="H873" s="1">
        <v>41645</v>
      </c>
      <c r="I873">
        <v>61</v>
      </c>
      <c r="J873">
        <v>515</v>
      </c>
      <c r="K873">
        <v>47</v>
      </c>
      <c r="L873">
        <v>267</v>
      </c>
      <c r="M873">
        <v>62</v>
      </c>
      <c r="N873">
        <v>66</v>
      </c>
      <c r="O873">
        <v>38</v>
      </c>
      <c r="P873">
        <v>2</v>
      </c>
      <c r="Q873">
        <v>5</v>
      </c>
      <c r="R873">
        <v>5</v>
      </c>
      <c r="S873">
        <v>4</v>
      </c>
      <c r="T873">
        <v>3</v>
      </c>
      <c r="U873">
        <v>0</v>
      </c>
      <c r="V873">
        <v>1</v>
      </c>
      <c r="W873">
        <v>0</v>
      </c>
      <c r="X873">
        <v>0</v>
      </c>
      <c r="Y873">
        <v>0</v>
      </c>
      <c r="Z873">
        <v>0</v>
      </c>
      <c r="AA873">
        <v>3</v>
      </c>
      <c r="AB873">
        <v>11</v>
      </c>
      <c r="AC873">
        <v>0</v>
      </c>
    </row>
    <row r="874" spans="1:29" x14ac:dyDescent="0.3">
      <c r="A874">
        <v>3623</v>
      </c>
      <c r="B874">
        <v>1976</v>
      </c>
      <c r="C874" t="s">
        <v>29</v>
      </c>
      <c r="D874" t="s">
        <v>31</v>
      </c>
      <c r="E874">
        <v>21675</v>
      </c>
      <c r="F874">
        <v>1</v>
      </c>
      <c r="G874">
        <v>0</v>
      </c>
      <c r="H874" s="1">
        <v>41801</v>
      </c>
      <c r="I874">
        <v>55</v>
      </c>
      <c r="J874">
        <v>4</v>
      </c>
      <c r="K874">
        <v>0</v>
      </c>
      <c r="L874">
        <v>16</v>
      </c>
      <c r="M874">
        <v>17</v>
      </c>
      <c r="N874">
        <v>4</v>
      </c>
      <c r="O874">
        <v>4</v>
      </c>
      <c r="P874">
        <v>3</v>
      </c>
      <c r="Q874">
        <v>4</v>
      </c>
      <c r="R874">
        <v>0</v>
      </c>
      <c r="S874">
        <v>3</v>
      </c>
      <c r="T874">
        <v>7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3</v>
      </c>
      <c r="AB874">
        <v>11</v>
      </c>
      <c r="AC874">
        <v>0</v>
      </c>
    </row>
    <row r="875" spans="1:29" x14ac:dyDescent="0.3">
      <c r="A875">
        <v>738</v>
      </c>
      <c r="B875">
        <v>1981</v>
      </c>
      <c r="C875" t="s">
        <v>37</v>
      </c>
      <c r="D875" t="s">
        <v>30</v>
      </c>
      <c r="E875">
        <v>42395</v>
      </c>
      <c r="F875">
        <v>1</v>
      </c>
      <c r="G875">
        <v>1</v>
      </c>
      <c r="H875" s="1">
        <v>41733</v>
      </c>
      <c r="I875">
        <v>35</v>
      </c>
      <c r="J875">
        <v>48</v>
      </c>
      <c r="K875">
        <v>13</v>
      </c>
      <c r="L875">
        <v>57</v>
      </c>
      <c r="M875">
        <v>24</v>
      </c>
      <c r="N875">
        <v>15</v>
      </c>
      <c r="O875">
        <v>25</v>
      </c>
      <c r="P875">
        <v>4</v>
      </c>
      <c r="Q875">
        <v>3</v>
      </c>
      <c r="R875">
        <v>1</v>
      </c>
      <c r="S875">
        <v>4</v>
      </c>
      <c r="T875">
        <v>7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3</v>
      </c>
      <c r="AB875">
        <v>11</v>
      </c>
      <c r="AC875">
        <v>0</v>
      </c>
    </row>
    <row r="876" spans="1:29" x14ac:dyDescent="0.3">
      <c r="A876">
        <v>7631</v>
      </c>
      <c r="B876">
        <v>1978</v>
      </c>
      <c r="C876" t="s">
        <v>34</v>
      </c>
      <c r="D876" t="s">
        <v>31</v>
      </c>
      <c r="E876">
        <v>61346</v>
      </c>
      <c r="F876">
        <v>1</v>
      </c>
      <c r="G876">
        <v>0</v>
      </c>
      <c r="H876" s="1">
        <v>41553</v>
      </c>
      <c r="I876">
        <v>34</v>
      </c>
      <c r="J876">
        <v>562</v>
      </c>
      <c r="K876">
        <v>58</v>
      </c>
      <c r="L876">
        <v>168</v>
      </c>
      <c r="M876">
        <v>43</v>
      </c>
      <c r="N876">
        <v>16</v>
      </c>
      <c r="O876">
        <v>142</v>
      </c>
      <c r="P876">
        <v>1</v>
      </c>
      <c r="Q876">
        <v>5</v>
      </c>
      <c r="R876">
        <v>7</v>
      </c>
      <c r="S876">
        <v>10</v>
      </c>
      <c r="T876">
        <v>3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3</v>
      </c>
      <c r="AB876">
        <v>11</v>
      </c>
      <c r="AC876">
        <v>0</v>
      </c>
    </row>
    <row r="877" spans="1:29" x14ac:dyDescent="0.3">
      <c r="A877">
        <v>4789</v>
      </c>
      <c r="B877">
        <v>1953</v>
      </c>
      <c r="C877" t="s">
        <v>29</v>
      </c>
      <c r="D877" t="s">
        <v>31</v>
      </c>
      <c r="E877">
        <v>80812</v>
      </c>
      <c r="F877">
        <v>0</v>
      </c>
      <c r="G877">
        <v>0</v>
      </c>
      <c r="H877" s="1">
        <v>41534</v>
      </c>
      <c r="I877">
        <v>95</v>
      </c>
      <c r="J877">
        <v>769</v>
      </c>
      <c r="K877">
        <v>22</v>
      </c>
      <c r="L877">
        <v>500</v>
      </c>
      <c r="M877">
        <v>210</v>
      </c>
      <c r="N877">
        <v>143</v>
      </c>
      <c r="O877">
        <v>33</v>
      </c>
      <c r="P877">
        <v>1</v>
      </c>
      <c r="Q877">
        <v>4</v>
      </c>
      <c r="R877">
        <v>8</v>
      </c>
      <c r="S877">
        <v>5</v>
      </c>
      <c r="T877">
        <v>2</v>
      </c>
      <c r="U877">
        <v>1</v>
      </c>
      <c r="V877">
        <v>0</v>
      </c>
      <c r="W877">
        <v>1</v>
      </c>
      <c r="X877">
        <v>1</v>
      </c>
      <c r="Y877">
        <v>0</v>
      </c>
      <c r="Z877">
        <v>0</v>
      </c>
      <c r="AA877">
        <v>3</v>
      </c>
      <c r="AB877">
        <v>11</v>
      </c>
      <c r="AC877">
        <v>0</v>
      </c>
    </row>
    <row r="878" spans="1:29" x14ac:dyDescent="0.3">
      <c r="A878">
        <v>773</v>
      </c>
      <c r="B878">
        <v>1971</v>
      </c>
      <c r="C878" t="s">
        <v>34</v>
      </c>
      <c r="D878" t="s">
        <v>35</v>
      </c>
      <c r="E878">
        <v>42835</v>
      </c>
      <c r="F878">
        <v>1</v>
      </c>
      <c r="G878">
        <v>1</v>
      </c>
      <c r="H878" s="1">
        <v>41455</v>
      </c>
      <c r="I878">
        <v>64</v>
      </c>
      <c r="J878">
        <v>379</v>
      </c>
      <c r="K878">
        <v>4</v>
      </c>
      <c r="L878">
        <v>93</v>
      </c>
      <c r="M878">
        <v>12</v>
      </c>
      <c r="N878">
        <v>9</v>
      </c>
      <c r="O878">
        <v>98</v>
      </c>
      <c r="P878">
        <v>7</v>
      </c>
      <c r="Q878">
        <v>6</v>
      </c>
      <c r="R878">
        <v>6</v>
      </c>
      <c r="S878">
        <v>4</v>
      </c>
      <c r="T878">
        <v>6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3</v>
      </c>
      <c r="AB878">
        <v>11</v>
      </c>
      <c r="AC878">
        <v>0</v>
      </c>
    </row>
    <row r="879" spans="1:29" x14ac:dyDescent="0.3">
      <c r="A879">
        <v>10602</v>
      </c>
      <c r="B879">
        <v>1983</v>
      </c>
      <c r="C879" t="s">
        <v>29</v>
      </c>
      <c r="D879" t="s">
        <v>33</v>
      </c>
      <c r="E879">
        <v>39922</v>
      </c>
      <c r="F879">
        <v>1</v>
      </c>
      <c r="G879">
        <v>0</v>
      </c>
      <c r="H879" s="1">
        <v>41319</v>
      </c>
      <c r="I879">
        <v>30</v>
      </c>
      <c r="J879">
        <v>29</v>
      </c>
      <c r="K879">
        <v>12</v>
      </c>
      <c r="L879">
        <v>59</v>
      </c>
      <c r="M879">
        <v>19</v>
      </c>
      <c r="N879">
        <v>1</v>
      </c>
      <c r="O879">
        <v>36</v>
      </c>
      <c r="P879">
        <v>2</v>
      </c>
      <c r="Q879">
        <v>3</v>
      </c>
      <c r="R879">
        <v>0</v>
      </c>
      <c r="S879">
        <v>4</v>
      </c>
      <c r="T879">
        <v>8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3</v>
      </c>
      <c r="AB879">
        <v>11</v>
      </c>
      <c r="AC879">
        <v>0</v>
      </c>
    </row>
    <row r="880" spans="1:29" x14ac:dyDescent="0.3">
      <c r="A880">
        <v>1446</v>
      </c>
      <c r="B880">
        <v>1956</v>
      </c>
      <c r="C880" t="s">
        <v>34</v>
      </c>
      <c r="D880" t="s">
        <v>30</v>
      </c>
      <c r="E880">
        <v>86424</v>
      </c>
      <c r="F880">
        <v>0</v>
      </c>
      <c r="G880">
        <v>0</v>
      </c>
      <c r="H880" s="1">
        <v>41734</v>
      </c>
      <c r="I880">
        <v>12</v>
      </c>
      <c r="J880">
        <v>387</v>
      </c>
      <c r="K880">
        <v>68</v>
      </c>
      <c r="L880">
        <v>569</v>
      </c>
      <c r="M880">
        <v>89</v>
      </c>
      <c r="N880">
        <v>45</v>
      </c>
      <c r="O880">
        <v>68</v>
      </c>
      <c r="P880">
        <v>1</v>
      </c>
      <c r="Q880">
        <v>6</v>
      </c>
      <c r="R880">
        <v>9</v>
      </c>
      <c r="S880">
        <v>12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3</v>
      </c>
      <c r="AB880">
        <v>11</v>
      </c>
      <c r="AC880">
        <v>0</v>
      </c>
    </row>
    <row r="881" spans="1:29" x14ac:dyDescent="0.3">
      <c r="A881">
        <v>3270</v>
      </c>
      <c r="B881">
        <v>1978</v>
      </c>
      <c r="C881" t="s">
        <v>37</v>
      </c>
      <c r="D881" t="s">
        <v>31</v>
      </c>
      <c r="E881">
        <v>17117</v>
      </c>
      <c r="F881">
        <v>1</v>
      </c>
      <c r="G881">
        <v>0</v>
      </c>
      <c r="H881" s="1">
        <v>41291</v>
      </c>
      <c r="I881">
        <v>96</v>
      </c>
      <c r="J881">
        <v>12</v>
      </c>
      <c r="K881">
        <v>23</v>
      </c>
      <c r="L881">
        <v>38</v>
      </c>
      <c r="M881">
        <v>30</v>
      </c>
      <c r="N881">
        <v>18</v>
      </c>
      <c r="O881">
        <v>7</v>
      </c>
      <c r="P881">
        <v>4</v>
      </c>
      <c r="Q881">
        <v>3</v>
      </c>
      <c r="R881">
        <v>1</v>
      </c>
      <c r="S881">
        <v>3</v>
      </c>
      <c r="T881">
        <v>9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3</v>
      </c>
      <c r="AB881">
        <v>11</v>
      </c>
      <c r="AC881">
        <v>0</v>
      </c>
    </row>
    <row r="882" spans="1:29" x14ac:dyDescent="0.3">
      <c r="A882">
        <v>8443</v>
      </c>
      <c r="B882">
        <v>1972</v>
      </c>
      <c r="C882" t="s">
        <v>29</v>
      </c>
      <c r="D882" t="s">
        <v>30</v>
      </c>
      <c r="E882">
        <v>24762</v>
      </c>
      <c r="F882">
        <v>1</v>
      </c>
      <c r="G882">
        <v>0</v>
      </c>
      <c r="H882" s="1">
        <v>41680</v>
      </c>
      <c r="I882">
        <v>16</v>
      </c>
      <c r="J882">
        <v>6</v>
      </c>
      <c r="K882">
        <v>10</v>
      </c>
      <c r="L882">
        <v>12</v>
      </c>
      <c r="M882">
        <v>3</v>
      </c>
      <c r="N882">
        <v>15</v>
      </c>
      <c r="O882">
        <v>40</v>
      </c>
      <c r="P882">
        <v>3</v>
      </c>
      <c r="Q882">
        <v>3</v>
      </c>
      <c r="R882">
        <v>1</v>
      </c>
      <c r="S882">
        <v>2</v>
      </c>
      <c r="T882">
        <v>8</v>
      </c>
      <c r="U882">
        <v>1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3</v>
      </c>
      <c r="AB882">
        <v>11</v>
      </c>
      <c r="AC882">
        <v>1</v>
      </c>
    </row>
    <row r="883" spans="1:29" x14ac:dyDescent="0.3">
      <c r="A883">
        <v>9653</v>
      </c>
      <c r="B883">
        <v>1975</v>
      </c>
      <c r="C883" t="s">
        <v>29</v>
      </c>
      <c r="D883" t="s">
        <v>33</v>
      </c>
      <c r="E883">
        <v>35797</v>
      </c>
      <c r="F883">
        <v>0</v>
      </c>
      <c r="G883">
        <v>1</v>
      </c>
      <c r="H883" s="1">
        <v>41198</v>
      </c>
      <c r="I883">
        <v>16</v>
      </c>
      <c r="J883">
        <v>27</v>
      </c>
      <c r="K883">
        <v>1</v>
      </c>
      <c r="L883">
        <v>14</v>
      </c>
      <c r="M883">
        <v>4</v>
      </c>
      <c r="N883">
        <v>1</v>
      </c>
      <c r="O883">
        <v>21</v>
      </c>
      <c r="P883">
        <v>2</v>
      </c>
      <c r="Q883">
        <v>2</v>
      </c>
      <c r="R883">
        <v>0</v>
      </c>
      <c r="S883">
        <v>3</v>
      </c>
      <c r="T883">
        <v>8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3</v>
      </c>
      <c r="AB883">
        <v>11</v>
      </c>
      <c r="AC883">
        <v>0</v>
      </c>
    </row>
    <row r="884" spans="1:29" x14ac:dyDescent="0.3">
      <c r="A884">
        <v>8916</v>
      </c>
      <c r="B884">
        <v>1975</v>
      </c>
      <c r="C884" t="s">
        <v>29</v>
      </c>
      <c r="D884" t="s">
        <v>35</v>
      </c>
      <c r="E884">
        <v>36627</v>
      </c>
      <c r="F884">
        <v>2</v>
      </c>
      <c r="G884">
        <v>0</v>
      </c>
      <c r="H884" s="1">
        <v>41478</v>
      </c>
      <c r="I884">
        <v>78</v>
      </c>
      <c r="J884">
        <v>9</v>
      </c>
      <c r="K884">
        <v>1</v>
      </c>
      <c r="L884">
        <v>5</v>
      </c>
      <c r="M884">
        <v>0</v>
      </c>
      <c r="N884">
        <v>0</v>
      </c>
      <c r="O884">
        <v>1</v>
      </c>
      <c r="P884">
        <v>1</v>
      </c>
      <c r="Q884">
        <v>0</v>
      </c>
      <c r="R884">
        <v>0</v>
      </c>
      <c r="S884">
        <v>3</v>
      </c>
      <c r="T884">
        <v>5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3</v>
      </c>
      <c r="AB884">
        <v>11</v>
      </c>
      <c r="AC884">
        <v>0</v>
      </c>
    </row>
    <row r="885" spans="1:29" x14ac:dyDescent="0.3">
      <c r="A885">
        <v>8017</v>
      </c>
      <c r="B885">
        <v>1981</v>
      </c>
      <c r="C885" t="s">
        <v>37</v>
      </c>
      <c r="D885" t="s">
        <v>33</v>
      </c>
      <c r="E885">
        <v>51111</v>
      </c>
      <c r="F885">
        <v>1</v>
      </c>
      <c r="G885">
        <v>1</v>
      </c>
      <c r="H885" s="1">
        <v>41809</v>
      </c>
      <c r="I885">
        <v>83</v>
      </c>
      <c r="J885">
        <v>22</v>
      </c>
      <c r="K885">
        <v>0</v>
      </c>
      <c r="L885">
        <v>19</v>
      </c>
      <c r="M885">
        <v>6</v>
      </c>
      <c r="N885">
        <v>5</v>
      </c>
      <c r="O885">
        <v>3</v>
      </c>
      <c r="P885">
        <v>2</v>
      </c>
      <c r="Q885">
        <v>2</v>
      </c>
      <c r="R885">
        <v>0</v>
      </c>
      <c r="S885">
        <v>3</v>
      </c>
      <c r="T885">
        <v>6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3</v>
      </c>
      <c r="AB885">
        <v>11</v>
      </c>
      <c r="AC885">
        <v>0</v>
      </c>
    </row>
    <row r="886" spans="1:29" x14ac:dyDescent="0.3">
      <c r="A886">
        <v>5830</v>
      </c>
      <c r="B886">
        <v>1972</v>
      </c>
      <c r="C886" t="s">
        <v>32</v>
      </c>
      <c r="D886" t="s">
        <v>30</v>
      </c>
      <c r="E886">
        <v>86857</v>
      </c>
      <c r="F886">
        <v>0</v>
      </c>
      <c r="G886">
        <v>0</v>
      </c>
      <c r="H886" s="1">
        <v>41164</v>
      </c>
      <c r="I886">
        <v>96</v>
      </c>
      <c r="J886">
        <v>899</v>
      </c>
      <c r="K886">
        <v>102</v>
      </c>
      <c r="L886">
        <v>838</v>
      </c>
      <c r="M886">
        <v>133</v>
      </c>
      <c r="N886">
        <v>102</v>
      </c>
      <c r="O886">
        <v>40</v>
      </c>
      <c r="P886">
        <v>1</v>
      </c>
      <c r="Q886">
        <v>5</v>
      </c>
      <c r="R886">
        <v>6</v>
      </c>
      <c r="S886">
        <v>10</v>
      </c>
      <c r="T886">
        <v>2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3</v>
      </c>
      <c r="AB886">
        <v>11</v>
      </c>
      <c r="AC886">
        <v>1</v>
      </c>
    </row>
    <row r="887" spans="1:29" x14ac:dyDescent="0.3">
      <c r="A887">
        <v>4597</v>
      </c>
      <c r="B887">
        <v>1970</v>
      </c>
      <c r="C887" t="s">
        <v>32</v>
      </c>
      <c r="D887" t="s">
        <v>31</v>
      </c>
      <c r="E887">
        <v>82072</v>
      </c>
      <c r="F887">
        <v>0</v>
      </c>
      <c r="G887">
        <v>0</v>
      </c>
      <c r="H887" s="1">
        <v>41457</v>
      </c>
      <c r="I887">
        <v>67</v>
      </c>
      <c r="J887">
        <v>889</v>
      </c>
      <c r="K887">
        <v>55</v>
      </c>
      <c r="L887">
        <v>685</v>
      </c>
      <c r="M887">
        <v>168</v>
      </c>
      <c r="N887">
        <v>92</v>
      </c>
      <c r="O887">
        <v>129</v>
      </c>
      <c r="P887">
        <v>1</v>
      </c>
      <c r="Q887">
        <v>3</v>
      </c>
      <c r="R887">
        <v>2</v>
      </c>
      <c r="S887">
        <v>13</v>
      </c>
      <c r="T887">
        <v>1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3</v>
      </c>
      <c r="AB887">
        <v>11</v>
      </c>
      <c r="AC887">
        <v>0</v>
      </c>
    </row>
    <row r="888" spans="1:29" x14ac:dyDescent="0.3">
      <c r="A888">
        <v>7023</v>
      </c>
      <c r="B888">
        <v>1953</v>
      </c>
      <c r="C888" t="s">
        <v>32</v>
      </c>
      <c r="D888" t="s">
        <v>30</v>
      </c>
      <c r="E888">
        <v>46231</v>
      </c>
      <c r="F888">
        <v>2</v>
      </c>
      <c r="G888">
        <v>1</v>
      </c>
      <c r="H888" s="1">
        <v>41239</v>
      </c>
      <c r="I888">
        <v>87</v>
      </c>
      <c r="J888">
        <v>189</v>
      </c>
      <c r="K888">
        <v>2</v>
      </c>
      <c r="L888">
        <v>55</v>
      </c>
      <c r="M888">
        <v>0</v>
      </c>
      <c r="N888">
        <v>5</v>
      </c>
      <c r="O888">
        <v>12</v>
      </c>
      <c r="P888">
        <v>4</v>
      </c>
      <c r="Q888">
        <v>6</v>
      </c>
      <c r="R888">
        <v>1</v>
      </c>
      <c r="S888">
        <v>4</v>
      </c>
      <c r="T888">
        <v>9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3</v>
      </c>
      <c r="AB888">
        <v>11</v>
      </c>
      <c r="AC888">
        <v>0</v>
      </c>
    </row>
    <row r="889" spans="1:29" x14ac:dyDescent="0.3">
      <c r="A889">
        <v>8086</v>
      </c>
      <c r="B889">
        <v>1959</v>
      </c>
      <c r="C889" t="s">
        <v>29</v>
      </c>
      <c r="D889" t="s">
        <v>33</v>
      </c>
      <c r="E889">
        <v>42243</v>
      </c>
      <c r="F889">
        <v>1</v>
      </c>
      <c r="G889">
        <v>1</v>
      </c>
      <c r="H889" s="1">
        <v>41619</v>
      </c>
      <c r="I889">
        <v>34</v>
      </c>
      <c r="J889">
        <v>48</v>
      </c>
      <c r="K889">
        <v>0</v>
      </c>
      <c r="L889">
        <v>2</v>
      </c>
      <c r="M889">
        <v>0</v>
      </c>
      <c r="N889">
        <v>0</v>
      </c>
      <c r="O889">
        <v>5</v>
      </c>
      <c r="P889">
        <v>2</v>
      </c>
      <c r="Q889">
        <v>2</v>
      </c>
      <c r="R889">
        <v>0</v>
      </c>
      <c r="S889">
        <v>3</v>
      </c>
      <c r="T889">
        <v>7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3</v>
      </c>
      <c r="AB889">
        <v>11</v>
      </c>
      <c r="AC889">
        <v>0</v>
      </c>
    </row>
    <row r="890" spans="1:29" x14ac:dyDescent="0.3">
      <c r="A890">
        <v>8825</v>
      </c>
      <c r="B890">
        <v>1962</v>
      </c>
      <c r="C890" t="s">
        <v>29</v>
      </c>
      <c r="D890" t="s">
        <v>31</v>
      </c>
      <c r="E890">
        <v>51195</v>
      </c>
      <c r="F890">
        <v>1</v>
      </c>
      <c r="G890">
        <v>1</v>
      </c>
      <c r="H890" s="1">
        <v>41365</v>
      </c>
      <c r="I890">
        <v>46</v>
      </c>
      <c r="J890">
        <v>230</v>
      </c>
      <c r="K890">
        <v>14</v>
      </c>
      <c r="L890">
        <v>156</v>
      </c>
      <c r="M890">
        <v>82</v>
      </c>
      <c r="N890">
        <v>24</v>
      </c>
      <c r="O890">
        <v>58</v>
      </c>
      <c r="P890">
        <v>8</v>
      </c>
      <c r="Q890">
        <v>9</v>
      </c>
      <c r="R890">
        <v>2</v>
      </c>
      <c r="S890">
        <v>5</v>
      </c>
      <c r="T890">
        <v>8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3</v>
      </c>
      <c r="AB890">
        <v>11</v>
      </c>
      <c r="AC890">
        <v>0</v>
      </c>
    </row>
    <row r="891" spans="1:29" x14ac:dyDescent="0.3">
      <c r="A891">
        <v>2930</v>
      </c>
      <c r="B891">
        <v>1978</v>
      </c>
      <c r="C891" t="s">
        <v>34</v>
      </c>
      <c r="D891" t="s">
        <v>30</v>
      </c>
      <c r="E891">
        <v>68092</v>
      </c>
      <c r="F891">
        <v>0</v>
      </c>
      <c r="G891">
        <v>0</v>
      </c>
      <c r="H891" s="1">
        <v>41624</v>
      </c>
      <c r="I891">
        <v>7</v>
      </c>
      <c r="J891">
        <v>852</v>
      </c>
      <c r="K891">
        <v>60</v>
      </c>
      <c r="L891">
        <v>207</v>
      </c>
      <c r="M891">
        <v>78</v>
      </c>
      <c r="N891">
        <v>36</v>
      </c>
      <c r="O891">
        <v>48</v>
      </c>
      <c r="P891">
        <v>2</v>
      </c>
      <c r="Q891">
        <v>2</v>
      </c>
      <c r="R891">
        <v>6</v>
      </c>
      <c r="S891">
        <v>10</v>
      </c>
      <c r="T891">
        <v>5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3</v>
      </c>
      <c r="AB891">
        <v>11</v>
      </c>
      <c r="AC891">
        <v>0</v>
      </c>
    </row>
    <row r="892" spans="1:29" x14ac:dyDescent="0.3">
      <c r="A892">
        <v>1928</v>
      </c>
      <c r="B892">
        <v>1973</v>
      </c>
      <c r="C892" t="s">
        <v>29</v>
      </c>
      <c r="D892" t="s">
        <v>33</v>
      </c>
      <c r="E892">
        <v>31814</v>
      </c>
      <c r="F892">
        <v>1</v>
      </c>
      <c r="G892">
        <v>0</v>
      </c>
      <c r="H892" s="1">
        <v>41314</v>
      </c>
      <c r="I892">
        <v>73</v>
      </c>
      <c r="J892">
        <v>35</v>
      </c>
      <c r="K892">
        <v>3</v>
      </c>
      <c r="L892">
        <v>20</v>
      </c>
      <c r="M892">
        <v>4</v>
      </c>
      <c r="N892">
        <v>1</v>
      </c>
      <c r="O892">
        <v>20</v>
      </c>
      <c r="P892">
        <v>2</v>
      </c>
      <c r="Q892">
        <v>2</v>
      </c>
      <c r="R892">
        <v>0</v>
      </c>
      <c r="S892">
        <v>3</v>
      </c>
      <c r="T892">
        <v>9</v>
      </c>
      <c r="U892">
        <v>1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3</v>
      </c>
      <c r="AB892">
        <v>11</v>
      </c>
      <c r="AC892">
        <v>0</v>
      </c>
    </row>
    <row r="893" spans="1:29" x14ac:dyDescent="0.3">
      <c r="A893">
        <v>7108</v>
      </c>
      <c r="B893">
        <v>1965</v>
      </c>
      <c r="C893" t="s">
        <v>34</v>
      </c>
      <c r="D893" t="s">
        <v>38</v>
      </c>
      <c r="E893">
        <v>51390</v>
      </c>
      <c r="F893">
        <v>1</v>
      </c>
      <c r="G893">
        <v>1</v>
      </c>
      <c r="H893" s="1">
        <v>41160</v>
      </c>
      <c r="I893">
        <v>54</v>
      </c>
      <c r="J893">
        <v>205</v>
      </c>
      <c r="K893">
        <v>20</v>
      </c>
      <c r="L893">
        <v>47</v>
      </c>
      <c r="M893">
        <v>23</v>
      </c>
      <c r="N893">
        <v>2</v>
      </c>
      <c r="O893">
        <v>56</v>
      </c>
      <c r="P893">
        <v>6</v>
      </c>
      <c r="Q893">
        <v>5</v>
      </c>
      <c r="R893">
        <v>2</v>
      </c>
      <c r="S893">
        <v>5</v>
      </c>
      <c r="T893">
        <v>5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3</v>
      </c>
      <c r="AB893">
        <v>11</v>
      </c>
      <c r="AC893">
        <v>0</v>
      </c>
    </row>
    <row r="894" spans="1:29" x14ac:dyDescent="0.3">
      <c r="A894">
        <v>10925</v>
      </c>
      <c r="B894">
        <v>1983</v>
      </c>
      <c r="C894" t="s">
        <v>29</v>
      </c>
      <c r="D894" t="s">
        <v>33</v>
      </c>
      <c r="E894">
        <v>76630</v>
      </c>
      <c r="F894">
        <v>0</v>
      </c>
      <c r="G894">
        <v>0</v>
      </c>
      <c r="H894" s="1">
        <v>41653</v>
      </c>
      <c r="I894">
        <v>93</v>
      </c>
      <c r="J894">
        <v>255</v>
      </c>
      <c r="K894">
        <v>31</v>
      </c>
      <c r="L894">
        <v>446</v>
      </c>
      <c r="M894">
        <v>40</v>
      </c>
      <c r="N894">
        <v>56</v>
      </c>
      <c r="O894">
        <v>175</v>
      </c>
      <c r="P894">
        <v>1</v>
      </c>
      <c r="Q894">
        <v>3</v>
      </c>
      <c r="R894">
        <v>10</v>
      </c>
      <c r="S894">
        <v>11</v>
      </c>
      <c r="T894">
        <v>1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3</v>
      </c>
      <c r="AB894">
        <v>11</v>
      </c>
      <c r="AC894">
        <v>0</v>
      </c>
    </row>
    <row r="895" spans="1:29" x14ac:dyDescent="0.3">
      <c r="A895">
        <v>9960</v>
      </c>
      <c r="B895">
        <v>1991</v>
      </c>
      <c r="C895" t="s">
        <v>36</v>
      </c>
      <c r="D895" t="s">
        <v>30</v>
      </c>
      <c r="E895">
        <v>26868</v>
      </c>
      <c r="F895">
        <v>1</v>
      </c>
      <c r="G895">
        <v>0</v>
      </c>
      <c r="H895" s="1">
        <v>41759</v>
      </c>
      <c r="I895">
        <v>52</v>
      </c>
      <c r="J895">
        <v>0</v>
      </c>
      <c r="K895">
        <v>0</v>
      </c>
      <c r="L895">
        <v>1</v>
      </c>
      <c r="M895">
        <v>8</v>
      </c>
      <c r="N895">
        <v>3</v>
      </c>
      <c r="O895">
        <v>2</v>
      </c>
      <c r="P895">
        <v>1</v>
      </c>
      <c r="Q895">
        <v>1</v>
      </c>
      <c r="R895">
        <v>0</v>
      </c>
      <c r="S895">
        <v>2</v>
      </c>
      <c r="T895">
        <v>7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3</v>
      </c>
      <c r="AB895">
        <v>11</v>
      </c>
      <c r="AC895">
        <v>0</v>
      </c>
    </row>
    <row r="896" spans="1:29" x14ac:dyDescent="0.3">
      <c r="A896">
        <v>8800</v>
      </c>
      <c r="B896">
        <v>1943</v>
      </c>
      <c r="C896" t="s">
        <v>32</v>
      </c>
      <c r="D896" t="s">
        <v>35</v>
      </c>
      <c r="E896">
        <v>48948</v>
      </c>
      <c r="F896">
        <v>0</v>
      </c>
      <c r="G896">
        <v>0</v>
      </c>
      <c r="H896" s="1">
        <v>41306</v>
      </c>
      <c r="I896">
        <v>53</v>
      </c>
      <c r="J896">
        <v>437</v>
      </c>
      <c r="K896">
        <v>8</v>
      </c>
      <c r="L896">
        <v>206</v>
      </c>
      <c r="M896">
        <v>160</v>
      </c>
      <c r="N896">
        <v>49</v>
      </c>
      <c r="O896">
        <v>42</v>
      </c>
      <c r="P896">
        <v>2</v>
      </c>
      <c r="Q896">
        <v>7</v>
      </c>
      <c r="R896">
        <v>10</v>
      </c>
      <c r="S896">
        <v>5</v>
      </c>
      <c r="T896">
        <v>6</v>
      </c>
      <c r="U896">
        <v>1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3</v>
      </c>
      <c r="AB896">
        <v>11</v>
      </c>
      <c r="AC896">
        <v>1</v>
      </c>
    </row>
    <row r="897" spans="1:29" x14ac:dyDescent="0.3">
      <c r="A897">
        <v>9224</v>
      </c>
      <c r="B897">
        <v>1972</v>
      </c>
      <c r="C897" t="s">
        <v>32</v>
      </c>
      <c r="D897" t="s">
        <v>30</v>
      </c>
      <c r="E897">
        <v>55260</v>
      </c>
      <c r="F897">
        <v>0</v>
      </c>
      <c r="G897">
        <v>1</v>
      </c>
      <c r="H897" s="1">
        <v>41255</v>
      </c>
      <c r="I897">
        <v>81</v>
      </c>
      <c r="J897">
        <v>825</v>
      </c>
      <c r="K897">
        <v>8</v>
      </c>
      <c r="L897">
        <v>53</v>
      </c>
      <c r="M897">
        <v>11</v>
      </c>
      <c r="N897">
        <v>0</v>
      </c>
      <c r="O897">
        <v>242</v>
      </c>
      <c r="P897">
        <v>2</v>
      </c>
      <c r="Q897">
        <v>8</v>
      </c>
      <c r="R897">
        <v>10</v>
      </c>
      <c r="S897">
        <v>5</v>
      </c>
      <c r="T897">
        <v>6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3</v>
      </c>
      <c r="AB897">
        <v>11</v>
      </c>
      <c r="AC897">
        <v>0</v>
      </c>
    </row>
    <row r="898" spans="1:29" x14ac:dyDescent="0.3">
      <c r="A898">
        <v>5519</v>
      </c>
      <c r="B898">
        <v>1956</v>
      </c>
      <c r="C898" t="s">
        <v>29</v>
      </c>
      <c r="D898" t="s">
        <v>31</v>
      </c>
      <c r="E898">
        <v>64090</v>
      </c>
      <c r="F898">
        <v>0</v>
      </c>
      <c r="G898">
        <v>1</v>
      </c>
      <c r="H898" s="1">
        <v>41493</v>
      </c>
      <c r="I898">
        <v>8</v>
      </c>
      <c r="J898">
        <v>316</v>
      </c>
      <c r="K898">
        <v>58</v>
      </c>
      <c r="L898">
        <v>161</v>
      </c>
      <c r="M898">
        <v>76</v>
      </c>
      <c r="N898">
        <v>51</v>
      </c>
      <c r="O898">
        <v>135</v>
      </c>
      <c r="P898">
        <v>1</v>
      </c>
      <c r="Q898">
        <v>6</v>
      </c>
      <c r="R898">
        <v>9</v>
      </c>
      <c r="S898">
        <v>4</v>
      </c>
      <c r="T898">
        <v>5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3</v>
      </c>
      <c r="AB898">
        <v>11</v>
      </c>
      <c r="AC898">
        <v>1</v>
      </c>
    </row>
    <row r="899" spans="1:29" x14ac:dyDescent="0.3">
      <c r="A899">
        <v>5046</v>
      </c>
      <c r="B899">
        <v>1958</v>
      </c>
      <c r="C899" t="s">
        <v>29</v>
      </c>
      <c r="D899" t="s">
        <v>35</v>
      </c>
      <c r="E899">
        <v>78331</v>
      </c>
      <c r="F899">
        <v>0</v>
      </c>
      <c r="G899">
        <v>1</v>
      </c>
      <c r="H899" s="1">
        <v>41662</v>
      </c>
      <c r="I899">
        <v>97</v>
      </c>
      <c r="J899">
        <v>756</v>
      </c>
      <c r="K899">
        <v>138</v>
      </c>
      <c r="L899">
        <v>354</v>
      </c>
      <c r="M899">
        <v>160</v>
      </c>
      <c r="N899">
        <v>169</v>
      </c>
      <c r="O899">
        <v>61</v>
      </c>
      <c r="P899">
        <v>2</v>
      </c>
      <c r="Q899">
        <v>10</v>
      </c>
      <c r="R899">
        <v>6</v>
      </c>
      <c r="S899">
        <v>7</v>
      </c>
      <c r="T899">
        <v>4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3</v>
      </c>
      <c r="AB899">
        <v>11</v>
      </c>
      <c r="AC899">
        <v>0</v>
      </c>
    </row>
    <row r="900" spans="1:29" x14ac:dyDescent="0.3">
      <c r="A900">
        <v>7037</v>
      </c>
      <c r="B900">
        <v>1974</v>
      </c>
      <c r="C900" t="s">
        <v>32</v>
      </c>
      <c r="D900" t="s">
        <v>33</v>
      </c>
      <c r="E900">
        <v>37087</v>
      </c>
      <c r="F900">
        <v>1</v>
      </c>
      <c r="G900">
        <v>0</v>
      </c>
      <c r="H900" s="1">
        <v>41497</v>
      </c>
      <c r="I900">
        <v>50</v>
      </c>
      <c r="J900">
        <v>194</v>
      </c>
      <c r="K900">
        <v>55</v>
      </c>
      <c r="L900">
        <v>134</v>
      </c>
      <c r="M900">
        <v>15</v>
      </c>
      <c r="N900">
        <v>0</v>
      </c>
      <c r="O900">
        <v>3</v>
      </c>
      <c r="P900">
        <v>3</v>
      </c>
      <c r="Q900">
        <v>4</v>
      </c>
      <c r="R900">
        <v>2</v>
      </c>
      <c r="S900">
        <v>8</v>
      </c>
      <c r="T900">
        <v>6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3</v>
      </c>
      <c r="AB900">
        <v>11</v>
      </c>
      <c r="AC900">
        <v>0</v>
      </c>
    </row>
    <row r="901" spans="1:29" x14ac:dyDescent="0.3">
      <c r="A901">
        <v>905</v>
      </c>
      <c r="B901">
        <v>1986</v>
      </c>
      <c r="C901" t="s">
        <v>29</v>
      </c>
      <c r="D901" t="s">
        <v>35</v>
      </c>
      <c r="E901">
        <v>21846</v>
      </c>
      <c r="F901">
        <v>1</v>
      </c>
      <c r="G901">
        <v>0</v>
      </c>
      <c r="H901" s="1">
        <v>41569</v>
      </c>
      <c r="I901">
        <v>38</v>
      </c>
      <c r="J901">
        <v>7</v>
      </c>
      <c r="K901">
        <v>17</v>
      </c>
      <c r="L901">
        <v>18</v>
      </c>
      <c r="M901">
        <v>6</v>
      </c>
      <c r="N901">
        <v>10</v>
      </c>
      <c r="O901">
        <v>26</v>
      </c>
      <c r="P901">
        <v>4</v>
      </c>
      <c r="Q901">
        <v>4</v>
      </c>
      <c r="R901">
        <v>0</v>
      </c>
      <c r="S901">
        <v>3</v>
      </c>
      <c r="T901">
        <v>8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3</v>
      </c>
      <c r="AB901">
        <v>11</v>
      </c>
      <c r="AC901">
        <v>0</v>
      </c>
    </row>
    <row r="902" spans="1:29" x14ac:dyDescent="0.3">
      <c r="A902">
        <v>8624</v>
      </c>
      <c r="B902">
        <v>1958</v>
      </c>
      <c r="C902" t="s">
        <v>29</v>
      </c>
      <c r="D902" t="s">
        <v>33</v>
      </c>
      <c r="E902">
        <v>81320</v>
      </c>
      <c r="F902">
        <v>0</v>
      </c>
      <c r="G902">
        <v>0</v>
      </c>
      <c r="H902" s="1">
        <v>41311</v>
      </c>
      <c r="I902">
        <v>61</v>
      </c>
      <c r="J902">
        <v>183</v>
      </c>
      <c r="K902">
        <v>33</v>
      </c>
      <c r="L902">
        <v>493</v>
      </c>
      <c r="M902">
        <v>59</v>
      </c>
      <c r="N902">
        <v>103</v>
      </c>
      <c r="O902">
        <v>57</v>
      </c>
      <c r="P902">
        <v>1</v>
      </c>
      <c r="Q902">
        <v>4</v>
      </c>
      <c r="R902">
        <v>3</v>
      </c>
      <c r="S902">
        <v>10</v>
      </c>
      <c r="T902">
        <v>2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3</v>
      </c>
      <c r="AB902">
        <v>11</v>
      </c>
      <c r="AC902">
        <v>0</v>
      </c>
    </row>
    <row r="903" spans="1:29" x14ac:dyDescent="0.3">
      <c r="A903">
        <v>8945</v>
      </c>
      <c r="B903">
        <v>1970</v>
      </c>
      <c r="C903" t="s">
        <v>29</v>
      </c>
      <c r="D903" t="s">
        <v>35</v>
      </c>
      <c r="E903">
        <v>54137</v>
      </c>
      <c r="F903">
        <v>0</v>
      </c>
      <c r="G903">
        <v>1</v>
      </c>
      <c r="H903" s="1">
        <v>41502</v>
      </c>
      <c r="I903">
        <v>46</v>
      </c>
      <c r="J903">
        <v>171</v>
      </c>
      <c r="K903">
        <v>0</v>
      </c>
      <c r="L903">
        <v>11</v>
      </c>
      <c r="M903">
        <v>0</v>
      </c>
      <c r="N903">
        <v>1</v>
      </c>
      <c r="O903">
        <v>20</v>
      </c>
      <c r="P903">
        <v>2</v>
      </c>
      <c r="Q903">
        <v>4</v>
      </c>
      <c r="R903">
        <v>1</v>
      </c>
      <c r="S903">
        <v>4</v>
      </c>
      <c r="T903">
        <v>6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3</v>
      </c>
      <c r="AB903">
        <v>11</v>
      </c>
      <c r="AC903">
        <v>0</v>
      </c>
    </row>
    <row r="904" spans="1:29" x14ac:dyDescent="0.3">
      <c r="A904">
        <v>6445</v>
      </c>
      <c r="B904">
        <v>1967</v>
      </c>
      <c r="C904" t="s">
        <v>29</v>
      </c>
      <c r="D904" t="s">
        <v>31</v>
      </c>
      <c r="E904">
        <v>66825</v>
      </c>
      <c r="F904">
        <v>0</v>
      </c>
      <c r="G904">
        <v>0</v>
      </c>
      <c r="H904" s="1">
        <v>41469</v>
      </c>
      <c r="I904">
        <v>73</v>
      </c>
      <c r="J904">
        <v>243</v>
      </c>
      <c r="K904">
        <v>101</v>
      </c>
      <c r="L904">
        <v>405</v>
      </c>
      <c r="M904">
        <v>29</v>
      </c>
      <c r="N904">
        <v>40</v>
      </c>
      <c r="O904">
        <v>40</v>
      </c>
      <c r="P904">
        <v>1</v>
      </c>
      <c r="Q904">
        <v>4</v>
      </c>
      <c r="R904">
        <v>5</v>
      </c>
      <c r="S904">
        <v>6</v>
      </c>
      <c r="T904">
        <v>2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3</v>
      </c>
      <c r="AB904">
        <v>11</v>
      </c>
      <c r="AC904">
        <v>0</v>
      </c>
    </row>
    <row r="905" spans="1:29" x14ac:dyDescent="0.3">
      <c r="A905">
        <v>2727</v>
      </c>
      <c r="B905">
        <v>1973</v>
      </c>
      <c r="C905" t="s">
        <v>29</v>
      </c>
      <c r="D905" t="s">
        <v>31</v>
      </c>
      <c r="E905">
        <v>57100</v>
      </c>
      <c r="F905">
        <v>0</v>
      </c>
      <c r="G905">
        <v>0</v>
      </c>
      <c r="H905" s="1">
        <v>41612</v>
      </c>
      <c r="I905">
        <v>19</v>
      </c>
      <c r="J905">
        <v>181</v>
      </c>
      <c r="K905">
        <v>21</v>
      </c>
      <c r="L905">
        <v>69</v>
      </c>
      <c r="M905">
        <v>39</v>
      </c>
      <c r="N905">
        <v>3</v>
      </c>
      <c r="O905">
        <v>96</v>
      </c>
      <c r="P905">
        <v>1</v>
      </c>
      <c r="Q905">
        <v>3</v>
      </c>
      <c r="R905">
        <v>3</v>
      </c>
      <c r="S905">
        <v>6</v>
      </c>
      <c r="T905">
        <v>3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3</v>
      </c>
      <c r="AB905">
        <v>11</v>
      </c>
      <c r="AC905">
        <v>0</v>
      </c>
    </row>
    <row r="906" spans="1:29" x14ac:dyDescent="0.3">
      <c r="A906">
        <v>6404</v>
      </c>
      <c r="B906">
        <v>1969</v>
      </c>
      <c r="C906" t="s">
        <v>29</v>
      </c>
      <c r="D906" t="s">
        <v>31</v>
      </c>
      <c r="E906">
        <v>58917</v>
      </c>
      <c r="F906">
        <v>1</v>
      </c>
      <c r="G906">
        <v>2</v>
      </c>
      <c r="H906" s="1">
        <v>41357</v>
      </c>
      <c r="I906">
        <v>10</v>
      </c>
      <c r="J906">
        <v>151</v>
      </c>
      <c r="K906">
        <v>7</v>
      </c>
      <c r="L906">
        <v>89</v>
      </c>
      <c r="M906">
        <v>0</v>
      </c>
      <c r="N906">
        <v>7</v>
      </c>
      <c r="O906">
        <v>28</v>
      </c>
      <c r="P906">
        <v>5</v>
      </c>
      <c r="Q906">
        <v>4</v>
      </c>
      <c r="R906">
        <v>1</v>
      </c>
      <c r="S906">
        <v>6</v>
      </c>
      <c r="T906">
        <v>5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3</v>
      </c>
      <c r="AB906">
        <v>11</v>
      </c>
      <c r="AC906">
        <v>0</v>
      </c>
    </row>
    <row r="907" spans="1:29" x14ac:dyDescent="0.3">
      <c r="A907">
        <v>11074</v>
      </c>
      <c r="B907">
        <v>1977</v>
      </c>
      <c r="C907" t="s">
        <v>29</v>
      </c>
      <c r="D907" t="s">
        <v>30</v>
      </c>
      <c r="E907">
        <v>85072</v>
      </c>
      <c r="F907">
        <v>0</v>
      </c>
      <c r="G907">
        <v>0</v>
      </c>
      <c r="H907" s="1">
        <v>41738</v>
      </c>
      <c r="I907">
        <v>94</v>
      </c>
      <c r="J907">
        <v>494</v>
      </c>
      <c r="K907">
        <v>92</v>
      </c>
      <c r="L907">
        <v>391</v>
      </c>
      <c r="M907">
        <v>194</v>
      </c>
      <c r="N907">
        <v>11</v>
      </c>
      <c r="O907">
        <v>241</v>
      </c>
      <c r="P907">
        <v>1</v>
      </c>
      <c r="Q907">
        <v>3</v>
      </c>
      <c r="R907">
        <v>4</v>
      </c>
      <c r="S907">
        <v>10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3</v>
      </c>
      <c r="AB907">
        <v>11</v>
      </c>
      <c r="AC907">
        <v>0</v>
      </c>
    </row>
    <row r="908" spans="1:29" x14ac:dyDescent="0.3">
      <c r="A908">
        <v>10150</v>
      </c>
      <c r="B908">
        <v>1961</v>
      </c>
      <c r="C908" t="s">
        <v>29</v>
      </c>
      <c r="D908" t="s">
        <v>30</v>
      </c>
      <c r="E908">
        <v>86429</v>
      </c>
      <c r="F908">
        <v>0</v>
      </c>
      <c r="G908">
        <v>0</v>
      </c>
      <c r="H908" s="1">
        <v>41599</v>
      </c>
      <c r="I908">
        <v>10</v>
      </c>
      <c r="J908">
        <v>464</v>
      </c>
      <c r="K908">
        <v>28</v>
      </c>
      <c r="L908">
        <v>873</v>
      </c>
      <c r="M908">
        <v>29</v>
      </c>
      <c r="N908">
        <v>18</v>
      </c>
      <c r="O908">
        <v>37</v>
      </c>
      <c r="P908">
        <v>0</v>
      </c>
      <c r="Q908">
        <v>7</v>
      </c>
      <c r="R908">
        <v>4</v>
      </c>
      <c r="S908">
        <v>7</v>
      </c>
      <c r="T908">
        <v>2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>
        <v>3</v>
      </c>
      <c r="AB908">
        <v>11</v>
      </c>
      <c r="AC908">
        <v>1</v>
      </c>
    </row>
    <row r="909" spans="1:29" x14ac:dyDescent="0.3">
      <c r="A909">
        <v>1968</v>
      </c>
      <c r="B909">
        <v>1971</v>
      </c>
      <c r="C909" t="s">
        <v>29</v>
      </c>
      <c r="D909" t="s">
        <v>38</v>
      </c>
      <c r="E909">
        <v>45684</v>
      </c>
      <c r="F909">
        <v>1</v>
      </c>
      <c r="G909">
        <v>0</v>
      </c>
      <c r="H909" s="1">
        <v>41610</v>
      </c>
      <c r="I909">
        <v>37</v>
      </c>
      <c r="J909">
        <v>5</v>
      </c>
      <c r="K909">
        <v>1</v>
      </c>
      <c r="L909">
        <v>5</v>
      </c>
      <c r="M909">
        <v>10</v>
      </c>
      <c r="N909">
        <v>0</v>
      </c>
      <c r="O909">
        <v>7</v>
      </c>
      <c r="P909">
        <v>1</v>
      </c>
      <c r="Q909">
        <v>1</v>
      </c>
      <c r="R909">
        <v>0</v>
      </c>
      <c r="S909">
        <v>2</v>
      </c>
      <c r="T909">
        <v>7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3</v>
      </c>
      <c r="AB909">
        <v>11</v>
      </c>
      <c r="AC909">
        <v>0</v>
      </c>
    </row>
    <row r="910" spans="1:29" x14ac:dyDescent="0.3">
      <c r="A910">
        <v>6534</v>
      </c>
      <c r="B910">
        <v>1974</v>
      </c>
      <c r="C910" t="s">
        <v>29</v>
      </c>
      <c r="D910" t="s">
        <v>31</v>
      </c>
      <c r="E910">
        <v>47889</v>
      </c>
      <c r="F910">
        <v>1</v>
      </c>
      <c r="G910">
        <v>0</v>
      </c>
      <c r="H910" s="1">
        <v>41643</v>
      </c>
      <c r="I910">
        <v>94</v>
      </c>
      <c r="J910">
        <v>29</v>
      </c>
      <c r="K910">
        <v>0</v>
      </c>
      <c r="L910">
        <v>29</v>
      </c>
      <c r="M910">
        <v>0</v>
      </c>
      <c r="N910">
        <v>5</v>
      </c>
      <c r="O910">
        <v>4</v>
      </c>
      <c r="P910">
        <v>1</v>
      </c>
      <c r="Q910">
        <v>2</v>
      </c>
      <c r="R910">
        <v>0</v>
      </c>
      <c r="S910">
        <v>3</v>
      </c>
      <c r="T910">
        <v>5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3</v>
      </c>
      <c r="AB910">
        <v>11</v>
      </c>
      <c r="AC910">
        <v>0</v>
      </c>
    </row>
    <row r="911" spans="1:29" x14ac:dyDescent="0.3">
      <c r="A911">
        <v>9485</v>
      </c>
      <c r="B911">
        <v>1986</v>
      </c>
      <c r="C911" t="s">
        <v>32</v>
      </c>
      <c r="D911" t="s">
        <v>33</v>
      </c>
      <c r="E911">
        <v>45921</v>
      </c>
      <c r="F911">
        <v>0</v>
      </c>
      <c r="G911">
        <v>0</v>
      </c>
      <c r="H911" s="1">
        <v>41708</v>
      </c>
      <c r="I911">
        <v>23</v>
      </c>
      <c r="J911">
        <v>102</v>
      </c>
      <c r="K911">
        <v>9</v>
      </c>
      <c r="L911">
        <v>49</v>
      </c>
      <c r="M911">
        <v>24</v>
      </c>
      <c r="N911">
        <v>3</v>
      </c>
      <c r="O911">
        <v>12</v>
      </c>
      <c r="P911">
        <v>1</v>
      </c>
      <c r="Q911">
        <v>2</v>
      </c>
      <c r="R911">
        <v>1</v>
      </c>
      <c r="S911">
        <v>6</v>
      </c>
      <c r="T911">
        <v>4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3</v>
      </c>
      <c r="AB911">
        <v>11</v>
      </c>
      <c r="AC911">
        <v>0</v>
      </c>
    </row>
    <row r="912" spans="1:29" x14ac:dyDescent="0.3">
      <c r="A912">
        <v>7053</v>
      </c>
      <c r="B912">
        <v>1966</v>
      </c>
      <c r="C912" t="s">
        <v>32</v>
      </c>
      <c r="D912" t="s">
        <v>30</v>
      </c>
      <c r="E912">
        <v>78420</v>
      </c>
      <c r="F912">
        <v>0</v>
      </c>
      <c r="G912">
        <v>0</v>
      </c>
      <c r="H912" s="1">
        <v>41454</v>
      </c>
      <c r="I912">
        <v>75</v>
      </c>
      <c r="J912">
        <v>604</v>
      </c>
      <c r="K912">
        <v>28</v>
      </c>
      <c r="L912">
        <v>674</v>
      </c>
      <c r="M912">
        <v>91</v>
      </c>
      <c r="N912">
        <v>28</v>
      </c>
      <c r="O912">
        <v>28</v>
      </c>
      <c r="P912">
        <v>1</v>
      </c>
      <c r="Q912">
        <v>3</v>
      </c>
      <c r="R912">
        <v>10</v>
      </c>
      <c r="S912">
        <v>8</v>
      </c>
      <c r="T912">
        <v>1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3</v>
      </c>
      <c r="AB912">
        <v>11</v>
      </c>
      <c r="AC912">
        <v>0</v>
      </c>
    </row>
    <row r="913" spans="1:29" x14ac:dyDescent="0.3">
      <c r="A913">
        <v>4654</v>
      </c>
      <c r="B913">
        <v>1992</v>
      </c>
      <c r="C913" t="s">
        <v>29</v>
      </c>
      <c r="D913" t="s">
        <v>31</v>
      </c>
      <c r="E913">
        <v>75114</v>
      </c>
      <c r="F913">
        <v>0</v>
      </c>
      <c r="G913">
        <v>0</v>
      </c>
      <c r="H913" s="1">
        <v>41585</v>
      </c>
      <c r="I913">
        <v>40</v>
      </c>
      <c r="J913">
        <v>571</v>
      </c>
      <c r="K913">
        <v>12</v>
      </c>
      <c r="L913">
        <v>523</v>
      </c>
      <c r="M913">
        <v>63</v>
      </c>
      <c r="N913">
        <v>60</v>
      </c>
      <c r="O913">
        <v>24</v>
      </c>
      <c r="P913">
        <v>1</v>
      </c>
      <c r="Q913">
        <v>3</v>
      </c>
      <c r="R913">
        <v>10</v>
      </c>
      <c r="S913">
        <v>5</v>
      </c>
      <c r="T913">
        <v>2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3</v>
      </c>
      <c r="AB913">
        <v>11</v>
      </c>
      <c r="AC913">
        <v>0</v>
      </c>
    </row>
    <row r="914" spans="1:29" x14ac:dyDescent="0.3">
      <c r="A914">
        <v>9760</v>
      </c>
      <c r="B914">
        <v>1963</v>
      </c>
      <c r="C914" t="s">
        <v>32</v>
      </c>
      <c r="D914" t="s">
        <v>38</v>
      </c>
      <c r="E914">
        <v>52278</v>
      </c>
      <c r="F914">
        <v>0</v>
      </c>
      <c r="G914">
        <v>1</v>
      </c>
      <c r="H914" s="1">
        <v>41299</v>
      </c>
      <c r="I914">
        <v>24</v>
      </c>
      <c r="J914">
        <v>953</v>
      </c>
      <c r="K914">
        <v>0</v>
      </c>
      <c r="L914">
        <v>71</v>
      </c>
      <c r="M914">
        <v>0</v>
      </c>
      <c r="N914">
        <v>0</v>
      </c>
      <c r="O914">
        <v>174</v>
      </c>
      <c r="P914">
        <v>6</v>
      </c>
      <c r="Q914">
        <v>10</v>
      </c>
      <c r="R914">
        <v>5</v>
      </c>
      <c r="S914">
        <v>10</v>
      </c>
      <c r="T914">
        <v>8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3</v>
      </c>
      <c r="AB914">
        <v>11</v>
      </c>
      <c r="AC914">
        <v>1</v>
      </c>
    </row>
    <row r="915" spans="1:29" x14ac:dyDescent="0.3">
      <c r="A915">
        <v>1048</v>
      </c>
      <c r="B915">
        <v>1972</v>
      </c>
      <c r="C915" t="s">
        <v>34</v>
      </c>
      <c r="D915" t="s">
        <v>33</v>
      </c>
      <c r="E915">
        <v>35641</v>
      </c>
      <c r="F915">
        <v>1</v>
      </c>
      <c r="G915">
        <v>0</v>
      </c>
      <c r="H915" s="1">
        <v>41469</v>
      </c>
      <c r="I915">
        <v>11</v>
      </c>
      <c r="J915">
        <v>63</v>
      </c>
      <c r="K915">
        <v>3</v>
      </c>
      <c r="L915">
        <v>67</v>
      </c>
      <c r="M915">
        <v>8</v>
      </c>
      <c r="N915">
        <v>9</v>
      </c>
      <c r="O915">
        <v>28</v>
      </c>
      <c r="P915">
        <v>2</v>
      </c>
      <c r="Q915">
        <v>3</v>
      </c>
      <c r="R915">
        <v>1</v>
      </c>
      <c r="S915">
        <v>4</v>
      </c>
      <c r="T915">
        <v>7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3</v>
      </c>
      <c r="AB915">
        <v>11</v>
      </c>
      <c r="AC915">
        <v>1</v>
      </c>
    </row>
    <row r="916" spans="1:29" x14ac:dyDescent="0.3">
      <c r="A916">
        <v>10619</v>
      </c>
      <c r="B916">
        <v>1994</v>
      </c>
      <c r="C916" t="s">
        <v>29</v>
      </c>
      <c r="D916" t="s">
        <v>30</v>
      </c>
      <c r="E916">
        <v>95529</v>
      </c>
      <c r="F916">
        <v>0</v>
      </c>
      <c r="G916">
        <v>0</v>
      </c>
      <c r="H916" s="1">
        <v>41246</v>
      </c>
      <c r="I916">
        <v>29</v>
      </c>
      <c r="J916">
        <v>770</v>
      </c>
      <c r="K916">
        <v>29</v>
      </c>
      <c r="L916">
        <v>890</v>
      </c>
      <c r="M916">
        <v>250</v>
      </c>
      <c r="N916">
        <v>27</v>
      </c>
      <c r="O916">
        <v>24</v>
      </c>
      <c r="P916">
        <v>1</v>
      </c>
      <c r="Q916">
        <v>7</v>
      </c>
      <c r="R916">
        <v>3</v>
      </c>
      <c r="S916">
        <v>7</v>
      </c>
      <c r="T916">
        <v>3</v>
      </c>
      <c r="U916">
        <v>0</v>
      </c>
      <c r="V916">
        <v>0</v>
      </c>
      <c r="W916">
        <v>1</v>
      </c>
      <c r="X916">
        <v>0</v>
      </c>
      <c r="Y916">
        <v>0</v>
      </c>
      <c r="Z916">
        <v>0</v>
      </c>
      <c r="AA916">
        <v>3</v>
      </c>
      <c r="AB916">
        <v>11</v>
      </c>
      <c r="AC916">
        <v>1</v>
      </c>
    </row>
    <row r="917" spans="1:29" x14ac:dyDescent="0.3">
      <c r="A917">
        <v>9308</v>
      </c>
      <c r="B917">
        <v>1954</v>
      </c>
      <c r="C917" t="s">
        <v>29</v>
      </c>
      <c r="D917" t="s">
        <v>33</v>
      </c>
      <c r="E917">
        <v>62820</v>
      </c>
      <c r="F917">
        <v>0</v>
      </c>
      <c r="G917">
        <v>0</v>
      </c>
      <c r="H917" s="1">
        <v>41405</v>
      </c>
      <c r="I917">
        <v>51</v>
      </c>
      <c r="J917">
        <v>398</v>
      </c>
      <c r="K917">
        <v>61</v>
      </c>
      <c r="L917">
        <v>265</v>
      </c>
      <c r="M917">
        <v>138</v>
      </c>
      <c r="N917">
        <v>61</v>
      </c>
      <c r="O917">
        <v>53</v>
      </c>
      <c r="P917">
        <v>1</v>
      </c>
      <c r="Q917">
        <v>3</v>
      </c>
      <c r="R917">
        <v>4</v>
      </c>
      <c r="S917">
        <v>6</v>
      </c>
      <c r="T917">
        <v>1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3</v>
      </c>
      <c r="AB917">
        <v>11</v>
      </c>
      <c r="AC917">
        <v>0</v>
      </c>
    </row>
    <row r="918" spans="1:29" x14ac:dyDescent="0.3">
      <c r="A918">
        <v>10505</v>
      </c>
      <c r="B918">
        <v>1960</v>
      </c>
      <c r="C918" t="s">
        <v>34</v>
      </c>
      <c r="D918" t="s">
        <v>31</v>
      </c>
      <c r="E918">
        <v>73113</v>
      </c>
      <c r="F918">
        <v>0</v>
      </c>
      <c r="G918">
        <v>0</v>
      </c>
      <c r="H918" s="1">
        <v>41634</v>
      </c>
      <c r="I918">
        <v>86</v>
      </c>
      <c r="J918">
        <v>741</v>
      </c>
      <c r="K918">
        <v>19</v>
      </c>
      <c r="L918">
        <v>154</v>
      </c>
      <c r="M918">
        <v>50</v>
      </c>
      <c r="N918">
        <v>9</v>
      </c>
      <c r="O918">
        <v>28</v>
      </c>
      <c r="P918">
        <v>1</v>
      </c>
      <c r="Q918">
        <v>3</v>
      </c>
      <c r="R918">
        <v>4</v>
      </c>
      <c r="S918">
        <v>7</v>
      </c>
      <c r="T918">
        <v>2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3</v>
      </c>
      <c r="AB918">
        <v>11</v>
      </c>
      <c r="AC918">
        <v>0</v>
      </c>
    </row>
    <row r="919" spans="1:29" x14ac:dyDescent="0.3">
      <c r="A919">
        <v>8362</v>
      </c>
      <c r="B919">
        <v>1982</v>
      </c>
      <c r="C919" t="s">
        <v>32</v>
      </c>
      <c r="D919" t="s">
        <v>33</v>
      </c>
      <c r="E919">
        <v>84169</v>
      </c>
      <c r="F919">
        <v>0</v>
      </c>
      <c r="G919">
        <v>0</v>
      </c>
      <c r="H919" s="1">
        <v>41493</v>
      </c>
      <c r="I919">
        <v>9</v>
      </c>
      <c r="J919">
        <v>1478</v>
      </c>
      <c r="K919">
        <v>19</v>
      </c>
      <c r="L919">
        <v>403</v>
      </c>
      <c r="M919">
        <v>0</v>
      </c>
      <c r="N919">
        <v>19</v>
      </c>
      <c r="O919">
        <v>0</v>
      </c>
      <c r="P919">
        <v>1</v>
      </c>
      <c r="Q919">
        <v>7</v>
      </c>
      <c r="R919">
        <v>6</v>
      </c>
      <c r="S919">
        <v>6</v>
      </c>
      <c r="T919">
        <v>3</v>
      </c>
      <c r="U919">
        <v>0</v>
      </c>
      <c r="V919">
        <v>1</v>
      </c>
      <c r="W919">
        <v>1</v>
      </c>
      <c r="X919">
        <v>0</v>
      </c>
      <c r="Y919">
        <v>0</v>
      </c>
      <c r="Z919">
        <v>0</v>
      </c>
      <c r="AA919">
        <v>3</v>
      </c>
      <c r="AB919">
        <v>11</v>
      </c>
      <c r="AC919">
        <v>1</v>
      </c>
    </row>
    <row r="920" spans="1:29" x14ac:dyDescent="0.3">
      <c r="A920">
        <v>2625</v>
      </c>
      <c r="B920">
        <v>1954</v>
      </c>
      <c r="C920" t="s">
        <v>37</v>
      </c>
      <c r="D920" t="s">
        <v>30</v>
      </c>
      <c r="E920">
        <v>42607</v>
      </c>
      <c r="F920">
        <v>0</v>
      </c>
      <c r="G920">
        <v>1</v>
      </c>
      <c r="H920" s="1">
        <v>41595</v>
      </c>
      <c r="I920">
        <v>30</v>
      </c>
      <c r="J920">
        <v>156</v>
      </c>
      <c r="K920">
        <v>29</v>
      </c>
      <c r="L920">
        <v>56</v>
      </c>
      <c r="M920">
        <v>30</v>
      </c>
      <c r="N920">
        <v>32</v>
      </c>
      <c r="O920">
        <v>47</v>
      </c>
      <c r="P920">
        <v>2</v>
      </c>
      <c r="Q920">
        <v>3</v>
      </c>
      <c r="R920">
        <v>2</v>
      </c>
      <c r="S920">
        <v>7</v>
      </c>
      <c r="T920">
        <v>3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3</v>
      </c>
      <c r="AB920">
        <v>11</v>
      </c>
      <c r="AC920">
        <v>0</v>
      </c>
    </row>
    <row r="921" spans="1:29" x14ac:dyDescent="0.3">
      <c r="A921">
        <v>4637</v>
      </c>
      <c r="B921">
        <v>1954</v>
      </c>
      <c r="C921" t="s">
        <v>32</v>
      </c>
      <c r="D921" t="s">
        <v>30</v>
      </c>
      <c r="E921">
        <v>74637</v>
      </c>
      <c r="F921">
        <v>0</v>
      </c>
      <c r="G921">
        <v>0</v>
      </c>
      <c r="H921" s="1">
        <v>41412</v>
      </c>
      <c r="I921">
        <v>73</v>
      </c>
      <c r="J921">
        <v>960</v>
      </c>
      <c r="K921">
        <v>64</v>
      </c>
      <c r="L921">
        <v>464</v>
      </c>
      <c r="M921">
        <v>146</v>
      </c>
      <c r="N921">
        <v>0</v>
      </c>
      <c r="O921">
        <v>16</v>
      </c>
      <c r="P921">
        <v>1</v>
      </c>
      <c r="Q921">
        <v>6</v>
      </c>
      <c r="R921">
        <v>9</v>
      </c>
      <c r="S921">
        <v>9</v>
      </c>
      <c r="T921">
        <v>3</v>
      </c>
      <c r="U921">
        <v>0</v>
      </c>
      <c r="V921">
        <v>0</v>
      </c>
      <c r="W921">
        <v>0</v>
      </c>
      <c r="X921">
        <v>1</v>
      </c>
      <c r="Y921">
        <v>0</v>
      </c>
      <c r="Z921">
        <v>0</v>
      </c>
      <c r="AA921">
        <v>3</v>
      </c>
      <c r="AB921">
        <v>11</v>
      </c>
      <c r="AC921">
        <v>0</v>
      </c>
    </row>
    <row r="922" spans="1:29" x14ac:dyDescent="0.3">
      <c r="A922">
        <v>9972</v>
      </c>
      <c r="B922">
        <v>1955</v>
      </c>
      <c r="C922" t="s">
        <v>32</v>
      </c>
      <c r="D922" t="s">
        <v>31</v>
      </c>
      <c r="E922">
        <v>46015</v>
      </c>
      <c r="F922">
        <v>1</v>
      </c>
      <c r="G922">
        <v>1</v>
      </c>
      <c r="H922" s="1">
        <v>41742</v>
      </c>
      <c r="I922">
        <v>25</v>
      </c>
      <c r="J922">
        <v>38</v>
      </c>
      <c r="K922">
        <v>0</v>
      </c>
      <c r="L922">
        <v>2</v>
      </c>
      <c r="M922">
        <v>0</v>
      </c>
      <c r="N922">
        <v>0</v>
      </c>
      <c r="O922">
        <v>6</v>
      </c>
      <c r="P922">
        <v>1</v>
      </c>
      <c r="Q922">
        <v>1</v>
      </c>
      <c r="R922">
        <v>0</v>
      </c>
      <c r="S922">
        <v>3</v>
      </c>
      <c r="T922">
        <v>7</v>
      </c>
      <c r="U922">
        <v>1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3</v>
      </c>
      <c r="AB922">
        <v>11</v>
      </c>
      <c r="AC922">
        <v>0</v>
      </c>
    </row>
    <row r="923" spans="1:29" x14ac:dyDescent="0.3">
      <c r="A923">
        <v>4483</v>
      </c>
      <c r="B923">
        <v>1993</v>
      </c>
      <c r="C923" t="s">
        <v>29</v>
      </c>
      <c r="D923" t="s">
        <v>30</v>
      </c>
      <c r="E923">
        <v>72354</v>
      </c>
      <c r="F923">
        <v>0</v>
      </c>
      <c r="G923">
        <v>0</v>
      </c>
      <c r="H923" s="1">
        <v>41381</v>
      </c>
      <c r="I923">
        <v>67</v>
      </c>
      <c r="J923">
        <v>315</v>
      </c>
      <c r="K923">
        <v>26</v>
      </c>
      <c r="L923">
        <v>473</v>
      </c>
      <c r="M923">
        <v>220</v>
      </c>
      <c r="N923">
        <v>12</v>
      </c>
      <c r="O923">
        <v>182</v>
      </c>
      <c r="P923">
        <v>1</v>
      </c>
      <c r="Q923">
        <v>2</v>
      </c>
      <c r="R923">
        <v>10</v>
      </c>
      <c r="S923">
        <v>6</v>
      </c>
      <c r="T923">
        <v>1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3</v>
      </c>
      <c r="AB923">
        <v>11</v>
      </c>
      <c r="AC923">
        <v>0</v>
      </c>
    </row>
    <row r="924" spans="1:29" x14ac:dyDescent="0.3">
      <c r="A924">
        <v>4487</v>
      </c>
      <c r="B924">
        <v>1969</v>
      </c>
      <c r="C924" t="s">
        <v>34</v>
      </c>
      <c r="D924" t="s">
        <v>30</v>
      </c>
      <c r="E924">
        <v>39858</v>
      </c>
      <c r="F924">
        <v>1</v>
      </c>
      <c r="G924">
        <v>0</v>
      </c>
      <c r="H924" s="1">
        <v>41298</v>
      </c>
      <c r="I924">
        <v>67</v>
      </c>
      <c r="J924">
        <v>15</v>
      </c>
      <c r="K924">
        <v>20</v>
      </c>
      <c r="L924">
        <v>25</v>
      </c>
      <c r="M924">
        <v>2</v>
      </c>
      <c r="N924">
        <v>7</v>
      </c>
      <c r="O924">
        <v>26</v>
      </c>
      <c r="P924">
        <v>1</v>
      </c>
      <c r="Q924">
        <v>2</v>
      </c>
      <c r="R924">
        <v>0</v>
      </c>
      <c r="S924">
        <v>4</v>
      </c>
      <c r="T924">
        <v>6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3</v>
      </c>
      <c r="AB924">
        <v>11</v>
      </c>
      <c r="AC924">
        <v>1</v>
      </c>
    </row>
    <row r="925" spans="1:29" x14ac:dyDescent="0.3">
      <c r="A925">
        <v>4988</v>
      </c>
      <c r="B925">
        <v>1948</v>
      </c>
      <c r="C925" t="s">
        <v>32</v>
      </c>
      <c r="D925" t="s">
        <v>33</v>
      </c>
      <c r="E925">
        <v>34469</v>
      </c>
      <c r="F925">
        <v>1</v>
      </c>
      <c r="G925">
        <v>1</v>
      </c>
      <c r="H925" s="1">
        <v>41763</v>
      </c>
      <c r="I925">
        <v>58</v>
      </c>
      <c r="J925">
        <v>19</v>
      </c>
      <c r="K925">
        <v>6</v>
      </c>
      <c r="L925">
        <v>20</v>
      </c>
      <c r="M925">
        <v>0</v>
      </c>
      <c r="N925">
        <v>5</v>
      </c>
      <c r="O925">
        <v>12</v>
      </c>
      <c r="P925">
        <v>3</v>
      </c>
      <c r="Q925">
        <v>1</v>
      </c>
      <c r="R925">
        <v>1</v>
      </c>
      <c r="S925">
        <v>4</v>
      </c>
      <c r="T925">
        <v>4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3</v>
      </c>
      <c r="AB925">
        <v>11</v>
      </c>
      <c r="AC925">
        <v>0</v>
      </c>
    </row>
    <row r="926" spans="1:29" x14ac:dyDescent="0.3">
      <c r="A926">
        <v>8931</v>
      </c>
      <c r="B926">
        <v>1986</v>
      </c>
      <c r="C926" t="s">
        <v>29</v>
      </c>
      <c r="D926" t="s">
        <v>31</v>
      </c>
      <c r="E926">
        <v>83033</v>
      </c>
      <c r="F926">
        <v>1</v>
      </c>
      <c r="G926">
        <v>0</v>
      </c>
      <c r="H926" s="1">
        <v>41777</v>
      </c>
      <c r="I926">
        <v>82</v>
      </c>
      <c r="J926">
        <v>812</v>
      </c>
      <c r="K926">
        <v>99</v>
      </c>
      <c r="L926">
        <v>431</v>
      </c>
      <c r="M926">
        <v>237</v>
      </c>
      <c r="N926">
        <v>149</v>
      </c>
      <c r="O926">
        <v>33</v>
      </c>
      <c r="P926">
        <v>1</v>
      </c>
      <c r="Q926">
        <v>11</v>
      </c>
      <c r="R926">
        <v>4</v>
      </c>
      <c r="S926">
        <v>10</v>
      </c>
      <c r="T926">
        <v>5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>
        <v>3</v>
      </c>
      <c r="AB926">
        <v>11</v>
      </c>
      <c r="AC926">
        <v>0</v>
      </c>
    </row>
    <row r="927" spans="1:29" x14ac:dyDescent="0.3">
      <c r="A927">
        <v>5871</v>
      </c>
      <c r="B927">
        <v>1979</v>
      </c>
      <c r="C927" t="s">
        <v>34</v>
      </c>
      <c r="D927" t="s">
        <v>31</v>
      </c>
      <c r="E927">
        <v>24401</v>
      </c>
      <c r="F927">
        <v>0</v>
      </c>
      <c r="G927">
        <v>0</v>
      </c>
      <c r="H927" s="1">
        <v>41152</v>
      </c>
      <c r="I927">
        <v>98</v>
      </c>
      <c r="J927">
        <v>73</v>
      </c>
      <c r="K927">
        <v>28</v>
      </c>
      <c r="L927">
        <v>217</v>
      </c>
      <c r="M927">
        <v>10</v>
      </c>
      <c r="N927">
        <v>24</v>
      </c>
      <c r="O927">
        <v>115</v>
      </c>
      <c r="P927">
        <v>3</v>
      </c>
      <c r="Q927">
        <v>6</v>
      </c>
      <c r="R927">
        <v>1</v>
      </c>
      <c r="S927">
        <v>6</v>
      </c>
      <c r="T927">
        <v>8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3</v>
      </c>
      <c r="AB927">
        <v>11</v>
      </c>
      <c r="AC927">
        <v>0</v>
      </c>
    </row>
    <row r="928" spans="1:29" x14ac:dyDescent="0.3">
      <c r="A928">
        <v>2008</v>
      </c>
      <c r="B928">
        <v>1978</v>
      </c>
      <c r="C928" t="s">
        <v>29</v>
      </c>
      <c r="D928" t="s">
        <v>33</v>
      </c>
      <c r="E928">
        <v>77583</v>
      </c>
      <c r="F928">
        <v>0</v>
      </c>
      <c r="G928">
        <v>0</v>
      </c>
      <c r="H928" s="1">
        <v>41680</v>
      </c>
      <c r="I928">
        <v>93</v>
      </c>
      <c r="J928">
        <v>372</v>
      </c>
      <c r="K928">
        <v>23</v>
      </c>
      <c r="L928">
        <v>384</v>
      </c>
      <c r="M928">
        <v>250</v>
      </c>
      <c r="N928">
        <v>12</v>
      </c>
      <c r="O928">
        <v>108</v>
      </c>
      <c r="P928">
        <v>1</v>
      </c>
      <c r="Q928">
        <v>4</v>
      </c>
      <c r="R928">
        <v>5</v>
      </c>
      <c r="S928">
        <v>9</v>
      </c>
      <c r="T928">
        <v>2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>
        <v>3</v>
      </c>
      <c r="AB928">
        <v>11</v>
      </c>
      <c r="AC928">
        <v>0</v>
      </c>
    </row>
    <row r="929" spans="1:29" x14ac:dyDescent="0.3">
      <c r="A929">
        <v>3139</v>
      </c>
      <c r="B929">
        <v>1982</v>
      </c>
      <c r="C929" t="s">
        <v>37</v>
      </c>
      <c r="D929" t="s">
        <v>30</v>
      </c>
      <c r="E929">
        <v>74116</v>
      </c>
      <c r="F929">
        <v>0</v>
      </c>
      <c r="G929">
        <v>0</v>
      </c>
      <c r="H929" s="1">
        <v>41638</v>
      </c>
      <c r="I929">
        <v>53</v>
      </c>
      <c r="J929">
        <v>871</v>
      </c>
      <c r="K929">
        <v>111</v>
      </c>
      <c r="L929">
        <v>704</v>
      </c>
      <c r="M929">
        <v>145</v>
      </c>
      <c r="N929">
        <v>55</v>
      </c>
      <c r="O929">
        <v>166</v>
      </c>
      <c r="P929">
        <v>1</v>
      </c>
      <c r="Q929">
        <v>4</v>
      </c>
      <c r="R929">
        <v>4</v>
      </c>
      <c r="S929">
        <v>10</v>
      </c>
      <c r="T929">
        <v>2</v>
      </c>
      <c r="U929">
        <v>0</v>
      </c>
      <c r="V929">
        <v>1</v>
      </c>
      <c r="W929">
        <v>0</v>
      </c>
      <c r="X929">
        <v>0</v>
      </c>
      <c r="Y929">
        <v>0</v>
      </c>
      <c r="Z929">
        <v>0</v>
      </c>
      <c r="AA929">
        <v>3</v>
      </c>
      <c r="AB929">
        <v>11</v>
      </c>
      <c r="AC929">
        <v>0</v>
      </c>
    </row>
    <row r="930" spans="1:29" x14ac:dyDescent="0.3">
      <c r="A930">
        <v>10037</v>
      </c>
      <c r="B930">
        <v>1993</v>
      </c>
      <c r="C930" t="s">
        <v>29</v>
      </c>
      <c r="D930" t="s">
        <v>30</v>
      </c>
      <c r="E930">
        <v>74293</v>
      </c>
      <c r="F930">
        <v>0</v>
      </c>
      <c r="G930">
        <v>0</v>
      </c>
      <c r="H930" s="1">
        <v>41763</v>
      </c>
      <c r="I930">
        <v>66</v>
      </c>
      <c r="J930">
        <v>375</v>
      </c>
      <c r="K930">
        <v>152</v>
      </c>
      <c r="L930">
        <v>335</v>
      </c>
      <c r="M930">
        <v>93</v>
      </c>
      <c r="N930">
        <v>91</v>
      </c>
      <c r="O930">
        <v>81</v>
      </c>
      <c r="P930">
        <v>1</v>
      </c>
      <c r="Q930">
        <v>5</v>
      </c>
      <c r="R930">
        <v>4</v>
      </c>
      <c r="S930">
        <v>6</v>
      </c>
      <c r="T930">
        <v>2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3</v>
      </c>
      <c r="AB930">
        <v>11</v>
      </c>
      <c r="AC930">
        <v>0</v>
      </c>
    </row>
    <row r="931" spans="1:29" x14ac:dyDescent="0.3">
      <c r="A931">
        <v>10673</v>
      </c>
      <c r="B931">
        <v>1976</v>
      </c>
      <c r="C931" t="s">
        <v>32</v>
      </c>
      <c r="D931" t="s">
        <v>33</v>
      </c>
      <c r="E931">
        <v>68397</v>
      </c>
      <c r="F931">
        <v>0</v>
      </c>
      <c r="G931">
        <v>1</v>
      </c>
      <c r="H931" s="1">
        <v>41595</v>
      </c>
      <c r="I931">
        <v>6</v>
      </c>
      <c r="J931">
        <v>760</v>
      </c>
      <c r="K931">
        <v>80</v>
      </c>
      <c r="L931">
        <v>466</v>
      </c>
      <c r="M931">
        <v>17</v>
      </c>
      <c r="N931">
        <v>13</v>
      </c>
      <c r="O931">
        <v>80</v>
      </c>
      <c r="P931">
        <v>1</v>
      </c>
      <c r="Q931">
        <v>6</v>
      </c>
      <c r="R931">
        <v>9</v>
      </c>
      <c r="S931">
        <v>5</v>
      </c>
      <c r="T931">
        <v>3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3</v>
      </c>
      <c r="AB931">
        <v>11</v>
      </c>
      <c r="AC931">
        <v>0</v>
      </c>
    </row>
    <row r="932" spans="1:29" x14ac:dyDescent="0.3">
      <c r="A932">
        <v>5303</v>
      </c>
      <c r="B932">
        <v>1974</v>
      </c>
      <c r="C932" t="s">
        <v>32</v>
      </c>
      <c r="D932" t="s">
        <v>31</v>
      </c>
      <c r="E932">
        <v>79632</v>
      </c>
      <c r="F932">
        <v>0</v>
      </c>
      <c r="G932">
        <v>0</v>
      </c>
      <c r="H932" s="1">
        <v>41737</v>
      </c>
      <c r="I932">
        <v>42</v>
      </c>
      <c r="J932">
        <v>471</v>
      </c>
      <c r="K932">
        <v>0</v>
      </c>
      <c r="L932">
        <v>510</v>
      </c>
      <c r="M932">
        <v>99</v>
      </c>
      <c r="N932">
        <v>21</v>
      </c>
      <c r="O932">
        <v>12</v>
      </c>
      <c r="P932">
        <v>1</v>
      </c>
      <c r="Q932">
        <v>6</v>
      </c>
      <c r="R932">
        <v>4</v>
      </c>
      <c r="S932">
        <v>9</v>
      </c>
      <c r="T932">
        <v>2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3</v>
      </c>
      <c r="AB932">
        <v>11</v>
      </c>
      <c r="AC932">
        <v>0</v>
      </c>
    </row>
    <row r="933" spans="1:29" x14ac:dyDescent="0.3">
      <c r="A933">
        <v>538</v>
      </c>
      <c r="B933">
        <v>1989</v>
      </c>
      <c r="C933" t="s">
        <v>29</v>
      </c>
      <c r="D933" t="s">
        <v>30</v>
      </c>
      <c r="E933">
        <v>46107</v>
      </c>
      <c r="F933">
        <v>1</v>
      </c>
      <c r="G933">
        <v>0</v>
      </c>
      <c r="H933" s="1">
        <v>41680</v>
      </c>
      <c r="I933">
        <v>78</v>
      </c>
      <c r="J933">
        <v>31</v>
      </c>
      <c r="K933">
        <v>9</v>
      </c>
      <c r="L933">
        <v>27</v>
      </c>
      <c r="M933">
        <v>16</v>
      </c>
      <c r="N933">
        <v>9</v>
      </c>
      <c r="O933">
        <v>33</v>
      </c>
      <c r="P933">
        <v>1</v>
      </c>
      <c r="Q933">
        <v>1</v>
      </c>
      <c r="R933">
        <v>1</v>
      </c>
      <c r="S933">
        <v>4</v>
      </c>
      <c r="T933">
        <v>3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3</v>
      </c>
      <c r="AB933">
        <v>11</v>
      </c>
      <c r="AC933">
        <v>0</v>
      </c>
    </row>
    <row r="934" spans="1:29" x14ac:dyDescent="0.3">
      <c r="A934">
        <v>7922</v>
      </c>
      <c r="B934">
        <v>1951</v>
      </c>
      <c r="C934" t="s">
        <v>32</v>
      </c>
      <c r="D934" t="s">
        <v>30</v>
      </c>
      <c r="E934">
        <v>64950</v>
      </c>
      <c r="F934">
        <v>0</v>
      </c>
      <c r="G934">
        <v>1</v>
      </c>
      <c r="H934" s="1">
        <v>41133</v>
      </c>
      <c r="I934">
        <v>29</v>
      </c>
      <c r="J934">
        <v>819</v>
      </c>
      <c r="K934">
        <v>0</v>
      </c>
      <c r="L934">
        <v>72</v>
      </c>
      <c r="M934">
        <v>12</v>
      </c>
      <c r="N934">
        <v>0</v>
      </c>
      <c r="O934">
        <v>63</v>
      </c>
      <c r="P934">
        <v>2</v>
      </c>
      <c r="Q934">
        <v>11</v>
      </c>
      <c r="R934">
        <v>2</v>
      </c>
      <c r="S934">
        <v>10</v>
      </c>
      <c r="T934">
        <v>7</v>
      </c>
      <c r="U934">
        <v>0</v>
      </c>
      <c r="V934">
        <v>1</v>
      </c>
      <c r="W934">
        <v>0</v>
      </c>
      <c r="X934">
        <v>0</v>
      </c>
      <c r="Y934">
        <v>0</v>
      </c>
      <c r="Z934">
        <v>0</v>
      </c>
      <c r="AA934">
        <v>3</v>
      </c>
      <c r="AB934">
        <v>11</v>
      </c>
      <c r="AC934">
        <v>0</v>
      </c>
    </row>
    <row r="935" spans="1:29" x14ac:dyDescent="0.3">
      <c r="A935">
        <v>5692</v>
      </c>
      <c r="B935">
        <v>1989</v>
      </c>
      <c r="C935" t="s">
        <v>36</v>
      </c>
      <c r="D935" t="s">
        <v>33</v>
      </c>
      <c r="E935">
        <v>25443</v>
      </c>
      <c r="F935">
        <v>1</v>
      </c>
      <c r="G935">
        <v>0</v>
      </c>
      <c r="H935" s="1">
        <v>41265</v>
      </c>
      <c r="I935">
        <v>82</v>
      </c>
      <c r="J935">
        <v>1</v>
      </c>
      <c r="K935">
        <v>4</v>
      </c>
      <c r="L935">
        <v>3</v>
      </c>
      <c r="M935">
        <v>8</v>
      </c>
      <c r="N935">
        <v>9</v>
      </c>
      <c r="O935">
        <v>7</v>
      </c>
      <c r="P935">
        <v>1</v>
      </c>
      <c r="Q935">
        <v>1</v>
      </c>
      <c r="R935">
        <v>0</v>
      </c>
      <c r="S935">
        <v>3</v>
      </c>
      <c r="T935">
        <v>8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3</v>
      </c>
      <c r="AB935">
        <v>11</v>
      </c>
      <c r="AC935">
        <v>0</v>
      </c>
    </row>
    <row r="936" spans="1:29" x14ac:dyDescent="0.3">
      <c r="A936">
        <v>4843</v>
      </c>
      <c r="B936">
        <v>1952</v>
      </c>
      <c r="C936" t="s">
        <v>29</v>
      </c>
      <c r="D936" t="s">
        <v>30</v>
      </c>
      <c r="E936">
        <v>75127</v>
      </c>
      <c r="F936">
        <v>0</v>
      </c>
      <c r="G936">
        <v>0</v>
      </c>
      <c r="H936" s="1">
        <v>41781</v>
      </c>
      <c r="I936">
        <v>92</v>
      </c>
      <c r="J936">
        <v>203</v>
      </c>
      <c r="K936">
        <v>35</v>
      </c>
      <c r="L936">
        <v>305</v>
      </c>
      <c r="M936">
        <v>46</v>
      </c>
      <c r="N936">
        <v>17</v>
      </c>
      <c r="O936">
        <v>227</v>
      </c>
      <c r="P936">
        <v>1</v>
      </c>
      <c r="Q936">
        <v>2</v>
      </c>
      <c r="R936">
        <v>11</v>
      </c>
      <c r="S936">
        <v>5</v>
      </c>
      <c r="T936">
        <v>1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3</v>
      </c>
      <c r="AB936">
        <v>11</v>
      </c>
      <c r="AC936">
        <v>0</v>
      </c>
    </row>
    <row r="937" spans="1:29" x14ac:dyDescent="0.3">
      <c r="A937">
        <v>6383</v>
      </c>
      <c r="B937">
        <v>1971</v>
      </c>
      <c r="C937" t="s">
        <v>32</v>
      </c>
      <c r="D937" t="s">
        <v>31</v>
      </c>
      <c r="E937">
        <v>32892</v>
      </c>
      <c r="F937">
        <v>1</v>
      </c>
      <c r="G937">
        <v>0</v>
      </c>
      <c r="H937" s="1">
        <v>41784</v>
      </c>
      <c r="I937">
        <v>78</v>
      </c>
      <c r="J937">
        <v>26</v>
      </c>
      <c r="K937">
        <v>0</v>
      </c>
      <c r="L937">
        <v>15</v>
      </c>
      <c r="M937">
        <v>2</v>
      </c>
      <c r="N937">
        <v>1</v>
      </c>
      <c r="O937">
        <v>2</v>
      </c>
      <c r="P937">
        <v>2</v>
      </c>
      <c r="Q937">
        <v>3</v>
      </c>
      <c r="R937">
        <v>0</v>
      </c>
      <c r="S937">
        <v>3</v>
      </c>
      <c r="T937">
        <v>8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3</v>
      </c>
      <c r="AB937">
        <v>11</v>
      </c>
      <c r="AC937">
        <v>0</v>
      </c>
    </row>
    <row r="938" spans="1:29" x14ac:dyDescent="0.3">
      <c r="A938">
        <v>1628</v>
      </c>
      <c r="B938">
        <v>1971</v>
      </c>
      <c r="C938" t="s">
        <v>29</v>
      </c>
      <c r="D938" t="s">
        <v>31</v>
      </c>
      <c r="E938">
        <v>71796</v>
      </c>
      <c r="F938">
        <v>0</v>
      </c>
      <c r="G938">
        <v>0</v>
      </c>
      <c r="H938" s="1">
        <v>41571</v>
      </c>
      <c r="I938">
        <v>54</v>
      </c>
      <c r="J938">
        <v>354</v>
      </c>
      <c r="K938">
        <v>21</v>
      </c>
      <c r="L938">
        <v>311</v>
      </c>
      <c r="M938">
        <v>167</v>
      </c>
      <c r="N938">
        <v>75</v>
      </c>
      <c r="O938">
        <v>32</v>
      </c>
      <c r="P938">
        <v>1</v>
      </c>
      <c r="Q938">
        <v>9</v>
      </c>
      <c r="R938">
        <v>3</v>
      </c>
      <c r="S938">
        <v>4</v>
      </c>
      <c r="T938">
        <v>4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3</v>
      </c>
      <c r="AB938">
        <v>11</v>
      </c>
      <c r="AC938">
        <v>0</v>
      </c>
    </row>
    <row r="939" spans="1:29" x14ac:dyDescent="0.3">
      <c r="A939">
        <v>1204</v>
      </c>
      <c r="B939">
        <v>1970</v>
      </c>
      <c r="C939" t="s">
        <v>32</v>
      </c>
      <c r="D939" t="s">
        <v>33</v>
      </c>
      <c r="E939">
        <v>67536</v>
      </c>
      <c r="F939">
        <v>0</v>
      </c>
      <c r="G939">
        <v>1</v>
      </c>
      <c r="H939" s="1">
        <v>41416</v>
      </c>
      <c r="I939">
        <v>45</v>
      </c>
      <c r="J939">
        <v>1253</v>
      </c>
      <c r="K939">
        <v>0</v>
      </c>
      <c r="L939">
        <v>447</v>
      </c>
      <c r="M939">
        <v>23</v>
      </c>
      <c r="N939">
        <v>71</v>
      </c>
      <c r="O939">
        <v>35</v>
      </c>
      <c r="P939">
        <v>3</v>
      </c>
      <c r="Q939">
        <v>11</v>
      </c>
      <c r="R939">
        <v>5</v>
      </c>
      <c r="S939">
        <v>11</v>
      </c>
      <c r="T939">
        <v>8</v>
      </c>
      <c r="U939">
        <v>0</v>
      </c>
      <c r="V939">
        <v>0</v>
      </c>
      <c r="W939">
        <v>0</v>
      </c>
      <c r="X939">
        <v>1</v>
      </c>
      <c r="Y939">
        <v>0</v>
      </c>
      <c r="Z939">
        <v>0</v>
      </c>
      <c r="AA939">
        <v>3</v>
      </c>
      <c r="AB939">
        <v>11</v>
      </c>
      <c r="AC939">
        <v>0</v>
      </c>
    </row>
    <row r="940" spans="1:29" x14ac:dyDescent="0.3">
      <c r="A940">
        <v>3673</v>
      </c>
      <c r="B940">
        <v>1971</v>
      </c>
      <c r="C940" t="s">
        <v>29</v>
      </c>
      <c r="D940" t="s">
        <v>30</v>
      </c>
      <c r="E940">
        <v>55239</v>
      </c>
      <c r="F940">
        <v>0</v>
      </c>
      <c r="G940">
        <v>1</v>
      </c>
      <c r="H940" s="1">
        <v>41469</v>
      </c>
      <c r="I940">
        <v>59</v>
      </c>
      <c r="J940">
        <v>371</v>
      </c>
      <c r="K940">
        <v>17</v>
      </c>
      <c r="L940">
        <v>238</v>
      </c>
      <c r="M940">
        <v>23</v>
      </c>
      <c r="N940">
        <v>24</v>
      </c>
      <c r="O940">
        <v>106</v>
      </c>
      <c r="P940">
        <v>3</v>
      </c>
      <c r="Q940">
        <v>7</v>
      </c>
      <c r="R940">
        <v>5</v>
      </c>
      <c r="S940">
        <v>11</v>
      </c>
      <c r="T940">
        <v>5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3</v>
      </c>
      <c r="AB940">
        <v>11</v>
      </c>
      <c r="AC940">
        <v>0</v>
      </c>
    </row>
    <row r="941" spans="1:29" x14ac:dyDescent="0.3">
      <c r="A941">
        <v>760</v>
      </c>
      <c r="B941">
        <v>1975</v>
      </c>
      <c r="C941" t="s">
        <v>32</v>
      </c>
      <c r="D941" t="s">
        <v>35</v>
      </c>
      <c r="E941">
        <v>60554</v>
      </c>
      <c r="F941">
        <v>1</v>
      </c>
      <c r="G941">
        <v>0</v>
      </c>
      <c r="H941" s="1">
        <v>41495</v>
      </c>
      <c r="I941">
        <v>8</v>
      </c>
      <c r="J941">
        <v>588</v>
      </c>
      <c r="K941">
        <v>7</v>
      </c>
      <c r="L941">
        <v>76</v>
      </c>
      <c r="M941">
        <v>110</v>
      </c>
      <c r="N941">
        <v>15</v>
      </c>
      <c r="O941">
        <v>15</v>
      </c>
      <c r="P941">
        <v>2</v>
      </c>
      <c r="Q941">
        <v>8</v>
      </c>
      <c r="R941">
        <v>4</v>
      </c>
      <c r="S941">
        <v>9</v>
      </c>
      <c r="T941">
        <v>6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3</v>
      </c>
      <c r="AB941">
        <v>11</v>
      </c>
      <c r="AC941">
        <v>0</v>
      </c>
    </row>
    <row r="942" spans="1:29" x14ac:dyDescent="0.3">
      <c r="A942">
        <v>8957</v>
      </c>
      <c r="B942">
        <v>1952</v>
      </c>
      <c r="C942" t="s">
        <v>37</v>
      </c>
      <c r="D942" t="s">
        <v>30</v>
      </c>
      <c r="E942">
        <v>64831</v>
      </c>
      <c r="F942">
        <v>1</v>
      </c>
      <c r="G942">
        <v>1</v>
      </c>
      <c r="H942" s="1">
        <v>41435</v>
      </c>
      <c r="I942">
        <v>51</v>
      </c>
      <c r="J942">
        <v>480</v>
      </c>
      <c r="K942">
        <v>86</v>
      </c>
      <c r="L942">
        <v>249</v>
      </c>
      <c r="M942">
        <v>75</v>
      </c>
      <c r="N942">
        <v>86</v>
      </c>
      <c r="O942">
        <v>144</v>
      </c>
      <c r="P942">
        <v>8</v>
      </c>
      <c r="Q942">
        <v>6</v>
      </c>
      <c r="R942">
        <v>3</v>
      </c>
      <c r="S942">
        <v>5</v>
      </c>
      <c r="T942">
        <v>6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3</v>
      </c>
      <c r="AB942">
        <v>11</v>
      </c>
      <c r="AC942">
        <v>0</v>
      </c>
    </row>
    <row r="943" spans="1:29" x14ac:dyDescent="0.3">
      <c r="A943">
        <v>4128</v>
      </c>
      <c r="B943">
        <v>1962</v>
      </c>
      <c r="C943" t="s">
        <v>32</v>
      </c>
      <c r="D943" t="s">
        <v>31</v>
      </c>
      <c r="E943">
        <v>56067</v>
      </c>
      <c r="F943">
        <v>0</v>
      </c>
      <c r="G943">
        <v>1</v>
      </c>
      <c r="H943" s="1">
        <v>41475</v>
      </c>
      <c r="I943">
        <v>51</v>
      </c>
      <c r="J943">
        <v>517</v>
      </c>
      <c r="K943">
        <v>12</v>
      </c>
      <c r="L943">
        <v>54</v>
      </c>
      <c r="M943">
        <v>16</v>
      </c>
      <c r="N943">
        <v>6</v>
      </c>
      <c r="O943">
        <v>120</v>
      </c>
      <c r="P943">
        <v>2</v>
      </c>
      <c r="Q943">
        <v>7</v>
      </c>
      <c r="R943">
        <v>4</v>
      </c>
      <c r="S943">
        <v>7</v>
      </c>
      <c r="T943">
        <v>5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3</v>
      </c>
      <c r="AB943">
        <v>11</v>
      </c>
      <c r="AC943">
        <v>0</v>
      </c>
    </row>
    <row r="944" spans="1:29" x14ac:dyDescent="0.3">
      <c r="A944">
        <v>6810</v>
      </c>
      <c r="B944">
        <v>1983</v>
      </c>
      <c r="C944" t="s">
        <v>29</v>
      </c>
      <c r="D944" t="s">
        <v>35</v>
      </c>
      <c r="E944">
        <v>82025</v>
      </c>
      <c r="F944">
        <v>0</v>
      </c>
      <c r="G944">
        <v>0</v>
      </c>
      <c r="H944" s="1">
        <v>41422</v>
      </c>
      <c r="I944">
        <v>76</v>
      </c>
      <c r="J944">
        <v>267</v>
      </c>
      <c r="K944">
        <v>98</v>
      </c>
      <c r="L944">
        <v>606</v>
      </c>
      <c r="M944">
        <v>48</v>
      </c>
      <c r="N944">
        <v>70</v>
      </c>
      <c r="O944">
        <v>98</v>
      </c>
      <c r="P944">
        <v>1</v>
      </c>
      <c r="Q944">
        <v>3</v>
      </c>
      <c r="R944">
        <v>2</v>
      </c>
      <c r="S944">
        <v>6</v>
      </c>
      <c r="T944">
        <v>1</v>
      </c>
      <c r="U944">
        <v>0</v>
      </c>
      <c r="V944">
        <v>0</v>
      </c>
      <c r="W944">
        <v>1</v>
      </c>
      <c r="X944">
        <v>0</v>
      </c>
      <c r="Y944">
        <v>0</v>
      </c>
      <c r="Z944">
        <v>0</v>
      </c>
      <c r="AA944">
        <v>3</v>
      </c>
      <c r="AB944">
        <v>11</v>
      </c>
      <c r="AC944">
        <v>1</v>
      </c>
    </row>
    <row r="945" spans="1:29" x14ac:dyDescent="0.3">
      <c r="A945">
        <v>5386</v>
      </c>
      <c r="B945">
        <v>1953</v>
      </c>
      <c r="C945" t="s">
        <v>29</v>
      </c>
      <c r="D945" t="s">
        <v>31</v>
      </c>
      <c r="E945">
        <v>94384</v>
      </c>
      <c r="F945">
        <v>0</v>
      </c>
      <c r="G945">
        <v>0</v>
      </c>
      <c r="H945" s="1">
        <v>41337</v>
      </c>
      <c r="I945">
        <v>62</v>
      </c>
      <c r="J945">
        <v>1111</v>
      </c>
      <c r="K945">
        <v>24</v>
      </c>
      <c r="L945">
        <v>790</v>
      </c>
      <c r="M945">
        <v>160</v>
      </c>
      <c r="N945">
        <v>45</v>
      </c>
      <c r="O945">
        <v>172</v>
      </c>
      <c r="P945">
        <v>0</v>
      </c>
      <c r="Q945">
        <v>5</v>
      </c>
      <c r="R945">
        <v>8</v>
      </c>
      <c r="S945">
        <v>5</v>
      </c>
      <c r="T945">
        <v>2</v>
      </c>
      <c r="U945">
        <v>0</v>
      </c>
      <c r="V945">
        <v>1</v>
      </c>
      <c r="W945">
        <v>1</v>
      </c>
      <c r="X945">
        <v>1</v>
      </c>
      <c r="Y945">
        <v>0</v>
      </c>
      <c r="Z945">
        <v>0</v>
      </c>
      <c r="AA945">
        <v>3</v>
      </c>
      <c r="AB945">
        <v>11</v>
      </c>
      <c r="AC945">
        <v>1</v>
      </c>
    </row>
    <row r="946" spans="1:29" x14ac:dyDescent="0.3">
      <c r="A946">
        <v>8700</v>
      </c>
      <c r="B946">
        <v>1986</v>
      </c>
      <c r="C946" t="s">
        <v>36</v>
      </c>
      <c r="D946" t="s">
        <v>30</v>
      </c>
      <c r="E946">
        <v>14906</v>
      </c>
      <c r="F946">
        <v>0</v>
      </c>
      <c r="G946">
        <v>0</v>
      </c>
      <c r="H946" s="1">
        <v>41265</v>
      </c>
      <c r="I946">
        <v>86</v>
      </c>
      <c r="J946">
        <v>7</v>
      </c>
      <c r="K946">
        <v>7</v>
      </c>
      <c r="L946">
        <v>14</v>
      </c>
      <c r="M946">
        <v>7</v>
      </c>
      <c r="N946">
        <v>16</v>
      </c>
      <c r="O946">
        <v>15</v>
      </c>
      <c r="P946">
        <v>3</v>
      </c>
      <c r="Q946">
        <v>2</v>
      </c>
      <c r="R946">
        <v>1</v>
      </c>
      <c r="S946">
        <v>3</v>
      </c>
      <c r="T946">
        <v>7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3</v>
      </c>
      <c r="AB946">
        <v>11</v>
      </c>
      <c r="AC946">
        <v>0</v>
      </c>
    </row>
    <row r="947" spans="1:29" x14ac:dyDescent="0.3">
      <c r="A947">
        <v>3202</v>
      </c>
      <c r="B947">
        <v>1987</v>
      </c>
      <c r="C947" t="s">
        <v>32</v>
      </c>
      <c r="D947" t="s">
        <v>33</v>
      </c>
      <c r="E947">
        <v>51563</v>
      </c>
      <c r="F947">
        <v>0</v>
      </c>
      <c r="G947">
        <v>0</v>
      </c>
      <c r="H947" s="1">
        <v>41183</v>
      </c>
      <c r="I947">
        <v>60</v>
      </c>
      <c r="J947">
        <v>1166</v>
      </c>
      <c r="K947">
        <v>0</v>
      </c>
      <c r="L947">
        <v>48</v>
      </c>
      <c r="M947">
        <v>0</v>
      </c>
      <c r="N947">
        <v>0</v>
      </c>
      <c r="O947">
        <v>36</v>
      </c>
      <c r="P947">
        <v>1</v>
      </c>
      <c r="Q947">
        <v>4</v>
      </c>
      <c r="R947">
        <v>4</v>
      </c>
      <c r="S947">
        <v>10</v>
      </c>
      <c r="T947">
        <v>8</v>
      </c>
      <c r="U947">
        <v>0</v>
      </c>
      <c r="V947">
        <v>1</v>
      </c>
      <c r="W947">
        <v>1</v>
      </c>
      <c r="X947">
        <v>0</v>
      </c>
      <c r="Y947">
        <v>0</v>
      </c>
      <c r="Z947">
        <v>0</v>
      </c>
      <c r="AA947">
        <v>3</v>
      </c>
      <c r="AB947">
        <v>11</v>
      </c>
      <c r="AC947">
        <v>0</v>
      </c>
    </row>
    <row r="948" spans="1:29" x14ac:dyDescent="0.3">
      <c r="A948">
        <v>1328</v>
      </c>
      <c r="B948">
        <v>1982</v>
      </c>
      <c r="C948" t="s">
        <v>37</v>
      </c>
      <c r="D948" t="s">
        <v>33</v>
      </c>
      <c r="E948">
        <v>57937</v>
      </c>
      <c r="F948">
        <v>0</v>
      </c>
      <c r="G948">
        <v>1</v>
      </c>
      <c r="H948" s="1">
        <v>41686</v>
      </c>
      <c r="I948">
        <v>56</v>
      </c>
      <c r="J948">
        <v>261</v>
      </c>
      <c r="K948">
        <v>42</v>
      </c>
      <c r="L948">
        <v>144</v>
      </c>
      <c r="M948">
        <v>55</v>
      </c>
      <c r="N948">
        <v>48</v>
      </c>
      <c r="O948">
        <v>133</v>
      </c>
      <c r="P948">
        <v>3</v>
      </c>
      <c r="Q948">
        <v>4</v>
      </c>
      <c r="R948">
        <v>4</v>
      </c>
      <c r="S948">
        <v>9</v>
      </c>
      <c r="T948">
        <v>3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3</v>
      </c>
      <c r="AB948">
        <v>11</v>
      </c>
      <c r="AC948">
        <v>0</v>
      </c>
    </row>
    <row r="949" spans="1:29" x14ac:dyDescent="0.3">
      <c r="A949">
        <v>8405</v>
      </c>
      <c r="B949">
        <v>1979</v>
      </c>
      <c r="C949" t="s">
        <v>29</v>
      </c>
      <c r="D949" t="s">
        <v>35</v>
      </c>
      <c r="E949">
        <v>68274</v>
      </c>
      <c r="F949">
        <v>1</v>
      </c>
      <c r="G949">
        <v>1</v>
      </c>
      <c r="H949" s="1">
        <v>41547</v>
      </c>
      <c r="I949">
        <v>83</v>
      </c>
      <c r="J949">
        <v>135</v>
      </c>
      <c r="K949">
        <v>25</v>
      </c>
      <c r="L949">
        <v>51</v>
      </c>
      <c r="M949">
        <v>23</v>
      </c>
      <c r="N949">
        <v>25</v>
      </c>
      <c r="O949">
        <v>46</v>
      </c>
      <c r="P949">
        <v>2</v>
      </c>
      <c r="Q949">
        <v>4</v>
      </c>
      <c r="R949">
        <v>2</v>
      </c>
      <c r="S949">
        <v>5</v>
      </c>
      <c r="T949">
        <v>3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3</v>
      </c>
      <c r="AB949">
        <v>11</v>
      </c>
      <c r="AC949">
        <v>0</v>
      </c>
    </row>
    <row r="950" spans="1:29" x14ac:dyDescent="0.3">
      <c r="A950">
        <v>6515</v>
      </c>
      <c r="B950">
        <v>1977</v>
      </c>
      <c r="C950" t="s">
        <v>29</v>
      </c>
      <c r="D950" t="s">
        <v>31</v>
      </c>
      <c r="E950">
        <v>39771</v>
      </c>
      <c r="F950">
        <v>1</v>
      </c>
      <c r="G950">
        <v>0</v>
      </c>
      <c r="H950" s="1">
        <v>41614</v>
      </c>
      <c r="I950">
        <v>92</v>
      </c>
      <c r="J950">
        <v>6</v>
      </c>
      <c r="K950">
        <v>2</v>
      </c>
      <c r="L950">
        <v>18</v>
      </c>
      <c r="M950">
        <v>2</v>
      </c>
      <c r="N950">
        <v>8</v>
      </c>
      <c r="O950">
        <v>14</v>
      </c>
      <c r="P950">
        <v>1</v>
      </c>
      <c r="Q950">
        <v>2</v>
      </c>
      <c r="R950">
        <v>0</v>
      </c>
      <c r="S950">
        <v>3</v>
      </c>
      <c r="T950">
        <v>4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3</v>
      </c>
      <c r="AB950">
        <v>11</v>
      </c>
      <c r="AC950">
        <v>0</v>
      </c>
    </row>
    <row r="951" spans="1:29" x14ac:dyDescent="0.3">
      <c r="A951">
        <v>2882</v>
      </c>
      <c r="B951">
        <v>1975</v>
      </c>
      <c r="C951" t="s">
        <v>37</v>
      </c>
      <c r="D951" t="s">
        <v>35</v>
      </c>
      <c r="E951">
        <v>67893</v>
      </c>
      <c r="F951">
        <v>0</v>
      </c>
      <c r="G951">
        <v>1</v>
      </c>
      <c r="H951" s="1">
        <v>41183</v>
      </c>
      <c r="I951">
        <v>31</v>
      </c>
      <c r="J951">
        <v>711</v>
      </c>
      <c r="K951">
        <v>28</v>
      </c>
      <c r="L951">
        <v>142</v>
      </c>
      <c r="M951">
        <v>49</v>
      </c>
      <c r="N951">
        <v>18</v>
      </c>
      <c r="O951">
        <v>47</v>
      </c>
      <c r="P951">
        <v>2</v>
      </c>
      <c r="Q951">
        <v>3</v>
      </c>
      <c r="R951">
        <v>2</v>
      </c>
      <c r="S951">
        <v>9</v>
      </c>
      <c r="T951">
        <v>8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3</v>
      </c>
      <c r="AB951">
        <v>11</v>
      </c>
      <c r="AC951">
        <v>0</v>
      </c>
    </row>
    <row r="952" spans="1:29" x14ac:dyDescent="0.3">
      <c r="A952">
        <v>7574</v>
      </c>
      <c r="B952">
        <v>1979</v>
      </c>
      <c r="C952" t="s">
        <v>32</v>
      </c>
      <c r="D952" t="s">
        <v>31</v>
      </c>
      <c r="E952">
        <v>27922</v>
      </c>
      <c r="F952">
        <v>1</v>
      </c>
      <c r="G952">
        <v>0</v>
      </c>
      <c r="H952" s="1">
        <v>41769</v>
      </c>
      <c r="I952">
        <v>80</v>
      </c>
      <c r="J952">
        <v>11</v>
      </c>
      <c r="K952">
        <v>0</v>
      </c>
      <c r="L952">
        <v>13</v>
      </c>
      <c r="M952">
        <v>2</v>
      </c>
      <c r="N952">
        <v>4</v>
      </c>
      <c r="O952">
        <v>11</v>
      </c>
      <c r="P952">
        <v>1</v>
      </c>
      <c r="Q952">
        <v>2</v>
      </c>
      <c r="R952">
        <v>0</v>
      </c>
      <c r="S952">
        <v>3</v>
      </c>
      <c r="T952">
        <v>4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3</v>
      </c>
      <c r="AB952">
        <v>11</v>
      </c>
      <c r="AC952">
        <v>0</v>
      </c>
    </row>
    <row r="953" spans="1:29" x14ac:dyDescent="0.3">
      <c r="A953">
        <v>6387</v>
      </c>
      <c r="B953">
        <v>1976</v>
      </c>
      <c r="C953" t="s">
        <v>32</v>
      </c>
      <c r="D953" t="s">
        <v>31</v>
      </c>
      <c r="E953">
        <v>52190</v>
      </c>
      <c r="F953">
        <v>1</v>
      </c>
      <c r="G953">
        <v>1</v>
      </c>
      <c r="H953" s="1">
        <v>41767</v>
      </c>
      <c r="I953">
        <v>39</v>
      </c>
      <c r="J953">
        <v>42</v>
      </c>
      <c r="K953">
        <v>0</v>
      </c>
      <c r="L953">
        <v>17</v>
      </c>
      <c r="M953">
        <v>0</v>
      </c>
      <c r="N953">
        <v>0</v>
      </c>
      <c r="O953">
        <v>18</v>
      </c>
      <c r="P953">
        <v>3</v>
      </c>
      <c r="Q953">
        <v>2</v>
      </c>
      <c r="R953">
        <v>1</v>
      </c>
      <c r="S953">
        <v>3</v>
      </c>
      <c r="T953">
        <v>5</v>
      </c>
      <c r="U953">
        <v>1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3</v>
      </c>
      <c r="AB953">
        <v>11</v>
      </c>
      <c r="AC953">
        <v>0</v>
      </c>
    </row>
    <row r="954" spans="1:29" x14ac:dyDescent="0.3">
      <c r="A954">
        <v>5320</v>
      </c>
      <c r="B954">
        <v>1973</v>
      </c>
      <c r="C954" t="s">
        <v>34</v>
      </c>
      <c r="D954" t="s">
        <v>35</v>
      </c>
      <c r="E954">
        <v>44051</v>
      </c>
      <c r="F954">
        <v>1</v>
      </c>
      <c r="G954">
        <v>1</v>
      </c>
      <c r="H954" s="1">
        <v>41303</v>
      </c>
      <c r="I954">
        <v>20</v>
      </c>
      <c r="J954">
        <v>79</v>
      </c>
      <c r="K954">
        <v>7</v>
      </c>
      <c r="L954">
        <v>58</v>
      </c>
      <c r="M954">
        <v>6</v>
      </c>
      <c r="N954">
        <v>3</v>
      </c>
      <c r="O954">
        <v>18</v>
      </c>
      <c r="P954">
        <v>4</v>
      </c>
      <c r="Q954">
        <v>3</v>
      </c>
      <c r="R954">
        <v>1</v>
      </c>
      <c r="S954">
        <v>4</v>
      </c>
      <c r="T954">
        <v>6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3</v>
      </c>
      <c r="AB954">
        <v>11</v>
      </c>
      <c r="AC954">
        <v>1</v>
      </c>
    </row>
    <row r="955" spans="1:29" x14ac:dyDescent="0.3">
      <c r="A955">
        <v>5048</v>
      </c>
      <c r="B955">
        <v>1971</v>
      </c>
      <c r="C955" t="s">
        <v>32</v>
      </c>
      <c r="D955" t="s">
        <v>30</v>
      </c>
      <c r="E955">
        <v>42767</v>
      </c>
      <c r="F955">
        <v>2</v>
      </c>
      <c r="G955">
        <v>0</v>
      </c>
      <c r="H955" s="1">
        <v>41405</v>
      </c>
      <c r="I955">
        <v>53</v>
      </c>
      <c r="J955">
        <v>20</v>
      </c>
      <c r="K955">
        <v>6</v>
      </c>
      <c r="L955">
        <v>43</v>
      </c>
      <c r="M955">
        <v>19</v>
      </c>
      <c r="N955">
        <v>5</v>
      </c>
      <c r="O955">
        <v>38</v>
      </c>
      <c r="P955">
        <v>1</v>
      </c>
      <c r="Q955">
        <v>3</v>
      </c>
      <c r="R955">
        <v>1</v>
      </c>
      <c r="S955">
        <v>2</v>
      </c>
      <c r="T955">
        <v>8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3</v>
      </c>
      <c r="AB955">
        <v>11</v>
      </c>
      <c r="AC955">
        <v>0</v>
      </c>
    </row>
    <row r="956" spans="1:29" x14ac:dyDescent="0.3">
      <c r="A956">
        <v>8146</v>
      </c>
      <c r="B956">
        <v>1976</v>
      </c>
      <c r="C956" t="s">
        <v>34</v>
      </c>
      <c r="D956" t="s">
        <v>31</v>
      </c>
      <c r="E956">
        <v>46106</v>
      </c>
      <c r="F956">
        <v>1</v>
      </c>
      <c r="G956">
        <v>1</v>
      </c>
      <c r="H956" s="1">
        <v>41770</v>
      </c>
      <c r="I956">
        <v>84</v>
      </c>
      <c r="J956">
        <v>30</v>
      </c>
      <c r="K956">
        <v>0</v>
      </c>
      <c r="L956">
        <v>8</v>
      </c>
      <c r="M956">
        <v>2</v>
      </c>
      <c r="N956">
        <v>0</v>
      </c>
      <c r="O956">
        <v>14</v>
      </c>
      <c r="P956">
        <v>1</v>
      </c>
      <c r="Q956">
        <v>1</v>
      </c>
      <c r="R956">
        <v>1</v>
      </c>
      <c r="S956">
        <v>2</v>
      </c>
      <c r="T956">
        <v>6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3</v>
      </c>
      <c r="AB956">
        <v>11</v>
      </c>
      <c r="AC956">
        <v>0</v>
      </c>
    </row>
    <row r="957" spans="1:29" x14ac:dyDescent="0.3">
      <c r="A957">
        <v>10031</v>
      </c>
      <c r="B957">
        <v>1976</v>
      </c>
      <c r="C957" t="s">
        <v>32</v>
      </c>
      <c r="D957" t="s">
        <v>33</v>
      </c>
      <c r="E957">
        <v>16927</v>
      </c>
      <c r="F957">
        <v>1</v>
      </c>
      <c r="G957">
        <v>1</v>
      </c>
      <c r="H957" s="1">
        <v>41315</v>
      </c>
      <c r="I957">
        <v>50</v>
      </c>
      <c r="J957">
        <v>20</v>
      </c>
      <c r="K957">
        <v>2</v>
      </c>
      <c r="L957">
        <v>23</v>
      </c>
      <c r="M957">
        <v>3</v>
      </c>
      <c r="N957">
        <v>1</v>
      </c>
      <c r="O957">
        <v>4</v>
      </c>
      <c r="P957">
        <v>5</v>
      </c>
      <c r="Q957">
        <v>3</v>
      </c>
      <c r="R957">
        <v>0</v>
      </c>
      <c r="S957">
        <v>4</v>
      </c>
      <c r="T957">
        <v>8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3</v>
      </c>
      <c r="AB957">
        <v>11</v>
      </c>
      <c r="AC957">
        <v>0</v>
      </c>
    </row>
    <row r="958" spans="1:29" x14ac:dyDescent="0.3">
      <c r="A958">
        <v>5748</v>
      </c>
      <c r="B958">
        <v>1965</v>
      </c>
      <c r="C958" t="s">
        <v>29</v>
      </c>
      <c r="D958" t="s">
        <v>33</v>
      </c>
      <c r="E958">
        <v>59754</v>
      </c>
      <c r="F958">
        <v>0</v>
      </c>
      <c r="G958">
        <v>1</v>
      </c>
      <c r="H958" s="1">
        <v>41244</v>
      </c>
      <c r="I958">
        <v>96</v>
      </c>
      <c r="J958">
        <v>115</v>
      </c>
      <c r="K958">
        <v>27</v>
      </c>
      <c r="L958">
        <v>44</v>
      </c>
      <c r="M958">
        <v>4</v>
      </c>
      <c r="N958">
        <v>146</v>
      </c>
      <c r="O958">
        <v>139</v>
      </c>
      <c r="P958">
        <v>3</v>
      </c>
      <c r="Q958">
        <v>5</v>
      </c>
      <c r="R958">
        <v>2</v>
      </c>
      <c r="S958">
        <v>6</v>
      </c>
      <c r="T958">
        <v>5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3</v>
      </c>
      <c r="AB958">
        <v>11</v>
      </c>
      <c r="AC958">
        <v>1</v>
      </c>
    </row>
    <row r="959" spans="1:29" x14ac:dyDescent="0.3">
      <c r="A959">
        <v>2134</v>
      </c>
      <c r="B959">
        <v>1952</v>
      </c>
      <c r="C959" t="s">
        <v>29</v>
      </c>
      <c r="D959" t="s">
        <v>30</v>
      </c>
      <c r="E959">
        <v>53700</v>
      </c>
      <c r="F959">
        <v>0</v>
      </c>
      <c r="G959">
        <v>1</v>
      </c>
      <c r="H959" s="1">
        <v>41138</v>
      </c>
      <c r="I959">
        <v>94</v>
      </c>
      <c r="J959">
        <v>263</v>
      </c>
      <c r="K959">
        <v>5</v>
      </c>
      <c r="L959">
        <v>233</v>
      </c>
      <c r="M959">
        <v>69</v>
      </c>
      <c r="N959">
        <v>41</v>
      </c>
      <c r="O959">
        <v>83</v>
      </c>
      <c r="P959">
        <v>4</v>
      </c>
      <c r="Q959">
        <v>5</v>
      </c>
      <c r="R959">
        <v>5</v>
      </c>
      <c r="S959">
        <v>8</v>
      </c>
      <c r="T959">
        <v>5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3</v>
      </c>
      <c r="AB959">
        <v>11</v>
      </c>
      <c r="AC959">
        <v>0</v>
      </c>
    </row>
    <row r="960" spans="1:29" x14ac:dyDescent="0.3">
      <c r="A960">
        <v>1523</v>
      </c>
      <c r="B960">
        <v>1973</v>
      </c>
      <c r="C960" t="s">
        <v>29</v>
      </c>
      <c r="D960" t="s">
        <v>33</v>
      </c>
      <c r="E960">
        <v>59041</v>
      </c>
      <c r="F960">
        <v>1</v>
      </c>
      <c r="G960">
        <v>1</v>
      </c>
      <c r="H960" s="1">
        <v>41766</v>
      </c>
      <c r="I960">
        <v>25</v>
      </c>
      <c r="J960">
        <v>69</v>
      </c>
      <c r="K960">
        <v>2</v>
      </c>
      <c r="L960">
        <v>15</v>
      </c>
      <c r="M960">
        <v>2</v>
      </c>
      <c r="N960">
        <v>2</v>
      </c>
      <c r="O960">
        <v>6</v>
      </c>
      <c r="P960">
        <v>2</v>
      </c>
      <c r="Q960">
        <v>2</v>
      </c>
      <c r="R960">
        <v>0</v>
      </c>
      <c r="S960">
        <v>4</v>
      </c>
      <c r="T960">
        <v>5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3</v>
      </c>
      <c r="AB960">
        <v>11</v>
      </c>
      <c r="AC960">
        <v>0</v>
      </c>
    </row>
    <row r="961" spans="1:29" x14ac:dyDescent="0.3">
      <c r="A961">
        <v>9665</v>
      </c>
      <c r="B961">
        <v>1957</v>
      </c>
      <c r="C961" t="s">
        <v>32</v>
      </c>
      <c r="D961" t="s">
        <v>35</v>
      </c>
      <c r="E961">
        <v>54237</v>
      </c>
      <c r="F961">
        <v>0</v>
      </c>
      <c r="G961">
        <v>1</v>
      </c>
      <c r="H961" s="1">
        <v>41391</v>
      </c>
      <c r="I961">
        <v>48</v>
      </c>
      <c r="J961">
        <v>267</v>
      </c>
      <c r="K961">
        <v>3</v>
      </c>
      <c r="L961">
        <v>30</v>
      </c>
      <c r="M961">
        <v>4</v>
      </c>
      <c r="N961">
        <v>0</v>
      </c>
      <c r="O961">
        <v>57</v>
      </c>
      <c r="P961">
        <v>4</v>
      </c>
      <c r="Q961">
        <v>5</v>
      </c>
      <c r="R961">
        <v>2</v>
      </c>
      <c r="S961">
        <v>5</v>
      </c>
      <c r="T961">
        <v>6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3</v>
      </c>
      <c r="AB961">
        <v>11</v>
      </c>
      <c r="AC961">
        <v>0</v>
      </c>
    </row>
    <row r="962" spans="1:29" x14ac:dyDescent="0.3">
      <c r="A962">
        <v>4640</v>
      </c>
      <c r="B962">
        <v>1967</v>
      </c>
      <c r="C962" t="s">
        <v>29</v>
      </c>
      <c r="D962" t="s">
        <v>35</v>
      </c>
      <c r="E962">
        <v>70647</v>
      </c>
      <c r="F962">
        <v>0</v>
      </c>
      <c r="G962">
        <v>1</v>
      </c>
      <c r="H962" s="1">
        <v>41173</v>
      </c>
      <c r="I962">
        <v>65</v>
      </c>
      <c r="J962">
        <v>561</v>
      </c>
      <c r="K962">
        <v>85</v>
      </c>
      <c r="L962">
        <v>171</v>
      </c>
      <c r="M962">
        <v>25</v>
      </c>
      <c r="N962">
        <v>123</v>
      </c>
      <c r="O962">
        <v>114</v>
      </c>
      <c r="P962">
        <v>2</v>
      </c>
      <c r="Q962">
        <v>4</v>
      </c>
      <c r="R962">
        <v>7</v>
      </c>
      <c r="S962">
        <v>13</v>
      </c>
      <c r="T962">
        <v>2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3</v>
      </c>
      <c r="AB962">
        <v>11</v>
      </c>
      <c r="AC962">
        <v>0</v>
      </c>
    </row>
    <row r="963" spans="1:29" x14ac:dyDescent="0.3">
      <c r="A963">
        <v>3635</v>
      </c>
      <c r="B963">
        <v>1962</v>
      </c>
      <c r="C963" t="s">
        <v>32</v>
      </c>
      <c r="D963" t="s">
        <v>30</v>
      </c>
      <c r="E963">
        <v>52597</v>
      </c>
      <c r="F963">
        <v>0</v>
      </c>
      <c r="G963">
        <v>1</v>
      </c>
      <c r="H963" s="1">
        <v>41766</v>
      </c>
      <c r="I963">
        <v>69</v>
      </c>
      <c r="J963">
        <v>492</v>
      </c>
      <c r="K963">
        <v>0</v>
      </c>
      <c r="L963">
        <v>37</v>
      </c>
      <c r="M963">
        <v>7</v>
      </c>
      <c r="N963">
        <v>0</v>
      </c>
      <c r="O963">
        <v>42</v>
      </c>
      <c r="P963">
        <v>3</v>
      </c>
      <c r="Q963">
        <v>6</v>
      </c>
      <c r="R963">
        <v>3</v>
      </c>
      <c r="S963">
        <v>8</v>
      </c>
      <c r="T963">
        <v>5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3</v>
      </c>
      <c r="AB963">
        <v>11</v>
      </c>
      <c r="AC963">
        <v>0</v>
      </c>
    </row>
    <row r="964" spans="1:29" x14ac:dyDescent="0.3">
      <c r="A964">
        <v>3547</v>
      </c>
      <c r="B964">
        <v>1969</v>
      </c>
      <c r="C964" t="s">
        <v>34</v>
      </c>
      <c r="D964" t="s">
        <v>31</v>
      </c>
      <c r="E964">
        <v>41021</v>
      </c>
      <c r="F964">
        <v>1</v>
      </c>
      <c r="G964">
        <v>0</v>
      </c>
      <c r="H964" s="1">
        <v>41273</v>
      </c>
      <c r="I964">
        <v>12</v>
      </c>
      <c r="J964">
        <v>14</v>
      </c>
      <c r="K964">
        <v>7</v>
      </c>
      <c r="L964">
        <v>9</v>
      </c>
      <c r="M964">
        <v>6</v>
      </c>
      <c r="N964">
        <v>16</v>
      </c>
      <c r="O964">
        <v>12</v>
      </c>
      <c r="P964">
        <v>2</v>
      </c>
      <c r="Q964">
        <v>2</v>
      </c>
      <c r="R964">
        <v>0</v>
      </c>
      <c r="S964">
        <v>3</v>
      </c>
      <c r="T964">
        <v>6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3</v>
      </c>
      <c r="AB964">
        <v>11</v>
      </c>
      <c r="AC964">
        <v>1</v>
      </c>
    </row>
    <row r="965" spans="1:29" x14ac:dyDescent="0.3">
      <c r="A965">
        <v>2456</v>
      </c>
      <c r="B965">
        <v>1975</v>
      </c>
      <c r="C965" t="s">
        <v>32</v>
      </c>
      <c r="D965" t="s">
        <v>33</v>
      </c>
      <c r="E965">
        <v>40233</v>
      </c>
      <c r="F965">
        <v>0</v>
      </c>
      <c r="G965">
        <v>1</v>
      </c>
      <c r="H965" s="1">
        <v>41561</v>
      </c>
      <c r="I965">
        <v>84</v>
      </c>
      <c r="J965">
        <v>80</v>
      </c>
      <c r="K965">
        <v>4</v>
      </c>
      <c r="L965">
        <v>46</v>
      </c>
      <c r="M965">
        <v>0</v>
      </c>
      <c r="N965">
        <v>17</v>
      </c>
      <c r="O965">
        <v>2</v>
      </c>
      <c r="P965">
        <v>5</v>
      </c>
      <c r="Q965">
        <v>2</v>
      </c>
      <c r="R965">
        <v>1</v>
      </c>
      <c r="S965">
        <v>5</v>
      </c>
      <c r="T965">
        <v>6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3</v>
      </c>
      <c r="AB965">
        <v>11</v>
      </c>
      <c r="AC965">
        <v>0</v>
      </c>
    </row>
    <row r="966" spans="1:29" x14ac:dyDescent="0.3">
      <c r="A966">
        <v>5633</v>
      </c>
      <c r="B966">
        <v>1980</v>
      </c>
      <c r="C966" t="s">
        <v>29</v>
      </c>
      <c r="D966" t="s">
        <v>33</v>
      </c>
      <c r="E966">
        <v>50183</v>
      </c>
      <c r="F966">
        <v>1</v>
      </c>
      <c r="G966">
        <v>1</v>
      </c>
      <c r="H966" s="1">
        <v>41815</v>
      </c>
      <c r="I966">
        <v>47</v>
      </c>
      <c r="J966">
        <v>97</v>
      </c>
      <c r="K966">
        <v>12</v>
      </c>
      <c r="L966">
        <v>84</v>
      </c>
      <c r="M966">
        <v>13</v>
      </c>
      <c r="N966">
        <v>10</v>
      </c>
      <c r="O966">
        <v>15</v>
      </c>
      <c r="P966">
        <v>7</v>
      </c>
      <c r="Q966">
        <v>3</v>
      </c>
      <c r="R966">
        <v>1</v>
      </c>
      <c r="S966">
        <v>6</v>
      </c>
      <c r="T966">
        <v>5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3</v>
      </c>
      <c r="AB966">
        <v>11</v>
      </c>
      <c r="AC966">
        <v>0</v>
      </c>
    </row>
    <row r="967" spans="1:29" x14ac:dyDescent="0.3">
      <c r="A967">
        <v>7801</v>
      </c>
      <c r="B967">
        <v>1959</v>
      </c>
      <c r="C967" t="s">
        <v>29</v>
      </c>
      <c r="D967" t="s">
        <v>31</v>
      </c>
      <c r="E967">
        <v>54753</v>
      </c>
      <c r="F967">
        <v>0</v>
      </c>
      <c r="G967">
        <v>1</v>
      </c>
      <c r="H967" s="1">
        <v>41529</v>
      </c>
      <c r="I967">
        <v>87</v>
      </c>
      <c r="J967">
        <v>197</v>
      </c>
      <c r="K967">
        <v>107</v>
      </c>
      <c r="L967">
        <v>227</v>
      </c>
      <c r="M967">
        <v>7</v>
      </c>
      <c r="N967">
        <v>59</v>
      </c>
      <c r="O967">
        <v>131</v>
      </c>
      <c r="P967">
        <v>3</v>
      </c>
      <c r="Q967">
        <v>5</v>
      </c>
      <c r="R967">
        <v>2</v>
      </c>
      <c r="S967">
        <v>11</v>
      </c>
      <c r="T967">
        <v>4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3</v>
      </c>
      <c r="AB967">
        <v>11</v>
      </c>
      <c r="AC967">
        <v>0</v>
      </c>
    </row>
    <row r="968" spans="1:29" x14ac:dyDescent="0.3">
      <c r="A968">
        <v>10489</v>
      </c>
      <c r="B968">
        <v>1973</v>
      </c>
      <c r="C968" t="s">
        <v>29</v>
      </c>
      <c r="D968" t="s">
        <v>33</v>
      </c>
      <c r="E968">
        <v>92955</v>
      </c>
      <c r="F968">
        <v>0</v>
      </c>
      <c r="G968">
        <v>0</v>
      </c>
      <c r="H968" s="1">
        <v>41505</v>
      </c>
      <c r="I968">
        <v>35</v>
      </c>
      <c r="J968">
        <v>693</v>
      </c>
      <c r="K968">
        <v>21</v>
      </c>
      <c r="L968">
        <v>925</v>
      </c>
      <c r="M968">
        <v>31</v>
      </c>
      <c r="N968">
        <v>24</v>
      </c>
      <c r="O968">
        <v>84</v>
      </c>
      <c r="P968">
        <v>1</v>
      </c>
      <c r="Q968">
        <v>6</v>
      </c>
      <c r="R968">
        <v>7</v>
      </c>
      <c r="S968">
        <v>9</v>
      </c>
      <c r="T968">
        <v>2</v>
      </c>
      <c r="U968">
        <v>0</v>
      </c>
      <c r="V968">
        <v>0</v>
      </c>
      <c r="W968">
        <v>1</v>
      </c>
      <c r="X968">
        <v>1</v>
      </c>
      <c r="Y968">
        <v>0</v>
      </c>
      <c r="Z968">
        <v>0</v>
      </c>
      <c r="AA968">
        <v>3</v>
      </c>
      <c r="AB968">
        <v>11</v>
      </c>
      <c r="AC968">
        <v>1</v>
      </c>
    </row>
    <row r="969" spans="1:29" x14ac:dyDescent="0.3">
      <c r="A969">
        <v>7011</v>
      </c>
      <c r="B969">
        <v>1973</v>
      </c>
      <c r="C969" t="s">
        <v>29</v>
      </c>
      <c r="D969" t="s">
        <v>33</v>
      </c>
      <c r="E969">
        <v>33471</v>
      </c>
      <c r="F969">
        <v>1</v>
      </c>
      <c r="G969">
        <v>0</v>
      </c>
      <c r="H969" s="1">
        <v>41194</v>
      </c>
      <c r="I969">
        <v>47</v>
      </c>
      <c r="J969">
        <v>43</v>
      </c>
      <c r="K969">
        <v>2</v>
      </c>
      <c r="L969">
        <v>27</v>
      </c>
      <c r="M969">
        <v>0</v>
      </c>
      <c r="N969">
        <v>9</v>
      </c>
      <c r="O969">
        <v>12</v>
      </c>
      <c r="P969">
        <v>3</v>
      </c>
      <c r="Q969">
        <v>3</v>
      </c>
      <c r="R969">
        <v>0</v>
      </c>
      <c r="S969">
        <v>4</v>
      </c>
      <c r="T969">
        <v>7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3</v>
      </c>
      <c r="AB969">
        <v>11</v>
      </c>
      <c r="AC969">
        <v>0</v>
      </c>
    </row>
    <row r="970" spans="1:29" x14ac:dyDescent="0.3">
      <c r="A970">
        <v>2620</v>
      </c>
      <c r="B970">
        <v>1974</v>
      </c>
      <c r="C970" t="s">
        <v>32</v>
      </c>
      <c r="D970" t="s">
        <v>33</v>
      </c>
      <c r="E970">
        <v>34596</v>
      </c>
      <c r="F970">
        <v>1</v>
      </c>
      <c r="G970">
        <v>0</v>
      </c>
      <c r="H970" s="1">
        <v>41377</v>
      </c>
      <c r="I970">
        <v>48</v>
      </c>
      <c r="J970">
        <v>14</v>
      </c>
      <c r="K970">
        <v>0</v>
      </c>
      <c r="L970">
        <v>2</v>
      </c>
      <c r="M970">
        <v>0</v>
      </c>
      <c r="N970">
        <v>0</v>
      </c>
      <c r="O970">
        <v>7</v>
      </c>
      <c r="P970">
        <v>1</v>
      </c>
      <c r="Q970">
        <v>1</v>
      </c>
      <c r="R970">
        <v>0</v>
      </c>
      <c r="S970">
        <v>2</v>
      </c>
      <c r="T970">
        <v>8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3</v>
      </c>
      <c r="AB970">
        <v>11</v>
      </c>
      <c r="AC970">
        <v>1</v>
      </c>
    </row>
    <row r="971" spans="1:29" x14ac:dyDescent="0.3">
      <c r="A971">
        <v>3933</v>
      </c>
      <c r="B971">
        <v>1980</v>
      </c>
      <c r="C971" t="s">
        <v>29</v>
      </c>
      <c r="D971" t="s">
        <v>31</v>
      </c>
      <c r="E971">
        <v>44010</v>
      </c>
      <c r="F971">
        <v>1</v>
      </c>
      <c r="G971">
        <v>0</v>
      </c>
      <c r="H971" s="1">
        <v>41195</v>
      </c>
      <c r="I971">
        <v>46</v>
      </c>
      <c r="J971">
        <v>186</v>
      </c>
      <c r="K971">
        <v>36</v>
      </c>
      <c r="L971">
        <v>234</v>
      </c>
      <c r="M971">
        <v>86</v>
      </c>
      <c r="N971">
        <v>72</v>
      </c>
      <c r="O971">
        <v>48</v>
      </c>
      <c r="P971">
        <v>6</v>
      </c>
      <c r="Q971">
        <v>10</v>
      </c>
      <c r="R971">
        <v>2</v>
      </c>
      <c r="S971">
        <v>6</v>
      </c>
      <c r="T971">
        <v>9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3</v>
      </c>
      <c r="AB971">
        <v>11</v>
      </c>
      <c r="AC971">
        <v>0</v>
      </c>
    </row>
    <row r="972" spans="1:29" x14ac:dyDescent="0.3">
      <c r="A972">
        <v>10981</v>
      </c>
      <c r="B972">
        <v>1988</v>
      </c>
      <c r="C972" t="s">
        <v>29</v>
      </c>
      <c r="D972" t="s">
        <v>33</v>
      </c>
      <c r="E972">
        <v>84219</v>
      </c>
      <c r="F972">
        <v>0</v>
      </c>
      <c r="G972">
        <v>0</v>
      </c>
      <c r="H972" s="1">
        <v>41672</v>
      </c>
      <c r="I972">
        <v>27</v>
      </c>
      <c r="J972">
        <v>434</v>
      </c>
      <c r="K972">
        <v>137</v>
      </c>
      <c r="L972">
        <v>400</v>
      </c>
      <c r="M972">
        <v>45</v>
      </c>
      <c r="N972">
        <v>137</v>
      </c>
      <c r="O972">
        <v>45</v>
      </c>
      <c r="P972">
        <v>1</v>
      </c>
      <c r="Q972">
        <v>3</v>
      </c>
      <c r="R972">
        <v>4</v>
      </c>
      <c r="S972">
        <v>10</v>
      </c>
      <c r="T972">
        <v>1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3</v>
      </c>
      <c r="AB972">
        <v>11</v>
      </c>
      <c r="AC972">
        <v>0</v>
      </c>
    </row>
    <row r="973" spans="1:29" x14ac:dyDescent="0.3">
      <c r="A973">
        <v>1734</v>
      </c>
      <c r="B973">
        <v>1968</v>
      </c>
      <c r="C973" t="s">
        <v>32</v>
      </c>
      <c r="D973" t="s">
        <v>31</v>
      </c>
      <c r="E973">
        <v>40706</v>
      </c>
      <c r="F973">
        <v>2</v>
      </c>
      <c r="G973">
        <v>1</v>
      </c>
      <c r="H973" s="1">
        <v>41291</v>
      </c>
      <c r="I973">
        <v>37</v>
      </c>
      <c r="J973">
        <v>59</v>
      </c>
      <c r="K973">
        <v>0</v>
      </c>
      <c r="L973">
        <v>11</v>
      </c>
      <c r="M973">
        <v>4</v>
      </c>
      <c r="N973">
        <v>2</v>
      </c>
      <c r="O973">
        <v>5</v>
      </c>
      <c r="P973">
        <v>4</v>
      </c>
      <c r="Q973">
        <v>3</v>
      </c>
      <c r="R973">
        <v>0</v>
      </c>
      <c r="S973">
        <v>4</v>
      </c>
      <c r="T973">
        <v>7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3</v>
      </c>
      <c r="AB973">
        <v>11</v>
      </c>
      <c r="AC973">
        <v>0</v>
      </c>
    </row>
    <row r="974" spans="1:29" x14ac:dyDescent="0.3">
      <c r="A974">
        <v>10995</v>
      </c>
      <c r="B974">
        <v>1988</v>
      </c>
      <c r="C974" t="s">
        <v>37</v>
      </c>
      <c r="D974" t="s">
        <v>33</v>
      </c>
      <c r="E974">
        <v>15716</v>
      </c>
      <c r="F974">
        <v>1</v>
      </c>
      <c r="G974">
        <v>0</v>
      </c>
      <c r="H974" s="1">
        <v>41225</v>
      </c>
      <c r="I974">
        <v>8</v>
      </c>
      <c r="J974">
        <v>16</v>
      </c>
      <c r="K974">
        <v>5</v>
      </c>
      <c r="L974">
        <v>30</v>
      </c>
      <c r="M974">
        <v>8</v>
      </c>
      <c r="N974">
        <v>7</v>
      </c>
      <c r="O974">
        <v>26</v>
      </c>
      <c r="P974">
        <v>3</v>
      </c>
      <c r="Q974">
        <v>3</v>
      </c>
      <c r="R974">
        <v>0</v>
      </c>
      <c r="S974">
        <v>4</v>
      </c>
      <c r="T974">
        <v>8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1</v>
      </c>
      <c r="AA974">
        <v>3</v>
      </c>
      <c r="AB974">
        <v>11</v>
      </c>
      <c r="AC974">
        <v>0</v>
      </c>
    </row>
    <row r="975" spans="1:29" x14ac:dyDescent="0.3">
      <c r="A975">
        <v>6357</v>
      </c>
      <c r="B975">
        <v>1959</v>
      </c>
      <c r="C975" t="s">
        <v>37</v>
      </c>
      <c r="D975" t="s">
        <v>35</v>
      </c>
      <c r="E975">
        <v>59052</v>
      </c>
      <c r="F975">
        <v>0</v>
      </c>
      <c r="G975">
        <v>1</v>
      </c>
      <c r="H975" s="1">
        <v>41595</v>
      </c>
      <c r="I975">
        <v>29</v>
      </c>
      <c r="J975">
        <v>230</v>
      </c>
      <c r="K975">
        <v>35</v>
      </c>
      <c r="L975">
        <v>75</v>
      </c>
      <c r="M975">
        <v>63</v>
      </c>
      <c r="N975">
        <v>57</v>
      </c>
      <c r="O975">
        <v>31</v>
      </c>
      <c r="P975">
        <v>3</v>
      </c>
      <c r="Q975">
        <v>7</v>
      </c>
      <c r="R975">
        <v>1</v>
      </c>
      <c r="S975">
        <v>7</v>
      </c>
      <c r="T975">
        <v>5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3</v>
      </c>
      <c r="AB975">
        <v>11</v>
      </c>
      <c r="AC975">
        <v>0</v>
      </c>
    </row>
    <row r="976" spans="1:29" x14ac:dyDescent="0.3">
      <c r="A976">
        <v>9209</v>
      </c>
      <c r="B976">
        <v>1971</v>
      </c>
      <c r="C976" t="s">
        <v>34</v>
      </c>
      <c r="D976" t="s">
        <v>31</v>
      </c>
      <c r="E976">
        <v>80573</v>
      </c>
      <c r="F976">
        <v>0</v>
      </c>
      <c r="G976">
        <v>0</v>
      </c>
      <c r="H976" s="1">
        <v>41196</v>
      </c>
      <c r="I976">
        <v>85</v>
      </c>
      <c r="J976">
        <v>829</v>
      </c>
      <c r="K976">
        <v>138</v>
      </c>
      <c r="L976">
        <v>430</v>
      </c>
      <c r="M976">
        <v>60</v>
      </c>
      <c r="N976">
        <v>92</v>
      </c>
      <c r="O976">
        <v>15</v>
      </c>
      <c r="P976">
        <v>1</v>
      </c>
      <c r="Q976">
        <v>4</v>
      </c>
      <c r="R976">
        <v>6</v>
      </c>
      <c r="S976">
        <v>13</v>
      </c>
      <c r="T976">
        <v>2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3</v>
      </c>
      <c r="AB976">
        <v>11</v>
      </c>
      <c r="AC976">
        <v>0</v>
      </c>
    </row>
    <row r="977" spans="1:29" x14ac:dyDescent="0.3">
      <c r="A977">
        <v>10286</v>
      </c>
      <c r="B977">
        <v>1962</v>
      </c>
      <c r="C977" t="s">
        <v>29</v>
      </c>
      <c r="D977" t="s">
        <v>33</v>
      </c>
      <c r="E977">
        <v>83715</v>
      </c>
      <c r="F977">
        <v>0</v>
      </c>
      <c r="G977">
        <v>0</v>
      </c>
      <c r="H977" s="1">
        <v>41673</v>
      </c>
      <c r="I977">
        <v>2</v>
      </c>
      <c r="J977">
        <v>318</v>
      </c>
      <c r="K977">
        <v>8</v>
      </c>
      <c r="L977">
        <v>407</v>
      </c>
      <c r="M977">
        <v>150</v>
      </c>
      <c r="N977">
        <v>35</v>
      </c>
      <c r="O977">
        <v>8</v>
      </c>
      <c r="P977">
        <v>1</v>
      </c>
      <c r="Q977">
        <v>2</v>
      </c>
      <c r="R977">
        <v>8</v>
      </c>
      <c r="S977">
        <v>13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3</v>
      </c>
      <c r="AB977">
        <v>11</v>
      </c>
      <c r="AC977">
        <v>0</v>
      </c>
    </row>
    <row r="978" spans="1:29" x14ac:dyDescent="0.3">
      <c r="A978">
        <v>2611</v>
      </c>
      <c r="B978">
        <v>1959</v>
      </c>
      <c r="C978" t="s">
        <v>34</v>
      </c>
      <c r="D978" t="s">
        <v>31</v>
      </c>
      <c r="E978">
        <v>82576</v>
      </c>
      <c r="F978">
        <v>0</v>
      </c>
      <c r="G978">
        <v>0</v>
      </c>
      <c r="H978" s="1">
        <v>41122</v>
      </c>
      <c r="I978">
        <v>66</v>
      </c>
      <c r="J978">
        <v>1206</v>
      </c>
      <c r="K978">
        <v>55</v>
      </c>
      <c r="L978">
        <v>445</v>
      </c>
      <c r="M978">
        <v>168</v>
      </c>
      <c r="N978">
        <v>18</v>
      </c>
      <c r="O978">
        <v>18</v>
      </c>
      <c r="P978">
        <v>1</v>
      </c>
      <c r="Q978">
        <v>2</v>
      </c>
      <c r="R978">
        <v>4</v>
      </c>
      <c r="S978">
        <v>12</v>
      </c>
      <c r="T978">
        <v>1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3</v>
      </c>
      <c r="AB978">
        <v>11</v>
      </c>
      <c r="AC978">
        <v>0</v>
      </c>
    </row>
    <row r="979" spans="1:29" x14ac:dyDescent="0.3">
      <c r="A979">
        <v>1600</v>
      </c>
      <c r="B979">
        <v>1965</v>
      </c>
      <c r="C979" t="s">
        <v>34</v>
      </c>
      <c r="D979" t="s">
        <v>33</v>
      </c>
      <c r="E979">
        <v>56962</v>
      </c>
      <c r="F979">
        <v>2</v>
      </c>
      <c r="G979">
        <v>1</v>
      </c>
      <c r="H979" s="1">
        <v>41558</v>
      </c>
      <c r="I979">
        <v>60</v>
      </c>
      <c r="J979">
        <v>292</v>
      </c>
      <c r="K979">
        <v>3</v>
      </c>
      <c r="L979">
        <v>77</v>
      </c>
      <c r="M979">
        <v>10</v>
      </c>
      <c r="N979">
        <v>3</v>
      </c>
      <c r="O979">
        <v>26</v>
      </c>
      <c r="P979">
        <v>7</v>
      </c>
      <c r="Q979">
        <v>6</v>
      </c>
      <c r="R979">
        <v>3</v>
      </c>
      <c r="S979">
        <v>5</v>
      </c>
      <c r="T979">
        <v>7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3</v>
      </c>
      <c r="AB979">
        <v>11</v>
      </c>
      <c r="AC979">
        <v>0</v>
      </c>
    </row>
    <row r="980" spans="1:29" x14ac:dyDescent="0.3">
      <c r="A980">
        <v>3308</v>
      </c>
      <c r="B980">
        <v>1952</v>
      </c>
      <c r="C980" t="s">
        <v>29</v>
      </c>
      <c r="D980" t="s">
        <v>33</v>
      </c>
      <c r="E980">
        <v>35704</v>
      </c>
      <c r="F980">
        <v>1</v>
      </c>
      <c r="G980">
        <v>1</v>
      </c>
      <c r="H980" s="1">
        <v>41642</v>
      </c>
      <c r="I980">
        <v>54</v>
      </c>
      <c r="J980">
        <v>30</v>
      </c>
      <c r="K980">
        <v>9</v>
      </c>
      <c r="L980">
        <v>12</v>
      </c>
      <c r="M980">
        <v>2</v>
      </c>
      <c r="N980">
        <v>11</v>
      </c>
      <c r="O980">
        <v>30</v>
      </c>
      <c r="P980">
        <v>3</v>
      </c>
      <c r="Q980">
        <v>2</v>
      </c>
      <c r="R980">
        <v>0</v>
      </c>
      <c r="S980">
        <v>4</v>
      </c>
      <c r="T980">
        <v>4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3</v>
      </c>
      <c r="AB980">
        <v>11</v>
      </c>
      <c r="AC980">
        <v>0</v>
      </c>
    </row>
    <row r="981" spans="1:29" x14ac:dyDescent="0.3">
      <c r="A981">
        <v>5407</v>
      </c>
      <c r="B981">
        <v>1954</v>
      </c>
      <c r="C981" t="s">
        <v>29</v>
      </c>
      <c r="D981" t="s">
        <v>31</v>
      </c>
      <c r="E981">
        <v>53103</v>
      </c>
      <c r="F981">
        <v>0</v>
      </c>
      <c r="G981">
        <v>1</v>
      </c>
      <c r="H981" s="1">
        <v>41529</v>
      </c>
      <c r="I981">
        <v>70</v>
      </c>
      <c r="J981">
        <v>729</v>
      </c>
      <c r="K981">
        <v>17</v>
      </c>
      <c r="L981">
        <v>133</v>
      </c>
      <c r="M981">
        <v>11</v>
      </c>
      <c r="N981">
        <v>0</v>
      </c>
      <c r="O981">
        <v>195</v>
      </c>
      <c r="P981">
        <v>5</v>
      </c>
      <c r="Q981">
        <v>10</v>
      </c>
      <c r="R981">
        <v>6</v>
      </c>
      <c r="S981">
        <v>7</v>
      </c>
      <c r="T981">
        <v>7</v>
      </c>
      <c r="U981">
        <v>1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3</v>
      </c>
      <c r="AB981">
        <v>11</v>
      </c>
      <c r="AC981">
        <v>0</v>
      </c>
    </row>
    <row r="982" spans="1:29" x14ac:dyDescent="0.3">
      <c r="A982">
        <v>2166</v>
      </c>
      <c r="B982">
        <v>1960</v>
      </c>
      <c r="C982" t="s">
        <v>37</v>
      </c>
      <c r="D982" t="s">
        <v>38</v>
      </c>
      <c r="E982">
        <v>46779</v>
      </c>
      <c r="F982">
        <v>1</v>
      </c>
      <c r="G982">
        <v>1</v>
      </c>
      <c r="H982" s="1">
        <v>41467</v>
      </c>
      <c r="I982">
        <v>55</v>
      </c>
      <c r="J982">
        <v>12</v>
      </c>
      <c r="K982">
        <v>1</v>
      </c>
      <c r="L982">
        <v>3</v>
      </c>
      <c r="M982">
        <v>0</v>
      </c>
      <c r="N982">
        <v>0</v>
      </c>
      <c r="O982">
        <v>7</v>
      </c>
      <c r="P982">
        <v>1</v>
      </c>
      <c r="Q982">
        <v>0</v>
      </c>
      <c r="R982">
        <v>1</v>
      </c>
      <c r="S982">
        <v>2</v>
      </c>
      <c r="T982">
        <v>4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3</v>
      </c>
      <c r="AB982">
        <v>11</v>
      </c>
      <c r="AC982">
        <v>0</v>
      </c>
    </row>
    <row r="983" spans="1:29" x14ac:dyDescent="0.3">
      <c r="A983">
        <v>3955</v>
      </c>
      <c r="B983">
        <v>1965</v>
      </c>
      <c r="C983" t="s">
        <v>29</v>
      </c>
      <c r="D983" t="s">
        <v>35</v>
      </c>
      <c r="E983">
        <v>4861</v>
      </c>
      <c r="F983">
        <v>0</v>
      </c>
      <c r="G983">
        <v>0</v>
      </c>
      <c r="H983" s="1">
        <v>41812</v>
      </c>
      <c r="I983">
        <v>20</v>
      </c>
      <c r="J983">
        <v>2</v>
      </c>
      <c r="K983">
        <v>1</v>
      </c>
      <c r="L983">
        <v>1</v>
      </c>
      <c r="M983">
        <v>1</v>
      </c>
      <c r="N983">
        <v>0</v>
      </c>
      <c r="O983">
        <v>1</v>
      </c>
      <c r="P983">
        <v>0</v>
      </c>
      <c r="Q983">
        <v>0</v>
      </c>
      <c r="R983">
        <v>0</v>
      </c>
      <c r="S983">
        <v>0</v>
      </c>
      <c r="T983">
        <v>14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3</v>
      </c>
      <c r="AB983">
        <v>11</v>
      </c>
      <c r="AC983">
        <v>0</v>
      </c>
    </row>
    <row r="984" spans="1:29" x14ac:dyDescent="0.3">
      <c r="A984">
        <v>6634</v>
      </c>
      <c r="B984">
        <v>1979</v>
      </c>
      <c r="C984" t="s">
        <v>34</v>
      </c>
      <c r="D984" t="s">
        <v>35</v>
      </c>
      <c r="E984">
        <v>33462</v>
      </c>
      <c r="F984">
        <v>1</v>
      </c>
      <c r="G984">
        <v>0</v>
      </c>
      <c r="H984" s="1">
        <v>41493</v>
      </c>
      <c r="I984">
        <v>78</v>
      </c>
      <c r="J984">
        <v>22</v>
      </c>
      <c r="K984">
        <v>3</v>
      </c>
      <c r="L984">
        <v>18</v>
      </c>
      <c r="M984">
        <v>0</v>
      </c>
      <c r="N984">
        <v>0</v>
      </c>
      <c r="O984">
        <v>11</v>
      </c>
      <c r="P984">
        <v>1</v>
      </c>
      <c r="Q984">
        <v>2</v>
      </c>
      <c r="R984">
        <v>0</v>
      </c>
      <c r="S984">
        <v>3</v>
      </c>
      <c r="T984">
        <v>7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3</v>
      </c>
      <c r="AB984">
        <v>11</v>
      </c>
      <c r="AC984">
        <v>0</v>
      </c>
    </row>
    <row r="985" spans="1:29" x14ac:dyDescent="0.3">
      <c r="A985">
        <v>3056</v>
      </c>
      <c r="B985">
        <v>1978</v>
      </c>
      <c r="C985" t="s">
        <v>29</v>
      </c>
      <c r="D985" t="s">
        <v>35</v>
      </c>
      <c r="E985">
        <v>63693</v>
      </c>
      <c r="F985">
        <v>0</v>
      </c>
      <c r="G985">
        <v>1</v>
      </c>
      <c r="H985" s="1">
        <v>41561</v>
      </c>
      <c r="I985">
        <v>63</v>
      </c>
      <c r="J985">
        <v>587</v>
      </c>
      <c r="K985">
        <v>43</v>
      </c>
      <c r="L985">
        <v>337</v>
      </c>
      <c r="M985">
        <v>42</v>
      </c>
      <c r="N985">
        <v>87</v>
      </c>
      <c r="O985">
        <v>54</v>
      </c>
      <c r="P985">
        <v>3</v>
      </c>
      <c r="Q985">
        <v>11</v>
      </c>
      <c r="R985">
        <v>6</v>
      </c>
      <c r="S985">
        <v>9</v>
      </c>
      <c r="T985">
        <v>6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3</v>
      </c>
      <c r="AB985">
        <v>11</v>
      </c>
      <c r="AC985">
        <v>0</v>
      </c>
    </row>
    <row r="986" spans="1:29" x14ac:dyDescent="0.3">
      <c r="A986">
        <v>5718</v>
      </c>
      <c r="B986">
        <v>1950</v>
      </c>
      <c r="C986" t="s">
        <v>29</v>
      </c>
      <c r="D986" t="s">
        <v>33</v>
      </c>
      <c r="E986">
        <v>80763</v>
      </c>
      <c r="F986">
        <v>0</v>
      </c>
      <c r="G986">
        <v>0</v>
      </c>
      <c r="H986" s="1">
        <v>41501</v>
      </c>
      <c r="I986">
        <v>17</v>
      </c>
      <c r="J986">
        <v>674</v>
      </c>
      <c r="K986">
        <v>168</v>
      </c>
      <c r="L986">
        <v>108</v>
      </c>
      <c r="M986">
        <v>192</v>
      </c>
      <c r="N986">
        <v>42</v>
      </c>
      <c r="O986">
        <v>231</v>
      </c>
      <c r="P986">
        <v>1</v>
      </c>
      <c r="Q986">
        <v>5</v>
      </c>
      <c r="R986">
        <v>11</v>
      </c>
      <c r="S986">
        <v>6</v>
      </c>
      <c r="T986">
        <v>3</v>
      </c>
      <c r="U986">
        <v>0</v>
      </c>
      <c r="V986">
        <v>0</v>
      </c>
      <c r="W986">
        <v>1</v>
      </c>
      <c r="X986">
        <v>1</v>
      </c>
      <c r="Y986">
        <v>0</v>
      </c>
      <c r="Z986">
        <v>0</v>
      </c>
      <c r="AA986">
        <v>3</v>
      </c>
      <c r="AB986">
        <v>11</v>
      </c>
      <c r="AC986">
        <v>1</v>
      </c>
    </row>
    <row r="987" spans="1:29" x14ac:dyDescent="0.3">
      <c r="A987">
        <v>6872</v>
      </c>
      <c r="B987">
        <v>1974</v>
      </c>
      <c r="C987" t="s">
        <v>32</v>
      </c>
      <c r="D987" t="s">
        <v>33</v>
      </c>
      <c r="E987">
        <v>65352</v>
      </c>
      <c r="F987">
        <v>0</v>
      </c>
      <c r="G987">
        <v>1</v>
      </c>
      <c r="H987" s="1">
        <v>41507</v>
      </c>
      <c r="I987">
        <v>43</v>
      </c>
      <c r="J987">
        <v>284</v>
      </c>
      <c r="K987">
        <v>3</v>
      </c>
      <c r="L987">
        <v>84</v>
      </c>
      <c r="M987">
        <v>4</v>
      </c>
      <c r="N987">
        <v>7</v>
      </c>
      <c r="O987">
        <v>23</v>
      </c>
      <c r="P987">
        <v>2</v>
      </c>
      <c r="Q987">
        <v>4</v>
      </c>
      <c r="R987">
        <v>2</v>
      </c>
      <c r="S987">
        <v>8</v>
      </c>
      <c r="T987">
        <v>4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3</v>
      </c>
      <c r="AB987">
        <v>11</v>
      </c>
      <c r="AC987">
        <v>0</v>
      </c>
    </row>
    <row r="988" spans="1:29" x14ac:dyDescent="0.3">
      <c r="A988">
        <v>8164</v>
      </c>
      <c r="B988">
        <v>1978</v>
      </c>
      <c r="C988" t="s">
        <v>32</v>
      </c>
      <c r="D988" t="s">
        <v>33</v>
      </c>
      <c r="E988">
        <v>82170</v>
      </c>
      <c r="F988">
        <v>0</v>
      </c>
      <c r="G988">
        <v>0</v>
      </c>
      <c r="H988" s="1">
        <v>41603</v>
      </c>
      <c r="I988">
        <v>13</v>
      </c>
      <c r="J988">
        <v>1023</v>
      </c>
      <c r="K988">
        <v>93</v>
      </c>
      <c r="L988">
        <v>651</v>
      </c>
      <c r="M988">
        <v>49</v>
      </c>
      <c r="N988">
        <v>55</v>
      </c>
      <c r="O988">
        <v>37</v>
      </c>
      <c r="P988">
        <v>1</v>
      </c>
      <c r="Q988">
        <v>5</v>
      </c>
      <c r="R988">
        <v>6</v>
      </c>
      <c r="S988">
        <v>7</v>
      </c>
      <c r="T988">
        <v>2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3</v>
      </c>
      <c r="AB988">
        <v>11</v>
      </c>
      <c r="AC988">
        <v>0</v>
      </c>
    </row>
    <row r="989" spans="1:29" x14ac:dyDescent="0.3">
      <c r="A989">
        <v>4580</v>
      </c>
      <c r="B989">
        <v>1969</v>
      </c>
      <c r="C989" t="s">
        <v>29</v>
      </c>
      <c r="D989" t="s">
        <v>33</v>
      </c>
      <c r="E989">
        <v>75759</v>
      </c>
      <c r="F989">
        <v>0</v>
      </c>
      <c r="G989">
        <v>0</v>
      </c>
      <c r="H989" s="1">
        <v>41572</v>
      </c>
      <c r="I989">
        <v>46</v>
      </c>
      <c r="J989">
        <v>1394</v>
      </c>
      <c r="K989">
        <v>22</v>
      </c>
      <c r="L989">
        <v>708</v>
      </c>
      <c r="M989">
        <v>89</v>
      </c>
      <c r="N989">
        <v>91</v>
      </c>
      <c r="O989">
        <v>182</v>
      </c>
      <c r="P989">
        <v>1</v>
      </c>
      <c r="Q989">
        <v>9</v>
      </c>
      <c r="R989">
        <v>7</v>
      </c>
      <c r="S989">
        <v>9</v>
      </c>
      <c r="T989">
        <v>5</v>
      </c>
      <c r="U989">
        <v>1</v>
      </c>
      <c r="V989">
        <v>0</v>
      </c>
      <c r="W989">
        <v>1</v>
      </c>
      <c r="X989">
        <v>1</v>
      </c>
      <c r="Y989">
        <v>0</v>
      </c>
      <c r="Z989">
        <v>0</v>
      </c>
      <c r="AA989">
        <v>3</v>
      </c>
      <c r="AB989">
        <v>11</v>
      </c>
      <c r="AC989">
        <v>1</v>
      </c>
    </row>
    <row r="990" spans="1:29" x14ac:dyDescent="0.3">
      <c r="A990">
        <v>9305</v>
      </c>
      <c r="B990">
        <v>1976</v>
      </c>
      <c r="C990" t="s">
        <v>37</v>
      </c>
      <c r="D990" t="s">
        <v>30</v>
      </c>
      <c r="E990">
        <v>79689</v>
      </c>
      <c r="F990">
        <v>0</v>
      </c>
      <c r="G990">
        <v>0</v>
      </c>
      <c r="H990" s="1">
        <v>41406</v>
      </c>
      <c r="I990">
        <v>65</v>
      </c>
      <c r="J990">
        <v>311</v>
      </c>
      <c r="K990">
        <v>26</v>
      </c>
      <c r="L990">
        <v>640</v>
      </c>
      <c r="M990">
        <v>180</v>
      </c>
      <c r="N990">
        <v>37</v>
      </c>
      <c r="O990">
        <v>121</v>
      </c>
      <c r="P990">
        <v>1</v>
      </c>
      <c r="Q990">
        <v>4</v>
      </c>
      <c r="R990">
        <v>9</v>
      </c>
      <c r="S990">
        <v>13</v>
      </c>
      <c r="T990">
        <v>2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3</v>
      </c>
      <c r="AB990">
        <v>11</v>
      </c>
      <c r="AC990">
        <v>0</v>
      </c>
    </row>
    <row r="991" spans="1:29" x14ac:dyDescent="0.3">
      <c r="A991">
        <v>453</v>
      </c>
      <c r="B991">
        <v>1956</v>
      </c>
      <c r="C991" t="s">
        <v>32</v>
      </c>
      <c r="D991" t="s">
        <v>38</v>
      </c>
      <c r="E991">
        <v>35340</v>
      </c>
      <c r="F991">
        <v>1</v>
      </c>
      <c r="G991">
        <v>1</v>
      </c>
      <c r="H991" s="1">
        <v>41819</v>
      </c>
      <c r="I991">
        <v>1</v>
      </c>
      <c r="J991">
        <v>27</v>
      </c>
      <c r="K991">
        <v>0</v>
      </c>
      <c r="L991">
        <v>12</v>
      </c>
      <c r="M991">
        <v>0</v>
      </c>
      <c r="N991">
        <v>1</v>
      </c>
      <c r="O991">
        <v>5</v>
      </c>
      <c r="P991">
        <v>2</v>
      </c>
      <c r="Q991">
        <v>2</v>
      </c>
      <c r="R991">
        <v>0</v>
      </c>
      <c r="S991">
        <v>3</v>
      </c>
      <c r="T991">
        <v>5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3</v>
      </c>
      <c r="AB991">
        <v>11</v>
      </c>
      <c r="AC991">
        <v>0</v>
      </c>
    </row>
    <row r="992" spans="1:29" x14ac:dyDescent="0.3">
      <c r="A992">
        <v>8545</v>
      </c>
      <c r="B992">
        <v>1954</v>
      </c>
      <c r="C992" t="s">
        <v>29</v>
      </c>
      <c r="D992" t="s">
        <v>35</v>
      </c>
      <c r="E992">
        <v>85683</v>
      </c>
      <c r="F992">
        <v>0</v>
      </c>
      <c r="G992">
        <v>0</v>
      </c>
      <c r="H992" s="1">
        <v>41719</v>
      </c>
      <c r="I992">
        <v>6</v>
      </c>
      <c r="J992">
        <v>1296</v>
      </c>
      <c r="K992">
        <v>17</v>
      </c>
      <c r="L992">
        <v>311</v>
      </c>
      <c r="M992">
        <v>45</v>
      </c>
      <c r="N992">
        <v>69</v>
      </c>
      <c r="O992">
        <v>51</v>
      </c>
      <c r="P992">
        <v>1</v>
      </c>
      <c r="Q992">
        <v>2</v>
      </c>
      <c r="R992">
        <v>4</v>
      </c>
      <c r="S992">
        <v>10</v>
      </c>
      <c r="T992">
        <v>1</v>
      </c>
      <c r="U992">
        <v>0</v>
      </c>
      <c r="V992">
        <v>1</v>
      </c>
      <c r="W992">
        <v>1</v>
      </c>
      <c r="X992">
        <v>1</v>
      </c>
      <c r="Y992">
        <v>1</v>
      </c>
      <c r="Z992">
        <v>0</v>
      </c>
      <c r="AA992">
        <v>3</v>
      </c>
      <c r="AB992">
        <v>11</v>
      </c>
      <c r="AC992">
        <v>1</v>
      </c>
    </row>
    <row r="993" spans="1:29" x14ac:dyDescent="0.3">
      <c r="A993">
        <v>9850</v>
      </c>
      <c r="B993">
        <v>1972</v>
      </c>
      <c r="C993" t="s">
        <v>37</v>
      </c>
      <c r="D993" t="s">
        <v>33</v>
      </c>
      <c r="E993">
        <v>24884</v>
      </c>
      <c r="F993">
        <v>1</v>
      </c>
      <c r="G993">
        <v>0</v>
      </c>
      <c r="H993" s="1">
        <v>41242</v>
      </c>
      <c r="I993">
        <v>32</v>
      </c>
      <c r="J993">
        <v>3</v>
      </c>
      <c r="K993">
        <v>6</v>
      </c>
      <c r="L993">
        <v>7</v>
      </c>
      <c r="M993">
        <v>0</v>
      </c>
      <c r="N993">
        <v>0</v>
      </c>
      <c r="O993">
        <v>3</v>
      </c>
      <c r="P993">
        <v>1</v>
      </c>
      <c r="Q993">
        <v>0</v>
      </c>
      <c r="R993">
        <v>0</v>
      </c>
      <c r="S993">
        <v>3</v>
      </c>
      <c r="T993">
        <v>7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3</v>
      </c>
      <c r="AB993">
        <v>11</v>
      </c>
      <c r="AC993">
        <v>0</v>
      </c>
    </row>
    <row r="994" spans="1:29" x14ac:dyDescent="0.3">
      <c r="A994">
        <v>7378</v>
      </c>
      <c r="B994">
        <v>1981</v>
      </c>
      <c r="C994" t="s">
        <v>34</v>
      </c>
      <c r="D994" t="s">
        <v>31</v>
      </c>
      <c r="E994">
        <v>42021</v>
      </c>
      <c r="F994">
        <v>1</v>
      </c>
      <c r="G994">
        <v>0</v>
      </c>
      <c r="H994" s="1">
        <v>41152</v>
      </c>
      <c r="I994">
        <v>34</v>
      </c>
      <c r="J994">
        <v>393</v>
      </c>
      <c r="K994">
        <v>5</v>
      </c>
      <c r="L994">
        <v>136</v>
      </c>
      <c r="M994">
        <v>7</v>
      </c>
      <c r="N994">
        <v>5</v>
      </c>
      <c r="O994">
        <v>27</v>
      </c>
      <c r="P994">
        <v>5</v>
      </c>
      <c r="Q994">
        <v>10</v>
      </c>
      <c r="R994">
        <v>1</v>
      </c>
      <c r="S994">
        <v>6</v>
      </c>
      <c r="T994">
        <v>9</v>
      </c>
      <c r="U994">
        <v>1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3</v>
      </c>
      <c r="AB994">
        <v>11</v>
      </c>
      <c r="AC994">
        <v>0</v>
      </c>
    </row>
    <row r="995" spans="1:29" x14ac:dyDescent="0.3">
      <c r="A995">
        <v>7646</v>
      </c>
      <c r="B995">
        <v>1989</v>
      </c>
      <c r="C995" t="s">
        <v>29</v>
      </c>
      <c r="D995" t="s">
        <v>30</v>
      </c>
      <c r="E995">
        <v>64449</v>
      </c>
      <c r="F995">
        <v>1</v>
      </c>
      <c r="G995">
        <v>0</v>
      </c>
      <c r="H995" s="1">
        <v>41688</v>
      </c>
      <c r="I995">
        <v>70</v>
      </c>
      <c r="J995">
        <v>218</v>
      </c>
      <c r="K995">
        <v>63</v>
      </c>
      <c r="L995">
        <v>282</v>
      </c>
      <c r="M995">
        <v>137</v>
      </c>
      <c r="N995">
        <v>35</v>
      </c>
      <c r="O995">
        <v>70</v>
      </c>
      <c r="P995">
        <v>4</v>
      </c>
      <c r="Q995">
        <v>5</v>
      </c>
      <c r="R995">
        <v>3</v>
      </c>
      <c r="S995">
        <v>12</v>
      </c>
      <c r="T995">
        <v>4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3</v>
      </c>
      <c r="AB995">
        <v>11</v>
      </c>
      <c r="AC995">
        <v>0</v>
      </c>
    </row>
    <row r="996" spans="1:29" x14ac:dyDescent="0.3">
      <c r="A996">
        <v>1640</v>
      </c>
      <c r="B996">
        <v>1954</v>
      </c>
      <c r="C996" t="s">
        <v>29</v>
      </c>
      <c r="D996" t="s">
        <v>35</v>
      </c>
      <c r="E996">
        <v>64587</v>
      </c>
      <c r="F996">
        <v>1</v>
      </c>
      <c r="G996">
        <v>1</v>
      </c>
      <c r="H996" s="1">
        <v>41812</v>
      </c>
      <c r="I996">
        <v>49</v>
      </c>
      <c r="J996">
        <v>66</v>
      </c>
      <c r="K996">
        <v>0</v>
      </c>
      <c r="L996">
        <v>16</v>
      </c>
      <c r="M996">
        <v>0</v>
      </c>
      <c r="N996">
        <v>6</v>
      </c>
      <c r="O996">
        <v>20</v>
      </c>
      <c r="P996">
        <v>2</v>
      </c>
      <c r="Q996">
        <v>1</v>
      </c>
      <c r="R996">
        <v>1</v>
      </c>
      <c r="S996">
        <v>4</v>
      </c>
      <c r="T996">
        <v>3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3</v>
      </c>
      <c r="AB996">
        <v>11</v>
      </c>
      <c r="AC996">
        <v>0</v>
      </c>
    </row>
    <row r="997" spans="1:29" x14ac:dyDescent="0.3">
      <c r="A997">
        <v>5184</v>
      </c>
      <c r="B997">
        <v>1995</v>
      </c>
      <c r="C997" t="s">
        <v>29</v>
      </c>
      <c r="D997" t="s">
        <v>30</v>
      </c>
      <c r="E997">
        <v>34824</v>
      </c>
      <c r="F997">
        <v>0</v>
      </c>
      <c r="G997">
        <v>0</v>
      </c>
      <c r="H997" s="1">
        <v>41724</v>
      </c>
      <c r="I997">
        <v>65</v>
      </c>
      <c r="J997">
        <v>4</v>
      </c>
      <c r="K997">
        <v>2</v>
      </c>
      <c r="L997">
        <v>11</v>
      </c>
      <c r="M997">
        <v>2</v>
      </c>
      <c r="N997">
        <v>0</v>
      </c>
      <c r="O997">
        <v>4</v>
      </c>
      <c r="P997">
        <v>1</v>
      </c>
      <c r="Q997">
        <v>1</v>
      </c>
      <c r="R997">
        <v>0</v>
      </c>
      <c r="S997">
        <v>2</v>
      </c>
      <c r="T997">
        <v>6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3</v>
      </c>
      <c r="AB997">
        <v>11</v>
      </c>
      <c r="AC997">
        <v>0</v>
      </c>
    </row>
    <row r="998" spans="1:29" x14ac:dyDescent="0.3">
      <c r="A998">
        <v>8492</v>
      </c>
      <c r="B998">
        <v>1978</v>
      </c>
      <c r="C998" t="s">
        <v>29</v>
      </c>
      <c r="D998" t="s">
        <v>31</v>
      </c>
      <c r="E998">
        <v>75437</v>
      </c>
      <c r="F998">
        <v>0</v>
      </c>
      <c r="G998">
        <v>0</v>
      </c>
      <c r="H998" s="1">
        <v>41587</v>
      </c>
      <c r="I998">
        <v>25</v>
      </c>
      <c r="J998">
        <v>795</v>
      </c>
      <c r="K998">
        <v>0</v>
      </c>
      <c r="L998">
        <v>545</v>
      </c>
      <c r="M998">
        <v>95</v>
      </c>
      <c r="N998">
        <v>58</v>
      </c>
      <c r="O998">
        <v>0</v>
      </c>
      <c r="P998">
        <v>1</v>
      </c>
      <c r="Q998">
        <v>8</v>
      </c>
      <c r="R998">
        <v>4</v>
      </c>
      <c r="S998">
        <v>10</v>
      </c>
      <c r="T998">
        <v>6</v>
      </c>
      <c r="U998">
        <v>0</v>
      </c>
      <c r="V998">
        <v>0</v>
      </c>
      <c r="W998">
        <v>0</v>
      </c>
      <c r="X998">
        <v>1</v>
      </c>
      <c r="Y998">
        <v>0</v>
      </c>
      <c r="Z998">
        <v>0</v>
      </c>
      <c r="AA998">
        <v>3</v>
      </c>
      <c r="AB998">
        <v>11</v>
      </c>
      <c r="AC998">
        <v>0</v>
      </c>
    </row>
    <row r="999" spans="1:29" x14ac:dyDescent="0.3">
      <c r="A999">
        <v>11188</v>
      </c>
      <c r="B999">
        <v>1957</v>
      </c>
      <c r="C999" t="s">
        <v>29</v>
      </c>
      <c r="D999" t="s">
        <v>31</v>
      </c>
      <c r="E999">
        <v>26091</v>
      </c>
      <c r="F999">
        <v>1</v>
      </c>
      <c r="G999">
        <v>1</v>
      </c>
      <c r="H999" s="1">
        <v>41695</v>
      </c>
      <c r="I999">
        <v>84</v>
      </c>
      <c r="J999">
        <v>15</v>
      </c>
      <c r="K999">
        <v>10</v>
      </c>
      <c r="L999">
        <v>19</v>
      </c>
      <c r="M999">
        <v>8</v>
      </c>
      <c r="N999">
        <v>17</v>
      </c>
      <c r="O999">
        <v>20</v>
      </c>
      <c r="P999">
        <v>3</v>
      </c>
      <c r="Q999">
        <v>2</v>
      </c>
      <c r="R999">
        <v>1</v>
      </c>
      <c r="S999">
        <v>3</v>
      </c>
      <c r="T999">
        <v>5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3</v>
      </c>
      <c r="AB999">
        <v>11</v>
      </c>
      <c r="AC999">
        <v>0</v>
      </c>
    </row>
    <row r="1000" spans="1:29" x14ac:dyDescent="0.3">
      <c r="A1000">
        <v>1212</v>
      </c>
      <c r="B1000">
        <v>1973</v>
      </c>
      <c r="C1000" t="s">
        <v>29</v>
      </c>
      <c r="D1000" t="s">
        <v>33</v>
      </c>
      <c r="E1000">
        <v>52845</v>
      </c>
      <c r="F1000">
        <v>1</v>
      </c>
      <c r="G1000">
        <v>0</v>
      </c>
      <c r="H1000" s="1">
        <v>41499</v>
      </c>
      <c r="I1000">
        <v>7</v>
      </c>
      <c r="J1000">
        <v>384</v>
      </c>
      <c r="K1000">
        <v>25</v>
      </c>
      <c r="L1000">
        <v>292</v>
      </c>
      <c r="M1000">
        <v>130</v>
      </c>
      <c r="N1000">
        <v>41</v>
      </c>
      <c r="O1000">
        <v>64</v>
      </c>
      <c r="P1000">
        <v>3</v>
      </c>
      <c r="Q1000">
        <v>8</v>
      </c>
      <c r="R1000">
        <v>8</v>
      </c>
      <c r="S1000">
        <v>6</v>
      </c>
      <c r="T1000">
        <v>6</v>
      </c>
      <c r="U1000">
        <v>1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3</v>
      </c>
      <c r="AB1000">
        <v>11</v>
      </c>
      <c r="AC1000">
        <v>0</v>
      </c>
    </row>
    <row r="1001" spans="1:29" x14ac:dyDescent="0.3">
      <c r="A1001">
        <v>9097</v>
      </c>
      <c r="B1001">
        <v>1956</v>
      </c>
      <c r="C1001" t="s">
        <v>29</v>
      </c>
      <c r="D1001" t="s">
        <v>35</v>
      </c>
      <c r="E1001">
        <v>46086</v>
      </c>
      <c r="F1001">
        <v>0</v>
      </c>
      <c r="G1001">
        <v>1</v>
      </c>
      <c r="H1001" s="1">
        <v>41581</v>
      </c>
      <c r="I1001">
        <v>34</v>
      </c>
      <c r="J1001">
        <v>244</v>
      </c>
      <c r="K1001">
        <v>8</v>
      </c>
      <c r="L1001">
        <v>32</v>
      </c>
      <c r="M1001">
        <v>7</v>
      </c>
      <c r="N1001">
        <v>2</v>
      </c>
      <c r="O1001">
        <v>50</v>
      </c>
      <c r="P1001">
        <v>4</v>
      </c>
      <c r="Q1001">
        <v>3</v>
      </c>
      <c r="R1001">
        <v>1</v>
      </c>
      <c r="S1001">
        <v>8</v>
      </c>
      <c r="T1001">
        <v>4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3</v>
      </c>
      <c r="AB1001">
        <v>11</v>
      </c>
      <c r="AC1001">
        <v>0</v>
      </c>
    </row>
    <row r="1002" spans="1:29" x14ac:dyDescent="0.3">
      <c r="A1002">
        <v>10473</v>
      </c>
      <c r="B1002">
        <v>1956</v>
      </c>
      <c r="C1002" t="s">
        <v>32</v>
      </c>
      <c r="D1002" t="s">
        <v>38</v>
      </c>
      <c r="E1002">
        <v>78028</v>
      </c>
      <c r="F1002">
        <v>0</v>
      </c>
      <c r="G1002">
        <v>1</v>
      </c>
      <c r="H1002" s="1">
        <v>41162</v>
      </c>
      <c r="I1002">
        <v>38</v>
      </c>
      <c r="J1002">
        <v>158</v>
      </c>
      <c r="K1002">
        <v>19</v>
      </c>
      <c r="L1002">
        <v>288</v>
      </c>
      <c r="M1002">
        <v>25</v>
      </c>
      <c r="N1002">
        <v>0</v>
      </c>
      <c r="O1002">
        <v>38</v>
      </c>
      <c r="P1002">
        <v>1</v>
      </c>
      <c r="Q1002">
        <v>6</v>
      </c>
      <c r="R1002">
        <v>4</v>
      </c>
      <c r="S1002">
        <v>9</v>
      </c>
      <c r="T1002">
        <v>7</v>
      </c>
      <c r="U1002">
        <v>0</v>
      </c>
      <c r="V1002">
        <v>1</v>
      </c>
      <c r="W1002">
        <v>1</v>
      </c>
      <c r="X1002">
        <v>0</v>
      </c>
      <c r="Y1002">
        <v>0</v>
      </c>
      <c r="Z1002">
        <v>0</v>
      </c>
      <c r="AA1002">
        <v>3</v>
      </c>
      <c r="AB1002">
        <v>11</v>
      </c>
      <c r="AC1002">
        <v>1</v>
      </c>
    </row>
    <row r="1003" spans="1:29" x14ac:dyDescent="0.3">
      <c r="A1003">
        <v>7962</v>
      </c>
      <c r="B1003">
        <v>1987</v>
      </c>
      <c r="C1003" t="s">
        <v>32</v>
      </c>
      <c r="D1003" t="s">
        <v>30</v>
      </c>
      <c r="E1003">
        <v>95169</v>
      </c>
      <c r="F1003">
        <v>0</v>
      </c>
      <c r="G1003">
        <v>0</v>
      </c>
      <c r="H1003" s="1">
        <v>41556</v>
      </c>
      <c r="I1003">
        <v>1</v>
      </c>
      <c r="J1003">
        <v>1285</v>
      </c>
      <c r="K1003">
        <v>21</v>
      </c>
      <c r="L1003">
        <v>449</v>
      </c>
      <c r="M1003">
        <v>106</v>
      </c>
      <c r="N1003">
        <v>20</v>
      </c>
      <c r="O1003">
        <v>20</v>
      </c>
      <c r="P1003">
        <v>1</v>
      </c>
      <c r="Q1003">
        <v>4</v>
      </c>
      <c r="R1003">
        <v>3</v>
      </c>
      <c r="S1003">
        <v>4</v>
      </c>
      <c r="T1003">
        <v>1</v>
      </c>
      <c r="U1003">
        <v>0</v>
      </c>
      <c r="V1003">
        <v>0</v>
      </c>
      <c r="W1003">
        <v>1</v>
      </c>
      <c r="X1003">
        <v>1</v>
      </c>
      <c r="Y1003">
        <v>0</v>
      </c>
      <c r="Z1003">
        <v>0</v>
      </c>
      <c r="AA1003">
        <v>3</v>
      </c>
      <c r="AB1003">
        <v>11</v>
      </c>
      <c r="AC1003">
        <v>1</v>
      </c>
    </row>
    <row r="1004" spans="1:29" x14ac:dyDescent="0.3">
      <c r="A1004">
        <v>9984</v>
      </c>
      <c r="B1004">
        <v>1981</v>
      </c>
      <c r="C1004" t="s">
        <v>37</v>
      </c>
      <c r="D1004" t="s">
        <v>33</v>
      </c>
      <c r="E1004">
        <v>56337</v>
      </c>
      <c r="F1004">
        <v>1</v>
      </c>
      <c r="G1004">
        <v>1</v>
      </c>
      <c r="H1004" s="1">
        <v>41360</v>
      </c>
      <c r="I1004">
        <v>25</v>
      </c>
      <c r="J1004">
        <v>349</v>
      </c>
      <c r="K1004">
        <v>16</v>
      </c>
      <c r="L1004">
        <v>144</v>
      </c>
      <c r="M1004">
        <v>28</v>
      </c>
      <c r="N1004">
        <v>5</v>
      </c>
      <c r="O1004">
        <v>182</v>
      </c>
      <c r="P1004">
        <v>5</v>
      </c>
      <c r="Q1004">
        <v>8</v>
      </c>
      <c r="R1004">
        <v>5</v>
      </c>
      <c r="S1004">
        <v>4</v>
      </c>
      <c r="T1004">
        <v>8</v>
      </c>
      <c r="U1004">
        <v>1</v>
      </c>
      <c r="V1004">
        <v>0</v>
      </c>
      <c r="W1004">
        <v>0</v>
      </c>
      <c r="X1004">
        <v>1</v>
      </c>
      <c r="Y1004">
        <v>0</v>
      </c>
      <c r="Z1004">
        <v>0</v>
      </c>
      <c r="AA1004">
        <v>3</v>
      </c>
      <c r="AB1004">
        <v>11</v>
      </c>
      <c r="AC1004">
        <v>1</v>
      </c>
    </row>
    <row r="1005" spans="1:29" x14ac:dyDescent="0.3">
      <c r="A1005">
        <v>5527</v>
      </c>
      <c r="B1005">
        <v>1987</v>
      </c>
      <c r="C1005" t="s">
        <v>29</v>
      </c>
      <c r="D1005" t="s">
        <v>31</v>
      </c>
      <c r="E1005">
        <v>22434</v>
      </c>
      <c r="F1005">
        <v>1</v>
      </c>
      <c r="G1005">
        <v>0</v>
      </c>
      <c r="H1005" s="1">
        <v>41318</v>
      </c>
      <c r="I1005">
        <v>25</v>
      </c>
      <c r="J1005">
        <v>4</v>
      </c>
      <c r="K1005">
        <v>12</v>
      </c>
      <c r="L1005">
        <v>11</v>
      </c>
      <c r="M1005">
        <v>3</v>
      </c>
      <c r="N1005">
        <v>13</v>
      </c>
      <c r="O1005">
        <v>15</v>
      </c>
      <c r="P1005">
        <v>2</v>
      </c>
      <c r="Q1005">
        <v>2</v>
      </c>
      <c r="R1005">
        <v>0</v>
      </c>
      <c r="S1005">
        <v>3</v>
      </c>
      <c r="T1005">
        <v>8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3</v>
      </c>
      <c r="AB1005">
        <v>11</v>
      </c>
      <c r="AC1005">
        <v>0</v>
      </c>
    </row>
    <row r="1006" spans="1:29" x14ac:dyDescent="0.3">
      <c r="A1006">
        <v>6374</v>
      </c>
      <c r="B1006">
        <v>1954</v>
      </c>
      <c r="C1006" t="s">
        <v>32</v>
      </c>
      <c r="D1006" t="s">
        <v>33</v>
      </c>
      <c r="E1006">
        <v>36930</v>
      </c>
      <c r="F1006">
        <v>0</v>
      </c>
      <c r="G1006">
        <v>1</v>
      </c>
      <c r="H1006" s="1">
        <v>41411</v>
      </c>
      <c r="I1006">
        <v>50</v>
      </c>
      <c r="J1006">
        <v>223</v>
      </c>
      <c r="K1006">
        <v>2</v>
      </c>
      <c r="L1006">
        <v>31</v>
      </c>
      <c r="M1006">
        <v>0</v>
      </c>
      <c r="N1006">
        <v>2</v>
      </c>
      <c r="O1006">
        <v>39</v>
      </c>
      <c r="P1006">
        <v>5</v>
      </c>
      <c r="Q1006">
        <v>5</v>
      </c>
      <c r="R1006">
        <v>2</v>
      </c>
      <c r="S1006">
        <v>4</v>
      </c>
      <c r="T1006">
        <v>8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3</v>
      </c>
      <c r="AB1006">
        <v>11</v>
      </c>
      <c r="AC1006">
        <v>0</v>
      </c>
    </row>
    <row r="1007" spans="1:29" x14ac:dyDescent="0.3">
      <c r="A1007">
        <v>7453</v>
      </c>
      <c r="B1007">
        <v>1954</v>
      </c>
      <c r="C1007" t="s">
        <v>29</v>
      </c>
      <c r="D1007" t="s">
        <v>30</v>
      </c>
      <c r="E1007">
        <v>36130</v>
      </c>
      <c r="F1007">
        <v>0</v>
      </c>
      <c r="G1007">
        <v>1</v>
      </c>
      <c r="H1007" s="1">
        <v>41307</v>
      </c>
      <c r="I1007">
        <v>46</v>
      </c>
      <c r="J1007">
        <v>157</v>
      </c>
      <c r="K1007">
        <v>43</v>
      </c>
      <c r="L1007">
        <v>127</v>
      </c>
      <c r="M1007">
        <v>68</v>
      </c>
      <c r="N1007">
        <v>56</v>
      </c>
      <c r="O1007">
        <v>37</v>
      </c>
      <c r="P1007">
        <v>6</v>
      </c>
      <c r="Q1007">
        <v>3</v>
      </c>
      <c r="R1007">
        <v>8</v>
      </c>
      <c r="S1007">
        <v>4</v>
      </c>
      <c r="T1007">
        <v>4</v>
      </c>
      <c r="U1007">
        <v>1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3</v>
      </c>
      <c r="AB1007">
        <v>11</v>
      </c>
      <c r="AC1007">
        <v>1</v>
      </c>
    </row>
    <row r="1008" spans="1:29" x14ac:dyDescent="0.3">
      <c r="A1008">
        <v>8952</v>
      </c>
      <c r="B1008">
        <v>1953</v>
      </c>
      <c r="C1008" t="s">
        <v>34</v>
      </c>
      <c r="D1008" t="s">
        <v>33</v>
      </c>
      <c r="E1008">
        <v>65569</v>
      </c>
      <c r="F1008">
        <v>0</v>
      </c>
      <c r="G1008">
        <v>1</v>
      </c>
      <c r="H1008" s="1">
        <v>41218</v>
      </c>
      <c r="I1008">
        <v>96</v>
      </c>
      <c r="J1008">
        <v>397</v>
      </c>
      <c r="K1008">
        <v>46</v>
      </c>
      <c r="L1008">
        <v>288</v>
      </c>
      <c r="M1008">
        <v>20</v>
      </c>
      <c r="N1008">
        <v>38</v>
      </c>
      <c r="O1008">
        <v>70</v>
      </c>
      <c r="P1008">
        <v>2</v>
      </c>
      <c r="Q1008">
        <v>6</v>
      </c>
      <c r="R1008">
        <v>5</v>
      </c>
      <c r="S1008">
        <v>10</v>
      </c>
      <c r="T1008">
        <v>3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3</v>
      </c>
      <c r="AB1008">
        <v>11</v>
      </c>
      <c r="AC1008">
        <v>0</v>
      </c>
    </row>
    <row r="1009" spans="1:29" x14ac:dyDescent="0.3">
      <c r="A1009">
        <v>241</v>
      </c>
      <c r="B1009">
        <v>1952</v>
      </c>
      <c r="C1009" t="s">
        <v>29</v>
      </c>
      <c r="D1009" t="s">
        <v>31</v>
      </c>
      <c r="E1009">
        <v>83844</v>
      </c>
      <c r="F1009">
        <v>0</v>
      </c>
      <c r="G1009">
        <v>0</v>
      </c>
      <c r="H1009" s="1">
        <v>41406</v>
      </c>
      <c r="I1009">
        <v>57</v>
      </c>
      <c r="J1009">
        <v>901</v>
      </c>
      <c r="K1009">
        <v>31</v>
      </c>
      <c r="L1009">
        <v>345</v>
      </c>
      <c r="M1009">
        <v>75</v>
      </c>
      <c r="N1009">
        <v>31</v>
      </c>
      <c r="O1009">
        <v>191</v>
      </c>
      <c r="P1009">
        <v>1</v>
      </c>
      <c r="Q1009">
        <v>4</v>
      </c>
      <c r="R1009">
        <v>4</v>
      </c>
      <c r="S1009">
        <v>11</v>
      </c>
      <c r="T1009">
        <v>1</v>
      </c>
      <c r="U1009">
        <v>0</v>
      </c>
      <c r="V1009">
        <v>0</v>
      </c>
      <c r="W1009">
        <v>1</v>
      </c>
      <c r="X1009">
        <v>0</v>
      </c>
      <c r="Y1009">
        <v>0</v>
      </c>
      <c r="Z1009">
        <v>0</v>
      </c>
      <c r="AA1009">
        <v>3</v>
      </c>
      <c r="AB1009">
        <v>11</v>
      </c>
      <c r="AC1009">
        <v>0</v>
      </c>
    </row>
    <row r="1010" spans="1:29" x14ac:dyDescent="0.3">
      <c r="A1010">
        <v>8975</v>
      </c>
      <c r="B1010">
        <v>1968</v>
      </c>
      <c r="C1010" t="s">
        <v>29</v>
      </c>
      <c r="D1010" t="s">
        <v>33</v>
      </c>
      <c r="E1010">
        <v>19514</v>
      </c>
      <c r="F1010">
        <v>1</v>
      </c>
      <c r="G1010">
        <v>1</v>
      </c>
      <c r="H1010" s="1">
        <v>41665</v>
      </c>
      <c r="I1010">
        <v>47</v>
      </c>
      <c r="J1010">
        <v>14</v>
      </c>
      <c r="K1010">
        <v>3</v>
      </c>
      <c r="L1010">
        <v>21</v>
      </c>
      <c r="M1010">
        <v>2</v>
      </c>
      <c r="N1010">
        <v>1</v>
      </c>
      <c r="O1010">
        <v>28</v>
      </c>
      <c r="P1010">
        <v>4</v>
      </c>
      <c r="Q1010">
        <v>3</v>
      </c>
      <c r="R1010">
        <v>1</v>
      </c>
      <c r="S1010">
        <v>2</v>
      </c>
      <c r="T1010">
        <v>8</v>
      </c>
      <c r="U1010">
        <v>1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3</v>
      </c>
      <c r="AB1010">
        <v>11</v>
      </c>
      <c r="AC1010">
        <v>0</v>
      </c>
    </row>
    <row r="1011" spans="1:29" x14ac:dyDescent="0.3">
      <c r="A1011">
        <v>6119</v>
      </c>
      <c r="B1011">
        <v>1963</v>
      </c>
      <c r="C1011" t="s">
        <v>32</v>
      </c>
      <c r="D1011" t="s">
        <v>30</v>
      </c>
      <c r="E1011">
        <v>36736</v>
      </c>
      <c r="F1011">
        <v>1</v>
      </c>
      <c r="G1011">
        <v>1</v>
      </c>
      <c r="H1011" s="1">
        <v>41404</v>
      </c>
      <c r="I1011">
        <v>52</v>
      </c>
      <c r="J1011">
        <v>10</v>
      </c>
      <c r="K1011">
        <v>0</v>
      </c>
      <c r="L1011">
        <v>3</v>
      </c>
      <c r="M1011">
        <v>0</v>
      </c>
      <c r="N1011">
        <v>0</v>
      </c>
      <c r="O1011">
        <v>4</v>
      </c>
      <c r="P1011">
        <v>1</v>
      </c>
      <c r="Q1011">
        <v>1</v>
      </c>
      <c r="R1011">
        <v>0</v>
      </c>
      <c r="S1011">
        <v>2</v>
      </c>
      <c r="T1011">
        <v>6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3</v>
      </c>
      <c r="AB1011">
        <v>11</v>
      </c>
      <c r="AC1011">
        <v>0</v>
      </c>
    </row>
    <row r="1012" spans="1:29" x14ac:dyDescent="0.3">
      <c r="A1012">
        <v>5236</v>
      </c>
      <c r="B1012">
        <v>1979</v>
      </c>
      <c r="C1012" t="s">
        <v>29</v>
      </c>
      <c r="D1012" t="s">
        <v>31</v>
      </c>
      <c r="E1012">
        <v>77568</v>
      </c>
      <c r="F1012">
        <v>0</v>
      </c>
      <c r="G1012">
        <v>1</v>
      </c>
      <c r="H1012" s="1">
        <v>41146</v>
      </c>
      <c r="I1012">
        <v>30</v>
      </c>
      <c r="J1012">
        <v>1230</v>
      </c>
      <c r="K1012">
        <v>0</v>
      </c>
      <c r="L1012">
        <v>396</v>
      </c>
      <c r="M1012">
        <v>232</v>
      </c>
      <c r="N1012">
        <v>178</v>
      </c>
      <c r="O1012">
        <v>158</v>
      </c>
      <c r="P1012">
        <v>1</v>
      </c>
      <c r="Q1012">
        <v>10</v>
      </c>
      <c r="R1012">
        <v>2</v>
      </c>
      <c r="S1012">
        <v>8</v>
      </c>
      <c r="T1012">
        <v>5</v>
      </c>
      <c r="U1012">
        <v>0</v>
      </c>
      <c r="V1012">
        <v>1</v>
      </c>
      <c r="W1012">
        <v>1</v>
      </c>
      <c r="X1012">
        <v>1</v>
      </c>
      <c r="Y1012">
        <v>0</v>
      </c>
      <c r="Z1012">
        <v>0</v>
      </c>
      <c r="AA1012">
        <v>3</v>
      </c>
      <c r="AB1012">
        <v>11</v>
      </c>
      <c r="AC1012">
        <v>0</v>
      </c>
    </row>
    <row r="1013" spans="1:29" x14ac:dyDescent="0.3">
      <c r="A1013">
        <v>5723</v>
      </c>
      <c r="B1013">
        <v>1976</v>
      </c>
      <c r="C1013" t="s">
        <v>32</v>
      </c>
      <c r="D1013" t="s">
        <v>31</v>
      </c>
      <c r="E1013">
        <v>49187</v>
      </c>
      <c r="F1013">
        <v>0</v>
      </c>
      <c r="G1013">
        <v>1</v>
      </c>
      <c r="H1013" s="1">
        <v>41650</v>
      </c>
      <c r="I1013">
        <v>63</v>
      </c>
      <c r="J1013">
        <v>81</v>
      </c>
      <c r="K1013">
        <v>1</v>
      </c>
      <c r="L1013">
        <v>31</v>
      </c>
      <c r="M1013">
        <v>2</v>
      </c>
      <c r="N1013">
        <v>1</v>
      </c>
      <c r="O1013">
        <v>0</v>
      </c>
      <c r="P1013">
        <v>1</v>
      </c>
      <c r="Q1013">
        <v>1</v>
      </c>
      <c r="R1013">
        <v>1</v>
      </c>
      <c r="S1013">
        <v>5</v>
      </c>
      <c r="T1013">
        <v>2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3</v>
      </c>
      <c r="AB1013">
        <v>11</v>
      </c>
      <c r="AC1013">
        <v>0</v>
      </c>
    </row>
    <row r="1014" spans="1:29" x14ac:dyDescent="0.3">
      <c r="A1014">
        <v>1710</v>
      </c>
      <c r="B1014">
        <v>1978</v>
      </c>
      <c r="C1014" t="s">
        <v>29</v>
      </c>
      <c r="D1014" t="s">
        <v>30</v>
      </c>
      <c r="E1014">
        <v>30168</v>
      </c>
      <c r="F1014">
        <v>1</v>
      </c>
      <c r="G1014">
        <v>0</v>
      </c>
      <c r="H1014" s="1">
        <v>41340</v>
      </c>
      <c r="I1014">
        <v>51</v>
      </c>
      <c r="J1014">
        <v>154</v>
      </c>
      <c r="K1014">
        <v>20</v>
      </c>
      <c r="L1014">
        <v>66</v>
      </c>
      <c r="M1014">
        <v>0</v>
      </c>
      <c r="N1014">
        <v>12</v>
      </c>
      <c r="O1014">
        <v>27</v>
      </c>
      <c r="P1014">
        <v>7</v>
      </c>
      <c r="Q1014">
        <v>6</v>
      </c>
      <c r="R1014">
        <v>1</v>
      </c>
      <c r="S1014">
        <v>4</v>
      </c>
      <c r="T1014">
        <v>9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3</v>
      </c>
      <c r="AB1014">
        <v>11</v>
      </c>
      <c r="AC1014">
        <v>0</v>
      </c>
    </row>
    <row r="1015" spans="1:29" x14ac:dyDescent="0.3">
      <c r="A1015">
        <v>1970</v>
      </c>
      <c r="B1015">
        <v>1968</v>
      </c>
      <c r="C1015" t="s">
        <v>34</v>
      </c>
      <c r="D1015" t="s">
        <v>31</v>
      </c>
      <c r="E1015">
        <v>34053</v>
      </c>
      <c r="F1015">
        <v>0</v>
      </c>
      <c r="G1015">
        <v>1</v>
      </c>
      <c r="H1015" s="1">
        <v>41162</v>
      </c>
      <c r="I1015">
        <v>14</v>
      </c>
      <c r="J1015">
        <v>63</v>
      </c>
      <c r="K1015">
        <v>0</v>
      </c>
      <c r="L1015">
        <v>21</v>
      </c>
      <c r="M1015">
        <v>7</v>
      </c>
      <c r="N1015">
        <v>0</v>
      </c>
      <c r="O1015">
        <v>12</v>
      </c>
      <c r="P1015">
        <v>1</v>
      </c>
      <c r="Q1015">
        <v>3</v>
      </c>
      <c r="R1015">
        <v>0</v>
      </c>
      <c r="S1015">
        <v>3</v>
      </c>
      <c r="T1015">
        <v>8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3</v>
      </c>
      <c r="AB1015">
        <v>11</v>
      </c>
      <c r="AC1015">
        <v>0</v>
      </c>
    </row>
    <row r="1016" spans="1:29" x14ac:dyDescent="0.3">
      <c r="A1016">
        <v>5313</v>
      </c>
      <c r="B1016">
        <v>1971</v>
      </c>
      <c r="C1016" t="s">
        <v>34</v>
      </c>
      <c r="D1016" t="s">
        <v>33</v>
      </c>
      <c r="E1016">
        <v>38196</v>
      </c>
      <c r="F1016">
        <v>1</v>
      </c>
      <c r="G1016">
        <v>1</v>
      </c>
      <c r="H1016" s="1">
        <v>41747</v>
      </c>
      <c r="I1016">
        <v>20</v>
      </c>
      <c r="J1016">
        <v>30</v>
      </c>
      <c r="K1016">
        <v>0</v>
      </c>
      <c r="L1016">
        <v>11</v>
      </c>
      <c r="M1016">
        <v>0</v>
      </c>
      <c r="N1016">
        <v>0</v>
      </c>
      <c r="O1016">
        <v>3</v>
      </c>
      <c r="P1016">
        <v>3</v>
      </c>
      <c r="Q1016">
        <v>2</v>
      </c>
      <c r="R1016">
        <v>0</v>
      </c>
      <c r="S1016">
        <v>4</v>
      </c>
      <c r="T1016">
        <v>5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3</v>
      </c>
      <c r="AB1016">
        <v>11</v>
      </c>
      <c r="AC1016">
        <v>0</v>
      </c>
    </row>
    <row r="1017" spans="1:29" x14ac:dyDescent="0.3">
      <c r="A1017">
        <v>10634</v>
      </c>
      <c r="B1017">
        <v>1951</v>
      </c>
      <c r="C1017" t="s">
        <v>34</v>
      </c>
      <c r="D1017" t="s">
        <v>33</v>
      </c>
      <c r="E1017">
        <v>59412</v>
      </c>
      <c r="F1017">
        <v>0</v>
      </c>
      <c r="G1017">
        <v>0</v>
      </c>
      <c r="H1017" s="1">
        <v>41748</v>
      </c>
      <c r="I1017">
        <v>56</v>
      </c>
      <c r="J1017">
        <v>90</v>
      </c>
      <c r="K1017">
        <v>67</v>
      </c>
      <c r="L1017">
        <v>165</v>
      </c>
      <c r="M1017">
        <v>30</v>
      </c>
      <c r="N1017">
        <v>43</v>
      </c>
      <c r="O1017">
        <v>11</v>
      </c>
      <c r="P1017">
        <v>1</v>
      </c>
      <c r="Q1017">
        <v>4</v>
      </c>
      <c r="R1017">
        <v>2</v>
      </c>
      <c r="S1017">
        <v>8</v>
      </c>
      <c r="T1017">
        <v>3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3</v>
      </c>
      <c r="AB1017">
        <v>11</v>
      </c>
      <c r="AC1017">
        <v>0</v>
      </c>
    </row>
    <row r="1018" spans="1:29" x14ac:dyDescent="0.3">
      <c r="A1018">
        <v>7010</v>
      </c>
      <c r="B1018">
        <v>1965</v>
      </c>
      <c r="C1018" t="s">
        <v>37</v>
      </c>
      <c r="D1018" t="s">
        <v>33</v>
      </c>
      <c r="E1018">
        <v>70924</v>
      </c>
      <c r="F1018">
        <v>0</v>
      </c>
      <c r="G1018">
        <v>0</v>
      </c>
      <c r="H1018" s="1">
        <v>41736</v>
      </c>
      <c r="I1018">
        <v>41</v>
      </c>
      <c r="J1018">
        <v>635</v>
      </c>
      <c r="K1018">
        <v>114</v>
      </c>
      <c r="L1018">
        <v>254</v>
      </c>
      <c r="M1018">
        <v>132</v>
      </c>
      <c r="N1018">
        <v>152</v>
      </c>
      <c r="O1018">
        <v>76</v>
      </c>
      <c r="P1018">
        <v>1</v>
      </c>
      <c r="Q1018">
        <v>6</v>
      </c>
      <c r="R1018">
        <v>6</v>
      </c>
      <c r="S1018">
        <v>7</v>
      </c>
      <c r="T1018">
        <v>3</v>
      </c>
      <c r="U1018">
        <v>0</v>
      </c>
      <c r="V1018">
        <v>0</v>
      </c>
      <c r="W1018">
        <v>1</v>
      </c>
      <c r="X1018">
        <v>0</v>
      </c>
      <c r="Y1018">
        <v>0</v>
      </c>
      <c r="Z1018">
        <v>0</v>
      </c>
      <c r="AA1018">
        <v>3</v>
      </c>
      <c r="AB1018">
        <v>11</v>
      </c>
      <c r="AC1018">
        <v>0</v>
      </c>
    </row>
    <row r="1019" spans="1:29" x14ac:dyDescent="0.3">
      <c r="A1019">
        <v>8562</v>
      </c>
      <c r="B1019">
        <v>1969</v>
      </c>
      <c r="C1019" t="s">
        <v>29</v>
      </c>
      <c r="D1019" t="s">
        <v>31</v>
      </c>
      <c r="E1019">
        <v>54165</v>
      </c>
      <c r="F1019">
        <v>0</v>
      </c>
      <c r="G1019">
        <v>0</v>
      </c>
      <c r="H1019" s="1">
        <v>41422</v>
      </c>
      <c r="I1019">
        <v>72</v>
      </c>
      <c r="J1019">
        <v>127</v>
      </c>
      <c r="K1019">
        <v>4</v>
      </c>
      <c r="L1019">
        <v>73</v>
      </c>
      <c r="M1019">
        <v>15</v>
      </c>
      <c r="N1019">
        <v>6</v>
      </c>
      <c r="O1019">
        <v>11</v>
      </c>
      <c r="P1019">
        <v>1</v>
      </c>
      <c r="Q1019">
        <v>2</v>
      </c>
      <c r="R1019">
        <v>1</v>
      </c>
      <c r="S1019">
        <v>7</v>
      </c>
      <c r="T1019">
        <v>2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3</v>
      </c>
      <c r="AB1019">
        <v>11</v>
      </c>
      <c r="AC1019">
        <v>0</v>
      </c>
    </row>
    <row r="1020" spans="1:29" x14ac:dyDescent="0.3">
      <c r="A1020">
        <v>3158</v>
      </c>
      <c r="B1020">
        <v>1973</v>
      </c>
      <c r="C1020" t="s">
        <v>29</v>
      </c>
      <c r="D1020" t="s">
        <v>33</v>
      </c>
      <c r="E1020">
        <v>32300</v>
      </c>
      <c r="F1020">
        <v>1</v>
      </c>
      <c r="G1020">
        <v>0</v>
      </c>
      <c r="H1020" s="1">
        <v>41277</v>
      </c>
      <c r="I1020">
        <v>1</v>
      </c>
      <c r="J1020">
        <v>13</v>
      </c>
      <c r="K1020">
        <v>3</v>
      </c>
      <c r="L1020">
        <v>6</v>
      </c>
      <c r="M1020">
        <v>6</v>
      </c>
      <c r="N1020">
        <v>5</v>
      </c>
      <c r="O1020">
        <v>6</v>
      </c>
      <c r="P1020">
        <v>1</v>
      </c>
      <c r="Q1020">
        <v>1</v>
      </c>
      <c r="R1020">
        <v>0</v>
      </c>
      <c r="S1020">
        <v>3</v>
      </c>
      <c r="T1020">
        <v>8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3</v>
      </c>
      <c r="AB1020">
        <v>11</v>
      </c>
      <c r="AC1020">
        <v>0</v>
      </c>
    </row>
    <row r="1021" spans="1:29" x14ac:dyDescent="0.3">
      <c r="A1021">
        <v>4436</v>
      </c>
      <c r="B1021">
        <v>1976</v>
      </c>
      <c r="C1021" t="s">
        <v>29</v>
      </c>
      <c r="D1021" t="s">
        <v>30</v>
      </c>
      <c r="E1021">
        <v>20180</v>
      </c>
      <c r="F1021">
        <v>0</v>
      </c>
      <c r="G1021">
        <v>0</v>
      </c>
      <c r="H1021" s="1">
        <v>41325</v>
      </c>
      <c r="I1021">
        <v>27</v>
      </c>
      <c r="J1021">
        <v>18</v>
      </c>
      <c r="K1021">
        <v>42</v>
      </c>
      <c r="L1021">
        <v>24</v>
      </c>
      <c r="M1021">
        <v>15</v>
      </c>
      <c r="N1021">
        <v>20</v>
      </c>
      <c r="O1021">
        <v>18</v>
      </c>
      <c r="P1021">
        <v>1</v>
      </c>
      <c r="Q1021">
        <v>2</v>
      </c>
      <c r="R1021">
        <v>1</v>
      </c>
      <c r="S1021">
        <v>4</v>
      </c>
      <c r="T1021">
        <v>7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3</v>
      </c>
      <c r="AB1021">
        <v>11</v>
      </c>
      <c r="AC1021">
        <v>0</v>
      </c>
    </row>
    <row r="1022" spans="1:29" x14ac:dyDescent="0.3">
      <c r="A1022">
        <v>5287</v>
      </c>
      <c r="B1022">
        <v>1973</v>
      </c>
      <c r="C1022" t="s">
        <v>29</v>
      </c>
      <c r="D1022" t="s">
        <v>33</v>
      </c>
      <c r="E1022">
        <v>34961</v>
      </c>
      <c r="F1022">
        <v>1</v>
      </c>
      <c r="G1022">
        <v>0</v>
      </c>
      <c r="H1022" s="1">
        <v>41809</v>
      </c>
      <c r="I1022">
        <v>77</v>
      </c>
      <c r="J1022">
        <v>45</v>
      </c>
      <c r="K1022">
        <v>2</v>
      </c>
      <c r="L1022">
        <v>26</v>
      </c>
      <c r="M1022">
        <v>4</v>
      </c>
      <c r="N1022">
        <v>1</v>
      </c>
      <c r="O1022">
        <v>1</v>
      </c>
      <c r="P1022">
        <v>3</v>
      </c>
      <c r="Q1022">
        <v>3</v>
      </c>
      <c r="R1022">
        <v>1</v>
      </c>
      <c r="S1022">
        <v>3</v>
      </c>
      <c r="T1022">
        <v>7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3</v>
      </c>
      <c r="AB1022">
        <v>11</v>
      </c>
      <c r="AC1022">
        <v>0</v>
      </c>
    </row>
    <row r="1023" spans="1:29" x14ac:dyDescent="0.3">
      <c r="A1023">
        <v>2445</v>
      </c>
      <c r="B1023">
        <v>1974</v>
      </c>
      <c r="C1023" t="s">
        <v>32</v>
      </c>
      <c r="D1023" t="s">
        <v>31</v>
      </c>
      <c r="E1023">
        <v>28440</v>
      </c>
      <c r="F1023">
        <v>1</v>
      </c>
      <c r="G1023">
        <v>0</v>
      </c>
      <c r="H1023" s="1">
        <v>41462</v>
      </c>
      <c r="I1023">
        <v>87</v>
      </c>
      <c r="J1023">
        <v>38</v>
      </c>
      <c r="K1023">
        <v>1</v>
      </c>
      <c r="L1023">
        <v>24</v>
      </c>
      <c r="M1023">
        <v>0</v>
      </c>
      <c r="N1023">
        <v>0</v>
      </c>
      <c r="O1023">
        <v>0</v>
      </c>
      <c r="P1023">
        <v>1</v>
      </c>
      <c r="Q1023">
        <v>2</v>
      </c>
      <c r="R1023">
        <v>0</v>
      </c>
      <c r="S1023">
        <v>3</v>
      </c>
      <c r="T1023">
        <v>8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3</v>
      </c>
      <c r="AB1023">
        <v>11</v>
      </c>
      <c r="AC1023">
        <v>0</v>
      </c>
    </row>
    <row r="1024" spans="1:29" x14ac:dyDescent="0.3">
      <c r="A1024">
        <v>6059</v>
      </c>
      <c r="B1024">
        <v>1953</v>
      </c>
      <c r="C1024" t="s">
        <v>32</v>
      </c>
      <c r="D1024" t="s">
        <v>31</v>
      </c>
      <c r="E1024">
        <v>64504</v>
      </c>
      <c r="F1024">
        <v>1</v>
      </c>
      <c r="G1024">
        <v>2</v>
      </c>
      <c r="H1024" s="1">
        <v>41337</v>
      </c>
      <c r="I1024">
        <v>81</v>
      </c>
      <c r="J1024">
        <v>986</v>
      </c>
      <c r="K1024">
        <v>36</v>
      </c>
      <c r="L1024">
        <v>168</v>
      </c>
      <c r="M1024">
        <v>16</v>
      </c>
      <c r="N1024">
        <v>0</v>
      </c>
      <c r="O1024">
        <v>108</v>
      </c>
      <c r="P1024">
        <v>7</v>
      </c>
      <c r="Q1024">
        <v>11</v>
      </c>
      <c r="R1024">
        <v>3</v>
      </c>
      <c r="S1024">
        <v>4</v>
      </c>
      <c r="T1024">
        <v>7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3</v>
      </c>
      <c r="AB1024">
        <v>11</v>
      </c>
      <c r="AC1024">
        <v>1</v>
      </c>
    </row>
    <row r="1025" spans="1:29" x14ac:dyDescent="0.3">
      <c r="A1025">
        <v>4550</v>
      </c>
      <c r="B1025">
        <v>1966</v>
      </c>
      <c r="C1025" t="s">
        <v>34</v>
      </c>
      <c r="D1025" t="s">
        <v>31</v>
      </c>
      <c r="E1025">
        <v>33564</v>
      </c>
      <c r="F1025">
        <v>0</v>
      </c>
      <c r="G1025">
        <v>1</v>
      </c>
      <c r="H1025" s="1">
        <v>41814</v>
      </c>
      <c r="I1025">
        <v>51</v>
      </c>
      <c r="J1025">
        <v>61</v>
      </c>
      <c r="K1025">
        <v>0</v>
      </c>
      <c r="L1025">
        <v>3</v>
      </c>
      <c r="M1025">
        <v>0</v>
      </c>
      <c r="N1025">
        <v>0</v>
      </c>
      <c r="O1025">
        <v>7</v>
      </c>
      <c r="P1025">
        <v>1</v>
      </c>
      <c r="Q1025">
        <v>1</v>
      </c>
      <c r="R1025">
        <v>1</v>
      </c>
      <c r="S1025">
        <v>3</v>
      </c>
      <c r="T1025">
        <v>5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3</v>
      </c>
      <c r="AB1025">
        <v>11</v>
      </c>
      <c r="AC1025">
        <v>0</v>
      </c>
    </row>
    <row r="1026" spans="1:29" x14ac:dyDescent="0.3">
      <c r="A1026">
        <v>4240</v>
      </c>
      <c r="B1026">
        <v>1978</v>
      </c>
      <c r="C1026" t="s">
        <v>29</v>
      </c>
      <c r="D1026" t="s">
        <v>33</v>
      </c>
      <c r="E1026">
        <v>17345</v>
      </c>
      <c r="F1026">
        <v>1</v>
      </c>
      <c r="G1026">
        <v>0</v>
      </c>
      <c r="H1026" s="1">
        <v>41216</v>
      </c>
      <c r="I1026">
        <v>79</v>
      </c>
      <c r="J1026">
        <v>4</v>
      </c>
      <c r="K1026">
        <v>9</v>
      </c>
      <c r="L1026">
        <v>16</v>
      </c>
      <c r="M1026">
        <v>17</v>
      </c>
      <c r="N1026">
        <v>0</v>
      </c>
      <c r="O1026">
        <v>12</v>
      </c>
      <c r="P1026">
        <v>2</v>
      </c>
      <c r="Q1026">
        <v>2</v>
      </c>
      <c r="R1026">
        <v>1</v>
      </c>
      <c r="S1026">
        <v>2</v>
      </c>
      <c r="T1026">
        <v>8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3</v>
      </c>
      <c r="AB1026">
        <v>11</v>
      </c>
      <c r="AC1026">
        <v>0</v>
      </c>
    </row>
    <row r="1027" spans="1:29" x14ac:dyDescent="0.3">
      <c r="A1027">
        <v>8911</v>
      </c>
      <c r="B1027">
        <v>1967</v>
      </c>
      <c r="C1027" t="s">
        <v>32</v>
      </c>
      <c r="D1027" t="s">
        <v>33</v>
      </c>
      <c r="E1027">
        <v>56320</v>
      </c>
      <c r="F1027">
        <v>0</v>
      </c>
      <c r="G1027">
        <v>1</v>
      </c>
      <c r="H1027" s="1">
        <v>41372</v>
      </c>
      <c r="I1027">
        <v>11</v>
      </c>
      <c r="J1027">
        <v>201</v>
      </c>
      <c r="K1027">
        <v>53</v>
      </c>
      <c r="L1027">
        <v>172</v>
      </c>
      <c r="M1027">
        <v>116</v>
      </c>
      <c r="N1027">
        <v>77</v>
      </c>
      <c r="O1027">
        <v>83</v>
      </c>
      <c r="P1027">
        <v>3</v>
      </c>
      <c r="Q1027">
        <v>5</v>
      </c>
      <c r="R1027">
        <v>4</v>
      </c>
      <c r="S1027">
        <v>9</v>
      </c>
      <c r="T1027">
        <v>4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3</v>
      </c>
      <c r="AB1027">
        <v>11</v>
      </c>
      <c r="AC1027">
        <v>0</v>
      </c>
    </row>
    <row r="1028" spans="1:29" x14ac:dyDescent="0.3">
      <c r="A1028">
        <v>3706</v>
      </c>
      <c r="B1028">
        <v>1978</v>
      </c>
      <c r="C1028" t="s">
        <v>29</v>
      </c>
      <c r="D1028" t="s">
        <v>30</v>
      </c>
      <c r="E1028">
        <v>28647</v>
      </c>
      <c r="F1028">
        <v>1</v>
      </c>
      <c r="G1028">
        <v>0</v>
      </c>
      <c r="H1028" s="1">
        <v>41507</v>
      </c>
      <c r="I1028">
        <v>54</v>
      </c>
      <c r="J1028">
        <v>19</v>
      </c>
      <c r="K1028">
        <v>8</v>
      </c>
      <c r="L1028">
        <v>29</v>
      </c>
      <c r="M1028">
        <v>0</v>
      </c>
      <c r="N1028">
        <v>12</v>
      </c>
      <c r="O1028">
        <v>26</v>
      </c>
      <c r="P1028">
        <v>1</v>
      </c>
      <c r="Q1028">
        <v>2</v>
      </c>
      <c r="R1028">
        <v>2</v>
      </c>
      <c r="S1028">
        <v>2</v>
      </c>
      <c r="T1028">
        <v>7</v>
      </c>
      <c r="U1028">
        <v>1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3</v>
      </c>
      <c r="AB1028">
        <v>11</v>
      </c>
      <c r="AC1028">
        <v>1</v>
      </c>
    </row>
    <row r="1029" spans="1:29" x14ac:dyDescent="0.3">
      <c r="A1029">
        <v>3628</v>
      </c>
      <c r="B1029">
        <v>1987</v>
      </c>
      <c r="C1029" t="s">
        <v>36</v>
      </c>
      <c r="D1029" t="s">
        <v>30</v>
      </c>
      <c r="E1029">
        <v>15038</v>
      </c>
      <c r="F1029">
        <v>1</v>
      </c>
      <c r="G1029">
        <v>0</v>
      </c>
      <c r="H1029" s="1">
        <v>41303</v>
      </c>
      <c r="I1029">
        <v>93</v>
      </c>
      <c r="J1029">
        <v>4</v>
      </c>
      <c r="K1029">
        <v>8</v>
      </c>
      <c r="L1029">
        <v>11</v>
      </c>
      <c r="M1029">
        <v>19</v>
      </c>
      <c r="N1029">
        <v>12</v>
      </c>
      <c r="O1029">
        <v>26</v>
      </c>
      <c r="P1029">
        <v>2</v>
      </c>
      <c r="Q1029">
        <v>2</v>
      </c>
      <c r="R1029">
        <v>1</v>
      </c>
      <c r="S1029">
        <v>2</v>
      </c>
      <c r="T1029">
        <v>9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3</v>
      </c>
      <c r="AB1029">
        <v>11</v>
      </c>
      <c r="AC1029">
        <v>0</v>
      </c>
    </row>
    <row r="1030" spans="1:29" x14ac:dyDescent="0.3">
      <c r="A1030">
        <v>10175</v>
      </c>
      <c r="B1030">
        <v>1958</v>
      </c>
      <c r="C1030" t="s">
        <v>32</v>
      </c>
      <c r="D1030" t="s">
        <v>35</v>
      </c>
      <c r="E1030">
        <v>32173</v>
      </c>
      <c r="F1030">
        <v>0</v>
      </c>
      <c r="G1030">
        <v>1</v>
      </c>
      <c r="H1030" s="1">
        <v>41487</v>
      </c>
      <c r="I1030">
        <v>0</v>
      </c>
      <c r="J1030">
        <v>18</v>
      </c>
      <c r="K1030">
        <v>0</v>
      </c>
      <c r="L1030">
        <v>2</v>
      </c>
      <c r="M1030">
        <v>0</v>
      </c>
      <c r="N1030">
        <v>0</v>
      </c>
      <c r="O1030">
        <v>2</v>
      </c>
      <c r="P1030">
        <v>1</v>
      </c>
      <c r="Q1030">
        <v>1</v>
      </c>
      <c r="R1030">
        <v>0</v>
      </c>
      <c r="S1030">
        <v>3</v>
      </c>
      <c r="T1030">
        <v>4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3</v>
      </c>
      <c r="AB1030">
        <v>11</v>
      </c>
      <c r="AC1030">
        <v>0</v>
      </c>
    </row>
    <row r="1031" spans="1:29" x14ac:dyDescent="0.3">
      <c r="A1031">
        <v>8985</v>
      </c>
      <c r="B1031">
        <v>1964</v>
      </c>
      <c r="C1031" t="s">
        <v>37</v>
      </c>
      <c r="D1031" t="s">
        <v>31</v>
      </c>
      <c r="E1031">
        <v>68316</v>
      </c>
      <c r="F1031">
        <v>0</v>
      </c>
      <c r="G1031">
        <v>1</v>
      </c>
      <c r="H1031" s="1">
        <v>41217</v>
      </c>
      <c r="I1031">
        <v>54</v>
      </c>
      <c r="J1031">
        <v>806</v>
      </c>
      <c r="K1031">
        <v>80</v>
      </c>
      <c r="L1031">
        <v>161</v>
      </c>
      <c r="M1031">
        <v>120</v>
      </c>
      <c r="N1031">
        <v>11</v>
      </c>
      <c r="O1031">
        <v>33</v>
      </c>
      <c r="P1031">
        <v>5</v>
      </c>
      <c r="Q1031">
        <v>10</v>
      </c>
      <c r="R1031">
        <v>7</v>
      </c>
      <c r="S1031">
        <v>10</v>
      </c>
      <c r="T1031">
        <v>6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3</v>
      </c>
      <c r="AB1031">
        <v>11</v>
      </c>
      <c r="AC1031">
        <v>0</v>
      </c>
    </row>
    <row r="1032" spans="1:29" x14ac:dyDescent="0.3">
      <c r="A1032">
        <v>5204</v>
      </c>
      <c r="B1032">
        <v>1971</v>
      </c>
      <c r="C1032" t="s">
        <v>29</v>
      </c>
      <c r="D1032" t="s">
        <v>31</v>
      </c>
      <c r="E1032">
        <v>74538</v>
      </c>
      <c r="F1032">
        <v>0</v>
      </c>
      <c r="G1032">
        <v>0</v>
      </c>
      <c r="H1032" s="1">
        <v>41454</v>
      </c>
      <c r="I1032">
        <v>21</v>
      </c>
      <c r="J1032">
        <v>380</v>
      </c>
      <c r="K1032">
        <v>98</v>
      </c>
      <c r="L1032">
        <v>733</v>
      </c>
      <c r="M1032">
        <v>110</v>
      </c>
      <c r="N1032">
        <v>112</v>
      </c>
      <c r="O1032">
        <v>28</v>
      </c>
      <c r="P1032">
        <v>1</v>
      </c>
      <c r="Q1032">
        <v>8</v>
      </c>
      <c r="R1032">
        <v>8</v>
      </c>
      <c r="S1032">
        <v>5</v>
      </c>
      <c r="T1032">
        <v>3</v>
      </c>
      <c r="U1032">
        <v>0</v>
      </c>
      <c r="V1032">
        <v>0</v>
      </c>
      <c r="W1032">
        <v>1</v>
      </c>
      <c r="X1032">
        <v>0</v>
      </c>
      <c r="Y1032">
        <v>0</v>
      </c>
      <c r="Z1032">
        <v>0</v>
      </c>
      <c r="AA1032">
        <v>3</v>
      </c>
      <c r="AB1032">
        <v>11</v>
      </c>
      <c r="AC1032">
        <v>1</v>
      </c>
    </row>
    <row r="1033" spans="1:29" x14ac:dyDescent="0.3">
      <c r="A1033">
        <v>9220</v>
      </c>
      <c r="B1033">
        <v>1971</v>
      </c>
      <c r="C1033" t="s">
        <v>29</v>
      </c>
      <c r="D1033" t="s">
        <v>30</v>
      </c>
      <c r="E1033">
        <v>91700</v>
      </c>
      <c r="F1033">
        <v>0</v>
      </c>
      <c r="G1033">
        <v>0</v>
      </c>
      <c r="H1033" s="1">
        <v>41291</v>
      </c>
      <c r="I1033">
        <v>58</v>
      </c>
      <c r="J1033">
        <v>576</v>
      </c>
      <c r="K1033">
        <v>172</v>
      </c>
      <c r="L1033">
        <v>961</v>
      </c>
      <c r="M1033">
        <v>125</v>
      </c>
      <c r="N1033">
        <v>115</v>
      </c>
      <c r="O1033">
        <v>19</v>
      </c>
      <c r="P1033">
        <v>1</v>
      </c>
      <c r="Q1033">
        <v>8</v>
      </c>
      <c r="R1033">
        <v>6</v>
      </c>
      <c r="S1033">
        <v>5</v>
      </c>
      <c r="T1033">
        <v>3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3</v>
      </c>
      <c r="AB1033">
        <v>11</v>
      </c>
      <c r="AC1033">
        <v>1</v>
      </c>
    </row>
    <row r="1034" spans="1:29" x14ac:dyDescent="0.3">
      <c r="A1034">
        <v>9888</v>
      </c>
      <c r="B1034">
        <v>1969</v>
      </c>
      <c r="C1034" t="s">
        <v>29</v>
      </c>
      <c r="D1034" t="s">
        <v>31</v>
      </c>
      <c r="E1034">
        <v>68695</v>
      </c>
      <c r="F1034">
        <v>0</v>
      </c>
      <c r="G1034">
        <v>0</v>
      </c>
      <c r="H1034" s="1">
        <v>41815</v>
      </c>
      <c r="I1034">
        <v>3</v>
      </c>
      <c r="J1034">
        <v>458</v>
      </c>
      <c r="K1034">
        <v>81</v>
      </c>
      <c r="L1034">
        <v>356</v>
      </c>
      <c r="M1034">
        <v>106</v>
      </c>
      <c r="N1034">
        <v>50</v>
      </c>
      <c r="O1034">
        <v>40</v>
      </c>
      <c r="P1034">
        <v>1</v>
      </c>
      <c r="Q1034">
        <v>4</v>
      </c>
      <c r="R1034">
        <v>4</v>
      </c>
      <c r="S1034">
        <v>7</v>
      </c>
      <c r="T1034">
        <v>2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3</v>
      </c>
      <c r="AB1034">
        <v>11</v>
      </c>
      <c r="AC1034">
        <v>0</v>
      </c>
    </row>
    <row r="1035" spans="1:29" x14ac:dyDescent="0.3">
      <c r="A1035">
        <v>5263</v>
      </c>
      <c r="B1035">
        <v>1977</v>
      </c>
      <c r="C1035" t="s">
        <v>37</v>
      </c>
      <c r="D1035" t="s">
        <v>33</v>
      </c>
      <c r="E1035">
        <v>31056</v>
      </c>
      <c r="F1035">
        <v>1</v>
      </c>
      <c r="G1035">
        <v>0</v>
      </c>
      <c r="H1035" s="1">
        <v>41296</v>
      </c>
      <c r="I1035">
        <v>99</v>
      </c>
      <c r="J1035">
        <v>5</v>
      </c>
      <c r="K1035">
        <v>10</v>
      </c>
      <c r="L1035">
        <v>13</v>
      </c>
      <c r="M1035">
        <v>3</v>
      </c>
      <c r="N1035">
        <v>8</v>
      </c>
      <c r="O1035">
        <v>16</v>
      </c>
      <c r="P1035">
        <v>1</v>
      </c>
      <c r="Q1035">
        <v>1</v>
      </c>
      <c r="R1035">
        <v>0</v>
      </c>
      <c r="S1035">
        <v>3</v>
      </c>
      <c r="T1035">
        <v>8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3</v>
      </c>
      <c r="AB1035">
        <v>11</v>
      </c>
      <c r="AC1035">
        <v>0</v>
      </c>
    </row>
    <row r="1036" spans="1:29" x14ac:dyDescent="0.3">
      <c r="A1036">
        <v>1020</v>
      </c>
      <c r="B1036">
        <v>1973</v>
      </c>
      <c r="C1036" t="s">
        <v>29</v>
      </c>
      <c r="D1036" t="s">
        <v>33</v>
      </c>
      <c r="E1036">
        <v>79593</v>
      </c>
      <c r="F1036">
        <v>0</v>
      </c>
      <c r="G1036">
        <v>0</v>
      </c>
      <c r="H1036" s="1">
        <v>41771</v>
      </c>
      <c r="I1036">
        <v>70</v>
      </c>
      <c r="J1036">
        <v>350</v>
      </c>
      <c r="K1036">
        <v>60</v>
      </c>
      <c r="L1036">
        <v>568</v>
      </c>
      <c r="M1036">
        <v>110</v>
      </c>
      <c r="N1036">
        <v>133</v>
      </c>
      <c r="O1036">
        <v>145</v>
      </c>
      <c r="P1036">
        <v>1</v>
      </c>
      <c r="Q1036">
        <v>5</v>
      </c>
      <c r="R1036">
        <v>6</v>
      </c>
      <c r="S1036">
        <v>7</v>
      </c>
      <c r="T1036">
        <v>2</v>
      </c>
      <c r="U1036">
        <v>0</v>
      </c>
      <c r="V1036">
        <v>0</v>
      </c>
      <c r="W1036">
        <v>1</v>
      </c>
      <c r="X1036">
        <v>0</v>
      </c>
      <c r="Y1036">
        <v>0</v>
      </c>
      <c r="Z1036">
        <v>0</v>
      </c>
      <c r="AA1036">
        <v>3</v>
      </c>
      <c r="AB1036">
        <v>11</v>
      </c>
      <c r="AC1036">
        <v>0</v>
      </c>
    </row>
    <row r="1037" spans="1:29" x14ac:dyDescent="0.3">
      <c r="A1037">
        <v>9503</v>
      </c>
      <c r="B1037">
        <v>1980</v>
      </c>
      <c r="C1037" t="s">
        <v>29</v>
      </c>
      <c r="D1037" t="s">
        <v>30</v>
      </c>
      <c r="E1037">
        <v>28071</v>
      </c>
      <c r="F1037">
        <v>0</v>
      </c>
      <c r="G1037">
        <v>0</v>
      </c>
      <c r="H1037" s="1">
        <v>41150</v>
      </c>
      <c r="I1037">
        <v>65</v>
      </c>
      <c r="J1037">
        <v>39</v>
      </c>
      <c r="K1037">
        <v>33</v>
      </c>
      <c r="L1037">
        <v>130</v>
      </c>
      <c r="M1037">
        <v>41</v>
      </c>
      <c r="N1037">
        <v>26</v>
      </c>
      <c r="O1037">
        <v>44</v>
      </c>
      <c r="P1037">
        <v>2</v>
      </c>
      <c r="Q1037">
        <v>5</v>
      </c>
      <c r="R1037">
        <v>1</v>
      </c>
      <c r="S1037">
        <v>5</v>
      </c>
      <c r="T1037">
        <v>8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3</v>
      </c>
      <c r="AB1037">
        <v>11</v>
      </c>
      <c r="AC1037">
        <v>0</v>
      </c>
    </row>
    <row r="1038" spans="1:29" x14ac:dyDescent="0.3">
      <c r="A1038">
        <v>10613</v>
      </c>
      <c r="B1038">
        <v>1958</v>
      </c>
      <c r="C1038" t="s">
        <v>32</v>
      </c>
      <c r="D1038" t="s">
        <v>31</v>
      </c>
      <c r="E1038">
        <v>37334</v>
      </c>
      <c r="F1038">
        <v>1</v>
      </c>
      <c r="G1038">
        <v>1</v>
      </c>
      <c r="H1038" s="1">
        <v>41696</v>
      </c>
      <c r="I1038">
        <v>44</v>
      </c>
      <c r="J1038">
        <v>26</v>
      </c>
      <c r="K1038">
        <v>1</v>
      </c>
      <c r="L1038">
        <v>16</v>
      </c>
      <c r="M1038">
        <v>2</v>
      </c>
      <c r="N1038">
        <v>2</v>
      </c>
      <c r="O1038">
        <v>15</v>
      </c>
      <c r="P1038">
        <v>4</v>
      </c>
      <c r="Q1038">
        <v>3</v>
      </c>
      <c r="R1038">
        <v>0</v>
      </c>
      <c r="S1038">
        <v>4</v>
      </c>
      <c r="T1038">
        <v>4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3</v>
      </c>
      <c r="AB1038">
        <v>11</v>
      </c>
      <c r="AC1038">
        <v>0</v>
      </c>
    </row>
    <row r="1039" spans="1:29" x14ac:dyDescent="0.3">
      <c r="A1039">
        <v>67</v>
      </c>
      <c r="B1039">
        <v>1972</v>
      </c>
      <c r="C1039" t="s">
        <v>34</v>
      </c>
      <c r="D1039" t="s">
        <v>30</v>
      </c>
      <c r="E1039">
        <v>46423</v>
      </c>
      <c r="F1039">
        <v>1</v>
      </c>
      <c r="G1039">
        <v>1</v>
      </c>
      <c r="H1039" s="1">
        <v>41535</v>
      </c>
      <c r="I1039">
        <v>6</v>
      </c>
      <c r="J1039">
        <v>68</v>
      </c>
      <c r="K1039">
        <v>0</v>
      </c>
      <c r="L1039">
        <v>16</v>
      </c>
      <c r="M1039">
        <v>0</v>
      </c>
      <c r="N1039">
        <v>0</v>
      </c>
      <c r="O1039">
        <v>8</v>
      </c>
      <c r="P1039">
        <v>3</v>
      </c>
      <c r="Q1039">
        <v>2</v>
      </c>
      <c r="R1039">
        <v>0</v>
      </c>
      <c r="S1039">
        <v>4</v>
      </c>
      <c r="T1039">
        <v>7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3</v>
      </c>
      <c r="AB1039">
        <v>11</v>
      </c>
      <c r="AC1039">
        <v>0</v>
      </c>
    </row>
    <row r="1040" spans="1:29" x14ac:dyDescent="0.3">
      <c r="A1040">
        <v>6019</v>
      </c>
      <c r="B1040">
        <v>1971</v>
      </c>
      <c r="C1040" t="s">
        <v>32</v>
      </c>
      <c r="D1040" t="s">
        <v>33</v>
      </c>
      <c r="E1040">
        <v>37126</v>
      </c>
      <c r="F1040">
        <v>1</v>
      </c>
      <c r="G1040">
        <v>0</v>
      </c>
      <c r="H1040" s="1">
        <v>41728</v>
      </c>
      <c r="I1040">
        <v>9</v>
      </c>
      <c r="J1040">
        <v>45</v>
      </c>
      <c r="K1040">
        <v>3</v>
      </c>
      <c r="L1040">
        <v>9</v>
      </c>
      <c r="M1040">
        <v>4</v>
      </c>
      <c r="N1040">
        <v>4</v>
      </c>
      <c r="O1040">
        <v>7</v>
      </c>
      <c r="P1040">
        <v>1</v>
      </c>
      <c r="Q1040">
        <v>1</v>
      </c>
      <c r="R1040">
        <v>2</v>
      </c>
      <c r="S1040">
        <v>2</v>
      </c>
      <c r="T1040">
        <v>6</v>
      </c>
      <c r="U1040">
        <v>1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3</v>
      </c>
      <c r="AB1040">
        <v>11</v>
      </c>
      <c r="AC1040">
        <v>1</v>
      </c>
    </row>
    <row r="1041" spans="1:29" x14ac:dyDescent="0.3">
      <c r="A1041">
        <v>5863</v>
      </c>
      <c r="B1041">
        <v>1953</v>
      </c>
      <c r="C1041" t="s">
        <v>29</v>
      </c>
      <c r="D1041" t="s">
        <v>33</v>
      </c>
      <c r="E1041">
        <v>47703</v>
      </c>
      <c r="F1041">
        <v>0</v>
      </c>
      <c r="G1041">
        <v>1</v>
      </c>
      <c r="H1041" s="1">
        <v>41423</v>
      </c>
      <c r="I1041">
        <v>95</v>
      </c>
      <c r="J1041">
        <v>359</v>
      </c>
      <c r="K1041">
        <v>0</v>
      </c>
      <c r="L1041">
        <v>134</v>
      </c>
      <c r="M1041">
        <v>13</v>
      </c>
      <c r="N1041">
        <v>26</v>
      </c>
      <c r="O1041">
        <v>123</v>
      </c>
      <c r="P1041">
        <v>4</v>
      </c>
      <c r="Q1041">
        <v>6</v>
      </c>
      <c r="R1041">
        <v>3</v>
      </c>
      <c r="S1041">
        <v>8</v>
      </c>
      <c r="T1041">
        <v>5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3</v>
      </c>
      <c r="AB1041">
        <v>11</v>
      </c>
      <c r="AC1041">
        <v>0</v>
      </c>
    </row>
    <row r="1042" spans="1:29" x14ac:dyDescent="0.3">
      <c r="A1042">
        <v>3717</v>
      </c>
      <c r="B1042">
        <v>1959</v>
      </c>
      <c r="C1042" t="s">
        <v>29</v>
      </c>
      <c r="D1042" t="s">
        <v>33</v>
      </c>
      <c r="E1042">
        <v>61180</v>
      </c>
      <c r="F1042">
        <v>0</v>
      </c>
      <c r="G1042">
        <v>1</v>
      </c>
      <c r="H1042" s="1">
        <v>41752</v>
      </c>
      <c r="I1042">
        <v>70</v>
      </c>
      <c r="J1042">
        <v>403</v>
      </c>
      <c r="K1042">
        <v>24</v>
      </c>
      <c r="L1042">
        <v>29</v>
      </c>
      <c r="M1042">
        <v>6</v>
      </c>
      <c r="N1042">
        <v>24</v>
      </c>
      <c r="O1042">
        <v>218</v>
      </c>
      <c r="P1042">
        <v>2</v>
      </c>
      <c r="Q1042">
        <v>5</v>
      </c>
      <c r="R1042">
        <v>5</v>
      </c>
      <c r="S1042">
        <v>6</v>
      </c>
      <c r="T1042">
        <v>3</v>
      </c>
      <c r="U1042">
        <v>1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3</v>
      </c>
      <c r="AB1042">
        <v>11</v>
      </c>
      <c r="AC1042">
        <v>0</v>
      </c>
    </row>
    <row r="1043" spans="1:29" x14ac:dyDescent="0.3">
      <c r="A1043">
        <v>6730</v>
      </c>
      <c r="B1043">
        <v>1954</v>
      </c>
      <c r="C1043" t="s">
        <v>29</v>
      </c>
      <c r="D1043" t="s">
        <v>33</v>
      </c>
      <c r="E1043">
        <v>38998</v>
      </c>
      <c r="F1043">
        <v>1</v>
      </c>
      <c r="G1043">
        <v>1</v>
      </c>
      <c r="H1043" s="1">
        <v>41216</v>
      </c>
      <c r="I1043">
        <v>92</v>
      </c>
      <c r="J1043">
        <v>34</v>
      </c>
      <c r="K1043">
        <v>1</v>
      </c>
      <c r="L1043">
        <v>14</v>
      </c>
      <c r="M1043">
        <v>0</v>
      </c>
      <c r="N1043">
        <v>0</v>
      </c>
      <c r="O1043">
        <v>5</v>
      </c>
      <c r="P1043">
        <v>3</v>
      </c>
      <c r="Q1043">
        <v>2</v>
      </c>
      <c r="R1043">
        <v>0</v>
      </c>
      <c r="S1043">
        <v>3</v>
      </c>
      <c r="T1043">
        <v>8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1</v>
      </c>
      <c r="AA1043">
        <v>3</v>
      </c>
      <c r="AB1043">
        <v>11</v>
      </c>
      <c r="AC1043">
        <v>0</v>
      </c>
    </row>
    <row r="1044" spans="1:29" x14ac:dyDescent="0.3">
      <c r="A1044">
        <v>10749</v>
      </c>
      <c r="B1044">
        <v>1991</v>
      </c>
      <c r="C1044" t="s">
        <v>29</v>
      </c>
      <c r="D1044" t="s">
        <v>30</v>
      </c>
      <c r="E1044">
        <v>8028</v>
      </c>
      <c r="F1044">
        <v>0</v>
      </c>
      <c r="G1044">
        <v>0</v>
      </c>
      <c r="H1044" s="1">
        <v>41170</v>
      </c>
      <c r="I1044">
        <v>62</v>
      </c>
      <c r="J1044">
        <v>73</v>
      </c>
      <c r="K1044">
        <v>18</v>
      </c>
      <c r="L1044">
        <v>66</v>
      </c>
      <c r="M1044">
        <v>7</v>
      </c>
      <c r="N1044">
        <v>12</v>
      </c>
      <c r="O1044">
        <v>2</v>
      </c>
      <c r="P1044">
        <v>15</v>
      </c>
      <c r="Q1044">
        <v>0</v>
      </c>
      <c r="R1044">
        <v>1</v>
      </c>
      <c r="S1044">
        <v>0</v>
      </c>
      <c r="T1044">
        <v>19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3</v>
      </c>
      <c r="AB1044">
        <v>11</v>
      </c>
      <c r="AC1044">
        <v>0</v>
      </c>
    </row>
    <row r="1045" spans="1:29" x14ac:dyDescent="0.3">
      <c r="A1045">
        <v>4998</v>
      </c>
      <c r="B1045">
        <v>1962</v>
      </c>
      <c r="C1045" t="s">
        <v>29</v>
      </c>
      <c r="D1045" t="s">
        <v>31</v>
      </c>
      <c r="E1045">
        <v>76081</v>
      </c>
      <c r="F1045">
        <v>0</v>
      </c>
      <c r="G1045">
        <v>0</v>
      </c>
      <c r="H1045" s="1">
        <v>41782</v>
      </c>
      <c r="I1045">
        <v>85</v>
      </c>
      <c r="J1045">
        <v>292</v>
      </c>
      <c r="K1045">
        <v>30</v>
      </c>
      <c r="L1045">
        <v>415</v>
      </c>
      <c r="M1045">
        <v>63</v>
      </c>
      <c r="N1045">
        <v>33</v>
      </c>
      <c r="O1045">
        <v>200</v>
      </c>
      <c r="P1045">
        <v>1</v>
      </c>
      <c r="Q1045">
        <v>4</v>
      </c>
      <c r="R1045">
        <v>5</v>
      </c>
      <c r="S1045">
        <v>4</v>
      </c>
      <c r="T1045">
        <v>2</v>
      </c>
      <c r="U1045">
        <v>0</v>
      </c>
      <c r="V1045">
        <v>0</v>
      </c>
      <c r="W1045">
        <v>0</v>
      </c>
      <c r="X1045">
        <v>1</v>
      </c>
      <c r="Y1045">
        <v>0</v>
      </c>
      <c r="Z1045">
        <v>0</v>
      </c>
      <c r="AA1045">
        <v>3</v>
      </c>
      <c r="AB1045">
        <v>11</v>
      </c>
      <c r="AC1045">
        <v>0</v>
      </c>
    </row>
    <row r="1046" spans="1:29" x14ac:dyDescent="0.3">
      <c r="A1046">
        <v>6287</v>
      </c>
      <c r="B1046">
        <v>1986</v>
      </c>
      <c r="C1046" t="s">
        <v>29</v>
      </c>
      <c r="D1046" t="s">
        <v>31</v>
      </c>
      <c r="E1046">
        <v>34728</v>
      </c>
      <c r="F1046">
        <v>1</v>
      </c>
      <c r="G1046">
        <v>0</v>
      </c>
      <c r="H1046" s="1">
        <v>41485</v>
      </c>
      <c r="I1046">
        <v>2</v>
      </c>
      <c r="J1046">
        <v>14</v>
      </c>
      <c r="K1046">
        <v>0</v>
      </c>
      <c r="L1046">
        <v>16</v>
      </c>
      <c r="M1046">
        <v>0</v>
      </c>
      <c r="N1046">
        <v>0</v>
      </c>
      <c r="O1046">
        <v>6</v>
      </c>
      <c r="P1046">
        <v>1</v>
      </c>
      <c r="Q1046">
        <v>1</v>
      </c>
      <c r="R1046">
        <v>1</v>
      </c>
      <c r="S1046">
        <v>2</v>
      </c>
      <c r="T1046">
        <v>6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3</v>
      </c>
      <c r="AB1046">
        <v>11</v>
      </c>
      <c r="AC1046">
        <v>1</v>
      </c>
    </row>
    <row r="1047" spans="1:29" x14ac:dyDescent="0.3">
      <c r="A1047">
        <v>5985</v>
      </c>
      <c r="B1047">
        <v>1965</v>
      </c>
      <c r="C1047" t="s">
        <v>34</v>
      </c>
      <c r="D1047" t="s">
        <v>30</v>
      </c>
      <c r="E1047">
        <v>33168</v>
      </c>
      <c r="F1047">
        <v>0</v>
      </c>
      <c r="G1047">
        <v>1</v>
      </c>
      <c r="H1047" s="1">
        <v>41195</v>
      </c>
      <c r="I1047">
        <v>0</v>
      </c>
      <c r="J1047">
        <v>80</v>
      </c>
      <c r="K1047">
        <v>1</v>
      </c>
      <c r="L1047">
        <v>37</v>
      </c>
      <c r="M1047">
        <v>0</v>
      </c>
      <c r="N1047">
        <v>1</v>
      </c>
      <c r="O1047">
        <v>3</v>
      </c>
      <c r="P1047">
        <v>3</v>
      </c>
      <c r="Q1047">
        <v>2</v>
      </c>
      <c r="R1047">
        <v>1</v>
      </c>
      <c r="S1047">
        <v>4</v>
      </c>
      <c r="T1047">
        <v>7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3</v>
      </c>
      <c r="AB1047">
        <v>11</v>
      </c>
      <c r="AC1047">
        <v>0</v>
      </c>
    </row>
    <row r="1048" spans="1:29" x14ac:dyDescent="0.3">
      <c r="A1048">
        <v>4754</v>
      </c>
      <c r="B1048">
        <v>1966</v>
      </c>
      <c r="C1048" t="s">
        <v>34</v>
      </c>
      <c r="D1048" t="s">
        <v>33</v>
      </c>
      <c r="E1048">
        <v>33585</v>
      </c>
      <c r="F1048">
        <v>0</v>
      </c>
      <c r="G1048">
        <v>1</v>
      </c>
      <c r="H1048" s="1">
        <v>41542</v>
      </c>
      <c r="I1048">
        <v>91</v>
      </c>
      <c r="J1048">
        <v>30</v>
      </c>
      <c r="K1048">
        <v>11</v>
      </c>
      <c r="L1048">
        <v>33</v>
      </c>
      <c r="M1048">
        <v>13</v>
      </c>
      <c r="N1048">
        <v>6</v>
      </c>
      <c r="O1048">
        <v>29</v>
      </c>
      <c r="P1048">
        <v>1</v>
      </c>
      <c r="Q1048">
        <v>2</v>
      </c>
      <c r="R1048">
        <v>0</v>
      </c>
      <c r="S1048">
        <v>4</v>
      </c>
      <c r="T1048">
        <v>4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3</v>
      </c>
      <c r="AB1048">
        <v>11</v>
      </c>
      <c r="AC1048">
        <v>0</v>
      </c>
    </row>
    <row r="1049" spans="1:29" x14ac:dyDescent="0.3">
      <c r="A1049">
        <v>4002</v>
      </c>
      <c r="B1049">
        <v>1960</v>
      </c>
      <c r="C1049" t="s">
        <v>32</v>
      </c>
      <c r="D1049" t="s">
        <v>33</v>
      </c>
      <c r="E1049">
        <v>77037</v>
      </c>
      <c r="F1049">
        <v>0</v>
      </c>
      <c r="G1049">
        <v>1</v>
      </c>
      <c r="H1049" s="1">
        <v>41560</v>
      </c>
      <c r="I1049">
        <v>3</v>
      </c>
      <c r="J1049">
        <v>463</v>
      </c>
      <c r="K1049">
        <v>96</v>
      </c>
      <c r="L1049">
        <v>333</v>
      </c>
      <c r="M1049">
        <v>168</v>
      </c>
      <c r="N1049">
        <v>53</v>
      </c>
      <c r="O1049">
        <v>10</v>
      </c>
      <c r="P1049">
        <v>1</v>
      </c>
      <c r="Q1049">
        <v>7</v>
      </c>
      <c r="R1049">
        <v>7</v>
      </c>
      <c r="S1049">
        <v>12</v>
      </c>
      <c r="T1049">
        <v>3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3</v>
      </c>
      <c r="AB1049">
        <v>11</v>
      </c>
      <c r="AC1049">
        <v>0</v>
      </c>
    </row>
    <row r="1050" spans="1:29" x14ac:dyDescent="0.3">
      <c r="A1050">
        <v>8870</v>
      </c>
      <c r="B1050">
        <v>1984</v>
      </c>
      <c r="C1050" t="s">
        <v>29</v>
      </c>
      <c r="D1050" t="s">
        <v>31</v>
      </c>
      <c r="E1050">
        <v>35196</v>
      </c>
      <c r="F1050">
        <v>1</v>
      </c>
      <c r="G1050">
        <v>0</v>
      </c>
      <c r="H1050" s="1">
        <v>41226</v>
      </c>
      <c r="I1050">
        <v>68</v>
      </c>
      <c r="J1050">
        <v>75</v>
      </c>
      <c r="K1050">
        <v>12</v>
      </c>
      <c r="L1050">
        <v>141</v>
      </c>
      <c r="M1050">
        <v>43</v>
      </c>
      <c r="N1050">
        <v>39</v>
      </c>
      <c r="O1050">
        <v>187</v>
      </c>
      <c r="P1050">
        <v>6</v>
      </c>
      <c r="Q1050">
        <v>6</v>
      </c>
      <c r="R1050">
        <v>1</v>
      </c>
      <c r="S1050">
        <v>5</v>
      </c>
      <c r="T1050">
        <v>8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3</v>
      </c>
      <c r="AB1050">
        <v>11</v>
      </c>
      <c r="AC1050">
        <v>1</v>
      </c>
    </row>
    <row r="1051" spans="1:29" x14ac:dyDescent="0.3">
      <c r="A1051">
        <v>966</v>
      </c>
      <c r="B1051">
        <v>1966</v>
      </c>
      <c r="C1051" t="s">
        <v>29</v>
      </c>
      <c r="D1051" t="s">
        <v>33</v>
      </c>
      <c r="E1051">
        <v>44529</v>
      </c>
      <c r="F1051">
        <v>0</v>
      </c>
      <c r="G1051">
        <v>1</v>
      </c>
      <c r="H1051" s="1">
        <v>41460</v>
      </c>
      <c r="I1051">
        <v>98</v>
      </c>
      <c r="J1051">
        <v>538</v>
      </c>
      <c r="K1051">
        <v>13</v>
      </c>
      <c r="L1051">
        <v>91</v>
      </c>
      <c r="M1051">
        <v>17</v>
      </c>
      <c r="N1051">
        <v>6</v>
      </c>
      <c r="O1051">
        <v>26</v>
      </c>
      <c r="P1051">
        <v>6</v>
      </c>
      <c r="Q1051">
        <v>6</v>
      </c>
      <c r="R1051">
        <v>2</v>
      </c>
      <c r="S1051">
        <v>11</v>
      </c>
      <c r="T1051">
        <v>5</v>
      </c>
      <c r="U1051">
        <v>0</v>
      </c>
      <c r="V1051">
        <v>1</v>
      </c>
      <c r="W1051">
        <v>0</v>
      </c>
      <c r="X1051">
        <v>0</v>
      </c>
      <c r="Y1051">
        <v>0</v>
      </c>
      <c r="Z1051">
        <v>0</v>
      </c>
      <c r="AA1051">
        <v>3</v>
      </c>
      <c r="AB1051">
        <v>11</v>
      </c>
      <c r="AC1051">
        <v>0</v>
      </c>
    </row>
    <row r="1052" spans="1:29" x14ac:dyDescent="0.3">
      <c r="A1052">
        <v>4767</v>
      </c>
      <c r="B1052">
        <v>1965</v>
      </c>
      <c r="C1052" t="s">
        <v>37</v>
      </c>
      <c r="D1052" t="s">
        <v>33</v>
      </c>
      <c r="E1052">
        <v>70924</v>
      </c>
      <c r="F1052">
        <v>0</v>
      </c>
      <c r="G1052">
        <v>0</v>
      </c>
      <c r="H1052" s="1">
        <v>41736</v>
      </c>
      <c r="I1052">
        <v>41</v>
      </c>
      <c r="J1052">
        <v>635</v>
      </c>
      <c r="K1052">
        <v>114</v>
      </c>
      <c r="L1052">
        <v>254</v>
      </c>
      <c r="M1052">
        <v>132</v>
      </c>
      <c r="N1052">
        <v>152</v>
      </c>
      <c r="O1052">
        <v>76</v>
      </c>
      <c r="P1052">
        <v>1</v>
      </c>
      <c r="Q1052">
        <v>6</v>
      </c>
      <c r="R1052">
        <v>6</v>
      </c>
      <c r="S1052">
        <v>7</v>
      </c>
      <c r="T1052">
        <v>3</v>
      </c>
      <c r="U1052">
        <v>0</v>
      </c>
      <c r="V1052">
        <v>0</v>
      </c>
      <c r="W1052">
        <v>1</v>
      </c>
      <c r="X1052">
        <v>0</v>
      </c>
      <c r="Y1052">
        <v>0</v>
      </c>
      <c r="Z1052">
        <v>0</v>
      </c>
      <c r="AA1052">
        <v>3</v>
      </c>
      <c r="AB1052">
        <v>11</v>
      </c>
      <c r="AC1052">
        <v>0</v>
      </c>
    </row>
    <row r="1053" spans="1:29" x14ac:dyDescent="0.3">
      <c r="A1053">
        <v>9725</v>
      </c>
      <c r="B1053">
        <v>1966</v>
      </c>
      <c r="C1053" t="s">
        <v>32</v>
      </c>
      <c r="D1053" t="s">
        <v>31</v>
      </c>
      <c r="E1053">
        <v>28764</v>
      </c>
      <c r="F1053">
        <v>1</v>
      </c>
      <c r="G1053">
        <v>1</v>
      </c>
      <c r="H1053" s="1">
        <v>41795</v>
      </c>
      <c r="I1053">
        <v>16</v>
      </c>
      <c r="J1053">
        <v>8</v>
      </c>
      <c r="K1053">
        <v>0</v>
      </c>
      <c r="L1053">
        <v>3</v>
      </c>
      <c r="M1053">
        <v>0</v>
      </c>
      <c r="N1053">
        <v>0</v>
      </c>
      <c r="O1053">
        <v>1</v>
      </c>
      <c r="P1053">
        <v>1</v>
      </c>
      <c r="Q1053">
        <v>1</v>
      </c>
      <c r="R1053">
        <v>0</v>
      </c>
      <c r="S1053">
        <v>2</v>
      </c>
      <c r="T1053">
        <v>8</v>
      </c>
      <c r="U1053">
        <v>1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3</v>
      </c>
      <c r="AB1053">
        <v>11</v>
      </c>
      <c r="AC1053">
        <v>0</v>
      </c>
    </row>
    <row r="1054" spans="1:29" x14ac:dyDescent="0.3">
      <c r="A1054">
        <v>4475</v>
      </c>
      <c r="B1054">
        <v>1949</v>
      </c>
      <c r="C1054" t="s">
        <v>32</v>
      </c>
      <c r="D1054" t="s">
        <v>33</v>
      </c>
      <c r="E1054">
        <v>69098</v>
      </c>
      <c r="F1054">
        <v>0</v>
      </c>
      <c r="G1054">
        <v>0</v>
      </c>
      <c r="H1054" s="1">
        <v>41321</v>
      </c>
      <c r="I1054">
        <v>82</v>
      </c>
      <c r="J1054">
        <v>1315</v>
      </c>
      <c r="K1054">
        <v>22</v>
      </c>
      <c r="L1054">
        <v>780</v>
      </c>
      <c r="M1054">
        <v>145</v>
      </c>
      <c r="N1054">
        <v>0</v>
      </c>
      <c r="O1054">
        <v>178</v>
      </c>
      <c r="P1054">
        <v>1</v>
      </c>
      <c r="Q1054">
        <v>7</v>
      </c>
      <c r="R1054">
        <v>8</v>
      </c>
      <c r="S1054">
        <v>9</v>
      </c>
      <c r="T1054">
        <v>5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3</v>
      </c>
      <c r="AB1054">
        <v>11</v>
      </c>
      <c r="AC1054">
        <v>0</v>
      </c>
    </row>
    <row r="1055" spans="1:29" x14ac:dyDescent="0.3">
      <c r="A1055">
        <v>5740</v>
      </c>
      <c r="B1055">
        <v>1970</v>
      </c>
      <c r="C1055" t="s">
        <v>37</v>
      </c>
      <c r="D1055" t="s">
        <v>35</v>
      </c>
      <c r="E1055">
        <v>25959</v>
      </c>
      <c r="F1055">
        <v>1</v>
      </c>
      <c r="G1055">
        <v>1</v>
      </c>
      <c r="H1055" s="1">
        <v>41319</v>
      </c>
      <c r="I1055">
        <v>1</v>
      </c>
      <c r="J1055">
        <v>4</v>
      </c>
      <c r="K1055">
        <v>2</v>
      </c>
      <c r="L1055">
        <v>12</v>
      </c>
      <c r="M1055">
        <v>7</v>
      </c>
      <c r="N1055">
        <v>5</v>
      </c>
      <c r="O1055">
        <v>26</v>
      </c>
      <c r="P1055">
        <v>2</v>
      </c>
      <c r="Q1055">
        <v>1</v>
      </c>
      <c r="R1055">
        <v>2</v>
      </c>
      <c r="S1055">
        <v>2</v>
      </c>
      <c r="T1055">
        <v>6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3</v>
      </c>
      <c r="AB1055">
        <v>11</v>
      </c>
      <c r="AC1055">
        <v>1</v>
      </c>
    </row>
    <row r="1056" spans="1:29" x14ac:dyDescent="0.3">
      <c r="A1056">
        <v>5731</v>
      </c>
      <c r="B1056">
        <v>1983</v>
      </c>
      <c r="C1056" t="s">
        <v>34</v>
      </c>
      <c r="D1056" t="s">
        <v>33</v>
      </c>
      <c r="E1056">
        <v>27100</v>
      </c>
      <c r="F1056">
        <v>1</v>
      </c>
      <c r="G1056">
        <v>0</v>
      </c>
      <c r="H1056" s="1">
        <v>41369</v>
      </c>
      <c r="I1056">
        <v>64</v>
      </c>
      <c r="J1056">
        <v>12</v>
      </c>
      <c r="K1056">
        <v>0</v>
      </c>
      <c r="L1056">
        <v>13</v>
      </c>
      <c r="M1056">
        <v>2</v>
      </c>
      <c r="N1056">
        <v>0</v>
      </c>
      <c r="O1056">
        <v>10</v>
      </c>
      <c r="P1056">
        <v>1</v>
      </c>
      <c r="Q1056">
        <v>1</v>
      </c>
      <c r="R1056">
        <v>0</v>
      </c>
      <c r="S1056">
        <v>3</v>
      </c>
      <c r="T1056">
        <v>7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3</v>
      </c>
      <c r="AB1056">
        <v>11</v>
      </c>
      <c r="AC1056">
        <v>0</v>
      </c>
    </row>
    <row r="1057" spans="1:29" x14ac:dyDescent="0.3">
      <c r="A1057">
        <v>7290</v>
      </c>
      <c r="B1057">
        <v>1985</v>
      </c>
      <c r="C1057" t="s">
        <v>29</v>
      </c>
      <c r="D1057" t="s">
        <v>30</v>
      </c>
      <c r="E1057">
        <v>70596</v>
      </c>
      <c r="F1057">
        <v>0</v>
      </c>
      <c r="G1057">
        <v>0</v>
      </c>
      <c r="H1057" s="1">
        <v>41187</v>
      </c>
      <c r="I1057">
        <v>68</v>
      </c>
      <c r="J1057">
        <v>347</v>
      </c>
      <c r="K1057">
        <v>44</v>
      </c>
      <c r="L1057">
        <v>534</v>
      </c>
      <c r="M1057">
        <v>17</v>
      </c>
      <c r="N1057">
        <v>0</v>
      </c>
      <c r="O1057">
        <v>26</v>
      </c>
      <c r="P1057">
        <v>1</v>
      </c>
      <c r="Q1057">
        <v>3</v>
      </c>
      <c r="R1057">
        <v>5</v>
      </c>
      <c r="S1057">
        <v>12</v>
      </c>
      <c r="T1057">
        <v>2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3</v>
      </c>
      <c r="AB1057">
        <v>11</v>
      </c>
      <c r="AC1057">
        <v>0</v>
      </c>
    </row>
    <row r="1058" spans="1:29" x14ac:dyDescent="0.3">
      <c r="A1058">
        <v>3846</v>
      </c>
      <c r="B1058">
        <v>1974</v>
      </c>
      <c r="C1058" t="s">
        <v>29</v>
      </c>
      <c r="D1058" t="s">
        <v>33</v>
      </c>
      <c r="E1058">
        <v>42557</v>
      </c>
      <c r="F1058">
        <v>0</v>
      </c>
      <c r="G1058">
        <v>1</v>
      </c>
      <c r="H1058" s="1">
        <v>41150</v>
      </c>
      <c r="I1058">
        <v>98</v>
      </c>
      <c r="J1058">
        <v>192</v>
      </c>
      <c r="K1058">
        <v>5</v>
      </c>
      <c r="L1058">
        <v>53</v>
      </c>
      <c r="M1058">
        <v>0</v>
      </c>
      <c r="N1058">
        <v>5</v>
      </c>
      <c r="O1058">
        <v>15</v>
      </c>
      <c r="P1058">
        <v>4</v>
      </c>
      <c r="Q1058">
        <v>6</v>
      </c>
      <c r="R1058">
        <v>1</v>
      </c>
      <c r="S1058">
        <v>4</v>
      </c>
      <c r="T1058">
        <v>8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3</v>
      </c>
      <c r="AB1058">
        <v>11</v>
      </c>
      <c r="AC1058">
        <v>0</v>
      </c>
    </row>
    <row r="1059" spans="1:29" x14ac:dyDescent="0.3">
      <c r="A1059">
        <v>8104</v>
      </c>
      <c r="B1059">
        <v>1951</v>
      </c>
      <c r="C1059" t="s">
        <v>32</v>
      </c>
      <c r="D1059" t="s">
        <v>33</v>
      </c>
      <c r="E1059">
        <v>53312</v>
      </c>
      <c r="F1059">
        <v>0</v>
      </c>
      <c r="G1059">
        <v>0</v>
      </c>
      <c r="H1059" s="1">
        <v>41495</v>
      </c>
      <c r="I1059">
        <v>32</v>
      </c>
      <c r="J1059">
        <v>241</v>
      </c>
      <c r="K1059">
        <v>0</v>
      </c>
      <c r="L1059">
        <v>12</v>
      </c>
      <c r="M1059">
        <v>0</v>
      </c>
      <c r="N1059">
        <v>0</v>
      </c>
      <c r="O1059">
        <v>25</v>
      </c>
      <c r="P1059">
        <v>1</v>
      </c>
      <c r="Q1059">
        <v>5</v>
      </c>
      <c r="R1059">
        <v>1</v>
      </c>
      <c r="S1059">
        <v>5</v>
      </c>
      <c r="T1059">
        <v>7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3</v>
      </c>
      <c r="AB1059">
        <v>11</v>
      </c>
      <c r="AC1059">
        <v>0</v>
      </c>
    </row>
    <row r="1060" spans="1:29" x14ac:dyDescent="0.3">
      <c r="A1060">
        <v>4507</v>
      </c>
      <c r="B1060">
        <v>1952</v>
      </c>
      <c r="C1060" t="s">
        <v>29</v>
      </c>
      <c r="D1060" t="s">
        <v>30</v>
      </c>
      <c r="E1060">
        <v>72228</v>
      </c>
      <c r="F1060">
        <v>0</v>
      </c>
      <c r="G1060">
        <v>0</v>
      </c>
      <c r="H1060" s="1">
        <v>41240</v>
      </c>
      <c r="I1060">
        <v>87</v>
      </c>
      <c r="J1060">
        <v>631</v>
      </c>
      <c r="K1060">
        <v>28</v>
      </c>
      <c r="L1060">
        <v>491</v>
      </c>
      <c r="M1060">
        <v>30</v>
      </c>
      <c r="N1060">
        <v>14</v>
      </c>
      <c r="O1060">
        <v>56</v>
      </c>
      <c r="P1060">
        <v>1</v>
      </c>
      <c r="Q1060">
        <v>6</v>
      </c>
      <c r="R1060">
        <v>7</v>
      </c>
      <c r="S1060">
        <v>8</v>
      </c>
      <c r="T1060">
        <v>3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3</v>
      </c>
      <c r="AB1060">
        <v>11</v>
      </c>
      <c r="AC1060">
        <v>0</v>
      </c>
    </row>
    <row r="1061" spans="1:29" x14ac:dyDescent="0.3">
      <c r="A1061">
        <v>11013</v>
      </c>
      <c r="B1061">
        <v>1987</v>
      </c>
      <c r="C1061" t="s">
        <v>29</v>
      </c>
      <c r="D1061" t="s">
        <v>31</v>
      </c>
      <c r="E1061">
        <v>67605</v>
      </c>
      <c r="F1061">
        <v>0</v>
      </c>
      <c r="G1061">
        <v>0</v>
      </c>
      <c r="H1061" s="1">
        <v>41364</v>
      </c>
      <c r="I1061">
        <v>84</v>
      </c>
      <c r="J1061">
        <v>336</v>
      </c>
      <c r="K1061">
        <v>28</v>
      </c>
      <c r="L1061">
        <v>282</v>
      </c>
      <c r="M1061">
        <v>184</v>
      </c>
      <c r="N1061">
        <v>54</v>
      </c>
      <c r="O1061">
        <v>54</v>
      </c>
      <c r="P1061">
        <v>1</v>
      </c>
      <c r="Q1061">
        <v>2</v>
      </c>
      <c r="R1061">
        <v>8</v>
      </c>
      <c r="S1061">
        <v>6</v>
      </c>
      <c r="T1061">
        <v>1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3</v>
      </c>
      <c r="AB1061">
        <v>11</v>
      </c>
      <c r="AC1061">
        <v>0</v>
      </c>
    </row>
    <row r="1062" spans="1:29" x14ac:dyDescent="0.3">
      <c r="A1062">
        <v>4491</v>
      </c>
      <c r="B1062">
        <v>1949</v>
      </c>
      <c r="C1062" t="s">
        <v>34</v>
      </c>
      <c r="D1062" t="s">
        <v>33</v>
      </c>
      <c r="E1062">
        <v>62845</v>
      </c>
      <c r="F1062">
        <v>1</v>
      </c>
      <c r="G1062">
        <v>1</v>
      </c>
      <c r="H1062" s="1">
        <v>41183</v>
      </c>
      <c r="I1062">
        <v>3</v>
      </c>
      <c r="J1062">
        <v>1099</v>
      </c>
      <c r="K1062">
        <v>0</v>
      </c>
      <c r="L1062">
        <v>45</v>
      </c>
      <c r="M1062">
        <v>0</v>
      </c>
      <c r="N1062">
        <v>0</v>
      </c>
      <c r="O1062">
        <v>34</v>
      </c>
      <c r="P1062">
        <v>11</v>
      </c>
      <c r="Q1062">
        <v>3</v>
      </c>
      <c r="R1062">
        <v>4</v>
      </c>
      <c r="S1062">
        <v>10</v>
      </c>
      <c r="T1062">
        <v>8</v>
      </c>
      <c r="U1062">
        <v>0</v>
      </c>
      <c r="V1062">
        <v>1</v>
      </c>
      <c r="W1062">
        <v>0</v>
      </c>
      <c r="X1062">
        <v>0</v>
      </c>
      <c r="Y1062">
        <v>0</v>
      </c>
      <c r="Z1062">
        <v>0</v>
      </c>
      <c r="AA1062">
        <v>3</v>
      </c>
      <c r="AB1062">
        <v>11</v>
      </c>
      <c r="AC1062">
        <v>0</v>
      </c>
    </row>
    <row r="1063" spans="1:29" x14ac:dyDescent="0.3">
      <c r="A1063">
        <v>3759</v>
      </c>
      <c r="B1063">
        <v>1958</v>
      </c>
      <c r="C1063" t="s">
        <v>29</v>
      </c>
      <c r="D1063" t="s">
        <v>31</v>
      </c>
      <c r="E1063">
        <v>65196</v>
      </c>
      <c r="F1063">
        <v>0</v>
      </c>
      <c r="G1063">
        <v>2</v>
      </c>
      <c r="H1063" s="1">
        <v>41480</v>
      </c>
      <c r="I1063">
        <v>34</v>
      </c>
      <c r="J1063">
        <v>743</v>
      </c>
      <c r="K1063">
        <v>19</v>
      </c>
      <c r="L1063">
        <v>181</v>
      </c>
      <c r="M1063">
        <v>12</v>
      </c>
      <c r="N1063">
        <v>0</v>
      </c>
      <c r="O1063">
        <v>200</v>
      </c>
      <c r="P1063">
        <v>2</v>
      </c>
      <c r="Q1063">
        <v>7</v>
      </c>
      <c r="R1063">
        <v>6</v>
      </c>
      <c r="S1063">
        <v>11</v>
      </c>
      <c r="T1063">
        <v>5</v>
      </c>
      <c r="U1063">
        <v>1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3</v>
      </c>
      <c r="AB1063">
        <v>11</v>
      </c>
      <c r="AC1063">
        <v>0</v>
      </c>
    </row>
    <row r="1064" spans="1:29" x14ac:dyDescent="0.3">
      <c r="A1064">
        <v>1162</v>
      </c>
      <c r="B1064">
        <v>1987</v>
      </c>
      <c r="C1064" t="s">
        <v>32</v>
      </c>
      <c r="D1064" t="s">
        <v>30</v>
      </c>
      <c r="E1064">
        <v>42000</v>
      </c>
      <c r="F1064">
        <v>0</v>
      </c>
      <c r="G1064">
        <v>0</v>
      </c>
      <c r="H1064" s="1">
        <v>41284</v>
      </c>
      <c r="I1064">
        <v>23</v>
      </c>
      <c r="J1064">
        <v>124</v>
      </c>
      <c r="K1064">
        <v>83</v>
      </c>
      <c r="L1064">
        <v>267</v>
      </c>
      <c r="M1064">
        <v>85</v>
      </c>
      <c r="N1064">
        <v>59</v>
      </c>
      <c r="O1064">
        <v>35</v>
      </c>
      <c r="P1064">
        <v>2</v>
      </c>
      <c r="Q1064">
        <v>5</v>
      </c>
      <c r="R1064">
        <v>2</v>
      </c>
      <c r="S1064">
        <v>11</v>
      </c>
      <c r="T1064">
        <v>5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3</v>
      </c>
      <c r="AB1064">
        <v>11</v>
      </c>
      <c r="AC1064">
        <v>1</v>
      </c>
    </row>
    <row r="1065" spans="1:29" x14ac:dyDescent="0.3">
      <c r="A1065">
        <v>2055</v>
      </c>
      <c r="B1065">
        <v>1973</v>
      </c>
      <c r="C1065" t="s">
        <v>32</v>
      </c>
      <c r="D1065" t="s">
        <v>35</v>
      </c>
      <c r="E1065">
        <v>35860</v>
      </c>
      <c r="F1065">
        <v>1</v>
      </c>
      <c r="G1065">
        <v>1</v>
      </c>
      <c r="H1065" s="1">
        <v>41778</v>
      </c>
      <c r="I1065">
        <v>37</v>
      </c>
      <c r="J1065">
        <v>15</v>
      </c>
      <c r="K1065">
        <v>0</v>
      </c>
      <c r="L1065">
        <v>8</v>
      </c>
      <c r="M1065">
        <v>4</v>
      </c>
      <c r="N1065">
        <v>2</v>
      </c>
      <c r="O1065">
        <v>20</v>
      </c>
      <c r="P1065">
        <v>2</v>
      </c>
      <c r="Q1065">
        <v>1</v>
      </c>
      <c r="R1065">
        <v>1</v>
      </c>
      <c r="S1065">
        <v>2</v>
      </c>
      <c r="T1065">
        <v>5</v>
      </c>
      <c r="U1065">
        <v>1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3</v>
      </c>
      <c r="AB1065">
        <v>11</v>
      </c>
      <c r="AC1065">
        <v>0</v>
      </c>
    </row>
    <row r="1066" spans="1:29" x14ac:dyDescent="0.3">
      <c r="A1066">
        <v>10766</v>
      </c>
      <c r="B1066">
        <v>1964</v>
      </c>
      <c r="C1066" t="s">
        <v>32</v>
      </c>
      <c r="D1066" t="s">
        <v>33</v>
      </c>
      <c r="E1066">
        <v>65526</v>
      </c>
      <c r="F1066">
        <v>0</v>
      </c>
      <c r="G1066">
        <v>1</v>
      </c>
      <c r="H1066" s="1">
        <v>41740</v>
      </c>
      <c r="I1066">
        <v>22</v>
      </c>
      <c r="J1066">
        <v>397</v>
      </c>
      <c r="K1066">
        <v>19</v>
      </c>
      <c r="L1066">
        <v>69</v>
      </c>
      <c r="M1066">
        <v>12</v>
      </c>
      <c r="N1066">
        <v>0</v>
      </c>
      <c r="O1066">
        <v>9</v>
      </c>
      <c r="P1066">
        <v>1</v>
      </c>
      <c r="Q1066">
        <v>4</v>
      </c>
      <c r="R1066">
        <v>4</v>
      </c>
      <c r="S1066">
        <v>8</v>
      </c>
      <c r="T1066">
        <v>2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3</v>
      </c>
      <c r="AB1066">
        <v>11</v>
      </c>
      <c r="AC1066">
        <v>0</v>
      </c>
    </row>
    <row r="1067" spans="1:29" x14ac:dyDescent="0.3">
      <c r="A1067">
        <v>4415</v>
      </c>
      <c r="B1067">
        <v>1961</v>
      </c>
      <c r="C1067" t="s">
        <v>29</v>
      </c>
      <c r="D1067" t="s">
        <v>33</v>
      </c>
      <c r="E1067">
        <v>16860</v>
      </c>
      <c r="F1067">
        <v>1</v>
      </c>
      <c r="G1067">
        <v>1</v>
      </c>
      <c r="H1067" s="1">
        <v>41164</v>
      </c>
      <c r="I1067">
        <v>19</v>
      </c>
      <c r="J1067">
        <v>10</v>
      </c>
      <c r="K1067">
        <v>4</v>
      </c>
      <c r="L1067">
        <v>4</v>
      </c>
      <c r="M1067">
        <v>3</v>
      </c>
      <c r="N1067">
        <v>3</v>
      </c>
      <c r="O1067">
        <v>14</v>
      </c>
      <c r="P1067">
        <v>3</v>
      </c>
      <c r="Q1067">
        <v>1</v>
      </c>
      <c r="R1067">
        <v>1</v>
      </c>
      <c r="S1067">
        <v>3</v>
      </c>
      <c r="T1067">
        <v>7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3</v>
      </c>
      <c r="AB1067">
        <v>11</v>
      </c>
      <c r="AC1067">
        <v>0</v>
      </c>
    </row>
    <row r="1068" spans="1:29" x14ac:dyDescent="0.3">
      <c r="A1068">
        <v>3005</v>
      </c>
      <c r="B1068">
        <v>1992</v>
      </c>
      <c r="C1068" t="s">
        <v>29</v>
      </c>
      <c r="D1068" t="s">
        <v>30</v>
      </c>
      <c r="E1068">
        <v>83528</v>
      </c>
      <c r="F1068">
        <v>0</v>
      </c>
      <c r="G1068">
        <v>0</v>
      </c>
      <c r="H1068" s="1">
        <v>41760</v>
      </c>
      <c r="I1068">
        <v>7</v>
      </c>
      <c r="J1068">
        <v>530</v>
      </c>
      <c r="K1068">
        <v>117</v>
      </c>
      <c r="L1068">
        <v>678</v>
      </c>
      <c r="M1068">
        <v>134</v>
      </c>
      <c r="N1068">
        <v>44</v>
      </c>
      <c r="O1068">
        <v>147</v>
      </c>
      <c r="P1068">
        <v>1</v>
      </c>
      <c r="Q1068">
        <v>4</v>
      </c>
      <c r="R1068">
        <v>10</v>
      </c>
      <c r="S1068">
        <v>8</v>
      </c>
      <c r="T1068">
        <v>1</v>
      </c>
      <c r="U1068">
        <v>1</v>
      </c>
      <c r="V1068">
        <v>0</v>
      </c>
      <c r="W1068">
        <v>0</v>
      </c>
      <c r="X1068">
        <v>1</v>
      </c>
      <c r="Y1068">
        <v>0</v>
      </c>
      <c r="Z1068">
        <v>0</v>
      </c>
      <c r="AA1068">
        <v>3</v>
      </c>
      <c r="AB1068">
        <v>11</v>
      </c>
      <c r="AC1068">
        <v>1</v>
      </c>
    </row>
    <row r="1069" spans="1:29" x14ac:dyDescent="0.3">
      <c r="A1069">
        <v>2223</v>
      </c>
      <c r="B1069">
        <v>1965</v>
      </c>
      <c r="C1069" t="s">
        <v>37</v>
      </c>
      <c r="D1069" t="s">
        <v>35</v>
      </c>
      <c r="E1069">
        <v>64176</v>
      </c>
      <c r="F1069">
        <v>0</v>
      </c>
      <c r="G1069">
        <v>1</v>
      </c>
      <c r="H1069" s="1">
        <v>41124</v>
      </c>
      <c r="I1069">
        <v>52</v>
      </c>
      <c r="J1069">
        <v>1215</v>
      </c>
      <c r="K1069">
        <v>33</v>
      </c>
      <c r="L1069">
        <v>249</v>
      </c>
      <c r="M1069">
        <v>64</v>
      </c>
      <c r="N1069">
        <v>116</v>
      </c>
      <c r="O1069">
        <v>149</v>
      </c>
      <c r="P1069">
        <v>8</v>
      </c>
      <c r="Q1069">
        <v>8</v>
      </c>
      <c r="R1069">
        <v>9</v>
      </c>
      <c r="S1069">
        <v>8</v>
      </c>
      <c r="T1069">
        <v>6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3</v>
      </c>
      <c r="AB1069">
        <v>11</v>
      </c>
      <c r="AC1069">
        <v>0</v>
      </c>
    </row>
    <row r="1070" spans="1:29" x14ac:dyDescent="0.3">
      <c r="A1070">
        <v>4817</v>
      </c>
      <c r="B1070">
        <v>1956</v>
      </c>
      <c r="C1070" t="s">
        <v>29</v>
      </c>
      <c r="D1070" t="s">
        <v>35</v>
      </c>
      <c r="E1070">
        <v>22304</v>
      </c>
      <c r="F1070">
        <v>0</v>
      </c>
      <c r="G1070">
        <v>0</v>
      </c>
      <c r="H1070" s="1">
        <v>41125</v>
      </c>
      <c r="I1070">
        <v>91</v>
      </c>
      <c r="J1070">
        <v>3</v>
      </c>
      <c r="K1070">
        <v>2</v>
      </c>
      <c r="L1070">
        <v>7</v>
      </c>
      <c r="M1070">
        <v>0</v>
      </c>
      <c r="N1070">
        <v>4</v>
      </c>
      <c r="O1070">
        <v>2</v>
      </c>
      <c r="P1070">
        <v>1</v>
      </c>
      <c r="Q1070">
        <v>1</v>
      </c>
      <c r="R1070">
        <v>0</v>
      </c>
      <c r="S1070">
        <v>2</v>
      </c>
      <c r="T1070">
        <v>8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3</v>
      </c>
      <c r="AB1070">
        <v>11</v>
      </c>
      <c r="AC1070">
        <v>0</v>
      </c>
    </row>
    <row r="1071" spans="1:29" x14ac:dyDescent="0.3">
      <c r="A1071">
        <v>2875</v>
      </c>
      <c r="B1071">
        <v>1978</v>
      </c>
      <c r="C1071" t="s">
        <v>29</v>
      </c>
      <c r="D1071" t="s">
        <v>33</v>
      </c>
      <c r="E1071">
        <v>67023</v>
      </c>
      <c r="F1071">
        <v>0</v>
      </c>
      <c r="G1071">
        <v>0</v>
      </c>
      <c r="H1071" s="1">
        <v>41702</v>
      </c>
      <c r="I1071">
        <v>93</v>
      </c>
      <c r="J1071">
        <v>444</v>
      </c>
      <c r="K1071">
        <v>44</v>
      </c>
      <c r="L1071">
        <v>382</v>
      </c>
      <c r="M1071">
        <v>11</v>
      </c>
      <c r="N1071">
        <v>8</v>
      </c>
      <c r="O1071">
        <v>17</v>
      </c>
      <c r="P1071">
        <v>1</v>
      </c>
      <c r="Q1071">
        <v>3</v>
      </c>
      <c r="R1071">
        <v>7</v>
      </c>
      <c r="S1071">
        <v>13</v>
      </c>
      <c r="T1071">
        <v>2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3</v>
      </c>
      <c r="AB1071">
        <v>11</v>
      </c>
      <c r="AC1071">
        <v>0</v>
      </c>
    </row>
    <row r="1072" spans="1:29" x14ac:dyDescent="0.3">
      <c r="A1072">
        <v>10536</v>
      </c>
      <c r="B1072">
        <v>1971</v>
      </c>
      <c r="C1072" t="s">
        <v>32</v>
      </c>
      <c r="D1072" t="s">
        <v>31</v>
      </c>
      <c r="E1072">
        <v>32892</v>
      </c>
      <c r="F1072">
        <v>1</v>
      </c>
      <c r="G1072">
        <v>0</v>
      </c>
      <c r="H1072" s="1">
        <v>41784</v>
      </c>
      <c r="I1072">
        <v>78</v>
      </c>
      <c r="J1072">
        <v>26</v>
      </c>
      <c r="K1072">
        <v>0</v>
      </c>
      <c r="L1072">
        <v>15</v>
      </c>
      <c r="M1072">
        <v>2</v>
      </c>
      <c r="N1072">
        <v>1</v>
      </c>
      <c r="O1072">
        <v>2</v>
      </c>
      <c r="P1072">
        <v>2</v>
      </c>
      <c r="Q1072">
        <v>3</v>
      </c>
      <c r="R1072">
        <v>0</v>
      </c>
      <c r="S1072">
        <v>3</v>
      </c>
      <c r="T1072">
        <v>8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3</v>
      </c>
      <c r="AB1072">
        <v>11</v>
      </c>
      <c r="AC1072">
        <v>0</v>
      </c>
    </row>
    <row r="1073" spans="1:29" x14ac:dyDescent="0.3">
      <c r="A1073">
        <v>11112</v>
      </c>
      <c r="B1073">
        <v>1966</v>
      </c>
      <c r="C1073" t="s">
        <v>29</v>
      </c>
      <c r="D1073" t="s">
        <v>31</v>
      </c>
      <c r="E1073">
        <v>70713</v>
      </c>
      <c r="F1073">
        <v>0</v>
      </c>
      <c r="G1073">
        <v>1</v>
      </c>
      <c r="H1073" s="1">
        <v>41246</v>
      </c>
      <c r="I1073">
        <v>23</v>
      </c>
      <c r="J1073">
        <v>736</v>
      </c>
      <c r="K1073">
        <v>114</v>
      </c>
      <c r="L1073">
        <v>279</v>
      </c>
      <c r="M1073">
        <v>82</v>
      </c>
      <c r="N1073">
        <v>76</v>
      </c>
      <c r="O1073">
        <v>190</v>
      </c>
      <c r="P1073">
        <v>6</v>
      </c>
      <c r="Q1073">
        <v>5</v>
      </c>
      <c r="R1073">
        <v>6</v>
      </c>
      <c r="S1073">
        <v>8</v>
      </c>
      <c r="T1073">
        <v>3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3</v>
      </c>
      <c r="AB1073">
        <v>11</v>
      </c>
      <c r="AC1073">
        <v>0</v>
      </c>
    </row>
    <row r="1074" spans="1:29" x14ac:dyDescent="0.3">
      <c r="A1074">
        <v>3807</v>
      </c>
      <c r="B1074">
        <v>1955</v>
      </c>
      <c r="C1074" t="s">
        <v>29</v>
      </c>
      <c r="D1074" t="s">
        <v>31</v>
      </c>
      <c r="E1074">
        <v>59925</v>
      </c>
      <c r="F1074">
        <v>0</v>
      </c>
      <c r="G1074">
        <v>1</v>
      </c>
      <c r="H1074" s="1">
        <v>41243</v>
      </c>
      <c r="I1074">
        <v>83</v>
      </c>
      <c r="J1074">
        <v>473</v>
      </c>
      <c r="K1074">
        <v>21</v>
      </c>
      <c r="L1074">
        <v>176</v>
      </c>
      <c r="M1074">
        <v>19</v>
      </c>
      <c r="N1074">
        <v>21</v>
      </c>
      <c r="O1074">
        <v>56</v>
      </c>
      <c r="P1074">
        <v>3</v>
      </c>
      <c r="Q1074">
        <v>9</v>
      </c>
      <c r="R1074">
        <v>2</v>
      </c>
      <c r="S1074">
        <v>9</v>
      </c>
      <c r="T1074">
        <v>6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3</v>
      </c>
      <c r="AB1074">
        <v>11</v>
      </c>
      <c r="AC1074">
        <v>0</v>
      </c>
    </row>
    <row r="1075" spans="1:29" x14ac:dyDescent="0.3">
      <c r="A1075">
        <v>9197</v>
      </c>
      <c r="B1075">
        <v>1953</v>
      </c>
      <c r="C1075" t="s">
        <v>29</v>
      </c>
      <c r="D1075" t="s">
        <v>33</v>
      </c>
      <c r="E1075">
        <v>39722</v>
      </c>
      <c r="F1075">
        <v>0</v>
      </c>
      <c r="G1075">
        <v>1</v>
      </c>
      <c r="H1075" s="1">
        <v>41694</v>
      </c>
      <c r="I1075">
        <v>92</v>
      </c>
      <c r="J1075">
        <v>32</v>
      </c>
      <c r="K1075">
        <v>0</v>
      </c>
      <c r="L1075">
        <v>5</v>
      </c>
      <c r="M1075">
        <v>2</v>
      </c>
      <c r="N1075">
        <v>0</v>
      </c>
      <c r="O1075">
        <v>8</v>
      </c>
      <c r="P1075">
        <v>2</v>
      </c>
      <c r="Q1075">
        <v>2</v>
      </c>
      <c r="R1075">
        <v>0</v>
      </c>
      <c r="S1075">
        <v>3</v>
      </c>
      <c r="T1075">
        <v>5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3</v>
      </c>
      <c r="AB1075">
        <v>11</v>
      </c>
      <c r="AC1075">
        <v>0</v>
      </c>
    </row>
    <row r="1076" spans="1:29" x14ac:dyDescent="0.3">
      <c r="A1076">
        <v>10832</v>
      </c>
      <c r="B1076">
        <v>1958</v>
      </c>
      <c r="C1076" t="s">
        <v>29</v>
      </c>
      <c r="D1076" t="s">
        <v>31</v>
      </c>
      <c r="E1076">
        <v>46610</v>
      </c>
      <c r="F1076">
        <v>0</v>
      </c>
      <c r="G1076">
        <v>0</v>
      </c>
      <c r="H1076" s="1">
        <v>41473</v>
      </c>
      <c r="I1076">
        <v>4</v>
      </c>
      <c r="J1076">
        <v>288</v>
      </c>
      <c r="K1076">
        <v>10</v>
      </c>
      <c r="L1076">
        <v>30</v>
      </c>
      <c r="M1076">
        <v>4</v>
      </c>
      <c r="N1076">
        <v>10</v>
      </c>
      <c r="O1076">
        <v>125</v>
      </c>
      <c r="P1076">
        <v>1</v>
      </c>
      <c r="Q1076">
        <v>6</v>
      </c>
      <c r="R1076">
        <v>1</v>
      </c>
      <c r="S1076">
        <v>6</v>
      </c>
      <c r="T1076">
        <v>6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3</v>
      </c>
      <c r="AB1076">
        <v>11</v>
      </c>
      <c r="AC1076">
        <v>0</v>
      </c>
    </row>
    <row r="1077" spans="1:29" x14ac:dyDescent="0.3">
      <c r="A1077">
        <v>6421</v>
      </c>
      <c r="B1077">
        <v>1961</v>
      </c>
      <c r="C1077" t="s">
        <v>29</v>
      </c>
      <c r="D1077" t="s">
        <v>31</v>
      </c>
      <c r="E1077">
        <v>88347</v>
      </c>
      <c r="F1077">
        <v>0</v>
      </c>
      <c r="G1077">
        <v>0</v>
      </c>
      <c r="H1077" s="1">
        <v>41458</v>
      </c>
      <c r="I1077">
        <v>32</v>
      </c>
      <c r="J1077">
        <v>1050</v>
      </c>
      <c r="K1077">
        <v>178</v>
      </c>
      <c r="L1077">
        <v>555</v>
      </c>
      <c r="M1077">
        <v>77</v>
      </c>
      <c r="N1077">
        <v>138</v>
      </c>
      <c r="O1077">
        <v>118</v>
      </c>
      <c r="P1077">
        <v>1</v>
      </c>
      <c r="Q1077">
        <v>4</v>
      </c>
      <c r="R1077">
        <v>7</v>
      </c>
      <c r="S1077">
        <v>9</v>
      </c>
      <c r="T1077">
        <v>1</v>
      </c>
      <c r="U1077">
        <v>0</v>
      </c>
      <c r="V1077">
        <v>0</v>
      </c>
      <c r="W1077">
        <v>0</v>
      </c>
      <c r="X1077">
        <v>1</v>
      </c>
      <c r="Y1077">
        <v>0</v>
      </c>
      <c r="Z1077">
        <v>0</v>
      </c>
      <c r="AA1077">
        <v>3</v>
      </c>
      <c r="AB1077">
        <v>11</v>
      </c>
      <c r="AC1077">
        <v>0</v>
      </c>
    </row>
    <row r="1078" spans="1:29" x14ac:dyDescent="0.3">
      <c r="A1078">
        <v>4207</v>
      </c>
      <c r="B1078">
        <v>1981</v>
      </c>
      <c r="C1078" t="s">
        <v>32</v>
      </c>
      <c r="D1078" t="s">
        <v>33</v>
      </c>
      <c r="E1078">
        <v>87171</v>
      </c>
      <c r="F1078">
        <v>0</v>
      </c>
      <c r="G1078">
        <v>0</v>
      </c>
      <c r="H1078" s="1">
        <v>41395</v>
      </c>
      <c r="I1078">
        <v>27</v>
      </c>
      <c r="J1078">
        <v>1001</v>
      </c>
      <c r="K1078">
        <v>44</v>
      </c>
      <c r="L1078">
        <v>107</v>
      </c>
      <c r="M1078">
        <v>58</v>
      </c>
      <c r="N1078">
        <v>44</v>
      </c>
      <c r="O1078">
        <v>44</v>
      </c>
      <c r="P1078">
        <v>1</v>
      </c>
      <c r="Q1078">
        <v>6</v>
      </c>
      <c r="R1078">
        <v>7</v>
      </c>
      <c r="S1078">
        <v>11</v>
      </c>
      <c r="T1078">
        <v>2</v>
      </c>
      <c r="U1078">
        <v>1</v>
      </c>
      <c r="V1078">
        <v>0</v>
      </c>
      <c r="W1078">
        <v>1</v>
      </c>
      <c r="X1078">
        <v>0</v>
      </c>
      <c r="Y1078">
        <v>0</v>
      </c>
      <c r="Z1078">
        <v>0</v>
      </c>
      <c r="AA1078">
        <v>3</v>
      </c>
      <c r="AB1078">
        <v>11</v>
      </c>
      <c r="AC1078">
        <v>0</v>
      </c>
    </row>
    <row r="1079" spans="1:29" x14ac:dyDescent="0.3">
      <c r="A1079">
        <v>577</v>
      </c>
      <c r="B1079">
        <v>1976</v>
      </c>
      <c r="C1079" t="s">
        <v>37</v>
      </c>
      <c r="D1079" t="s">
        <v>31</v>
      </c>
      <c r="E1079">
        <v>26907</v>
      </c>
      <c r="F1079">
        <v>1</v>
      </c>
      <c r="G1079">
        <v>1</v>
      </c>
      <c r="H1079" s="1">
        <v>41506</v>
      </c>
      <c r="I1079">
        <v>10</v>
      </c>
      <c r="J1079">
        <v>9</v>
      </c>
      <c r="K1079">
        <v>1</v>
      </c>
      <c r="L1079">
        <v>7</v>
      </c>
      <c r="M1079">
        <v>0</v>
      </c>
      <c r="N1079">
        <v>3</v>
      </c>
      <c r="O1079">
        <v>2</v>
      </c>
      <c r="P1079">
        <v>2</v>
      </c>
      <c r="Q1079">
        <v>1</v>
      </c>
      <c r="R1079">
        <v>0</v>
      </c>
      <c r="S1079">
        <v>3</v>
      </c>
      <c r="T1079">
        <v>7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3</v>
      </c>
      <c r="AB1079">
        <v>11</v>
      </c>
      <c r="AC1079">
        <v>0</v>
      </c>
    </row>
    <row r="1080" spans="1:29" x14ac:dyDescent="0.3">
      <c r="A1080">
        <v>10855</v>
      </c>
      <c r="B1080">
        <v>1968</v>
      </c>
      <c r="C1080" t="s">
        <v>34</v>
      </c>
      <c r="D1080" t="s">
        <v>30</v>
      </c>
      <c r="E1080">
        <v>50014</v>
      </c>
      <c r="F1080">
        <v>1</v>
      </c>
      <c r="G1080">
        <v>0</v>
      </c>
      <c r="H1080" s="1">
        <v>41661</v>
      </c>
      <c r="I1080">
        <v>9</v>
      </c>
      <c r="J1080">
        <v>234</v>
      </c>
      <c r="K1080">
        <v>14</v>
      </c>
      <c r="L1080">
        <v>77</v>
      </c>
      <c r="M1080">
        <v>19</v>
      </c>
      <c r="N1080">
        <v>10</v>
      </c>
      <c r="O1080">
        <v>42</v>
      </c>
      <c r="P1080">
        <v>2</v>
      </c>
      <c r="Q1080">
        <v>4</v>
      </c>
      <c r="R1080">
        <v>1</v>
      </c>
      <c r="S1080">
        <v>8</v>
      </c>
      <c r="T1080">
        <v>5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3</v>
      </c>
      <c r="AB1080">
        <v>11</v>
      </c>
      <c r="AC1080">
        <v>0</v>
      </c>
    </row>
    <row r="1081" spans="1:29" x14ac:dyDescent="0.3">
      <c r="A1081">
        <v>3081</v>
      </c>
      <c r="B1081">
        <v>1978</v>
      </c>
      <c r="C1081" t="s">
        <v>32</v>
      </c>
      <c r="D1081" t="s">
        <v>33</v>
      </c>
      <c r="E1081">
        <v>41014</v>
      </c>
      <c r="F1081">
        <v>1</v>
      </c>
      <c r="G1081">
        <v>0</v>
      </c>
      <c r="H1081" s="1">
        <v>41386</v>
      </c>
      <c r="I1081">
        <v>65</v>
      </c>
      <c r="J1081">
        <v>7</v>
      </c>
      <c r="K1081">
        <v>2</v>
      </c>
      <c r="L1081">
        <v>6</v>
      </c>
      <c r="M1081">
        <v>2</v>
      </c>
      <c r="N1081">
        <v>0</v>
      </c>
      <c r="O1081">
        <v>3</v>
      </c>
      <c r="P1081">
        <v>1</v>
      </c>
      <c r="Q1081">
        <v>1</v>
      </c>
      <c r="R1081">
        <v>0</v>
      </c>
      <c r="S1081">
        <v>2</v>
      </c>
      <c r="T1081">
        <v>7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3</v>
      </c>
      <c r="AB1081">
        <v>11</v>
      </c>
      <c r="AC1081">
        <v>0</v>
      </c>
    </row>
    <row r="1082" spans="1:29" x14ac:dyDescent="0.3">
      <c r="A1082">
        <v>3535</v>
      </c>
      <c r="B1082">
        <v>1965</v>
      </c>
      <c r="C1082" t="s">
        <v>29</v>
      </c>
      <c r="D1082" t="s">
        <v>30</v>
      </c>
      <c r="E1082">
        <v>66294</v>
      </c>
      <c r="F1082">
        <v>0</v>
      </c>
      <c r="G1082">
        <v>0</v>
      </c>
      <c r="H1082" s="1">
        <v>41715</v>
      </c>
      <c r="I1082">
        <v>68</v>
      </c>
      <c r="J1082">
        <v>251</v>
      </c>
      <c r="K1082">
        <v>108</v>
      </c>
      <c r="L1082">
        <v>334</v>
      </c>
      <c r="M1082">
        <v>65</v>
      </c>
      <c r="N1082">
        <v>92</v>
      </c>
      <c r="O1082">
        <v>117</v>
      </c>
      <c r="P1082">
        <v>1</v>
      </c>
      <c r="Q1082">
        <v>4</v>
      </c>
      <c r="R1082">
        <v>3</v>
      </c>
      <c r="S1082">
        <v>5</v>
      </c>
      <c r="T1082">
        <v>2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3</v>
      </c>
      <c r="AB1082">
        <v>11</v>
      </c>
      <c r="AC1082">
        <v>0</v>
      </c>
    </row>
    <row r="1083" spans="1:29" x14ac:dyDescent="0.3">
      <c r="A1083">
        <v>247</v>
      </c>
      <c r="B1083">
        <v>1971</v>
      </c>
      <c r="C1083" t="s">
        <v>29</v>
      </c>
      <c r="D1083" t="s">
        <v>33</v>
      </c>
      <c r="E1083">
        <v>36715</v>
      </c>
      <c r="F1083">
        <v>1</v>
      </c>
      <c r="G1083">
        <v>0</v>
      </c>
      <c r="H1083" s="1">
        <v>41230</v>
      </c>
      <c r="I1083">
        <v>16</v>
      </c>
      <c r="J1083">
        <v>172</v>
      </c>
      <c r="K1083">
        <v>10</v>
      </c>
      <c r="L1083">
        <v>125</v>
      </c>
      <c r="M1083">
        <v>21</v>
      </c>
      <c r="N1083">
        <v>13</v>
      </c>
      <c r="O1083">
        <v>16</v>
      </c>
      <c r="P1083">
        <v>6</v>
      </c>
      <c r="Q1083">
        <v>7</v>
      </c>
      <c r="R1083">
        <v>2</v>
      </c>
      <c r="S1083">
        <v>4</v>
      </c>
      <c r="T1083">
        <v>9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3</v>
      </c>
      <c r="AB1083">
        <v>11</v>
      </c>
      <c r="AC1083">
        <v>1</v>
      </c>
    </row>
    <row r="1084" spans="1:29" x14ac:dyDescent="0.3">
      <c r="A1084">
        <v>8707</v>
      </c>
      <c r="B1084">
        <v>1956</v>
      </c>
      <c r="C1084" t="s">
        <v>29</v>
      </c>
      <c r="D1084" t="s">
        <v>33</v>
      </c>
      <c r="E1084">
        <v>79456</v>
      </c>
      <c r="F1084">
        <v>0</v>
      </c>
      <c r="G1084">
        <v>0</v>
      </c>
      <c r="H1084" s="1">
        <v>41143</v>
      </c>
      <c r="I1084">
        <v>12</v>
      </c>
      <c r="J1084">
        <v>565</v>
      </c>
      <c r="K1084">
        <v>42</v>
      </c>
      <c r="L1084">
        <v>548</v>
      </c>
      <c r="M1084">
        <v>64</v>
      </c>
      <c r="N1084">
        <v>83</v>
      </c>
      <c r="O1084">
        <v>99</v>
      </c>
      <c r="P1084">
        <v>1</v>
      </c>
      <c r="Q1084">
        <v>5</v>
      </c>
      <c r="R1084">
        <v>6</v>
      </c>
      <c r="S1084">
        <v>4</v>
      </c>
      <c r="T1084">
        <v>3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3</v>
      </c>
      <c r="AB1084">
        <v>11</v>
      </c>
      <c r="AC1084">
        <v>1</v>
      </c>
    </row>
    <row r="1085" spans="1:29" x14ac:dyDescent="0.3">
      <c r="A1085">
        <v>9523</v>
      </c>
      <c r="B1085">
        <v>1982</v>
      </c>
      <c r="C1085" t="s">
        <v>29</v>
      </c>
      <c r="D1085" t="s">
        <v>31</v>
      </c>
      <c r="E1085">
        <v>40479</v>
      </c>
      <c r="F1085">
        <v>1</v>
      </c>
      <c r="G1085">
        <v>0</v>
      </c>
      <c r="H1085" s="1">
        <v>41503</v>
      </c>
      <c r="I1085">
        <v>95</v>
      </c>
      <c r="J1085">
        <v>5</v>
      </c>
      <c r="K1085">
        <v>0</v>
      </c>
      <c r="L1085">
        <v>8</v>
      </c>
      <c r="M1085">
        <v>2</v>
      </c>
      <c r="N1085">
        <v>0</v>
      </c>
      <c r="O1085">
        <v>0</v>
      </c>
      <c r="P1085">
        <v>1</v>
      </c>
      <c r="Q1085">
        <v>0</v>
      </c>
      <c r="R1085">
        <v>0</v>
      </c>
      <c r="S1085">
        <v>3</v>
      </c>
      <c r="T1085">
        <v>4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3</v>
      </c>
      <c r="AB1085">
        <v>11</v>
      </c>
      <c r="AC1085">
        <v>0</v>
      </c>
    </row>
    <row r="1086" spans="1:29" x14ac:dyDescent="0.3">
      <c r="A1086">
        <v>6072</v>
      </c>
      <c r="B1086">
        <v>1970</v>
      </c>
      <c r="C1086" t="s">
        <v>34</v>
      </c>
      <c r="D1086" t="s">
        <v>30</v>
      </c>
      <c r="E1086">
        <v>75345</v>
      </c>
      <c r="F1086">
        <v>0</v>
      </c>
      <c r="G1086">
        <v>0</v>
      </c>
      <c r="H1086" s="1">
        <v>41307</v>
      </c>
      <c r="I1086">
        <v>16</v>
      </c>
      <c r="J1086">
        <v>918</v>
      </c>
      <c r="K1086">
        <v>57</v>
      </c>
      <c r="L1086">
        <v>842</v>
      </c>
      <c r="M1086">
        <v>99</v>
      </c>
      <c r="N1086">
        <v>38</v>
      </c>
      <c r="O1086">
        <v>133</v>
      </c>
      <c r="P1086">
        <v>1</v>
      </c>
      <c r="Q1086">
        <v>5</v>
      </c>
      <c r="R1086">
        <v>8</v>
      </c>
      <c r="S1086">
        <v>6</v>
      </c>
      <c r="T1086">
        <v>3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>
        <v>3</v>
      </c>
      <c r="AB1086">
        <v>11</v>
      </c>
      <c r="AC1086">
        <v>1</v>
      </c>
    </row>
    <row r="1087" spans="1:29" x14ac:dyDescent="0.3">
      <c r="A1087">
        <v>6295</v>
      </c>
      <c r="B1087">
        <v>1977</v>
      </c>
      <c r="C1087" t="s">
        <v>29</v>
      </c>
      <c r="D1087" t="s">
        <v>33</v>
      </c>
      <c r="E1087">
        <v>54233</v>
      </c>
      <c r="F1087">
        <v>0</v>
      </c>
      <c r="G1087">
        <v>1</v>
      </c>
      <c r="H1087" s="1">
        <v>41309</v>
      </c>
      <c r="I1087">
        <v>46</v>
      </c>
      <c r="J1087">
        <v>652</v>
      </c>
      <c r="K1087">
        <v>8</v>
      </c>
      <c r="L1087">
        <v>158</v>
      </c>
      <c r="M1087">
        <v>21</v>
      </c>
      <c r="N1087">
        <v>0</v>
      </c>
      <c r="O1087">
        <v>142</v>
      </c>
      <c r="P1087">
        <v>4</v>
      </c>
      <c r="Q1087">
        <v>11</v>
      </c>
      <c r="R1087">
        <v>6</v>
      </c>
      <c r="S1087">
        <v>5</v>
      </c>
      <c r="T1087">
        <v>8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3</v>
      </c>
      <c r="AB1087">
        <v>11</v>
      </c>
      <c r="AC1087">
        <v>0</v>
      </c>
    </row>
    <row r="1088" spans="1:29" x14ac:dyDescent="0.3">
      <c r="A1088">
        <v>10914</v>
      </c>
      <c r="B1088">
        <v>1970</v>
      </c>
      <c r="C1088" t="s">
        <v>29</v>
      </c>
      <c r="D1088" t="s">
        <v>30</v>
      </c>
      <c r="E1088">
        <v>24163</v>
      </c>
      <c r="F1088">
        <v>1</v>
      </c>
      <c r="G1088">
        <v>1</v>
      </c>
      <c r="H1088" s="1">
        <v>41559</v>
      </c>
      <c r="I1088">
        <v>3</v>
      </c>
      <c r="J1088">
        <v>4</v>
      </c>
      <c r="K1088">
        <v>1</v>
      </c>
      <c r="L1088">
        <v>7</v>
      </c>
      <c r="M1088">
        <v>2</v>
      </c>
      <c r="N1088">
        <v>1</v>
      </c>
      <c r="O1088">
        <v>2</v>
      </c>
      <c r="P1088">
        <v>2</v>
      </c>
      <c r="Q1088">
        <v>1</v>
      </c>
      <c r="R1088">
        <v>0</v>
      </c>
      <c r="S1088">
        <v>3</v>
      </c>
      <c r="T1088">
        <v>4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3</v>
      </c>
      <c r="AB1088">
        <v>11</v>
      </c>
      <c r="AC1088">
        <v>0</v>
      </c>
    </row>
    <row r="1089" spans="1:29" x14ac:dyDescent="0.3">
      <c r="A1089">
        <v>1509</v>
      </c>
      <c r="B1089">
        <v>1958</v>
      </c>
      <c r="C1089" t="s">
        <v>32</v>
      </c>
      <c r="D1089" t="s">
        <v>31</v>
      </c>
      <c r="E1089">
        <v>84460</v>
      </c>
      <c r="F1089">
        <v>0</v>
      </c>
      <c r="G1089">
        <v>0</v>
      </c>
      <c r="H1089" s="1">
        <v>41278</v>
      </c>
      <c r="I1089">
        <v>80</v>
      </c>
      <c r="J1089">
        <v>152</v>
      </c>
      <c r="K1089">
        <v>27</v>
      </c>
      <c r="L1089">
        <v>103</v>
      </c>
      <c r="M1089">
        <v>106</v>
      </c>
      <c r="N1089">
        <v>54</v>
      </c>
      <c r="O1089">
        <v>81</v>
      </c>
      <c r="P1089">
        <v>0</v>
      </c>
      <c r="Q1089">
        <v>9</v>
      </c>
      <c r="R1089">
        <v>9</v>
      </c>
      <c r="S1089">
        <v>4</v>
      </c>
      <c r="T1089">
        <v>5</v>
      </c>
      <c r="U1089">
        <v>0</v>
      </c>
      <c r="V1089">
        <v>1</v>
      </c>
      <c r="W1089">
        <v>1</v>
      </c>
      <c r="X1089">
        <v>1</v>
      </c>
      <c r="Y1089">
        <v>1</v>
      </c>
      <c r="Z1089">
        <v>0</v>
      </c>
      <c r="AA1089">
        <v>3</v>
      </c>
      <c r="AB1089">
        <v>11</v>
      </c>
      <c r="AC1089">
        <v>1</v>
      </c>
    </row>
    <row r="1090" spans="1:29" x14ac:dyDescent="0.3">
      <c r="A1090">
        <v>5577</v>
      </c>
      <c r="B1090">
        <v>1983</v>
      </c>
      <c r="C1090" t="s">
        <v>29</v>
      </c>
      <c r="D1090" t="s">
        <v>31</v>
      </c>
      <c r="E1090">
        <v>43776</v>
      </c>
      <c r="F1090">
        <v>1</v>
      </c>
      <c r="G1090">
        <v>0</v>
      </c>
      <c r="H1090" s="1">
        <v>41762</v>
      </c>
      <c r="I1090">
        <v>77</v>
      </c>
      <c r="J1090">
        <v>8</v>
      </c>
      <c r="K1090">
        <v>0</v>
      </c>
      <c r="L1090">
        <v>9</v>
      </c>
      <c r="M1090">
        <v>2</v>
      </c>
      <c r="N1090">
        <v>1</v>
      </c>
      <c r="O1090">
        <v>3</v>
      </c>
      <c r="P1090">
        <v>1</v>
      </c>
      <c r="Q1090">
        <v>1</v>
      </c>
      <c r="R1090">
        <v>0</v>
      </c>
      <c r="S1090">
        <v>2</v>
      </c>
      <c r="T1090">
        <v>6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3</v>
      </c>
      <c r="AB1090">
        <v>11</v>
      </c>
      <c r="AC1090">
        <v>0</v>
      </c>
    </row>
    <row r="1091" spans="1:29" x14ac:dyDescent="0.3">
      <c r="A1091">
        <v>7348</v>
      </c>
      <c r="B1091">
        <v>1958</v>
      </c>
      <c r="C1091" t="s">
        <v>32</v>
      </c>
      <c r="D1091" t="s">
        <v>30</v>
      </c>
      <c r="E1091">
        <v>71691</v>
      </c>
      <c r="F1091">
        <v>0</v>
      </c>
      <c r="G1091">
        <v>0</v>
      </c>
      <c r="H1091" s="1">
        <v>41715</v>
      </c>
      <c r="I1091">
        <v>0</v>
      </c>
      <c r="J1091">
        <v>336</v>
      </c>
      <c r="K1091">
        <v>130</v>
      </c>
      <c r="L1091">
        <v>411</v>
      </c>
      <c r="M1091">
        <v>240</v>
      </c>
      <c r="N1091">
        <v>32</v>
      </c>
      <c r="O1091">
        <v>43</v>
      </c>
      <c r="P1091">
        <v>1</v>
      </c>
      <c r="Q1091">
        <v>4</v>
      </c>
      <c r="R1091">
        <v>7</v>
      </c>
      <c r="S1091">
        <v>5</v>
      </c>
      <c r="T1091">
        <v>2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3</v>
      </c>
      <c r="AB1091">
        <v>11</v>
      </c>
      <c r="AC1091">
        <v>1</v>
      </c>
    </row>
    <row r="1092" spans="1:29" x14ac:dyDescent="0.3">
      <c r="A1092">
        <v>1127</v>
      </c>
      <c r="B1092">
        <v>1973</v>
      </c>
      <c r="C1092" t="s">
        <v>32</v>
      </c>
      <c r="D1092" t="s">
        <v>33</v>
      </c>
      <c r="E1092">
        <v>85844</v>
      </c>
      <c r="F1092">
        <v>0</v>
      </c>
      <c r="G1092">
        <v>0</v>
      </c>
      <c r="H1092" s="1">
        <v>41788</v>
      </c>
      <c r="I1092">
        <v>62</v>
      </c>
      <c r="J1092">
        <v>938</v>
      </c>
      <c r="K1092">
        <v>19</v>
      </c>
      <c r="L1092">
        <v>843</v>
      </c>
      <c r="M1092">
        <v>25</v>
      </c>
      <c r="N1092">
        <v>95</v>
      </c>
      <c r="O1092">
        <v>38</v>
      </c>
      <c r="P1092">
        <v>1</v>
      </c>
      <c r="Q1092">
        <v>6</v>
      </c>
      <c r="R1092">
        <v>6</v>
      </c>
      <c r="S1092">
        <v>7</v>
      </c>
      <c r="T1092">
        <v>2</v>
      </c>
      <c r="U1092">
        <v>0</v>
      </c>
      <c r="V1092">
        <v>0</v>
      </c>
      <c r="W1092">
        <v>1</v>
      </c>
      <c r="X1092">
        <v>0</v>
      </c>
      <c r="Y1092">
        <v>0</v>
      </c>
      <c r="Z1092">
        <v>0</v>
      </c>
      <c r="AA1092">
        <v>3</v>
      </c>
      <c r="AB1092">
        <v>11</v>
      </c>
      <c r="AC1092">
        <v>0</v>
      </c>
    </row>
    <row r="1093" spans="1:29" x14ac:dyDescent="0.3">
      <c r="A1093">
        <v>1833</v>
      </c>
      <c r="B1093">
        <v>1974</v>
      </c>
      <c r="C1093" t="s">
        <v>32</v>
      </c>
      <c r="D1093" t="s">
        <v>30</v>
      </c>
      <c r="E1093">
        <v>39190</v>
      </c>
      <c r="F1093">
        <v>1</v>
      </c>
      <c r="G1093">
        <v>0</v>
      </c>
      <c r="H1093" s="1">
        <v>41755</v>
      </c>
      <c r="I1093">
        <v>91</v>
      </c>
      <c r="J1093">
        <v>68</v>
      </c>
      <c r="K1093">
        <v>8</v>
      </c>
      <c r="L1093">
        <v>18</v>
      </c>
      <c r="M1093">
        <v>19</v>
      </c>
      <c r="N1093">
        <v>8</v>
      </c>
      <c r="O1093">
        <v>12</v>
      </c>
      <c r="P1093">
        <v>2</v>
      </c>
      <c r="Q1093">
        <v>2</v>
      </c>
      <c r="R1093">
        <v>1</v>
      </c>
      <c r="S1093">
        <v>4</v>
      </c>
      <c r="T1093">
        <v>5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3</v>
      </c>
      <c r="AB1093">
        <v>11</v>
      </c>
      <c r="AC1093">
        <v>0</v>
      </c>
    </row>
    <row r="1094" spans="1:29" x14ac:dyDescent="0.3">
      <c r="A1094">
        <v>4944</v>
      </c>
      <c r="B1094">
        <v>1959</v>
      </c>
      <c r="C1094" t="s">
        <v>29</v>
      </c>
      <c r="D1094" t="s">
        <v>31</v>
      </c>
      <c r="E1094">
        <v>71367</v>
      </c>
      <c r="F1094">
        <v>0</v>
      </c>
      <c r="G1094">
        <v>0</v>
      </c>
      <c r="H1094" s="1">
        <v>41509</v>
      </c>
      <c r="I1094">
        <v>24</v>
      </c>
      <c r="J1094">
        <v>227</v>
      </c>
      <c r="K1094">
        <v>23</v>
      </c>
      <c r="L1094">
        <v>389</v>
      </c>
      <c r="M1094">
        <v>42</v>
      </c>
      <c r="N1094">
        <v>21</v>
      </c>
      <c r="O1094">
        <v>75</v>
      </c>
      <c r="P1094">
        <v>1</v>
      </c>
      <c r="Q1094">
        <v>4</v>
      </c>
      <c r="R1094">
        <v>5</v>
      </c>
      <c r="S1094">
        <v>7</v>
      </c>
      <c r="T1094">
        <v>2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3</v>
      </c>
      <c r="AB1094">
        <v>11</v>
      </c>
      <c r="AC1094">
        <v>0</v>
      </c>
    </row>
    <row r="1095" spans="1:29" x14ac:dyDescent="0.3">
      <c r="A1095">
        <v>9080</v>
      </c>
      <c r="B1095">
        <v>1972</v>
      </c>
      <c r="C1095" t="s">
        <v>32</v>
      </c>
      <c r="D1095" t="s">
        <v>30</v>
      </c>
      <c r="E1095">
        <v>38578</v>
      </c>
      <c r="F1095">
        <v>1</v>
      </c>
      <c r="G1095">
        <v>1</v>
      </c>
      <c r="H1095" s="1">
        <v>41447</v>
      </c>
      <c r="I1095">
        <v>2</v>
      </c>
      <c r="J1095">
        <v>38</v>
      </c>
      <c r="K1095">
        <v>4</v>
      </c>
      <c r="L1095">
        <v>22</v>
      </c>
      <c r="M1095">
        <v>3</v>
      </c>
      <c r="N1095">
        <v>3</v>
      </c>
      <c r="O1095">
        <v>3</v>
      </c>
      <c r="P1095">
        <v>3</v>
      </c>
      <c r="Q1095">
        <v>3</v>
      </c>
      <c r="R1095">
        <v>0</v>
      </c>
      <c r="S1095">
        <v>3</v>
      </c>
      <c r="T1095">
        <v>8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3</v>
      </c>
      <c r="AB1095">
        <v>11</v>
      </c>
      <c r="AC1095">
        <v>0</v>
      </c>
    </row>
    <row r="1096" spans="1:29" x14ac:dyDescent="0.3">
      <c r="A1096">
        <v>6466</v>
      </c>
      <c r="B1096">
        <v>1965</v>
      </c>
      <c r="C1096" t="s">
        <v>32</v>
      </c>
      <c r="D1096" t="s">
        <v>33</v>
      </c>
      <c r="E1096">
        <v>57236</v>
      </c>
      <c r="F1096">
        <v>1</v>
      </c>
      <c r="G1096">
        <v>1</v>
      </c>
      <c r="H1096" s="1">
        <v>41710</v>
      </c>
      <c r="I1096">
        <v>22</v>
      </c>
      <c r="J1096">
        <v>105</v>
      </c>
      <c r="K1096">
        <v>0</v>
      </c>
      <c r="L1096">
        <v>9</v>
      </c>
      <c r="M1096">
        <v>2</v>
      </c>
      <c r="N1096">
        <v>1</v>
      </c>
      <c r="O1096">
        <v>4</v>
      </c>
      <c r="P1096">
        <v>3</v>
      </c>
      <c r="Q1096">
        <v>2</v>
      </c>
      <c r="R1096">
        <v>1</v>
      </c>
      <c r="S1096">
        <v>4</v>
      </c>
      <c r="T1096">
        <v>3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3</v>
      </c>
      <c r="AB1096">
        <v>11</v>
      </c>
      <c r="AC1096">
        <v>0</v>
      </c>
    </row>
    <row r="1097" spans="1:29" x14ac:dyDescent="0.3">
      <c r="A1097">
        <v>9964</v>
      </c>
      <c r="B1097">
        <v>1979</v>
      </c>
      <c r="C1097" t="s">
        <v>29</v>
      </c>
      <c r="D1097" t="s">
        <v>30</v>
      </c>
      <c r="E1097">
        <v>61825</v>
      </c>
      <c r="F1097">
        <v>0</v>
      </c>
      <c r="G1097">
        <v>1</v>
      </c>
      <c r="H1097" s="1">
        <v>41493</v>
      </c>
      <c r="I1097">
        <v>56</v>
      </c>
      <c r="J1097">
        <v>162</v>
      </c>
      <c r="K1097">
        <v>50</v>
      </c>
      <c r="L1097">
        <v>100</v>
      </c>
      <c r="M1097">
        <v>55</v>
      </c>
      <c r="N1097">
        <v>30</v>
      </c>
      <c r="O1097">
        <v>27</v>
      </c>
      <c r="P1097">
        <v>1</v>
      </c>
      <c r="Q1097">
        <v>4</v>
      </c>
      <c r="R1097">
        <v>2</v>
      </c>
      <c r="S1097">
        <v>8</v>
      </c>
      <c r="T1097">
        <v>4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3</v>
      </c>
      <c r="AB1097">
        <v>11</v>
      </c>
      <c r="AC1097">
        <v>0</v>
      </c>
    </row>
    <row r="1098" spans="1:29" x14ac:dyDescent="0.3">
      <c r="A1098">
        <v>4790</v>
      </c>
      <c r="B1098">
        <v>1958</v>
      </c>
      <c r="C1098" t="s">
        <v>29</v>
      </c>
      <c r="D1098" t="s">
        <v>35</v>
      </c>
      <c r="E1098">
        <v>79803</v>
      </c>
      <c r="F1098">
        <v>0</v>
      </c>
      <c r="G1098">
        <v>1</v>
      </c>
      <c r="H1098" s="1">
        <v>41792</v>
      </c>
      <c r="I1098">
        <v>54</v>
      </c>
      <c r="J1098">
        <v>574</v>
      </c>
      <c r="K1098">
        <v>8</v>
      </c>
      <c r="L1098">
        <v>216</v>
      </c>
      <c r="M1098">
        <v>21</v>
      </c>
      <c r="N1098">
        <v>16</v>
      </c>
      <c r="O1098">
        <v>33</v>
      </c>
      <c r="P1098">
        <v>1</v>
      </c>
      <c r="Q1098">
        <v>4</v>
      </c>
      <c r="R1098">
        <v>3</v>
      </c>
      <c r="S1098">
        <v>5</v>
      </c>
      <c r="T1098">
        <v>1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3</v>
      </c>
      <c r="AB1098">
        <v>11</v>
      </c>
      <c r="AC1098">
        <v>0</v>
      </c>
    </row>
    <row r="1099" spans="1:29" x14ac:dyDescent="0.3">
      <c r="A1099">
        <v>10245</v>
      </c>
      <c r="B1099">
        <v>1986</v>
      </c>
      <c r="C1099" t="s">
        <v>37</v>
      </c>
      <c r="D1099" t="s">
        <v>30</v>
      </c>
      <c r="E1099">
        <v>80910</v>
      </c>
      <c r="F1099">
        <v>0</v>
      </c>
      <c r="G1099">
        <v>0</v>
      </c>
      <c r="H1099" s="1">
        <v>41213</v>
      </c>
      <c r="I1099">
        <v>71</v>
      </c>
      <c r="J1099">
        <v>160</v>
      </c>
      <c r="K1099">
        <v>80</v>
      </c>
      <c r="L1099">
        <v>369</v>
      </c>
      <c r="M1099">
        <v>67</v>
      </c>
      <c r="N1099">
        <v>39</v>
      </c>
      <c r="O1099">
        <v>41</v>
      </c>
      <c r="P1099">
        <v>1</v>
      </c>
      <c r="Q1099">
        <v>3</v>
      </c>
      <c r="R1099">
        <v>3</v>
      </c>
      <c r="S1099">
        <v>8</v>
      </c>
      <c r="T1099">
        <v>1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3</v>
      </c>
      <c r="AB1099">
        <v>11</v>
      </c>
      <c r="AC1099">
        <v>0</v>
      </c>
    </row>
    <row r="1100" spans="1:29" x14ac:dyDescent="0.3">
      <c r="A1100">
        <v>1109</v>
      </c>
      <c r="B1100">
        <v>1982</v>
      </c>
      <c r="C1100" t="s">
        <v>34</v>
      </c>
      <c r="D1100" t="s">
        <v>31</v>
      </c>
      <c r="E1100">
        <v>27590</v>
      </c>
      <c r="F1100">
        <v>1</v>
      </c>
      <c r="G1100">
        <v>0</v>
      </c>
      <c r="H1100" s="1">
        <v>41387</v>
      </c>
      <c r="I1100">
        <v>38</v>
      </c>
      <c r="J1100">
        <v>6</v>
      </c>
      <c r="K1100">
        <v>0</v>
      </c>
      <c r="L1100">
        <v>5</v>
      </c>
      <c r="M1100">
        <v>0</v>
      </c>
      <c r="N1100">
        <v>0</v>
      </c>
      <c r="O1100">
        <v>1</v>
      </c>
      <c r="P1100">
        <v>1</v>
      </c>
      <c r="Q1100">
        <v>1</v>
      </c>
      <c r="R1100">
        <v>0</v>
      </c>
      <c r="S1100">
        <v>2</v>
      </c>
      <c r="T1100">
        <v>7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3</v>
      </c>
      <c r="AB1100">
        <v>11</v>
      </c>
      <c r="AC1100">
        <v>0</v>
      </c>
    </row>
    <row r="1101" spans="1:29" x14ac:dyDescent="0.3">
      <c r="A1101">
        <v>6001</v>
      </c>
      <c r="B1101">
        <v>1979</v>
      </c>
      <c r="C1101" t="s">
        <v>29</v>
      </c>
      <c r="D1101" t="s">
        <v>33</v>
      </c>
      <c r="E1101">
        <v>56775</v>
      </c>
      <c r="F1101">
        <v>0</v>
      </c>
      <c r="G1101">
        <v>1</v>
      </c>
      <c r="H1101" s="1">
        <v>41276</v>
      </c>
      <c r="I1101">
        <v>62</v>
      </c>
      <c r="J1101">
        <v>614</v>
      </c>
      <c r="K1101">
        <v>35</v>
      </c>
      <c r="L1101">
        <v>160</v>
      </c>
      <c r="M1101">
        <v>58</v>
      </c>
      <c r="N1101">
        <v>35</v>
      </c>
      <c r="O1101">
        <v>35</v>
      </c>
      <c r="P1101">
        <v>2</v>
      </c>
      <c r="Q1101">
        <v>5</v>
      </c>
      <c r="R1101">
        <v>8</v>
      </c>
      <c r="S1101">
        <v>10</v>
      </c>
      <c r="T1101">
        <v>5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3</v>
      </c>
      <c r="AB1101">
        <v>11</v>
      </c>
      <c r="AC1101">
        <v>0</v>
      </c>
    </row>
    <row r="1102" spans="1:29" x14ac:dyDescent="0.3">
      <c r="A1102">
        <v>5538</v>
      </c>
      <c r="B1102">
        <v>1975</v>
      </c>
      <c r="C1102" t="s">
        <v>29</v>
      </c>
      <c r="D1102" t="s">
        <v>35</v>
      </c>
      <c r="E1102">
        <v>83829</v>
      </c>
      <c r="F1102">
        <v>0</v>
      </c>
      <c r="G1102">
        <v>0</v>
      </c>
      <c r="H1102" s="1">
        <v>41555</v>
      </c>
      <c r="I1102">
        <v>78</v>
      </c>
      <c r="J1102">
        <v>897</v>
      </c>
      <c r="K1102">
        <v>161</v>
      </c>
      <c r="L1102">
        <v>430</v>
      </c>
      <c r="M1102">
        <v>186</v>
      </c>
      <c r="N1102">
        <v>161</v>
      </c>
      <c r="O1102">
        <v>27</v>
      </c>
      <c r="P1102">
        <v>0</v>
      </c>
      <c r="Q1102">
        <v>4</v>
      </c>
      <c r="R1102">
        <v>7</v>
      </c>
      <c r="S1102">
        <v>6</v>
      </c>
      <c r="T1102">
        <v>1</v>
      </c>
      <c r="U1102">
        <v>1</v>
      </c>
      <c r="V1102">
        <v>0</v>
      </c>
      <c r="W1102">
        <v>1</v>
      </c>
      <c r="X1102">
        <v>1</v>
      </c>
      <c r="Y1102">
        <v>0</v>
      </c>
      <c r="Z1102">
        <v>0</v>
      </c>
      <c r="AA1102">
        <v>3</v>
      </c>
      <c r="AB1102">
        <v>11</v>
      </c>
      <c r="AC1102">
        <v>1</v>
      </c>
    </row>
    <row r="1103" spans="1:29" x14ac:dyDescent="0.3">
      <c r="A1103">
        <v>10552</v>
      </c>
      <c r="B1103">
        <v>1979</v>
      </c>
      <c r="C1103" t="s">
        <v>37</v>
      </c>
      <c r="D1103" t="s">
        <v>33</v>
      </c>
      <c r="E1103">
        <v>54210</v>
      </c>
      <c r="F1103">
        <v>0</v>
      </c>
      <c r="G1103">
        <v>1</v>
      </c>
      <c r="H1103" s="1">
        <v>41414</v>
      </c>
      <c r="I1103">
        <v>18</v>
      </c>
      <c r="J1103">
        <v>70</v>
      </c>
      <c r="K1103">
        <v>54</v>
      </c>
      <c r="L1103">
        <v>109</v>
      </c>
      <c r="M1103">
        <v>80</v>
      </c>
      <c r="N1103">
        <v>9</v>
      </c>
      <c r="O1103">
        <v>45</v>
      </c>
      <c r="P1103">
        <v>2</v>
      </c>
      <c r="Q1103">
        <v>4</v>
      </c>
      <c r="R1103">
        <v>1</v>
      </c>
      <c r="S1103">
        <v>7</v>
      </c>
      <c r="T1103">
        <v>5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3</v>
      </c>
      <c r="AB1103">
        <v>11</v>
      </c>
      <c r="AC1103">
        <v>0</v>
      </c>
    </row>
    <row r="1104" spans="1:29" x14ac:dyDescent="0.3">
      <c r="A1104">
        <v>1545</v>
      </c>
      <c r="B1104">
        <v>1986</v>
      </c>
      <c r="C1104" t="s">
        <v>29</v>
      </c>
      <c r="D1104" t="s">
        <v>33</v>
      </c>
      <c r="E1104">
        <v>38508</v>
      </c>
      <c r="F1104">
        <v>1</v>
      </c>
      <c r="G1104">
        <v>0</v>
      </c>
      <c r="H1104" s="1">
        <v>41488</v>
      </c>
      <c r="I1104">
        <v>95</v>
      </c>
      <c r="J1104">
        <v>120</v>
      </c>
      <c r="K1104">
        <v>19</v>
      </c>
      <c r="L1104">
        <v>206</v>
      </c>
      <c r="M1104">
        <v>25</v>
      </c>
      <c r="N1104">
        <v>19</v>
      </c>
      <c r="O1104">
        <v>54</v>
      </c>
      <c r="P1104">
        <v>6</v>
      </c>
      <c r="Q1104">
        <v>7</v>
      </c>
      <c r="R1104">
        <v>2</v>
      </c>
      <c r="S1104">
        <v>5</v>
      </c>
      <c r="T1104">
        <v>8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3</v>
      </c>
      <c r="AB1104">
        <v>11</v>
      </c>
      <c r="AC1104">
        <v>0</v>
      </c>
    </row>
    <row r="1105" spans="1:29" x14ac:dyDescent="0.3">
      <c r="A1105">
        <v>7409</v>
      </c>
      <c r="B1105">
        <v>1970</v>
      </c>
      <c r="C1105" t="s">
        <v>29</v>
      </c>
      <c r="D1105" t="s">
        <v>31</v>
      </c>
      <c r="E1105">
        <v>53187</v>
      </c>
      <c r="F1105">
        <v>1</v>
      </c>
      <c r="G1105">
        <v>0</v>
      </c>
      <c r="H1105" s="1">
        <v>41573</v>
      </c>
      <c r="I1105">
        <v>66</v>
      </c>
      <c r="J1105">
        <v>211</v>
      </c>
      <c r="K1105">
        <v>2</v>
      </c>
      <c r="L1105">
        <v>30</v>
      </c>
      <c r="M1105">
        <v>7</v>
      </c>
      <c r="N1105">
        <v>7</v>
      </c>
      <c r="O1105">
        <v>10</v>
      </c>
      <c r="P1105">
        <v>2</v>
      </c>
      <c r="Q1105">
        <v>4</v>
      </c>
      <c r="R1105">
        <v>1</v>
      </c>
      <c r="S1105">
        <v>6</v>
      </c>
      <c r="T1105">
        <v>5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3</v>
      </c>
      <c r="AB1105">
        <v>11</v>
      </c>
      <c r="AC1105">
        <v>0</v>
      </c>
    </row>
    <row r="1106" spans="1:29" x14ac:dyDescent="0.3">
      <c r="A1106">
        <v>4444</v>
      </c>
      <c r="B1106">
        <v>1972</v>
      </c>
      <c r="C1106" t="s">
        <v>29</v>
      </c>
      <c r="D1106" t="s">
        <v>33</v>
      </c>
      <c r="E1106">
        <v>30023</v>
      </c>
      <c r="F1106">
        <v>1</v>
      </c>
      <c r="G1106">
        <v>0</v>
      </c>
      <c r="H1106" s="1">
        <v>41722</v>
      </c>
      <c r="I1106">
        <v>28</v>
      </c>
      <c r="J1106">
        <v>11</v>
      </c>
      <c r="K1106">
        <v>0</v>
      </c>
      <c r="L1106">
        <v>16</v>
      </c>
      <c r="M1106">
        <v>7</v>
      </c>
      <c r="N1106">
        <v>6</v>
      </c>
      <c r="O1106">
        <v>21</v>
      </c>
      <c r="P1106">
        <v>1</v>
      </c>
      <c r="Q1106">
        <v>2</v>
      </c>
      <c r="R1106">
        <v>0</v>
      </c>
      <c r="S1106">
        <v>3</v>
      </c>
      <c r="T1106">
        <v>8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3</v>
      </c>
      <c r="AB1106">
        <v>11</v>
      </c>
      <c r="AC1106">
        <v>0</v>
      </c>
    </row>
    <row r="1107" spans="1:29" x14ac:dyDescent="0.3">
      <c r="A1107">
        <v>146</v>
      </c>
      <c r="B1107">
        <v>1960</v>
      </c>
      <c r="C1107" t="s">
        <v>32</v>
      </c>
      <c r="D1107" t="s">
        <v>30</v>
      </c>
      <c r="E1107">
        <v>76045</v>
      </c>
      <c r="F1107">
        <v>0</v>
      </c>
      <c r="G1107">
        <v>0</v>
      </c>
      <c r="H1107" s="1">
        <v>41593</v>
      </c>
      <c r="I1107">
        <v>78</v>
      </c>
      <c r="J1107">
        <v>760</v>
      </c>
      <c r="K1107">
        <v>53</v>
      </c>
      <c r="L1107">
        <v>400</v>
      </c>
      <c r="M1107">
        <v>17</v>
      </c>
      <c r="N1107">
        <v>93</v>
      </c>
      <c r="O1107">
        <v>0</v>
      </c>
      <c r="P1107">
        <v>1</v>
      </c>
      <c r="Q1107">
        <v>4</v>
      </c>
      <c r="R1107">
        <v>5</v>
      </c>
      <c r="S1107">
        <v>11</v>
      </c>
      <c r="T1107">
        <v>2</v>
      </c>
      <c r="U1107">
        <v>0</v>
      </c>
      <c r="V1107">
        <v>0</v>
      </c>
      <c r="W1107">
        <v>0</v>
      </c>
      <c r="X1107">
        <v>1</v>
      </c>
      <c r="Y1107">
        <v>0</v>
      </c>
      <c r="Z1107">
        <v>0</v>
      </c>
      <c r="AA1107">
        <v>3</v>
      </c>
      <c r="AB1107">
        <v>11</v>
      </c>
      <c r="AC1107">
        <v>0</v>
      </c>
    </row>
    <row r="1108" spans="1:29" x14ac:dyDescent="0.3">
      <c r="A1108">
        <v>6271</v>
      </c>
      <c r="B1108">
        <v>1952</v>
      </c>
      <c r="C1108" t="s">
        <v>32</v>
      </c>
      <c r="D1108" t="s">
        <v>33</v>
      </c>
      <c r="E1108">
        <v>50870</v>
      </c>
      <c r="F1108">
        <v>0</v>
      </c>
      <c r="G1108">
        <v>1</v>
      </c>
      <c r="H1108" s="1">
        <v>41809</v>
      </c>
      <c r="I1108">
        <v>13</v>
      </c>
      <c r="J1108">
        <v>53</v>
      </c>
      <c r="K1108">
        <v>0</v>
      </c>
      <c r="L1108">
        <v>8</v>
      </c>
      <c r="M1108">
        <v>0</v>
      </c>
      <c r="N1108">
        <v>0</v>
      </c>
      <c r="O1108">
        <v>2</v>
      </c>
      <c r="P1108">
        <v>1</v>
      </c>
      <c r="Q1108">
        <v>2</v>
      </c>
      <c r="R1108">
        <v>0</v>
      </c>
      <c r="S1108">
        <v>3</v>
      </c>
      <c r="T1108">
        <v>5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3</v>
      </c>
      <c r="AB1108">
        <v>11</v>
      </c>
      <c r="AC1108">
        <v>0</v>
      </c>
    </row>
    <row r="1109" spans="1:29" x14ac:dyDescent="0.3">
      <c r="A1109">
        <v>10065</v>
      </c>
      <c r="B1109">
        <v>1970</v>
      </c>
      <c r="C1109" t="s">
        <v>37</v>
      </c>
      <c r="D1109" t="s">
        <v>33</v>
      </c>
      <c r="E1109">
        <v>15315</v>
      </c>
      <c r="F1109">
        <v>0</v>
      </c>
      <c r="G1109">
        <v>0</v>
      </c>
      <c r="H1109" s="1">
        <v>41489</v>
      </c>
      <c r="I1109">
        <v>27</v>
      </c>
      <c r="J1109">
        <v>7</v>
      </c>
      <c r="K1109">
        <v>4</v>
      </c>
      <c r="L1109">
        <v>13</v>
      </c>
      <c r="M1109">
        <v>15</v>
      </c>
      <c r="N1109">
        <v>8</v>
      </c>
      <c r="O1109">
        <v>17</v>
      </c>
      <c r="P1109">
        <v>2</v>
      </c>
      <c r="Q1109">
        <v>2</v>
      </c>
      <c r="R1109">
        <v>0</v>
      </c>
      <c r="S1109">
        <v>4</v>
      </c>
      <c r="T1109">
        <v>5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3</v>
      </c>
      <c r="AB1109">
        <v>11</v>
      </c>
      <c r="AC1109">
        <v>0</v>
      </c>
    </row>
    <row r="1110" spans="1:29" x14ac:dyDescent="0.3">
      <c r="A1110">
        <v>4741</v>
      </c>
      <c r="B1110">
        <v>1974</v>
      </c>
      <c r="C1110" t="s">
        <v>37</v>
      </c>
      <c r="D1110" t="s">
        <v>33</v>
      </c>
      <c r="E1110">
        <v>65463</v>
      </c>
      <c r="F1110">
        <v>1</v>
      </c>
      <c r="G1110">
        <v>0</v>
      </c>
      <c r="H1110" s="1">
        <v>41669</v>
      </c>
      <c r="I1110">
        <v>17</v>
      </c>
      <c r="J1110">
        <v>391</v>
      </c>
      <c r="K1110">
        <v>32</v>
      </c>
      <c r="L1110">
        <v>70</v>
      </c>
      <c r="M1110">
        <v>21</v>
      </c>
      <c r="N1110">
        <v>32</v>
      </c>
      <c r="O1110">
        <v>16</v>
      </c>
      <c r="P1110">
        <v>2</v>
      </c>
      <c r="Q1110">
        <v>6</v>
      </c>
      <c r="R1110">
        <v>2</v>
      </c>
      <c r="S1110">
        <v>9</v>
      </c>
      <c r="T1110">
        <v>5</v>
      </c>
      <c r="U1110">
        <v>0</v>
      </c>
      <c r="V1110">
        <v>1</v>
      </c>
      <c r="W1110">
        <v>0</v>
      </c>
      <c r="X1110">
        <v>0</v>
      </c>
      <c r="Y1110">
        <v>0</v>
      </c>
      <c r="Z1110">
        <v>0</v>
      </c>
      <c r="AA1110">
        <v>3</v>
      </c>
      <c r="AB1110">
        <v>11</v>
      </c>
      <c r="AC1110">
        <v>0</v>
      </c>
    </row>
    <row r="1111" spans="1:29" x14ac:dyDescent="0.3">
      <c r="A1111">
        <v>246</v>
      </c>
      <c r="B1111">
        <v>1965</v>
      </c>
      <c r="C1111" t="s">
        <v>29</v>
      </c>
      <c r="D1111" t="s">
        <v>33</v>
      </c>
      <c r="E1111">
        <v>66480</v>
      </c>
      <c r="F1111">
        <v>1</v>
      </c>
      <c r="G1111">
        <v>1</v>
      </c>
      <c r="H1111" s="1">
        <v>41790</v>
      </c>
      <c r="I1111">
        <v>71</v>
      </c>
      <c r="J1111">
        <v>199</v>
      </c>
      <c r="K1111">
        <v>9</v>
      </c>
      <c r="L1111">
        <v>57</v>
      </c>
      <c r="M1111">
        <v>20</v>
      </c>
      <c r="N1111">
        <v>21</v>
      </c>
      <c r="O1111">
        <v>6</v>
      </c>
      <c r="P1111">
        <v>7</v>
      </c>
      <c r="Q1111">
        <v>4</v>
      </c>
      <c r="R1111">
        <v>1</v>
      </c>
      <c r="S1111">
        <v>7</v>
      </c>
      <c r="T1111">
        <v>4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3</v>
      </c>
      <c r="AB1111">
        <v>11</v>
      </c>
      <c r="AC1111">
        <v>0</v>
      </c>
    </row>
    <row r="1112" spans="1:29" x14ac:dyDescent="0.3">
      <c r="A1112">
        <v>375</v>
      </c>
      <c r="B1112">
        <v>1954</v>
      </c>
      <c r="C1112" t="s">
        <v>29</v>
      </c>
      <c r="D1112" t="s">
        <v>35</v>
      </c>
      <c r="E1112">
        <v>76773</v>
      </c>
      <c r="F1112">
        <v>0</v>
      </c>
      <c r="G1112">
        <v>0</v>
      </c>
      <c r="H1112" s="1">
        <v>41330</v>
      </c>
      <c r="I1112">
        <v>79</v>
      </c>
      <c r="J1112">
        <v>516</v>
      </c>
      <c r="K1112">
        <v>56</v>
      </c>
      <c r="L1112">
        <v>449</v>
      </c>
      <c r="M1112">
        <v>86</v>
      </c>
      <c r="N1112">
        <v>33</v>
      </c>
      <c r="O1112">
        <v>16</v>
      </c>
      <c r="P1112">
        <v>1</v>
      </c>
      <c r="Q1112">
        <v>2</v>
      </c>
      <c r="R1112">
        <v>2</v>
      </c>
      <c r="S1112">
        <v>11</v>
      </c>
      <c r="T1112">
        <v>1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3</v>
      </c>
      <c r="AB1112">
        <v>11</v>
      </c>
      <c r="AC1112">
        <v>0</v>
      </c>
    </row>
    <row r="1113" spans="1:29" x14ac:dyDescent="0.3">
      <c r="A1113">
        <v>1524</v>
      </c>
      <c r="B1113">
        <v>1983</v>
      </c>
      <c r="C1113" t="s">
        <v>37</v>
      </c>
      <c r="D1113" t="s">
        <v>30</v>
      </c>
      <c r="E1113">
        <v>81698</v>
      </c>
      <c r="F1113">
        <v>0</v>
      </c>
      <c r="G1113">
        <v>0</v>
      </c>
      <c r="H1113" s="1">
        <v>41334</v>
      </c>
      <c r="I1113">
        <v>1</v>
      </c>
      <c r="J1113">
        <v>709</v>
      </c>
      <c r="K1113">
        <v>45</v>
      </c>
      <c r="L1113">
        <v>115</v>
      </c>
      <c r="M1113">
        <v>30</v>
      </c>
      <c r="N1113">
        <v>160</v>
      </c>
      <c r="O1113">
        <v>45</v>
      </c>
      <c r="P1113">
        <v>1</v>
      </c>
      <c r="Q1113">
        <v>8</v>
      </c>
      <c r="R1113">
        <v>2</v>
      </c>
      <c r="S1113">
        <v>5</v>
      </c>
      <c r="T1113">
        <v>5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>
        <v>3</v>
      </c>
      <c r="AB1113">
        <v>11</v>
      </c>
      <c r="AC1113">
        <v>1</v>
      </c>
    </row>
    <row r="1114" spans="1:29" x14ac:dyDescent="0.3">
      <c r="A1114">
        <v>10022</v>
      </c>
      <c r="B1114">
        <v>1973</v>
      </c>
      <c r="C1114" t="s">
        <v>32</v>
      </c>
      <c r="D1114" t="s">
        <v>30</v>
      </c>
      <c r="E1114">
        <v>54466</v>
      </c>
      <c r="F1114">
        <v>1</v>
      </c>
      <c r="G1114">
        <v>1</v>
      </c>
      <c r="H1114" s="1">
        <v>41679</v>
      </c>
      <c r="I1114">
        <v>78</v>
      </c>
      <c r="J1114">
        <v>12</v>
      </c>
      <c r="K1114">
        <v>0</v>
      </c>
      <c r="L1114">
        <v>4</v>
      </c>
      <c r="M1114">
        <v>0</v>
      </c>
      <c r="N1114">
        <v>0</v>
      </c>
      <c r="O1114">
        <v>0</v>
      </c>
      <c r="P1114">
        <v>1</v>
      </c>
      <c r="Q1114">
        <v>1</v>
      </c>
      <c r="R1114">
        <v>0</v>
      </c>
      <c r="S1114">
        <v>2</v>
      </c>
      <c r="T1114">
        <v>5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3</v>
      </c>
      <c r="AB1114">
        <v>11</v>
      </c>
      <c r="AC1114">
        <v>0</v>
      </c>
    </row>
    <row r="1115" spans="1:29" x14ac:dyDescent="0.3">
      <c r="A1115">
        <v>7451</v>
      </c>
      <c r="B1115">
        <v>1960</v>
      </c>
      <c r="C1115" t="s">
        <v>34</v>
      </c>
      <c r="D1115" t="s">
        <v>30</v>
      </c>
      <c r="E1115">
        <v>98777</v>
      </c>
      <c r="F1115">
        <v>0</v>
      </c>
      <c r="G1115">
        <v>0</v>
      </c>
      <c r="H1115" s="1">
        <v>41687</v>
      </c>
      <c r="I1115">
        <v>23</v>
      </c>
      <c r="J1115">
        <v>1000</v>
      </c>
      <c r="K1115">
        <v>19</v>
      </c>
      <c r="L1115">
        <v>711</v>
      </c>
      <c r="M1115">
        <v>125</v>
      </c>
      <c r="N1115">
        <v>115</v>
      </c>
      <c r="O1115">
        <v>38</v>
      </c>
      <c r="P1115">
        <v>0</v>
      </c>
      <c r="Q1115">
        <v>4</v>
      </c>
      <c r="R1115">
        <v>6</v>
      </c>
      <c r="S1115">
        <v>9</v>
      </c>
      <c r="T1115">
        <v>1</v>
      </c>
      <c r="U1115">
        <v>0</v>
      </c>
      <c r="V1115">
        <v>1</v>
      </c>
      <c r="W1115">
        <v>0</v>
      </c>
      <c r="X1115">
        <v>0</v>
      </c>
      <c r="Y1115">
        <v>0</v>
      </c>
      <c r="Z1115">
        <v>0</v>
      </c>
      <c r="AA1115">
        <v>3</v>
      </c>
      <c r="AB1115">
        <v>11</v>
      </c>
      <c r="AC1115">
        <v>0</v>
      </c>
    </row>
    <row r="1116" spans="1:29" x14ac:dyDescent="0.3">
      <c r="A1116">
        <v>11010</v>
      </c>
      <c r="B1116">
        <v>1984</v>
      </c>
      <c r="C1116" t="s">
        <v>32</v>
      </c>
      <c r="D1116" t="s">
        <v>30</v>
      </c>
      <c r="E1116">
        <v>16269</v>
      </c>
      <c r="F1116">
        <v>1</v>
      </c>
      <c r="G1116">
        <v>0</v>
      </c>
      <c r="H1116" s="1">
        <v>41516</v>
      </c>
      <c r="I1116">
        <v>75</v>
      </c>
      <c r="J1116">
        <v>19</v>
      </c>
      <c r="K1116">
        <v>3</v>
      </c>
      <c r="L1116">
        <v>18</v>
      </c>
      <c r="M1116">
        <v>3</v>
      </c>
      <c r="N1116">
        <v>1</v>
      </c>
      <c r="O1116">
        <v>0</v>
      </c>
      <c r="P1116">
        <v>3</v>
      </c>
      <c r="Q1116">
        <v>3</v>
      </c>
      <c r="R1116">
        <v>0</v>
      </c>
      <c r="S1116">
        <v>3</v>
      </c>
      <c r="T1116">
        <v>8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3</v>
      </c>
      <c r="AB1116">
        <v>11</v>
      </c>
      <c r="AC1116">
        <v>0</v>
      </c>
    </row>
    <row r="1117" spans="1:29" x14ac:dyDescent="0.3">
      <c r="A1117">
        <v>4356</v>
      </c>
      <c r="B1117">
        <v>1971</v>
      </c>
      <c r="C1117" t="s">
        <v>29</v>
      </c>
      <c r="D1117" t="s">
        <v>31</v>
      </c>
      <c r="E1117">
        <v>71819</v>
      </c>
      <c r="F1117">
        <v>0</v>
      </c>
      <c r="G1117">
        <v>1</v>
      </c>
      <c r="H1117" s="1">
        <v>41514</v>
      </c>
      <c r="I1117">
        <v>70</v>
      </c>
      <c r="J1117">
        <v>1224</v>
      </c>
      <c r="K1117">
        <v>28</v>
      </c>
      <c r="L1117">
        <v>140</v>
      </c>
      <c r="M1117">
        <v>0</v>
      </c>
      <c r="N1117">
        <v>14</v>
      </c>
      <c r="O1117">
        <v>168</v>
      </c>
      <c r="P1117">
        <v>3</v>
      </c>
      <c r="Q1117">
        <v>3</v>
      </c>
      <c r="R1117">
        <v>3</v>
      </c>
      <c r="S1117">
        <v>5</v>
      </c>
      <c r="T1117">
        <v>6</v>
      </c>
      <c r="U1117">
        <v>0</v>
      </c>
      <c r="V1117">
        <v>1</v>
      </c>
      <c r="W1117">
        <v>1</v>
      </c>
      <c r="X1117">
        <v>0</v>
      </c>
      <c r="Y1117">
        <v>0</v>
      </c>
      <c r="Z1117">
        <v>0</v>
      </c>
      <c r="AA1117">
        <v>3</v>
      </c>
      <c r="AB1117">
        <v>11</v>
      </c>
      <c r="AC1117">
        <v>0</v>
      </c>
    </row>
    <row r="1118" spans="1:29" x14ac:dyDescent="0.3">
      <c r="A1118">
        <v>3885</v>
      </c>
      <c r="B1118">
        <v>1983</v>
      </c>
      <c r="C1118" t="s">
        <v>32</v>
      </c>
      <c r="D1118" t="s">
        <v>33</v>
      </c>
      <c r="E1118">
        <v>33569</v>
      </c>
      <c r="F1118">
        <v>1</v>
      </c>
      <c r="G1118">
        <v>0</v>
      </c>
      <c r="H1118" s="1">
        <v>41563</v>
      </c>
      <c r="I1118">
        <v>10</v>
      </c>
      <c r="J1118">
        <v>16</v>
      </c>
      <c r="K1118">
        <v>2</v>
      </c>
      <c r="L1118">
        <v>18</v>
      </c>
      <c r="M1118">
        <v>3</v>
      </c>
      <c r="N1118">
        <v>0</v>
      </c>
      <c r="O1118">
        <v>24</v>
      </c>
      <c r="P1118">
        <v>1</v>
      </c>
      <c r="Q1118">
        <v>1</v>
      </c>
      <c r="R1118">
        <v>1</v>
      </c>
      <c r="S1118">
        <v>2</v>
      </c>
      <c r="T1118">
        <v>8</v>
      </c>
      <c r="U1118">
        <v>1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3</v>
      </c>
      <c r="AB1118">
        <v>11</v>
      </c>
      <c r="AC1118">
        <v>1</v>
      </c>
    </row>
    <row r="1119" spans="1:29" x14ac:dyDescent="0.3">
      <c r="A1119">
        <v>1175</v>
      </c>
      <c r="B1119">
        <v>1983</v>
      </c>
      <c r="C1119" t="s">
        <v>34</v>
      </c>
      <c r="D1119" t="s">
        <v>33</v>
      </c>
      <c r="E1119">
        <v>36262</v>
      </c>
      <c r="F1119">
        <v>0</v>
      </c>
      <c r="G1119">
        <v>0</v>
      </c>
      <c r="H1119" s="1">
        <v>41537</v>
      </c>
      <c r="I1119">
        <v>24</v>
      </c>
      <c r="J1119">
        <v>88</v>
      </c>
      <c r="K1119">
        <v>39</v>
      </c>
      <c r="L1119">
        <v>54</v>
      </c>
      <c r="M1119">
        <v>64</v>
      </c>
      <c r="N1119">
        <v>28</v>
      </c>
      <c r="O1119">
        <v>153</v>
      </c>
      <c r="P1119">
        <v>1</v>
      </c>
      <c r="Q1119">
        <v>3</v>
      </c>
      <c r="R1119">
        <v>5</v>
      </c>
      <c r="S1119">
        <v>3</v>
      </c>
      <c r="T1119">
        <v>6</v>
      </c>
      <c r="U1119">
        <v>1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3</v>
      </c>
      <c r="AB1119">
        <v>11</v>
      </c>
      <c r="AC1119">
        <v>1</v>
      </c>
    </row>
    <row r="1120" spans="1:29" x14ac:dyDescent="0.3">
      <c r="A1120">
        <v>880</v>
      </c>
      <c r="B1120">
        <v>1966</v>
      </c>
      <c r="C1120" t="s">
        <v>36</v>
      </c>
      <c r="D1120" t="s">
        <v>31</v>
      </c>
      <c r="E1120">
        <v>22634</v>
      </c>
      <c r="F1120">
        <v>0</v>
      </c>
      <c r="G1120">
        <v>0</v>
      </c>
      <c r="H1120" s="1">
        <v>41290</v>
      </c>
      <c r="I1120">
        <v>47</v>
      </c>
      <c r="J1120">
        <v>2</v>
      </c>
      <c r="K1120">
        <v>23</v>
      </c>
      <c r="L1120">
        <v>11</v>
      </c>
      <c r="M1120">
        <v>8</v>
      </c>
      <c r="N1120">
        <v>6</v>
      </c>
      <c r="O1120">
        <v>46</v>
      </c>
      <c r="P1120">
        <v>1</v>
      </c>
      <c r="Q1120">
        <v>2</v>
      </c>
      <c r="R1120">
        <v>1</v>
      </c>
      <c r="S1120">
        <v>2</v>
      </c>
      <c r="T1120">
        <v>8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3</v>
      </c>
      <c r="AB1120">
        <v>11</v>
      </c>
      <c r="AC1120">
        <v>0</v>
      </c>
    </row>
    <row r="1121" spans="1:29" x14ac:dyDescent="0.3">
      <c r="A1121">
        <v>2320</v>
      </c>
      <c r="B1121">
        <v>1978</v>
      </c>
      <c r="C1121" t="s">
        <v>37</v>
      </c>
      <c r="D1121" t="s">
        <v>33</v>
      </c>
      <c r="E1121">
        <v>47025</v>
      </c>
      <c r="F1121">
        <v>0</v>
      </c>
      <c r="G1121">
        <v>1</v>
      </c>
      <c r="H1121" s="1">
        <v>41529</v>
      </c>
      <c r="I1121">
        <v>98</v>
      </c>
      <c r="J1121">
        <v>508</v>
      </c>
      <c r="K1121">
        <v>11</v>
      </c>
      <c r="L1121">
        <v>59</v>
      </c>
      <c r="M1121">
        <v>23</v>
      </c>
      <c r="N1121">
        <v>5</v>
      </c>
      <c r="O1121">
        <v>29</v>
      </c>
      <c r="P1121">
        <v>5</v>
      </c>
      <c r="Q1121">
        <v>11</v>
      </c>
      <c r="R1121">
        <v>1</v>
      </c>
      <c r="S1121">
        <v>6</v>
      </c>
      <c r="T1121">
        <v>9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3</v>
      </c>
      <c r="AB1121">
        <v>11</v>
      </c>
      <c r="AC1121">
        <v>0</v>
      </c>
    </row>
    <row r="1122" spans="1:29" x14ac:dyDescent="0.3">
      <c r="A1122">
        <v>850</v>
      </c>
      <c r="B1122">
        <v>1968</v>
      </c>
      <c r="C1122" t="s">
        <v>29</v>
      </c>
      <c r="D1122" t="s">
        <v>30</v>
      </c>
      <c r="E1122">
        <v>70566</v>
      </c>
      <c r="F1122">
        <v>0</v>
      </c>
      <c r="G1122">
        <v>1</v>
      </c>
      <c r="H1122" s="1">
        <v>41553</v>
      </c>
      <c r="I1122">
        <v>4</v>
      </c>
      <c r="J1122">
        <v>381</v>
      </c>
      <c r="K1122">
        <v>28</v>
      </c>
      <c r="L1122">
        <v>215</v>
      </c>
      <c r="M1122">
        <v>84</v>
      </c>
      <c r="N1122">
        <v>28</v>
      </c>
      <c r="O1122">
        <v>21</v>
      </c>
      <c r="P1122">
        <v>2</v>
      </c>
      <c r="Q1122">
        <v>6</v>
      </c>
      <c r="R1122">
        <v>5</v>
      </c>
      <c r="S1122">
        <v>9</v>
      </c>
      <c r="T1122">
        <v>3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3</v>
      </c>
      <c r="AB1122">
        <v>11</v>
      </c>
      <c r="AC1122">
        <v>0</v>
      </c>
    </row>
    <row r="1123" spans="1:29" x14ac:dyDescent="0.3">
      <c r="A1123">
        <v>4713</v>
      </c>
      <c r="B1123">
        <v>1979</v>
      </c>
      <c r="C1123" t="s">
        <v>32</v>
      </c>
      <c r="D1123" t="s">
        <v>33</v>
      </c>
      <c r="E1123">
        <v>31605</v>
      </c>
      <c r="F1123">
        <v>1</v>
      </c>
      <c r="G1123">
        <v>0</v>
      </c>
      <c r="H1123" s="1">
        <v>41235</v>
      </c>
      <c r="I1123">
        <v>15</v>
      </c>
      <c r="J1123">
        <v>74</v>
      </c>
      <c r="K1123">
        <v>0</v>
      </c>
      <c r="L1123">
        <v>42</v>
      </c>
      <c r="M1123">
        <v>2</v>
      </c>
      <c r="N1123">
        <v>1</v>
      </c>
      <c r="O1123">
        <v>6</v>
      </c>
      <c r="P1123">
        <v>2</v>
      </c>
      <c r="Q1123">
        <v>2</v>
      </c>
      <c r="R1123">
        <v>1</v>
      </c>
      <c r="S1123">
        <v>4</v>
      </c>
      <c r="T1123">
        <v>7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3</v>
      </c>
      <c r="AB1123">
        <v>11</v>
      </c>
      <c r="AC1123">
        <v>0</v>
      </c>
    </row>
    <row r="1124" spans="1:29" x14ac:dyDescent="0.3">
      <c r="A1124">
        <v>675</v>
      </c>
      <c r="B1124">
        <v>1973</v>
      </c>
      <c r="C1124" t="s">
        <v>34</v>
      </c>
      <c r="D1124" t="s">
        <v>35</v>
      </c>
      <c r="E1124">
        <v>52034</v>
      </c>
      <c r="F1124">
        <v>1</v>
      </c>
      <c r="G1124">
        <v>1</v>
      </c>
      <c r="H1124" s="1">
        <v>41411</v>
      </c>
      <c r="I1124">
        <v>67</v>
      </c>
      <c r="J1124">
        <v>146</v>
      </c>
      <c r="K1124">
        <v>0</v>
      </c>
      <c r="L1124">
        <v>93</v>
      </c>
      <c r="M1124">
        <v>7</v>
      </c>
      <c r="N1124">
        <v>13</v>
      </c>
      <c r="O1124">
        <v>73</v>
      </c>
      <c r="P1124">
        <v>5</v>
      </c>
      <c r="Q1124">
        <v>4</v>
      </c>
      <c r="R1124">
        <v>2</v>
      </c>
      <c r="S1124">
        <v>5</v>
      </c>
      <c r="T1124">
        <v>7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3</v>
      </c>
      <c r="AB1124">
        <v>11</v>
      </c>
      <c r="AC1124">
        <v>0</v>
      </c>
    </row>
    <row r="1125" spans="1:29" x14ac:dyDescent="0.3">
      <c r="A1125">
        <v>5025</v>
      </c>
      <c r="B1125">
        <v>1979</v>
      </c>
      <c r="C1125" t="s">
        <v>29</v>
      </c>
      <c r="D1125" t="s">
        <v>30</v>
      </c>
      <c r="E1125">
        <v>48526</v>
      </c>
      <c r="F1125">
        <v>1</v>
      </c>
      <c r="G1125">
        <v>0</v>
      </c>
      <c r="H1125" s="1">
        <v>41632</v>
      </c>
      <c r="I1125">
        <v>32</v>
      </c>
      <c r="J1125">
        <v>23</v>
      </c>
      <c r="K1125">
        <v>17</v>
      </c>
      <c r="L1125">
        <v>23</v>
      </c>
      <c r="M1125">
        <v>43</v>
      </c>
      <c r="N1125">
        <v>20</v>
      </c>
      <c r="O1125">
        <v>9</v>
      </c>
      <c r="P1125">
        <v>1</v>
      </c>
      <c r="Q1125">
        <v>2</v>
      </c>
      <c r="R1125">
        <v>1</v>
      </c>
      <c r="S1125">
        <v>4</v>
      </c>
      <c r="T1125">
        <v>3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3</v>
      </c>
      <c r="AB1125">
        <v>11</v>
      </c>
      <c r="AC1125">
        <v>0</v>
      </c>
    </row>
    <row r="1126" spans="1:29" x14ac:dyDescent="0.3">
      <c r="A1126">
        <v>2308</v>
      </c>
      <c r="B1126">
        <v>1954</v>
      </c>
      <c r="C1126" t="s">
        <v>29</v>
      </c>
      <c r="D1126" t="s">
        <v>33</v>
      </c>
      <c r="E1126">
        <v>46734</v>
      </c>
      <c r="F1126">
        <v>0</v>
      </c>
      <c r="G1126">
        <v>1</v>
      </c>
      <c r="H1126" s="1">
        <v>41231</v>
      </c>
      <c r="I1126">
        <v>40</v>
      </c>
      <c r="J1126">
        <v>110</v>
      </c>
      <c r="K1126">
        <v>5</v>
      </c>
      <c r="L1126">
        <v>137</v>
      </c>
      <c r="M1126">
        <v>26</v>
      </c>
      <c r="N1126">
        <v>23</v>
      </c>
      <c r="O1126">
        <v>29</v>
      </c>
      <c r="P1126">
        <v>2</v>
      </c>
      <c r="Q1126">
        <v>6</v>
      </c>
      <c r="R1126">
        <v>1</v>
      </c>
      <c r="S1126">
        <v>5</v>
      </c>
      <c r="T1126">
        <v>7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3</v>
      </c>
      <c r="AB1126">
        <v>11</v>
      </c>
      <c r="AC1126">
        <v>0</v>
      </c>
    </row>
    <row r="1127" spans="1:29" x14ac:dyDescent="0.3">
      <c r="A1127">
        <v>5995</v>
      </c>
      <c r="B1127">
        <v>1962</v>
      </c>
      <c r="C1127" t="s">
        <v>29</v>
      </c>
      <c r="D1127" t="s">
        <v>35</v>
      </c>
      <c r="E1127">
        <v>39552</v>
      </c>
      <c r="F1127">
        <v>1</v>
      </c>
      <c r="G1127">
        <v>1</v>
      </c>
      <c r="H1127" s="1">
        <v>41261</v>
      </c>
      <c r="I1127">
        <v>54</v>
      </c>
      <c r="J1127">
        <v>165</v>
      </c>
      <c r="K1127">
        <v>3</v>
      </c>
      <c r="L1127">
        <v>147</v>
      </c>
      <c r="M1127">
        <v>4</v>
      </c>
      <c r="N1127">
        <v>24</v>
      </c>
      <c r="O1127">
        <v>41</v>
      </c>
      <c r="P1127">
        <v>7</v>
      </c>
      <c r="Q1127">
        <v>6</v>
      </c>
      <c r="R1127">
        <v>2</v>
      </c>
      <c r="S1127">
        <v>5</v>
      </c>
      <c r="T1127">
        <v>8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3</v>
      </c>
      <c r="AB1127">
        <v>11</v>
      </c>
      <c r="AC1127">
        <v>1</v>
      </c>
    </row>
    <row r="1128" spans="1:29" x14ac:dyDescent="0.3">
      <c r="A1128">
        <v>6749</v>
      </c>
      <c r="B1128">
        <v>1966</v>
      </c>
      <c r="C1128" t="s">
        <v>29</v>
      </c>
      <c r="D1128" t="s">
        <v>30</v>
      </c>
      <c r="E1128">
        <v>86358</v>
      </c>
      <c r="F1128">
        <v>1</v>
      </c>
      <c r="G1128">
        <v>1</v>
      </c>
      <c r="H1128" s="1">
        <v>41129</v>
      </c>
      <c r="I1128">
        <v>78</v>
      </c>
      <c r="J1128">
        <v>957</v>
      </c>
      <c r="K1128">
        <v>47</v>
      </c>
      <c r="L1128">
        <v>494</v>
      </c>
      <c r="M1128">
        <v>82</v>
      </c>
      <c r="N1128">
        <v>47</v>
      </c>
      <c r="O1128">
        <v>95</v>
      </c>
      <c r="P1128">
        <v>4</v>
      </c>
      <c r="Q1128">
        <v>5</v>
      </c>
      <c r="R1128">
        <v>3</v>
      </c>
      <c r="S1128">
        <v>6</v>
      </c>
      <c r="T1128">
        <v>8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3</v>
      </c>
      <c r="AB1128">
        <v>11</v>
      </c>
      <c r="AC1128">
        <v>0</v>
      </c>
    </row>
    <row r="1129" spans="1:29" x14ac:dyDescent="0.3">
      <c r="A1129">
        <v>1010</v>
      </c>
      <c r="B1129">
        <v>1977</v>
      </c>
      <c r="C1129" t="s">
        <v>29</v>
      </c>
      <c r="D1129" t="s">
        <v>31</v>
      </c>
      <c r="E1129">
        <v>46931</v>
      </c>
      <c r="F1129">
        <v>2</v>
      </c>
      <c r="G1129">
        <v>1</v>
      </c>
      <c r="H1129" s="1">
        <v>41753</v>
      </c>
      <c r="I1129">
        <v>94</v>
      </c>
      <c r="J1129">
        <v>41</v>
      </c>
      <c r="K1129">
        <v>0</v>
      </c>
      <c r="L1129">
        <v>17</v>
      </c>
      <c r="M1129">
        <v>3</v>
      </c>
      <c r="N1129">
        <v>1</v>
      </c>
      <c r="O1129">
        <v>16</v>
      </c>
      <c r="P1129">
        <v>2</v>
      </c>
      <c r="Q1129">
        <v>1</v>
      </c>
      <c r="R1129">
        <v>1</v>
      </c>
      <c r="S1129">
        <v>3</v>
      </c>
      <c r="T1129">
        <v>3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3</v>
      </c>
      <c r="AB1129">
        <v>11</v>
      </c>
      <c r="AC1129">
        <v>0</v>
      </c>
    </row>
    <row r="1130" spans="1:29" x14ac:dyDescent="0.3">
      <c r="A1130">
        <v>8977</v>
      </c>
      <c r="B1130">
        <v>1985</v>
      </c>
      <c r="C1130" t="s">
        <v>36</v>
      </c>
      <c r="D1130" t="s">
        <v>30</v>
      </c>
      <c r="E1130">
        <v>16581</v>
      </c>
      <c r="F1130">
        <v>0</v>
      </c>
      <c r="G1130">
        <v>0</v>
      </c>
      <c r="H1130" s="1">
        <v>41286</v>
      </c>
      <c r="I1130">
        <v>51</v>
      </c>
      <c r="J1130">
        <v>1</v>
      </c>
      <c r="K1130">
        <v>3</v>
      </c>
      <c r="L1130">
        <v>4</v>
      </c>
      <c r="M1130">
        <v>2</v>
      </c>
      <c r="N1130">
        <v>3</v>
      </c>
      <c r="O1130">
        <v>11</v>
      </c>
      <c r="P1130">
        <v>1</v>
      </c>
      <c r="Q1130">
        <v>0</v>
      </c>
      <c r="R1130">
        <v>0</v>
      </c>
      <c r="S1130">
        <v>3</v>
      </c>
      <c r="T1130">
        <v>4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3</v>
      </c>
      <c r="AB1130">
        <v>11</v>
      </c>
      <c r="AC1130">
        <v>0</v>
      </c>
    </row>
    <row r="1131" spans="1:29" x14ac:dyDescent="0.3">
      <c r="A1131">
        <v>4756</v>
      </c>
      <c r="B1131">
        <v>1952</v>
      </c>
      <c r="C1131" t="s">
        <v>37</v>
      </c>
      <c r="D1131" t="s">
        <v>35</v>
      </c>
      <c r="E1131">
        <v>63998</v>
      </c>
      <c r="F1131">
        <v>0</v>
      </c>
      <c r="G1131">
        <v>0</v>
      </c>
      <c r="H1131" s="1">
        <v>41628</v>
      </c>
      <c r="I1131">
        <v>42</v>
      </c>
      <c r="J1131">
        <v>176</v>
      </c>
      <c r="K1131">
        <v>29</v>
      </c>
      <c r="L1131">
        <v>818</v>
      </c>
      <c r="M1131">
        <v>0</v>
      </c>
      <c r="N1131">
        <v>33</v>
      </c>
      <c r="O1131">
        <v>112</v>
      </c>
      <c r="P1131">
        <v>1</v>
      </c>
      <c r="Q1131">
        <v>7</v>
      </c>
      <c r="R1131">
        <v>6</v>
      </c>
      <c r="S1131">
        <v>11</v>
      </c>
      <c r="T1131">
        <v>4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3</v>
      </c>
      <c r="AB1131">
        <v>11</v>
      </c>
      <c r="AC1131">
        <v>1</v>
      </c>
    </row>
    <row r="1132" spans="1:29" x14ac:dyDescent="0.3">
      <c r="A1132">
        <v>3412</v>
      </c>
      <c r="B1132">
        <v>1951</v>
      </c>
      <c r="C1132" t="s">
        <v>34</v>
      </c>
      <c r="D1132" t="s">
        <v>33</v>
      </c>
      <c r="E1132">
        <v>67381</v>
      </c>
      <c r="F1132">
        <v>0</v>
      </c>
      <c r="G1132">
        <v>1</v>
      </c>
      <c r="H1132" s="1">
        <v>41289</v>
      </c>
      <c r="I1132">
        <v>67</v>
      </c>
      <c r="J1132">
        <v>815</v>
      </c>
      <c r="K1132">
        <v>8</v>
      </c>
      <c r="L1132">
        <v>53</v>
      </c>
      <c r="M1132">
        <v>11</v>
      </c>
      <c r="N1132">
        <v>0</v>
      </c>
      <c r="O1132">
        <v>70</v>
      </c>
      <c r="P1132">
        <v>4</v>
      </c>
      <c r="Q1132">
        <v>2</v>
      </c>
      <c r="R1132">
        <v>2</v>
      </c>
      <c r="S1132">
        <v>9</v>
      </c>
      <c r="T1132">
        <v>7</v>
      </c>
      <c r="U1132">
        <v>0</v>
      </c>
      <c r="V1132">
        <v>1</v>
      </c>
      <c r="W1132">
        <v>0</v>
      </c>
      <c r="X1132">
        <v>0</v>
      </c>
      <c r="Y1132">
        <v>0</v>
      </c>
      <c r="Z1132">
        <v>0</v>
      </c>
      <c r="AA1132">
        <v>3</v>
      </c>
      <c r="AB1132">
        <v>11</v>
      </c>
      <c r="AC1132">
        <v>0</v>
      </c>
    </row>
    <row r="1133" spans="1:29" x14ac:dyDescent="0.3">
      <c r="A1133">
        <v>606</v>
      </c>
      <c r="B1133">
        <v>1967</v>
      </c>
      <c r="C1133" t="s">
        <v>29</v>
      </c>
      <c r="D1133" t="s">
        <v>30</v>
      </c>
      <c r="E1133">
        <v>25930</v>
      </c>
      <c r="F1133">
        <v>1</v>
      </c>
      <c r="G1133">
        <v>1</v>
      </c>
      <c r="H1133" s="1">
        <v>41557</v>
      </c>
      <c r="I1133">
        <v>87</v>
      </c>
      <c r="J1133">
        <v>6</v>
      </c>
      <c r="K1133">
        <v>1</v>
      </c>
      <c r="L1133">
        <v>2</v>
      </c>
      <c r="M1133">
        <v>2</v>
      </c>
      <c r="N1133">
        <v>0</v>
      </c>
      <c r="O1133">
        <v>4</v>
      </c>
      <c r="P1133">
        <v>1</v>
      </c>
      <c r="Q1133">
        <v>1</v>
      </c>
      <c r="R1133">
        <v>0</v>
      </c>
      <c r="S1133">
        <v>2</v>
      </c>
      <c r="T1133">
        <v>7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3</v>
      </c>
      <c r="AB1133">
        <v>11</v>
      </c>
      <c r="AC1133">
        <v>0</v>
      </c>
    </row>
    <row r="1134" spans="1:29" x14ac:dyDescent="0.3">
      <c r="A1134">
        <v>5961</v>
      </c>
      <c r="B1134">
        <v>1978</v>
      </c>
      <c r="C1134" t="s">
        <v>29</v>
      </c>
      <c r="D1134" t="s">
        <v>33</v>
      </c>
      <c r="E1134">
        <v>42693</v>
      </c>
      <c r="F1134">
        <v>1</v>
      </c>
      <c r="G1134">
        <v>0</v>
      </c>
      <c r="H1134" s="1">
        <v>41797</v>
      </c>
      <c r="I1134">
        <v>29</v>
      </c>
      <c r="J1134">
        <v>8</v>
      </c>
      <c r="K1134">
        <v>4</v>
      </c>
      <c r="L1134">
        <v>20</v>
      </c>
      <c r="M1134">
        <v>6</v>
      </c>
      <c r="N1134">
        <v>3</v>
      </c>
      <c r="O1134">
        <v>16</v>
      </c>
      <c r="P1134">
        <v>1</v>
      </c>
      <c r="Q1134">
        <v>1</v>
      </c>
      <c r="R1134">
        <v>0</v>
      </c>
      <c r="S1134">
        <v>3</v>
      </c>
      <c r="T1134">
        <v>5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3</v>
      </c>
      <c r="AB1134">
        <v>11</v>
      </c>
      <c r="AC1134">
        <v>0</v>
      </c>
    </row>
    <row r="1135" spans="1:29" x14ac:dyDescent="0.3">
      <c r="A1135">
        <v>2975</v>
      </c>
      <c r="B1135">
        <v>1976</v>
      </c>
      <c r="C1135" t="s">
        <v>29</v>
      </c>
      <c r="D1135" t="s">
        <v>31</v>
      </c>
      <c r="E1135">
        <v>85606</v>
      </c>
      <c r="F1135">
        <v>0</v>
      </c>
      <c r="G1135">
        <v>1</v>
      </c>
      <c r="H1135" s="1">
        <v>41225</v>
      </c>
      <c r="I1135">
        <v>89</v>
      </c>
      <c r="J1135">
        <v>717</v>
      </c>
      <c r="K1135">
        <v>42</v>
      </c>
      <c r="L1135">
        <v>864</v>
      </c>
      <c r="M1135">
        <v>219</v>
      </c>
      <c r="N1135">
        <v>30</v>
      </c>
      <c r="O1135">
        <v>84</v>
      </c>
      <c r="P1135">
        <v>2</v>
      </c>
      <c r="Q1135">
        <v>6</v>
      </c>
      <c r="R1135">
        <v>7</v>
      </c>
      <c r="S1135">
        <v>9</v>
      </c>
      <c r="T1135">
        <v>3</v>
      </c>
      <c r="U1135">
        <v>0</v>
      </c>
      <c r="V1135">
        <v>0</v>
      </c>
      <c r="W1135">
        <v>0</v>
      </c>
      <c r="X1135">
        <v>1</v>
      </c>
      <c r="Y1135">
        <v>0</v>
      </c>
      <c r="Z1135">
        <v>0</v>
      </c>
      <c r="AA1135">
        <v>3</v>
      </c>
      <c r="AB1135">
        <v>11</v>
      </c>
      <c r="AC1135">
        <v>0</v>
      </c>
    </row>
    <row r="1136" spans="1:29" x14ac:dyDescent="0.3">
      <c r="A1136">
        <v>2894</v>
      </c>
      <c r="B1136">
        <v>1985</v>
      </c>
      <c r="C1136" t="s">
        <v>29</v>
      </c>
      <c r="D1136" t="s">
        <v>30</v>
      </c>
      <c r="E1136">
        <v>72903</v>
      </c>
      <c r="F1136">
        <v>0</v>
      </c>
      <c r="G1136">
        <v>0</v>
      </c>
      <c r="H1136" s="1">
        <v>41576</v>
      </c>
      <c r="I1136">
        <v>74</v>
      </c>
      <c r="J1136">
        <v>1067</v>
      </c>
      <c r="K1136">
        <v>138</v>
      </c>
      <c r="L1136">
        <v>750</v>
      </c>
      <c r="M1136">
        <v>0</v>
      </c>
      <c r="N1136">
        <v>19</v>
      </c>
      <c r="O1136">
        <v>39</v>
      </c>
      <c r="P1136">
        <v>1</v>
      </c>
      <c r="Q1136">
        <v>7</v>
      </c>
      <c r="R1136">
        <v>5</v>
      </c>
      <c r="S1136">
        <v>8</v>
      </c>
      <c r="T1136">
        <v>4</v>
      </c>
      <c r="U1136">
        <v>0</v>
      </c>
      <c r="V1136">
        <v>1</v>
      </c>
      <c r="W1136">
        <v>1</v>
      </c>
      <c r="X1136">
        <v>1</v>
      </c>
      <c r="Y1136">
        <v>0</v>
      </c>
      <c r="Z1136">
        <v>0</v>
      </c>
      <c r="AA1136">
        <v>3</v>
      </c>
      <c r="AB1136">
        <v>11</v>
      </c>
      <c r="AC1136">
        <v>1</v>
      </c>
    </row>
    <row r="1137" spans="1:29" x14ac:dyDescent="0.3">
      <c r="A1137">
        <v>7613</v>
      </c>
      <c r="B1137">
        <v>1974</v>
      </c>
      <c r="C1137" t="s">
        <v>37</v>
      </c>
      <c r="D1137" t="s">
        <v>31</v>
      </c>
      <c r="E1137">
        <v>49669</v>
      </c>
      <c r="F1137">
        <v>1</v>
      </c>
      <c r="G1137">
        <v>0</v>
      </c>
      <c r="H1137" s="1">
        <v>41783</v>
      </c>
      <c r="I1137">
        <v>97</v>
      </c>
      <c r="J1137">
        <v>166</v>
      </c>
      <c r="K1137">
        <v>5</v>
      </c>
      <c r="L1137">
        <v>107</v>
      </c>
      <c r="M1137">
        <v>11</v>
      </c>
      <c r="N1137">
        <v>8</v>
      </c>
      <c r="O1137">
        <v>29</v>
      </c>
      <c r="P1137">
        <v>2</v>
      </c>
      <c r="Q1137">
        <v>5</v>
      </c>
      <c r="R1137">
        <v>1</v>
      </c>
      <c r="S1137">
        <v>6</v>
      </c>
      <c r="T1137">
        <v>6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3</v>
      </c>
      <c r="AB1137">
        <v>11</v>
      </c>
      <c r="AC1137">
        <v>0</v>
      </c>
    </row>
    <row r="1138" spans="1:29" x14ac:dyDescent="0.3">
      <c r="A1138">
        <v>10542</v>
      </c>
      <c r="B1138">
        <v>1968</v>
      </c>
      <c r="C1138" t="s">
        <v>32</v>
      </c>
      <c r="D1138" t="s">
        <v>33</v>
      </c>
      <c r="E1138">
        <v>36778</v>
      </c>
      <c r="F1138">
        <v>1</v>
      </c>
      <c r="G1138">
        <v>1</v>
      </c>
      <c r="H1138" s="1">
        <v>41126</v>
      </c>
      <c r="I1138">
        <v>63</v>
      </c>
      <c r="J1138">
        <v>29</v>
      </c>
      <c r="K1138">
        <v>4</v>
      </c>
      <c r="L1138">
        <v>34</v>
      </c>
      <c r="M1138">
        <v>2</v>
      </c>
      <c r="N1138">
        <v>4</v>
      </c>
      <c r="O1138">
        <v>4</v>
      </c>
      <c r="P1138">
        <v>3</v>
      </c>
      <c r="Q1138">
        <v>3</v>
      </c>
      <c r="R1138">
        <v>0</v>
      </c>
      <c r="S1138">
        <v>3</v>
      </c>
      <c r="T1138">
        <v>9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3</v>
      </c>
      <c r="AB1138">
        <v>11</v>
      </c>
      <c r="AC1138">
        <v>0</v>
      </c>
    </row>
    <row r="1139" spans="1:29" x14ac:dyDescent="0.3">
      <c r="A1139">
        <v>8015</v>
      </c>
      <c r="B1139">
        <v>1962</v>
      </c>
      <c r="C1139" t="s">
        <v>32</v>
      </c>
      <c r="D1139" t="s">
        <v>35</v>
      </c>
      <c r="E1139">
        <v>85696</v>
      </c>
      <c r="F1139">
        <v>0</v>
      </c>
      <c r="G1139">
        <v>0</v>
      </c>
      <c r="H1139" s="1">
        <v>41397</v>
      </c>
      <c r="I1139">
        <v>88</v>
      </c>
      <c r="J1139">
        <v>714</v>
      </c>
      <c r="K1139">
        <v>76</v>
      </c>
      <c r="L1139">
        <v>395</v>
      </c>
      <c r="M1139">
        <v>116</v>
      </c>
      <c r="N1139">
        <v>0</v>
      </c>
      <c r="O1139">
        <v>12</v>
      </c>
      <c r="P1139">
        <v>1</v>
      </c>
      <c r="Q1139">
        <v>4</v>
      </c>
      <c r="R1139">
        <v>6</v>
      </c>
      <c r="S1139">
        <v>9</v>
      </c>
      <c r="T1139">
        <v>1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3</v>
      </c>
      <c r="AB1139">
        <v>11</v>
      </c>
      <c r="AC1139">
        <v>1</v>
      </c>
    </row>
    <row r="1140" spans="1:29" x14ac:dyDescent="0.3">
      <c r="A1140">
        <v>10617</v>
      </c>
      <c r="B1140">
        <v>1989</v>
      </c>
      <c r="C1140" t="s">
        <v>34</v>
      </c>
      <c r="D1140" t="s">
        <v>35</v>
      </c>
      <c r="E1140">
        <v>10979</v>
      </c>
      <c r="F1140">
        <v>0</v>
      </c>
      <c r="G1140">
        <v>0</v>
      </c>
      <c r="H1140" s="1">
        <v>41781</v>
      </c>
      <c r="I1140">
        <v>34</v>
      </c>
      <c r="J1140">
        <v>8</v>
      </c>
      <c r="K1140">
        <v>4</v>
      </c>
      <c r="L1140">
        <v>10</v>
      </c>
      <c r="M1140">
        <v>2</v>
      </c>
      <c r="N1140">
        <v>2</v>
      </c>
      <c r="O1140">
        <v>4</v>
      </c>
      <c r="P1140">
        <v>2</v>
      </c>
      <c r="Q1140">
        <v>3</v>
      </c>
      <c r="R1140">
        <v>0</v>
      </c>
      <c r="S1140">
        <v>3</v>
      </c>
      <c r="T1140">
        <v>5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3</v>
      </c>
      <c r="AB1140">
        <v>11</v>
      </c>
      <c r="AC1140">
        <v>0</v>
      </c>
    </row>
    <row r="1141" spans="1:29" x14ac:dyDescent="0.3">
      <c r="A1141">
        <v>11166</v>
      </c>
      <c r="B1141">
        <v>1961</v>
      </c>
      <c r="C1141" t="s">
        <v>29</v>
      </c>
      <c r="D1141" t="s">
        <v>33</v>
      </c>
      <c r="E1141">
        <v>49678</v>
      </c>
      <c r="F1141">
        <v>0</v>
      </c>
      <c r="G1141">
        <v>1</v>
      </c>
      <c r="H1141" s="1">
        <v>41307</v>
      </c>
      <c r="I1141">
        <v>81</v>
      </c>
      <c r="J1141">
        <v>229</v>
      </c>
      <c r="K1141">
        <v>5</v>
      </c>
      <c r="L1141">
        <v>56</v>
      </c>
      <c r="M1141">
        <v>3</v>
      </c>
      <c r="N1141">
        <v>2</v>
      </c>
      <c r="O1141">
        <v>20</v>
      </c>
      <c r="P1141">
        <v>2</v>
      </c>
      <c r="Q1141">
        <v>6</v>
      </c>
      <c r="R1141">
        <v>2</v>
      </c>
      <c r="S1141">
        <v>4</v>
      </c>
      <c r="T1141">
        <v>7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3</v>
      </c>
      <c r="AB1141">
        <v>11</v>
      </c>
      <c r="AC1141">
        <v>0</v>
      </c>
    </row>
    <row r="1142" spans="1:29" x14ac:dyDescent="0.3">
      <c r="A1142">
        <v>849</v>
      </c>
      <c r="B1142">
        <v>1953</v>
      </c>
      <c r="C1142" t="s">
        <v>34</v>
      </c>
      <c r="D1142" t="s">
        <v>31</v>
      </c>
      <c r="E1142">
        <v>56129</v>
      </c>
      <c r="F1142">
        <v>0</v>
      </c>
      <c r="G1142">
        <v>1</v>
      </c>
      <c r="H1142" s="1">
        <v>41445</v>
      </c>
      <c r="I1142">
        <v>65</v>
      </c>
      <c r="J1142">
        <v>320</v>
      </c>
      <c r="K1142">
        <v>48</v>
      </c>
      <c r="L1142">
        <v>133</v>
      </c>
      <c r="M1142">
        <v>39</v>
      </c>
      <c r="N1142">
        <v>72</v>
      </c>
      <c r="O1142">
        <v>48</v>
      </c>
      <c r="P1142">
        <v>4</v>
      </c>
      <c r="Q1142">
        <v>6</v>
      </c>
      <c r="R1142">
        <v>2</v>
      </c>
      <c r="S1142">
        <v>10</v>
      </c>
      <c r="T1142">
        <v>4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3</v>
      </c>
      <c r="AB1142">
        <v>11</v>
      </c>
      <c r="AC1142">
        <v>0</v>
      </c>
    </row>
    <row r="1143" spans="1:29" x14ac:dyDescent="0.3">
      <c r="A1143">
        <v>523</v>
      </c>
      <c r="B1143">
        <v>1989</v>
      </c>
      <c r="C1143" t="s">
        <v>29</v>
      </c>
      <c r="D1143" t="s">
        <v>33</v>
      </c>
      <c r="E1143">
        <v>37155</v>
      </c>
      <c r="F1143">
        <v>1</v>
      </c>
      <c r="G1143">
        <v>0</v>
      </c>
      <c r="H1143" s="1">
        <v>41305</v>
      </c>
      <c r="I1143">
        <v>51</v>
      </c>
      <c r="J1143">
        <v>23</v>
      </c>
      <c r="K1143">
        <v>0</v>
      </c>
      <c r="L1143">
        <v>26</v>
      </c>
      <c r="M1143">
        <v>7</v>
      </c>
      <c r="N1143">
        <v>15</v>
      </c>
      <c r="O1143">
        <v>3</v>
      </c>
      <c r="P1143">
        <v>1</v>
      </c>
      <c r="Q1143">
        <v>2</v>
      </c>
      <c r="R1143">
        <v>0</v>
      </c>
      <c r="S1143">
        <v>4</v>
      </c>
      <c r="T1143">
        <v>5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3</v>
      </c>
      <c r="AB1143">
        <v>11</v>
      </c>
      <c r="AC1143">
        <v>0</v>
      </c>
    </row>
    <row r="1144" spans="1:29" x14ac:dyDescent="0.3">
      <c r="A1144">
        <v>4066</v>
      </c>
      <c r="B1144">
        <v>1978</v>
      </c>
      <c r="C1144" t="s">
        <v>37</v>
      </c>
      <c r="D1144" t="s">
        <v>35</v>
      </c>
      <c r="E1144">
        <v>21282</v>
      </c>
      <c r="F1144">
        <v>1</v>
      </c>
      <c r="G1144">
        <v>0</v>
      </c>
      <c r="H1144" s="1">
        <v>41770</v>
      </c>
      <c r="I1144">
        <v>76</v>
      </c>
      <c r="J1144">
        <v>1</v>
      </c>
      <c r="K1144">
        <v>5</v>
      </c>
      <c r="L1144">
        <v>8</v>
      </c>
      <c r="M1144">
        <v>4</v>
      </c>
      <c r="N1144">
        <v>8</v>
      </c>
      <c r="O1144">
        <v>20</v>
      </c>
      <c r="P1144">
        <v>2</v>
      </c>
      <c r="Q1144">
        <v>2</v>
      </c>
      <c r="R1144">
        <v>1</v>
      </c>
      <c r="S1144">
        <v>2</v>
      </c>
      <c r="T1144">
        <v>6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3</v>
      </c>
      <c r="AB1144">
        <v>11</v>
      </c>
      <c r="AC1144">
        <v>0</v>
      </c>
    </row>
    <row r="1145" spans="1:29" x14ac:dyDescent="0.3">
      <c r="A1145">
        <v>8414</v>
      </c>
      <c r="B1145">
        <v>1962</v>
      </c>
      <c r="C1145" t="s">
        <v>32</v>
      </c>
      <c r="D1145" t="s">
        <v>30</v>
      </c>
      <c r="E1145">
        <v>33419</v>
      </c>
      <c r="F1145">
        <v>0</v>
      </c>
      <c r="G1145">
        <v>1</v>
      </c>
      <c r="H1145" s="1">
        <v>41503</v>
      </c>
      <c r="I1145">
        <v>76</v>
      </c>
      <c r="J1145">
        <v>56</v>
      </c>
      <c r="K1145">
        <v>0</v>
      </c>
      <c r="L1145">
        <v>12</v>
      </c>
      <c r="M1145">
        <v>0</v>
      </c>
      <c r="N1145">
        <v>0</v>
      </c>
      <c r="O1145">
        <v>18</v>
      </c>
      <c r="P1145">
        <v>2</v>
      </c>
      <c r="Q1145">
        <v>2</v>
      </c>
      <c r="R1145">
        <v>0</v>
      </c>
      <c r="S1145">
        <v>4</v>
      </c>
      <c r="T1145">
        <v>7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3</v>
      </c>
      <c r="AB1145">
        <v>11</v>
      </c>
      <c r="AC1145">
        <v>0</v>
      </c>
    </row>
    <row r="1146" spans="1:29" x14ac:dyDescent="0.3">
      <c r="A1146">
        <v>819</v>
      </c>
      <c r="B1146">
        <v>1945</v>
      </c>
      <c r="C1146" t="s">
        <v>29</v>
      </c>
      <c r="D1146" t="s">
        <v>38</v>
      </c>
      <c r="E1146">
        <v>63285</v>
      </c>
      <c r="F1146">
        <v>0</v>
      </c>
      <c r="G1146">
        <v>0</v>
      </c>
      <c r="H1146" s="1">
        <v>41583</v>
      </c>
      <c r="I1146">
        <v>84</v>
      </c>
      <c r="J1146">
        <v>508</v>
      </c>
      <c r="K1146">
        <v>124</v>
      </c>
      <c r="L1146">
        <v>249</v>
      </c>
      <c r="M1146">
        <v>50</v>
      </c>
      <c r="N1146">
        <v>38</v>
      </c>
      <c r="O1146">
        <v>134</v>
      </c>
      <c r="P1146">
        <v>1</v>
      </c>
      <c r="Q1146">
        <v>6</v>
      </c>
      <c r="R1146">
        <v>5</v>
      </c>
      <c r="S1146">
        <v>13</v>
      </c>
      <c r="T1146">
        <v>3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3</v>
      </c>
      <c r="AB1146">
        <v>11</v>
      </c>
      <c r="AC1146">
        <v>0</v>
      </c>
    </row>
    <row r="1147" spans="1:29" x14ac:dyDescent="0.3">
      <c r="A1147">
        <v>4961</v>
      </c>
      <c r="B1147">
        <v>1974</v>
      </c>
      <c r="C1147" t="s">
        <v>34</v>
      </c>
      <c r="D1147" t="s">
        <v>31</v>
      </c>
      <c r="E1147">
        <v>21255</v>
      </c>
      <c r="F1147">
        <v>1</v>
      </c>
      <c r="G1147">
        <v>0</v>
      </c>
      <c r="H1147" s="1">
        <v>41660</v>
      </c>
      <c r="I1147">
        <v>56</v>
      </c>
      <c r="J1147">
        <v>29</v>
      </c>
      <c r="K1147">
        <v>0</v>
      </c>
      <c r="L1147">
        <v>25</v>
      </c>
      <c r="M1147">
        <v>2</v>
      </c>
      <c r="N1147">
        <v>2</v>
      </c>
      <c r="O1147">
        <v>3</v>
      </c>
      <c r="P1147">
        <v>4</v>
      </c>
      <c r="Q1147">
        <v>2</v>
      </c>
      <c r="R1147">
        <v>1</v>
      </c>
      <c r="S1147">
        <v>4</v>
      </c>
      <c r="T1147">
        <v>4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3</v>
      </c>
      <c r="AB1147">
        <v>11</v>
      </c>
      <c r="AC1147">
        <v>0</v>
      </c>
    </row>
    <row r="1148" spans="1:29" x14ac:dyDescent="0.3">
      <c r="A1148">
        <v>749</v>
      </c>
      <c r="B1148">
        <v>1981</v>
      </c>
      <c r="C1148" t="s">
        <v>29</v>
      </c>
      <c r="D1148" t="s">
        <v>31</v>
      </c>
      <c r="E1148">
        <v>42162</v>
      </c>
      <c r="F1148">
        <v>1</v>
      </c>
      <c r="G1148">
        <v>0</v>
      </c>
      <c r="H1148" s="1">
        <v>41597</v>
      </c>
      <c r="I1148">
        <v>31</v>
      </c>
      <c r="J1148">
        <v>46</v>
      </c>
      <c r="K1148">
        <v>7</v>
      </c>
      <c r="L1148">
        <v>59</v>
      </c>
      <c r="M1148">
        <v>2</v>
      </c>
      <c r="N1148">
        <v>4</v>
      </c>
      <c r="O1148">
        <v>27</v>
      </c>
      <c r="P1148">
        <v>2</v>
      </c>
      <c r="Q1148">
        <v>3</v>
      </c>
      <c r="R1148">
        <v>1</v>
      </c>
      <c r="S1148">
        <v>3</v>
      </c>
      <c r="T1148">
        <v>6</v>
      </c>
      <c r="U1148">
        <v>1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3</v>
      </c>
      <c r="AB1148">
        <v>11</v>
      </c>
      <c r="AC1148">
        <v>1</v>
      </c>
    </row>
    <row r="1149" spans="1:29" x14ac:dyDescent="0.3">
      <c r="A1149">
        <v>5430</v>
      </c>
      <c r="B1149">
        <v>1956</v>
      </c>
      <c r="C1149" t="s">
        <v>29</v>
      </c>
      <c r="D1149" t="s">
        <v>31</v>
      </c>
      <c r="E1149">
        <v>54450</v>
      </c>
      <c r="F1149">
        <v>1</v>
      </c>
      <c r="G1149">
        <v>1</v>
      </c>
      <c r="H1149" s="1">
        <v>41166</v>
      </c>
      <c r="I1149">
        <v>0</v>
      </c>
      <c r="J1149">
        <v>454</v>
      </c>
      <c r="K1149">
        <v>0</v>
      </c>
      <c r="L1149">
        <v>171</v>
      </c>
      <c r="M1149">
        <v>8</v>
      </c>
      <c r="N1149">
        <v>19</v>
      </c>
      <c r="O1149">
        <v>32</v>
      </c>
      <c r="P1149">
        <v>12</v>
      </c>
      <c r="Q1149">
        <v>9</v>
      </c>
      <c r="R1149">
        <v>2</v>
      </c>
      <c r="S1149">
        <v>8</v>
      </c>
      <c r="T1149">
        <v>8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3</v>
      </c>
      <c r="AB1149">
        <v>11</v>
      </c>
      <c r="AC1149">
        <v>0</v>
      </c>
    </row>
    <row r="1150" spans="1:29" x14ac:dyDescent="0.3">
      <c r="A1150">
        <v>7755</v>
      </c>
      <c r="B1150">
        <v>1954</v>
      </c>
      <c r="C1150" t="s">
        <v>32</v>
      </c>
      <c r="D1150" t="s">
        <v>33</v>
      </c>
      <c r="E1150">
        <v>57744</v>
      </c>
      <c r="F1150">
        <v>0</v>
      </c>
      <c r="G1150">
        <v>1</v>
      </c>
      <c r="H1150" s="1">
        <v>41590</v>
      </c>
      <c r="I1150">
        <v>91</v>
      </c>
      <c r="J1150">
        <v>350</v>
      </c>
      <c r="K1150">
        <v>3</v>
      </c>
      <c r="L1150">
        <v>39</v>
      </c>
      <c r="M1150">
        <v>0</v>
      </c>
      <c r="N1150">
        <v>0</v>
      </c>
      <c r="O1150">
        <v>19</v>
      </c>
      <c r="P1150">
        <v>2</v>
      </c>
      <c r="Q1150">
        <v>9</v>
      </c>
      <c r="R1150">
        <v>1</v>
      </c>
      <c r="S1150">
        <v>4</v>
      </c>
      <c r="T1150">
        <v>8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3</v>
      </c>
      <c r="AB1150">
        <v>11</v>
      </c>
      <c r="AC1150">
        <v>0</v>
      </c>
    </row>
    <row r="1151" spans="1:29" x14ac:dyDescent="0.3">
      <c r="A1151">
        <v>10525</v>
      </c>
      <c r="B1151">
        <v>1986</v>
      </c>
      <c r="C1151" t="s">
        <v>29</v>
      </c>
      <c r="D1151" t="s">
        <v>30</v>
      </c>
      <c r="E1151">
        <v>26576</v>
      </c>
      <c r="F1151">
        <v>1</v>
      </c>
      <c r="G1151">
        <v>0</v>
      </c>
      <c r="H1151" s="1">
        <v>41195</v>
      </c>
      <c r="I1151">
        <v>40</v>
      </c>
      <c r="J1151">
        <v>10</v>
      </c>
      <c r="K1151">
        <v>0</v>
      </c>
      <c r="L1151">
        <v>8</v>
      </c>
      <c r="M1151">
        <v>0</v>
      </c>
      <c r="N1151">
        <v>0</v>
      </c>
      <c r="O1151">
        <v>9</v>
      </c>
      <c r="P1151">
        <v>1</v>
      </c>
      <c r="Q1151">
        <v>1</v>
      </c>
      <c r="R1151">
        <v>0</v>
      </c>
      <c r="S1151">
        <v>2</v>
      </c>
      <c r="T1151">
        <v>9</v>
      </c>
      <c r="U1151">
        <v>1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3</v>
      </c>
      <c r="AB1151">
        <v>11</v>
      </c>
      <c r="AC1151">
        <v>1</v>
      </c>
    </row>
    <row r="1152" spans="1:29" x14ac:dyDescent="0.3">
      <c r="A1152">
        <v>1453</v>
      </c>
      <c r="B1152">
        <v>1943</v>
      </c>
      <c r="C1152" t="s">
        <v>32</v>
      </c>
      <c r="D1152" t="s">
        <v>38</v>
      </c>
      <c r="E1152">
        <v>57513</v>
      </c>
      <c r="F1152">
        <v>0</v>
      </c>
      <c r="G1152">
        <v>0</v>
      </c>
      <c r="H1152" s="1">
        <v>41461</v>
      </c>
      <c r="I1152">
        <v>59</v>
      </c>
      <c r="J1152">
        <v>735</v>
      </c>
      <c r="K1152">
        <v>40</v>
      </c>
      <c r="L1152">
        <v>183</v>
      </c>
      <c r="M1152">
        <v>52</v>
      </c>
      <c r="N1152">
        <v>20</v>
      </c>
      <c r="O1152">
        <v>30</v>
      </c>
      <c r="P1152">
        <v>2</v>
      </c>
      <c r="Q1152">
        <v>9</v>
      </c>
      <c r="R1152">
        <v>3</v>
      </c>
      <c r="S1152">
        <v>13</v>
      </c>
      <c r="T1152">
        <v>6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3</v>
      </c>
      <c r="AB1152">
        <v>11</v>
      </c>
      <c r="AC1152">
        <v>0</v>
      </c>
    </row>
    <row r="1153" spans="1:29" x14ac:dyDescent="0.3">
      <c r="A1153">
        <v>8310</v>
      </c>
      <c r="B1153">
        <v>1964</v>
      </c>
      <c r="C1153" t="s">
        <v>29</v>
      </c>
      <c r="D1153" t="s">
        <v>31</v>
      </c>
      <c r="E1153">
        <v>68142</v>
      </c>
      <c r="F1153">
        <v>0</v>
      </c>
      <c r="G1153">
        <v>1</v>
      </c>
      <c r="H1153" s="1">
        <v>41150</v>
      </c>
      <c r="I1153">
        <v>96</v>
      </c>
      <c r="J1153">
        <v>897</v>
      </c>
      <c r="K1153">
        <v>126</v>
      </c>
      <c r="L1153">
        <v>196</v>
      </c>
      <c r="M1153">
        <v>91</v>
      </c>
      <c r="N1153">
        <v>112</v>
      </c>
      <c r="O1153">
        <v>37</v>
      </c>
      <c r="P1153">
        <v>3</v>
      </c>
      <c r="Q1153">
        <v>10</v>
      </c>
      <c r="R1153">
        <v>4</v>
      </c>
      <c r="S1153">
        <v>7</v>
      </c>
      <c r="T1153">
        <v>6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3</v>
      </c>
      <c r="AB1153">
        <v>11</v>
      </c>
      <c r="AC1153">
        <v>0</v>
      </c>
    </row>
    <row r="1154" spans="1:29" x14ac:dyDescent="0.3">
      <c r="A1154">
        <v>10710</v>
      </c>
      <c r="B1154">
        <v>1979</v>
      </c>
      <c r="C1154" t="s">
        <v>29</v>
      </c>
      <c r="D1154" t="s">
        <v>33</v>
      </c>
      <c r="E1154">
        <v>7500</v>
      </c>
      <c r="F1154">
        <v>0</v>
      </c>
      <c r="G1154">
        <v>1</v>
      </c>
      <c r="H1154" s="1">
        <v>41150</v>
      </c>
      <c r="I1154">
        <v>61</v>
      </c>
      <c r="J1154">
        <v>5</v>
      </c>
      <c r="K1154">
        <v>2</v>
      </c>
      <c r="L1154">
        <v>3</v>
      </c>
      <c r="M1154">
        <v>3</v>
      </c>
      <c r="N1154">
        <v>0</v>
      </c>
      <c r="O1154">
        <v>5</v>
      </c>
      <c r="P1154">
        <v>1</v>
      </c>
      <c r="Q1154">
        <v>1</v>
      </c>
      <c r="R1154">
        <v>0</v>
      </c>
      <c r="S1154">
        <v>2</v>
      </c>
      <c r="T1154">
        <v>8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3</v>
      </c>
      <c r="AB1154">
        <v>11</v>
      </c>
      <c r="AC1154">
        <v>0</v>
      </c>
    </row>
    <row r="1155" spans="1:29" x14ac:dyDescent="0.3">
      <c r="A1155">
        <v>5031</v>
      </c>
      <c r="B1155">
        <v>1974</v>
      </c>
      <c r="C1155" t="s">
        <v>29</v>
      </c>
      <c r="D1155" t="s">
        <v>31</v>
      </c>
      <c r="E1155">
        <v>83145</v>
      </c>
      <c r="F1155">
        <v>0</v>
      </c>
      <c r="G1155">
        <v>0</v>
      </c>
      <c r="H1155" s="1">
        <v>41174</v>
      </c>
      <c r="I1155">
        <v>14</v>
      </c>
      <c r="J1155">
        <v>777</v>
      </c>
      <c r="K1155">
        <v>35</v>
      </c>
      <c r="L1155">
        <v>731</v>
      </c>
      <c r="M1155">
        <v>39</v>
      </c>
      <c r="N1155">
        <v>137</v>
      </c>
      <c r="O1155">
        <v>114</v>
      </c>
      <c r="P1155">
        <v>1</v>
      </c>
      <c r="Q1155">
        <v>5</v>
      </c>
      <c r="R1155">
        <v>9</v>
      </c>
      <c r="S1155">
        <v>11</v>
      </c>
      <c r="T1155">
        <v>2</v>
      </c>
      <c r="U1155">
        <v>0</v>
      </c>
      <c r="V1155">
        <v>0</v>
      </c>
      <c r="W1155">
        <v>1</v>
      </c>
      <c r="X1155">
        <v>0</v>
      </c>
      <c r="Y1155">
        <v>0</v>
      </c>
      <c r="Z1155">
        <v>0</v>
      </c>
      <c r="AA1155">
        <v>3</v>
      </c>
      <c r="AB1155">
        <v>11</v>
      </c>
      <c r="AC1155">
        <v>1</v>
      </c>
    </row>
    <row r="1156" spans="1:29" x14ac:dyDescent="0.3">
      <c r="A1156">
        <v>2613</v>
      </c>
      <c r="B1156">
        <v>1960</v>
      </c>
      <c r="C1156" t="s">
        <v>34</v>
      </c>
      <c r="D1156" t="s">
        <v>33</v>
      </c>
      <c r="E1156">
        <v>54197</v>
      </c>
      <c r="F1156">
        <v>0</v>
      </c>
      <c r="G1156">
        <v>1</v>
      </c>
      <c r="H1156" s="1">
        <v>41732</v>
      </c>
      <c r="I1156">
        <v>16</v>
      </c>
      <c r="J1156">
        <v>162</v>
      </c>
      <c r="K1156">
        <v>6</v>
      </c>
      <c r="L1156">
        <v>37</v>
      </c>
      <c r="M1156">
        <v>6</v>
      </c>
      <c r="N1156">
        <v>13</v>
      </c>
      <c r="O1156">
        <v>13</v>
      </c>
      <c r="P1156">
        <v>2</v>
      </c>
      <c r="Q1156">
        <v>1</v>
      </c>
      <c r="R1156">
        <v>3</v>
      </c>
      <c r="S1156">
        <v>6</v>
      </c>
      <c r="T1156">
        <v>1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3</v>
      </c>
      <c r="AB1156">
        <v>11</v>
      </c>
      <c r="AC1156">
        <v>0</v>
      </c>
    </row>
    <row r="1157" spans="1:29" x14ac:dyDescent="0.3">
      <c r="A1157">
        <v>213</v>
      </c>
      <c r="B1157">
        <v>1963</v>
      </c>
      <c r="C1157" t="s">
        <v>32</v>
      </c>
      <c r="D1157" t="s">
        <v>30</v>
      </c>
      <c r="E1157">
        <v>23091</v>
      </c>
      <c r="F1157">
        <v>1</v>
      </c>
      <c r="G1157">
        <v>1</v>
      </c>
      <c r="H1157" s="1">
        <v>41787</v>
      </c>
      <c r="I1157">
        <v>98</v>
      </c>
      <c r="J1157">
        <v>35</v>
      </c>
      <c r="K1157">
        <v>0</v>
      </c>
      <c r="L1157">
        <v>11</v>
      </c>
      <c r="M1157">
        <v>0</v>
      </c>
      <c r="N1157">
        <v>0</v>
      </c>
      <c r="O1157">
        <v>2</v>
      </c>
      <c r="P1157">
        <v>4</v>
      </c>
      <c r="Q1157">
        <v>2</v>
      </c>
      <c r="R1157">
        <v>1</v>
      </c>
      <c r="S1157">
        <v>3</v>
      </c>
      <c r="T1157">
        <v>7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3</v>
      </c>
      <c r="AB1157">
        <v>11</v>
      </c>
      <c r="AC1157">
        <v>0</v>
      </c>
    </row>
    <row r="1158" spans="1:29" x14ac:dyDescent="0.3">
      <c r="A1158">
        <v>967</v>
      </c>
      <c r="B1158">
        <v>1976</v>
      </c>
      <c r="C1158" t="s">
        <v>29</v>
      </c>
      <c r="D1158" t="s">
        <v>33</v>
      </c>
      <c r="E1158">
        <v>46049</v>
      </c>
      <c r="F1158">
        <v>1</v>
      </c>
      <c r="G1158">
        <v>1</v>
      </c>
      <c r="H1158" s="1">
        <v>41476</v>
      </c>
      <c r="I1158">
        <v>11</v>
      </c>
      <c r="J1158">
        <v>342</v>
      </c>
      <c r="K1158">
        <v>9</v>
      </c>
      <c r="L1158">
        <v>112</v>
      </c>
      <c r="M1158">
        <v>19</v>
      </c>
      <c r="N1158">
        <v>14</v>
      </c>
      <c r="O1158">
        <v>19</v>
      </c>
      <c r="P1158">
        <v>10</v>
      </c>
      <c r="Q1158">
        <v>5</v>
      </c>
      <c r="R1158">
        <v>2</v>
      </c>
      <c r="S1158">
        <v>9</v>
      </c>
      <c r="T1158">
        <v>7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3</v>
      </c>
      <c r="AB1158">
        <v>11</v>
      </c>
      <c r="AC1158">
        <v>1</v>
      </c>
    </row>
    <row r="1159" spans="1:29" x14ac:dyDescent="0.3">
      <c r="A1159">
        <v>1077</v>
      </c>
      <c r="B1159">
        <v>1974</v>
      </c>
      <c r="C1159" t="s">
        <v>29</v>
      </c>
      <c r="D1159" t="s">
        <v>31</v>
      </c>
      <c r="E1159">
        <v>56715</v>
      </c>
      <c r="F1159">
        <v>0</v>
      </c>
      <c r="G1159">
        <v>0</v>
      </c>
      <c r="H1159" s="1">
        <v>41248</v>
      </c>
      <c r="I1159">
        <v>52</v>
      </c>
      <c r="J1159">
        <v>258</v>
      </c>
      <c r="K1159">
        <v>105</v>
      </c>
      <c r="L1159">
        <v>239</v>
      </c>
      <c r="M1159">
        <v>237</v>
      </c>
      <c r="N1159">
        <v>172</v>
      </c>
      <c r="O1159">
        <v>9</v>
      </c>
      <c r="P1159">
        <v>1</v>
      </c>
      <c r="Q1159">
        <v>7</v>
      </c>
      <c r="R1159">
        <v>3</v>
      </c>
      <c r="S1159">
        <v>4</v>
      </c>
      <c r="T1159">
        <v>4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3</v>
      </c>
      <c r="AB1159">
        <v>11</v>
      </c>
      <c r="AC1159">
        <v>0</v>
      </c>
    </row>
    <row r="1160" spans="1:29" x14ac:dyDescent="0.3">
      <c r="A1160">
        <v>7959</v>
      </c>
      <c r="B1160">
        <v>1961</v>
      </c>
      <c r="C1160" t="s">
        <v>29</v>
      </c>
      <c r="D1160" t="s">
        <v>33</v>
      </c>
      <c r="E1160">
        <v>79410</v>
      </c>
      <c r="F1160">
        <v>0</v>
      </c>
      <c r="G1160">
        <v>0</v>
      </c>
      <c r="H1160" s="1">
        <v>41788</v>
      </c>
      <c r="I1160">
        <v>19</v>
      </c>
      <c r="J1160">
        <v>658</v>
      </c>
      <c r="K1160">
        <v>80</v>
      </c>
      <c r="L1160">
        <v>483</v>
      </c>
      <c r="M1160">
        <v>123</v>
      </c>
      <c r="N1160">
        <v>13</v>
      </c>
      <c r="O1160">
        <v>13</v>
      </c>
      <c r="P1160">
        <v>1</v>
      </c>
      <c r="Q1160">
        <v>3</v>
      </c>
      <c r="R1160">
        <v>2</v>
      </c>
      <c r="S1160">
        <v>5</v>
      </c>
      <c r="T1160">
        <v>1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3</v>
      </c>
      <c r="AB1160">
        <v>11</v>
      </c>
      <c r="AC1160">
        <v>0</v>
      </c>
    </row>
    <row r="1161" spans="1:29" x14ac:dyDescent="0.3">
      <c r="A1161">
        <v>640</v>
      </c>
      <c r="B1161">
        <v>1951</v>
      </c>
      <c r="C1161" t="s">
        <v>29</v>
      </c>
      <c r="D1161" t="s">
        <v>33</v>
      </c>
      <c r="E1161">
        <v>57304</v>
      </c>
      <c r="F1161">
        <v>0</v>
      </c>
      <c r="G1161">
        <v>1</v>
      </c>
      <c r="H1161" s="1">
        <v>41344</v>
      </c>
      <c r="I1161">
        <v>61</v>
      </c>
      <c r="J1161">
        <v>356</v>
      </c>
      <c r="K1161">
        <v>80</v>
      </c>
      <c r="L1161">
        <v>329</v>
      </c>
      <c r="M1161">
        <v>138</v>
      </c>
      <c r="N1161">
        <v>17</v>
      </c>
      <c r="O1161">
        <v>106</v>
      </c>
      <c r="P1161">
        <v>2</v>
      </c>
      <c r="Q1161">
        <v>7</v>
      </c>
      <c r="R1161">
        <v>6</v>
      </c>
      <c r="S1161">
        <v>10</v>
      </c>
      <c r="T1161">
        <v>5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3</v>
      </c>
      <c r="AB1161">
        <v>11</v>
      </c>
      <c r="AC1161">
        <v>0</v>
      </c>
    </row>
    <row r="1162" spans="1:29" x14ac:dyDescent="0.3">
      <c r="A1162">
        <v>4252</v>
      </c>
      <c r="B1162">
        <v>1965</v>
      </c>
      <c r="C1162" t="s">
        <v>29</v>
      </c>
      <c r="D1162" t="s">
        <v>33</v>
      </c>
      <c r="E1162">
        <v>44375</v>
      </c>
      <c r="F1162">
        <v>0</v>
      </c>
      <c r="G1162">
        <v>1</v>
      </c>
      <c r="H1162" s="1">
        <v>41721</v>
      </c>
      <c r="I1162">
        <v>73</v>
      </c>
      <c r="J1162">
        <v>213</v>
      </c>
      <c r="K1162">
        <v>5</v>
      </c>
      <c r="L1162">
        <v>28</v>
      </c>
      <c r="M1162">
        <v>7</v>
      </c>
      <c r="N1162">
        <v>7</v>
      </c>
      <c r="O1162">
        <v>41</v>
      </c>
      <c r="P1162">
        <v>1</v>
      </c>
      <c r="Q1162">
        <v>4</v>
      </c>
      <c r="R1162">
        <v>1</v>
      </c>
      <c r="S1162">
        <v>6</v>
      </c>
      <c r="T1162">
        <v>5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3</v>
      </c>
      <c r="AB1162">
        <v>11</v>
      </c>
      <c r="AC1162">
        <v>0</v>
      </c>
    </row>
    <row r="1163" spans="1:29" x14ac:dyDescent="0.3">
      <c r="A1163">
        <v>8432</v>
      </c>
      <c r="B1163">
        <v>1956</v>
      </c>
      <c r="C1163" t="s">
        <v>29</v>
      </c>
      <c r="D1163" t="s">
        <v>31</v>
      </c>
      <c r="E1163">
        <v>54450</v>
      </c>
      <c r="F1163">
        <v>1</v>
      </c>
      <c r="G1163">
        <v>1</v>
      </c>
      <c r="H1163" s="1">
        <v>41166</v>
      </c>
      <c r="I1163">
        <v>0</v>
      </c>
      <c r="J1163">
        <v>454</v>
      </c>
      <c r="K1163">
        <v>0</v>
      </c>
      <c r="L1163">
        <v>171</v>
      </c>
      <c r="M1163">
        <v>8</v>
      </c>
      <c r="N1163">
        <v>19</v>
      </c>
      <c r="O1163">
        <v>32</v>
      </c>
      <c r="P1163">
        <v>12</v>
      </c>
      <c r="Q1163">
        <v>9</v>
      </c>
      <c r="R1163">
        <v>2</v>
      </c>
      <c r="S1163">
        <v>8</v>
      </c>
      <c r="T1163">
        <v>8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3</v>
      </c>
      <c r="AB1163">
        <v>11</v>
      </c>
      <c r="AC1163">
        <v>0</v>
      </c>
    </row>
    <row r="1164" spans="1:29" x14ac:dyDescent="0.3">
      <c r="A1164">
        <v>6218</v>
      </c>
      <c r="B1164">
        <v>1965</v>
      </c>
      <c r="C1164" t="s">
        <v>29</v>
      </c>
      <c r="D1164" t="s">
        <v>33</v>
      </c>
      <c r="E1164">
        <v>59594</v>
      </c>
      <c r="F1164">
        <v>0</v>
      </c>
      <c r="G1164">
        <v>1</v>
      </c>
      <c r="H1164" s="1">
        <v>41202</v>
      </c>
      <c r="I1164">
        <v>74</v>
      </c>
      <c r="J1164">
        <v>457</v>
      </c>
      <c r="K1164">
        <v>4</v>
      </c>
      <c r="L1164">
        <v>29</v>
      </c>
      <c r="M1164">
        <v>0</v>
      </c>
      <c r="N1164">
        <v>0</v>
      </c>
      <c r="O1164">
        <v>9</v>
      </c>
      <c r="P1164">
        <v>1</v>
      </c>
      <c r="Q1164">
        <v>8</v>
      </c>
      <c r="R1164">
        <v>1</v>
      </c>
      <c r="S1164">
        <v>7</v>
      </c>
      <c r="T1164">
        <v>7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0</v>
      </c>
      <c r="AA1164">
        <v>3</v>
      </c>
      <c r="AB1164">
        <v>11</v>
      </c>
      <c r="AC1164">
        <v>0</v>
      </c>
    </row>
    <row r="1165" spans="1:29" x14ac:dyDescent="0.3">
      <c r="A1165">
        <v>6905</v>
      </c>
      <c r="B1165">
        <v>1994</v>
      </c>
      <c r="C1165" t="s">
        <v>29</v>
      </c>
      <c r="D1165" t="s">
        <v>31</v>
      </c>
      <c r="E1165">
        <v>80685</v>
      </c>
      <c r="F1165">
        <v>0</v>
      </c>
      <c r="G1165">
        <v>0</v>
      </c>
      <c r="H1165" s="1">
        <v>41143</v>
      </c>
      <c r="I1165">
        <v>55</v>
      </c>
      <c r="J1165">
        <v>241</v>
      </c>
      <c r="K1165">
        <v>45</v>
      </c>
      <c r="L1165">
        <v>604</v>
      </c>
      <c r="M1165">
        <v>34</v>
      </c>
      <c r="N1165">
        <v>26</v>
      </c>
      <c r="O1165">
        <v>54</v>
      </c>
      <c r="P1165">
        <v>1</v>
      </c>
      <c r="Q1165">
        <v>6</v>
      </c>
      <c r="R1165">
        <v>4</v>
      </c>
      <c r="S1165">
        <v>10</v>
      </c>
      <c r="T1165">
        <v>2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3</v>
      </c>
      <c r="AB1165">
        <v>11</v>
      </c>
      <c r="AC1165">
        <v>0</v>
      </c>
    </row>
    <row r="1166" spans="1:29" x14ac:dyDescent="0.3">
      <c r="A1166">
        <v>5922</v>
      </c>
      <c r="B1166">
        <v>1974</v>
      </c>
      <c r="C1166" t="s">
        <v>32</v>
      </c>
      <c r="D1166" t="s">
        <v>33</v>
      </c>
      <c r="E1166">
        <v>40344</v>
      </c>
      <c r="F1166">
        <v>0</v>
      </c>
      <c r="G1166">
        <v>1</v>
      </c>
      <c r="H1166" s="1">
        <v>41560</v>
      </c>
      <c r="I1166">
        <v>48</v>
      </c>
      <c r="J1166">
        <v>210</v>
      </c>
      <c r="K1166">
        <v>0</v>
      </c>
      <c r="L1166">
        <v>6</v>
      </c>
      <c r="M1166">
        <v>0</v>
      </c>
      <c r="N1166">
        <v>0</v>
      </c>
      <c r="O1166">
        <v>2</v>
      </c>
      <c r="P1166">
        <v>2</v>
      </c>
      <c r="Q1166">
        <v>4</v>
      </c>
      <c r="R1166">
        <v>1</v>
      </c>
      <c r="S1166">
        <v>5</v>
      </c>
      <c r="T1166">
        <v>7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3</v>
      </c>
      <c r="AB1166">
        <v>11</v>
      </c>
      <c r="AC1166">
        <v>0</v>
      </c>
    </row>
    <row r="1167" spans="1:29" x14ac:dyDescent="0.3">
      <c r="A1167">
        <v>3598</v>
      </c>
      <c r="B1167">
        <v>1972</v>
      </c>
      <c r="C1167" t="s">
        <v>29</v>
      </c>
      <c r="D1167" t="s">
        <v>33</v>
      </c>
      <c r="E1167">
        <v>62710</v>
      </c>
      <c r="F1167">
        <v>0</v>
      </c>
      <c r="G1167">
        <v>1</v>
      </c>
      <c r="H1167" s="1">
        <v>41417</v>
      </c>
      <c r="I1167">
        <v>53</v>
      </c>
      <c r="J1167">
        <v>441</v>
      </c>
      <c r="K1167">
        <v>35</v>
      </c>
      <c r="L1167">
        <v>83</v>
      </c>
      <c r="M1167">
        <v>7</v>
      </c>
      <c r="N1167">
        <v>29</v>
      </c>
      <c r="O1167">
        <v>11</v>
      </c>
      <c r="P1167">
        <v>4</v>
      </c>
      <c r="Q1167">
        <v>4</v>
      </c>
      <c r="R1167">
        <v>2</v>
      </c>
      <c r="S1167">
        <v>12</v>
      </c>
      <c r="T1167">
        <v>4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3</v>
      </c>
      <c r="AB1167">
        <v>11</v>
      </c>
      <c r="AC1167">
        <v>0</v>
      </c>
    </row>
    <row r="1168" spans="1:29" x14ac:dyDescent="0.3">
      <c r="A1168">
        <v>6116</v>
      </c>
      <c r="B1168">
        <v>1968</v>
      </c>
      <c r="C1168" t="s">
        <v>37</v>
      </c>
      <c r="D1168" t="s">
        <v>33</v>
      </c>
      <c r="E1168">
        <v>48985</v>
      </c>
      <c r="F1168">
        <v>0</v>
      </c>
      <c r="G1168">
        <v>1</v>
      </c>
      <c r="H1168" s="1">
        <v>41460</v>
      </c>
      <c r="I1168">
        <v>13</v>
      </c>
      <c r="J1168">
        <v>19</v>
      </c>
      <c r="K1168">
        <v>13</v>
      </c>
      <c r="L1168">
        <v>18</v>
      </c>
      <c r="M1168">
        <v>10</v>
      </c>
      <c r="N1168">
        <v>7</v>
      </c>
      <c r="O1168">
        <v>8</v>
      </c>
      <c r="P1168">
        <v>1</v>
      </c>
      <c r="Q1168">
        <v>1</v>
      </c>
      <c r="R1168">
        <v>1</v>
      </c>
      <c r="S1168">
        <v>3</v>
      </c>
      <c r="T1168">
        <v>3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3</v>
      </c>
      <c r="AB1168">
        <v>11</v>
      </c>
      <c r="AC1168">
        <v>0</v>
      </c>
    </row>
    <row r="1169" spans="1:29" x14ac:dyDescent="0.3">
      <c r="A1169">
        <v>6263</v>
      </c>
      <c r="B1169">
        <v>1968</v>
      </c>
      <c r="C1169" t="s">
        <v>29</v>
      </c>
      <c r="D1169" t="s">
        <v>31</v>
      </c>
      <c r="E1169">
        <v>35322</v>
      </c>
      <c r="F1169">
        <v>1</v>
      </c>
      <c r="G1169">
        <v>2</v>
      </c>
      <c r="H1169" s="1">
        <v>41143</v>
      </c>
      <c r="I1169">
        <v>34</v>
      </c>
      <c r="J1169">
        <v>28</v>
      </c>
      <c r="K1169">
        <v>9</v>
      </c>
      <c r="L1169">
        <v>37</v>
      </c>
      <c r="M1169">
        <v>12</v>
      </c>
      <c r="N1169">
        <v>7</v>
      </c>
      <c r="O1169">
        <v>13</v>
      </c>
      <c r="P1169">
        <v>3</v>
      </c>
      <c r="Q1169">
        <v>2</v>
      </c>
      <c r="R1169">
        <v>0</v>
      </c>
      <c r="S1169">
        <v>4</v>
      </c>
      <c r="T1169">
        <v>8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3</v>
      </c>
      <c r="AB1169">
        <v>11</v>
      </c>
      <c r="AC1169">
        <v>0</v>
      </c>
    </row>
    <row r="1170" spans="1:29" x14ac:dyDescent="0.3">
      <c r="A1170">
        <v>10486</v>
      </c>
      <c r="B1170">
        <v>1948</v>
      </c>
      <c r="C1170" t="s">
        <v>29</v>
      </c>
      <c r="D1170" t="s">
        <v>33</v>
      </c>
      <c r="E1170">
        <v>77142</v>
      </c>
      <c r="F1170">
        <v>0</v>
      </c>
      <c r="G1170">
        <v>0</v>
      </c>
      <c r="H1170" s="1">
        <v>41423</v>
      </c>
      <c r="I1170">
        <v>54</v>
      </c>
      <c r="J1170">
        <v>476</v>
      </c>
      <c r="K1170">
        <v>75</v>
      </c>
      <c r="L1170">
        <v>162</v>
      </c>
      <c r="M1170">
        <v>29</v>
      </c>
      <c r="N1170">
        <v>151</v>
      </c>
      <c r="O1170">
        <v>97</v>
      </c>
      <c r="P1170">
        <v>1</v>
      </c>
      <c r="Q1170">
        <v>4</v>
      </c>
      <c r="R1170">
        <v>4</v>
      </c>
      <c r="S1170">
        <v>8</v>
      </c>
      <c r="T1170">
        <v>2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3</v>
      </c>
      <c r="AB1170">
        <v>11</v>
      </c>
      <c r="AC1170">
        <v>0</v>
      </c>
    </row>
    <row r="1171" spans="1:29" x14ac:dyDescent="0.3">
      <c r="A1171">
        <v>2410</v>
      </c>
      <c r="B1171">
        <v>1969</v>
      </c>
      <c r="C1171" t="s">
        <v>29</v>
      </c>
      <c r="D1171" t="s">
        <v>30</v>
      </c>
      <c r="E1171">
        <v>81657</v>
      </c>
      <c r="F1171">
        <v>0</v>
      </c>
      <c r="G1171">
        <v>0</v>
      </c>
      <c r="H1171" s="1">
        <v>41661</v>
      </c>
      <c r="I1171">
        <v>69</v>
      </c>
      <c r="J1171">
        <v>364</v>
      </c>
      <c r="K1171">
        <v>40</v>
      </c>
      <c r="L1171">
        <v>425</v>
      </c>
      <c r="M1171">
        <v>158</v>
      </c>
      <c r="N1171">
        <v>60</v>
      </c>
      <c r="O1171">
        <v>50</v>
      </c>
      <c r="P1171">
        <v>1</v>
      </c>
      <c r="Q1171">
        <v>3</v>
      </c>
      <c r="R1171">
        <v>4</v>
      </c>
      <c r="S1171">
        <v>8</v>
      </c>
      <c r="T1171">
        <v>1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3</v>
      </c>
      <c r="AB1171">
        <v>11</v>
      </c>
      <c r="AC1171">
        <v>0</v>
      </c>
    </row>
    <row r="1172" spans="1:29" x14ac:dyDescent="0.3">
      <c r="A1172">
        <v>193</v>
      </c>
      <c r="B1172">
        <v>1996</v>
      </c>
      <c r="C1172" t="s">
        <v>36</v>
      </c>
      <c r="D1172" t="s">
        <v>33</v>
      </c>
      <c r="E1172">
        <v>14421</v>
      </c>
      <c r="F1172">
        <v>0</v>
      </c>
      <c r="G1172">
        <v>0</v>
      </c>
      <c r="H1172" s="1">
        <v>41687</v>
      </c>
      <c r="I1172">
        <v>81</v>
      </c>
      <c r="J1172">
        <v>0</v>
      </c>
      <c r="K1172">
        <v>0</v>
      </c>
      <c r="L1172">
        <v>2</v>
      </c>
      <c r="M1172">
        <v>3</v>
      </c>
      <c r="N1172">
        <v>3</v>
      </c>
      <c r="O1172">
        <v>8</v>
      </c>
      <c r="P1172">
        <v>1</v>
      </c>
      <c r="Q1172">
        <v>1</v>
      </c>
      <c r="R1172">
        <v>0</v>
      </c>
      <c r="S1172">
        <v>2</v>
      </c>
      <c r="T1172">
        <v>5</v>
      </c>
      <c r="U1172">
        <v>1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3</v>
      </c>
      <c r="AB1172">
        <v>11</v>
      </c>
      <c r="AC1172">
        <v>0</v>
      </c>
    </row>
    <row r="1173" spans="1:29" x14ac:dyDescent="0.3">
      <c r="A1173">
        <v>3363</v>
      </c>
      <c r="B1173">
        <v>1974</v>
      </c>
      <c r="C1173" t="s">
        <v>37</v>
      </c>
      <c r="D1173" t="s">
        <v>33</v>
      </c>
      <c r="E1173">
        <v>20130</v>
      </c>
      <c r="F1173">
        <v>0</v>
      </c>
      <c r="G1173">
        <v>0</v>
      </c>
      <c r="H1173" s="1">
        <v>41715</v>
      </c>
      <c r="I1173">
        <v>99</v>
      </c>
      <c r="J1173">
        <v>0</v>
      </c>
      <c r="K1173">
        <v>6</v>
      </c>
      <c r="L1173">
        <v>3</v>
      </c>
      <c r="M1173">
        <v>7</v>
      </c>
      <c r="N1173">
        <v>6</v>
      </c>
      <c r="O1173">
        <v>12</v>
      </c>
      <c r="P1173">
        <v>1</v>
      </c>
      <c r="Q1173">
        <v>1</v>
      </c>
      <c r="R1173">
        <v>0</v>
      </c>
      <c r="S1173">
        <v>3</v>
      </c>
      <c r="T1173">
        <v>8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3</v>
      </c>
      <c r="AB1173">
        <v>11</v>
      </c>
      <c r="AC1173">
        <v>0</v>
      </c>
    </row>
    <row r="1174" spans="1:29" x14ac:dyDescent="0.3">
      <c r="A1174">
        <v>8278</v>
      </c>
      <c r="B1174">
        <v>1990</v>
      </c>
      <c r="C1174" t="s">
        <v>32</v>
      </c>
      <c r="D1174" t="s">
        <v>33</v>
      </c>
      <c r="E1174">
        <v>74214</v>
      </c>
      <c r="F1174">
        <v>0</v>
      </c>
      <c r="G1174">
        <v>0</v>
      </c>
      <c r="H1174" s="1">
        <v>41147</v>
      </c>
      <c r="I1174">
        <v>3</v>
      </c>
      <c r="J1174">
        <v>863</v>
      </c>
      <c r="K1174">
        <v>83</v>
      </c>
      <c r="L1174">
        <v>547</v>
      </c>
      <c r="M1174">
        <v>86</v>
      </c>
      <c r="N1174">
        <v>99</v>
      </c>
      <c r="O1174">
        <v>33</v>
      </c>
      <c r="P1174">
        <v>1</v>
      </c>
      <c r="Q1174">
        <v>8</v>
      </c>
      <c r="R1174">
        <v>2</v>
      </c>
      <c r="S1174">
        <v>5</v>
      </c>
      <c r="T1174">
        <v>5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3</v>
      </c>
      <c r="AB1174">
        <v>11</v>
      </c>
      <c r="AC1174">
        <v>0</v>
      </c>
    </row>
    <row r="1175" spans="1:29" x14ac:dyDescent="0.3">
      <c r="A1175">
        <v>10660</v>
      </c>
      <c r="B1175">
        <v>1957</v>
      </c>
      <c r="C1175" t="s">
        <v>34</v>
      </c>
      <c r="D1175" t="s">
        <v>33</v>
      </c>
      <c r="E1175">
        <v>66726</v>
      </c>
      <c r="F1175">
        <v>1</v>
      </c>
      <c r="G1175">
        <v>1</v>
      </c>
      <c r="H1175" s="1">
        <v>41651</v>
      </c>
      <c r="I1175">
        <v>61</v>
      </c>
      <c r="J1175">
        <v>349</v>
      </c>
      <c r="K1175">
        <v>7</v>
      </c>
      <c r="L1175">
        <v>35</v>
      </c>
      <c r="M1175">
        <v>0</v>
      </c>
      <c r="N1175">
        <v>0</v>
      </c>
      <c r="O1175">
        <v>47</v>
      </c>
      <c r="P1175">
        <v>3</v>
      </c>
      <c r="Q1175">
        <v>8</v>
      </c>
      <c r="R1175">
        <v>2</v>
      </c>
      <c r="S1175">
        <v>4</v>
      </c>
      <c r="T1175">
        <v>7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3</v>
      </c>
      <c r="AB1175">
        <v>11</v>
      </c>
      <c r="AC1175">
        <v>0</v>
      </c>
    </row>
    <row r="1176" spans="1:29" x14ac:dyDescent="0.3">
      <c r="A1176">
        <v>8686</v>
      </c>
      <c r="B1176">
        <v>1979</v>
      </c>
      <c r="C1176" t="s">
        <v>36</v>
      </c>
      <c r="D1176" t="s">
        <v>31</v>
      </c>
      <c r="E1176">
        <v>23724</v>
      </c>
      <c r="F1176">
        <v>1</v>
      </c>
      <c r="G1176">
        <v>0</v>
      </c>
      <c r="H1176" s="1">
        <v>41282</v>
      </c>
      <c r="I1176">
        <v>65</v>
      </c>
      <c r="J1176">
        <v>5</v>
      </c>
      <c r="K1176">
        <v>23</v>
      </c>
      <c r="L1176">
        <v>15</v>
      </c>
      <c r="M1176">
        <v>0</v>
      </c>
      <c r="N1176">
        <v>18</v>
      </c>
      <c r="O1176">
        <v>14</v>
      </c>
      <c r="P1176">
        <v>2</v>
      </c>
      <c r="Q1176">
        <v>2</v>
      </c>
      <c r="R1176">
        <v>0</v>
      </c>
      <c r="S1176">
        <v>3</v>
      </c>
      <c r="T1176">
        <v>8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3</v>
      </c>
      <c r="AB1176">
        <v>11</v>
      </c>
      <c r="AC1176">
        <v>0</v>
      </c>
    </row>
    <row r="1177" spans="1:29" x14ac:dyDescent="0.3">
      <c r="A1177">
        <v>1604</v>
      </c>
      <c r="B1177">
        <v>1960</v>
      </c>
      <c r="C1177" t="s">
        <v>34</v>
      </c>
      <c r="D1177" t="s">
        <v>33</v>
      </c>
      <c r="E1177">
        <v>47353</v>
      </c>
      <c r="F1177">
        <v>0</v>
      </c>
      <c r="G1177">
        <v>1</v>
      </c>
      <c r="H1177" s="1">
        <v>41591</v>
      </c>
      <c r="I1177">
        <v>93</v>
      </c>
      <c r="J1177">
        <v>184</v>
      </c>
      <c r="K1177">
        <v>2</v>
      </c>
      <c r="L1177">
        <v>19</v>
      </c>
      <c r="M1177">
        <v>8</v>
      </c>
      <c r="N1177">
        <v>8</v>
      </c>
      <c r="O1177">
        <v>4</v>
      </c>
      <c r="P1177">
        <v>3</v>
      </c>
      <c r="Q1177">
        <v>2</v>
      </c>
      <c r="R1177">
        <v>2</v>
      </c>
      <c r="S1177">
        <v>6</v>
      </c>
      <c r="T1177">
        <v>5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3</v>
      </c>
      <c r="AB1177">
        <v>11</v>
      </c>
      <c r="AC1177">
        <v>0</v>
      </c>
    </row>
    <row r="1178" spans="1:29" x14ac:dyDescent="0.3">
      <c r="A1178">
        <v>5907</v>
      </c>
      <c r="B1178">
        <v>1952</v>
      </c>
      <c r="C1178" t="s">
        <v>34</v>
      </c>
      <c r="D1178" t="s">
        <v>33</v>
      </c>
      <c r="E1178">
        <v>33444</v>
      </c>
      <c r="F1178">
        <v>1</v>
      </c>
      <c r="G1178">
        <v>1</v>
      </c>
      <c r="H1178" s="1">
        <v>41216</v>
      </c>
      <c r="I1178">
        <v>24</v>
      </c>
      <c r="J1178">
        <v>8</v>
      </c>
      <c r="K1178">
        <v>0</v>
      </c>
      <c r="L1178">
        <v>8</v>
      </c>
      <c r="M1178">
        <v>0</v>
      </c>
      <c r="N1178">
        <v>0</v>
      </c>
      <c r="O1178">
        <v>2</v>
      </c>
      <c r="P1178">
        <v>1</v>
      </c>
      <c r="Q1178">
        <v>1</v>
      </c>
      <c r="R1178">
        <v>0</v>
      </c>
      <c r="S1178">
        <v>2</v>
      </c>
      <c r="T1178">
        <v>8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3</v>
      </c>
      <c r="AB1178">
        <v>11</v>
      </c>
      <c r="AC1178">
        <v>0</v>
      </c>
    </row>
    <row r="1179" spans="1:29" x14ac:dyDescent="0.3">
      <c r="A1179">
        <v>10669</v>
      </c>
      <c r="B1179">
        <v>1981</v>
      </c>
      <c r="C1179" t="s">
        <v>29</v>
      </c>
      <c r="D1179" t="s">
        <v>33</v>
      </c>
      <c r="E1179">
        <v>54386</v>
      </c>
      <c r="F1179">
        <v>0</v>
      </c>
      <c r="G1179">
        <v>1</v>
      </c>
      <c r="H1179" s="1">
        <v>41411</v>
      </c>
      <c r="I1179">
        <v>8</v>
      </c>
      <c r="J1179">
        <v>277</v>
      </c>
      <c r="K1179">
        <v>21</v>
      </c>
      <c r="L1179">
        <v>64</v>
      </c>
      <c r="M1179">
        <v>62</v>
      </c>
      <c r="N1179">
        <v>21</v>
      </c>
      <c r="O1179">
        <v>25</v>
      </c>
      <c r="P1179">
        <v>2</v>
      </c>
      <c r="Q1179">
        <v>3</v>
      </c>
      <c r="R1179">
        <v>2</v>
      </c>
      <c r="S1179">
        <v>10</v>
      </c>
      <c r="T1179">
        <v>3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3</v>
      </c>
      <c r="AB1179">
        <v>11</v>
      </c>
      <c r="AC1179">
        <v>0</v>
      </c>
    </row>
    <row r="1180" spans="1:29" x14ac:dyDescent="0.3">
      <c r="A1180">
        <v>2918</v>
      </c>
      <c r="B1180">
        <v>1981</v>
      </c>
      <c r="C1180" t="s">
        <v>29</v>
      </c>
      <c r="D1180" t="s">
        <v>35</v>
      </c>
      <c r="E1180">
        <v>28510</v>
      </c>
      <c r="F1180">
        <v>1</v>
      </c>
      <c r="G1180">
        <v>1</v>
      </c>
      <c r="H1180" s="1">
        <v>41377</v>
      </c>
      <c r="I1180">
        <v>72</v>
      </c>
      <c r="J1180">
        <v>44</v>
      </c>
      <c r="K1180">
        <v>5</v>
      </c>
      <c r="L1180">
        <v>19</v>
      </c>
      <c r="M1180">
        <v>0</v>
      </c>
      <c r="N1180">
        <v>4</v>
      </c>
      <c r="O1180">
        <v>19</v>
      </c>
      <c r="P1180">
        <v>3</v>
      </c>
      <c r="Q1180">
        <v>2</v>
      </c>
      <c r="R1180">
        <v>0</v>
      </c>
      <c r="S1180">
        <v>4</v>
      </c>
      <c r="T1180">
        <v>5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3</v>
      </c>
      <c r="AB1180">
        <v>11</v>
      </c>
      <c r="AC1180">
        <v>0</v>
      </c>
    </row>
    <row r="1181" spans="1:29" x14ac:dyDescent="0.3">
      <c r="A1181">
        <v>5735</v>
      </c>
      <c r="B1181">
        <v>1991</v>
      </c>
      <c r="C1181" t="s">
        <v>34</v>
      </c>
      <c r="D1181" t="s">
        <v>30</v>
      </c>
      <c r="E1181">
        <v>90638</v>
      </c>
      <c r="F1181">
        <v>0</v>
      </c>
      <c r="G1181">
        <v>0</v>
      </c>
      <c r="H1181" s="1">
        <v>41683</v>
      </c>
      <c r="I1181">
        <v>29</v>
      </c>
      <c r="J1181">
        <v>1156</v>
      </c>
      <c r="K1181">
        <v>120</v>
      </c>
      <c r="L1181">
        <v>915</v>
      </c>
      <c r="M1181">
        <v>94</v>
      </c>
      <c r="N1181">
        <v>144</v>
      </c>
      <c r="O1181">
        <v>96</v>
      </c>
      <c r="P1181">
        <v>1</v>
      </c>
      <c r="Q1181">
        <v>3</v>
      </c>
      <c r="R1181">
        <v>4</v>
      </c>
      <c r="S1181">
        <v>10</v>
      </c>
      <c r="T1181">
        <v>1</v>
      </c>
      <c r="U1181">
        <v>0</v>
      </c>
      <c r="V1181">
        <v>0</v>
      </c>
      <c r="W1181">
        <v>1</v>
      </c>
      <c r="X1181">
        <v>0</v>
      </c>
      <c r="Y1181">
        <v>0</v>
      </c>
      <c r="Z1181">
        <v>0</v>
      </c>
      <c r="AA1181">
        <v>3</v>
      </c>
      <c r="AB1181">
        <v>11</v>
      </c>
      <c r="AC1181">
        <v>0</v>
      </c>
    </row>
    <row r="1182" spans="1:29" x14ac:dyDescent="0.3">
      <c r="A1182">
        <v>359</v>
      </c>
      <c r="B1182">
        <v>1950</v>
      </c>
      <c r="C1182" t="s">
        <v>29</v>
      </c>
      <c r="D1182" t="s">
        <v>31</v>
      </c>
      <c r="E1182">
        <v>48070</v>
      </c>
      <c r="F1182">
        <v>0</v>
      </c>
      <c r="G1182">
        <v>1</v>
      </c>
      <c r="H1182" s="1">
        <v>41287</v>
      </c>
      <c r="I1182">
        <v>33</v>
      </c>
      <c r="J1182">
        <v>373</v>
      </c>
      <c r="K1182">
        <v>14</v>
      </c>
      <c r="L1182">
        <v>83</v>
      </c>
      <c r="M1182">
        <v>6</v>
      </c>
      <c r="N1182">
        <v>9</v>
      </c>
      <c r="O1182">
        <v>19</v>
      </c>
      <c r="P1182">
        <v>3</v>
      </c>
      <c r="Q1182">
        <v>8</v>
      </c>
      <c r="R1182">
        <v>2</v>
      </c>
      <c r="S1182">
        <v>6</v>
      </c>
      <c r="T1182">
        <v>7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1</v>
      </c>
      <c r="AA1182">
        <v>3</v>
      </c>
      <c r="AB1182">
        <v>11</v>
      </c>
      <c r="AC1182">
        <v>0</v>
      </c>
    </row>
    <row r="1183" spans="1:29" x14ac:dyDescent="0.3">
      <c r="A1183">
        <v>8387</v>
      </c>
      <c r="B1183">
        <v>1957</v>
      </c>
      <c r="C1183" t="s">
        <v>29</v>
      </c>
      <c r="D1183" t="s">
        <v>33</v>
      </c>
      <c r="E1183">
        <v>43140</v>
      </c>
      <c r="F1183">
        <v>0</v>
      </c>
      <c r="G1183">
        <v>1</v>
      </c>
      <c r="H1183" s="1">
        <v>41279</v>
      </c>
      <c r="I1183">
        <v>68</v>
      </c>
      <c r="J1183">
        <v>134</v>
      </c>
      <c r="K1183">
        <v>8</v>
      </c>
      <c r="L1183">
        <v>76</v>
      </c>
      <c r="M1183">
        <v>6</v>
      </c>
      <c r="N1183">
        <v>0</v>
      </c>
      <c r="O1183">
        <v>11</v>
      </c>
      <c r="P1183">
        <v>1</v>
      </c>
      <c r="Q1183">
        <v>4</v>
      </c>
      <c r="R1183">
        <v>1</v>
      </c>
      <c r="S1183">
        <v>5</v>
      </c>
      <c r="T1183">
        <v>6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3</v>
      </c>
      <c r="AB1183">
        <v>11</v>
      </c>
      <c r="AC1183">
        <v>0</v>
      </c>
    </row>
    <row r="1184" spans="1:29" x14ac:dyDescent="0.3">
      <c r="A1184">
        <v>1829</v>
      </c>
      <c r="B1184">
        <v>1961</v>
      </c>
      <c r="C1184" t="s">
        <v>32</v>
      </c>
      <c r="D1184" t="s">
        <v>35</v>
      </c>
      <c r="E1184">
        <v>54959</v>
      </c>
      <c r="F1184">
        <v>0</v>
      </c>
      <c r="G1184">
        <v>1</v>
      </c>
      <c r="H1184" s="1">
        <v>41293</v>
      </c>
      <c r="I1184">
        <v>55</v>
      </c>
      <c r="J1184">
        <v>1148</v>
      </c>
      <c r="K1184">
        <v>0</v>
      </c>
      <c r="L1184">
        <v>60</v>
      </c>
      <c r="M1184">
        <v>0</v>
      </c>
      <c r="N1184">
        <v>0</v>
      </c>
      <c r="O1184">
        <v>24</v>
      </c>
      <c r="P1184">
        <v>3</v>
      </c>
      <c r="Q1184">
        <v>9</v>
      </c>
      <c r="R1184">
        <v>5</v>
      </c>
      <c r="S1184">
        <v>4</v>
      </c>
      <c r="T1184">
        <v>7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3</v>
      </c>
      <c r="AB1184">
        <v>11</v>
      </c>
      <c r="AC1184">
        <v>1</v>
      </c>
    </row>
    <row r="1185" spans="1:29" x14ac:dyDescent="0.3">
      <c r="A1185">
        <v>3839</v>
      </c>
      <c r="B1185">
        <v>1958</v>
      </c>
      <c r="C1185" t="s">
        <v>36</v>
      </c>
      <c r="D1185" t="s">
        <v>30</v>
      </c>
      <c r="E1185">
        <v>15056</v>
      </c>
      <c r="F1185">
        <v>1</v>
      </c>
      <c r="G1185">
        <v>1</v>
      </c>
      <c r="H1185" s="1">
        <v>41397</v>
      </c>
      <c r="I1185">
        <v>76</v>
      </c>
      <c r="J1185">
        <v>6</v>
      </c>
      <c r="K1185">
        <v>12</v>
      </c>
      <c r="L1185">
        <v>3</v>
      </c>
      <c r="M1185">
        <v>21</v>
      </c>
      <c r="N1185">
        <v>6</v>
      </c>
      <c r="O1185">
        <v>40</v>
      </c>
      <c r="P1185">
        <v>5</v>
      </c>
      <c r="Q1185">
        <v>2</v>
      </c>
      <c r="R1185">
        <v>2</v>
      </c>
      <c r="S1185">
        <v>3</v>
      </c>
      <c r="T1185">
        <v>5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3</v>
      </c>
      <c r="AB1185">
        <v>11</v>
      </c>
      <c r="AC1185">
        <v>0</v>
      </c>
    </row>
    <row r="1186" spans="1:29" x14ac:dyDescent="0.3">
      <c r="A1186">
        <v>9392</v>
      </c>
      <c r="B1186">
        <v>1971</v>
      </c>
      <c r="C1186" t="s">
        <v>29</v>
      </c>
      <c r="D1186" t="s">
        <v>30</v>
      </c>
      <c r="E1186">
        <v>26954</v>
      </c>
      <c r="F1186">
        <v>1</v>
      </c>
      <c r="G1186">
        <v>0</v>
      </c>
      <c r="H1186" s="1">
        <v>41767</v>
      </c>
      <c r="I1186">
        <v>17</v>
      </c>
      <c r="J1186">
        <v>4</v>
      </c>
      <c r="K1186">
        <v>1</v>
      </c>
      <c r="L1186">
        <v>11</v>
      </c>
      <c r="M1186">
        <v>0</v>
      </c>
      <c r="N1186">
        <v>0</v>
      </c>
      <c r="O1186">
        <v>1</v>
      </c>
      <c r="P1186">
        <v>1</v>
      </c>
      <c r="Q1186">
        <v>1</v>
      </c>
      <c r="R1186">
        <v>0</v>
      </c>
      <c r="S1186">
        <v>2</v>
      </c>
      <c r="T1186">
        <v>7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3</v>
      </c>
      <c r="AB1186">
        <v>11</v>
      </c>
      <c r="AC1186">
        <v>0</v>
      </c>
    </row>
    <row r="1187" spans="1:29" x14ac:dyDescent="0.3">
      <c r="A1187">
        <v>2292</v>
      </c>
      <c r="B1187">
        <v>1985</v>
      </c>
      <c r="C1187" t="s">
        <v>29</v>
      </c>
      <c r="D1187" t="s">
        <v>30</v>
      </c>
      <c r="E1187">
        <v>22327</v>
      </c>
      <c r="F1187">
        <v>1</v>
      </c>
      <c r="G1187">
        <v>0</v>
      </c>
      <c r="H1187" s="1">
        <v>41488</v>
      </c>
      <c r="I1187">
        <v>94</v>
      </c>
      <c r="J1187">
        <v>5</v>
      </c>
      <c r="K1187">
        <v>4</v>
      </c>
      <c r="L1187">
        <v>8</v>
      </c>
      <c r="M1187">
        <v>2</v>
      </c>
      <c r="N1187">
        <v>0</v>
      </c>
      <c r="O1187">
        <v>5</v>
      </c>
      <c r="P1187">
        <v>1</v>
      </c>
      <c r="Q1187">
        <v>1</v>
      </c>
      <c r="R1187">
        <v>0</v>
      </c>
      <c r="S1187">
        <v>3</v>
      </c>
      <c r="T1187">
        <v>5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3</v>
      </c>
      <c r="AB1187">
        <v>11</v>
      </c>
      <c r="AC1187">
        <v>0</v>
      </c>
    </row>
    <row r="1188" spans="1:29" x14ac:dyDescent="0.3">
      <c r="A1188">
        <v>10466</v>
      </c>
      <c r="B1188">
        <v>1965</v>
      </c>
      <c r="C1188" t="s">
        <v>29</v>
      </c>
      <c r="D1188" t="s">
        <v>33</v>
      </c>
      <c r="E1188">
        <v>44393</v>
      </c>
      <c r="F1188">
        <v>1</v>
      </c>
      <c r="G1188">
        <v>1</v>
      </c>
      <c r="H1188" s="1">
        <v>41508</v>
      </c>
      <c r="I1188">
        <v>86</v>
      </c>
      <c r="J1188">
        <v>24</v>
      </c>
      <c r="K1188">
        <v>2</v>
      </c>
      <c r="L1188">
        <v>20</v>
      </c>
      <c r="M1188">
        <v>2</v>
      </c>
      <c r="N1188">
        <v>2</v>
      </c>
      <c r="O1188">
        <v>10</v>
      </c>
      <c r="P1188">
        <v>2</v>
      </c>
      <c r="Q1188">
        <v>1</v>
      </c>
      <c r="R1188">
        <v>0</v>
      </c>
      <c r="S1188">
        <v>4</v>
      </c>
      <c r="T1188">
        <v>4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3</v>
      </c>
      <c r="AB1188">
        <v>11</v>
      </c>
      <c r="AC1188">
        <v>0</v>
      </c>
    </row>
    <row r="1189" spans="1:29" x14ac:dyDescent="0.3">
      <c r="A1189">
        <v>9855</v>
      </c>
      <c r="B1189">
        <v>1952</v>
      </c>
      <c r="C1189" t="s">
        <v>32</v>
      </c>
      <c r="D1189" t="s">
        <v>30</v>
      </c>
      <c r="E1189">
        <v>62000</v>
      </c>
      <c r="F1189">
        <v>0</v>
      </c>
      <c r="G1189">
        <v>1</v>
      </c>
      <c r="H1189" s="1">
        <v>41511</v>
      </c>
      <c r="I1189">
        <v>25</v>
      </c>
      <c r="J1189">
        <v>899</v>
      </c>
      <c r="K1189">
        <v>0</v>
      </c>
      <c r="L1189">
        <v>101</v>
      </c>
      <c r="M1189">
        <v>0</v>
      </c>
      <c r="N1189">
        <v>0</v>
      </c>
      <c r="O1189">
        <v>20</v>
      </c>
      <c r="P1189">
        <v>1</v>
      </c>
      <c r="Q1189">
        <v>6</v>
      </c>
      <c r="R1189">
        <v>6</v>
      </c>
      <c r="S1189">
        <v>13</v>
      </c>
      <c r="T1189">
        <v>4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3</v>
      </c>
      <c r="AB1189">
        <v>11</v>
      </c>
      <c r="AC1189">
        <v>0</v>
      </c>
    </row>
    <row r="1190" spans="1:29" x14ac:dyDescent="0.3">
      <c r="A1190">
        <v>4088</v>
      </c>
      <c r="B1190">
        <v>1962</v>
      </c>
      <c r="C1190" t="s">
        <v>32</v>
      </c>
      <c r="D1190" t="s">
        <v>31</v>
      </c>
      <c r="E1190">
        <v>31497</v>
      </c>
      <c r="F1190">
        <v>0</v>
      </c>
      <c r="G1190">
        <v>1</v>
      </c>
      <c r="H1190" s="1">
        <v>41249</v>
      </c>
      <c r="I1190">
        <v>22</v>
      </c>
      <c r="J1190">
        <v>108</v>
      </c>
      <c r="K1190">
        <v>1</v>
      </c>
      <c r="L1190">
        <v>28</v>
      </c>
      <c r="M1190">
        <v>13</v>
      </c>
      <c r="N1190">
        <v>1</v>
      </c>
      <c r="O1190">
        <v>4</v>
      </c>
      <c r="P1190">
        <v>2</v>
      </c>
      <c r="Q1190">
        <v>3</v>
      </c>
      <c r="R1190">
        <v>1</v>
      </c>
      <c r="S1190">
        <v>4</v>
      </c>
      <c r="T1190">
        <v>8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3</v>
      </c>
      <c r="AB1190">
        <v>11</v>
      </c>
      <c r="AC1190">
        <v>0</v>
      </c>
    </row>
    <row r="1191" spans="1:29" x14ac:dyDescent="0.3">
      <c r="A1191">
        <v>5231</v>
      </c>
      <c r="B1191">
        <v>1974</v>
      </c>
      <c r="C1191" t="s">
        <v>37</v>
      </c>
      <c r="D1191" t="s">
        <v>33</v>
      </c>
      <c r="E1191">
        <v>45894</v>
      </c>
      <c r="F1191">
        <v>0</v>
      </c>
      <c r="G1191">
        <v>2</v>
      </c>
      <c r="H1191" s="1">
        <v>41697</v>
      </c>
      <c r="I1191">
        <v>15</v>
      </c>
      <c r="J1191">
        <v>27</v>
      </c>
      <c r="K1191">
        <v>2</v>
      </c>
      <c r="L1191">
        <v>7</v>
      </c>
      <c r="M1191">
        <v>0</v>
      </c>
      <c r="N1191">
        <v>2</v>
      </c>
      <c r="O1191">
        <v>13</v>
      </c>
      <c r="P1191">
        <v>1</v>
      </c>
      <c r="Q1191">
        <v>1</v>
      </c>
      <c r="R1191">
        <v>0</v>
      </c>
      <c r="S1191">
        <v>3</v>
      </c>
      <c r="T1191">
        <v>5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3</v>
      </c>
      <c r="AB1191">
        <v>11</v>
      </c>
      <c r="AC1191">
        <v>0</v>
      </c>
    </row>
    <row r="1192" spans="1:29" x14ac:dyDescent="0.3">
      <c r="A1192">
        <v>590</v>
      </c>
      <c r="B1192">
        <v>1970</v>
      </c>
      <c r="C1192" t="s">
        <v>34</v>
      </c>
      <c r="D1192" t="s">
        <v>35</v>
      </c>
      <c r="E1192">
        <v>78579</v>
      </c>
      <c r="F1192">
        <v>0</v>
      </c>
      <c r="G1192">
        <v>0</v>
      </c>
      <c r="H1192" s="1">
        <v>41265</v>
      </c>
      <c r="I1192">
        <v>35</v>
      </c>
      <c r="J1192">
        <v>816</v>
      </c>
      <c r="K1192">
        <v>66</v>
      </c>
      <c r="L1192">
        <v>549</v>
      </c>
      <c r="M1192">
        <v>216</v>
      </c>
      <c r="N1192">
        <v>66</v>
      </c>
      <c r="O1192">
        <v>99</v>
      </c>
      <c r="P1192">
        <v>1</v>
      </c>
      <c r="Q1192">
        <v>5</v>
      </c>
      <c r="R1192">
        <v>6</v>
      </c>
      <c r="S1192">
        <v>4</v>
      </c>
      <c r="T1192">
        <v>3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3</v>
      </c>
      <c r="AB1192">
        <v>11</v>
      </c>
      <c r="AC1192">
        <v>1</v>
      </c>
    </row>
    <row r="1193" spans="1:29" x14ac:dyDescent="0.3">
      <c r="A1193">
        <v>8732</v>
      </c>
      <c r="B1193">
        <v>1969</v>
      </c>
      <c r="C1193" t="s">
        <v>34</v>
      </c>
      <c r="D1193" t="s">
        <v>38</v>
      </c>
      <c r="E1193">
        <v>67369</v>
      </c>
      <c r="F1193">
        <v>0</v>
      </c>
      <c r="G1193">
        <v>1</v>
      </c>
      <c r="H1193" s="1">
        <v>41230</v>
      </c>
      <c r="I1193">
        <v>81</v>
      </c>
      <c r="J1193">
        <v>1298</v>
      </c>
      <c r="K1193">
        <v>0</v>
      </c>
      <c r="L1193">
        <v>70</v>
      </c>
      <c r="M1193">
        <v>37</v>
      </c>
      <c r="N1193">
        <v>14</v>
      </c>
      <c r="O1193">
        <v>42</v>
      </c>
      <c r="P1193">
        <v>4</v>
      </c>
      <c r="Q1193">
        <v>7</v>
      </c>
      <c r="R1193">
        <v>4</v>
      </c>
      <c r="S1193">
        <v>10</v>
      </c>
      <c r="T1193">
        <v>4</v>
      </c>
      <c r="U1193">
        <v>0</v>
      </c>
      <c r="V1193">
        <v>1</v>
      </c>
      <c r="W1193">
        <v>1</v>
      </c>
      <c r="X1193">
        <v>0</v>
      </c>
      <c r="Y1193">
        <v>0</v>
      </c>
      <c r="Z1193">
        <v>0</v>
      </c>
      <c r="AA1193">
        <v>3</v>
      </c>
      <c r="AB1193">
        <v>11</v>
      </c>
      <c r="AC1193">
        <v>1</v>
      </c>
    </row>
    <row r="1194" spans="1:29" x14ac:dyDescent="0.3">
      <c r="A1194">
        <v>2315</v>
      </c>
      <c r="B1194">
        <v>1960</v>
      </c>
      <c r="C1194" t="s">
        <v>29</v>
      </c>
      <c r="D1194" t="s">
        <v>35</v>
      </c>
      <c r="E1194">
        <v>58401</v>
      </c>
      <c r="F1194">
        <v>0</v>
      </c>
      <c r="G1194">
        <v>1</v>
      </c>
      <c r="H1194" s="1">
        <v>41749</v>
      </c>
      <c r="I1194">
        <v>55</v>
      </c>
      <c r="J1194">
        <v>10</v>
      </c>
      <c r="K1194">
        <v>0</v>
      </c>
      <c r="L1194">
        <v>11</v>
      </c>
      <c r="M1194">
        <v>17</v>
      </c>
      <c r="N1194">
        <v>29</v>
      </c>
      <c r="O1194">
        <v>29</v>
      </c>
      <c r="P1194">
        <v>1</v>
      </c>
      <c r="Q1194">
        <v>1</v>
      </c>
      <c r="R1194">
        <v>2</v>
      </c>
      <c r="S1194">
        <v>2</v>
      </c>
      <c r="T1194">
        <v>4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3</v>
      </c>
      <c r="AB1194">
        <v>11</v>
      </c>
      <c r="AC1194">
        <v>0</v>
      </c>
    </row>
    <row r="1195" spans="1:29" x14ac:dyDescent="0.3">
      <c r="A1195">
        <v>3515</v>
      </c>
      <c r="B1195">
        <v>1952</v>
      </c>
      <c r="C1195" t="s">
        <v>29</v>
      </c>
      <c r="D1195" t="s">
        <v>30</v>
      </c>
      <c r="E1195">
        <v>62307</v>
      </c>
      <c r="F1195">
        <v>0</v>
      </c>
      <c r="G1195">
        <v>1</v>
      </c>
      <c r="H1195" s="1">
        <v>41687</v>
      </c>
      <c r="I1195">
        <v>94</v>
      </c>
      <c r="J1195">
        <v>87</v>
      </c>
      <c r="K1195">
        <v>13</v>
      </c>
      <c r="L1195">
        <v>34</v>
      </c>
      <c r="M1195">
        <v>10</v>
      </c>
      <c r="N1195">
        <v>6</v>
      </c>
      <c r="O1195">
        <v>10</v>
      </c>
      <c r="P1195">
        <v>1</v>
      </c>
      <c r="Q1195">
        <v>4</v>
      </c>
      <c r="R1195">
        <v>0</v>
      </c>
      <c r="S1195">
        <v>4</v>
      </c>
      <c r="T1195">
        <v>5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3</v>
      </c>
      <c r="AB1195">
        <v>11</v>
      </c>
      <c r="AC1195">
        <v>0</v>
      </c>
    </row>
    <row r="1196" spans="1:29" x14ac:dyDescent="0.3">
      <c r="A1196">
        <v>2245</v>
      </c>
      <c r="B1196">
        <v>1969</v>
      </c>
      <c r="C1196" t="s">
        <v>34</v>
      </c>
      <c r="D1196" t="s">
        <v>33</v>
      </c>
      <c r="E1196">
        <v>43641</v>
      </c>
      <c r="F1196">
        <v>1</v>
      </c>
      <c r="G1196">
        <v>1</v>
      </c>
      <c r="H1196" s="1">
        <v>41386</v>
      </c>
      <c r="I1196">
        <v>50</v>
      </c>
      <c r="J1196">
        <v>57</v>
      </c>
      <c r="K1196">
        <v>2</v>
      </c>
      <c r="L1196">
        <v>51</v>
      </c>
      <c r="M1196">
        <v>4</v>
      </c>
      <c r="N1196">
        <v>2</v>
      </c>
      <c r="O1196">
        <v>23</v>
      </c>
      <c r="P1196">
        <v>3</v>
      </c>
      <c r="Q1196">
        <v>2</v>
      </c>
      <c r="R1196">
        <v>1</v>
      </c>
      <c r="S1196">
        <v>4</v>
      </c>
      <c r="T1196">
        <v>6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3</v>
      </c>
      <c r="AB1196">
        <v>11</v>
      </c>
      <c r="AC1196">
        <v>0</v>
      </c>
    </row>
    <row r="1197" spans="1:29" x14ac:dyDescent="0.3">
      <c r="A1197">
        <v>6283</v>
      </c>
      <c r="B1197">
        <v>1968</v>
      </c>
      <c r="C1197" t="s">
        <v>34</v>
      </c>
      <c r="D1197" t="s">
        <v>35</v>
      </c>
      <c r="E1197">
        <v>63841</v>
      </c>
      <c r="F1197">
        <v>0</v>
      </c>
      <c r="G1197">
        <v>1</v>
      </c>
      <c r="H1197" s="1">
        <v>41385</v>
      </c>
      <c r="I1197">
        <v>64</v>
      </c>
      <c r="J1197">
        <v>635</v>
      </c>
      <c r="K1197">
        <v>15</v>
      </c>
      <c r="L1197">
        <v>100</v>
      </c>
      <c r="M1197">
        <v>20</v>
      </c>
      <c r="N1197">
        <v>7</v>
      </c>
      <c r="O1197">
        <v>131</v>
      </c>
      <c r="P1197">
        <v>1</v>
      </c>
      <c r="Q1197">
        <v>9</v>
      </c>
      <c r="R1197">
        <v>3</v>
      </c>
      <c r="S1197">
        <v>9</v>
      </c>
      <c r="T1197">
        <v>6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3</v>
      </c>
      <c r="AB1197">
        <v>11</v>
      </c>
      <c r="AC1197">
        <v>0</v>
      </c>
    </row>
    <row r="1198" spans="1:29" x14ac:dyDescent="0.3">
      <c r="A1198">
        <v>2246</v>
      </c>
      <c r="B1198">
        <v>1965</v>
      </c>
      <c r="C1198" t="s">
        <v>37</v>
      </c>
      <c r="D1198" t="s">
        <v>33</v>
      </c>
      <c r="E1198">
        <v>46891</v>
      </c>
      <c r="F1198">
        <v>0</v>
      </c>
      <c r="G1198">
        <v>1</v>
      </c>
      <c r="H1198" s="1">
        <v>41518</v>
      </c>
      <c r="I1198">
        <v>91</v>
      </c>
      <c r="J1198">
        <v>43</v>
      </c>
      <c r="K1198">
        <v>12</v>
      </c>
      <c r="L1198">
        <v>23</v>
      </c>
      <c r="M1198">
        <v>29</v>
      </c>
      <c r="N1198">
        <v>15</v>
      </c>
      <c r="O1198">
        <v>61</v>
      </c>
      <c r="P1198">
        <v>1</v>
      </c>
      <c r="Q1198">
        <v>2</v>
      </c>
      <c r="R1198">
        <v>1</v>
      </c>
      <c r="S1198">
        <v>4</v>
      </c>
      <c r="T1198">
        <v>4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3</v>
      </c>
      <c r="AB1198">
        <v>11</v>
      </c>
      <c r="AC1198">
        <v>0</v>
      </c>
    </row>
    <row r="1199" spans="1:29" x14ac:dyDescent="0.3">
      <c r="A1199">
        <v>6606</v>
      </c>
      <c r="B1199">
        <v>1969</v>
      </c>
      <c r="C1199" t="s">
        <v>34</v>
      </c>
      <c r="D1199" t="s">
        <v>33</v>
      </c>
      <c r="E1199">
        <v>70091</v>
      </c>
      <c r="F1199">
        <v>1</v>
      </c>
      <c r="G1199">
        <v>0</v>
      </c>
      <c r="H1199" s="1">
        <v>41364</v>
      </c>
      <c r="I1199">
        <v>11</v>
      </c>
      <c r="J1199">
        <v>964</v>
      </c>
      <c r="K1199">
        <v>34</v>
      </c>
      <c r="L1199">
        <v>137</v>
      </c>
      <c r="M1199">
        <v>15</v>
      </c>
      <c r="N1199">
        <v>0</v>
      </c>
      <c r="O1199">
        <v>11</v>
      </c>
      <c r="P1199">
        <v>2</v>
      </c>
      <c r="Q1199">
        <v>5</v>
      </c>
      <c r="R1199">
        <v>2</v>
      </c>
      <c r="S1199">
        <v>10</v>
      </c>
      <c r="T1199">
        <v>8</v>
      </c>
      <c r="U1199">
        <v>0</v>
      </c>
      <c r="V1199">
        <v>1</v>
      </c>
      <c r="W1199">
        <v>0</v>
      </c>
      <c r="X1199">
        <v>0</v>
      </c>
      <c r="Y1199">
        <v>0</v>
      </c>
      <c r="Z1199">
        <v>0</v>
      </c>
      <c r="AA1199">
        <v>3</v>
      </c>
      <c r="AB1199">
        <v>11</v>
      </c>
      <c r="AC1199">
        <v>0</v>
      </c>
    </row>
    <row r="1200" spans="1:29" x14ac:dyDescent="0.3">
      <c r="A1200">
        <v>5545</v>
      </c>
      <c r="B1200">
        <v>1972</v>
      </c>
      <c r="C1200" t="s">
        <v>32</v>
      </c>
      <c r="D1200" t="s">
        <v>33</v>
      </c>
      <c r="E1200">
        <v>78075</v>
      </c>
      <c r="F1200">
        <v>0</v>
      </c>
      <c r="G1200">
        <v>0</v>
      </c>
      <c r="H1200" s="1">
        <v>41734</v>
      </c>
      <c r="I1200">
        <v>72</v>
      </c>
      <c r="J1200">
        <v>572</v>
      </c>
      <c r="K1200">
        <v>8</v>
      </c>
      <c r="L1200">
        <v>259</v>
      </c>
      <c r="M1200">
        <v>34</v>
      </c>
      <c r="N1200">
        <v>35</v>
      </c>
      <c r="O1200">
        <v>80</v>
      </c>
      <c r="P1200">
        <v>1</v>
      </c>
      <c r="Q1200">
        <v>3</v>
      </c>
      <c r="R1200">
        <v>5</v>
      </c>
      <c r="S1200">
        <v>5</v>
      </c>
      <c r="T1200">
        <v>1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3</v>
      </c>
      <c r="AB1200">
        <v>11</v>
      </c>
      <c r="AC1200">
        <v>0</v>
      </c>
    </row>
    <row r="1201" spans="1:29" x14ac:dyDescent="0.3">
      <c r="A1201">
        <v>7342</v>
      </c>
      <c r="B1201">
        <v>1961</v>
      </c>
      <c r="C1201" t="s">
        <v>37</v>
      </c>
      <c r="D1201" t="s">
        <v>38</v>
      </c>
      <c r="E1201">
        <v>59184</v>
      </c>
      <c r="F1201">
        <v>0</v>
      </c>
      <c r="G1201">
        <v>1</v>
      </c>
      <c r="H1201" s="1">
        <v>41161</v>
      </c>
      <c r="I1201">
        <v>6</v>
      </c>
      <c r="J1201">
        <v>341</v>
      </c>
      <c r="K1201">
        <v>142</v>
      </c>
      <c r="L1201">
        <v>113</v>
      </c>
      <c r="M1201">
        <v>259</v>
      </c>
      <c r="N1201">
        <v>151</v>
      </c>
      <c r="O1201">
        <v>66</v>
      </c>
      <c r="P1201">
        <v>3</v>
      </c>
      <c r="Q1201">
        <v>6</v>
      </c>
      <c r="R1201">
        <v>6</v>
      </c>
      <c r="S1201">
        <v>12</v>
      </c>
      <c r="T1201">
        <v>5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3</v>
      </c>
      <c r="AB1201">
        <v>11</v>
      </c>
      <c r="AC1201">
        <v>0</v>
      </c>
    </row>
    <row r="1202" spans="1:29" x14ac:dyDescent="0.3">
      <c r="A1202">
        <v>837</v>
      </c>
      <c r="B1202">
        <v>1977</v>
      </c>
      <c r="C1202" t="s">
        <v>29</v>
      </c>
      <c r="D1202" t="s">
        <v>33</v>
      </c>
      <c r="E1202">
        <v>54809</v>
      </c>
      <c r="F1202">
        <v>1</v>
      </c>
      <c r="G1202">
        <v>1</v>
      </c>
      <c r="H1202" s="1">
        <v>41528</v>
      </c>
      <c r="I1202">
        <v>0</v>
      </c>
      <c r="J1202">
        <v>63</v>
      </c>
      <c r="K1202">
        <v>6</v>
      </c>
      <c r="L1202">
        <v>57</v>
      </c>
      <c r="M1202">
        <v>13</v>
      </c>
      <c r="N1202">
        <v>13</v>
      </c>
      <c r="O1202">
        <v>22</v>
      </c>
      <c r="P1202">
        <v>4</v>
      </c>
      <c r="Q1202">
        <v>2</v>
      </c>
      <c r="R1202">
        <v>1</v>
      </c>
      <c r="S1202">
        <v>5</v>
      </c>
      <c r="T1202">
        <v>4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3</v>
      </c>
      <c r="AB1202">
        <v>11</v>
      </c>
      <c r="AC1202">
        <v>0</v>
      </c>
    </row>
    <row r="1203" spans="1:29" x14ac:dyDescent="0.3">
      <c r="A1203">
        <v>9500</v>
      </c>
      <c r="B1203">
        <v>1959</v>
      </c>
      <c r="C1203" t="s">
        <v>29</v>
      </c>
      <c r="D1203" t="s">
        <v>33</v>
      </c>
      <c r="E1203">
        <v>58113</v>
      </c>
      <c r="F1203">
        <v>0</v>
      </c>
      <c r="G1203">
        <v>1</v>
      </c>
      <c r="H1203" s="1">
        <v>41299</v>
      </c>
      <c r="I1203">
        <v>66</v>
      </c>
      <c r="J1203">
        <v>221</v>
      </c>
      <c r="K1203">
        <v>104</v>
      </c>
      <c r="L1203">
        <v>169</v>
      </c>
      <c r="M1203">
        <v>102</v>
      </c>
      <c r="N1203">
        <v>78</v>
      </c>
      <c r="O1203">
        <v>84</v>
      </c>
      <c r="P1203">
        <v>3</v>
      </c>
      <c r="Q1203">
        <v>9</v>
      </c>
      <c r="R1203">
        <v>2</v>
      </c>
      <c r="S1203">
        <v>8</v>
      </c>
      <c r="T1203">
        <v>7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1</v>
      </c>
      <c r="AA1203">
        <v>3</v>
      </c>
      <c r="AB1203">
        <v>11</v>
      </c>
      <c r="AC1203">
        <v>0</v>
      </c>
    </row>
    <row r="1204" spans="1:29" x14ac:dyDescent="0.3">
      <c r="A1204">
        <v>3602</v>
      </c>
      <c r="B1204">
        <v>1958</v>
      </c>
      <c r="C1204" t="s">
        <v>34</v>
      </c>
      <c r="D1204" t="s">
        <v>33</v>
      </c>
      <c r="E1204">
        <v>51412</v>
      </c>
      <c r="F1204">
        <v>0</v>
      </c>
      <c r="G1204">
        <v>1</v>
      </c>
      <c r="H1204" s="1">
        <v>41639</v>
      </c>
      <c r="I1204">
        <v>42</v>
      </c>
      <c r="J1204">
        <v>140</v>
      </c>
      <c r="K1204">
        <v>3</v>
      </c>
      <c r="L1204">
        <v>29</v>
      </c>
      <c r="M1204">
        <v>4</v>
      </c>
      <c r="N1204">
        <v>5</v>
      </c>
      <c r="O1204">
        <v>14</v>
      </c>
      <c r="P1204">
        <v>2</v>
      </c>
      <c r="Q1204">
        <v>3</v>
      </c>
      <c r="R1204">
        <v>2</v>
      </c>
      <c r="S1204">
        <v>4</v>
      </c>
      <c r="T1204">
        <v>4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3</v>
      </c>
      <c r="AB1204">
        <v>11</v>
      </c>
      <c r="AC1204">
        <v>0</v>
      </c>
    </row>
    <row r="1205" spans="1:29" x14ac:dyDescent="0.3">
      <c r="A1205">
        <v>234</v>
      </c>
      <c r="B1205">
        <v>1979</v>
      </c>
      <c r="C1205" t="s">
        <v>29</v>
      </c>
      <c r="D1205" t="s">
        <v>35</v>
      </c>
      <c r="E1205">
        <v>15287</v>
      </c>
      <c r="F1205">
        <v>1</v>
      </c>
      <c r="G1205">
        <v>0</v>
      </c>
      <c r="H1205" s="1">
        <v>41192</v>
      </c>
      <c r="I1205">
        <v>60</v>
      </c>
      <c r="J1205">
        <v>1</v>
      </c>
      <c r="K1205">
        <v>2</v>
      </c>
      <c r="L1205">
        <v>8</v>
      </c>
      <c r="M1205">
        <v>4</v>
      </c>
      <c r="N1205">
        <v>3</v>
      </c>
      <c r="O1205">
        <v>13</v>
      </c>
      <c r="P1205">
        <v>2</v>
      </c>
      <c r="Q1205">
        <v>1</v>
      </c>
      <c r="R1205">
        <v>1</v>
      </c>
      <c r="S1205">
        <v>2</v>
      </c>
      <c r="T1205">
        <v>7</v>
      </c>
      <c r="U1205">
        <v>1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3</v>
      </c>
      <c r="AB1205">
        <v>11</v>
      </c>
      <c r="AC1205">
        <v>1</v>
      </c>
    </row>
    <row r="1206" spans="1:29" x14ac:dyDescent="0.3">
      <c r="A1206">
        <v>2995</v>
      </c>
      <c r="B1206">
        <v>1957</v>
      </c>
      <c r="C1206" t="s">
        <v>34</v>
      </c>
      <c r="D1206" t="s">
        <v>31</v>
      </c>
      <c r="E1206">
        <v>66636</v>
      </c>
      <c r="F1206">
        <v>0</v>
      </c>
      <c r="G1206">
        <v>0</v>
      </c>
      <c r="H1206" s="1">
        <v>41503</v>
      </c>
      <c r="I1206">
        <v>64</v>
      </c>
      <c r="J1206">
        <v>291</v>
      </c>
      <c r="K1206">
        <v>10</v>
      </c>
      <c r="L1206">
        <v>689</v>
      </c>
      <c r="M1206">
        <v>84</v>
      </c>
      <c r="N1206">
        <v>10</v>
      </c>
      <c r="O1206">
        <v>0</v>
      </c>
      <c r="P1206">
        <v>1</v>
      </c>
      <c r="Q1206">
        <v>3</v>
      </c>
      <c r="R1206">
        <v>4</v>
      </c>
      <c r="S1206">
        <v>9</v>
      </c>
      <c r="T1206">
        <v>1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3</v>
      </c>
      <c r="AB1206">
        <v>11</v>
      </c>
      <c r="AC1206">
        <v>0</v>
      </c>
    </row>
    <row r="1207" spans="1:29" x14ac:dyDescent="0.3">
      <c r="A1207">
        <v>1118</v>
      </c>
      <c r="B1207">
        <v>1956</v>
      </c>
      <c r="C1207" t="s">
        <v>34</v>
      </c>
      <c r="D1207" t="s">
        <v>33</v>
      </c>
      <c r="E1207">
        <v>50965</v>
      </c>
      <c r="F1207">
        <v>0</v>
      </c>
      <c r="G1207">
        <v>1</v>
      </c>
      <c r="H1207" s="1">
        <v>41325</v>
      </c>
      <c r="I1207">
        <v>87</v>
      </c>
      <c r="J1207">
        <v>544</v>
      </c>
      <c r="K1207">
        <v>13</v>
      </c>
      <c r="L1207">
        <v>85</v>
      </c>
      <c r="M1207">
        <v>8</v>
      </c>
      <c r="N1207">
        <v>6</v>
      </c>
      <c r="O1207">
        <v>29</v>
      </c>
      <c r="P1207">
        <v>3</v>
      </c>
      <c r="Q1207">
        <v>10</v>
      </c>
      <c r="R1207">
        <v>4</v>
      </c>
      <c r="S1207">
        <v>5</v>
      </c>
      <c r="T1207">
        <v>8</v>
      </c>
      <c r="U1207">
        <v>1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3</v>
      </c>
      <c r="AB1207">
        <v>11</v>
      </c>
      <c r="AC1207">
        <v>0</v>
      </c>
    </row>
    <row r="1208" spans="1:29" x14ac:dyDescent="0.3">
      <c r="A1208">
        <v>7789</v>
      </c>
      <c r="B1208">
        <v>1965</v>
      </c>
      <c r="C1208" t="s">
        <v>32</v>
      </c>
      <c r="D1208" t="s">
        <v>33</v>
      </c>
      <c r="E1208">
        <v>84618</v>
      </c>
      <c r="F1208">
        <v>0</v>
      </c>
      <c r="G1208">
        <v>0</v>
      </c>
      <c r="H1208" s="1">
        <v>41600</v>
      </c>
      <c r="I1208">
        <v>96</v>
      </c>
      <c r="J1208">
        <v>684</v>
      </c>
      <c r="K1208">
        <v>100</v>
      </c>
      <c r="L1208">
        <v>801</v>
      </c>
      <c r="M1208">
        <v>21</v>
      </c>
      <c r="N1208">
        <v>66</v>
      </c>
      <c r="O1208">
        <v>0</v>
      </c>
      <c r="P1208">
        <v>1</v>
      </c>
      <c r="Q1208">
        <v>6</v>
      </c>
      <c r="R1208">
        <v>9</v>
      </c>
      <c r="S1208">
        <v>10</v>
      </c>
      <c r="T1208">
        <v>2</v>
      </c>
      <c r="U1208">
        <v>0</v>
      </c>
      <c r="V1208">
        <v>0</v>
      </c>
      <c r="W1208">
        <v>1</v>
      </c>
      <c r="X1208">
        <v>0</v>
      </c>
      <c r="Y1208">
        <v>0</v>
      </c>
      <c r="Z1208">
        <v>0</v>
      </c>
      <c r="AA1208">
        <v>3</v>
      </c>
      <c r="AB1208">
        <v>11</v>
      </c>
      <c r="AC1208">
        <v>0</v>
      </c>
    </row>
    <row r="1209" spans="1:29" x14ac:dyDescent="0.3">
      <c r="A1209">
        <v>3068</v>
      </c>
      <c r="B1209">
        <v>1990</v>
      </c>
      <c r="C1209" t="s">
        <v>29</v>
      </c>
      <c r="D1209" t="s">
        <v>33</v>
      </c>
      <c r="E1209">
        <v>18351</v>
      </c>
      <c r="F1209">
        <v>0</v>
      </c>
      <c r="G1209">
        <v>0</v>
      </c>
      <c r="H1209" s="1">
        <v>41576</v>
      </c>
      <c r="I1209">
        <v>1</v>
      </c>
      <c r="J1209">
        <v>1</v>
      </c>
      <c r="K1209">
        <v>12</v>
      </c>
      <c r="L1209">
        <v>9</v>
      </c>
      <c r="M1209">
        <v>0</v>
      </c>
      <c r="N1209">
        <v>14</v>
      </c>
      <c r="O1209">
        <v>7</v>
      </c>
      <c r="P1209">
        <v>1</v>
      </c>
      <c r="Q1209">
        <v>2</v>
      </c>
      <c r="R1209">
        <v>0</v>
      </c>
      <c r="S1209">
        <v>3</v>
      </c>
      <c r="T1209">
        <v>7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3</v>
      </c>
      <c r="AB1209">
        <v>11</v>
      </c>
      <c r="AC1209">
        <v>0</v>
      </c>
    </row>
    <row r="1210" spans="1:29" x14ac:dyDescent="0.3">
      <c r="A1210">
        <v>8955</v>
      </c>
      <c r="B1210">
        <v>1957</v>
      </c>
      <c r="C1210" t="s">
        <v>32</v>
      </c>
      <c r="D1210" t="s">
        <v>31</v>
      </c>
      <c r="E1210">
        <v>40451</v>
      </c>
      <c r="F1210">
        <v>0</v>
      </c>
      <c r="G1210">
        <v>2</v>
      </c>
      <c r="H1210" s="1">
        <v>41686</v>
      </c>
      <c r="I1210">
        <v>54</v>
      </c>
      <c r="J1210">
        <v>35</v>
      </c>
      <c r="K1210">
        <v>0</v>
      </c>
      <c r="L1210">
        <v>4</v>
      </c>
      <c r="M1210">
        <v>0</v>
      </c>
      <c r="N1210">
        <v>0</v>
      </c>
      <c r="O1210">
        <v>10</v>
      </c>
      <c r="P1210">
        <v>1</v>
      </c>
      <c r="Q1210">
        <v>1</v>
      </c>
      <c r="R1210">
        <v>1</v>
      </c>
      <c r="S1210">
        <v>2</v>
      </c>
      <c r="T1210">
        <v>5</v>
      </c>
      <c r="U1210">
        <v>1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3</v>
      </c>
      <c r="AB1210">
        <v>11</v>
      </c>
      <c r="AC1210">
        <v>0</v>
      </c>
    </row>
    <row r="1211" spans="1:29" x14ac:dyDescent="0.3">
      <c r="A1211">
        <v>945</v>
      </c>
      <c r="B1211">
        <v>1965</v>
      </c>
      <c r="C1211" t="s">
        <v>29</v>
      </c>
      <c r="D1211" t="s">
        <v>31</v>
      </c>
      <c r="E1211">
        <v>36317</v>
      </c>
      <c r="F1211">
        <v>0</v>
      </c>
      <c r="G1211">
        <v>1</v>
      </c>
      <c r="H1211" s="1">
        <v>41416</v>
      </c>
      <c r="I1211">
        <v>53</v>
      </c>
      <c r="J1211">
        <v>87</v>
      </c>
      <c r="K1211">
        <v>3</v>
      </c>
      <c r="L1211">
        <v>25</v>
      </c>
      <c r="M1211">
        <v>3</v>
      </c>
      <c r="N1211">
        <v>2</v>
      </c>
      <c r="O1211">
        <v>13</v>
      </c>
      <c r="P1211">
        <v>2</v>
      </c>
      <c r="Q1211">
        <v>3</v>
      </c>
      <c r="R1211">
        <v>0</v>
      </c>
      <c r="S1211">
        <v>4</v>
      </c>
      <c r="T1211">
        <v>7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3</v>
      </c>
      <c r="AB1211">
        <v>11</v>
      </c>
      <c r="AC1211">
        <v>0</v>
      </c>
    </row>
    <row r="1212" spans="1:29" x14ac:dyDescent="0.3">
      <c r="A1212">
        <v>5644</v>
      </c>
      <c r="B1212">
        <v>1957</v>
      </c>
      <c r="C1212" t="s">
        <v>29</v>
      </c>
      <c r="D1212" t="s">
        <v>31</v>
      </c>
      <c r="E1212">
        <v>42213</v>
      </c>
      <c r="F1212">
        <v>0</v>
      </c>
      <c r="G1212">
        <v>1</v>
      </c>
      <c r="H1212" s="1">
        <v>41559</v>
      </c>
      <c r="I1212">
        <v>96</v>
      </c>
      <c r="J1212">
        <v>309</v>
      </c>
      <c r="K1212">
        <v>3</v>
      </c>
      <c r="L1212">
        <v>24</v>
      </c>
      <c r="M1212">
        <v>4</v>
      </c>
      <c r="N1212">
        <v>3</v>
      </c>
      <c r="O1212">
        <v>20</v>
      </c>
      <c r="P1212">
        <v>2</v>
      </c>
      <c r="Q1212">
        <v>5</v>
      </c>
      <c r="R1212">
        <v>1</v>
      </c>
      <c r="S1212">
        <v>7</v>
      </c>
      <c r="T1212">
        <v>7</v>
      </c>
      <c r="U1212">
        <v>0</v>
      </c>
      <c r="V1212">
        <v>1</v>
      </c>
      <c r="W1212">
        <v>0</v>
      </c>
      <c r="X1212">
        <v>0</v>
      </c>
      <c r="Y1212">
        <v>0</v>
      </c>
      <c r="Z1212">
        <v>0</v>
      </c>
      <c r="AA1212">
        <v>3</v>
      </c>
      <c r="AB1212">
        <v>11</v>
      </c>
      <c r="AC1212">
        <v>0</v>
      </c>
    </row>
    <row r="1213" spans="1:29" x14ac:dyDescent="0.3">
      <c r="A1213">
        <v>7192</v>
      </c>
      <c r="B1213">
        <v>1955</v>
      </c>
      <c r="C1213" t="s">
        <v>29</v>
      </c>
      <c r="D1213" t="s">
        <v>31</v>
      </c>
      <c r="E1213">
        <v>65748</v>
      </c>
      <c r="F1213">
        <v>0</v>
      </c>
      <c r="G1213">
        <v>1</v>
      </c>
      <c r="H1213" s="1">
        <v>41379</v>
      </c>
      <c r="I1213">
        <v>58</v>
      </c>
      <c r="J1213">
        <v>172</v>
      </c>
      <c r="K1213">
        <v>73</v>
      </c>
      <c r="L1213">
        <v>93</v>
      </c>
      <c r="M1213">
        <v>95</v>
      </c>
      <c r="N1213">
        <v>78</v>
      </c>
      <c r="O1213">
        <v>34</v>
      </c>
      <c r="P1213">
        <v>2</v>
      </c>
      <c r="Q1213">
        <v>2</v>
      </c>
      <c r="R1213">
        <v>4</v>
      </c>
      <c r="S1213">
        <v>10</v>
      </c>
      <c r="T1213">
        <v>1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>
        <v>3</v>
      </c>
      <c r="AB1213">
        <v>11</v>
      </c>
      <c r="AC1213">
        <v>0</v>
      </c>
    </row>
    <row r="1214" spans="1:29" x14ac:dyDescent="0.3">
      <c r="A1214">
        <v>2324</v>
      </c>
      <c r="B1214">
        <v>1972</v>
      </c>
      <c r="C1214" t="s">
        <v>29</v>
      </c>
      <c r="D1214" t="s">
        <v>31</v>
      </c>
      <c r="E1214">
        <v>77044</v>
      </c>
      <c r="F1214">
        <v>0</v>
      </c>
      <c r="G1214">
        <v>1</v>
      </c>
      <c r="H1214" s="1">
        <v>41574</v>
      </c>
      <c r="I1214">
        <v>12</v>
      </c>
      <c r="J1214">
        <v>625</v>
      </c>
      <c r="K1214">
        <v>38</v>
      </c>
      <c r="L1214">
        <v>242</v>
      </c>
      <c r="M1214">
        <v>50</v>
      </c>
      <c r="N1214">
        <v>34</v>
      </c>
      <c r="O1214">
        <v>76</v>
      </c>
      <c r="P1214">
        <v>2</v>
      </c>
      <c r="Q1214">
        <v>7</v>
      </c>
      <c r="R1214">
        <v>11</v>
      </c>
      <c r="S1214">
        <v>11</v>
      </c>
      <c r="T1214">
        <v>4</v>
      </c>
      <c r="U1214">
        <v>1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3</v>
      </c>
      <c r="AB1214">
        <v>11</v>
      </c>
      <c r="AC1214">
        <v>0</v>
      </c>
    </row>
    <row r="1215" spans="1:29" x14ac:dyDescent="0.3">
      <c r="A1215">
        <v>697</v>
      </c>
      <c r="B1215">
        <v>1969</v>
      </c>
      <c r="C1215" t="s">
        <v>29</v>
      </c>
      <c r="D1215" t="s">
        <v>31</v>
      </c>
      <c r="E1215">
        <v>74918</v>
      </c>
      <c r="F1215">
        <v>0</v>
      </c>
      <c r="G1215">
        <v>0</v>
      </c>
      <c r="H1215" s="1">
        <v>41345</v>
      </c>
      <c r="I1215">
        <v>78</v>
      </c>
      <c r="J1215">
        <v>972</v>
      </c>
      <c r="K1215">
        <v>59</v>
      </c>
      <c r="L1215">
        <v>913</v>
      </c>
      <c r="M1215">
        <v>25</v>
      </c>
      <c r="N1215">
        <v>19</v>
      </c>
      <c r="O1215">
        <v>59</v>
      </c>
      <c r="P1215">
        <v>1</v>
      </c>
      <c r="Q1215">
        <v>5</v>
      </c>
      <c r="R1215">
        <v>9</v>
      </c>
      <c r="S1215">
        <v>6</v>
      </c>
      <c r="T1215">
        <v>3</v>
      </c>
      <c r="U1215">
        <v>0</v>
      </c>
      <c r="V1215">
        <v>0</v>
      </c>
      <c r="W1215">
        <v>1</v>
      </c>
      <c r="X1215">
        <v>0</v>
      </c>
      <c r="Y1215">
        <v>0</v>
      </c>
      <c r="Z1215">
        <v>0</v>
      </c>
      <c r="AA1215">
        <v>3</v>
      </c>
      <c r="AB1215">
        <v>11</v>
      </c>
      <c r="AC1215">
        <v>0</v>
      </c>
    </row>
    <row r="1216" spans="1:29" x14ac:dyDescent="0.3">
      <c r="A1216">
        <v>3439</v>
      </c>
      <c r="B1216">
        <v>1972</v>
      </c>
      <c r="C1216" t="s">
        <v>29</v>
      </c>
      <c r="D1216" t="s">
        <v>33</v>
      </c>
      <c r="E1216">
        <v>56721</v>
      </c>
      <c r="F1216">
        <v>1</v>
      </c>
      <c r="G1216">
        <v>1</v>
      </c>
      <c r="H1216" s="1">
        <v>41213</v>
      </c>
      <c r="I1216">
        <v>64</v>
      </c>
      <c r="J1216">
        <v>157</v>
      </c>
      <c r="K1216">
        <v>6</v>
      </c>
      <c r="L1216">
        <v>39</v>
      </c>
      <c r="M1216">
        <v>6</v>
      </c>
      <c r="N1216">
        <v>13</v>
      </c>
      <c r="O1216">
        <v>75</v>
      </c>
      <c r="P1216">
        <v>5</v>
      </c>
      <c r="Q1216">
        <v>4</v>
      </c>
      <c r="R1216">
        <v>1</v>
      </c>
      <c r="S1216">
        <v>5</v>
      </c>
      <c r="T1216">
        <v>6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3</v>
      </c>
      <c r="AB1216">
        <v>11</v>
      </c>
      <c r="AC1216">
        <v>0</v>
      </c>
    </row>
    <row r="1217" spans="1:29" x14ac:dyDescent="0.3">
      <c r="A1217">
        <v>1506</v>
      </c>
      <c r="B1217">
        <v>1975</v>
      </c>
      <c r="C1217" t="s">
        <v>29</v>
      </c>
      <c r="D1217" t="s">
        <v>30</v>
      </c>
      <c r="E1217">
        <v>42160</v>
      </c>
      <c r="F1217">
        <v>1</v>
      </c>
      <c r="G1217">
        <v>1</v>
      </c>
      <c r="H1217" s="1">
        <v>41453</v>
      </c>
      <c r="I1217">
        <v>26</v>
      </c>
      <c r="J1217">
        <v>48</v>
      </c>
      <c r="K1217">
        <v>9</v>
      </c>
      <c r="L1217">
        <v>45</v>
      </c>
      <c r="M1217">
        <v>3</v>
      </c>
      <c r="N1217">
        <v>15</v>
      </c>
      <c r="O1217">
        <v>20</v>
      </c>
      <c r="P1217">
        <v>4</v>
      </c>
      <c r="Q1217">
        <v>2</v>
      </c>
      <c r="R1217">
        <v>1</v>
      </c>
      <c r="S1217">
        <v>4</v>
      </c>
      <c r="T1217">
        <v>6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3</v>
      </c>
      <c r="AB1217">
        <v>11</v>
      </c>
      <c r="AC1217">
        <v>1</v>
      </c>
    </row>
    <row r="1218" spans="1:29" x14ac:dyDescent="0.3">
      <c r="A1218">
        <v>232</v>
      </c>
      <c r="B1218">
        <v>1965</v>
      </c>
      <c r="C1218" t="s">
        <v>29</v>
      </c>
      <c r="D1218" t="s">
        <v>30</v>
      </c>
      <c r="E1218">
        <v>61559</v>
      </c>
      <c r="F1218">
        <v>0</v>
      </c>
      <c r="G1218">
        <v>1</v>
      </c>
      <c r="H1218" s="1">
        <v>41472</v>
      </c>
      <c r="I1218">
        <v>8</v>
      </c>
      <c r="J1218">
        <v>279</v>
      </c>
      <c r="K1218">
        <v>83</v>
      </c>
      <c r="L1218">
        <v>88</v>
      </c>
      <c r="M1218">
        <v>32</v>
      </c>
      <c r="N1218">
        <v>14</v>
      </c>
      <c r="O1218">
        <v>34</v>
      </c>
      <c r="P1218">
        <v>1</v>
      </c>
      <c r="Q1218">
        <v>4</v>
      </c>
      <c r="R1218">
        <v>2</v>
      </c>
      <c r="S1218">
        <v>10</v>
      </c>
      <c r="T1218">
        <v>3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3</v>
      </c>
      <c r="AB1218">
        <v>11</v>
      </c>
      <c r="AC1218">
        <v>0</v>
      </c>
    </row>
    <row r="1219" spans="1:29" x14ac:dyDescent="0.3">
      <c r="A1219">
        <v>8876</v>
      </c>
      <c r="B1219">
        <v>1963</v>
      </c>
      <c r="C1219" t="s">
        <v>32</v>
      </c>
      <c r="D1219" t="s">
        <v>31</v>
      </c>
      <c r="E1219">
        <v>33629</v>
      </c>
      <c r="F1219">
        <v>1</v>
      </c>
      <c r="G1219">
        <v>1</v>
      </c>
      <c r="H1219" s="1">
        <v>41129</v>
      </c>
      <c r="I1219">
        <v>49</v>
      </c>
      <c r="J1219">
        <v>132</v>
      </c>
      <c r="K1219">
        <v>0</v>
      </c>
      <c r="L1219">
        <v>16</v>
      </c>
      <c r="M1219">
        <v>0</v>
      </c>
      <c r="N1219">
        <v>0</v>
      </c>
      <c r="O1219">
        <v>4</v>
      </c>
      <c r="P1219">
        <v>5</v>
      </c>
      <c r="Q1219">
        <v>3</v>
      </c>
      <c r="R1219">
        <v>1</v>
      </c>
      <c r="S1219">
        <v>4</v>
      </c>
      <c r="T1219">
        <v>9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3</v>
      </c>
      <c r="AB1219">
        <v>11</v>
      </c>
      <c r="AC1219">
        <v>0</v>
      </c>
    </row>
    <row r="1220" spans="1:29" x14ac:dyDescent="0.3">
      <c r="A1220">
        <v>4500</v>
      </c>
      <c r="B1220">
        <v>1991</v>
      </c>
      <c r="C1220" t="s">
        <v>32</v>
      </c>
      <c r="D1220" t="s">
        <v>31</v>
      </c>
      <c r="E1220">
        <v>68682</v>
      </c>
      <c r="F1220">
        <v>0</v>
      </c>
      <c r="G1220">
        <v>0</v>
      </c>
      <c r="H1220" s="1">
        <v>41553</v>
      </c>
      <c r="I1220">
        <v>56</v>
      </c>
      <c r="J1220">
        <v>919</v>
      </c>
      <c r="K1220">
        <v>0</v>
      </c>
      <c r="L1220">
        <v>505</v>
      </c>
      <c r="M1220">
        <v>99</v>
      </c>
      <c r="N1220">
        <v>30</v>
      </c>
      <c r="O1220">
        <v>45</v>
      </c>
      <c r="P1220">
        <v>1</v>
      </c>
      <c r="Q1220">
        <v>4</v>
      </c>
      <c r="R1220">
        <v>9</v>
      </c>
      <c r="S1220">
        <v>10</v>
      </c>
      <c r="T1220">
        <v>2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3</v>
      </c>
      <c r="AB1220">
        <v>11</v>
      </c>
      <c r="AC1220">
        <v>0</v>
      </c>
    </row>
    <row r="1221" spans="1:29" x14ac:dyDescent="0.3">
      <c r="A1221">
        <v>9739</v>
      </c>
      <c r="B1221">
        <v>1963</v>
      </c>
      <c r="C1221" t="s">
        <v>29</v>
      </c>
      <c r="D1221" t="s">
        <v>30</v>
      </c>
      <c r="E1221">
        <v>34377</v>
      </c>
      <c r="F1221">
        <v>0</v>
      </c>
      <c r="G1221">
        <v>1</v>
      </c>
      <c r="H1221" s="1">
        <v>41293</v>
      </c>
      <c r="I1221">
        <v>55</v>
      </c>
      <c r="J1221">
        <v>62</v>
      </c>
      <c r="K1221">
        <v>0</v>
      </c>
      <c r="L1221">
        <v>22</v>
      </c>
      <c r="M1221">
        <v>3</v>
      </c>
      <c r="N1221">
        <v>1</v>
      </c>
      <c r="O1221">
        <v>26</v>
      </c>
      <c r="P1221">
        <v>2</v>
      </c>
      <c r="Q1221">
        <v>2</v>
      </c>
      <c r="R1221">
        <v>2</v>
      </c>
      <c r="S1221">
        <v>2</v>
      </c>
      <c r="T1221">
        <v>7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3</v>
      </c>
      <c r="AB1221">
        <v>11</v>
      </c>
      <c r="AC1221">
        <v>0</v>
      </c>
    </row>
    <row r="1222" spans="1:29" x14ac:dyDescent="0.3">
      <c r="A1222">
        <v>10395</v>
      </c>
      <c r="B1222">
        <v>1986</v>
      </c>
      <c r="C1222" t="s">
        <v>36</v>
      </c>
      <c r="D1222" t="s">
        <v>30</v>
      </c>
      <c r="E1222">
        <v>8940</v>
      </c>
      <c r="F1222">
        <v>1</v>
      </c>
      <c r="G1222">
        <v>0</v>
      </c>
      <c r="H1222" s="1">
        <v>41143</v>
      </c>
      <c r="I1222">
        <v>25</v>
      </c>
      <c r="J1222">
        <v>1</v>
      </c>
      <c r="K1222">
        <v>45</v>
      </c>
      <c r="L1222">
        <v>3</v>
      </c>
      <c r="M1222">
        <v>4</v>
      </c>
      <c r="N1222">
        <v>6</v>
      </c>
      <c r="O1222">
        <v>42</v>
      </c>
      <c r="P1222">
        <v>3</v>
      </c>
      <c r="Q1222">
        <v>3</v>
      </c>
      <c r="R1222">
        <v>1</v>
      </c>
      <c r="S1222">
        <v>3</v>
      </c>
      <c r="T1222">
        <v>8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3</v>
      </c>
      <c r="AB1222">
        <v>11</v>
      </c>
      <c r="AC1222">
        <v>0</v>
      </c>
    </row>
    <row r="1223" spans="1:29" x14ac:dyDescent="0.3">
      <c r="A1223">
        <v>1176</v>
      </c>
      <c r="B1223">
        <v>1973</v>
      </c>
      <c r="C1223" t="s">
        <v>29</v>
      </c>
      <c r="D1223" t="s">
        <v>33</v>
      </c>
      <c r="E1223">
        <v>26228</v>
      </c>
      <c r="F1223">
        <v>1</v>
      </c>
      <c r="G1223">
        <v>0</v>
      </c>
      <c r="H1223" s="1">
        <v>41539</v>
      </c>
      <c r="I1223">
        <v>50</v>
      </c>
      <c r="J1223">
        <v>2</v>
      </c>
      <c r="K1223">
        <v>6</v>
      </c>
      <c r="L1223">
        <v>4</v>
      </c>
      <c r="M1223">
        <v>3</v>
      </c>
      <c r="N1223">
        <v>1</v>
      </c>
      <c r="O1223">
        <v>9</v>
      </c>
      <c r="P1223">
        <v>1</v>
      </c>
      <c r="Q1223">
        <v>1</v>
      </c>
      <c r="R1223">
        <v>0</v>
      </c>
      <c r="S1223">
        <v>2</v>
      </c>
      <c r="T1223">
        <v>8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3</v>
      </c>
      <c r="AB1223">
        <v>11</v>
      </c>
      <c r="AC1223">
        <v>0</v>
      </c>
    </row>
    <row r="1224" spans="1:29" x14ac:dyDescent="0.3">
      <c r="A1224">
        <v>1627</v>
      </c>
      <c r="B1224">
        <v>1957</v>
      </c>
      <c r="C1224" t="s">
        <v>37</v>
      </c>
      <c r="D1224" t="s">
        <v>35</v>
      </c>
      <c r="E1224">
        <v>77297</v>
      </c>
      <c r="F1224">
        <v>0</v>
      </c>
      <c r="G1224">
        <v>0</v>
      </c>
      <c r="H1224" s="1">
        <v>41300</v>
      </c>
      <c r="I1224">
        <v>84</v>
      </c>
      <c r="J1224">
        <v>408</v>
      </c>
      <c r="K1224">
        <v>61</v>
      </c>
      <c r="L1224">
        <v>109</v>
      </c>
      <c r="M1224">
        <v>48</v>
      </c>
      <c r="N1224">
        <v>122</v>
      </c>
      <c r="O1224">
        <v>41</v>
      </c>
      <c r="P1224">
        <v>1</v>
      </c>
      <c r="Q1224">
        <v>5</v>
      </c>
      <c r="R1224">
        <v>7</v>
      </c>
      <c r="S1224">
        <v>9</v>
      </c>
      <c r="T1224">
        <v>4</v>
      </c>
      <c r="U1224">
        <v>0</v>
      </c>
      <c r="V1224">
        <v>0</v>
      </c>
      <c r="W1224">
        <v>0</v>
      </c>
      <c r="X1224">
        <v>1</v>
      </c>
      <c r="Y1224">
        <v>0</v>
      </c>
      <c r="Z1224">
        <v>0</v>
      </c>
      <c r="AA1224">
        <v>3</v>
      </c>
      <c r="AB1224">
        <v>11</v>
      </c>
      <c r="AC1224">
        <v>0</v>
      </c>
    </row>
    <row r="1225" spans="1:29" x14ac:dyDescent="0.3">
      <c r="A1225">
        <v>938</v>
      </c>
      <c r="B1225">
        <v>1981</v>
      </c>
      <c r="C1225" t="s">
        <v>29</v>
      </c>
      <c r="D1225" t="s">
        <v>33</v>
      </c>
      <c r="E1225">
        <v>40211</v>
      </c>
      <c r="F1225">
        <v>1</v>
      </c>
      <c r="G1225">
        <v>1</v>
      </c>
      <c r="H1225" s="1">
        <v>41485</v>
      </c>
      <c r="I1225">
        <v>30</v>
      </c>
      <c r="J1225">
        <v>51</v>
      </c>
      <c r="K1225">
        <v>1</v>
      </c>
      <c r="L1225">
        <v>7</v>
      </c>
      <c r="M1225">
        <v>2</v>
      </c>
      <c r="N1225">
        <v>1</v>
      </c>
      <c r="O1225">
        <v>25</v>
      </c>
      <c r="P1225">
        <v>2</v>
      </c>
      <c r="Q1225">
        <v>2</v>
      </c>
      <c r="R1225">
        <v>1</v>
      </c>
      <c r="S1225">
        <v>2</v>
      </c>
      <c r="T1225">
        <v>8</v>
      </c>
      <c r="U1225">
        <v>1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3</v>
      </c>
      <c r="AB1225">
        <v>11</v>
      </c>
      <c r="AC1225">
        <v>0</v>
      </c>
    </row>
    <row r="1226" spans="1:29" x14ac:dyDescent="0.3">
      <c r="A1226">
        <v>2740</v>
      </c>
      <c r="B1226">
        <v>1958</v>
      </c>
      <c r="C1226" t="s">
        <v>32</v>
      </c>
      <c r="D1226" t="s">
        <v>38</v>
      </c>
      <c r="E1226">
        <v>33438</v>
      </c>
      <c r="F1226">
        <v>1</v>
      </c>
      <c r="G1226">
        <v>1</v>
      </c>
      <c r="H1226" s="1">
        <v>41539</v>
      </c>
      <c r="I1226">
        <v>81</v>
      </c>
      <c r="J1226">
        <v>62</v>
      </c>
      <c r="K1226">
        <v>1</v>
      </c>
      <c r="L1226">
        <v>16</v>
      </c>
      <c r="M1226">
        <v>3</v>
      </c>
      <c r="N1226">
        <v>2</v>
      </c>
      <c r="O1226">
        <v>6</v>
      </c>
      <c r="P1226">
        <v>4</v>
      </c>
      <c r="Q1226">
        <v>2</v>
      </c>
      <c r="R1226">
        <v>1</v>
      </c>
      <c r="S1226">
        <v>4</v>
      </c>
      <c r="T1226">
        <v>5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3</v>
      </c>
      <c r="AB1226">
        <v>11</v>
      </c>
      <c r="AC1226">
        <v>0</v>
      </c>
    </row>
    <row r="1227" spans="1:29" x14ac:dyDescent="0.3">
      <c r="A1227">
        <v>257</v>
      </c>
      <c r="B1227">
        <v>1959</v>
      </c>
      <c r="C1227" t="s">
        <v>32</v>
      </c>
      <c r="D1227" t="s">
        <v>33</v>
      </c>
      <c r="E1227">
        <v>75032</v>
      </c>
      <c r="F1227">
        <v>0</v>
      </c>
      <c r="G1227">
        <v>1</v>
      </c>
      <c r="H1227" s="1">
        <v>41392</v>
      </c>
      <c r="I1227">
        <v>74</v>
      </c>
      <c r="J1227">
        <v>952</v>
      </c>
      <c r="K1227">
        <v>12</v>
      </c>
      <c r="L1227">
        <v>180</v>
      </c>
      <c r="M1227">
        <v>47</v>
      </c>
      <c r="N1227">
        <v>12</v>
      </c>
      <c r="O1227">
        <v>12</v>
      </c>
      <c r="P1227">
        <v>2</v>
      </c>
      <c r="Q1227">
        <v>5</v>
      </c>
      <c r="R1227">
        <v>4</v>
      </c>
      <c r="S1227">
        <v>9</v>
      </c>
      <c r="T1227">
        <v>3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3</v>
      </c>
      <c r="AB1227">
        <v>11</v>
      </c>
      <c r="AC1227">
        <v>0</v>
      </c>
    </row>
    <row r="1228" spans="1:29" x14ac:dyDescent="0.3">
      <c r="A1228">
        <v>4058</v>
      </c>
      <c r="B1228">
        <v>1955</v>
      </c>
      <c r="C1228" t="s">
        <v>32</v>
      </c>
      <c r="D1228" t="s">
        <v>30</v>
      </c>
      <c r="E1228">
        <v>61284</v>
      </c>
      <c r="F1228">
        <v>0</v>
      </c>
      <c r="G1228">
        <v>0</v>
      </c>
      <c r="H1228" s="1">
        <v>41559</v>
      </c>
      <c r="I1228">
        <v>76</v>
      </c>
      <c r="J1228">
        <v>618</v>
      </c>
      <c r="K1228">
        <v>15</v>
      </c>
      <c r="L1228">
        <v>106</v>
      </c>
      <c r="M1228">
        <v>20</v>
      </c>
      <c r="N1228">
        <v>7</v>
      </c>
      <c r="O1228">
        <v>45</v>
      </c>
      <c r="P1228">
        <v>1</v>
      </c>
      <c r="Q1228">
        <v>11</v>
      </c>
      <c r="R1228">
        <v>2</v>
      </c>
      <c r="S1228">
        <v>8</v>
      </c>
      <c r="T1228">
        <v>6</v>
      </c>
      <c r="U1228">
        <v>0</v>
      </c>
      <c r="V1228">
        <v>1</v>
      </c>
      <c r="W1228">
        <v>0</v>
      </c>
      <c r="X1228">
        <v>0</v>
      </c>
      <c r="Y1228">
        <v>0</v>
      </c>
      <c r="Z1228">
        <v>0</v>
      </c>
      <c r="AA1228">
        <v>3</v>
      </c>
      <c r="AB1228">
        <v>11</v>
      </c>
      <c r="AC1228">
        <v>0</v>
      </c>
    </row>
    <row r="1229" spans="1:29" x14ac:dyDescent="0.3">
      <c r="A1229">
        <v>7736</v>
      </c>
      <c r="B1229">
        <v>1986</v>
      </c>
      <c r="C1229" t="s">
        <v>29</v>
      </c>
      <c r="D1229" t="s">
        <v>33</v>
      </c>
      <c r="E1229">
        <v>22518</v>
      </c>
      <c r="F1229">
        <v>1</v>
      </c>
      <c r="G1229">
        <v>0</v>
      </c>
      <c r="H1229" s="1">
        <v>41204</v>
      </c>
      <c r="I1229">
        <v>36</v>
      </c>
      <c r="J1229">
        <v>11</v>
      </c>
      <c r="K1229">
        <v>7</v>
      </c>
      <c r="L1229">
        <v>12</v>
      </c>
      <c r="M1229">
        <v>2</v>
      </c>
      <c r="N1229">
        <v>2</v>
      </c>
      <c r="O1229">
        <v>27</v>
      </c>
      <c r="P1229">
        <v>2</v>
      </c>
      <c r="Q1229">
        <v>2</v>
      </c>
      <c r="R1229">
        <v>1</v>
      </c>
      <c r="S1229">
        <v>2</v>
      </c>
      <c r="T1229">
        <v>5</v>
      </c>
      <c r="U1229">
        <v>1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3</v>
      </c>
      <c r="AB1229">
        <v>11</v>
      </c>
      <c r="AC1229">
        <v>1</v>
      </c>
    </row>
    <row r="1230" spans="1:29" x14ac:dyDescent="0.3">
      <c r="A1230">
        <v>8210</v>
      </c>
      <c r="B1230">
        <v>1975</v>
      </c>
      <c r="C1230" t="s">
        <v>34</v>
      </c>
      <c r="D1230" t="s">
        <v>33</v>
      </c>
      <c r="E1230">
        <v>54730</v>
      </c>
      <c r="F1230">
        <v>0</v>
      </c>
      <c r="G1230">
        <v>1</v>
      </c>
      <c r="H1230" s="1">
        <v>41501</v>
      </c>
      <c r="I1230">
        <v>64</v>
      </c>
      <c r="J1230">
        <v>318</v>
      </c>
      <c r="K1230">
        <v>3</v>
      </c>
      <c r="L1230">
        <v>17</v>
      </c>
      <c r="M1230">
        <v>4</v>
      </c>
      <c r="N1230">
        <v>7</v>
      </c>
      <c r="O1230">
        <v>56</v>
      </c>
      <c r="P1230">
        <v>5</v>
      </c>
      <c r="Q1230">
        <v>4</v>
      </c>
      <c r="R1230">
        <v>1</v>
      </c>
      <c r="S1230">
        <v>8</v>
      </c>
      <c r="T1230">
        <v>4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3</v>
      </c>
      <c r="AB1230">
        <v>11</v>
      </c>
      <c r="AC1230">
        <v>0</v>
      </c>
    </row>
    <row r="1231" spans="1:29" x14ac:dyDescent="0.3">
      <c r="A1231">
        <v>833</v>
      </c>
      <c r="B1231">
        <v>1955</v>
      </c>
      <c r="C1231" t="s">
        <v>34</v>
      </c>
      <c r="D1231" t="s">
        <v>33</v>
      </c>
      <c r="E1231">
        <v>38452</v>
      </c>
      <c r="F1231">
        <v>1</v>
      </c>
      <c r="G1231">
        <v>1</v>
      </c>
      <c r="H1231" s="1">
        <v>41728</v>
      </c>
      <c r="I1231">
        <v>62</v>
      </c>
      <c r="J1231">
        <v>56</v>
      </c>
      <c r="K1231">
        <v>0</v>
      </c>
      <c r="L1231">
        <v>14</v>
      </c>
      <c r="M1231">
        <v>0</v>
      </c>
      <c r="N1231">
        <v>0</v>
      </c>
      <c r="O1231">
        <v>2</v>
      </c>
      <c r="P1231">
        <v>3</v>
      </c>
      <c r="Q1231">
        <v>3</v>
      </c>
      <c r="R1231">
        <v>0</v>
      </c>
      <c r="S1231">
        <v>3</v>
      </c>
      <c r="T1231">
        <v>7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3</v>
      </c>
      <c r="AB1231">
        <v>11</v>
      </c>
      <c r="AC1231">
        <v>0</v>
      </c>
    </row>
    <row r="1232" spans="1:29" x14ac:dyDescent="0.3">
      <c r="A1232">
        <v>6230</v>
      </c>
      <c r="B1232">
        <v>1971</v>
      </c>
      <c r="C1232" t="s">
        <v>29</v>
      </c>
      <c r="D1232" t="s">
        <v>35</v>
      </c>
      <c r="E1232">
        <v>44421</v>
      </c>
      <c r="F1232">
        <v>1</v>
      </c>
      <c r="G1232">
        <v>1</v>
      </c>
      <c r="H1232" s="1">
        <v>41320</v>
      </c>
      <c r="I1232">
        <v>53</v>
      </c>
      <c r="J1232">
        <v>110</v>
      </c>
      <c r="K1232">
        <v>5</v>
      </c>
      <c r="L1232">
        <v>59</v>
      </c>
      <c r="M1232">
        <v>7</v>
      </c>
      <c r="N1232">
        <v>1</v>
      </c>
      <c r="O1232">
        <v>7</v>
      </c>
      <c r="P1232">
        <v>5</v>
      </c>
      <c r="Q1232">
        <v>5</v>
      </c>
      <c r="R1232">
        <v>0</v>
      </c>
      <c r="S1232">
        <v>4</v>
      </c>
      <c r="T1232">
        <v>8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3</v>
      </c>
      <c r="AB1232">
        <v>11</v>
      </c>
      <c r="AC1232">
        <v>0</v>
      </c>
    </row>
    <row r="1233" spans="1:29" x14ac:dyDescent="0.3">
      <c r="A1233">
        <v>7325</v>
      </c>
      <c r="B1233">
        <v>1986</v>
      </c>
      <c r="C1233" t="s">
        <v>32</v>
      </c>
      <c r="D1233" t="s">
        <v>31</v>
      </c>
      <c r="E1233">
        <v>38197</v>
      </c>
      <c r="F1233">
        <v>1</v>
      </c>
      <c r="G1233">
        <v>0</v>
      </c>
      <c r="H1233" s="1">
        <v>41454</v>
      </c>
      <c r="I1233">
        <v>86</v>
      </c>
      <c r="J1233">
        <v>23</v>
      </c>
      <c r="K1233">
        <v>0</v>
      </c>
      <c r="L1233">
        <v>11</v>
      </c>
      <c r="M1233">
        <v>2</v>
      </c>
      <c r="N1233">
        <v>1</v>
      </c>
      <c r="O1233">
        <v>3</v>
      </c>
      <c r="P1233">
        <v>1</v>
      </c>
      <c r="Q1233">
        <v>1</v>
      </c>
      <c r="R1233">
        <v>0</v>
      </c>
      <c r="S1233">
        <v>3</v>
      </c>
      <c r="T1233">
        <v>5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3</v>
      </c>
      <c r="AB1233">
        <v>11</v>
      </c>
      <c r="AC1233">
        <v>0</v>
      </c>
    </row>
    <row r="1234" spans="1:29" x14ac:dyDescent="0.3">
      <c r="A1234">
        <v>1307</v>
      </c>
      <c r="B1234">
        <v>1978</v>
      </c>
      <c r="C1234" t="s">
        <v>29</v>
      </c>
      <c r="D1234" t="s">
        <v>35</v>
      </c>
      <c r="E1234">
        <v>41986</v>
      </c>
      <c r="F1234">
        <v>0</v>
      </c>
      <c r="G1234">
        <v>1</v>
      </c>
      <c r="H1234" s="1">
        <v>41679</v>
      </c>
      <c r="I1234">
        <v>15</v>
      </c>
      <c r="J1234">
        <v>27</v>
      </c>
      <c r="K1234">
        <v>5</v>
      </c>
      <c r="L1234">
        <v>8</v>
      </c>
      <c r="M1234">
        <v>8</v>
      </c>
      <c r="N1234">
        <v>3</v>
      </c>
      <c r="O1234">
        <v>12</v>
      </c>
      <c r="P1234">
        <v>3</v>
      </c>
      <c r="Q1234">
        <v>3</v>
      </c>
      <c r="R1234">
        <v>0</v>
      </c>
      <c r="S1234">
        <v>4</v>
      </c>
      <c r="T1234">
        <v>4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3</v>
      </c>
      <c r="AB1234">
        <v>11</v>
      </c>
      <c r="AC1234">
        <v>0</v>
      </c>
    </row>
    <row r="1235" spans="1:29" x14ac:dyDescent="0.3">
      <c r="A1235">
        <v>1502</v>
      </c>
      <c r="B1235">
        <v>1983</v>
      </c>
      <c r="C1235" t="s">
        <v>29</v>
      </c>
      <c r="D1235" t="s">
        <v>31</v>
      </c>
      <c r="E1235">
        <v>28427</v>
      </c>
      <c r="F1235">
        <v>1</v>
      </c>
      <c r="G1235">
        <v>0</v>
      </c>
      <c r="H1235" s="1">
        <v>41354</v>
      </c>
      <c r="I1235">
        <v>67</v>
      </c>
      <c r="J1235">
        <v>18</v>
      </c>
      <c r="K1235">
        <v>3</v>
      </c>
      <c r="L1235">
        <v>19</v>
      </c>
      <c r="M1235">
        <v>3</v>
      </c>
      <c r="N1235">
        <v>3</v>
      </c>
      <c r="O1235">
        <v>6</v>
      </c>
      <c r="P1235">
        <v>2</v>
      </c>
      <c r="Q1235">
        <v>2</v>
      </c>
      <c r="R1235">
        <v>0</v>
      </c>
      <c r="S1235">
        <v>3</v>
      </c>
      <c r="T1235">
        <v>8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3</v>
      </c>
      <c r="AB1235">
        <v>11</v>
      </c>
      <c r="AC1235">
        <v>0</v>
      </c>
    </row>
    <row r="1236" spans="1:29" x14ac:dyDescent="0.3">
      <c r="A1236">
        <v>6211</v>
      </c>
      <c r="B1236">
        <v>1976</v>
      </c>
      <c r="C1236" t="s">
        <v>32</v>
      </c>
      <c r="D1236" t="s">
        <v>31</v>
      </c>
      <c r="E1236">
        <v>37395</v>
      </c>
      <c r="F1236">
        <v>1</v>
      </c>
      <c r="G1236">
        <v>0</v>
      </c>
      <c r="H1236" s="1">
        <v>41761</v>
      </c>
      <c r="I1236">
        <v>47</v>
      </c>
      <c r="J1236">
        <v>18</v>
      </c>
      <c r="K1236">
        <v>0</v>
      </c>
      <c r="L1236">
        <v>9</v>
      </c>
      <c r="M1236">
        <v>0</v>
      </c>
      <c r="N1236">
        <v>1</v>
      </c>
      <c r="O1236">
        <v>11</v>
      </c>
      <c r="P1236">
        <v>1</v>
      </c>
      <c r="Q1236">
        <v>1</v>
      </c>
      <c r="R1236">
        <v>0</v>
      </c>
      <c r="S1236">
        <v>3</v>
      </c>
      <c r="T1236">
        <v>6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3</v>
      </c>
      <c r="AB1236">
        <v>11</v>
      </c>
      <c r="AC1236">
        <v>0</v>
      </c>
    </row>
    <row r="1237" spans="1:29" x14ac:dyDescent="0.3">
      <c r="A1237">
        <v>843</v>
      </c>
      <c r="B1237">
        <v>1971</v>
      </c>
      <c r="C1237" t="s">
        <v>29</v>
      </c>
      <c r="D1237" t="s">
        <v>33</v>
      </c>
      <c r="E1237">
        <v>64722</v>
      </c>
      <c r="F1237">
        <v>1</v>
      </c>
      <c r="G1237">
        <v>0</v>
      </c>
      <c r="H1237" s="1">
        <v>41785</v>
      </c>
      <c r="I1237">
        <v>47</v>
      </c>
      <c r="J1237">
        <v>303</v>
      </c>
      <c r="K1237">
        <v>0</v>
      </c>
      <c r="L1237">
        <v>280</v>
      </c>
      <c r="M1237">
        <v>60</v>
      </c>
      <c r="N1237">
        <v>147</v>
      </c>
      <c r="O1237">
        <v>15</v>
      </c>
      <c r="P1237">
        <v>4</v>
      </c>
      <c r="Q1237">
        <v>8</v>
      </c>
      <c r="R1237">
        <v>2</v>
      </c>
      <c r="S1237">
        <v>11</v>
      </c>
      <c r="T1237">
        <v>6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3</v>
      </c>
      <c r="AB1237">
        <v>11</v>
      </c>
      <c r="AC1237">
        <v>0</v>
      </c>
    </row>
    <row r="1238" spans="1:29" x14ac:dyDescent="0.3">
      <c r="A1238">
        <v>4174</v>
      </c>
      <c r="B1238">
        <v>1956</v>
      </c>
      <c r="C1238" t="s">
        <v>34</v>
      </c>
      <c r="D1238" t="s">
        <v>31</v>
      </c>
      <c r="E1238">
        <v>55249</v>
      </c>
      <c r="F1238">
        <v>0</v>
      </c>
      <c r="G1238">
        <v>1</v>
      </c>
      <c r="H1238" s="1">
        <v>41746</v>
      </c>
      <c r="I1238">
        <v>81</v>
      </c>
      <c r="J1238">
        <v>97</v>
      </c>
      <c r="K1238">
        <v>1</v>
      </c>
      <c r="L1238">
        <v>19</v>
      </c>
      <c r="M1238">
        <v>2</v>
      </c>
      <c r="N1238">
        <v>0</v>
      </c>
      <c r="O1238">
        <v>11</v>
      </c>
      <c r="P1238">
        <v>1</v>
      </c>
      <c r="Q1238">
        <v>2</v>
      </c>
      <c r="R1238">
        <v>1</v>
      </c>
      <c r="S1238">
        <v>4</v>
      </c>
      <c r="T1238">
        <v>3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3</v>
      </c>
      <c r="AB1238">
        <v>11</v>
      </c>
      <c r="AC1238">
        <v>0</v>
      </c>
    </row>
    <row r="1239" spans="1:29" x14ac:dyDescent="0.3">
      <c r="A1239">
        <v>9757</v>
      </c>
      <c r="B1239">
        <v>1972</v>
      </c>
      <c r="C1239" t="s">
        <v>29</v>
      </c>
      <c r="D1239" t="s">
        <v>31</v>
      </c>
      <c r="E1239">
        <v>84906</v>
      </c>
      <c r="F1239">
        <v>0</v>
      </c>
      <c r="G1239">
        <v>0</v>
      </c>
      <c r="H1239" s="1">
        <v>41551</v>
      </c>
      <c r="I1239">
        <v>98</v>
      </c>
      <c r="J1239">
        <v>997</v>
      </c>
      <c r="K1239">
        <v>15</v>
      </c>
      <c r="L1239">
        <v>414</v>
      </c>
      <c r="M1239">
        <v>99</v>
      </c>
      <c r="N1239">
        <v>30</v>
      </c>
      <c r="O1239">
        <v>76</v>
      </c>
      <c r="P1239">
        <v>1</v>
      </c>
      <c r="Q1239">
        <v>5</v>
      </c>
      <c r="R1239">
        <v>6</v>
      </c>
      <c r="S1239">
        <v>12</v>
      </c>
      <c r="T1239">
        <v>2</v>
      </c>
      <c r="U1239">
        <v>0</v>
      </c>
      <c r="V1239">
        <v>1</v>
      </c>
      <c r="W1239">
        <v>1</v>
      </c>
      <c r="X1239">
        <v>0</v>
      </c>
      <c r="Y1239">
        <v>1</v>
      </c>
      <c r="Z1239">
        <v>0</v>
      </c>
      <c r="AA1239">
        <v>3</v>
      </c>
      <c r="AB1239">
        <v>11</v>
      </c>
      <c r="AC1239">
        <v>0</v>
      </c>
    </row>
    <row r="1240" spans="1:29" x14ac:dyDescent="0.3">
      <c r="A1240">
        <v>6918</v>
      </c>
      <c r="B1240">
        <v>1989</v>
      </c>
      <c r="C1240" t="s">
        <v>29</v>
      </c>
      <c r="D1240" t="s">
        <v>33</v>
      </c>
      <c r="E1240">
        <v>28691</v>
      </c>
      <c r="F1240">
        <v>1</v>
      </c>
      <c r="G1240">
        <v>0</v>
      </c>
      <c r="H1240" s="1">
        <v>41459</v>
      </c>
      <c r="I1240">
        <v>56</v>
      </c>
      <c r="J1240">
        <v>5</v>
      </c>
      <c r="K1240">
        <v>4</v>
      </c>
      <c r="L1240">
        <v>13</v>
      </c>
      <c r="M1240">
        <v>8</v>
      </c>
      <c r="N1240">
        <v>0</v>
      </c>
      <c r="O1240">
        <v>4</v>
      </c>
      <c r="P1240">
        <v>1</v>
      </c>
      <c r="Q1240">
        <v>1</v>
      </c>
      <c r="R1240">
        <v>0</v>
      </c>
      <c r="S1240">
        <v>3</v>
      </c>
      <c r="T1240">
        <v>8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3</v>
      </c>
      <c r="AB1240">
        <v>11</v>
      </c>
      <c r="AC1240">
        <v>0</v>
      </c>
    </row>
    <row r="1241" spans="1:29" x14ac:dyDescent="0.3">
      <c r="A1241">
        <v>286</v>
      </c>
      <c r="B1241">
        <v>1952</v>
      </c>
      <c r="C1241" t="s">
        <v>29</v>
      </c>
      <c r="D1241" t="s">
        <v>30</v>
      </c>
      <c r="E1241">
        <v>44213</v>
      </c>
      <c r="F1241">
        <v>1</v>
      </c>
      <c r="G1241">
        <v>1</v>
      </c>
      <c r="H1241" s="1">
        <v>41607</v>
      </c>
      <c r="I1241">
        <v>48</v>
      </c>
      <c r="J1241">
        <v>95</v>
      </c>
      <c r="K1241">
        <v>11</v>
      </c>
      <c r="L1241">
        <v>35</v>
      </c>
      <c r="M1241">
        <v>0</v>
      </c>
      <c r="N1241">
        <v>4</v>
      </c>
      <c r="O1241">
        <v>7</v>
      </c>
      <c r="P1241">
        <v>4</v>
      </c>
      <c r="Q1241">
        <v>2</v>
      </c>
      <c r="R1241">
        <v>1</v>
      </c>
      <c r="S1241">
        <v>5</v>
      </c>
      <c r="T1241">
        <v>6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3</v>
      </c>
      <c r="AB1241">
        <v>11</v>
      </c>
      <c r="AC1241">
        <v>0</v>
      </c>
    </row>
    <row r="1242" spans="1:29" x14ac:dyDescent="0.3">
      <c r="A1242">
        <v>11086</v>
      </c>
      <c r="B1242">
        <v>1984</v>
      </c>
      <c r="C1242" t="s">
        <v>36</v>
      </c>
      <c r="D1242" t="s">
        <v>30</v>
      </c>
      <c r="E1242">
        <v>25707</v>
      </c>
      <c r="F1242">
        <v>1</v>
      </c>
      <c r="G1242">
        <v>0</v>
      </c>
      <c r="H1242" s="1">
        <v>41657</v>
      </c>
      <c r="I1242">
        <v>18</v>
      </c>
      <c r="J1242">
        <v>1</v>
      </c>
      <c r="K1242">
        <v>6</v>
      </c>
      <c r="L1242">
        <v>2</v>
      </c>
      <c r="M1242">
        <v>3</v>
      </c>
      <c r="N1242">
        <v>6</v>
      </c>
      <c r="O1242">
        <v>3</v>
      </c>
      <c r="P1242">
        <v>1</v>
      </c>
      <c r="Q1242">
        <v>1</v>
      </c>
      <c r="R1242">
        <v>0</v>
      </c>
      <c r="S1242">
        <v>3</v>
      </c>
      <c r="T1242">
        <v>7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3</v>
      </c>
      <c r="AB1242">
        <v>11</v>
      </c>
      <c r="AC1242">
        <v>0</v>
      </c>
    </row>
    <row r="1243" spans="1:29" x14ac:dyDescent="0.3">
      <c r="A1243">
        <v>1921</v>
      </c>
      <c r="B1243">
        <v>1967</v>
      </c>
      <c r="C1243" t="s">
        <v>32</v>
      </c>
      <c r="D1243" t="s">
        <v>33</v>
      </c>
      <c r="E1243">
        <v>59062</v>
      </c>
      <c r="F1243">
        <v>2</v>
      </c>
      <c r="G1243">
        <v>1</v>
      </c>
      <c r="H1243" s="1">
        <v>41550</v>
      </c>
      <c r="I1243">
        <v>74</v>
      </c>
      <c r="J1243">
        <v>46</v>
      </c>
      <c r="K1243">
        <v>1</v>
      </c>
      <c r="L1243">
        <v>12</v>
      </c>
      <c r="M1243">
        <v>3</v>
      </c>
      <c r="N1243">
        <v>0</v>
      </c>
      <c r="O1243">
        <v>9</v>
      </c>
      <c r="P1243">
        <v>2</v>
      </c>
      <c r="Q1243">
        <v>2</v>
      </c>
      <c r="R1243">
        <v>0</v>
      </c>
      <c r="S1243">
        <v>3</v>
      </c>
      <c r="T1243">
        <v>4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3</v>
      </c>
      <c r="AB1243">
        <v>11</v>
      </c>
      <c r="AC1243">
        <v>0</v>
      </c>
    </row>
    <row r="1244" spans="1:29" x14ac:dyDescent="0.3">
      <c r="A1244">
        <v>4138</v>
      </c>
      <c r="B1244">
        <v>1962</v>
      </c>
      <c r="C1244" t="s">
        <v>29</v>
      </c>
      <c r="D1244" t="s">
        <v>30</v>
      </c>
      <c r="E1244">
        <v>76624</v>
      </c>
      <c r="F1244">
        <v>0</v>
      </c>
      <c r="G1244">
        <v>1</v>
      </c>
      <c r="H1244" s="1">
        <v>41783</v>
      </c>
      <c r="I1244">
        <v>68</v>
      </c>
      <c r="J1244">
        <v>411</v>
      </c>
      <c r="K1244">
        <v>106</v>
      </c>
      <c r="L1244">
        <v>147</v>
      </c>
      <c r="M1244">
        <v>54</v>
      </c>
      <c r="N1244">
        <v>115</v>
      </c>
      <c r="O1244">
        <v>66</v>
      </c>
      <c r="P1244">
        <v>1</v>
      </c>
      <c r="Q1244">
        <v>5</v>
      </c>
      <c r="R1244">
        <v>10</v>
      </c>
      <c r="S1244">
        <v>7</v>
      </c>
      <c r="T1244">
        <v>1</v>
      </c>
      <c r="U1244">
        <v>1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3</v>
      </c>
      <c r="AB1244">
        <v>11</v>
      </c>
      <c r="AC1244">
        <v>0</v>
      </c>
    </row>
    <row r="1245" spans="1:29" x14ac:dyDescent="0.3">
      <c r="A1245">
        <v>7718</v>
      </c>
      <c r="B1245">
        <v>1947</v>
      </c>
      <c r="C1245" t="s">
        <v>34</v>
      </c>
      <c r="D1245" t="s">
        <v>31</v>
      </c>
      <c r="E1245">
        <v>66000</v>
      </c>
      <c r="F1245">
        <v>0</v>
      </c>
      <c r="G1245">
        <v>0</v>
      </c>
      <c r="H1245" s="1">
        <v>41749</v>
      </c>
      <c r="I1245">
        <v>36</v>
      </c>
      <c r="J1245">
        <v>244</v>
      </c>
      <c r="K1245">
        <v>51</v>
      </c>
      <c r="L1245">
        <v>270</v>
      </c>
      <c r="M1245">
        <v>101</v>
      </c>
      <c r="N1245">
        <v>0</v>
      </c>
      <c r="O1245">
        <v>45</v>
      </c>
      <c r="P1245">
        <v>1</v>
      </c>
      <c r="Q1245">
        <v>1</v>
      </c>
      <c r="R1245">
        <v>3</v>
      </c>
      <c r="S1245">
        <v>5</v>
      </c>
      <c r="T1245">
        <v>1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3</v>
      </c>
      <c r="AB1245">
        <v>11</v>
      </c>
      <c r="AC1245">
        <v>0</v>
      </c>
    </row>
    <row r="1246" spans="1:29" x14ac:dyDescent="0.3">
      <c r="A1246">
        <v>1291</v>
      </c>
      <c r="B1246">
        <v>1978</v>
      </c>
      <c r="C1246" t="s">
        <v>32</v>
      </c>
      <c r="D1246" t="s">
        <v>31</v>
      </c>
      <c r="E1246">
        <v>27683</v>
      </c>
      <c r="F1246">
        <v>1</v>
      </c>
      <c r="G1246">
        <v>0</v>
      </c>
      <c r="H1246" s="1">
        <v>41125</v>
      </c>
      <c r="I1246">
        <v>90</v>
      </c>
      <c r="J1246">
        <v>152</v>
      </c>
      <c r="K1246">
        <v>9</v>
      </c>
      <c r="L1246">
        <v>121</v>
      </c>
      <c r="M1246">
        <v>12</v>
      </c>
      <c r="N1246">
        <v>12</v>
      </c>
      <c r="O1246">
        <v>45</v>
      </c>
      <c r="P1246">
        <v>4</v>
      </c>
      <c r="Q1246">
        <v>6</v>
      </c>
      <c r="R1246">
        <v>2</v>
      </c>
      <c r="S1246">
        <v>4</v>
      </c>
      <c r="T1246">
        <v>8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3</v>
      </c>
      <c r="AB1246">
        <v>11</v>
      </c>
      <c r="AC1246">
        <v>0</v>
      </c>
    </row>
    <row r="1247" spans="1:29" x14ac:dyDescent="0.3">
      <c r="A1247">
        <v>6862</v>
      </c>
      <c r="B1247">
        <v>1971</v>
      </c>
      <c r="C1247" t="s">
        <v>29</v>
      </c>
      <c r="D1247" t="s">
        <v>35</v>
      </c>
      <c r="E1247">
        <v>1730</v>
      </c>
      <c r="F1247">
        <v>0</v>
      </c>
      <c r="G1247">
        <v>0</v>
      </c>
      <c r="H1247" s="1">
        <v>41777</v>
      </c>
      <c r="I1247">
        <v>65</v>
      </c>
      <c r="J1247">
        <v>1</v>
      </c>
      <c r="K1247">
        <v>1</v>
      </c>
      <c r="L1247">
        <v>3</v>
      </c>
      <c r="M1247">
        <v>1</v>
      </c>
      <c r="N1247">
        <v>1</v>
      </c>
      <c r="O1247">
        <v>1</v>
      </c>
      <c r="P1247">
        <v>15</v>
      </c>
      <c r="Q1247">
        <v>0</v>
      </c>
      <c r="R1247">
        <v>0</v>
      </c>
      <c r="S1247">
        <v>0</v>
      </c>
      <c r="T1247">
        <v>20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3</v>
      </c>
      <c r="AB1247">
        <v>11</v>
      </c>
      <c r="AC1247">
        <v>0</v>
      </c>
    </row>
    <row r="1248" spans="1:29" x14ac:dyDescent="0.3">
      <c r="A1248">
        <v>4136</v>
      </c>
      <c r="B1248">
        <v>1992</v>
      </c>
      <c r="C1248" t="s">
        <v>36</v>
      </c>
      <c r="D1248" t="s">
        <v>30</v>
      </c>
      <c r="E1248">
        <v>7500</v>
      </c>
      <c r="F1248">
        <v>1</v>
      </c>
      <c r="G1248">
        <v>0</v>
      </c>
      <c r="H1248" s="1">
        <v>41246</v>
      </c>
      <c r="I1248">
        <v>63</v>
      </c>
      <c r="J1248">
        <v>10</v>
      </c>
      <c r="K1248">
        <v>17</v>
      </c>
      <c r="L1248">
        <v>18</v>
      </c>
      <c r="M1248">
        <v>8</v>
      </c>
      <c r="N1248">
        <v>26</v>
      </c>
      <c r="O1248">
        <v>40</v>
      </c>
      <c r="P1248">
        <v>4</v>
      </c>
      <c r="Q1248">
        <v>3</v>
      </c>
      <c r="R1248">
        <v>2</v>
      </c>
      <c r="S1248">
        <v>2</v>
      </c>
      <c r="T1248">
        <v>9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3</v>
      </c>
      <c r="AB1248">
        <v>11</v>
      </c>
      <c r="AC1248">
        <v>0</v>
      </c>
    </row>
    <row r="1249" spans="1:29" x14ac:dyDescent="0.3">
      <c r="A1249">
        <v>803</v>
      </c>
      <c r="B1249">
        <v>1968</v>
      </c>
      <c r="C1249" t="s">
        <v>29</v>
      </c>
      <c r="D1249" t="s">
        <v>31</v>
      </c>
      <c r="E1249">
        <v>40521</v>
      </c>
      <c r="F1249">
        <v>1</v>
      </c>
      <c r="G1249">
        <v>1</v>
      </c>
      <c r="H1249" s="1">
        <v>41369</v>
      </c>
      <c r="I1249">
        <v>82</v>
      </c>
      <c r="J1249">
        <v>12</v>
      </c>
      <c r="K1249">
        <v>0</v>
      </c>
      <c r="L1249">
        <v>5</v>
      </c>
      <c r="M1249">
        <v>0</v>
      </c>
      <c r="N1249">
        <v>0</v>
      </c>
      <c r="O1249">
        <v>4</v>
      </c>
      <c r="P1249">
        <v>1</v>
      </c>
      <c r="Q1249">
        <v>0</v>
      </c>
      <c r="R1249">
        <v>1</v>
      </c>
      <c r="S1249">
        <v>2</v>
      </c>
      <c r="T1249">
        <v>5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3</v>
      </c>
      <c r="AB1249">
        <v>11</v>
      </c>
      <c r="AC1249">
        <v>0</v>
      </c>
    </row>
    <row r="1250" spans="1:29" x14ac:dyDescent="0.3">
      <c r="A1250">
        <v>4298</v>
      </c>
      <c r="B1250">
        <v>1973</v>
      </c>
      <c r="C1250" t="s">
        <v>32</v>
      </c>
      <c r="D1250" t="s">
        <v>31</v>
      </c>
      <c r="E1250">
        <v>20427</v>
      </c>
      <c r="F1250">
        <v>1</v>
      </c>
      <c r="G1250">
        <v>0</v>
      </c>
      <c r="H1250" s="1">
        <v>41722</v>
      </c>
      <c r="I1250">
        <v>63</v>
      </c>
      <c r="J1250">
        <v>5</v>
      </c>
      <c r="K1250">
        <v>0</v>
      </c>
      <c r="L1250">
        <v>4</v>
      </c>
      <c r="M1250">
        <v>0</v>
      </c>
      <c r="N1250">
        <v>0</v>
      </c>
      <c r="O1250">
        <v>1</v>
      </c>
      <c r="P1250">
        <v>1</v>
      </c>
      <c r="Q1250">
        <v>1</v>
      </c>
      <c r="R1250">
        <v>0</v>
      </c>
      <c r="S1250">
        <v>2</v>
      </c>
      <c r="T1250">
        <v>8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3</v>
      </c>
      <c r="AB1250">
        <v>11</v>
      </c>
      <c r="AC1250">
        <v>0</v>
      </c>
    </row>
    <row r="1251" spans="1:29" x14ac:dyDescent="0.3">
      <c r="A1251">
        <v>10833</v>
      </c>
      <c r="B1251">
        <v>1975</v>
      </c>
      <c r="C1251" t="s">
        <v>29</v>
      </c>
      <c r="D1251" t="s">
        <v>33</v>
      </c>
      <c r="E1251">
        <v>65106</v>
      </c>
      <c r="F1251">
        <v>0</v>
      </c>
      <c r="G1251">
        <v>1</v>
      </c>
      <c r="H1251" s="1">
        <v>41783</v>
      </c>
      <c r="I1251">
        <v>55</v>
      </c>
      <c r="J1251">
        <v>790</v>
      </c>
      <c r="K1251">
        <v>19</v>
      </c>
      <c r="L1251">
        <v>133</v>
      </c>
      <c r="M1251">
        <v>12</v>
      </c>
      <c r="N1251">
        <v>0</v>
      </c>
      <c r="O1251">
        <v>19</v>
      </c>
      <c r="P1251">
        <v>3</v>
      </c>
      <c r="Q1251">
        <v>8</v>
      </c>
      <c r="R1251">
        <v>3</v>
      </c>
      <c r="S1251">
        <v>13</v>
      </c>
      <c r="T1251">
        <v>6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3</v>
      </c>
      <c r="AB1251">
        <v>11</v>
      </c>
      <c r="AC1251">
        <v>0</v>
      </c>
    </row>
    <row r="1252" spans="1:29" x14ac:dyDescent="0.3">
      <c r="A1252">
        <v>9606</v>
      </c>
      <c r="B1252">
        <v>1965</v>
      </c>
      <c r="C1252" t="s">
        <v>32</v>
      </c>
      <c r="D1252" t="s">
        <v>33</v>
      </c>
      <c r="E1252">
        <v>69969</v>
      </c>
      <c r="F1252">
        <v>0</v>
      </c>
      <c r="G1252">
        <v>0</v>
      </c>
      <c r="H1252" s="1">
        <v>41513</v>
      </c>
      <c r="I1252">
        <v>64</v>
      </c>
      <c r="J1252">
        <v>882</v>
      </c>
      <c r="K1252">
        <v>29</v>
      </c>
      <c r="L1252">
        <v>514</v>
      </c>
      <c r="M1252">
        <v>38</v>
      </c>
      <c r="N1252">
        <v>29</v>
      </c>
      <c r="O1252">
        <v>44</v>
      </c>
      <c r="P1252">
        <v>1</v>
      </c>
      <c r="Q1252">
        <v>4</v>
      </c>
      <c r="R1252">
        <v>2</v>
      </c>
      <c r="S1252">
        <v>6</v>
      </c>
      <c r="T1252">
        <v>3</v>
      </c>
      <c r="U1252">
        <v>0</v>
      </c>
      <c r="V1252">
        <v>0</v>
      </c>
      <c r="W1252">
        <v>1</v>
      </c>
      <c r="X1252">
        <v>1</v>
      </c>
      <c r="Y1252">
        <v>0</v>
      </c>
      <c r="Z1252">
        <v>0</v>
      </c>
      <c r="AA1252">
        <v>3</v>
      </c>
      <c r="AB1252">
        <v>11</v>
      </c>
      <c r="AC1252">
        <v>1</v>
      </c>
    </row>
    <row r="1253" spans="1:29" x14ac:dyDescent="0.3">
      <c r="A1253">
        <v>8534</v>
      </c>
      <c r="B1253">
        <v>1952</v>
      </c>
      <c r="C1253" t="s">
        <v>29</v>
      </c>
      <c r="D1253" t="s">
        <v>33</v>
      </c>
      <c r="E1253">
        <v>67433</v>
      </c>
      <c r="F1253">
        <v>0</v>
      </c>
      <c r="G1253">
        <v>2</v>
      </c>
      <c r="H1253" s="1">
        <v>41471</v>
      </c>
      <c r="I1253">
        <v>51</v>
      </c>
      <c r="J1253">
        <v>615</v>
      </c>
      <c r="K1253">
        <v>28</v>
      </c>
      <c r="L1253">
        <v>259</v>
      </c>
      <c r="M1253">
        <v>12</v>
      </c>
      <c r="N1253">
        <v>48</v>
      </c>
      <c r="O1253">
        <v>30</v>
      </c>
      <c r="P1253">
        <v>4</v>
      </c>
      <c r="Q1253">
        <v>6</v>
      </c>
      <c r="R1253">
        <v>5</v>
      </c>
      <c r="S1253">
        <v>13</v>
      </c>
      <c r="T1253">
        <v>4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3</v>
      </c>
      <c r="AB1253">
        <v>11</v>
      </c>
      <c r="AC1253">
        <v>0</v>
      </c>
    </row>
    <row r="1254" spans="1:29" x14ac:dyDescent="0.3">
      <c r="A1254">
        <v>5153</v>
      </c>
      <c r="B1254">
        <v>1967</v>
      </c>
      <c r="C1254" t="s">
        <v>32</v>
      </c>
      <c r="D1254" t="s">
        <v>33</v>
      </c>
      <c r="E1254">
        <v>77766</v>
      </c>
      <c r="F1254">
        <v>0</v>
      </c>
      <c r="G1254">
        <v>1</v>
      </c>
      <c r="H1254" s="1">
        <v>41327</v>
      </c>
      <c r="I1254">
        <v>97</v>
      </c>
      <c r="J1254">
        <v>1004</v>
      </c>
      <c r="K1254">
        <v>59</v>
      </c>
      <c r="L1254">
        <v>265</v>
      </c>
      <c r="M1254">
        <v>115</v>
      </c>
      <c r="N1254">
        <v>59</v>
      </c>
      <c r="O1254">
        <v>27</v>
      </c>
      <c r="P1254">
        <v>2</v>
      </c>
      <c r="Q1254">
        <v>11</v>
      </c>
      <c r="R1254">
        <v>10</v>
      </c>
      <c r="S1254">
        <v>11</v>
      </c>
      <c r="T1254">
        <v>6</v>
      </c>
      <c r="U1254">
        <v>1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3</v>
      </c>
      <c r="AB1254">
        <v>11</v>
      </c>
      <c r="AC1254">
        <v>1</v>
      </c>
    </row>
    <row r="1255" spans="1:29" x14ac:dyDescent="0.3">
      <c r="A1255">
        <v>961</v>
      </c>
      <c r="B1255">
        <v>1972</v>
      </c>
      <c r="C1255" t="s">
        <v>29</v>
      </c>
      <c r="D1255" t="s">
        <v>33</v>
      </c>
      <c r="E1255">
        <v>74716</v>
      </c>
      <c r="F1255">
        <v>0</v>
      </c>
      <c r="G1255">
        <v>1</v>
      </c>
      <c r="H1255" s="1">
        <v>41529</v>
      </c>
      <c r="I1255">
        <v>92</v>
      </c>
      <c r="J1255">
        <v>133</v>
      </c>
      <c r="K1255">
        <v>27</v>
      </c>
      <c r="L1255">
        <v>421</v>
      </c>
      <c r="M1255">
        <v>13</v>
      </c>
      <c r="N1255">
        <v>195</v>
      </c>
      <c r="O1255">
        <v>71</v>
      </c>
      <c r="P1255">
        <v>2</v>
      </c>
      <c r="Q1255">
        <v>7</v>
      </c>
      <c r="R1255">
        <v>3</v>
      </c>
      <c r="S1255">
        <v>5</v>
      </c>
      <c r="T1255">
        <v>4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3</v>
      </c>
      <c r="AB1255">
        <v>11</v>
      </c>
      <c r="AC1255">
        <v>0</v>
      </c>
    </row>
    <row r="1256" spans="1:29" x14ac:dyDescent="0.3">
      <c r="A1256">
        <v>5011</v>
      </c>
      <c r="B1256">
        <v>1963</v>
      </c>
      <c r="C1256" t="s">
        <v>29</v>
      </c>
      <c r="D1256" t="s">
        <v>35</v>
      </c>
      <c r="E1256">
        <v>68118</v>
      </c>
      <c r="F1256">
        <v>0</v>
      </c>
      <c r="G1256">
        <v>1</v>
      </c>
      <c r="H1256" s="1">
        <v>41565</v>
      </c>
      <c r="I1256">
        <v>51</v>
      </c>
      <c r="J1256">
        <v>595</v>
      </c>
      <c r="K1256">
        <v>23</v>
      </c>
      <c r="L1256">
        <v>123</v>
      </c>
      <c r="M1256">
        <v>10</v>
      </c>
      <c r="N1256">
        <v>23</v>
      </c>
      <c r="O1256">
        <v>154</v>
      </c>
      <c r="P1256">
        <v>2</v>
      </c>
      <c r="Q1256">
        <v>8</v>
      </c>
      <c r="R1256">
        <v>9</v>
      </c>
      <c r="S1256">
        <v>4</v>
      </c>
      <c r="T1256">
        <v>6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3</v>
      </c>
      <c r="AB1256">
        <v>11</v>
      </c>
      <c r="AC1256">
        <v>0</v>
      </c>
    </row>
    <row r="1257" spans="1:29" x14ac:dyDescent="0.3">
      <c r="A1257">
        <v>6653</v>
      </c>
      <c r="B1257">
        <v>1970</v>
      </c>
      <c r="C1257" t="s">
        <v>32</v>
      </c>
      <c r="D1257" t="s">
        <v>33</v>
      </c>
      <c r="E1257">
        <v>55158</v>
      </c>
      <c r="F1257">
        <v>1</v>
      </c>
      <c r="G1257">
        <v>1</v>
      </c>
      <c r="H1257" s="1">
        <v>41120</v>
      </c>
      <c r="I1257">
        <v>72</v>
      </c>
      <c r="J1257">
        <v>293</v>
      </c>
      <c r="K1257">
        <v>0</v>
      </c>
      <c r="L1257">
        <v>87</v>
      </c>
      <c r="M1257">
        <v>4</v>
      </c>
      <c r="N1257">
        <v>11</v>
      </c>
      <c r="O1257">
        <v>23</v>
      </c>
      <c r="P1257">
        <v>4</v>
      </c>
      <c r="Q1257">
        <v>7</v>
      </c>
      <c r="R1257">
        <v>2</v>
      </c>
      <c r="S1257">
        <v>5</v>
      </c>
      <c r="T1257">
        <v>7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3</v>
      </c>
      <c r="AB1257">
        <v>11</v>
      </c>
      <c r="AC1257">
        <v>1</v>
      </c>
    </row>
    <row r="1258" spans="1:29" x14ac:dyDescent="0.3">
      <c r="A1258">
        <v>9094</v>
      </c>
      <c r="B1258">
        <v>1955</v>
      </c>
      <c r="C1258" t="s">
        <v>37</v>
      </c>
      <c r="D1258" t="s">
        <v>33</v>
      </c>
      <c r="E1258">
        <v>62972</v>
      </c>
      <c r="F1258">
        <v>0</v>
      </c>
      <c r="G1258">
        <v>1</v>
      </c>
      <c r="H1258" s="1">
        <v>41124</v>
      </c>
      <c r="I1258">
        <v>39</v>
      </c>
      <c r="J1258">
        <v>313</v>
      </c>
      <c r="K1258">
        <v>15</v>
      </c>
      <c r="L1258">
        <v>47</v>
      </c>
      <c r="M1258">
        <v>20</v>
      </c>
      <c r="N1258">
        <v>0</v>
      </c>
      <c r="O1258">
        <v>192</v>
      </c>
      <c r="P1258">
        <v>2</v>
      </c>
      <c r="Q1258">
        <v>7</v>
      </c>
      <c r="R1258">
        <v>4</v>
      </c>
      <c r="S1258">
        <v>3</v>
      </c>
      <c r="T1258">
        <v>6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3</v>
      </c>
      <c r="AB1258">
        <v>11</v>
      </c>
      <c r="AC1258">
        <v>1</v>
      </c>
    </row>
    <row r="1259" spans="1:29" x14ac:dyDescent="0.3">
      <c r="A1259">
        <v>810</v>
      </c>
      <c r="B1259">
        <v>1975</v>
      </c>
      <c r="C1259" t="s">
        <v>29</v>
      </c>
      <c r="D1259" t="s">
        <v>33</v>
      </c>
      <c r="E1259">
        <v>74190</v>
      </c>
      <c r="F1259">
        <v>0</v>
      </c>
      <c r="G1259">
        <v>1</v>
      </c>
      <c r="H1259" s="1">
        <v>41771</v>
      </c>
      <c r="I1259">
        <v>49</v>
      </c>
      <c r="J1259">
        <v>151</v>
      </c>
      <c r="K1259">
        <v>81</v>
      </c>
      <c r="L1259">
        <v>86</v>
      </c>
      <c r="M1259">
        <v>168</v>
      </c>
      <c r="N1259">
        <v>91</v>
      </c>
      <c r="O1259">
        <v>64</v>
      </c>
      <c r="P1259">
        <v>2</v>
      </c>
      <c r="Q1259">
        <v>4</v>
      </c>
      <c r="R1259">
        <v>2</v>
      </c>
      <c r="S1259">
        <v>11</v>
      </c>
      <c r="T1259">
        <v>2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3</v>
      </c>
      <c r="AB1259">
        <v>11</v>
      </c>
      <c r="AC1259">
        <v>0</v>
      </c>
    </row>
    <row r="1260" spans="1:29" x14ac:dyDescent="0.3">
      <c r="A1260">
        <v>5493</v>
      </c>
      <c r="B1260">
        <v>1976</v>
      </c>
      <c r="C1260" t="s">
        <v>29</v>
      </c>
      <c r="D1260" t="s">
        <v>33</v>
      </c>
      <c r="E1260">
        <v>39356</v>
      </c>
      <c r="F1260">
        <v>1</v>
      </c>
      <c r="G1260">
        <v>1</v>
      </c>
      <c r="H1260" s="1">
        <v>41717</v>
      </c>
      <c r="I1260">
        <v>21</v>
      </c>
      <c r="J1260">
        <v>15</v>
      </c>
      <c r="K1260">
        <v>0</v>
      </c>
      <c r="L1260">
        <v>2</v>
      </c>
      <c r="M1260">
        <v>0</v>
      </c>
      <c r="N1260">
        <v>0</v>
      </c>
      <c r="O1260">
        <v>6</v>
      </c>
      <c r="P1260">
        <v>1</v>
      </c>
      <c r="Q1260">
        <v>1</v>
      </c>
      <c r="R1260">
        <v>0</v>
      </c>
      <c r="S1260">
        <v>2</v>
      </c>
      <c r="T1260">
        <v>6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3</v>
      </c>
      <c r="AB1260">
        <v>11</v>
      </c>
      <c r="AC1260">
        <v>0</v>
      </c>
    </row>
    <row r="1261" spans="1:29" x14ac:dyDescent="0.3">
      <c r="A1261">
        <v>2147</v>
      </c>
      <c r="B1261">
        <v>1969</v>
      </c>
      <c r="C1261" t="s">
        <v>29</v>
      </c>
      <c r="D1261" t="s">
        <v>31</v>
      </c>
      <c r="E1261">
        <v>76653</v>
      </c>
      <c r="F1261">
        <v>0</v>
      </c>
      <c r="G1261">
        <v>0</v>
      </c>
      <c r="H1261" s="1">
        <v>41502</v>
      </c>
      <c r="I1261">
        <v>91</v>
      </c>
      <c r="J1261">
        <v>736</v>
      </c>
      <c r="K1261">
        <v>63</v>
      </c>
      <c r="L1261">
        <v>946</v>
      </c>
      <c r="M1261">
        <v>219</v>
      </c>
      <c r="N1261">
        <v>189</v>
      </c>
      <c r="O1261">
        <v>126</v>
      </c>
      <c r="P1261">
        <v>1</v>
      </c>
      <c r="Q1261">
        <v>4</v>
      </c>
      <c r="R1261">
        <v>7</v>
      </c>
      <c r="S1261">
        <v>11</v>
      </c>
      <c r="T1261">
        <v>2</v>
      </c>
      <c r="U1261">
        <v>0</v>
      </c>
      <c r="V1261">
        <v>0</v>
      </c>
      <c r="W1261">
        <v>1</v>
      </c>
      <c r="X1261">
        <v>1</v>
      </c>
      <c r="Y1261">
        <v>0</v>
      </c>
      <c r="Z1261">
        <v>0</v>
      </c>
      <c r="AA1261">
        <v>3</v>
      </c>
      <c r="AB1261">
        <v>11</v>
      </c>
      <c r="AC1261">
        <v>0</v>
      </c>
    </row>
    <row r="1262" spans="1:29" x14ac:dyDescent="0.3">
      <c r="A1262">
        <v>5107</v>
      </c>
      <c r="B1262">
        <v>1973</v>
      </c>
      <c r="C1262" t="s">
        <v>32</v>
      </c>
      <c r="D1262" t="s">
        <v>35</v>
      </c>
      <c r="E1262">
        <v>35860</v>
      </c>
      <c r="F1262">
        <v>1</v>
      </c>
      <c r="G1262">
        <v>1</v>
      </c>
      <c r="H1262" s="1">
        <v>41778</v>
      </c>
      <c r="I1262">
        <v>37</v>
      </c>
      <c r="J1262">
        <v>15</v>
      </c>
      <c r="K1262">
        <v>0</v>
      </c>
      <c r="L1262">
        <v>8</v>
      </c>
      <c r="M1262">
        <v>4</v>
      </c>
      <c r="N1262">
        <v>2</v>
      </c>
      <c r="O1262">
        <v>20</v>
      </c>
      <c r="P1262">
        <v>2</v>
      </c>
      <c r="Q1262">
        <v>1</v>
      </c>
      <c r="R1262">
        <v>1</v>
      </c>
      <c r="S1262">
        <v>2</v>
      </c>
      <c r="T1262">
        <v>5</v>
      </c>
      <c r="U1262">
        <v>1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3</v>
      </c>
      <c r="AB1262">
        <v>11</v>
      </c>
      <c r="AC1262">
        <v>0</v>
      </c>
    </row>
    <row r="1263" spans="1:29" x14ac:dyDescent="0.3">
      <c r="A1263">
        <v>3979</v>
      </c>
      <c r="B1263">
        <v>1983</v>
      </c>
      <c r="C1263" t="s">
        <v>32</v>
      </c>
      <c r="D1263" t="s">
        <v>35</v>
      </c>
      <c r="E1263">
        <v>90687</v>
      </c>
      <c r="F1263">
        <v>0</v>
      </c>
      <c r="G1263">
        <v>0</v>
      </c>
      <c r="H1263" s="1">
        <v>41416</v>
      </c>
      <c r="I1263">
        <v>98</v>
      </c>
      <c r="J1263">
        <v>982</v>
      </c>
      <c r="K1263">
        <v>17</v>
      </c>
      <c r="L1263">
        <v>672</v>
      </c>
      <c r="M1263">
        <v>23</v>
      </c>
      <c r="N1263">
        <v>34</v>
      </c>
      <c r="O1263">
        <v>51</v>
      </c>
      <c r="P1263">
        <v>1</v>
      </c>
      <c r="Q1263">
        <v>6</v>
      </c>
      <c r="R1263">
        <v>2</v>
      </c>
      <c r="S1263">
        <v>8</v>
      </c>
      <c r="T1263">
        <v>2</v>
      </c>
      <c r="U1263">
        <v>0</v>
      </c>
      <c r="V1263">
        <v>0</v>
      </c>
      <c r="W1263">
        <v>1</v>
      </c>
      <c r="X1263">
        <v>0</v>
      </c>
      <c r="Y1263">
        <v>0</v>
      </c>
      <c r="Z1263">
        <v>0</v>
      </c>
      <c r="AA1263">
        <v>3</v>
      </c>
      <c r="AB1263">
        <v>11</v>
      </c>
      <c r="AC1263">
        <v>1</v>
      </c>
    </row>
    <row r="1264" spans="1:29" x14ac:dyDescent="0.3">
      <c r="A1264">
        <v>6049</v>
      </c>
      <c r="B1264">
        <v>1982</v>
      </c>
      <c r="C1264" t="s">
        <v>34</v>
      </c>
      <c r="D1264" t="s">
        <v>31</v>
      </c>
      <c r="E1264">
        <v>73450</v>
      </c>
      <c r="F1264">
        <v>0</v>
      </c>
      <c r="G1264">
        <v>0</v>
      </c>
      <c r="H1264" s="1">
        <v>41613</v>
      </c>
      <c r="I1264">
        <v>85</v>
      </c>
      <c r="J1264">
        <v>1142</v>
      </c>
      <c r="K1264">
        <v>51</v>
      </c>
      <c r="L1264">
        <v>415</v>
      </c>
      <c r="M1264">
        <v>90</v>
      </c>
      <c r="N1264">
        <v>69</v>
      </c>
      <c r="O1264">
        <v>37</v>
      </c>
      <c r="P1264">
        <v>1</v>
      </c>
      <c r="Q1264">
        <v>7</v>
      </c>
      <c r="R1264">
        <v>8</v>
      </c>
      <c r="S1264">
        <v>11</v>
      </c>
      <c r="T1264">
        <v>3</v>
      </c>
      <c r="U1264">
        <v>1</v>
      </c>
      <c r="V1264">
        <v>0</v>
      </c>
      <c r="W1264">
        <v>0</v>
      </c>
      <c r="X1264">
        <v>1</v>
      </c>
      <c r="Y1264">
        <v>0</v>
      </c>
      <c r="Z1264">
        <v>0</v>
      </c>
      <c r="AA1264">
        <v>3</v>
      </c>
      <c r="AB1264">
        <v>11</v>
      </c>
      <c r="AC1264">
        <v>0</v>
      </c>
    </row>
    <row r="1265" spans="1:29" x14ac:dyDescent="0.3">
      <c r="A1265">
        <v>8147</v>
      </c>
      <c r="B1265">
        <v>1960</v>
      </c>
      <c r="C1265" t="s">
        <v>29</v>
      </c>
      <c r="D1265" t="s">
        <v>33</v>
      </c>
      <c r="E1265">
        <v>31454</v>
      </c>
      <c r="F1265">
        <v>1</v>
      </c>
      <c r="G1265">
        <v>1</v>
      </c>
      <c r="H1265" s="1">
        <v>41461</v>
      </c>
      <c r="I1265">
        <v>40</v>
      </c>
      <c r="J1265">
        <v>28</v>
      </c>
      <c r="K1265">
        <v>0</v>
      </c>
      <c r="L1265">
        <v>11</v>
      </c>
      <c r="M1265">
        <v>0</v>
      </c>
      <c r="N1265">
        <v>0</v>
      </c>
      <c r="O1265">
        <v>9</v>
      </c>
      <c r="P1265">
        <v>3</v>
      </c>
      <c r="Q1265">
        <v>2</v>
      </c>
      <c r="R1265">
        <v>0</v>
      </c>
      <c r="S1265">
        <v>3</v>
      </c>
      <c r="T1265">
        <v>8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3</v>
      </c>
      <c r="AB1265">
        <v>11</v>
      </c>
      <c r="AC1265">
        <v>0</v>
      </c>
    </row>
    <row r="1266" spans="1:29" x14ac:dyDescent="0.3">
      <c r="A1266">
        <v>1857</v>
      </c>
      <c r="B1266">
        <v>1952</v>
      </c>
      <c r="C1266" t="s">
        <v>29</v>
      </c>
      <c r="D1266" t="s">
        <v>30</v>
      </c>
      <c r="E1266">
        <v>47139</v>
      </c>
      <c r="F1266">
        <v>1</v>
      </c>
      <c r="G1266">
        <v>1</v>
      </c>
      <c r="H1266" s="1">
        <v>41704</v>
      </c>
      <c r="I1266">
        <v>2</v>
      </c>
      <c r="J1266">
        <v>46</v>
      </c>
      <c r="K1266">
        <v>0</v>
      </c>
      <c r="L1266">
        <v>12</v>
      </c>
      <c r="M1266">
        <v>0</v>
      </c>
      <c r="N1266">
        <v>2</v>
      </c>
      <c r="O1266">
        <v>23</v>
      </c>
      <c r="P1266">
        <v>2</v>
      </c>
      <c r="Q1266">
        <v>2</v>
      </c>
      <c r="R1266">
        <v>1</v>
      </c>
      <c r="S1266">
        <v>2</v>
      </c>
      <c r="T1266">
        <v>7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3</v>
      </c>
      <c r="AB1266">
        <v>11</v>
      </c>
      <c r="AC1266">
        <v>1</v>
      </c>
    </row>
    <row r="1267" spans="1:29" x14ac:dyDescent="0.3">
      <c r="A1267">
        <v>3910</v>
      </c>
      <c r="B1267">
        <v>1975</v>
      </c>
      <c r="C1267" t="s">
        <v>29</v>
      </c>
      <c r="D1267" t="s">
        <v>35</v>
      </c>
      <c r="E1267">
        <v>83829</v>
      </c>
      <c r="F1267">
        <v>0</v>
      </c>
      <c r="G1267">
        <v>0</v>
      </c>
      <c r="H1267" s="1">
        <v>41555</v>
      </c>
      <c r="I1267">
        <v>78</v>
      </c>
      <c r="J1267">
        <v>897</v>
      </c>
      <c r="K1267">
        <v>161</v>
      </c>
      <c r="L1267">
        <v>430</v>
      </c>
      <c r="M1267">
        <v>186</v>
      </c>
      <c r="N1267">
        <v>161</v>
      </c>
      <c r="O1267">
        <v>27</v>
      </c>
      <c r="P1267">
        <v>0</v>
      </c>
      <c r="Q1267">
        <v>4</v>
      </c>
      <c r="R1267">
        <v>7</v>
      </c>
      <c r="S1267">
        <v>6</v>
      </c>
      <c r="T1267">
        <v>1</v>
      </c>
      <c r="U1267">
        <v>1</v>
      </c>
      <c r="V1267">
        <v>0</v>
      </c>
      <c r="W1267">
        <v>1</v>
      </c>
      <c r="X1267">
        <v>1</v>
      </c>
      <c r="Y1267">
        <v>0</v>
      </c>
      <c r="Z1267">
        <v>0</v>
      </c>
      <c r="AA1267">
        <v>3</v>
      </c>
      <c r="AB1267">
        <v>11</v>
      </c>
      <c r="AC1267">
        <v>1</v>
      </c>
    </row>
    <row r="1268" spans="1:29" x14ac:dyDescent="0.3">
      <c r="A1268">
        <v>5207</v>
      </c>
      <c r="B1268">
        <v>1963</v>
      </c>
      <c r="C1268" t="s">
        <v>32</v>
      </c>
      <c r="D1268" t="s">
        <v>33</v>
      </c>
      <c r="E1268">
        <v>53378</v>
      </c>
      <c r="F1268">
        <v>1</v>
      </c>
      <c r="G1268">
        <v>1</v>
      </c>
      <c r="H1268" s="1">
        <v>41176</v>
      </c>
      <c r="I1268">
        <v>41</v>
      </c>
      <c r="J1268">
        <v>489</v>
      </c>
      <c r="K1268">
        <v>6</v>
      </c>
      <c r="L1268">
        <v>152</v>
      </c>
      <c r="M1268">
        <v>8</v>
      </c>
      <c r="N1268">
        <v>6</v>
      </c>
      <c r="O1268">
        <v>132</v>
      </c>
      <c r="P1268">
        <v>10</v>
      </c>
      <c r="Q1268">
        <v>9</v>
      </c>
      <c r="R1268">
        <v>4</v>
      </c>
      <c r="S1268">
        <v>6</v>
      </c>
      <c r="T1268">
        <v>8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3</v>
      </c>
      <c r="AB1268">
        <v>11</v>
      </c>
      <c r="AC1268">
        <v>1</v>
      </c>
    </row>
    <row r="1269" spans="1:29" x14ac:dyDescent="0.3">
      <c r="A1269">
        <v>11114</v>
      </c>
      <c r="B1269">
        <v>1970</v>
      </c>
      <c r="C1269" t="s">
        <v>29</v>
      </c>
      <c r="D1269" t="s">
        <v>31</v>
      </c>
      <c r="E1269">
        <v>19656</v>
      </c>
      <c r="F1269">
        <v>1</v>
      </c>
      <c r="G1269">
        <v>0</v>
      </c>
      <c r="H1269" s="1">
        <v>41313</v>
      </c>
      <c r="I1269">
        <v>94</v>
      </c>
      <c r="J1269">
        <v>25</v>
      </c>
      <c r="K1269">
        <v>4</v>
      </c>
      <c r="L1269">
        <v>9</v>
      </c>
      <c r="M1269">
        <v>6</v>
      </c>
      <c r="N1269">
        <v>8</v>
      </c>
      <c r="O1269">
        <v>32</v>
      </c>
      <c r="P1269">
        <v>3</v>
      </c>
      <c r="Q1269">
        <v>2</v>
      </c>
      <c r="R1269">
        <v>1</v>
      </c>
      <c r="S1269">
        <v>3</v>
      </c>
      <c r="T1269">
        <v>7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3</v>
      </c>
      <c r="AB1269">
        <v>11</v>
      </c>
      <c r="AC1269">
        <v>0</v>
      </c>
    </row>
    <row r="1270" spans="1:29" x14ac:dyDescent="0.3">
      <c r="A1270">
        <v>5429</v>
      </c>
      <c r="B1270">
        <v>1948</v>
      </c>
      <c r="C1270" t="s">
        <v>32</v>
      </c>
      <c r="D1270" t="s">
        <v>33</v>
      </c>
      <c r="E1270">
        <v>45579</v>
      </c>
      <c r="F1270">
        <v>0</v>
      </c>
      <c r="G1270">
        <v>1</v>
      </c>
      <c r="H1270" s="1">
        <v>41506</v>
      </c>
      <c r="I1270">
        <v>10</v>
      </c>
      <c r="J1270">
        <v>145</v>
      </c>
      <c r="K1270">
        <v>1</v>
      </c>
      <c r="L1270">
        <v>33</v>
      </c>
      <c r="M1270">
        <v>2</v>
      </c>
      <c r="N1270">
        <v>1</v>
      </c>
      <c r="O1270">
        <v>1</v>
      </c>
      <c r="P1270">
        <v>1</v>
      </c>
      <c r="Q1270">
        <v>4</v>
      </c>
      <c r="R1270">
        <v>1</v>
      </c>
      <c r="S1270">
        <v>4</v>
      </c>
      <c r="T1270">
        <v>6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3</v>
      </c>
      <c r="AB1270">
        <v>11</v>
      </c>
      <c r="AC1270">
        <v>0</v>
      </c>
    </row>
    <row r="1271" spans="1:29" x14ac:dyDescent="0.3">
      <c r="A1271">
        <v>9400</v>
      </c>
      <c r="B1271">
        <v>1958</v>
      </c>
      <c r="C1271" t="s">
        <v>37</v>
      </c>
      <c r="D1271" t="s">
        <v>30</v>
      </c>
      <c r="E1271">
        <v>85485</v>
      </c>
      <c r="F1271">
        <v>0</v>
      </c>
      <c r="G1271">
        <v>0</v>
      </c>
      <c r="H1271" s="1">
        <v>41811</v>
      </c>
      <c r="I1271">
        <v>73</v>
      </c>
      <c r="J1271">
        <v>630</v>
      </c>
      <c r="K1271">
        <v>26</v>
      </c>
      <c r="L1271">
        <v>611</v>
      </c>
      <c r="M1271">
        <v>44</v>
      </c>
      <c r="N1271">
        <v>18</v>
      </c>
      <c r="O1271">
        <v>54</v>
      </c>
      <c r="P1271">
        <v>1</v>
      </c>
      <c r="Q1271">
        <v>6</v>
      </c>
      <c r="R1271">
        <v>6</v>
      </c>
      <c r="S1271">
        <v>6</v>
      </c>
      <c r="T1271">
        <v>2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3</v>
      </c>
      <c r="AB1271">
        <v>11</v>
      </c>
      <c r="AC1271">
        <v>0</v>
      </c>
    </row>
    <row r="1272" spans="1:29" x14ac:dyDescent="0.3">
      <c r="A1272">
        <v>1740</v>
      </c>
      <c r="B1272">
        <v>1944</v>
      </c>
      <c r="C1272" t="s">
        <v>29</v>
      </c>
      <c r="D1272" t="s">
        <v>33</v>
      </c>
      <c r="E1272">
        <v>55956</v>
      </c>
      <c r="F1272">
        <v>0</v>
      </c>
      <c r="G1272">
        <v>0</v>
      </c>
      <c r="H1272" s="1">
        <v>41736</v>
      </c>
      <c r="I1272">
        <v>22</v>
      </c>
      <c r="J1272">
        <v>760</v>
      </c>
      <c r="K1272">
        <v>38</v>
      </c>
      <c r="L1272">
        <v>104</v>
      </c>
      <c r="M1272">
        <v>50</v>
      </c>
      <c r="N1272">
        <v>9</v>
      </c>
      <c r="O1272">
        <v>38</v>
      </c>
      <c r="P1272">
        <v>2</v>
      </c>
      <c r="Q1272">
        <v>7</v>
      </c>
      <c r="R1272">
        <v>3</v>
      </c>
      <c r="S1272">
        <v>4</v>
      </c>
      <c r="T1272">
        <v>4</v>
      </c>
      <c r="U1272">
        <v>0</v>
      </c>
      <c r="V1272">
        <v>1</v>
      </c>
      <c r="W1272">
        <v>0</v>
      </c>
      <c r="X1272">
        <v>0</v>
      </c>
      <c r="Y1272">
        <v>0</v>
      </c>
      <c r="Z1272">
        <v>0</v>
      </c>
      <c r="AA1272">
        <v>3</v>
      </c>
      <c r="AB1272">
        <v>11</v>
      </c>
      <c r="AC1272">
        <v>0</v>
      </c>
    </row>
    <row r="1273" spans="1:29" x14ac:dyDescent="0.3">
      <c r="A1273">
        <v>7488</v>
      </c>
      <c r="B1273">
        <v>1963</v>
      </c>
      <c r="C1273" t="s">
        <v>34</v>
      </c>
      <c r="D1273" t="s">
        <v>30</v>
      </c>
      <c r="E1273">
        <v>64191</v>
      </c>
      <c r="F1273">
        <v>0</v>
      </c>
      <c r="G1273">
        <v>1</v>
      </c>
      <c r="H1273" s="1">
        <v>41296</v>
      </c>
      <c r="I1273">
        <v>30</v>
      </c>
      <c r="J1273">
        <v>420</v>
      </c>
      <c r="K1273">
        <v>15</v>
      </c>
      <c r="L1273">
        <v>186</v>
      </c>
      <c r="M1273">
        <v>151</v>
      </c>
      <c r="N1273">
        <v>38</v>
      </c>
      <c r="O1273">
        <v>15</v>
      </c>
      <c r="P1273">
        <v>3</v>
      </c>
      <c r="Q1273">
        <v>5</v>
      </c>
      <c r="R1273">
        <v>3</v>
      </c>
      <c r="S1273">
        <v>13</v>
      </c>
      <c r="T1273">
        <v>3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3</v>
      </c>
      <c r="AB1273">
        <v>11</v>
      </c>
      <c r="AC1273">
        <v>0</v>
      </c>
    </row>
    <row r="1274" spans="1:29" x14ac:dyDescent="0.3">
      <c r="A1274">
        <v>195</v>
      </c>
      <c r="B1274">
        <v>1972</v>
      </c>
      <c r="C1274" t="s">
        <v>29</v>
      </c>
      <c r="D1274" t="s">
        <v>30</v>
      </c>
      <c r="E1274">
        <v>38808</v>
      </c>
      <c r="F1274">
        <v>1</v>
      </c>
      <c r="G1274">
        <v>0</v>
      </c>
      <c r="H1274" s="1">
        <v>41147</v>
      </c>
      <c r="I1274">
        <v>21</v>
      </c>
      <c r="J1274">
        <v>125</v>
      </c>
      <c r="K1274">
        <v>17</v>
      </c>
      <c r="L1274">
        <v>52</v>
      </c>
      <c r="M1274">
        <v>3</v>
      </c>
      <c r="N1274">
        <v>19</v>
      </c>
      <c r="O1274">
        <v>30</v>
      </c>
      <c r="P1274">
        <v>4</v>
      </c>
      <c r="Q1274">
        <v>5</v>
      </c>
      <c r="R1274">
        <v>1</v>
      </c>
      <c r="S1274">
        <v>4</v>
      </c>
      <c r="T1274">
        <v>8</v>
      </c>
      <c r="U1274">
        <v>1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3</v>
      </c>
      <c r="AB1274">
        <v>11</v>
      </c>
      <c r="AC1274">
        <v>1</v>
      </c>
    </row>
    <row r="1275" spans="1:29" x14ac:dyDescent="0.3">
      <c r="A1275">
        <v>635</v>
      </c>
      <c r="B1275">
        <v>1966</v>
      </c>
      <c r="C1275" t="s">
        <v>34</v>
      </c>
      <c r="D1275" t="s">
        <v>33</v>
      </c>
      <c r="E1275">
        <v>57183</v>
      </c>
      <c r="F1275">
        <v>1</v>
      </c>
      <c r="G1275">
        <v>1</v>
      </c>
      <c r="H1275" s="1">
        <v>41352</v>
      </c>
      <c r="I1275">
        <v>51</v>
      </c>
      <c r="J1275">
        <v>464</v>
      </c>
      <c r="K1275">
        <v>5</v>
      </c>
      <c r="L1275">
        <v>64</v>
      </c>
      <c r="M1275">
        <v>7</v>
      </c>
      <c r="N1275">
        <v>0</v>
      </c>
      <c r="O1275">
        <v>70</v>
      </c>
      <c r="P1275">
        <v>8</v>
      </c>
      <c r="Q1275">
        <v>9</v>
      </c>
      <c r="R1275">
        <v>1</v>
      </c>
      <c r="S1275">
        <v>7</v>
      </c>
      <c r="T1275">
        <v>8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3</v>
      </c>
      <c r="AB1275">
        <v>11</v>
      </c>
      <c r="AC1275">
        <v>0</v>
      </c>
    </row>
    <row r="1276" spans="1:29" x14ac:dyDescent="0.3">
      <c r="A1276">
        <v>7527</v>
      </c>
      <c r="B1276">
        <v>1968</v>
      </c>
      <c r="C1276" t="s">
        <v>34</v>
      </c>
      <c r="D1276" t="s">
        <v>35</v>
      </c>
      <c r="E1276">
        <v>23748</v>
      </c>
      <c r="F1276">
        <v>1</v>
      </c>
      <c r="G1276">
        <v>0</v>
      </c>
      <c r="H1276" s="1">
        <v>41234</v>
      </c>
      <c r="I1276">
        <v>97</v>
      </c>
      <c r="J1276">
        <v>6</v>
      </c>
      <c r="K1276">
        <v>6</v>
      </c>
      <c r="L1276">
        <v>29</v>
      </c>
      <c r="M1276">
        <v>12</v>
      </c>
      <c r="N1276">
        <v>15</v>
      </c>
      <c r="O1276">
        <v>8</v>
      </c>
      <c r="P1276">
        <v>3</v>
      </c>
      <c r="Q1276">
        <v>2</v>
      </c>
      <c r="R1276">
        <v>1</v>
      </c>
      <c r="S1276">
        <v>3</v>
      </c>
      <c r="T1276">
        <v>8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3</v>
      </c>
      <c r="AB1276">
        <v>11</v>
      </c>
      <c r="AC1276">
        <v>0</v>
      </c>
    </row>
    <row r="1277" spans="1:29" x14ac:dyDescent="0.3">
      <c r="A1277">
        <v>10319</v>
      </c>
      <c r="B1277">
        <v>1971</v>
      </c>
      <c r="C1277" t="s">
        <v>29</v>
      </c>
      <c r="D1277" t="s">
        <v>33</v>
      </c>
      <c r="E1277">
        <v>66303</v>
      </c>
      <c r="F1277">
        <v>0</v>
      </c>
      <c r="G1277">
        <v>1</v>
      </c>
      <c r="H1277" s="1">
        <v>41331</v>
      </c>
      <c r="I1277">
        <v>56</v>
      </c>
      <c r="J1277">
        <v>1090</v>
      </c>
      <c r="K1277">
        <v>12</v>
      </c>
      <c r="L1277">
        <v>96</v>
      </c>
      <c r="M1277">
        <v>16</v>
      </c>
      <c r="N1277">
        <v>12</v>
      </c>
      <c r="O1277">
        <v>60</v>
      </c>
      <c r="P1277">
        <v>4</v>
      </c>
      <c r="Q1277">
        <v>3</v>
      </c>
      <c r="R1277">
        <v>4</v>
      </c>
      <c r="S1277">
        <v>11</v>
      </c>
      <c r="T1277">
        <v>8</v>
      </c>
      <c r="U1277">
        <v>0</v>
      </c>
      <c r="V1277">
        <v>1</v>
      </c>
      <c r="W1277">
        <v>0</v>
      </c>
      <c r="X1277">
        <v>0</v>
      </c>
      <c r="Y1277">
        <v>0</v>
      </c>
      <c r="Z1277">
        <v>0</v>
      </c>
      <c r="AA1277">
        <v>3</v>
      </c>
      <c r="AB1277">
        <v>11</v>
      </c>
      <c r="AC1277">
        <v>0</v>
      </c>
    </row>
    <row r="1278" spans="1:29" x14ac:dyDescent="0.3">
      <c r="A1278">
        <v>2296</v>
      </c>
      <c r="B1278">
        <v>1975</v>
      </c>
      <c r="C1278" t="s">
        <v>34</v>
      </c>
      <c r="D1278" t="s">
        <v>33</v>
      </c>
      <c r="E1278">
        <v>37368</v>
      </c>
      <c r="F1278">
        <v>1</v>
      </c>
      <c r="G1278">
        <v>0</v>
      </c>
      <c r="H1278" s="1">
        <v>41624</v>
      </c>
      <c r="I1278">
        <v>4</v>
      </c>
      <c r="J1278">
        <v>3</v>
      </c>
      <c r="K1278">
        <v>2</v>
      </c>
      <c r="L1278">
        <v>11</v>
      </c>
      <c r="M1278">
        <v>2</v>
      </c>
      <c r="N1278">
        <v>2</v>
      </c>
      <c r="O1278">
        <v>10</v>
      </c>
      <c r="P1278">
        <v>1</v>
      </c>
      <c r="Q1278">
        <v>1</v>
      </c>
      <c r="R1278">
        <v>0</v>
      </c>
      <c r="S1278">
        <v>2</v>
      </c>
      <c r="T1278">
        <v>6</v>
      </c>
      <c r="U1278">
        <v>1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3</v>
      </c>
      <c r="AB1278">
        <v>11</v>
      </c>
      <c r="AC1278">
        <v>0</v>
      </c>
    </row>
    <row r="1279" spans="1:29" x14ac:dyDescent="0.3">
      <c r="A1279">
        <v>10637</v>
      </c>
      <c r="B1279">
        <v>1964</v>
      </c>
      <c r="C1279" t="s">
        <v>29</v>
      </c>
      <c r="D1279" t="s">
        <v>33</v>
      </c>
      <c r="E1279">
        <v>40800</v>
      </c>
      <c r="F1279">
        <v>1</v>
      </c>
      <c r="G1279">
        <v>2</v>
      </c>
      <c r="H1279" s="1">
        <v>41275</v>
      </c>
      <c r="I1279">
        <v>77</v>
      </c>
      <c r="J1279">
        <v>24</v>
      </c>
      <c r="K1279">
        <v>0</v>
      </c>
      <c r="L1279">
        <v>27</v>
      </c>
      <c r="M1279">
        <v>8</v>
      </c>
      <c r="N1279">
        <v>30</v>
      </c>
      <c r="O1279">
        <v>10</v>
      </c>
      <c r="P1279">
        <v>2</v>
      </c>
      <c r="Q1279">
        <v>3</v>
      </c>
      <c r="R1279">
        <v>0</v>
      </c>
      <c r="S1279">
        <v>3</v>
      </c>
      <c r="T1279">
        <v>7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3</v>
      </c>
      <c r="AB1279">
        <v>11</v>
      </c>
      <c r="AC1279">
        <v>0</v>
      </c>
    </row>
    <row r="1280" spans="1:29" x14ac:dyDescent="0.3">
      <c r="A1280">
        <v>2931</v>
      </c>
      <c r="B1280">
        <v>1978</v>
      </c>
      <c r="C1280" t="s">
        <v>29</v>
      </c>
      <c r="D1280" t="s">
        <v>35</v>
      </c>
      <c r="E1280">
        <v>71847</v>
      </c>
      <c r="F1280">
        <v>0</v>
      </c>
      <c r="G1280">
        <v>0</v>
      </c>
      <c r="H1280" s="1">
        <v>41173</v>
      </c>
      <c r="I1280">
        <v>95</v>
      </c>
      <c r="J1280">
        <v>737</v>
      </c>
      <c r="K1280">
        <v>21</v>
      </c>
      <c r="L1280">
        <v>106</v>
      </c>
      <c r="M1280">
        <v>55</v>
      </c>
      <c r="N1280">
        <v>63</v>
      </c>
      <c r="O1280">
        <v>210</v>
      </c>
      <c r="P1280">
        <v>0</v>
      </c>
      <c r="Q1280">
        <v>6</v>
      </c>
      <c r="R1280">
        <v>7</v>
      </c>
      <c r="S1280">
        <v>9</v>
      </c>
      <c r="T1280">
        <v>3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>
        <v>3</v>
      </c>
      <c r="AB1280">
        <v>11</v>
      </c>
      <c r="AC1280">
        <v>0</v>
      </c>
    </row>
    <row r="1281" spans="1:29" x14ac:dyDescent="0.3">
      <c r="A1281">
        <v>907</v>
      </c>
      <c r="B1281">
        <v>1975</v>
      </c>
      <c r="C1281" t="s">
        <v>29</v>
      </c>
      <c r="D1281" t="s">
        <v>33</v>
      </c>
      <c r="E1281">
        <v>46149</v>
      </c>
      <c r="F1281">
        <v>0</v>
      </c>
      <c r="G1281">
        <v>1</v>
      </c>
      <c r="H1281" s="1">
        <v>41607</v>
      </c>
      <c r="I1281">
        <v>36</v>
      </c>
      <c r="J1281">
        <v>254</v>
      </c>
      <c r="K1281">
        <v>6</v>
      </c>
      <c r="L1281">
        <v>71</v>
      </c>
      <c r="M1281">
        <v>4</v>
      </c>
      <c r="N1281">
        <v>0</v>
      </c>
      <c r="O1281">
        <v>27</v>
      </c>
      <c r="P1281">
        <v>5</v>
      </c>
      <c r="Q1281">
        <v>5</v>
      </c>
      <c r="R1281">
        <v>1</v>
      </c>
      <c r="S1281">
        <v>7</v>
      </c>
      <c r="T1281">
        <v>5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3</v>
      </c>
      <c r="AB1281">
        <v>11</v>
      </c>
      <c r="AC1281">
        <v>0</v>
      </c>
    </row>
    <row r="1282" spans="1:29" x14ac:dyDescent="0.3">
      <c r="A1282">
        <v>3698</v>
      </c>
      <c r="B1282">
        <v>1983</v>
      </c>
      <c r="C1282" t="s">
        <v>29</v>
      </c>
      <c r="D1282" t="s">
        <v>31</v>
      </c>
      <c r="E1282">
        <v>78687</v>
      </c>
      <c r="F1282">
        <v>0</v>
      </c>
      <c r="G1282">
        <v>0</v>
      </c>
      <c r="H1282" s="1">
        <v>41130</v>
      </c>
      <c r="I1282">
        <v>13</v>
      </c>
      <c r="J1282">
        <v>817</v>
      </c>
      <c r="K1282">
        <v>185</v>
      </c>
      <c r="L1282">
        <v>687</v>
      </c>
      <c r="M1282">
        <v>145</v>
      </c>
      <c r="N1282">
        <v>55</v>
      </c>
      <c r="O1282">
        <v>241</v>
      </c>
      <c r="P1282">
        <v>1</v>
      </c>
      <c r="Q1282">
        <v>4</v>
      </c>
      <c r="R1282">
        <v>6</v>
      </c>
      <c r="S1282">
        <v>8</v>
      </c>
      <c r="T1282">
        <v>2</v>
      </c>
      <c r="U1282">
        <v>0</v>
      </c>
      <c r="V1282">
        <v>0</v>
      </c>
      <c r="W1282">
        <v>1</v>
      </c>
      <c r="X1282">
        <v>0</v>
      </c>
      <c r="Y1282">
        <v>0</v>
      </c>
      <c r="Z1282">
        <v>0</v>
      </c>
      <c r="AA1282">
        <v>3</v>
      </c>
      <c r="AB1282">
        <v>11</v>
      </c>
      <c r="AC1282">
        <v>1</v>
      </c>
    </row>
    <row r="1283" spans="1:29" x14ac:dyDescent="0.3">
      <c r="A1283">
        <v>9516</v>
      </c>
      <c r="B1283">
        <v>1971</v>
      </c>
      <c r="C1283" t="s">
        <v>37</v>
      </c>
      <c r="D1283" t="s">
        <v>35</v>
      </c>
      <c r="E1283">
        <v>49118</v>
      </c>
      <c r="F1283">
        <v>0</v>
      </c>
      <c r="G1283">
        <v>0</v>
      </c>
      <c r="H1283" s="1">
        <v>41139</v>
      </c>
      <c r="I1283">
        <v>90</v>
      </c>
      <c r="J1283">
        <v>620</v>
      </c>
      <c r="K1283">
        <v>54</v>
      </c>
      <c r="L1283">
        <v>239</v>
      </c>
      <c r="M1283">
        <v>99</v>
      </c>
      <c r="N1283">
        <v>98</v>
      </c>
      <c r="O1283">
        <v>119</v>
      </c>
      <c r="P1283">
        <v>2</v>
      </c>
      <c r="Q1283">
        <v>9</v>
      </c>
      <c r="R1283">
        <v>7</v>
      </c>
      <c r="S1283">
        <v>10</v>
      </c>
      <c r="T1283">
        <v>7</v>
      </c>
      <c r="U1283">
        <v>0</v>
      </c>
      <c r="V1283">
        <v>1</v>
      </c>
      <c r="W1283">
        <v>0</v>
      </c>
      <c r="X1283">
        <v>0</v>
      </c>
      <c r="Y1283">
        <v>1</v>
      </c>
      <c r="Z1283">
        <v>0</v>
      </c>
      <c r="AA1283">
        <v>3</v>
      </c>
      <c r="AB1283">
        <v>11</v>
      </c>
      <c r="AC1283">
        <v>1</v>
      </c>
    </row>
    <row r="1284" spans="1:29" x14ac:dyDescent="0.3">
      <c r="A1284">
        <v>679</v>
      </c>
      <c r="B1284">
        <v>1957</v>
      </c>
      <c r="C1284" t="s">
        <v>32</v>
      </c>
      <c r="D1284" t="s">
        <v>33</v>
      </c>
      <c r="E1284">
        <v>37633</v>
      </c>
      <c r="F1284">
        <v>1</v>
      </c>
      <c r="G1284">
        <v>1</v>
      </c>
      <c r="H1284" s="1">
        <v>41172</v>
      </c>
      <c r="I1284">
        <v>49</v>
      </c>
      <c r="J1284">
        <v>13</v>
      </c>
      <c r="K1284">
        <v>4</v>
      </c>
      <c r="L1284">
        <v>20</v>
      </c>
      <c r="M1284">
        <v>0</v>
      </c>
      <c r="N1284">
        <v>0</v>
      </c>
      <c r="O1284">
        <v>1</v>
      </c>
      <c r="P1284">
        <v>2</v>
      </c>
      <c r="Q1284">
        <v>1</v>
      </c>
      <c r="R1284">
        <v>0</v>
      </c>
      <c r="S1284">
        <v>3</v>
      </c>
      <c r="T1284">
        <v>9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3</v>
      </c>
      <c r="AB1284">
        <v>11</v>
      </c>
      <c r="AC1284">
        <v>0</v>
      </c>
    </row>
    <row r="1285" spans="1:29" x14ac:dyDescent="0.3">
      <c r="A1285">
        <v>7384</v>
      </c>
      <c r="B1285">
        <v>1951</v>
      </c>
      <c r="C1285" t="s">
        <v>34</v>
      </c>
      <c r="D1285" t="s">
        <v>31</v>
      </c>
      <c r="E1285">
        <v>39767</v>
      </c>
      <c r="F1285">
        <v>0</v>
      </c>
      <c r="G1285">
        <v>0</v>
      </c>
      <c r="H1285" s="1">
        <v>41476</v>
      </c>
      <c r="I1285">
        <v>18</v>
      </c>
      <c r="J1285">
        <v>113</v>
      </c>
      <c r="K1285">
        <v>61</v>
      </c>
      <c r="L1285">
        <v>204</v>
      </c>
      <c r="M1285">
        <v>34</v>
      </c>
      <c r="N1285">
        <v>26</v>
      </c>
      <c r="O1285">
        <v>47</v>
      </c>
      <c r="P1285">
        <v>2</v>
      </c>
      <c r="Q1285">
        <v>7</v>
      </c>
      <c r="R1285">
        <v>1</v>
      </c>
      <c r="S1285">
        <v>7</v>
      </c>
      <c r="T1285">
        <v>8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3</v>
      </c>
      <c r="AB1285">
        <v>11</v>
      </c>
      <c r="AC1285">
        <v>0</v>
      </c>
    </row>
    <row r="1286" spans="1:29" x14ac:dyDescent="0.3">
      <c r="A1286">
        <v>5043</v>
      </c>
      <c r="B1286">
        <v>1951</v>
      </c>
      <c r="C1286" t="s">
        <v>36</v>
      </c>
      <c r="D1286" t="s">
        <v>33</v>
      </c>
      <c r="E1286">
        <v>26997</v>
      </c>
      <c r="F1286">
        <v>0</v>
      </c>
      <c r="G1286">
        <v>0</v>
      </c>
      <c r="H1286" s="1">
        <v>41218</v>
      </c>
      <c r="I1286">
        <v>89</v>
      </c>
      <c r="J1286">
        <v>7</v>
      </c>
      <c r="K1286">
        <v>23</v>
      </c>
      <c r="L1286">
        <v>78</v>
      </c>
      <c r="M1286">
        <v>133</v>
      </c>
      <c r="N1286">
        <v>49</v>
      </c>
      <c r="O1286">
        <v>144</v>
      </c>
      <c r="P1286">
        <v>2</v>
      </c>
      <c r="Q1286">
        <v>4</v>
      </c>
      <c r="R1286">
        <v>2</v>
      </c>
      <c r="S1286">
        <v>5</v>
      </c>
      <c r="T1286">
        <v>7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3</v>
      </c>
      <c r="AB1286">
        <v>11</v>
      </c>
      <c r="AC1286">
        <v>0</v>
      </c>
    </row>
    <row r="1287" spans="1:29" x14ac:dyDescent="0.3">
      <c r="A1287">
        <v>5267</v>
      </c>
      <c r="B1287">
        <v>1970</v>
      </c>
      <c r="C1287" t="s">
        <v>29</v>
      </c>
      <c r="D1287" t="s">
        <v>35</v>
      </c>
      <c r="E1287">
        <v>33986</v>
      </c>
      <c r="F1287">
        <v>1</v>
      </c>
      <c r="G1287">
        <v>0</v>
      </c>
      <c r="H1287" s="1">
        <v>41347</v>
      </c>
      <c r="I1287">
        <v>43</v>
      </c>
      <c r="J1287">
        <v>16</v>
      </c>
      <c r="K1287">
        <v>2</v>
      </c>
      <c r="L1287">
        <v>18</v>
      </c>
      <c r="M1287">
        <v>2</v>
      </c>
      <c r="N1287">
        <v>1</v>
      </c>
      <c r="O1287">
        <v>5</v>
      </c>
      <c r="P1287">
        <v>1</v>
      </c>
      <c r="Q1287">
        <v>1</v>
      </c>
      <c r="R1287">
        <v>0</v>
      </c>
      <c r="S1287">
        <v>3</v>
      </c>
      <c r="T1287">
        <v>7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3</v>
      </c>
      <c r="AB1287">
        <v>11</v>
      </c>
      <c r="AC1287">
        <v>0</v>
      </c>
    </row>
    <row r="1288" spans="1:29" x14ac:dyDescent="0.3">
      <c r="A1288">
        <v>339</v>
      </c>
      <c r="B1288">
        <v>1972</v>
      </c>
      <c r="C1288" t="s">
        <v>32</v>
      </c>
      <c r="D1288" t="s">
        <v>33</v>
      </c>
      <c r="E1288">
        <v>57091</v>
      </c>
      <c r="F1288">
        <v>0</v>
      </c>
      <c r="G1288">
        <v>1</v>
      </c>
      <c r="H1288" s="1">
        <v>41236</v>
      </c>
      <c r="I1288">
        <v>82</v>
      </c>
      <c r="J1288">
        <v>462</v>
      </c>
      <c r="K1288">
        <v>0</v>
      </c>
      <c r="L1288">
        <v>24</v>
      </c>
      <c r="M1288">
        <v>6</v>
      </c>
      <c r="N1288">
        <v>0</v>
      </c>
      <c r="O1288">
        <v>4</v>
      </c>
      <c r="P1288">
        <v>2</v>
      </c>
      <c r="Q1288">
        <v>9</v>
      </c>
      <c r="R1288">
        <v>2</v>
      </c>
      <c r="S1288">
        <v>5</v>
      </c>
      <c r="T1288">
        <v>7</v>
      </c>
      <c r="U1288">
        <v>0</v>
      </c>
      <c r="V1288">
        <v>1</v>
      </c>
      <c r="W1288">
        <v>0</v>
      </c>
      <c r="X1288">
        <v>0</v>
      </c>
      <c r="Y1288">
        <v>0</v>
      </c>
      <c r="Z1288">
        <v>0</v>
      </c>
      <c r="AA1288">
        <v>3</v>
      </c>
      <c r="AB1288">
        <v>11</v>
      </c>
      <c r="AC1288">
        <v>1</v>
      </c>
    </row>
    <row r="1289" spans="1:29" x14ac:dyDescent="0.3">
      <c r="A1289">
        <v>2516</v>
      </c>
      <c r="B1289">
        <v>1969</v>
      </c>
      <c r="C1289" t="s">
        <v>37</v>
      </c>
      <c r="D1289" t="s">
        <v>33</v>
      </c>
      <c r="E1289">
        <v>46831</v>
      </c>
      <c r="F1289">
        <v>1</v>
      </c>
      <c r="G1289">
        <v>1</v>
      </c>
      <c r="H1289" s="1">
        <v>41433</v>
      </c>
      <c r="I1289">
        <v>84</v>
      </c>
      <c r="J1289">
        <v>22</v>
      </c>
      <c r="K1289">
        <v>2</v>
      </c>
      <c r="L1289">
        <v>10</v>
      </c>
      <c r="M1289">
        <v>6</v>
      </c>
      <c r="N1289">
        <v>4</v>
      </c>
      <c r="O1289">
        <v>34</v>
      </c>
      <c r="P1289">
        <v>2</v>
      </c>
      <c r="Q1289">
        <v>1</v>
      </c>
      <c r="R1289">
        <v>2</v>
      </c>
      <c r="S1289">
        <v>2</v>
      </c>
      <c r="T1289">
        <v>4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3</v>
      </c>
      <c r="AB1289">
        <v>11</v>
      </c>
      <c r="AC1289">
        <v>0</v>
      </c>
    </row>
    <row r="1290" spans="1:29" x14ac:dyDescent="0.3">
      <c r="A1290">
        <v>9010</v>
      </c>
      <c r="B1290">
        <v>1972</v>
      </c>
      <c r="C1290" t="s">
        <v>34</v>
      </c>
      <c r="D1290" t="s">
        <v>33</v>
      </c>
      <c r="E1290">
        <v>83151</v>
      </c>
      <c r="F1290">
        <v>0</v>
      </c>
      <c r="G1290">
        <v>0</v>
      </c>
      <c r="H1290" s="1">
        <v>41315</v>
      </c>
      <c r="I1290">
        <v>80</v>
      </c>
      <c r="J1290">
        <v>968</v>
      </c>
      <c r="K1290">
        <v>147</v>
      </c>
      <c r="L1290">
        <v>842</v>
      </c>
      <c r="M1290">
        <v>137</v>
      </c>
      <c r="N1290">
        <v>42</v>
      </c>
      <c r="O1290">
        <v>210</v>
      </c>
      <c r="P1290">
        <v>1</v>
      </c>
      <c r="Q1290">
        <v>5</v>
      </c>
      <c r="R1290">
        <v>7</v>
      </c>
      <c r="S1290">
        <v>10</v>
      </c>
      <c r="T1290">
        <v>2</v>
      </c>
      <c r="U1290">
        <v>1</v>
      </c>
      <c r="V1290">
        <v>0</v>
      </c>
      <c r="W1290">
        <v>1</v>
      </c>
      <c r="X1290">
        <v>1</v>
      </c>
      <c r="Y1290">
        <v>0</v>
      </c>
      <c r="Z1290">
        <v>0</v>
      </c>
      <c r="AA1290">
        <v>3</v>
      </c>
      <c r="AB1290">
        <v>11</v>
      </c>
      <c r="AC1290">
        <v>1</v>
      </c>
    </row>
    <row r="1291" spans="1:29" x14ac:dyDescent="0.3">
      <c r="A1291">
        <v>378</v>
      </c>
      <c r="B1291">
        <v>1971</v>
      </c>
      <c r="C1291" t="s">
        <v>29</v>
      </c>
      <c r="D1291" t="s">
        <v>33</v>
      </c>
      <c r="E1291">
        <v>52531</v>
      </c>
      <c r="F1291">
        <v>0</v>
      </c>
      <c r="G1291">
        <v>0</v>
      </c>
      <c r="H1291" s="1">
        <v>41273</v>
      </c>
      <c r="I1291">
        <v>68</v>
      </c>
      <c r="J1291">
        <v>283</v>
      </c>
      <c r="K1291">
        <v>112</v>
      </c>
      <c r="L1291">
        <v>151</v>
      </c>
      <c r="M1291">
        <v>51</v>
      </c>
      <c r="N1291">
        <v>72</v>
      </c>
      <c r="O1291">
        <v>125</v>
      </c>
      <c r="P1291">
        <v>2</v>
      </c>
      <c r="Q1291">
        <v>7</v>
      </c>
      <c r="R1291">
        <v>2</v>
      </c>
      <c r="S1291">
        <v>10</v>
      </c>
      <c r="T1291">
        <v>6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3</v>
      </c>
      <c r="AB1291">
        <v>11</v>
      </c>
      <c r="AC1291">
        <v>0</v>
      </c>
    </row>
    <row r="1292" spans="1:29" x14ac:dyDescent="0.3">
      <c r="A1292">
        <v>4808</v>
      </c>
      <c r="B1292">
        <v>1956</v>
      </c>
      <c r="C1292" t="s">
        <v>29</v>
      </c>
      <c r="D1292" t="s">
        <v>33</v>
      </c>
      <c r="E1292">
        <v>15759</v>
      </c>
      <c r="F1292">
        <v>0</v>
      </c>
      <c r="G1292">
        <v>0</v>
      </c>
      <c r="H1292" s="1">
        <v>41522</v>
      </c>
      <c r="I1292">
        <v>12</v>
      </c>
      <c r="J1292">
        <v>1</v>
      </c>
      <c r="K1292">
        <v>2</v>
      </c>
      <c r="L1292">
        <v>5</v>
      </c>
      <c r="M1292">
        <v>6</v>
      </c>
      <c r="N1292">
        <v>0</v>
      </c>
      <c r="O1292">
        <v>3</v>
      </c>
      <c r="P1292">
        <v>1</v>
      </c>
      <c r="Q1292">
        <v>1</v>
      </c>
      <c r="R1292">
        <v>0</v>
      </c>
      <c r="S1292">
        <v>2</v>
      </c>
      <c r="T1292">
        <v>7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3</v>
      </c>
      <c r="AB1292">
        <v>11</v>
      </c>
      <c r="AC1292">
        <v>0</v>
      </c>
    </row>
    <row r="1293" spans="1:29" x14ac:dyDescent="0.3">
      <c r="A1293">
        <v>5068</v>
      </c>
      <c r="B1293">
        <v>1971</v>
      </c>
      <c r="C1293" t="s">
        <v>29</v>
      </c>
      <c r="D1293" t="s">
        <v>30</v>
      </c>
      <c r="E1293">
        <v>22804</v>
      </c>
      <c r="F1293">
        <v>1</v>
      </c>
      <c r="G1293">
        <v>0</v>
      </c>
      <c r="H1293" s="1">
        <v>41486</v>
      </c>
      <c r="I1293">
        <v>75</v>
      </c>
      <c r="J1293">
        <v>14</v>
      </c>
      <c r="K1293">
        <v>1</v>
      </c>
      <c r="L1293">
        <v>7</v>
      </c>
      <c r="M1293">
        <v>2</v>
      </c>
      <c r="N1293">
        <v>1</v>
      </c>
      <c r="O1293">
        <v>1</v>
      </c>
      <c r="P1293">
        <v>1</v>
      </c>
      <c r="Q1293">
        <v>2</v>
      </c>
      <c r="R1293">
        <v>0</v>
      </c>
      <c r="S1293">
        <v>2</v>
      </c>
      <c r="T1293">
        <v>9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3</v>
      </c>
      <c r="AB1293">
        <v>11</v>
      </c>
      <c r="AC1293">
        <v>0</v>
      </c>
    </row>
    <row r="1294" spans="1:29" x14ac:dyDescent="0.3">
      <c r="A1294">
        <v>7628</v>
      </c>
      <c r="B1294">
        <v>1973</v>
      </c>
      <c r="C1294" t="s">
        <v>37</v>
      </c>
      <c r="D1294" t="s">
        <v>33</v>
      </c>
      <c r="E1294">
        <v>43050</v>
      </c>
      <c r="F1294">
        <v>1</v>
      </c>
      <c r="G1294">
        <v>0</v>
      </c>
      <c r="H1294" s="1">
        <v>41716</v>
      </c>
      <c r="I1294">
        <v>10</v>
      </c>
      <c r="J1294">
        <v>30</v>
      </c>
      <c r="K1294">
        <v>5</v>
      </c>
      <c r="L1294">
        <v>24</v>
      </c>
      <c r="M1294">
        <v>6</v>
      </c>
      <c r="N1294">
        <v>3</v>
      </c>
      <c r="O1294">
        <v>8</v>
      </c>
      <c r="P1294">
        <v>2</v>
      </c>
      <c r="Q1294">
        <v>2</v>
      </c>
      <c r="R1294">
        <v>0</v>
      </c>
      <c r="S1294">
        <v>4</v>
      </c>
      <c r="T1294">
        <v>5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3</v>
      </c>
      <c r="AB1294">
        <v>11</v>
      </c>
      <c r="AC1294">
        <v>0</v>
      </c>
    </row>
    <row r="1295" spans="1:29" x14ac:dyDescent="0.3">
      <c r="A1295">
        <v>7128</v>
      </c>
      <c r="B1295">
        <v>1977</v>
      </c>
      <c r="C1295" t="s">
        <v>32</v>
      </c>
      <c r="D1295" t="s">
        <v>30</v>
      </c>
      <c r="E1295">
        <v>42997</v>
      </c>
      <c r="F1295">
        <v>1</v>
      </c>
      <c r="G1295">
        <v>1</v>
      </c>
      <c r="H1295" s="1">
        <v>41615</v>
      </c>
      <c r="I1295">
        <v>91</v>
      </c>
      <c r="J1295">
        <v>4</v>
      </c>
      <c r="K1295">
        <v>0</v>
      </c>
      <c r="L1295">
        <v>5</v>
      </c>
      <c r="M1295">
        <v>0</v>
      </c>
      <c r="N1295">
        <v>1</v>
      </c>
      <c r="O1295">
        <v>5</v>
      </c>
      <c r="P1295">
        <v>1</v>
      </c>
      <c r="Q1295">
        <v>1</v>
      </c>
      <c r="R1295">
        <v>0</v>
      </c>
      <c r="S1295">
        <v>2</v>
      </c>
      <c r="T1295">
        <v>7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3</v>
      </c>
      <c r="AB1295">
        <v>11</v>
      </c>
      <c r="AC1295">
        <v>0</v>
      </c>
    </row>
    <row r="1296" spans="1:29" x14ac:dyDescent="0.3">
      <c r="A1296">
        <v>2811</v>
      </c>
      <c r="B1296">
        <v>1963</v>
      </c>
      <c r="C1296" t="s">
        <v>32</v>
      </c>
      <c r="D1296" t="s">
        <v>30</v>
      </c>
      <c r="E1296">
        <v>48918</v>
      </c>
      <c r="F1296">
        <v>1</v>
      </c>
      <c r="G1296">
        <v>1</v>
      </c>
      <c r="H1296" s="1">
        <v>41741</v>
      </c>
      <c r="I1296">
        <v>21</v>
      </c>
      <c r="J1296">
        <v>52</v>
      </c>
      <c r="K1296">
        <v>0</v>
      </c>
      <c r="L1296">
        <v>9</v>
      </c>
      <c r="M1296">
        <v>0</v>
      </c>
      <c r="N1296">
        <v>0</v>
      </c>
      <c r="O1296">
        <v>1</v>
      </c>
      <c r="P1296">
        <v>2</v>
      </c>
      <c r="Q1296">
        <v>1</v>
      </c>
      <c r="R1296">
        <v>0</v>
      </c>
      <c r="S1296">
        <v>4</v>
      </c>
      <c r="T1296">
        <v>4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3</v>
      </c>
      <c r="AB1296">
        <v>11</v>
      </c>
      <c r="AC1296">
        <v>0</v>
      </c>
    </row>
    <row r="1297" spans="1:29" x14ac:dyDescent="0.3">
      <c r="A1297">
        <v>3551</v>
      </c>
      <c r="B1297">
        <v>1954</v>
      </c>
      <c r="C1297" t="s">
        <v>34</v>
      </c>
      <c r="D1297" t="s">
        <v>31</v>
      </c>
      <c r="E1297">
        <v>60033</v>
      </c>
      <c r="F1297">
        <v>0</v>
      </c>
      <c r="G1297">
        <v>1</v>
      </c>
      <c r="H1297" s="1">
        <v>41727</v>
      </c>
      <c r="I1297">
        <v>28</v>
      </c>
      <c r="J1297">
        <v>62</v>
      </c>
      <c r="K1297">
        <v>1</v>
      </c>
      <c r="L1297">
        <v>57</v>
      </c>
      <c r="M1297">
        <v>19</v>
      </c>
      <c r="N1297">
        <v>11</v>
      </c>
      <c r="O1297">
        <v>48</v>
      </c>
      <c r="P1297">
        <v>2</v>
      </c>
      <c r="Q1297">
        <v>2</v>
      </c>
      <c r="R1297">
        <v>1</v>
      </c>
      <c r="S1297">
        <v>5</v>
      </c>
      <c r="T1297">
        <v>2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3</v>
      </c>
      <c r="AB1297">
        <v>11</v>
      </c>
      <c r="AC1297">
        <v>0</v>
      </c>
    </row>
    <row r="1298" spans="1:29" x14ac:dyDescent="0.3">
      <c r="A1298">
        <v>1663</v>
      </c>
      <c r="B1298">
        <v>1978</v>
      </c>
      <c r="C1298" t="s">
        <v>32</v>
      </c>
      <c r="D1298" t="s">
        <v>31</v>
      </c>
      <c r="E1298">
        <v>34043</v>
      </c>
      <c r="F1298">
        <v>1</v>
      </c>
      <c r="G1298">
        <v>0</v>
      </c>
      <c r="H1298" s="1">
        <v>41572</v>
      </c>
      <c r="I1298">
        <v>97</v>
      </c>
      <c r="J1298">
        <v>20</v>
      </c>
      <c r="K1298">
        <v>2</v>
      </c>
      <c r="L1298">
        <v>14</v>
      </c>
      <c r="M1298">
        <v>3</v>
      </c>
      <c r="N1298">
        <v>0</v>
      </c>
      <c r="O1298">
        <v>10</v>
      </c>
      <c r="P1298">
        <v>1</v>
      </c>
      <c r="Q1298">
        <v>2</v>
      </c>
      <c r="R1298">
        <v>0</v>
      </c>
      <c r="S1298">
        <v>2</v>
      </c>
      <c r="T1298">
        <v>9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3</v>
      </c>
      <c r="AB1298">
        <v>11</v>
      </c>
      <c r="AC1298">
        <v>0</v>
      </c>
    </row>
    <row r="1299" spans="1:29" x14ac:dyDescent="0.3">
      <c r="A1299">
        <v>5543</v>
      </c>
      <c r="B1299">
        <v>1966</v>
      </c>
      <c r="C1299" t="s">
        <v>29</v>
      </c>
      <c r="D1299" t="s">
        <v>31</v>
      </c>
      <c r="E1299">
        <v>57811</v>
      </c>
      <c r="F1299">
        <v>0</v>
      </c>
      <c r="G1299">
        <v>1</v>
      </c>
      <c r="H1299" s="1">
        <v>41449</v>
      </c>
      <c r="I1299">
        <v>49</v>
      </c>
      <c r="J1299">
        <v>545</v>
      </c>
      <c r="K1299">
        <v>7</v>
      </c>
      <c r="L1299">
        <v>114</v>
      </c>
      <c r="M1299">
        <v>37</v>
      </c>
      <c r="N1299">
        <v>21</v>
      </c>
      <c r="O1299">
        <v>78</v>
      </c>
      <c r="P1299">
        <v>5</v>
      </c>
      <c r="Q1299">
        <v>7</v>
      </c>
      <c r="R1299">
        <v>2</v>
      </c>
      <c r="S1299">
        <v>11</v>
      </c>
      <c r="T1299">
        <v>5</v>
      </c>
      <c r="U1299">
        <v>0</v>
      </c>
      <c r="V1299">
        <v>1</v>
      </c>
      <c r="W1299">
        <v>0</v>
      </c>
      <c r="X1299">
        <v>0</v>
      </c>
      <c r="Y1299">
        <v>0</v>
      </c>
      <c r="Z1299">
        <v>0</v>
      </c>
      <c r="AA1299">
        <v>3</v>
      </c>
      <c r="AB1299">
        <v>11</v>
      </c>
      <c r="AC1299">
        <v>0</v>
      </c>
    </row>
    <row r="1300" spans="1:29" x14ac:dyDescent="0.3">
      <c r="A1300">
        <v>1577</v>
      </c>
      <c r="B1300">
        <v>1946</v>
      </c>
      <c r="C1300" t="s">
        <v>29</v>
      </c>
      <c r="D1300" t="s">
        <v>33</v>
      </c>
      <c r="E1300">
        <v>78569</v>
      </c>
      <c r="F1300">
        <v>0</v>
      </c>
      <c r="G1300">
        <v>0</v>
      </c>
      <c r="H1300" s="1">
        <v>41689</v>
      </c>
      <c r="I1300">
        <v>14</v>
      </c>
      <c r="J1300">
        <v>558</v>
      </c>
      <c r="K1300">
        <v>79</v>
      </c>
      <c r="L1300">
        <v>622</v>
      </c>
      <c r="M1300">
        <v>207</v>
      </c>
      <c r="N1300">
        <v>175</v>
      </c>
      <c r="O1300">
        <v>95</v>
      </c>
      <c r="P1300">
        <v>1</v>
      </c>
      <c r="Q1300">
        <v>4</v>
      </c>
      <c r="R1300">
        <v>6</v>
      </c>
      <c r="S1300">
        <v>4</v>
      </c>
      <c r="T1300">
        <v>1</v>
      </c>
      <c r="U1300">
        <v>0</v>
      </c>
      <c r="V1300">
        <v>0</v>
      </c>
      <c r="W1300">
        <v>1</v>
      </c>
      <c r="X1300">
        <v>0</v>
      </c>
      <c r="Y1300">
        <v>0</v>
      </c>
      <c r="Z1300">
        <v>0</v>
      </c>
      <c r="AA1300">
        <v>3</v>
      </c>
      <c r="AB1300">
        <v>11</v>
      </c>
      <c r="AC1300">
        <v>1</v>
      </c>
    </row>
    <row r="1301" spans="1:29" x14ac:dyDescent="0.3">
      <c r="A1301">
        <v>10641</v>
      </c>
      <c r="B1301">
        <v>1978</v>
      </c>
      <c r="C1301" t="s">
        <v>29</v>
      </c>
      <c r="D1301" t="s">
        <v>30</v>
      </c>
      <c r="E1301">
        <v>7500</v>
      </c>
      <c r="F1301">
        <v>1</v>
      </c>
      <c r="G1301">
        <v>1</v>
      </c>
      <c r="H1301" s="1">
        <v>41270</v>
      </c>
      <c r="I1301">
        <v>5</v>
      </c>
      <c r="J1301">
        <v>6</v>
      </c>
      <c r="K1301">
        <v>5</v>
      </c>
      <c r="L1301">
        <v>4</v>
      </c>
      <c r="M1301">
        <v>13</v>
      </c>
      <c r="N1301">
        <v>4</v>
      </c>
      <c r="O1301">
        <v>25</v>
      </c>
      <c r="P1301">
        <v>4</v>
      </c>
      <c r="Q1301">
        <v>2</v>
      </c>
      <c r="R1301">
        <v>1</v>
      </c>
      <c r="S1301">
        <v>3</v>
      </c>
      <c r="T1301">
        <v>6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3</v>
      </c>
      <c r="AB1301">
        <v>11</v>
      </c>
      <c r="AC1301">
        <v>0</v>
      </c>
    </row>
    <row r="1302" spans="1:29" x14ac:dyDescent="0.3">
      <c r="A1302">
        <v>5336</v>
      </c>
      <c r="B1302">
        <v>1971</v>
      </c>
      <c r="C1302" t="s">
        <v>34</v>
      </c>
      <c r="D1302" t="s">
        <v>31</v>
      </c>
      <c r="E1302">
        <v>157733</v>
      </c>
      <c r="F1302">
        <v>1</v>
      </c>
      <c r="G1302">
        <v>0</v>
      </c>
      <c r="H1302" s="1">
        <v>41429</v>
      </c>
      <c r="I1302">
        <v>37</v>
      </c>
      <c r="J1302">
        <v>39</v>
      </c>
      <c r="K1302">
        <v>1</v>
      </c>
      <c r="L1302">
        <v>9</v>
      </c>
      <c r="M1302">
        <v>2</v>
      </c>
      <c r="N1302">
        <v>0</v>
      </c>
      <c r="O1302">
        <v>8</v>
      </c>
      <c r="P1302">
        <v>0</v>
      </c>
      <c r="Q1302">
        <v>1</v>
      </c>
      <c r="R1302">
        <v>0</v>
      </c>
      <c r="S1302">
        <v>1</v>
      </c>
      <c r="T1302">
        <v>1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3</v>
      </c>
      <c r="AB1302">
        <v>11</v>
      </c>
      <c r="AC1302">
        <v>0</v>
      </c>
    </row>
    <row r="1303" spans="1:29" x14ac:dyDescent="0.3">
      <c r="A1303">
        <v>6024</v>
      </c>
      <c r="B1303">
        <v>1953</v>
      </c>
      <c r="C1303" t="s">
        <v>29</v>
      </c>
      <c r="D1303" t="s">
        <v>31</v>
      </c>
      <c r="E1303">
        <v>94384</v>
      </c>
      <c r="F1303">
        <v>0</v>
      </c>
      <c r="G1303">
        <v>0</v>
      </c>
      <c r="H1303" s="1">
        <v>41337</v>
      </c>
      <c r="I1303">
        <v>62</v>
      </c>
      <c r="J1303">
        <v>1111</v>
      </c>
      <c r="K1303">
        <v>24</v>
      </c>
      <c r="L1303">
        <v>790</v>
      </c>
      <c r="M1303">
        <v>160</v>
      </c>
      <c r="N1303">
        <v>45</v>
      </c>
      <c r="O1303">
        <v>172</v>
      </c>
      <c r="P1303">
        <v>0</v>
      </c>
      <c r="Q1303">
        <v>5</v>
      </c>
      <c r="R1303">
        <v>8</v>
      </c>
      <c r="S1303">
        <v>5</v>
      </c>
      <c r="T1303">
        <v>2</v>
      </c>
      <c r="U1303">
        <v>0</v>
      </c>
      <c r="V1303">
        <v>1</v>
      </c>
      <c r="W1303">
        <v>1</v>
      </c>
      <c r="X1303">
        <v>1</v>
      </c>
      <c r="Y1303">
        <v>0</v>
      </c>
      <c r="Z1303">
        <v>0</v>
      </c>
      <c r="AA1303">
        <v>3</v>
      </c>
      <c r="AB1303">
        <v>11</v>
      </c>
      <c r="AC1303">
        <v>1</v>
      </c>
    </row>
    <row r="1304" spans="1:29" x14ac:dyDescent="0.3">
      <c r="A1304">
        <v>1878</v>
      </c>
      <c r="B1304">
        <v>1985</v>
      </c>
      <c r="C1304" t="s">
        <v>37</v>
      </c>
      <c r="D1304" t="s">
        <v>33</v>
      </c>
      <c r="E1304">
        <v>23148</v>
      </c>
      <c r="F1304">
        <v>0</v>
      </c>
      <c r="G1304">
        <v>0</v>
      </c>
      <c r="H1304" s="1">
        <v>41688</v>
      </c>
      <c r="I1304">
        <v>83</v>
      </c>
      <c r="J1304">
        <v>4</v>
      </c>
      <c r="K1304">
        <v>6</v>
      </c>
      <c r="L1304">
        <v>8</v>
      </c>
      <c r="M1304">
        <v>6</v>
      </c>
      <c r="N1304">
        <v>3</v>
      </c>
      <c r="O1304">
        <v>10</v>
      </c>
      <c r="P1304">
        <v>1</v>
      </c>
      <c r="Q1304">
        <v>2</v>
      </c>
      <c r="R1304">
        <v>0</v>
      </c>
      <c r="S1304">
        <v>3</v>
      </c>
      <c r="T1304">
        <v>7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3</v>
      </c>
      <c r="AB1304">
        <v>11</v>
      </c>
      <c r="AC1304">
        <v>0</v>
      </c>
    </row>
    <row r="1305" spans="1:29" x14ac:dyDescent="0.3">
      <c r="A1305">
        <v>3099</v>
      </c>
      <c r="B1305">
        <v>1970</v>
      </c>
      <c r="C1305" t="s">
        <v>29</v>
      </c>
      <c r="D1305" t="s">
        <v>35</v>
      </c>
      <c r="E1305">
        <v>44267</v>
      </c>
      <c r="F1305">
        <v>1</v>
      </c>
      <c r="G1305">
        <v>1</v>
      </c>
      <c r="H1305" s="1">
        <v>41330</v>
      </c>
      <c r="I1305">
        <v>48</v>
      </c>
      <c r="J1305">
        <v>183</v>
      </c>
      <c r="K1305">
        <v>5</v>
      </c>
      <c r="L1305">
        <v>65</v>
      </c>
      <c r="M1305">
        <v>3</v>
      </c>
      <c r="N1305">
        <v>5</v>
      </c>
      <c r="O1305">
        <v>49</v>
      </c>
      <c r="P1305">
        <v>5</v>
      </c>
      <c r="Q1305">
        <v>5</v>
      </c>
      <c r="R1305">
        <v>2</v>
      </c>
      <c r="S1305">
        <v>4</v>
      </c>
      <c r="T1305">
        <v>9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3</v>
      </c>
      <c r="AB1305">
        <v>11</v>
      </c>
      <c r="AC1305">
        <v>0</v>
      </c>
    </row>
    <row r="1306" spans="1:29" x14ac:dyDescent="0.3">
      <c r="A1306">
        <v>6055</v>
      </c>
      <c r="B1306">
        <v>1979</v>
      </c>
      <c r="C1306" t="s">
        <v>29</v>
      </c>
      <c r="D1306" t="s">
        <v>33</v>
      </c>
      <c r="E1306">
        <v>71626</v>
      </c>
      <c r="F1306">
        <v>0</v>
      </c>
      <c r="G1306">
        <v>0</v>
      </c>
      <c r="H1306" s="1">
        <v>41214</v>
      </c>
      <c r="I1306">
        <v>94</v>
      </c>
      <c r="J1306">
        <v>546</v>
      </c>
      <c r="K1306">
        <v>72</v>
      </c>
      <c r="L1306">
        <v>376</v>
      </c>
      <c r="M1306">
        <v>94</v>
      </c>
      <c r="N1306">
        <v>145</v>
      </c>
      <c r="O1306">
        <v>72</v>
      </c>
      <c r="P1306">
        <v>1</v>
      </c>
      <c r="Q1306">
        <v>5</v>
      </c>
      <c r="R1306">
        <v>5</v>
      </c>
      <c r="S1306">
        <v>8</v>
      </c>
      <c r="T1306">
        <v>3</v>
      </c>
      <c r="U1306">
        <v>0</v>
      </c>
      <c r="V1306">
        <v>1</v>
      </c>
      <c r="W1306">
        <v>0</v>
      </c>
      <c r="X1306">
        <v>0</v>
      </c>
      <c r="Y1306">
        <v>0</v>
      </c>
      <c r="Z1306">
        <v>0</v>
      </c>
      <c r="AA1306">
        <v>3</v>
      </c>
      <c r="AB1306">
        <v>11</v>
      </c>
      <c r="AC1306">
        <v>0</v>
      </c>
    </row>
    <row r="1307" spans="1:29" x14ac:dyDescent="0.3">
      <c r="A1307">
        <v>5841</v>
      </c>
      <c r="B1307">
        <v>1966</v>
      </c>
      <c r="C1307" t="s">
        <v>29</v>
      </c>
      <c r="D1307" t="s">
        <v>31</v>
      </c>
      <c r="E1307">
        <v>60894</v>
      </c>
      <c r="F1307">
        <v>0</v>
      </c>
      <c r="G1307">
        <v>1</v>
      </c>
      <c r="H1307" s="1">
        <v>41453</v>
      </c>
      <c r="I1307">
        <v>61</v>
      </c>
      <c r="J1307">
        <v>606</v>
      </c>
      <c r="K1307">
        <v>7</v>
      </c>
      <c r="L1307">
        <v>155</v>
      </c>
      <c r="M1307">
        <v>10</v>
      </c>
      <c r="N1307">
        <v>0</v>
      </c>
      <c r="O1307">
        <v>54</v>
      </c>
      <c r="P1307">
        <v>5</v>
      </c>
      <c r="Q1307">
        <v>10</v>
      </c>
      <c r="R1307">
        <v>3</v>
      </c>
      <c r="S1307">
        <v>8</v>
      </c>
      <c r="T1307">
        <v>7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3</v>
      </c>
      <c r="AB1307">
        <v>11</v>
      </c>
      <c r="AC1307">
        <v>0</v>
      </c>
    </row>
    <row r="1308" spans="1:29" x14ac:dyDescent="0.3">
      <c r="A1308">
        <v>3972</v>
      </c>
      <c r="B1308">
        <v>1976</v>
      </c>
      <c r="C1308" t="s">
        <v>29</v>
      </c>
      <c r="D1308" t="s">
        <v>31</v>
      </c>
      <c r="E1308">
        <v>50200</v>
      </c>
      <c r="F1308">
        <v>1</v>
      </c>
      <c r="G1308">
        <v>1</v>
      </c>
      <c r="H1308" s="1">
        <v>41367</v>
      </c>
      <c r="I1308">
        <v>70</v>
      </c>
      <c r="J1308">
        <v>266</v>
      </c>
      <c r="K1308">
        <v>6</v>
      </c>
      <c r="L1308">
        <v>51</v>
      </c>
      <c r="M1308">
        <v>8</v>
      </c>
      <c r="N1308">
        <v>6</v>
      </c>
      <c r="O1308">
        <v>64</v>
      </c>
      <c r="P1308">
        <v>6</v>
      </c>
      <c r="Q1308">
        <v>7</v>
      </c>
      <c r="R1308">
        <v>1</v>
      </c>
      <c r="S1308">
        <v>5</v>
      </c>
      <c r="T1308">
        <v>8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3</v>
      </c>
      <c r="AB1308">
        <v>11</v>
      </c>
      <c r="AC1308">
        <v>0</v>
      </c>
    </row>
    <row r="1309" spans="1:29" x14ac:dyDescent="0.3">
      <c r="A1309">
        <v>4394</v>
      </c>
      <c r="B1309">
        <v>1965</v>
      </c>
      <c r="C1309" t="s">
        <v>32</v>
      </c>
      <c r="D1309" t="s">
        <v>33</v>
      </c>
      <c r="E1309">
        <v>81051</v>
      </c>
      <c r="F1309">
        <v>0</v>
      </c>
      <c r="G1309">
        <v>0</v>
      </c>
      <c r="H1309" s="1">
        <v>41782</v>
      </c>
      <c r="I1309">
        <v>43</v>
      </c>
      <c r="J1309">
        <v>1142</v>
      </c>
      <c r="K1309">
        <v>29</v>
      </c>
      <c r="L1309">
        <v>249</v>
      </c>
      <c r="M1309">
        <v>38</v>
      </c>
      <c r="N1309">
        <v>29</v>
      </c>
      <c r="O1309">
        <v>14</v>
      </c>
      <c r="P1309">
        <v>1</v>
      </c>
      <c r="Q1309">
        <v>5</v>
      </c>
      <c r="R1309">
        <v>5</v>
      </c>
      <c r="S1309">
        <v>12</v>
      </c>
      <c r="T1309">
        <v>2</v>
      </c>
      <c r="U1309">
        <v>0</v>
      </c>
      <c r="V1309">
        <v>1</v>
      </c>
      <c r="W1309">
        <v>1</v>
      </c>
      <c r="X1309">
        <v>0</v>
      </c>
      <c r="Y1309">
        <v>0</v>
      </c>
      <c r="Z1309">
        <v>0</v>
      </c>
      <c r="AA1309">
        <v>3</v>
      </c>
      <c r="AB1309">
        <v>11</v>
      </c>
      <c r="AC1309">
        <v>0</v>
      </c>
    </row>
    <row r="1310" spans="1:29" x14ac:dyDescent="0.3">
      <c r="A1310">
        <v>5758</v>
      </c>
      <c r="B1310">
        <v>1982</v>
      </c>
      <c r="C1310" t="s">
        <v>29</v>
      </c>
      <c r="D1310" t="s">
        <v>33</v>
      </c>
      <c r="E1310">
        <v>65169</v>
      </c>
      <c r="F1310">
        <v>0</v>
      </c>
      <c r="G1310">
        <v>0</v>
      </c>
      <c r="H1310" s="1">
        <v>41653</v>
      </c>
      <c r="I1310">
        <v>23</v>
      </c>
      <c r="J1310">
        <v>1074</v>
      </c>
      <c r="K1310">
        <v>0</v>
      </c>
      <c r="L1310">
        <v>69</v>
      </c>
      <c r="M1310">
        <v>0</v>
      </c>
      <c r="N1310">
        <v>0</v>
      </c>
      <c r="O1310">
        <v>46</v>
      </c>
      <c r="P1310">
        <v>1</v>
      </c>
      <c r="Q1310">
        <v>10</v>
      </c>
      <c r="R1310">
        <v>4</v>
      </c>
      <c r="S1310">
        <v>13</v>
      </c>
      <c r="T1310">
        <v>6</v>
      </c>
      <c r="U1310">
        <v>1</v>
      </c>
      <c r="V1310">
        <v>0</v>
      </c>
      <c r="W1310">
        <v>1</v>
      </c>
      <c r="X1310">
        <v>1</v>
      </c>
      <c r="Y1310">
        <v>1</v>
      </c>
      <c r="Z1310">
        <v>0</v>
      </c>
      <c r="AA1310">
        <v>3</v>
      </c>
      <c r="AB1310">
        <v>11</v>
      </c>
      <c r="AC1310">
        <v>1</v>
      </c>
    </row>
    <row r="1311" spans="1:29" x14ac:dyDescent="0.3">
      <c r="A1311">
        <v>6658</v>
      </c>
      <c r="B1311">
        <v>1972</v>
      </c>
      <c r="C1311" t="s">
        <v>29</v>
      </c>
      <c r="D1311" t="s">
        <v>31</v>
      </c>
      <c r="E1311">
        <v>59868</v>
      </c>
      <c r="F1311">
        <v>0</v>
      </c>
      <c r="G1311">
        <v>1</v>
      </c>
      <c r="H1311" s="1">
        <v>41477</v>
      </c>
      <c r="I1311">
        <v>37</v>
      </c>
      <c r="J1311">
        <v>771</v>
      </c>
      <c r="K1311">
        <v>51</v>
      </c>
      <c r="L1311">
        <v>154</v>
      </c>
      <c r="M1311">
        <v>54</v>
      </c>
      <c r="N1311">
        <v>10</v>
      </c>
      <c r="O1311">
        <v>154</v>
      </c>
      <c r="P1311">
        <v>7</v>
      </c>
      <c r="Q1311">
        <v>11</v>
      </c>
      <c r="R1311">
        <v>2</v>
      </c>
      <c r="S1311">
        <v>12</v>
      </c>
      <c r="T1311">
        <v>6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3</v>
      </c>
      <c r="AB1311">
        <v>11</v>
      </c>
      <c r="AC1311">
        <v>0</v>
      </c>
    </row>
    <row r="1312" spans="1:29" x14ac:dyDescent="0.3">
      <c r="A1312">
        <v>4603</v>
      </c>
      <c r="B1312">
        <v>1960</v>
      </c>
      <c r="C1312" t="s">
        <v>32</v>
      </c>
      <c r="D1312" t="s">
        <v>33</v>
      </c>
      <c r="E1312">
        <v>65695</v>
      </c>
      <c r="F1312">
        <v>0</v>
      </c>
      <c r="G1312">
        <v>1</v>
      </c>
      <c r="H1312" s="1">
        <v>41670</v>
      </c>
      <c r="I1312">
        <v>50</v>
      </c>
      <c r="J1312">
        <v>371</v>
      </c>
      <c r="K1312">
        <v>32</v>
      </c>
      <c r="L1312">
        <v>189</v>
      </c>
      <c r="M1312">
        <v>0</v>
      </c>
      <c r="N1312">
        <v>58</v>
      </c>
      <c r="O1312">
        <v>6</v>
      </c>
      <c r="P1312">
        <v>2</v>
      </c>
      <c r="Q1312">
        <v>5</v>
      </c>
      <c r="R1312">
        <v>4</v>
      </c>
      <c r="S1312">
        <v>10</v>
      </c>
      <c r="T1312">
        <v>4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3</v>
      </c>
      <c r="AB1312">
        <v>11</v>
      </c>
      <c r="AC1312">
        <v>0</v>
      </c>
    </row>
    <row r="1313" spans="1:29" x14ac:dyDescent="0.3">
      <c r="A1313">
        <v>8427</v>
      </c>
      <c r="B1313">
        <v>1956</v>
      </c>
      <c r="C1313" t="s">
        <v>34</v>
      </c>
      <c r="D1313" t="s">
        <v>30</v>
      </c>
      <c r="E1313">
        <v>64857</v>
      </c>
      <c r="F1313">
        <v>0</v>
      </c>
      <c r="G1313">
        <v>0</v>
      </c>
      <c r="H1313" s="1">
        <v>41236</v>
      </c>
      <c r="I1313">
        <v>78</v>
      </c>
      <c r="J1313">
        <v>556</v>
      </c>
      <c r="K1313">
        <v>14</v>
      </c>
      <c r="L1313">
        <v>717</v>
      </c>
      <c r="M1313">
        <v>210</v>
      </c>
      <c r="N1313">
        <v>0</v>
      </c>
      <c r="O1313">
        <v>43</v>
      </c>
      <c r="P1313">
        <v>1</v>
      </c>
      <c r="Q1313">
        <v>7</v>
      </c>
      <c r="R1313">
        <v>5</v>
      </c>
      <c r="S1313">
        <v>10</v>
      </c>
      <c r="T1313">
        <v>4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3</v>
      </c>
      <c r="AB1313">
        <v>11</v>
      </c>
      <c r="AC1313">
        <v>0</v>
      </c>
    </row>
    <row r="1314" spans="1:29" x14ac:dyDescent="0.3">
      <c r="A1314">
        <v>10260</v>
      </c>
      <c r="B1314">
        <v>1965</v>
      </c>
      <c r="C1314" t="s">
        <v>34</v>
      </c>
      <c r="D1314" t="s">
        <v>31</v>
      </c>
      <c r="E1314">
        <v>45143</v>
      </c>
      <c r="F1314">
        <v>0</v>
      </c>
      <c r="G1314">
        <v>1</v>
      </c>
      <c r="H1314" s="1">
        <v>41512</v>
      </c>
      <c r="I1314">
        <v>74</v>
      </c>
      <c r="J1314">
        <v>202</v>
      </c>
      <c r="K1314">
        <v>5</v>
      </c>
      <c r="L1314">
        <v>74</v>
      </c>
      <c r="M1314">
        <v>11</v>
      </c>
      <c r="N1314">
        <v>5</v>
      </c>
      <c r="O1314">
        <v>14</v>
      </c>
      <c r="P1314">
        <v>3</v>
      </c>
      <c r="Q1314">
        <v>6</v>
      </c>
      <c r="R1314">
        <v>1</v>
      </c>
      <c r="S1314">
        <v>5</v>
      </c>
      <c r="T1314">
        <v>7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3</v>
      </c>
      <c r="AB1314">
        <v>11</v>
      </c>
      <c r="AC1314">
        <v>0</v>
      </c>
    </row>
    <row r="1315" spans="1:29" x14ac:dyDescent="0.3">
      <c r="A1315">
        <v>7143</v>
      </c>
      <c r="B1315">
        <v>1955</v>
      </c>
      <c r="C1315" t="s">
        <v>37</v>
      </c>
      <c r="D1315" t="s">
        <v>31</v>
      </c>
      <c r="E1315">
        <v>74805</v>
      </c>
      <c r="F1315">
        <v>0</v>
      </c>
      <c r="G1315">
        <v>1</v>
      </c>
      <c r="H1315" s="1">
        <v>41584</v>
      </c>
      <c r="I1315">
        <v>14</v>
      </c>
      <c r="J1315">
        <v>209</v>
      </c>
      <c r="K1315">
        <v>162</v>
      </c>
      <c r="L1315">
        <v>209</v>
      </c>
      <c r="M1315">
        <v>41</v>
      </c>
      <c r="N1315">
        <v>162</v>
      </c>
      <c r="O1315">
        <v>37</v>
      </c>
      <c r="P1315">
        <v>5</v>
      </c>
      <c r="Q1315">
        <v>4</v>
      </c>
      <c r="R1315">
        <v>7</v>
      </c>
      <c r="S1315">
        <v>10</v>
      </c>
      <c r="T1315">
        <v>2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3</v>
      </c>
      <c r="AB1315">
        <v>11</v>
      </c>
      <c r="AC1315">
        <v>0</v>
      </c>
    </row>
    <row r="1316" spans="1:29" x14ac:dyDescent="0.3">
      <c r="A1316">
        <v>8789</v>
      </c>
      <c r="B1316">
        <v>1989</v>
      </c>
      <c r="C1316" t="s">
        <v>37</v>
      </c>
      <c r="D1316" t="s">
        <v>33</v>
      </c>
      <c r="E1316">
        <v>59060</v>
      </c>
      <c r="F1316">
        <v>1</v>
      </c>
      <c r="G1316">
        <v>0</v>
      </c>
      <c r="H1316" s="1">
        <v>41650</v>
      </c>
      <c r="I1316">
        <v>77</v>
      </c>
      <c r="J1316">
        <v>35</v>
      </c>
      <c r="K1316">
        <v>40</v>
      </c>
      <c r="L1316">
        <v>111</v>
      </c>
      <c r="M1316">
        <v>36</v>
      </c>
      <c r="N1316">
        <v>40</v>
      </c>
      <c r="O1316">
        <v>12</v>
      </c>
      <c r="P1316">
        <v>3</v>
      </c>
      <c r="Q1316">
        <v>3</v>
      </c>
      <c r="R1316">
        <v>1</v>
      </c>
      <c r="S1316">
        <v>7</v>
      </c>
      <c r="T1316">
        <v>4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3</v>
      </c>
      <c r="AB1316">
        <v>11</v>
      </c>
      <c r="AC1316">
        <v>0</v>
      </c>
    </row>
    <row r="1317" spans="1:29" x14ac:dyDescent="0.3">
      <c r="A1317">
        <v>6197</v>
      </c>
      <c r="B1317">
        <v>1962</v>
      </c>
      <c r="C1317" t="s">
        <v>32</v>
      </c>
      <c r="D1317" t="s">
        <v>30</v>
      </c>
      <c r="E1317">
        <v>27238</v>
      </c>
      <c r="F1317">
        <v>1</v>
      </c>
      <c r="G1317">
        <v>1</v>
      </c>
      <c r="H1317" s="1">
        <v>41384</v>
      </c>
      <c r="I1317">
        <v>39</v>
      </c>
      <c r="J1317">
        <v>37</v>
      </c>
      <c r="K1317">
        <v>0</v>
      </c>
      <c r="L1317">
        <v>17</v>
      </c>
      <c r="M1317">
        <v>0</v>
      </c>
      <c r="N1317">
        <v>0</v>
      </c>
      <c r="O1317">
        <v>3</v>
      </c>
      <c r="P1317">
        <v>3</v>
      </c>
      <c r="Q1317">
        <v>3</v>
      </c>
      <c r="R1317">
        <v>0</v>
      </c>
      <c r="S1317">
        <v>3</v>
      </c>
      <c r="T1317">
        <v>9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3</v>
      </c>
      <c r="AB1317">
        <v>11</v>
      </c>
      <c r="AC1317">
        <v>0</v>
      </c>
    </row>
    <row r="1318" spans="1:29" x14ac:dyDescent="0.3">
      <c r="A1318">
        <v>4554</v>
      </c>
      <c r="B1318">
        <v>1965</v>
      </c>
      <c r="C1318" t="s">
        <v>29</v>
      </c>
      <c r="D1318" t="s">
        <v>31</v>
      </c>
      <c r="E1318">
        <v>47009</v>
      </c>
      <c r="F1318">
        <v>0</v>
      </c>
      <c r="G1318">
        <v>1</v>
      </c>
      <c r="H1318" s="1">
        <v>41548</v>
      </c>
      <c r="I1318">
        <v>89</v>
      </c>
      <c r="J1318">
        <v>171</v>
      </c>
      <c r="K1318">
        <v>45</v>
      </c>
      <c r="L1318">
        <v>73</v>
      </c>
      <c r="M1318">
        <v>59</v>
      </c>
      <c r="N1318">
        <v>10</v>
      </c>
      <c r="O1318">
        <v>90</v>
      </c>
      <c r="P1318">
        <v>4</v>
      </c>
      <c r="Q1318">
        <v>3</v>
      </c>
      <c r="R1318">
        <v>2</v>
      </c>
      <c r="S1318">
        <v>8</v>
      </c>
      <c r="T1318">
        <v>4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3</v>
      </c>
      <c r="AB1318">
        <v>11</v>
      </c>
      <c r="AC1318">
        <v>0</v>
      </c>
    </row>
    <row r="1319" spans="1:29" x14ac:dyDescent="0.3">
      <c r="A1319">
        <v>4937</v>
      </c>
      <c r="B1319">
        <v>1973</v>
      </c>
      <c r="C1319" t="s">
        <v>37</v>
      </c>
      <c r="D1319" t="s">
        <v>33</v>
      </c>
      <c r="E1319">
        <v>46094</v>
      </c>
      <c r="F1319">
        <v>1</v>
      </c>
      <c r="G1319">
        <v>1</v>
      </c>
      <c r="H1319" s="1">
        <v>41800</v>
      </c>
      <c r="I1319">
        <v>62</v>
      </c>
      <c r="J1319">
        <v>12</v>
      </c>
      <c r="K1319">
        <v>2</v>
      </c>
      <c r="L1319">
        <v>20</v>
      </c>
      <c r="M1319">
        <v>3</v>
      </c>
      <c r="N1319">
        <v>2</v>
      </c>
      <c r="O1319">
        <v>5</v>
      </c>
      <c r="P1319">
        <v>1</v>
      </c>
      <c r="Q1319">
        <v>1</v>
      </c>
      <c r="R1319">
        <v>0</v>
      </c>
      <c r="S1319">
        <v>3</v>
      </c>
      <c r="T1319">
        <v>7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3</v>
      </c>
      <c r="AB1319">
        <v>11</v>
      </c>
      <c r="AC1319">
        <v>0</v>
      </c>
    </row>
    <row r="1320" spans="1:29" x14ac:dyDescent="0.3">
      <c r="A1320">
        <v>1920</v>
      </c>
      <c r="B1320">
        <v>1972</v>
      </c>
      <c r="C1320" t="s">
        <v>29</v>
      </c>
      <c r="D1320" t="s">
        <v>33</v>
      </c>
      <c r="E1320">
        <v>40321</v>
      </c>
      <c r="F1320">
        <v>1</v>
      </c>
      <c r="G1320">
        <v>1</v>
      </c>
      <c r="H1320" s="1">
        <v>41484</v>
      </c>
      <c r="I1320">
        <v>59</v>
      </c>
      <c r="J1320">
        <v>44</v>
      </c>
      <c r="K1320">
        <v>4</v>
      </c>
      <c r="L1320">
        <v>21</v>
      </c>
      <c r="M1320">
        <v>6</v>
      </c>
      <c r="N1320">
        <v>0</v>
      </c>
      <c r="O1320">
        <v>27</v>
      </c>
      <c r="P1320">
        <v>2</v>
      </c>
      <c r="Q1320">
        <v>3</v>
      </c>
      <c r="R1320">
        <v>0</v>
      </c>
      <c r="S1320">
        <v>3</v>
      </c>
      <c r="T1320">
        <v>7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3</v>
      </c>
      <c r="AB1320">
        <v>11</v>
      </c>
      <c r="AC1320">
        <v>0</v>
      </c>
    </row>
    <row r="1321" spans="1:29" x14ac:dyDescent="0.3">
      <c r="A1321">
        <v>8749</v>
      </c>
      <c r="B1321">
        <v>1984</v>
      </c>
      <c r="C1321" t="s">
        <v>29</v>
      </c>
      <c r="D1321" t="s">
        <v>31</v>
      </c>
      <c r="E1321">
        <v>37235</v>
      </c>
      <c r="F1321">
        <v>1</v>
      </c>
      <c r="G1321">
        <v>0</v>
      </c>
      <c r="H1321" s="1">
        <v>41671</v>
      </c>
      <c r="I1321">
        <v>68</v>
      </c>
      <c r="J1321">
        <v>20</v>
      </c>
      <c r="K1321">
        <v>2</v>
      </c>
      <c r="L1321">
        <v>9</v>
      </c>
      <c r="M1321">
        <v>4</v>
      </c>
      <c r="N1321">
        <v>6</v>
      </c>
      <c r="O1321">
        <v>20</v>
      </c>
      <c r="P1321">
        <v>1</v>
      </c>
      <c r="Q1321">
        <v>1</v>
      </c>
      <c r="R1321">
        <v>1</v>
      </c>
      <c r="S1321">
        <v>2</v>
      </c>
      <c r="T1321">
        <v>4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3</v>
      </c>
      <c r="AB1321">
        <v>11</v>
      </c>
      <c r="AC1321">
        <v>0</v>
      </c>
    </row>
    <row r="1322" spans="1:29" x14ac:dyDescent="0.3">
      <c r="A1322">
        <v>1650</v>
      </c>
      <c r="B1322">
        <v>1960</v>
      </c>
      <c r="C1322" t="s">
        <v>34</v>
      </c>
      <c r="D1322" t="s">
        <v>33</v>
      </c>
      <c r="E1322">
        <v>81843</v>
      </c>
      <c r="F1322">
        <v>0</v>
      </c>
      <c r="G1322">
        <v>0</v>
      </c>
      <c r="H1322" s="1">
        <v>41386</v>
      </c>
      <c r="I1322">
        <v>13</v>
      </c>
      <c r="J1322">
        <v>779</v>
      </c>
      <c r="K1322">
        <v>86</v>
      </c>
      <c r="L1322">
        <v>537</v>
      </c>
      <c r="M1322">
        <v>34</v>
      </c>
      <c r="N1322">
        <v>69</v>
      </c>
      <c r="O1322">
        <v>138</v>
      </c>
      <c r="P1322">
        <v>1</v>
      </c>
      <c r="Q1322">
        <v>5</v>
      </c>
      <c r="R1322">
        <v>9</v>
      </c>
      <c r="S1322">
        <v>12</v>
      </c>
      <c r="T1322">
        <v>3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3</v>
      </c>
      <c r="AB1322">
        <v>11</v>
      </c>
      <c r="AC1322">
        <v>0</v>
      </c>
    </row>
    <row r="1323" spans="1:29" x14ac:dyDescent="0.3">
      <c r="A1323">
        <v>10377</v>
      </c>
      <c r="B1323">
        <v>1958</v>
      </c>
      <c r="C1323" t="s">
        <v>34</v>
      </c>
      <c r="D1323" t="s">
        <v>31</v>
      </c>
      <c r="E1323">
        <v>46692</v>
      </c>
      <c r="F1323">
        <v>0</v>
      </c>
      <c r="G1323">
        <v>1</v>
      </c>
      <c r="H1323" s="1">
        <v>41431</v>
      </c>
      <c r="I1323">
        <v>37</v>
      </c>
      <c r="J1323">
        <v>170</v>
      </c>
      <c r="K1323">
        <v>6</v>
      </c>
      <c r="L1323">
        <v>97</v>
      </c>
      <c r="M1323">
        <v>24</v>
      </c>
      <c r="N1323">
        <v>12</v>
      </c>
      <c r="O1323">
        <v>88</v>
      </c>
      <c r="P1323">
        <v>3</v>
      </c>
      <c r="Q1323">
        <v>6</v>
      </c>
      <c r="R1323">
        <v>1</v>
      </c>
      <c r="S1323">
        <v>5</v>
      </c>
      <c r="T1323">
        <v>6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3</v>
      </c>
      <c r="AB1323">
        <v>11</v>
      </c>
      <c r="AC1323">
        <v>0</v>
      </c>
    </row>
    <row r="1324" spans="1:29" x14ac:dyDescent="0.3">
      <c r="A1324">
        <v>9206</v>
      </c>
      <c r="B1324">
        <v>1968</v>
      </c>
      <c r="C1324" t="s">
        <v>29</v>
      </c>
      <c r="D1324" t="s">
        <v>31</v>
      </c>
      <c r="E1324">
        <v>77382</v>
      </c>
      <c r="F1324">
        <v>0</v>
      </c>
      <c r="G1324">
        <v>1</v>
      </c>
      <c r="H1324" s="1">
        <v>41646</v>
      </c>
      <c r="I1324">
        <v>36</v>
      </c>
      <c r="J1324">
        <v>491</v>
      </c>
      <c r="K1324">
        <v>48</v>
      </c>
      <c r="L1324">
        <v>231</v>
      </c>
      <c r="M1324">
        <v>112</v>
      </c>
      <c r="N1324">
        <v>105</v>
      </c>
      <c r="O1324">
        <v>134</v>
      </c>
      <c r="P1324">
        <v>2</v>
      </c>
      <c r="Q1324">
        <v>5</v>
      </c>
      <c r="R1324">
        <v>7</v>
      </c>
      <c r="S1324">
        <v>12</v>
      </c>
      <c r="T1324">
        <v>1</v>
      </c>
      <c r="U1324">
        <v>0</v>
      </c>
      <c r="V1324">
        <v>0</v>
      </c>
      <c r="W1324">
        <v>1</v>
      </c>
      <c r="X1324">
        <v>0</v>
      </c>
      <c r="Y1324">
        <v>0</v>
      </c>
      <c r="Z1324">
        <v>0</v>
      </c>
      <c r="AA1324">
        <v>3</v>
      </c>
      <c r="AB1324">
        <v>11</v>
      </c>
      <c r="AC1324">
        <v>0</v>
      </c>
    </row>
    <row r="1325" spans="1:29" x14ac:dyDescent="0.3">
      <c r="A1325">
        <v>10971</v>
      </c>
      <c r="B1325">
        <v>1977</v>
      </c>
      <c r="C1325" t="s">
        <v>29</v>
      </c>
      <c r="D1325" t="s">
        <v>30</v>
      </c>
      <c r="E1325">
        <v>37774</v>
      </c>
      <c r="F1325">
        <v>2</v>
      </c>
      <c r="G1325">
        <v>0</v>
      </c>
      <c r="H1325" s="1">
        <v>41155</v>
      </c>
      <c r="I1325">
        <v>28</v>
      </c>
      <c r="J1325">
        <v>173</v>
      </c>
      <c r="K1325">
        <v>8</v>
      </c>
      <c r="L1325">
        <v>107</v>
      </c>
      <c r="M1325">
        <v>7</v>
      </c>
      <c r="N1325">
        <v>2</v>
      </c>
      <c r="O1325">
        <v>176</v>
      </c>
      <c r="P1325">
        <v>4</v>
      </c>
      <c r="Q1325">
        <v>7</v>
      </c>
      <c r="R1325">
        <v>2</v>
      </c>
      <c r="S1325">
        <v>3</v>
      </c>
      <c r="T1325">
        <v>9</v>
      </c>
      <c r="U1325">
        <v>1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3</v>
      </c>
      <c r="AB1325">
        <v>11</v>
      </c>
      <c r="AC1325">
        <v>1</v>
      </c>
    </row>
    <row r="1326" spans="1:29" x14ac:dyDescent="0.3">
      <c r="A1326">
        <v>6398</v>
      </c>
      <c r="B1326">
        <v>1974</v>
      </c>
      <c r="C1326" t="s">
        <v>36</v>
      </c>
      <c r="D1326" t="s">
        <v>33</v>
      </c>
      <c r="E1326">
        <v>18393</v>
      </c>
      <c r="F1326">
        <v>1</v>
      </c>
      <c r="G1326">
        <v>0</v>
      </c>
      <c r="H1326" s="1">
        <v>41727</v>
      </c>
      <c r="I1326">
        <v>2</v>
      </c>
      <c r="J1326">
        <v>7</v>
      </c>
      <c r="K1326">
        <v>10</v>
      </c>
      <c r="L1326">
        <v>13</v>
      </c>
      <c r="M1326">
        <v>16</v>
      </c>
      <c r="N1326">
        <v>0</v>
      </c>
      <c r="O1326">
        <v>4</v>
      </c>
      <c r="P1326">
        <v>2</v>
      </c>
      <c r="Q1326">
        <v>3</v>
      </c>
      <c r="R1326">
        <v>0</v>
      </c>
      <c r="S1326">
        <v>3</v>
      </c>
      <c r="T1326">
        <v>8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3</v>
      </c>
      <c r="AB1326">
        <v>11</v>
      </c>
      <c r="AC1326">
        <v>0</v>
      </c>
    </row>
    <row r="1327" spans="1:29" x14ac:dyDescent="0.3">
      <c r="A1327">
        <v>9212</v>
      </c>
      <c r="B1327">
        <v>1962</v>
      </c>
      <c r="C1327" t="s">
        <v>34</v>
      </c>
      <c r="D1327" t="s">
        <v>33</v>
      </c>
      <c r="E1327">
        <v>72828</v>
      </c>
      <c r="F1327">
        <v>0</v>
      </c>
      <c r="G1327">
        <v>1</v>
      </c>
      <c r="H1327" s="1">
        <v>41319</v>
      </c>
      <c r="I1327">
        <v>17</v>
      </c>
      <c r="J1327">
        <v>1205</v>
      </c>
      <c r="K1327">
        <v>0</v>
      </c>
      <c r="L1327">
        <v>235</v>
      </c>
      <c r="M1327">
        <v>19</v>
      </c>
      <c r="N1327">
        <v>14</v>
      </c>
      <c r="O1327">
        <v>205</v>
      </c>
      <c r="P1327">
        <v>6</v>
      </c>
      <c r="Q1327">
        <v>6</v>
      </c>
      <c r="R1327">
        <v>3</v>
      </c>
      <c r="S1327">
        <v>13</v>
      </c>
      <c r="T1327">
        <v>7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3</v>
      </c>
      <c r="AB1327">
        <v>11</v>
      </c>
      <c r="AC1327">
        <v>0</v>
      </c>
    </row>
    <row r="1328" spans="1:29" x14ac:dyDescent="0.3">
      <c r="A1328">
        <v>7937</v>
      </c>
      <c r="B1328">
        <v>1982</v>
      </c>
      <c r="C1328" t="s">
        <v>29</v>
      </c>
      <c r="D1328" t="s">
        <v>33</v>
      </c>
      <c r="E1328">
        <v>24711</v>
      </c>
      <c r="F1328">
        <v>0</v>
      </c>
      <c r="G1328">
        <v>0</v>
      </c>
      <c r="H1328" s="1">
        <v>41747</v>
      </c>
      <c r="I1328">
        <v>86</v>
      </c>
      <c r="J1328">
        <v>10</v>
      </c>
      <c r="K1328">
        <v>7</v>
      </c>
      <c r="L1328">
        <v>25</v>
      </c>
      <c r="M1328">
        <v>6</v>
      </c>
      <c r="N1328">
        <v>3</v>
      </c>
      <c r="O1328">
        <v>7</v>
      </c>
      <c r="P1328">
        <v>1</v>
      </c>
      <c r="Q1328">
        <v>3</v>
      </c>
      <c r="R1328">
        <v>0</v>
      </c>
      <c r="S1328">
        <v>3</v>
      </c>
      <c r="T1328">
        <v>7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3</v>
      </c>
      <c r="AB1328">
        <v>11</v>
      </c>
      <c r="AC1328">
        <v>0</v>
      </c>
    </row>
    <row r="1329" spans="1:29" x14ac:dyDescent="0.3">
      <c r="A1329">
        <v>839</v>
      </c>
      <c r="B1329">
        <v>1975</v>
      </c>
      <c r="C1329" t="s">
        <v>32</v>
      </c>
      <c r="D1329" t="s">
        <v>33</v>
      </c>
      <c r="E1329">
        <v>45503</v>
      </c>
      <c r="F1329">
        <v>1</v>
      </c>
      <c r="G1329">
        <v>0</v>
      </c>
      <c r="H1329" s="1">
        <v>41542</v>
      </c>
      <c r="I1329">
        <v>54</v>
      </c>
      <c r="J1329">
        <v>97</v>
      </c>
      <c r="K1329">
        <v>4</v>
      </c>
      <c r="L1329">
        <v>44</v>
      </c>
      <c r="M1329">
        <v>6</v>
      </c>
      <c r="N1329">
        <v>1</v>
      </c>
      <c r="O1329">
        <v>18</v>
      </c>
      <c r="P1329">
        <v>1</v>
      </c>
      <c r="Q1329">
        <v>3</v>
      </c>
      <c r="R1329">
        <v>1</v>
      </c>
      <c r="S1329">
        <v>4</v>
      </c>
      <c r="T1329">
        <v>5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3</v>
      </c>
      <c r="AB1329">
        <v>11</v>
      </c>
      <c r="AC1329">
        <v>0</v>
      </c>
    </row>
    <row r="1330" spans="1:29" x14ac:dyDescent="0.3">
      <c r="A1330">
        <v>4246</v>
      </c>
      <c r="B1330">
        <v>1982</v>
      </c>
      <c r="C1330" t="s">
        <v>34</v>
      </c>
      <c r="D1330" t="s">
        <v>30</v>
      </c>
      <c r="E1330">
        <v>6560</v>
      </c>
      <c r="F1330">
        <v>0</v>
      </c>
      <c r="G1330">
        <v>0</v>
      </c>
      <c r="H1330" s="1">
        <v>41620</v>
      </c>
      <c r="I1330">
        <v>2</v>
      </c>
      <c r="J1330">
        <v>67</v>
      </c>
      <c r="K1330">
        <v>11</v>
      </c>
      <c r="L1330">
        <v>26</v>
      </c>
      <c r="M1330">
        <v>4</v>
      </c>
      <c r="N1330">
        <v>3</v>
      </c>
      <c r="O1330">
        <v>262</v>
      </c>
      <c r="P1330">
        <v>0</v>
      </c>
      <c r="Q1330">
        <v>1</v>
      </c>
      <c r="R1330">
        <v>0</v>
      </c>
      <c r="S1330">
        <v>1</v>
      </c>
      <c r="T1330">
        <v>17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3</v>
      </c>
      <c r="AB1330">
        <v>11</v>
      </c>
      <c r="AC1330">
        <v>0</v>
      </c>
    </row>
    <row r="1331" spans="1:29" x14ac:dyDescent="0.3">
      <c r="A1331">
        <v>158</v>
      </c>
      <c r="B1331">
        <v>1945</v>
      </c>
      <c r="C1331" t="s">
        <v>32</v>
      </c>
      <c r="D1331" t="s">
        <v>31</v>
      </c>
      <c r="E1331">
        <v>71604</v>
      </c>
      <c r="F1331">
        <v>0</v>
      </c>
      <c r="G1331">
        <v>0</v>
      </c>
      <c r="H1331" s="1">
        <v>41595</v>
      </c>
      <c r="I1331">
        <v>3</v>
      </c>
      <c r="J1331">
        <v>345</v>
      </c>
      <c r="K1331">
        <v>53</v>
      </c>
      <c r="L1331">
        <v>528</v>
      </c>
      <c r="M1331">
        <v>98</v>
      </c>
      <c r="N1331">
        <v>75</v>
      </c>
      <c r="O1331">
        <v>97</v>
      </c>
      <c r="P1331">
        <v>1</v>
      </c>
      <c r="Q1331">
        <v>8</v>
      </c>
      <c r="R1331">
        <v>3</v>
      </c>
      <c r="S1331">
        <v>5</v>
      </c>
      <c r="T1331">
        <v>4</v>
      </c>
      <c r="U1331">
        <v>1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3</v>
      </c>
      <c r="AB1331">
        <v>11</v>
      </c>
      <c r="AC1331">
        <v>1</v>
      </c>
    </row>
    <row r="1332" spans="1:29" x14ac:dyDescent="0.3">
      <c r="A1332">
        <v>4832</v>
      </c>
      <c r="B1332">
        <v>1979</v>
      </c>
      <c r="C1332" t="s">
        <v>29</v>
      </c>
      <c r="D1332" t="s">
        <v>33</v>
      </c>
      <c r="E1332">
        <v>27244</v>
      </c>
      <c r="F1332">
        <v>1</v>
      </c>
      <c r="G1332">
        <v>0</v>
      </c>
      <c r="H1332" s="1">
        <v>41705</v>
      </c>
      <c r="I1332">
        <v>84</v>
      </c>
      <c r="J1332">
        <v>6</v>
      </c>
      <c r="K1332">
        <v>5</v>
      </c>
      <c r="L1332">
        <v>17</v>
      </c>
      <c r="M1332">
        <v>3</v>
      </c>
      <c r="N1332">
        <v>24</v>
      </c>
      <c r="O1332">
        <v>46</v>
      </c>
      <c r="P1332">
        <v>2</v>
      </c>
      <c r="Q1332">
        <v>2</v>
      </c>
      <c r="R1332">
        <v>2</v>
      </c>
      <c r="S1332">
        <v>2</v>
      </c>
      <c r="T1332">
        <v>7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3</v>
      </c>
      <c r="AB1332">
        <v>11</v>
      </c>
      <c r="AC1332">
        <v>0</v>
      </c>
    </row>
    <row r="1333" spans="1:29" x14ac:dyDescent="0.3">
      <c r="A1333">
        <v>5621</v>
      </c>
      <c r="B1333">
        <v>1969</v>
      </c>
      <c r="C1333" t="s">
        <v>29</v>
      </c>
      <c r="D1333" t="s">
        <v>33</v>
      </c>
      <c r="E1333">
        <v>48752</v>
      </c>
      <c r="F1333">
        <v>1</v>
      </c>
      <c r="G1333">
        <v>1</v>
      </c>
      <c r="H1333" s="1">
        <v>41255</v>
      </c>
      <c r="I1333">
        <v>8</v>
      </c>
      <c r="J1333">
        <v>73</v>
      </c>
      <c r="K1333">
        <v>57</v>
      </c>
      <c r="L1333">
        <v>100</v>
      </c>
      <c r="M1333">
        <v>71</v>
      </c>
      <c r="N1333">
        <v>15</v>
      </c>
      <c r="O1333">
        <v>0</v>
      </c>
      <c r="P1333">
        <v>5</v>
      </c>
      <c r="Q1333">
        <v>6</v>
      </c>
      <c r="R1333">
        <v>1</v>
      </c>
      <c r="S1333">
        <v>5</v>
      </c>
      <c r="T1333">
        <v>9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3</v>
      </c>
      <c r="AB1333">
        <v>11</v>
      </c>
      <c r="AC1333">
        <v>1</v>
      </c>
    </row>
    <row r="1334" spans="1:29" x14ac:dyDescent="0.3">
      <c r="A1334">
        <v>1945</v>
      </c>
      <c r="B1334">
        <v>1962</v>
      </c>
      <c r="C1334" t="s">
        <v>29</v>
      </c>
      <c r="D1334" t="s">
        <v>33</v>
      </c>
      <c r="E1334">
        <v>71434</v>
      </c>
      <c r="F1334">
        <v>0</v>
      </c>
      <c r="G1334">
        <v>1</v>
      </c>
      <c r="H1334" s="1">
        <v>41535</v>
      </c>
      <c r="I1334">
        <v>4</v>
      </c>
      <c r="J1334">
        <v>711</v>
      </c>
      <c r="K1334">
        <v>36</v>
      </c>
      <c r="L1334">
        <v>217</v>
      </c>
      <c r="M1334">
        <v>172</v>
      </c>
      <c r="N1334">
        <v>96</v>
      </c>
      <c r="O1334">
        <v>168</v>
      </c>
      <c r="P1334">
        <v>3</v>
      </c>
      <c r="Q1334">
        <v>7</v>
      </c>
      <c r="R1334">
        <v>4</v>
      </c>
      <c r="S1334">
        <v>7</v>
      </c>
      <c r="T1334">
        <v>4</v>
      </c>
      <c r="U1334">
        <v>0</v>
      </c>
      <c r="V1334">
        <v>1</v>
      </c>
      <c r="W1334">
        <v>0</v>
      </c>
      <c r="X1334">
        <v>1</v>
      </c>
      <c r="Y1334">
        <v>0</v>
      </c>
      <c r="Z1334">
        <v>0</v>
      </c>
      <c r="AA1334">
        <v>3</v>
      </c>
      <c r="AB1334">
        <v>11</v>
      </c>
      <c r="AC1334">
        <v>0</v>
      </c>
    </row>
    <row r="1335" spans="1:29" x14ac:dyDescent="0.3">
      <c r="A1335">
        <v>5147</v>
      </c>
      <c r="B1335">
        <v>1948</v>
      </c>
      <c r="C1335" t="s">
        <v>29</v>
      </c>
      <c r="D1335" t="s">
        <v>30</v>
      </c>
      <c r="E1335">
        <v>90842</v>
      </c>
      <c r="F1335">
        <v>0</v>
      </c>
      <c r="G1335">
        <v>0</v>
      </c>
      <c r="H1335" s="1">
        <v>41484</v>
      </c>
      <c r="I1335">
        <v>57</v>
      </c>
      <c r="J1335">
        <v>774</v>
      </c>
      <c r="K1335">
        <v>70</v>
      </c>
      <c r="L1335">
        <v>118</v>
      </c>
      <c r="M1335">
        <v>182</v>
      </c>
      <c r="N1335">
        <v>187</v>
      </c>
      <c r="O1335">
        <v>93</v>
      </c>
      <c r="P1335">
        <v>1</v>
      </c>
      <c r="Q1335">
        <v>4</v>
      </c>
      <c r="R1335">
        <v>9</v>
      </c>
      <c r="S1335">
        <v>13</v>
      </c>
      <c r="T1335">
        <v>1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3</v>
      </c>
      <c r="AB1335">
        <v>11</v>
      </c>
      <c r="AC1335">
        <v>0</v>
      </c>
    </row>
    <row r="1336" spans="1:29" x14ac:dyDescent="0.3">
      <c r="A1336">
        <v>2535</v>
      </c>
      <c r="B1336">
        <v>1978</v>
      </c>
      <c r="C1336" t="s">
        <v>34</v>
      </c>
      <c r="D1336" t="s">
        <v>33</v>
      </c>
      <c r="E1336">
        <v>88097</v>
      </c>
      <c r="F1336">
        <v>1</v>
      </c>
      <c r="G1336">
        <v>0</v>
      </c>
      <c r="H1336" s="1">
        <v>41139</v>
      </c>
      <c r="I1336">
        <v>24</v>
      </c>
      <c r="J1336">
        <v>163</v>
      </c>
      <c r="K1336">
        <v>0</v>
      </c>
      <c r="L1336">
        <v>480</v>
      </c>
      <c r="M1336">
        <v>0</v>
      </c>
      <c r="N1336">
        <v>126</v>
      </c>
      <c r="O1336">
        <v>75</v>
      </c>
      <c r="P1336">
        <v>1</v>
      </c>
      <c r="Q1336">
        <v>6</v>
      </c>
      <c r="R1336">
        <v>5</v>
      </c>
      <c r="S1336">
        <v>8</v>
      </c>
      <c r="T1336">
        <v>9</v>
      </c>
      <c r="U1336">
        <v>0</v>
      </c>
      <c r="V1336">
        <v>1</v>
      </c>
      <c r="W1336">
        <v>1</v>
      </c>
      <c r="X1336">
        <v>1</v>
      </c>
      <c r="Y1336">
        <v>0</v>
      </c>
      <c r="Z1336">
        <v>0</v>
      </c>
      <c r="AA1336">
        <v>3</v>
      </c>
      <c r="AB1336">
        <v>11</v>
      </c>
      <c r="AC1336">
        <v>1</v>
      </c>
    </row>
    <row r="1337" spans="1:29" x14ac:dyDescent="0.3">
      <c r="A1337">
        <v>11039</v>
      </c>
      <c r="B1337">
        <v>1975</v>
      </c>
      <c r="C1337" t="s">
        <v>29</v>
      </c>
      <c r="D1337" t="s">
        <v>33</v>
      </c>
      <c r="E1337">
        <v>51948</v>
      </c>
      <c r="F1337">
        <v>0</v>
      </c>
      <c r="G1337">
        <v>1</v>
      </c>
      <c r="H1337" s="1">
        <v>41534</v>
      </c>
      <c r="I1337">
        <v>51</v>
      </c>
      <c r="J1337">
        <v>82</v>
      </c>
      <c r="K1337">
        <v>33</v>
      </c>
      <c r="L1337">
        <v>54</v>
      </c>
      <c r="M1337">
        <v>71</v>
      </c>
      <c r="N1337">
        <v>30</v>
      </c>
      <c r="O1337">
        <v>41</v>
      </c>
      <c r="P1337">
        <v>2</v>
      </c>
      <c r="Q1337">
        <v>5</v>
      </c>
      <c r="R1337">
        <v>2</v>
      </c>
      <c r="S1337">
        <v>4</v>
      </c>
      <c r="T1337">
        <v>5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3</v>
      </c>
      <c r="AB1337">
        <v>11</v>
      </c>
      <c r="AC1337">
        <v>0</v>
      </c>
    </row>
    <row r="1338" spans="1:29" x14ac:dyDescent="0.3">
      <c r="A1338">
        <v>9495</v>
      </c>
      <c r="B1338">
        <v>1982</v>
      </c>
      <c r="C1338" t="s">
        <v>29</v>
      </c>
      <c r="D1338" t="s">
        <v>31</v>
      </c>
      <c r="E1338">
        <v>71853</v>
      </c>
      <c r="F1338">
        <v>0</v>
      </c>
      <c r="G1338">
        <v>0</v>
      </c>
      <c r="H1338" s="1">
        <v>41402</v>
      </c>
      <c r="I1338">
        <v>29</v>
      </c>
      <c r="J1338">
        <v>358</v>
      </c>
      <c r="K1338">
        <v>108</v>
      </c>
      <c r="L1338">
        <v>413</v>
      </c>
      <c r="M1338">
        <v>141</v>
      </c>
      <c r="N1338">
        <v>97</v>
      </c>
      <c r="O1338">
        <v>32</v>
      </c>
      <c r="P1338">
        <v>1</v>
      </c>
      <c r="Q1338">
        <v>2</v>
      </c>
      <c r="R1338">
        <v>8</v>
      </c>
      <c r="S1338">
        <v>6</v>
      </c>
      <c r="T1338">
        <v>1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3</v>
      </c>
      <c r="AB1338">
        <v>11</v>
      </c>
      <c r="AC1338">
        <v>0</v>
      </c>
    </row>
    <row r="1339" spans="1:29" x14ac:dyDescent="0.3">
      <c r="A1339">
        <v>9635</v>
      </c>
      <c r="B1339">
        <v>1983</v>
      </c>
      <c r="C1339" t="s">
        <v>34</v>
      </c>
      <c r="D1339" t="s">
        <v>33</v>
      </c>
      <c r="E1339">
        <v>35876</v>
      </c>
      <c r="F1339">
        <v>0</v>
      </c>
      <c r="G1339">
        <v>0</v>
      </c>
      <c r="H1339" s="1">
        <v>41749</v>
      </c>
      <c r="I1339">
        <v>13</v>
      </c>
      <c r="J1339">
        <v>66</v>
      </c>
      <c r="K1339">
        <v>2</v>
      </c>
      <c r="L1339">
        <v>40</v>
      </c>
      <c r="M1339">
        <v>4</v>
      </c>
      <c r="N1339">
        <v>3</v>
      </c>
      <c r="O1339">
        <v>14</v>
      </c>
      <c r="P1339">
        <v>1</v>
      </c>
      <c r="Q1339">
        <v>3</v>
      </c>
      <c r="R1339">
        <v>1</v>
      </c>
      <c r="S1339">
        <v>3</v>
      </c>
      <c r="T1339">
        <v>6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3</v>
      </c>
      <c r="AB1339">
        <v>11</v>
      </c>
      <c r="AC1339">
        <v>0</v>
      </c>
    </row>
    <row r="1340" spans="1:29" x14ac:dyDescent="0.3">
      <c r="A1340">
        <v>2173</v>
      </c>
      <c r="B1340">
        <v>1952</v>
      </c>
      <c r="C1340" t="s">
        <v>29</v>
      </c>
      <c r="D1340" t="s">
        <v>38</v>
      </c>
      <c r="E1340">
        <v>40049</v>
      </c>
      <c r="F1340">
        <v>0</v>
      </c>
      <c r="G1340">
        <v>1</v>
      </c>
      <c r="H1340" s="1">
        <v>41563</v>
      </c>
      <c r="I1340">
        <v>23</v>
      </c>
      <c r="J1340">
        <v>13</v>
      </c>
      <c r="K1340">
        <v>6</v>
      </c>
      <c r="L1340">
        <v>7</v>
      </c>
      <c r="M1340">
        <v>0</v>
      </c>
      <c r="N1340">
        <v>3</v>
      </c>
      <c r="O1340">
        <v>3</v>
      </c>
      <c r="P1340">
        <v>1</v>
      </c>
      <c r="Q1340">
        <v>1</v>
      </c>
      <c r="R1340">
        <v>0</v>
      </c>
      <c r="S1340">
        <v>3</v>
      </c>
      <c r="T1340">
        <v>6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3</v>
      </c>
      <c r="AB1340">
        <v>11</v>
      </c>
      <c r="AC1340">
        <v>0</v>
      </c>
    </row>
    <row r="1341" spans="1:29" x14ac:dyDescent="0.3">
      <c r="A1341">
        <v>942</v>
      </c>
      <c r="B1341">
        <v>1982</v>
      </c>
      <c r="C1341" t="s">
        <v>29</v>
      </c>
      <c r="D1341" t="s">
        <v>30</v>
      </c>
      <c r="E1341">
        <v>39660</v>
      </c>
      <c r="F1341">
        <v>1</v>
      </c>
      <c r="G1341">
        <v>0</v>
      </c>
      <c r="H1341" s="1">
        <v>41129</v>
      </c>
      <c r="I1341">
        <v>36</v>
      </c>
      <c r="J1341">
        <v>139</v>
      </c>
      <c r="K1341">
        <v>13</v>
      </c>
      <c r="L1341">
        <v>78</v>
      </c>
      <c r="M1341">
        <v>20</v>
      </c>
      <c r="N1341">
        <v>13</v>
      </c>
      <c r="O1341">
        <v>36</v>
      </c>
      <c r="P1341">
        <v>3</v>
      </c>
      <c r="Q1341">
        <v>7</v>
      </c>
      <c r="R1341">
        <v>1</v>
      </c>
      <c r="S1341">
        <v>3</v>
      </c>
      <c r="T1341">
        <v>9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3</v>
      </c>
      <c r="AB1341">
        <v>11</v>
      </c>
      <c r="AC1341">
        <v>1</v>
      </c>
    </row>
    <row r="1342" spans="1:29" x14ac:dyDescent="0.3">
      <c r="A1342">
        <v>9386</v>
      </c>
      <c r="B1342">
        <v>1962</v>
      </c>
      <c r="C1342" t="s">
        <v>29</v>
      </c>
      <c r="D1342" t="s">
        <v>31</v>
      </c>
      <c r="E1342">
        <v>50127</v>
      </c>
      <c r="F1342">
        <v>0</v>
      </c>
      <c r="G1342">
        <v>1</v>
      </c>
      <c r="H1342" s="1">
        <v>41788</v>
      </c>
      <c r="I1342">
        <v>88</v>
      </c>
      <c r="J1342">
        <v>274</v>
      </c>
      <c r="K1342">
        <v>0</v>
      </c>
      <c r="L1342">
        <v>21</v>
      </c>
      <c r="M1342">
        <v>4</v>
      </c>
      <c r="N1342">
        <v>6</v>
      </c>
      <c r="O1342">
        <v>15</v>
      </c>
      <c r="P1342">
        <v>1</v>
      </c>
      <c r="Q1342">
        <v>5</v>
      </c>
      <c r="R1342">
        <v>1</v>
      </c>
      <c r="S1342">
        <v>6</v>
      </c>
      <c r="T1342">
        <v>6</v>
      </c>
      <c r="U1342">
        <v>0</v>
      </c>
      <c r="V1342">
        <v>1</v>
      </c>
      <c r="W1342">
        <v>0</v>
      </c>
      <c r="X1342">
        <v>0</v>
      </c>
      <c r="Y1342">
        <v>0</v>
      </c>
      <c r="Z1342">
        <v>0</v>
      </c>
      <c r="AA1342">
        <v>3</v>
      </c>
      <c r="AB1342">
        <v>11</v>
      </c>
      <c r="AC1342">
        <v>0</v>
      </c>
    </row>
    <row r="1343" spans="1:29" x14ac:dyDescent="0.3">
      <c r="A1343">
        <v>5510</v>
      </c>
      <c r="B1343">
        <v>1977</v>
      </c>
      <c r="C1343" t="s">
        <v>34</v>
      </c>
      <c r="D1343" t="s">
        <v>33</v>
      </c>
      <c r="E1343">
        <v>43263</v>
      </c>
      <c r="F1343">
        <v>0</v>
      </c>
      <c r="G1343">
        <v>1</v>
      </c>
      <c r="H1343" s="1">
        <v>41234</v>
      </c>
      <c r="I1343">
        <v>2</v>
      </c>
      <c r="J1343">
        <v>262</v>
      </c>
      <c r="K1343">
        <v>6</v>
      </c>
      <c r="L1343">
        <v>61</v>
      </c>
      <c r="M1343">
        <v>0</v>
      </c>
      <c r="N1343">
        <v>10</v>
      </c>
      <c r="O1343">
        <v>102</v>
      </c>
      <c r="P1343">
        <v>3</v>
      </c>
      <c r="Q1343">
        <v>5</v>
      </c>
      <c r="R1343">
        <v>2</v>
      </c>
      <c r="S1343">
        <v>6</v>
      </c>
      <c r="T1343">
        <v>5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3</v>
      </c>
      <c r="AB1343">
        <v>11</v>
      </c>
      <c r="AC1343">
        <v>0</v>
      </c>
    </row>
    <row r="1344" spans="1:29" x14ac:dyDescent="0.3">
      <c r="A1344">
        <v>873</v>
      </c>
      <c r="B1344">
        <v>1949</v>
      </c>
      <c r="C1344" t="s">
        <v>34</v>
      </c>
      <c r="D1344" t="s">
        <v>33</v>
      </c>
      <c r="E1344">
        <v>62845</v>
      </c>
      <c r="F1344">
        <v>1</v>
      </c>
      <c r="G1344">
        <v>1</v>
      </c>
      <c r="H1344" s="1">
        <v>41183</v>
      </c>
      <c r="I1344">
        <v>3</v>
      </c>
      <c r="J1344">
        <v>1099</v>
      </c>
      <c r="K1344">
        <v>0</v>
      </c>
      <c r="L1344">
        <v>45</v>
      </c>
      <c r="M1344">
        <v>0</v>
      </c>
      <c r="N1344">
        <v>0</v>
      </c>
      <c r="O1344">
        <v>34</v>
      </c>
      <c r="P1344">
        <v>11</v>
      </c>
      <c r="Q1344">
        <v>3</v>
      </c>
      <c r="R1344">
        <v>4</v>
      </c>
      <c r="S1344">
        <v>10</v>
      </c>
      <c r="T1344">
        <v>8</v>
      </c>
      <c r="U1344">
        <v>0</v>
      </c>
      <c r="V1344">
        <v>1</v>
      </c>
      <c r="W1344">
        <v>0</v>
      </c>
      <c r="X1344">
        <v>0</v>
      </c>
      <c r="Y1344">
        <v>0</v>
      </c>
      <c r="Z1344">
        <v>0</v>
      </c>
      <c r="AA1344">
        <v>3</v>
      </c>
      <c r="AB1344">
        <v>11</v>
      </c>
      <c r="AC1344">
        <v>1</v>
      </c>
    </row>
    <row r="1345" spans="1:29" x14ac:dyDescent="0.3">
      <c r="A1345">
        <v>2253</v>
      </c>
      <c r="B1345">
        <v>1990</v>
      </c>
      <c r="C1345" t="s">
        <v>29</v>
      </c>
      <c r="D1345" t="s">
        <v>33</v>
      </c>
      <c r="E1345">
        <v>18929</v>
      </c>
      <c r="F1345">
        <v>0</v>
      </c>
      <c r="G1345">
        <v>0</v>
      </c>
      <c r="H1345" s="1">
        <v>41321</v>
      </c>
      <c r="I1345">
        <v>15</v>
      </c>
      <c r="J1345">
        <v>32</v>
      </c>
      <c r="K1345">
        <v>0</v>
      </c>
      <c r="L1345">
        <v>8</v>
      </c>
      <c r="M1345">
        <v>23</v>
      </c>
      <c r="N1345">
        <v>4</v>
      </c>
      <c r="O1345">
        <v>18</v>
      </c>
      <c r="P1345">
        <v>1</v>
      </c>
      <c r="Q1345">
        <v>1</v>
      </c>
      <c r="R1345">
        <v>0</v>
      </c>
      <c r="S1345">
        <v>4</v>
      </c>
      <c r="T1345">
        <v>6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3</v>
      </c>
      <c r="AB1345">
        <v>11</v>
      </c>
      <c r="AC1345">
        <v>0</v>
      </c>
    </row>
    <row r="1346" spans="1:29" x14ac:dyDescent="0.3">
      <c r="A1346">
        <v>5181</v>
      </c>
      <c r="B1346">
        <v>1982</v>
      </c>
      <c r="C1346" t="s">
        <v>36</v>
      </c>
      <c r="D1346" t="s">
        <v>30</v>
      </c>
      <c r="E1346">
        <v>24367</v>
      </c>
      <c r="F1346">
        <v>1</v>
      </c>
      <c r="G1346">
        <v>0</v>
      </c>
      <c r="H1346" s="1">
        <v>41353</v>
      </c>
      <c r="I1346">
        <v>58</v>
      </c>
      <c r="J1346">
        <v>2</v>
      </c>
      <c r="K1346">
        <v>4</v>
      </c>
      <c r="L1346">
        <v>2</v>
      </c>
      <c r="M1346">
        <v>0</v>
      </c>
      <c r="N1346">
        <v>11</v>
      </c>
      <c r="O1346">
        <v>5</v>
      </c>
      <c r="P1346">
        <v>1</v>
      </c>
      <c r="Q1346">
        <v>1</v>
      </c>
      <c r="R1346">
        <v>0</v>
      </c>
      <c r="S1346">
        <v>2</v>
      </c>
      <c r="T1346">
        <v>9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3</v>
      </c>
      <c r="AB1346">
        <v>11</v>
      </c>
      <c r="AC1346">
        <v>0</v>
      </c>
    </row>
    <row r="1347" spans="1:29" x14ac:dyDescent="0.3">
      <c r="A1347">
        <v>979</v>
      </c>
      <c r="B1347">
        <v>1975</v>
      </c>
      <c r="C1347" t="s">
        <v>29</v>
      </c>
      <c r="D1347" t="s">
        <v>30</v>
      </c>
      <c r="E1347">
        <v>33249</v>
      </c>
      <c r="F1347">
        <v>1</v>
      </c>
      <c r="G1347">
        <v>0</v>
      </c>
      <c r="H1347" s="1">
        <v>41325</v>
      </c>
      <c r="I1347">
        <v>11</v>
      </c>
      <c r="J1347">
        <v>6</v>
      </c>
      <c r="K1347">
        <v>10</v>
      </c>
      <c r="L1347">
        <v>21</v>
      </c>
      <c r="M1347">
        <v>19</v>
      </c>
      <c r="N1347">
        <v>14</v>
      </c>
      <c r="O1347">
        <v>42</v>
      </c>
      <c r="P1347">
        <v>2</v>
      </c>
      <c r="Q1347">
        <v>2</v>
      </c>
      <c r="R1347">
        <v>1</v>
      </c>
      <c r="S1347">
        <v>3</v>
      </c>
      <c r="T1347">
        <v>6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3</v>
      </c>
      <c r="AB1347">
        <v>11</v>
      </c>
      <c r="AC1347">
        <v>0</v>
      </c>
    </row>
    <row r="1348" spans="1:29" x14ac:dyDescent="0.3">
      <c r="A1348">
        <v>10390</v>
      </c>
      <c r="B1348">
        <v>1959</v>
      </c>
      <c r="C1348" t="s">
        <v>37</v>
      </c>
      <c r="D1348" t="s">
        <v>33</v>
      </c>
      <c r="E1348">
        <v>26887</v>
      </c>
      <c r="F1348">
        <v>0</v>
      </c>
      <c r="G1348">
        <v>1</v>
      </c>
      <c r="H1348" s="1">
        <v>41315</v>
      </c>
      <c r="I1348">
        <v>27</v>
      </c>
      <c r="J1348">
        <v>6</v>
      </c>
      <c r="K1348">
        <v>7</v>
      </c>
      <c r="L1348">
        <v>4</v>
      </c>
      <c r="M1348">
        <v>3</v>
      </c>
      <c r="N1348">
        <v>4</v>
      </c>
      <c r="O1348">
        <v>6</v>
      </c>
      <c r="P1348">
        <v>1</v>
      </c>
      <c r="Q1348">
        <v>1</v>
      </c>
      <c r="R1348">
        <v>0</v>
      </c>
      <c r="S1348">
        <v>3</v>
      </c>
      <c r="T1348">
        <v>6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3</v>
      </c>
      <c r="AB1348">
        <v>11</v>
      </c>
      <c r="AC1348">
        <v>0</v>
      </c>
    </row>
    <row r="1349" spans="1:29" x14ac:dyDescent="0.3">
      <c r="A1349">
        <v>4698</v>
      </c>
      <c r="B1349">
        <v>1983</v>
      </c>
      <c r="C1349" t="s">
        <v>32</v>
      </c>
      <c r="D1349" t="s">
        <v>33</v>
      </c>
      <c r="E1349">
        <v>50150</v>
      </c>
      <c r="F1349">
        <v>0</v>
      </c>
      <c r="G1349">
        <v>0</v>
      </c>
      <c r="H1349" s="1">
        <v>41445</v>
      </c>
      <c r="I1349">
        <v>32</v>
      </c>
      <c r="J1349">
        <v>135</v>
      </c>
      <c r="K1349">
        <v>46</v>
      </c>
      <c r="L1349">
        <v>92</v>
      </c>
      <c r="M1349">
        <v>65</v>
      </c>
      <c r="N1349">
        <v>61</v>
      </c>
      <c r="O1349">
        <v>11</v>
      </c>
      <c r="P1349">
        <v>2</v>
      </c>
      <c r="Q1349">
        <v>5</v>
      </c>
      <c r="R1349">
        <v>2</v>
      </c>
      <c r="S1349">
        <v>7</v>
      </c>
      <c r="T1349">
        <v>5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3</v>
      </c>
      <c r="AB1349">
        <v>11</v>
      </c>
      <c r="AC1349">
        <v>0</v>
      </c>
    </row>
    <row r="1350" spans="1:29" x14ac:dyDescent="0.3">
      <c r="A1350">
        <v>7793</v>
      </c>
      <c r="B1350">
        <v>1976</v>
      </c>
      <c r="C1350" t="s">
        <v>29</v>
      </c>
      <c r="D1350" t="s">
        <v>31</v>
      </c>
      <c r="E1350">
        <v>62061</v>
      </c>
      <c r="F1350">
        <v>0</v>
      </c>
      <c r="G1350">
        <v>1</v>
      </c>
      <c r="H1350" s="1">
        <v>41517</v>
      </c>
      <c r="I1350">
        <v>12</v>
      </c>
      <c r="J1350">
        <v>641</v>
      </c>
      <c r="K1350">
        <v>7</v>
      </c>
      <c r="L1350">
        <v>84</v>
      </c>
      <c r="M1350">
        <v>0</v>
      </c>
      <c r="N1350">
        <v>30</v>
      </c>
      <c r="O1350">
        <v>38</v>
      </c>
      <c r="P1350">
        <v>3</v>
      </c>
      <c r="Q1350">
        <v>10</v>
      </c>
      <c r="R1350">
        <v>4</v>
      </c>
      <c r="S1350">
        <v>7</v>
      </c>
      <c r="T1350">
        <v>6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3</v>
      </c>
      <c r="AB1350">
        <v>11</v>
      </c>
      <c r="AC1350">
        <v>0</v>
      </c>
    </row>
    <row r="1351" spans="1:29" x14ac:dyDescent="0.3">
      <c r="A1351">
        <v>1745</v>
      </c>
      <c r="B1351">
        <v>1962</v>
      </c>
      <c r="C1351" t="s">
        <v>32</v>
      </c>
      <c r="D1351" t="s">
        <v>35</v>
      </c>
      <c r="E1351">
        <v>85696</v>
      </c>
      <c r="F1351">
        <v>0</v>
      </c>
      <c r="G1351">
        <v>0</v>
      </c>
      <c r="H1351" s="1">
        <v>41397</v>
      </c>
      <c r="I1351">
        <v>88</v>
      </c>
      <c r="J1351">
        <v>714</v>
      </c>
      <c r="K1351">
        <v>76</v>
      </c>
      <c r="L1351">
        <v>395</v>
      </c>
      <c r="M1351">
        <v>116</v>
      </c>
      <c r="N1351">
        <v>0</v>
      </c>
      <c r="O1351">
        <v>12</v>
      </c>
      <c r="P1351">
        <v>1</v>
      </c>
      <c r="Q1351">
        <v>4</v>
      </c>
      <c r="R1351">
        <v>6</v>
      </c>
      <c r="S1351">
        <v>9</v>
      </c>
      <c r="T1351">
        <v>1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3</v>
      </c>
      <c r="AB1351">
        <v>11</v>
      </c>
      <c r="AC1351">
        <v>1</v>
      </c>
    </row>
    <row r="1352" spans="1:29" x14ac:dyDescent="0.3">
      <c r="A1352">
        <v>10590</v>
      </c>
      <c r="B1352">
        <v>1956</v>
      </c>
      <c r="C1352" t="s">
        <v>32</v>
      </c>
      <c r="D1352" t="s">
        <v>31</v>
      </c>
      <c r="E1352">
        <v>76542</v>
      </c>
      <c r="F1352">
        <v>0</v>
      </c>
      <c r="G1352">
        <v>0</v>
      </c>
      <c r="H1352" s="1">
        <v>41363</v>
      </c>
      <c r="I1352">
        <v>91</v>
      </c>
      <c r="J1352">
        <v>794</v>
      </c>
      <c r="K1352">
        <v>73</v>
      </c>
      <c r="L1352">
        <v>573</v>
      </c>
      <c r="M1352">
        <v>0</v>
      </c>
      <c r="N1352">
        <v>29</v>
      </c>
      <c r="O1352">
        <v>14</v>
      </c>
      <c r="P1352">
        <v>1</v>
      </c>
      <c r="Q1352">
        <v>4</v>
      </c>
      <c r="R1352">
        <v>8</v>
      </c>
      <c r="S1352">
        <v>10</v>
      </c>
      <c r="T1352">
        <v>2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3</v>
      </c>
      <c r="AB1352">
        <v>11</v>
      </c>
      <c r="AC1352">
        <v>0</v>
      </c>
    </row>
    <row r="1353" spans="1:29" x14ac:dyDescent="0.3">
      <c r="A1353">
        <v>5080</v>
      </c>
      <c r="B1353">
        <v>1993</v>
      </c>
      <c r="C1353" t="s">
        <v>29</v>
      </c>
      <c r="D1353" t="s">
        <v>30</v>
      </c>
      <c r="E1353">
        <v>70515</v>
      </c>
      <c r="F1353">
        <v>0</v>
      </c>
      <c r="G1353">
        <v>0</v>
      </c>
      <c r="H1353" s="1">
        <v>41568</v>
      </c>
      <c r="I1353">
        <v>12</v>
      </c>
      <c r="J1353">
        <v>420</v>
      </c>
      <c r="K1353">
        <v>0</v>
      </c>
      <c r="L1353">
        <v>452</v>
      </c>
      <c r="M1353">
        <v>182</v>
      </c>
      <c r="N1353">
        <v>64</v>
      </c>
      <c r="O1353">
        <v>140</v>
      </c>
      <c r="P1353">
        <v>1</v>
      </c>
      <c r="Q1353">
        <v>6</v>
      </c>
      <c r="R1353">
        <v>6</v>
      </c>
      <c r="S1353">
        <v>4</v>
      </c>
      <c r="T1353">
        <v>2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3</v>
      </c>
      <c r="AB1353">
        <v>11</v>
      </c>
      <c r="AC1353">
        <v>1</v>
      </c>
    </row>
    <row r="1354" spans="1:29" x14ac:dyDescent="0.3">
      <c r="A1354">
        <v>8369</v>
      </c>
      <c r="B1354">
        <v>1987</v>
      </c>
      <c r="C1354" t="s">
        <v>29</v>
      </c>
      <c r="D1354" t="s">
        <v>31</v>
      </c>
      <c r="E1354">
        <v>18227</v>
      </c>
      <c r="F1354">
        <v>1</v>
      </c>
      <c r="G1354">
        <v>0</v>
      </c>
      <c r="H1354" s="1">
        <v>41221</v>
      </c>
      <c r="I1354">
        <v>21</v>
      </c>
      <c r="J1354">
        <v>1</v>
      </c>
      <c r="K1354">
        <v>2</v>
      </c>
      <c r="L1354">
        <v>7</v>
      </c>
      <c r="M1354">
        <v>4</v>
      </c>
      <c r="N1354">
        <v>3</v>
      </c>
      <c r="O1354">
        <v>11</v>
      </c>
      <c r="P1354">
        <v>1</v>
      </c>
      <c r="Q1354">
        <v>0</v>
      </c>
      <c r="R1354">
        <v>1</v>
      </c>
      <c r="S1354">
        <v>2</v>
      </c>
      <c r="T1354">
        <v>8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3</v>
      </c>
      <c r="AB1354">
        <v>11</v>
      </c>
      <c r="AC1354">
        <v>0</v>
      </c>
    </row>
    <row r="1355" spans="1:29" x14ac:dyDescent="0.3">
      <c r="A1355">
        <v>5232</v>
      </c>
      <c r="B1355">
        <v>1965</v>
      </c>
      <c r="C1355" t="s">
        <v>29</v>
      </c>
      <c r="D1355" t="s">
        <v>33</v>
      </c>
      <c r="E1355">
        <v>69139</v>
      </c>
      <c r="F1355">
        <v>0</v>
      </c>
      <c r="G1355">
        <v>1</v>
      </c>
      <c r="H1355" s="1">
        <v>41666</v>
      </c>
      <c r="I1355">
        <v>23</v>
      </c>
      <c r="J1355">
        <v>86</v>
      </c>
      <c r="K1355">
        <v>12</v>
      </c>
      <c r="L1355">
        <v>75</v>
      </c>
      <c r="M1355">
        <v>33</v>
      </c>
      <c r="N1355">
        <v>15</v>
      </c>
      <c r="O1355">
        <v>6</v>
      </c>
      <c r="P1355">
        <v>1</v>
      </c>
      <c r="Q1355">
        <v>4</v>
      </c>
      <c r="R1355">
        <v>1</v>
      </c>
      <c r="S1355">
        <v>5</v>
      </c>
      <c r="T1355">
        <v>4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3</v>
      </c>
      <c r="AB1355">
        <v>11</v>
      </c>
      <c r="AC1355">
        <v>0</v>
      </c>
    </row>
    <row r="1356" spans="1:29" x14ac:dyDescent="0.3">
      <c r="A1356">
        <v>2407</v>
      </c>
      <c r="B1356">
        <v>1982</v>
      </c>
      <c r="C1356" t="s">
        <v>29</v>
      </c>
      <c r="D1356" t="s">
        <v>33</v>
      </c>
      <c r="E1356">
        <v>69109</v>
      </c>
      <c r="F1356">
        <v>0</v>
      </c>
      <c r="G1356">
        <v>0</v>
      </c>
      <c r="H1356" s="1">
        <v>41222</v>
      </c>
      <c r="I1356">
        <v>10</v>
      </c>
      <c r="J1356">
        <v>823</v>
      </c>
      <c r="K1356">
        <v>25</v>
      </c>
      <c r="L1356">
        <v>459</v>
      </c>
      <c r="M1356">
        <v>124</v>
      </c>
      <c r="N1356">
        <v>29</v>
      </c>
      <c r="O1356">
        <v>95</v>
      </c>
      <c r="P1356">
        <v>1</v>
      </c>
      <c r="Q1356">
        <v>6</v>
      </c>
      <c r="R1356">
        <v>6</v>
      </c>
      <c r="S1356">
        <v>7</v>
      </c>
      <c r="T1356">
        <v>4</v>
      </c>
      <c r="U1356">
        <v>0</v>
      </c>
      <c r="V1356">
        <v>0</v>
      </c>
      <c r="W1356">
        <v>1</v>
      </c>
      <c r="X1356">
        <v>0</v>
      </c>
      <c r="Y1356">
        <v>0</v>
      </c>
      <c r="Z1356">
        <v>0</v>
      </c>
      <c r="AA1356">
        <v>3</v>
      </c>
      <c r="AB1356">
        <v>11</v>
      </c>
      <c r="AC1356">
        <v>1</v>
      </c>
    </row>
    <row r="1357" spans="1:29" x14ac:dyDescent="0.3">
      <c r="A1357">
        <v>3834</v>
      </c>
      <c r="B1357">
        <v>1962</v>
      </c>
      <c r="C1357" t="s">
        <v>29</v>
      </c>
      <c r="D1357" t="s">
        <v>30</v>
      </c>
      <c r="E1357">
        <v>69627</v>
      </c>
      <c r="F1357">
        <v>0</v>
      </c>
      <c r="G1357">
        <v>1</v>
      </c>
      <c r="H1357" s="1">
        <v>41350</v>
      </c>
      <c r="I1357">
        <v>35</v>
      </c>
      <c r="J1357">
        <v>231</v>
      </c>
      <c r="K1357">
        <v>161</v>
      </c>
      <c r="L1357">
        <v>215</v>
      </c>
      <c r="M1357">
        <v>171</v>
      </c>
      <c r="N1357">
        <v>30</v>
      </c>
      <c r="O1357">
        <v>53</v>
      </c>
      <c r="P1357">
        <v>2</v>
      </c>
      <c r="Q1357">
        <v>8</v>
      </c>
      <c r="R1357">
        <v>2</v>
      </c>
      <c r="S1357">
        <v>11</v>
      </c>
      <c r="T1357">
        <v>5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3</v>
      </c>
      <c r="AB1357">
        <v>11</v>
      </c>
      <c r="AC1357">
        <v>0</v>
      </c>
    </row>
    <row r="1358" spans="1:29" x14ac:dyDescent="0.3">
      <c r="A1358">
        <v>7912</v>
      </c>
      <c r="B1358">
        <v>1978</v>
      </c>
      <c r="C1358" t="s">
        <v>29</v>
      </c>
      <c r="D1358" t="s">
        <v>33</v>
      </c>
      <c r="E1358">
        <v>38136</v>
      </c>
      <c r="F1358">
        <v>1</v>
      </c>
      <c r="G1358">
        <v>0</v>
      </c>
      <c r="H1358" s="1">
        <v>41386</v>
      </c>
      <c r="I1358">
        <v>69</v>
      </c>
      <c r="J1358">
        <v>8</v>
      </c>
      <c r="K1358">
        <v>15</v>
      </c>
      <c r="L1358">
        <v>27</v>
      </c>
      <c r="M1358">
        <v>0</v>
      </c>
      <c r="N1358">
        <v>20</v>
      </c>
      <c r="O1358">
        <v>33</v>
      </c>
      <c r="P1358">
        <v>2</v>
      </c>
      <c r="Q1358">
        <v>3</v>
      </c>
      <c r="R1358">
        <v>1</v>
      </c>
      <c r="S1358">
        <v>2</v>
      </c>
      <c r="T1358">
        <v>8</v>
      </c>
      <c r="U1358">
        <v>1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3</v>
      </c>
      <c r="AB1358">
        <v>11</v>
      </c>
      <c r="AC1358">
        <v>0</v>
      </c>
    </row>
    <row r="1359" spans="1:29" x14ac:dyDescent="0.3">
      <c r="A1359">
        <v>7712</v>
      </c>
      <c r="B1359">
        <v>1946</v>
      </c>
      <c r="C1359" t="s">
        <v>32</v>
      </c>
      <c r="D1359" t="s">
        <v>30</v>
      </c>
      <c r="E1359">
        <v>62159</v>
      </c>
      <c r="F1359">
        <v>0</v>
      </c>
      <c r="G1359">
        <v>0</v>
      </c>
      <c r="H1359" s="1">
        <v>41757</v>
      </c>
      <c r="I1359">
        <v>68</v>
      </c>
      <c r="J1359">
        <v>182</v>
      </c>
      <c r="K1359">
        <v>17</v>
      </c>
      <c r="L1359">
        <v>259</v>
      </c>
      <c r="M1359">
        <v>77</v>
      </c>
      <c r="N1359">
        <v>70</v>
      </c>
      <c r="O1359">
        <v>29</v>
      </c>
      <c r="P1359">
        <v>1</v>
      </c>
      <c r="Q1359">
        <v>6</v>
      </c>
      <c r="R1359">
        <v>2</v>
      </c>
      <c r="S1359">
        <v>10</v>
      </c>
      <c r="T1359">
        <v>4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3</v>
      </c>
      <c r="AB1359">
        <v>11</v>
      </c>
      <c r="AC1359">
        <v>0</v>
      </c>
    </row>
    <row r="1360" spans="1:29" x14ac:dyDescent="0.3">
      <c r="A1360">
        <v>1065</v>
      </c>
      <c r="B1360">
        <v>1963</v>
      </c>
      <c r="C1360" t="s">
        <v>29</v>
      </c>
      <c r="D1360" t="s">
        <v>30</v>
      </c>
      <c r="E1360">
        <v>80695</v>
      </c>
      <c r="F1360">
        <v>0</v>
      </c>
      <c r="G1360">
        <v>0</v>
      </c>
      <c r="H1360" s="1">
        <v>41637</v>
      </c>
      <c r="I1360">
        <v>85</v>
      </c>
      <c r="J1360">
        <v>557</v>
      </c>
      <c r="K1360">
        <v>129</v>
      </c>
      <c r="L1360">
        <v>984</v>
      </c>
      <c r="M1360">
        <v>193</v>
      </c>
      <c r="N1360">
        <v>37</v>
      </c>
      <c r="O1360">
        <v>18</v>
      </c>
      <c r="P1360">
        <v>1</v>
      </c>
      <c r="Q1360">
        <v>5</v>
      </c>
      <c r="R1360">
        <v>8</v>
      </c>
      <c r="S1360">
        <v>5</v>
      </c>
      <c r="T1360">
        <v>2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3</v>
      </c>
      <c r="AB1360">
        <v>11</v>
      </c>
      <c r="AC1360">
        <v>0</v>
      </c>
    </row>
    <row r="1361" spans="1:29" x14ac:dyDescent="0.3">
      <c r="A1361">
        <v>7275</v>
      </c>
      <c r="B1361">
        <v>1971</v>
      </c>
      <c r="C1361" t="s">
        <v>34</v>
      </c>
      <c r="D1361" t="s">
        <v>30</v>
      </c>
      <c r="E1361">
        <v>33316</v>
      </c>
      <c r="F1361">
        <v>1</v>
      </c>
      <c r="G1361">
        <v>1</v>
      </c>
      <c r="H1361" s="1">
        <v>41551</v>
      </c>
      <c r="I1361">
        <v>34</v>
      </c>
      <c r="J1361">
        <v>79</v>
      </c>
      <c r="K1361">
        <v>1</v>
      </c>
      <c r="L1361">
        <v>31</v>
      </c>
      <c r="M1361">
        <v>4</v>
      </c>
      <c r="N1361">
        <v>4</v>
      </c>
      <c r="O1361">
        <v>12</v>
      </c>
      <c r="P1361">
        <v>3</v>
      </c>
      <c r="Q1361">
        <v>2</v>
      </c>
      <c r="R1361">
        <v>1</v>
      </c>
      <c r="S1361">
        <v>4</v>
      </c>
      <c r="T1361">
        <v>6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3</v>
      </c>
      <c r="AB1361">
        <v>11</v>
      </c>
      <c r="AC1361">
        <v>0</v>
      </c>
    </row>
    <row r="1362" spans="1:29" x14ac:dyDescent="0.3">
      <c r="A1362">
        <v>1343</v>
      </c>
      <c r="B1362">
        <v>1968</v>
      </c>
      <c r="C1362" t="s">
        <v>29</v>
      </c>
      <c r="D1362" t="s">
        <v>31</v>
      </c>
      <c r="E1362">
        <v>58554</v>
      </c>
      <c r="F1362">
        <v>1</v>
      </c>
      <c r="G1362">
        <v>1</v>
      </c>
      <c r="H1362" s="1">
        <v>41178</v>
      </c>
      <c r="I1362">
        <v>55</v>
      </c>
      <c r="J1362">
        <v>368</v>
      </c>
      <c r="K1362">
        <v>24</v>
      </c>
      <c r="L1362">
        <v>68</v>
      </c>
      <c r="M1362">
        <v>38</v>
      </c>
      <c r="N1362">
        <v>0</v>
      </c>
      <c r="O1362">
        <v>88</v>
      </c>
      <c r="P1362">
        <v>6</v>
      </c>
      <c r="Q1362">
        <v>8</v>
      </c>
      <c r="R1362">
        <v>2</v>
      </c>
      <c r="S1362">
        <v>6</v>
      </c>
      <c r="T1362">
        <v>7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3</v>
      </c>
      <c r="AB1362">
        <v>11</v>
      </c>
      <c r="AC1362">
        <v>0</v>
      </c>
    </row>
    <row r="1363" spans="1:29" x14ac:dyDescent="0.3">
      <c r="A1363">
        <v>1384</v>
      </c>
      <c r="B1363">
        <v>1992</v>
      </c>
      <c r="C1363" t="s">
        <v>36</v>
      </c>
      <c r="D1363" t="s">
        <v>33</v>
      </c>
      <c r="E1363">
        <v>17256</v>
      </c>
      <c r="F1363">
        <v>1</v>
      </c>
      <c r="G1363">
        <v>0</v>
      </c>
      <c r="H1363" s="1">
        <v>41601</v>
      </c>
      <c r="I1363">
        <v>10</v>
      </c>
      <c r="J1363">
        <v>6</v>
      </c>
      <c r="K1363">
        <v>4</v>
      </c>
      <c r="L1363">
        <v>14</v>
      </c>
      <c r="M1363">
        <v>8</v>
      </c>
      <c r="N1363">
        <v>8</v>
      </c>
      <c r="O1363">
        <v>22</v>
      </c>
      <c r="P1363">
        <v>2</v>
      </c>
      <c r="Q1363">
        <v>2</v>
      </c>
      <c r="R1363">
        <v>1</v>
      </c>
      <c r="S1363">
        <v>2</v>
      </c>
      <c r="T1363">
        <v>8</v>
      </c>
      <c r="U1363">
        <v>1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3</v>
      </c>
      <c r="AB1363">
        <v>11</v>
      </c>
      <c r="AC1363">
        <v>0</v>
      </c>
    </row>
    <row r="1364" spans="1:29" x14ac:dyDescent="0.3">
      <c r="A1364">
        <v>9967</v>
      </c>
      <c r="B1364">
        <v>1974</v>
      </c>
      <c r="C1364" t="s">
        <v>29</v>
      </c>
      <c r="D1364" t="s">
        <v>35</v>
      </c>
      <c r="E1364">
        <v>53034</v>
      </c>
      <c r="F1364">
        <v>1</v>
      </c>
      <c r="G1364">
        <v>1</v>
      </c>
      <c r="H1364" s="1">
        <v>41424</v>
      </c>
      <c r="I1364">
        <v>30</v>
      </c>
      <c r="J1364">
        <v>160</v>
      </c>
      <c r="K1364">
        <v>15</v>
      </c>
      <c r="L1364">
        <v>196</v>
      </c>
      <c r="M1364">
        <v>15</v>
      </c>
      <c r="N1364">
        <v>11</v>
      </c>
      <c r="O1364">
        <v>50</v>
      </c>
      <c r="P1364">
        <v>8</v>
      </c>
      <c r="Q1364">
        <v>6</v>
      </c>
      <c r="R1364">
        <v>1</v>
      </c>
      <c r="S1364">
        <v>7</v>
      </c>
      <c r="T1364">
        <v>8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3</v>
      </c>
      <c r="AB1364">
        <v>11</v>
      </c>
      <c r="AC1364">
        <v>0</v>
      </c>
    </row>
    <row r="1365" spans="1:29" x14ac:dyDescent="0.3">
      <c r="A1365">
        <v>6181</v>
      </c>
      <c r="B1365">
        <v>1950</v>
      </c>
      <c r="C1365" t="s">
        <v>37</v>
      </c>
      <c r="D1365" t="s">
        <v>31</v>
      </c>
      <c r="E1365">
        <v>52203</v>
      </c>
      <c r="F1365">
        <v>0</v>
      </c>
      <c r="G1365">
        <v>0</v>
      </c>
      <c r="H1365" s="1">
        <v>41121</v>
      </c>
      <c r="I1365">
        <v>36</v>
      </c>
      <c r="J1365">
        <v>488</v>
      </c>
      <c r="K1365">
        <v>21</v>
      </c>
      <c r="L1365">
        <v>238</v>
      </c>
      <c r="M1365">
        <v>56</v>
      </c>
      <c r="N1365">
        <v>108</v>
      </c>
      <c r="O1365">
        <v>28</v>
      </c>
      <c r="P1365">
        <v>1</v>
      </c>
      <c r="Q1365">
        <v>8</v>
      </c>
      <c r="R1365">
        <v>7</v>
      </c>
      <c r="S1365">
        <v>11</v>
      </c>
      <c r="T1365">
        <v>6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3</v>
      </c>
      <c r="AB1365">
        <v>11</v>
      </c>
      <c r="AC1365">
        <v>0</v>
      </c>
    </row>
    <row r="1366" spans="1:29" x14ac:dyDescent="0.3">
      <c r="A1366">
        <v>10507</v>
      </c>
      <c r="B1366">
        <v>1977</v>
      </c>
      <c r="C1366" t="s">
        <v>37</v>
      </c>
      <c r="D1366" t="s">
        <v>35</v>
      </c>
      <c r="E1366">
        <v>59601</v>
      </c>
      <c r="F1366">
        <v>0</v>
      </c>
      <c r="G1366">
        <v>1</v>
      </c>
      <c r="H1366" s="1">
        <v>41480</v>
      </c>
      <c r="I1366">
        <v>14</v>
      </c>
      <c r="J1366">
        <v>691</v>
      </c>
      <c r="K1366">
        <v>7</v>
      </c>
      <c r="L1366">
        <v>69</v>
      </c>
      <c r="M1366">
        <v>0</v>
      </c>
      <c r="N1366">
        <v>7</v>
      </c>
      <c r="O1366">
        <v>23</v>
      </c>
      <c r="P1366">
        <v>4</v>
      </c>
      <c r="Q1366">
        <v>2</v>
      </c>
      <c r="R1366">
        <v>2</v>
      </c>
      <c r="S1366">
        <v>7</v>
      </c>
      <c r="T1366">
        <v>8</v>
      </c>
      <c r="U1366">
        <v>0</v>
      </c>
      <c r="V1366">
        <v>1</v>
      </c>
      <c r="W1366">
        <v>0</v>
      </c>
      <c r="X1366">
        <v>0</v>
      </c>
      <c r="Y1366">
        <v>0</v>
      </c>
      <c r="Z1366">
        <v>0</v>
      </c>
      <c r="AA1366">
        <v>3</v>
      </c>
      <c r="AB1366">
        <v>11</v>
      </c>
      <c r="AC1366">
        <v>0</v>
      </c>
    </row>
    <row r="1367" spans="1:29" x14ac:dyDescent="0.3">
      <c r="A1367">
        <v>2674</v>
      </c>
      <c r="B1367">
        <v>1958</v>
      </c>
      <c r="C1367" t="s">
        <v>34</v>
      </c>
      <c r="D1367" t="s">
        <v>30</v>
      </c>
      <c r="E1367">
        <v>75154</v>
      </c>
      <c r="F1367">
        <v>0</v>
      </c>
      <c r="G1367">
        <v>1</v>
      </c>
      <c r="H1367" s="1">
        <v>41156</v>
      </c>
      <c r="I1367">
        <v>79</v>
      </c>
      <c r="J1367">
        <v>543</v>
      </c>
      <c r="K1367">
        <v>10</v>
      </c>
      <c r="L1367">
        <v>205</v>
      </c>
      <c r="M1367">
        <v>160</v>
      </c>
      <c r="N1367">
        <v>143</v>
      </c>
      <c r="O1367">
        <v>82</v>
      </c>
      <c r="P1367">
        <v>1</v>
      </c>
      <c r="Q1367">
        <v>6</v>
      </c>
      <c r="R1367">
        <v>3</v>
      </c>
      <c r="S1367">
        <v>6</v>
      </c>
      <c r="T1367">
        <v>3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3</v>
      </c>
      <c r="AB1367">
        <v>11</v>
      </c>
      <c r="AC1367">
        <v>1</v>
      </c>
    </row>
    <row r="1368" spans="1:29" x14ac:dyDescent="0.3">
      <c r="A1368">
        <v>2698</v>
      </c>
      <c r="B1368">
        <v>1976</v>
      </c>
      <c r="C1368" t="s">
        <v>29</v>
      </c>
      <c r="D1368" t="s">
        <v>30</v>
      </c>
      <c r="E1368">
        <v>47025</v>
      </c>
      <c r="F1368">
        <v>0</v>
      </c>
      <c r="G1368">
        <v>1</v>
      </c>
      <c r="H1368" s="1">
        <v>41585</v>
      </c>
      <c r="I1368">
        <v>52</v>
      </c>
      <c r="J1368">
        <v>254</v>
      </c>
      <c r="K1368">
        <v>7</v>
      </c>
      <c r="L1368">
        <v>108</v>
      </c>
      <c r="M1368">
        <v>20</v>
      </c>
      <c r="N1368">
        <v>0</v>
      </c>
      <c r="O1368">
        <v>26</v>
      </c>
      <c r="P1368">
        <v>3</v>
      </c>
      <c r="Q1368">
        <v>6</v>
      </c>
      <c r="R1368">
        <v>3</v>
      </c>
      <c r="S1368">
        <v>5</v>
      </c>
      <c r="T1368">
        <v>6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3</v>
      </c>
      <c r="AB1368">
        <v>11</v>
      </c>
      <c r="AC1368">
        <v>0</v>
      </c>
    </row>
    <row r="1369" spans="1:29" x14ac:dyDescent="0.3">
      <c r="A1369">
        <v>3231</v>
      </c>
      <c r="B1369">
        <v>1973</v>
      </c>
      <c r="C1369" t="s">
        <v>29</v>
      </c>
      <c r="D1369" t="s">
        <v>33</v>
      </c>
      <c r="E1369">
        <v>37971</v>
      </c>
      <c r="F1369">
        <v>1</v>
      </c>
      <c r="G1369">
        <v>0</v>
      </c>
      <c r="H1369" s="1">
        <v>41603</v>
      </c>
      <c r="I1369">
        <v>97</v>
      </c>
      <c r="J1369">
        <v>5</v>
      </c>
      <c r="K1369">
        <v>4</v>
      </c>
      <c r="L1369">
        <v>10</v>
      </c>
      <c r="M1369">
        <v>2</v>
      </c>
      <c r="N1369">
        <v>2</v>
      </c>
      <c r="O1369">
        <v>7</v>
      </c>
      <c r="P1369">
        <v>1</v>
      </c>
      <c r="Q1369">
        <v>1</v>
      </c>
      <c r="R1369">
        <v>0</v>
      </c>
      <c r="S1369">
        <v>3</v>
      </c>
      <c r="T1369">
        <v>8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3</v>
      </c>
      <c r="AB1369">
        <v>11</v>
      </c>
      <c r="AC1369">
        <v>0</v>
      </c>
    </row>
    <row r="1370" spans="1:29" x14ac:dyDescent="0.3">
      <c r="A1370">
        <v>4096</v>
      </c>
      <c r="B1370">
        <v>1968</v>
      </c>
      <c r="C1370" t="s">
        <v>34</v>
      </c>
      <c r="D1370" t="s">
        <v>35</v>
      </c>
      <c r="E1370">
        <v>41335</v>
      </c>
      <c r="F1370">
        <v>1</v>
      </c>
      <c r="G1370">
        <v>0</v>
      </c>
      <c r="H1370" s="1">
        <v>41634</v>
      </c>
      <c r="I1370">
        <v>24</v>
      </c>
      <c r="J1370">
        <v>112</v>
      </c>
      <c r="K1370">
        <v>19</v>
      </c>
      <c r="L1370">
        <v>21</v>
      </c>
      <c r="M1370">
        <v>16</v>
      </c>
      <c r="N1370">
        <v>14</v>
      </c>
      <c r="O1370">
        <v>5</v>
      </c>
      <c r="P1370">
        <v>3</v>
      </c>
      <c r="Q1370">
        <v>4</v>
      </c>
      <c r="R1370">
        <v>1</v>
      </c>
      <c r="S1370">
        <v>4</v>
      </c>
      <c r="T1370">
        <v>7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3</v>
      </c>
      <c r="AB1370">
        <v>11</v>
      </c>
      <c r="AC1370">
        <v>0</v>
      </c>
    </row>
    <row r="1371" spans="1:29" x14ac:dyDescent="0.3">
      <c r="A1371">
        <v>10476</v>
      </c>
      <c r="B1371">
        <v>1958</v>
      </c>
      <c r="C1371" t="s">
        <v>29</v>
      </c>
      <c r="D1371" t="s">
        <v>33</v>
      </c>
      <c r="E1371">
        <v>67267</v>
      </c>
      <c r="F1371">
        <v>0</v>
      </c>
      <c r="G1371">
        <v>1</v>
      </c>
      <c r="H1371" s="1">
        <v>41772</v>
      </c>
      <c r="I1371">
        <v>0</v>
      </c>
      <c r="J1371">
        <v>134</v>
      </c>
      <c r="K1371">
        <v>11</v>
      </c>
      <c r="L1371">
        <v>59</v>
      </c>
      <c r="M1371">
        <v>15</v>
      </c>
      <c r="N1371">
        <v>2</v>
      </c>
      <c r="O1371">
        <v>30</v>
      </c>
      <c r="P1371">
        <v>1</v>
      </c>
      <c r="Q1371">
        <v>3</v>
      </c>
      <c r="R1371">
        <v>2</v>
      </c>
      <c r="S1371">
        <v>5</v>
      </c>
      <c r="T1371">
        <v>2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3</v>
      </c>
      <c r="AB1371">
        <v>11</v>
      </c>
      <c r="AC1371">
        <v>0</v>
      </c>
    </row>
    <row r="1372" spans="1:29" x14ac:dyDescent="0.3">
      <c r="A1372">
        <v>5948</v>
      </c>
      <c r="B1372">
        <v>1975</v>
      </c>
      <c r="C1372" t="s">
        <v>29</v>
      </c>
      <c r="D1372" t="s">
        <v>30</v>
      </c>
      <c r="E1372">
        <v>57338</v>
      </c>
      <c r="F1372">
        <v>0</v>
      </c>
      <c r="G1372">
        <v>1</v>
      </c>
      <c r="H1372" s="1">
        <v>41758</v>
      </c>
      <c r="I1372">
        <v>96</v>
      </c>
      <c r="J1372">
        <v>143</v>
      </c>
      <c r="K1372">
        <v>6</v>
      </c>
      <c r="L1372">
        <v>52</v>
      </c>
      <c r="M1372">
        <v>11</v>
      </c>
      <c r="N1372">
        <v>8</v>
      </c>
      <c r="O1372">
        <v>17</v>
      </c>
      <c r="P1372">
        <v>2</v>
      </c>
      <c r="Q1372">
        <v>4</v>
      </c>
      <c r="R1372">
        <v>1</v>
      </c>
      <c r="S1372">
        <v>5</v>
      </c>
      <c r="T1372">
        <v>5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3</v>
      </c>
      <c r="AB1372">
        <v>11</v>
      </c>
      <c r="AC1372">
        <v>0</v>
      </c>
    </row>
    <row r="1373" spans="1:29" x14ac:dyDescent="0.3">
      <c r="A1373">
        <v>9140</v>
      </c>
      <c r="B1373">
        <v>1960</v>
      </c>
      <c r="C1373" t="s">
        <v>37</v>
      </c>
      <c r="D1373" t="s">
        <v>31</v>
      </c>
      <c r="E1373">
        <v>50523</v>
      </c>
      <c r="F1373">
        <v>1</v>
      </c>
      <c r="G1373">
        <v>1</v>
      </c>
      <c r="H1373" s="1">
        <v>41633</v>
      </c>
      <c r="I1373">
        <v>89</v>
      </c>
      <c r="J1373">
        <v>51</v>
      </c>
      <c r="K1373">
        <v>4</v>
      </c>
      <c r="L1373">
        <v>24</v>
      </c>
      <c r="M1373">
        <v>4</v>
      </c>
      <c r="N1373">
        <v>7</v>
      </c>
      <c r="O1373">
        <v>1</v>
      </c>
      <c r="P1373">
        <v>2</v>
      </c>
      <c r="Q1373">
        <v>2</v>
      </c>
      <c r="R1373">
        <v>0</v>
      </c>
      <c r="S1373">
        <v>4</v>
      </c>
      <c r="T1373">
        <v>6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3</v>
      </c>
      <c r="AB1373">
        <v>11</v>
      </c>
      <c r="AC1373">
        <v>0</v>
      </c>
    </row>
    <row r="1374" spans="1:29" x14ac:dyDescent="0.3">
      <c r="A1374">
        <v>10258</v>
      </c>
      <c r="B1374">
        <v>1965</v>
      </c>
      <c r="C1374" t="s">
        <v>34</v>
      </c>
      <c r="D1374" t="s">
        <v>30</v>
      </c>
      <c r="E1374">
        <v>35791</v>
      </c>
      <c r="F1374">
        <v>2</v>
      </c>
      <c r="G1374">
        <v>1</v>
      </c>
      <c r="H1374" s="1">
        <v>41400</v>
      </c>
      <c r="I1374">
        <v>94</v>
      </c>
      <c r="J1374">
        <v>27</v>
      </c>
      <c r="K1374">
        <v>0</v>
      </c>
      <c r="L1374">
        <v>5</v>
      </c>
      <c r="M1374">
        <v>0</v>
      </c>
      <c r="N1374">
        <v>0</v>
      </c>
      <c r="O1374">
        <v>3</v>
      </c>
      <c r="P1374">
        <v>2</v>
      </c>
      <c r="Q1374">
        <v>1</v>
      </c>
      <c r="R1374">
        <v>0</v>
      </c>
      <c r="S1374">
        <v>3</v>
      </c>
      <c r="T1374">
        <v>8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3</v>
      </c>
      <c r="AB1374">
        <v>11</v>
      </c>
      <c r="AC1374">
        <v>0</v>
      </c>
    </row>
    <row r="1375" spans="1:29" x14ac:dyDescent="0.3">
      <c r="A1375">
        <v>5675</v>
      </c>
      <c r="B1375">
        <v>1960</v>
      </c>
      <c r="C1375" t="s">
        <v>32</v>
      </c>
      <c r="D1375" t="s">
        <v>35</v>
      </c>
      <c r="E1375">
        <v>50611</v>
      </c>
      <c r="F1375">
        <v>0</v>
      </c>
      <c r="G1375">
        <v>1</v>
      </c>
      <c r="H1375" s="1">
        <v>41186</v>
      </c>
      <c r="I1375">
        <v>98</v>
      </c>
      <c r="J1375">
        <v>459</v>
      </c>
      <c r="K1375">
        <v>0</v>
      </c>
      <c r="L1375">
        <v>24</v>
      </c>
      <c r="M1375">
        <v>6</v>
      </c>
      <c r="N1375">
        <v>0</v>
      </c>
      <c r="O1375">
        <v>4</v>
      </c>
      <c r="P1375">
        <v>6</v>
      </c>
      <c r="Q1375">
        <v>4</v>
      </c>
      <c r="R1375">
        <v>5</v>
      </c>
      <c r="S1375">
        <v>7</v>
      </c>
      <c r="T1375">
        <v>6</v>
      </c>
      <c r="U1375">
        <v>0</v>
      </c>
      <c r="V1375">
        <v>1</v>
      </c>
      <c r="W1375">
        <v>0</v>
      </c>
      <c r="X1375">
        <v>0</v>
      </c>
      <c r="Y1375">
        <v>0</v>
      </c>
      <c r="Z1375">
        <v>0</v>
      </c>
      <c r="AA1375">
        <v>3</v>
      </c>
      <c r="AB1375">
        <v>11</v>
      </c>
      <c r="AC1375">
        <v>0</v>
      </c>
    </row>
    <row r="1376" spans="1:29" x14ac:dyDescent="0.3">
      <c r="A1376">
        <v>4743</v>
      </c>
      <c r="B1376">
        <v>1969</v>
      </c>
      <c r="C1376" t="s">
        <v>32</v>
      </c>
      <c r="D1376" t="s">
        <v>33</v>
      </c>
      <c r="E1376">
        <v>56242</v>
      </c>
      <c r="F1376">
        <v>0</v>
      </c>
      <c r="G1376">
        <v>1</v>
      </c>
      <c r="H1376" s="1">
        <v>41336</v>
      </c>
      <c r="I1376">
        <v>72</v>
      </c>
      <c r="J1376">
        <v>689</v>
      </c>
      <c r="K1376">
        <v>8</v>
      </c>
      <c r="L1376">
        <v>167</v>
      </c>
      <c r="M1376">
        <v>11</v>
      </c>
      <c r="N1376">
        <v>8</v>
      </c>
      <c r="O1376">
        <v>88</v>
      </c>
      <c r="P1376">
        <v>5</v>
      </c>
      <c r="Q1376">
        <v>8</v>
      </c>
      <c r="R1376">
        <v>4</v>
      </c>
      <c r="S1376">
        <v>11</v>
      </c>
      <c r="T1376">
        <v>6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3</v>
      </c>
      <c r="AB1376">
        <v>11</v>
      </c>
      <c r="AC1376">
        <v>0</v>
      </c>
    </row>
    <row r="1377" spans="1:29" x14ac:dyDescent="0.3">
      <c r="A1377">
        <v>8805</v>
      </c>
      <c r="B1377">
        <v>1960</v>
      </c>
      <c r="C1377" t="s">
        <v>29</v>
      </c>
      <c r="D1377" t="s">
        <v>30</v>
      </c>
      <c r="E1377">
        <v>48904</v>
      </c>
      <c r="F1377">
        <v>0</v>
      </c>
      <c r="G1377">
        <v>1</v>
      </c>
      <c r="H1377" s="1">
        <v>41245</v>
      </c>
      <c r="I1377">
        <v>1</v>
      </c>
      <c r="J1377">
        <v>283</v>
      </c>
      <c r="K1377">
        <v>10</v>
      </c>
      <c r="L1377">
        <v>38</v>
      </c>
      <c r="M1377">
        <v>0</v>
      </c>
      <c r="N1377">
        <v>13</v>
      </c>
      <c r="O1377">
        <v>27</v>
      </c>
      <c r="P1377">
        <v>4</v>
      </c>
      <c r="Q1377">
        <v>7</v>
      </c>
      <c r="R1377">
        <v>2</v>
      </c>
      <c r="S1377">
        <v>4</v>
      </c>
      <c r="T1377">
        <v>8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3</v>
      </c>
      <c r="AB1377">
        <v>11</v>
      </c>
      <c r="AC1377">
        <v>0</v>
      </c>
    </row>
    <row r="1378" spans="1:29" x14ac:dyDescent="0.3">
      <c r="A1378">
        <v>1542</v>
      </c>
      <c r="B1378">
        <v>1975</v>
      </c>
      <c r="C1378" t="s">
        <v>29</v>
      </c>
      <c r="D1378" t="s">
        <v>30</v>
      </c>
      <c r="E1378">
        <v>56243</v>
      </c>
      <c r="F1378">
        <v>1</v>
      </c>
      <c r="G1378">
        <v>2</v>
      </c>
      <c r="H1378" s="1">
        <v>41638</v>
      </c>
      <c r="I1378">
        <v>26</v>
      </c>
      <c r="J1378">
        <v>347</v>
      </c>
      <c r="K1378">
        <v>0</v>
      </c>
      <c r="L1378">
        <v>35</v>
      </c>
      <c r="M1378">
        <v>4</v>
      </c>
      <c r="N1378">
        <v>3</v>
      </c>
      <c r="O1378">
        <v>7</v>
      </c>
      <c r="P1378">
        <v>6</v>
      </c>
      <c r="Q1378">
        <v>4</v>
      </c>
      <c r="R1378">
        <v>2</v>
      </c>
      <c r="S1378">
        <v>8</v>
      </c>
      <c r="T1378">
        <v>5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3</v>
      </c>
      <c r="AB1378">
        <v>11</v>
      </c>
      <c r="AC1378">
        <v>0</v>
      </c>
    </row>
    <row r="1379" spans="1:29" x14ac:dyDescent="0.3">
      <c r="A1379">
        <v>6770</v>
      </c>
      <c r="B1379">
        <v>1985</v>
      </c>
      <c r="C1379" t="s">
        <v>29</v>
      </c>
      <c r="D1379" t="s">
        <v>33</v>
      </c>
      <c r="E1379">
        <v>21355</v>
      </c>
      <c r="F1379">
        <v>1</v>
      </c>
      <c r="G1379">
        <v>0</v>
      </c>
      <c r="H1379" s="1">
        <v>41506</v>
      </c>
      <c r="I1379">
        <v>5</v>
      </c>
      <c r="J1379">
        <v>5</v>
      </c>
      <c r="K1379">
        <v>13</v>
      </c>
      <c r="L1379">
        <v>14</v>
      </c>
      <c r="M1379">
        <v>0</v>
      </c>
      <c r="N1379">
        <v>5</v>
      </c>
      <c r="O1379">
        <v>31</v>
      </c>
      <c r="P1379">
        <v>2</v>
      </c>
      <c r="Q1379">
        <v>2</v>
      </c>
      <c r="R1379">
        <v>1</v>
      </c>
      <c r="S1379">
        <v>2</v>
      </c>
      <c r="T1379">
        <v>6</v>
      </c>
      <c r="U1379">
        <v>1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3</v>
      </c>
      <c r="AB1379">
        <v>11</v>
      </c>
      <c r="AC1379">
        <v>1</v>
      </c>
    </row>
    <row r="1380" spans="1:29" x14ac:dyDescent="0.3">
      <c r="A1380">
        <v>8773</v>
      </c>
      <c r="B1380">
        <v>1971</v>
      </c>
      <c r="C1380" t="s">
        <v>34</v>
      </c>
      <c r="D1380" t="s">
        <v>31</v>
      </c>
      <c r="E1380">
        <v>57420</v>
      </c>
      <c r="F1380">
        <v>0</v>
      </c>
      <c r="G1380">
        <v>1</v>
      </c>
      <c r="H1380" s="1">
        <v>41450</v>
      </c>
      <c r="I1380">
        <v>22</v>
      </c>
      <c r="J1380">
        <v>280</v>
      </c>
      <c r="K1380">
        <v>0</v>
      </c>
      <c r="L1380">
        <v>18</v>
      </c>
      <c r="M1380">
        <v>0</v>
      </c>
      <c r="N1380">
        <v>0</v>
      </c>
      <c r="O1380">
        <v>24</v>
      </c>
      <c r="P1380">
        <v>3</v>
      </c>
      <c r="Q1380">
        <v>5</v>
      </c>
      <c r="R1380">
        <v>1</v>
      </c>
      <c r="S1380">
        <v>6</v>
      </c>
      <c r="T1380">
        <v>7</v>
      </c>
      <c r="U1380">
        <v>0</v>
      </c>
      <c r="V1380">
        <v>1</v>
      </c>
      <c r="W1380">
        <v>0</v>
      </c>
      <c r="X1380">
        <v>0</v>
      </c>
      <c r="Y1380">
        <v>0</v>
      </c>
      <c r="Z1380">
        <v>0</v>
      </c>
      <c r="AA1380">
        <v>3</v>
      </c>
      <c r="AB1380">
        <v>11</v>
      </c>
      <c r="AC1380">
        <v>0</v>
      </c>
    </row>
    <row r="1381" spans="1:29" x14ac:dyDescent="0.3">
      <c r="A1381">
        <v>10475</v>
      </c>
      <c r="B1381">
        <v>1970</v>
      </c>
      <c r="C1381" t="s">
        <v>34</v>
      </c>
      <c r="D1381" t="s">
        <v>31</v>
      </c>
      <c r="F1381">
        <v>0</v>
      </c>
      <c r="G1381">
        <v>1</v>
      </c>
      <c r="H1381" s="1">
        <v>41365</v>
      </c>
      <c r="I1381">
        <v>39</v>
      </c>
      <c r="J1381">
        <v>187</v>
      </c>
      <c r="K1381">
        <v>5</v>
      </c>
      <c r="L1381">
        <v>65</v>
      </c>
      <c r="M1381">
        <v>26</v>
      </c>
      <c r="N1381">
        <v>20</v>
      </c>
      <c r="O1381">
        <v>14</v>
      </c>
      <c r="P1381">
        <v>2</v>
      </c>
      <c r="Q1381">
        <v>4</v>
      </c>
      <c r="R1381">
        <v>2</v>
      </c>
      <c r="S1381">
        <v>6</v>
      </c>
      <c r="T1381">
        <v>5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3</v>
      </c>
      <c r="AB1381">
        <v>11</v>
      </c>
      <c r="AC1381">
        <v>0</v>
      </c>
    </row>
    <row r="1382" spans="1:29" x14ac:dyDescent="0.3">
      <c r="A1382">
        <v>10420</v>
      </c>
      <c r="B1382">
        <v>1955</v>
      </c>
      <c r="C1382" t="s">
        <v>34</v>
      </c>
      <c r="D1382" t="s">
        <v>35</v>
      </c>
      <c r="E1382">
        <v>46390</v>
      </c>
      <c r="F1382">
        <v>0</v>
      </c>
      <c r="G1382">
        <v>1</v>
      </c>
      <c r="H1382" s="1">
        <v>41764</v>
      </c>
      <c r="I1382">
        <v>56</v>
      </c>
      <c r="J1382">
        <v>95</v>
      </c>
      <c r="K1382">
        <v>14</v>
      </c>
      <c r="L1382">
        <v>64</v>
      </c>
      <c r="M1382">
        <v>2</v>
      </c>
      <c r="N1382">
        <v>9</v>
      </c>
      <c r="O1382">
        <v>38</v>
      </c>
      <c r="P1382">
        <v>1</v>
      </c>
      <c r="Q1382">
        <v>4</v>
      </c>
      <c r="R1382">
        <v>2</v>
      </c>
      <c r="S1382">
        <v>3</v>
      </c>
      <c r="T1382">
        <v>7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3</v>
      </c>
      <c r="AB1382">
        <v>11</v>
      </c>
      <c r="AC1382">
        <v>0</v>
      </c>
    </row>
    <row r="1383" spans="1:29" x14ac:dyDescent="0.3">
      <c r="A1383">
        <v>7514</v>
      </c>
      <c r="B1383">
        <v>1956</v>
      </c>
      <c r="C1383" t="s">
        <v>37</v>
      </c>
      <c r="D1383" t="s">
        <v>31</v>
      </c>
      <c r="E1383">
        <v>54342</v>
      </c>
      <c r="F1383">
        <v>1</v>
      </c>
      <c r="G1383">
        <v>1</v>
      </c>
      <c r="H1383" s="1">
        <v>41458</v>
      </c>
      <c r="I1383">
        <v>74</v>
      </c>
      <c r="J1383">
        <v>84</v>
      </c>
      <c r="K1383">
        <v>10</v>
      </c>
      <c r="L1383">
        <v>34</v>
      </c>
      <c r="M1383">
        <v>11</v>
      </c>
      <c r="N1383">
        <v>10</v>
      </c>
      <c r="O1383">
        <v>28</v>
      </c>
      <c r="P1383">
        <v>4</v>
      </c>
      <c r="Q1383">
        <v>3</v>
      </c>
      <c r="R1383">
        <v>1</v>
      </c>
      <c r="S1383">
        <v>4</v>
      </c>
      <c r="T1383">
        <v>6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3</v>
      </c>
      <c r="AB1383">
        <v>11</v>
      </c>
      <c r="AC1383">
        <v>0</v>
      </c>
    </row>
    <row r="1384" spans="1:29" x14ac:dyDescent="0.3">
      <c r="A1384">
        <v>2902</v>
      </c>
      <c r="B1384">
        <v>1958</v>
      </c>
      <c r="C1384" t="s">
        <v>29</v>
      </c>
      <c r="D1384" t="s">
        <v>31</v>
      </c>
      <c r="F1384">
        <v>1</v>
      </c>
      <c r="G1384">
        <v>1</v>
      </c>
      <c r="H1384" s="1">
        <v>41155</v>
      </c>
      <c r="I1384">
        <v>87</v>
      </c>
      <c r="J1384">
        <v>19</v>
      </c>
      <c r="K1384">
        <v>4</v>
      </c>
      <c r="L1384">
        <v>12</v>
      </c>
      <c r="M1384">
        <v>2</v>
      </c>
      <c r="N1384">
        <v>2</v>
      </c>
      <c r="O1384">
        <v>6</v>
      </c>
      <c r="P1384">
        <v>1</v>
      </c>
      <c r="Q1384">
        <v>1</v>
      </c>
      <c r="R1384">
        <v>0</v>
      </c>
      <c r="S1384">
        <v>3</v>
      </c>
      <c r="T1384">
        <v>5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3</v>
      </c>
      <c r="AB1384">
        <v>11</v>
      </c>
      <c r="AC1384">
        <v>0</v>
      </c>
    </row>
    <row r="1385" spans="1:29" x14ac:dyDescent="0.3">
      <c r="A1385">
        <v>4345</v>
      </c>
      <c r="B1385">
        <v>1964</v>
      </c>
      <c r="C1385" t="s">
        <v>37</v>
      </c>
      <c r="D1385" t="s">
        <v>30</v>
      </c>
      <c r="F1385">
        <v>1</v>
      </c>
      <c r="G1385">
        <v>1</v>
      </c>
      <c r="H1385" s="1">
        <v>41651</v>
      </c>
      <c r="I1385">
        <v>49</v>
      </c>
      <c r="J1385">
        <v>5</v>
      </c>
      <c r="K1385">
        <v>1</v>
      </c>
      <c r="L1385">
        <v>9</v>
      </c>
      <c r="M1385">
        <v>2</v>
      </c>
      <c r="N1385">
        <v>0</v>
      </c>
      <c r="O1385">
        <v>4</v>
      </c>
      <c r="P1385">
        <v>1</v>
      </c>
      <c r="Q1385">
        <v>1</v>
      </c>
      <c r="R1385">
        <v>0</v>
      </c>
      <c r="S1385">
        <v>2</v>
      </c>
      <c r="T1385">
        <v>7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3</v>
      </c>
      <c r="AB1385">
        <v>11</v>
      </c>
      <c r="AC1385">
        <v>0</v>
      </c>
    </row>
    <row r="1386" spans="1:29" x14ac:dyDescent="0.3">
      <c r="A1386">
        <v>793</v>
      </c>
      <c r="B1386">
        <v>1973</v>
      </c>
      <c r="C1386" t="s">
        <v>29</v>
      </c>
      <c r="D1386" t="s">
        <v>33</v>
      </c>
      <c r="E1386">
        <v>20895</v>
      </c>
      <c r="F1386">
        <v>1</v>
      </c>
      <c r="G1386">
        <v>0</v>
      </c>
      <c r="H1386" s="1">
        <v>41188</v>
      </c>
      <c r="I1386">
        <v>24</v>
      </c>
      <c r="J1386">
        <v>18</v>
      </c>
      <c r="K1386">
        <v>3</v>
      </c>
      <c r="L1386">
        <v>17</v>
      </c>
      <c r="M1386">
        <v>3</v>
      </c>
      <c r="N1386">
        <v>0</v>
      </c>
      <c r="O1386">
        <v>4</v>
      </c>
      <c r="P1386">
        <v>1</v>
      </c>
      <c r="Q1386">
        <v>2</v>
      </c>
      <c r="R1386">
        <v>0</v>
      </c>
      <c r="S1386">
        <v>3</v>
      </c>
      <c r="T1386">
        <v>9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3</v>
      </c>
      <c r="AB1386">
        <v>11</v>
      </c>
      <c r="AC1386">
        <v>0</v>
      </c>
    </row>
    <row r="1387" spans="1:29" x14ac:dyDescent="0.3">
      <c r="A1387">
        <v>10909</v>
      </c>
      <c r="B1387">
        <v>1948</v>
      </c>
      <c r="C1387" t="s">
        <v>29</v>
      </c>
      <c r="D1387" t="s">
        <v>33</v>
      </c>
      <c r="E1387">
        <v>92344</v>
      </c>
      <c r="F1387">
        <v>0</v>
      </c>
      <c r="G1387">
        <v>0</v>
      </c>
      <c r="H1387" s="1">
        <v>41654</v>
      </c>
      <c r="I1387">
        <v>9</v>
      </c>
      <c r="J1387">
        <v>992</v>
      </c>
      <c r="K1387">
        <v>24</v>
      </c>
      <c r="L1387">
        <v>694</v>
      </c>
      <c r="M1387">
        <v>51</v>
      </c>
      <c r="N1387">
        <v>19</v>
      </c>
      <c r="O1387">
        <v>119</v>
      </c>
      <c r="P1387">
        <v>0</v>
      </c>
      <c r="Q1387">
        <v>5</v>
      </c>
      <c r="R1387">
        <v>10</v>
      </c>
      <c r="S1387">
        <v>5</v>
      </c>
      <c r="T1387">
        <v>1</v>
      </c>
      <c r="U1387">
        <v>1</v>
      </c>
      <c r="V1387">
        <v>0</v>
      </c>
      <c r="W1387">
        <v>1</v>
      </c>
      <c r="X1387">
        <v>0</v>
      </c>
      <c r="Y1387">
        <v>0</v>
      </c>
      <c r="Z1387">
        <v>0</v>
      </c>
      <c r="AA1387">
        <v>3</v>
      </c>
      <c r="AB1387">
        <v>11</v>
      </c>
      <c r="AC1387">
        <v>0</v>
      </c>
    </row>
    <row r="1388" spans="1:29" x14ac:dyDescent="0.3">
      <c r="A1388">
        <v>3769</v>
      </c>
      <c r="B1388">
        <v>1972</v>
      </c>
      <c r="C1388" t="s">
        <v>32</v>
      </c>
      <c r="D1388" t="s">
        <v>31</v>
      </c>
      <c r="F1388">
        <v>1</v>
      </c>
      <c r="G1388">
        <v>0</v>
      </c>
      <c r="H1388" s="1">
        <v>41700</v>
      </c>
      <c r="I1388">
        <v>17</v>
      </c>
      <c r="J1388">
        <v>25</v>
      </c>
      <c r="K1388">
        <v>1</v>
      </c>
      <c r="L1388">
        <v>13</v>
      </c>
      <c r="M1388">
        <v>0</v>
      </c>
      <c r="N1388">
        <v>0</v>
      </c>
      <c r="O1388">
        <v>3</v>
      </c>
      <c r="P1388">
        <v>1</v>
      </c>
      <c r="Q1388">
        <v>1</v>
      </c>
      <c r="R1388">
        <v>0</v>
      </c>
      <c r="S1388">
        <v>3</v>
      </c>
      <c r="T1388">
        <v>7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3</v>
      </c>
      <c r="AB1388">
        <v>11</v>
      </c>
      <c r="AC1388">
        <v>0</v>
      </c>
    </row>
    <row r="1389" spans="1:29" x14ac:dyDescent="0.3">
      <c r="A1389">
        <v>8702</v>
      </c>
      <c r="B1389">
        <v>1976</v>
      </c>
      <c r="C1389" t="s">
        <v>37</v>
      </c>
      <c r="D1389" t="s">
        <v>31</v>
      </c>
      <c r="E1389">
        <v>26907</v>
      </c>
      <c r="F1389">
        <v>1</v>
      </c>
      <c r="G1389">
        <v>1</v>
      </c>
      <c r="H1389" s="1">
        <v>41506</v>
      </c>
      <c r="I1389">
        <v>10</v>
      </c>
      <c r="J1389">
        <v>9</v>
      </c>
      <c r="K1389">
        <v>1</v>
      </c>
      <c r="L1389">
        <v>7</v>
      </c>
      <c r="M1389">
        <v>0</v>
      </c>
      <c r="N1389">
        <v>3</v>
      </c>
      <c r="O1389">
        <v>2</v>
      </c>
      <c r="P1389">
        <v>2</v>
      </c>
      <c r="Q1389">
        <v>1</v>
      </c>
      <c r="R1389">
        <v>0</v>
      </c>
      <c r="S1389">
        <v>3</v>
      </c>
      <c r="T1389">
        <v>7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3</v>
      </c>
      <c r="AB1389">
        <v>11</v>
      </c>
      <c r="AC1389">
        <v>0</v>
      </c>
    </row>
    <row r="1390" spans="1:29" x14ac:dyDescent="0.3">
      <c r="A1390">
        <v>4791</v>
      </c>
      <c r="B1390">
        <v>1980</v>
      </c>
      <c r="C1390" t="s">
        <v>29</v>
      </c>
      <c r="D1390" t="s">
        <v>31</v>
      </c>
      <c r="E1390">
        <v>44964</v>
      </c>
      <c r="F1390">
        <v>1</v>
      </c>
      <c r="G1390">
        <v>1</v>
      </c>
      <c r="H1390" s="1">
        <v>41259</v>
      </c>
      <c r="I1390">
        <v>35</v>
      </c>
      <c r="J1390">
        <v>19</v>
      </c>
      <c r="K1390">
        <v>1</v>
      </c>
      <c r="L1390">
        <v>17</v>
      </c>
      <c r="M1390">
        <v>2</v>
      </c>
      <c r="N1390">
        <v>0</v>
      </c>
      <c r="O1390">
        <v>2</v>
      </c>
      <c r="P1390">
        <v>1</v>
      </c>
      <c r="Q1390">
        <v>1</v>
      </c>
      <c r="R1390">
        <v>0</v>
      </c>
      <c r="S1390">
        <v>3</v>
      </c>
      <c r="T1390">
        <v>8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3</v>
      </c>
      <c r="AB1390">
        <v>11</v>
      </c>
      <c r="AC1390">
        <v>0</v>
      </c>
    </row>
    <row r="1391" spans="1:29" x14ac:dyDescent="0.3">
      <c r="A1391">
        <v>2963</v>
      </c>
      <c r="B1391">
        <v>1979</v>
      </c>
      <c r="C1391" t="s">
        <v>29</v>
      </c>
      <c r="D1391" t="s">
        <v>31</v>
      </c>
      <c r="E1391">
        <v>75507</v>
      </c>
      <c r="F1391">
        <v>0</v>
      </c>
      <c r="G1391">
        <v>0</v>
      </c>
      <c r="H1391" s="1">
        <v>41761</v>
      </c>
      <c r="I1391">
        <v>56</v>
      </c>
      <c r="J1391">
        <v>709</v>
      </c>
      <c r="K1391">
        <v>93</v>
      </c>
      <c r="L1391">
        <v>374</v>
      </c>
      <c r="M1391">
        <v>104</v>
      </c>
      <c r="N1391">
        <v>80</v>
      </c>
      <c r="O1391">
        <v>80</v>
      </c>
      <c r="P1391">
        <v>1</v>
      </c>
      <c r="Q1391">
        <v>8</v>
      </c>
      <c r="R1391">
        <v>6</v>
      </c>
      <c r="S1391">
        <v>6</v>
      </c>
      <c r="T1391">
        <v>3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3</v>
      </c>
      <c r="AB1391">
        <v>11</v>
      </c>
      <c r="AC1391">
        <v>0</v>
      </c>
    </row>
    <row r="1392" spans="1:29" x14ac:dyDescent="0.3">
      <c r="A1392">
        <v>8216</v>
      </c>
      <c r="B1392">
        <v>1972</v>
      </c>
      <c r="C1392" t="s">
        <v>34</v>
      </c>
      <c r="D1392" t="s">
        <v>33</v>
      </c>
      <c r="E1392">
        <v>53761</v>
      </c>
      <c r="F1392">
        <v>1</v>
      </c>
      <c r="G1392">
        <v>1</v>
      </c>
      <c r="H1392" s="1">
        <v>41558</v>
      </c>
      <c r="I1392">
        <v>7</v>
      </c>
      <c r="J1392">
        <v>158</v>
      </c>
      <c r="K1392">
        <v>0</v>
      </c>
      <c r="L1392">
        <v>76</v>
      </c>
      <c r="M1392">
        <v>13</v>
      </c>
      <c r="N1392">
        <v>7</v>
      </c>
      <c r="O1392">
        <v>71</v>
      </c>
      <c r="P1392">
        <v>6</v>
      </c>
      <c r="Q1392">
        <v>4</v>
      </c>
      <c r="R1392">
        <v>4</v>
      </c>
      <c r="S1392">
        <v>3</v>
      </c>
      <c r="T1392">
        <v>5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3</v>
      </c>
      <c r="AB1392">
        <v>11</v>
      </c>
      <c r="AC1392">
        <v>0</v>
      </c>
    </row>
    <row r="1393" spans="1:29" x14ac:dyDescent="0.3">
      <c r="A1393">
        <v>8140</v>
      </c>
      <c r="B1393">
        <v>1973</v>
      </c>
      <c r="C1393" t="s">
        <v>29</v>
      </c>
      <c r="D1393" t="s">
        <v>31</v>
      </c>
      <c r="E1393">
        <v>22682</v>
      </c>
      <c r="F1393">
        <v>1</v>
      </c>
      <c r="G1393">
        <v>0</v>
      </c>
      <c r="H1393" s="1">
        <v>41550</v>
      </c>
      <c r="I1393">
        <v>51</v>
      </c>
      <c r="J1393">
        <v>10</v>
      </c>
      <c r="K1393">
        <v>14</v>
      </c>
      <c r="L1393">
        <v>29</v>
      </c>
      <c r="M1393">
        <v>4</v>
      </c>
      <c r="N1393">
        <v>2</v>
      </c>
      <c r="O1393">
        <v>36</v>
      </c>
      <c r="P1393">
        <v>3</v>
      </c>
      <c r="Q1393">
        <v>2</v>
      </c>
      <c r="R1393">
        <v>1</v>
      </c>
      <c r="S1393">
        <v>4</v>
      </c>
      <c r="T1393">
        <v>4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3</v>
      </c>
      <c r="AB1393">
        <v>11</v>
      </c>
      <c r="AC1393">
        <v>0</v>
      </c>
    </row>
    <row r="1394" spans="1:29" x14ac:dyDescent="0.3">
      <c r="A1394">
        <v>10146</v>
      </c>
      <c r="B1394">
        <v>1972</v>
      </c>
      <c r="C1394" t="s">
        <v>32</v>
      </c>
      <c r="D1394" t="s">
        <v>31</v>
      </c>
      <c r="E1394">
        <v>38887</v>
      </c>
      <c r="F1394">
        <v>1</v>
      </c>
      <c r="G1394">
        <v>0</v>
      </c>
      <c r="H1394" s="1">
        <v>41700</v>
      </c>
      <c r="I1394">
        <v>17</v>
      </c>
      <c r="J1394">
        <v>25</v>
      </c>
      <c r="K1394">
        <v>1</v>
      </c>
      <c r="L1394">
        <v>13</v>
      </c>
      <c r="M1394">
        <v>0</v>
      </c>
      <c r="N1394">
        <v>0</v>
      </c>
      <c r="O1394">
        <v>3</v>
      </c>
      <c r="P1394">
        <v>1</v>
      </c>
      <c r="Q1394">
        <v>1</v>
      </c>
      <c r="R1394">
        <v>0</v>
      </c>
      <c r="S1394">
        <v>3</v>
      </c>
      <c r="T1394">
        <v>7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3</v>
      </c>
      <c r="AB1394">
        <v>11</v>
      </c>
      <c r="AC1394">
        <v>0</v>
      </c>
    </row>
    <row r="1395" spans="1:29" x14ac:dyDescent="0.3">
      <c r="A1395">
        <v>5289</v>
      </c>
      <c r="B1395">
        <v>1975</v>
      </c>
      <c r="C1395" t="s">
        <v>37</v>
      </c>
      <c r="D1395" t="s">
        <v>30</v>
      </c>
      <c r="E1395">
        <v>41658</v>
      </c>
      <c r="F1395">
        <v>1</v>
      </c>
      <c r="G1395">
        <v>1</v>
      </c>
      <c r="H1395" s="1">
        <v>41222</v>
      </c>
      <c r="I1395">
        <v>30</v>
      </c>
      <c r="J1395">
        <v>8</v>
      </c>
      <c r="K1395">
        <v>4</v>
      </c>
      <c r="L1395">
        <v>12</v>
      </c>
      <c r="M1395">
        <v>15</v>
      </c>
      <c r="N1395">
        <v>4</v>
      </c>
      <c r="O1395">
        <v>29</v>
      </c>
      <c r="P1395">
        <v>2</v>
      </c>
      <c r="Q1395">
        <v>1</v>
      </c>
      <c r="R1395">
        <v>1</v>
      </c>
      <c r="S1395">
        <v>2</v>
      </c>
      <c r="T1395">
        <v>4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3</v>
      </c>
      <c r="AB1395">
        <v>11</v>
      </c>
      <c r="AC1395">
        <v>0</v>
      </c>
    </row>
    <row r="1396" spans="1:29" x14ac:dyDescent="0.3">
      <c r="A1396">
        <v>2587</v>
      </c>
      <c r="B1396">
        <v>1972</v>
      </c>
      <c r="C1396" t="s">
        <v>32</v>
      </c>
      <c r="D1396" t="s">
        <v>33</v>
      </c>
      <c r="E1396">
        <v>29791</v>
      </c>
      <c r="F1396">
        <v>1</v>
      </c>
      <c r="G1396">
        <v>0</v>
      </c>
      <c r="H1396" s="1">
        <v>41774</v>
      </c>
      <c r="I1396">
        <v>21</v>
      </c>
      <c r="J1396">
        <v>14</v>
      </c>
      <c r="K1396">
        <v>0</v>
      </c>
      <c r="L1396">
        <v>6</v>
      </c>
      <c r="M1396">
        <v>0</v>
      </c>
      <c r="N1396">
        <v>0</v>
      </c>
      <c r="O1396">
        <v>0</v>
      </c>
      <c r="P1396">
        <v>2</v>
      </c>
      <c r="Q1396">
        <v>2</v>
      </c>
      <c r="R1396">
        <v>0</v>
      </c>
      <c r="S1396">
        <v>3</v>
      </c>
      <c r="T1396">
        <v>5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3</v>
      </c>
      <c r="AB1396">
        <v>11</v>
      </c>
      <c r="AC1396">
        <v>0</v>
      </c>
    </row>
    <row r="1397" spans="1:29" x14ac:dyDescent="0.3">
      <c r="A1397">
        <v>4405</v>
      </c>
      <c r="B1397">
        <v>1956</v>
      </c>
      <c r="C1397" t="s">
        <v>34</v>
      </c>
      <c r="D1397" t="s">
        <v>33</v>
      </c>
      <c r="E1397">
        <v>63915</v>
      </c>
      <c r="F1397">
        <v>0</v>
      </c>
      <c r="G1397">
        <v>2</v>
      </c>
      <c r="H1397" s="1">
        <v>41485</v>
      </c>
      <c r="I1397">
        <v>2</v>
      </c>
      <c r="J1397">
        <v>622</v>
      </c>
      <c r="K1397">
        <v>7</v>
      </c>
      <c r="L1397">
        <v>115</v>
      </c>
      <c r="M1397">
        <v>30</v>
      </c>
      <c r="N1397">
        <v>0</v>
      </c>
      <c r="O1397">
        <v>15</v>
      </c>
      <c r="P1397">
        <v>2</v>
      </c>
      <c r="Q1397">
        <v>6</v>
      </c>
      <c r="R1397">
        <v>3</v>
      </c>
      <c r="S1397">
        <v>12</v>
      </c>
      <c r="T1397">
        <v>5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3</v>
      </c>
      <c r="AB1397">
        <v>11</v>
      </c>
      <c r="AC1397">
        <v>0</v>
      </c>
    </row>
    <row r="1398" spans="1:29" x14ac:dyDescent="0.3">
      <c r="A1398">
        <v>8663</v>
      </c>
      <c r="B1398">
        <v>1974</v>
      </c>
      <c r="C1398" t="s">
        <v>29</v>
      </c>
      <c r="D1398" t="s">
        <v>35</v>
      </c>
      <c r="E1398">
        <v>39996</v>
      </c>
      <c r="F1398">
        <v>1</v>
      </c>
      <c r="G1398">
        <v>1</v>
      </c>
      <c r="H1398" s="1">
        <v>41781</v>
      </c>
      <c r="I1398">
        <v>85</v>
      </c>
      <c r="J1398">
        <v>11</v>
      </c>
      <c r="K1398">
        <v>0</v>
      </c>
      <c r="L1398">
        <v>3</v>
      </c>
      <c r="M1398">
        <v>0</v>
      </c>
      <c r="N1398">
        <v>0</v>
      </c>
      <c r="O1398">
        <v>1</v>
      </c>
      <c r="P1398">
        <v>1</v>
      </c>
      <c r="Q1398">
        <v>1</v>
      </c>
      <c r="R1398">
        <v>0</v>
      </c>
      <c r="S1398">
        <v>2</v>
      </c>
      <c r="T1398">
        <v>6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3</v>
      </c>
      <c r="AB1398">
        <v>11</v>
      </c>
      <c r="AC1398">
        <v>0</v>
      </c>
    </row>
    <row r="1399" spans="1:29" x14ac:dyDescent="0.3">
      <c r="A1399">
        <v>2589</v>
      </c>
      <c r="B1399">
        <v>1972</v>
      </c>
      <c r="C1399" t="s">
        <v>29</v>
      </c>
      <c r="D1399" t="s">
        <v>35</v>
      </c>
      <c r="E1399">
        <v>26759</v>
      </c>
      <c r="F1399">
        <v>1</v>
      </c>
      <c r="G1399">
        <v>0</v>
      </c>
      <c r="H1399" s="1">
        <v>41677</v>
      </c>
      <c r="I1399">
        <v>65</v>
      </c>
      <c r="J1399">
        <v>25</v>
      </c>
      <c r="K1399">
        <v>3</v>
      </c>
      <c r="L1399">
        <v>16</v>
      </c>
      <c r="M1399">
        <v>8</v>
      </c>
      <c r="N1399">
        <v>5</v>
      </c>
      <c r="O1399">
        <v>2</v>
      </c>
      <c r="P1399">
        <v>2</v>
      </c>
      <c r="Q1399">
        <v>2</v>
      </c>
      <c r="R1399">
        <v>1</v>
      </c>
      <c r="S1399">
        <v>3</v>
      </c>
      <c r="T1399">
        <v>6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3</v>
      </c>
      <c r="AB1399">
        <v>11</v>
      </c>
      <c r="AC1399">
        <v>0</v>
      </c>
    </row>
    <row r="1400" spans="1:29" x14ac:dyDescent="0.3">
      <c r="A1400">
        <v>3421</v>
      </c>
      <c r="B1400">
        <v>1968</v>
      </c>
      <c r="C1400" t="s">
        <v>34</v>
      </c>
      <c r="D1400" t="s">
        <v>35</v>
      </c>
      <c r="E1400">
        <v>63841</v>
      </c>
      <c r="F1400">
        <v>0</v>
      </c>
      <c r="G1400">
        <v>1</v>
      </c>
      <c r="H1400" s="1">
        <v>41385</v>
      </c>
      <c r="I1400">
        <v>64</v>
      </c>
      <c r="J1400">
        <v>635</v>
      </c>
      <c r="K1400">
        <v>15</v>
      </c>
      <c r="L1400">
        <v>100</v>
      </c>
      <c r="M1400">
        <v>20</v>
      </c>
      <c r="N1400">
        <v>7</v>
      </c>
      <c r="O1400">
        <v>131</v>
      </c>
      <c r="P1400">
        <v>1</v>
      </c>
      <c r="Q1400">
        <v>9</v>
      </c>
      <c r="R1400">
        <v>3</v>
      </c>
      <c r="S1400">
        <v>9</v>
      </c>
      <c r="T1400">
        <v>6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3</v>
      </c>
      <c r="AB1400">
        <v>11</v>
      </c>
      <c r="AC1400">
        <v>0</v>
      </c>
    </row>
    <row r="1401" spans="1:29" x14ac:dyDescent="0.3">
      <c r="A1401">
        <v>10490</v>
      </c>
      <c r="B1401">
        <v>1969</v>
      </c>
      <c r="C1401" t="s">
        <v>32</v>
      </c>
      <c r="D1401" t="s">
        <v>33</v>
      </c>
      <c r="E1401">
        <v>51039</v>
      </c>
      <c r="F1401">
        <v>1</v>
      </c>
      <c r="G1401">
        <v>1</v>
      </c>
      <c r="H1401" s="1">
        <v>41253</v>
      </c>
      <c r="I1401">
        <v>11</v>
      </c>
      <c r="J1401">
        <v>100</v>
      </c>
      <c r="K1401">
        <v>64</v>
      </c>
      <c r="L1401">
        <v>79</v>
      </c>
      <c r="M1401">
        <v>65</v>
      </c>
      <c r="N1401">
        <v>0</v>
      </c>
      <c r="O1401">
        <v>109</v>
      </c>
      <c r="P1401">
        <v>2</v>
      </c>
      <c r="Q1401">
        <v>6</v>
      </c>
      <c r="R1401">
        <v>2</v>
      </c>
      <c r="S1401">
        <v>4</v>
      </c>
      <c r="T1401">
        <v>7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3</v>
      </c>
      <c r="AB1401">
        <v>11</v>
      </c>
      <c r="AC1401">
        <v>0</v>
      </c>
    </row>
    <row r="1402" spans="1:29" x14ac:dyDescent="0.3">
      <c r="A1402">
        <v>4094</v>
      </c>
      <c r="B1402">
        <v>1961</v>
      </c>
      <c r="C1402" t="s">
        <v>29</v>
      </c>
      <c r="D1402" t="s">
        <v>33</v>
      </c>
      <c r="E1402">
        <v>60544</v>
      </c>
      <c r="F1402">
        <v>1</v>
      </c>
      <c r="G1402">
        <v>1</v>
      </c>
      <c r="H1402" s="1">
        <v>41146</v>
      </c>
      <c r="I1402">
        <v>92</v>
      </c>
      <c r="J1402">
        <v>201</v>
      </c>
      <c r="K1402">
        <v>2</v>
      </c>
      <c r="L1402">
        <v>43</v>
      </c>
      <c r="M1402">
        <v>3</v>
      </c>
      <c r="N1402">
        <v>5</v>
      </c>
      <c r="O1402">
        <v>35</v>
      </c>
      <c r="P1402">
        <v>4</v>
      </c>
      <c r="Q1402">
        <v>5</v>
      </c>
      <c r="R1402">
        <v>1</v>
      </c>
      <c r="S1402">
        <v>5</v>
      </c>
      <c r="T1402">
        <v>6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3</v>
      </c>
      <c r="AB1402">
        <v>11</v>
      </c>
      <c r="AC1402">
        <v>0</v>
      </c>
    </row>
    <row r="1403" spans="1:29" x14ac:dyDescent="0.3">
      <c r="A1403">
        <v>9958</v>
      </c>
      <c r="B1403">
        <v>1972</v>
      </c>
      <c r="C1403" t="s">
        <v>29</v>
      </c>
      <c r="D1403" t="s">
        <v>33</v>
      </c>
      <c r="E1403">
        <v>65685</v>
      </c>
      <c r="F1403">
        <v>0</v>
      </c>
      <c r="G1403">
        <v>1</v>
      </c>
      <c r="H1403" s="1">
        <v>41727</v>
      </c>
      <c r="I1403">
        <v>54</v>
      </c>
      <c r="J1403">
        <v>642</v>
      </c>
      <c r="K1403">
        <v>14</v>
      </c>
      <c r="L1403">
        <v>49</v>
      </c>
      <c r="M1403">
        <v>0</v>
      </c>
      <c r="N1403">
        <v>7</v>
      </c>
      <c r="O1403">
        <v>57</v>
      </c>
      <c r="P1403">
        <v>1</v>
      </c>
      <c r="Q1403">
        <v>9</v>
      </c>
      <c r="R1403">
        <v>2</v>
      </c>
      <c r="S1403">
        <v>9</v>
      </c>
      <c r="T1403">
        <v>5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3</v>
      </c>
      <c r="AB1403">
        <v>11</v>
      </c>
      <c r="AC1403">
        <v>0</v>
      </c>
    </row>
    <row r="1404" spans="1:29" x14ac:dyDescent="0.3">
      <c r="A1404">
        <v>2534</v>
      </c>
      <c r="B1404">
        <v>1953</v>
      </c>
      <c r="C1404" t="s">
        <v>29</v>
      </c>
      <c r="D1404" t="s">
        <v>33</v>
      </c>
      <c r="E1404">
        <v>37716</v>
      </c>
      <c r="F1404">
        <v>0</v>
      </c>
      <c r="G1404">
        <v>1</v>
      </c>
      <c r="H1404" s="1">
        <v>41750</v>
      </c>
      <c r="I1404">
        <v>4</v>
      </c>
      <c r="J1404">
        <v>97</v>
      </c>
      <c r="K1404">
        <v>1</v>
      </c>
      <c r="L1404">
        <v>41</v>
      </c>
      <c r="M1404">
        <v>6</v>
      </c>
      <c r="N1404">
        <v>2</v>
      </c>
      <c r="O1404">
        <v>41</v>
      </c>
      <c r="P1404">
        <v>2</v>
      </c>
      <c r="Q1404">
        <v>4</v>
      </c>
      <c r="R1404">
        <v>1</v>
      </c>
      <c r="S1404">
        <v>3</v>
      </c>
      <c r="T1404">
        <v>7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3</v>
      </c>
      <c r="AB1404">
        <v>11</v>
      </c>
      <c r="AC1404">
        <v>0</v>
      </c>
    </row>
    <row r="1405" spans="1:29" x14ac:dyDescent="0.3">
      <c r="A1405">
        <v>4188</v>
      </c>
      <c r="B1405">
        <v>1957</v>
      </c>
      <c r="C1405" t="s">
        <v>29</v>
      </c>
      <c r="D1405" t="s">
        <v>30</v>
      </c>
      <c r="E1405">
        <v>36864</v>
      </c>
      <c r="F1405">
        <v>0</v>
      </c>
      <c r="G1405">
        <v>1</v>
      </c>
      <c r="H1405" s="1">
        <v>41134</v>
      </c>
      <c r="I1405">
        <v>53</v>
      </c>
      <c r="J1405">
        <v>204</v>
      </c>
      <c r="K1405">
        <v>5</v>
      </c>
      <c r="L1405">
        <v>39</v>
      </c>
      <c r="M1405">
        <v>17</v>
      </c>
      <c r="N1405">
        <v>0</v>
      </c>
      <c r="O1405">
        <v>89</v>
      </c>
      <c r="P1405">
        <v>3</v>
      </c>
      <c r="Q1405">
        <v>5</v>
      </c>
      <c r="R1405">
        <v>2</v>
      </c>
      <c r="S1405">
        <v>4</v>
      </c>
      <c r="T1405">
        <v>8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3</v>
      </c>
      <c r="AB1405">
        <v>11</v>
      </c>
      <c r="AC1405">
        <v>1</v>
      </c>
    </row>
    <row r="1406" spans="1:29" x14ac:dyDescent="0.3">
      <c r="A1406">
        <v>6613</v>
      </c>
      <c r="B1406">
        <v>1970</v>
      </c>
      <c r="C1406" t="s">
        <v>34</v>
      </c>
      <c r="D1406" t="s">
        <v>33</v>
      </c>
      <c r="E1406">
        <v>44511</v>
      </c>
      <c r="F1406">
        <v>1</v>
      </c>
      <c r="G1406">
        <v>0</v>
      </c>
      <c r="H1406" s="1">
        <v>41194</v>
      </c>
      <c r="I1406">
        <v>39</v>
      </c>
      <c r="J1406">
        <v>513</v>
      </c>
      <c r="K1406">
        <v>7</v>
      </c>
      <c r="L1406">
        <v>133</v>
      </c>
      <c r="M1406">
        <v>46</v>
      </c>
      <c r="N1406">
        <v>14</v>
      </c>
      <c r="O1406">
        <v>14</v>
      </c>
      <c r="P1406">
        <v>6</v>
      </c>
      <c r="Q1406">
        <v>8</v>
      </c>
      <c r="R1406">
        <v>4</v>
      </c>
      <c r="S1406">
        <v>8</v>
      </c>
      <c r="T1406">
        <v>8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3</v>
      </c>
      <c r="AB1406">
        <v>11</v>
      </c>
      <c r="AC1406">
        <v>0</v>
      </c>
    </row>
    <row r="1407" spans="1:29" x14ac:dyDescent="0.3">
      <c r="A1407">
        <v>10827</v>
      </c>
      <c r="B1407">
        <v>1967</v>
      </c>
      <c r="C1407" t="s">
        <v>32</v>
      </c>
      <c r="D1407" t="s">
        <v>33</v>
      </c>
      <c r="E1407">
        <v>36947</v>
      </c>
      <c r="F1407">
        <v>1</v>
      </c>
      <c r="G1407">
        <v>1</v>
      </c>
      <c r="H1407" s="1">
        <v>41128</v>
      </c>
      <c r="I1407">
        <v>49</v>
      </c>
      <c r="J1407">
        <v>88</v>
      </c>
      <c r="K1407">
        <v>3</v>
      </c>
      <c r="L1407">
        <v>21</v>
      </c>
      <c r="M1407">
        <v>4</v>
      </c>
      <c r="N1407">
        <v>1</v>
      </c>
      <c r="O1407">
        <v>29</v>
      </c>
      <c r="P1407">
        <v>4</v>
      </c>
      <c r="Q1407">
        <v>3</v>
      </c>
      <c r="R1407">
        <v>0</v>
      </c>
      <c r="S1407">
        <v>4</v>
      </c>
      <c r="T1407">
        <v>9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3</v>
      </c>
      <c r="AB1407">
        <v>11</v>
      </c>
      <c r="AC1407">
        <v>0</v>
      </c>
    </row>
    <row r="1408" spans="1:29" x14ac:dyDescent="0.3">
      <c r="A1408">
        <v>5491</v>
      </c>
      <c r="B1408">
        <v>1951</v>
      </c>
      <c r="C1408" t="s">
        <v>34</v>
      </c>
      <c r="D1408" t="s">
        <v>31</v>
      </c>
      <c r="E1408">
        <v>47352</v>
      </c>
      <c r="F1408">
        <v>0</v>
      </c>
      <c r="G1408">
        <v>1</v>
      </c>
      <c r="H1408" s="1">
        <v>41375</v>
      </c>
      <c r="I1408">
        <v>70</v>
      </c>
      <c r="J1408">
        <v>172</v>
      </c>
      <c r="K1408">
        <v>12</v>
      </c>
      <c r="L1408">
        <v>112</v>
      </c>
      <c r="M1408">
        <v>8</v>
      </c>
      <c r="N1408">
        <v>0</v>
      </c>
      <c r="O1408">
        <v>15</v>
      </c>
      <c r="P1408">
        <v>4</v>
      </c>
      <c r="Q1408">
        <v>6</v>
      </c>
      <c r="R1408">
        <v>1</v>
      </c>
      <c r="S1408">
        <v>5</v>
      </c>
      <c r="T1408">
        <v>7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3</v>
      </c>
      <c r="AB1408">
        <v>11</v>
      </c>
      <c r="AC1408">
        <v>0</v>
      </c>
    </row>
    <row r="1409" spans="1:29" x14ac:dyDescent="0.3">
      <c r="A1409">
        <v>8402</v>
      </c>
      <c r="B1409">
        <v>1953</v>
      </c>
      <c r="C1409" t="s">
        <v>34</v>
      </c>
      <c r="D1409" t="s">
        <v>33</v>
      </c>
      <c r="E1409">
        <v>67087</v>
      </c>
      <c r="F1409">
        <v>0</v>
      </c>
      <c r="G1409">
        <v>1</v>
      </c>
      <c r="H1409" s="1">
        <v>41625</v>
      </c>
      <c r="I1409">
        <v>40</v>
      </c>
      <c r="J1409">
        <v>329</v>
      </c>
      <c r="K1409">
        <v>35</v>
      </c>
      <c r="L1409">
        <v>222</v>
      </c>
      <c r="M1409">
        <v>130</v>
      </c>
      <c r="N1409">
        <v>35</v>
      </c>
      <c r="O1409">
        <v>43</v>
      </c>
      <c r="P1409">
        <v>2</v>
      </c>
      <c r="Q1409">
        <v>7</v>
      </c>
      <c r="R1409">
        <v>5</v>
      </c>
      <c r="S1409">
        <v>8</v>
      </c>
      <c r="T1409">
        <v>4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3</v>
      </c>
      <c r="AB1409">
        <v>11</v>
      </c>
      <c r="AC1409">
        <v>0</v>
      </c>
    </row>
    <row r="1410" spans="1:29" x14ac:dyDescent="0.3">
      <c r="A1410">
        <v>8783</v>
      </c>
      <c r="B1410">
        <v>1950</v>
      </c>
      <c r="C1410" t="s">
        <v>29</v>
      </c>
      <c r="D1410" t="s">
        <v>33</v>
      </c>
      <c r="E1410">
        <v>57045</v>
      </c>
      <c r="F1410">
        <v>0</v>
      </c>
      <c r="G1410">
        <v>1</v>
      </c>
      <c r="H1410" s="1">
        <v>41160</v>
      </c>
      <c r="I1410">
        <v>40</v>
      </c>
      <c r="J1410">
        <v>296</v>
      </c>
      <c r="K1410">
        <v>13</v>
      </c>
      <c r="L1410">
        <v>104</v>
      </c>
      <c r="M1410">
        <v>11</v>
      </c>
      <c r="N1410">
        <v>13</v>
      </c>
      <c r="O1410">
        <v>17</v>
      </c>
      <c r="P1410">
        <v>3</v>
      </c>
      <c r="Q1410">
        <v>4</v>
      </c>
      <c r="R1410">
        <v>2</v>
      </c>
      <c r="S1410">
        <v>9</v>
      </c>
      <c r="T1410">
        <v>3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3</v>
      </c>
      <c r="AB1410">
        <v>11</v>
      </c>
      <c r="AC1410">
        <v>0</v>
      </c>
    </row>
    <row r="1411" spans="1:29" x14ac:dyDescent="0.3">
      <c r="A1411">
        <v>10010</v>
      </c>
      <c r="B1411">
        <v>1953</v>
      </c>
      <c r="C1411" t="s">
        <v>32</v>
      </c>
      <c r="D1411" t="s">
        <v>35</v>
      </c>
      <c r="E1411">
        <v>36957</v>
      </c>
      <c r="F1411">
        <v>1</v>
      </c>
      <c r="G1411">
        <v>1</v>
      </c>
      <c r="H1411" s="1">
        <v>41158</v>
      </c>
      <c r="I1411">
        <v>43</v>
      </c>
      <c r="J1411">
        <v>100</v>
      </c>
      <c r="K1411">
        <v>2</v>
      </c>
      <c r="L1411">
        <v>16</v>
      </c>
      <c r="M1411">
        <v>2</v>
      </c>
      <c r="N1411">
        <v>1</v>
      </c>
      <c r="O1411">
        <v>31</v>
      </c>
      <c r="P1411">
        <v>4</v>
      </c>
      <c r="Q1411">
        <v>3</v>
      </c>
      <c r="R1411">
        <v>2</v>
      </c>
      <c r="S1411">
        <v>2</v>
      </c>
      <c r="T1411">
        <v>9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3</v>
      </c>
      <c r="AB1411">
        <v>11</v>
      </c>
      <c r="AC1411">
        <v>1</v>
      </c>
    </row>
    <row r="1412" spans="1:29" x14ac:dyDescent="0.3">
      <c r="A1412">
        <v>618</v>
      </c>
      <c r="B1412">
        <v>1977</v>
      </c>
      <c r="C1412" t="s">
        <v>32</v>
      </c>
      <c r="D1412" t="s">
        <v>33</v>
      </c>
      <c r="E1412">
        <v>69389</v>
      </c>
      <c r="F1412">
        <v>0</v>
      </c>
      <c r="G1412">
        <v>1</v>
      </c>
      <c r="H1412" s="1">
        <v>41180</v>
      </c>
      <c r="I1412">
        <v>17</v>
      </c>
      <c r="J1412">
        <v>422</v>
      </c>
      <c r="K1412">
        <v>7</v>
      </c>
      <c r="L1412">
        <v>238</v>
      </c>
      <c r="M1412">
        <v>69</v>
      </c>
      <c r="N1412">
        <v>46</v>
      </c>
      <c r="O1412">
        <v>15</v>
      </c>
      <c r="P1412">
        <v>1</v>
      </c>
      <c r="Q1412">
        <v>7</v>
      </c>
      <c r="R1412">
        <v>2</v>
      </c>
      <c r="S1412">
        <v>12</v>
      </c>
      <c r="T1412">
        <v>4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3</v>
      </c>
      <c r="AB1412">
        <v>11</v>
      </c>
      <c r="AC1412">
        <v>0</v>
      </c>
    </row>
    <row r="1413" spans="1:29" x14ac:dyDescent="0.3">
      <c r="A1413">
        <v>9121</v>
      </c>
      <c r="B1413">
        <v>1972</v>
      </c>
      <c r="C1413" t="s">
        <v>29</v>
      </c>
      <c r="D1413" t="s">
        <v>33</v>
      </c>
      <c r="E1413">
        <v>80134</v>
      </c>
      <c r="F1413">
        <v>1</v>
      </c>
      <c r="G1413">
        <v>0</v>
      </c>
      <c r="H1413" s="1">
        <v>41414</v>
      </c>
      <c r="I1413">
        <v>40</v>
      </c>
      <c r="J1413">
        <v>1218</v>
      </c>
      <c r="K1413">
        <v>16</v>
      </c>
      <c r="L1413">
        <v>272</v>
      </c>
      <c r="M1413">
        <v>104</v>
      </c>
      <c r="N1413">
        <v>0</v>
      </c>
      <c r="O1413">
        <v>80</v>
      </c>
      <c r="P1413">
        <v>2</v>
      </c>
      <c r="Q1413">
        <v>5</v>
      </c>
      <c r="R1413">
        <v>3</v>
      </c>
      <c r="S1413">
        <v>6</v>
      </c>
      <c r="T1413">
        <v>6</v>
      </c>
      <c r="U1413">
        <v>0</v>
      </c>
      <c r="V1413">
        <v>1</v>
      </c>
      <c r="W1413">
        <v>1</v>
      </c>
      <c r="X1413">
        <v>1</v>
      </c>
      <c r="Y1413">
        <v>0</v>
      </c>
      <c r="Z1413">
        <v>0</v>
      </c>
      <c r="AA1413">
        <v>3</v>
      </c>
      <c r="AB1413">
        <v>11</v>
      </c>
      <c r="AC1413">
        <v>1</v>
      </c>
    </row>
    <row r="1414" spans="1:29" x14ac:dyDescent="0.3">
      <c r="A1414">
        <v>361</v>
      </c>
      <c r="B1414">
        <v>1969</v>
      </c>
      <c r="C1414" t="s">
        <v>34</v>
      </c>
      <c r="D1414" t="s">
        <v>33</v>
      </c>
      <c r="E1414">
        <v>43142</v>
      </c>
      <c r="F1414">
        <v>1</v>
      </c>
      <c r="G1414">
        <v>1</v>
      </c>
      <c r="H1414" s="1">
        <v>41688</v>
      </c>
      <c r="I1414">
        <v>84</v>
      </c>
      <c r="J1414">
        <v>5</v>
      </c>
      <c r="K1414">
        <v>1</v>
      </c>
      <c r="L1414">
        <v>7</v>
      </c>
      <c r="M1414">
        <v>2</v>
      </c>
      <c r="N1414">
        <v>1</v>
      </c>
      <c r="O1414">
        <v>4</v>
      </c>
      <c r="P1414">
        <v>1</v>
      </c>
      <c r="Q1414">
        <v>1</v>
      </c>
      <c r="R1414">
        <v>0</v>
      </c>
      <c r="S1414">
        <v>2</v>
      </c>
      <c r="T1414">
        <v>7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3</v>
      </c>
      <c r="AB1414">
        <v>11</v>
      </c>
      <c r="AC1414">
        <v>0</v>
      </c>
    </row>
    <row r="1415" spans="1:29" x14ac:dyDescent="0.3">
      <c r="A1415">
        <v>4310</v>
      </c>
      <c r="B1415">
        <v>1944</v>
      </c>
      <c r="C1415" t="s">
        <v>29</v>
      </c>
      <c r="D1415" t="s">
        <v>33</v>
      </c>
      <c r="E1415">
        <v>80589</v>
      </c>
      <c r="F1415">
        <v>0</v>
      </c>
      <c r="G1415">
        <v>0</v>
      </c>
      <c r="H1415" s="1">
        <v>41661</v>
      </c>
      <c r="I1415">
        <v>25</v>
      </c>
      <c r="J1415">
        <v>507</v>
      </c>
      <c r="K1415">
        <v>93</v>
      </c>
      <c r="L1415">
        <v>520</v>
      </c>
      <c r="M1415">
        <v>242</v>
      </c>
      <c r="N1415">
        <v>40</v>
      </c>
      <c r="O1415">
        <v>26</v>
      </c>
      <c r="P1415">
        <v>1</v>
      </c>
      <c r="Q1415">
        <v>5</v>
      </c>
      <c r="R1415">
        <v>10</v>
      </c>
      <c r="S1415">
        <v>5</v>
      </c>
      <c r="T1415">
        <v>1</v>
      </c>
      <c r="U1415">
        <v>0</v>
      </c>
      <c r="V1415">
        <v>0</v>
      </c>
      <c r="W1415">
        <v>0</v>
      </c>
      <c r="X1415">
        <v>1</v>
      </c>
      <c r="Y1415">
        <v>0</v>
      </c>
      <c r="Z1415">
        <v>0</v>
      </c>
      <c r="AA1415">
        <v>3</v>
      </c>
      <c r="AB1415">
        <v>11</v>
      </c>
      <c r="AC1415">
        <v>1</v>
      </c>
    </row>
    <row r="1416" spans="1:29" x14ac:dyDescent="0.3">
      <c r="A1416">
        <v>2678</v>
      </c>
      <c r="B1416">
        <v>1990</v>
      </c>
      <c r="C1416" t="s">
        <v>29</v>
      </c>
      <c r="D1416" t="s">
        <v>30</v>
      </c>
      <c r="E1416">
        <v>34412</v>
      </c>
      <c r="F1416">
        <v>1</v>
      </c>
      <c r="G1416">
        <v>0</v>
      </c>
      <c r="H1416" s="1">
        <v>41318</v>
      </c>
      <c r="I1416">
        <v>62</v>
      </c>
      <c r="J1416">
        <v>52</v>
      </c>
      <c r="K1416">
        <v>12</v>
      </c>
      <c r="L1416">
        <v>50</v>
      </c>
      <c r="M1416">
        <v>4</v>
      </c>
      <c r="N1416">
        <v>36</v>
      </c>
      <c r="O1416">
        <v>55</v>
      </c>
      <c r="P1416">
        <v>3</v>
      </c>
      <c r="Q1416">
        <v>5</v>
      </c>
      <c r="R1416">
        <v>0</v>
      </c>
      <c r="S1416">
        <v>3</v>
      </c>
      <c r="T1416">
        <v>9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3</v>
      </c>
      <c r="AB1416">
        <v>11</v>
      </c>
      <c r="AC1416">
        <v>0</v>
      </c>
    </row>
    <row r="1417" spans="1:29" x14ac:dyDescent="0.3">
      <c r="A1417">
        <v>6376</v>
      </c>
      <c r="B1417">
        <v>1979</v>
      </c>
      <c r="C1417" t="s">
        <v>29</v>
      </c>
      <c r="D1417" t="s">
        <v>30</v>
      </c>
      <c r="E1417">
        <v>57537</v>
      </c>
      <c r="F1417">
        <v>1</v>
      </c>
      <c r="G1417">
        <v>0</v>
      </c>
      <c r="H1417" s="1">
        <v>41435</v>
      </c>
      <c r="I1417">
        <v>83</v>
      </c>
      <c r="J1417">
        <v>191</v>
      </c>
      <c r="K1417">
        <v>56</v>
      </c>
      <c r="L1417">
        <v>139</v>
      </c>
      <c r="M1417">
        <v>51</v>
      </c>
      <c r="N1417">
        <v>8</v>
      </c>
      <c r="O1417">
        <v>100</v>
      </c>
      <c r="P1417">
        <v>4</v>
      </c>
      <c r="Q1417">
        <v>4</v>
      </c>
      <c r="R1417">
        <v>3</v>
      </c>
      <c r="S1417">
        <v>8</v>
      </c>
      <c r="T1417">
        <v>4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3</v>
      </c>
      <c r="AB1417">
        <v>11</v>
      </c>
      <c r="AC1417">
        <v>0</v>
      </c>
    </row>
    <row r="1418" spans="1:29" x14ac:dyDescent="0.3">
      <c r="A1418">
        <v>524</v>
      </c>
      <c r="B1418">
        <v>1966</v>
      </c>
      <c r="C1418" t="s">
        <v>36</v>
      </c>
      <c r="D1418" t="s">
        <v>31</v>
      </c>
      <c r="E1418">
        <v>22634</v>
      </c>
      <c r="F1418">
        <v>0</v>
      </c>
      <c r="G1418">
        <v>0</v>
      </c>
      <c r="H1418" s="1">
        <v>41290</v>
      </c>
      <c r="I1418">
        <v>47</v>
      </c>
      <c r="J1418">
        <v>2</v>
      </c>
      <c r="K1418">
        <v>23</v>
      </c>
      <c r="L1418">
        <v>11</v>
      </c>
      <c r="M1418">
        <v>8</v>
      </c>
      <c r="N1418">
        <v>6</v>
      </c>
      <c r="O1418">
        <v>46</v>
      </c>
      <c r="P1418">
        <v>1</v>
      </c>
      <c r="Q1418">
        <v>2</v>
      </c>
      <c r="R1418">
        <v>1</v>
      </c>
      <c r="S1418">
        <v>2</v>
      </c>
      <c r="T1418">
        <v>8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3</v>
      </c>
      <c r="AB1418">
        <v>11</v>
      </c>
      <c r="AC1418">
        <v>0</v>
      </c>
    </row>
    <row r="1419" spans="1:29" x14ac:dyDescent="0.3">
      <c r="A1419">
        <v>10341</v>
      </c>
      <c r="B1419">
        <v>1948</v>
      </c>
      <c r="C1419" t="s">
        <v>29</v>
      </c>
      <c r="D1419" t="s">
        <v>31</v>
      </c>
      <c r="E1419">
        <v>51315</v>
      </c>
      <c r="F1419">
        <v>0</v>
      </c>
      <c r="G1419">
        <v>0</v>
      </c>
      <c r="H1419" s="1">
        <v>41693</v>
      </c>
      <c r="I1419">
        <v>45</v>
      </c>
      <c r="J1419">
        <v>68</v>
      </c>
      <c r="K1419">
        <v>28</v>
      </c>
      <c r="L1419">
        <v>39</v>
      </c>
      <c r="M1419">
        <v>16</v>
      </c>
      <c r="N1419">
        <v>30</v>
      </c>
      <c r="O1419">
        <v>41</v>
      </c>
      <c r="P1419">
        <v>1</v>
      </c>
      <c r="Q1419">
        <v>2</v>
      </c>
      <c r="R1419">
        <v>2</v>
      </c>
      <c r="S1419">
        <v>5</v>
      </c>
      <c r="T1419">
        <v>2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3</v>
      </c>
      <c r="AB1419">
        <v>11</v>
      </c>
      <c r="AC1419">
        <v>0</v>
      </c>
    </row>
    <row r="1420" spans="1:29" x14ac:dyDescent="0.3">
      <c r="A1420">
        <v>5654</v>
      </c>
      <c r="B1420">
        <v>1972</v>
      </c>
      <c r="C1420" t="s">
        <v>29</v>
      </c>
      <c r="D1420" t="s">
        <v>33</v>
      </c>
      <c r="E1420">
        <v>36026</v>
      </c>
      <c r="F1420">
        <v>2</v>
      </c>
      <c r="G1420">
        <v>1</v>
      </c>
      <c r="H1420" s="1">
        <v>41714</v>
      </c>
      <c r="I1420">
        <v>34</v>
      </c>
      <c r="J1420">
        <v>20</v>
      </c>
      <c r="K1420">
        <v>4</v>
      </c>
      <c r="L1420">
        <v>10</v>
      </c>
      <c r="M1420">
        <v>6</v>
      </c>
      <c r="N1420">
        <v>4</v>
      </c>
      <c r="O1420">
        <v>17</v>
      </c>
      <c r="P1420">
        <v>2</v>
      </c>
      <c r="Q1420">
        <v>2</v>
      </c>
      <c r="R1420">
        <v>0</v>
      </c>
      <c r="S1420">
        <v>3</v>
      </c>
      <c r="T1420">
        <v>6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3</v>
      </c>
      <c r="AB1420">
        <v>11</v>
      </c>
      <c r="AC1420">
        <v>0</v>
      </c>
    </row>
    <row r="1421" spans="1:29" x14ac:dyDescent="0.3">
      <c r="A1421">
        <v>4098</v>
      </c>
      <c r="B1421">
        <v>1973</v>
      </c>
      <c r="C1421" t="s">
        <v>29</v>
      </c>
      <c r="D1421" t="s">
        <v>33</v>
      </c>
      <c r="E1421">
        <v>24639</v>
      </c>
      <c r="F1421">
        <v>1</v>
      </c>
      <c r="G1421">
        <v>1</v>
      </c>
      <c r="H1421" s="1">
        <v>41667</v>
      </c>
      <c r="I1421">
        <v>3</v>
      </c>
      <c r="J1421">
        <v>20</v>
      </c>
      <c r="K1421">
        <v>3</v>
      </c>
      <c r="L1421">
        <v>16</v>
      </c>
      <c r="M1421">
        <v>0</v>
      </c>
      <c r="N1421">
        <v>4</v>
      </c>
      <c r="O1421">
        <v>1</v>
      </c>
      <c r="P1421">
        <v>3</v>
      </c>
      <c r="Q1421">
        <v>2</v>
      </c>
      <c r="R1421">
        <v>0</v>
      </c>
      <c r="S1421">
        <v>4</v>
      </c>
      <c r="T1421">
        <v>6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3</v>
      </c>
      <c r="AB1421">
        <v>11</v>
      </c>
      <c r="AC1421">
        <v>0</v>
      </c>
    </row>
    <row r="1422" spans="1:29" x14ac:dyDescent="0.3">
      <c r="A1422">
        <v>5824</v>
      </c>
      <c r="B1422">
        <v>1972</v>
      </c>
      <c r="C1422" t="s">
        <v>32</v>
      </c>
      <c r="D1422" t="s">
        <v>31</v>
      </c>
      <c r="E1422">
        <v>34578</v>
      </c>
      <c r="F1422">
        <v>2</v>
      </c>
      <c r="G1422">
        <v>1</v>
      </c>
      <c r="H1422" s="1">
        <v>41740</v>
      </c>
      <c r="I1422">
        <v>1</v>
      </c>
      <c r="J1422">
        <v>7</v>
      </c>
      <c r="K1422">
        <v>0</v>
      </c>
      <c r="L1422">
        <v>1</v>
      </c>
      <c r="M1422">
        <v>0</v>
      </c>
      <c r="N1422">
        <v>0</v>
      </c>
      <c r="O1422">
        <v>0</v>
      </c>
      <c r="P1422">
        <v>1</v>
      </c>
      <c r="Q1422">
        <v>1</v>
      </c>
      <c r="R1422">
        <v>0</v>
      </c>
      <c r="S1422">
        <v>2</v>
      </c>
      <c r="T1422">
        <v>6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3</v>
      </c>
      <c r="AB1422">
        <v>11</v>
      </c>
      <c r="AC1422">
        <v>0</v>
      </c>
    </row>
    <row r="1423" spans="1:29" x14ac:dyDescent="0.3">
      <c r="A1423">
        <v>7000</v>
      </c>
      <c r="B1423">
        <v>1972</v>
      </c>
      <c r="C1423" t="s">
        <v>37</v>
      </c>
      <c r="D1423" t="s">
        <v>30</v>
      </c>
      <c r="E1423">
        <v>65704</v>
      </c>
      <c r="F1423">
        <v>0</v>
      </c>
      <c r="G1423">
        <v>0</v>
      </c>
      <c r="H1423" s="1">
        <v>41560</v>
      </c>
      <c r="I1423">
        <v>18</v>
      </c>
      <c r="J1423">
        <v>279</v>
      </c>
      <c r="K1423">
        <v>172</v>
      </c>
      <c r="L1423">
        <v>74</v>
      </c>
      <c r="M1423">
        <v>38</v>
      </c>
      <c r="N1423">
        <v>8</v>
      </c>
      <c r="O1423">
        <v>246</v>
      </c>
      <c r="P1423">
        <v>1</v>
      </c>
      <c r="Q1423">
        <v>2</v>
      </c>
      <c r="R1423">
        <v>10</v>
      </c>
      <c r="S1423">
        <v>10</v>
      </c>
      <c r="T1423">
        <v>1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3</v>
      </c>
      <c r="AB1423">
        <v>11</v>
      </c>
      <c r="AC1423">
        <v>0</v>
      </c>
    </row>
    <row r="1424" spans="1:29" x14ac:dyDescent="0.3">
      <c r="A1424">
        <v>2561</v>
      </c>
      <c r="B1424">
        <v>1966</v>
      </c>
      <c r="C1424" t="s">
        <v>29</v>
      </c>
      <c r="D1424" t="s">
        <v>30</v>
      </c>
      <c r="E1424">
        <v>63810</v>
      </c>
      <c r="F1424">
        <v>0</v>
      </c>
      <c r="G1424">
        <v>1</v>
      </c>
      <c r="H1424" s="1">
        <v>41224</v>
      </c>
      <c r="I1424">
        <v>45</v>
      </c>
      <c r="J1424">
        <v>977</v>
      </c>
      <c r="K1424">
        <v>12</v>
      </c>
      <c r="L1424">
        <v>253</v>
      </c>
      <c r="M1424">
        <v>16</v>
      </c>
      <c r="N1424">
        <v>12</v>
      </c>
      <c r="O1424">
        <v>101</v>
      </c>
      <c r="P1424">
        <v>4</v>
      </c>
      <c r="Q1424">
        <v>4</v>
      </c>
      <c r="R1424">
        <v>3</v>
      </c>
      <c r="S1424">
        <v>12</v>
      </c>
      <c r="T1424">
        <v>8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3</v>
      </c>
      <c r="AB1424">
        <v>11</v>
      </c>
      <c r="AC1424">
        <v>0</v>
      </c>
    </row>
    <row r="1425" spans="1:29" x14ac:dyDescent="0.3">
      <c r="A1425">
        <v>5229</v>
      </c>
      <c r="B1425">
        <v>1969</v>
      </c>
      <c r="C1425" t="s">
        <v>32</v>
      </c>
      <c r="D1425" t="s">
        <v>31</v>
      </c>
      <c r="E1425">
        <v>54132</v>
      </c>
      <c r="F1425">
        <v>0</v>
      </c>
      <c r="G1425">
        <v>1</v>
      </c>
      <c r="H1425" s="1">
        <v>41686</v>
      </c>
      <c r="I1425">
        <v>81</v>
      </c>
      <c r="J1425">
        <v>30</v>
      </c>
      <c r="K1425">
        <v>1</v>
      </c>
      <c r="L1425">
        <v>8</v>
      </c>
      <c r="M1425">
        <v>0</v>
      </c>
      <c r="N1425">
        <v>0</v>
      </c>
      <c r="O1425">
        <v>3</v>
      </c>
      <c r="P1425">
        <v>1</v>
      </c>
      <c r="Q1425">
        <v>1</v>
      </c>
      <c r="R1425">
        <v>0</v>
      </c>
      <c r="S1425">
        <v>3</v>
      </c>
      <c r="T1425">
        <v>7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3</v>
      </c>
      <c r="AB1425">
        <v>11</v>
      </c>
      <c r="AC1425">
        <v>0</v>
      </c>
    </row>
    <row r="1426" spans="1:29" x14ac:dyDescent="0.3">
      <c r="A1426">
        <v>4086</v>
      </c>
      <c r="B1426">
        <v>1959</v>
      </c>
      <c r="C1426" t="s">
        <v>29</v>
      </c>
      <c r="D1426" t="s">
        <v>33</v>
      </c>
      <c r="E1426">
        <v>18690</v>
      </c>
      <c r="F1426">
        <v>0</v>
      </c>
      <c r="G1426">
        <v>0</v>
      </c>
      <c r="H1426" s="1">
        <v>41271</v>
      </c>
      <c r="I1426">
        <v>77</v>
      </c>
      <c r="J1426">
        <v>6</v>
      </c>
      <c r="K1426">
        <v>1</v>
      </c>
      <c r="L1426">
        <v>7</v>
      </c>
      <c r="M1426">
        <v>23</v>
      </c>
      <c r="N1426">
        <v>4</v>
      </c>
      <c r="O1426">
        <v>19</v>
      </c>
      <c r="P1426">
        <v>1</v>
      </c>
      <c r="Q1426">
        <v>1</v>
      </c>
      <c r="R1426">
        <v>1</v>
      </c>
      <c r="S1426">
        <v>2</v>
      </c>
      <c r="T1426">
        <v>8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3</v>
      </c>
      <c r="AB1426">
        <v>11</v>
      </c>
      <c r="AC1426">
        <v>0</v>
      </c>
    </row>
    <row r="1427" spans="1:29" x14ac:dyDescent="0.3">
      <c r="A1427">
        <v>2428</v>
      </c>
      <c r="B1427">
        <v>1970</v>
      </c>
      <c r="C1427" t="s">
        <v>29</v>
      </c>
      <c r="D1427" t="s">
        <v>33</v>
      </c>
      <c r="E1427">
        <v>28164</v>
      </c>
      <c r="F1427">
        <v>1</v>
      </c>
      <c r="G1427">
        <v>0</v>
      </c>
      <c r="H1427" s="1">
        <v>41398</v>
      </c>
      <c r="I1427">
        <v>23</v>
      </c>
      <c r="J1427">
        <v>3</v>
      </c>
      <c r="K1427">
        <v>18</v>
      </c>
      <c r="L1427">
        <v>26</v>
      </c>
      <c r="M1427">
        <v>11</v>
      </c>
      <c r="N1427">
        <v>8</v>
      </c>
      <c r="O1427">
        <v>12</v>
      </c>
      <c r="P1427">
        <v>3</v>
      </c>
      <c r="Q1427">
        <v>2</v>
      </c>
      <c r="R1427">
        <v>0</v>
      </c>
      <c r="S1427">
        <v>4</v>
      </c>
      <c r="T1427">
        <v>7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3</v>
      </c>
      <c r="AB1427">
        <v>11</v>
      </c>
      <c r="AC1427">
        <v>0</v>
      </c>
    </row>
    <row r="1428" spans="1:29" x14ac:dyDescent="0.3">
      <c r="A1428">
        <v>8254</v>
      </c>
      <c r="B1428">
        <v>1974</v>
      </c>
      <c r="C1428" t="s">
        <v>32</v>
      </c>
      <c r="D1428" t="s">
        <v>33</v>
      </c>
      <c r="E1428">
        <v>34596</v>
      </c>
      <c r="F1428">
        <v>1</v>
      </c>
      <c r="G1428">
        <v>0</v>
      </c>
      <c r="H1428" s="1">
        <v>41377</v>
      </c>
      <c r="I1428">
        <v>48</v>
      </c>
      <c r="J1428">
        <v>14</v>
      </c>
      <c r="K1428">
        <v>0</v>
      </c>
      <c r="L1428">
        <v>2</v>
      </c>
      <c r="M1428">
        <v>0</v>
      </c>
      <c r="N1428">
        <v>0</v>
      </c>
      <c r="O1428">
        <v>7</v>
      </c>
      <c r="P1428">
        <v>1</v>
      </c>
      <c r="Q1428">
        <v>1</v>
      </c>
      <c r="R1428">
        <v>0</v>
      </c>
      <c r="S1428">
        <v>2</v>
      </c>
      <c r="T1428">
        <v>8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3</v>
      </c>
      <c r="AB1428">
        <v>11</v>
      </c>
      <c r="AC1428">
        <v>0</v>
      </c>
    </row>
    <row r="1429" spans="1:29" x14ac:dyDescent="0.3">
      <c r="A1429">
        <v>2836</v>
      </c>
      <c r="B1429">
        <v>1972</v>
      </c>
      <c r="C1429" t="s">
        <v>32</v>
      </c>
      <c r="D1429" t="s">
        <v>33</v>
      </c>
      <c r="E1429">
        <v>43269</v>
      </c>
      <c r="F1429">
        <v>1</v>
      </c>
      <c r="G1429">
        <v>0</v>
      </c>
      <c r="H1429" s="1">
        <v>41533</v>
      </c>
      <c r="I1429">
        <v>61</v>
      </c>
      <c r="J1429">
        <v>10</v>
      </c>
      <c r="K1429">
        <v>1</v>
      </c>
      <c r="L1429">
        <v>7</v>
      </c>
      <c r="M1429">
        <v>0</v>
      </c>
      <c r="N1429">
        <v>0</v>
      </c>
      <c r="O1429">
        <v>1</v>
      </c>
      <c r="P1429">
        <v>1</v>
      </c>
      <c r="Q1429">
        <v>1</v>
      </c>
      <c r="R1429">
        <v>0</v>
      </c>
      <c r="S1429">
        <v>2</v>
      </c>
      <c r="T1429">
        <v>8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3</v>
      </c>
      <c r="AB1429">
        <v>11</v>
      </c>
      <c r="AC1429">
        <v>0</v>
      </c>
    </row>
    <row r="1430" spans="1:29" x14ac:dyDescent="0.3">
      <c r="A1430">
        <v>8418</v>
      </c>
      <c r="B1430">
        <v>1958</v>
      </c>
      <c r="C1430" t="s">
        <v>37</v>
      </c>
      <c r="D1430" t="s">
        <v>30</v>
      </c>
      <c r="E1430">
        <v>38741</v>
      </c>
      <c r="F1430">
        <v>1</v>
      </c>
      <c r="G1430">
        <v>1</v>
      </c>
      <c r="H1430" s="1">
        <v>41728</v>
      </c>
      <c r="I1430">
        <v>60</v>
      </c>
      <c r="J1430">
        <v>7</v>
      </c>
      <c r="K1430">
        <v>10</v>
      </c>
      <c r="L1430">
        <v>17</v>
      </c>
      <c r="M1430">
        <v>8</v>
      </c>
      <c r="N1430">
        <v>6</v>
      </c>
      <c r="O1430">
        <v>13</v>
      </c>
      <c r="P1430">
        <v>2</v>
      </c>
      <c r="Q1430">
        <v>2</v>
      </c>
      <c r="R1430">
        <v>0</v>
      </c>
      <c r="S1430">
        <v>3</v>
      </c>
      <c r="T1430">
        <v>7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3</v>
      </c>
      <c r="AB1430">
        <v>11</v>
      </c>
      <c r="AC1430">
        <v>0</v>
      </c>
    </row>
    <row r="1431" spans="1:29" x14ac:dyDescent="0.3">
      <c r="A1431">
        <v>1362</v>
      </c>
      <c r="B1431">
        <v>1972</v>
      </c>
      <c r="C1431" t="s">
        <v>29</v>
      </c>
      <c r="D1431" t="s">
        <v>30</v>
      </c>
      <c r="E1431">
        <v>31907</v>
      </c>
      <c r="F1431">
        <v>0</v>
      </c>
      <c r="G1431">
        <v>0</v>
      </c>
      <c r="H1431" s="1">
        <v>41337</v>
      </c>
      <c r="I1431">
        <v>75</v>
      </c>
      <c r="J1431">
        <v>33</v>
      </c>
      <c r="K1431">
        <v>87</v>
      </c>
      <c r="L1431">
        <v>64</v>
      </c>
      <c r="M1431">
        <v>175</v>
      </c>
      <c r="N1431">
        <v>16</v>
      </c>
      <c r="O1431">
        <v>74</v>
      </c>
      <c r="P1431">
        <v>1</v>
      </c>
      <c r="Q1431">
        <v>6</v>
      </c>
      <c r="R1431">
        <v>1</v>
      </c>
      <c r="S1431">
        <v>6</v>
      </c>
      <c r="T1431">
        <v>7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3</v>
      </c>
      <c r="AB1431">
        <v>11</v>
      </c>
      <c r="AC1431">
        <v>0</v>
      </c>
    </row>
    <row r="1432" spans="1:29" x14ac:dyDescent="0.3">
      <c r="A1432">
        <v>7152</v>
      </c>
      <c r="B1432">
        <v>1983</v>
      </c>
      <c r="C1432" t="s">
        <v>34</v>
      </c>
      <c r="D1432" t="s">
        <v>33</v>
      </c>
      <c r="E1432">
        <v>27100</v>
      </c>
      <c r="F1432">
        <v>1</v>
      </c>
      <c r="G1432">
        <v>0</v>
      </c>
      <c r="H1432" s="1">
        <v>41369</v>
      </c>
      <c r="I1432">
        <v>64</v>
      </c>
      <c r="J1432">
        <v>12</v>
      </c>
      <c r="K1432">
        <v>0</v>
      </c>
      <c r="L1432">
        <v>13</v>
      </c>
      <c r="M1432">
        <v>2</v>
      </c>
      <c r="N1432">
        <v>0</v>
      </c>
      <c r="O1432">
        <v>10</v>
      </c>
      <c r="P1432">
        <v>1</v>
      </c>
      <c r="Q1432">
        <v>1</v>
      </c>
      <c r="R1432">
        <v>0</v>
      </c>
      <c r="S1432">
        <v>3</v>
      </c>
      <c r="T1432">
        <v>7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3</v>
      </c>
      <c r="AB1432">
        <v>11</v>
      </c>
      <c r="AC1432">
        <v>0</v>
      </c>
    </row>
    <row r="1433" spans="1:29" x14ac:dyDescent="0.3">
      <c r="A1433">
        <v>10033</v>
      </c>
      <c r="B1433">
        <v>1973</v>
      </c>
      <c r="C1433" t="s">
        <v>37</v>
      </c>
      <c r="D1433" t="s">
        <v>35</v>
      </c>
      <c r="E1433">
        <v>31163</v>
      </c>
      <c r="F1433">
        <v>1</v>
      </c>
      <c r="G1433">
        <v>0</v>
      </c>
      <c r="H1433" s="1">
        <v>41683</v>
      </c>
      <c r="I1433">
        <v>54</v>
      </c>
      <c r="J1433">
        <v>2</v>
      </c>
      <c r="K1433">
        <v>3</v>
      </c>
      <c r="L1433">
        <v>10</v>
      </c>
      <c r="M1433">
        <v>11</v>
      </c>
      <c r="N1433">
        <v>2</v>
      </c>
      <c r="O1433">
        <v>10</v>
      </c>
      <c r="P1433">
        <v>1</v>
      </c>
      <c r="Q1433">
        <v>1</v>
      </c>
      <c r="R1433">
        <v>0</v>
      </c>
      <c r="S1433">
        <v>3</v>
      </c>
      <c r="T1433">
        <v>6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3</v>
      </c>
      <c r="AB1433">
        <v>11</v>
      </c>
      <c r="AC1433">
        <v>0</v>
      </c>
    </row>
    <row r="1434" spans="1:29" x14ac:dyDescent="0.3">
      <c r="A1434">
        <v>9349</v>
      </c>
      <c r="B1434">
        <v>1985</v>
      </c>
      <c r="C1434" t="s">
        <v>29</v>
      </c>
      <c r="D1434" t="s">
        <v>33</v>
      </c>
      <c r="E1434">
        <v>92533</v>
      </c>
      <c r="F1434">
        <v>0</v>
      </c>
      <c r="G1434">
        <v>0</v>
      </c>
      <c r="H1434" s="1">
        <v>41627</v>
      </c>
      <c r="I1434">
        <v>84</v>
      </c>
      <c r="J1434">
        <v>693</v>
      </c>
      <c r="K1434">
        <v>21</v>
      </c>
      <c r="L1434">
        <v>118</v>
      </c>
      <c r="M1434">
        <v>110</v>
      </c>
      <c r="N1434">
        <v>147</v>
      </c>
      <c r="O1434">
        <v>42</v>
      </c>
      <c r="P1434">
        <v>1</v>
      </c>
      <c r="Q1434">
        <v>6</v>
      </c>
      <c r="R1434">
        <v>5</v>
      </c>
      <c r="S1434">
        <v>11</v>
      </c>
      <c r="T1434">
        <v>2</v>
      </c>
      <c r="U1434">
        <v>0</v>
      </c>
      <c r="V1434">
        <v>0</v>
      </c>
      <c r="W1434">
        <v>1</v>
      </c>
      <c r="X1434">
        <v>1</v>
      </c>
      <c r="Y1434">
        <v>0</v>
      </c>
      <c r="Z1434">
        <v>0</v>
      </c>
      <c r="AA1434">
        <v>3</v>
      </c>
      <c r="AB1434">
        <v>11</v>
      </c>
      <c r="AC1434">
        <v>0</v>
      </c>
    </row>
    <row r="1435" spans="1:29" x14ac:dyDescent="0.3">
      <c r="A1435">
        <v>274</v>
      </c>
      <c r="B1435">
        <v>1973</v>
      </c>
      <c r="C1435" t="s">
        <v>29</v>
      </c>
      <c r="D1435" t="s">
        <v>30</v>
      </c>
      <c r="E1435">
        <v>34853</v>
      </c>
      <c r="F1435">
        <v>1</v>
      </c>
      <c r="G1435">
        <v>1</v>
      </c>
      <c r="H1435" s="1">
        <v>41631</v>
      </c>
      <c r="I1435">
        <v>75</v>
      </c>
      <c r="J1435">
        <v>9</v>
      </c>
      <c r="K1435">
        <v>3</v>
      </c>
      <c r="L1435">
        <v>15</v>
      </c>
      <c r="M1435">
        <v>2</v>
      </c>
      <c r="N1435">
        <v>3</v>
      </c>
      <c r="O1435">
        <v>2</v>
      </c>
      <c r="P1435">
        <v>2</v>
      </c>
      <c r="Q1435">
        <v>2</v>
      </c>
      <c r="R1435">
        <v>0</v>
      </c>
      <c r="S1435">
        <v>3</v>
      </c>
      <c r="T1435">
        <v>6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3</v>
      </c>
      <c r="AB1435">
        <v>11</v>
      </c>
      <c r="AC1435">
        <v>0</v>
      </c>
    </row>
    <row r="1436" spans="1:29" x14ac:dyDescent="0.3">
      <c r="A1436">
        <v>3388</v>
      </c>
      <c r="B1436">
        <v>1967</v>
      </c>
      <c r="C1436" t="s">
        <v>29</v>
      </c>
      <c r="D1436" t="s">
        <v>35</v>
      </c>
      <c r="E1436">
        <v>70844</v>
      </c>
      <c r="F1436">
        <v>1</v>
      </c>
      <c r="G1436">
        <v>1</v>
      </c>
      <c r="H1436" s="1">
        <v>41577</v>
      </c>
      <c r="I1436">
        <v>16</v>
      </c>
      <c r="J1436">
        <v>129</v>
      </c>
      <c r="K1436">
        <v>26</v>
      </c>
      <c r="L1436">
        <v>67</v>
      </c>
      <c r="M1436">
        <v>3</v>
      </c>
      <c r="N1436">
        <v>67</v>
      </c>
      <c r="O1436">
        <v>2</v>
      </c>
      <c r="P1436">
        <v>5</v>
      </c>
      <c r="Q1436">
        <v>6</v>
      </c>
      <c r="R1436">
        <v>1</v>
      </c>
      <c r="S1436">
        <v>5</v>
      </c>
      <c r="T1436">
        <v>7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3</v>
      </c>
      <c r="AB1436">
        <v>11</v>
      </c>
      <c r="AC1436">
        <v>0</v>
      </c>
    </row>
    <row r="1437" spans="1:29" x14ac:dyDescent="0.3">
      <c r="A1437">
        <v>922</v>
      </c>
      <c r="B1437">
        <v>1979</v>
      </c>
      <c r="C1437" t="s">
        <v>37</v>
      </c>
      <c r="D1437" t="s">
        <v>33</v>
      </c>
      <c r="E1437">
        <v>31086</v>
      </c>
      <c r="F1437">
        <v>1</v>
      </c>
      <c r="G1437">
        <v>1</v>
      </c>
      <c r="H1437" s="1">
        <v>41398</v>
      </c>
      <c r="I1437">
        <v>79</v>
      </c>
      <c r="J1437">
        <v>16</v>
      </c>
      <c r="K1437">
        <v>2</v>
      </c>
      <c r="L1437">
        <v>11</v>
      </c>
      <c r="M1437">
        <v>3</v>
      </c>
      <c r="N1437">
        <v>0</v>
      </c>
      <c r="O1437">
        <v>16</v>
      </c>
      <c r="P1437">
        <v>2</v>
      </c>
      <c r="Q1437">
        <v>1</v>
      </c>
      <c r="R1437">
        <v>1</v>
      </c>
      <c r="S1437">
        <v>2</v>
      </c>
      <c r="T1437">
        <v>8</v>
      </c>
      <c r="U1437">
        <v>1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3</v>
      </c>
      <c r="AB1437">
        <v>11</v>
      </c>
      <c r="AC1437">
        <v>0</v>
      </c>
    </row>
    <row r="1438" spans="1:29" x14ac:dyDescent="0.3">
      <c r="A1438">
        <v>8588</v>
      </c>
      <c r="B1438">
        <v>1961</v>
      </c>
      <c r="C1438" t="s">
        <v>29</v>
      </c>
      <c r="D1438" t="s">
        <v>33</v>
      </c>
      <c r="E1438">
        <v>60544</v>
      </c>
      <c r="F1438">
        <v>1</v>
      </c>
      <c r="G1438">
        <v>1</v>
      </c>
      <c r="H1438" s="1">
        <v>41146</v>
      </c>
      <c r="I1438">
        <v>92</v>
      </c>
      <c r="J1438">
        <v>201</v>
      </c>
      <c r="K1438">
        <v>2</v>
      </c>
      <c r="L1438">
        <v>43</v>
      </c>
      <c r="M1438">
        <v>3</v>
      </c>
      <c r="N1438">
        <v>5</v>
      </c>
      <c r="O1438">
        <v>35</v>
      </c>
      <c r="P1438">
        <v>4</v>
      </c>
      <c r="Q1438">
        <v>5</v>
      </c>
      <c r="R1438">
        <v>1</v>
      </c>
      <c r="S1438">
        <v>5</v>
      </c>
      <c r="T1438">
        <v>6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3</v>
      </c>
      <c r="AB1438">
        <v>11</v>
      </c>
      <c r="AC1438">
        <v>0</v>
      </c>
    </row>
    <row r="1439" spans="1:29" x14ac:dyDescent="0.3">
      <c r="A1439">
        <v>2518</v>
      </c>
      <c r="B1439">
        <v>1986</v>
      </c>
      <c r="C1439" t="s">
        <v>37</v>
      </c>
      <c r="D1439" t="s">
        <v>31</v>
      </c>
      <c r="E1439">
        <v>20491</v>
      </c>
      <c r="F1439">
        <v>0</v>
      </c>
      <c r="G1439">
        <v>0</v>
      </c>
      <c r="H1439" s="1">
        <v>41299</v>
      </c>
      <c r="I1439">
        <v>16</v>
      </c>
      <c r="J1439">
        <v>5</v>
      </c>
      <c r="K1439">
        <v>4</v>
      </c>
      <c r="L1439">
        <v>5</v>
      </c>
      <c r="M1439">
        <v>4</v>
      </c>
      <c r="N1439">
        <v>2</v>
      </c>
      <c r="O1439">
        <v>10</v>
      </c>
      <c r="P1439">
        <v>1</v>
      </c>
      <c r="Q1439">
        <v>0</v>
      </c>
      <c r="R1439">
        <v>1</v>
      </c>
      <c r="S1439">
        <v>2</v>
      </c>
      <c r="T1439">
        <v>7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3</v>
      </c>
      <c r="AB1439">
        <v>11</v>
      </c>
      <c r="AC1439">
        <v>0</v>
      </c>
    </row>
    <row r="1440" spans="1:29" x14ac:dyDescent="0.3">
      <c r="A1440">
        <v>574</v>
      </c>
      <c r="B1440">
        <v>1964</v>
      </c>
      <c r="C1440" t="s">
        <v>29</v>
      </c>
      <c r="D1440" t="s">
        <v>33</v>
      </c>
      <c r="E1440">
        <v>42523</v>
      </c>
      <c r="F1440">
        <v>0</v>
      </c>
      <c r="G1440">
        <v>0</v>
      </c>
      <c r="H1440" s="1">
        <v>41752</v>
      </c>
      <c r="I1440">
        <v>96</v>
      </c>
      <c r="J1440">
        <v>14</v>
      </c>
      <c r="K1440">
        <v>36</v>
      </c>
      <c r="L1440">
        <v>11</v>
      </c>
      <c r="M1440">
        <v>3</v>
      </c>
      <c r="N1440">
        <v>26</v>
      </c>
      <c r="O1440">
        <v>35</v>
      </c>
      <c r="P1440">
        <v>1</v>
      </c>
      <c r="Q1440">
        <v>1</v>
      </c>
      <c r="R1440">
        <v>1</v>
      </c>
      <c r="S1440">
        <v>4</v>
      </c>
      <c r="T1440">
        <v>2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3</v>
      </c>
      <c r="AB1440">
        <v>11</v>
      </c>
      <c r="AC1440">
        <v>0</v>
      </c>
    </row>
    <row r="1441" spans="1:29" x14ac:dyDescent="0.3">
      <c r="A1441">
        <v>3220</v>
      </c>
      <c r="B1441">
        <v>1983</v>
      </c>
      <c r="C1441" t="s">
        <v>29</v>
      </c>
      <c r="D1441" t="s">
        <v>33</v>
      </c>
      <c r="E1441">
        <v>39922</v>
      </c>
      <c r="F1441">
        <v>1</v>
      </c>
      <c r="G1441">
        <v>0</v>
      </c>
      <c r="H1441" s="1">
        <v>41319</v>
      </c>
      <c r="I1441">
        <v>30</v>
      </c>
      <c r="J1441">
        <v>29</v>
      </c>
      <c r="K1441">
        <v>12</v>
      </c>
      <c r="L1441">
        <v>59</v>
      </c>
      <c r="M1441">
        <v>19</v>
      </c>
      <c r="N1441">
        <v>1</v>
      </c>
      <c r="O1441">
        <v>36</v>
      </c>
      <c r="P1441">
        <v>2</v>
      </c>
      <c r="Q1441">
        <v>3</v>
      </c>
      <c r="R1441">
        <v>0</v>
      </c>
      <c r="S1441">
        <v>4</v>
      </c>
      <c r="T1441">
        <v>8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3</v>
      </c>
      <c r="AB1441">
        <v>11</v>
      </c>
      <c r="AC1441">
        <v>0</v>
      </c>
    </row>
    <row r="1442" spans="1:29" x14ac:dyDescent="0.3">
      <c r="A1442">
        <v>5967</v>
      </c>
      <c r="B1442">
        <v>1952</v>
      </c>
      <c r="C1442" t="s">
        <v>29</v>
      </c>
      <c r="D1442" t="s">
        <v>31</v>
      </c>
      <c r="E1442">
        <v>33402</v>
      </c>
      <c r="F1442">
        <v>1</v>
      </c>
      <c r="G1442">
        <v>1</v>
      </c>
      <c r="H1442" s="1">
        <v>41473</v>
      </c>
      <c r="I1442">
        <v>60</v>
      </c>
      <c r="J1442">
        <v>26</v>
      </c>
      <c r="K1442">
        <v>2</v>
      </c>
      <c r="L1442">
        <v>19</v>
      </c>
      <c r="M1442">
        <v>10</v>
      </c>
      <c r="N1442">
        <v>5</v>
      </c>
      <c r="O1442">
        <v>8</v>
      </c>
      <c r="P1442">
        <v>3</v>
      </c>
      <c r="Q1442">
        <v>2</v>
      </c>
      <c r="R1442">
        <v>1</v>
      </c>
      <c r="S1442">
        <v>3</v>
      </c>
      <c r="T1442">
        <v>8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3</v>
      </c>
      <c r="AB1442">
        <v>11</v>
      </c>
      <c r="AC1442">
        <v>0</v>
      </c>
    </row>
    <row r="1443" spans="1:29" x14ac:dyDescent="0.3">
      <c r="A1443">
        <v>1183</v>
      </c>
      <c r="B1443">
        <v>1949</v>
      </c>
      <c r="C1443" t="s">
        <v>34</v>
      </c>
      <c r="D1443" t="s">
        <v>33</v>
      </c>
      <c r="E1443">
        <v>36408</v>
      </c>
      <c r="F1443">
        <v>1</v>
      </c>
      <c r="G1443">
        <v>1</v>
      </c>
      <c r="H1443" s="1">
        <v>41538</v>
      </c>
      <c r="I1443">
        <v>11</v>
      </c>
      <c r="J1443">
        <v>9</v>
      </c>
      <c r="K1443">
        <v>1</v>
      </c>
      <c r="L1443">
        <v>4</v>
      </c>
      <c r="M1443">
        <v>3</v>
      </c>
      <c r="N1443">
        <v>2</v>
      </c>
      <c r="O1443">
        <v>3</v>
      </c>
      <c r="P1443">
        <v>1</v>
      </c>
      <c r="Q1443">
        <v>1</v>
      </c>
      <c r="R1443">
        <v>0</v>
      </c>
      <c r="S1443">
        <v>2</v>
      </c>
      <c r="T1443">
        <v>6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3</v>
      </c>
      <c r="AB1443">
        <v>11</v>
      </c>
      <c r="AC1443">
        <v>0</v>
      </c>
    </row>
    <row r="1444" spans="1:29" x14ac:dyDescent="0.3">
      <c r="A1444">
        <v>6856</v>
      </c>
      <c r="B1444">
        <v>1979</v>
      </c>
      <c r="C1444" t="s">
        <v>29</v>
      </c>
      <c r="D1444" t="s">
        <v>31</v>
      </c>
      <c r="E1444">
        <v>21645</v>
      </c>
      <c r="F1444">
        <v>1</v>
      </c>
      <c r="G1444">
        <v>0</v>
      </c>
      <c r="H1444" s="1">
        <v>41155</v>
      </c>
      <c r="I1444">
        <v>75</v>
      </c>
      <c r="J1444">
        <v>14</v>
      </c>
      <c r="K1444">
        <v>0</v>
      </c>
      <c r="L1444">
        <v>23</v>
      </c>
      <c r="M1444">
        <v>4</v>
      </c>
      <c r="N1444">
        <v>5</v>
      </c>
      <c r="O1444">
        <v>19</v>
      </c>
      <c r="P1444">
        <v>3</v>
      </c>
      <c r="Q1444">
        <v>3</v>
      </c>
      <c r="R1444">
        <v>0</v>
      </c>
      <c r="S1444">
        <v>3</v>
      </c>
      <c r="T1444">
        <v>9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3</v>
      </c>
      <c r="AB1444">
        <v>11</v>
      </c>
      <c r="AC1444">
        <v>1</v>
      </c>
    </row>
    <row r="1445" spans="1:29" x14ac:dyDescent="0.3">
      <c r="A1445">
        <v>4530</v>
      </c>
      <c r="B1445">
        <v>1948</v>
      </c>
      <c r="C1445" t="s">
        <v>34</v>
      </c>
      <c r="D1445" t="s">
        <v>38</v>
      </c>
      <c r="E1445">
        <v>78427</v>
      </c>
      <c r="F1445">
        <v>0</v>
      </c>
      <c r="G1445">
        <v>0</v>
      </c>
      <c r="H1445" s="1">
        <v>41206</v>
      </c>
      <c r="I1445">
        <v>36</v>
      </c>
      <c r="J1445">
        <v>972</v>
      </c>
      <c r="K1445">
        <v>19</v>
      </c>
      <c r="L1445">
        <v>595</v>
      </c>
      <c r="M1445">
        <v>180</v>
      </c>
      <c r="N1445">
        <v>26</v>
      </c>
      <c r="O1445">
        <v>138</v>
      </c>
      <c r="P1445">
        <v>3</v>
      </c>
      <c r="Q1445">
        <v>3</v>
      </c>
      <c r="R1445">
        <v>7</v>
      </c>
      <c r="S1445">
        <v>10</v>
      </c>
      <c r="T1445">
        <v>3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0</v>
      </c>
      <c r="AA1445">
        <v>3</v>
      </c>
      <c r="AB1445">
        <v>11</v>
      </c>
      <c r="AC1445">
        <v>1</v>
      </c>
    </row>
    <row r="1446" spans="1:29" x14ac:dyDescent="0.3">
      <c r="A1446">
        <v>1553</v>
      </c>
      <c r="B1446">
        <v>1946</v>
      </c>
      <c r="C1446" t="s">
        <v>29</v>
      </c>
      <c r="D1446" t="s">
        <v>31</v>
      </c>
      <c r="E1446">
        <v>82657</v>
      </c>
      <c r="F1446">
        <v>0</v>
      </c>
      <c r="G1446">
        <v>0</v>
      </c>
      <c r="H1446" s="1">
        <v>41544</v>
      </c>
      <c r="I1446">
        <v>71</v>
      </c>
      <c r="J1446">
        <v>966</v>
      </c>
      <c r="K1446">
        <v>168</v>
      </c>
      <c r="L1446">
        <v>672</v>
      </c>
      <c r="M1446">
        <v>246</v>
      </c>
      <c r="N1446">
        <v>105</v>
      </c>
      <c r="O1446">
        <v>126</v>
      </c>
      <c r="P1446">
        <v>1</v>
      </c>
      <c r="Q1446">
        <v>7</v>
      </c>
      <c r="R1446">
        <v>5</v>
      </c>
      <c r="S1446">
        <v>10</v>
      </c>
      <c r="T1446">
        <v>4</v>
      </c>
      <c r="U1446">
        <v>0</v>
      </c>
      <c r="V1446">
        <v>1</v>
      </c>
      <c r="W1446">
        <v>0</v>
      </c>
      <c r="X1446">
        <v>1</v>
      </c>
      <c r="Y1446">
        <v>0</v>
      </c>
      <c r="Z1446">
        <v>0</v>
      </c>
      <c r="AA1446">
        <v>3</v>
      </c>
      <c r="AB1446">
        <v>11</v>
      </c>
      <c r="AC1446">
        <v>0</v>
      </c>
    </row>
    <row r="1447" spans="1:29" x14ac:dyDescent="0.3">
      <c r="A1447">
        <v>4682</v>
      </c>
      <c r="B1447">
        <v>1958</v>
      </c>
      <c r="C1447" t="s">
        <v>29</v>
      </c>
      <c r="D1447" t="s">
        <v>33</v>
      </c>
      <c r="E1447">
        <v>51876</v>
      </c>
      <c r="F1447">
        <v>0</v>
      </c>
      <c r="G1447">
        <v>0</v>
      </c>
      <c r="H1447" s="1">
        <v>41562</v>
      </c>
      <c r="I1447">
        <v>88</v>
      </c>
      <c r="J1447">
        <v>99</v>
      </c>
      <c r="K1447">
        <v>27</v>
      </c>
      <c r="L1447">
        <v>102</v>
      </c>
      <c r="M1447">
        <v>28</v>
      </c>
      <c r="N1447">
        <v>48</v>
      </c>
      <c r="O1447">
        <v>6</v>
      </c>
      <c r="P1447">
        <v>1</v>
      </c>
      <c r="Q1447">
        <v>2</v>
      </c>
      <c r="R1447">
        <v>2</v>
      </c>
      <c r="S1447">
        <v>8</v>
      </c>
      <c r="T1447">
        <v>1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3</v>
      </c>
      <c r="AB1447">
        <v>11</v>
      </c>
      <c r="AC1447">
        <v>0</v>
      </c>
    </row>
    <row r="1448" spans="1:29" x14ac:dyDescent="0.3">
      <c r="A1448">
        <v>8204</v>
      </c>
      <c r="B1448">
        <v>1971</v>
      </c>
      <c r="C1448" t="s">
        <v>37</v>
      </c>
      <c r="D1448" t="s">
        <v>33</v>
      </c>
      <c r="E1448">
        <v>78041</v>
      </c>
      <c r="F1448">
        <v>0</v>
      </c>
      <c r="G1448">
        <v>0</v>
      </c>
      <c r="H1448" s="1">
        <v>41259</v>
      </c>
      <c r="I1448">
        <v>93</v>
      </c>
      <c r="J1448">
        <v>482</v>
      </c>
      <c r="K1448">
        <v>35</v>
      </c>
      <c r="L1448">
        <v>553</v>
      </c>
      <c r="M1448">
        <v>72</v>
      </c>
      <c r="N1448">
        <v>160</v>
      </c>
      <c r="O1448">
        <v>17</v>
      </c>
      <c r="P1448">
        <v>1</v>
      </c>
      <c r="Q1448">
        <v>4</v>
      </c>
      <c r="R1448">
        <v>4</v>
      </c>
      <c r="S1448">
        <v>9</v>
      </c>
      <c r="T1448">
        <v>2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3</v>
      </c>
      <c r="AB1448">
        <v>11</v>
      </c>
      <c r="AC1448">
        <v>0</v>
      </c>
    </row>
    <row r="1449" spans="1:29" x14ac:dyDescent="0.3">
      <c r="A1449">
        <v>5221</v>
      </c>
      <c r="B1449">
        <v>1957</v>
      </c>
      <c r="C1449" t="s">
        <v>29</v>
      </c>
      <c r="D1449" t="s">
        <v>33</v>
      </c>
      <c r="E1449">
        <v>52852</v>
      </c>
      <c r="F1449">
        <v>0</v>
      </c>
      <c r="G1449">
        <v>1</v>
      </c>
      <c r="H1449" s="1">
        <v>41244</v>
      </c>
      <c r="I1449">
        <v>93</v>
      </c>
      <c r="J1449">
        <v>714</v>
      </c>
      <c r="K1449">
        <v>8</v>
      </c>
      <c r="L1449">
        <v>99</v>
      </c>
      <c r="M1449">
        <v>11</v>
      </c>
      <c r="N1449">
        <v>0</v>
      </c>
      <c r="O1449">
        <v>47</v>
      </c>
      <c r="P1449">
        <v>4</v>
      </c>
      <c r="Q1449">
        <v>10</v>
      </c>
      <c r="R1449">
        <v>7</v>
      </c>
      <c r="S1449">
        <v>5</v>
      </c>
      <c r="T1449">
        <v>8</v>
      </c>
      <c r="U1449">
        <v>1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3</v>
      </c>
      <c r="AB1449">
        <v>11</v>
      </c>
      <c r="AC1449">
        <v>0</v>
      </c>
    </row>
    <row r="1450" spans="1:29" x14ac:dyDescent="0.3">
      <c r="A1450">
        <v>1232</v>
      </c>
      <c r="B1450">
        <v>1982</v>
      </c>
      <c r="C1450" t="s">
        <v>32</v>
      </c>
      <c r="D1450" t="s">
        <v>31</v>
      </c>
      <c r="E1450">
        <v>70038</v>
      </c>
      <c r="F1450">
        <v>0</v>
      </c>
      <c r="G1450">
        <v>0</v>
      </c>
      <c r="H1450" s="1">
        <v>41572</v>
      </c>
      <c r="I1450">
        <v>54</v>
      </c>
      <c r="J1450">
        <v>587</v>
      </c>
      <c r="K1450">
        <v>54</v>
      </c>
      <c r="L1450">
        <v>348</v>
      </c>
      <c r="M1450">
        <v>71</v>
      </c>
      <c r="N1450">
        <v>54</v>
      </c>
      <c r="O1450">
        <v>130</v>
      </c>
      <c r="P1450">
        <v>1</v>
      </c>
      <c r="Q1450">
        <v>4</v>
      </c>
      <c r="R1450">
        <v>4</v>
      </c>
      <c r="S1450">
        <v>8</v>
      </c>
      <c r="T1450">
        <v>2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3</v>
      </c>
      <c r="AB1450">
        <v>11</v>
      </c>
      <c r="AC1450">
        <v>0</v>
      </c>
    </row>
    <row r="1451" spans="1:29" x14ac:dyDescent="0.3">
      <c r="A1451">
        <v>1927</v>
      </c>
      <c r="B1451">
        <v>1973</v>
      </c>
      <c r="C1451" t="s">
        <v>37</v>
      </c>
      <c r="D1451" t="s">
        <v>31</v>
      </c>
      <c r="E1451">
        <v>69401</v>
      </c>
      <c r="F1451">
        <v>0</v>
      </c>
      <c r="G1451">
        <v>1</v>
      </c>
      <c r="H1451" s="1">
        <v>41721</v>
      </c>
      <c r="I1451">
        <v>41</v>
      </c>
      <c r="J1451">
        <v>399</v>
      </c>
      <c r="K1451">
        <v>27</v>
      </c>
      <c r="L1451">
        <v>159</v>
      </c>
      <c r="M1451">
        <v>58</v>
      </c>
      <c r="N1451">
        <v>8</v>
      </c>
      <c r="O1451">
        <v>39</v>
      </c>
      <c r="P1451">
        <v>4</v>
      </c>
      <c r="Q1451">
        <v>4</v>
      </c>
      <c r="R1451">
        <v>4</v>
      </c>
      <c r="S1451">
        <v>5</v>
      </c>
      <c r="T1451">
        <v>2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3</v>
      </c>
      <c r="AB1451">
        <v>11</v>
      </c>
      <c r="AC1451">
        <v>0</v>
      </c>
    </row>
    <row r="1452" spans="1:29" x14ac:dyDescent="0.3">
      <c r="A1452">
        <v>5788</v>
      </c>
      <c r="B1452">
        <v>1972</v>
      </c>
      <c r="C1452" t="s">
        <v>29</v>
      </c>
      <c r="D1452" t="s">
        <v>31</v>
      </c>
      <c r="E1452">
        <v>46053</v>
      </c>
      <c r="F1452">
        <v>1</v>
      </c>
      <c r="G1452">
        <v>0</v>
      </c>
      <c r="H1452" s="1">
        <v>41322</v>
      </c>
      <c r="I1452">
        <v>46</v>
      </c>
      <c r="J1452">
        <v>56</v>
      </c>
      <c r="K1452">
        <v>10</v>
      </c>
      <c r="L1452">
        <v>92</v>
      </c>
      <c r="M1452">
        <v>19</v>
      </c>
      <c r="N1452">
        <v>7</v>
      </c>
      <c r="O1452">
        <v>25</v>
      </c>
      <c r="P1452">
        <v>3</v>
      </c>
      <c r="Q1452">
        <v>3</v>
      </c>
      <c r="R1452">
        <v>2</v>
      </c>
      <c r="S1452">
        <v>4</v>
      </c>
      <c r="T1452">
        <v>5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3</v>
      </c>
      <c r="AB1452">
        <v>11</v>
      </c>
      <c r="AC1452">
        <v>0</v>
      </c>
    </row>
    <row r="1453" spans="1:29" x14ac:dyDescent="0.3">
      <c r="A1453">
        <v>6652</v>
      </c>
      <c r="B1453">
        <v>1965</v>
      </c>
      <c r="C1453" t="s">
        <v>29</v>
      </c>
      <c r="D1453" t="s">
        <v>33</v>
      </c>
      <c r="E1453">
        <v>77343</v>
      </c>
      <c r="F1453">
        <v>0</v>
      </c>
      <c r="G1453">
        <v>0</v>
      </c>
      <c r="H1453" s="1">
        <v>41799</v>
      </c>
      <c r="I1453">
        <v>28</v>
      </c>
      <c r="J1453">
        <v>227</v>
      </c>
      <c r="K1453">
        <v>151</v>
      </c>
      <c r="L1453">
        <v>573</v>
      </c>
      <c r="M1453">
        <v>98</v>
      </c>
      <c r="N1453">
        <v>54</v>
      </c>
      <c r="O1453">
        <v>31</v>
      </c>
      <c r="P1453">
        <v>1</v>
      </c>
      <c r="Q1453">
        <v>3</v>
      </c>
      <c r="R1453">
        <v>4</v>
      </c>
      <c r="S1453">
        <v>9</v>
      </c>
      <c r="T1453">
        <v>1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3</v>
      </c>
      <c r="AB1453">
        <v>11</v>
      </c>
      <c r="AC1453">
        <v>0</v>
      </c>
    </row>
    <row r="1454" spans="1:29" x14ac:dyDescent="0.3">
      <c r="A1454">
        <v>6246</v>
      </c>
      <c r="B1454">
        <v>1953</v>
      </c>
      <c r="C1454" t="s">
        <v>29</v>
      </c>
      <c r="D1454" t="s">
        <v>30</v>
      </c>
      <c r="E1454">
        <v>73892</v>
      </c>
      <c r="F1454">
        <v>0</v>
      </c>
      <c r="G1454">
        <v>0</v>
      </c>
      <c r="H1454" s="1">
        <v>41591</v>
      </c>
      <c r="I1454">
        <v>40</v>
      </c>
      <c r="J1454">
        <v>703</v>
      </c>
      <c r="K1454">
        <v>102</v>
      </c>
      <c r="L1454">
        <v>601</v>
      </c>
      <c r="M1454">
        <v>0</v>
      </c>
      <c r="N1454">
        <v>58</v>
      </c>
      <c r="O1454">
        <v>43</v>
      </c>
      <c r="P1454">
        <v>1</v>
      </c>
      <c r="Q1454">
        <v>3</v>
      </c>
      <c r="R1454">
        <v>11</v>
      </c>
      <c r="S1454">
        <v>8</v>
      </c>
      <c r="T1454">
        <v>1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3</v>
      </c>
      <c r="AB1454">
        <v>11</v>
      </c>
      <c r="AC1454">
        <v>1</v>
      </c>
    </row>
    <row r="1455" spans="1:29" x14ac:dyDescent="0.3">
      <c r="A1455">
        <v>5975</v>
      </c>
      <c r="B1455">
        <v>1967</v>
      </c>
      <c r="C1455" t="s">
        <v>32</v>
      </c>
      <c r="D1455" t="s">
        <v>30</v>
      </c>
      <c r="E1455">
        <v>40304</v>
      </c>
      <c r="F1455">
        <v>1</v>
      </c>
      <c r="G1455">
        <v>0</v>
      </c>
      <c r="H1455" s="1">
        <v>41547</v>
      </c>
      <c r="I1455">
        <v>82</v>
      </c>
      <c r="J1455">
        <v>37</v>
      </c>
      <c r="K1455">
        <v>0</v>
      </c>
      <c r="L1455">
        <v>17</v>
      </c>
      <c r="M1455">
        <v>0</v>
      </c>
      <c r="N1455">
        <v>0</v>
      </c>
      <c r="O1455">
        <v>3</v>
      </c>
      <c r="P1455">
        <v>1</v>
      </c>
      <c r="Q1455">
        <v>2</v>
      </c>
      <c r="R1455">
        <v>0</v>
      </c>
      <c r="S1455">
        <v>3</v>
      </c>
      <c r="T1455">
        <v>7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3</v>
      </c>
      <c r="AB1455">
        <v>11</v>
      </c>
      <c r="AC1455">
        <v>0</v>
      </c>
    </row>
    <row r="1456" spans="1:29" x14ac:dyDescent="0.3">
      <c r="A1456">
        <v>6875</v>
      </c>
      <c r="B1456">
        <v>1965</v>
      </c>
      <c r="C1456" t="s">
        <v>32</v>
      </c>
      <c r="D1456" t="s">
        <v>31</v>
      </c>
      <c r="E1456">
        <v>32727</v>
      </c>
      <c r="F1456">
        <v>0</v>
      </c>
      <c r="G1456">
        <v>0</v>
      </c>
      <c r="H1456" s="1">
        <v>41149</v>
      </c>
      <c r="I1456">
        <v>38</v>
      </c>
      <c r="J1456">
        <v>167</v>
      </c>
      <c r="K1456">
        <v>13</v>
      </c>
      <c r="L1456">
        <v>180</v>
      </c>
      <c r="M1456">
        <v>86</v>
      </c>
      <c r="N1456">
        <v>13</v>
      </c>
      <c r="O1456">
        <v>70</v>
      </c>
      <c r="P1456">
        <v>2</v>
      </c>
      <c r="Q1456">
        <v>7</v>
      </c>
      <c r="R1456">
        <v>3</v>
      </c>
      <c r="S1456">
        <v>5</v>
      </c>
      <c r="T1456">
        <v>8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3</v>
      </c>
      <c r="AB1456">
        <v>11</v>
      </c>
      <c r="AC1456">
        <v>0</v>
      </c>
    </row>
    <row r="1457" spans="1:29" x14ac:dyDescent="0.3">
      <c r="A1457">
        <v>4399</v>
      </c>
      <c r="B1457">
        <v>1969</v>
      </c>
      <c r="C1457" t="s">
        <v>29</v>
      </c>
      <c r="D1457" t="s">
        <v>31</v>
      </c>
      <c r="E1457">
        <v>68695</v>
      </c>
      <c r="F1457">
        <v>0</v>
      </c>
      <c r="G1457">
        <v>0</v>
      </c>
      <c r="H1457" s="1">
        <v>41815</v>
      </c>
      <c r="I1457">
        <v>3</v>
      </c>
      <c r="J1457">
        <v>458</v>
      </c>
      <c r="K1457">
        <v>81</v>
      </c>
      <c r="L1457">
        <v>356</v>
      </c>
      <c r="M1457">
        <v>106</v>
      </c>
      <c r="N1457">
        <v>50</v>
      </c>
      <c r="O1457">
        <v>40</v>
      </c>
      <c r="P1457">
        <v>1</v>
      </c>
      <c r="Q1457">
        <v>4</v>
      </c>
      <c r="R1457">
        <v>4</v>
      </c>
      <c r="S1457">
        <v>7</v>
      </c>
      <c r="T1457">
        <v>2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3</v>
      </c>
      <c r="AB1457">
        <v>11</v>
      </c>
      <c r="AC1457">
        <v>0</v>
      </c>
    </row>
    <row r="1458" spans="1:29" x14ac:dyDescent="0.3">
      <c r="A1458">
        <v>4042</v>
      </c>
      <c r="B1458">
        <v>1971</v>
      </c>
      <c r="C1458" t="s">
        <v>29</v>
      </c>
      <c r="D1458" t="s">
        <v>35</v>
      </c>
      <c r="E1458">
        <v>43300</v>
      </c>
      <c r="F1458">
        <v>0</v>
      </c>
      <c r="G1458">
        <v>1</v>
      </c>
      <c r="H1458" s="1">
        <v>41195</v>
      </c>
      <c r="I1458">
        <v>87</v>
      </c>
      <c r="J1458">
        <v>91</v>
      </c>
      <c r="K1458">
        <v>3</v>
      </c>
      <c r="L1458">
        <v>52</v>
      </c>
      <c r="M1458">
        <v>2</v>
      </c>
      <c r="N1458">
        <v>1</v>
      </c>
      <c r="O1458">
        <v>31</v>
      </c>
      <c r="P1458">
        <v>3</v>
      </c>
      <c r="Q1458">
        <v>4</v>
      </c>
      <c r="R1458">
        <v>0</v>
      </c>
      <c r="S1458">
        <v>4</v>
      </c>
      <c r="T1458">
        <v>8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3</v>
      </c>
      <c r="AB1458">
        <v>11</v>
      </c>
      <c r="AC1458">
        <v>1</v>
      </c>
    </row>
    <row r="1459" spans="1:29" x14ac:dyDescent="0.3">
      <c r="A1459">
        <v>2157</v>
      </c>
      <c r="B1459">
        <v>1972</v>
      </c>
      <c r="C1459" t="s">
        <v>29</v>
      </c>
      <c r="D1459" t="s">
        <v>31</v>
      </c>
      <c r="E1459">
        <v>26290</v>
      </c>
      <c r="F1459">
        <v>1</v>
      </c>
      <c r="G1459">
        <v>1</v>
      </c>
      <c r="H1459" s="1">
        <v>41286</v>
      </c>
      <c r="I1459">
        <v>49</v>
      </c>
      <c r="J1459">
        <v>15</v>
      </c>
      <c r="K1459">
        <v>8</v>
      </c>
      <c r="L1459">
        <v>16</v>
      </c>
      <c r="M1459">
        <v>11</v>
      </c>
      <c r="N1459">
        <v>5</v>
      </c>
      <c r="O1459">
        <v>22</v>
      </c>
      <c r="P1459">
        <v>4</v>
      </c>
      <c r="Q1459">
        <v>2</v>
      </c>
      <c r="R1459">
        <v>0</v>
      </c>
      <c r="S1459">
        <v>4</v>
      </c>
      <c r="T1459">
        <v>6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3</v>
      </c>
      <c r="AB1459">
        <v>11</v>
      </c>
      <c r="AC1459">
        <v>0</v>
      </c>
    </row>
    <row r="1460" spans="1:29" x14ac:dyDescent="0.3">
      <c r="A1460">
        <v>10133</v>
      </c>
      <c r="B1460">
        <v>1970</v>
      </c>
      <c r="C1460" t="s">
        <v>29</v>
      </c>
      <c r="D1460" t="s">
        <v>30</v>
      </c>
      <c r="E1460">
        <v>93790</v>
      </c>
      <c r="F1460">
        <v>0</v>
      </c>
      <c r="G1460">
        <v>0</v>
      </c>
      <c r="H1460" s="1">
        <v>41682</v>
      </c>
      <c r="I1460">
        <v>16</v>
      </c>
      <c r="J1460">
        <v>1302</v>
      </c>
      <c r="K1460">
        <v>68</v>
      </c>
      <c r="L1460">
        <v>731</v>
      </c>
      <c r="M1460">
        <v>89</v>
      </c>
      <c r="N1460">
        <v>114</v>
      </c>
      <c r="O1460">
        <v>45</v>
      </c>
      <c r="P1460">
        <v>0</v>
      </c>
      <c r="Q1460">
        <v>6</v>
      </c>
      <c r="R1460">
        <v>7</v>
      </c>
      <c r="S1460">
        <v>12</v>
      </c>
      <c r="T1460">
        <v>2</v>
      </c>
      <c r="U1460">
        <v>0</v>
      </c>
      <c r="V1460">
        <v>1</v>
      </c>
      <c r="W1460">
        <v>1</v>
      </c>
      <c r="X1460">
        <v>1</v>
      </c>
      <c r="Y1460">
        <v>0</v>
      </c>
      <c r="Z1460">
        <v>0</v>
      </c>
      <c r="AA1460">
        <v>3</v>
      </c>
      <c r="AB1460">
        <v>11</v>
      </c>
      <c r="AC1460">
        <v>1</v>
      </c>
    </row>
    <row r="1461" spans="1:29" x14ac:dyDescent="0.3">
      <c r="A1461">
        <v>2525</v>
      </c>
      <c r="B1461">
        <v>1974</v>
      </c>
      <c r="C1461" t="s">
        <v>32</v>
      </c>
      <c r="D1461" t="s">
        <v>33</v>
      </c>
      <c r="E1461">
        <v>38410</v>
      </c>
      <c r="F1461">
        <v>0</v>
      </c>
      <c r="G1461">
        <v>0</v>
      </c>
      <c r="H1461" s="1">
        <v>41166</v>
      </c>
      <c r="I1461">
        <v>65</v>
      </c>
      <c r="J1461">
        <v>153</v>
      </c>
      <c r="K1461">
        <v>64</v>
      </c>
      <c r="L1461">
        <v>123</v>
      </c>
      <c r="M1461">
        <v>116</v>
      </c>
      <c r="N1461">
        <v>64</v>
      </c>
      <c r="O1461">
        <v>14</v>
      </c>
      <c r="P1461">
        <v>2</v>
      </c>
      <c r="Q1461">
        <v>5</v>
      </c>
      <c r="R1461">
        <v>2</v>
      </c>
      <c r="S1461">
        <v>9</v>
      </c>
      <c r="T1461">
        <v>6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3</v>
      </c>
      <c r="AB1461">
        <v>11</v>
      </c>
      <c r="AC1461">
        <v>1</v>
      </c>
    </row>
    <row r="1462" spans="1:29" x14ac:dyDescent="0.3">
      <c r="A1462">
        <v>8233</v>
      </c>
      <c r="B1462">
        <v>1950</v>
      </c>
      <c r="C1462" t="s">
        <v>34</v>
      </c>
      <c r="D1462" t="s">
        <v>38</v>
      </c>
      <c r="E1462">
        <v>64866</v>
      </c>
      <c r="F1462">
        <v>0</v>
      </c>
      <c r="G1462">
        <v>1</v>
      </c>
      <c r="H1462" s="1">
        <v>41665</v>
      </c>
      <c r="I1462">
        <v>9</v>
      </c>
      <c r="J1462">
        <v>508</v>
      </c>
      <c r="K1462">
        <v>5</v>
      </c>
      <c r="L1462">
        <v>21</v>
      </c>
      <c r="M1462">
        <v>7</v>
      </c>
      <c r="N1462">
        <v>5</v>
      </c>
      <c r="O1462">
        <v>10</v>
      </c>
      <c r="P1462">
        <v>4</v>
      </c>
      <c r="Q1462">
        <v>7</v>
      </c>
      <c r="R1462">
        <v>3</v>
      </c>
      <c r="S1462">
        <v>7</v>
      </c>
      <c r="T1462">
        <v>5</v>
      </c>
      <c r="U1462">
        <v>0</v>
      </c>
      <c r="V1462">
        <v>1</v>
      </c>
      <c r="W1462">
        <v>0</v>
      </c>
      <c r="X1462">
        <v>0</v>
      </c>
      <c r="Y1462">
        <v>0</v>
      </c>
      <c r="Z1462">
        <v>0</v>
      </c>
      <c r="AA1462">
        <v>3</v>
      </c>
      <c r="AB1462">
        <v>11</v>
      </c>
      <c r="AC1462">
        <v>0</v>
      </c>
    </row>
    <row r="1463" spans="1:29" x14ac:dyDescent="0.3">
      <c r="A1463">
        <v>9483</v>
      </c>
      <c r="B1463">
        <v>1959</v>
      </c>
      <c r="C1463" t="s">
        <v>29</v>
      </c>
      <c r="D1463" t="s">
        <v>31</v>
      </c>
      <c r="E1463">
        <v>57957</v>
      </c>
      <c r="F1463">
        <v>0</v>
      </c>
      <c r="G1463">
        <v>1</v>
      </c>
      <c r="H1463" s="1">
        <v>41505</v>
      </c>
      <c r="I1463">
        <v>24</v>
      </c>
      <c r="J1463">
        <v>290</v>
      </c>
      <c r="K1463">
        <v>59</v>
      </c>
      <c r="L1463">
        <v>177</v>
      </c>
      <c r="M1463">
        <v>77</v>
      </c>
      <c r="N1463">
        <v>5</v>
      </c>
      <c r="O1463">
        <v>29</v>
      </c>
      <c r="P1463">
        <v>7</v>
      </c>
      <c r="Q1463">
        <v>4</v>
      </c>
      <c r="R1463">
        <v>6</v>
      </c>
      <c r="S1463">
        <v>8</v>
      </c>
      <c r="T1463">
        <v>3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1</v>
      </c>
      <c r="AA1463">
        <v>3</v>
      </c>
      <c r="AB1463">
        <v>11</v>
      </c>
      <c r="AC1463">
        <v>0</v>
      </c>
    </row>
    <row r="1464" spans="1:29" x14ac:dyDescent="0.3">
      <c r="A1464">
        <v>2945</v>
      </c>
      <c r="B1464">
        <v>1955</v>
      </c>
      <c r="C1464" t="s">
        <v>32</v>
      </c>
      <c r="D1464" t="s">
        <v>31</v>
      </c>
      <c r="E1464">
        <v>46015</v>
      </c>
      <c r="F1464">
        <v>1</v>
      </c>
      <c r="G1464">
        <v>1</v>
      </c>
      <c r="H1464" s="1">
        <v>41742</v>
      </c>
      <c r="I1464">
        <v>25</v>
      </c>
      <c r="J1464">
        <v>38</v>
      </c>
      <c r="K1464">
        <v>0</v>
      </c>
      <c r="L1464">
        <v>2</v>
      </c>
      <c r="M1464">
        <v>0</v>
      </c>
      <c r="N1464">
        <v>0</v>
      </c>
      <c r="O1464">
        <v>6</v>
      </c>
      <c r="P1464">
        <v>1</v>
      </c>
      <c r="Q1464">
        <v>1</v>
      </c>
      <c r="R1464">
        <v>0</v>
      </c>
      <c r="S1464">
        <v>3</v>
      </c>
      <c r="T1464">
        <v>7</v>
      </c>
      <c r="U1464">
        <v>1</v>
      </c>
      <c r="V1464">
        <v>0</v>
      </c>
      <c r="W1464">
        <v>0</v>
      </c>
      <c r="X1464">
        <v>0</v>
      </c>
      <c r="Y1464">
        <v>1</v>
      </c>
      <c r="Z1464">
        <v>0</v>
      </c>
      <c r="AA1464">
        <v>3</v>
      </c>
      <c r="AB1464">
        <v>11</v>
      </c>
      <c r="AC1464">
        <v>0</v>
      </c>
    </row>
    <row r="1465" spans="1:29" x14ac:dyDescent="0.3">
      <c r="A1465">
        <v>10403</v>
      </c>
      <c r="B1465">
        <v>1978</v>
      </c>
      <c r="C1465" t="s">
        <v>29</v>
      </c>
      <c r="D1465" t="s">
        <v>31</v>
      </c>
      <c r="E1465">
        <v>16531</v>
      </c>
      <c r="F1465">
        <v>1</v>
      </c>
      <c r="G1465">
        <v>0</v>
      </c>
      <c r="H1465" s="1">
        <v>41808</v>
      </c>
      <c r="I1465">
        <v>43</v>
      </c>
      <c r="J1465">
        <v>2</v>
      </c>
      <c r="K1465">
        <v>13</v>
      </c>
      <c r="L1465">
        <v>6</v>
      </c>
      <c r="M1465">
        <v>7</v>
      </c>
      <c r="N1465">
        <v>5</v>
      </c>
      <c r="O1465">
        <v>11</v>
      </c>
      <c r="P1465">
        <v>3</v>
      </c>
      <c r="Q1465">
        <v>3</v>
      </c>
      <c r="R1465">
        <v>0</v>
      </c>
      <c r="S1465">
        <v>3</v>
      </c>
      <c r="T1465">
        <v>7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3</v>
      </c>
      <c r="AB1465">
        <v>11</v>
      </c>
      <c r="AC1465">
        <v>0</v>
      </c>
    </row>
    <row r="1466" spans="1:29" x14ac:dyDescent="0.3">
      <c r="A1466">
        <v>5074</v>
      </c>
      <c r="B1466">
        <v>1986</v>
      </c>
      <c r="C1466" t="s">
        <v>34</v>
      </c>
      <c r="D1466" t="s">
        <v>33</v>
      </c>
      <c r="E1466">
        <v>28072</v>
      </c>
      <c r="F1466">
        <v>1</v>
      </c>
      <c r="G1466">
        <v>0</v>
      </c>
      <c r="H1466" s="1">
        <v>41463</v>
      </c>
      <c r="I1466">
        <v>10</v>
      </c>
      <c r="J1466">
        <v>30</v>
      </c>
      <c r="K1466">
        <v>0</v>
      </c>
      <c r="L1466">
        <v>10</v>
      </c>
      <c r="M1466">
        <v>2</v>
      </c>
      <c r="N1466">
        <v>0</v>
      </c>
      <c r="O1466">
        <v>5</v>
      </c>
      <c r="P1466">
        <v>1</v>
      </c>
      <c r="Q1466">
        <v>1</v>
      </c>
      <c r="R1466">
        <v>0</v>
      </c>
      <c r="S1466">
        <v>3</v>
      </c>
      <c r="T1466">
        <v>7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3</v>
      </c>
      <c r="AB1466">
        <v>11</v>
      </c>
      <c r="AC1466">
        <v>0</v>
      </c>
    </row>
    <row r="1467" spans="1:29" x14ac:dyDescent="0.3">
      <c r="A1467">
        <v>10524</v>
      </c>
      <c r="B1467">
        <v>1963</v>
      </c>
      <c r="C1467" t="s">
        <v>34</v>
      </c>
      <c r="D1467" t="s">
        <v>35</v>
      </c>
      <c r="E1467">
        <v>49476</v>
      </c>
      <c r="F1467">
        <v>0</v>
      </c>
      <c r="G1467">
        <v>1</v>
      </c>
      <c r="H1467" s="1">
        <v>41445</v>
      </c>
      <c r="I1467">
        <v>29</v>
      </c>
      <c r="J1467">
        <v>386</v>
      </c>
      <c r="K1467">
        <v>23</v>
      </c>
      <c r="L1467">
        <v>95</v>
      </c>
      <c r="M1467">
        <v>54</v>
      </c>
      <c r="N1467">
        <v>41</v>
      </c>
      <c r="O1467">
        <v>196</v>
      </c>
      <c r="P1467">
        <v>4</v>
      </c>
      <c r="Q1467">
        <v>2</v>
      </c>
      <c r="R1467">
        <v>11</v>
      </c>
      <c r="S1467">
        <v>5</v>
      </c>
      <c r="T1467">
        <v>2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3</v>
      </c>
      <c r="AB1467">
        <v>11</v>
      </c>
      <c r="AC1467">
        <v>0</v>
      </c>
    </row>
    <row r="1468" spans="1:29" x14ac:dyDescent="0.3">
      <c r="A1468">
        <v>4690</v>
      </c>
      <c r="B1468">
        <v>1953</v>
      </c>
      <c r="C1468" t="s">
        <v>29</v>
      </c>
      <c r="D1468" t="s">
        <v>33</v>
      </c>
      <c r="E1468">
        <v>50725</v>
      </c>
      <c r="F1468">
        <v>0</v>
      </c>
      <c r="G1468">
        <v>1</v>
      </c>
      <c r="H1468" s="1">
        <v>41318</v>
      </c>
      <c r="I1468">
        <v>45</v>
      </c>
      <c r="J1468">
        <v>443</v>
      </c>
      <c r="K1468">
        <v>10</v>
      </c>
      <c r="L1468">
        <v>75</v>
      </c>
      <c r="M1468">
        <v>0</v>
      </c>
      <c r="N1468">
        <v>10</v>
      </c>
      <c r="O1468">
        <v>48</v>
      </c>
      <c r="P1468">
        <v>4</v>
      </c>
      <c r="Q1468">
        <v>8</v>
      </c>
      <c r="R1468">
        <v>1</v>
      </c>
      <c r="S1468">
        <v>8</v>
      </c>
      <c r="T1468">
        <v>8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3</v>
      </c>
      <c r="AB1468">
        <v>11</v>
      </c>
      <c r="AC1468">
        <v>0</v>
      </c>
    </row>
    <row r="1469" spans="1:29" x14ac:dyDescent="0.3">
      <c r="A1469">
        <v>7521</v>
      </c>
      <c r="B1469">
        <v>1952</v>
      </c>
      <c r="C1469" t="s">
        <v>29</v>
      </c>
      <c r="D1469" t="s">
        <v>31</v>
      </c>
      <c r="E1469">
        <v>83844</v>
      </c>
      <c r="F1469">
        <v>0</v>
      </c>
      <c r="G1469">
        <v>0</v>
      </c>
      <c r="H1469" s="1">
        <v>41406</v>
      </c>
      <c r="I1469">
        <v>57</v>
      </c>
      <c r="J1469">
        <v>901</v>
      </c>
      <c r="K1469">
        <v>31</v>
      </c>
      <c r="L1469">
        <v>345</v>
      </c>
      <c r="M1469">
        <v>75</v>
      </c>
      <c r="N1469">
        <v>31</v>
      </c>
      <c r="O1469">
        <v>191</v>
      </c>
      <c r="P1469">
        <v>1</v>
      </c>
      <c r="Q1469">
        <v>4</v>
      </c>
      <c r="R1469">
        <v>4</v>
      </c>
      <c r="S1469">
        <v>11</v>
      </c>
      <c r="T1469">
        <v>1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3</v>
      </c>
      <c r="AB1469">
        <v>11</v>
      </c>
      <c r="AC1469">
        <v>0</v>
      </c>
    </row>
    <row r="1470" spans="1:29" x14ac:dyDescent="0.3">
      <c r="A1470">
        <v>7196</v>
      </c>
      <c r="B1470">
        <v>1950</v>
      </c>
      <c r="C1470" t="s">
        <v>32</v>
      </c>
      <c r="D1470" t="s">
        <v>33</v>
      </c>
      <c r="E1470">
        <v>41145</v>
      </c>
      <c r="F1470">
        <v>1</v>
      </c>
      <c r="G1470">
        <v>1</v>
      </c>
      <c r="H1470" s="1">
        <v>41678</v>
      </c>
      <c r="I1470">
        <v>20</v>
      </c>
      <c r="J1470">
        <v>9</v>
      </c>
      <c r="K1470">
        <v>0</v>
      </c>
      <c r="L1470">
        <v>3</v>
      </c>
      <c r="M1470">
        <v>0</v>
      </c>
      <c r="N1470">
        <v>0</v>
      </c>
      <c r="O1470">
        <v>1</v>
      </c>
      <c r="P1470">
        <v>1</v>
      </c>
      <c r="Q1470">
        <v>0</v>
      </c>
      <c r="R1470">
        <v>0</v>
      </c>
      <c r="S1470">
        <v>3</v>
      </c>
      <c r="T1470">
        <v>3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3</v>
      </c>
      <c r="AB1470">
        <v>11</v>
      </c>
      <c r="AC1470">
        <v>0</v>
      </c>
    </row>
    <row r="1471" spans="1:29" x14ac:dyDescent="0.3">
      <c r="A1471">
        <v>4406</v>
      </c>
      <c r="B1471">
        <v>1970</v>
      </c>
      <c r="C1471" t="s">
        <v>29</v>
      </c>
      <c r="D1471" t="s">
        <v>31</v>
      </c>
      <c r="E1471">
        <v>67419</v>
      </c>
      <c r="F1471">
        <v>0</v>
      </c>
      <c r="G1471">
        <v>1</v>
      </c>
      <c r="H1471" s="1">
        <v>41290</v>
      </c>
      <c r="I1471">
        <v>29</v>
      </c>
      <c r="J1471">
        <v>846</v>
      </c>
      <c r="K1471">
        <v>84</v>
      </c>
      <c r="L1471">
        <v>352</v>
      </c>
      <c r="M1471">
        <v>91</v>
      </c>
      <c r="N1471">
        <v>56</v>
      </c>
      <c r="O1471">
        <v>42</v>
      </c>
      <c r="P1471">
        <v>4</v>
      </c>
      <c r="Q1471">
        <v>9</v>
      </c>
      <c r="R1471">
        <v>4</v>
      </c>
      <c r="S1471">
        <v>8</v>
      </c>
      <c r="T1471">
        <v>5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3</v>
      </c>
      <c r="AB1471">
        <v>11</v>
      </c>
      <c r="AC1471">
        <v>0</v>
      </c>
    </row>
    <row r="1472" spans="1:29" x14ac:dyDescent="0.3">
      <c r="A1472">
        <v>9672</v>
      </c>
      <c r="B1472">
        <v>1970</v>
      </c>
      <c r="C1472" t="s">
        <v>37</v>
      </c>
      <c r="D1472" t="s">
        <v>33</v>
      </c>
      <c r="E1472">
        <v>23162</v>
      </c>
      <c r="F1472">
        <v>1</v>
      </c>
      <c r="G1472">
        <v>1</v>
      </c>
      <c r="H1472" s="1">
        <v>41629</v>
      </c>
      <c r="I1472">
        <v>82</v>
      </c>
      <c r="J1472">
        <v>8</v>
      </c>
      <c r="K1472">
        <v>3</v>
      </c>
      <c r="L1472">
        <v>9</v>
      </c>
      <c r="M1472">
        <v>19</v>
      </c>
      <c r="N1472">
        <v>4</v>
      </c>
      <c r="O1472">
        <v>22</v>
      </c>
      <c r="P1472">
        <v>3</v>
      </c>
      <c r="Q1472">
        <v>1</v>
      </c>
      <c r="R1472">
        <v>1</v>
      </c>
      <c r="S1472">
        <v>3</v>
      </c>
      <c r="T1472">
        <v>6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3</v>
      </c>
      <c r="AB1472">
        <v>11</v>
      </c>
      <c r="AC1472">
        <v>0</v>
      </c>
    </row>
    <row r="1473" spans="1:29" x14ac:dyDescent="0.3">
      <c r="A1473">
        <v>4864</v>
      </c>
      <c r="B1473">
        <v>1977</v>
      </c>
      <c r="C1473" t="s">
        <v>29</v>
      </c>
      <c r="D1473" t="s">
        <v>33</v>
      </c>
      <c r="E1473">
        <v>34380</v>
      </c>
      <c r="F1473">
        <v>1</v>
      </c>
      <c r="G1473">
        <v>0</v>
      </c>
      <c r="H1473" s="1">
        <v>41396</v>
      </c>
      <c r="I1473">
        <v>68</v>
      </c>
      <c r="J1473">
        <v>72</v>
      </c>
      <c r="K1473">
        <v>7</v>
      </c>
      <c r="L1473">
        <v>58</v>
      </c>
      <c r="M1473">
        <v>13</v>
      </c>
      <c r="N1473">
        <v>1</v>
      </c>
      <c r="O1473">
        <v>24</v>
      </c>
      <c r="P1473">
        <v>4</v>
      </c>
      <c r="Q1473">
        <v>4</v>
      </c>
      <c r="R1473">
        <v>1</v>
      </c>
      <c r="S1473">
        <v>3</v>
      </c>
      <c r="T1473">
        <v>8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3</v>
      </c>
      <c r="AB1473">
        <v>11</v>
      </c>
      <c r="AC1473">
        <v>0</v>
      </c>
    </row>
    <row r="1474" spans="1:29" x14ac:dyDescent="0.3">
      <c r="A1474">
        <v>4706</v>
      </c>
      <c r="B1474">
        <v>1966</v>
      </c>
      <c r="C1474" t="s">
        <v>29</v>
      </c>
      <c r="D1474" t="s">
        <v>30</v>
      </c>
      <c r="E1474">
        <v>34704</v>
      </c>
      <c r="F1474">
        <v>0</v>
      </c>
      <c r="G1474">
        <v>1</v>
      </c>
      <c r="H1474" s="1">
        <v>41391</v>
      </c>
      <c r="I1474">
        <v>65</v>
      </c>
      <c r="J1474">
        <v>29</v>
      </c>
      <c r="K1474">
        <v>0</v>
      </c>
      <c r="L1474">
        <v>5</v>
      </c>
      <c r="M1474">
        <v>0</v>
      </c>
      <c r="N1474">
        <v>1</v>
      </c>
      <c r="O1474">
        <v>5</v>
      </c>
      <c r="P1474">
        <v>1</v>
      </c>
      <c r="Q1474">
        <v>1</v>
      </c>
      <c r="R1474">
        <v>0</v>
      </c>
      <c r="S1474">
        <v>3</v>
      </c>
      <c r="T1474">
        <v>5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3</v>
      </c>
      <c r="AB1474">
        <v>11</v>
      </c>
      <c r="AC1474">
        <v>0</v>
      </c>
    </row>
    <row r="1475" spans="1:29" x14ac:dyDescent="0.3">
      <c r="A1475">
        <v>4070</v>
      </c>
      <c r="B1475">
        <v>1969</v>
      </c>
      <c r="C1475" t="s">
        <v>32</v>
      </c>
      <c r="D1475" t="s">
        <v>33</v>
      </c>
      <c r="E1475">
        <v>94871</v>
      </c>
      <c r="F1475">
        <v>0</v>
      </c>
      <c r="G1475">
        <v>2</v>
      </c>
      <c r="H1475" s="1">
        <v>41153</v>
      </c>
      <c r="I1475">
        <v>99</v>
      </c>
      <c r="J1475">
        <v>169</v>
      </c>
      <c r="K1475">
        <v>24</v>
      </c>
      <c r="L1475">
        <v>553</v>
      </c>
      <c r="M1475">
        <v>188</v>
      </c>
      <c r="N1475">
        <v>0</v>
      </c>
      <c r="O1475">
        <v>144</v>
      </c>
      <c r="P1475">
        <v>1</v>
      </c>
      <c r="Q1475">
        <v>8</v>
      </c>
      <c r="R1475">
        <v>5</v>
      </c>
      <c r="S1475">
        <v>4</v>
      </c>
      <c r="T1475">
        <v>7</v>
      </c>
      <c r="U1475">
        <v>0</v>
      </c>
      <c r="V1475">
        <v>1</v>
      </c>
      <c r="W1475">
        <v>1</v>
      </c>
      <c r="X1475">
        <v>0</v>
      </c>
      <c r="Y1475">
        <v>0</v>
      </c>
      <c r="Z1475">
        <v>0</v>
      </c>
      <c r="AA1475">
        <v>3</v>
      </c>
      <c r="AB1475">
        <v>11</v>
      </c>
      <c r="AC1475">
        <v>1</v>
      </c>
    </row>
    <row r="1476" spans="1:29" x14ac:dyDescent="0.3">
      <c r="A1476">
        <v>25</v>
      </c>
      <c r="B1476">
        <v>1958</v>
      </c>
      <c r="C1476" t="s">
        <v>29</v>
      </c>
      <c r="D1476" t="s">
        <v>33</v>
      </c>
      <c r="E1476">
        <v>65148</v>
      </c>
      <c r="F1476">
        <v>0</v>
      </c>
      <c r="G1476">
        <v>1</v>
      </c>
      <c r="H1476" s="1">
        <v>41229</v>
      </c>
      <c r="I1476">
        <v>9</v>
      </c>
      <c r="J1476">
        <v>460</v>
      </c>
      <c r="K1476">
        <v>35</v>
      </c>
      <c r="L1476">
        <v>422</v>
      </c>
      <c r="M1476">
        <v>33</v>
      </c>
      <c r="N1476">
        <v>12</v>
      </c>
      <c r="O1476">
        <v>153</v>
      </c>
      <c r="P1476">
        <v>2</v>
      </c>
      <c r="Q1476">
        <v>6</v>
      </c>
      <c r="R1476">
        <v>6</v>
      </c>
      <c r="S1476">
        <v>7</v>
      </c>
      <c r="T1476">
        <v>4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3</v>
      </c>
      <c r="AB1476">
        <v>11</v>
      </c>
      <c r="AC1476">
        <v>0</v>
      </c>
    </row>
    <row r="1477" spans="1:29" x14ac:dyDescent="0.3">
      <c r="A1477">
        <v>3697</v>
      </c>
      <c r="B1477">
        <v>1954</v>
      </c>
      <c r="C1477" t="s">
        <v>29</v>
      </c>
      <c r="D1477" t="s">
        <v>31</v>
      </c>
      <c r="E1477">
        <v>39898</v>
      </c>
      <c r="F1477">
        <v>0</v>
      </c>
      <c r="G1477">
        <v>1</v>
      </c>
      <c r="H1477" s="1">
        <v>41317</v>
      </c>
      <c r="I1477">
        <v>20</v>
      </c>
      <c r="J1477">
        <v>69</v>
      </c>
      <c r="K1477">
        <v>8</v>
      </c>
      <c r="L1477">
        <v>26</v>
      </c>
      <c r="M1477">
        <v>12</v>
      </c>
      <c r="N1477">
        <v>7</v>
      </c>
      <c r="O1477">
        <v>12</v>
      </c>
      <c r="P1477">
        <v>2</v>
      </c>
      <c r="Q1477">
        <v>3</v>
      </c>
      <c r="R1477">
        <v>0</v>
      </c>
      <c r="S1477">
        <v>4</v>
      </c>
      <c r="T1477">
        <v>7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3</v>
      </c>
      <c r="AB1477">
        <v>11</v>
      </c>
      <c r="AC1477">
        <v>0</v>
      </c>
    </row>
    <row r="1478" spans="1:29" x14ac:dyDescent="0.3">
      <c r="A1478">
        <v>217</v>
      </c>
      <c r="B1478">
        <v>1956</v>
      </c>
      <c r="C1478" t="s">
        <v>34</v>
      </c>
      <c r="D1478" t="s">
        <v>30</v>
      </c>
      <c r="E1478">
        <v>64857</v>
      </c>
      <c r="F1478">
        <v>0</v>
      </c>
      <c r="G1478">
        <v>0</v>
      </c>
      <c r="H1478" s="1">
        <v>41236</v>
      </c>
      <c r="I1478">
        <v>78</v>
      </c>
      <c r="J1478">
        <v>556</v>
      </c>
      <c r="K1478">
        <v>14</v>
      </c>
      <c r="L1478">
        <v>717</v>
      </c>
      <c r="M1478">
        <v>210</v>
      </c>
      <c r="N1478">
        <v>0</v>
      </c>
      <c r="O1478">
        <v>43</v>
      </c>
      <c r="P1478">
        <v>1</v>
      </c>
      <c r="Q1478">
        <v>7</v>
      </c>
      <c r="R1478">
        <v>5</v>
      </c>
      <c r="S1478">
        <v>10</v>
      </c>
      <c r="T1478">
        <v>4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3</v>
      </c>
      <c r="AB1478">
        <v>11</v>
      </c>
      <c r="AC1478">
        <v>0</v>
      </c>
    </row>
    <row r="1479" spans="1:29" x14ac:dyDescent="0.3">
      <c r="A1479">
        <v>4220</v>
      </c>
      <c r="B1479">
        <v>1970</v>
      </c>
      <c r="C1479" t="s">
        <v>32</v>
      </c>
      <c r="D1479" t="s">
        <v>33</v>
      </c>
      <c r="E1479">
        <v>59892</v>
      </c>
      <c r="F1479">
        <v>0</v>
      </c>
      <c r="G1479">
        <v>1</v>
      </c>
      <c r="H1479" s="1">
        <v>41580</v>
      </c>
      <c r="I1479">
        <v>26</v>
      </c>
      <c r="J1479">
        <v>73</v>
      </c>
      <c r="K1479">
        <v>0</v>
      </c>
      <c r="L1479">
        <v>13</v>
      </c>
      <c r="M1479">
        <v>0</v>
      </c>
      <c r="N1479">
        <v>1</v>
      </c>
      <c r="O1479">
        <v>0</v>
      </c>
      <c r="P1479">
        <v>1</v>
      </c>
      <c r="Q1479">
        <v>2</v>
      </c>
      <c r="R1479">
        <v>1</v>
      </c>
      <c r="S1479">
        <v>3</v>
      </c>
      <c r="T1479">
        <v>3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3</v>
      </c>
      <c r="AB1479">
        <v>11</v>
      </c>
      <c r="AC1479">
        <v>0</v>
      </c>
    </row>
    <row r="1480" spans="1:29" x14ac:dyDescent="0.3">
      <c r="A1480">
        <v>5286</v>
      </c>
      <c r="B1480">
        <v>1987</v>
      </c>
      <c r="C1480" t="s">
        <v>34</v>
      </c>
      <c r="D1480" t="s">
        <v>30</v>
      </c>
      <c r="E1480">
        <v>41020</v>
      </c>
      <c r="F1480">
        <v>0</v>
      </c>
      <c r="G1480">
        <v>0</v>
      </c>
      <c r="H1480" s="1">
        <v>41575</v>
      </c>
      <c r="I1480">
        <v>68</v>
      </c>
      <c r="J1480">
        <v>112</v>
      </c>
      <c r="K1480">
        <v>1</v>
      </c>
      <c r="L1480">
        <v>54</v>
      </c>
      <c r="M1480">
        <v>7</v>
      </c>
      <c r="N1480">
        <v>7</v>
      </c>
      <c r="O1480">
        <v>36</v>
      </c>
      <c r="P1480">
        <v>1</v>
      </c>
      <c r="Q1480">
        <v>3</v>
      </c>
      <c r="R1480">
        <v>2</v>
      </c>
      <c r="S1480">
        <v>4</v>
      </c>
      <c r="T1480">
        <v>3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3</v>
      </c>
      <c r="AB1480">
        <v>11</v>
      </c>
      <c r="AC1480">
        <v>0</v>
      </c>
    </row>
    <row r="1481" spans="1:29" x14ac:dyDescent="0.3">
      <c r="A1481">
        <v>9559</v>
      </c>
      <c r="B1481">
        <v>1961</v>
      </c>
      <c r="C1481" t="s">
        <v>32</v>
      </c>
      <c r="D1481" t="s">
        <v>33</v>
      </c>
      <c r="E1481">
        <v>57072</v>
      </c>
      <c r="F1481">
        <v>0</v>
      </c>
      <c r="G1481">
        <v>1</v>
      </c>
      <c r="H1481" s="1">
        <v>41663</v>
      </c>
      <c r="I1481">
        <v>79</v>
      </c>
      <c r="J1481">
        <v>944</v>
      </c>
      <c r="K1481">
        <v>0</v>
      </c>
      <c r="L1481">
        <v>60</v>
      </c>
      <c r="M1481">
        <v>0</v>
      </c>
      <c r="N1481">
        <v>0</v>
      </c>
      <c r="O1481">
        <v>30</v>
      </c>
      <c r="P1481">
        <v>2</v>
      </c>
      <c r="Q1481">
        <v>7</v>
      </c>
      <c r="R1481">
        <v>5</v>
      </c>
      <c r="S1481">
        <v>13</v>
      </c>
      <c r="T1481">
        <v>5</v>
      </c>
      <c r="U1481">
        <v>1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3</v>
      </c>
      <c r="AB1481">
        <v>11</v>
      </c>
      <c r="AC1481">
        <v>0</v>
      </c>
    </row>
    <row r="1482" spans="1:29" x14ac:dyDescent="0.3">
      <c r="A1482">
        <v>2849</v>
      </c>
      <c r="B1482">
        <v>1979</v>
      </c>
      <c r="C1482" t="s">
        <v>29</v>
      </c>
      <c r="D1482" t="s">
        <v>30</v>
      </c>
      <c r="E1482">
        <v>60474</v>
      </c>
      <c r="F1482">
        <v>0</v>
      </c>
      <c r="G1482">
        <v>1</v>
      </c>
      <c r="H1482" s="1">
        <v>41365</v>
      </c>
      <c r="I1482">
        <v>25</v>
      </c>
      <c r="J1482">
        <v>265</v>
      </c>
      <c r="K1482">
        <v>199</v>
      </c>
      <c r="L1482">
        <v>303</v>
      </c>
      <c r="M1482">
        <v>234</v>
      </c>
      <c r="N1482">
        <v>9</v>
      </c>
      <c r="O1482">
        <v>170</v>
      </c>
      <c r="P1482">
        <v>7</v>
      </c>
      <c r="Q1482">
        <v>10</v>
      </c>
      <c r="R1482">
        <v>2</v>
      </c>
      <c r="S1482">
        <v>12</v>
      </c>
      <c r="T1482">
        <v>7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3</v>
      </c>
      <c r="AB1482">
        <v>11</v>
      </c>
      <c r="AC1482">
        <v>0</v>
      </c>
    </row>
    <row r="1483" spans="1:29" x14ac:dyDescent="0.3">
      <c r="A1483">
        <v>7787</v>
      </c>
      <c r="B1483">
        <v>1960</v>
      </c>
      <c r="C1483" t="s">
        <v>29</v>
      </c>
      <c r="D1483" t="s">
        <v>31</v>
      </c>
      <c r="E1483">
        <v>62807</v>
      </c>
      <c r="F1483">
        <v>0</v>
      </c>
      <c r="G1483">
        <v>1</v>
      </c>
      <c r="H1483" s="1">
        <v>41152</v>
      </c>
      <c r="I1483">
        <v>83</v>
      </c>
      <c r="J1483">
        <v>526</v>
      </c>
      <c r="K1483">
        <v>28</v>
      </c>
      <c r="L1483">
        <v>135</v>
      </c>
      <c r="M1483">
        <v>10</v>
      </c>
      <c r="N1483">
        <v>21</v>
      </c>
      <c r="O1483">
        <v>99</v>
      </c>
      <c r="P1483">
        <v>3</v>
      </c>
      <c r="Q1483">
        <v>5</v>
      </c>
      <c r="R1483">
        <v>3</v>
      </c>
      <c r="S1483">
        <v>12</v>
      </c>
      <c r="T1483">
        <v>5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3</v>
      </c>
      <c r="AB1483">
        <v>11</v>
      </c>
      <c r="AC1483">
        <v>0</v>
      </c>
    </row>
    <row r="1484" spans="1:29" x14ac:dyDescent="0.3">
      <c r="A1484">
        <v>3102</v>
      </c>
      <c r="B1484">
        <v>1981</v>
      </c>
      <c r="C1484" t="s">
        <v>37</v>
      </c>
      <c r="D1484" t="s">
        <v>31</v>
      </c>
      <c r="E1484">
        <v>19414</v>
      </c>
      <c r="F1484">
        <v>1</v>
      </c>
      <c r="G1484">
        <v>0</v>
      </c>
      <c r="H1484" s="1">
        <v>41563</v>
      </c>
      <c r="I1484">
        <v>32</v>
      </c>
      <c r="J1484">
        <v>2</v>
      </c>
      <c r="K1484">
        <v>3</v>
      </c>
      <c r="L1484">
        <v>12</v>
      </c>
      <c r="M1484">
        <v>3</v>
      </c>
      <c r="N1484">
        <v>5</v>
      </c>
      <c r="O1484">
        <v>7</v>
      </c>
      <c r="P1484">
        <v>1</v>
      </c>
      <c r="Q1484">
        <v>1</v>
      </c>
      <c r="R1484">
        <v>0</v>
      </c>
      <c r="S1484">
        <v>3</v>
      </c>
      <c r="T1484">
        <v>8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3</v>
      </c>
      <c r="AB1484">
        <v>11</v>
      </c>
      <c r="AC1484">
        <v>0</v>
      </c>
    </row>
    <row r="1485" spans="1:29" x14ac:dyDescent="0.3">
      <c r="A1485">
        <v>5868</v>
      </c>
      <c r="B1485">
        <v>1980</v>
      </c>
      <c r="C1485" t="s">
        <v>29</v>
      </c>
      <c r="D1485" t="s">
        <v>33</v>
      </c>
      <c r="E1485">
        <v>19107</v>
      </c>
      <c r="F1485">
        <v>1</v>
      </c>
      <c r="G1485">
        <v>0</v>
      </c>
      <c r="H1485" s="1">
        <v>41508</v>
      </c>
      <c r="I1485">
        <v>49</v>
      </c>
      <c r="J1485">
        <v>2</v>
      </c>
      <c r="K1485">
        <v>4</v>
      </c>
      <c r="L1485">
        <v>9</v>
      </c>
      <c r="M1485">
        <v>10</v>
      </c>
      <c r="N1485">
        <v>5</v>
      </c>
      <c r="O1485">
        <v>16</v>
      </c>
      <c r="P1485">
        <v>2</v>
      </c>
      <c r="Q1485">
        <v>1</v>
      </c>
      <c r="R1485">
        <v>0</v>
      </c>
      <c r="S1485">
        <v>3</v>
      </c>
      <c r="T1485">
        <v>7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3</v>
      </c>
      <c r="AB1485">
        <v>11</v>
      </c>
      <c r="AC1485">
        <v>0</v>
      </c>
    </row>
    <row r="1486" spans="1:29" x14ac:dyDescent="0.3">
      <c r="A1486">
        <v>8370</v>
      </c>
      <c r="B1486">
        <v>1976</v>
      </c>
      <c r="C1486" t="s">
        <v>37</v>
      </c>
      <c r="D1486" t="s">
        <v>31</v>
      </c>
      <c r="E1486">
        <v>75484</v>
      </c>
      <c r="F1486">
        <v>0</v>
      </c>
      <c r="G1486">
        <v>1</v>
      </c>
      <c r="H1486" s="1">
        <v>41123</v>
      </c>
      <c r="I1486">
        <v>50</v>
      </c>
      <c r="J1486">
        <v>378</v>
      </c>
      <c r="K1486">
        <v>97</v>
      </c>
      <c r="L1486">
        <v>259</v>
      </c>
      <c r="M1486">
        <v>197</v>
      </c>
      <c r="N1486">
        <v>194</v>
      </c>
      <c r="O1486">
        <v>34</v>
      </c>
      <c r="P1486">
        <v>2</v>
      </c>
      <c r="Q1486">
        <v>7</v>
      </c>
      <c r="R1486">
        <v>3</v>
      </c>
      <c r="S1486">
        <v>6</v>
      </c>
      <c r="T1486">
        <v>4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3</v>
      </c>
      <c r="AB1486">
        <v>11</v>
      </c>
      <c r="AC1486">
        <v>0</v>
      </c>
    </row>
    <row r="1487" spans="1:29" x14ac:dyDescent="0.3">
      <c r="A1487">
        <v>9988</v>
      </c>
      <c r="B1487">
        <v>1976</v>
      </c>
      <c r="C1487" t="s">
        <v>34</v>
      </c>
      <c r="D1487" t="s">
        <v>30</v>
      </c>
      <c r="E1487">
        <v>70379</v>
      </c>
      <c r="F1487">
        <v>0</v>
      </c>
      <c r="G1487">
        <v>1</v>
      </c>
      <c r="H1487" s="1">
        <v>41336</v>
      </c>
      <c r="I1487">
        <v>84</v>
      </c>
      <c r="J1487">
        <v>553</v>
      </c>
      <c r="K1487">
        <v>25</v>
      </c>
      <c r="L1487">
        <v>142</v>
      </c>
      <c r="M1487">
        <v>65</v>
      </c>
      <c r="N1487">
        <v>67</v>
      </c>
      <c r="O1487">
        <v>8</v>
      </c>
      <c r="P1487">
        <v>3</v>
      </c>
      <c r="Q1487">
        <v>6</v>
      </c>
      <c r="R1487">
        <v>3</v>
      </c>
      <c r="S1487">
        <v>13</v>
      </c>
      <c r="T1487">
        <v>4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3</v>
      </c>
      <c r="AB1487">
        <v>11</v>
      </c>
      <c r="AC1487">
        <v>0</v>
      </c>
    </row>
    <row r="1488" spans="1:29" x14ac:dyDescent="0.3">
      <c r="A1488">
        <v>2939</v>
      </c>
      <c r="B1488">
        <v>1970</v>
      </c>
      <c r="C1488" t="s">
        <v>34</v>
      </c>
      <c r="D1488" t="s">
        <v>31</v>
      </c>
      <c r="E1488">
        <v>79419</v>
      </c>
      <c r="F1488">
        <v>0</v>
      </c>
      <c r="G1488">
        <v>0</v>
      </c>
      <c r="H1488" s="1">
        <v>41812</v>
      </c>
      <c r="I1488">
        <v>96</v>
      </c>
      <c r="J1488">
        <v>751</v>
      </c>
      <c r="K1488">
        <v>127</v>
      </c>
      <c r="L1488">
        <v>687</v>
      </c>
      <c r="M1488">
        <v>20</v>
      </c>
      <c r="N1488">
        <v>15</v>
      </c>
      <c r="O1488">
        <v>31</v>
      </c>
      <c r="P1488">
        <v>1</v>
      </c>
      <c r="Q1488">
        <v>4</v>
      </c>
      <c r="R1488">
        <v>6</v>
      </c>
      <c r="S1488">
        <v>4</v>
      </c>
      <c r="T1488">
        <v>2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3</v>
      </c>
      <c r="AB1488">
        <v>11</v>
      </c>
      <c r="AC1488">
        <v>0</v>
      </c>
    </row>
    <row r="1489" spans="1:29" x14ac:dyDescent="0.3">
      <c r="A1489">
        <v>5529</v>
      </c>
      <c r="B1489">
        <v>1946</v>
      </c>
      <c r="C1489" t="s">
        <v>32</v>
      </c>
      <c r="D1489" t="s">
        <v>31</v>
      </c>
      <c r="E1489">
        <v>64014</v>
      </c>
      <c r="F1489">
        <v>2</v>
      </c>
      <c r="G1489">
        <v>1</v>
      </c>
      <c r="H1489" s="1">
        <v>41800</v>
      </c>
      <c r="I1489">
        <v>56</v>
      </c>
      <c r="J1489">
        <v>406</v>
      </c>
      <c r="K1489">
        <v>0</v>
      </c>
      <c r="L1489">
        <v>30</v>
      </c>
      <c r="M1489">
        <v>0</v>
      </c>
      <c r="N1489">
        <v>0</v>
      </c>
      <c r="O1489">
        <v>8</v>
      </c>
      <c r="P1489">
        <v>7</v>
      </c>
      <c r="Q1489">
        <v>8</v>
      </c>
      <c r="R1489">
        <v>2</v>
      </c>
      <c r="S1489">
        <v>5</v>
      </c>
      <c r="T1489">
        <v>7</v>
      </c>
      <c r="U1489">
        <v>0</v>
      </c>
      <c r="V1489">
        <v>0</v>
      </c>
      <c r="W1489">
        <v>0</v>
      </c>
      <c r="X1489">
        <v>1</v>
      </c>
      <c r="Y1489">
        <v>0</v>
      </c>
      <c r="Z1489">
        <v>0</v>
      </c>
      <c r="AA1489">
        <v>3</v>
      </c>
      <c r="AB1489">
        <v>11</v>
      </c>
      <c r="AC1489">
        <v>0</v>
      </c>
    </row>
    <row r="1490" spans="1:29" x14ac:dyDescent="0.3">
      <c r="A1490">
        <v>9743</v>
      </c>
      <c r="B1490">
        <v>1955</v>
      </c>
      <c r="C1490" t="s">
        <v>29</v>
      </c>
      <c r="D1490" t="s">
        <v>33</v>
      </c>
      <c r="E1490">
        <v>76998</v>
      </c>
      <c r="F1490">
        <v>0</v>
      </c>
      <c r="G1490">
        <v>1</v>
      </c>
      <c r="H1490" s="1">
        <v>41285</v>
      </c>
      <c r="I1490">
        <v>85</v>
      </c>
      <c r="J1490">
        <v>1449</v>
      </c>
      <c r="K1490">
        <v>89</v>
      </c>
      <c r="L1490">
        <v>161</v>
      </c>
      <c r="M1490">
        <v>69</v>
      </c>
      <c r="N1490">
        <v>35</v>
      </c>
      <c r="O1490">
        <v>107</v>
      </c>
      <c r="P1490">
        <v>2</v>
      </c>
      <c r="Q1490">
        <v>11</v>
      </c>
      <c r="R1490">
        <v>8</v>
      </c>
      <c r="S1490">
        <v>8</v>
      </c>
      <c r="T1490">
        <v>6</v>
      </c>
      <c r="U1490">
        <v>0</v>
      </c>
      <c r="V1490">
        <v>0</v>
      </c>
      <c r="W1490">
        <v>1</v>
      </c>
      <c r="X1490">
        <v>0</v>
      </c>
      <c r="Y1490">
        <v>0</v>
      </c>
      <c r="Z1490">
        <v>0</v>
      </c>
      <c r="AA1490">
        <v>3</v>
      </c>
      <c r="AB1490">
        <v>11</v>
      </c>
      <c r="AC1490">
        <v>0</v>
      </c>
    </row>
    <row r="1491" spans="1:29" x14ac:dyDescent="0.3">
      <c r="A1491">
        <v>5763</v>
      </c>
      <c r="B1491">
        <v>1972</v>
      </c>
      <c r="C1491" t="s">
        <v>34</v>
      </c>
      <c r="D1491" t="s">
        <v>31</v>
      </c>
      <c r="E1491">
        <v>49854</v>
      </c>
      <c r="F1491">
        <v>1</v>
      </c>
      <c r="G1491">
        <v>0</v>
      </c>
      <c r="H1491" s="1">
        <v>41588</v>
      </c>
      <c r="I1491">
        <v>63</v>
      </c>
      <c r="J1491">
        <v>123</v>
      </c>
      <c r="K1491">
        <v>17</v>
      </c>
      <c r="L1491">
        <v>171</v>
      </c>
      <c r="M1491">
        <v>39</v>
      </c>
      <c r="N1491">
        <v>0</v>
      </c>
      <c r="O1491">
        <v>30</v>
      </c>
      <c r="P1491">
        <v>5</v>
      </c>
      <c r="Q1491">
        <v>6</v>
      </c>
      <c r="R1491">
        <v>2</v>
      </c>
      <c r="S1491">
        <v>5</v>
      </c>
      <c r="T1491">
        <v>6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3</v>
      </c>
      <c r="AB1491">
        <v>11</v>
      </c>
      <c r="AC1491">
        <v>0</v>
      </c>
    </row>
    <row r="1492" spans="1:29" x14ac:dyDescent="0.3">
      <c r="A1492">
        <v>3478</v>
      </c>
      <c r="B1492">
        <v>1971</v>
      </c>
      <c r="C1492" t="s">
        <v>32</v>
      </c>
      <c r="D1492" t="s">
        <v>33</v>
      </c>
      <c r="E1492">
        <v>60585</v>
      </c>
      <c r="F1492">
        <v>1</v>
      </c>
      <c r="G1492">
        <v>1</v>
      </c>
      <c r="H1492" s="1">
        <v>41449</v>
      </c>
      <c r="I1492">
        <v>17</v>
      </c>
      <c r="J1492">
        <v>267</v>
      </c>
      <c r="K1492">
        <v>42</v>
      </c>
      <c r="L1492">
        <v>309</v>
      </c>
      <c r="M1492">
        <v>55</v>
      </c>
      <c r="N1492">
        <v>42</v>
      </c>
      <c r="O1492">
        <v>21</v>
      </c>
      <c r="P1492">
        <v>10</v>
      </c>
      <c r="Q1492">
        <v>7</v>
      </c>
      <c r="R1492">
        <v>4</v>
      </c>
      <c r="S1492">
        <v>9</v>
      </c>
      <c r="T1492">
        <v>5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3</v>
      </c>
      <c r="AB1492">
        <v>11</v>
      </c>
      <c r="AC1492">
        <v>1</v>
      </c>
    </row>
    <row r="1493" spans="1:29" x14ac:dyDescent="0.3">
      <c r="A1493">
        <v>7494</v>
      </c>
      <c r="B1493">
        <v>1950</v>
      </c>
      <c r="C1493" t="s">
        <v>32</v>
      </c>
      <c r="D1493" t="s">
        <v>35</v>
      </c>
      <c r="E1493">
        <v>42873</v>
      </c>
      <c r="F1493">
        <v>1</v>
      </c>
      <c r="G1493">
        <v>1</v>
      </c>
      <c r="H1493" s="1">
        <v>41295</v>
      </c>
      <c r="I1493">
        <v>11</v>
      </c>
      <c r="J1493">
        <v>209</v>
      </c>
      <c r="K1493">
        <v>0</v>
      </c>
      <c r="L1493">
        <v>40</v>
      </c>
      <c r="M1493">
        <v>3</v>
      </c>
      <c r="N1493">
        <v>2</v>
      </c>
      <c r="O1493">
        <v>15</v>
      </c>
      <c r="P1493">
        <v>4</v>
      </c>
      <c r="Q1493">
        <v>6</v>
      </c>
      <c r="R1493">
        <v>1</v>
      </c>
      <c r="S1493">
        <v>4</v>
      </c>
      <c r="T1493">
        <v>8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3</v>
      </c>
      <c r="AB1493">
        <v>11</v>
      </c>
      <c r="AC1493">
        <v>0</v>
      </c>
    </row>
    <row r="1494" spans="1:29" x14ac:dyDescent="0.3">
      <c r="A1494">
        <v>1763</v>
      </c>
      <c r="B1494">
        <v>1988</v>
      </c>
      <c r="C1494" t="s">
        <v>29</v>
      </c>
      <c r="D1494" t="s">
        <v>31</v>
      </c>
      <c r="E1494">
        <v>87679</v>
      </c>
      <c r="F1494">
        <v>0</v>
      </c>
      <c r="G1494">
        <v>0</v>
      </c>
      <c r="H1494" s="1">
        <v>41482</v>
      </c>
      <c r="I1494">
        <v>62</v>
      </c>
      <c r="J1494">
        <v>1259</v>
      </c>
      <c r="K1494">
        <v>172</v>
      </c>
      <c r="L1494">
        <v>815</v>
      </c>
      <c r="M1494">
        <v>97</v>
      </c>
      <c r="N1494">
        <v>148</v>
      </c>
      <c r="O1494">
        <v>33</v>
      </c>
      <c r="P1494">
        <v>1</v>
      </c>
      <c r="Q1494">
        <v>7</v>
      </c>
      <c r="R1494">
        <v>11</v>
      </c>
      <c r="S1494">
        <v>10</v>
      </c>
      <c r="T1494">
        <v>4</v>
      </c>
      <c r="U1494">
        <v>1</v>
      </c>
      <c r="V1494">
        <v>0</v>
      </c>
      <c r="W1494">
        <v>1</v>
      </c>
      <c r="X1494">
        <v>1</v>
      </c>
      <c r="Y1494">
        <v>0</v>
      </c>
      <c r="Z1494">
        <v>0</v>
      </c>
      <c r="AA1494">
        <v>3</v>
      </c>
      <c r="AB1494">
        <v>11</v>
      </c>
      <c r="AC1494">
        <v>1</v>
      </c>
    </row>
    <row r="1495" spans="1:29" x14ac:dyDescent="0.3">
      <c r="A1495">
        <v>7250</v>
      </c>
      <c r="B1495">
        <v>1978</v>
      </c>
      <c r="C1495" t="s">
        <v>29</v>
      </c>
      <c r="D1495" t="s">
        <v>31</v>
      </c>
      <c r="E1495">
        <v>57867</v>
      </c>
      <c r="F1495">
        <v>1</v>
      </c>
      <c r="G1495">
        <v>0</v>
      </c>
      <c r="H1495" s="1">
        <v>41548</v>
      </c>
      <c r="I1495">
        <v>48</v>
      </c>
      <c r="J1495">
        <v>344</v>
      </c>
      <c r="K1495">
        <v>35</v>
      </c>
      <c r="L1495">
        <v>178</v>
      </c>
      <c r="M1495">
        <v>15</v>
      </c>
      <c r="N1495">
        <v>23</v>
      </c>
      <c r="O1495">
        <v>17</v>
      </c>
      <c r="P1495">
        <v>7</v>
      </c>
      <c r="Q1495">
        <v>7</v>
      </c>
      <c r="R1495">
        <v>2</v>
      </c>
      <c r="S1495">
        <v>9</v>
      </c>
      <c r="T1495">
        <v>6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3</v>
      </c>
      <c r="AB1495">
        <v>11</v>
      </c>
      <c r="AC1495">
        <v>0</v>
      </c>
    </row>
    <row r="1496" spans="1:29" x14ac:dyDescent="0.3">
      <c r="A1496">
        <v>2005</v>
      </c>
      <c r="B1496">
        <v>1990</v>
      </c>
      <c r="C1496" t="s">
        <v>29</v>
      </c>
      <c r="D1496" t="s">
        <v>33</v>
      </c>
      <c r="E1496">
        <v>35765</v>
      </c>
      <c r="F1496">
        <v>1</v>
      </c>
      <c r="G1496">
        <v>0</v>
      </c>
      <c r="H1496" s="1">
        <v>41619</v>
      </c>
      <c r="I1496">
        <v>86</v>
      </c>
      <c r="J1496">
        <v>22</v>
      </c>
      <c r="K1496">
        <v>3</v>
      </c>
      <c r="L1496">
        <v>30</v>
      </c>
      <c r="M1496">
        <v>0</v>
      </c>
      <c r="N1496">
        <v>5</v>
      </c>
      <c r="O1496">
        <v>15</v>
      </c>
      <c r="P1496">
        <v>2</v>
      </c>
      <c r="Q1496">
        <v>2</v>
      </c>
      <c r="R1496">
        <v>0</v>
      </c>
      <c r="S1496">
        <v>4</v>
      </c>
      <c r="T1496">
        <v>6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3</v>
      </c>
      <c r="AB1496">
        <v>11</v>
      </c>
      <c r="AC1496">
        <v>0</v>
      </c>
    </row>
    <row r="1497" spans="1:29" x14ac:dyDescent="0.3">
      <c r="A1497">
        <v>10770</v>
      </c>
      <c r="B1497">
        <v>1959</v>
      </c>
      <c r="C1497" t="s">
        <v>29</v>
      </c>
      <c r="D1497" t="s">
        <v>33</v>
      </c>
      <c r="E1497">
        <v>65492</v>
      </c>
      <c r="F1497">
        <v>0</v>
      </c>
      <c r="G1497">
        <v>0</v>
      </c>
      <c r="H1497" s="1">
        <v>41665</v>
      </c>
      <c r="I1497">
        <v>73</v>
      </c>
      <c r="J1497">
        <v>247</v>
      </c>
      <c r="K1497">
        <v>161</v>
      </c>
      <c r="L1497">
        <v>295</v>
      </c>
      <c r="M1497">
        <v>210</v>
      </c>
      <c r="N1497">
        <v>85</v>
      </c>
      <c r="O1497">
        <v>47</v>
      </c>
      <c r="P1497">
        <v>2</v>
      </c>
      <c r="Q1497">
        <v>4</v>
      </c>
      <c r="R1497">
        <v>7</v>
      </c>
      <c r="S1497">
        <v>13</v>
      </c>
      <c r="T1497">
        <v>2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3</v>
      </c>
      <c r="AB1497">
        <v>11</v>
      </c>
      <c r="AC1497">
        <v>0</v>
      </c>
    </row>
    <row r="1498" spans="1:29" x14ac:dyDescent="0.3">
      <c r="A1498">
        <v>6885</v>
      </c>
      <c r="B1498">
        <v>1977</v>
      </c>
      <c r="C1498" t="s">
        <v>29</v>
      </c>
      <c r="D1498" t="s">
        <v>35</v>
      </c>
      <c r="E1498">
        <v>32952</v>
      </c>
      <c r="F1498">
        <v>1</v>
      </c>
      <c r="G1498">
        <v>0</v>
      </c>
      <c r="H1498" s="1">
        <v>41609</v>
      </c>
      <c r="I1498">
        <v>36</v>
      </c>
      <c r="J1498">
        <v>38</v>
      </c>
      <c r="K1498">
        <v>0</v>
      </c>
      <c r="L1498">
        <v>12</v>
      </c>
      <c r="M1498">
        <v>3</v>
      </c>
      <c r="N1498">
        <v>1</v>
      </c>
      <c r="O1498">
        <v>1</v>
      </c>
      <c r="P1498">
        <v>1</v>
      </c>
      <c r="Q1498">
        <v>2</v>
      </c>
      <c r="R1498">
        <v>0</v>
      </c>
      <c r="S1498">
        <v>3</v>
      </c>
      <c r="T1498">
        <v>7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3</v>
      </c>
      <c r="AB1498">
        <v>11</v>
      </c>
      <c r="AC1498">
        <v>0</v>
      </c>
    </row>
    <row r="1499" spans="1:29" x14ac:dyDescent="0.3">
      <c r="A1499">
        <v>2072</v>
      </c>
      <c r="B1499">
        <v>1969</v>
      </c>
      <c r="C1499" t="s">
        <v>32</v>
      </c>
      <c r="D1499" t="s">
        <v>31</v>
      </c>
      <c r="E1499">
        <v>53374</v>
      </c>
      <c r="F1499">
        <v>0</v>
      </c>
      <c r="G1499">
        <v>1</v>
      </c>
      <c r="H1499" s="1">
        <v>41137</v>
      </c>
      <c r="I1499">
        <v>34</v>
      </c>
      <c r="J1499">
        <v>896</v>
      </c>
      <c r="K1499">
        <v>10</v>
      </c>
      <c r="L1499">
        <v>101</v>
      </c>
      <c r="M1499">
        <v>13</v>
      </c>
      <c r="N1499">
        <v>10</v>
      </c>
      <c r="O1499">
        <v>34</v>
      </c>
      <c r="P1499">
        <v>6</v>
      </c>
      <c r="Q1499">
        <v>4</v>
      </c>
      <c r="R1499">
        <v>2</v>
      </c>
      <c r="S1499">
        <v>9</v>
      </c>
      <c r="T1499">
        <v>9</v>
      </c>
      <c r="U1499">
        <v>1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3</v>
      </c>
      <c r="AB1499">
        <v>11</v>
      </c>
      <c r="AC1499">
        <v>1</v>
      </c>
    </row>
    <row r="1500" spans="1:29" x14ac:dyDescent="0.3">
      <c r="A1500">
        <v>9463</v>
      </c>
      <c r="B1500">
        <v>1959</v>
      </c>
      <c r="C1500" t="s">
        <v>29</v>
      </c>
      <c r="D1500" t="s">
        <v>31</v>
      </c>
      <c r="E1500">
        <v>71706</v>
      </c>
      <c r="F1500">
        <v>0</v>
      </c>
      <c r="G1500">
        <v>1</v>
      </c>
      <c r="H1500" s="1">
        <v>41226</v>
      </c>
      <c r="I1500">
        <v>16</v>
      </c>
      <c r="J1500">
        <v>931</v>
      </c>
      <c r="K1500">
        <v>56</v>
      </c>
      <c r="L1500">
        <v>253</v>
      </c>
      <c r="M1500">
        <v>91</v>
      </c>
      <c r="N1500">
        <v>98</v>
      </c>
      <c r="O1500">
        <v>14</v>
      </c>
      <c r="P1500">
        <v>4</v>
      </c>
      <c r="Q1500">
        <v>9</v>
      </c>
      <c r="R1500">
        <v>5</v>
      </c>
      <c r="S1500">
        <v>7</v>
      </c>
      <c r="T1500">
        <v>5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3</v>
      </c>
      <c r="AB1500">
        <v>11</v>
      </c>
      <c r="AC1500">
        <v>0</v>
      </c>
    </row>
    <row r="1501" spans="1:29" x14ac:dyDescent="0.3">
      <c r="A1501">
        <v>6318</v>
      </c>
      <c r="B1501">
        <v>1988</v>
      </c>
      <c r="C1501" t="s">
        <v>29</v>
      </c>
      <c r="D1501" t="s">
        <v>33</v>
      </c>
      <c r="E1501">
        <v>68487</v>
      </c>
      <c r="F1501">
        <v>0</v>
      </c>
      <c r="G1501">
        <v>0</v>
      </c>
      <c r="H1501" s="1">
        <v>41287</v>
      </c>
      <c r="I1501">
        <v>48</v>
      </c>
      <c r="J1501">
        <v>758</v>
      </c>
      <c r="K1501">
        <v>12</v>
      </c>
      <c r="L1501">
        <v>385</v>
      </c>
      <c r="M1501">
        <v>33</v>
      </c>
      <c r="N1501">
        <v>89</v>
      </c>
      <c r="O1501">
        <v>89</v>
      </c>
      <c r="P1501">
        <v>1</v>
      </c>
      <c r="Q1501">
        <v>9</v>
      </c>
      <c r="R1501">
        <v>7</v>
      </c>
      <c r="S1501">
        <v>13</v>
      </c>
      <c r="T1501">
        <v>4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3</v>
      </c>
      <c r="AB1501">
        <v>11</v>
      </c>
      <c r="AC1501">
        <v>0</v>
      </c>
    </row>
    <row r="1502" spans="1:29" x14ac:dyDescent="0.3">
      <c r="A1502">
        <v>4093</v>
      </c>
      <c r="B1502">
        <v>1975</v>
      </c>
      <c r="C1502" t="s">
        <v>34</v>
      </c>
      <c r="D1502" t="s">
        <v>31</v>
      </c>
      <c r="E1502">
        <v>53253</v>
      </c>
      <c r="F1502">
        <v>1</v>
      </c>
      <c r="G1502">
        <v>1</v>
      </c>
      <c r="H1502" s="1">
        <v>41316</v>
      </c>
      <c r="I1502">
        <v>61</v>
      </c>
      <c r="J1502">
        <v>216</v>
      </c>
      <c r="K1502">
        <v>9</v>
      </c>
      <c r="L1502">
        <v>57</v>
      </c>
      <c r="M1502">
        <v>20</v>
      </c>
      <c r="N1502">
        <v>9</v>
      </c>
      <c r="O1502">
        <v>125</v>
      </c>
      <c r="P1502">
        <v>7</v>
      </c>
      <c r="Q1502">
        <v>4</v>
      </c>
      <c r="R1502">
        <v>3</v>
      </c>
      <c r="S1502">
        <v>5</v>
      </c>
      <c r="T1502">
        <v>5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3</v>
      </c>
      <c r="AB1502">
        <v>11</v>
      </c>
      <c r="AC1502">
        <v>0</v>
      </c>
    </row>
    <row r="1503" spans="1:29" x14ac:dyDescent="0.3">
      <c r="A1503">
        <v>5751</v>
      </c>
      <c r="B1503">
        <v>1973</v>
      </c>
      <c r="C1503" t="s">
        <v>37</v>
      </c>
      <c r="D1503" t="s">
        <v>35</v>
      </c>
      <c r="E1503">
        <v>31163</v>
      </c>
      <c r="F1503">
        <v>1</v>
      </c>
      <c r="G1503">
        <v>0</v>
      </c>
      <c r="H1503" s="1">
        <v>41683</v>
      </c>
      <c r="I1503">
        <v>54</v>
      </c>
      <c r="J1503">
        <v>2</v>
      </c>
      <c r="K1503">
        <v>3</v>
      </c>
      <c r="L1503">
        <v>10</v>
      </c>
      <c r="M1503">
        <v>11</v>
      </c>
      <c r="N1503">
        <v>2</v>
      </c>
      <c r="O1503">
        <v>10</v>
      </c>
      <c r="P1503">
        <v>1</v>
      </c>
      <c r="Q1503">
        <v>1</v>
      </c>
      <c r="R1503">
        <v>0</v>
      </c>
      <c r="S1503">
        <v>3</v>
      </c>
      <c r="T1503">
        <v>6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3</v>
      </c>
      <c r="AB1503">
        <v>11</v>
      </c>
      <c r="AC1503">
        <v>0</v>
      </c>
    </row>
    <row r="1504" spans="1:29" x14ac:dyDescent="0.3">
      <c r="A1504">
        <v>3340</v>
      </c>
      <c r="B1504">
        <v>1977</v>
      </c>
      <c r="C1504" t="s">
        <v>29</v>
      </c>
      <c r="D1504" t="s">
        <v>33</v>
      </c>
      <c r="E1504">
        <v>42014</v>
      </c>
      <c r="F1504">
        <v>1</v>
      </c>
      <c r="G1504">
        <v>0</v>
      </c>
      <c r="H1504" s="1">
        <v>41138</v>
      </c>
      <c r="I1504">
        <v>56</v>
      </c>
      <c r="J1504">
        <v>244</v>
      </c>
      <c r="K1504">
        <v>15</v>
      </c>
      <c r="L1504">
        <v>108</v>
      </c>
      <c r="M1504">
        <v>4</v>
      </c>
      <c r="N1504">
        <v>15</v>
      </c>
      <c r="O1504">
        <v>50</v>
      </c>
      <c r="P1504">
        <v>6</v>
      </c>
      <c r="Q1504">
        <v>7</v>
      </c>
      <c r="R1504">
        <v>1</v>
      </c>
      <c r="S1504">
        <v>6</v>
      </c>
      <c r="T1504">
        <v>8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3</v>
      </c>
      <c r="AB1504">
        <v>11</v>
      </c>
      <c r="AC1504">
        <v>1</v>
      </c>
    </row>
    <row r="1505" spans="1:29" x14ac:dyDescent="0.3">
      <c r="A1505">
        <v>3594</v>
      </c>
      <c r="B1505">
        <v>1973</v>
      </c>
      <c r="C1505" t="s">
        <v>34</v>
      </c>
      <c r="D1505" t="s">
        <v>33</v>
      </c>
      <c r="E1505">
        <v>54108</v>
      </c>
      <c r="F1505">
        <v>1</v>
      </c>
      <c r="G1505">
        <v>1</v>
      </c>
      <c r="H1505" s="1">
        <v>41218</v>
      </c>
      <c r="I1505">
        <v>74</v>
      </c>
      <c r="J1505">
        <v>539</v>
      </c>
      <c r="K1505">
        <v>6</v>
      </c>
      <c r="L1505">
        <v>91</v>
      </c>
      <c r="M1505">
        <v>8</v>
      </c>
      <c r="N1505">
        <v>6</v>
      </c>
      <c r="O1505">
        <v>97</v>
      </c>
      <c r="P1505">
        <v>13</v>
      </c>
      <c r="Q1505">
        <v>8</v>
      </c>
      <c r="R1505">
        <v>2</v>
      </c>
      <c r="S1505">
        <v>9</v>
      </c>
      <c r="T1505">
        <v>8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3</v>
      </c>
      <c r="AB1505">
        <v>11</v>
      </c>
      <c r="AC1505">
        <v>0</v>
      </c>
    </row>
    <row r="1506" spans="1:29" x14ac:dyDescent="0.3">
      <c r="A1506">
        <v>3584</v>
      </c>
      <c r="B1506">
        <v>1955</v>
      </c>
      <c r="C1506" t="s">
        <v>32</v>
      </c>
      <c r="D1506" t="s">
        <v>30</v>
      </c>
      <c r="E1506">
        <v>49667</v>
      </c>
      <c r="F1506">
        <v>0</v>
      </c>
      <c r="G1506">
        <v>0</v>
      </c>
      <c r="H1506" s="1">
        <v>41141</v>
      </c>
      <c r="I1506">
        <v>35</v>
      </c>
      <c r="J1506">
        <v>1181</v>
      </c>
      <c r="K1506">
        <v>26</v>
      </c>
      <c r="L1506">
        <v>120</v>
      </c>
      <c r="M1506">
        <v>17</v>
      </c>
      <c r="N1506">
        <v>13</v>
      </c>
      <c r="O1506">
        <v>39</v>
      </c>
      <c r="P1506">
        <v>2</v>
      </c>
      <c r="Q1506">
        <v>5</v>
      </c>
      <c r="R1506">
        <v>10</v>
      </c>
      <c r="S1506">
        <v>5</v>
      </c>
      <c r="T1506">
        <v>8</v>
      </c>
      <c r="U1506">
        <v>1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3</v>
      </c>
      <c r="AB1506">
        <v>11</v>
      </c>
      <c r="AC1506">
        <v>1</v>
      </c>
    </row>
    <row r="1507" spans="1:29" x14ac:dyDescent="0.3">
      <c r="A1507">
        <v>3643</v>
      </c>
      <c r="B1507">
        <v>1974</v>
      </c>
      <c r="C1507" t="s">
        <v>34</v>
      </c>
      <c r="D1507" t="s">
        <v>33</v>
      </c>
      <c r="E1507">
        <v>63206</v>
      </c>
      <c r="F1507">
        <v>0</v>
      </c>
      <c r="G1507">
        <v>0</v>
      </c>
      <c r="H1507" s="1">
        <v>41718</v>
      </c>
      <c r="I1507">
        <v>65</v>
      </c>
      <c r="J1507">
        <v>750</v>
      </c>
      <c r="K1507">
        <v>8</v>
      </c>
      <c r="L1507">
        <v>125</v>
      </c>
      <c r="M1507">
        <v>11</v>
      </c>
      <c r="N1507">
        <v>8</v>
      </c>
      <c r="O1507">
        <v>26</v>
      </c>
      <c r="P1507">
        <v>1</v>
      </c>
      <c r="Q1507">
        <v>4</v>
      </c>
      <c r="R1507">
        <v>3</v>
      </c>
      <c r="S1507">
        <v>6</v>
      </c>
      <c r="T1507">
        <v>2</v>
      </c>
      <c r="U1507">
        <v>0</v>
      </c>
      <c r="V1507">
        <v>0</v>
      </c>
      <c r="W1507">
        <v>1</v>
      </c>
      <c r="X1507">
        <v>0</v>
      </c>
      <c r="Y1507">
        <v>0</v>
      </c>
      <c r="Z1507">
        <v>0</v>
      </c>
      <c r="AA1507">
        <v>3</v>
      </c>
      <c r="AB1507">
        <v>11</v>
      </c>
      <c r="AC1507">
        <v>0</v>
      </c>
    </row>
    <row r="1508" spans="1:29" x14ac:dyDescent="0.3">
      <c r="A1508">
        <v>851</v>
      </c>
      <c r="B1508">
        <v>1972</v>
      </c>
      <c r="C1508" t="s">
        <v>34</v>
      </c>
      <c r="D1508" t="s">
        <v>33</v>
      </c>
      <c r="E1508">
        <v>57136</v>
      </c>
      <c r="F1508">
        <v>1</v>
      </c>
      <c r="G1508">
        <v>1</v>
      </c>
      <c r="H1508" s="1">
        <v>41464</v>
      </c>
      <c r="I1508">
        <v>48</v>
      </c>
      <c r="J1508">
        <v>306</v>
      </c>
      <c r="K1508">
        <v>5</v>
      </c>
      <c r="L1508">
        <v>109</v>
      </c>
      <c r="M1508">
        <v>21</v>
      </c>
      <c r="N1508">
        <v>109</v>
      </c>
      <c r="O1508">
        <v>92</v>
      </c>
      <c r="P1508">
        <v>9</v>
      </c>
      <c r="Q1508">
        <v>5</v>
      </c>
      <c r="R1508">
        <v>2</v>
      </c>
      <c r="S1508">
        <v>10</v>
      </c>
      <c r="T1508">
        <v>6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3</v>
      </c>
      <c r="AB1508">
        <v>11</v>
      </c>
      <c r="AC1508">
        <v>0</v>
      </c>
    </row>
    <row r="1509" spans="1:29" x14ac:dyDescent="0.3">
      <c r="A1509">
        <v>7706</v>
      </c>
      <c r="B1509">
        <v>1975</v>
      </c>
      <c r="C1509" t="s">
        <v>37</v>
      </c>
      <c r="D1509" t="s">
        <v>31</v>
      </c>
      <c r="E1509">
        <v>46772</v>
      </c>
      <c r="F1509">
        <v>0</v>
      </c>
      <c r="G1509">
        <v>1</v>
      </c>
      <c r="H1509" s="1">
        <v>41220</v>
      </c>
      <c r="I1509">
        <v>88</v>
      </c>
      <c r="J1509">
        <v>350</v>
      </c>
      <c r="K1509">
        <v>104</v>
      </c>
      <c r="L1509">
        <v>189</v>
      </c>
      <c r="M1509">
        <v>197</v>
      </c>
      <c r="N1509">
        <v>151</v>
      </c>
      <c r="O1509">
        <v>57</v>
      </c>
      <c r="P1509">
        <v>6</v>
      </c>
      <c r="Q1509">
        <v>11</v>
      </c>
      <c r="R1509">
        <v>8</v>
      </c>
      <c r="S1509">
        <v>5</v>
      </c>
      <c r="T1509">
        <v>8</v>
      </c>
      <c r="U1509">
        <v>1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3</v>
      </c>
      <c r="AB1509">
        <v>11</v>
      </c>
      <c r="AC1509">
        <v>0</v>
      </c>
    </row>
    <row r="1510" spans="1:29" x14ac:dyDescent="0.3">
      <c r="A1510">
        <v>3967</v>
      </c>
      <c r="B1510">
        <v>1971</v>
      </c>
      <c r="C1510" t="s">
        <v>32</v>
      </c>
      <c r="D1510" t="s">
        <v>33</v>
      </c>
      <c r="E1510">
        <v>78931</v>
      </c>
      <c r="F1510">
        <v>0</v>
      </c>
      <c r="G1510">
        <v>0</v>
      </c>
      <c r="H1510" s="1">
        <v>41572</v>
      </c>
      <c r="I1510">
        <v>19</v>
      </c>
      <c r="J1510">
        <v>331</v>
      </c>
      <c r="K1510">
        <v>197</v>
      </c>
      <c r="L1510">
        <v>170</v>
      </c>
      <c r="M1510">
        <v>58</v>
      </c>
      <c r="N1510">
        <v>152</v>
      </c>
      <c r="O1510">
        <v>35</v>
      </c>
      <c r="P1510">
        <v>1</v>
      </c>
      <c r="Q1510">
        <v>2</v>
      </c>
      <c r="R1510">
        <v>8</v>
      </c>
      <c r="S1510">
        <v>13</v>
      </c>
      <c r="T1510">
        <v>1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3</v>
      </c>
      <c r="AB1510">
        <v>11</v>
      </c>
      <c r="AC1510">
        <v>0</v>
      </c>
    </row>
    <row r="1511" spans="1:29" x14ac:dyDescent="0.3">
      <c r="A1511">
        <v>10128</v>
      </c>
      <c r="B1511">
        <v>1958</v>
      </c>
      <c r="C1511" t="s">
        <v>29</v>
      </c>
      <c r="D1511" t="s">
        <v>31</v>
      </c>
      <c r="E1511">
        <v>53977</v>
      </c>
      <c r="F1511">
        <v>0</v>
      </c>
      <c r="G1511">
        <v>1</v>
      </c>
      <c r="H1511" s="1">
        <v>41433</v>
      </c>
      <c r="I1511">
        <v>21</v>
      </c>
      <c r="J1511">
        <v>620</v>
      </c>
      <c r="K1511">
        <v>16</v>
      </c>
      <c r="L1511">
        <v>165</v>
      </c>
      <c r="M1511">
        <v>0</v>
      </c>
      <c r="N1511">
        <v>24</v>
      </c>
      <c r="O1511">
        <v>82</v>
      </c>
      <c r="P1511">
        <v>5</v>
      </c>
      <c r="Q1511">
        <v>5</v>
      </c>
      <c r="R1511">
        <v>5</v>
      </c>
      <c r="S1511">
        <v>12</v>
      </c>
      <c r="T1511">
        <v>5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3</v>
      </c>
      <c r="AB1511">
        <v>11</v>
      </c>
      <c r="AC1511">
        <v>0</v>
      </c>
    </row>
    <row r="1512" spans="1:29" x14ac:dyDescent="0.3">
      <c r="A1512">
        <v>486</v>
      </c>
      <c r="B1512">
        <v>1988</v>
      </c>
      <c r="C1512" t="s">
        <v>29</v>
      </c>
      <c r="D1512" t="s">
        <v>33</v>
      </c>
      <c r="E1512">
        <v>84219</v>
      </c>
      <c r="F1512">
        <v>0</v>
      </c>
      <c r="G1512">
        <v>0</v>
      </c>
      <c r="H1512" s="1">
        <v>41672</v>
      </c>
      <c r="I1512">
        <v>27</v>
      </c>
      <c r="J1512">
        <v>434</v>
      </c>
      <c r="K1512">
        <v>137</v>
      </c>
      <c r="L1512">
        <v>400</v>
      </c>
      <c r="M1512">
        <v>45</v>
      </c>
      <c r="N1512">
        <v>137</v>
      </c>
      <c r="O1512">
        <v>45</v>
      </c>
      <c r="P1512">
        <v>1</v>
      </c>
      <c r="Q1512">
        <v>3</v>
      </c>
      <c r="R1512">
        <v>4</v>
      </c>
      <c r="S1512">
        <v>10</v>
      </c>
      <c r="T1512">
        <v>1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3</v>
      </c>
      <c r="AB1512">
        <v>11</v>
      </c>
      <c r="AC1512">
        <v>0</v>
      </c>
    </row>
    <row r="1513" spans="1:29" x14ac:dyDescent="0.3">
      <c r="A1513">
        <v>9</v>
      </c>
      <c r="B1513">
        <v>1975</v>
      </c>
      <c r="C1513" t="s">
        <v>34</v>
      </c>
      <c r="D1513" t="s">
        <v>30</v>
      </c>
      <c r="E1513">
        <v>46098</v>
      </c>
      <c r="F1513">
        <v>1</v>
      </c>
      <c r="G1513">
        <v>1</v>
      </c>
      <c r="H1513" s="1">
        <v>41139</v>
      </c>
      <c r="I1513">
        <v>86</v>
      </c>
      <c r="J1513">
        <v>57</v>
      </c>
      <c r="K1513">
        <v>0</v>
      </c>
      <c r="L1513">
        <v>27</v>
      </c>
      <c r="M1513">
        <v>0</v>
      </c>
      <c r="N1513">
        <v>0</v>
      </c>
      <c r="O1513">
        <v>36</v>
      </c>
      <c r="P1513">
        <v>4</v>
      </c>
      <c r="Q1513">
        <v>3</v>
      </c>
      <c r="R1513">
        <v>2</v>
      </c>
      <c r="S1513">
        <v>2</v>
      </c>
      <c r="T1513">
        <v>8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3</v>
      </c>
      <c r="AB1513">
        <v>11</v>
      </c>
      <c r="AC1513">
        <v>0</v>
      </c>
    </row>
    <row r="1514" spans="1:29" x14ac:dyDescent="0.3">
      <c r="A1514">
        <v>9451</v>
      </c>
      <c r="B1514">
        <v>1965</v>
      </c>
      <c r="C1514" t="s">
        <v>29</v>
      </c>
      <c r="D1514" t="s">
        <v>33</v>
      </c>
      <c r="E1514">
        <v>73538</v>
      </c>
      <c r="F1514">
        <v>0</v>
      </c>
      <c r="G1514">
        <v>1</v>
      </c>
      <c r="H1514" s="1">
        <v>41238</v>
      </c>
      <c r="I1514">
        <v>92</v>
      </c>
      <c r="J1514">
        <v>811</v>
      </c>
      <c r="K1514">
        <v>76</v>
      </c>
      <c r="L1514">
        <v>428</v>
      </c>
      <c r="M1514">
        <v>99</v>
      </c>
      <c r="N1514">
        <v>137</v>
      </c>
      <c r="O1514">
        <v>107</v>
      </c>
      <c r="P1514">
        <v>3</v>
      </c>
      <c r="Q1514">
        <v>10</v>
      </c>
      <c r="R1514">
        <v>4</v>
      </c>
      <c r="S1514">
        <v>9</v>
      </c>
      <c r="T1514">
        <v>7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3</v>
      </c>
      <c r="AB1514">
        <v>11</v>
      </c>
      <c r="AC1514">
        <v>0</v>
      </c>
    </row>
    <row r="1515" spans="1:29" x14ac:dyDescent="0.3">
      <c r="A1515">
        <v>9264</v>
      </c>
      <c r="B1515">
        <v>1986</v>
      </c>
      <c r="C1515" t="s">
        <v>29</v>
      </c>
      <c r="D1515" t="s">
        <v>33</v>
      </c>
      <c r="E1515">
        <v>79529</v>
      </c>
      <c r="F1515">
        <v>0</v>
      </c>
      <c r="G1515">
        <v>0</v>
      </c>
      <c r="H1515" s="1">
        <v>41756</v>
      </c>
      <c r="I1515">
        <v>1</v>
      </c>
      <c r="J1515">
        <v>423</v>
      </c>
      <c r="K1515">
        <v>42</v>
      </c>
      <c r="L1515">
        <v>706</v>
      </c>
      <c r="M1515">
        <v>73</v>
      </c>
      <c r="N1515">
        <v>197</v>
      </c>
      <c r="O1515">
        <v>197</v>
      </c>
      <c r="P1515">
        <v>1</v>
      </c>
      <c r="Q1515">
        <v>4</v>
      </c>
      <c r="R1515">
        <v>8</v>
      </c>
      <c r="S1515">
        <v>9</v>
      </c>
      <c r="T1515">
        <v>2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3</v>
      </c>
      <c r="AB1515">
        <v>11</v>
      </c>
      <c r="AC1515">
        <v>0</v>
      </c>
    </row>
    <row r="1516" spans="1:29" x14ac:dyDescent="0.3">
      <c r="A1516">
        <v>3865</v>
      </c>
      <c r="B1516">
        <v>1977</v>
      </c>
      <c r="C1516" t="s">
        <v>37</v>
      </c>
      <c r="D1516" t="s">
        <v>31</v>
      </c>
      <c r="E1516">
        <v>20981</v>
      </c>
      <c r="F1516">
        <v>0</v>
      </c>
      <c r="G1516">
        <v>0</v>
      </c>
      <c r="H1516" s="1">
        <v>41394</v>
      </c>
      <c r="I1516">
        <v>14</v>
      </c>
      <c r="J1516">
        <v>2</v>
      </c>
      <c r="K1516">
        <v>12</v>
      </c>
      <c r="L1516">
        <v>10</v>
      </c>
      <c r="M1516">
        <v>6</v>
      </c>
      <c r="N1516">
        <v>13</v>
      </c>
      <c r="O1516">
        <v>30</v>
      </c>
      <c r="P1516">
        <v>1</v>
      </c>
      <c r="Q1516">
        <v>3</v>
      </c>
      <c r="R1516">
        <v>1</v>
      </c>
      <c r="S1516">
        <v>2</v>
      </c>
      <c r="T1516">
        <v>8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3</v>
      </c>
      <c r="AB1516">
        <v>11</v>
      </c>
      <c r="AC1516">
        <v>1</v>
      </c>
    </row>
    <row r="1517" spans="1:29" x14ac:dyDescent="0.3">
      <c r="A1517">
        <v>2853</v>
      </c>
      <c r="B1517">
        <v>1980</v>
      </c>
      <c r="C1517" t="s">
        <v>29</v>
      </c>
      <c r="D1517" t="s">
        <v>30</v>
      </c>
      <c r="E1517">
        <v>51766</v>
      </c>
      <c r="F1517">
        <v>1</v>
      </c>
      <c r="G1517">
        <v>0</v>
      </c>
      <c r="H1517" s="1">
        <v>41709</v>
      </c>
      <c r="I1517">
        <v>74</v>
      </c>
      <c r="J1517">
        <v>60</v>
      </c>
      <c r="K1517">
        <v>51</v>
      </c>
      <c r="L1517">
        <v>87</v>
      </c>
      <c r="M1517">
        <v>6</v>
      </c>
      <c r="N1517">
        <v>20</v>
      </c>
      <c r="O1517">
        <v>51</v>
      </c>
      <c r="P1517">
        <v>2</v>
      </c>
      <c r="Q1517">
        <v>4</v>
      </c>
      <c r="R1517">
        <v>2</v>
      </c>
      <c r="S1517">
        <v>4</v>
      </c>
      <c r="T1517">
        <v>5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3</v>
      </c>
      <c r="AB1517">
        <v>11</v>
      </c>
      <c r="AC1517">
        <v>0</v>
      </c>
    </row>
    <row r="1518" spans="1:29" x14ac:dyDescent="0.3">
      <c r="A1518">
        <v>1490</v>
      </c>
      <c r="B1518">
        <v>1962</v>
      </c>
      <c r="C1518" t="s">
        <v>29</v>
      </c>
      <c r="D1518" t="s">
        <v>33</v>
      </c>
      <c r="E1518">
        <v>55759</v>
      </c>
      <c r="F1518">
        <v>0</v>
      </c>
      <c r="G1518">
        <v>1</v>
      </c>
      <c r="H1518" s="1">
        <v>41241</v>
      </c>
      <c r="I1518">
        <v>84</v>
      </c>
      <c r="J1518">
        <v>675</v>
      </c>
      <c r="K1518">
        <v>0</v>
      </c>
      <c r="L1518">
        <v>85</v>
      </c>
      <c r="M1518">
        <v>10</v>
      </c>
      <c r="N1518">
        <v>7</v>
      </c>
      <c r="O1518">
        <v>77</v>
      </c>
      <c r="P1518">
        <v>5</v>
      </c>
      <c r="Q1518">
        <v>10</v>
      </c>
      <c r="R1518">
        <v>3</v>
      </c>
      <c r="S1518">
        <v>8</v>
      </c>
      <c r="T1518">
        <v>8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3</v>
      </c>
      <c r="AB1518">
        <v>11</v>
      </c>
      <c r="AC1518">
        <v>0</v>
      </c>
    </row>
    <row r="1519" spans="1:29" x14ac:dyDescent="0.3">
      <c r="A1519">
        <v>6310</v>
      </c>
      <c r="B1519">
        <v>1978</v>
      </c>
      <c r="C1519" t="s">
        <v>29</v>
      </c>
      <c r="D1519" t="s">
        <v>33</v>
      </c>
      <c r="E1519">
        <v>33039</v>
      </c>
      <c r="F1519">
        <v>1</v>
      </c>
      <c r="G1519">
        <v>0</v>
      </c>
      <c r="H1519" s="1">
        <v>41526</v>
      </c>
      <c r="I1519">
        <v>4</v>
      </c>
      <c r="J1519">
        <v>30</v>
      </c>
      <c r="K1519">
        <v>8</v>
      </c>
      <c r="L1519">
        <v>12</v>
      </c>
      <c r="M1519">
        <v>8</v>
      </c>
      <c r="N1519">
        <v>8</v>
      </c>
      <c r="O1519">
        <v>12</v>
      </c>
      <c r="P1519">
        <v>1</v>
      </c>
      <c r="Q1519">
        <v>2</v>
      </c>
      <c r="R1519">
        <v>0</v>
      </c>
      <c r="S1519">
        <v>4</v>
      </c>
      <c r="T1519">
        <v>5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3</v>
      </c>
      <c r="AB1519">
        <v>11</v>
      </c>
      <c r="AC1519">
        <v>0</v>
      </c>
    </row>
    <row r="1520" spans="1:29" x14ac:dyDescent="0.3">
      <c r="A1520">
        <v>10380</v>
      </c>
      <c r="B1520">
        <v>1972</v>
      </c>
      <c r="C1520" t="s">
        <v>34</v>
      </c>
      <c r="D1520" t="s">
        <v>33</v>
      </c>
      <c r="E1520">
        <v>37787</v>
      </c>
      <c r="F1520">
        <v>1</v>
      </c>
      <c r="G1520">
        <v>0</v>
      </c>
      <c r="H1520" s="1">
        <v>41537</v>
      </c>
      <c r="I1520">
        <v>50</v>
      </c>
      <c r="J1520">
        <v>40</v>
      </c>
      <c r="K1520">
        <v>1</v>
      </c>
      <c r="L1520">
        <v>40</v>
      </c>
      <c r="M1520">
        <v>4</v>
      </c>
      <c r="N1520">
        <v>3</v>
      </c>
      <c r="O1520">
        <v>18</v>
      </c>
      <c r="P1520">
        <v>1</v>
      </c>
      <c r="Q1520">
        <v>3</v>
      </c>
      <c r="R1520">
        <v>0</v>
      </c>
      <c r="S1520">
        <v>3</v>
      </c>
      <c r="T1520">
        <v>8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3</v>
      </c>
      <c r="AB1520">
        <v>11</v>
      </c>
      <c r="AC1520">
        <v>0</v>
      </c>
    </row>
    <row r="1521" spans="1:29" x14ac:dyDescent="0.3">
      <c r="A1521">
        <v>3887</v>
      </c>
      <c r="B1521">
        <v>1970</v>
      </c>
      <c r="C1521" t="s">
        <v>29</v>
      </c>
      <c r="D1521" t="s">
        <v>30</v>
      </c>
      <c r="E1521">
        <v>27242</v>
      </c>
      <c r="F1521">
        <v>1</v>
      </c>
      <c r="G1521">
        <v>0</v>
      </c>
      <c r="H1521" s="1">
        <v>41224</v>
      </c>
      <c r="I1521">
        <v>2</v>
      </c>
      <c r="J1521">
        <v>3</v>
      </c>
      <c r="K1521">
        <v>17</v>
      </c>
      <c r="L1521">
        <v>26</v>
      </c>
      <c r="M1521">
        <v>20</v>
      </c>
      <c r="N1521">
        <v>1</v>
      </c>
      <c r="O1521">
        <v>39</v>
      </c>
      <c r="P1521">
        <v>2</v>
      </c>
      <c r="Q1521">
        <v>2</v>
      </c>
      <c r="R1521">
        <v>0</v>
      </c>
      <c r="S1521">
        <v>3</v>
      </c>
      <c r="T1521">
        <v>9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3</v>
      </c>
      <c r="AB1521">
        <v>11</v>
      </c>
      <c r="AC1521">
        <v>1</v>
      </c>
    </row>
    <row r="1522" spans="1:29" x14ac:dyDescent="0.3">
      <c r="A1522">
        <v>4278</v>
      </c>
      <c r="B1522">
        <v>1983</v>
      </c>
      <c r="C1522" t="s">
        <v>32</v>
      </c>
      <c r="D1522" t="s">
        <v>30</v>
      </c>
      <c r="E1522">
        <v>87188</v>
      </c>
      <c r="F1522">
        <v>0</v>
      </c>
      <c r="G1522">
        <v>0</v>
      </c>
      <c r="H1522" s="1">
        <v>41428</v>
      </c>
      <c r="I1522">
        <v>73</v>
      </c>
      <c r="J1522">
        <v>910</v>
      </c>
      <c r="K1522">
        <v>111</v>
      </c>
      <c r="L1522">
        <v>724</v>
      </c>
      <c r="M1522">
        <v>49</v>
      </c>
      <c r="N1522">
        <v>74</v>
      </c>
      <c r="O1522">
        <v>55</v>
      </c>
      <c r="P1522">
        <v>1</v>
      </c>
      <c r="Q1522">
        <v>10</v>
      </c>
      <c r="R1522">
        <v>2</v>
      </c>
      <c r="S1522">
        <v>6</v>
      </c>
      <c r="T1522">
        <v>3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3</v>
      </c>
      <c r="AB1522">
        <v>11</v>
      </c>
      <c r="AC1522">
        <v>1</v>
      </c>
    </row>
    <row r="1523" spans="1:29" x14ac:dyDescent="0.3">
      <c r="A1523">
        <v>8643</v>
      </c>
      <c r="B1523">
        <v>1971</v>
      </c>
      <c r="C1523" t="s">
        <v>29</v>
      </c>
      <c r="D1523" t="s">
        <v>31</v>
      </c>
      <c r="E1523">
        <v>69930</v>
      </c>
      <c r="F1523">
        <v>0</v>
      </c>
      <c r="G1523">
        <v>0</v>
      </c>
      <c r="H1523" s="1">
        <v>41420</v>
      </c>
      <c r="I1523">
        <v>21</v>
      </c>
      <c r="J1523">
        <v>252</v>
      </c>
      <c r="K1523">
        <v>98</v>
      </c>
      <c r="L1523">
        <v>827</v>
      </c>
      <c r="M1523">
        <v>219</v>
      </c>
      <c r="N1523">
        <v>70</v>
      </c>
      <c r="O1523">
        <v>196</v>
      </c>
      <c r="P1523">
        <v>1</v>
      </c>
      <c r="Q1523">
        <v>4</v>
      </c>
      <c r="R1523">
        <v>5</v>
      </c>
      <c r="S1523">
        <v>12</v>
      </c>
      <c r="T1523">
        <v>3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3</v>
      </c>
      <c r="AB1523">
        <v>11</v>
      </c>
      <c r="AC1523">
        <v>0</v>
      </c>
    </row>
    <row r="1524" spans="1:29" x14ac:dyDescent="0.3">
      <c r="A1524">
        <v>1998</v>
      </c>
      <c r="B1524">
        <v>1976</v>
      </c>
      <c r="C1524" t="s">
        <v>29</v>
      </c>
      <c r="D1524" t="s">
        <v>30</v>
      </c>
      <c r="E1524">
        <v>37697</v>
      </c>
      <c r="F1524">
        <v>1</v>
      </c>
      <c r="G1524">
        <v>0</v>
      </c>
      <c r="H1524" s="1">
        <v>41677</v>
      </c>
      <c r="I1524">
        <v>82</v>
      </c>
      <c r="J1524">
        <v>34</v>
      </c>
      <c r="K1524">
        <v>6</v>
      </c>
      <c r="L1524">
        <v>21</v>
      </c>
      <c r="M1524">
        <v>11</v>
      </c>
      <c r="N1524">
        <v>4</v>
      </c>
      <c r="O1524">
        <v>8</v>
      </c>
      <c r="P1524">
        <v>1</v>
      </c>
      <c r="Q1524">
        <v>2</v>
      </c>
      <c r="R1524">
        <v>1</v>
      </c>
      <c r="S1524">
        <v>3</v>
      </c>
      <c r="T1524">
        <v>6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3</v>
      </c>
      <c r="AB1524">
        <v>11</v>
      </c>
      <c r="AC1524">
        <v>0</v>
      </c>
    </row>
    <row r="1525" spans="1:29" x14ac:dyDescent="0.3">
      <c r="A1525">
        <v>10795</v>
      </c>
      <c r="B1525">
        <v>1973</v>
      </c>
      <c r="C1525" t="s">
        <v>32</v>
      </c>
      <c r="D1525" t="s">
        <v>33</v>
      </c>
      <c r="E1525">
        <v>37401</v>
      </c>
      <c r="F1525">
        <v>1</v>
      </c>
      <c r="G1525">
        <v>0</v>
      </c>
      <c r="H1525" s="1">
        <v>41765</v>
      </c>
      <c r="I1525">
        <v>14</v>
      </c>
      <c r="J1525">
        <v>19</v>
      </c>
      <c r="K1525">
        <v>3</v>
      </c>
      <c r="L1525">
        <v>19</v>
      </c>
      <c r="M1525">
        <v>3</v>
      </c>
      <c r="N1525">
        <v>1</v>
      </c>
      <c r="O1525">
        <v>3</v>
      </c>
      <c r="P1525">
        <v>2</v>
      </c>
      <c r="Q1525">
        <v>2</v>
      </c>
      <c r="R1525">
        <v>0</v>
      </c>
      <c r="S1525">
        <v>3</v>
      </c>
      <c r="T1525">
        <v>7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3</v>
      </c>
      <c r="AB1525">
        <v>11</v>
      </c>
      <c r="AC1525">
        <v>0</v>
      </c>
    </row>
    <row r="1526" spans="1:29" x14ac:dyDescent="0.3">
      <c r="A1526">
        <v>11110</v>
      </c>
      <c r="B1526">
        <v>1973</v>
      </c>
      <c r="C1526" t="s">
        <v>29</v>
      </c>
      <c r="D1526" t="s">
        <v>30</v>
      </c>
      <c r="E1526">
        <v>3502</v>
      </c>
      <c r="F1526">
        <v>1</v>
      </c>
      <c r="G1526">
        <v>0</v>
      </c>
      <c r="H1526" s="1">
        <v>41377</v>
      </c>
      <c r="I1526">
        <v>56</v>
      </c>
      <c r="J1526">
        <v>2</v>
      </c>
      <c r="K1526">
        <v>1</v>
      </c>
      <c r="L1526">
        <v>1</v>
      </c>
      <c r="M1526">
        <v>0</v>
      </c>
      <c r="N1526">
        <v>0</v>
      </c>
      <c r="O1526">
        <v>1</v>
      </c>
      <c r="P1526">
        <v>0</v>
      </c>
      <c r="Q1526">
        <v>0</v>
      </c>
      <c r="R1526">
        <v>0</v>
      </c>
      <c r="S1526">
        <v>0</v>
      </c>
      <c r="T1526">
        <v>14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3</v>
      </c>
      <c r="AB1526">
        <v>11</v>
      </c>
      <c r="AC1526">
        <v>0</v>
      </c>
    </row>
    <row r="1527" spans="1:29" x14ac:dyDescent="0.3">
      <c r="A1527">
        <v>2408</v>
      </c>
      <c r="B1527">
        <v>1976</v>
      </c>
      <c r="C1527" t="s">
        <v>29</v>
      </c>
      <c r="D1527" t="s">
        <v>33</v>
      </c>
      <c r="E1527">
        <v>58597</v>
      </c>
      <c r="F1527">
        <v>1</v>
      </c>
      <c r="G1527">
        <v>1</v>
      </c>
      <c r="H1527" s="1">
        <v>41233</v>
      </c>
      <c r="I1527">
        <v>20</v>
      </c>
      <c r="J1527">
        <v>490</v>
      </c>
      <c r="K1527">
        <v>0</v>
      </c>
      <c r="L1527">
        <v>184</v>
      </c>
      <c r="M1527">
        <v>10</v>
      </c>
      <c r="N1527">
        <v>28</v>
      </c>
      <c r="O1527">
        <v>21</v>
      </c>
      <c r="P1527">
        <v>12</v>
      </c>
      <c r="Q1527">
        <v>7</v>
      </c>
      <c r="R1527">
        <v>4</v>
      </c>
      <c r="S1527">
        <v>9</v>
      </c>
      <c r="T1527">
        <v>7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3</v>
      </c>
      <c r="AB1527">
        <v>11</v>
      </c>
      <c r="AC1527">
        <v>0</v>
      </c>
    </row>
    <row r="1528" spans="1:29" x14ac:dyDescent="0.3">
      <c r="A1528">
        <v>202</v>
      </c>
      <c r="B1528">
        <v>1948</v>
      </c>
      <c r="C1528" t="s">
        <v>32</v>
      </c>
      <c r="D1528" t="s">
        <v>38</v>
      </c>
      <c r="E1528">
        <v>82032</v>
      </c>
      <c r="F1528">
        <v>0</v>
      </c>
      <c r="G1528">
        <v>0</v>
      </c>
      <c r="H1528" s="1">
        <v>41734</v>
      </c>
      <c r="I1528">
        <v>54</v>
      </c>
      <c r="J1528">
        <v>332</v>
      </c>
      <c r="K1528">
        <v>194</v>
      </c>
      <c r="L1528">
        <v>377</v>
      </c>
      <c r="M1528">
        <v>149</v>
      </c>
      <c r="N1528">
        <v>125</v>
      </c>
      <c r="O1528">
        <v>57</v>
      </c>
      <c r="P1528">
        <v>0</v>
      </c>
      <c r="Q1528">
        <v>4</v>
      </c>
      <c r="R1528">
        <v>6</v>
      </c>
      <c r="S1528">
        <v>7</v>
      </c>
      <c r="T1528">
        <v>1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3</v>
      </c>
      <c r="AB1528">
        <v>11</v>
      </c>
      <c r="AC1528">
        <v>0</v>
      </c>
    </row>
    <row r="1529" spans="1:29" x14ac:dyDescent="0.3">
      <c r="A1529">
        <v>7998</v>
      </c>
      <c r="B1529">
        <v>1958</v>
      </c>
      <c r="C1529" t="s">
        <v>29</v>
      </c>
      <c r="D1529" t="s">
        <v>31</v>
      </c>
      <c r="E1529">
        <v>28087</v>
      </c>
      <c r="F1529">
        <v>1</v>
      </c>
      <c r="G1529">
        <v>1</v>
      </c>
      <c r="H1529" s="1">
        <v>41254</v>
      </c>
      <c r="I1529">
        <v>77</v>
      </c>
      <c r="J1529">
        <v>53</v>
      </c>
      <c r="K1529">
        <v>8</v>
      </c>
      <c r="L1529">
        <v>17</v>
      </c>
      <c r="M1529">
        <v>13</v>
      </c>
      <c r="N1529">
        <v>0</v>
      </c>
      <c r="O1529">
        <v>21</v>
      </c>
      <c r="P1529">
        <v>3</v>
      </c>
      <c r="Q1529">
        <v>2</v>
      </c>
      <c r="R1529">
        <v>2</v>
      </c>
      <c r="S1529">
        <v>2</v>
      </c>
      <c r="T1529">
        <v>7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3</v>
      </c>
      <c r="AB1529">
        <v>11</v>
      </c>
      <c r="AC1529">
        <v>0</v>
      </c>
    </row>
    <row r="1530" spans="1:29" x14ac:dyDescent="0.3">
      <c r="A1530">
        <v>830</v>
      </c>
      <c r="B1530">
        <v>1987</v>
      </c>
      <c r="C1530" t="s">
        <v>32</v>
      </c>
      <c r="D1530" t="s">
        <v>30</v>
      </c>
      <c r="E1530">
        <v>74004</v>
      </c>
      <c r="F1530">
        <v>0</v>
      </c>
      <c r="G1530">
        <v>0</v>
      </c>
      <c r="H1530" s="1">
        <v>41694</v>
      </c>
      <c r="I1530">
        <v>5</v>
      </c>
      <c r="J1530">
        <v>784</v>
      </c>
      <c r="K1530">
        <v>48</v>
      </c>
      <c r="L1530">
        <v>560</v>
      </c>
      <c r="M1530">
        <v>42</v>
      </c>
      <c r="N1530">
        <v>176</v>
      </c>
      <c r="O1530">
        <v>48</v>
      </c>
      <c r="P1530">
        <v>1</v>
      </c>
      <c r="Q1530">
        <v>4</v>
      </c>
      <c r="R1530">
        <v>6</v>
      </c>
      <c r="S1530">
        <v>4</v>
      </c>
      <c r="T1530">
        <v>3</v>
      </c>
      <c r="U1530">
        <v>0</v>
      </c>
      <c r="V1530">
        <v>0</v>
      </c>
      <c r="W1530">
        <v>1</v>
      </c>
      <c r="X1530">
        <v>1</v>
      </c>
      <c r="Y1530">
        <v>0</v>
      </c>
      <c r="Z1530">
        <v>0</v>
      </c>
      <c r="AA1530">
        <v>3</v>
      </c>
      <c r="AB1530">
        <v>11</v>
      </c>
      <c r="AC1530">
        <v>1</v>
      </c>
    </row>
    <row r="1531" spans="1:29" x14ac:dyDescent="0.3">
      <c r="A1531">
        <v>3536</v>
      </c>
      <c r="B1531">
        <v>1960</v>
      </c>
      <c r="C1531" t="s">
        <v>29</v>
      </c>
      <c r="D1531" t="s">
        <v>31</v>
      </c>
      <c r="E1531">
        <v>19740</v>
      </c>
      <c r="F1531">
        <v>0</v>
      </c>
      <c r="G1531">
        <v>1</v>
      </c>
      <c r="H1531" s="1">
        <v>41357</v>
      </c>
      <c r="I1531">
        <v>65</v>
      </c>
      <c r="J1531">
        <v>7</v>
      </c>
      <c r="K1531">
        <v>11</v>
      </c>
      <c r="L1531">
        <v>3</v>
      </c>
      <c r="M1531">
        <v>10</v>
      </c>
      <c r="N1531">
        <v>4</v>
      </c>
      <c r="O1531">
        <v>20</v>
      </c>
      <c r="P1531">
        <v>2</v>
      </c>
      <c r="Q1531">
        <v>1</v>
      </c>
      <c r="R1531">
        <v>1</v>
      </c>
      <c r="S1531">
        <v>3</v>
      </c>
      <c r="T1531">
        <v>5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3</v>
      </c>
      <c r="AB1531">
        <v>11</v>
      </c>
      <c r="AC1531">
        <v>0</v>
      </c>
    </row>
    <row r="1532" spans="1:29" x14ac:dyDescent="0.3">
      <c r="A1532">
        <v>6050</v>
      </c>
      <c r="B1532">
        <v>1975</v>
      </c>
      <c r="C1532" t="s">
        <v>37</v>
      </c>
      <c r="D1532" t="s">
        <v>33</v>
      </c>
      <c r="E1532">
        <v>57036</v>
      </c>
      <c r="F1532">
        <v>0</v>
      </c>
      <c r="G1532">
        <v>1</v>
      </c>
      <c r="H1532" s="1">
        <v>41254</v>
      </c>
      <c r="I1532">
        <v>33</v>
      </c>
      <c r="J1532">
        <v>1171</v>
      </c>
      <c r="K1532">
        <v>43</v>
      </c>
      <c r="L1532">
        <v>219</v>
      </c>
      <c r="M1532">
        <v>19</v>
      </c>
      <c r="N1532">
        <v>14</v>
      </c>
      <c r="O1532">
        <v>47</v>
      </c>
      <c r="P1532">
        <v>4</v>
      </c>
      <c r="Q1532">
        <v>6</v>
      </c>
      <c r="R1532">
        <v>3</v>
      </c>
      <c r="S1532">
        <v>13</v>
      </c>
      <c r="T1532">
        <v>9</v>
      </c>
      <c r="U1532">
        <v>1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3</v>
      </c>
      <c r="AB1532">
        <v>11</v>
      </c>
      <c r="AC1532">
        <v>0</v>
      </c>
    </row>
    <row r="1533" spans="1:29" x14ac:dyDescent="0.3">
      <c r="A1533">
        <v>125</v>
      </c>
      <c r="B1533">
        <v>1958</v>
      </c>
      <c r="C1533" t="s">
        <v>37</v>
      </c>
      <c r="D1533" t="s">
        <v>31</v>
      </c>
      <c r="E1533">
        <v>53083</v>
      </c>
      <c r="F1533">
        <v>1</v>
      </c>
      <c r="G1533">
        <v>1</v>
      </c>
      <c r="H1533" s="1">
        <v>41409</v>
      </c>
      <c r="I1533">
        <v>65</v>
      </c>
      <c r="J1533">
        <v>215</v>
      </c>
      <c r="K1533">
        <v>7</v>
      </c>
      <c r="L1533">
        <v>33</v>
      </c>
      <c r="M1533">
        <v>3</v>
      </c>
      <c r="N1533">
        <v>0</v>
      </c>
      <c r="O1533">
        <v>13</v>
      </c>
      <c r="P1533">
        <v>6</v>
      </c>
      <c r="Q1533">
        <v>5</v>
      </c>
      <c r="R1533">
        <v>1</v>
      </c>
      <c r="S1533">
        <v>5</v>
      </c>
      <c r="T1533">
        <v>7</v>
      </c>
      <c r="U1533">
        <v>0</v>
      </c>
      <c r="V1533">
        <v>1</v>
      </c>
      <c r="W1533">
        <v>0</v>
      </c>
      <c r="X1533">
        <v>0</v>
      </c>
      <c r="Y1533">
        <v>0</v>
      </c>
      <c r="Z1533">
        <v>0</v>
      </c>
      <c r="AA1533">
        <v>3</v>
      </c>
      <c r="AB1533">
        <v>11</v>
      </c>
      <c r="AC1533">
        <v>0</v>
      </c>
    </row>
    <row r="1534" spans="1:29" x14ac:dyDescent="0.3">
      <c r="A1534">
        <v>3463</v>
      </c>
      <c r="B1534">
        <v>1975</v>
      </c>
      <c r="C1534" t="s">
        <v>32</v>
      </c>
      <c r="D1534" t="s">
        <v>33</v>
      </c>
      <c r="E1534">
        <v>69283</v>
      </c>
      <c r="F1534">
        <v>0</v>
      </c>
      <c r="G1534">
        <v>1</v>
      </c>
      <c r="H1534" s="1">
        <v>41804</v>
      </c>
      <c r="I1534">
        <v>41</v>
      </c>
      <c r="J1534">
        <v>674</v>
      </c>
      <c r="K1534">
        <v>62</v>
      </c>
      <c r="L1534">
        <v>134</v>
      </c>
      <c r="M1534">
        <v>0</v>
      </c>
      <c r="N1534">
        <v>26</v>
      </c>
      <c r="O1534">
        <v>8</v>
      </c>
      <c r="P1534">
        <v>4</v>
      </c>
      <c r="Q1534">
        <v>7</v>
      </c>
      <c r="R1534">
        <v>3</v>
      </c>
      <c r="S1534">
        <v>13</v>
      </c>
      <c r="T1534">
        <v>5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3</v>
      </c>
      <c r="AB1534">
        <v>11</v>
      </c>
      <c r="AC1534">
        <v>0</v>
      </c>
    </row>
    <row r="1535" spans="1:29" x14ac:dyDescent="0.3">
      <c r="A1535">
        <v>2804</v>
      </c>
      <c r="B1535">
        <v>1975</v>
      </c>
      <c r="C1535" t="s">
        <v>34</v>
      </c>
      <c r="D1535" t="s">
        <v>30</v>
      </c>
      <c r="E1535">
        <v>46098</v>
      </c>
      <c r="F1535">
        <v>1</v>
      </c>
      <c r="G1535">
        <v>1</v>
      </c>
      <c r="H1535" s="1">
        <v>41139</v>
      </c>
      <c r="I1535">
        <v>86</v>
      </c>
      <c r="J1535">
        <v>57</v>
      </c>
      <c r="K1535">
        <v>0</v>
      </c>
      <c r="L1535">
        <v>27</v>
      </c>
      <c r="M1535">
        <v>0</v>
      </c>
      <c r="N1535">
        <v>0</v>
      </c>
      <c r="O1535">
        <v>36</v>
      </c>
      <c r="P1535">
        <v>4</v>
      </c>
      <c r="Q1535">
        <v>3</v>
      </c>
      <c r="R1535">
        <v>2</v>
      </c>
      <c r="S1535">
        <v>2</v>
      </c>
      <c r="T1535">
        <v>8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3</v>
      </c>
      <c r="AB1535">
        <v>11</v>
      </c>
      <c r="AC1535">
        <v>1</v>
      </c>
    </row>
    <row r="1536" spans="1:29" x14ac:dyDescent="0.3">
      <c r="A1536">
        <v>3745</v>
      </c>
      <c r="B1536">
        <v>1988</v>
      </c>
      <c r="C1536" t="s">
        <v>37</v>
      </c>
      <c r="D1536" t="s">
        <v>33</v>
      </c>
      <c r="E1536">
        <v>23331</v>
      </c>
      <c r="F1536">
        <v>1</v>
      </c>
      <c r="G1536">
        <v>0</v>
      </c>
      <c r="H1536" s="1">
        <v>41156</v>
      </c>
      <c r="I1536">
        <v>92</v>
      </c>
      <c r="J1536">
        <v>5</v>
      </c>
      <c r="K1536">
        <v>36</v>
      </c>
      <c r="L1536">
        <v>7</v>
      </c>
      <c r="M1536">
        <v>0</v>
      </c>
      <c r="N1536">
        <v>10</v>
      </c>
      <c r="O1536">
        <v>45</v>
      </c>
      <c r="P1536">
        <v>2</v>
      </c>
      <c r="Q1536">
        <v>3</v>
      </c>
      <c r="R1536">
        <v>0</v>
      </c>
      <c r="S1536">
        <v>3</v>
      </c>
      <c r="T1536">
        <v>8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3</v>
      </c>
      <c r="AB1536">
        <v>11</v>
      </c>
      <c r="AC1536">
        <v>0</v>
      </c>
    </row>
    <row r="1537" spans="1:29" x14ac:dyDescent="0.3">
      <c r="A1537">
        <v>9771</v>
      </c>
      <c r="B1537">
        <v>1988</v>
      </c>
      <c r="C1537" t="s">
        <v>37</v>
      </c>
      <c r="D1537" t="s">
        <v>30</v>
      </c>
      <c r="E1537">
        <v>23331</v>
      </c>
      <c r="F1537">
        <v>1</v>
      </c>
      <c r="G1537">
        <v>0</v>
      </c>
      <c r="H1537" s="1">
        <v>41187</v>
      </c>
      <c r="I1537">
        <v>97</v>
      </c>
      <c r="J1537">
        <v>104</v>
      </c>
      <c r="K1537">
        <v>20</v>
      </c>
      <c r="L1537">
        <v>101</v>
      </c>
      <c r="M1537">
        <v>24</v>
      </c>
      <c r="N1537">
        <v>15</v>
      </c>
      <c r="O1537">
        <v>5</v>
      </c>
      <c r="P1537">
        <v>6</v>
      </c>
      <c r="Q1537">
        <v>5</v>
      </c>
      <c r="R1537">
        <v>1</v>
      </c>
      <c r="S1537">
        <v>5</v>
      </c>
      <c r="T1537">
        <v>9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3</v>
      </c>
      <c r="AB1537">
        <v>11</v>
      </c>
      <c r="AC1537">
        <v>0</v>
      </c>
    </row>
    <row r="1538" spans="1:29" x14ac:dyDescent="0.3">
      <c r="A1538">
        <v>451</v>
      </c>
      <c r="B1538">
        <v>1989</v>
      </c>
      <c r="C1538" t="s">
        <v>29</v>
      </c>
      <c r="D1538" t="s">
        <v>30</v>
      </c>
      <c r="E1538">
        <v>9255</v>
      </c>
      <c r="F1538">
        <v>1</v>
      </c>
      <c r="G1538">
        <v>0</v>
      </c>
      <c r="H1538" s="1">
        <v>41628</v>
      </c>
      <c r="I1538">
        <v>91</v>
      </c>
      <c r="J1538">
        <v>9</v>
      </c>
      <c r="K1538">
        <v>0</v>
      </c>
      <c r="L1538">
        <v>7</v>
      </c>
      <c r="M1538">
        <v>2</v>
      </c>
      <c r="N1538">
        <v>0</v>
      </c>
      <c r="O1538">
        <v>4</v>
      </c>
      <c r="P1538">
        <v>1</v>
      </c>
      <c r="Q1538">
        <v>1</v>
      </c>
      <c r="R1538">
        <v>1</v>
      </c>
      <c r="S1538">
        <v>2</v>
      </c>
      <c r="T1538">
        <v>8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3</v>
      </c>
      <c r="AB1538">
        <v>11</v>
      </c>
      <c r="AC1538">
        <v>0</v>
      </c>
    </row>
    <row r="1539" spans="1:29" x14ac:dyDescent="0.3">
      <c r="A1539">
        <v>10530</v>
      </c>
      <c r="B1539">
        <v>1959</v>
      </c>
      <c r="C1539" t="s">
        <v>32</v>
      </c>
      <c r="D1539" t="s">
        <v>38</v>
      </c>
      <c r="E1539">
        <v>67786</v>
      </c>
      <c r="F1539">
        <v>0</v>
      </c>
      <c r="G1539">
        <v>0</v>
      </c>
      <c r="H1539" s="1">
        <v>41615</v>
      </c>
      <c r="I1539">
        <v>0</v>
      </c>
      <c r="J1539">
        <v>431</v>
      </c>
      <c r="K1539">
        <v>82</v>
      </c>
      <c r="L1539">
        <v>441</v>
      </c>
      <c r="M1539">
        <v>80</v>
      </c>
      <c r="N1539">
        <v>20</v>
      </c>
      <c r="O1539">
        <v>102</v>
      </c>
      <c r="P1539">
        <v>1</v>
      </c>
      <c r="Q1539">
        <v>3</v>
      </c>
      <c r="R1539">
        <v>6</v>
      </c>
      <c r="S1539">
        <v>6</v>
      </c>
      <c r="T1539">
        <v>1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3</v>
      </c>
      <c r="AB1539">
        <v>11</v>
      </c>
      <c r="AC1539">
        <v>1</v>
      </c>
    </row>
    <row r="1540" spans="1:29" x14ac:dyDescent="0.3">
      <c r="A1540">
        <v>1079</v>
      </c>
      <c r="B1540">
        <v>1971</v>
      </c>
      <c r="C1540" t="s">
        <v>32</v>
      </c>
      <c r="D1540" t="s">
        <v>33</v>
      </c>
      <c r="E1540">
        <v>71969</v>
      </c>
      <c r="F1540">
        <v>0</v>
      </c>
      <c r="G1540">
        <v>1</v>
      </c>
      <c r="H1540" s="1">
        <v>41198</v>
      </c>
      <c r="I1540">
        <v>59</v>
      </c>
      <c r="J1540">
        <v>1000</v>
      </c>
      <c r="K1540">
        <v>0</v>
      </c>
      <c r="L1540">
        <v>76</v>
      </c>
      <c r="M1540">
        <v>0</v>
      </c>
      <c r="N1540">
        <v>0</v>
      </c>
      <c r="O1540">
        <v>10</v>
      </c>
      <c r="P1540">
        <v>3</v>
      </c>
      <c r="Q1540">
        <v>3</v>
      </c>
      <c r="R1540">
        <v>4</v>
      </c>
      <c r="S1540">
        <v>9</v>
      </c>
      <c r="T1540">
        <v>8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3</v>
      </c>
      <c r="AB1540">
        <v>11</v>
      </c>
      <c r="AC1540">
        <v>0</v>
      </c>
    </row>
    <row r="1541" spans="1:29" x14ac:dyDescent="0.3">
      <c r="A1541">
        <v>8920</v>
      </c>
      <c r="B1541">
        <v>1967</v>
      </c>
      <c r="C1541" t="s">
        <v>34</v>
      </c>
      <c r="D1541" t="s">
        <v>30</v>
      </c>
      <c r="E1541">
        <v>59235</v>
      </c>
      <c r="F1541">
        <v>1</v>
      </c>
      <c r="G1541">
        <v>0</v>
      </c>
      <c r="H1541" s="1">
        <v>41286</v>
      </c>
      <c r="I1541">
        <v>4</v>
      </c>
      <c r="J1541">
        <v>448</v>
      </c>
      <c r="K1541">
        <v>40</v>
      </c>
      <c r="L1541">
        <v>469</v>
      </c>
      <c r="M1541">
        <v>80</v>
      </c>
      <c r="N1541">
        <v>0</v>
      </c>
      <c r="O1541">
        <v>91</v>
      </c>
      <c r="P1541">
        <v>3</v>
      </c>
      <c r="Q1541">
        <v>11</v>
      </c>
      <c r="R1541">
        <v>2</v>
      </c>
      <c r="S1541">
        <v>12</v>
      </c>
      <c r="T1541">
        <v>7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3</v>
      </c>
      <c r="AB1541">
        <v>11</v>
      </c>
      <c r="AC1541">
        <v>0</v>
      </c>
    </row>
    <row r="1542" spans="1:29" x14ac:dyDescent="0.3">
      <c r="A1542">
        <v>6678</v>
      </c>
      <c r="B1542">
        <v>1989</v>
      </c>
      <c r="C1542" t="s">
        <v>29</v>
      </c>
      <c r="D1542" t="s">
        <v>31</v>
      </c>
      <c r="E1542">
        <v>31928</v>
      </c>
      <c r="F1542">
        <v>1</v>
      </c>
      <c r="G1542">
        <v>0</v>
      </c>
      <c r="H1542" s="1">
        <v>41726</v>
      </c>
      <c r="I1542">
        <v>5</v>
      </c>
      <c r="J1542">
        <v>33</v>
      </c>
      <c r="K1542">
        <v>4</v>
      </c>
      <c r="L1542">
        <v>24</v>
      </c>
      <c r="M1542">
        <v>4</v>
      </c>
      <c r="N1542">
        <v>2</v>
      </c>
      <c r="O1542">
        <v>5</v>
      </c>
      <c r="P1542">
        <v>2</v>
      </c>
      <c r="Q1542">
        <v>3</v>
      </c>
      <c r="R1542">
        <v>0</v>
      </c>
      <c r="S1542">
        <v>4</v>
      </c>
      <c r="T1542">
        <v>7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3</v>
      </c>
      <c r="AB1542">
        <v>11</v>
      </c>
      <c r="AC1542">
        <v>0</v>
      </c>
    </row>
    <row r="1543" spans="1:29" x14ac:dyDescent="0.3">
      <c r="A1543">
        <v>3852</v>
      </c>
      <c r="B1543">
        <v>1961</v>
      </c>
      <c r="C1543" t="s">
        <v>34</v>
      </c>
      <c r="D1543" t="s">
        <v>31</v>
      </c>
      <c r="E1543">
        <v>74881</v>
      </c>
      <c r="F1543">
        <v>1</v>
      </c>
      <c r="G1543">
        <v>1</v>
      </c>
      <c r="H1543" s="1">
        <v>41341</v>
      </c>
      <c r="I1543">
        <v>48</v>
      </c>
      <c r="J1543">
        <v>505</v>
      </c>
      <c r="K1543">
        <v>72</v>
      </c>
      <c r="L1543">
        <v>270</v>
      </c>
      <c r="M1543">
        <v>36</v>
      </c>
      <c r="N1543">
        <v>27</v>
      </c>
      <c r="O1543">
        <v>54</v>
      </c>
      <c r="P1543">
        <v>4</v>
      </c>
      <c r="Q1543">
        <v>9</v>
      </c>
      <c r="R1543">
        <v>2</v>
      </c>
      <c r="S1543">
        <v>12</v>
      </c>
      <c r="T1543">
        <v>5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3</v>
      </c>
      <c r="AB1543">
        <v>11</v>
      </c>
      <c r="AC1543">
        <v>0</v>
      </c>
    </row>
    <row r="1544" spans="1:29" x14ac:dyDescent="0.3">
      <c r="A1544">
        <v>528</v>
      </c>
      <c r="B1544">
        <v>1978</v>
      </c>
      <c r="C1544" t="s">
        <v>29</v>
      </c>
      <c r="D1544" t="s">
        <v>33</v>
      </c>
      <c r="E1544">
        <v>65819</v>
      </c>
      <c r="F1544">
        <v>0</v>
      </c>
      <c r="G1544">
        <v>0</v>
      </c>
      <c r="H1544" s="1">
        <v>41242</v>
      </c>
      <c r="I1544">
        <v>99</v>
      </c>
      <c r="J1544">
        <v>267</v>
      </c>
      <c r="K1544">
        <v>38</v>
      </c>
      <c r="L1544">
        <v>701</v>
      </c>
      <c r="M1544">
        <v>149</v>
      </c>
      <c r="N1544">
        <v>165</v>
      </c>
      <c r="O1544">
        <v>63</v>
      </c>
      <c r="P1544">
        <v>1</v>
      </c>
      <c r="Q1544">
        <v>5</v>
      </c>
      <c r="R1544">
        <v>4</v>
      </c>
      <c r="S1544">
        <v>10</v>
      </c>
      <c r="T1544">
        <v>3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3</v>
      </c>
      <c r="AB1544">
        <v>11</v>
      </c>
      <c r="AC1544">
        <v>0</v>
      </c>
    </row>
    <row r="1545" spans="1:29" x14ac:dyDescent="0.3">
      <c r="A1545">
        <v>73</v>
      </c>
      <c r="B1545">
        <v>1953</v>
      </c>
      <c r="C1545" t="s">
        <v>32</v>
      </c>
      <c r="D1545" t="s">
        <v>30</v>
      </c>
      <c r="E1545">
        <v>51411</v>
      </c>
      <c r="F1545">
        <v>1</v>
      </c>
      <c r="G1545">
        <v>2</v>
      </c>
      <c r="H1545" s="1">
        <v>41420</v>
      </c>
      <c r="I1545">
        <v>81</v>
      </c>
      <c r="J1545">
        <v>14</v>
      </c>
      <c r="K1545">
        <v>0</v>
      </c>
      <c r="L1545">
        <v>3</v>
      </c>
      <c r="M1545">
        <v>0</v>
      </c>
      <c r="N1545">
        <v>0</v>
      </c>
      <c r="O1545">
        <v>1</v>
      </c>
      <c r="P1545">
        <v>1</v>
      </c>
      <c r="Q1545">
        <v>0</v>
      </c>
      <c r="R1545">
        <v>0</v>
      </c>
      <c r="S1545">
        <v>3</v>
      </c>
      <c r="T1545">
        <v>5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3</v>
      </c>
      <c r="AB1545">
        <v>11</v>
      </c>
      <c r="AC1545">
        <v>0</v>
      </c>
    </row>
    <row r="1546" spans="1:29" x14ac:dyDescent="0.3">
      <c r="A1546">
        <v>5589</v>
      </c>
      <c r="B1546">
        <v>1964</v>
      </c>
      <c r="C1546" t="s">
        <v>29</v>
      </c>
      <c r="D1546" t="s">
        <v>35</v>
      </c>
      <c r="E1546">
        <v>51983</v>
      </c>
      <c r="F1546">
        <v>0</v>
      </c>
      <c r="G1546">
        <v>1</v>
      </c>
      <c r="H1546" s="1">
        <v>41152</v>
      </c>
      <c r="I1546">
        <v>95</v>
      </c>
      <c r="J1546">
        <v>631</v>
      </c>
      <c r="K1546">
        <v>0</v>
      </c>
      <c r="L1546">
        <v>115</v>
      </c>
      <c r="M1546">
        <v>10</v>
      </c>
      <c r="N1546">
        <v>7</v>
      </c>
      <c r="O1546">
        <v>30</v>
      </c>
      <c r="P1546">
        <v>3</v>
      </c>
      <c r="Q1546">
        <v>9</v>
      </c>
      <c r="R1546">
        <v>2</v>
      </c>
      <c r="S1546">
        <v>10</v>
      </c>
      <c r="T1546">
        <v>7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3</v>
      </c>
      <c r="AB1546">
        <v>11</v>
      </c>
      <c r="AC1546">
        <v>0</v>
      </c>
    </row>
    <row r="1547" spans="1:29" x14ac:dyDescent="0.3">
      <c r="A1547">
        <v>10212</v>
      </c>
      <c r="B1547">
        <v>1986</v>
      </c>
      <c r="C1547" t="s">
        <v>34</v>
      </c>
      <c r="D1547" t="s">
        <v>31</v>
      </c>
      <c r="E1547">
        <v>42386</v>
      </c>
      <c r="F1547">
        <v>1</v>
      </c>
      <c r="G1547">
        <v>0</v>
      </c>
      <c r="H1547" s="1">
        <v>41287</v>
      </c>
      <c r="I1547">
        <v>43</v>
      </c>
      <c r="J1547">
        <v>65</v>
      </c>
      <c r="K1547">
        <v>4</v>
      </c>
      <c r="L1547">
        <v>16</v>
      </c>
      <c r="M1547">
        <v>0</v>
      </c>
      <c r="N1547">
        <v>4</v>
      </c>
      <c r="O1547">
        <v>11</v>
      </c>
      <c r="P1547">
        <v>1</v>
      </c>
      <c r="Q1547">
        <v>3</v>
      </c>
      <c r="R1547">
        <v>0</v>
      </c>
      <c r="S1547">
        <v>3</v>
      </c>
      <c r="T1547">
        <v>8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3</v>
      </c>
      <c r="AB1547">
        <v>11</v>
      </c>
      <c r="AC1547">
        <v>0</v>
      </c>
    </row>
    <row r="1548" spans="1:29" x14ac:dyDescent="0.3">
      <c r="A1548">
        <v>6365</v>
      </c>
      <c r="B1548">
        <v>1987</v>
      </c>
      <c r="C1548" t="s">
        <v>37</v>
      </c>
      <c r="D1548" t="s">
        <v>33</v>
      </c>
      <c r="E1548">
        <v>30390</v>
      </c>
      <c r="F1548">
        <v>0</v>
      </c>
      <c r="G1548">
        <v>0</v>
      </c>
      <c r="H1548" s="1">
        <v>41519</v>
      </c>
      <c r="I1548">
        <v>5</v>
      </c>
      <c r="J1548">
        <v>10</v>
      </c>
      <c r="K1548">
        <v>12</v>
      </c>
      <c r="L1548">
        <v>12</v>
      </c>
      <c r="M1548">
        <v>25</v>
      </c>
      <c r="N1548">
        <v>1</v>
      </c>
      <c r="O1548">
        <v>20</v>
      </c>
      <c r="P1548">
        <v>1</v>
      </c>
      <c r="Q1548">
        <v>2</v>
      </c>
      <c r="R1548">
        <v>0</v>
      </c>
      <c r="S1548">
        <v>3</v>
      </c>
      <c r="T1548">
        <v>6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3</v>
      </c>
      <c r="AB1548">
        <v>11</v>
      </c>
      <c r="AC1548">
        <v>0</v>
      </c>
    </row>
    <row r="1549" spans="1:29" x14ac:dyDescent="0.3">
      <c r="A1549">
        <v>5636</v>
      </c>
      <c r="B1549">
        <v>1963</v>
      </c>
      <c r="C1549" t="s">
        <v>29</v>
      </c>
      <c r="D1549" t="s">
        <v>30</v>
      </c>
      <c r="E1549">
        <v>30983</v>
      </c>
      <c r="F1549">
        <v>0</v>
      </c>
      <c r="G1549">
        <v>0</v>
      </c>
      <c r="H1549" s="1">
        <v>41222</v>
      </c>
      <c r="I1549">
        <v>50</v>
      </c>
      <c r="J1549">
        <v>51</v>
      </c>
      <c r="K1549">
        <v>4</v>
      </c>
      <c r="L1549">
        <v>50</v>
      </c>
      <c r="M1549">
        <v>12</v>
      </c>
      <c r="N1549">
        <v>1</v>
      </c>
      <c r="O1549">
        <v>49</v>
      </c>
      <c r="P1549">
        <v>1</v>
      </c>
      <c r="Q1549">
        <v>4</v>
      </c>
      <c r="R1549">
        <v>0</v>
      </c>
      <c r="S1549">
        <v>3</v>
      </c>
      <c r="T1549">
        <v>8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3</v>
      </c>
      <c r="AB1549">
        <v>11</v>
      </c>
      <c r="AC1549">
        <v>1</v>
      </c>
    </row>
    <row r="1550" spans="1:29" x14ac:dyDescent="0.3">
      <c r="A1550">
        <v>591</v>
      </c>
      <c r="B1550">
        <v>1957</v>
      </c>
      <c r="C1550" t="s">
        <v>29</v>
      </c>
      <c r="D1550" t="s">
        <v>38</v>
      </c>
      <c r="E1550">
        <v>66033</v>
      </c>
      <c r="F1550">
        <v>0</v>
      </c>
      <c r="G1550">
        <v>1</v>
      </c>
      <c r="H1550" s="1">
        <v>41294</v>
      </c>
      <c r="I1550">
        <v>76</v>
      </c>
      <c r="J1550">
        <v>293</v>
      </c>
      <c r="K1550">
        <v>35</v>
      </c>
      <c r="L1550">
        <v>179</v>
      </c>
      <c r="M1550">
        <v>46</v>
      </c>
      <c r="N1550">
        <v>59</v>
      </c>
      <c r="O1550">
        <v>65</v>
      </c>
      <c r="P1550">
        <v>2</v>
      </c>
      <c r="Q1550">
        <v>8</v>
      </c>
      <c r="R1550">
        <v>3</v>
      </c>
      <c r="S1550">
        <v>7</v>
      </c>
      <c r="T1550">
        <v>7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3</v>
      </c>
      <c r="AB1550">
        <v>11</v>
      </c>
      <c r="AC1550">
        <v>0</v>
      </c>
    </row>
    <row r="1551" spans="1:29" x14ac:dyDescent="0.3">
      <c r="A1551">
        <v>2217</v>
      </c>
      <c r="B1551">
        <v>1975</v>
      </c>
      <c r="C1551" t="s">
        <v>37</v>
      </c>
      <c r="D1551" t="s">
        <v>33</v>
      </c>
      <c r="E1551">
        <v>37284</v>
      </c>
      <c r="F1551">
        <v>1</v>
      </c>
      <c r="G1551">
        <v>1</v>
      </c>
      <c r="H1551" s="1">
        <v>41362</v>
      </c>
      <c r="I1551">
        <v>46</v>
      </c>
      <c r="J1551">
        <v>11</v>
      </c>
      <c r="K1551">
        <v>1</v>
      </c>
      <c r="L1551">
        <v>2</v>
      </c>
      <c r="M1551">
        <v>2</v>
      </c>
      <c r="N1551">
        <v>1</v>
      </c>
      <c r="O1551">
        <v>6</v>
      </c>
      <c r="P1551">
        <v>1</v>
      </c>
      <c r="Q1551">
        <v>0</v>
      </c>
      <c r="R1551">
        <v>0</v>
      </c>
      <c r="S1551">
        <v>3</v>
      </c>
      <c r="T1551">
        <v>6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3</v>
      </c>
      <c r="AB1551">
        <v>11</v>
      </c>
      <c r="AC1551">
        <v>0</v>
      </c>
    </row>
    <row r="1552" spans="1:29" x14ac:dyDescent="0.3">
      <c r="A1552">
        <v>2544</v>
      </c>
      <c r="B1552">
        <v>1951</v>
      </c>
      <c r="C1552" t="s">
        <v>34</v>
      </c>
      <c r="D1552" t="s">
        <v>35</v>
      </c>
      <c r="E1552">
        <v>57530</v>
      </c>
      <c r="F1552">
        <v>0</v>
      </c>
      <c r="G1552">
        <v>1</v>
      </c>
      <c r="H1552" s="1">
        <v>41559</v>
      </c>
      <c r="I1552">
        <v>68</v>
      </c>
      <c r="J1552">
        <v>50</v>
      </c>
      <c r="K1552">
        <v>1</v>
      </c>
      <c r="L1552">
        <v>27</v>
      </c>
      <c r="M1552">
        <v>6</v>
      </c>
      <c r="N1552">
        <v>7</v>
      </c>
      <c r="O1552">
        <v>1</v>
      </c>
      <c r="P1552">
        <v>1</v>
      </c>
      <c r="Q1552">
        <v>1</v>
      </c>
      <c r="R1552">
        <v>1</v>
      </c>
      <c r="S1552">
        <v>4</v>
      </c>
      <c r="T1552">
        <v>1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3</v>
      </c>
      <c r="AB1552">
        <v>11</v>
      </c>
      <c r="AC1552">
        <v>0</v>
      </c>
    </row>
    <row r="1553" spans="1:29" x14ac:dyDescent="0.3">
      <c r="A1553">
        <v>7725</v>
      </c>
      <c r="B1553">
        <v>1965</v>
      </c>
      <c r="C1553" t="s">
        <v>37</v>
      </c>
      <c r="D1553" t="s">
        <v>33</v>
      </c>
      <c r="E1553">
        <v>76800</v>
      </c>
      <c r="F1553">
        <v>0</v>
      </c>
      <c r="G1553">
        <v>0</v>
      </c>
      <c r="H1553" s="1">
        <v>41706</v>
      </c>
      <c r="I1553">
        <v>33</v>
      </c>
      <c r="J1553">
        <v>173</v>
      </c>
      <c r="K1553">
        <v>26</v>
      </c>
      <c r="L1553">
        <v>255</v>
      </c>
      <c r="M1553">
        <v>35</v>
      </c>
      <c r="N1553">
        <v>71</v>
      </c>
      <c r="O1553">
        <v>81</v>
      </c>
      <c r="P1553">
        <v>1</v>
      </c>
      <c r="Q1553">
        <v>4</v>
      </c>
      <c r="R1553">
        <v>4</v>
      </c>
      <c r="S1553">
        <v>7</v>
      </c>
      <c r="T1553">
        <v>1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3</v>
      </c>
      <c r="AB1553">
        <v>11</v>
      </c>
      <c r="AC1553">
        <v>0</v>
      </c>
    </row>
    <row r="1554" spans="1:29" x14ac:dyDescent="0.3">
      <c r="A1554">
        <v>8091</v>
      </c>
      <c r="B1554">
        <v>1956</v>
      </c>
      <c r="C1554" t="s">
        <v>29</v>
      </c>
      <c r="D1554" t="s">
        <v>33</v>
      </c>
      <c r="E1554">
        <v>63943</v>
      </c>
      <c r="F1554">
        <v>0</v>
      </c>
      <c r="G1554">
        <v>1</v>
      </c>
      <c r="H1554" s="1">
        <v>41154</v>
      </c>
      <c r="I1554">
        <v>50</v>
      </c>
      <c r="J1554">
        <v>423</v>
      </c>
      <c r="K1554">
        <v>184</v>
      </c>
      <c r="L1554">
        <v>368</v>
      </c>
      <c r="M1554">
        <v>13</v>
      </c>
      <c r="N1554">
        <v>97</v>
      </c>
      <c r="O1554">
        <v>21</v>
      </c>
      <c r="P1554">
        <v>1</v>
      </c>
      <c r="Q1554">
        <v>6</v>
      </c>
      <c r="R1554">
        <v>4</v>
      </c>
      <c r="S1554">
        <v>6</v>
      </c>
      <c r="T1554">
        <v>5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3</v>
      </c>
      <c r="AB1554">
        <v>11</v>
      </c>
      <c r="AC1554">
        <v>0</v>
      </c>
    </row>
    <row r="1555" spans="1:29" x14ac:dyDescent="0.3">
      <c r="A1555">
        <v>7321</v>
      </c>
      <c r="B1555">
        <v>1962</v>
      </c>
      <c r="C1555" t="s">
        <v>29</v>
      </c>
      <c r="D1555" t="s">
        <v>31</v>
      </c>
      <c r="E1555">
        <v>76081</v>
      </c>
      <c r="F1555">
        <v>0</v>
      </c>
      <c r="G1555">
        <v>0</v>
      </c>
      <c r="H1555" s="1">
        <v>41782</v>
      </c>
      <c r="I1555">
        <v>85</v>
      </c>
      <c r="J1555">
        <v>292</v>
      </c>
      <c r="K1555">
        <v>30</v>
      </c>
      <c r="L1555">
        <v>415</v>
      </c>
      <c r="M1555">
        <v>63</v>
      </c>
      <c r="N1555">
        <v>33</v>
      </c>
      <c r="O1555">
        <v>200</v>
      </c>
      <c r="P1555">
        <v>1</v>
      </c>
      <c r="Q1555">
        <v>4</v>
      </c>
      <c r="R1555">
        <v>5</v>
      </c>
      <c r="S1555">
        <v>4</v>
      </c>
      <c r="T1555">
        <v>2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>
        <v>3</v>
      </c>
      <c r="AB1555">
        <v>11</v>
      </c>
      <c r="AC1555">
        <v>0</v>
      </c>
    </row>
    <row r="1556" spans="1:29" x14ac:dyDescent="0.3">
      <c r="A1556">
        <v>5462</v>
      </c>
      <c r="B1556">
        <v>1974</v>
      </c>
      <c r="C1556" t="s">
        <v>29</v>
      </c>
      <c r="D1556" t="s">
        <v>33</v>
      </c>
      <c r="E1556">
        <v>67445</v>
      </c>
      <c r="F1556">
        <v>0</v>
      </c>
      <c r="G1556">
        <v>1</v>
      </c>
      <c r="H1556" s="1">
        <v>41133</v>
      </c>
      <c r="I1556">
        <v>63</v>
      </c>
      <c r="J1556">
        <v>757</v>
      </c>
      <c r="K1556">
        <v>80</v>
      </c>
      <c r="L1556">
        <v>217</v>
      </c>
      <c r="M1556">
        <v>29</v>
      </c>
      <c r="N1556">
        <v>80</v>
      </c>
      <c r="O1556">
        <v>11</v>
      </c>
      <c r="P1556">
        <v>5</v>
      </c>
      <c r="Q1556">
        <v>9</v>
      </c>
      <c r="R1556">
        <v>6</v>
      </c>
      <c r="S1556">
        <v>12</v>
      </c>
      <c r="T1556">
        <v>6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3</v>
      </c>
      <c r="AB1556">
        <v>11</v>
      </c>
      <c r="AC1556">
        <v>0</v>
      </c>
    </row>
    <row r="1557" spans="1:29" x14ac:dyDescent="0.3">
      <c r="A1557">
        <v>7791</v>
      </c>
      <c r="B1557">
        <v>1967</v>
      </c>
      <c r="C1557" t="s">
        <v>34</v>
      </c>
      <c r="D1557" t="s">
        <v>33</v>
      </c>
      <c r="E1557">
        <v>37054</v>
      </c>
      <c r="F1557">
        <v>1</v>
      </c>
      <c r="G1557">
        <v>1</v>
      </c>
      <c r="H1557" s="1">
        <v>41532</v>
      </c>
      <c r="I1557">
        <v>89</v>
      </c>
      <c r="J1557">
        <v>12</v>
      </c>
      <c r="K1557">
        <v>1</v>
      </c>
      <c r="L1557">
        <v>6</v>
      </c>
      <c r="M1557">
        <v>0</v>
      </c>
      <c r="N1557">
        <v>1</v>
      </c>
      <c r="O1557">
        <v>5</v>
      </c>
      <c r="P1557">
        <v>2</v>
      </c>
      <c r="Q1557">
        <v>1</v>
      </c>
      <c r="R1557">
        <v>0</v>
      </c>
      <c r="S1557">
        <v>3</v>
      </c>
      <c r="T1557">
        <v>7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3</v>
      </c>
      <c r="AB1557">
        <v>11</v>
      </c>
      <c r="AC1557">
        <v>0</v>
      </c>
    </row>
    <row r="1558" spans="1:29" x14ac:dyDescent="0.3">
      <c r="A1558">
        <v>955</v>
      </c>
      <c r="B1558">
        <v>1962</v>
      </c>
      <c r="C1558" t="s">
        <v>34</v>
      </c>
      <c r="D1558" t="s">
        <v>31</v>
      </c>
      <c r="E1558">
        <v>47175</v>
      </c>
      <c r="F1558">
        <v>1</v>
      </c>
      <c r="G1558">
        <v>1</v>
      </c>
      <c r="H1558" s="1">
        <v>41210</v>
      </c>
      <c r="I1558">
        <v>81</v>
      </c>
      <c r="J1558">
        <v>167</v>
      </c>
      <c r="K1558">
        <v>2</v>
      </c>
      <c r="L1558">
        <v>44</v>
      </c>
      <c r="M1558">
        <v>6</v>
      </c>
      <c r="N1558">
        <v>2</v>
      </c>
      <c r="O1558">
        <v>19</v>
      </c>
      <c r="P1558">
        <v>7</v>
      </c>
      <c r="Q1558">
        <v>4</v>
      </c>
      <c r="R1558">
        <v>2</v>
      </c>
      <c r="S1558">
        <v>4</v>
      </c>
      <c r="T1558">
        <v>8</v>
      </c>
      <c r="U1558">
        <v>1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3</v>
      </c>
      <c r="AB1558">
        <v>11</v>
      </c>
      <c r="AC1558">
        <v>1</v>
      </c>
    </row>
    <row r="1559" spans="1:29" x14ac:dyDescent="0.3">
      <c r="A1559">
        <v>4037</v>
      </c>
      <c r="B1559">
        <v>1976</v>
      </c>
      <c r="C1559" t="s">
        <v>29</v>
      </c>
      <c r="D1559" t="s">
        <v>35</v>
      </c>
      <c r="E1559">
        <v>31859</v>
      </c>
      <c r="F1559">
        <v>1</v>
      </c>
      <c r="G1559">
        <v>0</v>
      </c>
      <c r="H1559" s="1">
        <v>41439</v>
      </c>
      <c r="I1559">
        <v>77</v>
      </c>
      <c r="J1559">
        <v>3</v>
      </c>
      <c r="K1559">
        <v>1</v>
      </c>
      <c r="L1559">
        <v>3</v>
      </c>
      <c r="M1559">
        <v>8</v>
      </c>
      <c r="N1559">
        <v>0</v>
      </c>
      <c r="O1559">
        <v>5</v>
      </c>
      <c r="P1559">
        <v>1</v>
      </c>
      <c r="Q1559">
        <v>1</v>
      </c>
      <c r="R1559">
        <v>0</v>
      </c>
      <c r="S1559">
        <v>2</v>
      </c>
      <c r="T1559">
        <v>7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3</v>
      </c>
      <c r="AB1559">
        <v>11</v>
      </c>
      <c r="AC1559">
        <v>0</v>
      </c>
    </row>
    <row r="1560" spans="1:29" x14ac:dyDescent="0.3">
      <c r="A1560">
        <v>6642</v>
      </c>
      <c r="B1560">
        <v>1961</v>
      </c>
      <c r="C1560" t="s">
        <v>29</v>
      </c>
      <c r="D1560" t="s">
        <v>35</v>
      </c>
      <c r="E1560">
        <v>27215</v>
      </c>
      <c r="F1560">
        <v>2</v>
      </c>
      <c r="G1560">
        <v>1</v>
      </c>
      <c r="H1560" s="1">
        <v>41297</v>
      </c>
      <c r="I1560">
        <v>50</v>
      </c>
      <c r="J1560">
        <v>30</v>
      </c>
      <c r="K1560">
        <v>5</v>
      </c>
      <c r="L1560">
        <v>22</v>
      </c>
      <c r="M1560">
        <v>8</v>
      </c>
      <c r="N1560">
        <v>9</v>
      </c>
      <c r="O1560">
        <v>28</v>
      </c>
      <c r="P1560">
        <v>4</v>
      </c>
      <c r="Q1560">
        <v>2</v>
      </c>
      <c r="R1560">
        <v>1</v>
      </c>
      <c r="S1560">
        <v>4</v>
      </c>
      <c r="T1560">
        <v>6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3</v>
      </c>
      <c r="AB1560">
        <v>11</v>
      </c>
      <c r="AC1560">
        <v>0</v>
      </c>
    </row>
    <row r="1561" spans="1:29" x14ac:dyDescent="0.3">
      <c r="A1561">
        <v>2793</v>
      </c>
      <c r="B1561">
        <v>1976</v>
      </c>
      <c r="C1561" t="s">
        <v>32</v>
      </c>
      <c r="D1561" t="s">
        <v>35</v>
      </c>
      <c r="E1561">
        <v>70179</v>
      </c>
      <c r="F1561">
        <v>0</v>
      </c>
      <c r="G1561">
        <v>1</v>
      </c>
      <c r="H1561" s="1">
        <v>41476</v>
      </c>
      <c r="I1561">
        <v>10</v>
      </c>
      <c r="J1561">
        <v>532</v>
      </c>
      <c r="K1561">
        <v>88</v>
      </c>
      <c r="L1561">
        <v>168</v>
      </c>
      <c r="M1561">
        <v>69</v>
      </c>
      <c r="N1561">
        <v>44</v>
      </c>
      <c r="O1561">
        <v>133</v>
      </c>
      <c r="P1561">
        <v>3</v>
      </c>
      <c r="Q1561">
        <v>7</v>
      </c>
      <c r="R1561">
        <v>3</v>
      </c>
      <c r="S1561">
        <v>13</v>
      </c>
      <c r="T1561">
        <v>5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3</v>
      </c>
      <c r="AB1561">
        <v>11</v>
      </c>
      <c r="AC1561">
        <v>0</v>
      </c>
    </row>
    <row r="1562" spans="1:29" x14ac:dyDescent="0.3">
      <c r="A1562">
        <v>5424</v>
      </c>
      <c r="B1562">
        <v>1983</v>
      </c>
      <c r="C1562" t="s">
        <v>29</v>
      </c>
      <c r="D1562" t="s">
        <v>33</v>
      </c>
      <c r="E1562">
        <v>39922</v>
      </c>
      <c r="F1562">
        <v>1</v>
      </c>
      <c r="G1562">
        <v>0</v>
      </c>
      <c r="H1562" s="1">
        <v>41319</v>
      </c>
      <c r="I1562">
        <v>30</v>
      </c>
      <c r="J1562">
        <v>29</v>
      </c>
      <c r="K1562">
        <v>12</v>
      </c>
      <c r="L1562">
        <v>59</v>
      </c>
      <c r="M1562">
        <v>19</v>
      </c>
      <c r="N1562">
        <v>1</v>
      </c>
      <c r="O1562">
        <v>36</v>
      </c>
      <c r="P1562">
        <v>2</v>
      </c>
      <c r="Q1562">
        <v>3</v>
      </c>
      <c r="R1562">
        <v>0</v>
      </c>
      <c r="S1562">
        <v>4</v>
      </c>
      <c r="T1562">
        <v>8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3</v>
      </c>
      <c r="AB1562">
        <v>11</v>
      </c>
      <c r="AC1562">
        <v>0</v>
      </c>
    </row>
    <row r="1563" spans="1:29" x14ac:dyDescent="0.3">
      <c r="A1563">
        <v>879</v>
      </c>
      <c r="B1563">
        <v>1976</v>
      </c>
      <c r="C1563" t="s">
        <v>34</v>
      </c>
      <c r="D1563" t="s">
        <v>33</v>
      </c>
      <c r="E1563">
        <v>49681</v>
      </c>
      <c r="F1563">
        <v>0</v>
      </c>
      <c r="G1563">
        <v>2</v>
      </c>
      <c r="H1563" s="1">
        <v>41582</v>
      </c>
      <c r="I1563">
        <v>66</v>
      </c>
      <c r="J1563">
        <v>411</v>
      </c>
      <c r="K1563">
        <v>0</v>
      </c>
      <c r="L1563">
        <v>26</v>
      </c>
      <c r="M1563">
        <v>0</v>
      </c>
      <c r="N1563">
        <v>0</v>
      </c>
      <c r="O1563">
        <v>21</v>
      </c>
      <c r="P1563">
        <v>6</v>
      </c>
      <c r="Q1563">
        <v>7</v>
      </c>
      <c r="R1563">
        <v>1</v>
      </c>
      <c r="S1563">
        <v>7</v>
      </c>
      <c r="T1563">
        <v>7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3</v>
      </c>
      <c r="AB1563">
        <v>11</v>
      </c>
      <c r="AC1563">
        <v>0</v>
      </c>
    </row>
    <row r="1564" spans="1:29" x14ac:dyDescent="0.3">
      <c r="A1564">
        <v>9530</v>
      </c>
      <c r="B1564">
        <v>1988</v>
      </c>
      <c r="C1564" t="s">
        <v>29</v>
      </c>
      <c r="D1564" t="s">
        <v>33</v>
      </c>
      <c r="E1564">
        <v>24645</v>
      </c>
      <c r="F1564">
        <v>1</v>
      </c>
      <c r="G1564">
        <v>0</v>
      </c>
      <c r="H1564" s="1">
        <v>41214</v>
      </c>
      <c r="I1564">
        <v>16</v>
      </c>
      <c r="J1564">
        <v>5</v>
      </c>
      <c r="K1564">
        <v>3</v>
      </c>
      <c r="L1564">
        <v>4</v>
      </c>
      <c r="M1564">
        <v>4</v>
      </c>
      <c r="N1564">
        <v>1</v>
      </c>
      <c r="O1564">
        <v>0</v>
      </c>
      <c r="P1564">
        <v>1</v>
      </c>
      <c r="Q1564">
        <v>1</v>
      </c>
      <c r="R1564">
        <v>0</v>
      </c>
      <c r="S1564">
        <v>2</v>
      </c>
      <c r="T1564">
        <v>8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3</v>
      </c>
      <c r="AB1564">
        <v>11</v>
      </c>
      <c r="AC1564">
        <v>0</v>
      </c>
    </row>
    <row r="1565" spans="1:29" x14ac:dyDescent="0.3">
      <c r="A1565">
        <v>4828</v>
      </c>
      <c r="B1565">
        <v>1954</v>
      </c>
      <c r="C1565" t="s">
        <v>29</v>
      </c>
      <c r="D1565" t="s">
        <v>35</v>
      </c>
      <c r="E1565">
        <v>79865</v>
      </c>
      <c r="F1565">
        <v>0</v>
      </c>
      <c r="G1565">
        <v>1</v>
      </c>
      <c r="H1565" s="1">
        <v>41808</v>
      </c>
      <c r="I1565">
        <v>12</v>
      </c>
      <c r="J1565">
        <v>71</v>
      </c>
      <c r="K1565">
        <v>99</v>
      </c>
      <c r="L1565">
        <v>278</v>
      </c>
      <c r="M1565">
        <v>185</v>
      </c>
      <c r="N1565">
        <v>121</v>
      </c>
      <c r="O1565">
        <v>38</v>
      </c>
      <c r="P1565">
        <v>1</v>
      </c>
      <c r="Q1565">
        <v>5</v>
      </c>
      <c r="R1565">
        <v>10</v>
      </c>
      <c r="S1565">
        <v>5</v>
      </c>
      <c r="T1565">
        <v>1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3</v>
      </c>
      <c r="AB1565">
        <v>11</v>
      </c>
      <c r="AC1565">
        <v>0</v>
      </c>
    </row>
    <row r="1566" spans="1:29" x14ac:dyDescent="0.3">
      <c r="A1566">
        <v>10699</v>
      </c>
      <c r="B1566">
        <v>1985</v>
      </c>
      <c r="C1566" t="s">
        <v>29</v>
      </c>
      <c r="D1566" t="s">
        <v>33</v>
      </c>
      <c r="E1566">
        <v>44322</v>
      </c>
      <c r="F1566">
        <v>1</v>
      </c>
      <c r="G1566">
        <v>0</v>
      </c>
      <c r="H1566" s="1">
        <v>41806</v>
      </c>
      <c r="I1566">
        <v>30</v>
      </c>
      <c r="J1566">
        <v>46</v>
      </c>
      <c r="K1566">
        <v>0</v>
      </c>
      <c r="L1566">
        <v>40</v>
      </c>
      <c r="M1566">
        <v>3</v>
      </c>
      <c r="N1566">
        <v>0</v>
      </c>
      <c r="O1566">
        <v>3</v>
      </c>
      <c r="P1566">
        <v>2</v>
      </c>
      <c r="Q1566">
        <v>3</v>
      </c>
      <c r="R1566">
        <v>0</v>
      </c>
      <c r="S1566">
        <v>3</v>
      </c>
      <c r="T1566">
        <v>8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3</v>
      </c>
      <c r="AB1566">
        <v>11</v>
      </c>
      <c r="AC1566">
        <v>0</v>
      </c>
    </row>
    <row r="1567" spans="1:29" x14ac:dyDescent="0.3">
      <c r="A1567">
        <v>1497</v>
      </c>
      <c r="B1567">
        <v>1952</v>
      </c>
      <c r="C1567" t="s">
        <v>29</v>
      </c>
      <c r="D1567" t="s">
        <v>30</v>
      </c>
      <c r="E1567">
        <v>47958</v>
      </c>
      <c r="F1567">
        <v>0</v>
      </c>
      <c r="G1567">
        <v>1</v>
      </c>
      <c r="H1567" s="1">
        <v>41293</v>
      </c>
      <c r="I1567">
        <v>8</v>
      </c>
      <c r="J1567">
        <v>268</v>
      </c>
      <c r="K1567">
        <v>11</v>
      </c>
      <c r="L1567">
        <v>88</v>
      </c>
      <c r="M1567">
        <v>15</v>
      </c>
      <c r="N1567">
        <v>3</v>
      </c>
      <c r="O1567">
        <v>22</v>
      </c>
      <c r="P1567">
        <v>2</v>
      </c>
      <c r="Q1567">
        <v>6</v>
      </c>
      <c r="R1567">
        <v>3</v>
      </c>
      <c r="S1567">
        <v>5</v>
      </c>
      <c r="T1567">
        <v>5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3</v>
      </c>
      <c r="AB1567">
        <v>11</v>
      </c>
      <c r="AC1567">
        <v>0</v>
      </c>
    </row>
    <row r="1568" spans="1:29" x14ac:dyDescent="0.3">
      <c r="A1568">
        <v>7476</v>
      </c>
      <c r="B1568">
        <v>1964</v>
      </c>
      <c r="C1568" t="s">
        <v>34</v>
      </c>
      <c r="D1568" t="s">
        <v>30</v>
      </c>
      <c r="E1568">
        <v>63972</v>
      </c>
      <c r="F1568">
        <v>0</v>
      </c>
      <c r="G1568">
        <v>1</v>
      </c>
      <c r="H1568" s="1">
        <v>41245</v>
      </c>
      <c r="I1568">
        <v>93</v>
      </c>
      <c r="J1568">
        <v>928</v>
      </c>
      <c r="K1568">
        <v>63</v>
      </c>
      <c r="L1568">
        <v>254</v>
      </c>
      <c r="M1568">
        <v>0</v>
      </c>
      <c r="N1568">
        <v>12</v>
      </c>
      <c r="O1568">
        <v>12</v>
      </c>
      <c r="P1568">
        <v>4</v>
      </c>
      <c r="Q1568">
        <v>5</v>
      </c>
      <c r="R1568">
        <v>4</v>
      </c>
      <c r="S1568">
        <v>10</v>
      </c>
      <c r="T1568">
        <v>4</v>
      </c>
      <c r="U1568">
        <v>0</v>
      </c>
      <c r="V1568">
        <v>1</v>
      </c>
      <c r="W1568">
        <v>0</v>
      </c>
      <c r="X1568">
        <v>0</v>
      </c>
      <c r="Y1568">
        <v>0</v>
      </c>
      <c r="Z1568">
        <v>0</v>
      </c>
      <c r="AA1568">
        <v>3</v>
      </c>
      <c r="AB1568">
        <v>11</v>
      </c>
      <c r="AC1568">
        <v>0</v>
      </c>
    </row>
    <row r="1569" spans="1:29" x14ac:dyDescent="0.3">
      <c r="A1569">
        <v>4390</v>
      </c>
      <c r="B1569">
        <v>1954</v>
      </c>
      <c r="C1569" t="s">
        <v>29</v>
      </c>
      <c r="D1569" t="s">
        <v>31</v>
      </c>
      <c r="E1569">
        <v>75315</v>
      </c>
      <c r="F1569">
        <v>0</v>
      </c>
      <c r="G1569">
        <v>1</v>
      </c>
      <c r="H1569" s="1">
        <v>41744</v>
      </c>
      <c r="I1569">
        <v>14</v>
      </c>
      <c r="J1569">
        <v>459</v>
      </c>
      <c r="K1569">
        <v>15</v>
      </c>
      <c r="L1569">
        <v>171</v>
      </c>
      <c r="M1569">
        <v>142</v>
      </c>
      <c r="N1569">
        <v>23</v>
      </c>
      <c r="O1569">
        <v>31</v>
      </c>
      <c r="P1569">
        <v>2</v>
      </c>
      <c r="Q1569">
        <v>5</v>
      </c>
      <c r="R1569">
        <v>4</v>
      </c>
      <c r="S1569">
        <v>12</v>
      </c>
      <c r="T1569">
        <v>2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3</v>
      </c>
      <c r="AB1569">
        <v>11</v>
      </c>
      <c r="AC1569">
        <v>0</v>
      </c>
    </row>
    <row r="1570" spans="1:29" x14ac:dyDescent="0.3">
      <c r="A1570">
        <v>10478</v>
      </c>
      <c r="B1570">
        <v>1950</v>
      </c>
      <c r="C1570" t="s">
        <v>32</v>
      </c>
      <c r="D1570" t="s">
        <v>33</v>
      </c>
      <c r="E1570">
        <v>55517</v>
      </c>
      <c r="F1570">
        <v>1</v>
      </c>
      <c r="G1570">
        <v>1</v>
      </c>
      <c r="H1570" s="1">
        <v>41179</v>
      </c>
      <c r="I1570">
        <v>53</v>
      </c>
      <c r="J1570">
        <v>483</v>
      </c>
      <c r="K1570">
        <v>0</v>
      </c>
      <c r="L1570">
        <v>108</v>
      </c>
      <c r="M1570">
        <v>0</v>
      </c>
      <c r="N1570">
        <v>6</v>
      </c>
      <c r="O1570">
        <v>36</v>
      </c>
      <c r="P1570">
        <v>5</v>
      </c>
      <c r="Q1570">
        <v>11</v>
      </c>
      <c r="R1570">
        <v>1</v>
      </c>
      <c r="S1570">
        <v>6</v>
      </c>
      <c r="T1570">
        <v>9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3</v>
      </c>
      <c r="AB1570">
        <v>11</v>
      </c>
      <c r="AC1570">
        <v>1</v>
      </c>
    </row>
    <row r="1571" spans="1:29" x14ac:dyDescent="0.3">
      <c r="A1571">
        <v>1081</v>
      </c>
      <c r="B1571">
        <v>1957</v>
      </c>
      <c r="C1571" t="s">
        <v>32</v>
      </c>
      <c r="D1571" t="s">
        <v>33</v>
      </c>
      <c r="E1571">
        <v>75283</v>
      </c>
      <c r="F1571">
        <v>1</v>
      </c>
      <c r="G1571">
        <v>2</v>
      </c>
      <c r="H1571" s="1">
        <v>41360</v>
      </c>
      <c r="I1571">
        <v>26</v>
      </c>
      <c r="J1571">
        <v>733</v>
      </c>
      <c r="K1571">
        <v>9</v>
      </c>
      <c r="L1571">
        <v>180</v>
      </c>
      <c r="M1571">
        <v>12</v>
      </c>
      <c r="N1571">
        <v>19</v>
      </c>
      <c r="O1571">
        <v>66</v>
      </c>
      <c r="P1571">
        <v>11</v>
      </c>
      <c r="Q1571">
        <v>6</v>
      </c>
      <c r="R1571">
        <v>3</v>
      </c>
      <c r="S1571">
        <v>5</v>
      </c>
      <c r="T1571">
        <v>4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3</v>
      </c>
      <c r="AB1571">
        <v>11</v>
      </c>
      <c r="AC1571">
        <v>0</v>
      </c>
    </row>
    <row r="1572" spans="1:29" x14ac:dyDescent="0.3">
      <c r="A1572">
        <v>4261</v>
      </c>
      <c r="B1572">
        <v>1946</v>
      </c>
      <c r="C1572" t="s">
        <v>32</v>
      </c>
      <c r="D1572" t="s">
        <v>30</v>
      </c>
      <c r="E1572">
        <v>82800</v>
      </c>
      <c r="F1572">
        <v>0</v>
      </c>
      <c r="G1572">
        <v>0</v>
      </c>
      <c r="H1572" s="1">
        <v>41237</v>
      </c>
      <c r="I1572">
        <v>23</v>
      </c>
      <c r="J1572">
        <v>1006</v>
      </c>
      <c r="K1572">
        <v>22</v>
      </c>
      <c r="L1572">
        <v>115</v>
      </c>
      <c r="M1572">
        <v>59</v>
      </c>
      <c r="N1572">
        <v>68</v>
      </c>
      <c r="O1572">
        <v>45</v>
      </c>
      <c r="P1572">
        <v>1</v>
      </c>
      <c r="Q1572">
        <v>7</v>
      </c>
      <c r="R1572">
        <v>6</v>
      </c>
      <c r="S1572">
        <v>12</v>
      </c>
      <c r="T1572">
        <v>3</v>
      </c>
      <c r="U1572">
        <v>0</v>
      </c>
      <c r="V1572">
        <v>0</v>
      </c>
      <c r="W1572">
        <v>1</v>
      </c>
      <c r="X1572">
        <v>1</v>
      </c>
      <c r="Y1572">
        <v>0</v>
      </c>
      <c r="Z1572">
        <v>0</v>
      </c>
      <c r="AA1572">
        <v>3</v>
      </c>
      <c r="AB1572">
        <v>11</v>
      </c>
      <c r="AC1572">
        <v>1</v>
      </c>
    </row>
    <row r="1573" spans="1:29" x14ac:dyDescent="0.3">
      <c r="A1573">
        <v>9916</v>
      </c>
      <c r="B1573">
        <v>1954</v>
      </c>
      <c r="C1573" t="s">
        <v>29</v>
      </c>
      <c r="D1573" t="s">
        <v>33</v>
      </c>
      <c r="E1573">
        <v>38998</v>
      </c>
      <c r="F1573">
        <v>1</v>
      </c>
      <c r="G1573">
        <v>1</v>
      </c>
      <c r="H1573" s="1">
        <v>41216</v>
      </c>
      <c r="I1573">
        <v>92</v>
      </c>
      <c r="J1573">
        <v>34</v>
      </c>
      <c r="K1573">
        <v>1</v>
      </c>
      <c r="L1573">
        <v>14</v>
      </c>
      <c r="M1573">
        <v>0</v>
      </c>
      <c r="N1573">
        <v>0</v>
      </c>
      <c r="O1573">
        <v>5</v>
      </c>
      <c r="P1573">
        <v>3</v>
      </c>
      <c r="Q1573">
        <v>2</v>
      </c>
      <c r="R1573">
        <v>0</v>
      </c>
      <c r="S1573">
        <v>3</v>
      </c>
      <c r="T1573">
        <v>8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1</v>
      </c>
      <c r="AA1573">
        <v>3</v>
      </c>
      <c r="AB1573">
        <v>11</v>
      </c>
      <c r="AC1573">
        <v>0</v>
      </c>
    </row>
    <row r="1574" spans="1:29" x14ac:dyDescent="0.3">
      <c r="A1574">
        <v>5350</v>
      </c>
      <c r="B1574">
        <v>1991</v>
      </c>
      <c r="C1574" t="s">
        <v>34</v>
      </c>
      <c r="D1574" t="s">
        <v>30</v>
      </c>
      <c r="E1574">
        <v>90638</v>
      </c>
      <c r="F1574">
        <v>0</v>
      </c>
      <c r="G1574">
        <v>0</v>
      </c>
      <c r="H1574" s="1">
        <v>41683</v>
      </c>
      <c r="I1574">
        <v>29</v>
      </c>
      <c r="J1574">
        <v>1156</v>
      </c>
      <c r="K1574">
        <v>120</v>
      </c>
      <c r="L1574">
        <v>915</v>
      </c>
      <c r="M1574">
        <v>94</v>
      </c>
      <c r="N1574">
        <v>144</v>
      </c>
      <c r="O1574">
        <v>96</v>
      </c>
      <c r="P1574">
        <v>1</v>
      </c>
      <c r="Q1574">
        <v>3</v>
      </c>
      <c r="R1574">
        <v>4</v>
      </c>
      <c r="S1574">
        <v>10</v>
      </c>
      <c r="T1574">
        <v>1</v>
      </c>
      <c r="U1574">
        <v>0</v>
      </c>
      <c r="V1574">
        <v>0</v>
      </c>
      <c r="W1574">
        <v>1</v>
      </c>
      <c r="X1574">
        <v>0</v>
      </c>
      <c r="Y1574">
        <v>0</v>
      </c>
      <c r="Z1574">
        <v>0</v>
      </c>
      <c r="AA1574">
        <v>3</v>
      </c>
      <c r="AB1574">
        <v>11</v>
      </c>
      <c r="AC1574">
        <v>1</v>
      </c>
    </row>
    <row r="1575" spans="1:29" x14ac:dyDescent="0.3">
      <c r="A1575">
        <v>8135</v>
      </c>
      <c r="B1575">
        <v>1986</v>
      </c>
      <c r="C1575" t="s">
        <v>34</v>
      </c>
      <c r="D1575" t="s">
        <v>33</v>
      </c>
      <c r="E1575">
        <v>27161</v>
      </c>
      <c r="F1575">
        <v>1</v>
      </c>
      <c r="G1575">
        <v>0</v>
      </c>
      <c r="H1575" s="1">
        <v>41575</v>
      </c>
      <c r="I1575">
        <v>41</v>
      </c>
      <c r="J1575">
        <v>7</v>
      </c>
      <c r="K1575">
        <v>4</v>
      </c>
      <c r="L1575">
        <v>23</v>
      </c>
      <c r="M1575">
        <v>7</v>
      </c>
      <c r="N1575">
        <v>0</v>
      </c>
      <c r="O1575">
        <v>11</v>
      </c>
      <c r="P1575">
        <v>1</v>
      </c>
      <c r="Q1575">
        <v>1</v>
      </c>
      <c r="R1575">
        <v>0</v>
      </c>
      <c r="S1575">
        <v>3</v>
      </c>
      <c r="T1575">
        <v>7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3</v>
      </c>
      <c r="AB1575">
        <v>11</v>
      </c>
      <c r="AC1575">
        <v>0</v>
      </c>
    </row>
    <row r="1576" spans="1:29" x14ac:dyDescent="0.3">
      <c r="A1576">
        <v>8685</v>
      </c>
      <c r="B1576">
        <v>1977</v>
      </c>
      <c r="C1576" t="s">
        <v>29</v>
      </c>
      <c r="D1576" t="s">
        <v>33</v>
      </c>
      <c r="E1576">
        <v>42014</v>
      </c>
      <c r="F1576">
        <v>1</v>
      </c>
      <c r="G1576">
        <v>0</v>
      </c>
      <c r="H1576" s="1">
        <v>41138</v>
      </c>
      <c r="I1576">
        <v>56</v>
      </c>
      <c r="J1576">
        <v>244</v>
      </c>
      <c r="K1576">
        <v>15</v>
      </c>
      <c r="L1576">
        <v>108</v>
      </c>
      <c r="M1576">
        <v>4</v>
      </c>
      <c r="N1576">
        <v>15</v>
      </c>
      <c r="O1576">
        <v>50</v>
      </c>
      <c r="P1576">
        <v>6</v>
      </c>
      <c r="Q1576">
        <v>7</v>
      </c>
      <c r="R1576">
        <v>1</v>
      </c>
      <c r="S1576">
        <v>6</v>
      </c>
      <c r="T1576">
        <v>8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3</v>
      </c>
      <c r="AB1576">
        <v>11</v>
      </c>
      <c r="AC1576">
        <v>1</v>
      </c>
    </row>
    <row r="1577" spans="1:29" x14ac:dyDescent="0.3">
      <c r="A1577">
        <v>4967</v>
      </c>
      <c r="B1577">
        <v>1960</v>
      </c>
      <c r="C1577" t="s">
        <v>32</v>
      </c>
      <c r="D1577" t="s">
        <v>31</v>
      </c>
      <c r="E1577">
        <v>38201</v>
      </c>
      <c r="F1577">
        <v>0</v>
      </c>
      <c r="G1577">
        <v>1</v>
      </c>
      <c r="H1577" s="1">
        <v>41362</v>
      </c>
      <c r="I1577">
        <v>19</v>
      </c>
      <c r="J1577">
        <v>233</v>
      </c>
      <c r="K1577">
        <v>0</v>
      </c>
      <c r="L1577">
        <v>23</v>
      </c>
      <c r="M1577">
        <v>0</v>
      </c>
      <c r="N1577">
        <v>0</v>
      </c>
      <c r="O1577">
        <v>12</v>
      </c>
      <c r="P1577">
        <v>4</v>
      </c>
      <c r="Q1577">
        <v>5</v>
      </c>
      <c r="R1577">
        <v>1</v>
      </c>
      <c r="S1577">
        <v>5</v>
      </c>
      <c r="T1577">
        <v>8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3</v>
      </c>
      <c r="AB1577">
        <v>11</v>
      </c>
      <c r="AC1577">
        <v>0</v>
      </c>
    </row>
    <row r="1578" spans="1:29" x14ac:dyDescent="0.3">
      <c r="A1578">
        <v>2130</v>
      </c>
      <c r="B1578">
        <v>1982</v>
      </c>
      <c r="C1578" t="s">
        <v>29</v>
      </c>
      <c r="D1578" t="s">
        <v>31</v>
      </c>
      <c r="E1578">
        <v>45203</v>
      </c>
      <c r="F1578">
        <v>2</v>
      </c>
      <c r="G1578">
        <v>0</v>
      </c>
      <c r="H1578" s="1">
        <v>41721</v>
      </c>
      <c r="I1578">
        <v>4</v>
      </c>
      <c r="J1578">
        <v>35</v>
      </c>
      <c r="K1578">
        <v>3</v>
      </c>
      <c r="L1578">
        <v>67</v>
      </c>
      <c r="M1578">
        <v>10</v>
      </c>
      <c r="N1578">
        <v>8</v>
      </c>
      <c r="O1578">
        <v>24</v>
      </c>
      <c r="P1578">
        <v>1</v>
      </c>
      <c r="Q1578">
        <v>3</v>
      </c>
      <c r="R1578">
        <v>1</v>
      </c>
      <c r="S1578">
        <v>3</v>
      </c>
      <c r="T1578">
        <v>6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3</v>
      </c>
      <c r="AB1578">
        <v>11</v>
      </c>
      <c r="AC1578">
        <v>1</v>
      </c>
    </row>
    <row r="1579" spans="1:29" x14ac:dyDescent="0.3">
      <c r="A1579">
        <v>9298</v>
      </c>
      <c r="B1579">
        <v>1947</v>
      </c>
      <c r="C1579" t="s">
        <v>32</v>
      </c>
      <c r="D1579" t="s">
        <v>31</v>
      </c>
      <c r="E1579">
        <v>81574</v>
      </c>
      <c r="F1579">
        <v>0</v>
      </c>
      <c r="G1579">
        <v>0</v>
      </c>
      <c r="H1579" s="1">
        <v>41757</v>
      </c>
      <c r="I1579">
        <v>89</v>
      </c>
      <c r="J1579">
        <v>1252</v>
      </c>
      <c r="K1579">
        <v>0</v>
      </c>
      <c r="L1579">
        <v>465</v>
      </c>
      <c r="M1579">
        <v>46</v>
      </c>
      <c r="N1579">
        <v>35</v>
      </c>
      <c r="O1579">
        <v>0</v>
      </c>
      <c r="P1579">
        <v>1</v>
      </c>
      <c r="Q1579">
        <v>4</v>
      </c>
      <c r="R1579">
        <v>5</v>
      </c>
      <c r="S1579">
        <v>8</v>
      </c>
      <c r="T1579">
        <v>1</v>
      </c>
      <c r="U1579">
        <v>0</v>
      </c>
      <c r="V1579">
        <v>1</v>
      </c>
      <c r="W1579">
        <v>1</v>
      </c>
      <c r="X1579">
        <v>0</v>
      </c>
      <c r="Y1579">
        <v>0</v>
      </c>
      <c r="Z1579">
        <v>0</v>
      </c>
      <c r="AA1579">
        <v>3</v>
      </c>
      <c r="AB1579">
        <v>11</v>
      </c>
      <c r="AC1579">
        <v>0</v>
      </c>
    </row>
    <row r="1580" spans="1:29" x14ac:dyDescent="0.3">
      <c r="A1580">
        <v>8175</v>
      </c>
      <c r="B1580">
        <v>1992</v>
      </c>
      <c r="C1580" t="s">
        <v>29</v>
      </c>
      <c r="D1580" t="s">
        <v>33</v>
      </c>
      <c r="E1580">
        <v>34935</v>
      </c>
      <c r="F1580">
        <v>0</v>
      </c>
      <c r="G1580">
        <v>0</v>
      </c>
      <c r="H1580" s="1">
        <v>41446</v>
      </c>
      <c r="I1580">
        <v>71</v>
      </c>
      <c r="J1580">
        <v>34</v>
      </c>
      <c r="K1580">
        <v>4</v>
      </c>
      <c r="L1580">
        <v>66</v>
      </c>
      <c r="M1580">
        <v>3</v>
      </c>
      <c r="N1580">
        <v>10</v>
      </c>
      <c r="O1580">
        <v>20</v>
      </c>
      <c r="P1580">
        <v>1</v>
      </c>
      <c r="Q1580">
        <v>2</v>
      </c>
      <c r="R1580">
        <v>1</v>
      </c>
      <c r="S1580">
        <v>4</v>
      </c>
      <c r="T1580">
        <v>7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3</v>
      </c>
      <c r="AB1580">
        <v>11</v>
      </c>
      <c r="AC1580">
        <v>0</v>
      </c>
    </row>
    <row r="1581" spans="1:29" x14ac:dyDescent="0.3">
      <c r="A1581">
        <v>6257</v>
      </c>
      <c r="B1581">
        <v>1976</v>
      </c>
      <c r="C1581" t="s">
        <v>34</v>
      </c>
      <c r="D1581" t="s">
        <v>30</v>
      </c>
      <c r="E1581">
        <v>60482</v>
      </c>
      <c r="F1581">
        <v>0</v>
      </c>
      <c r="G1581">
        <v>1</v>
      </c>
      <c r="H1581" s="1">
        <v>41297</v>
      </c>
      <c r="I1581">
        <v>81</v>
      </c>
      <c r="J1581">
        <v>255</v>
      </c>
      <c r="K1581">
        <v>43</v>
      </c>
      <c r="L1581">
        <v>134</v>
      </c>
      <c r="M1581">
        <v>37</v>
      </c>
      <c r="N1581">
        <v>14</v>
      </c>
      <c r="O1581">
        <v>24</v>
      </c>
      <c r="P1581">
        <v>1</v>
      </c>
      <c r="Q1581">
        <v>7</v>
      </c>
      <c r="R1581">
        <v>2</v>
      </c>
      <c r="S1581">
        <v>7</v>
      </c>
      <c r="T1581">
        <v>7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3</v>
      </c>
      <c r="AB1581">
        <v>11</v>
      </c>
      <c r="AC1581">
        <v>0</v>
      </c>
    </row>
    <row r="1582" spans="1:29" x14ac:dyDescent="0.3">
      <c r="A1582">
        <v>3790</v>
      </c>
      <c r="B1582">
        <v>1956</v>
      </c>
      <c r="C1582" t="s">
        <v>29</v>
      </c>
      <c r="D1582" t="s">
        <v>31</v>
      </c>
      <c r="E1582">
        <v>34633</v>
      </c>
      <c r="F1582">
        <v>2</v>
      </c>
      <c r="G1582">
        <v>1</v>
      </c>
      <c r="H1582" s="1">
        <v>41662</v>
      </c>
      <c r="I1582">
        <v>31</v>
      </c>
      <c r="J1582">
        <v>8</v>
      </c>
      <c r="K1582">
        <v>1</v>
      </c>
      <c r="L1582">
        <v>5</v>
      </c>
      <c r="M1582">
        <v>0</v>
      </c>
      <c r="N1582">
        <v>0</v>
      </c>
      <c r="O1582">
        <v>1</v>
      </c>
      <c r="P1582">
        <v>1</v>
      </c>
      <c r="Q1582">
        <v>1</v>
      </c>
      <c r="R1582">
        <v>0</v>
      </c>
      <c r="S1582">
        <v>2</v>
      </c>
      <c r="T1582">
        <v>6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3</v>
      </c>
      <c r="AB1582">
        <v>11</v>
      </c>
      <c r="AC1582">
        <v>0</v>
      </c>
    </row>
    <row r="1583" spans="1:29" x14ac:dyDescent="0.3">
      <c r="A1583">
        <v>9952</v>
      </c>
      <c r="B1583">
        <v>1947</v>
      </c>
      <c r="C1583" t="s">
        <v>34</v>
      </c>
      <c r="D1583" t="s">
        <v>31</v>
      </c>
      <c r="E1583">
        <v>78093</v>
      </c>
      <c r="F1583">
        <v>0</v>
      </c>
      <c r="G1583">
        <v>0</v>
      </c>
      <c r="H1583" s="1">
        <v>41619</v>
      </c>
      <c r="I1583">
        <v>53</v>
      </c>
      <c r="J1583">
        <v>368</v>
      </c>
      <c r="K1583">
        <v>32</v>
      </c>
      <c r="L1583">
        <v>639</v>
      </c>
      <c r="M1583">
        <v>13</v>
      </c>
      <c r="N1583">
        <v>43</v>
      </c>
      <c r="O1583">
        <v>10</v>
      </c>
      <c r="P1583">
        <v>1</v>
      </c>
      <c r="Q1583">
        <v>4</v>
      </c>
      <c r="R1583">
        <v>7</v>
      </c>
      <c r="S1583">
        <v>5</v>
      </c>
      <c r="T1583">
        <v>1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3</v>
      </c>
      <c r="AB1583">
        <v>11</v>
      </c>
      <c r="AC1583">
        <v>0</v>
      </c>
    </row>
    <row r="1584" spans="1:29" x14ac:dyDescent="0.3">
      <c r="A1584">
        <v>3503</v>
      </c>
      <c r="B1584">
        <v>1950</v>
      </c>
      <c r="C1584" t="s">
        <v>29</v>
      </c>
      <c r="D1584" t="s">
        <v>35</v>
      </c>
      <c r="E1584">
        <v>82460</v>
      </c>
      <c r="F1584">
        <v>0</v>
      </c>
      <c r="G1584">
        <v>0</v>
      </c>
      <c r="H1584" s="1">
        <v>41610</v>
      </c>
      <c r="I1584">
        <v>78</v>
      </c>
      <c r="J1584">
        <v>255</v>
      </c>
      <c r="K1584">
        <v>47</v>
      </c>
      <c r="L1584">
        <v>573</v>
      </c>
      <c r="M1584">
        <v>52</v>
      </c>
      <c r="N1584">
        <v>32</v>
      </c>
      <c r="O1584">
        <v>15</v>
      </c>
      <c r="P1584">
        <v>1</v>
      </c>
      <c r="Q1584">
        <v>5</v>
      </c>
      <c r="R1584">
        <v>3</v>
      </c>
      <c r="S1584">
        <v>6</v>
      </c>
      <c r="T1584">
        <v>1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3</v>
      </c>
      <c r="AB1584">
        <v>11</v>
      </c>
      <c r="AC1584">
        <v>0</v>
      </c>
    </row>
    <row r="1585" spans="1:29" x14ac:dyDescent="0.3">
      <c r="A1585">
        <v>5223</v>
      </c>
      <c r="B1585">
        <v>1966</v>
      </c>
      <c r="C1585" t="s">
        <v>34</v>
      </c>
      <c r="D1585" t="s">
        <v>31</v>
      </c>
      <c r="E1585">
        <v>45903</v>
      </c>
      <c r="F1585">
        <v>0</v>
      </c>
      <c r="G1585">
        <v>1</v>
      </c>
      <c r="H1585" s="1">
        <v>41752</v>
      </c>
      <c r="I1585">
        <v>80</v>
      </c>
      <c r="J1585">
        <v>33</v>
      </c>
      <c r="K1585">
        <v>8</v>
      </c>
      <c r="L1585">
        <v>10</v>
      </c>
      <c r="M1585">
        <v>2</v>
      </c>
      <c r="N1585">
        <v>10</v>
      </c>
      <c r="O1585">
        <v>3</v>
      </c>
      <c r="P1585">
        <v>2</v>
      </c>
      <c r="Q1585">
        <v>2</v>
      </c>
      <c r="R1585">
        <v>1</v>
      </c>
      <c r="S1585">
        <v>3</v>
      </c>
      <c r="T1585">
        <v>4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3</v>
      </c>
      <c r="AB1585">
        <v>11</v>
      </c>
      <c r="AC1585">
        <v>0</v>
      </c>
    </row>
    <row r="1586" spans="1:29" x14ac:dyDescent="0.3">
      <c r="A1586">
        <v>4608</v>
      </c>
      <c r="B1586">
        <v>1987</v>
      </c>
      <c r="C1586" t="s">
        <v>29</v>
      </c>
      <c r="D1586" t="s">
        <v>35</v>
      </c>
      <c r="E1586">
        <v>81361</v>
      </c>
      <c r="F1586">
        <v>0</v>
      </c>
      <c r="G1586">
        <v>0</v>
      </c>
      <c r="H1586" s="1">
        <v>41695</v>
      </c>
      <c r="I1586">
        <v>18</v>
      </c>
      <c r="J1586">
        <v>163</v>
      </c>
      <c r="K1586">
        <v>23</v>
      </c>
      <c r="L1586">
        <v>424</v>
      </c>
      <c r="M1586">
        <v>27</v>
      </c>
      <c r="N1586">
        <v>65</v>
      </c>
      <c r="O1586">
        <v>76</v>
      </c>
      <c r="P1586">
        <v>1</v>
      </c>
      <c r="Q1586">
        <v>3</v>
      </c>
      <c r="R1586">
        <v>10</v>
      </c>
      <c r="S1586">
        <v>13</v>
      </c>
      <c r="T1586">
        <v>1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3</v>
      </c>
      <c r="AB1586">
        <v>11</v>
      </c>
      <c r="AC1586">
        <v>1</v>
      </c>
    </row>
    <row r="1587" spans="1:29" x14ac:dyDescent="0.3">
      <c r="A1587">
        <v>1626</v>
      </c>
      <c r="B1587">
        <v>1973</v>
      </c>
      <c r="C1587" t="s">
        <v>32</v>
      </c>
      <c r="D1587" t="s">
        <v>35</v>
      </c>
      <c r="E1587">
        <v>35860</v>
      </c>
      <c r="F1587">
        <v>1</v>
      </c>
      <c r="G1587">
        <v>1</v>
      </c>
      <c r="H1587" s="1">
        <v>41778</v>
      </c>
      <c r="I1587">
        <v>37</v>
      </c>
      <c r="J1587">
        <v>15</v>
      </c>
      <c r="K1587">
        <v>0</v>
      </c>
      <c r="L1587">
        <v>8</v>
      </c>
      <c r="M1587">
        <v>4</v>
      </c>
      <c r="N1587">
        <v>2</v>
      </c>
      <c r="O1587">
        <v>20</v>
      </c>
      <c r="P1587">
        <v>2</v>
      </c>
      <c r="Q1587">
        <v>1</v>
      </c>
      <c r="R1587">
        <v>1</v>
      </c>
      <c r="S1587">
        <v>2</v>
      </c>
      <c r="T1587">
        <v>5</v>
      </c>
      <c r="U1587">
        <v>1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3</v>
      </c>
      <c r="AB1587">
        <v>11</v>
      </c>
      <c r="AC1587">
        <v>1</v>
      </c>
    </row>
    <row r="1588" spans="1:29" x14ac:dyDescent="0.3">
      <c r="A1588">
        <v>4764</v>
      </c>
      <c r="B1588">
        <v>1952</v>
      </c>
      <c r="C1588" t="s">
        <v>34</v>
      </c>
      <c r="D1588" t="s">
        <v>31</v>
      </c>
      <c r="E1588">
        <v>40442</v>
      </c>
      <c r="F1588">
        <v>1</v>
      </c>
      <c r="G1588">
        <v>1</v>
      </c>
      <c r="H1588" s="1">
        <v>41140</v>
      </c>
      <c r="I1588">
        <v>52</v>
      </c>
      <c r="J1588">
        <v>45</v>
      </c>
      <c r="K1588">
        <v>12</v>
      </c>
      <c r="L1588">
        <v>52</v>
      </c>
      <c r="M1588">
        <v>25</v>
      </c>
      <c r="N1588">
        <v>22</v>
      </c>
      <c r="O1588">
        <v>13</v>
      </c>
      <c r="P1588">
        <v>4</v>
      </c>
      <c r="Q1588">
        <v>3</v>
      </c>
      <c r="R1588">
        <v>1</v>
      </c>
      <c r="S1588">
        <v>4</v>
      </c>
      <c r="T1588">
        <v>7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3</v>
      </c>
      <c r="AB1588">
        <v>11</v>
      </c>
      <c r="AC1588">
        <v>1</v>
      </c>
    </row>
    <row r="1589" spans="1:29" x14ac:dyDescent="0.3">
      <c r="A1589">
        <v>2471</v>
      </c>
      <c r="B1589">
        <v>1965</v>
      </c>
      <c r="C1589" t="s">
        <v>29</v>
      </c>
      <c r="D1589" t="s">
        <v>33</v>
      </c>
      <c r="E1589">
        <v>61482</v>
      </c>
      <c r="F1589">
        <v>0</v>
      </c>
      <c r="G1589">
        <v>0</v>
      </c>
      <c r="H1589" s="1">
        <v>41817</v>
      </c>
      <c r="I1589">
        <v>39</v>
      </c>
      <c r="J1589">
        <v>48</v>
      </c>
      <c r="K1589">
        <v>58</v>
      </c>
      <c r="L1589">
        <v>68</v>
      </c>
      <c r="M1589">
        <v>16</v>
      </c>
      <c r="N1589">
        <v>66</v>
      </c>
      <c r="O1589">
        <v>43</v>
      </c>
      <c r="P1589">
        <v>1</v>
      </c>
      <c r="Q1589">
        <v>3</v>
      </c>
      <c r="R1589">
        <v>2</v>
      </c>
      <c r="S1589">
        <v>6</v>
      </c>
      <c r="T1589">
        <v>2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3</v>
      </c>
      <c r="AB1589">
        <v>11</v>
      </c>
      <c r="AC1589">
        <v>0</v>
      </c>
    </row>
    <row r="1590" spans="1:29" x14ac:dyDescent="0.3">
      <c r="A1590">
        <v>5892</v>
      </c>
      <c r="B1590">
        <v>1980</v>
      </c>
      <c r="C1590" t="s">
        <v>29</v>
      </c>
      <c r="D1590" t="s">
        <v>33</v>
      </c>
      <c r="E1590">
        <v>34968</v>
      </c>
      <c r="F1590">
        <v>1</v>
      </c>
      <c r="G1590">
        <v>0</v>
      </c>
      <c r="H1590" s="1">
        <v>41374</v>
      </c>
      <c r="I1590">
        <v>11</v>
      </c>
      <c r="J1590">
        <v>158</v>
      </c>
      <c r="K1590">
        <v>6</v>
      </c>
      <c r="L1590">
        <v>45</v>
      </c>
      <c r="M1590">
        <v>8</v>
      </c>
      <c r="N1590">
        <v>2</v>
      </c>
      <c r="O1590">
        <v>2</v>
      </c>
      <c r="P1590">
        <v>7</v>
      </c>
      <c r="Q1590">
        <v>3</v>
      </c>
      <c r="R1590">
        <v>2</v>
      </c>
      <c r="S1590">
        <v>5</v>
      </c>
      <c r="T1590">
        <v>7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3</v>
      </c>
      <c r="AB1590">
        <v>11</v>
      </c>
      <c r="AC1590">
        <v>0</v>
      </c>
    </row>
    <row r="1591" spans="1:29" x14ac:dyDescent="0.3">
      <c r="A1591">
        <v>2612</v>
      </c>
      <c r="B1591">
        <v>1987</v>
      </c>
      <c r="C1591" t="s">
        <v>29</v>
      </c>
      <c r="D1591" t="s">
        <v>33</v>
      </c>
      <c r="E1591">
        <v>75794</v>
      </c>
      <c r="F1591">
        <v>0</v>
      </c>
      <c r="G1591">
        <v>0</v>
      </c>
      <c r="H1591" s="1">
        <v>41632</v>
      </c>
      <c r="I1591">
        <v>33</v>
      </c>
      <c r="J1591">
        <v>754</v>
      </c>
      <c r="K1591">
        <v>160</v>
      </c>
      <c r="L1591">
        <v>625</v>
      </c>
      <c r="M1591">
        <v>63</v>
      </c>
      <c r="N1591">
        <v>32</v>
      </c>
      <c r="O1591">
        <v>48</v>
      </c>
      <c r="P1591">
        <v>1</v>
      </c>
      <c r="Q1591">
        <v>7</v>
      </c>
      <c r="R1591">
        <v>5</v>
      </c>
      <c r="S1591">
        <v>12</v>
      </c>
      <c r="T1591">
        <v>3</v>
      </c>
      <c r="U1591">
        <v>0</v>
      </c>
      <c r="V1591">
        <v>0</v>
      </c>
      <c r="W1591">
        <v>0</v>
      </c>
      <c r="X1591">
        <v>1</v>
      </c>
      <c r="Y1591">
        <v>0</v>
      </c>
      <c r="Z1591">
        <v>0</v>
      </c>
      <c r="AA1591">
        <v>3</v>
      </c>
      <c r="AB1591">
        <v>11</v>
      </c>
      <c r="AC1591">
        <v>0</v>
      </c>
    </row>
    <row r="1592" spans="1:29" x14ac:dyDescent="0.3">
      <c r="A1592">
        <v>4971</v>
      </c>
      <c r="B1592">
        <v>1962</v>
      </c>
      <c r="C1592" t="s">
        <v>32</v>
      </c>
      <c r="D1592" t="s">
        <v>31</v>
      </c>
      <c r="E1592">
        <v>31497</v>
      </c>
      <c r="F1592">
        <v>0</v>
      </c>
      <c r="G1592">
        <v>1</v>
      </c>
      <c r="H1592" s="1">
        <v>41249</v>
      </c>
      <c r="I1592">
        <v>22</v>
      </c>
      <c r="J1592">
        <v>108</v>
      </c>
      <c r="K1592">
        <v>1</v>
      </c>
      <c r="L1592">
        <v>28</v>
      </c>
      <c r="M1592">
        <v>13</v>
      </c>
      <c r="N1592">
        <v>1</v>
      </c>
      <c r="O1592">
        <v>4</v>
      </c>
      <c r="P1592">
        <v>2</v>
      </c>
      <c r="Q1592">
        <v>3</v>
      </c>
      <c r="R1592">
        <v>1</v>
      </c>
      <c r="S1592">
        <v>4</v>
      </c>
      <c r="T1592">
        <v>8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3</v>
      </c>
      <c r="AB1592">
        <v>11</v>
      </c>
      <c r="AC1592">
        <v>0</v>
      </c>
    </row>
    <row r="1593" spans="1:29" x14ac:dyDescent="0.3">
      <c r="A1593">
        <v>5185</v>
      </c>
      <c r="B1593">
        <v>1955</v>
      </c>
      <c r="C1593" t="s">
        <v>29</v>
      </c>
      <c r="D1593" t="s">
        <v>33</v>
      </c>
      <c r="E1593">
        <v>74268</v>
      </c>
      <c r="F1593">
        <v>0</v>
      </c>
      <c r="G1593">
        <v>0</v>
      </c>
      <c r="H1593" s="1">
        <v>41319</v>
      </c>
      <c r="I1593">
        <v>83</v>
      </c>
      <c r="J1593">
        <v>199</v>
      </c>
      <c r="K1593">
        <v>66</v>
      </c>
      <c r="L1593">
        <v>315</v>
      </c>
      <c r="M1593">
        <v>97</v>
      </c>
      <c r="N1593">
        <v>174</v>
      </c>
      <c r="O1593">
        <v>41</v>
      </c>
      <c r="P1593">
        <v>1</v>
      </c>
      <c r="Q1593">
        <v>4</v>
      </c>
      <c r="R1593">
        <v>3</v>
      </c>
      <c r="S1593">
        <v>5</v>
      </c>
      <c r="T1593">
        <v>2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3</v>
      </c>
      <c r="AB1593">
        <v>11</v>
      </c>
      <c r="AC1593">
        <v>0</v>
      </c>
    </row>
    <row r="1594" spans="1:29" x14ac:dyDescent="0.3">
      <c r="A1594">
        <v>10069</v>
      </c>
      <c r="B1594">
        <v>1988</v>
      </c>
      <c r="C1594" t="s">
        <v>36</v>
      </c>
      <c r="D1594" t="s">
        <v>31</v>
      </c>
      <c r="E1594">
        <v>13724</v>
      </c>
      <c r="F1594">
        <v>1</v>
      </c>
      <c r="G1594">
        <v>0</v>
      </c>
      <c r="H1594" s="1">
        <v>41152</v>
      </c>
      <c r="I1594">
        <v>43</v>
      </c>
      <c r="J1594">
        <v>2</v>
      </c>
      <c r="K1594">
        <v>7</v>
      </c>
      <c r="L1594">
        <v>5</v>
      </c>
      <c r="M1594">
        <v>2</v>
      </c>
      <c r="N1594">
        <v>15</v>
      </c>
      <c r="O1594">
        <v>27</v>
      </c>
      <c r="P1594">
        <v>1</v>
      </c>
      <c r="Q1594">
        <v>2</v>
      </c>
      <c r="R1594">
        <v>0</v>
      </c>
      <c r="S1594">
        <v>2</v>
      </c>
      <c r="T1594">
        <v>9</v>
      </c>
      <c r="U1594">
        <v>1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3</v>
      </c>
      <c r="AB1594">
        <v>11</v>
      </c>
      <c r="AC1594">
        <v>0</v>
      </c>
    </row>
    <row r="1595" spans="1:29" x14ac:dyDescent="0.3">
      <c r="A1595">
        <v>2262</v>
      </c>
      <c r="B1595">
        <v>1965</v>
      </c>
      <c r="C1595" t="s">
        <v>34</v>
      </c>
      <c r="D1595" t="s">
        <v>31</v>
      </c>
      <c r="E1595">
        <v>45143</v>
      </c>
      <c r="F1595">
        <v>0</v>
      </c>
      <c r="G1595">
        <v>1</v>
      </c>
      <c r="H1595" s="1">
        <v>41512</v>
      </c>
      <c r="I1595">
        <v>74</v>
      </c>
      <c r="J1595">
        <v>202</v>
      </c>
      <c r="K1595">
        <v>5</v>
      </c>
      <c r="L1595">
        <v>74</v>
      </c>
      <c r="M1595">
        <v>11</v>
      </c>
      <c r="N1595">
        <v>5</v>
      </c>
      <c r="O1595">
        <v>14</v>
      </c>
      <c r="P1595">
        <v>3</v>
      </c>
      <c r="Q1595">
        <v>6</v>
      </c>
      <c r="R1595">
        <v>1</v>
      </c>
      <c r="S1595">
        <v>5</v>
      </c>
      <c r="T1595">
        <v>7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3</v>
      </c>
      <c r="AB1595">
        <v>11</v>
      </c>
      <c r="AC1595">
        <v>0</v>
      </c>
    </row>
    <row r="1596" spans="1:29" x14ac:dyDescent="0.3">
      <c r="A1596">
        <v>1131</v>
      </c>
      <c r="B1596">
        <v>1967</v>
      </c>
      <c r="C1596" t="s">
        <v>32</v>
      </c>
      <c r="D1596" t="s">
        <v>30</v>
      </c>
      <c r="E1596">
        <v>52569</v>
      </c>
      <c r="F1596">
        <v>0</v>
      </c>
      <c r="G1596">
        <v>1</v>
      </c>
      <c r="H1596" s="1">
        <v>41734</v>
      </c>
      <c r="I1596">
        <v>54</v>
      </c>
      <c r="J1596">
        <v>85</v>
      </c>
      <c r="K1596">
        <v>0</v>
      </c>
      <c r="L1596">
        <v>3</v>
      </c>
      <c r="M1596">
        <v>0</v>
      </c>
      <c r="N1596">
        <v>0</v>
      </c>
      <c r="O1596">
        <v>7</v>
      </c>
      <c r="P1596">
        <v>1</v>
      </c>
      <c r="Q1596">
        <v>2</v>
      </c>
      <c r="R1596">
        <v>0</v>
      </c>
      <c r="S1596">
        <v>4</v>
      </c>
      <c r="T1596">
        <v>3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3</v>
      </c>
      <c r="AB1596">
        <v>11</v>
      </c>
      <c r="AC1596">
        <v>0</v>
      </c>
    </row>
    <row r="1597" spans="1:29" x14ac:dyDescent="0.3">
      <c r="A1597">
        <v>1041</v>
      </c>
      <c r="B1597">
        <v>1973</v>
      </c>
      <c r="C1597" t="s">
        <v>32</v>
      </c>
      <c r="D1597" t="s">
        <v>30</v>
      </c>
      <c r="E1597">
        <v>48432</v>
      </c>
      <c r="F1597">
        <v>0</v>
      </c>
      <c r="G1597">
        <v>1</v>
      </c>
      <c r="H1597" s="1">
        <v>41200</v>
      </c>
      <c r="I1597">
        <v>3</v>
      </c>
      <c r="J1597">
        <v>322</v>
      </c>
      <c r="K1597">
        <v>3</v>
      </c>
      <c r="L1597">
        <v>50</v>
      </c>
      <c r="M1597">
        <v>4</v>
      </c>
      <c r="N1597">
        <v>3</v>
      </c>
      <c r="O1597">
        <v>42</v>
      </c>
      <c r="P1597">
        <v>5</v>
      </c>
      <c r="Q1597">
        <v>7</v>
      </c>
      <c r="R1597">
        <v>1</v>
      </c>
      <c r="S1597">
        <v>6</v>
      </c>
      <c r="T1597">
        <v>8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3</v>
      </c>
      <c r="AB1597">
        <v>11</v>
      </c>
      <c r="AC1597">
        <v>1</v>
      </c>
    </row>
    <row r="1598" spans="1:29" x14ac:dyDescent="0.3">
      <c r="A1598">
        <v>24</v>
      </c>
      <c r="B1598">
        <v>1960</v>
      </c>
      <c r="C1598" t="s">
        <v>34</v>
      </c>
      <c r="D1598" t="s">
        <v>31</v>
      </c>
      <c r="E1598">
        <v>17144</v>
      </c>
      <c r="F1598">
        <v>1</v>
      </c>
      <c r="G1598">
        <v>1</v>
      </c>
      <c r="H1598" s="1">
        <v>41685</v>
      </c>
      <c r="I1598">
        <v>96</v>
      </c>
      <c r="J1598">
        <v>18</v>
      </c>
      <c r="K1598">
        <v>2</v>
      </c>
      <c r="L1598">
        <v>19</v>
      </c>
      <c r="M1598">
        <v>0</v>
      </c>
      <c r="N1598">
        <v>2</v>
      </c>
      <c r="O1598">
        <v>6</v>
      </c>
      <c r="P1598">
        <v>5</v>
      </c>
      <c r="Q1598">
        <v>3</v>
      </c>
      <c r="R1598">
        <v>0</v>
      </c>
      <c r="S1598">
        <v>4</v>
      </c>
      <c r="T1598">
        <v>7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3</v>
      </c>
      <c r="AB1598">
        <v>11</v>
      </c>
      <c r="AC1598">
        <v>0</v>
      </c>
    </row>
    <row r="1599" spans="1:29" x14ac:dyDescent="0.3">
      <c r="A1599">
        <v>3409</v>
      </c>
      <c r="B1599">
        <v>1984</v>
      </c>
      <c r="C1599" t="s">
        <v>29</v>
      </c>
      <c r="D1599" t="s">
        <v>30</v>
      </c>
      <c r="E1599">
        <v>36108</v>
      </c>
      <c r="F1599">
        <v>1</v>
      </c>
      <c r="G1599">
        <v>0</v>
      </c>
      <c r="H1599" s="1">
        <v>41562</v>
      </c>
      <c r="I1599">
        <v>68</v>
      </c>
      <c r="J1599">
        <v>141</v>
      </c>
      <c r="K1599">
        <v>8</v>
      </c>
      <c r="L1599">
        <v>129</v>
      </c>
      <c r="M1599">
        <v>3</v>
      </c>
      <c r="N1599">
        <v>11</v>
      </c>
      <c r="O1599">
        <v>47</v>
      </c>
      <c r="P1599">
        <v>3</v>
      </c>
      <c r="Q1599">
        <v>7</v>
      </c>
      <c r="R1599">
        <v>1</v>
      </c>
      <c r="S1599">
        <v>4</v>
      </c>
      <c r="T1599">
        <v>9</v>
      </c>
      <c r="U1599">
        <v>1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3</v>
      </c>
      <c r="AB1599">
        <v>11</v>
      </c>
      <c r="AC1599">
        <v>0</v>
      </c>
    </row>
    <row r="1600" spans="1:29" x14ac:dyDescent="0.3">
      <c r="A1600">
        <v>7022</v>
      </c>
      <c r="B1600">
        <v>1971</v>
      </c>
      <c r="C1600" t="s">
        <v>29</v>
      </c>
      <c r="D1600" t="s">
        <v>33</v>
      </c>
      <c r="E1600">
        <v>76445</v>
      </c>
      <c r="F1600">
        <v>1</v>
      </c>
      <c r="G1600">
        <v>0</v>
      </c>
      <c r="H1600" s="1">
        <v>41180</v>
      </c>
      <c r="I1600">
        <v>2</v>
      </c>
      <c r="J1600">
        <v>739</v>
      </c>
      <c r="K1600">
        <v>107</v>
      </c>
      <c r="L1600">
        <v>309</v>
      </c>
      <c r="M1600">
        <v>140</v>
      </c>
      <c r="N1600">
        <v>80</v>
      </c>
      <c r="O1600">
        <v>35</v>
      </c>
      <c r="P1600">
        <v>1</v>
      </c>
      <c r="Q1600">
        <v>2</v>
      </c>
      <c r="R1600">
        <v>5</v>
      </c>
      <c r="S1600">
        <v>13</v>
      </c>
      <c r="T1600">
        <v>6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3</v>
      </c>
      <c r="AB1600">
        <v>11</v>
      </c>
      <c r="AC1600">
        <v>0</v>
      </c>
    </row>
    <row r="1601" spans="1:29" x14ac:dyDescent="0.3">
      <c r="A1601">
        <v>7943</v>
      </c>
      <c r="B1601">
        <v>1975</v>
      </c>
      <c r="C1601" t="s">
        <v>32</v>
      </c>
      <c r="D1601" t="s">
        <v>33</v>
      </c>
      <c r="E1601">
        <v>36663</v>
      </c>
      <c r="F1601">
        <v>1</v>
      </c>
      <c r="G1601">
        <v>0</v>
      </c>
      <c r="H1601" s="1">
        <v>41754</v>
      </c>
      <c r="I1601">
        <v>40</v>
      </c>
      <c r="J1601">
        <v>18</v>
      </c>
      <c r="K1601">
        <v>0</v>
      </c>
      <c r="L1601">
        <v>6</v>
      </c>
      <c r="M1601">
        <v>3</v>
      </c>
      <c r="N1601">
        <v>3</v>
      </c>
      <c r="O1601">
        <v>5</v>
      </c>
      <c r="P1601">
        <v>1</v>
      </c>
      <c r="Q1601">
        <v>1</v>
      </c>
      <c r="R1601">
        <v>1</v>
      </c>
      <c r="S1601">
        <v>3</v>
      </c>
      <c r="T1601">
        <v>2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3</v>
      </c>
      <c r="AB1601">
        <v>11</v>
      </c>
      <c r="AC1601">
        <v>0</v>
      </c>
    </row>
    <row r="1602" spans="1:29" x14ac:dyDescent="0.3">
      <c r="A1602">
        <v>5272</v>
      </c>
      <c r="B1602">
        <v>1965</v>
      </c>
      <c r="C1602" t="s">
        <v>34</v>
      </c>
      <c r="D1602" t="s">
        <v>33</v>
      </c>
      <c r="E1602">
        <v>53843</v>
      </c>
      <c r="F1602">
        <v>0</v>
      </c>
      <c r="G1602">
        <v>1</v>
      </c>
      <c r="H1602" s="1">
        <v>41452</v>
      </c>
      <c r="I1602">
        <v>64</v>
      </c>
      <c r="J1602">
        <v>378</v>
      </c>
      <c r="K1602">
        <v>0</v>
      </c>
      <c r="L1602">
        <v>88</v>
      </c>
      <c r="M1602">
        <v>19</v>
      </c>
      <c r="N1602">
        <v>4</v>
      </c>
      <c r="O1602">
        <v>73</v>
      </c>
      <c r="P1602">
        <v>4</v>
      </c>
      <c r="Q1602">
        <v>8</v>
      </c>
      <c r="R1602">
        <v>5</v>
      </c>
      <c r="S1602">
        <v>3</v>
      </c>
      <c r="T1602">
        <v>7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3</v>
      </c>
      <c r="AB1602">
        <v>11</v>
      </c>
      <c r="AC1602">
        <v>0</v>
      </c>
    </row>
    <row r="1603" spans="1:29" x14ac:dyDescent="0.3">
      <c r="A1603">
        <v>5453</v>
      </c>
      <c r="B1603">
        <v>1956</v>
      </c>
      <c r="C1603" t="s">
        <v>34</v>
      </c>
      <c r="D1603" t="s">
        <v>33</v>
      </c>
      <c r="E1603">
        <v>90226</v>
      </c>
      <c r="F1603">
        <v>0</v>
      </c>
      <c r="G1603">
        <v>0</v>
      </c>
      <c r="H1603" s="1">
        <v>41178</v>
      </c>
      <c r="I1603">
        <v>26</v>
      </c>
      <c r="J1603">
        <v>1083</v>
      </c>
      <c r="K1603">
        <v>108</v>
      </c>
      <c r="L1603">
        <v>649</v>
      </c>
      <c r="M1603">
        <v>253</v>
      </c>
      <c r="N1603">
        <v>151</v>
      </c>
      <c r="O1603">
        <v>108</v>
      </c>
      <c r="P1603">
        <v>1</v>
      </c>
      <c r="Q1603">
        <v>4</v>
      </c>
      <c r="R1603">
        <v>7</v>
      </c>
      <c r="S1603">
        <v>12</v>
      </c>
      <c r="T1603">
        <v>2</v>
      </c>
      <c r="U1603">
        <v>0</v>
      </c>
      <c r="V1603">
        <v>0</v>
      </c>
      <c r="W1603">
        <v>0</v>
      </c>
      <c r="X1603">
        <v>1</v>
      </c>
      <c r="Y1603">
        <v>0</v>
      </c>
      <c r="Z1603">
        <v>0</v>
      </c>
      <c r="AA1603">
        <v>3</v>
      </c>
      <c r="AB1603">
        <v>11</v>
      </c>
      <c r="AC1603">
        <v>0</v>
      </c>
    </row>
    <row r="1604" spans="1:29" x14ac:dyDescent="0.3">
      <c r="A1604">
        <v>2565</v>
      </c>
      <c r="B1604">
        <v>1955</v>
      </c>
      <c r="C1604" t="s">
        <v>34</v>
      </c>
      <c r="D1604" t="s">
        <v>35</v>
      </c>
      <c r="E1604">
        <v>70638</v>
      </c>
      <c r="F1604">
        <v>0</v>
      </c>
      <c r="G1604">
        <v>0</v>
      </c>
      <c r="H1604" s="1">
        <v>41426</v>
      </c>
      <c r="I1604">
        <v>69</v>
      </c>
      <c r="J1604">
        <v>1016</v>
      </c>
      <c r="K1604">
        <v>12</v>
      </c>
      <c r="L1604">
        <v>215</v>
      </c>
      <c r="M1604">
        <v>16</v>
      </c>
      <c r="N1604">
        <v>12</v>
      </c>
      <c r="O1604">
        <v>63</v>
      </c>
      <c r="P1604">
        <v>1</v>
      </c>
      <c r="Q1604">
        <v>4</v>
      </c>
      <c r="R1604">
        <v>5</v>
      </c>
      <c r="S1604">
        <v>10</v>
      </c>
      <c r="T1604">
        <v>3</v>
      </c>
      <c r="U1604">
        <v>0</v>
      </c>
      <c r="V1604">
        <v>1</v>
      </c>
      <c r="W1604">
        <v>0</v>
      </c>
      <c r="X1604">
        <v>0</v>
      </c>
      <c r="Y1604">
        <v>0</v>
      </c>
      <c r="Z1604">
        <v>0</v>
      </c>
      <c r="AA1604">
        <v>3</v>
      </c>
      <c r="AB1604">
        <v>11</v>
      </c>
      <c r="AC1604">
        <v>0</v>
      </c>
    </row>
    <row r="1605" spans="1:29" x14ac:dyDescent="0.3">
      <c r="A1605">
        <v>800</v>
      </c>
      <c r="B1605">
        <v>1960</v>
      </c>
      <c r="C1605" t="s">
        <v>29</v>
      </c>
      <c r="D1605" t="s">
        <v>31</v>
      </c>
      <c r="E1605">
        <v>44512</v>
      </c>
      <c r="F1605">
        <v>1</v>
      </c>
      <c r="G1605">
        <v>1</v>
      </c>
      <c r="H1605" s="1">
        <v>41516</v>
      </c>
      <c r="I1605">
        <v>57</v>
      </c>
      <c r="J1605">
        <v>23</v>
      </c>
      <c r="K1605">
        <v>1</v>
      </c>
      <c r="L1605">
        <v>6</v>
      </c>
      <c r="M1605">
        <v>0</v>
      </c>
      <c r="N1605">
        <v>0</v>
      </c>
      <c r="O1605">
        <v>2</v>
      </c>
      <c r="P1605">
        <v>2</v>
      </c>
      <c r="Q1605">
        <v>1</v>
      </c>
      <c r="R1605">
        <v>0</v>
      </c>
      <c r="S1605">
        <v>3</v>
      </c>
      <c r="T1605">
        <v>4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3</v>
      </c>
      <c r="AB1605">
        <v>11</v>
      </c>
      <c r="AC1605">
        <v>0</v>
      </c>
    </row>
    <row r="1606" spans="1:29" x14ac:dyDescent="0.3">
      <c r="A1606">
        <v>11092</v>
      </c>
      <c r="B1606">
        <v>1961</v>
      </c>
      <c r="C1606" t="s">
        <v>29</v>
      </c>
      <c r="D1606" t="s">
        <v>33</v>
      </c>
      <c r="E1606">
        <v>27116</v>
      </c>
      <c r="F1606">
        <v>1</v>
      </c>
      <c r="G1606">
        <v>1</v>
      </c>
      <c r="H1606" s="1">
        <v>41700</v>
      </c>
      <c r="I1606">
        <v>78</v>
      </c>
      <c r="J1606">
        <v>12</v>
      </c>
      <c r="K1606">
        <v>1</v>
      </c>
      <c r="L1606">
        <v>21</v>
      </c>
      <c r="M1606">
        <v>2</v>
      </c>
      <c r="N1606">
        <v>2</v>
      </c>
      <c r="O1606">
        <v>3</v>
      </c>
      <c r="P1606">
        <v>2</v>
      </c>
      <c r="Q1606">
        <v>2</v>
      </c>
      <c r="R1606">
        <v>0</v>
      </c>
      <c r="S1606">
        <v>3</v>
      </c>
      <c r="T1606">
        <v>7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3</v>
      </c>
      <c r="AB1606">
        <v>11</v>
      </c>
      <c r="AC1606">
        <v>0</v>
      </c>
    </row>
    <row r="1607" spans="1:29" x14ac:dyDescent="0.3">
      <c r="A1607">
        <v>5062</v>
      </c>
      <c r="B1607">
        <v>1963</v>
      </c>
      <c r="C1607" t="s">
        <v>32</v>
      </c>
      <c r="D1607" t="s">
        <v>33</v>
      </c>
      <c r="E1607">
        <v>54072</v>
      </c>
      <c r="F1607">
        <v>1</v>
      </c>
      <c r="G1607">
        <v>1</v>
      </c>
      <c r="H1607" s="1">
        <v>41482</v>
      </c>
      <c r="I1607">
        <v>71</v>
      </c>
      <c r="J1607">
        <v>35</v>
      </c>
      <c r="K1607">
        <v>0</v>
      </c>
      <c r="L1607">
        <v>4</v>
      </c>
      <c r="M1607">
        <v>0</v>
      </c>
      <c r="N1607">
        <v>0</v>
      </c>
      <c r="O1607">
        <v>0</v>
      </c>
      <c r="P1607">
        <v>1</v>
      </c>
      <c r="Q1607">
        <v>2</v>
      </c>
      <c r="R1607">
        <v>0</v>
      </c>
      <c r="S1607">
        <v>2</v>
      </c>
      <c r="T1607">
        <v>8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3</v>
      </c>
      <c r="AB1607">
        <v>11</v>
      </c>
      <c r="AC1607">
        <v>0</v>
      </c>
    </row>
    <row r="1608" spans="1:29" x14ac:dyDescent="0.3">
      <c r="A1608">
        <v>8969</v>
      </c>
      <c r="B1608">
        <v>1977</v>
      </c>
      <c r="C1608" t="s">
        <v>29</v>
      </c>
      <c r="D1608" t="s">
        <v>33</v>
      </c>
      <c r="E1608">
        <v>71855</v>
      </c>
      <c r="F1608">
        <v>0</v>
      </c>
      <c r="G1608">
        <v>1</v>
      </c>
      <c r="H1608" s="1">
        <v>41290</v>
      </c>
      <c r="I1608">
        <v>59</v>
      </c>
      <c r="J1608">
        <v>548</v>
      </c>
      <c r="K1608">
        <v>31</v>
      </c>
      <c r="L1608">
        <v>422</v>
      </c>
      <c r="M1608">
        <v>0</v>
      </c>
      <c r="N1608">
        <v>112</v>
      </c>
      <c r="O1608">
        <v>28</v>
      </c>
      <c r="P1608">
        <v>4</v>
      </c>
      <c r="Q1608">
        <v>5</v>
      </c>
      <c r="R1608">
        <v>5</v>
      </c>
      <c r="S1608">
        <v>11</v>
      </c>
      <c r="T1608">
        <v>3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3</v>
      </c>
      <c r="AB1608">
        <v>11</v>
      </c>
      <c r="AC1608">
        <v>0</v>
      </c>
    </row>
    <row r="1609" spans="1:29" x14ac:dyDescent="0.3">
      <c r="A1609">
        <v>4656</v>
      </c>
      <c r="B1609">
        <v>1990</v>
      </c>
      <c r="C1609" t="s">
        <v>37</v>
      </c>
      <c r="D1609" t="s">
        <v>30</v>
      </c>
      <c r="E1609">
        <v>51250</v>
      </c>
      <c r="F1609">
        <v>1</v>
      </c>
      <c r="G1609">
        <v>0</v>
      </c>
      <c r="H1609" s="1">
        <v>41363</v>
      </c>
      <c r="I1609">
        <v>28</v>
      </c>
      <c r="J1609">
        <v>342</v>
      </c>
      <c r="K1609">
        <v>32</v>
      </c>
      <c r="L1609">
        <v>230</v>
      </c>
      <c r="M1609">
        <v>34</v>
      </c>
      <c r="N1609">
        <v>32</v>
      </c>
      <c r="O1609">
        <v>40</v>
      </c>
      <c r="P1609">
        <v>5</v>
      </c>
      <c r="Q1609">
        <v>10</v>
      </c>
      <c r="R1609">
        <v>5</v>
      </c>
      <c r="S1609">
        <v>4</v>
      </c>
      <c r="T1609">
        <v>9</v>
      </c>
      <c r="U1609">
        <v>1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3</v>
      </c>
      <c r="AB1609">
        <v>11</v>
      </c>
      <c r="AC1609">
        <v>0</v>
      </c>
    </row>
    <row r="1610" spans="1:29" x14ac:dyDescent="0.3">
      <c r="A1610">
        <v>4480</v>
      </c>
      <c r="B1610">
        <v>1973</v>
      </c>
      <c r="C1610" t="s">
        <v>34</v>
      </c>
      <c r="D1610" t="s">
        <v>33</v>
      </c>
      <c r="E1610">
        <v>60432</v>
      </c>
      <c r="F1610">
        <v>0</v>
      </c>
      <c r="G1610">
        <v>1</v>
      </c>
      <c r="H1610" s="1">
        <v>41707</v>
      </c>
      <c r="I1610">
        <v>61</v>
      </c>
      <c r="J1610">
        <v>365</v>
      </c>
      <c r="K1610">
        <v>3</v>
      </c>
      <c r="L1610">
        <v>15</v>
      </c>
      <c r="M1610">
        <v>4</v>
      </c>
      <c r="N1610">
        <v>3</v>
      </c>
      <c r="O1610">
        <v>11</v>
      </c>
      <c r="P1610">
        <v>5</v>
      </c>
      <c r="Q1610">
        <v>7</v>
      </c>
      <c r="R1610">
        <v>2</v>
      </c>
      <c r="S1610">
        <v>5</v>
      </c>
      <c r="T1610">
        <v>6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3</v>
      </c>
      <c r="AB1610">
        <v>11</v>
      </c>
      <c r="AC1610">
        <v>0</v>
      </c>
    </row>
    <row r="1611" spans="1:29" x14ac:dyDescent="0.3">
      <c r="A1611">
        <v>9971</v>
      </c>
      <c r="B1611">
        <v>1964</v>
      </c>
      <c r="C1611" t="s">
        <v>32</v>
      </c>
      <c r="D1611" t="s">
        <v>33</v>
      </c>
      <c r="E1611">
        <v>65526</v>
      </c>
      <c r="F1611">
        <v>0</v>
      </c>
      <c r="G1611">
        <v>1</v>
      </c>
      <c r="H1611" s="1">
        <v>41740</v>
      </c>
      <c r="I1611">
        <v>22</v>
      </c>
      <c r="J1611">
        <v>397</v>
      </c>
      <c r="K1611">
        <v>19</v>
      </c>
      <c r="L1611">
        <v>69</v>
      </c>
      <c r="M1611">
        <v>12</v>
      </c>
      <c r="N1611">
        <v>0</v>
      </c>
      <c r="O1611">
        <v>9</v>
      </c>
      <c r="P1611">
        <v>1</v>
      </c>
      <c r="Q1611">
        <v>4</v>
      </c>
      <c r="R1611">
        <v>4</v>
      </c>
      <c r="S1611">
        <v>8</v>
      </c>
      <c r="T1611">
        <v>2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3</v>
      </c>
      <c r="AB1611">
        <v>11</v>
      </c>
      <c r="AC1611">
        <v>0</v>
      </c>
    </row>
    <row r="1612" spans="1:29" x14ac:dyDescent="0.3">
      <c r="A1612">
        <v>6729</v>
      </c>
      <c r="B1612">
        <v>1988</v>
      </c>
      <c r="C1612" t="s">
        <v>29</v>
      </c>
      <c r="D1612" t="s">
        <v>30</v>
      </c>
      <c r="E1612">
        <v>68655</v>
      </c>
      <c r="F1612">
        <v>0</v>
      </c>
      <c r="G1612">
        <v>0</v>
      </c>
      <c r="H1612" s="1">
        <v>41131</v>
      </c>
      <c r="I1612">
        <v>95</v>
      </c>
      <c r="J1612">
        <v>456</v>
      </c>
      <c r="K1612">
        <v>19</v>
      </c>
      <c r="L1612">
        <v>832</v>
      </c>
      <c r="M1612">
        <v>75</v>
      </c>
      <c r="N1612">
        <v>118</v>
      </c>
      <c r="O1612">
        <v>38</v>
      </c>
      <c r="P1612">
        <v>1</v>
      </c>
      <c r="Q1612">
        <v>4</v>
      </c>
      <c r="R1612">
        <v>5</v>
      </c>
      <c r="S1612">
        <v>11</v>
      </c>
      <c r="T1612">
        <v>3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3</v>
      </c>
      <c r="AB1612">
        <v>11</v>
      </c>
      <c r="AC1612">
        <v>0</v>
      </c>
    </row>
    <row r="1613" spans="1:29" x14ac:dyDescent="0.3">
      <c r="A1613">
        <v>1773</v>
      </c>
      <c r="B1613">
        <v>1978</v>
      </c>
      <c r="C1613" t="s">
        <v>37</v>
      </c>
      <c r="D1613" t="s">
        <v>33</v>
      </c>
      <c r="E1613">
        <v>12393</v>
      </c>
      <c r="F1613">
        <v>0</v>
      </c>
      <c r="G1613">
        <v>0</v>
      </c>
      <c r="H1613" s="1">
        <v>41247</v>
      </c>
      <c r="I1613">
        <v>38</v>
      </c>
      <c r="J1613">
        <v>5</v>
      </c>
      <c r="K1613">
        <v>6</v>
      </c>
      <c r="L1613">
        <v>15</v>
      </c>
      <c r="M1613">
        <v>11</v>
      </c>
      <c r="N1613">
        <v>7</v>
      </c>
      <c r="O1613">
        <v>13</v>
      </c>
      <c r="P1613">
        <v>1</v>
      </c>
      <c r="Q1613">
        <v>2</v>
      </c>
      <c r="R1613">
        <v>0</v>
      </c>
      <c r="S1613">
        <v>3</v>
      </c>
      <c r="T1613">
        <v>9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3</v>
      </c>
      <c r="AB1613">
        <v>11</v>
      </c>
      <c r="AC1613">
        <v>0</v>
      </c>
    </row>
    <row r="1614" spans="1:29" x14ac:dyDescent="0.3">
      <c r="A1614">
        <v>9242</v>
      </c>
      <c r="B1614">
        <v>1990</v>
      </c>
      <c r="C1614" t="s">
        <v>29</v>
      </c>
      <c r="D1614" t="s">
        <v>30</v>
      </c>
      <c r="E1614">
        <v>64509</v>
      </c>
      <c r="F1614">
        <v>0</v>
      </c>
      <c r="G1614">
        <v>0</v>
      </c>
      <c r="H1614" s="1">
        <v>41503</v>
      </c>
      <c r="I1614">
        <v>19</v>
      </c>
      <c r="J1614">
        <v>836</v>
      </c>
      <c r="K1614">
        <v>185</v>
      </c>
      <c r="L1614">
        <v>575</v>
      </c>
      <c r="M1614">
        <v>24</v>
      </c>
      <c r="N1614">
        <v>25</v>
      </c>
      <c r="O1614">
        <v>77</v>
      </c>
      <c r="P1614">
        <v>1</v>
      </c>
      <c r="Q1614">
        <v>6</v>
      </c>
      <c r="R1614">
        <v>3</v>
      </c>
      <c r="S1614">
        <v>9</v>
      </c>
      <c r="T1614">
        <v>4</v>
      </c>
      <c r="U1614">
        <v>1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3</v>
      </c>
      <c r="AB1614">
        <v>11</v>
      </c>
      <c r="AC1614">
        <v>1</v>
      </c>
    </row>
    <row r="1615" spans="1:29" x14ac:dyDescent="0.3">
      <c r="A1615">
        <v>1764</v>
      </c>
      <c r="B1615">
        <v>1975</v>
      </c>
      <c r="C1615" t="s">
        <v>29</v>
      </c>
      <c r="D1615" t="s">
        <v>30</v>
      </c>
      <c r="E1615">
        <v>33955</v>
      </c>
      <c r="F1615">
        <v>1</v>
      </c>
      <c r="G1615">
        <v>0</v>
      </c>
      <c r="H1615" s="1">
        <v>41495</v>
      </c>
      <c r="I1615">
        <v>92</v>
      </c>
      <c r="J1615">
        <v>100</v>
      </c>
      <c r="K1615">
        <v>2</v>
      </c>
      <c r="L1615">
        <v>128</v>
      </c>
      <c r="M1615">
        <v>23</v>
      </c>
      <c r="N1615">
        <v>7</v>
      </c>
      <c r="O1615">
        <v>10</v>
      </c>
      <c r="P1615">
        <v>4</v>
      </c>
      <c r="Q1615">
        <v>5</v>
      </c>
      <c r="R1615">
        <v>1</v>
      </c>
      <c r="S1615">
        <v>5</v>
      </c>
      <c r="T1615">
        <v>8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3</v>
      </c>
      <c r="AB1615">
        <v>11</v>
      </c>
      <c r="AC1615">
        <v>0</v>
      </c>
    </row>
    <row r="1616" spans="1:29" x14ac:dyDescent="0.3">
      <c r="A1616">
        <v>6215</v>
      </c>
      <c r="B1616">
        <v>1977</v>
      </c>
      <c r="C1616" t="s">
        <v>29</v>
      </c>
      <c r="D1616" t="s">
        <v>33</v>
      </c>
      <c r="E1616">
        <v>31353</v>
      </c>
      <c r="F1616">
        <v>1</v>
      </c>
      <c r="G1616">
        <v>1</v>
      </c>
      <c r="H1616" s="1">
        <v>41637</v>
      </c>
      <c r="I1616">
        <v>24</v>
      </c>
      <c r="J1616">
        <v>10</v>
      </c>
      <c r="K1616">
        <v>0</v>
      </c>
      <c r="L1616">
        <v>10</v>
      </c>
      <c r="M1616">
        <v>3</v>
      </c>
      <c r="N1616">
        <v>1</v>
      </c>
      <c r="O1616">
        <v>7</v>
      </c>
      <c r="P1616">
        <v>2</v>
      </c>
      <c r="Q1616">
        <v>1</v>
      </c>
      <c r="R1616">
        <v>1</v>
      </c>
      <c r="S1616">
        <v>2</v>
      </c>
      <c r="T1616">
        <v>8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3</v>
      </c>
      <c r="AB1616">
        <v>11</v>
      </c>
      <c r="AC1616">
        <v>1</v>
      </c>
    </row>
    <row r="1617" spans="1:29" x14ac:dyDescent="0.3">
      <c r="A1617">
        <v>10099</v>
      </c>
      <c r="B1617">
        <v>1984</v>
      </c>
      <c r="C1617" t="s">
        <v>29</v>
      </c>
      <c r="D1617" t="s">
        <v>33</v>
      </c>
      <c r="E1617">
        <v>55434</v>
      </c>
      <c r="F1617">
        <v>1</v>
      </c>
      <c r="G1617">
        <v>0</v>
      </c>
      <c r="H1617" s="1">
        <v>41552</v>
      </c>
      <c r="I1617">
        <v>21</v>
      </c>
      <c r="J1617">
        <v>238</v>
      </c>
      <c r="K1617">
        <v>115</v>
      </c>
      <c r="L1617">
        <v>215</v>
      </c>
      <c r="M1617">
        <v>169</v>
      </c>
      <c r="N1617">
        <v>69</v>
      </c>
      <c r="O1617">
        <v>76</v>
      </c>
      <c r="P1617">
        <v>3</v>
      </c>
      <c r="Q1617">
        <v>5</v>
      </c>
      <c r="R1617">
        <v>3</v>
      </c>
      <c r="S1617">
        <v>13</v>
      </c>
      <c r="T1617">
        <v>4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3</v>
      </c>
      <c r="AB1617">
        <v>11</v>
      </c>
      <c r="AC1617">
        <v>0</v>
      </c>
    </row>
    <row r="1618" spans="1:29" x14ac:dyDescent="0.3">
      <c r="A1618">
        <v>5423</v>
      </c>
      <c r="B1618">
        <v>1983</v>
      </c>
      <c r="C1618" t="s">
        <v>29</v>
      </c>
      <c r="D1618" t="s">
        <v>31</v>
      </c>
      <c r="E1618">
        <v>28359</v>
      </c>
      <c r="F1618">
        <v>1</v>
      </c>
      <c r="G1618">
        <v>0</v>
      </c>
      <c r="H1618" s="1">
        <v>41574</v>
      </c>
      <c r="I1618">
        <v>35</v>
      </c>
      <c r="J1618">
        <v>6</v>
      </c>
      <c r="K1618">
        <v>0</v>
      </c>
      <c r="L1618">
        <v>5</v>
      </c>
      <c r="M1618">
        <v>2</v>
      </c>
      <c r="N1618">
        <v>1</v>
      </c>
      <c r="O1618">
        <v>2</v>
      </c>
      <c r="P1618">
        <v>1</v>
      </c>
      <c r="Q1618">
        <v>1</v>
      </c>
      <c r="R1618">
        <v>0</v>
      </c>
      <c r="S1618">
        <v>2</v>
      </c>
      <c r="T1618">
        <v>7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3</v>
      </c>
      <c r="AB1618">
        <v>11</v>
      </c>
      <c r="AC1618">
        <v>0</v>
      </c>
    </row>
    <row r="1619" spans="1:29" x14ac:dyDescent="0.3">
      <c r="A1619">
        <v>940</v>
      </c>
      <c r="B1619">
        <v>1987</v>
      </c>
      <c r="C1619" t="s">
        <v>29</v>
      </c>
      <c r="D1619" t="s">
        <v>30</v>
      </c>
      <c r="E1619">
        <v>57100</v>
      </c>
      <c r="F1619">
        <v>1</v>
      </c>
      <c r="G1619">
        <v>0</v>
      </c>
      <c r="H1619" s="1">
        <v>41777</v>
      </c>
      <c r="I1619">
        <v>9</v>
      </c>
      <c r="J1619">
        <v>158</v>
      </c>
      <c r="K1619">
        <v>11</v>
      </c>
      <c r="L1619">
        <v>99</v>
      </c>
      <c r="M1619">
        <v>15</v>
      </c>
      <c r="N1619">
        <v>11</v>
      </c>
      <c r="O1619">
        <v>17</v>
      </c>
      <c r="P1619">
        <v>2</v>
      </c>
      <c r="Q1619">
        <v>3</v>
      </c>
      <c r="R1619">
        <v>2</v>
      </c>
      <c r="S1619">
        <v>7</v>
      </c>
      <c r="T1619">
        <v>3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3</v>
      </c>
      <c r="AB1619">
        <v>11</v>
      </c>
      <c r="AC1619">
        <v>0</v>
      </c>
    </row>
    <row r="1620" spans="1:29" x14ac:dyDescent="0.3">
      <c r="A1620">
        <v>3011</v>
      </c>
      <c r="B1620">
        <v>1965</v>
      </c>
      <c r="C1620" t="s">
        <v>29</v>
      </c>
      <c r="D1620" t="s">
        <v>33</v>
      </c>
      <c r="E1620">
        <v>69139</v>
      </c>
      <c r="F1620">
        <v>0</v>
      </c>
      <c r="G1620">
        <v>1</v>
      </c>
      <c r="H1620" s="1">
        <v>41666</v>
      </c>
      <c r="I1620">
        <v>23</v>
      </c>
      <c r="J1620">
        <v>86</v>
      </c>
      <c r="K1620">
        <v>12</v>
      </c>
      <c r="L1620">
        <v>75</v>
      </c>
      <c r="M1620">
        <v>33</v>
      </c>
      <c r="N1620">
        <v>15</v>
      </c>
      <c r="O1620">
        <v>6</v>
      </c>
      <c r="P1620">
        <v>1</v>
      </c>
      <c r="Q1620">
        <v>4</v>
      </c>
      <c r="R1620">
        <v>1</v>
      </c>
      <c r="S1620">
        <v>5</v>
      </c>
      <c r="T1620">
        <v>4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3</v>
      </c>
      <c r="AB1620">
        <v>11</v>
      </c>
      <c r="AC1620">
        <v>0</v>
      </c>
    </row>
    <row r="1621" spans="1:29" x14ac:dyDescent="0.3">
      <c r="A1621">
        <v>3298</v>
      </c>
      <c r="B1621">
        <v>1956</v>
      </c>
      <c r="C1621" t="s">
        <v>34</v>
      </c>
      <c r="D1621" t="s">
        <v>33</v>
      </c>
      <c r="E1621">
        <v>52973</v>
      </c>
      <c r="F1621">
        <v>0</v>
      </c>
      <c r="G1621">
        <v>1</v>
      </c>
      <c r="H1621" s="1">
        <v>41221</v>
      </c>
      <c r="I1621">
        <v>92</v>
      </c>
      <c r="J1621">
        <v>856</v>
      </c>
      <c r="K1621">
        <v>0</v>
      </c>
      <c r="L1621">
        <v>76</v>
      </c>
      <c r="M1621">
        <v>12</v>
      </c>
      <c r="N1621">
        <v>9</v>
      </c>
      <c r="O1621">
        <v>199</v>
      </c>
      <c r="P1621">
        <v>7</v>
      </c>
      <c r="Q1621">
        <v>9</v>
      </c>
      <c r="R1621">
        <v>6</v>
      </c>
      <c r="S1621">
        <v>9</v>
      </c>
      <c r="T1621">
        <v>8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3</v>
      </c>
      <c r="AB1621">
        <v>11</v>
      </c>
      <c r="AC1621">
        <v>0</v>
      </c>
    </row>
    <row r="1622" spans="1:29" x14ac:dyDescent="0.3">
      <c r="A1622">
        <v>8286</v>
      </c>
      <c r="B1622">
        <v>1965</v>
      </c>
      <c r="C1622" t="s">
        <v>32</v>
      </c>
      <c r="D1622" t="s">
        <v>31</v>
      </c>
      <c r="E1622">
        <v>51717</v>
      </c>
      <c r="F1622">
        <v>0</v>
      </c>
      <c r="G1622">
        <v>1</v>
      </c>
      <c r="H1622" s="1">
        <v>41506</v>
      </c>
      <c r="I1622">
        <v>55</v>
      </c>
      <c r="J1622">
        <v>98</v>
      </c>
      <c r="K1622">
        <v>1</v>
      </c>
      <c r="L1622">
        <v>17</v>
      </c>
      <c r="M1622">
        <v>0</v>
      </c>
      <c r="N1622">
        <v>1</v>
      </c>
      <c r="O1622">
        <v>5</v>
      </c>
      <c r="P1622">
        <v>1</v>
      </c>
      <c r="Q1622">
        <v>3</v>
      </c>
      <c r="R1622">
        <v>0</v>
      </c>
      <c r="S1622">
        <v>4</v>
      </c>
      <c r="T1622">
        <v>7</v>
      </c>
      <c r="U1622">
        <v>0</v>
      </c>
      <c r="V1622">
        <v>1</v>
      </c>
      <c r="W1622">
        <v>0</v>
      </c>
      <c r="X1622">
        <v>0</v>
      </c>
      <c r="Y1622">
        <v>0</v>
      </c>
      <c r="Z1622">
        <v>0</v>
      </c>
      <c r="AA1622">
        <v>3</v>
      </c>
      <c r="AB1622">
        <v>11</v>
      </c>
      <c r="AC1622">
        <v>0</v>
      </c>
    </row>
    <row r="1623" spans="1:29" x14ac:dyDescent="0.3">
      <c r="A1623">
        <v>9668</v>
      </c>
      <c r="B1623">
        <v>1971</v>
      </c>
      <c r="C1623" t="s">
        <v>29</v>
      </c>
      <c r="D1623" t="s">
        <v>33</v>
      </c>
      <c r="E1623">
        <v>18793</v>
      </c>
      <c r="F1623">
        <v>1</v>
      </c>
      <c r="G1623">
        <v>0</v>
      </c>
      <c r="H1623" s="1">
        <v>41286</v>
      </c>
      <c r="I1623">
        <v>14</v>
      </c>
      <c r="J1623">
        <v>4</v>
      </c>
      <c r="K1623">
        <v>16</v>
      </c>
      <c r="L1623">
        <v>20</v>
      </c>
      <c r="M1623">
        <v>0</v>
      </c>
      <c r="N1623">
        <v>17</v>
      </c>
      <c r="O1623">
        <v>20</v>
      </c>
      <c r="P1623">
        <v>3</v>
      </c>
      <c r="Q1623">
        <v>2</v>
      </c>
      <c r="R1623">
        <v>0</v>
      </c>
      <c r="S1623">
        <v>4</v>
      </c>
      <c r="T1623">
        <v>8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3</v>
      </c>
      <c r="AB1623">
        <v>11</v>
      </c>
      <c r="AC1623">
        <v>0</v>
      </c>
    </row>
    <row r="1624" spans="1:29" x14ac:dyDescent="0.3">
      <c r="A1624">
        <v>5120</v>
      </c>
      <c r="B1624">
        <v>1982</v>
      </c>
      <c r="C1624" t="s">
        <v>37</v>
      </c>
      <c r="D1624" t="s">
        <v>31</v>
      </c>
      <c r="E1624">
        <v>66664</v>
      </c>
      <c r="F1624">
        <v>0</v>
      </c>
      <c r="G1624">
        <v>0</v>
      </c>
      <c r="H1624" s="1">
        <v>41177</v>
      </c>
      <c r="I1624">
        <v>78</v>
      </c>
      <c r="J1624">
        <v>398</v>
      </c>
      <c r="K1624">
        <v>96</v>
      </c>
      <c r="L1624">
        <v>447</v>
      </c>
      <c r="M1624">
        <v>220</v>
      </c>
      <c r="N1624">
        <v>96</v>
      </c>
      <c r="O1624">
        <v>32</v>
      </c>
      <c r="P1624">
        <v>1</v>
      </c>
      <c r="Q1624">
        <v>5</v>
      </c>
      <c r="R1624">
        <v>7</v>
      </c>
      <c r="S1624">
        <v>6</v>
      </c>
      <c r="T1624">
        <v>3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3</v>
      </c>
      <c r="AB1624">
        <v>11</v>
      </c>
      <c r="AC1624">
        <v>0</v>
      </c>
    </row>
    <row r="1625" spans="1:29" x14ac:dyDescent="0.3">
      <c r="A1625">
        <v>6097</v>
      </c>
      <c r="B1625">
        <v>1959</v>
      </c>
      <c r="C1625" t="s">
        <v>29</v>
      </c>
      <c r="D1625" t="s">
        <v>30</v>
      </c>
      <c r="E1625">
        <v>50664</v>
      </c>
      <c r="F1625">
        <v>1</v>
      </c>
      <c r="G1625">
        <v>1</v>
      </c>
      <c r="H1625" s="1">
        <v>41290</v>
      </c>
      <c r="I1625">
        <v>64</v>
      </c>
      <c r="J1625">
        <v>313</v>
      </c>
      <c r="K1625">
        <v>8</v>
      </c>
      <c r="L1625">
        <v>104</v>
      </c>
      <c r="M1625">
        <v>6</v>
      </c>
      <c r="N1625">
        <v>4</v>
      </c>
      <c r="O1625">
        <v>126</v>
      </c>
      <c r="P1625">
        <v>9</v>
      </c>
      <c r="Q1625">
        <v>8</v>
      </c>
      <c r="R1625">
        <v>1</v>
      </c>
      <c r="S1625">
        <v>6</v>
      </c>
      <c r="T1625">
        <v>9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3</v>
      </c>
      <c r="AB1625">
        <v>11</v>
      </c>
      <c r="AC1625">
        <v>0</v>
      </c>
    </row>
    <row r="1626" spans="1:29" x14ac:dyDescent="0.3">
      <c r="A1626">
        <v>7019</v>
      </c>
      <c r="B1626">
        <v>1963</v>
      </c>
      <c r="C1626" t="s">
        <v>29</v>
      </c>
      <c r="D1626" t="s">
        <v>31</v>
      </c>
      <c r="E1626">
        <v>54414</v>
      </c>
      <c r="F1626">
        <v>1</v>
      </c>
      <c r="G1626">
        <v>1</v>
      </c>
      <c r="H1626" s="1">
        <v>41297</v>
      </c>
      <c r="I1626">
        <v>49</v>
      </c>
      <c r="J1626">
        <v>109</v>
      </c>
      <c r="K1626">
        <v>18</v>
      </c>
      <c r="L1626">
        <v>16</v>
      </c>
      <c r="M1626">
        <v>24</v>
      </c>
      <c r="N1626">
        <v>26</v>
      </c>
      <c r="O1626">
        <v>18</v>
      </c>
      <c r="P1626">
        <v>4</v>
      </c>
      <c r="Q1626">
        <v>3</v>
      </c>
      <c r="R1626">
        <v>1</v>
      </c>
      <c r="S1626">
        <v>5</v>
      </c>
      <c r="T1626">
        <v>4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3</v>
      </c>
      <c r="AB1626">
        <v>11</v>
      </c>
      <c r="AC1626">
        <v>0</v>
      </c>
    </row>
    <row r="1627" spans="1:29" x14ac:dyDescent="0.3">
      <c r="A1627">
        <v>7408</v>
      </c>
      <c r="B1627">
        <v>1952</v>
      </c>
      <c r="C1627" t="s">
        <v>32</v>
      </c>
      <c r="D1627" t="s">
        <v>33</v>
      </c>
      <c r="E1627">
        <v>54549</v>
      </c>
      <c r="F1627">
        <v>0</v>
      </c>
      <c r="G1627">
        <v>1</v>
      </c>
      <c r="H1627" s="1">
        <v>41701</v>
      </c>
      <c r="I1627">
        <v>8</v>
      </c>
      <c r="J1627">
        <v>216</v>
      </c>
      <c r="K1627">
        <v>2</v>
      </c>
      <c r="L1627">
        <v>6</v>
      </c>
      <c r="M1627">
        <v>0</v>
      </c>
      <c r="N1627">
        <v>0</v>
      </c>
      <c r="O1627">
        <v>9</v>
      </c>
      <c r="P1627">
        <v>2</v>
      </c>
      <c r="Q1627">
        <v>5</v>
      </c>
      <c r="R1627">
        <v>1</v>
      </c>
      <c r="S1627">
        <v>4</v>
      </c>
      <c r="T1627">
        <v>7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3</v>
      </c>
      <c r="AB1627">
        <v>11</v>
      </c>
      <c r="AC1627">
        <v>0</v>
      </c>
    </row>
    <row r="1628" spans="1:29" x14ac:dyDescent="0.3">
      <c r="A1628">
        <v>8041</v>
      </c>
      <c r="B1628">
        <v>1971</v>
      </c>
      <c r="C1628" t="s">
        <v>32</v>
      </c>
      <c r="D1628" t="s">
        <v>38</v>
      </c>
      <c r="E1628">
        <v>47111</v>
      </c>
      <c r="F1628">
        <v>0</v>
      </c>
      <c r="G1628">
        <v>1</v>
      </c>
      <c r="H1628" s="1">
        <v>41160</v>
      </c>
      <c r="I1628">
        <v>35</v>
      </c>
      <c r="J1628">
        <v>595</v>
      </c>
      <c r="K1628">
        <v>71</v>
      </c>
      <c r="L1628">
        <v>153</v>
      </c>
      <c r="M1628">
        <v>120</v>
      </c>
      <c r="N1628">
        <v>112</v>
      </c>
      <c r="O1628">
        <v>41</v>
      </c>
      <c r="P1628">
        <v>6</v>
      </c>
      <c r="Q1628">
        <v>3</v>
      </c>
      <c r="R1628">
        <v>2</v>
      </c>
      <c r="S1628">
        <v>10</v>
      </c>
      <c r="T1628">
        <v>9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3</v>
      </c>
      <c r="AB1628">
        <v>11</v>
      </c>
      <c r="AC1628">
        <v>0</v>
      </c>
    </row>
    <row r="1629" spans="1:29" x14ac:dyDescent="0.3">
      <c r="A1629">
        <v>252</v>
      </c>
      <c r="B1629">
        <v>1963</v>
      </c>
      <c r="C1629" t="s">
        <v>32</v>
      </c>
      <c r="D1629" t="s">
        <v>35</v>
      </c>
      <c r="E1629">
        <v>41003</v>
      </c>
      <c r="F1629">
        <v>0</v>
      </c>
      <c r="G1629">
        <v>0</v>
      </c>
      <c r="H1629" s="1">
        <v>41350</v>
      </c>
      <c r="I1629">
        <v>11</v>
      </c>
      <c r="J1629">
        <v>123</v>
      </c>
      <c r="K1629">
        <v>133</v>
      </c>
      <c r="L1629">
        <v>142</v>
      </c>
      <c r="M1629">
        <v>71</v>
      </c>
      <c r="N1629">
        <v>44</v>
      </c>
      <c r="O1629">
        <v>88</v>
      </c>
      <c r="P1629">
        <v>1</v>
      </c>
      <c r="Q1629">
        <v>6</v>
      </c>
      <c r="R1629">
        <v>2</v>
      </c>
      <c r="S1629">
        <v>8</v>
      </c>
      <c r="T1629">
        <v>6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3</v>
      </c>
      <c r="AB1629">
        <v>11</v>
      </c>
      <c r="AC1629">
        <v>0</v>
      </c>
    </row>
    <row r="1630" spans="1:29" x14ac:dyDescent="0.3">
      <c r="A1630">
        <v>9986</v>
      </c>
      <c r="B1630">
        <v>1982</v>
      </c>
      <c r="C1630" t="s">
        <v>29</v>
      </c>
      <c r="D1630" t="s">
        <v>31</v>
      </c>
      <c r="E1630">
        <v>19444</v>
      </c>
      <c r="F1630">
        <v>1</v>
      </c>
      <c r="G1630">
        <v>0</v>
      </c>
      <c r="H1630" s="1">
        <v>41692</v>
      </c>
      <c r="I1630">
        <v>8</v>
      </c>
      <c r="J1630">
        <v>16</v>
      </c>
      <c r="K1630">
        <v>0</v>
      </c>
      <c r="L1630">
        <v>23</v>
      </c>
      <c r="M1630">
        <v>3</v>
      </c>
      <c r="N1630">
        <v>2</v>
      </c>
      <c r="O1630">
        <v>10</v>
      </c>
      <c r="P1630">
        <v>3</v>
      </c>
      <c r="Q1630">
        <v>4</v>
      </c>
      <c r="R1630">
        <v>1</v>
      </c>
      <c r="S1630">
        <v>2</v>
      </c>
      <c r="T1630">
        <v>7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3</v>
      </c>
      <c r="AB1630">
        <v>11</v>
      </c>
      <c r="AC1630">
        <v>1</v>
      </c>
    </row>
    <row r="1631" spans="1:29" x14ac:dyDescent="0.3">
      <c r="A1631">
        <v>3276</v>
      </c>
      <c r="B1631">
        <v>1976</v>
      </c>
      <c r="C1631" t="s">
        <v>37</v>
      </c>
      <c r="D1631" t="s">
        <v>31</v>
      </c>
      <c r="E1631">
        <v>36301</v>
      </c>
      <c r="F1631">
        <v>1</v>
      </c>
      <c r="G1631">
        <v>0</v>
      </c>
      <c r="H1631" s="1">
        <v>41572</v>
      </c>
      <c r="I1631">
        <v>53</v>
      </c>
      <c r="J1631">
        <v>11</v>
      </c>
      <c r="K1631">
        <v>12</v>
      </c>
      <c r="L1631">
        <v>35</v>
      </c>
      <c r="M1631">
        <v>3</v>
      </c>
      <c r="N1631">
        <v>5</v>
      </c>
      <c r="O1631">
        <v>12</v>
      </c>
      <c r="P1631">
        <v>1</v>
      </c>
      <c r="Q1631">
        <v>3</v>
      </c>
      <c r="R1631">
        <v>0</v>
      </c>
      <c r="S1631">
        <v>3</v>
      </c>
      <c r="T1631">
        <v>7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3</v>
      </c>
      <c r="AB1631">
        <v>11</v>
      </c>
      <c r="AC1631">
        <v>0</v>
      </c>
    </row>
    <row r="1632" spans="1:29" x14ac:dyDescent="0.3">
      <c r="A1632">
        <v>3859</v>
      </c>
      <c r="B1632">
        <v>1947</v>
      </c>
      <c r="C1632" t="s">
        <v>32</v>
      </c>
      <c r="D1632" t="s">
        <v>31</v>
      </c>
      <c r="E1632">
        <v>73059</v>
      </c>
      <c r="F1632">
        <v>0</v>
      </c>
      <c r="G1632">
        <v>1</v>
      </c>
      <c r="H1632" s="1">
        <v>41517</v>
      </c>
      <c r="I1632">
        <v>36</v>
      </c>
      <c r="J1632">
        <v>410</v>
      </c>
      <c r="K1632">
        <v>112</v>
      </c>
      <c r="L1632">
        <v>420</v>
      </c>
      <c r="M1632">
        <v>0</v>
      </c>
      <c r="N1632">
        <v>82</v>
      </c>
      <c r="O1632">
        <v>71</v>
      </c>
      <c r="P1632">
        <v>1</v>
      </c>
      <c r="Q1632">
        <v>9</v>
      </c>
      <c r="R1632">
        <v>3</v>
      </c>
      <c r="S1632">
        <v>13</v>
      </c>
      <c r="T1632">
        <v>4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3</v>
      </c>
      <c r="AB1632">
        <v>11</v>
      </c>
      <c r="AC1632">
        <v>0</v>
      </c>
    </row>
    <row r="1633" spans="1:29" x14ac:dyDescent="0.3">
      <c r="A1633">
        <v>3570</v>
      </c>
      <c r="B1633">
        <v>1969</v>
      </c>
      <c r="C1633" t="s">
        <v>32</v>
      </c>
      <c r="D1633" t="s">
        <v>31</v>
      </c>
      <c r="E1633">
        <v>42731</v>
      </c>
      <c r="F1633">
        <v>1</v>
      </c>
      <c r="G1633">
        <v>0</v>
      </c>
      <c r="H1633" s="1">
        <v>41568</v>
      </c>
      <c r="I1633">
        <v>64</v>
      </c>
      <c r="J1633">
        <v>159</v>
      </c>
      <c r="K1633">
        <v>2</v>
      </c>
      <c r="L1633">
        <v>51</v>
      </c>
      <c r="M1633">
        <v>6</v>
      </c>
      <c r="N1633">
        <v>2</v>
      </c>
      <c r="O1633">
        <v>24</v>
      </c>
      <c r="P1633">
        <v>3</v>
      </c>
      <c r="Q1633">
        <v>4</v>
      </c>
      <c r="R1633">
        <v>1</v>
      </c>
      <c r="S1633">
        <v>5</v>
      </c>
      <c r="T1633">
        <v>5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3</v>
      </c>
      <c r="AB1633">
        <v>11</v>
      </c>
      <c r="AC1633">
        <v>0</v>
      </c>
    </row>
    <row r="1634" spans="1:29" x14ac:dyDescent="0.3">
      <c r="A1634">
        <v>3783</v>
      </c>
      <c r="B1634">
        <v>1959</v>
      </c>
      <c r="C1634" t="s">
        <v>32</v>
      </c>
      <c r="D1634" t="s">
        <v>33</v>
      </c>
      <c r="E1634">
        <v>52854</v>
      </c>
      <c r="F1634">
        <v>1</v>
      </c>
      <c r="G1634">
        <v>1</v>
      </c>
      <c r="H1634" s="1">
        <v>41722</v>
      </c>
      <c r="I1634">
        <v>43</v>
      </c>
      <c r="J1634">
        <v>105</v>
      </c>
      <c r="K1634">
        <v>0</v>
      </c>
      <c r="L1634">
        <v>10</v>
      </c>
      <c r="M1634">
        <v>0</v>
      </c>
      <c r="N1634">
        <v>1</v>
      </c>
      <c r="O1634">
        <v>0</v>
      </c>
      <c r="P1634">
        <v>2</v>
      </c>
      <c r="Q1634">
        <v>2</v>
      </c>
      <c r="R1634">
        <v>1</v>
      </c>
      <c r="S1634">
        <v>4</v>
      </c>
      <c r="T1634">
        <v>5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3</v>
      </c>
      <c r="AB1634">
        <v>11</v>
      </c>
      <c r="AC1634">
        <v>0</v>
      </c>
    </row>
    <row r="1635" spans="1:29" x14ac:dyDescent="0.3">
      <c r="A1635">
        <v>10207</v>
      </c>
      <c r="B1635">
        <v>1978</v>
      </c>
      <c r="C1635" t="s">
        <v>29</v>
      </c>
      <c r="D1635" t="s">
        <v>31</v>
      </c>
      <c r="E1635">
        <v>22775</v>
      </c>
      <c r="F1635">
        <v>1</v>
      </c>
      <c r="G1635">
        <v>0</v>
      </c>
      <c r="H1635" s="1">
        <v>41444</v>
      </c>
      <c r="I1635">
        <v>40</v>
      </c>
      <c r="J1635">
        <v>5</v>
      </c>
      <c r="K1635">
        <v>1</v>
      </c>
      <c r="L1635">
        <v>8</v>
      </c>
      <c r="M1635">
        <v>0</v>
      </c>
      <c r="N1635">
        <v>0</v>
      </c>
      <c r="O1635">
        <v>1</v>
      </c>
      <c r="P1635">
        <v>1</v>
      </c>
      <c r="Q1635">
        <v>1</v>
      </c>
      <c r="R1635">
        <v>0</v>
      </c>
      <c r="S1635">
        <v>2</v>
      </c>
      <c r="T1635">
        <v>8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3</v>
      </c>
      <c r="AB1635">
        <v>11</v>
      </c>
      <c r="AC1635">
        <v>0</v>
      </c>
    </row>
    <row r="1636" spans="1:29" x14ac:dyDescent="0.3">
      <c r="A1636">
        <v>10906</v>
      </c>
      <c r="B1636">
        <v>1948</v>
      </c>
      <c r="C1636" t="s">
        <v>32</v>
      </c>
      <c r="D1636" t="s">
        <v>31</v>
      </c>
      <c r="E1636">
        <v>46681</v>
      </c>
      <c r="F1636">
        <v>0</v>
      </c>
      <c r="G1636">
        <v>2</v>
      </c>
      <c r="H1636" s="1">
        <v>41555</v>
      </c>
      <c r="I1636">
        <v>52</v>
      </c>
      <c r="J1636">
        <v>269</v>
      </c>
      <c r="K1636">
        <v>15</v>
      </c>
      <c r="L1636">
        <v>69</v>
      </c>
      <c r="M1636">
        <v>15</v>
      </c>
      <c r="N1636">
        <v>19</v>
      </c>
      <c r="O1636">
        <v>38</v>
      </c>
      <c r="P1636">
        <v>2</v>
      </c>
      <c r="Q1636">
        <v>4</v>
      </c>
      <c r="R1636">
        <v>6</v>
      </c>
      <c r="S1636">
        <v>4</v>
      </c>
      <c r="T1636">
        <v>5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3</v>
      </c>
      <c r="AB1636">
        <v>11</v>
      </c>
      <c r="AC1636">
        <v>0</v>
      </c>
    </row>
    <row r="1637" spans="1:29" x14ac:dyDescent="0.3">
      <c r="A1637">
        <v>3427</v>
      </c>
      <c r="B1637">
        <v>1955</v>
      </c>
      <c r="C1637" t="s">
        <v>32</v>
      </c>
      <c r="D1637" t="s">
        <v>33</v>
      </c>
      <c r="E1637">
        <v>59821</v>
      </c>
      <c r="F1637">
        <v>0</v>
      </c>
      <c r="G1637">
        <v>1</v>
      </c>
      <c r="H1637" s="1">
        <v>41376</v>
      </c>
      <c r="I1637">
        <v>11</v>
      </c>
      <c r="J1637">
        <v>629</v>
      </c>
      <c r="K1637">
        <v>0</v>
      </c>
      <c r="L1637">
        <v>70</v>
      </c>
      <c r="M1637">
        <v>0</v>
      </c>
      <c r="N1637">
        <v>0</v>
      </c>
      <c r="O1637">
        <v>35</v>
      </c>
      <c r="P1637">
        <v>6</v>
      </c>
      <c r="Q1637">
        <v>11</v>
      </c>
      <c r="R1637">
        <v>2</v>
      </c>
      <c r="S1637">
        <v>7</v>
      </c>
      <c r="T1637">
        <v>8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3</v>
      </c>
      <c r="AB1637">
        <v>11</v>
      </c>
      <c r="AC1637">
        <v>0</v>
      </c>
    </row>
    <row r="1638" spans="1:29" x14ac:dyDescent="0.3">
      <c r="A1638">
        <v>5209</v>
      </c>
      <c r="B1638">
        <v>1954</v>
      </c>
      <c r="C1638" t="s">
        <v>29</v>
      </c>
      <c r="D1638" t="s">
        <v>35</v>
      </c>
      <c r="E1638">
        <v>50002</v>
      </c>
      <c r="F1638">
        <v>0</v>
      </c>
      <c r="G1638">
        <v>1</v>
      </c>
      <c r="H1638" s="1">
        <v>41442</v>
      </c>
      <c r="I1638">
        <v>21</v>
      </c>
      <c r="J1638">
        <v>443</v>
      </c>
      <c r="K1638">
        <v>5</v>
      </c>
      <c r="L1638">
        <v>71</v>
      </c>
      <c r="M1638">
        <v>21</v>
      </c>
      <c r="N1638">
        <v>16</v>
      </c>
      <c r="O1638">
        <v>82</v>
      </c>
      <c r="P1638">
        <v>2</v>
      </c>
      <c r="Q1638">
        <v>8</v>
      </c>
      <c r="R1638">
        <v>2</v>
      </c>
      <c r="S1638">
        <v>7</v>
      </c>
      <c r="T1638">
        <v>7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3</v>
      </c>
      <c r="AB1638">
        <v>11</v>
      </c>
      <c r="AC1638">
        <v>0</v>
      </c>
    </row>
    <row r="1639" spans="1:29" x14ac:dyDescent="0.3">
      <c r="A1639">
        <v>10711</v>
      </c>
      <c r="B1639">
        <v>1945</v>
      </c>
      <c r="C1639" t="s">
        <v>29</v>
      </c>
      <c r="D1639" t="s">
        <v>33</v>
      </c>
      <c r="E1639">
        <v>69755</v>
      </c>
      <c r="F1639">
        <v>0</v>
      </c>
      <c r="G1639">
        <v>0</v>
      </c>
      <c r="H1639" s="1">
        <v>41549</v>
      </c>
      <c r="I1639">
        <v>23</v>
      </c>
      <c r="J1639">
        <v>217</v>
      </c>
      <c r="K1639">
        <v>77</v>
      </c>
      <c r="L1639">
        <v>373</v>
      </c>
      <c r="M1639">
        <v>111</v>
      </c>
      <c r="N1639">
        <v>23</v>
      </c>
      <c r="O1639">
        <v>93</v>
      </c>
      <c r="P1639">
        <v>1</v>
      </c>
      <c r="Q1639">
        <v>3</v>
      </c>
      <c r="R1639">
        <v>6</v>
      </c>
      <c r="S1639">
        <v>12</v>
      </c>
      <c r="T1639">
        <v>1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3</v>
      </c>
      <c r="AB1639">
        <v>11</v>
      </c>
      <c r="AC1639">
        <v>0</v>
      </c>
    </row>
    <row r="1640" spans="1:29" x14ac:dyDescent="0.3">
      <c r="A1640">
        <v>10785</v>
      </c>
      <c r="B1640">
        <v>1969</v>
      </c>
      <c r="C1640" t="s">
        <v>29</v>
      </c>
      <c r="D1640" t="s">
        <v>33</v>
      </c>
      <c r="E1640">
        <v>44078</v>
      </c>
      <c r="F1640">
        <v>1</v>
      </c>
      <c r="G1640">
        <v>1</v>
      </c>
      <c r="H1640" s="1">
        <v>41809</v>
      </c>
      <c r="I1640">
        <v>17</v>
      </c>
      <c r="J1640">
        <v>24</v>
      </c>
      <c r="K1640">
        <v>1</v>
      </c>
      <c r="L1640">
        <v>10</v>
      </c>
      <c r="M1640">
        <v>2</v>
      </c>
      <c r="N1640">
        <v>0</v>
      </c>
      <c r="O1640">
        <v>4</v>
      </c>
      <c r="P1640">
        <v>2</v>
      </c>
      <c r="Q1640">
        <v>2</v>
      </c>
      <c r="R1640">
        <v>0</v>
      </c>
      <c r="S1640">
        <v>3</v>
      </c>
      <c r="T1640">
        <v>5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3</v>
      </c>
      <c r="AB1640">
        <v>11</v>
      </c>
      <c r="AC1640">
        <v>0</v>
      </c>
    </row>
    <row r="1641" spans="1:29" x14ac:dyDescent="0.3">
      <c r="A1641">
        <v>2814</v>
      </c>
      <c r="B1641">
        <v>1976</v>
      </c>
      <c r="C1641" t="s">
        <v>34</v>
      </c>
      <c r="D1641" t="s">
        <v>31</v>
      </c>
      <c r="E1641">
        <v>30560</v>
      </c>
      <c r="F1641">
        <v>1</v>
      </c>
      <c r="G1641">
        <v>0</v>
      </c>
      <c r="H1641" s="1">
        <v>41452</v>
      </c>
      <c r="I1641">
        <v>6</v>
      </c>
      <c r="J1641">
        <v>9</v>
      </c>
      <c r="K1641">
        <v>1</v>
      </c>
      <c r="L1641">
        <v>5</v>
      </c>
      <c r="M1641">
        <v>4</v>
      </c>
      <c r="N1641">
        <v>5</v>
      </c>
      <c r="O1641">
        <v>7</v>
      </c>
      <c r="P1641">
        <v>1</v>
      </c>
      <c r="Q1641">
        <v>1</v>
      </c>
      <c r="R1641">
        <v>0</v>
      </c>
      <c r="S1641">
        <v>3</v>
      </c>
      <c r="T1641">
        <v>7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3</v>
      </c>
      <c r="AB1641">
        <v>11</v>
      </c>
      <c r="AC1641">
        <v>0</v>
      </c>
    </row>
    <row r="1642" spans="1:29" x14ac:dyDescent="0.3">
      <c r="A1642">
        <v>6866</v>
      </c>
      <c r="B1642">
        <v>1969</v>
      </c>
      <c r="C1642" t="s">
        <v>34</v>
      </c>
      <c r="D1642" t="s">
        <v>31</v>
      </c>
      <c r="E1642">
        <v>35924</v>
      </c>
      <c r="F1642">
        <v>1</v>
      </c>
      <c r="G1642">
        <v>1</v>
      </c>
      <c r="H1642" s="1">
        <v>41721</v>
      </c>
      <c r="I1642">
        <v>56</v>
      </c>
      <c r="J1642">
        <v>8</v>
      </c>
      <c r="K1642">
        <v>0</v>
      </c>
      <c r="L1642">
        <v>14</v>
      </c>
      <c r="M1642">
        <v>2</v>
      </c>
      <c r="N1642">
        <v>3</v>
      </c>
      <c r="O1642">
        <v>7</v>
      </c>
      <c r="P1642">
        <v>1</v>
      </c>
      <c r="Q1642">
        <v>1</v>
      </c>
      <c r="R1642">
        <v>0</v>
      </c>
      <c r="S1642">
        <v>3</v>
      </c>
      <c r="T1642">
        <v>5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3</v>
      </c>
      <c r="AB1642">
        <v>11</v>
      </c>
      <c r="AC1642">
        <v>0</v>
      </c>
    </row>
    <row r="1643" spans="1:29" x14ac:dyDescent="0.3">
      <c r="A1643">
        <v>1665</v>
      </c>
      <c r="B1643">
        <v>1964</v>
      </c>
      <c r="C1643" t="s">
        <v>32</v>
      </c>
      <c r="D1643" t="s">
        <v>35</v>
      </c>
      <c r="E1643">
        <v>64140</v>
      </c>
      <c r="F1643">
        <v>0</v>
      </c>
      <c r="G1643">
        <v>2</v>
      </c>
      <c r="H1643" s="1">
        <v>41540</v>
      </c>
      <c r="I1643">
        <v>71</v>
      </c>
      <c r="J1643">
        <v>1459</v>
      </c>
      <c r="K1643">
        <v>0</v>
      </c>
      <c r="L1643">
        <v>61</v>
      </c>
      <c r="M1643">
        <v>0</v>
      </c>
      <c r="N1643">
        <v>15</v>
      </c>
      <c r="O1643">
        <v>215</v>
      </c>
      <c r="P1643">
        <v>5</v>
      </c>
      <c r="Q1643">
        <v>2</v>
      </c>
      <c r="R1643">
        <v>5</v>
      </c>
      <c r="S1643">
        <v>6</v>
      </c>
      <c r="T1643">
        <v>5</v>
      </c>
      <c r="U1643">
        <v>1</v>
      </c>
      <c r="V1643">
        <v>0</v>
      </c>
      <c r="W1643">
        <v>1</v>
      </c>
      <c r="X1643">
        <v>0</v>
      </c>
      <c r="Y1643">
        <v>1</v>
      </c>
      <c r="Z1643">
        <v>0</v>
      </c>
      <c r="AA1643">
        <v>3</v>
      </c>
      <c r="AB1643">
        <v>11</v>
      </c>
      <c r="AC1643">
        <v>1</v>
      </c>
    </row>
    <row r="1644" spans="1:29" x14ac:dyDescent="0.3">
      <c r="A1644">
        <v>6575</v>
      </c>
      <c r="B1644">
        <v>1981</v>
      </c>
      <c r="C1644" t="s">
        <v>29</v>
      </c>
      <c r="D1644" t="s">
        <v>31</v>
      </c>
      <c r="E1644">
        <v>56386</v>
      </c>
      <c r="F1644">
        <v>1</v>
      </c>
      <c r="G1644">
        <v>1</v>
      </c>
      <c r="H1644" s="1">
        <v>41209</v>
      </c>
      <c r="I1644">
        <v>51</v>
      </c>
      <c r="J1644">
        <v>230</v>
      </c>
      <c r="K1644">
        <v>48</v>
      </c>
      <c r="L1644">
        <v>214</v>
      </c>
      <c r="M1644">
        <v>13</v>
      </c>
      <c r="N1644">
        <v>32</v>
      </c>
      <c r="O1644">
        <v>75</v>
      </c>
      <c r="P1644">
        <v>8</v>
      </c>
      <c r="Q1644">
        <v>9</v>
      </c>
      <c r="R1644">
        <v>1</v>
      </c>
      <c r="S1644">
        <v>7</v>
      </c>
      <c r="T1644">
        <v>9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3</v>
      </c>
      <c r="AB1644">
        <v>11</v>
      </c>
      <c r="AC1644">
        <v>0</v>
      </c>
    </row>
    <row r="1645" spans="1:29" x14ac:dyDescent="0.3">
      <c r="A1645">
        <v>3829</v>
      </c>
      <c r="B1645">
        <v>1979</v>
      </c>
      <c r="C1645" t="s">
        <v>36</v>
      </c>
      <c r="D1645" t="s">
        <v>31</v>
      </c>
      <c r="E1645">
        <v>24594</v>
      </c>
      <c r="F1645">
        <v>1</v>
      </c>
      <c r="G1645">
        <v>0</v>
      </c>
      <c r="H1645" s="1">
        <v>41618</v>
      </c>
      <c r="I1645">
        <v>94</v>
      </c>
      <c r="J1645">
        <v>1</v>
      </c>
      <c r="K1645">
        <v>3</v>
      </c>
      <c r="L1645">
        <v>6</v>
      </c>
      <c r="M1645">
        <v>10</v>
      </c>
      <c r="N1645">
        <v>0</v>
      </c>
      <c r="O1645">
        <v>9</v>
      </c>
      <c r="P1645">
        <v>1</v>
      </c>
      <c r="Q1645">
        <v>1</v>
      </c>
      <c r="R1645">
        <v>0</v>
      </c>
      <c r="S1645">
        <v>3</v>
      </c>
      <c r="T1645">
        <v>5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3</v>
      </c>
      <c r="AB1645">
        <v>11</v>
      </c>
      <c r="AC1645">
        <v>0</v>
      </c>
    </row>
    <row r="1646" spans="1:29" x14ac:dyDescent="0.3">
      <c r="A1646">
        <v>3091</v>
      </c>
      <c r="B1646">
        <v>1981</v>
      </c>
      <c r="C1646" t="s">
        <v>37</v>
      </c>
      <c r="D1646" t="s">
        <v>31</v>
      </c>
      <c r="E1646">
        <v>75774</v>
      </c>
      <c r="F1646">
        <v>1</v>
      </c>
      <c r="G1646">
        <v>0</v>
      </c>
      <c r="H1646" s="1">
        <v>41761</v>
      </c>
      <c r="I1646">
        <v>27</v>
      </c>
      <c r="J1646">
        <v>340</v>
      </c>
      <c r="K1646">
        <v>21</v>
      </c>
      <c r="L1646">
        <v>134</v>
      </c>
      <c r="M1646">
        <v>258</v>
      </c>
      <c r="N1646">
        <v>14</v>
      </c>
      <c r="O1646">
        <v>56</v>
      </c>
      <c r="P1646">
        <v>1</v>
      </c>
      <c r="Q1646">
        <v>7</v>
      </c>
      <c r="R1646">
        <v>5</v>
      </c>
      <c r="S1646">
        <v>8</v>
      </c>
      <c r="T1646">
        <v>4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3</v>
      </c>
      <c r="AB1646">
        <v>11</v>
      </c>
      <c r="AC1646">
        <v>0</v>
      </c>
    </row>
    <row r="1647" spans="1:29" x14ac:dyDescent="0.3">
      <c r="A1647">
        <v>10141</v>
      </c>
      <c r="B1647">
        <v>1960</v>
      </c>
      <c r="C1647" t="s">
        <v>34</v>
      </c>
      <c r="D1647" t="s">
        <v>35</v>
      </c>
      <c r="E1647">
        <v>39228</v>
      </c>
      <c r="F1647">
        <v>0</v>
      </c>
      <c r="G1647">
        <v>0</v>
      </c>
      <c r="H1647" s="1">
        <v>41404</v>
      </c>
      <c r="I1647">
        <v>1</v>
      </c>
      <c r="J1647">
        <v>7</v>
      </c>
      <c r="K1647">
        <v>1</v>
      </c>
      <c r="L1647">
        <v>6</v>
      </c>
      <c r="M1647">
        <v>0</v>
      </c>
      <c r="N1647">
        <v>3</v>
      </c>
      <c r="O1647">
        <v>3</v>
      </c>
      <c r="P1647">
        <v>1</v>
      </c>
      <c r="Q1647">
        <v>0</v>
      </c>
      <c r="R1647">
        <v>0</v>
      </c>
      <c r="S1647">
        <v>3</v>
      </c>
      <c r="T1647">
        <v>4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3</v>
      </c>
      <c r="AB1647">
        <v>11</v>
      </c>
      <c r="AC1647">
        <v>0</v>
      </c>
    </row>
    <row r="1648" spans="1:29" x14ac:dyDescent="0.3">
      <c r="A1648">
        <v>5177</v>
      </c>
      <c r="B1648">
        <v>1974</v>
      </c>
      <c r="C1648" t="s">
        <v>34</v>
      </c>
      <c r="D1648" t="s">
        <v>33</v>
      </c>
      <c r="E1648">
        <v>58494</v>
      </c>
      <c r="F1648">
        <v>0</v>
      </c>
      <c r="G1648">
        <v>1</v>
      </c>
      <c r="H1648" s="1">
        <v>41620</v>
      </c>
      <c r="I1648">
        <v>56</v>
      </c>
      <c r="J1648">
        <v>298</v>
      </c>
      <c r="K1648">
        <v>7</v>
      </c>
      <c r="L1648">
        <v>68</v>
      </c>
      <c r="M1648">
        <v>4</v>
      </c>
      <c r="N1648">
        <v>0</v>
      </c>
      <c r="O1648">
        <v>19</v>
      </c>
      <c r="P1648">
        <v>2</v>
      </c>
      <c r="Q1648">
        <v>6</v>
      </c>
      <c r="R1648">
        <v>2</v>
      </c>
      <c r="S1648">
        <v>6</v>
      </c>
      <c r="T1648">
        <v>6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3</v>
      </c>
      <c r="AB1648">
        <v>11</v>
      </c>
      <c r="AC1648">
        <v>0</v>
      </c>
    </row>
    <row r="1649" spans="1:29" x14ac:dyDescent="0.3">
      <c r="A1649">
        <v>7005</v>
      </c>
      <c r="B1649">
        <v>1981</v>
      </c>
      <c r="C1649" t="s">
        <v>29</v>
      </c>
      <c r="D1649" t="s">
        <v>30</v>
      </c>
      <c r="E1649">
        <v>58684</v>
      </c>
      <c r="F1649">
        <v>0</v>
      </c>
      <c r="G1649">
        <v>0</v>
      </c>
      <c r="H1649" s="1">
        <v>41806</v>
      </c>
      <c r="I1649">
        <v>71</v>
      </c>
      <c r="J1649">
        <v>479</v>
      </c>
      <c r="K1649">
        <v>35</v>
      </c>
      <c r="L1649">
        <v>179</v>
      </c>
      <c r="M1649">
        <v>28</v>
      </c>
      <c r="N1649">
        <v>7</v>
      </c>
      <c r="O1649">
        <v>85</v>
      </c>
      <c r="P1649">
        <v>1</v>
      </c>
      <c r="Q1649">
        <v>5</v>
      </c>
      <c r="R1649">
        <v>3</v>
      </c>
      <c r="S1649">
        <v>12</v>
      </c>
      <c r="T1649">
        <v>2</v>
      </c>
      <c r="U1649">
        <v>0</v>
      </c>
      <c r="V1649">
        <v>1</v>
      </c>
      <c r="W1649">
        <v>0</v>
      </c>
      <c r="X1649">
        <v>0</v>
      </c>
      <c r="Y1649">
        <v>0</v>
      </c>
      <c r="Z1649">
        <v>0</v>
      </c>
      <c r="AA1649">
        <v>3</v>
      </c>
      <c r="AB1649">
        <v>11</v>
      </c>
      <c r="AC1649">
        <v>0</v>
      </c>
    </row>
    <row r="1650" spans="1:29" x14ac:dyDescent="0.3">
      <c r="A1650">
        <v>6409</v>
      </c>
      <c r="B1650">
        <v>1967</v>
      </c>
      <c r="C1650" t="s">
        <v>29</v>
      </c>
      <c r="D1650" t="s">
        <v>35</v>
      </c>
      <c r="E1650">
        <v>57136</v>
      </c>
      <c r="F1650">
        <v>0</v>
      </c>
      <c r="G1650">
        <v>0</v>
      </c>
      <c r="H1650" s="1">
        <v>41412</v>
      </c>
      <c r="I1650">
        <v>18</v>
      </c>
      <c r="J1650">
        <v>267</v>
      </c>
      <c r="K1650">
        <v>140</v>
      </c>
      <c r="L1650">
        <v>599</v>
      </c>
      <c r="M1650">
        <v>34</v>
      </c>
      <c r="N1650">
        <v>12</v>
      </c>
      <c r="O1650">
        <v>127</v>
      </c>
      <c r="P1650">
        <v>1</v>
      </c>
      <c r="Q1650">
        <v>7</v>
      </c>
      <c r="R1650">
        <v>5</v>
      </c>
      <c r="S1650">
        <v>7</v>
      </c>
      <c r="T1650">
        <v>6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3</v>
      </c>
      <c r="AB1650">
        <v>11</v>
      </c>
      <c r="AC1650">
        <v>1</v>
      </c>
    </row>
    <row r="1651" spans="1:29" x14ac:dyDescent="0.3">
      <c r="A1651">
        <v>7485</v>
      </c>
      <c r="B1651">
        <v>1950</v>
      </c>
      <c r="C1651" t="s">
        <v>32</v>
      </c>
      <c r="D1651" t="s">
        <v>38</v>
      </c>
      <c r="E1651">
        <v>56551</v>
      </c>
      <c r="F1651">
        <v>1</v>
      </c>
      <c r="G1651">
        <v>1</v>
      </c>
      <c r="H1651" s="1">
        <v>41766</v>
      </c>
      <c r="I1651">
        <v>48</v>
      </c>
      <c r="J1651">
        <v>67</v>
      </c>
      <c r="K1651">
        <v>4</v>
      </c>
      <c r="L1651">
        <v>32</v>
      </c>
      <c r="M1651">
        <v>17</v>
      </c>
      <c r="N1651">
        <v>2</v>
      </c>
      <c r="O1651">
        <v>16</v>
      </c>
      <c r="P1651">
        <v>3</v>
      </c>
      <c r="Q1651">
        <v>2</v>
      </c>
      <c r="R1651">
        <v>1</v>
      </c>
      <c r="S1651">
        <v>4</v>
      </c>
      <c r="T1651">
        <v>4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3</v>
      </c>
      <c r="AB1651">
        <v>11</v>
      </c>
      <c r="AC1651">
        <v>0</v>
      </c>
    </row>
    <row r="1652" spans="1:29" x14ac:dyDescent="0.3">
      <c r="A1652">
        <v>8079</v>
      </c>
      <c r="B1652">
        <v>1982</v>
      </c>
      <c r="C1652" t="s">
        <v>29</v>
      </c>
      <c r="D1652" t="s">
        <v>33</v>
      </c>
      <c r="E1652">
        <v>22448</v>
      </c>
      <c r="F1652">
        <v>1</v>
      </c>
      <c r="G1652">
        <v>0</v>
      </c>
      <c r="H1652" s="1">
        <v>41696</v>
      </c>
      <c r="I1652">
        <v>86</v>
      </c>
      <c r="J1652">
        <v>3</v>
      </c>
      <c r="K1652">
        <v>1</v>
      </c>
      <c r="L1652">
        <v>8</v>
      </c>
      <c r="M1652">
        <v>23</v>
      </c>
      <c r="N1652">
        <v>2</v>
      </c>
      <c r="O1652">
        <v>18</v>
      </c>
      <c r="P1652">
        <v>3</v>
      </c>
      <c r="Q1652">
        <v>2</v>
      </c>
      <c r="R1652">
        <v>1</v>
      </c>
      <c r="S1652">
        <v>3</v>
      </c>
      <c r="T1652">
        <v>3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3</v>
      </c>
      <c r="AB1652">
        <v>11</v>
      </c>
      <c r="AC1652">
        <v>0</v>
      </c>
    </row>
    <row r="1653" spans="1:29" x14ac:dyDescent="0.3">
      <c r="A1653">
        <v>8395</v>
      </c>
      <c r="B1653">
        <v>1961</v>
      </c>
      <c r="C1653" t="s">
        <v>29</v>
      </c>
      <c r="D1653" t="s">
        <v>30</v>
      </c>
      <c r="E1653">
        <v>82014</v>
      </c>
      <c r="F1653">
        <v>0</v>
      </c>
      <c r="G1653">
        <v>0</v>
      </c>
      <c r="H1653" s="1">
        <v>41141</v>
      </c>
      <c r="I1653">
        <v>48</v>
      </c>
      <c r="J1653">
        <v>980</v>
      </c>
      <c r="K1653">
        <v>37</v>
      </c>
      <c r="L1653">
        <v>265</v>
      </c>
      <c r="M1653">
        <v>35</v>
      </c>
      <c r="N1653">
        <v>163</v>
      </c>
      <c r="O1653">
        <v>31</v>
      </c>
      <c r="P1653">
        <v>1</v>
      </c>
      <c r="Q1653">
        <v>3</v>
      </c>
      <c r="R1653">
        <v>6</v>
      </c>
      <c r="S1653">
        <v>12</v>
      </c>
      <c r="T1653">
        <v>6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3</v>
      </c>
      <c r="AB1653">
        <v>11</v>
      </c>
      <c r="AC1653">
        <v>1</v>
      </c>
    </row>
    <row r="1654" spans="1:29" x14ac:dyDescent="0.3">
      <c r="A1654">
        <v>10352</v>
      </c>
      <c r="B1654">
        <v>1963</v>
      </c>
      <c r="C1654" t="s">
        <v>29</v>
      </c>
      <c r="D1654" t="s">
        <v>38</v>
      </c>
      <c r="E1654">
        <v>34213</v>
      </c>
      <c r="F1654">
        <v>1</v>
      </c>
      <c r="G1654">
        <v>1</v>
      </c>
      <c r="H1654" s="1">
        <v>41159</v>
      </c>
      <c r="I1654">
        <v>2</v>
      </c>
      <c r="J1654">
        <v>50</v>
      </c>
      <c r="K1654">
        <v>4</v>
      </c>
      <c r="L1654">
        <v>28</v>
      </c>
      <c r="M1654">
        <v>6</v>
      </c>
      <c r="N1654">
        <v>3</v>
      </c>
      <c r="O1654">
        <v>26</v>
      </c>
      <c r="P1654">
        <v>3</v>
      </c>
      <c r="Q1654">
        <v>3</v>
      </c>
      <c r="R1654">
        <v>1</v>
      </c>
      <c r="S1654">
        <v>2</v>
      </c>
      <c r="T1654">
        <v>9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3</v>
      </c>
      <c r="AB1654">
        <v>11</v>
      </c>
      <c r="AC1654">
        <v>1</v>
      </c>
    </row>
    <row r="1655" spans="1:29" x14ac:dyDescent="0.3">
      <c r="A1655">
        <v>4931</v>
      </c>
      <c r="B1655">
        <v>1977</v>
      </c>
      <c r="C1655" t="s">
        <v>29</v>
      </c>
      <c r="D1655" t="s">
        <v>31</v>
      </c>
      <c r="E1655">
        <v>157146</v>
      </c>
      <c r="F1655">
        <v>0</v>
      </c>
      <c r="G1655">
        <v>0</v>
      </c>
      <c r="H1655" s="1">
        <v>41393</v>
      </c>
      <c r="I1655">
        <v>13</v>
      </c>
      <c r="J1655">
        <v>1</v>
      </c>
      <c r="K1655">
        <v>0</v>
      </c>
      <c r="L1655">
        <v>1725</v>
      </c>
      <c r="M1655">
        <v>2</v>
      </c>
      <c r="N1655">
        <v>1</v>
      </c>
      <c r="O1655">
        <v>1</v>
      </c>
      <c r="P1655">
        <v>0</v>
      </c>
      <c r="Q1655">
        <v>0</v>
      </c>
      <c r="R1655">
        <v>28</v>
      </c>
      <c r="S1655">
        <v>0</v>
      </c>
      <c r="T1655">
        <v>1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3</v>
      </c>
      <c r="AB1655">
        <v>11</v>
      </c>
      <c r="AC1655">
        <v>0</v>
      </c>
    </row>
    <row r="1656" spans="1:29" x14ac:dyDescent="0.3">
      <c r="A1656">
        <v>13</v>
      </c>
      <c r="B1656">
        <v>1947</v>
      </c>
      <c r="C1656" t="s">
        <v>32</v>
      </c>
      <c r="D1656" t="s">
        <v>38</v>
      </c>
      <c r="E1656">
        <v>25358</v>
      </c>
      <c r="F1656">
        <v>0</v>
      </c>
      <c r="G1656">
        <v>1</v>
      </c>
      <c r="H1656" s="1">
        <v>41477</v>
      </c>
      <c r="I1656">
        <v>57</v>
      </c>
      <c r="J1656">
        <v>19</v>
      </c>
      <c r="K1656">
        <v>0</v>
      </c>
      <c r="L1656">
        <v>5</v>
      </c>
      <c r="M1656">
        <v>0</v>
      </c>
      <c r="N1656">
        <v>0</v>
      </c>
      <c r="O1656">
        <v>8</v>
      </c>
      <c r="P1656">
        <v>2</v>
      </c>
      <c r="Q1656">
        <v>1</v>
      </c>
      <c r="R1656">
        <v>0</v>
      </c>
      <c r="S1656">
        <v>3</v>
      </c>
      <c r="T1656">
        <v>6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3</v>
      </c>
      <c r="AB1656">
        <v>11</v>
      </c>
      <c r="AC1656">
        <v>0</v>
      </c>
    </row>
    <row r="1657" spans="1:29" x14ac:dyDescent="0.3">
      <c r="A1657">
        <v>1834</v>
      </c>
      <c r="B1657">
        <v>1978</v>
      </c>
      <c r="C1657" t="s">
        <v>34</v>
      </c>
      <c r="D1657" t="s">
        <v>30</v>
      </c>
      <c r="E1657">
        <v>35544</v>
      </c>
      <c r="F1657">
        <v>1</v>
      </c>
      <c r="G1657">
        <v>0</v>
      </c>
      <c r="H1657" s="1">
        <v>41706</v>
      </c>
      <c r="I1657">
        <v>77</v>
      </c>
      <c r="J1657">
        <v>30</v>
      </c>
      <c r="K1657">
        <v>5</v>
      </c>
      <c r="L1657">
        <v>23</v>
      </c>
      <c r="M1657">
        <v>4</v>
      </c>
      <c r="N1657">
        <v>1</v>
      </c>
      <c r="O1657">
        <v>4</v>
      </c>
      <c r="P1657">
        <v>1</v>
      </c>
      <c r="Q1657">
        <v>2</v>
      </c>
      <c r="R1657">
        <v>0</v>
      </c>
      <c r="S1657">
        <v>3</v>
      </c>
      <c r="T1657">
        <v>7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3</v>
      </c>
      <c r="AB1657">
        <v>11</v>
      </c>
      <c r="AC1657">
        <v>0</v>
      </c>
    </row>
    <row r="1658" spans="1:29" x14ac:dyDescent="0.3">
      <c r="A1658">
        <v>2285</v>
      </c>
      <c r="B1658">
        <v>1954</v>
      </c>
      <c r="C1658" t="s">
        <v>34</v>
      </c>
      <c r="D1658" t="s">
        <v>31</v>
      </c>
      <c r="E1658">
        <v>36634</v>
      </c>
      <c r="F1658">
        <v>0</v>
      </c>
      <c r="G1658">
        <v>1</v>
      </c>
      <c r="H1658" s="1">
        <v>41422</v>
      </c>
      <c r="I1658">
        <v>0</v>
      </c>
      <c r="J1658">
        <v>213</v>
      </c>
      <c r="K1658">
        <v>9</v>
      </c>
      <c r="L1658">
        <v>76</v>
      </c>
      <c r="M1658">
        <v>4</v>
      </c>
      <c r="N1658">
        <v>3</v>
      </c>
      <c r="O1658">
        <v>30</v>
      </c>
      <c r="P1658">
        <v>3</v>
      </c>
      <c r="Q1658">
        <v>5</v>
      </c>
      <c r="R1658">
        <v>2</v>
      </c>
      <c r="S1658">
        <v>5</v>
      </c>
      <c r="T1658">
        <v>7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3</v>
      </c>
      <c r="AB1658">
        <v>11</v>
      </c>
      <c r="AC1658">
        <v>0</v>
      </c>
    </row>
    <row r="1659" spans="1:29" x14ac:dyDescent="0.3">
      <c r="A1659">
        <v>2295</v>
      </c>
      <c r="B1659">
        <v>1954</v>
      </c>
      <c r="C1659" t="s">
        <v>32</v>
      </c>
      <c r="D1659" t="s">
        <v>33</v>
      </c>
      <c r="E1659">
        <v>62670</v>
      </c>
      <c r="F1659">
        <v>0</v>
      </c>
      <c r="G1659">
        <v>1</v>
      </c>
      <c r="H1659" s="1">
        <v>41672</v>
      </c>
      <c r="I1659">
        <v>57</v>
      </c>
      <c r="J1659">
        <v>539</v>
      </c>
      <c r="K1659">
        <v>30</v>
      </c>
      <c r="L1659">
        <v>92</v>
      </c>
      <c r="M1659">
        <v>80</v>
      </c>
      <c r="N1659">
        <v>46</v>
      </c>
      <c r="O1659">
        <v>38</v>
      </c>
      <c r="P1659">
        <v>1</v>
      </c>
      <c r="Q1659">
        <v>5</v>
      </c>
      <c r="R1659">
        <v>3</v>
      </c>
      <c r="S1659">
        <v>13</v>
      </c>
      <c r="T1659">
        <v>3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3</v>
      </c>
      <c r="AB1659">
        <v>11</v>
      </c>
      <c r="AC1659">
        <v>0</v>
      </c>
    </row>
    <row r="1660" spans="1:29" x14ac:dyDescent="0.3">
      <c r="A1660">
        <v>1378</v>
      </c>
      <c r="B1660">
        <v>1972</v>
      </c>
      <c r="C1660" t="s">
        <v>37</v>
      </c>
      <c r="D1660" t="s">
        <v>31</v>
      </c>
      <c r="E1660">
        <v>50334</v>
      </c>
      <c r="F1660">
        <v>0</v>
      </c>
      <c r="G1660">
        <v>1</v>
      </c>
      <c r="H1660" s="1">
        <v>41479</v>
      </c>
      <c r="I1660">
        <v>24</v>
      </c>
      <c r="J1660">
        <v>284</v>
      </c>
      <c r="K1660">
        <v>16</v>
      </c>
      <c r="L1660">
        <v>160</v>
      </c>
      <c r="M1660">
        <v>84</v>
      </c>
      <c r="N1660">
        <v>16</v>
      </c>
      <c r="O1660">
        <v>134</v>
      </c>
      <c r="P1660">
        <v>6</v>
      </c>
      <c r="Q1660">
        <v>7</v>
      </c>
      <c r="R1660">
        <v>4</v>
      </c>
      <c r="S1660">
        <v>6</v>
      </c>
      <c r="T1660">
        <v>6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3</v>
      </c>
      <c r="AB1660">
        <v>11</v>
      </c>
      <c r="AC1660">
        <v>0</v>
      </c>
    </row>
    <row r="1661" spans="1:29" x14ac:dyDescent="0.3">
      <c r="A1661">
        <v>2781</v>
      </c>
      <c r="B1661">
        <v>1981</v>
      </c>
      <c r="C1661" t="s">
        <v>29</v>
      </c>
      <c r="D1661" t="s">
        <v>30</v>
      </c>
      <c r="E1661">
        <v>72066</v>
      </c>
      <c r="F1661">
        <v>0</v>
      </c>
      <c r="G1661">
        <v>0</v>
      </c>
      <c r="H1661" s="1">
        <v>41813</v>
      </c>
      <c r="I1661">
        <v>55</v>
      </c>
      <c r="J1661">
        <v>1003</v>
      </c>
      <c r="K1661">
        <v>34</v>
      </c>
      <c r="L1661">
        <v>536</v>
      </c>
      <c r="M1661">
        <v>134</v>
      </c>
      <c r="N1661">
        <v>51</v>
      </c>
      <c r="O1661">
        <v>34</v>
      </c>
      <c r="P1661">
        <v>1</v>
      </c>
      <c r="Q1661">
        <v>4</v>
      </c>
      <c r="R1661">
        <v>6</v>
      </c>
      <c r="S1661">
        <v>6</v>
      </c>
      <c r="T1661">
        <v>2</v>
      </c>
      <c r="U1661">
        <v>0</v>
      </c>
      <c r="V1661">
        <v>0</v>
      </c>
      <c r="W1661">
        <v>1</v>
      </c>
      <c r="X1661">
        <v>1</v>
      </c>
      <c r="Y1661">
        <v>0</v>
      </c>
      <c r="Z1661">
        <v>0</v>
      </c>
      <c r="AA1661">
        <v>3</v>
      </c>
      <c r="AB1661">
        <v>11</v>
      </c>
      <c r="AC1661">
        <v>1</v>
      </c>
    </row>
    <row r="1662" spans="1:29" x14ac:dyDescent="0.3">
      <c r="A1662">
        <v>1165</v>
      </c>
      <c r="B1662">
        <v>1958</v>
      </c>
      <c r="C1662" t="s">
        <v>32</v>
      </c>
      <c r="D1662" t="s">
        <v>30</v>
      </c>
      <c r="E1662">
        <v>50729</v>
      </c>
      <c r="F1662">
        <v>1</v>
      </c>
      <c r="G1662">
        <v>1</v>
      </c>
      <c r="H1662" s="1">
        <v>41396</v>
      </c>
      <c r="I1662">
        <v>62</v>
      </c>
      <c r="J1662">
        <v>239</v>
      </c>
      <c r="K1662">
        <v>13</v>
      </c>
      <c r="L1662">
        <v>143</v>
      </c>
      <c r="M1662">
        <v>45</v>
      </c>
      <c r="N1662">
        <v>4</v>
      </c>
      <c r="O1662">
        <v>52</v>
      </c>
      <c r="P1662">
        <v>9</v>
      </c>
      <c r="Q1662">
        <v>6</v>
      </c>
      <c r="R1662">
        <v>2</v>
      </c>
      <c r="S1662">
        <v>7</v>
      </c>
      <c r="T1662">
        <v>6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3</v>
      </c>
      <c r="AB1662">
        <v>11</v>
      </c>
      <c r="AC1662">
        <v>0</v>
      </c>
    </row>
    <row r="1663" spans="1:29" x14ac:dyDescent="0.3">
      <c r="A1663">
        <v>1404</v>
      </c>
      <c r="B1663">
        <v>1968</v>
      </c>
      <c r="C1663" t="s">
        <v>29</v>
      </c>
      <c r="D1663" t="s">
        <v>31</v>
      </c>
      <c r="E1663">
        <v>34916</v>
      </c>
      <c r="F1663">
        <v>2</v>
      </c>
      <c r="G1663">
        <v>0</v>
      </c>
      <c r="H1663" s="1">
        <v>41409</v>
      </c>
      <c r="I1663">
        <v>89</v>
      </c>
      <c r="J1663">
        <v>51</v>
      </c>
      <c r="K1663">
        <v>23</v>
      </c>
      <c r="L1663">
        <v>82</v>
      </c>
      <c r="M1663">
        <v>33</v>
      </c>
      <c r="N1663">
        <v>0</v>
      </c>
      <c r="O1663">
        <v>42</v>
      </c>
      <c r="P1663">
        <v>4</v>
      </c>
      <c r="Q1663">
        <v>5</v>
      </c>
      <c r="R1663">
        <v>1</v>
      </c>
      <c r="S1663">
        <v>3</v>
      </c>
      <c r="T1663">
        <v>9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3</v>
      </c>
      <c r="AB1663">
        <v>11</v>
      </c>
      <c r="AC1663">
        <v>0</v>
      </c>
    </row>
    <row r="1664" spans="1:29" x14ac:dyDescent="0.3">
      <c r="A1664">
        <v>6457</v>
      </c>
      <c r="B1664">
        <v>1976</v>
      </c>
      <c r="C1664" t="s">
        <v>29</v>
      </c>
      <c r="D1664" t="s">
        <v>35</v>
      </c>
      <c r="E1664">
        <v>64892</v>
      </c>
      <c r="F1664">
        <v>0</v>
      </c>
      <c r="G1664">
        <v>1</v>
      </c>
      <c r="H1664" s="1">
        <v>41788</v>
      </c>
      <c r="I1664">
        <v>77</v>
      </c>
      <c r="J1664">
        <v>527</v>
      </c>
      <c r="K1664">
        <v>24</v>
      </c>
      <c r="L1664">
        <v>230</v>
      </c>
      <c r="M1664">
        <v>32</v>
      </c>
      <c r="N1664">
        <v>24</v>
      </c>
      <c r="O1664">
        <v>65</v>
      </c>
      <c r="P1664">
        <v>2</v>
      </c>
      <c r="Q1664">
        <v>6</v>
      </c>
      <c r="R1664">
        <v>4</v>
      </c>
      <c r="S1664">
        <v>12</v>
      </c>
      <c r="T1664">
        <v>4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3</v>
      </c>
      <c r="AB1664">
        <v>11</v>
      </c>
      <c r="AC1664">
        <v>0</v>
      </c>
    </row>
    <row r="1665" spans="1:29" x14ac:dyDescent="0.3">
      <c r="A1665">
        <v>2639</v>
      </c>
      <c r="B1665">
        <v>1966</v>
      </c>
      <c r="C1665" t="s">
        <v>29</v>
      </c>
      <c r="D1665" t="s">
        <v>30</v>
      </c>
      <c r="E1665">
        <v>43602</v>
      </c>
      <c r="F1665">
        <v>1</v>
      </c>
      <c r="G1665">
        <v>1</v>
      </c>
      <c r="H1665" s="1">
        <v>41649</v>
      </c>
      <c r="I1665">
        <v>45</v>
      </c>
      <c r="J1665">
        <v>19</v>
      </c>
      <c r="K1665">
        <v>5</v>
      </c>
      <c r="L1665">
        <v>12</v>
      </c>
      <c r="M1665">
        <v>10</v>
      </c>
      <c r="N1665">
        <v>3</v>
      </c>
      <c r="O1665">
        <v>19</v>
      </c>
      <c r="P1665">
        <v>3</v>
      </c>
      <c r="Q1665">
        <v>3</v>
      </c>
      <c r="R1665">
        <v>1</v>
      </c>
      <c r="S1665">
        <v>2</v>
      </c>
      <c r="T1665">
        <v>6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3</v>
      </c>
      <c r="AB1665">
        <v>11</v>
      </c>
      <c r="AC1665">
        <v>0</v>
      </c>
    </row>
    <row r="1666" spans="1:29" x14ac:dyDescent="0.3">
      <c r="A1666">
        <v>8299</v>
      </c>
      <c r="B1666">
        <v>1989</v>
      </c>
      <c r="C1666" t="s">
        <v>32</v>
      </c>
      <c r="D1666" t="s">
        <v>30</v>
      </c>
      <c r="E1666">
        <v>33996</v>
      </c>
      <c r="F1666">
        <v>0</v>
      </c>
      <c r="G1666">
        <v>0</v>
      </c>
      <c r="H1666" s="1">
        <v>41528</v>
      </c>
      <c r="I1666">
        <v>46</v>
      </c>
      <c r="J1666">
        <v>40</v>
      </c>
      <c r="K1666">
        <v>2</v>
      </c>
      <c r="L1666">
        <v>15</v>
      </c>
      <c r="M1666">
        <v>8</v>
      </c>
      <c r="N1666">
        <v>0</v>
      </c>
      <c r="O1666">
        <v>6</v>
      </c>
      <c r="P1666">
        <v>1</v>
      </c>
      <c r="Q1666">
        <v>1</v>
      </c>
      <c r="R1666">
        <v>1</v>
      </c>
      <c r="S1666">
        <v>3</v>
      </c>
      <c r="T1666">
        <v>4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3</v>
      </c>
      <c r="AB1666">
        <v>11</v>
      </c>
      <c r="AC1666">
        <v>0</v>
      </c>
    </row>
    <row r="1667" spans="1:29" x14ac:dyDescent="0.3">
      <c r="A1667">
        <v>6437</v>
      </c>
      <c r="B1667">
        <v>1985</v>
      </c>
      <c r="C1667" t="s">
        <v>37</v>
      </c>
      <c r="D1667" t="s">
        <v>30</v>
      </c>
      <c r="E1667">
        <v>41473</v>
      </c>
      <c r="F1667">
        <v>1</v>
      </c>
      <c r="G1667">
        <v>0</v>
      </c>
      <c r="H1667" s="1">
        <v>41444</v>
      </c>
      <c r="I1667">
        <v>80</v>
      </c>
      <c r="J1667">
        <v>21</v>
      </c>
      <c r="K1667">
        <v>8</v>
      </c>
      <c r="L1667">
        <v>20</v>
      </c>
      <c r="M1667">
        <v>15</v>
      </c>
      <c r="N1667">
        <v>3</v>
      </c>
      <c r="O1667">
        <v>9</v>
      </c>
      <c r="P1667">
        <v>1</v>
      </c>
      <c r="Q1667">
        <v>2</v>
      </c>
      <c r="R1667">
        <v>0</v>
      </c>
      <c r="S1667">
        <v>3</v>
      </c>
      <c r="T1667">
        <v>7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3</v>
      </c>
      <c r="AB1667">
        <v>11</v>
      </c>
      <c r="AC1667">
        <v>0</v>
      </c>
    </row>
    <row r="1668" spans="1:29" x14ac:dyDescent="0.3">
      <c r="A1668">
        <v>6912</v>
      </c>
      <c r="B1668">
        <v>1967</v>
      </c>
      <c r="C1668" t="s">
        <v>32</v>
      </c>
      <c r="D1668" t="s">
        <v>33</v>
      </c>
      <c r="E1668">
        <v>63246</v>
      </c>
      <c r="F1668">
        <v>0</v>
      </c>
      <c r="G1668">
        <v>2</v>
      </c>
      <c r="H1668" s="1">
        <v>41506</v>
      </c>
      <c r="I1668">
        <v>60</v>
      </c>
      <c r="J1668">
        <v>593</v>
      </c>
      <c r="K1668">
        <v>30</v>
      </c>
      <c r="L1668">
        <v>91</v>
      </c>
      <c r="M1668">
        <v>29</v>
      </c>
      <c r="N1668">
        <v>22</v>
      </c>
      <c r="O1668">
        <v>7</v>
      </c>
      <c r="P1668">
        <v>1</v>
      </c>
      <c r="Q1668">
        <v>6</v>
      </c>
      <c r="R1668">
        <v>3</v>
      </c>
      <c r="S1668">
        <v>12</v>
      </c>
      <c r="T1668">
        <v>4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3</v>
      </c>
      <c r="AB1668">
        <v>11</v>
      </c>
      <c r="AC1668">
        <v>0</v>
      </c>
    </row>
    <row r="1669" spans="1:29" x14ac:dyDescent="0.3">
      <c r="A1669">
        <v>7327</v>
      </c>
      <c r="B1669">
        <v>1959</v>
      </c>
      <c r="C1669" t="s">
        <v>32</v>
      </c>
      <c r="D1669" t="s">
        <v>33</v>
      </c>
      <c r="E1669">
        <v>36732</v>
      </c>
      <c r="F1669">
        <v>1</v>
      </c>
      <c r="G1669">
        <v>1</v>
      </c>
      <c r="H1669" s="1">
        <v>41637</v>
      </c>
      <c r="I1669">
        <v>71</v>
      </c>
      <c r="J1669">
        <v>21</v>
      </c>
      <c r="K1669">
        <v>5</v>
      </c>
      <c r="L1669">
        <v>3</v>
      </c>
      <c r="M1669">
        <v>10</v>
      </c>
      <c r="N1669">
        <v>1</v>
      </c>
      <c r="O1669">
        <v>7</v>
      </c>
      <c r="P1669">
        <v>3</v>
      </c>
      <c r="Q1669">
        <v>1</v>
      </c>
      <c r="R1669">
        <v>1</v>
      </c>
      <c r="S1669">
        <v>4</v>
      </c>
      <c r="T1669">
        <v>2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3</v>
      </c>
      <c r="AB1669">
        <v>11</v>
      </c>
      <c r="AC1669">
        <v>0</v>
      </c>
    </row>
    <row r="1670" spans="1:29" x14ac:dyDescent="0.3">
      <c r="A1670">
        <v>5299</v>
      </c>
      <c r="B1670">
        <v>1970</v>
      </c>
      <c r="C1670" t="s">
        <v>32</v>
      </c>
      <c r="D1670" t="s">
        <v>33</v>
      </c>
      <c r="E1670">
        <v>69084</v>
      </c>
      <c r="F1670">
        <v>1</v>
      </c>
      <c r="G1670">
        <v>0</v>
      </c>
      <c r="H1670" s="1">
        <v>41597</v>
      </c>
      <c r="I1670">
        <v>43</v>
      </c>
      <c r="J1670">
        <v>1181</v>
      </c>
      <c r="K1670">
        <v>107</v>
      </c>
      <c r="L1670">
        <v>199</v>
      </c>
      <c r="M1670">
        <v>39</v>
      </c>
      <c r="N1670">
        <v>30</v>
      </c>
      <c r="O1670">
        <v>30</v>
      </c>
      <c r="P1670">
        <v>2</v>
      </c>
      <c r="Q1670">
        <v>7</v>
      </c>
      <c r="R1670">
        <v>3</v>
      </c>
      <c r="S1670">
        <v>13</v>
      </c>
      <c r="T1670">
        <v>8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3</v>
      </c>
      <c r="AB1670">
        <v>11</v>
      </c>
      <c r="AC1670">
        <v>0</v>
      </c>
    </row>
    <row r="1671" spans="1:29" x14ac:dyDescent="0.3">
      <c r="A1671">
        <v>4127</v>
      </c>
      <c r="B1671">
        <v>1967</v>
      </c>
      <c r="C1671" t="s">
        <v>32</v>
      </c>
      <c r="D1671" t="s">
        <v>33</v>
      </c>
      <c r="E1671">
        <v>77766</v>
      </c>
      <c r="F1671">
        <v>0</v>
      </c>
      <c r="G1671">
        <v>1</v>
      </c>
      <c r="H1671" s="1">
        <v>41327</v>
      </c>
      <c r="I1671">
        <v>97</v>
      </c>
      <c r="J1671">
        <v>1004</v>
      </c>
      <c r="K1671">
        <v>59</v>
      </c>
      <c r="L1671">
        <v>265</v>
      </c>
      <c r="M1671">
        <v>115</v>
      </c>
      <c r="N1671">
        <v>59</v>
      </c>
      <c r="O1671">
        <v>27</v>
      </c>
      <c r="P1671">
        <v>2</v>
      </c>
      <c r="Q1671">
        <v>11</v>
      </c>
      <c r="R1671">
        <v>10</v>
      </c>
      <c r="S1671">
        <v>11</v>
      </c>
      <c r="T1671">
        <v>6</v>
      </c>
      <c r="U1671">
        <v>1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3</v>
      </c>
      <c r="AB1671">
        <v>11</v>
      </c>
      <c r="AC1671">
        <v>1</v>
      </c>
    </row>
    <row r="1672" spans="1:29" x14ac:dyDescent="0.3">
      <c r="A1672">
        <v>8143</v>
      </c>
      <c r="B1672">
        <v>1985</v>
      </c>
      <c r="C1672" t="s">
        <v>32</v>
      </c>
      <c r="D1672" t="s">
        <v>30</v>
      </c>
      <c r="E1672">
        <v>37929</v>
      </c>
      <c r="F1672">
        <v>0</v>
      </c>
      <c r="G1672">
        <v>0</v>
      </c>
      <c r="H1672" s="1">
        <v>41485</v>
      </c>
      <c r="I1672">
        <v>49</v>
      </c>
      <c r="J1672">
        <v>202</v>
      </c>
      <c r="K1672">
        <v>2</v>
      </c>
      <c r="L1672">
        <v>46</v>
      </c>
      <c r="M1672">
        <v>3</v>
      </c>
      <c r="N1672">
        <v>2</v>
      </c>
      <c r="O1672">
        <v>10</v>
      </c>
      <c r="P1672">
        <v>2</v>
      </c>
      <c r="Q1672">
        <v>4</v>
      </c>
      <c r="R1672">
        <v>2</v>
      </c>
      <c r="S1672">
        <v>5</v>
      </c>
      <c r="T1672">
        <v>7</v>
      </c>
      <c r="U1672">
        <v>0</v>
      </c>
      <c r="V1672">
        <v>1</v>
      </c>
      <c r="W1672">
        <v>0</v>
      </c>
      <c r="X1672">
        <v>1</v>
      </c>
      <c r="Y1672">
        <v>0</v>
      </c>
      <c r="Z1672">
        <v>0</v>
      </c>
      <c r="AA1672">
        <v>3</v>
      </c>
      <c r="AB1672">
        <v>11</v>
      </c>
      <c r="AC1672">
        <v>1</v>
      </c>
    </row>
    <row r="1673" spans="1:29" x14ac:dyDescent="0.3">
      <c r="A1673">
        <v>1964</v>
      </c>
      <c r="B1673">
        <v>1951</v>
      </c>
      <c r="C1673" t="s">
        <v>29</v>
      </c>
      <c r="D1673" t="s">
        <v>31</v>
      </c>
      <c r="E1673">
        <v>86610</v>
      </c>
      <c r="F1673">
        <v>0</v>
      </c>
      <c r="G1673">
        <v>0</v>
      </c>
      <c r="H1673" s="1">
        <v>41522</v>
      </c>
      <c r="I1673">
        <v>66</v>
      </c>
      <c r="J1673">
        <v>446</v>
      </c>
      <c r="K1673">
        <v>107</v>
      </c>
      <c r="L1673">
        <v>768</v>
      </c>
      <c r="M1673">
        <v>33</v>
      </c>
      <c r="N1673">
        <v>196</v>
      </c>
      <c r="O1673">
        <v>53</v>
      </c>
      <c r="P1673">
        <v>1</v>
      </c>
      <c r="Q1673">
        <v>5</v>
      </c>
      <c r="R1673">
        <v>6</v>
      </c>
      <c r="S1673">
        <v>6</v>
      </c>
      <c r="T1673">
        <v>2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3</v>
      </c>
      <c r="AB1673">
        <v>11</v>
      </c>
      <c r="AC1673">
        <v>0</v>
      </c>
    </row>
    <row r="1674" spans="1:29" x14ac:dyDescent="0.3">
      <c r="A1674">
        <v>3690</v>
      </c>
      <c r="B1674">
        <v>1986</v>
      </c>
      <c r="C1674" t="s">
        <v>34</v>
      </c>
      <c r="D1674" t="s">
        <v>33</v>
      </c>
      <c r="E1674">
        <v>80141</v>
      </c>
      <c r="F1674">
        <v>0</v>
      </c>
      <c r="G1674">
        <v>0</v>
      </c>
      <c r="H1674" s="1">
        <v>41285</v>
      </c>
      <c r="I1674">
        <v>20</v>
      </c>
      <c r="J1674">
        <v>1184</v>
      </c>
      <c r="K1674">
        <v>102</v>
      </c>
      <c r="L1674">
        <v>673</v>
      </c>
      <c r="M1674">
        <v>52</v>
      </c>
      <c r="N1674">
        <v>40</v>
      </c>
      <c r="O1674">
        <v>40</v>
      </c>
      <c r="P1674">
        <v>1</v>
      </c>
      <c r="Q1674">
        <v>7</v>
      </c>
      <c r="R1674">
        <v>4</v>
      </c>
      <c r="S1674">
        <v>10</v>
      </c>
      <c r="T1674">
        <v>6</v>
      </c>
      <c r="U1674">
        <v>0</v>
      </c>
      <c r="V1674">
        <v>0</v>
      </c>
      <c r="W1674">
        <v>1</v>
      </c>
      <c r="X1674">
        <v>0</v>
      </c>
      <c r="Y1674">
        <v>0</v>
      </c>
      <c r="Z1674">
        <v>0</v>
      </c>
      <c r="AA1674">
        <v>3</v>
      </c>
      <c r="AB1674">
        <v>11</v>
      </c>
      <c r="AC1674">
        <v>1</v>
      </c>
    </row>
    <row r="1675" spans="1:29" x14ac:dyDescent="0.3">
      <c r="A1675">
        <v>3433</v>
      </c>
      <c r="B1675">
        <v>1955</v>
      </c>
      <c r="C1675" t="s">
        <v>37</v>
      </c>
      <c r="D1675" t="s">
        <v>33</v>
      </c>
      <c r="E1675">
        <v>72635</v>
      </c>
      <c r="F1675">
        <v>0</v>
      </c>
      <c r="G1675">
        <v>0</v>
      </c>
      <c r="H1675" s="1">
        <v>41428</v>
      </c>
      <c r="I1675">
        <v>54</v>
      </c>
      <c r="J1675">
        <v>390</v>
      </c>
      <c r="K1675">
        <v>22</v>
      </c>
      <c r="L1675">
        <v>323</v>
      </c>
      <c r="M1675">
        <v>104</v>
      </c>
      <c r="N1675">
        <v>35</v>
      </c>
      <c r="O1675">
        <v>107</v>
      </c>
      <c r="P1675">
        <v>1</v>
      </c>
      <c r="Q1675">
        <v>6</v>
      </c>
      <c r="R1675">
        <v>8</v>
      </c>
      <c r="S1675">
        <v>6</v>
      </c>
      <c r="T1675">
        <v>3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>
        <v>3</v>
      </c>
      <c r="AB1675">
        <v>11</v>
      </c>
      <c r="AC1675">
        <v>0</v>
      </c>
    </row>
    <row r="1676" spans="1:29" x14ac:dyDescent="0.3">
      <c r="A1676">
        <v>3389</v>
      </c>
      <c r="B1676">
        <v>1970</v>
      </c>
      <c r="C1676" t="s">
        <v>29</v>
      </c>
      <c r="D1676" t="s">
        <v>33</v>
      </c>
      <c r="E1676">
        <v>69016</v>
      </c>
      <c r="F1676">
        <v>0</v>
      </c>
      <c r="G1676">
        <v>1</v>
      </c>
      <c r="H1676" s="1">
        <v>41235</v>
      </c>
      <c r="I1676">
        <v>61</v>
      </c>
      <c r="J1676">
        <v>726</v>
      </c>
      <c r="K1676">
        <v>53</v>
      </c>
      <c r="L1676">
        <v>363</v>
      </c>
      <c r="M1676">
        <v>123</v>
      </c>
      <c r="N1676">
        <v>107</v>
      </c>
      <c r="O1676">
        <v>161</v>
      </c>
      <c r="P1676">
        <v>4</v>
      </c>
      <c r="Q1676">
        <v>8</v>
      </c>
      <c r="R1676">
        <v>9</v>
      </c>
      <c r="S1676">
        <v>13</v>
      </c>
      <c r="T1676">
        <v>5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3</v>
      </c>
      <c r="AB1676">
        <v>11</v>
      </c>
      <c r="AC1676">
        <v>0</v>
      </c>
    </row>
    <row r="1677" spans="1:29" x14ac:dyDescent="0.3">
      <c r="A1677">
        <v>4712</v>
      </c>
      <c r="B1677">
        <v>1991</v>
      </c>
      <c r="C1677" t="s">
        <v>37</v>
      </c>
      <c r="D1677" t="s">
        <v>31</v>
      </c>
      <c r="E1677">
        <v>20193</v>
      </c>
      <c r="F1677">
        <v>0</v>
      </c>
      <c r="G1677">
        <v>0</v>
      </c>
      <c r="H1677" s="1">
        <v>41241</v>
      </c>
      <c r="I1677">
        <v>18</v>
      </c>
      <c r="J1677">
        <v>8</v>
      </c>
      <c r="K1677">
        <v>8</v>
      </c>
      <c r="L1677">
        <v>22</v>
      </c>
      <c r="M1677">
        <v>24</v>
      </c>
      <c r="N1677">
        <v>11</v>
      </c>
      <c r="O1677">
        <v>9</v>
      </c>
      <c r="P1677">
        <v>1</v>
      </c>
      <c r="Q1677">
        <v>1</v>
      </c>
      <c r="R1677">
        <v>1</v>
      </c>
      <c r="S1677">
        <v>4</v>
      </c>
      <c r="T1677">
        <v>4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3</v>
      </c>
      <c r="AB1677">
        <v>11</v>
      </c>
      <c r="AC1677">
        <v>0</v>
      </c>
    </row>
    <row r="1678" spans="1:29" x14ac:dyDescent="0.3">
      <c r="A1678">
        <v>1170</v>
      </c>
      <c r="B1678">
        <v>1975</v>
      </c>
      <c r="C1678" t="s">
        <v>29</v>
      </c>
      <c r="D1678" t="s">
        <v>33</v>
      </c>
      <c r="E1678">
        <v>27573</v>
      </c>
      <c r="F1678">
        <v>1</v>
      </c>
      <c r="G1678">
        <v>0</v>
      </c>
      <c r="H1678" s="1">
        <v>41358</v>
      </c>
      <c r="I1678">
        <v>45</v>
      </c>
      <c r="J1678">
        <v>50</v>
      </c>
      <c r="K1678">
        <v>15</v>
      </c>
      <c r="L1678">
        <v>110</v>
      </c>
      <c r="M1678">
        <v>39</v>
      </c>
      <c r="N1678">
        <v>15</v>
      </c>
      <c r="O1678">
        <v>15</v>
      </c>
      <c r="P1678">
        <v>4</v>
      </c>
      <c r="Q1678">
        <v>5</v>
      </c>
      <c r="R1678">
        <v>1</v>
      </c>
      <c r="S1678">
        <v>4</v>
      </c>
      <c r="T1678">
        <v>8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3</v>
      </c>
      <c r="AB1678">
        <v>11</v>
      </c>
      <c r="AC1678">
        <v>0</v>
      </c>
    </row>
    <row r="1679" spans="1:29" x14ac:dyDescent="0.3">
      <c r="A1679">
        <v>6347</v>
      </c>
      <c r="B1679">
        <v>1979</v>
      </c>
      <c r="C1679" t="s">
        <v>36</v>
      </c>
      <c r="D1679" t="s">
        <v>30</v>
      </c>
      <c r="E1679">
        <v>15862</v>
      </c>
      <c r="F1679">
        <v>1</v>
      </c>
      <c r="G1679">
        <v>0</v>
      </c>
      <c r="H1679" s="1">
        <v>41452</v>
      </c>
      <c r="I1679">
        <v>26</v>
      </c>
      <c r="J1679">
        <v>1</v>
      </c>
      <c r="K1679">
        <v>1</v>
      </c>
      <c r="L1679">
        <v>4</v>
      </c>
      <c r="M1679">
        <v>11</v>
      </c>
      <c r="N1679">
        <v>9</v>
      </c>
      <c r="O1679">
        <v>10</v>
      </c>
      <c r="P1679">
        <v>1</v>
      </c>
      <c r="Q1679">
        <v>1</v>
      </c>
      <c r="R1679">
        <v>0</v>
      </c>
      <c r="S1679">
        <v>3</v>
      </c>
      <c r="T1679">
        <v>8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3</v>
      </c>
      <c r="AB1679">
        <v>11</v>
      </c>
      <c r="AC1679">
        <v>0</v>
      </c>
    </row>
    <row r="1680" spans="1:29" x14ac:dyDescent="0.3">
      <c r="A1680">
        <v>4065</v>
      </c>
      <c r="B1680">
        <v>1976</v>
      </c>
      <c r="C1680" t="s">
        <v>32</v>
      </c>
      <c r="D1680" t="s">
        <v>33</v>
      </c>
      <c r="E1680">
        <v>49544</v>
      </c>
      <c r="F1680">
        <v>1</v>
      </c>
      <c r="G1680">
        <v>0</v>
      </c>
      <c r="H1680" s="1">
        <v>41317</v>
      </c>
      <c r="I1680">
        <v>0</v>
      </c>
      <c r="J1680">
        <v>308</v>
      </c>
      <c r="K1680">
        <v>0</v>
      </c>
      <c r="L1680">
        <v>73</v>
      </c>
      <c r="M1680">
        <v>0</v>
      </c>
      <c r="N1680">
        <v>0</v>
      </c>
      <c r="O1680">
        <v>23</v>
      </c>
      <c r="P1680">
        <v>2</v>
      </c>
      <c r="Q1680">
        <v>5</v>
      </c>
      <c r="R1680">
        <v>1</v>
      </c>
      <c r="S1680">
        <v>8</v>
      </c>
      <c r="T1680">
        <v>7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3</v>
      </c>
      <c r="AB1680">
        <v>11</v>
      </c>
      <c r="AC1680">
        <v>0</v>
      </c>
    </row>
    <row r="1681" spans="1:29" x14ac:dyDescent="0.3">
      <c r="A1681">
        <v>8230</v>
      </c>
      <c r="B1681">
        <v>1980</v>
      </c>
      <c r="C1681" t="s">
        <v>29</v>
      </c>
      <c r="D1681" t="s">
        <v>33</v>
      </c>
      <c r="E1681">
        <v>33228</v>
      </c>
      <c r="F1681">
        <v>1</v>
      </c>
      <c r="G1681">
        <v>0</v>
      </c>
      <c r="H1681" s="1">
        <v>41662</v>
      </c>
      <c r="I1681">
        <v>28</v>
      </c>
      <c r="J1681">
        <v>22</v>
      </c>
      <c r="K1681">
        <v>2</v>
      </c>
      <c r="L1681">
        <v>31</v>
      </c>
      <c r="M1681">
        <v>7</v>
      </c>
      <c r="N1681">
        <v>4</v>
      </c>
      <c r="O1681">
        <v>5</v>
      </c>
      <c r="P1681">
        <v>1</v>
      </c>
      <c r="Q1681">
        <v>2</v>
      </c>
      <c r="R1681">
        <v>0</v>
      </c>
      <c r="S1681">
        <v>3</v>
      </c>
      <c r="T1681">
        <v>7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3</v>
      </c>
      <c r="AB1681">
        <v>11</v>
      </c>
      <c r="AC1681">
        <v>0</v>
      </c>
    </row>
    <row r="1682" spans="1:29" x14ac:dyDescent="0.3">
      <c r="A1682">
        <v>1215</v>
      </c>
      <c r="B1682">
        <v>1978</v>
      </c>
      <c r="C1682" t="s">
        <v>29</v>
      </c>
      <c r="D1682" t="s">
        <v>31</v>
      </c>
      <c r="E1682">
        <v>70440</v>
      </c>
      <c r="F1682">
        <v>0</v>
      </c>
      <c r="G1682">
        <v>0</v>
      </c>
      <c r="H1682" s="1">
        <v>41555</v>
      </c>
      <c r="I1682">
        <v>49</v>
      </c>
      <c r="J1682">
        <v>690</v>
      </c>
      <c r="K1682">
        <v>117</v>
      </c>
      <c r="L1682">
        <v>499</v>
      </c>
      <c r="M1682">
        <v>76</v>
      </c>
      <c r="N1682">
        <v>102</v>
      </c>
      <c r="O1682">
        <v>88</v>
      </c>
      <c r="P1682">
        <v>1</v>
      </c>
      <c r="Q1682">
        <v>5</v>
      </c>
      <c r="R1682">
        <v>10</v>
      </c>
      <c r="S1682">
        <v>7</v>
      </c>
      <c r="T1682">
        <v>3</v>
      </c>
      <c r="U1682">
        <v>0</v>
      </c>
      <c r="V1682">
        <v>0</v>
      </c>
      <c r="W1682">
        <v>0</v>
      </c>
      <c r="X1682">
        <v>1</v>
      </c>
      <c r="Y1682">
        <v>0</v>
      </c>
      <c r="Z1682">
        <v>0</v>
      </c>
      <c r="AA1682">
        <v>3</v>
      </c>
      <c r="AB1682">
        <v>11</v>
      </c>
      <c r="AC1682">
        <v>0</v>
      </c>
    </row>
    <row r="1683" spans="1:29" x14ac:dyDescent="0.3">
      <c r="A1683">
        <v>5939</v>
      </c>
      <c r="B1683">
        <v>1971</v>
      </c>
      <c r="C1683" t="s">
        <v>29</v>
      </c>
      <c r="D1683" t="s">
        <v>31</v>
      </c>
      <c r="E1683">
        <v>38232</v>
      </c>
      <c r="F1683">
        <v>1</v>
      </c>
      <c r="G1683">
        <v>1</v>
      </c>
      <c r="H1683" s="1">
        <v>41656</v>
      </c>
      <c r="I1683">
        <v>84</v>
      </c>
      <c r="J1683">
        <v>43</v>
      </c>
      <c r="K1683">
        <v>5</v>
      </c>
      <c r="L1683">
        <v>28</v>
      </c>
      <c r="M1683">
        <v>7</v>
      </c>
      <c r="N1683">
        <v>6</v>
      </c>
      <c r="O1683">
        <v>33</v>
      </c>
      <c r="P1683">
        <v>4</v>
      </c>
      <c r="Q1683">
        <v>3</v>
      </c>
      <c r="R1683">
        <v>1</v>
      </c>
      <c r="S1683">
        <v>3</v>
      </c>
      <c r="T1683">
        <v>5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3</v>
      </c>
      <c r="AB1683">
        <v>11</v>
      </c>
      <c r="AC1683">
        <v>0</v>
      </c>
    </row>
    <row r="1684" spans="1:29" x14ac:dyDescent="0.3">
      <c r="A1684">
        <v>2156</v>
      </c>
      <c r="B1684">
        <v>1955</v>
      </c>
      <c r="C1684" t="s">
        <v>32</v>
      </c>
      <c r="D1684" t="s">
        <v>33</v>
      </c>
      <c r="E1684">
        <v>22554</v>
      </c>
      <c r="F1684">
        <v>1</v>
      </c>
      <c r="G1684">
        <v>1</v>
      </c>
      <c r="H1684" s="1">
        <v>41216</v>
      </c>
      <c r="I1684">
        <v>38</v>
      </c>
      <c r="J1684">
        <v>27</v>
      </c>
      <c r="K1684">
        <v>0</v>
      </c>
      <c r="L1684">
        <v>10</v>
      </c>
      <c r="M1684">
        <v>0</v>
      </c>
      <c r="N1684">
        <v>0</v>
      </c>
      <c r="O1684">
        <v>4</v>
      </c>
      <c r="P1684">
        <v>4</v>
      </c>
      <c r="Q1684">
        <v>2</v>
      </c>
      <c r="R1684">
        <v>0</v>
      </c>
      <c r="S1684">
        <v>4</v>
      </c>
      <c r="T1684">
        <v>5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3</v>
      </c>
      <c r="AB1684">
        <v>11</v>
      </c>
      <c r="AC1684">
        <v>0</v>
      </c>
    </row>
    <row r="1685" spans="1:29" x14ac:dyDescent="0.3">
      <c r="A1685">
        <v>7788</v>
      </c>
      <c r="B1685">
        <v>1983</v>
      </c>
      <c r="C1685" t="s">
        <v>32</v>
      </c>
      <c r="D1685" t="s">
        <v>33</v>
      </c>
      <c r="E1685">
        <v>23536</v>
      </c>
      <c r="F1685">
        <v>1</v>
      </c>
      <c r="G1685">
        <v>0</v>
      </c>
      <c r="H1685" s="1">
        <v>41794</v>
      </c>
      <c r="I1685">
        <v>53</v>
      </c>
      <c r="J1685">
        <v>6</v>
      </c>
      <c r="K1685">
        <v>0</v>
      </c>
      <c r="L1685">
        <v>3</v>
      </c>
      <c r="M1685">
        <v>0</v>
      </c>
      <c r="N1685">
        <v>0</v>
      </c>
      <c r="O1685">
        <v>1</v>
      </c>
      <c r="P1685">
        <v>1</v>
      </c>
      <c r="Q1685">
        <v>0</v>
      </c>
      <c r="R1685">
        <v>0</v>
      </c>
      <c r="S1685">
        <v>3</v>
      </c>
      <c r="T1685">
        <v>3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3</v>
      </c>
      <c r="AB1685">
        <v>11</v>
      </c>
      <c r="AC1685">
        <v>0</v>
      </c>
    </row>
    <row r="1686" spans="1:29" x14ac:dyDescent="0.3">
      <c r="A1686">
        <v>10323</v>
      </c>
      <c r="B1686">
        <v>1952</v>
      </c>
      <c r="C1686" t="s">
        <v>29</v>
      </c>
      <c r="D1686" t="s">
        <v>33</v>
      </c>
      <c r="E1686">
        <v>49413</v>
      </c>
      <c r="F1686">
        <v>0</v>
      </c>
      <c r="G1686">
        <v>1</v>
      </c>
      <c r="H1686" s="1">
        <v>41572</v>
      </c>
      <c r="I1686">
        <v>88</v>
      </c>
      <c r="J1686">
        <v>205</v>
      </c>
      <c r="K1686">
        <v>7</v>
      </c>
      <c r="L1686">
        <v>41</v>
      </c>
      <c r="M1686">
        <v>3</v>
      </c>
      <c r="N1686">
        <v>2</v>
      </c>
      <c r="O1686">
        <v>46</v>
      </c>
      <c r="P1686">
        <v>2</v>
      </c>
      <c r="Q1686">
        <v>4</v>
      </c>
      <c r="R1686">
        <v>2</v>
      </c>
      <c r="S1686">
        <v>5</v>
      </c>
      <c r="T1686">
        <v>5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3</v>
      </c>
      <c r="AB1686">
        <v>11</v>
      </c>
      <c r="AC1686">
        <v>0</v>
      </c>
    </row>
    <row r="1687" spans="1:29" x14ac:dyDescent="0.3">
      <c r="A1687">
        <v>7947</v>
      </c>
      <c r="B1687">
        <v>1969</v>
      </c>
      <c r="C1687" t="s">
        <v>29</v>
      </c>
      <c r="D1687" t="s">
        <v>33</v>
      </c>
      <c r="E1687">
        <v>42231</v>
      </c>
      <c r="F1687">
        <v>1</v>
      </c>
      <c r="G1687">
        <v>1</v>
      </c>
      <c r="H1687" s="1">
        <v>41723</v>
      </c>
      <c r="I1687">
        <v>99</v>
      </c>
      <c r="J1687">
        <v>24</v>
      </c>
      <c r="K1687">
        <v>0</v>
      </c>
      <c r="L1687">
        <v>8</v>
      </c>
      <c r="M1687">
        <v>0</v>
      </c>
      <c r="N1687">
        <v>1</v>
      </c>
      <c r="O1687">
        <v>4</v>
      </c>
      <c r="P1687">
        <v>1</v>
      </c>
      <c r="Q1687">
        <v>1</v>
      </c>
      <c r="R1687">
        <v>0</v>
      </c>
      <c r="S1687">
        <v>3</v>
      </c>
      <c r="T1687">
        <v>5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3</v>
      </c>
      <c r="AB1687">
        <v>11</v>
      </c>
      <c r="AC1687">
        <v>0</v>
      </c>
    </row>
    <row r="1688" spans="1:29" x14ac:dyDescent="0.3">
      <c r="A1688">
        <v>1891</v>
      </c>
      <c r="B1688">
        <v>1980</v>
      </c>
      <c r="C1688" t="s">
        <v>34</v>
      </c>
      <c r="D1688" t="s">
        <v>35</v>
      </c>
      <c r="E1688">
        <v>78789</v>
      </c>
      <c r="F1688">
        <v>0</v>
      </c>
      <c r="G1688">
        <v>0</v>
      </c>
      <c r="H1688" s="1">
        <v>41129</v>
      </c>
      <c r="I1688">
        <v>12</v>
      </c>
      <c r="J1688">
        <v>667</v>
      </c>
      <c r="K1688">
        <v>50</v>
      </c>
      <c r="L1688">
        <v>850</v>
      </c>
      <c r="M1688">
        <v>21</v>
      </c>
      <c r="N1688">
        <v>83</v>
      </c>
      <c r="O1688">
        <v>83</v>
      </c>
      <c r="P1688">
        <v>1</v>
      </c>
      <c r="Q1688">
        <v>4</v>
      </c>
      <c r="R1688">
        <v>6</v>
      </c>
      <c r="S1688">
        <v>5</v>
      </c>
      <c r="T1688">
        <v>2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3</v>
      </c>
      <c r="AB1688">
        <v>11</v>
      </c>
      <c r="AC1688">
        <v>1</v>
      </c>
    </row>
    <row r="1689" spans="1:29" x14ac:dyDescent="0.3">
      <c r="A1689">
        <v>2570</v>
      </c>
      <c r="B1689">
        <v>1968</v>
      </c>
      <c r="C1689" t="s">
        <v>29</v>
      </c>
      <c r="D1689" t="s">
        <v>31</v>
      </c>
      <c r="E1689">
        <v>56534</v>
      </c>
      <c r="F1689">
        <v>0</v>
      </c>
      <c r="G1689">
        <v>1</v>
      </c>
      <c r="H1689" s="1">
        <v>41478</v>
      </c>
      <c r="I1689">
        <v>35</v>
      </c>
      <c r="J1689">
        <v>691</v>
      </c>
      <c r="K1689">
        <v>7</v>
      </c>
      <c r="L1689">
        <v>61</v>
      </c>
      <c r="M1689">
        <v>10</v>
      </c>
      <c r="N1689">
        <v>0</v>
      </c>
      <c r="O1689">
        <v>46</v>
      </c>
      <c r="P1689">
        <v>4</v>
      </c>
      <c r="Q1689">
        <v>10</v>
      </c>
      <c r="R1689">
        <v>4</v>
      </c>
      <c r="S1689">
        <v>7</v>
      </c>
      <c r="T1689">
        <v>8</v>
      </c>
      <c r="U1689">
        <v>0</v>
      </c>
      <c r="V1689">
        <v>1</v>
      </c>
      <c r="W1689">
        <v>0</v>
      </c>
      <c r="X1689">
        <v>0</v>
      </c>
      <c r="Y1689">
        <v>1</v>
      </c>
      <c r="Z1689">
        <v>0</v>
      </c>
      <c r="AA1689">
        <v>3</v>
      </c>
      <c r="AB1689">
        <v>11</v>
      </c>
      <c r="AC1689">
        <v>1</v>
      </c>
    </row>
    <row r="1690" spans="1:29" x14ac:dyDescent="0.3">
      <c r="A1690">
        <v>9256</v>
      </c>
      <c r="B1690">
        <v>1971</v>
      </c>
      <c r="C1690" t="s">
        <v>29</v>
      </c>
      <c r="D1690" t="s">
        <v>30</v>
      </c>
      <c r="E1690">
        <v>58350</v>
      </c>
      <c r="F1690">
        <v>0</v>
      </c>
      <c r="G1690">
        <v>1</v>
      </c>
      <c r="H1690" s="1">
        <v>41278</v>
      </c>
      <c r="I1690">
        <v>5</v>
      </c>
      <c r="J1690">
        <v>493</v>
      </c>
      <c r="K1690">
        <v>26</v>
      </c>
      <c r="L1690">
        <v>206</v>
      </c>
      <c r="M1690">
        <v>116</v>
      </c>
      <c r="N1690">
        <v>80</v>
      </c>
      <c r="O1690">
        <v>80</v>
      </c>
      <c r="P1690">
        <v>4</v>
      </c>
      <c r="Q1690">
        <v>8</v>
      </c>
      <c r="R1690">
        <v>3</v>
      </c>
      <c r="S1690">
        <v>12</v>
      </c>
      <c r="T1690">
        <v>6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3</v>
      </c>
      <c r="AB1690">
        <v>11</v>
      </c>
      <c r="AC1690">
        <v>0</v>
      </c>
    </row>
    <row r="1691" spans="1:29" x14ac:dyDescent="0.3">
      <c r="A1691">
        <v>295</v>
      </c>
      <c r="B1691">
        <v>1989</v>
      </c>
      <c r="C1691" t="s">
        <v>29</v>
      </c>
      <c r="D1691" t="s">
        <v>30</v>
      </c>
      <c r="E1691">
        <v>81217</v>
      </c>
      <c r="F1691">
        <v>0</v>
      </c>
      <c r="G1691">
        <v>0</v>
      </c>
      <c r="H1691" s="1">
        <v>41474</v>
      </c>
      <c r="I1691">
        <v>77</v>
      </c>
      <c r="J1691">
        <v>493</v>
      </c>
      <c r="K1691">
        <v>70</v>
      </c>
      <c r="L1691">
        <v>324</v>
      </c>
      <c r="M1691">
        <v>146</v>
      </c>
      <c r="N1691">
        <v>40</v>
      </c>
      <c r="O1691">
        <v>84</v>
      </c>
      <c r="P1691">
        <v>1</v>
      </c>
      <c r="Q1691">
        <v>3</v>
      </c>
      <c r="R1691">
        <v>7</v>
      </c>
      <c r="S1691">
        <v>11</v>
      </c>
      <c r="T1691">
        <v>1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3</v>
      </c>
      <c r="AB1691">
        <v>11</v>
      </c>
      <c r="AC1691">
        <v>0</v>
      </c>
    </row>
    <row r="1692" spans="1:29" x14ac:dyDescent="0.3">
      <c r="A1692">
        <v>7397</v>
      </c>
      <c r="B1692">
        <v>1951</v>
      </c>
      <c r="C1692" t="s">
        <v>29</v>
      </c>
      <c r="D1692" t="s">
        <v>30</v>
      </c>
      <c r="E1692">
        <v>49090</v>
      </c>
      <c r="F1692">
        <v>0</v>
      </c>
      <c r="G1692">
        <v>1</v>
      </c>
      <c r="H1692" s="1">
        <v>41474</v>
      </c>
      <c r="I1692">
        <v>45</v>
      </c>
      <c r="J1692">
        <v>494</v>
      </c>
      <c r="K1692">
        <v>5</v>
      </c>
      <c r="L1692">
        <v>82</v>
      </c>
      <c r="M1692">
        <v>7</v>
      </c>
      <c r="N1692">
        <v>0</v>
      </c>
      <c r="O1692">
        <v>100</v>
      </c>
      <c r="P1692">
        <v>3</v>
      </c>
      <c r="Q1692">
        <v>7</v>
      </c>
      <c r="R1692">
        <v>2</v>
      </c>
      <c r="S1692">
        <v>9</v>
      </c>
      <c r="T1692">
        <v>7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3</v>
      </c>
      <c r="AB1692">
        <v>11</v>
      </c>
      <c r="AC1692">
        <v>0</v>
      </c>
    </row>
    <row r="1693" spans="1:29" x14ac:dyDescent="0.3">
      <c r="A1693">
        <v>6349</v>
      </c>
      <c r="B1693">
        <v>1987</v>
      </c>
      <c r="C1693" t="s">
        <v>34</v>
      </c>
      <c r="D1693" t="s">
        <v>35</v>
      </c>
      <c r="E1693">
        <v>61787</v>
      </c>
      <c r="F1693">
        <v>0</v>
      </c>
      <c r="G1693">
        <v>0</v>
      </c>
      <c r="H1693" s="1">
        <v>41461</v>
      </c>
      <c r="I1693">
        <v>71</v>
      </c>
      <c r="J1693">
        <v>621</v>
      </c>
      <c r="K1693">
        <v>73</v>
      </c>
      <c r="L1693">
        <v>414</v>
      </c>
      <c r="M1693">
        <v>78</v>
      </c>
      <c r="N1693">
        <v>48</v>
      </c>
      <c r="O1693">
        <v>85</v>
      </c>
      <c r="P1693">
        <v>1</v>
      </c>
      <c r="Q1693">
        <v>8</v>
      </c>
      <c r="R1693">
        <v>4</v>
      </c>
      <c r="S1693">
        <v>6</v>
      </c>
      <c r="T1693">
        <v>5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3</v>
      </c>
      <c r="AB1693">
        <v>11</v>
      </c>
      <c r="AC1693">
        <v>0</v>
      </c>
    </row>
    <row r="1694" spans="1:29" x14ac:dyDescent="0.3">
      <c r="A1694">
        <v>10790</v>
      </c>
      <c r="B1694">
        <v>1985</v>
      </c>
      <c r="C1694" t="s">
        <v>32</v>
      </c>
      <c r="D1694" t="s">
        <v>33</v>
      </c>
      <c r="E1694">
        <v>18169</v>
      </c>
      <c r="F1694">
        <v>1</v>
      </c>
      <c r="G1694">
        <v>0</v>
      </c>
      <c r="H1694" s="1">
        <v>41324</v>
      </c>
      <c r="I1694">
        <v>40</v>
      </c>
      <c r="J1694">
        <v>9</v>
      </c>
      <c r="K1694">
        <v>0</v>
      </c>
      <c r="L1694">
        <v>5</v>
      </c>
      <c r="M1694">
        <v>0</v>
      </c>
      <c r="N1694">
        <v>0</v>
      </c>
      <c r="O1694">
        <v>7</v>
      </c>
      <c r="P1694">
        <v>1</v>
      </c>
      <c r="Q1694">
        <v>1</v>
      </c>
      <c r="R1694">
        <v>0</v>
      </c>
      <c r="S1694">
        <v>2</v>
      </c>
      <c r="T1694">
        <v>8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3</v>
      </c>
      <c r="AB1694">
        <v>11</v>
      </c>
      <c r="AC1694">
        <v>0</v>
      </c>
    </row>
    <row r="1695" spans="1:29" x14ac:dyDescent="0.3">
      <c r="A1695">
        <v>10398</v>
      </c>
      <c r="B1695">
        <v>1981</v>
      </c>
      <c r="C1695" t="s">
        <v>37</v>
      </c>
      <c r="D1695" t="s">
        <v>30</v>
      </c>
      <c r="E1695">
        <v>24336</v>
      </c>
      <c r="F1695">
        <v>1</v>
      </c>
      <c r="G1695">
        <v>0</v>
      </c>
      <c r="H1695" s="1">
        <v>41148</v>
      </c>
      <c r="I1695">
        <v>82</v>
      </c>
      <c r="J1695">
        <v>1</v>
      </c>
      <c r="K1695">
        <v>6</v>
      </c>
      <c r="L1695">
        <v>2</v>
      </c>
      <c r="M1695">
        <v>8</v>
      </c>
      <c r="N1695">
        <v>2</v>
      </c>
      <c r="O1695">
        <v>12</v>
      </c>
      <c r="P1695">
        <v>1</v>
      </c>
      <c r="Q1695">
        <v>1</v>
      </c>
      <c r="R1695">
        <v>0</v>
      </c>
      <c r="S1695">
        <v>2</v>
      </c>
      <c r="T1695">
        <v>7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3</v>
      </c>
      <c r="AB1695">
        <v>11</v>
      </c>
      <c r="AC1695">
        <v>0</v>
      </c>
    </row>
    <row r="1696" spans="1:29" x14ac:dyDescent="0.3">
      <c r="A1696">
        <v>2431</v>
      </c>
      <c r="B1696">
        <v>1990</v>
      </c>
      <c r="C1696" t="s">
        <v>29</v>
      </c>
      <c r="D1696" t="s">
        <v>33</v>
      </c>
      <c r="E1696">
        <v>18222</v>
      </c>
      <c r="F1696">
        <v>0</v>
      </c>
      <c r="G1696">
        <v>0</v>
      </c>
      <c r="H1696" s="1">
        <v>41274</v>
      </c>
      <c r="I1696">
        <v>70</v>
      </c>
      <c r="J1696">
        <v>12</v>
      </c>
      <c r="K1696">
        <v>4</v>
      </c>
      <c r="L1696">
        <v>19</v>
      </c>
      <c r="M1696">
        <v>12</v>
      </c>
      <c r="N1696">
        <v>6</v>
      </c>
      <c r="O1696">
        <v>14</v>
      </c>
      <c r="P1696">
        <v>1</v>
      </c>
      <c r="Q1696">
        <v>2</v>
      </c>
      <c r="R1696">
        <v>0</v>
      </c>
      <c r="S1696">
        <v>3</v>
      </c>
      <c r="T1696">
        <v>8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3</v>
      </c>
      <c r="AB1696">
        <v>11</v>
      </c>
      <c r="AC1696">
        <v>0</v>
      </c>
    </row>
    <row r="1697" spans="1:29" x14ac:dyDescent="0.3">
      <c r="A1697">
        <v>550</v>
      </c>
      <c r="B1697">
        <v>1952</v>
      </c>
      <c r="C1697" t="s">
        <v>29</v>
      </c>
      <c r="D1697" t="s">
        <v>35</v>
      </c>
      <c r="E1697">
        <v>62335</v>
      </c>
      <c r="F1697">
        <v>0</v>
      </c>
      <c r="G1697">
        <v>1</v>
      </c>
      <c r="H1697" s="1">
        <v>41417</v>
      </c>
      <c r="I1697">
        <v>87</v>
      </c>
      <c r="J1697">
        <v>243</v>
      </c>
      <c r="K1697">
        <v>131</v>
      </c>
      <c r="L1697">
        <v>217</v>
      </c>
      <c r="M1697">
        <v>85</v>
      </c>
      <c r="N1697">
        <v>6</v>
      </c>
      <c r="O1697">
        <v>26</v>
      </c>
      <c r="P1697">
        <v>2</v>
      </c>
      <c r="Q1697">
        <v>3</v>
      </c>
      <c r="R1697">
        <v>3</v>
      </c>
      <c r="S1697">
        <v>13</v>
      </c>
      <c r="T1697">
        <v>2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3</v>
      </c>
      <c r="AB1697">
        <v>11</v>
      </c>
      <c r="AC1697">
        <v>0</v>
      </c>
    </row>
    <row r="1698" spans="1:29" x14ac:dyDescent="0.3">
      <c r="A1698">
        <v>1890</v>
      </c>
      <c r="B1698">
        <v>1971</v>
      </c>
      <c r="C1698" t="s">
        <v>37</v>
      </c>
      <c r="D1698" t="s">
        <v>31</v>
      </c>
      <c r="E1698">
        <v>42033</v>
      </c>
      <c r="F1698">
        <v>1</v>
      </c>
      <c r="G1698">
        <v>1</v>
      </c>
      <c r="H1698" s="1">
        <v>41171</v>
      </c>
      <c r="I1698">
        <v>95</v>
      </c>
      <c r="J1698">
        <v>11</v>
      </c>
      <c r="K1698">
        <v>1</v>
      </c>
      <c r="L1698">
        <v>4</v>
      </c>
      <c r="M1698">
        <v>2</v>
      </c>
      <c r="N1698">
        <v>0</v>
      </c>
      <c r="O1698">
        <v>7</v>
      </c>
      <c r="P1698">
        <v>1</v>
      </c>
      <c r="Q1698">
        <v>1</v>
      </c>
      <c r="R1698">
        <v>0</v>
      </c>
      <c r="S1698">
        <v>2</v>
      </c>
      <c r="T1698">
        <v>7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3</v>
      </c>
      <c r="AB1698">
        <v>11</v>
      </c>
      <c r="AC1698">
        <v>0</v>
      </c>
    </row>
    <row r="1699" spans="1:29" x14ac:dyDescent="0.3">
      <c r="A1699">
        <v>10742</v>
      </c>
      <c r="B1699">
        <v>1983</v>
      </c>
      <c r="C1699" t="s">
        <v>32</v>
      </c>
      <c r="D1699" t="s">
        <v>33</v>
      </c>
      <c r="E1699">
        <v>86580</v>
      </c>
      <c r="F1699">
        <v>0</v>
      </c>
      <c r="G1699">
        <v>0</v>
      </c>
      <c r="H1699" s="1">
        <v>41332</v>
      </c>
      <c r="I1699">
        <v>72</v>
      </c>
      <c r="J1699">
        <v>532</v>
      </c>
      <c r="K1699">
        <v>21</v>
      </c>
      <c r="L1699">
        <v>127</v>
      </c>
      <c r="M1699">
        <v>26</v>
      </c>
      <c r="N1699">
        <v>20</v>
      </c>
      <c r="O1699">
        <v>20</v>
      </c>
      <c r="P1699">
        <v>0</v>
      </c>
      <c r="Q1699">
        <v>4</v>
      </c>
      <c r="R1699">
        <v>2</v>
      </c>
      <c r="S1699">
        <v>5</v>
      </c>
      <c r="T1699">
        <v>1</v>
      </c>
      <c r="U1699">
        <v>0</v>
      </c>
      <c r="V1699">
        <v>0</v>
      </c>
      <c r="W1699">
        <v>1</v>
      </c>
      <c r="X1699">
        <v>0</v>
      </c>
      <c r="Y1699">
        <v>0</v>
      </c>
      <c r="Z1699">
        <v>0</v>
      </c>
      <c r="AA1699">
        <v>3</v>
      </c>
      <c r="AB1699">
        <v>11</v>
      </c>
      <c r="AC1699">
        <v>0</v>
      </c>
    </row>
    <row r="1700" spans="1:29" x14ac:dyDescent="0.3">
      <c r="A1700">
        <v>10356</v>
      </c>
      <c r="B1700">
        <v>1957</v>
      </c>
      <c r="C1700" t="s">
        <v>32</v>
      </c>
      <c r="D1700" t="s">
        <v>35</v>
      </c>
      <c r="E1700">
        <v>41437</v>
      </c>
      <c r="F1700">
        <v>1</v>
      </c>
      <c r="G1700">
        <v>1</v>
      </c>
      <c r="H1700" s="1">
        <v>41174</v>
      </c>
      <c r="I1700">
        <v>5</v>
      </c>
      <c r="J1700">
        <v>29</v>
      </c>
      <c r="K1700">
        <v>0</v>
      </c>
      <c r="L1700">
        <v>2</v>
      </c>
      <c r="M1700">
        <v>0</v>
      </c>
      <c r="N1700">
        <v>0</v>
      </c>
      <c r="O1700">
        <v>1</v>
      </c>
      <c r="P1700">
        <v>1</v>
      </c>
      <c r="Q1700">
        <v>1</v>
      </c>
      <c r="R1700">
        <v>0</v>
      </c>
      <c r="S1700">
        <v>3</v>
      </c>
      <c r="T1700">
        <v>7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3</v>
      </c>
      <c r="AB1700">
        <v>11</v>
      </c>
      <c r="AC1700">
        <v>0</v>
      </c>
    </row>
    <row r="1701" spans="1:29" x14ac:dyDescent="0.3">
      <c r="A1701">
        <v>4676</v>
      </c>
      <c r="B1701">
        <v>1951</v>
      </c>
      <c r="C1701" t="s">
        <v>34</v>
      </c>
      <c r="D1701" t="s">
        <v>38</v>
      </c>
      <c r="E1701">
        <v>73705</v>
      </c>
      <c r="F1701">
        <v>0</v>
      </c>
      <c r="G1701">
        <v>2</v>
      </c>
      <c r="H1701" s="1">
        <v>41703</v>
      </c>
      <c r="I1701">
        <v>86</v>
      </c>
      <c r="J1701">
        <v>612</v>
      </c>
      <c r="K1701">
        <v>91</v>
      </c>
      <c r="L1701">
        <v>520</v>
      </c>
      <c r="M1701">
        <v>258</v>
      </c>
      <c r="N1701">
        <v>107</v>
      </c>
      <c r="O1701">
        <v>107</v>
      </c>
      <c r="P1701">
        <v>2</v>
      </c>
      <c r="Q1701">
        <v>9</v>
      </c>
      <c r="R1701">
        <v>6</v>
      </c>
      <c r="S1701">
        <v>8</v>
      </c>
      <c r="T1701">
        <v>5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3</v>
      </c>
      <c r="AB1701">
        <v>11</v>
      </c>
      <c r="AC1701">
        <v>0</v>
      </c>
    </row>
    <row r="1702" spans="1:29" x14ac:dyDescent="0.3">
      <c r="A1702">
        <v>8852</v>
      </c>
      <c r="B1702">
        <v>1976</v>
      </c>
      <c r="C1702" t="s">
        <v>29</v>
      </c>
      <c r="D1702" t="s">
        <v>33</v>
      </c>
      <c r="E1702">
        <v>61064</v>
      </c>
      <c r="F1702">
        <v>0</v>
      </c>
      <c r="G1702">
        <v>1</v>
      </c>
      <c r="H1702" s="1">
        <v>41152</v>
      </c>
      <c r="I1702">
        <v>80</v>
      </c>
      <c r="J1702">
        <v>387</v>
      </c>
      <c r="K1702">
        <v>126</v>
      </c>
      <c r="L1702">
        <v>342</v>
      </c>
      <c r="M1702">
        <v>0</v>
      </c>
      <c r="N1702">
        <v>45</v>
      </c>
      <c r="O1702">
        <v>180</v>
      </c>
      <c r="P1702">
        <v>5</v>
      </c>
      <c r="Q1702">
        <v>8</v>
      </c>
      <c r="R1702">
        <v>4</v>
      </c>
      <c r="S1702">
        <v>11</v>
      </c>
      <c r="T1702">
        <v>6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3</v>
      </c>
      <c r="AB1702">
        <v>11</v>
      </c>
      <c r="AC1702">
        <v>0</v>
      </c>
    </row>
    <row r="1703" spans="1:29" x14ac:dyDescent="0.3">
      <c r="A1703">
        <v>3565</v>
      </c>
      <c r="B1703">
        <v>1955</v>
      </c>
      <c r="C1703" t="s">
        <v>34</v>
      </c>
      <c r="D1703" t="s">
        <v>33</v>
      </c>
      <c r="E1703">
        <v>38452</v>
      </c>
      <c r="F1703">
        <v>1</v>
      </c>
      <c r="G1703">
        <v>1</v>
      </c>
      <c r="H1703" s="1">
        <v>41728</v>
      </c>
      <c r="I1703">
        <v>62</v>
      </c>
      <c r="J1703">
        <v>56</v>
      </c>
      <c r="K1703">
        <v>0</v>
      </c>
      <c r="L1703">
        <v>14</v>
      </c>
      <c r="M1703">
        <v>0</v>
      </c>
      <c r="N1703">
        <v>0</v>
      </c>
      <c r="O1703">
        <v>2</v>
      </c>
      <c r="P1703">
        <v>3</v>
      </c>
      <c r="Q1703">
        <v>3</v>
      </c>
      <c r="R1703">
        <v>0</v>
      </c>
      <c r="S1703">
        <v>3</v>
      </c>
      <c r="T1703">
        <v>7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3</v>
      </c>
      <c r="AB1703">
        <v>11</v>
      </c>
      <c r="AC1703">
        <v>0</v>
      </c>
    </row>
    <row r="1704" spans="1:29" x14ac:dyDescent="0.3">
      <c r="A1704">
        <v>5294</v>
      </c>
      <c r="B1704">
        <v>1989</v>
      </c>
      <c r="C1704" t="s">
        <v>29</v>
      </c>
      <c r="D1704" t="s">
        <v>30</v>
      </c>
      <c r="E1704">
        <v>18358</v>
      </c>
      <c r="F1704">
        <v>1</v>
      </c>
      <c r="G1704">
        <v>0</v>
      </c>
      <c r="H1704" s="1">
        <v>41598</v>
      </c>
      <c r="I1704">
        <v>49</v>
      </c>
      <c r="J1704">
        <v>6</v>
      </c>
      <c r="K1704">
        <v>8</v>
      </c>
      <c r="L1704">
        <v>19</v>
      </c>
      <c r="M1704">
        <v>16</v>
      </c>
      <c r="N1704">
        <v>4</v>
      </c>
      <c r="O1704">
        <v>4</v>
      </c>
      <c r="P1704">
        <v>3</v>
      </c>
      <c r="Q1704">
        <v>3</v>
      </c>
      <c r="R1704">
        <v>0</v>
      </c>
      <c r="S1704">
        <v>4</v>
      </c>
      <c r="T1704">
        <v>7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3</v>
      </c>
      <c r="AB1704">
        <v>11</v>
      </c>
      <c r="AC1704">
        <v>0</v>
      </c>
    </row>
    <row r="1705" spans="1:29" x14ac:dyDescent="0.3">
      <c r="A1705">
        <v>1958</v>
      </c>
      <c r="B1705">
        <v>1973</v>
      </c>
      <c r="C1705" t="s">
        <v>32</v>
      </c>
      <c r="D1705" t="s">
        <v>31</v>
      </c>
      <c r="E1705">
        <v>55012</v>
      </c>
      <c r="F1705">
        <v>0</v>
      </c>
      <c r="G1705">
        <v>1</v>
      </c>
      <c r="H1705" s="1">
        <v>41719</v>
      </c>
      <c r="I1705">
        <v>85</v>
      </c>
      <c r="J1705">
        <v>582</v>
      </c>
      <c r="K1705">
        <v>0</v>
      </c>
      <c r="L1705">
        <v>65</v>
      </c>
      <c r="M1705">
        <v>0</v>
      </c>
      <c r="N1705">
        <v>0</v>
      </c>
      <c r="O1705">
        <v>13</v>
      </c>
      <c r="P1705">
        <v>6</v>
      </c>
      <c r="Q1705">
        <v>8</v>
      </c>
      <c r="R1705">
        <v>2</v>
      </c>
      <c r="S1705">
        <v>9</v>
      </c>
      <c r="T1705">
        <v>5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3</v>
      </c>
      <c r="AB1705">
        <v>11</v>
      </c>
      <c r="AC1705">
        <v>0</v>
      </c>
    </row>
    <row r="1706" spans="1:29" x14ac:dyDescent="0.3">
      <c r="A1706">
        <v>7349</v>
      </c>
      <c r="B1706">
        <v>1973</v>
      </c>
      <c r="C1706" t="s">
        <v>36</v>
      </c>
      <c r="D1706" t="s">
        <v>31</v>
      </c>
      <c r="E1706">
        <v>9722</v>
      </c>
      <c r="F1706">
        <v>1</v>
      </c>
      <c r="G1706">
        <v>0</v>
      </c>
      <c r="H1706" s="1">
        <v>41184</v>
      </c>
      <c r="I1706">
        <v>7</v>
      </c>
      <c r="J1706">
        <v>6</v>
      </c>
      <c r="K1706">
        <v>17</v>
      </c>
      <c r="L1706">
        <v>16</v>
      </c>
      <c r="M1706">
        <v>6</v>
      </c>
      <c r="N1706">
        <v>16</v>
      </c>
      <c r="O1706">
        <v>42</v>
      </c>
      <c r="P1706">
        <v>4</v>
      </c>
      <c r="Q1706">
        <v>3</v>
      </c>
      <c r="R1706">
        <v>1</v>
      </c>
      <c r="S1706">
        <v>3</v>
      </c>
      <c r="T1706">
        <v>8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3</v>
      </c>
      <c r="AB1706">
        <v>11</v>
      </c>
      <c r="AC1706">
        <v>1</v>
      </c>
    </row>
    <row r="1707" spans="1:29" x14ac:dyDescent="0.3">
      <c r="A1707">
        <v>8799</v>
      </c>
      <c r="B1707">
        <v>1984</v>
      </c>
      <c r="C1707" t="s">
        <v>32</v>
      </c>
      <c r="D1707" t="s">
        <v>33</v>
      </c>
      <c r="E1707">
        <v>38175</v>
      </c>
      <c r="F1707">
        <v>1</v>
      </c>
      <c r="G1707">
        <v>0</v>
      </c>
      <c r="H1707" s="1">
        <v>41540</v>
      </c>
      <c r="I1707">
        <v>6</v>
      </c>
      <c r="J1707">
        <v>70</v>
      </c>
      <c r="K1707">
        <v>6</v>
      </c>
      <c r="L1707">
        <v>69</v>
      </c>
      <c r="M1707">
        <v>2</v>
      </c>
      <c r="N1707">
        <v>3</v>
      </c>
      <c r="O1707">
        <v>3</v>
      </c>
      <c r="P1707">
        <v>3</v>
      </c>
      <c r="Q1707">
        <v>3</v>
      </c>
      <c r="R1707">
        <v>1</v>
      </c>
      <c r="S1707">
        <v>4</v>
      </c>
      <c r="T1707">
        <v>7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3</v>
      </c>
      <c r="AB1707">
        <v>11</v>
      </c>
      <c r="AC1707">
        <v>0</v>
      </c>
    </row>
    <row r="1708" spans="1:29" x14ac:dyDescent="0.3">
      <c r="A1708">
        <v>1351</v>
      </c>
      <c r="B1708">
        <v>1956</v>
      </c>
      <c r="C1708" t="s">
        <v>34</v>
      </c>
      <c r="D1708" t="s">
        <v>31</v>
      </c>
      <c r="E1708">
        <v>58656</v>
      </c>
      <c r="F1708">
        <v>0</v>
      </c>
      <c r="G1708">
        <v>1</v>
      </c>
      <c r="H1708" s="1">
        <v>41172</v>
      </c>
      <c r="I1708">
        <v>25</v>
      </c>
      <c r="J1708">
        <v>962</v>
      </c>
      <c r="K1708">
        <v>12</v>
      </c>
      <c r="L1708">
        <v>194</v>
      </c>
      <c r="M1708">
        <v>16</v>
      </c>
      <c r="N1708">
        <v>24</v>
      </c>
      <c r="O1708">
        <v>12</v>
      </c>
      <c r="P1708">
        <v>4</v>
      </c>
      <c r="Q1708">
        <v>7</v>
      </c>
      <c r="R1708">
        <v>8</v>
      </c>
      <c r="S1708">
        <v>13</v>
      </c>
      <c r="T1708">
        <v>6</v>
      </c>
      <c r="U1708">
        <v>0</v>
      </c>
      <c r="V1708">
        <v>0</v>
      </c>
      <c r="W1708">
        <v>1</v>
      </c>
      <c r="X1708">
        <v>0</v>
      </c>
      <c r="Y1708">
        <v>0</v>
      </c>
      <c r="Z1708">
        <v>0</v>
      </c>
      <c r="AA1708">
        <v>3</v>
      </c>
      <c r="AB1708">
        <v>11</v>
      </c>
      <c r="AC1708">
        <v>0</v>
      </c>
    </row>
    <row r="1709" spans="1:29" x14ac:dyDescent="0.3">
      <c r="A1709">
        <v>1045</v>
      </c>
      <c r="B1709">
        <v>1965</v>
      </c>
      <c r="C1709" t="s">
        <v>29</v>
      </c>
      <c r="D1709" t="s">
        <v>31</v>
      </c>
      <c r="E1709">
        <v>52117</v>
      </c>
      <c r="F1709">
        <v>0</v>
      </c>
      <c r="G1709">
        <v>1</v>
      </c>
      <c r="H1709" s="1">
        <v>41137</v>
      </c>
      <c r="I1709">
        <v>55</v>
      </c>
      <c r="J1709">
        <v>112</v>
      </c>
      <c r="K1709">
        <v>10</v>
      </c>
      <c r="L1709">
        <v>107</v>
      </c>
      <c r="M1709">
        <v>30</v>
      </c>
      <c r="N1709">
        <v>0</v>
      </c>
      <c r="O1709">
        <v>20</v>
      </c>
      <c r="P1709">
        <v>2</v>
      </c>
      <c r="Q1709">
        <v>5</v>
      </c>
      <c r="R1709">
        <v>2</v>
      </c>
      <c r="S1709">
        <v>4</v>
      </c>
      <c r="T1709">
        <v>7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3</v>
      </c>
      <c r="AB1709">
        <v>11</v>
      </c>
      <c r="AC1709">
        <v>0</v>
      </c>
    </row>
    <row r="1710" spans="1:29" x14ac:dyDescent="0.3">
      <c r="A1710">
        <v>7732</v>
      </c>
      <c r="B1710">
        <v>1978</v>
      </c>
      <c r="C1710" t="s">
        <v>29</v>
      </c>
      <c r="D1710" t="s">
        <v>33</v>
      </c>
      <c r="E1710">
        <v>64813</v>
      </c>
      <c r="F1710">
        <v>1</v>
      </c>
      <c r="G1710">
        <v>0</v>
      </c>
      <c r="H1710" s="1">
        <v>41641</v>
      </c>
      <c r="I1710">
        <v>81</v>
      </c>
      <c r="J1710">
        <v>293</v>
      </c>
      <c r="K1710">
        <v>0</v>
      </c>
      <c r="L1710">
        <v>124</v>
      </c>
      <c r="M1710">
        <v>179</v>
      </c>
      <c r="N1710">
        <v>97</v>
      </c>
      <c r="O1710">
        <v>52</v>
      </c>
      <c r="P1710">
        <v>1</v>
      </c>
      <c r="Q1710">
        <v>7</v>
      </c>
      <c r="R1710">
        <v>2</v>
      </c>
      <c r="S1710">
        <v>10</v>
      </c>
      <c r="T1710">
        <v>5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3</v>
      </c>
      <c r="AB1710">
        <v>11</v>
      </c>
      <c r="AC1710">
        <v>0</v>
      </c>
    </row>
    <row r="1711" spans="1:29" x14ac:dyDescent="0.3">
      <c r="A1711">
        <v>8070</v>
      </c>
      <c r="B1711">
        <v>1973</v>
      </c>
      <c r="C1711" t="s">
        <v>32</v>
      </c>
      <c r="D1711" t="s">
        <v>33</v>
      </c>
      <c r="E1711">
        <v>54222</v>
      </c>
      <c r="F1711">
        <v>0</v>
      </c>
      <c r="G1711">
        <v>1</v>
      </c>
      <c r="H1711" s="1">
        <v>41699</v>
      </c>
      <c r="I1711">
        <v>98</v>
      </c>
      <c r="J1711">
        <v>199</v>
      </c>
      <c r="K1711">
        <v>12</v>
      </c>
      <c r="L1711">
        <v>31</v>
      </c>
      <c r="M1711">
        <v>3</v>
      </c>
      <c r="N1711">
        <v>12</v>
      </c>
      <c r="O1711">
        <v>7</v>
      </c>
      <c r="P1711">
        <v>1</v>
      </c>
      <c r="Q1711">
        <v>3</v>
      </c>
      <c r="R1711">
        <v>3</v>
      </c>
      <c r="S1711">
        <v>5</v>
      </c>
      <c r="T1711">
        <v>3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3</v>
      </c>
      <c r="AB1711">
        <v>11</v>
      </c>
      <c r="AC1711">
        <v>0</v>
      </c>
    </row>
    <row r="1712" spans="1:29" x14ac:dyDescent="0.3">
      <c r="A1712">
        <v>477</v>
      </c>
      <c r="B1712">
        <v>1986</v>
      </c>
      <c r="C1712" t="s">
        <v>29</v>
      </c>
      <c r="D1712" t="s">
        <v>33</v>
      </c>
      <c r="E1712">
        <v>83512</v>
      </c>
      <c r="F1712">
        <v>0</v>
      </c>
      <c r="G1712">
        <v>0</v>
      </c>
      <c r="H1712" s="1">
        <v>41807</v>
      </c>
      <c r="I1712">
        <v>31</v>
      </c>
      <c r="J1712">
        <v>1060</v>
      </c>
      <c r="K1712">
        <v>61</v>
      </c>
      <c r="L1712">
        <v>835</v>
      </c>
      <c r="M1712">
        <v>80</v>
      </c>
      <c r="N1712">
        <v>20</v>
      </c>
      <c r="O1712">
        <v>101</v>
      </c>
      <c r="P1712">
        <v>1</v>
      </c>
      <c r="Q1712">
        <v>4</v>
      </c>
      <c r="R1712">
        <v>7</v>
      </c>
      <c r="S1712">
        <v>10</v>
      </c>
      <c r="T1712">
        <v>1</v>
      </c>
      <c r="U1712">
        <v>1</v>
      </c>
      <c r="V1712">
        <v>0</v>
      </c>
      <c r="W1712">
        <v>1</v>
      </c>
      <c r="X1712">
        <v>1</v>
      </c>
      <c r="Y1712">
        <v>1</v>
      </c>
      <c r="Z1712">
        <v>0</v>
      </c>
      <c r="AA1712">
        <v>3</v>
      </c>
      <c r="AB1712">
        <v>11</v>
      </c>
      <c r="AC1712">
        <v>1</v>
      </c>
    </row>
    <row r="1713" spans="1:29" x14ac:dyDescent="0.3">
      <c r="A1713">
        <v>7832</v>
      </c>
      <c r="B1713">
        <v>1959</v>
      </c>
      <c r="C1713" t="s">
        <v>34</v>
      </c>
      <c r="D1713" t="s">
        <v>33</v>
      </c>
      <c r="E1713">
        <v>77520</v>
      </c>
      <c r="F1713">
        <v>0</v>
      </c>
      <c r="G1713">
        <v>1</v>
      </c>
      <c r="H1713" s="1">
        <v>41514</v>
      </c>
      <c r="I1713">
        <v>30</v>
      </c>
      <c r="J1713">
        <v>940</v>
      </c>
      <c r="K1713">
        <v>44</v>
      </c>
      <c r="L1713">
        <v>396</v>
      </c>
      <c r="M1713">
        <v>0</v>
      </c>
      <c r="N1713">
        <v>88</v>
      </c>
      <c r="O1713">
        <v>58</v>
      </c>
      <c r="P1713">
        <v>1</v>
      </c>
      <c r="Q1713">
        <v>8</v>
      </c>
      <c r="R1713">
        <v>7</v>
      </c>
      <c r="S1713">
        <v>7</v>
      </c>
      <c r="T1713">
        <v>4</v>
      </c>
      <c r="U1713">
        <v>1</v>
      </c>
      <c r="V1713">
        <v>0</v>
      </c>
      <c r="W1713">
        <v>1</v>
      </c>
      <c r="X1713">
        <v>1</v>
      </c>
      <c r="Y1713">
        <v>0</v>
      </c>
      <c r="Z1713">
        <v>0</v>
      </c>
      <c r="AA1713">
        <v>3</v>
      </c>
      <c r="AB1713">
        <v>11</v>
      </c>
      <c r="AC1713">
        <v>1</v>
      </c>
    </row>
    <row r="1714" spans="1:29" x14ac:dyDescent="0.3">
      <c r="A1714">
        <v>2202</v>
      </c>
      <c r="B1714">
        <v>1978</v>
      </c>
      <c r="C1714" t="s">
        <v>29</v>
      </c>
      <c r="D1714" t="s">
        <v>31</v>
      </c>
      <c r="E1714">
        <v>41154</v>
      </c>
      <c r="F1714">
        <v>0</v>
      </c>
      <c r="G1714">
        <v>1</v>
      </c>
      <c r="H1714" s="1">
        <v>41373</v>
      </c>
      <c r="I1714">
        <v>98</v>
      </c>
      <c r="J1714">
        <v>44</v>
      </c>
      <c r="K1714">
        <v>2</v>
      </c>
      <c r="L1714">
        <v>11</v>
      </c>
      <c r="M1714">
        <v>2</v>
      </c>
      <c r="N1714">
        <v>3</v>
      </c>
      <c r="O1714">
        <v>7</v>
      </c>
      <c r="P1714">
        <v>1</v>
      </c>
      <c r="Q1714">
        <v>1</v>
      </c>
      <c r="R1714">
        <v>0</v>
      </c>
      <c r="S1714">
        <v>4</v>
      </c>
      <c r="T1714">
        <v>5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3</v>
      </c>
      <c r="AB1714">
        <v>11</v>
      </c>
      <c r="AC1714">
        <v>0</v>
      </c>
    </row>
    <row r="1715" spans="1:29" x14ac:dyDescent="0.3">
      <c r="A1715">
        <v>7396</v>
      </c>
      <c r="B1715">
        <v>1966</v>
      </c>
      <c r="C1715" t="s">
        <v>29</v>
      </c>
      <c r="D1715" t="s">
        <v>33</v>
      </c>
      <c r="E1715">
        <v>80398</v>
      </c>
      <c r="F1715">
        <v>0</v>
      </c>
      <c r="G1715">
        <v>0</v>
      </c>
      <c r="H1715" s="1">
        <v>41223</v>
      </c>
      <c r="I1715">
        <v>92</v>
      </c>
      <c r="J1715">
        <v>342</v>
      </c>
      <c r="K1715">
        <v>51</v>
      </c>
      <c r="L1715">
        <v>936</v>
      </c>
      <c r="M1715">
        <v>207</v>
      </c>
      <c r="N1715">
        <v>35</v>
      </c>
      <c r="O1715">
        <v>26</v>
      </c>
      <c r="P1715">
        <v>1</v>
      </c>
      <c r="Q1715">
        <v>5</v>
      </c>
      <c r="R1715">
        <v>8</v>
      </c>
      <c r="S1715">
        <v>12</v>
      </c>
      <c r="T1715">
        <v>3</v>
      </c>
      <c r="U1715">
        <v>0</v>
      </c>
      <c r="V1715">
        <v>0</v>
      </c>
      <c r="W1715">
        <v>1</v>
      </c>
      <c r="X1715">
        <v>0</v>
      </c>
      <c r="Y1715">
        <v>0</v>
      </c>
      <c r="Z1715">
        <v>0</v>
      </c>
      <c r="AA1715">
        <v>3</v>
      </c>
      <c r="AB1715">
        <v>11</v>
      </c>
      <c r="AC1715">
        <v>0</v>
      </c>
    </row>
    <row r="1716" spans="1:29" x14ac:dyDescent="0.3">
      <c r="A1716">
        <v>4055</v>
      </c>
      <c r="B1716">
        <v>1992</v>
      </c>
      <c r="C1716" t="s">
        <v>36</v>
      </c>
      <c r="D1716" t="s">
        <v>30</v>
      </c>
      <c r="E1716">
        <v>18746</v>
      </c>
      <c r="F1716">
        <v>1</v>
      </c>
      <c r="G1716">
        <v>0</v>
      </c>
      <c r="H1716" s="1">
        <v>41788</v>
      </c>
      <c r="I1716">
        <v>41</v>
      </c>
      <c r="J1716">
        <v>2</v>
      </c>
      <c r="K1716">
        <v>10</v>
      </c>
      <c r="L1716">
        <v>11</v>
      </c>
      <c r="M1716">
        <v>12</v>
      </c>
      <c r="N1716">
        <v>9</v>
      </c>
      <c r="O1716">
        <v>20</v>
      </c>
      <c r="P1716">
        <v>2</v>
      </c>
      <c r="Q1716">
        <v>3</v>
      </c>
      <c r="R1716">
        <v>0</v>
      </c>
      <c r="S1716">
        <v>3</v>
      </c>
      <c r="T1716">
        <v>6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3</v>
      </c>
      <c r="AB1716">
        <v>11</v>
      </c>
      <c r="AC1716">
        <v>0</v>
      </c>
    </row>
    <row r="1717" spans="1:29" x14ac:dyDescent="0.3">
      <c r="A1717">
        <v>10340</v>
      </c>
      <c r="B1717">
        <v>1984</v>
      </c>
      <c r="C1717" t="s">
        <v>29</v>
      </c>
      <c r="D1717" t="s">
        <v>31</v>
      </c>
      <c r="E1717">
        <v>35196</v>
      </c>
      <c r="F1717">
        <v>1</v>
      </c>
      <c r="G1717">
        <v>0</v>
      </c>
      <c r="H1717" s="1">
        <v>41226</v>
      </c>
      <c r="I1717">
        <v>68</v>
      </c>
      <c r="J1717">
        <v>75</v>
      </c>
      <c r="K1717">
        <v>12</v>
      </c>
      <c r="L1717">
        <v>141</v>
      </c>
      <c r="M1717">
        <v>43</v>
      </c>
      <c r="N1717">
        <v>39</v>
      </c>
      <c r="O1717">
        <v>187</v>
      </c>
      <c r="P1717">
        <v>6</v>
      </c>
      <c r="Q1717">
        <v>6</v>
      </c>
      <c r="R1717">
        <v>1</v>
      </c>
      <c r="S1717">
        <v>5</v>
      </c>
      <c r="T1717">
        <v>8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3</v>
      </c>
      <c r="AB1717">
        <v>11</v>
      </c>
      <c r="AC1717">
        <v>0</v>
      </c>
    </row>
    <row r="1718" spans="1:29" x14ac:dyDescent="0.3">
      <c r="A1718">
        <v>10091</v>
      </c>
      <c r="B1718">
        <v>1956</v>
      </c>
      <c r="C1718" t="s">
        <v>29</v>
      </c>
      <c r="D1718" t="s">
        <v>30</v>
      </c>
      <c r="E1718">
        <v>60230</v>
      </c>
      <c r="F1718">
        <v>0</v>
      </c>
      <c r="G1718">
        <v>1</v>
      </c>
      <c r="H1718" s="1">
        <v>41414</v>
      </c>
      <c r="I1718">
        <v>78</v>
      </c>
      <c r="J1718">
        <v>520</v>
      </c>
      <c r="K1718">
        <v>20</v>
      </c>
      <c r="L1718">
        <v>367</v>
      </c>
      <c r="M1718">
        <v>39</v>
      </c>
      <c r="N1718">
        <v>81</v>
      </c>
      <c r="O1718">
        <v>40</v>
      </c>
      <c r="P1718">
        <v>2</v>
      </c>
      <c r="Q1718">
        <v>6</v>
      </c>
      <c r="R1718">
        <v>3</v>
      </c>
      <c r="S1718">
        <v>6</v>
      </c>
      <c r="T1718">
        <v>5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3</v>
      </c>
      <c r="AB1718">
        <v>11</v>
      </c>
      <c r="AC1718">
        <v>0</v>
      </c>
    </row>
    <row r="1719" spans="1:29" x14ac:dyDescent="0.3">
      <c r="A1719">
        <v>7629</v>
      </c>
      <c r="B1719">
        <v>1977</v>
      </c>
      <c r="C1719" t="s">
        <v>29</v>
      </c>
      <c r="D1719" t="s">
        <v>33</v>
      </c>
      <c r="E1719">
        <v>22108</v>
      </c>
      <c r="F1719">
        <v>1</v>
      </c>
      <c r="G1719">
        <v>1</v>
      </c>
      <c r="H1719" s="1">
        <v>41767</v>
      </c>
      <c r="I1719">
        <v>46</v>
      </c>
      <c r="J1719">
        <v>5</v>
      </c>
      <c r="K1719">
        <v>3</v>
      </c>
      <c r="L1719">
        <v>9</v>
      </c>
      <c r="M1719">
        <v>6</v>
      </c>
      <c r="N1719">
        <v>2</v>
      </c>
      <c r="O1719">
        <v>6</v>
      </c>
      <c r="P1719">
        <v>2</v>
      </c>
      <c r="Q1719">
        <v>2</v>
      </c>
      <c r="R1719">
        <v>0</v>
      </c>
      <c r="S1719">
        <v>3</v>
      </c>
      <c r="T1719">
        <v>7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3</v>
      </c>
      <c r="AB1719">
        <v>11</v>
      </c>
      <c r="AC1719">
        <v>0</v>
      </c>
    </row>
    <row r="1720" spans="1:29" x14ac:dyDescent="0.3">
      <c r="A1720">
        <v>10640</v>
      </c>
      <c r="B1720">
        <v>1974</v>
      </c>
      <c r="C1720" t="s">
        <v>29</v>
      </c>
      <c r="D1720" t="s">
        <v>31</v>
      </c>
      <c r="E1720">
        <v>44392</v>
      </c>
      <c r="F1720">
        <v>1</v>
      </c>
      <c r="G1720">
        <v>1</v>
      </c>
      <c r="H1720" s="1">
        <v>41522</v>
      </c>
      <c r="I1720">
        <v>71</v>
      </c>
      <c r="J1720">
        <v>87</v>
      </c>
      <c r="K1720">
        <v>5</v>
      </c>
      <c r="L1720">
        <v>71</v>
      </c>
      <c r="M1720">
        <v>7</v>
      </c>
      <c r="N1720">
        <v>12</v>
      </c>
      <c r="O1720">
        <v>29</v>
      </c>
      <c r="P1720">
        <v>5</v>
      </c>
      <c r="Q1720">
        <v>4</v>
      </c>
      <c r="R1720">
        <v>1</v>
      </c>
      <c r="S1720">
        <v>4</v>
      </c>
      <c r="T1720">
        <v>7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3</v>
      </c>
      <c r="AB1720">
        <v>11</v>
      </c>
      <c r="AC1720">
        <v>0</v>
      </c>
    </row>
    <row r="1721" spans="1:29" x14ac:dyDescent="0.3">
      <c r="A1721">
        <v>3498</v>
      </c>
      <c r="B1721">
        <v>1976</v>
      </c>
      <c r="C1721" t="s">
        <v>32</v>
      </c>
      <c r="D1721" t="s">
        <v>33</v>
      </c>
      <c r="E1721">
        <v>55424</v>
      </c>
      <c r="F1721">
        <v>0</v>
      </c>
      <c r="G1721">
        <v>1</v>
      </c>
      <c r="H1721" s="1">
        <v>41238</v>
      </c>
      <c r="I1721">
        <v>6</v>
      </c>
      <c r="J1721">
        <v>462</v>
      </c>
      <c r="K1721">
        <v>61</v>
      </c>
      <c r="L1721">
        <v>184</v>
      </c>
      <c r="M1721">
        <v>10</v>
      </c>
      <c r="N1721">
        <v>53</v>
      </c>
      <c r="O1721">
        <v>107</v>
      </c>
      <c r="P1721">
        <v>4</v>
      </c>
      <c r="Q1721">
        <v>7</v>
      </c>
      <c r="R1721">
        <v>5</v>
      </c>
      <c r="S1721">
        <v>9</v>
      </c>
      <c r="T1721">
        <v>6</v>
      </c>
      <c r="U1721">
        <v>1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3</v>
      </c>
      <c r="AB1721">
        <v>11</v>
      </c>
      <c r="AC1721">
        <v>1</v>
      </c>
    </row>
    <row r="1722" spans="1:29" x14ac:dyDescent="0.3">
      <c r="A1722">
        <v>6742</v>
      </c>
      <c r="B1722">
        <v>1979</v>
      </c>
      <c r="C1722" t="s">
        <v>29</v>
      </c>
      <c r="D1722" t="s">
        <v>33</v>
      </c>
      <c r="E1722">
        <v>17688</v>
      </c>
      <c r="F1722">
        <v>1</v>
      </c>
      <c r="G1722">
        <v>0</v>
      </c>
      <c r="H1722" s="1">
        <v>41287</v>
      </c>
      <c r="I1722">
        <v>82</v>
      </c>
      <c r="J1722">
        <v>2</v>
      </c>
      <c r="K1722">
        <v>2</v>
      </c>
      <c r="L1722">
        <v>1</v>
      </c>
      <c r="M1722">
        <v>3</v>
      </c>
      <c r="N1722">
        <v>1</v>
      </c>
      <c r="O1722">
        <v>2</v>
      </c>
      <c r="P1722">
        <v>1</v>
      </c>
      <c r="Q1722">
        <v>1</v>
      </c>
      <c r="R1722">
        <v>0</v>
      </c>
      <c r="S1722">
        <v>2</v>
      </c>
      <c r="T1722">
        <v>8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1</v>
      </c>
      <c r="AA1722">
        <v>3</v>
      </c>
      <c r="AB1722">
        <v>11</v>
      </c>
      <c r="AC1722">
        <v>0</v>
      </c>
    </row>
    <row r="1723" spans="1:29" x14ac:dyDescent="0.3">
      <c r="A1723">
        <v>1172</v>
      </c>
      <c r="B1723">
        <v>1983</v>
      </c>
      <c r="C1723" t="s">
        <v>32</v>
      </c>
      <c r="D1723" t="s">
        <v>33</v>
      </c>
      <c r="E1723">
        <v>92491</v>
      </c>
      <c r="F1723">
        <v>0</v>
      </c>
      <c r="G1723">
        <v>0</v>
      </c>
      <c r="H1723" s="1">
        <v>41395</v>
      </c>
      <c r="I1723">
        <v>71</v>
      </c>
      <c r="J1723">
        <v>979</v>
      </c>
      <c r="K1723">
        <v>44</v>
      </c>
      <c r="L1723">
        <v>935</v>
      </c>
      <c r="M1723">
        <v>29</v>
      </c>
      <c r="N1723">
        <v>25</v>
      </c>
      <c r="O1723">
        <v>22</v>
      </c>
      <c r="P1723">
        <v>1</v>
      </c>
      <c r="Q1723">
        <v>7</v>
      </c>
      <c r="R1723">
        <v>5</v>
      </c>
      <c r="S1723">
        <v>12</v>
      </c>
      <c r="T1723">
        <v>3</v>
      </c>
      <c r="U1723">
        <v>0</v>
      </c>
      <c r="V1723">
        <v>1</v>
      </c>
      <c r="W1723">
        <v>1</v>
      </c>
      <c r="X1723">
        <v>1</v>
      </c>
      <c r="Y1723">
        <v>0</v>
      </c>
      <c r="Z1723">
        <v>0</v>
      </c>
      <c r="AA1723">
        <v>3</v>
      </c>
      <c r="AB1723">
        <v>11</v>
      </c>
      <c r="AC1723">
        <v>1</v>
      </c>
    </row>
    <row r="1724" spans="1:29" x14ac:dyDescent="0.3">
      <c r="A1724">
        <v>569</v>
      </c>
      <c r="B1724">
        <v>1991</v>
      </c>
      <c r="C1724" t="s">
        <v>29</v>
      </c>
      <c r="D1724" t="s">
        <v>30</v>
      </c>
      <c r="E1724">
        <v>90273</v>
      </c>
      <c r="F1724">
        <v>0</v>
      </c>
      <c r="G1724">
        <v>0</v>
      </c>
      <c r="H1724" s="1">
        <v>41622</v>
      </c>
      <c r="I1724">
        <v>32</v>
      </c>
      <c r="J1724">
        <v>704</v>
      </c>
      <c r="K1724">
        <v>129</v>
      </c>
      <c r="L1724">
        <v>853</v>
      </c>
      <c r="M1724">
        <v>120</v>
      </c>
      <c r="N1724">
        <v>74</v>
      </c>
      <c r="O1724">
        <v>111</v>
      </c>
      <c r="P1724">
        <v>1</v>
      </c>
      <c r="Q1724">
        <v>5</v>
      </c>
      <c r="R1724">
        <v>6</v>
      </c>
      <c r="S1724">
        <v>7</v>
      </c>
      <c r="T1724">
        <v>2</v>
      </c>
      <c r="U1724">
        <v>0</v>
      </c>
      <c r="V1724">
        <v>1</v>
      </c>
      <c r="W1724">
        <v>1</v>
      </c>
      <c r="X1724">
        <v>1</v>
      </c>
      <c r="Y1724">
        <v>0</v>
      </c>
      <c r="Z1724">
        <v>0</v>
      </c>
      <c r="AA1724">
        <v>3</v>
      </c>
      <c r="AB1724">
        <v>11</v>
      </c>
      <c r="AC1724">
        <v>1</v>
      </c>
    </row>
    <row r="1725" spans="1:29" x14ac:dyDescent="0.3">
      <c r="A1725">
        <v>4686</v>
      </c>
      <c r="B1725">
        <v>1962</v>
      </c>
      <c r="C1725" t="s">
        <v>32</v>
      </c>
      <c r="D1725" t="s">
        <v>38</v>
      </c>
      <c r="E1725">
        <v>82571</v>
      </c>
      <c r="F1725">
        <v>0</v>
      </c>
      <c r="G1725">
        <v>0</v>
      </c>
      <c r="H1725" s="1">
        <v>41731</v>
      </c>
      <c r="I1725">
        <v>28</v>
      </c>
      <c r="J1725">
        <v>861</v>
      </c>
      <c r="K1725">
        <v>31</v>
      </c>
      <c r="L1725">
        <v>558</v>
      </c>
      <c r="M1725">
        <v>62</v>
      </c>
      <c r="N1725">
        <v>95</v>
      </c>
      <c r="O1725">
        <v>79</v>
      </c>
      <c r="P1725">
        <v>0</v>
      </c>
      <c r="Q1725">
        <v>6</v>
      </c>
      <c r="R1725">
        <v>5</v>
      </c>
      <c r="S1725">
        <v>13</v>
      </c>
      <c r="T1725">
        <v>2</v>
      </c>
      <c r="U1725">
        <v>0</v>
      </c>
      <c r="V1725">
        <v>0</v>
      </c>
      <c r="W1725">
        <v>1</v>
      </c>
      <c r="X1725">
        <v>0</v>
      </c>
      <c r="Y1725">
        <v>0</v>
      </c>
      <c r="Z1725">
        <v>0</v>
      </c>
      <c r="AA1725">
        <v>3</v>
      </c>
      <c r="AB1725">
        <v>11</v>
      </c>
      <c r="AC1725">
        <v>0</v>
      </c>
    </row>
    <row r="1726" spans="1:29" x14ac:dyDescent="0.3">
      <c r="A1726">
        <v>1381</v>
      </c>
      <c r="B1726">
        <v>1982</v>
      </c>
      <c r="C1726" t="s">
        <v>32</v>
      </c>
      <c r="D1726" t="s">
        <v>30</v>
      </c>
      <c r="E1726">
        <v>38513</v>
      </c>
      <c r="F1726">
        <v>1</v>
      </c>
      <c r="G1726">
        <v>0</v>
      </c>
      <c r="H1726" s="1">
        <v>41667</v>
      </c>
      <c r="I1726">
        <v>20</v>
      </c>
      <c r="J1726">
        <v>172</v>
      </c>
      <c r="K1726">
        <v>3</v>
      </c>
      <c r="L1726">
        <v>115</v>
      </c>
      <c r="M1726">
        <v>16</v>
      </c>
      <c r="N1726">
        <v>0</v>
      </c>
      <c r="O1726">
        <v>18</v>
      </c>
      <c r="P1726">
        <v>5</v>
      </c>
      <c r="Q1726">
        <v>6</v>
      </c>
      <c r="R1726">
        <v>1</v>
      </c>
      <c r="S1726">
        <v>5</v>
      </c>
      <c r="T1726">
        <v>8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3</v>
      </c>
      <c r="AB1726">
        <v>11</v>
      </c>
      <c r="AC1726">
        <v>1</v>
      </c>
    </row>
    <row r="1727" spans="1:29" x14ac:dyDescent="0.3">
      <c r="A1727">
        <v>2634</v>
      </c>
      <c r="B1727">
        <v>1979</v>
      </c>
      <c r="C1727" t="s">
        <v>34</v>
      </c>
      <c r="D1727" t="s">
        <v>30</v>
      </c>
      <c r="E1727">
        <v>16653</v>
      </c>
      <c r="F1727">
        <v>1</v>
      </c>
      <c r="G1727">
        <v>0</v>
      </c>
      <c r="H1727" s="1">
        <v>41747</v>
      </c>
      <c r="I1727">
        <v>10</v>
      </c>
      <c r="J1727">
        <v>5</v>
      </c>
      <c r="K1727">
        <v>7</v>
      </c>
      <c r="L1727">
        <v>31</v>
      </c>
      <c r="M1727">
        <v>15</v>
      </c>
      <c r="N1727">
        <v>4</v>
      </c>
      <c r="O1727">
        <v>7</v>
      </c>
      <c r="P1727">
        <v>3</v>
      </c>
      <c r="Q1727">
        <v>2</v>
      </c>
      <c r="R1727">
        <v>1</v>
      </c>
      <c r="S1727">
        <v>3</v>
      </c>
      <c r="T1727">
        <v>6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3</v>
      </c>
      <c r="AB1727">
        <v>11</v>
      </c>
      <c r="AC1727">
        <v>1</v>
      </c>
    </row>
    <row r="1728" spans="1:29" x14ac:dyDescent="0.3">
      <c r="A1728">
        <v>10905</v>
      </c>
      <c r="B1728">
        <v>1955</v>
      </c>
      <c r="C1728" t="s">
        <v>29</v>
      </c>
      <c r="D1728" t="s">
        <v>31</v>
      </c>
      <c r="E1728">
        <v>42586</v>
      </c>
      <c r="F1728">
        <v>1</v>
      </c>
      <c r="G1728">
        <v>1</v>
      </c>
      <c r="H1728" s="1">
        <v>41211</v>
      </c>
      <c r="I1728">
        <v>7</v>
      </c>
      <c r="J1728">
        <v>194</v>
      </c>
      <c r="K1728">
        <v>2</v>
      </c>
      <c r="L1728">
        <v>56</v>
      </c>
      <c r="M1728">
        <v>0</v>
      </c>
      <c r="N1728">
        <v>0</v>
      </c>
      <c r="O1728">
        <v>0</v>
      </c>
      <c r="P1728">
        <v>5</v>
      </c>
      <c r="Q1728">
        <v>4</v>
      </c>
      <c r="R1728">
        <v>1</v>
      </c>
      <c r="S1728">
        <v>6</v>
      </c>
      <c r="T1728">
        <v>8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3</v>
      </c>
      <c r="AB1728">
        <v>11</v>
      </c>
      <c r="AC1728">
        <v>1</v>
      </c>
    </row>
    <row r="1729" spans="1:29" x14ac:dyDescent="0.3">
      <c r="A1729">
        <v>1744</v>
      </c>
      <c r="B1729">
        <v>1965</v>
      </c>
      <c r="C1729" t="s">
        <v>36</v>
      </c>
      <c r="D1729" t="s">
        <v>30</v>
      </c>
      <c r="E1729">
        <v>23529</v>
      </c>
      <c r="F1729">
        <v>0</v>
      </c>
      <c r="G1729">
        <v>1</v>
      </c>
      <c r="H1729" s="1">
        <v>41281</v>
      </c>
      <c r="I1729">
        <v>67</v>
      </c>
      <c r="J1729">
        <v>9</v>
      </c>
      <c r="K1729">
        <v>7</v>
      </c>
      <c r="L1729">
        <v>13</v>
      </c>
      <c r="M1729">
        <v>3</v>
      </c>
      <c r="N1729">
        <v>2</v>
      </c>
      <c r="O1729">
        <v>20</v>
      </c>
      <c r="P1729">
        <v>1</v>
      </c>
      <c r="Q1729">
        <v>1</v>
      </c>
      <c r="R1729">
        <v>1</v>
      </c>
      <c r="S1729">
        <v>2</v>
      </c>
      <c r="T1729">
        <v>6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3</v>
      </c>
      <c r="AB1729">
        <v>11</v>
      </c>
      <c r="AC1729">
        <v>0</v>
      </c>
    </row>
    <row r="1730" spans="1:29" x14ac:dyDescent="0.3">
      <c r="A1730">
        <v>1000</v>
      </c>
      <c r="B1730">
        <v>1961</v>
      </c>
      <c r="C1730" t="s">
        <v>34</v>
      </c>
      <c r="D1730" t="s">
        <v>31</v>
      </c>
      <c r="E1730">
        <v>74881</v>
      </c>
      <c r="F1730">
        <v>1</v>
      </c>
      <c r="G1730">
        <v>1</v>
      </c>
      <c r="H1730" s="1">
        <v>41341</v>
      </c>
      <c r="I1730">
        <v>48</v>
      </c>
      <c r="J1730">
        <v>505</v>
      </c>
      <c r="K1730">
        <v>72</v>
      </c>
      <c r="L1730">
        <v>270</v>
      </c>
      <c r="M1730">
        <v>36</v>
      </c>
      <c r="N1730">
        <v>27</v>
      </c>
      <c r="O1730">
        <v>54</v>
      </c>
      <c r="P1730">
        <v>4</v>
      </c>
      <c r="Q1730">
        <v>9</v>
      </c>
      <c r="R1730">
        <v>2</v>
      </c>
      <c r="S1730">
        <v>12</v>
      </c>
      <c r="T1730">
        <v>5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3</v>
      </c>
      <c r="AB1730">
        <v>11</v>
      </c>
      <c r="AC1730">
        <v>0</v>
      </c>
    </row>
    <row r="1731" spans="1:29" x14ac:dyDescent="0.3">
      <c r="A1731">
        <v>3828</v>
      </c>
      <c r="B1731">
        <v>1951</v>
      </c>
      <c r="C1731" t="s">
        <v>29</v>
      </c>
      <c r="D1731" t="s">
        <v>33</v>
      </c>
      <c r="E1731">
        <v>71107</v>
      </c>
      <c r="F1731">
        <v>0</v>
      </c>
      <c r="G1731">
        <v>1</v>
      </c>
      <c r="H1731" s="1">
        <v>41322</v>
      </c>
      <c r="I1731">
        <v>61</v>
      </c>
      <c r="J1731">
        <v>533</v>
      </c>
      <c r="K1731">
        <v>10</v>
      </c>
      <c r="L1731">
        <v>217</v>
      </c>
      <c r="M1731">
        <v>198</v>
      </c>
      <c r="N1731">
        <v>174</v>
      </c>
      <c r="O1731">
        <v>195</v>
      </c>
      <c r="P1731">
        <v>2</v>
      </c>
      <c r="Q1731">
        <v>7</v>
      </c>
      <c r="R1731">
        <v>6</v>
      </c>
      <c r="S1731">
        <v>13</v>
      </c>
      <c r="T1731">
        <v>4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3</v>
      </c>
      <c r="AB1731">
        <v>11</v>
      </c>
      <c r="AC1731">
        <v>0</v>
      </c>
    </row>
    <row r="1732" spans="1:29" x14ac:dyDescent="0.3">
      <c r="A1732">
        <v>8605</v>
      </c>
      <c r="B1732">
        <v>1964</v>
      </c>
      <c r="C1732" t="s">
        <v>32</v>
      </c>
      <c r="D1732" t="s">
        <v>31</v>
      </c>
      <c r="E1732">
        <v>46910</v>
      </c>
      <c r="F1732">
        <v>1</v>
      </c>
      <c r="G1732">
        <v>1</v>
      </c>
      <c r="H1732" s="1">
        <v>41721</v>
      </c>
      <c r="I1732">
        <v>36</v>
      </c>
      <c r="J1732">
        <v>48</v>
      </c>
      <c r="K1732">
        <v>0</v>
      </c>
      <c r="L1732">
        <v>14</v>
      </c>
      <c r="M1732">
        <v>0</v>
      </c>
      <c r="N1732">
        <v>0</v>
      </c>
      <c r="O1732">
        <v>6</v>
      </c>
      <c r="P1732">
        <v>2</v>
      </c>
      <c r="Q1732">
        <v>2</v>
      </c>
      <c r="R1732">
        <v>0</v>
      </c>
      <c r="S1732">
        <v>3</v>
      </c>
      <c r="T1732">
        <v>6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3</v>
      </c>
      <c r="AB1732">
        <v>11</v>
      </c>
      <c r="AC1732">
        <v>0</v>
      </c>
    </row>
    <row r="1733" spans="1:29" x14ac:dyDescent="0.3">
      <c r="A1733">
        <v>10304</v>
      </c>
      <c r="B1733">
        <v>1959</v>
      </c>
      <c r="C1733" t="s">
        <v>29</v>
      </c>
      <c r="D1733" t="s">
        <v>33</v>
      </c>
      <c r="E1733">
        <v>18690</v>
      </c>
      <c r="F1733">
        <v>0</v>
      </c>
      <c r="G1733">
        <v>0</v>
      </c>
      <c r="H1733" s="1">
        <v>41271</v>
      </c>
      <c r="I1733">
        <v>77</v>
      </c>
      <c r="J1733">
        <v>6</v>
      </c>
      <c r="K1733">
        <v>1</v>
      </c>
      <c r="L1733">
        <v>7</v>
      </c>
      <c r="M1733">
        <v>23</v>
      </c>
      <c r="N1733">
        <v>4</v>
      </c>
      <c r="O1733">
        <v>19</v>
      </c>
      <c r="P1733">
        <v>1</v>
      </c>
      <c r="Q1733">
        <v>1</v>
      </c>
      <c r="R1733">
        <v>1</v>
      </c>
      <c r="S1733">
        <v>2</v>
      </c>
      <c r="T1733">
        <v>8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3</v>
      </c>
      <c r="AB1733">
        <v>11</v>
      </c>
      <c r="AC1733">
        <v>0</v>
      </c>
    </row>
    <row r="1734" spans="1:29" x14ac:dyDescent="0.3">
      <c r="A1734">
        <v>4351</v>
      </c>
      <c r="B1734">
        <v>1955</v>
      </c>
      <c r="C1734" t="s">
        <v>29</v>
      </c>
      <c r="D1734" t="s">
        <v>35</v>
      </c>
      <c r="E1734">
        <v>37244</v>
      </c>
      <c r="F1734">
        <v>1</v>
      </c>
      <c r="G1734">
        <v>1</v>
      </c>
      <c r="H1734" s="1">
        <v>41391</v>
      </c>
      <c r="I1734">
        <v>90</v>
      </c>
      <c r="J1734">
        <v>18</v>
      </c>
      <c r="K1734">
        <v>2</v>
      </c>
      <c r="L1734">
        <v>10</v>
      </c>
      <c r="M1734">
        <v>0</v>
      </c>
      <c r="N1734">
        <v>0</v>
      </c>
      <c r="O1734">
        <v>25</v>
      </c>
      <c r="P1734">
        <v>1</v>
      </c>
      <c r="Q1734">
        <v>1</v>
      </c>
      <c r="R1734">
        <v>1</v>
      </c>
      <c r="S1734">
        <v>2</v>
      </c>
      <c r="T1734">
        <v>7</v>
      </c>
      <c r="U1734">
        <v>1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3</v>
      </c>
      <c r="AB1734">
        <v>11</v>
      </c>
      <c r="AC1734">
        <v>0</v>
      </c>
    </row>
    <row r="1735" spans="1:29" x14ac:dyDescent="0.3">
      <c r="A1735">
        <v>10129</v>
      </c>
      <c r="B1735">
        <v>1966</v>
      </c>
      <c r="C1735" t="s">
        <v>29</v>
      </c>
      <c r="D1735" t="s">
        <v>31</v>
      </c>
      <c r="E1735">
        <v>82427</v>
      </c>
      <c r="F1735">
        <v>0</v>
      </c>
      <c r="G1735">
        <v>0</v>
      </c>
      <c r="H1735" s="1">
        <v>41710</v>
      </c>
      <c r="I1735">
        <v>35</v>
      </c>
      <c r="J1735">
        <v>482</v>
      </c>
      <c r="K1735">
        <v>147</v>
      </c>
      <c r="L1735">
        <v>509</v>
      </c>
      <c r="M1735">
        <v>104</v>
      </c>
      <c r="N1735">
        <v>107</v>
      </c>
      <c r="O1735">
        <v>107</v>
      </c>
      <c r="P1735">
        <v>1</v>
      </c>
      <c r="Q1735">
        <v>3</v>
      </c>
      <c r="R1735">
        <v>5</v>
      </c>
      <c r="S1735">
        <v>12</v>
      </c>
      <c r="T1735">
        <v>1</v>
      </c>
      <c r="U1735">
        <v>0</v>
      </c>
      <c r="V1735">
        <v>0</v>
      </c>
      <c r="W1735">
        <v>1</v>
      </c>
      <c r="X1735">
        <v>0</v>
      </c>
      <c r="Y1735">
        <v>0</v>
      </c>
      <c r="Z1735">
        <v>0</v>
      </c>
      <c r="AA1735">
        <v>3</v>
      </c>
      <c r="AB1735">
        <v>11</v>
      </c>
      <c r="AC1735">
        <v>0</v>
      </c>
    </row>
    <row r="1736" spans="1:29" x14ac:dyDescent="0.3">
      <c r="A1736">
        <v>2499</v>
      </c>
      <c r="B1736">
        <v>1958</v>
      </c>
      <c r="C1736" t="s">
        <v>37</v>
      </c>
      <c r="D1736" t="s">
        <v>30</v>
      </c>
      <c r="E1736">
        <v>75342</v>
      </c>
      <c r="F1736">
        <v>0</v>
      </c>
      <c r="G1736">
        <v>1</v>
      </c>
      <c r="H1736" s="1">
        <v>41400</v>
      </c>
      <c r="I1736">
        <v>38</v>
      </c>
      <c r="J1736">
        <v>204</v>
      </c>
      <c r="K1736">
        <v>97</v>
      </c>
      <c r="L1736">
        <v>97</v>
      </c>
      <c r="M1736">
        <v>21</v>
      </c>
      <c r="N1736">
        <v>118</v>
      </c>
      <c r="O1736">
        <v>26</v>
      </c>
      <c r="P1736">
        <v>1</v>
      </c>
      <c r="Q1736">
        <v>5</v>
      </c>
      <c r="R1736">
        <v>2</v>
      </c>
      <c r="S1736">
        <v>10</v>
      </c>
      <c r="T1736">
        <v>4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3</v>
      </c>
      <c r="AB1736">
        <v>11</v>
      </c>
      <c r="AC1736">
        <v>0</v>
      </c>
    </row>
    <row r="1737" spans="1:29" x14ac:dyDescent="0.3">
      <c r="A1737">
        <v>10092</v>
      </c>
      <c r="B1737">
        <v>1954</v>
      </c>
      <c r="C1737" t="s">
        <v>29</v>
      </c>
      <c r="D1737" t="s">
        <v>35</v>
      </c>
      <c r="E1737">
        <v>70044</v>
      </c>
      <c r="F1737">
        <v>0</v>
      </c>
      <c r="G1737">
        <v>1</v>
      </c>
      <c r="H1737" s="1">
        <v>41323</v>
      </c>
      <c r="I1737">
        <v>46</v>
      </c>
      <c r="J1737">
        <v>1073</v>
      </c>
      <c r="K1737">
        <v>0</v>
      </c>
      <c r="L1737">
        <v>250</v>
      </c>
      <c r="M1737">
        <v>153</v>
      </c>
      <c r="N1737">
        <v>14</v>
      </c>
      <c r="O1737">
        <v>14</v>
      </c>
      <c r="P1737">
        <v>4</v>
      </c>
      <c r="Q1737">
        <v>7</v>
      </c>
      <c r="R1737">
        <v>10</v>
      </c>
      <c r="S1737">
        <v>5</v>
      </c>
      <c r="T1737">
        <v>5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3</v>
      </c>
      <c r="AB1737">
        <v>11</v>
      </c>
      <c r="AC1737">
        <v>0</v>
      </c>
    </row>
    <row r="1738" spans="1:29" x14ac:dyDescent="0.3">
      <c r="A1738">
        <v>7500</v>
      </c>
      <c r="B1738">
        <v>1967</v>
      </c>
      <c r="C1738" t="s">
        <v>29</v>
      </c>
      <c r="D1738" t="s">
        <v>30</v>
      </c>
      <c r="E1738">
        <v>79146</v>
      </c>
      <c r="F1738">
        <v>1</v>
      </c>
      <c r="G1738">
        <v>1</v>
      </c>
      <c r="H1738" s="1">
        <v>41753</v>
      </c>
      <c r="I1738">
        <v>33</v>
      </c>
      <c r="J1738">
        <v>245</v>
      </c>
      <c r="K1738">
        <v>16</v>
      </c>
      <c r="L1738">
        <v>223</v>
      </c>
      <c r="M1738">
        <v>21</v>
      </c>
      <c r="N1738">
        <v>43</v>
      </c>
      <c r="O1738">
        <v>16</v>
      </c>
      <c r="P1738">
        <v>2</v>
      </c>
      <c r="Q1738">
        <v>8</v>
      </c>
      <c r="R1738">
        <v>1</v>
      </c>
      <c r="S1738">
        <v>8</v>
      </c>
      <c r="T1738">
        <v>6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3</v>
      </c>
      <c r="AB1738">
        <v>11</v>
      </c>
      <c r="AC1738">
        <v>0</v>
      </c>
    </row>
    <row r="1739" spans="1:29" x14ac:dyDescent="0.3">
      <c r="A1739">
        <v>5796</v>
      </c>
      <c r="B1739">
        <v>1963</v>
      </c>
      <c r="C1739" t="s">
        <v>29</v>
      </c>
      <c r="D1739" t="s">
        <v>33</v>
      </c>
      <c r="E1739">
        <v>77437</v>
      </c>
      <c r="F1739">
        <v>0</v>
      </c>
      <c r="G1739">
        <v>0</v>
      </c>
      <c r="H1739" s="1">
        <v>41604</v>
      </c>
      <c r="I1739">
        <v>70</v>
      </c>
      <c r="J1739">
        <v>560</v>
      </c>
      <c r="K1739">
        <v>21</v>
      </c>
      <c r="L1739">
        <v>442</v>
      </c>
      <c r="M1739">
        <v>29</v>
      </c>
      <c r="N1739">
        <v>44</v>
      </c>
      <c r="O1739">
        <v>29</v>
      </c>
      <c r="P1739">
        <v>1</v>
      </c>
      <c r="Q1739">
        <v>4</v>
      </c>
      <c r="R1739">
        <v>5</v>
      </c>
      <c r="S1739">
        <v>13</v>
      </c>
      <c r="T1739">
        <v>1</v>
      </c>
      <c r="U1739">
        <v>0</v>
      </c>
      <c r="V1739">
        <v>0</v>
      </c>
      <c r="W1739">
        <v>1</v>
      </c>
      <c r="X1739">
        <v>0</v>
      </c>
      <c r="Y1739">
        <v>0</v>
      </c>
      <c r="Z1739">
        <v>0</v>
      </c>
      <c r="AA1739">
        <v>3</v>
      </c>
      <c r="AB1739">
        <v>11</v>
      </c>
      <c r="AC1739">
        <v>0</v>
      </c>
    </row>
    <row r="1740" spans="1:29" x14ac:dyDescent="0.3">
      <c r="A1740">
        <v>10556</v>
      </c>
      <c r="B1740">
        <v>1959</v>
      </c>
      <c r="C1740" t="s">
        <v>29</v>
      </c>
      <c r="D1740" t="s">
        <v>33</v>
      </c>
      <c r="E1740">
        <v>54984</v>
      </c>
      <c r="F1740">
        <v>0</v>
      </c>
      <c r="G1740">
        <v>1</v>
      </c>
      <c r="H1740" s="1">
        <v>41783</v>
      </c>
      <c r="I1740">
        <v>51</v>
      </c>
      <c r="J1740">
        <v>173</v>
      </c>
      <c r="K1740">
        <v>13</v>
      </c>
      <c r="L1740">
        <v>131</v>
      </c>
      <c r="M1740">
        <v>32</v>
      </c>
      <c r="N1740">
        <v>3</v>
      </c>
      <c r="O1740">
        <v>6</v>
      </c>
      <c r="P1740">
        <v>4</v>
      </c>
      <c r="Q1740">
        <v>6</v>
      </c>
      <c r="R1740">
        <v>1</v>
      </c>
      <c r="S1740">
        <v>6</v>
      </c>
      <c r="T1740">
        <v>7</v>
      </c>
      <c r="U1740">
        <v>0</v>
      </c>
      <c r="V1740">
        <v>0</v>
      </c>
      <c r="W1740">
        <v>0</v>
      </c>
      <c r="X1740">
        <v>1</v>
      </c>
      <c r="Y1740">
        <v>0</v>
      </c>
      <c r="Z1740">
        <v>0</v>
      </c>
      <c r="AA1740">
        <v>3</v>
      </c>
      <c r="AB1740">
        <v>11</v>
      </c>
      <c r="AC1740">
        <v>0</v>
      </c>
    </row>
    <row r="1741" spans="1:29" x14ac:dyDescent="0.3">
      <c r="A1741">
        <v>1064</v>
      </c>
      <c r="B1741">
        <v>1971</v>
      </c>
      <c r="C1741" t="s">
        <v>32</v>
      </c>
      <c r="D1741" t="s">
        <v>33</v>
      </c>
      <c r="E1741">
        <v>42403</v>
      </c>
      <c r="F1741">
        <v>1</v>
      </c>
      <c r="G1741">
        <v>0</v>
      </c>
      <c r="H1741" s="1">
        <v>41619</v>
      </c>
      <c r="I1741">
        <v>18</v>
      </c>
      <c r="J1741">
        <v>22</v>
      </c>
      <c r="K1741">
        <v>1</v>
      </c>
      <c r="L1741">
        <v>11</v>
      </c>
      <c r="M1741">
        <v>0</v>
      </c>
      <c r="N1741">
        <v>5</v>
      </c>
      <c r="O1741">
        <v>3</v>
      </c>
      <c r="P1741">
        <v>1</v>
      </c>
      <c r="Q1741">
        <v>1</v>
      </c>
      <c r="R1741">
        <v>0</v>
      </c>
      <c r="S1741">
        <v>3</v>
      </c>
      <c r="T1741">
        <v>8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3</v>
      </c>
      <c r="AB1741">
        <v>11</v>
      </c>
      <c r="AC1741">
        <v>0</v>
      </c>
    </row>
    <row r="1742" spans="1:29" x14ac:dyDescent="0.3">
      <c r="A1742">
        <v>48</v>
      </c>
      <c r="B1742">
        <v>1964</v>
      </c>
      <c r="C1742" t="s">
        <v>29</v>
      </c>
      <c r="D1742" t="s">
        <v>31</v>
      </c>
      <c r="E1742">
        <v>55761</v>
      </c>
      <c r="F1742">
        <v>0</v>
      </c>
      <c r="G1742">
        <v>1</v>
      </c>
      <c r="H1742" s="1">
        <v>41753</v>
      </c>
      <c r="I1742">
        <v>97</v>
      </c>
      <c r="J1742">
        <v>136</v>
      </c>
      <c r="K1742">
        <v>1</v>
      </c>
      <c r="L1742">
        <v>12</v>
      </c>
      <c r="M1742">
        <v>0</v>
      </c>
      <c r="N1742">
        <v>3</v>
      </c>
      <c r="O1742">
        <v>32</v>
      </c>
      <c r="P1742">
        <v>2</v>
      </c>
      <c r="Q1742">
        <v>4</v>
      </c>
      <c r="R1742">
        <v>1</v>
      </c>
      <c r="S1742">
        <v>3</v>
      </c>
      <c r="T1742">
        <v>6</v>
      </c>
      <c r="U1742">
        <v>0</v>
      </c>
      <c r="V1742">
        <v>1</v>
      </c>
      <c r="W1742">
        <v>0</v>
      </c>
      <c r="X1742">
        <v>0</v>
      </c>
      <c r="Y1742">
        <v>0</v>
      </c>
      <c r="Z1742">
        <v>0</v>
      </c>
      <c r="AA1742">
        <v>3</v>
      </c>
      <c r="AB1742">
        <v>11</v>
      </c>
      <c r="AC1742">
        <v>0</v>
      </c>
    </row>
    <row r="1743" spans="1:29" x14ac:dyDescent="0.3">
      <c r="A1743">
        <v>7610</v>
      </c>
      <c r="B1743">
        <v>1983</v>
      </c>
      <c r="C1743" t="s">
        <v>29</v>
      </c>
      <c r="D1743" t="s">
        <v>31</v>
      </c>
      <c r="E1743">
        <v>37292</v>
      </c>
      <c r="F1743">
        <v>1</v>
      </c>
      <c r="G1743">
        <v>0</v>
      </c>
      <c r="H1743" s="1">
        <v>41382</v>
      </c>
      <c r="I1743">
        <v>32</v>
      </c>
      <c r="J1743">
        <v>275</v>
      </c>
      <c r="K1743">
        <v>0</v>
      </c>
      <c r="L1743">
        <v>86</v>
      </c>
      <c r="M1743">
        <v>10</v>
      </c>
      <c r="N1743">
        <v>23</v>
      </c>
      <c r="O1743">
        <v>66</v>
      </c>
      <c r="P1743">
        <v>5</v>
      </c>
      <c r="Q1743">
        <v>6</v>
      </c>
      <c r="R1743">
        <v>3</v>
      </c>
      <c r="S1743">
        <v>5</v>
      </c>
      <c r="T1743">
        <v>8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3</v>
      </c>
      <c r="AB1743">
        <v>11</v>
      </c>
      <c r="AC1743">
        <v>0</v>
      </c>
    </row>
    <row r="1744" spans="1:29" x14ac:dyDescent="0.3">
      <c r="A1744">
        <v>263</v>
      </c>
      <c r="B1744">
        <v>1945</v>
      </c>
      <c r="C1744" t="s">
        <v>32</v>
      </c>
      <c r="D1744" t="s">
        <v>30</v>
      </c>
      <c r="E1744">
        <v>45576</v>
      </c>
      <c r="F1744">
        <v>0</v>
      </c>
      <c r="G1744">
        <v>0</v>
      </c>
      <c r="H1744" s="1">
        <v>41787</v>
      </c>
      <c r="I1744">
        <v>9</v>
      </c>
      <c r="J1744">
        <v>56</v>
      </c>
      <c r="K1744">
        <v>19</v>
      </c>
      <c r="L1744">
        <v>29</v>
      </c>
      <c r="M1744">
        <v>2</v>
      </c>
      <c r="N1744">
        <v>14</v>
      </c>
      <c r="O1744">
        <v>25</v>
      </c>
      <c r="P1744">
        <v>1</v>
      </c>
      <c r="Q1744">
        <v>3</v>
      </c>
      <c r="R1744">
        <v>1</v>
      </c>
      <c r="S1744">
        <v>3</v>
      </c>
      <c r="T1744">
        <v>8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3</v>
      </c>
      <c r="AB1744">
        <v>11</v>
      </c>
      <c r="AC1744">
        <v>1</v>
      </c>
    </row>
    <row r="1745" spans="1:29" x14ac:dyDescent="0.3">
      <c r="A1745">
        <v>10814</v>
      </c>
      <c r="B1745">
        <v>1947</v>
      </c>
      <c r="C1745" t="s">
        <v>29</v>
      </c>
      <c r="D1745" t="s">
        <v>31</v>
      </c>
      <c r="E1745">
        <v>70321</v>
      </c>
      <c r="F1745">
        <v>0</v>
      </c>
      <c r="G1745">
        <v>0</v>
      </c>
      <c r="H1745" s="1">
        <v>41290</v>
      </c>
      <c r="I1745">
        <v>6</v>
      </c>
      <c r="J1745">
        <v>303</v>
      </c>
      <c r="K1745">
        <v>23</v>
      </c>
      <c r="L1745">
        <v>751</v>
      </c>
      <c r="M1745">
        <v>82</v>
      </c>
      <c r="N1745">
        <v>26</v>
      </c>
      <c r="O1745">
        <v>191</v>
      </c>
      <c r="P1745">
        <v>1</v>
      </c>
      <c r="Q1745">
        <v>6</v>
      </c>
      <c r="R1745">
        <v>5</v>
      </c>
      <c r="S1745">
        <v>13</v>
      </c>
      <c r="T1745">
        <v>4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3</v>
      </c>
      <c r="AB1745">
        <v>11</v>
      </c>
      <c r="AC1745">
        <v>1</v>
      </c>
    </row>
    <row r="1746" spans="1:29" x14ac:dyDescent="0.3">
      <c r="A1746">
        <v>9710</v>
      </c>
      <c r="B1746">
        <v>1969</v>
      </c>
      <c r="C1746" t="s">
        <v>32</v>
      </c>
      <c r="D1746" t="s">
        <v>35</v>
      </c>
      <c r="E1746">
        <v>58086</v>
      </c>
      <c r="F1746">
        <v>0</v>
      </c>
      <c r="G1746">
        <v>1</v>
      </c>
      <c r="H1746" s="1">
        <v>41294</v>
      </c>
      <c r="I1746">
        <v>80</v>
      </c>
      <c r="J1746">
        <v>708</v>
      </c>
      <c r="K1746">
        <v>7</v>
      </c>
      <c r="L1746">
        <v>62</v>
      </c>
      <c r="M1746">
        <v>0</v>
      </c>
      <c r="N1746">
        <v>0</v>
      </c>
      <c r="O1746">
        <v>15</v>
      </c>
      <c r="P1746">
        <v>2</v>
      </c>
      <c r="Q1746">
        <v>11</v>
      </c>
      <c r="R1746">
        <v>3</v>
      </c>
      <c r="S1746">
        <v>7</v>
      </c>
      <c r="T1746">
        <v>8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3</v>
      </c>
      <c r="AB1746">
        <v>11</v>
      </c>
      <c r="AC1746">
        <v>0</v>
      </c>
    </row>
    <row r="1747" spans="1:29" x14ac:dyDescent="0.3">
      <c r="A1747">
        <v>9292</v>
      </c>
      <c r="B1747">
        <v>1952</v>
      </c>
      <c r="C1747" t="s">
        <v>29</v>
      </c>
      <c r="D1747" t="s">
        <v>33</v>
      </c>
      <c r="E1747">
        <v>81795</v>
      </c>
      <c r="F1747">
        <v>0</v>
      </c>
      <c r="G1747">
        <v>0</v>
      </c>
      <c r="H1747" s="1">
        <v>41208</v>
      </c>
      <c r="I1747">
        <v>74</v>
      </c>
      <c r="J1747">
        <v>324</v>
      </c>
      <c r="K1747">
        <v>132</v>
      </c>
      <c r="L1747">
        <v>693</v>
      </c>
      <c r="M1747">
        <v>27</v>
      </c>
      <c r="N1747">
        <v>118</v>
      </c>
      <c r="O1747">
        <v>88</v>
      </c>
      <c r="P1747">
        <v>1</v>
      </c>
      <c r="Q1747">
        <v>4</v>
      </c>
      <c r="R1747">
        <v>11</v>
      </c>
      <c r="S1747">
        <v>7</v>
      </c>
      <c r="T1747">
        <v>2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3</v>
      </c>
      <c r="AB1747">
        <v>11</v>
      </c>
      <c r="AC1747">
        <v>0</v>
      </c>
    </row>
    <row r="1748" spans="1:29" x14ac:dyDescent="0.3">
      <c r="A1748">
        <v>10250</v>
      </c>
      <c r="B1748">
        <v>1947</v>
      </c>
      <c r="C1748" t="s">
        <v>36</v>
      </c>
      <c r="D1748" t="s">
        <v>31</v>
      </c>
      <c r="E1748">
        <v>28389</v>
      </c>
      <c r="F1748">
        <v>0</v>
      </c>
      <c r="G1748">
        <v>0</v>
      </c>
      <c r="H1748" s="1">
        <v>41233</v>
      </c>
      <c r="I1748">
        <v>49</v>
      </c>
      <c r="J1748">
        <v>1</v>
      </c>
      <c r="K1748">
        <v>5</v>
      </c>
      <c r="L1748">
        <v>3</v>
      </c>
      <c r="M1748">
        <v>7</v>
      </c>
      <c r="N1748">
        <v>4</v>
      </c>
      <c r="O1748">
        <v>8</v>
      </c>
      <c r="P1748">
        <v>1</v>
      </c>
      <c r="Q1748">
        <v>1</v>
      </c>
      <c r="R1748">
        <v>0</v>
      </c>
      <c r="S1748">
        <v>2</v>
      </c>
      <c r="T1748">
        <v>7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3</v>
      </c>
      <c r="AB1748">
        <v>11</v>
      </c>
      <c r="AC1748">
        <v>0</v>
      </c>
    </row>
    <row r="1749" spans="1:29" x14ac:dyDescent="0.3">
      <c r="A1749">
        <v>7881</v>
      </c>
      <c r="B1749">
        <v>1946</v>
      </c>
      <c r="C1749" t="s">
        <v>34</v>
      </c>
      <c r="D1749" t="s">
        <v>33</v>
      </c>
      <c r="E1749">
        <v>66835</v>
      </c>
      <c r="F1749">
        <v>0</v>
      </c>
      <c r="G1749">
        <v>0</v>
      </c>
      <c r="H1749" s="1">
        <v>41545</v>
      </c>
      <c r="I1749">
        <v>21</v>
      </c>
      <c r="J1749">
        <v>620</v>
      </c>
      <c r="K1749">
        <v>26</v>
      </c>
      <c r="L1749">
        <v>195</v>
      </c>
      <c r="M1749">
        <v>34</v>
      </c>
      <c r="N1749">
        <v>17</v>
      </c>
      <c r="O1749">
        <v>141</v>
      </c>
      <c r="P1749">
        <v>1</v>
      </c>
      <c r="Q1749">
        <v>6</v>
      </c>
      <c r="R1749">
        <v>4</v>
      </c>
      <c r="S1749">
        <v>13</v>
      </c>
      <c r="T1749">
        <v>2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3</v>
      </c>
      <c r="AB1749">
        <v>11</v>
      </c>
      <c r="AC1749">
        <v>0</v>
      </c>
    </row>
    <row r="1750" spans="1:29" x14ac:dyDescent="0.3">
      <c r="A1750">
        <v>5847</v>
      </c>
      <c r="B1750">
        <v>1969</v>
      </c>
      <c r="C1750" t="s">
        <v>29</v>
      </c>
      <c r="D1750" t="s">
        <v>35</v>
      </c>
      <c r="E1750">
        <v>69901</v>
      </c>
      <c r="F1750">
        <v>0</v>
      </c>
      <c r="G1750">
        <v>1</v>
      </c>
      <c r="H1750" s="1">
        <v>41423</v>
      </c>
      <c r="I1750">
        <v>95</v>
      </c>
      <c r="J1750">
        <v>312</v>
      </c>
      <c r="K1750">
        <v>21</v>
      </c>
      <c r="L1750">
        <v>206</v>
      </c>
      <c r="M1750">
        <v>102</v>
      </c>
      <c r="N1750">
        <v>92</v>
      </c>
      <c r="O1750">
        <v>149</v>
      </c>
      <c r="P1750">
        <v>3</v>
      </c>
      <c r="Q1750">
        <v>7</v>
      </c>
      <c r="R1750">
        <v>3</v>
      </c>
      <c r="S1750">
        <v>10</v>
      </c>
      <c r="T1750">
        <v>5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3</v>
      </c>
      <c r="AB1750">
        <v>11</v>
      </c>
      <c r="AC1750">
        <v>0</v>
      </c>
    </row>
    <row r="1751" spans="1:29" x14ac:dyDescent="0.3">
      <c r="A1751">
        <v>737</v>
      </c>
      <c r="B1751">
        <v>1949</v>
      </c>
      <c r="C1751" t="s">
        <v>32</v>
      </c>
      <c r="D1751" t="s">
        <v>33</v>
      </c>
      <c r="E1751">
        <v>80360</v>
      </c>
      <c r="F1751">
        <v>0</v>
      </c>
      <c r="G1751">
        <v>0</v>
      </c>
      <c r="H1751" s="1">
        <v>41336</v>
      </c>
      <c r="I1751">
        <v>56</v>
      </c>
      <c r="J1751">
        <v>1493</v>
      </c>
      <c r="K1751">
        <v>86</v>
      </c>
      <c r="L1751">
        <v>454</v>
      </c>
      <c r="M1751">
        <v>112</v>
      </c>
      <c r="N1751">
        <v>43</v>
      </c>
      <c r="O1751">
        <v>43</v>
      </c>
      <c r="P1751">
        <v>2</v>
      </c>
      <c r="Q1751">
        <v>4</v>
      </c>
      <c r="R1751">
        <v>4</v>
      </c>
      <c r="S1751">
        <v>5</v>
      </c>
      <c r="T1751">
        <v>2</v>
      </c>
      <c r="U1751">
        <v>0</v>
      </c>
      <c r="V1751">
        <v>1</v>
      </c>
      <c r="W1751">
        <v>1</v>
      </c>
      <c r="X1751">
        <v>1</v>
      </c>
      <c r="Y1751">
        <v>0</v>
      </c>
      <c r="Z1751">
        <v>0</v>
      </c>
      <c r="AA1751">
        <v>3</v>
      </c>
      <c r="AB1751">
        <v>11</v>
      </c>
      <c r="AC1751">
        <v>0</v>
      </c>
    </row>
    <row r="1752" spans="1:29" x14ac:dyDescent="0.3">
      <c r="A1752">
        <v>3571</v>
      </c>
      <c r="B1752">
        <v>1961</v>
      </c>
      <c r="C1752" t="s">
        <v>32</v>
      </c>
      <c r="D1752" t="s">
        <v>31</v>
      </c>
      <c r="E1752">
        <v>63342</v>
      </c>
      <c r="F1752">
        <v>0</v>
      </c>
      <c r="G1752">
        <v>1</v>
      </c>
      <c r="H1752" s="1">
        <v>41198</v>
      </c>
      <c r="I1752">
        <v>48</v>
      </c>
      <c r="J1752">
        <v>918</v>
      </c>
      <c r="K1752">
        <v>21</v>
      </c>
      <c r="L1752">
        <v>118</v>
      </c>
      <c r="M1752">
        <v>13</v>
      </c>
      <c r="N1752">
        <v>10</v>
      </c>
      <c r="O1752">
        <v>21</v>
      </c>
      <c r="P1752">
        <v>3</v>
      </c>
      <c r="Q1752">
        <v>8</v>
      </c>
      <c r="R1752">
        <v>3</v>
      </c>
      <c r="S1752">
        <v>5</v>
      </c>
      <c r="T1752">
        <v>6</v>
      </c>
      <c r="U1752">
        <v>0</v>
      </c>
      <c r="V1752">
        <v>1</v>
      </c>
      <c r="W1752">
        <v>0</v>
      </c>
      <c r="X1752">
        <v>0</v>
      </c>
      <c r="Y1752">
        <v>0</v>
      </c>
      <c r="Z1752">
        <v>0</v>
      </c>
      <c r="AA1752">
        <v>3</v>
      </c>
      <c r="AB1752">
        <v>11</v>
      </c>
      <c r="AC1752">
        <v>1</v>
      </c>
    </row>
    <row r="1753" spans="1:29" x14ac:dyDescent="0.3">
      <c r="A1753">
        <v>7807</v>
      </c>
      <c r="B1753">
        <v>1974</v>
      </c>
      <c r="C1753" t="s">
        <v>29</v>
      </c>
      <c r="D1753" t="s">
        <v>33</v>
      </c>
      <c r="E1753">
        <v>44989</v>
      </c>
      <c r="F1753">
        <v>0</v>
      </c>
      <c r="G1753">
        <v>1</v>
      </c>
      <c r="H1753" s="1">
        <v>41164</v>
      </c>
      <c r="I1753">
        <v>26</v>
      </c>
      <c r="J1753">
        <v>98</v>
      </c>
      <c r="K1753">
        <v>0</v>
      </c>
      <c r="L1753">
        <v>106</v>
      </c>
      <c r="M1753">
        <v>49</v>
      </c>
      <c r="N1753">
        <v>10</v>
      </c>
      <c r="O1753">
        <v>106</v>
      </c>
      <c r="P1753">
        <v>5</v>
      </c>
      <c r="Q1753">
        <v>5</v>
      </c>
      <c r="R1753">
        <v>1</v>
      </c>
      <c r="S1753">
        <v>5</v>
      </c>
      <c r="T1753">
        <v>6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3</v>
      </c>
      <c r="AB1753">
        <v>11</v>
      </c>
      <c r="AC1753">
        <v>0</v>
      </c>
    </row>
    <row r="1754" spans="1:29" x14ac:dyDescent="0.3">
      <c r="A1754">
        <v>3878</v>
      </c>
      <c r="B1754">
        <v>1980</v>
      </c>
      <c r="C1754" t="s">
        <v>37</v>
      </c>
      <c r="D1754" t="s">
        <v>30</v>
      </c>
      <c r="E1754">
        <v>31859</v>
      </c>
      <c r="F1754">
        <v>1</v>
      </c>
      <c r="G1754">
        <v>0</v>
      </c>
      <c r="H1754" s="1">
        <v>41697</v>
      </c>
      <c r="I1754">
        <v>3</v>
      </c>
      <c r="J1754">
        <v>3</v>
      </c>
      <c r="K1754">
        <v>4</v>
      </c>
      <c r="L1754">
        <v>7</v>
      </c>
      <c r="M1754">
        <v>15</v>
      </c>
      <c r="N1754">
        <v>8</v>
      </c>
      <c r="O1754">
        <v>11</v>
      </c>
      <c r="P1754">
        <v>1</v>
      </c>
      <c r="Q1754">
        <v>1</v>
      </c>
      <c r="R1754">
        <v>0</v>
      </c>
      <c r="S1754">
        <v>3</v>
      </c>
      <c r="T1754">
        <v>7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3</v>
      </c>
      <c r="AB1754">
        <v>11</v>
      </c>
      <c r="AC1754">
        <v>0</v>
      </c>
    </row>
    <row r="1755" spans="1:29" x14ac:dyDescent="0.3">
      <c r="A1755">
        <v>5092</v>
      </c>
      <c r="B1755">
        <v>1949</v>
      </c>
      <c r="C1755" t="s">
        <v>32</v>
      </c>
      <c r="D1755" t="s">
        <v>38</v>
      </c>
      <c r="E1755">
        <v>51569</v>
      </c>
      <c r="F1755">
        <v>0</v>
      </c>
      <c r="G1755">
        <v>1</v>
      </c>
      <c r="H1755" s="1">
        <v>41317</v>
      </c>
      <c r="I1755">
        <v>39</v>
      </c>
      <c r="J1755">
        <v>380</v>
      </c>
      <c r="K1755">
        <v>0</v>
      </c>
      <c r="L1755">
        <v>47</v>
      </c>
      <c r="M1755">
        <v>6</v>
      </c>
      <c r="N1755">
        <v>0</v>
      </c>
      <c r="O1755">
        <v>34</v>
      </c>
      <c r="P1755">
        <v>4</v>
      </c>
      <c r="Q1755">
        <v>7</v>
      </c>
      <c r="R1755">
        <v>1</v>
      </c>
      <c r="S1755">
        <v>7</v>
      </c>
      <c r="T1755">
        <v>8</v>
      </c>
      <c r="U1755">
        <v>0</v>
      </c>
      <c r="V1755">
        <v>1</v>
      </c>
      <c r="W1755">
        <v>0</v>
      </c>
      <c r="X1755">
        <v>0</v>
      </c>
      <c r="Y1755">
        <v>0</v>
      </c>
      <c r="Z1755">
        <v>0</v>
      </c>
      <c r="AA1755">
        <v>3</v>
      </c>
      <c r="AB1755">
        <v>11</v>
      </c>
      <c r="AC1755">
        <v>1</v>
      </c>
    </row>
    <row r="1756" spans="1:29" x14ac:dyDescent="0.3">
      <c r="A1756">
        <v>2154</v>
      </c>
      <c r="B1756">
        <v>1971</v>
      </c>
      <c r="C1756" t="s">
        <v>29</v>
      </c>
      <c r="D1756" t="s">
        <v>38</v>
      </c>
      <c r="E1756">
        <v>30372</v>
      </c>
      <c r="F1756">
        <v>1</v>
      </c>
      <c r="G1756">
        <v>1</v>
      </c>
      <c r="H1756" s="1">
        <v>41268</v>
      </c>
      <c r="I1756">
        <v>33</v>
      </c>
      <c r="J1756">
        <v>15</v>
      </c>
      <c r="K1756">
        <v>0</v>
      </c>
      <c r="L1756">
        <v>12</v>
      </c>
      <c r="M1756">
        <v>7</v>
      </c>
      <c r="N1756">
        <v>3</v>
      </c>
      <c r="O1756">
        <v>7</v>
      </c>
      <c r="P1756">
        <v>3</v>
      </c>
      <c r="Q1756">
        <v>2</v>
      </c>
      <c r="R1756">
        <v>0</v>
      </c>
      <c r="S1756">
        <v>3</v>
      </c>
      <c r="T1756">
        <v>7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3</v>
      </c>
      <c r="AB1756">
        <v>11</v>
      </c>
      <c r="AC1756">
        <v>0</v>
      </c>
    </row>
    <row r="1757" spans="1:29" x14ac:dyDescent="0.3">
      <c r="A1757">
        <v>5394</v>
      </c>
      <c r="B1757">
        <v>1979</v>
      </c>
      <c r="C1757" t="s">
        <v>36</v>
      </c>
      <c r="D1757" t="s">
        <v>30</v>
      </c>
      <c r="E1757">
        <v>16014</v>
      </c>
      <c r="F1757">
        <v>1</v>
      </c>
      <c r="G1757">
        <v>1</v>
      </c>
      <c r="H1757" s="1">
        <v>41350</v>
      </c>
      <c r="I1757">
        <v>42</v>
      </c>
      <c r="J1757">
        <v>3</v>
      </c>
      <c r="K1757">
        <v>9</v>
      </c>
      <c r="L1757">
        <v>4</v>
      </c>
      <c r="M1757">
        <v>7</v>
      </c>
      <c r="N1757">
        <v>8</v>
      </c>
      <c r="O1757">
        <v>7</v>
      </c>
      <c r="P1757">
        <v>4</v>
      </c>
      <c r="Q1757">
        <v>1</v>
      </c>
      <c r="R1757">
        <v>1</v>
      </c>
      <c r="S1757">
        <v>4</v>
      </c>
      <c r="T1757">
        <v>3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3</v>
      </c>
      <c r="AB1757">
        <v>11</v>
      </c>
      <c r="AC1757">
        <v>0</v>
      </c>
    </row>
    <row r="1758" spans="1:29" x14ac:dyDescent="0.3">
      <c r="A1758">
        <v>3798</v>
      </c>
      <c r="B1758">
        <v>1968</v>
      </c>
      <c r="C1758" t="s">
        <v>29</v>
      </c>
      <c r="D1758" t="s">
        <v>33</v>
      </c>
      <c r="E1758">
        <v>41120</v>
      </c>
      <c r="F1758">
        <v>1</v>
      </c>
      <c r="G1758">
        <v>1</v>
      </c>
      <c r="H1758" s="1">
        <v>41584</v>
      </c>
      <c r="I1758">
        <v>80</v>
      </c>
      <c r="J1758">
        <v>24</v>
      </c>
      <c r="K1758">
        <v>2</v>
      </c>
      <c r="L1758">
        <v>23</v>
      </c>
      <c r="M1758">
        <v>0</v>
      </c>
      <c r="N1758">
        <v>8</v>
      </c>
      <c r="O1758">
        <v>24</v>
      </c>
      <c r="P1758">
        <v>3</v>
      </c>
      <c r="Q1758">
        <v>2</v>
      </c>
      <c r="R1758">
        <v>1</v>
      </c>
      <c r="S1758">
        <v>3</v>
      </c>
      <c r="T1758">
        <v>6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3</v>
      </c>
      <c r="AB1758">
        <v>11</v>
      </c>
      <c r="AC1758">
        <v>0</v>
      </c>
    </row>
    <row r="1759" spans="1:29" x14ac:dyDescent="0.3">
      <c r="A1759">
        <v>3524</v>
      </c>
      <c r="B1759">
        <v>1971</v>
      </c>
      <c r="C1759" t="s">
        <v>34</v>
      </c>
      <c r="D1759" t="s">
        <v>30</v>
      </c>
      <c r="E1759">
        <v>39763</v>
      </c>
      <c r="F1759">
        <v>1</v>
      </c>
      <c r="G1759">
        <v>0</v>
      </c>
      <c r="H1759" s="1">
        <v>41490</v>
      </c>
      <c r="I1759">
        <v>9</v>
      </c>
      <c r="J1759">
        <v>80</v>
      </c>
      <c r="K1759">
        <v>1</v>
      </c>
      <c r="L1759">
        <v>60</v>
      </c>
      <c r="M1759">
        <v>4</v>
      </c>
      <c r="N1759">
        <v>6</v>
      </c>
      <c r="O1759">
        <v>16</v>
      </c>
      <c r="P1759">
        <v>2</v>
      </c>
      <c r="Q1759">
        <v>5</v>
      </c>
      <c r="R1759">
        <v>1</v>
      </c>
      <c r="S1759">
        <v>2</v>
      </c>
      <c r="T1759">
        <v>9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3</v>
      </c>
      <c r="AB1759">
        <v>11</v>
      </c>
      <c r="AC1759">
        <v>1</v>
      </c>
    </row>
    <row r="1760" spans="1:29" x14ac:dyDescent="0.3">
      <c r="A1760">
        <v>5247</v>
      </c>
      <c r="B1760">
        <v>1955</v>
      </c>
      <c r="C1760" t="s">
        <v>32</v>
      </c>
      <c r="D1760" t="s">
        <v>33</v>
      </c>
      <c r="E1760">
        <v>38725</v>
      </c>
      <c r="F1760">
        <v>1</v>
      </c>
      <c r="G1760">
        <v>1</v>
      </c>
      <c r="H1760" s="1">
        <v>41769</v>
      </c>
      <c r="I1760">
        <v>52</v>
      </c>
      <c r="J1760">
        <v>31</v>
      </c>
      <c r="K1760">
        <v>0</v>
      </c>
      <c r="L1760">
        <v>6</v>
      </c>
      <c r="M1760">
        <v>2</v>
      </c>
      <c r="N1760">
        <v>1</v>
      </c>
      <c r="O1760">
        <v>5</v>
      </c>
      <c r="P1760">
        <v>2</v>
      </c>
      <c r="Q1760">
        <v>1</v>
      </c>
      <c r="R1760">
        <v>0</v>
      </c>
      <c r="S1760">
        <v>4</v>
      </c>
      <c r="T1760">
        <v>4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3</v>
      </c>
      <c r="AB1760">
        <v>11</v>
      </c>
      <c r="AC1760">
        <v>0</v>
      </c>
    </row>
    <row r="1761" spans="1:29" x14ac:dyDescent="0.3">
      <c r="A1761">
        <v>5883</v>
      </c>
      <c r="B1761">
        <v>1972</v>
      </c>
      <c r="C1761" t="s">
        <v>29</v>
      </c>
      <c r="D1761" t="s">
        <v>33</v>
      </c>
      <c r="E1761">
        <v>77981</v>
      </c>
      <c r="F1761">
        <v>1</v>
      </c>
      <c r="G1761">
        <v>0</v>
      </c>
      <c r="H1761" s="1">
        <v>41420</v>
      </c>
      <c r="I1761">
        <v>78</v>
      </c>
      <c r="J1761">
        <v>138</v>
      </c>
      <c r="K1761">
        <v>120</v>
      </c>
      <c r="L1761">
        <v>204</v>
      </c>
      <c r="M1761">
        <v>16</v>
      </c>
      <c r="N1761">
        <v>126</v>
      </c>
      <c r="O1761">
        <v>60</v>
      </c>
      <c r="P1761">
        <v>3</v>
      </c>
      <c r="Q1761">
        <v>7</v>
      </c>
      <c r="R1761">
        <v>4</v>
      </c>
      <c r="S1761">
        <v>7</v>
      </c>
      <c r="T1761">
        <v>5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3</v>
      </c>
      <c r="AB1761">
        <v>11</v>
      </c>
      <c r="AC1761">
        <v>0</v>
      </c>
    </row>
    <row r="1762" spans="1:29" x14ac:dyDescent="0.3">
      <c r="A1762">
        <v>2118</v>
      </c>
      <c r="B1762">
        <v>1964</v>
      </c>
      <c r="C1762" t="s">
        <v>37</v>
      </c>
      <c r="D1762" t="s">
        <v>33</v>
      </c>
      <c r="E1762">
        <v>62905</v>
      </c>
      <c r="F1762">
        <v>0</v>
      </c>
      <c r="G1762">
        <v>1</v>
      </c>
      <c r="H1762" s="1">
        <v>41527</v>
      </c>
      <c r="I1762">
        <v>68</v>
      </c>
      <c r="J1762">
        <v>166</v>
      </c>
      <c r="K1762">
        <v>75</v>
      </c>
      <c r="L1762">
        <v>96</v>
      </c>
      <c r="M1762">
        <v>119</v>
      </c>
      <c r="N1762">
        <v>107</v>
      </c>
      <c r="O1762">
        <v>59</v>
      </c>
      <c r="P1762">
        <v>3</v>
      </c>
      <c r="Q1762">
        <v>7</v>
      </c>
      <c r="R1762">
        <v>2</v>
      </c>
      <c r="S1762">
        <v>8</v>
      </c>
      <c r="T1762">
        <v>4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3</v>
      </c>
      <c r="AB1762">
        <v>11</v>
      </c>
      <c r="AC1762">
        <v>0</v>
      </c>
    </row>
    <row r="1763" spans="1:29" x14ac:dyDescent="0.3">
      <c r="A1763">
        <v>8812</v>
      </c>
      <c r="B1763">
        <v>1979</v>
      </c>
      <c r="C1763" t="s">
        <v>37</v>
      </c>
      <c r="D1763" t="s">
        <v>35</v>
      </c>
      <c r="E1763">
        <v>13533</v>
      </c>
      <c r="F1763">
        <v>1</v>
      </c>
      <c r="G1763">
        <v>0</v>
      </c>
      <c r="H1763" s="1">
        <v>41343</v>
      </c>
      <c r="I1763">
        <v>45</v>
      </c>
      <c r="J1763">
        <v>12</v>
      </c>
      <c r="K1763">
        <v>3</v>
      </c>
      <c r="L1763">
        <v>8</v>
      </c>
      <c r="M1763">
        <v>8</v>
      </c>
      <c r="N1763">
        <v>0</v>
      </c>
      <c r="O1763">
        <v>17</v>
      </c>
      <c r="P1763">
        <v>2</v>
      </c>
      <c r="Q1763">
        <v>2</v>
      </c>
      <c r="R1763">
        <v>0</v>
      </c>
      <c r="S1763">
        <v>3</v>
      </c>
      <c r="T1763">
        <v>7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3</v>
      </c>
      <c r="AB1763">
        <v>11</v>
      </c>
      <c r="AC1763">
        <v>0</v>
      </c>
    </row>
    <row r="1764" spans="1:29" x14ac:dyDescent="0.3">
      <c r="A1764">
        <v>6616</v>
      </c>
      <c r="B1764">
        <v>1975</v>
      </c>
      <c r="C1764" t="s">
        <v>29</v>
      </c>
      <c r="D1764" t="s">
        <v>31</v>
      </c>
      <c r="E1764">
        <v>59481</v>
      </c>
      <c r="F1764">
        <v>0</v>
      </c>
      <c r="G1764">
        <v>1</v>
      </c>
      <c r="H1764" s="1">
        <v>41570</v>
      </c>
      <c r="I1764">
        <v>47</v>
      </c>
      <c r="J1764">
        <v>178</v>
      </c>
      <c r="K1764">
        <v>3</v>
      </c>
      <c r="L1764">
        <v>85</v>
      </c>
      <c r="M1764">
        <v>71</v>
      </c>
      <c r="N1764">
        <v>66</v>
      </c>
      <c r="O1764">
        <v>58</v>
      </c>
      <c r="P1764">
        <v>2</v>
      </c>
      <c r="Q1764">
        <v>3</v>
      </c>
      <c r="R1764">
        <v>3</v>
      </c>
      <c r="S1764">
        <v>8</v>
      </c>
      <c r="T1764">
        <v>2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3</v>
      </c>
      <c r="AB1764">
        <v>11</v>
      </c>
      <c r="AC1764">
        <v>0</v>
      </c>
    </row>
    <row r="1765" spans="1:29" x14ac:dyDescent="0.3">
      <c r="A1765">
        <v>2797</v>
      </c>
      <c r="B1765">
        <v>1977</v>
      </c>
      <c r="C1765" t="s">
        <v>29</v>
      </c>
      <c r="D1765" t="s">
        <v>33</v>
      </c>
      <c r="E1765">
        <v>72117</v>
      </c>
      <c r="F1765">
        <v>0</v>
      </c>
      <c r="G1765">
        <v>1</v>
      </c>
      <c r="H1765" s="1">
        <v>41506</v>
      </c>
      <c r="I1765">
        <v>34</v>
      </c>
      <c r="J1765">
        <v>707</v>
      </c>
      <c r="K1765">
        <v>20</v>
      </c>
      <c r="L1765">
        <v>171</v>
      </c>
      <c r="M1765">
        <v>65</v>
      </c>
      <c r="N1765">
        <v>60</v>
      </c>
      <c r="O1765">
        <v>50</v>
      </c>
      <c r="P1765">
        <v>1</v>
      </c>
      <c r="Q1765">
        <v>9</v>
      </c>
      <c r="R1765">
        <v>7</v>
      </c>
      <c r="S1765">
        <v>9</v>
      </c>
      <c r="T1765">
        <v>5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3</v>
      </c>
      <c r="AB1765">
        <v>11</v>
      </c>
      <c r="AC1765">
        <v>0</v>
      </c>
    </row>
    <row r="1766" spans="1:29" x14ac:dyDescent="0.3">
      <c r="A1766">
        <v>4328</v>
      </c>
      <c r="B1766">
        <v>1986</v>
      </c>
      <c r="C1766" t="s">
        <v>37</v>
      </c>
      <c r="D1766" t="s">
        <v>33</v>
      </c>
      <c r="E1766">
        <v>21955</v>
      </c>
      <c r="F1766">
        <v>1</v>
      </c>
      <c r="G1766">
        <v>0</v>
      </c>
      <c r="H1766" s="1">
        <v>41524</v>
      </c>
      <c r="I1766">
        <v>81</v>
      </c>
      <c r="J1766">
        <v>5</v>
      </c>
      <c r="K1766">
        <v>1</v>
      </c>
      <c r="L1766">
        <v>7</v>
      </c>
      <c r="M1766">
        <v>17</v>
      </c>
      <c r="N1766">
        <v>14</v>
      </c>
      <c r="O1766">
        <v>11</v>
      </c>
      <c r="P1766">
        <v>2</v>
      </c>
      <c r="Q1766">
        <v>2</v>
      </c>
      <c r="R1766">
        <v>1</v>
      </c>
      <c r="S1766">
        <v>3</v>
      </c>
      <c r="T1766">
        <v>6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3</v>
      </c>
      <c r="AB1766">
        <v>11</v>
      </c>
      <c r="AC1766">
        <v>0</v>
      </c>
    </row>
    <row r="1767" spans="1:29" x14ac:dyDescent="0.3">
      <c r="A1767">
        <v>9167</v>
      </c>
      <c r="B1767">
        <v>1956</v>
      </c>
      <c r="C1767" t="s">
        <v>29</v>
      </c>
      <c r="D1767" t="s">
        <v>33</v>
      </c>
      <c r="E1767">
        <v>67131</v>
      </c>
      <c r="F1767">
        <v>0</v>
      </c>
      <c r="G1767">
        <v>1</v>
      </c>
      <c r="H1767" s="1">
        <v>41359</v>
      </c>
      <c r="I1767">
        <v>72</v>
      </c>
      <c r="J1767">
        <v>465</v>
      </c>
      <c r="K1767">
        <v>71</v>
      </c>
      <c r="L1767">
        <v>250</v>
      </c>
      <c r="M1767">
        <v>93</v>
      </c>
      <c r="N1767">
        <v>35</v>
      </c>
      <c r="O1767">
        <v>62</v>
      </c>
      <c r="P1767">
        <v>3</v>
      </c>
      <c r="Q1767">
        <v>9</v>
      </c>
      <c r="R1767">
        <v>2</v>
      </c>
      <c r="S1767">
        <v>12</v>
      </c>
      <c r="T1767">
        <v>6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3</v>
      </c>
      <c r="AB1767">
        <v>11</v>
      </c>
      <c r="AC1767">
        <v>0</v>
      </c>
    </row>
    <row r="1768" spans="1:29" x14ac:dyDescent="0.3">
      <c r="A1768">
        <v>10560</v>
      </c>
      <c r="B1768">
        <v>1980</v>
      </c>
      <c r="C1768" t="s">
        <v>32</v>
      </c>
      <c r="D1768" t="s">
        <v>30</v>
      </c>
      <c r="E1768">
        <v>36802</v>
      </c>
      <c r="F1768">
        <v>1</v>
      </c>
      <c r="G1768">
        <v>0</v>
      </c>
      <c r="H1768" s="1">
        <v>41806</v>
      </c>
      <c r="I1768">
        <v>23</v>
      </c>
      <c r="J1768">
        <v>16</v>
      </c>
      <c r="K1768">
        <v>1</v>
      </c>
      <c r="L1768">
        <v>2</v>
      </c>
      <c r="M1768">
        <v>0</v>
      </c>
      <c r="N1768">
        <v>0</v>
      </c>
      <c r="O1768">
        <v>1</v>
      </c>
      <c r="P1768">
        <v>1</v>
      </c>
      <c r="Q1768">
        <v>1</v>
      </c>
      <c r="R1768">
        <v>0</v>
      </c>
      <c r="S1768">
        <v>3</v>
      </c>
      <c r="T1768">
        <v>5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3</v>
      </c>
      <c r="AB1768">
        <v>11</v>
      </c>
      <c r="AC1768">
        <v>0</v>
      </c>
    </row>
    <row r="1769" spans="1:29" x14ac:dyDescent="0.3">
      <c r="A1769">
        <v>2631</v>
      </c>
      <c r="B1769">
        <v>1982</v>
      </c>
      <c r="C1769" t="s">
        <v>29</v>
      </c>
      <c r="D1769" t="s">
        <v>31</v>
      </c>
      <c r="E1769">
        <v>71853</v>
      </c>
      <c r="F1769">
        <v>0</v>
      </c>
      <c r="G1769">
        <v>0</v>
      </c>
      <c r="H1769" s="1">
        <v>41402</v>
      </c>
      <c r="I1769">
        <v>29</v>
      </c>
      <c r="J1769">
        <v>358</v>
      </c>
      <c r="K1769">
        <v>108</v>
      </c>
      <c r="L1769">
        <v>413</v>
      </c>
      <c r="M1769">
        <v>141</v>
      </c>
      <c r="N1769">
        <v>97</v>
      </c>
      <c r="O1769">
        <v>32</v>
      </c>
      <c r="P1769">
        <v>1</v>
      </c>
      <c r="Q1769">
        <v>2</v>
      </c>
      <c r="R1769">
        <v>8</v>
      </c>
      <c r="S1769">
        <v>6</v>
      </c>
      <c r="T1769">
        <v>1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3</v>
      </c>
      <c r="AB1769">
        <v>11</v>
      </c>
      <c r="AC1769">
        <v>0</v>
      </c>
    </row>
    <row r="1770" spans="1:29" x14ac:dyDescent="0.3">
      <c r="A1770">
        <v>8312</v>
      </c>
      <c r="B1770">
        <v>1961</v>
      </c>
      <c r="C1770" t="s">
        <v>36</v>
      </c>
      <c r="D1770" t="s">
        <v>33</v>
      </c>
      <c r="E1770">
        <v>28249</v>
      </c>
      <c r="F1770">
        <v>0</v>
      </c>
      <c r="G1770">
        <v>0</v>
      </c>
      <c r="H1770" s="1">
        <v>41805</v>
      </c>
      <c r="I1770">
        <v>80</v>
      </c>
      <c r="J1770">
        <v>1</v>
      </c>
      <c r="K1770">
        <v>9</v>
      </c>
      <c r="L1770">
        <v>7</v>
      </c>
      <c r="M1770">
        <v>2</v>
      </c>
      <c r="N1770">
        <v>14</v>
      </c>
      <c r="O1770">
        <v>10</v>
      </c>
      <c r="P1770">
        <v>1</v>
      </c>
      <c r="Q1770">
        <v>2</v>
      </c>
      <c r="R1770">
        <v>0</v>
      </c>
      <c r="S1770">
        <v>3</v>
      </c>
      <c r="T1770">
        <v>6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3</v>
      </c>
      <c r="AB1770">
        <v>11</v>
      </c>
      <c r="AC1770">
        <v>0</v>
      </c>
    </row>
    <row r="1771" spans="1:29" x14ac:dyDescent="0.3">
      <c r="A1771">
        <v>5534</v>
      </c>
      <c r="B1771">
        <v>1975</v>
      </c>
      <c r="C1771" t="s">
        <v>34</v>
      </c>
      <c r="D1771" t="s">
        <v>33</v>
      </c>
      <c r="E1771">
        <v>47808</v>
      </c>
      <c r="F1771">
        <v>0</v>
      </c>
      <c r="G1771">
        <v>1</v>
      </c>
      <c r="H1771" s="1">
        <v>41567</v>
      </c>
      <c r="I1771">
        <v>30</v>
      </c>
      <c r="J1771">
        <v>123</v>
      </c>
      <c r="K1771">
        <v>1</v>
      </c>
      <c r="L1771">
        <v>26</v>
      </c>
      <c r="M1771">
        <v>2</v>
      </c>
      <c r="N1771">
        <v>0</v>
      </c>
      <c r="O1771">
        <v>72</v>
      </c>
      <c r="P1771">
        <v>2</v>
      </c>
      <c r="Q1771">
        <v>3</v>
      </c>
      <c r="R1771">
        <v>2</v>
      </c>
      <c r="S1771">
        <v>3</v>
      </c>
      <c r="T1771">
        <v>7</v>
      </c>
      <c r="U1771">
        <v>1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3</v>
      </c>
      <c r="AB1771">
        <v>11</v>
      </c>
      <c r="AC1771">
        <v>0</v>
      </c>
    </row>
    <row r="1772" spans="1:29" x14ac:dyDescent="0.3">
      <c r="A1772">
        <v>5093</v>
      </c>
      <c r="B1772">
        <v>1974</v>
      </c>
      <c r="C1772" t="s">
        <v>32</v>
      </c>
      <c r="D1772" t="s">
        <v>35</v>
      </c>
      <c r="E1772">
        <v>25509</v>
      </c>
      <c r="F1772">
        <v>1</v>
      </c>
      <c r="G1772">
        <v>0</v>
      </c>
      <c r="H1772" s="1">
        <v>41170</v>
      </c>
      <c r="I1772">
        <v>15</v>
      </c>
      <c r="J1772">
        <v>40</v>
      </c>
      <c r="K1772">
        <v>3</v>
      </c>
      <c r="L1772">
        <v>30</v>
      </c>
      <c r="M1772">
        <v>10</v>
      </c>
      <c r="N1772">
        <v>7</v>
      </c>
      <c r="O1772">
        <v>11</v>
      </c>
      <c r="P1772">
        <v>3</v>
      </c>
      <c r="Q1772">
        <v>3</v>
      </c>
      <c r="R1772">
        <v>0</v>
      </c>
      <c r="S1772">
        <v>3</v>
      </c>
      <c r="T1772">
        <v>9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3</v>
      </c>
      <c r="AB1772">
        <v>11</v>
      </c>
      <c r="AC1772">
        <v>1</v>
      </c>
    </row>
    <row r="1773" spans="1:29" x14ac:dyDescent="0.3">
      <c r="A1773">
        <v>7592</v>
      </c>
      <c r="B1773">
        <v>1946</v>
      </c>
      <c r="C1773" t="s">
        <v>32</v>
      </c>
      <c r="D1773" t="s">
        <v>33</v>
      </c>
      <c r="E1773">
        <v>51012</v>
      </c>
      <c r="F1773">
        <v>0</v>
      </c>
      <c r="G1773">
        <v>0</v>
      </c>
      <c r="H1773" s="1">
        <v>41382</v>
      </c>
      <c r="I1773">
        <v>86</v>
      </c>
      <c r="J1773">
        <v>102</v>
      </c>
      <c r="K1773">
        <v>9</v>
      </c>
      <c r="L1773">
        <v>63</v>
      </c>
      <c r="M1773">
        <v>2</v>
      </c>
      <c r="N1773">
        <v>9</v>
      </c>
      <c r="O1773">
        <v>24</v>
      </c>
      <c r="P1773">
        <v>1</v>
      </c>
      <c r="Q1773">
        <v>4</v>
      </c>
      <c r="R1773">
        <v>1</v>
      </c>
      <c r="S1773">
        <v>4</v>
      </c>
      <c r="T1773">
        <v>6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3</v>
      </c>
      <c r="AB1773">
        <v>11</v>
      </c>
      <c r="AC1773">
        <v>0</v>
      </c>
    </row>
    <row r="1774" spans="1:29" x14ac:dyDescent="0.3">
      <c r="A1774">
        <v>8895</v>
      </c>
      <c r="B1774">
        <v>1985</v>
      </c>
      <c r="C1774" t="s">
        <v>29</v>
      </c>
      <c r="D1774" t="s">
        <v>30</v>
      </c>
      <c r="E1774">
        <v>70596</v>
      </c>
      <c r="F1774">
        <v>0</v>
      </c>
      <c r="G1774">
        <v>0</v>
      </c>
      <c r="H1774" s="1">
        <v>41187</v>
      </c>
      <c r="I1774">
        <v>68</v>
      </c>
      <c r="J1774">
        <v>347</v>
      </c>
      <c r="K1774">
        <v>44</v>
      </c>
      <c r="L1774">
        <v>534</v>
      </c>
      <c r="M1774">
        <v>17</v>
      </c>
      <c r="N1774">
        <v>0</v>
      </c>
      <c r="O1774">
        <v>26</v>
      </c>
      <c r="P1774">
        <v>1</v>
      </c>
      <c r="Q1774">
        <v>3</v>
      </c>
      <c r="R1774">
        <v>5</v>
      </c>
      <c r="S1774">
        <v>12</v>
      </c>
      <c r="T1774">
        <v>2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3</v>
      </c>
      <c r="AB1774">
        <v>11</v>
      </c>
      <c r="AC1774">
        <v>0</v>
      </c>
    </row>
    <row r="1775" spans="1:29" x14ac:dyDescent="0.3">
      <c r="A1775">
        <v>8584</v>
      </c>
      <c r="B1775">
        <v>1952</v>
      </c>
      <c r="C1775" t="s">
        <v>32</v>
      </c>
      <c r="D1775" t="s">
        <v>31</v>
      </c>
      <c r="E1775">
        <v>85431</v>
      </c>
      <c r="F1775">
        <v>0</v>
      </c>
      <c r="G1775">
        <v>0</v>
      </c>
      <c r="H1775" s="1">
        <v>41433</v>
      </c>
      <c r="I1775">
        <v>54</v>
      </c>
      <c r="J1775">
        <v>376</v>
      </c>
      <c r="K1775">
        <v>53</v>
      </c>
      <c r="L1775">
        <v>462</v>
      </c>
      <c r="M1775">
        <v>168</v>
      </c>
      <c r="N1775">
        <v>53</v>
      </c>
      <c r="O1775">
        <v>53</v>
      </c>
      <c r="P1775">
        <v>1</v>
      </c>
      <c r="Q1775">
        <v>2</v>
      </c>
      <c r="R1775">
        <v>7</v>
      </c>
      <c r="S1775">
        <v>7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3</v>
      </c>
      <c r="AB1775">
        <v>11</v>
      </c>
      <c r="AC1775">
        <v>0</v>
      </c>
    </row>
    <row r="1776" spans="1:29" x14ac:dyDescent="0.3">
      <c r="A1776">
        <v>2694</v>
      </c>
      <c r="B1776">
        <v>1967</v>
      </c>
      <c r="C1776" t="s">
        <v>29</v>
      </c>
      <c r="D1776" t="s">
        <v>33</v>
      </c>
      <c r="E1776">
        <v>42664</v>
      </c>
      <c r="F1776">
        <v>0</v>
      </c>
      <c r="G1776">
        <v>1</v>
      </c>
      <c r="H1776" s="1">
        <v>41716</v>
      </c>
      <c r="I1776">
        <v>44</v>
      </c>
      <c r="J1776">
        <v>21</v>
      </c>
      <c r="K1776">
        <v>0</v>
      </c>
      <c r="L1776">
        <v>3</v>
      </c>
      <c r="M1776">
        <v>0</v>
      </c>
      <c r="N1776">
        <v>0</v>
      </c>
      <c r="O1776">
        <v>0</v>
      </c>
      <c r="P1776">
        <v>1</v>
      </c>
      <c r="Q1776">
        <v>1</v>
      </c>
      <c r="R1776">
        <v>0</v>
      </c>
      <c r="S1776">
        <v>3</v>
      </c>
      <c r="T1776">
        <v>6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3</v>
      </c>
      <c r="AB1776">
        <v>11</v>
      </c>
      <c r="AC1776">
        <v>0</v>
      </c>
    </row>
    <row r="1777" spans="1:29" x14ac:dyDescent="0.3">
      <c r="A1777">
        <v>8910</v>
      </c>
      <c r="B1777">
        <v>1955</v>
      </c>
      <c r="C1777" t="s">
        <v>29</v>
      </c>
      <c r="D1777" t="s">
        <v>31</v>
      </c>
      <c r="E1777">
        <v>42586</v>
      </c>
      <c r="F1777">
        <v>1</v>
      </c>
      <c r="G1777">
        <v>1</v>
      </c>
      <c r="H1777" s="1">
        <v>41211</v>
      </c>
      <c r="I1777">
        <v>7</v>
      </c>
      <c r="J1777">
        <v>194</v>
      </c>
      <c r="K1777">
        <v>2</v>
      </c>
      <c r="L1777">
        <v>56</v>
      </c>
      <c r="M1777">
        <v>0</v>
      </c>
      <c r="N1777">
        <v>0</v>
      </c>
      <c r="O1777">
        <v>0</v>
      </c>
      <c r="P1777">
        <v>5</v>
      </c>
      <c r="Q1777">
        <v>4</v>
      </c>
      <c r="R1777">
        <v>1</v>
      </c>
      <c r="S1777">
        <v>6</v>
      </c>
      <c r="T1777">
        <v>8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3</v>
      </c>
      <c r="AB1777">
        <v>11</v>
      </c>
      <c r="AC1777">
        <v>1</v>
      </c>
    </row>
    <row r="1778" spans="1:29" x14ac:dyDescent="0.3">
      <c r="A1778">
        <v>7433</v>
      </c>
      <c r="B1778">
        <v>1985</v>
      </c>
      <c r="C1778" t="s">
        <v>29</v>
      </c>
      <c r="D1778" t="s">
        <v>30</v>
      </c>
      <c r="E1778">
        <v>29760</v>
      </c>
      <c r="F1778">
        <v>1</v>
      </c>
      <c r="G1778">
        <v>0</v>
      </c>
      <c r="H1778" s="1">
        <v>41150</v>
      </c>
      <c r="I1778">
        <v>87</v>
      </c>
      <c r="J1778">
        <v>64</v>
      </c>
      <c r="K1778">
        <v>4</v>
      </c>
      <c r="L1778">
        <v>68</v>
      </c>
      <c r="M1778">
        <v>7</v>
      </c>
      <c r="N1778">
        <v>5</v>
      </c>
      <c r="O1778">
        <v>17</v>
      </c>
      <c r="P1778">
        <v>4</v>
      </c>
      <c r="Q1778">
        <v>3</v>
      </c>
      <c r="R1778">
        <v>1</v>
      </c>
      <c r="S1778">
        <v>4</v>
      </c>
      <c r="T1778">
        <v>8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3</v>
      </c>
      <c r="AB1778">
        <v>11</v>
      </c>
      <c r="AC1778">
        <v>0</v>
      </c>
    </row>
    <row r="1779" spans="1:29" x14ac:dyDescent="0.3">
      <c r="A1779">
        <v>164</v>
      </c>
      <c r="B1779">
        <v>1977</v>
      </c>
      <c r="C1779" t="s">
        <v>32</v>
      </c>
      <c r="D1779" t="s">
        <v>33</v>
      </c>
      <c r="E1779">
        <v>28973</v>
      </c>
      <c r="F1779">
        <v>0</v>
      </c>
      <c r="G1779">
        <v>0</v>
      </c>
      <c r="H1779" s="1">
        <v>41195</v>
      </c>
      <c r="I1779">
        <v>59</v>
      </c>
      <c r="J1779">
        <v>206</v>
      </c>
      <c r="K1779">
        <v>0</v>
      </c>
      <c r="L1779">
        <v>46</v>
      </c>
      <c r="M1779">
        <v>3</v>
      </c>
      <c r="N1779">
        <v>2</v>
      </c>
      <c r="O1779">
        <v>12</v>
      </c>
      <c r="P1779">
        <v>2</v>
      </c>
      <c r="Q1779">
        <v>5</v>
      </c>
      <c r="R1779">
        <v>1</v>
      </c>
      <c r="S1779">
        <v>5</v>
      </c>
      <c r="T1779">
        <v>8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3</v>
      </c>
      <c r="AB1779">
        <v>11</v>
      </c>
      <c r="AC1779">
        <v>0</v>
      </c>
    </row>
    <row r="1780" spans="1:29" x14ac:dyDescent="0.3">
      <c r="A1780">
        <v>10477</v>
      </c>
      <c r="B1780">
        <v>1973</v>
      </c>
      <c r="C1780" t="s">
        <v>32</v>
      </c>
      <c r="D1780" t="s">
        <v>31</v>
      </c>
      <c r="E1780">
        <v>39435</v>
      </c>
      <c r="F1780">
        <v>1</v>
      </c>
      <c r="G1780">
        <v>0</v>
      </c>
      <c r="H1780" s="1">
        <v>41492</v>
      </c>
      <c r="I1780">
        <v>16</v>
      </c>
      <c r="J1780">
        <v>71</v>
      </c>
      <c r="K1780">
        <v>0</v>
      </c>
      <c r="L1780">
        <v>18</v>
      </c>
      <c r="M1780">
        <v>0</v>
      </c>
      <c r="N1780">
        <v>0</v>
      </c>
      <c r="O1780">
        <v>13</v>
      </c>
      <c r="P1780">
        <v>1</v>
      </c>
      <c r="Q1780">
        <v>3</v>
      </c>
      <c r="R1780">
        <v>1</v>
      </c>
      <c r="S1780">
        <v>2</v>
      </c>
      <c r="T1780">
        <v>7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3</v>
      </c>
      <c r="AB1780">
        <v>11</v>
      </c>
      <c r="AC1780">
        <v>0</v>
      </c>
    </row>
    <row r="1781" spans="1:29" x14ac:dyDescent="0.3">
      <c r="A1781">
        <v>2681</v>
      </c>
      <c r="B1781">
        <v>1984</v>
      </c>
      <c r="C1781" t="s">
        <v>37</v>
      </c>
      <c r="D1781" t="s">
        <v>33</v>
      </c>
      <c r="E1781">
        <v>65370</v>
      </c>
      <c r="F1781">
        <v>0</v>
      </c>
      <c r="G1781">
        <v>0</v>
      </c>
      <c r="H1781" s="1">
        <v>41487</v>
      </c>
      <c r="I1781">
        <v>1</v>
      </c>
      <c r="J1781">
        <v>71</v>
      </c>
      <c r="K1781">
        <v>22</v>
      </c>
      <c r="L1781">
        <v>112</v>
      </c>
      <c r="M1781">
        <v>138</v>
      </c>
      <c r="N1781">
        <v>89</v>
      </c>
      <c r="O1781">
        <v>29</v>
      </c>
      <c r="P1781">
        <v>1</v>
      </c>
      <c r="Q1781">
        <v>2</v>
      </c>
      <c r="R1781">
        <v>3</v>
      </c>
      <c r="S1781">
        <v>13</v>
      </c>
      <c r="T1781">
        <v>1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3</v>
      </c>
      <c r="AB1781">
        <v>11</v>
      </c>
      <c r="AC1781">
        <v>0</v>
      </c>
    </row>
    <row r="1782" spans="1:29" x14ac:dyDescent="0.3">
      <c r="A1782">
        <v>5150</v>
      </c>
      <c r="B1782">
        <v>1979</v>
      </c>
      <c r="C1782" t="s">
        <v>36</v>
      </c>
      <c r="D1782" t="s">
        <v>30</v>
      </c>
      <c r="E1782">
        <v>20194</v>
      </c>
      <c r="F1782">
        <v>1</v>
      </c>
      <c r="G1782">
        <v>0</v>
      </c>
      <c r="H1782" s="1">
        <v>41260</v>
      </c>
      <c r="I1782">
        <v>64</v>
      </c>
      <c r="J1782">
        <v>0</v>
      </c>
      <c r="K1782">
        <v>4</v>
      </c>
      <c r="L1782">
        <v>7</v>
      </c>
      <c r="M1782">
        <v>11</v>
      </c>
      <c r="N1782">
        <v>10</v>
      </c>
      <c r="O1782">
        <v>15</v>
      </c>
      <c r="P1782">
        <v>2</v>
      </c>
      <c r="Q1782">
        <v>2</v>
      </c>
      <c r="R1782">
        <v>0</v>
      </c>
      <c r="S1782">
        <v>3</v>
      </c>
      <c r="T1782">
        <v>6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3</v>
      </c>
      <c r="AB1782">
        <v>11</v>
      </c>
      <c r="AC1782">
        <v>0</v>
      </c>
    </row>
    <row r="1783" spans="1:29" x14ac:dyDescent="0.3">
      <c r="A1783">
        <v>5283</v>
      </c>
      <c r="B1783">
        <v>1976</v>
      </c>
      <c r="C1783" t="s">
        <v>32</v>
      </c>
      <c r="D1783" t="s">
        <v>30</v>
      </c>
      <c r="E1783">
        <v>42473</v>
      </c>
      <c r="F1783">
        <v>1</v>
      </c>
      <c r="G1783">
        <v>1</v>
      </c>
      <c r="H1783" s="1">
        <v>41687</v>
      </c>
      <c r="I1783">
        <v>72</v>
      </c>
      <c r="J1783">
        <v>93</v>
      </c>
      <c r="K1783">
        <v>1</v>
      </c>
      <c r="L1783">
        <v>21</v>
      </c>
      <c r="M1783">
        <v>0</v>
      </c>
      <c r="N1783">
        <v>4</v>
      </c>
      <c r="O1783">
        <v>25</v>
      </c>
      <c r="P1783">
        <v>3</v>
      </c>
      <c r="Q1783">
        <v>2</v>
      </c>
      <c r="R1783">
        <v>1</v>
      </c>
      <c r="S1783">
        <v>4</v>
      </c>
      <c r="T1783">
        <v>5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3</v>
      </c>
      <c r="AB1783">
        <v>11</v>
      </c>
      <c r="AC1783">
        <v>0</v>
      </c>
    </row>
    <row r="1784" spans="1:29" x14ac:dyDescent="0.3">
      <c r="A1784">
        <v>9645</v>
      </c>
      <c r="B1784">
        <v>1968</v>
      </c>
      <c r="C1784" t="s">
        <v>29</v>
      </c>
      <c r="D1784" t="s">
        <v>33</v>
      </c>
      <c r="E1784">
        <v>64590</v>
      </c>
      <c r="F1784">
        <v>0</v>
      </c>
      <c r="G1784">
        <v>0</v>
      </c>
      <c r="H1784" s="1">
        <v>41196</v>
      </c>
      <c r="I1784">
        <v>98</v>
      </c>
      <c r="J1784">
        <v>920</v>
      </c>
      <c r="K1784">
        <v>138</v>
      </c>
      <c r="L1784">
        <v>168</v>
      </c>
      <c r="M1784">
        <v>36</v>
      </c>
      <c r="N1784">
        <v>46</v>
      </c>
      <c r="O1784">
        <v>30</v>
      </c>
      <c r="P1784">
        <v>1</v>
      </c>
      <c r="Q1784">
        <v>9</v>
      </c>
      <c r="R1784">
        <v>4</v>
      </c>
      <c r="S1784">
        <v>10</v>
      </c>
      <c r="T1784">
        <v>6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3</v>
      </c>
      <c r="AB1784">
        <v>11</v>
      </c>
      <c r="AC1784">
        <v>0</v>
      </c>
    </row>
    <row r="1785" spans="1:29" x14ac:dyDescent="0.3">
      <c r="A1785">
        <v>10678</v>
      </c>
      <c r="B1785">
        <v>1959</v>
      </c>
      <c r="C1785" t="s">
        <v>29</v>
      </c>
      <c r="D1785" t="s">
        <v>31</v>
      </c>
      <c r="E1785">
        <v>71232</v>
      </c>
      <c r="F1785">
        <v>0</v>
      </c>
      <c r="G1785">
        <v>1</v>
      </c>
      <c r="H1785" s="1">
        <v>41606</v>
      </c>
      <c r="I1785">
        <v>91</v>
      </c>
      <c r="J1785">
        <v>653</v>
      </c>
      <c r="K1785">
        <v>17</v>
      </c>
      <c r="L1785">
        <v>170</v>
      </c>
      <c r="M1785">
        <v>34</v>
      </c>
      <c r="N1785">
        <v>26</v>
      </c>
      <c r="O1785">
        <v>17</v>
      </c>
      <c r="P1785">
        <v>2</v>
      </c>
      <c r="Q1785">
        <v>11</v>
      </c>
      <c r="R1785">
        <v>2</v>
      </c>
      <c r="S1785">
        <v>10</v>
      </c>
      <c r="T1785">
        <v>7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3</v>
      </c>
      <c r="AB1785">
        <v>11</v>
      </c>
      <c r="AC1785">
        <v>0</v>
      </c>
    </row>
    <row r="1786" spans="1:29" x14ac:dyDescent="0.3">
      <c r="A1786">
        <v>7261</v>
      </c>
      <c r="B1786">
        <v>1971</v>
      </c>
      <c r="C1786" t="s">
        <v>29</v>
      </c>
      <c r="D1786" t="s">
        <v>31</v>
      </c>
      <c r="E1786">
        <v>34600</v>
      </c>
      <c r="F1786">
        <v>1</v>
      </c>
      <c r="G1786">
        <v>1</v>
      </c>
      <c r="H1786" s="1">
        <v>41275</v>
      </c>
      <c r="I1786">
        <v>8</v>
      </c>
      <c r="J1786">
        <v>199</v>
      </c>
      <c r="K1786">
        <v>33</v>
      </c>
      <c r="L1786">
        <v>60</v>
      </c>
      <c r="M1786">
        <v>8</v>
      </c>
      <c r="N1786">
        <v>3</v>
      </c>
      <c r="O1786">
        <v>15</v>
      </c>
      <c r="P1786">
        <v>5</v>
      </c>
      <c r="Q1786">
        <v>5</v>
      </c>
      <c r="R1786">
        <v>2</v>
      </c>
      <c r="S1786">
        <v>5</v>
      </c>
      <c r="T1786">
        <v>8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3</v>
      </c>
      <c r="AB1786">
        <v>11</v>
      </c>
      <c r="AC1786">
        <v>1</v>
      </c>
    </row>
    <row r="1787" spans="1:29" x14ac:dyDescent="0.3">
      <c r="A1787">
        <v>9648</v>
      </c>
      <c r="B1787">
        <v>1967</v>
      </c>
      <c r="C1787" t="s">
        <v>29</v>
      </c>
      <c r="D1787" t="s">
        <v>30</v>
      </c>
      <c r="E1787">
        <v>46904</v>
      </c>
      <c r="F1787">
        <v>1</v>
      </c>
      <c r="G1787">
        <v>1</v>
      </c>
      <c r="H1787" s="1">
        <v>41216</v>
      </c>
      <c r="I1787">
        <v>20</v>
      </c>
      <c r="J1787">
        <v>153</v>
      </c>
      <c r="K1787">
        <v>4</v>
      </c>
      <c r="L1787">
        <v>56</v>
      </c>
      <c r="M1787">
        <v>0</v>
      </c>
      <c r="N1787">
        <v>9</v>
      </c>
      <c r="O1787">
        <v>31</v>
      </c>
      <c r="P1787">
        <v>4</v>
      </c>
      <c r="Q1787">
        <v>5</v>
      </c>
      <c r="R1787">
        <v>1</v>
      </c>
      <c r="S1787">
        <v>4</v>
      </c>
      <c r="T1787">
        <v>8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3</v>
      </c>
      <c r="AB1787">
        <v>11</v>
      </c>
      <c r="AC1787">
        <v>0</v>
      </c>
    </row>
    <row r="1788" spans="1:29" x14ac:dyDescent="0.3">
      <c r="A1788">
        <v>2870</v>
      </c>
      <c r="B1788">
        <v>1973</v>
      </c>
      <c r="C1788" t="s">
        <v>29</v>
      </c>
      <c r="D1788" t="s">
        <v>33</v>
      </c>
      <c r="E1788">
        <v>49094</v>
      </c>
      <c r="F1788">
        <v>0</v>
      </c>
      <c r="G1788">
        <v>1</v>
      </c>
      <c r="H1788" s="1">
        <v>41173</v>
      </c>
      <c r="I1788">
        <v>6</v>
      </c>
      <c r="J1788">
        <v>376</v>
      </c>
      <c r="K1788">
        <v>0</v>
      </c>
      <c r="L1788">
        <v>38</v>
      </c>
      <c r="M1788">
        <v>11</v>
      </c>
      <c r="N1788">
        <v>8</v>
      </c>
      <c r="O1788">
        <v>69</v>
      </c>
      <c r="P1788">
        <v>5</v>
      </c>
      <c r="Q1788">
        <v>6</v>
      </c>
      <c r="R1788">
        <v>3</v>
      </c>
      <c r="S1788">
        <v>6</v>
      </c>
      <c r="T1788">
        <v>6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3</v>
      </c>
      <c r="AB1788">
        <v>11</v>
      </c>
      <c r="AC1788">
        <v>0</v>
      </c>
    </row>
    <row r="1789" spans="1:29" x14ac:dyDescent="0.3">
      <c r="A1789">
        <v>8008</v>
      </c>
      <c r="B1789">
        <v>1983</v>
      </c>
      <c r="C1789" t="s">
        <v>29</v>
      </c>
      <c r="D1789" t="s">
        <v>31</v>
      </c>
      <c r="E1789">
        <v>36075</v>
      </c>
      <c r="F1789">
        <v>1</v>
      </c>
      <c r="G1789">
        <v>0</v>
      </c>
      <c r="H1789" s="1">
        <v>41617</v>
      </c>
      <c r="I1789">
        <v>54</v>
      </c>
      <c r="J1789">
        <v>46</v>
      </c>
      <c r="K1789">
        <v>0</v>
      </c>
      <c r="L1789">
        <v>30</v>
      </c>
      <c r="M1789">
        <v>12</v>
      </c>
      <c r="N1789">
        <v>1</v>
      </c>
      <c r="O1789">
        <v>30</v>
      </c>
      <c r="P1789">
        <v>1</v>
      </c>
      <c r="Q1789">
        <v>2</v>
      </c>
      <c r="R1789">
        <v>0</v>
      </c>
      <c r="S1789">
        <v>4</v>
      </c>
      <c r="T1789">
        <v>6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3</v>
      </c>
      <c r="AB1789">
        <v>11</v>
      </c>
      <c r="AC1789">
        <v>0</v>
      </c>
    </row>
    <row r="1790" spans="1:29" x14ac:dyDescent="0.3">
      <c r="A1790">
        <v>1513</v>
      </c>
      <c r="B1790">
        <v>1979</v>
      </c>
      <c r="C1790" t="s">
        <v>37</v>
      </c>
      <c r="D1790" t="s">
        <v>31</v>
      </c>
      <c r="E1790">
        <v>60839</v>
      </c>
      <c r="F1790">
        <v>1</v>
      </c>
      <c r="G1790">
        <v>1</v>
      </c>
      <c r="H1790" s="1">
        <v>41149</v>
      </c>
      <c r="I1790">
        <v>72</v>
      </c>
      <c r="J1790">
        <v>600</v>
      </c>
      <c r="K1790">
        <v>21</v>
      </c>
      <c r="L1790">
        <v>128</v>
      </c>
      <c r="M1790">
        <v>223</v>
      </c>
      <c r="N1790">
        <v>150</v>
      </c>
      <c r="O1790">
        <v>128</v>
      </c>
      <c r="P1790">
        <v>13</v>
      </c>
      <c r="Q1790">
        <v>2</v>
      </c>
      <c r="R1790">
        <v>2</v>
      </c>
      <c r="S1790">
        <v>12</v>
      </c>
      <c r="T1790">
        <v>8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3</v>
      </c>
      <c r="AB1790">
        <v>11</v>
      </c>
      <c r="AC1790">
        <v>0</v>
      </c>
    </row>
    <row r="1791" spans="1:29" x14ac:dyDescent="0.3">
      <c r="A1791">
        <v>6173</v>
      </c>
      <c r="B1791">
        <v>1979</v>
      </c>
      <c r="C1791" t="s">
        <v>29</v>
      </c>
      <c r="D1791" t="s">
        <v>31</v>
      </c>
      <c r="E1791">
        <v>77298</v>
      </c>
      <c r="F1791">
        <v>0</v>
      </c>
      <c r="G1791">
        <v>1</v>
      </c>
      <c r="H1791" s="1">
        <v>41580</v>
      </c>
      <c r="I1791">
        <v>46</v>
      </c>
      <c r="J1791">
        <v>425</v>
      </c>
      <c r="K1791">
        <v>115</v>
      </c>
      <c r="L1791">
        <v>292</v>
      </c>
      <c r="M1791">
        <v>23</v>
      </c>
      <c r="N1791">
        <v>35</v>
      </c>
      <c r="O1791">
        <v>79</v>
      </c>
      <c r="P1791">
        <v>1</v>
      </c>
      <c r="Q1791">
        <v>6</v>
      </c>
      <c r="R1791">
        <v>6</v>
      </c>
      <c r="S1791">
        <v>11</v>
      </c>
      <c r="T1791">
        <v>3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3</v>
      </c>
      <c r="AB1791">
        <v>11</v>
      </c>
      <c r="AC1791">
        <v>0</v>
      </c>
    </row>
    <row r="1792" spans="1:29" x14ac:dyDescent="0.3">
      <c r="A1792">
        <v>1419</v>
      </c>
      <c r="B1792">
        <v>1950</v>
      </c>
      <c r="C1792" t="s">
        <v>29</v>
      </c>
      <c r="D1792" t="s">
        <v>31</v>
      </c>
      <c r="E1792">
        <v>34026</v>
      </c>
      <c r="F1792">
        <v>1</v>
      </c>
      <c r="G1792">
        <v>1</v>
      </c>
      <c r="H1792" s="1">
        <v>41491</v>
      </c>
      <c r="I1792">
        <v>11</v>
      </c>
      <c r="J1792">
        <v>18</v>
      </c>
      <c r="K1792">
        <v>6</v>
      </c>
      <c r="L1792">
        <v>15</v>
      </c>
      <c r="M1792">
        <v>12</v>
      </c>
      <c r="N1792">
        <v>8</v>
      </c>
      <c r="O1792">
        <v>17</v>
      </c>
      <c r="P1792">
        <v>3</v>
      </c>
      <c r="Q1792">
        <v>2</v>
      </c>
      <c r="R1792">
        <v>1</v>
      </c>
      <c r="S1792">
        <v>3</v>
      </c>
      <c r="T1792">
        <v>5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3</v>
      </c>
      <c r="AB1792">
        <v>11</v>
      </c>
      <c r="AC1792">
        <v>0</v>
      </c>
    </row>
    <row r="1793" spans="1:29" x14ac:dyDescent="0.3">
      <c r="A1793">
        <v>9150</v>
      </c>
      <c r="B1793">
        <v>1963</v>
      </c>
      <c r="C1793" t="s">
        <v>32</v>
      </c>
      <c r="D1793" t="s">
        <v>30</v>
      </c>
      <c r="E1793">
        <v>48918</v>
      </c>
      <c r="F1793">
        <v>1</v>
      </c>
      <c r="G1793">
        <v>1</v>
      </c>
      <c r="H1793" s="1">
        <v>41741</v>
      </c>
      <c r="I1793">
        <v>21</v>
      </c>
      <c r="J1793">
        <v>52</v>
      </c>
      <c r="K1793">
        <v>0</v>
      </c>
      <c r="L1793">
        <v>9</v>
      </c>
      <c r="M1793">
        <v>0</v>
      </c>
      <c r="N1793">
        <v>0</v>
      </c>
      <c r="O1793">
        <v>1</v>
      </c>
      <c r="P1793">
        <v>2</v>
      </c>
      <c r="Q1793">
        <v>1</v>
      </c>
      <c r="R1793">
        <v>0</v>
      </c>
      <c r="S1793">
        <v>4</v>
      </c>
      <c r="T1793">
        <v>4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3</v>
      </c>
      <c r="AB1793">
        <v>11</v>
      </c>
      <c r="AC1793">
        <v>0</v>
      </c>
    </row>
    <row r="1794" spans="1:29" x14ac:dyDescent="0.3">
      <c r="A1794">
        <v>7960</v>
      </c>
      <c r="B1794">
        <v>1962</v>
      </c>
      <c r="C1794" t="s">
        <v>37</v>
      </c>
      <c r="D1794" t="s">
        <v>31</v>
      </c>
      <c r="E1794">
        <v>82122</v>
      </c>
      <c r="F1794">
        <v>0</v>
      </c>
      <c r="G1794">
        <v>0</v>
      </c>
      <c r="H1794" s="1">
        <v>41501</v>
      </c>
      <c r="I1794">
        <v>89</v>
      </c>
      <c r="J1794">
        <v>734</v>
      </c>
      <c r="K1794">
        <v>22</v>
      </c>
      <c r="L1794">
        <v>350</v>
      </c>
      <c r="M1794">
        <v>151</v>
      </c>
      <c r="N1794">
        <v>25</v>
      </c>
      <c r="O1794">
        <v>100</v>
      </c>
      <c r="P1794">
        <v>1</v>
      </c>
      <c r="Q1794">
        <v>3</v>
      </c>
      <c r="R1794">
        <v>9</v>
      </c>
      <c r="S1794">
        <v>13</v>
      </c>
      <c r="T1794">
        <v>1</v>
      </c>
      <c r="U1794">
        <v>0</v>
      </c>
      <c r="V1794">
        <v>0</v>
      </c>
      <c r="W1794">
        <v>1</v>
      </c>
      <c r="X1794">
        <v>0</v>
      </c>
      <c r="Y1794">
        <v>0</v>
      </c>
      <c r="Z1794">
        <v>0</v>
      </c>
      <c r="AA1794">
        <v>3</v>
      </c>
      <c r="AB1794">
        <v>11</v>
      </c>
      <c r="AC1794">
        <v>0</v>
      </c>
    </row>
    <row r="1795" spans="1:29" x14ac:dyDescent="0.3">
      <c r="A1795">
        <v>1250</v>
      </c>
      <c r="B1795">
        <v>1976</v>
      </c>
      <c r="C1795" t="s">
        <v>29</v>
      </c>
      <c r="D1795" t="s">
        <v>30</v>
      </c>
      <c r="E1795">
        <v>37697</v>
      </c>
      <c r="F1795">
        <v>1</v>
      </c>
      <c r="G1795">
        <v>0</v>
      </c>
      <c r="H1795" s="1">
        <v>41677</v>
      </c>
      <c r="I1795">
        <v>82</v>
      </c>
      <c r="J1795">
        <v>34</v>
      </c>
      <c r="K1795">
        <v>6</v>
      </c>
      <c r="L1795">
        <v>21</v>
      </c>
      <c r="M1795">
        <v>11</v>
      </c>
      <c r="N1795">
        <v>4</v>
      </c>
      <c r="O1795">
        <v>8</v>
      </c>
      <c r="P1795">
        <v>1</v>
      </c>
      <c r="Q1795">
        <v>2</v>
      </c>
      <c r="R1795">
        <v>1</v>
      </c>
      <c r="S1795">
        <v>3</v>
      </c>
      <c r="T1795">
        <v>6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3</v>
      </c>
      <c r="AB1795">
        <v>11</v>
      </c>
      <c r="AC1795">
        <v>0</v>
      </c>
    </row>
    <row r="1796" spans="1:29" x14ac:dyDescent="0.3">
      <c r="A1796">
        <v>9905</v>
      </c>
      <c r="B1796">
        <v>1952</v>
      </c>
      <c r="C1796" t="s">
        <v>29</v>
      </c>
      <c r="D1796" t="s">
        <v>31</v>
      </c>
      <c r="E1796">
        <v>34074</v>
      </c>
      <c r="F1796">
        <v>1</v>
      </c>
      <c r="G1796">
        <v>1</v>
      </c>
      <c r="H1796" s="1">
        <v>41468</v>
      </c>
      <c r="I1796">
        <v>69</v>
      </c>
      <c r="J1796">
        <v>135</v>
      </c>
      <c r="K1796">
        <v>1</v>
      </c>
      <c r="L1796">
        <v>41</v>
      </c>
      <c r="M1796">
        <v>10</v>
      </c>
      <c r="N1796">
        <v>1</v>
      </c>
      <c r="O1796">
        <v>67</v>
      </c>
      <c r="P1796">
        <v>5</v>
      </c>
      <c r="Q1796">
        <v>3</v>
      </c>
      <c r="R1796">
        <v>3</v>
      </c>
      <c r="S1796">
        <v>3</v>
      </c>
      <c r="T1796">
        <v>6</v>
      </c>
      <c r="U1796">
        <v>1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3</v>
      </c>
      <c r="AB1796">
        <v>11</v>
      </c>
      <c r="AC1796">
        <v>0</v>
      </c>
    </row>
    <row r="1797" spans="1:29" x14ac:dyDescent="0.3">
      <c r="A1797">
        <v>10691</v>
      </c>
      <c r="B1797">
        <v>1960</v>
      </c>
      <c r="C1797" t="s">
        <v>34</v>
      </c>
      <c r="D1797" t="s">
        <v>33</v>
      </c>
      <c r="E1797">
        <v>28520</v>
      </c>
      <c r="F1797">
        <v>1</v>
      </c>
      <c r="G1797">
        <v>1</v>
      </c>
      <c r="H1797" s="1">
        <v>41439</v>
      </c>
      <c r="I1797">
        <v>55</v>
      </c>
      <c r="J1797">
        <v>11</v>
      </c>
      <c r="K1797">
        <v>0</v>
      </c>
      <c r="L1797">
        <v>10</v>
      </c>
      <c r="M1797">
        <v>0</v>
      </c>
      <c r="N1797">
        <v>2</v>
      </c>
      <c r="O1797">
        <v>20</v>
      </c>
      <c r="P1797">
        <v>1</v>
      </c>
      <c r="Q1797">
        <v>1</v>
      </c>
      <c r="R1797">
        <v>1</v>
      </c>
      <c r="S1797">
        <v>2</v>
      </c>
      <c r="T1797">
        <v>6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3</v>
      </c>
      <c r="AB1797">
        <v>11</v>
      </c>
      <c r="AC1797">
        <v>0</v>
      </c>
    </row>
    <row r="1798" spans="1:29" x14ac:dyDescent="0.3">
      <c r="A1798">
        <v>7002</v>
      </c>
      <c r="B1798">
        <v>1955</v>
      </c>
      <c r="C1798" t="s">
        <v>29</v>
      </c>
      <c r="D1798" t="s">
        <v>30</v>
      </c>
      <c r="E1798">
        <v>62535</v>
      </c>
      <c r="F1798">
        <v>0</v>
      </c>
      <c r="G1798">
        <v>1</v>
      </c>
      <c r="H1798" s="1">
        <v>41550</v>
      </c>
      <c r="I1798">
        <v>13</v>
      </c>
      <c r="J1798">
        <v>163</v>
      </c>
      <c r="K1798">
        <v>48</v>
      </c>
      <c r="L1798">
        <v>90</v>
      </c>
      <c r="M1798">
        <v>0</v>
      </c>
      <c r="N1798">
        <v>45</v>
      </c>
      <c r="O1798">
        <v>52</v>
      </c>
      <c r="P1798">
        <v>1</v>
      </c>
      <c r="Q1798">
        <v>3</v>
      </c>
      <c r="R1798">
        <v>2</v>
      </c>
      <c r="S1798">
        <v>8</v>
      </c>
      <c r="T1798">
        <v>3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3</v>
      </c>
      <c r="AB1798">
        <v>11</v>
      </c>
      <c r="AC1798">
        <v>0</v>
      </c>
    </row>
    <row r="1799" spans="1:29" x14ac:dyDescent="0.3">
      <c r="A1799">
        <v>2952</v>
      </c>
      <c r="B1799">
        <v>1977</v>
      </c>
      <c r="C1799" t="s">
        <v>34</v>
      </c>
      <c r="D1799" t="s">
        <v>30</v>
      </c>
      <c r="E1799">
        <v>36273</v>
      </c>
      <c r="F1799">
        <v>1</v>
      </c>
      <c r="G1799">
        <v>0</v>
      </c>
      <c r="H1799" s="1">
        <v>41745</v>
      </c>
      <c r="I1799">
        <v>80</v>
      </c>
      <c r="J1799">
        <v>29</v>
      </c>
      <c r="K1799">
        <v>3</v>
      </c>
      <c r="L1799">
        <v>30</v>
      </c>
      <c r="M1799">
        <v>3</v>
      </c>
      <c r="N1799">
        <v>2</v>
      </c>
      <c r="O1799">
        <v>9</v>
      </c>
      <c r="P1799">
        <v>2</v>
      </c>
      <c r="Q1799">
        <v>3</v>
      </c>
      <c r="R1799">
        <v>0</v>
      </c>
      <c r="S1799">
        <v>3</v>
      </c>
      <c r="T1799">
        <v>6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3</v>
      </c>
      <c r="AB1799">
        <v>11</v>
      </c>
      <c r="AC1799">
        <v>0</v>
      </c>
    </row>
    <row r="1800" spans="1:29" x14ac:dyDescent="0.3">
      <c r="A1800">
        <v>8439</v>
      </c>
      <c r="B1800">
        <v>1964</v>
      </c>
      <c r="C1800" t="s">
        <v>29</v>
      </c>
      <c r="D1800" t="s">
        <v>31</v>
      </c>
      <c r="E1800">
        <v>63404</v>
      </c>
      <c r="F1800">
        <v>0</v>
      </c>
      <c r="G1800">
        <v>2</v>
      </c>
      <c r="H1800" s="1">
        <v>41796</v>
      </c>
      <c r="I1800">
        <v>97</v>
      </c>
      <c r="J1800">
        <v>734</v>
      </c>
      <c r="K1800">
        <v>26</v>
      </c>
      <c r="L1800">
        <v>70</v>
      </c>
      <c r="M1800">
        <v>11</v>
      </c>
      <c r="N1800">
        <v>44</v>
      </c>
      <c r="O1800">
        <v>17</v>
      </c>
      <c r="P1800">
        <v>2</v>
      </c>
      <c r="Q1800">
        <v>6</v>
      </c>
      <c r="R1800">
        <v>3</v>
      </c>
      <c r="S1800">
        <v>4</v>
      </c>
      <c r="T1800">
        <v>4</v>
      </c>
      <c r="U1800">
        <v>0</v>
      </c>
      <c r="V1800">
        <v>0</v>
      </c>
      <c r="W1800">
        <v>0</v>
      </c>
      <c r="X1800">
        <v>1</v>
      </c>
      <c r="Y1800">
        <v>0</v>
      </c>
      <c r="Z1800">
        <v>0</v>
      </c>
      <c r="AA1800">
        <v>3</v>
      </c>
      <c r="AB1800">
        <v>11</v>
      </c>
      <c r="AC1800">
        <v>0</v>
      </c>
    </row>
    <row r="1801" spans="1:29" x14ac:dyDescent="0.3">
      <c r="A1801">
        <v>762</v>
      </c>
      <c r="B1801">
        <v>1981</v>
      </c>
      <c r="C1801" t="s">
        <v>37</v>
      </c>
      <c r="D1801" t="s">
        <v>31</v>
      </c>
      <c r="E1801">
        <v>75774</v>
      </c>
      <c r="F1801">
        <v>1</v>
      </c>
      <c r="G1801">
        <v>0</v>
      </c>
      <c r="H1801" s="1">
        <v>41761</v>
      </c>
      <c r="I1801">
        <v>27</v>
      </c>
      <c r="J1801">
        <v>340</v>
      </c>
      <c r="K1801">
        <v>21</v>
      </c>
      <c r="L1801">
        <v>134</v>
      </c>
      <c r="M1801">
        <v>258</v>
      </c>
      <c r="N1801">
        <v>14</v>
      </c>
      <c r="O1801">
        <v>56</v>
      </c>
      <c r="P1801">
        <v>1</v>
      </c>
      <c r="Q1801">
        <v>7</v>
      </c>
      <c r="R1801">
        <v>5</v>
      </c>
      <c r="S1801">
        <v>8</v>
      </c>
      <c r="T1801">
        <v>4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3</v>
      </c>
      <c r="AB1801">
        <v>11</v>
      </c>
      <c r="AC1801">
        <v>0</v>
      </c>
    </row>
    <row r="1802" spans="1:29" x14ac:dyDescent="0.3">
      <c r="A1802">
        <v>2831</v>
      </c>
      <c r="B1802">
        <v>1976</v>
      </c>
      <c r="C1802" t="s">
        <v>29</v>
      </c>
      <c r="D1802" t="s">
        <v>31</v>
      </c>
      <c r="E1802">
        <v>78416</v>
      </c>
      <c r="F1802">
        <v>0</v>
      </c>
      <c r="G1802">
        <v>1</v>
      </c>
      <c r="H1802" s="1">
        <v>41817</v>
      </c>
      <c r="I1802">
        <v>99</v>
      </c>
      <c r="J1802">
        <v>453</v>
      </c>
      <c r="K1802">
        <v>38</v>
      </c>
      <c r="L1802">
        <v>279</v>
      </c>
      <c r="M1802">
        <v>188</v>
      </c>
      <c r="N1802">
        <v>38</v>
      </c>
      <c r="O1802">
        <v>183</v>
      </c>
      <c r="P1802">
        <v>2</v>
      </c>
      <c r="Q1802">
        <v>7</v>
      </c>
      <c r="R1802">
        <v>7</v>
      </c>
      <c r="S1802">
        <v>10</v>
      </c>
      <c r="T1802">
        <v>3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3</v>
      </c>
      <c r="AB1802">
        <v>11</v>
      </c>
      <c r="AC1802">
        <v>0</v>
      </c>
    </row>
    <row r="1803" spans="1:29" x14ac:dyDescent="0.3">
      <c r="A1803">
        <v>6977</v>
      </c>
      <c r="B1803">
        <v>1974</v>
      </c>
      <c r="C1803" t="s">
        <v>29</v>
      </c>
      <c r="D1803" t="s">
        <v>31</v>
      </c>
      <c r="E1803">
        <v>75702</v>
      </c>
      <c r="F1803">
        <v>0</v>
      </c>
      <c r="G1803">
        <v>1</v>
      </c>
      <c r="H1803" s="1">
        <v>41196</v>
      </c>
      <c r="I1803">
        <v>87</v>
      </c>
      <c r="J1803">
        <v>1073</v>
      </c>
      <c r="K1803">
        <v>0</v>
      </c>
      <c r="L1803">
        <v>629</v>
      </c>
      <c r="M1803">
        <v>145</v>
      </c>
      <c r="N1803">
        <v>37</v>
      </c>
      <c r="O1803">
        <v>37</v>
      </c>
      <c r="P1803">
        <v>1</v>
      </c>
      <c r="Q1803">
        <v>10</v>
      </c>
      <c r="R1803">
        <v>5</v>
      </c>
      <c r="S1803">
        <v>13</v>
      </c>
      <c r="T1803">
        <v>6</v>
      </c>
      <c r="U1803">
        <v>0</v>
      </c>
      <c r="V1803">
        <v>0</v>
      </c>
      <c r="W1803">
        <v>1</v>
      </c>
      <c r="X1803">
        <v>0</v>
      </c>
      <c r="Y1803">
        <v>0</v>
      </c>
      <c r="Z1803">
        <v>0</v>
      </c>
      <c r="AA1803">
        <v>3</v>
      </c>
      <c r="AB1803">
        <v>11</v>
      </c>
      <c r="AC1803">
        <v>0</v>
      </c>
    </row>
    <row r="1804" spans="1:29" x14ac:dyDescent="0.3">
      <c r="A1804">
        <v>6289</v>
      </c>
      <c r="B1804">
        <v>1951</v>
      </c>
      <c r="C1804" t="s">
        <v>34</v>
      </c>
      <c r="D1804" t="s">
        <v>31</v>
      </c>
      <c r="E1804">
        <v>59385</v>
      </c>
      <c r="F1804">
        <v>1</v>
      </c>
      <c r="G1804">
        <v>1</v>
      </c>
      <c r="H1804" s="1">
        <v>41392</v>
      </c>
      <c r="I1804">
        <v>85</v>
      </c>
      <c r="J1804">
        <v>135</v>
      </c>
      <c r="K1804">
        <v>0</v>
      </c>
      <c r="L1804">
        <v>10</v>
      </c>
      <c r="M1804">
        <v>0</v>
      </c>
      <c r="N1804">
        <v>4</v>
      </c>
      <c r="O1804">
        <v>36</v>
      </c>
      <c r="P1804">
        <v>2</v>
      </c>
      <c r="Q1804">
        <v>3</v>
      </c>
      <c r="R1804">
        <v>1</v>
      </c>
      <c r="S1804">
        <v>4</v>
      </c>
      <c r="T1804">
        <v>5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3</v>
      </c>
      <c r="AB1804">
        <v>11</v>
      </c>
      <c r="AC1804">
        <v>0</v>
      </c>
    </row>
    <row r="1805" spans="1:29" x14ac:dyDescent="0.3">
      <c r="A1805">
        <v>4168</v>
      </c>
      <c r="B1805">
        <v>1966</v>
      </c>
      <c r="C1805" t="s">
        <v>29</v>
      </c>
      <c r="D1805" t="s">
        <v>30</v>
      </c>
      <c r="E1805">
        <v>37070</v>
      </c>
      <c r="F1805">
        <v>1</v>
      </c>
      <c r="G1805">
        <v>1</v>
      </c>
      <c r="H1805" s="1">
        <v>41353</v>
      </c>
      <c r="I1805">
        <v>30</v>
      </c>
      <c r="J1805">
        <v>231</v>
      </c>
      <c r="K1805">
        <v>7</v>
      </c>
      <c r="L1805">
        <v>137</v>
      </c>
      <c r="M1805">
        <v>4</v>
      </c>
      <c r="N1805">
        <v>15</v>
      </c>
      <c r="O1805">
        <v>39</v>
      </c>
      <c r="P1805">
        <v>9</v>
      </c>
      <c r="Q1805">
        <v>5</v>
      </c>
      <c r="R1805">
        <v>1</v>
      </c>
      <c r="S1805">
        <v>8</v>
      </c>
      <c r="T1805">
        <v>7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3</v>
      </c>
      <c r="AB1805">
        <v>11</v>
      </c>
      <c r="AC1805">
        <v>1</v>
      </c>
    </row>
    <row r="1806" spans="1:29" x14ac:dyDescent="0.3">
      <c r="A1806">
        <v>8397</v>
      </c>
      <c r="B1806">
        <v>1951</v>
      </c>
      <c r="C1806" t="s">
        <v>29</v>
      </c>
      <c r="D1806" t="s">
        <v>33</v>
      </c>
      <c r="E1806">
        <v>44689</v>
      </c>
      <c r="F1806">
        <v>1</v>
      </c>
      <c r="G1806">
        <v>1</v>
      </c>
      <c r="H1806" s="1">
        <v>41649</v>
      </c>
      <c r="I1806">
        <v>82</v>
      </c>
      <c r="J1806">
        <v>18</v>
      </c>
      <c r="K1806">
        <v>0</v>
      </c>
      <c r="L1806">
        <v>5</v>
      </c>
      <c r="M1806">
        <v>0</v>
      </c>
      <c r="N1806">
        <v>0</v>
      </c>
      <c r="O1806">
        <v>11</v>
      </c>
      <c r="P1806">
        <v>2</v>
      </c>
      <c r="Q1806">
        <v>1</v>
      </c>
      <c r="R1806">
        <v>1</v>
      </c>
      <c r="S1806">
        <v>2</v>
      </c>
      <c r="T1806">
        <v>7</v>
      </c>
      <c r="U1806">
        <v>1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3</v>
      </c>
      <c r="AB1806">
        <v>11</v>
      </c>
      <c r="AC1806">
        <v>0</v>
      </c>
    </row>
    <row r="1807" spans="1:29" x14ac:dyDescent="0.3">
      <c r="A1807">
        <v>9284</v>
      </c>
      <c r="B1807">
        <v>1958</v>
      </c>
      <c r="C1807" t="s">
        <v>29</v>
      </c>
      <c r="D1807" t="s">
        <v>31</v>
      </c>
      <c r="E1807">
        <v>53977</v>
      </c>
      <c r="F1807">
        <v>0</v>
      </c>
      <c r="G1807">
        <v>1</v>
      </c>
      <c r="H1807" s="1">
        <v>41433</v>
      </c>
      <c r="I1807">
        <v>21</v>
      </c>
      <c r="J1807">
        <v>620</v>
      </c>
      <c r="K1807">
        <v>16</v>
      </c>
      <c r="L1807">
        <v>165</v>
      </c>
      <c r="M1807">
        <v>0</v>
      </c>
      <c r="N1807">
        <v>24</v>
      </c>
      <c r="O1807">
        <v>82</v>
      </c>
      <c r="P1807">
        <v>5</v>
      </c>
      <c r="Q1807">
        <v>5</v>
      </c>
      <c r="R1807">
        <v>5</v>
      </c>
      <c r="S1807">
        <v>12</v>
      </c>
      <c r="T1807">
        <v>5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3</v>
      </c>
      <c r="AB1807">
        <v>11</v>
      </c>
      <c r="AC1807">
        <v>0</v>
      </c>
    </row>
    <row r="1808" spans="1:29" x14ac:dyDescent="0.3">
      <c r="A1808">
        <v>6237</v>
      </c>
      <c r="B1808">
        <v>1966</v>
      </c>
      <c r="C1808" t="s">
        <v>32</v>
      </c>
      <c r="D1808" t="s">
        <v>30</v>
      </c>
      <c r="E1808">
        <v>7144</v>
      </c>
      <c r="F1808">
        <v>0</v>
      </c>
      <c r="G1808">
        <v>2</v>
      </c>
      <c r="H1808" s="1">
        <v>41615</v>
      </c>
      <c r="I1808">
        <v>92</v>
      </c>
      <c r="J1808">
        <v>81</v>
      </c>
      <c r="K1808">
        <v>4</v>
      </c>
      <c r="L1808">
        <v>33</v>
      </c>
      <c r="M1808">
        <v>5</v>
      </c>
      <c r="N1808">
        <v>2</v>
      </c>
      <c r="O1808">
        <v>291</v>
      </c>
      <c r="P1808">
        <v>0</v>
      </c>
      <c r="Q1808">
        <v>23</v>
      </c>
      <c r="R1808">
        <v>1</v>
      </c>
      <c r="S1808">
        <v>1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3</v>
      </c>
      <c r="AB1808">
        <v>11</v>
      </c>
      <c r="AC1808">
        <v>0</v>
      </c>
    </row>
    <row r="1809" spans="1:29" x14ac:dyDescent="0.3">
      <c r="A1809">
        <v>3130</v>
      </c>
      <c r="B1809">
        <v>1964</v>
      </c>
      <c r="C1809" t="s">
        <v>29</v>
      </c>
      <c r="D1809" t="s">
        <v>30</v>
      </c>
      <c r="E1809">
        <v>18701</v>
      </c>
      <c r="F1809">
        <v>1</v>
      </c>
      <c r="G1809">
        <v>1</v>
      </c>
      <c r="H1809" s="1">
        <v>41429</v>
      </c>
      <c r="I1809">
        <v>95</v>
      </c>
      <c r="J1809">
        <v>12</v>
      </c>
      <c r="K1809">
        <v>4</v>
      </c>
      <c r="L1809">
        <v>2</v>
      </c>
      <c r="M1809">
        <v>10</v>
      </c>
      <c r="N1809">
        <v>6</v>
      </c>
      <c r="O1809">
        <v>10</v>
      </c>
      <c r="P1809">
        <v>4</v>
      </c>
      <c r="Q1809">
        <v>2</v>
      </c>
      <c r="R1809">
        <v>0</v>
      </c>
      <c r="S1809">
        <v>4</v>
      </c>
      <c r="T1809">
        <v>5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3</v>
      </c>
      <c r="AB1809">
        <v>11</v>
      </c>
      <c r="AC1809">
        <v>0</v>
      </c>
    </row>
    <row r="1810" spans="1:29" x14ac:dyDescent="0.3">
      <c r="A1810">
        <v>1619</v>
      </c>
      <c r="B1810">
        <v>1956</v>
      </c>
      <c r="C1810" t="s">
        <v>29</v>
      </c>
      <c r="D1810" t="s">
        <v>33</v>
      </c>
      <c r="E1810">
        <v>90369</v>
      </c>
      <c r="F1810">
        <v>0</v>
      </c>
      <c r="G1810">
        <v>0</v>
      </c>
      <c r="H1810" s="1">
        <v>41757</v>
      </c>
      <c r="I1810">
        <v>2</v>
      </c>
      <c r="J1810">
        <v>292</v>
      </c>
      <c r="K1810">
        <v>51</v>
      </c>
      <c r="L1810">
        <v>981</v>
      </c>
      <c r="M1810">
        <v>224</v>
      </c>
      <c r="N1810">
        <v>23</v>
      </c>
      <c r="O1810">
        <v>17</v>
      </c>
      <c r="P1810">
        <v>1</v>
      </c>
      <c r="Q1810">
        <v>4</v>
      </c>
      <c r="R1810">
        <v>6</v>
      </c>
      <c r="S1810">
        <v>6</v>
      </c>
      <c r="T1810">
        <v>1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3</v>
      </c>
      <c r="AB1810">
        <v>11</v>
      </c>
      <c r="AC1810">
        <v>1</v>
      </c>
    </row>
    <row r="1811" spans="1:29" x14ac:dyDescent="0.3">
      <c r="A1811">
        <v>1990</v>
      </c>
      <c r="B1811">
        <v>1974</v>
      </c>
      <c r="C1811" t="s">
        <v>32</v>
      </c>
      <c r="D1811" t="s">
        <v>30</v>
      </c>
      <c r="E1811">
        <v>63159</v>
      </c>
      <c r="F1811">
        <v>0</v>
      </c>
      <c r="G1811">
        <v>0</v>
      </c>
      <c r="H1811" s="1">
        <v>41218</v>
      </c>
      <c r="I1811">
        <v>74</v>
      </c>
      <c r="J1811">
        <v>965</v>
      </c>
      <c r="K1811">
        <v>34</v>
      </c>
      <c r="L1811">
        <v>586</v>
      </c>
      <c r="M1811">
        <v>89</v>
      </c>
      <c r="N1811">
        <v>86</v>
      </c>
      <c r="O1811">
        <v>37</v>
      </c>
      <c r="P1811">
        <v>1</v>
      </c>
      <c r="Q1811">
        <v>3</v>
      </c>
      <c r="R1811">
        <v>5</v>
      </c>
      <c r="S1811">
        <v>8</v>
      </c>
      <c r="T1811">
        <v>3</v>
      </c>
      <c r="U1811">
        <v>1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3</v>
      </c>
      <c r="AB1811">
        <v>11</v>
      </c>
      <c r="AC1811">
        <v>0</v>
      </c>
    </row>
    <row r="1812" spans="1:29" x14ac:dyDescent="0.3">
      <c r="A1812">
        <v>5513</v>
      </c>
      <c r="B1812">
        <v>1966</v>
      </c>
      <c r="C1812" t="s">
        <v>29</v>
      </c>
      <c r="D1812" t="s">
        <v>31</v>
      </c>
      <c r="E1812">
        <v>37758</v>
      </c>
      <c r="F1812">
        <v>1</v>
      </c>
      <c r="G1812">
        <v>1</v>
      </c>
      <c r="H1812" s="1">
        <v>41186</v>
      </c>
      <c r="I1812">
        <v>49</v>
      </c>
      <c r="J1812">
        <v>27</v>
      </c>
      <c r="K1812">
        <v>2</v>
      </c>
      <c r="L1812">
        <v>10</v>
      </c>
      <c r="M1812">
        <v>0</v>
      </c>
      <c r="N1812">
        <v>0</v>
      </c>
      <c r="O1812">
        <v>1</v>
      </c>
      <c r="P1812">
        <v>2</v>
      </c>
      <c r="Q1812">
        <v>1</v>
      </c>
      <c r="R1812">
        <v>0</v>
      </c>
      <c r="S1812">
        <v>3</v>
      </c>
      <c r="T1812">
        <v>8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3</v>
      </c>
      <c r="AB1812">
        <v>11</v>
      </c>
      <c r="AC1812">
        <v>0</v>
      </c>
    </row>
    <row r="1813" spans="1:29" x14ac:dyDescent="0.3">
      <c r="A1813">
        <v>269</v>
      </c>
      <c r="B1813">
        <v>1963</v>
      </c>
      <c r="C1813" t="s">
        <v>32</v>
      </c>
      <c r="D1813" t="s">
        <v>30</v>
      </c>
      <c r="E1813">
        <v>46757</v>
      </c>
      <c r="F1813">
        <v>0</v>
      </c>
      <c r="G1813">
        <v>1</v>
      </c>
      <c r="H1813" s="1">
        <v>41229</v>
      </c>
      <c r="I1813">
        <v>71</v>
      </c>
      <c r="J1813">
        <v>777</v>
      </c>
      <c r="K1813">
        <v>30</v>
      </c>
      <c r="L1813">
        <v>163</v>
      </c>
      <c r="M1813">
        <v>0</v>
      </c>
      <c r="N1813">
        <v>51</v>
      </c>
      <c r="O1813">
        <v>122</v>
      </c>
      <c r="P1813">
        <v>6</v>
      </c>
      <c r="Q1813">
        <v>4</v>
      </c>
      <c r="R1813">
        <v>4</v>
      </c>
      <c r="S1813">
        <v>7</v>
      </c>
      <c r="T1813">
        <v>9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3</v>
      </c>
      <c r="AB1813">
        <v>11</v>
      </c>
      <c r="AC1813">
        <v>0</v>
      </c>
    </row>
    <row r="1814" spans="1:29" x14ac:dyDescent="0.3">
      <c r="A1814">
        <v>8093</v>
      </c>
      <c r="B1814">
        <v>1969</v>
      </c>
      <c r="C1814" t="s">
        <v>34</v>
      </c>
      <c r="D1814" t="s">
        <v>33</v>
      </c>
      <c r="E1814">
        <v>79734</v>
      </c>
      <c r="F1814">
        <v>0</v>
      </c>
      <c r="G1814">
        <v>0</v>
      </c>
      <c r="H1814" s="1">
        <v>41818</v>
      </c>
      <c r="I1814">
        <v>72</v>
      </c>
      <c r="J1814">
        <v>572</v>
      </c>
      <c r="K1814">
        <v>8</v>
      </c>
      <c r="L1814">
        <v>232</v>
      </c>
      <c r="M1814">
        <v>23</v>
      </c>
      <c r="N1814">
        <v>62</v>
      </c>
      <c r="O1814">
        <v>17</v>
      </c>
      <c r="P1814">
        <v>1</v>
      </c>
      <c r="Q1814">
        <v>4</v>
      </c>
      <c r="R1814">
        <v>3</v>
      </c>
      <c r="S1814">
        <v>6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>
        <v>3</v>
      </c>
      <c r="AB1814">
        <v>11</v>
      </c>
      <c r="AC1814">
        <v>0</v>
      </c>
    </row>
    <row r="1815" spans="1:29" x14ac:dyDescent="0.3">
      <c r="A1815">
        <v>10513</v>
      </c>
      <c r="B1815">
        <v>1992</v>
      </c>
      <c r="C1815" t="s">
        <v>29</v>
      </c>
      <c r="D1815" t="s">
        <v>31</v>
      </c>
      <c r="E1815">
        <v>63207</v>
      </c>
      <c r="F1815">
        <v>0</v>
      </c>
      <c r="G1815">
        <v>0</v>
      </c>
      <c r="H1815" s="1">
        <v>41294</v>
      </c>
      <c r="I1815">
        <v>68</v>
      </c>
      <c r="J1815">
        <v>438</v>
      </c>
      <c r="K1815">
        <v>169</v>
      </c>
      <c r="L1815">
        <v>565</v>
      </c>
      <c r="M1815">
        <v>91</v>
      </c>
      <c r="N1815">
        <v>169</v>
      </c>
      <c r="O1815">
        <v>70</v>
      </c>
      <c r="P1815">
        <v>1</v>
      </c>
      <c r="Q1815">
        <v>2</v>
      </c>
      <c r="R1815">
        <v>3</v>
      </c>
      <c r="S1815">
        <v>6</v>
      </c>
      <c r="T1815">
        <v>7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>
        <v>3</v>
      </c>
      <c r="AB1815">
        <v>11</v>
      </c>
      <c r="AC1815">
        <v>0</v>
      </c>
    </row>
    <row r="1816" spans="1:29" x14ac:dyDescent="0.3">
      <c r="A1816">
        <v>10177</v>
      </c>
      <c r="B1816">
        <v>1954</v>
      </c>
      <c r="C1816" t="s">
        <v>29</v>
      </c>
      <c r="D1816" t="s">
        <v>35</v>
      </c>
      <c r="E1816">
        <v>72071</v>
      </c>
      <c r="F1816">
        <v>0</v>
      </c>
      <c r="G1816">
        <v>1</v>
      </c>
      <c r="H1816" s="1">
        <v>41319</v>
      </c>
      <c r="I1816">
        <v>4</v>
      </c>
      <c r="J1816">
        <v>531</v>
      </c>
      <c r="K1816">
        <v>69</v>
      </c>
      <c r="L1816">
        <v>300</v>
      </c>
      <c r="M1816">
        <v>150</v>
      </c>
      <c r="N1816">
        <v>138</v>
      </c>
      <c r="O1816">
        <v>150</v>
      </c>
      <c r="P1816">
        <v>3</v>
      </c>
      <c r="Q1816">
        <v>5</v>
      </c>
      <c r="R1816">
        <v>4</v>
      </c>
      <c r="S1816">
        <v>8</v>
      </c>
      <c r="T1816">
        <v>2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3</v>
      </c>
      <c r="AB1816">
        <v>11</v>
      </c>
      <c r="AC1816">
        <v>0</v>
      </c>
    </row>
    <row r="1817" spans="1:29" x14ac:dyDescent="0.3">
      <c r="A1817">
        <v>2549</v>
      </c>
      <c r="B1817">
        <v>1983</v>
      </c>
      <c r="C1817" t="s">
        <v>32</v>
      </c>
      <c r="D1817" t="s">
        <v>31</v>
      </c>
      <c r="E1817">
        <v>21840</v>
      </c>
      <c r="F1817">
        <v>1</v>
      </c>
      <c r="G1817">
        <v>0</v>
      </c>
      <c r="H1817" s="1">
        <v>41476</v>
      </c>
      <c r="I1817">
        <v>80</v>
      </c>
      <c r="J1817">
        <v>17</v>
      </c>
      <c r="K1817">
        <v>0</v>
      </c>
      <c r="L1817">
        <v>9</v>
      </c>
      <c r="M1817">
        <v>0</v>
      </c>
      <c r="N1817">
        <v>0</v>
      </c>
      <c r="O1817">
        <v>1</v>
      </c>
      <c r="P1817">
        <v>1</v>
      </c>
      <c r="Q1817">
        <v>1</v>
      </c>
      <c r="R1817">
        <v>0</v>
      </c>
      <c r="S1817">
        <v>3</v>
      </c>
      <c r="T1817">
        <v>9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3</v>
      </c>
      <c r="AB1817">
        <v>11</v>
      </c>
      <c r="AC1817">
        <v>0</v>
      </c>
    </row>
    <row r="1818" spans="1:29" x14ac:dyDescent="0.3">
      <c r="A1818">
        <v>5782</v>
      </c>
      <c r="B1818">
        <v>1982</v>
      </c>
      <c r="C1818" t="s">
        <v>37</v>
      </c>
      <c r="D1818" t="s">
        <v>31</v>
      </c>
      <c r="E1818">
        <v>58582</v>
      </c>
      <c r="F1818">
        <v>0</v>
      </c>
      <c r="G1818">
        <v>1</v>
      </c>
      <c r="H1818" s="1">
        <v>41545</v>
      </c>
      <c r="I1818">
        <v>15</v>
      </c>
      <c r="J1818">
        <v>402</v>
      </c>
      <c r="K1818">
        <v>35</v>
      </c>
      <c r="L1818">
        <v>106</v>
      </c>
      <c r="M1818">
        <v>101</v>
      </c>
      <c r="N1818">
        <v>77</v>
      </c>
      <c r="O1818">
        <v>42</v>
      </c>
      <c r="P1818">
        <v>2</v>
      </c>
      <c r="Q1818">
        <v>9</v>
      </c>
      <c r="R1818">
        <v>2</v>
      </c>
      <c r="S1818">
        <v>9</v>
      </c>
      <c r="T1818">
        <v>5</v>
      </c>
      <c r="U1818">
        <v>0</v>
      </c>
      <c r="V1818">
        <v>1</v>
      </c>
      <c r="W1818">
        <v>0</v>
      </c>
      <c r="X1818">
        <v>0</v>
      </c>
      <c r="Y1818">
        <v>0</v>
      </c>
      <c r="Z1818">
        <v>0</v>
      </c>
      <c r="AA1818">
        <v>3</v>
      </c>
      <c r="AB1818">
        <v>11</v>
      </c>
      <c r="AC1818">
        <v>0</v>
      </c>
    </row>
    <row r="1819" spans="1:29" x14ac:dyDescent="0.3">
      <c r="A1819">
        <v>10057</v>
      </c>
      <c r="B1819">
        <v>1951</v>
      </c>
      <c r="C1819" t="s">
        <v>29</v>
      </c>
      <c r="D1819" t="s">
        <v>30</v>
      </c>
      <c r="E1819">
        <v>72282</v>
      </c>
      <c r="F1819">
        <v>0</v>
      </c>
      <c r="G1819">
        <v>0</v>
      </c>
      <c r="H1819" s="1">
        <v>41474</v>
      </c>
      <c r="I1819">
        <v>70</v>
      </c>
      <c r="J1819">
        <v>503</v>
      </c>
      <c r="K1819">
        <v>27</v>
      </c>
      <c r="L1819">
        <v>419</v>
      </c>
      <c r="M1819">
        <v>90</v>
      </c>
      <c r="N1819">
        <v>139</v>
      </c>
      <c r="O1819">
        <v>153</v>
      </c>
      <c r="P1819">
        <v>1</v>
      </c>
      <c r="Q1819">
        <v>5</v>
      </c>
      <c r="R1819">
        <v>7</v>
      </c>
      <c r="S1819">
        <v>9</v>
      </c>
      <c r="T1819">
        <v>7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3</v>
      </c>
      <c r="AB1819">
        <v>11</v>
      </c>
      <c r="AC1819">
        <v>1</v>
      </c>
    </row>
    <row r="1820" spans="1:29" x14ac:dyDescent="0.3">
      <c r="A1820">
        <v>10307</v>
      </c>
      <c r="B1820">
        <v>1956</v>
      </c>
      <c r="C1820" t="s">
        <v>29</v>
      </c>
      <c r="D1820" t="s">
        <v>33</v>
      </c>
      <c r="E1820">
        <v>50387</v>
      </c>
      <c r="F1820">
        <v>0</v>
      </c>
      <c r="G1820">
        <v>2</v>
      </c>
      <c r="H1820" s="1">
        <v>41517</v>
      </c>
      <c r="I1820">
        <v>91</v>
      </c>
      <c r="J1820">
        <v>369</v>
      </c>
      <c r="K1820">
        <v>9</v>
      </c>
      <c r="L1820">
        <v>87</v>
      </c>
      <c r="M1820">
        <v>12</v>
      </c>
      <c r="N1820">
        <v>14</v>
      </c>
      <c r="O1820">
        <v>34</v>
      </c>
      <c r="P1820">
        <v>3</v>
      </c>
      <c r="Q1820">
        <v>6</v>
      </c>
      <c r="R1820">
        <v>2</v>
      </c>
      <c r="S1820">
        <v>8</v>
      </c>
      <c r="T1820">
        <v>5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3</v>
      </c>
      <c r="AB1820">
        <v>11</v>
      </c>
      <c r="AC1820">
        <v>0</v>
      </c>
    </row>
    <row r="1821" spans="1:29" x14ac:dyDescent="0.3">
      <c r="A1821">
        <v>8566</v>
      </c>
      <c r="B1821">
        <v>1961</v>
      </c>
      <c r="C1821" t="s">
        <v>32</v>
      </c>
      <c r="D1821" t="s">
        <v>31</v>
      </c>
      <c r="E1821">
        <v>32583</v>
      </c>
      <c r="F1821">
        <v>1</v>
      </c>
      <c r="G1821">
        <v>1</v>
      </c>
      <c r="H1821" s="1">
        <v>41805</v>
      </c>
      <c r="I1821">
        <v>10</v>
      </c>
      <c r="J1821">
        <v>5</v>
      </c>
      <c r="K1821">
        <v>0</v>
      </c>
      <c r="L1821">
        <v>3</v>
      </c>
      <c r="M1821">
        <v>0</v>
      </c>
      <c r="N1821">
        <v>0</v>
      </c>
      <c r="O1821">
        <v>1</v>
      </c>
      <c r="P1821">
        <v>1</v>
      </c>
      <c r="Q1821">
        <v>1</v>
      </c>
      <c r="R1821">
        <v>0</v>
      </c>
      <c r="S1821">
        <v>2</v>
      </c>
      <c r="T1821">
        <v>7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3</v>
      </c>
      <c r="AB1821">
        <v>11</v>
      </c>
      <c r="AC1821">
        <v>0</v>
      </c>
    </row>
    <row r="1822" spans="1:29" x14ac:dyDescent="0.3">
      <c r="A1822">
        <v>2415</v>
      </c>
      <c r="B1822">
        <v>1962</v>
      </c>
      <c r="C1822" t="s">
        <v>29</v>
      </c>
      <c r="D1822" t="s">
        <v>31</v>
      </c>
      <c r="E1822">
        <v>62568</v>
      </c>
      <c r="F1822">
        <v>0</v>
      </c>
      <c r="G1822">
        <v>1</v>
      </c>
      <c r="H1822" s="1">
        <v>41736</v>
      </c>
      <c r="I1822">
        <v>99</v>
      </c>
      <c r="J1822">
        <v>362</v>
      </c>
      <c r="K1822">
        <v>17</v>
      </c>
      <c r="L1822">
        <v>398</v>
      </c>
      <c r="M1822">
        <v>80</v>
      </c>
      <c r="N1822">
        <v>35</v>
      </c>
      <c r="O1822">
        <v>61</v>
      </c>
      <c r="P1822">
        <v>3</v>
      </c>
      <c r="Q1822">
        <v>5</v>
      </c>
      <c r="R1822">
        <v>3</v>
      </c>
      <c r="S1822">
        <v>5</v>
      </c>
      <c r="T1822">
        <v>4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>
        <v>3</v>
      </c>
      <c r="AB1822">
        <v>11</v>
      </c>
      <c r="AC1822">
        <v>0</v>
      </c>
    </row>
    <row r="1823" spans="1:29" x14ac:dyDescent="0.3">
      <c r="A1823">
        <v>5684</v>
      </c>
      <c r="B1823">
        <v>1971</v>
      </c>
      <c r="C1823" t="s">
        <v>34</v>
      </c>
      <c r="D1823" t="s">
        <v>35</v>
      </c>
      <c r="E1823">
        <v>44635</v>
      </c>
      <c r="F1823">
        <v>1</v>
      </c>
      <c r="G1823">
        <v>1</v>
      </c>
      <c r="H1823" s="1">
        <v>41558</v>
      </c>
      <c r="I1823">
        <v>25</v>
      </c>
      <c r="J1823">
        <v>56</v>
      </c>
      <c r="K1823">
        <v>0</v>
      </c>
      <c r="L1823">
        <v>9</v>
      </c>
      <c r="M1823">
        <v>0</v>
      </c>
      <c r="N1823">
        <v>0</v>
      </c>
      <c r="O1823">
        <v>3</v>
      </c>
      <c r="P1823">
        <v>2</v>
      </c>
      <c r="Q1823">
        <v>2</v>
      </c>
      <c r="R1823">
        <v>0</v>
      </c>
      <c r="S1823">
        <v>3</v>
      </c>
      <c r="T1823">
        <v>7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3</v>
      </c>
      <c r="AB1823">
        <v>11</v>
      </c>
      <c r="AC1823">
        <v>0</v>
      </c>
    </row>
    <row r="1824" spans="1:29" x14ac:dyDescent="0.3">
      <c r="A1824">
        <v>8334</v>
      </c>
      <c r="B1824">
        <v>1971</v>
      </c>
      <c r="C1824" t="s">
        <v>34</v>
      </c>
      <c r="D1824" t="s">
        <v>30</v>
      </c>
      <c r="E1824">
        <v>33316</v>
      </c>
      <c r="F1824">
        <v>1</v>
      </c>
      <c r="G1824">
        <v>1</v>
      </c>
      <c r="H1824" s="1">
        <v>41551</v>
      </c>
      <c r="I1824">
        <v>34</v>
      </c>
      <c r="J1824">
        <v>79</v>
      </c>
      <c r="K1824">
        <v>1</v>
      </c>
      <c r="L1824">
        <v>31</v>
      </c>
      <c r="M1824">
        <v>4</v>
      </c>
      <c r="N1824">
        <v>4</v>
      </c>
      <c r="O1824">
        <v>12</v>
      </c>
      <c r="P1824">
        <v>3</v>
      </c>
      <c r="Q1824">
        <v>2</v>
      </c>
      <c r="R1824">
        <v>1</v>
      </c>
      <c r="S1824">
        <v>4</v>
      </c>
      <c r="T1824">
        <v>6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3</v>
      </c>
      <c r="AB1824">
        <v>11</v>
      </c>
      <c r="AC1824">
        <v>0</v>
      </c>
    </row>
    <row r="1825" spans="1:29" x14ac:dyDescent="0.3">
      <c r="A1825">
        <v>9166</v>
      </c>
      <c r="B1825">
        <v>1968</v>
      </c>
      <c r="C1825" t="s">
        <v>29</v>
      </c>
      <c r="D1825" t="s">
        <v>33</v>
      </c>
      <c r="E1825">
        <v>63967</v>
      </c>
      <c r="F1825">
        <v>0</v>
      </c>
      <c r="G1825">
        <v>1</v>
      </c>
      <c r="H1825" s="1">
        <v>41495</v>
      </c>
      <c r="I1825">
        <v>57</v>
      </c>
      <c r="J1825">
        <v>387</v>
      </c>
      <c r="K1825">
        <v>84</v>
      </c>
      <c r="L1825">
        <v>141</v>
      </c>
      <c r="M1825">
        <v>73</v>
      </c>
      <c r="N1825">
        <v>35</v>
      </c>
      <c r="O1825">
        <v>162</v>
      </c>
      <c r="P1825">
        <v>3</v>
      </c>
      <c r="Q1825">
        <v>4</v>
      </c>
      <c r="R1825">
        <v>4</v>
      </c>
      <c r="S1825">
        <v>12</v>
      </c>
      <c r="T1825">
        <v>2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3</v>
      </c>
      <c r="AB1825">
        <v>11</v>
      </c>
      <c r="AC1825">
        <v>0</v>
      </c>
    </row>
    <row r="1826" spans="1:29" x14ac:dyDescent="0.3">
      <c r="A1826">
        <v>1440</v>
      </c>
      <c r="B1826">
        <v>1978</v>
      </c>
      <c r="C1826" t="s">
        <v>37</v>
      </c>
      <c r="D1826" t="s">
        <v>31</v>
      </c>
      <c r="E1826">
        <v>52513</v>
      </c>
      <c r="F1826">
        <v>0</v>
      </c>
      <c r="G1826">
        <v>0</v>
      </c>
      <c r="H1826" s="1">
        <v>41156</v>
      </c>
      <c r="I1826">
        <v>84</v>
      </c>
      <c r="J1826">
        <v>367</v>
      </c>
      <c r="K1826">
        <v>17</v>
      </c>
      <c r="L1826">
        <v>241</v>
      </c>
      <c r="M1826">
        <v>104</v>
      </c>
      <c r="N1826">
        <v>188</v>
      </c>
      <c r="O1826">
        <v>232</v>
      </c>
      <c r="P1826">
        <v>2</v>
      </c>
      <c r="Q1826">
        <v>9</v>
      </c>
      <c r="R1826">
        <v>5</v>
      </c>
      <c r="S1826">
        <v>9</v>
      </c>
      <c r="T1826">
        <v>7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3</v>
      </c>
      <c r="AB1826">
        <v>11</v>
      </c>
      <c r="AC1826">
        <v>0</v>
      </c>
    </row>
    <row r="1827" spans="1:29" x14ac:dyDescent="0.3">
      <c r="A1827">
        <v>78</v>
      </c>
      <c r="B1827">
        <v>1969</v>
      </c>
      <c r="C1827" t="s">
        <v>29</v>
      </c>
      <c r="D1827" t="s">
        <v>33</v>
      </c>
      <c r="E1827">
        <v>25293</v>
      </c>
      <c r="F1827">
        <v>1</v>
      </c>
      <c r="G1827">
        <v>0</v>
      </c>
      <c r="H1827" s="1">
        <v>41532</v>
      </c>
      <c r="I1827">
        <v>51</v>
      </c>
      <c r="J1827">
        <v>15</v>
      </c>
      <c r="K1827">
        <v>0</v>
      </c>
      <c r="L1827">
        <v>11</v>
      </c>
      <c r="M1827">
        <v>0</v>
      </c>
      <c r="N1827">
        <v>2</v>
      </c>
      <c r="O1827">
        <v>9</v>
      </c>
      <c r="P1827">
        <v>1</v>
      </c>
      <c r="Q1827">
        <v>1</v>
      </c>
      <c r="R1827">
        <v>1</v>
      </c>
      <c r="S1827">
        <v>2</v>
      </c>
      <c r="T1827">
        <v>8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3</v>
      </c>
      <c r="AB1827">
        <v>11</v>
      </c>
      <c r="AC1827">
        <v>0</v>
      </c>
    </row>
    <row r="1828" spans="1:29" x14ac:dyDescent="0.3">
      <c r="A1828">
        <v>5441</v>
      </c>
      <c r="B1828">
        <v>1965</v>
      </c>
      <c r="C1828" t="s">
        <v>32</v>
      </c>
      <c r="D1828" t="s">
        <v>38</v>
      </c>
      <c r="E1828">
        <v>54111</v>
      </c>
      <c r="F1828">
        <v>0</v>
      </c>
      <c r="G1828">
        <v>1</v>
      </c>
      <c r="H1828" s="1">
        <v>41511</v>
      </c>
      <c r="I1828">
        <v>97</v>
      </c>
      <c r="J1828">
        <v>267</v>
      </c>
      <c r="K1828">
        <v>6</v>
      </c>
      <c r="L1828">
        <v>54</v>
      </c>
      <c r="M1828">
        <v>8</v>
      </c>
      <c r="N1828">
        <v>3</v>
      </c>
      <c r="O1828">
        <v>50</v>
      </c>
      <c r="P1828">
        <v>2</v>
      </c>
      <c r="Q1828">
        <v>5</v>
      </c>
      <c r="R1828">
        <v>2</v>
      </c>
      <c r="S1828">
        <v>6</v>
      </c>
      <c r="T1828">
        <v>5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3</v>
      </c>
      <c r="AB1828">
        <v>11</v>
      </c>
      <c r="AC1828">
        <v>0</v>
      </c>
    </row>
    <row r="1829" spans="1:29" x14ac:dyDescent="0.3">
      <c r="A1829">
        <v>5302</v>
      </c>
      <c r="B1829">
        <v>1986</v>
      </c>
      <c r="C1829" t="s">
        <v>29</v>
      </c>
      <c r="D1829" t="s">
        <v>31</v>
      </c>
      <c r="E1829">
        <v>78394</v>
      </c>
      <c r="F1829">
        <v>0</v>
      </c>
      <c r="G1829">
        <v>0</v>
      </c>
      <c r="H1829" s="1">
        <v>41320</v>
      </c>
      <c r="I1829">
        <v>13</v>
      </c>
      <c r="J1829">
        <v>298</v>
      </c>
      <c r="K1829">
        <v>27</v>
      </c>
      <c r="L1829">
        <v>697</v>
      </c>
      <c r="M1829">
        <v>216</v>
      </c>
      <c r="N1829">
        <v>24</v>
      </c>
      <c r="O1829">
        <v>166</v>
      </c>
      <c r="P1829">
        <v>1</v>
      </c>
      <c r="Q1829">
        <v>4</v>
      </c>
      <c r="R1829">
        <v>6</v>
      </c>
      <c r="S1829">
        <v>5</v>
      </c>
      <c r="T1829">
        <v>2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3</v>
      </c>
      <c r="AB1829">
        <v>11</v>
      </c>
      <c r="AC1829">
        <v>1</v>
      </c>
    </row>
    <row r="1830" spans="1:29" x14ac:dyDescent="0.3">
      <c r="A1830">
        <v>4687</v>
      </c>
      <c r="B1830">
        <v>1958</v>
      </c>
      <c r="C1830" t="s">
        <v>34</v>
      </c>
      <c r="D1830" t="s">
        <v>33</v>
      </c>
      <c r="E1830">
        <v>80739</v>
      </c>
      <c r="F1830">
        <v>0</v>
      </c>
      <c r="G1830">
        <v>0</v>
      </c>
      <c r="H1830" s="1">
        <v>41417</v>
      </c>
      <c r="I1830">
        <v>92</v>
      </c>
      <c r="J1830">
        <v>674</v>
      </c>
      <c r="K1830">
        <v>92</v>
      </c>
      <c r="L1830">
        <v>736</v>
      </c>
      <c r="M1830">
        <v>39</v>
      </c>
      <c r="N1830">
        <v>0</v>
      </c>
      <c r="O1830">
        <v>92</v>
      </c>
      <c r="P1830">
        <v>1</v>
      </c>
      <c r="Q1830">
        <v>3</v>
      </c>
      <c r="R1830">
        <v>11</v>
      </c>
      <c r="S1830">
        <v>9</v>
      </c>
      <c r="T1830">
        <v>1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3</v>
      </c>
      <c r="AB1830">
        <v>11</v>
      </c>
      <c r="AC1830">
        <v>0</v>
      </c>
    </row>
    <row r="1831" spans="1:29" x14ac:dyDescent="0.3">
      <c r="A1831">
        <v>1087</v>
      </c>
      <c r="B1831">
        <v>1975</v>
      </c>
      <c r="C1831" t="s">
        <v>34</v>
      </c>
      <c r="D1831" t="s">
        <v>31</v>
      </c>
      <c r="E1831">
        <v>22669</v>
      </c>
      <c r="F1831">
        <v>1</v>
      </c>
      <c r="G1831">
        <v>0</v>
      </c>
      <c r="H1831" s="1">
        <v>41416</v>
      </c>
      <c r="I1831">
        <v>30</v>
      </c>
      <c r="J1831">
        <v>16</v>
      </c>
      <c r="K1831">
        <v>14</v>
      </c>
      <c r="L1831">
        <v>36</v>
      </c>
      <c r="M1831">
        <v>37</v>
      </c>
      <c r="N1831">
        <v>22</v>
      </c>
      <c r="O1831">
        <v>48</v>
      </c>
      <c r="P1831">
        <v>3</v>
      </c>
      <c r="Q1831">
        <v>4</v>
      </c>
      <c r="R1831">
        <v>1</v>
      </c>
      <c r="S1831">
        <v>2</v>
      </c>
      <c r="T1831">
        <v>9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3</v>
      </c>
      <c r="AB1831">
        <v>11</v>
      </c>
      <c r="AC1831">
        <v>1</v>
      </c>
    </row>
    <row r="1832" spans="1:29" x14ac:dyDescent="0.3">
      <c r="A1832">
        <v>6859</v>
      </c>
      <c r="B1832">
        <v>1987</v>
      </c>
      <c r="C1832" t="s">
        <v>29</v>
      </c>
      <c r="D1832" t="s">
        <v>30</v>
      </c>
      <c r="E1832">
        <v>29236</v>
      </c>
      <c r="F1832">
        <v>1</v>
      </c>
      <c r="G1832">
        <v>0</v>
      </c>
      <c r="H1832" s="1">
        <v>41555</v>
      </c>
      <c r="I1832">
        <v>30</v>
      </c>
      <c r="J1832">
        <v>37</v>
      </c>
      <c r="K1832">
        <v>4</v>
      </c>
      <c r="L1832">
        <v>24</v>
      </c>
      <c r="M1832">
        <v>16</v>
      </c>
      <c r="N1832">
        <v>9</v>
      </c>
      <c r="O1832">
        <v>9</v>
      </c>
      <c r="P1832">
        <v>2</v>
      </c>
      <c r="Q1832">
        <v>4</v>
      </c>
      <c r="R1832">
        <v>0</v>
      </c>
      <c r="S1832">
        <v>3</v>
      </c>
      <c r="T1832">
        <v>9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3</v>
      </c>
      <c r="AB1832">
        <v>11</v>
      </c>
      <c r="AC1832">
        <v>0</v>
      </c>
    </row>
    <row r="1833" spans="1:29" x14ac:dyDescent="0.3">
      <c r="A1833">
        <v>9860</v>
      </c>
      <c r="B1833">
        <v>1959</v>
      </c>
      <c r="C1833" t="s">
        <v>29</v>
      </c>
      <c r="D1833" t="s">
        <v>31</v>
      </c>
      <c r="E1833">
        <v>44911</v>
      </c>
      <c r="F1833">
        <v>0</v>
      </c>
      <c r="G1833">
        <v>1</v>
      </c>
      <c r="H1833" s="1">
        <v>41348</v>
      </c>
      <c r="I1833">
        <v>11</v>
      </c>
      <c r="J1833">
        <v>159</v>
      </c>
      <c r="K1833">
        <v>0</v>
      </c>
      <c r="L1833">
        <v>22</v>
      </c>
      <c r="M1833">
        <v>2</v>
      </c>
      <c r="N1833">
        <v>1</v>
      </c>
      <c r="O1833">
        <v>31</v>
      </c>
      <c r="P1833">
        <v>3</v>
      </c>
      <c r="Q1833">
        <v>4</v>
      </c>
      <c r="R1833">
        <v>1</v>
      </c>
      <c r="S1833">
        <v>4</v>
      </c>
      <c r="T1833">
        <v>7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3</v>
      </c>
      <c r="AB1833">
        <v>11</v>
      </c>
      <c r="AC1833">
        <v>0</v>
      </c>
    </row>
    <row r="1834" spans="1:29" x14ac:dyDescent="0.3">
      <c r="A1834">
        <v>7129</v>
      </c>
      <c r="B1834">
        <v>1962</v>
      </c>
      <c r="C1834" t="s">
        <v>32</v>
      </c>
      <c r="D1834" t="s">
        <v>33</v>
      </c>
      <c r="E1834">
        <v>54693</v>
      </c>
      <c r="F1834">
        <v>0</v>
      </c>
      <c r="G1834">
        <v>1</v>
      </c>
      <c r="H1834" s="1">
        <v>41322</v>
      </c>
      <c r="I1834">
        <v>72</v>
      </c>
      <c r="J1834">
        <v>686</v>
      </c>
      <c r="K1834">
        <v>17</v>
      </c>
      <c r="L1834">
        <v>142</v>
      </c>
      <c r="M1834">
        <v>23</v>
      </c>
      <c r="N1834">
        <v>26</v>
      </c>
      <c r="O1834">
        <v>35</v>
      </c>
      <c r="P1834">
        <v>8</v>
      </c>
      <c r="Q1834">
        <v>6</v>
      </c>
      <c r="R1834">
        <v>4</v>
      </c>
      <c r="S1834">
        <v>13</v>
      </c>
      <c r="T1834">
        <v>6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3</v>
      </c>
      <c r="AB1834">
        <v>11</v>
      </c>
      <c r="AC1834">
        <v>0</v>
      </c>
    </row>
    <row r="1835" spans="1:29" x14ac:dyDescent="0.3">
      <c r="A1835">
        <v>5866</v>
      </c>
      <c r="B1835">
        <v>1974</v>
      </c>
      <c r="C1835" t="s">
        <v>29</v>
      </c>
      <c r="D1835" t="s">
        <v>31</v>
      </c>
      <c r="E1835">
        <v>48186</v>
      </c>
      <c r="F1835">
        <v>1</v>
      </c>
      <c r="G1835">
        <v>0</v>
      </c>
      <c r="H1835" s="1">
        <v>41718</v>
      </c>
      <c r="I1835">
        <v>39</v>
      </c>
      <c r="J1835">
        <v>97</v>
      </c>
      <c r="K1835">
        <v>3</v>
      </c>
      <c r="L1835">
        <v>66</v>
      </c>
      <c r="M1835">
        <v>12</v>
      </c>
      <c r="N1835">
        <v>7</v>
      </c>
      <c r="O1835">
        <v>34</v>
      </c>
      <c r="P1835">
        <v>3</v>
      </c>
      <c r="Q1835">
        <v>4</v>
      </c>
      <c r="R1835">
        <v>1</v>
      </c>
      <c r="S1835">
        <v>4</v>
      </c>
      <c r="T1835">
        <v>7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3</v>
      </c>
      <c r="AB1835">
        <v>11</v>
      </c>
      <c r="AC1835">
        <v>0</v>
      </c>
    </row>
    <row r="1836" spans="1:29" x14ac:dyDescent="0.3">
      <c r="A1836">
        <v>10521</v>
      </c>
      <c r="B1836">
        <v>1977</v>
      </c>
      <c r="C1836" t="s">
        <v>29</v>
      </c>
      <c r="D1836" t="s">
        <v>33</v>
      </c>
      <c r="E1836">
        <v>54809</v>
      </c>
      <c r="F1836">
        <v>1</v>
      </c>
      <c r="G1836">
        <v>1</v>
      </c>
      <c r="H1836" s="1">
        <v>41528</v>
      </c>
      <c r="I1836">
        <v>0</v>
      </c>
      <c r="J1836">
        <v>63</v>
      </c>
      <c r="K1836">
        <v>6</v>
      </c>
      <c r="L1836">
        <v>57</v>
      </c>
      <c r="M1836">
        <v>13</v>
      </c>
      <c r="N1836">
        <v>13</v>
      </c>
      <c r="O1836">
        <v>22</v>
      </c>
      <c r="P1836">
        <v>4</v>
      </c>
      <c r="Q1836">
        <v>2</v>
      </c>
      <c r="R1836">
        <v>1</v>
      </c>
      <c r="S1836">
        <v>5</v>
      </c>
      <c r="T1836">
        <v>4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3</v>
      </c>
      <c r="AB1836">
        <v>11</v>
      </c>
      <c r="AC1836">
        <v>1</v>
      </c>
    </row>
    <row r="1837" spans="1:29" x14ac:dyDescent="0.3">
      <c r="A1837">
        <v>7393</v>
      </c>
      <c r="B1837">
        <v>1978</v>
      </c>
      <c r="C1837" t="s">
        <v>29</v>
      </c>
      <c r="D1837" t="s">
        <v>31</v>
      </c>
      <c r="E1837">
        <v>41580</v>
      </c>
      <c r="F1837">
        <v>1</v>
      </c>
      <c r="G1837">
        <v>1</v>
      </c>
      <c r="H1837" s="1">
        <v>41253</v>
      </c>
      <c r="I1837">
        <v>15</v>
      </c>
      <c r="J1837">
        <v>56</v>
      </c>
      <c r="K1837">
        <v>5</v>
      </c>
      <c r="L1837">
        <v>24</v>
      </c>
      <c r="M1837">
        <v>4</v>
      </c>
      <c r="N1837">
        <v>0</v>
      </c>
      <c r="O1837">
        <v>3</v>
      </c>
      <c r="P1837">
        <v>3</v>
      </c>
      <c r="Q1837">
        <v>2</v>
      </c>
      <c r="R1837">
        <v>1</v>
      </c>
      <c r="S1837">
        <v>3</v>
      </c>
      <c r="T1837">
        <v>5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3</v>
      </c>
      <c r="AB1837">
        <v>11</v>
      </c>
      <c r="AC1837">
        <v>0</v>
      </c>
    </row>
    <row r="1838" spans="1:29" x14ac:dyDescent="0.3">
      <c r="A1838">
        <v>7849</v>
      </c>
      <c r="B1838">
        <v>1970</v>
      </c>
      <c r="C1838" t="s">
        <v>32</v>
      </c>
      <c r="D1838" t="s">
        <v>33</v>
      </c>
      <c r="E1838">
        <v>80336</v>
      </c>
      <c r="F1838">
        <v>0</v>
      </c>
      <c r="G1838">
        <v>0</v>
      </c>
      <c r="H1838" s="1">
        <v>41526</v>
      </c>
      <c r="I1838">
        <v>12</v>
      </c>
      <c r="J1838">
        <v>209</v>
      </c>
      <c r="K1838">
        <v>19</v>
      </c>
      <c r="L1838">
        <v>456</v>
      </c>
      <c r="M1838">
        <v>160</v>
      </c>
      <c r="N1838">
        <v>142</v>
      </c>
      <c r="O1838">
        <v>66</v>
      </c>
      <c r="P1838">
        <v>1</v>
      </c>
      <c r="Q1838">
        <v>2</v>
      </c>
      <c r="R1838">
        <v>9</v>
      </c>
      <c r="S1838">
        <v>13</v>
      </c>
      <c r="T1838">
        <v>1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3</v>
      </c>
      <c r="AB1838">
        <v>11</v>
      </c>
      <c r="AC1838">
        <v>0</v>
      </c>
    </row>
    <row r="1839" spans="1:29" x14ac:dyDescent="0.3">
      <c r="A1839">
        <v>332</v>
      </c>
      <c r="B1839">
        <v>1957</v>
      </c>
      <c r="C1839" t="s">
        <v>29</v>
      </c>
      <c r="D1839" t="s">
        <v>33</v>
      </c>
      <c r="E1839">
        <v>47743</v>
      </c>
      <c r="F1839">
        <v>0</v>
      </c>
      <c r="G1839">
        <v>1</v>
      </c>
      <c r="H1839" s="1">
        <v>41355</v>
      </c>
      <c r="I1839">
        <v>56</v>
      </c>
      <c r="J1839">
        <v>198</v>
      </c>
      <c r="K1839">
        <v>2</v>
      </c>
      <c r="L1839">
        <v>43</v>
      </c>
      <c r="M1839">
        <v>0</v>
      </c>
      <c r="N1839">
        <v>12</v>
      </c>
      <c r="O1839">
        <v>20</v>
      </c>
      <c r="P1839">
        <v>3</v>
      </c>
      <c r="Q1839">
        <v>4</v>
      </c>
      <c r="R1839">
        <v>1</v>
      </c>
      <c r="S1839">
        <v>6</v>
      </c>
      <c r="T1839">
        <v>6</v>
      </c>
      <c r="U1839">
        <v>0</v>
      </c>
      <c r="V1839">
        <v>1</v>
      </c>
      <c r="W1839">
        <v>0</v>
      </c>
      <c r="X1839">
        <v>0</v>
      </c>
      <c r="Y1839">
        <v>0</v>
      </c>
      <c r="Z1839">
        <v>0</v>
      </c>
      <c r="AA1839">
        <v>3</v>
      </c>
      <c r="AB1839">
        <v>11</v>
      </c>
      <c r="AC1839">
        <v>0</v>
      </c>
    </row>
    <row r="1840" spans="1:29" x14ac:dyDescent="0.3">
      <c r="A1840">
        <v>9847</v>
      </c>
      <c r="B1840">
        <v>1955</v>
      </c>
      <c r="C1840" t="s">
        <v>37</v>
      </c>
      <c r="D1840" t="s">
        <v>33</v>
      </c>
      <c r="E1840">
        <v>62972</v>
      </c>
      <c r="F1840">
        <v>0</v>
      </c>
      <c r="G1840">
        <v>1</v>
      </c>
      <c r="H1840" s="1">
        <v>41124</v>
      </c>
      <c r="I1840">
        <v>39</v>
      </c>
      <c r="J1840">
        <v>313</v>
      </c>
      <c r="K1840">
        <v>15</v>
      </c>
      <c r="L1840">
        <v>47</v>
      </c>
      <c r="M1840">
        <v>20</v>
      </c>
      <c r="N1840">
        <v>0</v>
      </c>
      <c r="O1840">
        <v>192</v>
      </c>
      <c r="P1840">
        <v>2</v>
      </c>
      <c r="Q1840">
        <v>7</v>
      </c>
      <c r="R1840">
        <v>4</v>
      </c>
      <c r="S1840">
        <v>3</v>
      </c>
      <c r="T1840">
        <v>6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3</v>
      </c>
      <c r="AB1840">
        <v>11</v>
      </c>
      <c r="AC1840">
        <v>0</v>
      </c>
    </row>
    <row r="1841" spans="1:29" x14ac:dyDescent="0.3">
      <c r="A1841">
        <v>531</v>
      </c>
      <c r="B1841">
        <v>1954</v>
      </c>
      <c r="C1841" t="s">
        <v>32</v>
      </c>
      <c r="D1841" t="s">
        <v>35</v>
      </c>
      <c r="E1841">
        <v>57333</v>
      </c>
      <c r="F1841">
        <v>0</v>
      </c>
      <c r="G1841">
        <v>1</v>
      </c>
      <c r="H1841" s="1">
        <v>41174</v>
      </c>
      <c r="I1841">
        <v>55</v>
      </c>
      <c r="J1841">
        <v>941</v>
      </c>
      <c r="K1841">
        <v>14</v>
      </c>
      <c r="L1841">
        <v>397</v>
      </c>
      <c r="M1841">
        <v>76</v>
      </c>
      <c r="N1841">
        <v>58</v>
      </c>
      <c r="O1841">
        <v>176</v>
      </c>
      <c r="P1841">
        <v>11</v>
      </c>
      <c r="Q1841">
        <v>8</v>
      </c>
      <c r="R1841">
        <v>5</v>
      </c>
      <c r="S1841">
        <v>9</v>
      </c>
      <c r="T1841">
        <v>6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3</v>
      </c>
      <c r="AB1841">
        <v>11</v>
      </c>
      <c r="AC1841">
        <v>1</v>
      </c>
    </row>
    <row r="1842" spans="1:29" x14ac:dyDescent="0.3">
      <c r="A1842">
        <v>9576</v>
      </c>
      <c r="B1842">
        <v>1982</v>
      </c>
      <c r="C1842" t="s">
        <v>32</v>
      </c>
      <c r="D1842" t="s">
        <v>31</v>
      </c>
      <c r="E1842">
        <v>32313</v>
      </c>
      <c r="F1842">
        <v>1</v>
      </c>
      <c r="G1842">
        <v>0</v>
      </c>
      <c r="H1842" s="1">
        <v>41316</v>
      </c>
      <c r="I1842">
        <v>60</v>
      </c>
      <c r="J1842">
        <v>86</v>
      </c>
      <c r="K1842">
        <v>4</v>
      </c>
      <c r="L1842">
        <v>56</v>
      </c>
      <c r="M1842">
        <v>2</v>
      </c>
      <c r="N1842">
        <v>4</v>
      </c>
      <c r="O1842">
        <v>7</v>
      </c>
      <c r="P1842">
        <v>3</v>
      </c>
      <c r="Q1842">
        <v>4</v>
      </c>
      <c r="R1842">
        <v>0</v>
      </c>
      <c r="S1842">
        <v>4</v>
      </c>
      <c r="T1842">
        <v>9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3</v>
      </c>
      <c r="AB1842">
        <v>11</v>
      </c>
      <c r="AC1842">
        <v>0</v>
      </c>
    </row>
    <row r="1843" spans="1:29" x14ac:dyDescent="0.3">
      <c r="A1843">
        <v>6906</v>
      </c>
      <c r="B1843">
        <v>1953</v>
      </c>
      <c r="C1843" t="s">
        <v>34</v>
      </c>
      <c r="D1843" t="s">
        <v>38</v>
      </c>
      <c r="E1843">
        <v>84953</v>
      </c>
      <c r="F1843">
        <v>0</v>
      </c>
      <c r="G1843">
        <v>0</v>
      </c>
      <c r="H1843" s="1">
        <v>41428</v>
      </c>
      <c r="I1843">
        <v>73</v>
      </c>
      <c r="J1843">
        <v>167</v>
      </c>
      <c r="K1843">
        <v>48</v>
      </c>
      <c r="L1843">
        <v>602</v>
      </c>
      <c r="M1843">
        <v>63</v>
      </c>
      <c r="N1843">
        <v>72</v>
      </c>
      <c r="O1843">
        <v>72</v>
      </c>
      <c r="P1843">
        <v>1</v>
      </c>
      <c r="Q1843">
        <v>3</v>
      </c>
      <c r="R1843">
        <v>10</v>
      </c>
      <c r="S1843">
        <v>4</v>
      </c>
      <c r="T1843">
        <v>2</v>
      </c>
      <c r="U1843">
        <v>0</v>
      </c>
      <c r="V1843">
        <v>1</v>
      </c>
      <c r="W1843">
        <v>1</v>
      </c>
      <c r="X1843">
        <v>1</v>
      </c>
      <c r="Y1843">
        <v>0</v>
      </c>
      <c r="Z1843">
        <v>0</v>
      </c>
      <c r="AA1843">
        <v>3</v>
      </c>
      <c r="AB1843">
        <v>11</v>
      </c>
      <c r="AC1843">
        <v>1</v>
      </c>
    </row>
    <row r="1844" spans="1:29" x14ac:dyDescent="0.3">
      <c r="A1844">
        <v>7419</v>
      </c>
      <c r="B1844">
        <v>1968</v>
      </c>
      <c r="C1844" t="s">
        <v>34</v>
      </c>
      <c r="D1844" t="s">
        <v>35</v>
      </c>
      <c r="E1844">
        <v>27071</v>
      </c>
      <c r="F1844">
        <v>1</v>
      </c>
      <c r="G1844">
        <v>0</v>
      </c>
      <c r="H1844" s="1">
        <v>41752</v>
      </c>
      <c r="I1844">
        <v>90</v>
      </c>
      <c r="J1844">
        <v>8</v>
      </c>
      <c r="K1844">
        <v>3</v>
      </c>
      <c r="L1844">
        <v>19</v>
      </c>
      <c r="M1844">
        <v>0</v>
      </c>
      <c r="N1844">
        <v>2</v>
      </c>
      <c r="O1844">
        <v>3</v>
      </c>
      <c r="P1844">
        <v>2</v>
      </c>
      <c r="Q1844">
        <v>2</v>
      </c>
      <c r="R1844">
        <v>0</v>
      </c>
      <c r="S1844">
        <v>3</v>
      </c>
      <c r="T1844">
        <v>6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3</v>
      </c>
      <c r="AB1844">
        <v>11</v>
      </c>
      <c r="AC1844">
        <v>0</v>
      </c>
    </row>
    <row r="1845" spans="1:29" x14ac:dyDescent="0.3">
      <c r="A1845">
        <v>3170</v>
      </c>
      <c r="B1845">
        <v>1957</v>
      </c>
      <c r="C1845" t="s">
        <v>34</v>
      </c>
      <c r="D1845" t="s">
        <v>31</v>
      </c>
      <c r="E1845">
        <v>68148</v>
      </c>
      <c r="F1845">
        <v>0</v>
      </c>
      <c r="G1845">
        <v>0</v>
      </c>
      <c r="H1845" s="1">
        <v>41517</v>
      </c>
      <c r="I1845">
        <v>86</v>
      </c>
      <c r="J1845">
        <v>389</v>
      </c>
      <c r="K1845">
        <v>66</v>
      </c>
      <c r="L1845">
        <v>408</v>
      </c>
      <c r="M1845">
        <v>37</v>
      </c>
      <c r="N1845">
        <v>57</v>
      </c>
      <c r="O1845">
        <v>85</v>
      </c>
      <c r="P1845">
        <v>1</v>
      </c>
      <c r="Q1845">
        <v>4</v>
      </c>
      <c r="R1845">
        <v>4</v>
      </c>
      <c r="S1845">
        <v>6</v>
      </c>
      <c r="T1845">
        <v>2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3</v>
      </c>
      <c r="AB1845">
        <v>11</v>
      </c>
      <c r="AC1845">
        <v>0</v>
      </c>
    </row>
    <row r="1846" spans="1:29" x14ac:dyDescent="0.3">
      <c r="A1846">
        <v>8527</v>
      </c>
      <c r="B1846">
        <v>1965</v>
      </c>
      <c r="C1846" t="s">
        <v>34</v>
      </c>
      <c r="D1846" t="s">
        <v>31</v>
      </c>
      <c r="E1846">
        <v>65735</v>
      </c>
      <c r="F1846">
        <v>1</v>
      </c>
      <c r="G1846">
        <v>1</v>
      </c>
      <c r="H1846" s="1">
        <v>41615</v>
      </c>
      <c r="I1846">
        <v>37</v>
      </c>
      <c r="J1846">
        <v>239</v>
      </c>
      <c r="K1846">
        <v>7</v>
      </c>
      <c r="L1846">
        <v>119</v>
      </c>
      <c r="M1846">
        <v>4</v>
      </c>
      <c r="N1846">
        <v>15</v>
      </c>
      <c r="O1846">
        <v>11</v>
      </c>
      <c r="P1846">
        <v>5</v>
      </c>
      <c r="Q1846">
        <v>6</v>
      </c>
      <c r="R1846">
        <v>2</v>
      </c>
      <c r="S1846">
        <v>6</v>
      </c>
      <c r="T1846">
        <v>7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3</v>
      </c>
      <c r="AB1846">
        <v>11</v>
      </c>
      <c r="AC1846">
        <v>0</v>
      </c>
    </row>
    <row r="1847" spans="1:29" x14ac:dyDescent="0.3">
      <c r="A1847">
        <v>7872</v>
      </c>
      <c r="B1847">
        <v>1975</v>
      </c>
      <c r="C1847" t="s">
        <v>32</v>
      </c>
      <c r="D1847" t="s">
        <v>33</v>
      </c>
      <c r="E1847">
        <v>86836</v>
      </c>
      <c r="F1847">
        <v>0</v>
      </c>
      <c r="G1847">
        <v>0</v>
      </c>
      <c r="H1847" s="1">
        <v>41164</v>
      </c>
      <c r="I1847">
        <v>7</v>
      </c>
      <c r="J1847">
        <v>179</v>
      </c>
      <c r="K1847">
        <v>21</v>
      </c>
      <c r="L1847">
        <v>273</v>
      </c>
      <c r="M1847">
        <v>0</v>
      </c>
      <c r="N1847">
        <v>21</v>
      </c>
      <c r="O1847">
        <v>63</v>
      </c>
      <c r="P1847">
        <v>1</v>
      </c>
      <c r="Q1847">
        <v>6</v>
      </c>
      <c r="R1847">
        <v>10</v>
      </c>
      <c r="S1847">
        <v>6</v>
      </c>
      <c r="T1847">
        <v>5</v>
      </c>
      <c r="U1847">
        <v>1</v>
      </c>
      <c r="V1847">
        <v>0</v>
      </c>
      <c r="W1847">
        <v>1</v>
      </c>
      <c r="X1847">
        <v>1</v>
      </c>
      <c r="Y1847">
        <v>0</v>
      </c>
      <c r="Z1847">
        <v>0</v>
      </c>
      <c r="AA1847">
        <v>3</v>
      </c>
      <c r="AB1847">
        <v>11</v>
      </c>
      <c r="AC1847">
        <v>1</v>
      </c>
    </row>
    <row r="1848" spans="1:29" x14ac:dyDescent="0.3">
      <c r="A1848">
        <v>9931</v>
      </c>
      <c r="B1848">
        <v>1963</v>
      </c>
      <c r="C1848" t="s">
        <v>32</v>
      </c>
      <c r="D1848" t="s">
        <v>33</v>
      </c>
      <c r="E1848">
        <v>4023</v>
      </c>
      <c r="F1848">
        <v>1</v>
      </c>
      <c r="G1848">
        <v>1</v>
      </c>
      <c r="H1848" s="1">
        <v>41813</v>
      </c>
      <c r="I1848">
        <v>29</v>
      </c>
      <c r="J1848">
        <v>5</v>
      </c>
      <c r="K1848">
        <v>0</v>
      </c>
      <c r="L1848">
        <v>1</v>
      </c>
      <c r="M1848">
        <v>1</v>
      </c>
      <c r="N1848">
        <v>1</v>
      </c>
      <c r="O1848">
        <v>1</v>
      </c>
      <c r="P1848">
        <v>15</v>
      </c>
      <c r="Q1848">
        <v>0</v>
      </c>
      <c r="R1848">
        <v>0</v>
      </c>
      <c r="S1848">
        <v>0</v>
      </c>
      <c r="T1848">
        <v>19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3</v>
      </c>
      <c r="AB1848">
        <v>11</v>
      </c>
      <c r="AC1848">
        <v>0</v>
      </c>
    </row>
    <row r="1849" spans="1:29" x14ac:dyDescent="0.3">
      <c r="A1849">
        <v>10595</v>
      </c>
      <c r="B1849">
        <v>1990</v>
      </c>
      <c r="C1849" t="s">
        <v>29</v>
      </c>
      <c r="D1849" t="s">
        <v>33</v>
      </c>
      <c r="E1849">
        <v>30093</v>
      </c>
      <c r="F1849">
        <v>0</v>
      </c>
      <c r="G1849">
        <v>0</v>
      </c>
      <c r="H1849" s="1">
        <v>41463</v>
      </c>
      <c r="I1849">
        <v>19</v>
      </c>
      <c r="J1849">
        <v>2</v>
      </c>
      <c r="K1849">
        <v>6</v>
      </c>
      <c r="L1849">
        <v>28</v>
      </c>
      <c r="M1849">
        <v>13</v>
      </c>
      <c r="N1849">
        <v>4</v>
      </c>
      <c r="O1849">
        <v>16</v>
      </c>
      <c r="P1849">
        <v>1</v>
      </c>
      <c r="Q1849">
        <v>2</v>
      </c>
      <c r="R1849">
        <v>0</v>
      </c>
      <c r="S1849">
        <v>3</v>
      </c>
      <c r="T1849">
        <v>7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3</v>
      </c>
      <c r="AB1849">
        <v>11</v>
      </c>
      <c r="AC1849">
        <v>0</v>
      </c>
    </row>
    <row r="1850" spans="1:29" x14ac:dyDescent="0.3">
      <c r="A1850">
        <v>4609</v>
      </c>
      <c r="B1850">
        <v>1966</v>
      </c>
      <c r="C1850" t="s">
        <v>32</v>
      </c>
      <c r="D1850" t="s">
        <v>33</v>
      </c>
      <c r="E1850">
        <v>57705</v>
      </c>
      <c r="F1850">
        <v>0</v>
      </c>
      <c r="G1850">
        <v>1</v>
      </c>
      <c r="H1850" s="1">
        <v>41650</v>
      </c>
      <c r="I1850">
        <v>14</v>
      </c>
      <c r="J1850">
        <v>383</v>
      </c>
      <c r="K1850">
        <v>0</v>
      </c>
      <c r="L1850">
        <v>53</v>
      </c>
      <c r="M1850">
        <v>6</v>
      </c>
      <c r="N1850">
        <v>4</v>
      </c>
      <c r="O1850">
        <v>40</v>
      </c>
      <c r="P1850">
        <v>3</v>
      </c>
      <c r="Q1850">
        <v>8</v>
      </c>
      <c r="R1850">
        <v>1</v>
      </c>
      <c r="S1850">
        <v>6</v>
      </c>
      <c r="T1850">
        <v>6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3</v>
      </c>
      <c r="AB1850">
        <v>11</v>
      </c>
      <c r="AC1850">
        <v>0</v>
      </c>
    </row>
    <row r="1851" spans="1:29" x14ac:dyDescent="0.3">
      <c r="A1851">
        <v>5010</v>
      </c>
      <c r="B1851">
        <v>1988</v>
      </c>
      <c r="C1851" t="s">
        <v>29</v>
      </c>
      <c r="D1851" t="s">
        <v>30</v>
      </c>
      <c r="E1851">
        <v>25008</v>
      </c>
      <c r="F1851">
        <v>1</v>
      </c>
      <c r="G1851">
        <v>0</v>
      </c>
      <c r="H1851" s="1">
        <v>41672</v>
      </c>
      <c r="I1851">
        <v>72</v>
      </c>
      <c r="J1851">
        <v>2</v>
      </c>
      <c r="K1851">
        <v>8</v>
      </c>
      <c r="L1851">
        <v>8</v>
      </c>
      <c r="M1851">
        <v>6</v>
      </c>
      <c r="N1851">
        <v>1</v>
      </c>
      <c r="O1851">
        <v>9</v>
      </c>
      <c r="P1851">
        <v>2</v>
      </c>
      <c r="Q1851">
        <v>1</v>
      </c>
      <c r="R1851">
        <v>0</v>
      </c>
      <c r="S1851">
        <v>3</v>
      </c>
      <c r="T1851">
        <v>8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3</v>
      </c>
      <c r="AB1851">
        <v>11</v>
      </c>
      <c r="AC1851">
        <v>0</v>
      </c>
    </row>
    <row r="1852" spans="1:29" x14ac:dyDescent="0.3">
      <c r="A1852">
        <v>4427</v>
      </c>
      <c r="B1852">
        <v>1995</v>
      </c>
      <c r="C1852" t="s">
        <v>37</v>
      </c>
      <c r="D1852" t="s">
        <v>30</v>
      </c>
      <c r="E1852">
        <v>83257</v>
      </c>
      <c r="F1852">
        <v>0</v>
      </c>
      <c r="G1852">
        <v>0</v>
      </c>
      <c r="H1852" s="1">
        <v>41170</v>
      </c>
      <c r="I1852">
        <v>56</v>
      </c>
      <c r="J1852">
        <v>536</v>
      </c>
      <c r="K1852">
        <v>27</v>
      </c>
      <c r="L1852">
        <v>590</v>
      </c>
      <c r="M1852">
        <v>38</v>
      </c>
      <c r="N1852">
        <v>107</v>
      </c>
      <c r="O1852">
        <v>67</v>
      </c>
      <c r="P1852">
        <v>1</v>
      </c>
      <c r="Q1852">
        <v>5</v>
      </c>
      <c r="R1852">
        <v>10</v>
      </c>
      <c r="S1852">
        <v>12</v>
      </c>
      <c r="T1852">
        <v>6</v>
      </c>
      <c r="U1852">
        <v>1</v>
      </c>
      <c r="V1852">
        <v>0</v>
      </c>
      <c r="W1852">
        <v>1</v>
      </c>
      <c r="X1852">
        <v>0</v>
      </c>
      <c r="Y1852">
        <v>0</v>
      </c>
      <c r="Z1852">
        <v>1</v>
      </c>
      <c r="AA1852">
        <v>3</v>
      </c>
      <c r="AB1852">
        <v>11</v>
      </c>
      <c r="AC1852">
        <v>1</v>
      </c>
    </row>
    <row r="1853" spans="1:29" x14ac:dyDescent="0.3">
      <c r="A1853">
        <v>11148</v>
      </c>
      <c r="B1853">
        <v>1975</v>
      </c>
      <c r="C1853" t="s">
        <v>29</v>
      </c>
      <c r="D1853" t="s">
        <v>31</v>
      </c>
      <c r="E1853">
        <v>22280</v>
      </c>
      <c r="F1853">
        <v>1</v>
      </c>
      <c r="G1853">
        <v>0</v>
      </c>
      <c r="H1853" s="1">
        <v>41413</v>
      </c>
      <c r="I1853">
        <v>85</v>
      </c>
      <c r="J1853">
        <v>2</v>
      </c>
      <c r="K1853">
        <v>1</v>
      </c>
      <c r="L1853">
        <v>4</v>
      </c>
      <c r="M1853">
        <v>3</v>
      </c>
      <c r="N1853">
        <v>1</v>
      </c>
      <c r="O1853">
        <v>2</v>
      </c>
      <c r="P1853">
        <v>1</v>
      </c>
      <c r="Q1853">
        <v>1</v>
      </c>
      <c r="R1853">
        <v>0</v>
      </c>
      <c r="S1853">
        <v>2</v>
      </c>
      <c r="T1853">
        <v>8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3</v>
      </c>
      <c r="AB1853">
        <v>11</v>
      </c>
      <c r="AC1853">
        <v>0</v>
      </c>
    </row>
    <row r="1854" spans="1:29" x14ac:dyDescent="0.3">
      <c r="A1854">
        <v>1168</v>
      </c>
      <c r="B1854">
        <v>1978</v>
      </c>
      <c r="C1854" t="s">
        <v>32</v>
      </c>
      <c r="D1854" t="s">
        <v>33</v>
      </c>
      <c r="E1854">
        <v>72159</v>
      </c>
      <c r="F1854">
        <v>0</v>
      </c>
      <c r="G1854">
        <v>0</v>
      </c>
      <c r="H1854" s="1">
        <v>41211</v>
      </c>
      <c r="I1854">
        <v>62</v>
      </c>
      <c r="J1854">
        <v>322</v>
      </c>
      <c r="K1854">
        <v>53</v>
      </c>
      <c r="L1854">
        <v>899</v>
      </c>
      <c r="M1854">
        <v>34</v>
      </c>
      <c r="N1854">
        <v>40</v>
      </c>
      <c r="O1854">
        <v>53</v>
      </c>
      <c r="P1854">
        <v>1</v>
      </c>
      <c r="Q1854">
        <v>4</v>
      </c>
      <c r="R1854">
        <v>6</v>
      </c>
      <c r="S1854">
        <v>10</v>
      </c>
      <c r="T1854">
        <v>2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3</v>
      </c>
      <c r="AB1854">
        <v>11</v>
      </c>
      <c r="AC1854">
        <v>0</v>
      </c>
    </row>
    <row r="1855" spans="1:29" x14ac:dyDescent="0.3">
      <c r="A1855">
        <v>9595</v>
      </c>
      <c r="B1855">
        <v>1961</v>
      </c>
      <c r="C1855" t="s">
        <v>29</v>
      </c>
      <c r="D1855" t="s">
        <v>31</v>
      </c>
      <c r="E1855">
        <v>64260</v>
      </c>
      <c r="F1855">
        <v>0</v>
      </c>
      <c r="G1855">
        <v>0</v>
      </c>
      <c r="H1855" s="1">
        <v>41285</v>
      </c>
      <c r="I1855">
        <v>1</v>
      </c>
      <c r="J1855">
        <v>539</v>
      </c>
      <c r="K1855">
        <v>169</v>
      </c>
      <c r="L1855">
        <v>816</v>
      </c>
      <c r="M1855">
        <v>20</v>
      </c>
      <c r="N1855">
        <v>0</v>
      </c>
      <c r="O1855">
        <v>30</v>
      </c>
      <c r="P1855">
        <v>1</v>
      </c>
      <c r="Q1855">
        <v>4</v>
      </c>
      <c r="R1855">
        <v>5</v>
      </c>
      <c r="S1855">
        <v>4</v>
      </c>
      <c r="T1855">
        <v>3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3</v>
      </c>
      <c r="AB1855">
        <v>11</v>
      </c>
      <c r="AC1855">
        <v>1</v>
      </c>
    </row>
    <row r="1856" spans="1:29" x14ac:dyDescent="0.3">
      <c r="A1856">
        <v>10163</v>
      </c>
      <c r="B1856">
        <v>1984</v>
      </c>
      <c r="C1856" t="s">
        <v>32</v>
      </c>
      <c r="D1856" t="s">
        <v>30</v>
      </c>
      <c r="E1856">
        <v>82733</v>
      </c>
      <c r="F1856">
        <v>0</v>
      </c>
      <c r="G1856">
        <v>0</v>
      </c>
      <c r="H1856" s="1">
        <v>41527</v>
      </c>
      <c r="I1856">
        <v>28</v>
      </c>
      <c r="J1856">
        <v>712</v>
      </c>
      <c r="K1856">
        <v>50</v>
      </c>
      <c r="L1856">
        <v>420</v>
      </c>
      <c r="M1856">
        <v>65</v>
      </c>
      <c r="N1856">
        <v>38</v>
      </c>
      <c r="O1856">
        <v>38</v>
      </c>
      <c r="P1856">
        <v>1</v>
      </c>
      <c r="Q1856">
        <v>8</v>
      </c>
      <c r="R1856">
        <v>4</v>
      </c>
      <c r="S1856">
        <v>7</v>
      </c>
      <c r="T1856">
        <v>4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3</v>
      </c>
      <c r="AB1856">
        <v>11</v>
      </c>
      <c r="AC1856">
        <v>1</v>
      </c>
    </row>
    <row r="1857" spans="1:29" x14ac:dyDescent="0.3">
      <c r="A1857">
        <v>2886</v>
      </c>
      <c r="B1857">
        <v>1971</v>
      </c>
      <c r="C1857" t="s">
        <v>34</v>
      </c>
      <c r="D1857" t="s">
        <v>35</v>
      </c>
      <c r="E1857">
        <v>74290</v>
      </c>
      <c r="F1857">
        <v>0</v>
      </c>
      <c r="G1857">
        <v>1</v>
      </c>
      <c r="H1857" s="1">
        <v>41498</v>
      </c>
      <c r="I1857">
        <v>70</v>
      </c>
      <c r="J1857">
        <v>1121</v>
      </c>
      <c r="K1857">
        <v>0</v>
      </c>
      <c r="L1857">
        <v>72</v>
      </c>
      <c r="M1857">
        <v>0</v>
      </c>
      <c r="N1857">
        <v>12</v>
      </c>
      <c r="O1857">
        <v>12</v>
      </c>
      <c r="P1857">
        <v>4</v>
      </c>
      <c r="Q1857">
        <v>10</v>
      </c>
      <c r="R1857">
        <v>8</v>
      </c>
      <c r="S1857">
        <v>10</v>
      </c>
      <c r="T1857">
        <v>6</v>
      </c>
      <c r="U1857">
        <v>0</v>
      </c>
      <c r="V1857">
        <v>1</v>
      </c>
      <c r="W1857">
        <v>0</v>
      </c>
      <c r="X1857">
        <v>1</v>
      </c>
      <c r="Y1857">
        <v>0</v>
      </c>
      <c r="Z1857">
        <v>0</v>
      </c>
      <c r="AA1857">
        <v>3</v>
      </c>
      <c r="AB1857">
        <v>11</v>
      </c>
      <c r="AC1857">
        <v>0</v>
      </c>
    </row>
    <row r="1858" spans="1:29" x14ac:dyDescent="0.3">
      <c r="A1858">
        <v>6710</v>
      </c>
      <c r="B1858">
        <v>1951</v>
      </c>
      <c r="C1858" t="s">
        <v>34</v>
      </c>
      <c r="D1858" t="s">
        <v>30</v>
      </c>
      <c r="E1858">
        <v>58217</v>
      </c>
      <c r="F1858">
        <v>2</v>
      </c>
      <c r="G1858">
        <v>1</v>
      </c>
      <c r="H1858" s="1">
        <v>41230</v>
      </c>
      <c r="I1858">
        <v>84</v>
      </c>
      <c r="J1858">
        <v>68</v>
      </c>
      <c r="K1858">
        <v>1</v>
      </c>
      <c r="L1858">
        <v>13</v>
      </c>
      <c r="M1858">
        <v>3</v>
      </c>
      <c r="N1858">
        <v>5</v>
      </c>
      <c r="O1858">
        <v>13</v>
      </c>
      <c r="P1858">
        <v>1</v>
      </c>
      <c r="Q1858">
        <v>2</v>
      </c>
      <c r="R1858">
        <v>0</v>
      </c>
      <c r="S1858">
        <v>4</v>
      </c>
      <c r="T1858">
        <v>6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3</v>
      </c>
      <c r="AB1858">
        <v>11</v>
      </c>
      <c r="AC1858">
        <v>0</v>
      </c>
    </row>
    <row r="1859" spans="1:29" x14ac:dyDescent="0.3">
      <c r="A1859">
        <v>5316</v>
      </c>
      <c r="B1859">
        <v>1976</v>
      </c>
      <c r="C1859" t="s">
        <v>34</v>
      </c>
      <c r="D1859" t="s">
        <v>31</v>
      </c>
      <c r="E1859">
        <v>21024</v>
      </c>
      <c r="F1859">
        <v>0</v>
      </c>
      <c r="G1859">
        <v>0</v>
      </c>
      <c r="H1859" s="1">
        <v>41459</v>
      </c>
      <c r="I1859">
        <v>89</v>
      </c>
      <c r="J1859">
        <v>36</v>
      </c>
      <c r="K1859">
        <v>4</v>
      </c>
      <c r="L1859">
        <v>18</v>
      </c>
      <c r="M1859">
        <v>6</v>
      </c>
      <c r="N1859">
        <v>2</v>
      </c>
      <c r="O1859">
        <v>18</v>
      </c>
      <c r="P1859">
        <v>1</v>
      </c>
      <c r="Q1859">
        <v>2</v>
      </c>
      <c r="R1859">
        <v>0</v>
      </c>
      <c r="S1859">
        <v>4</v>
      </c>
      <c r="T1859">
        <v>7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3</v>
      </c>
      <c r="AB1859">
        <v>11</v>
      </c>
      <c r="AC1859">
        <v>0</v>
      </c>
    </row>
    <row r="1860" spans="1:29" x14ac:dyDescent="0.3">
      <c r="A1860">
        <v>9029</v>
      </c>
      <c r="B1860">
        <v>1972</v>
      </c>
      <c r="C1860" t="s">
        <v>32</v>
      </c>
      <c r="D1860" t="s">
        <v>33</v>
      </c>
      <c r="E1860">
        <v>70116</v>
      </c>
      <c r="F1860">
        <v>0</v>
      </c>
      <c r="G1860">
        <v>0</v>
      </c>
      <c r="H1860" s="1">
        <v>41300</v>
      </c>
      <c r="I1860">
        <v>73</v>
      </c>
      <c r="J1860">
        <v>707</v>
      </c>
      <c r="K1860">
        <v>44</v>
      </c>
      <c r="L1860">
        <v>603</v>
      </c>
      <c r="M1860">
        <v>95</v>
      </c>
      <c r="N1860">
        <v>58</v>
      </c>
      <c r="O1860">
        <v>29</v>
      </c>
      <c r="P1860">
        <v>1</v>
      </c>
      <c r="Q1860">
        <v>2</v>
      </c>
      <c r="R1860">
        <v>8</v>
      </c>
      <c r="S1860">
        <v>12</v>
      </c>
      <c r="T1860">
        <v>1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3</v>
      </c>
      <c r="AB1860">
        <v>11</v>
      </c>
      <c r="AC1860">
        <v>0</v>
      </c>
    </row>
    <row r="1861" spans="1:29" x14ac:dyDescent="0.3">
      <c r="A1861">
        <v>521</v>
      </c>
      <c r="B1861">
        <v>1985</v>
      </c>
      <c r="C1861" t="s">
        <v>29</v>
      </c>
      <c r="D1861" t="s">
        <v>31</v>
      </c>
      <c r="E1861">
        <v>54006</v>
      </c>
      <c r="F1861">
        <v>1</v>
      </c>
      <c r="G1861">
        <v>0</v>
      </c>
      <c r="H1861" s="1">
        <v>41170</v>
      </c>
      <c r="I1861">
        <v>42</v>
      </c>
      <c r="J1861">
        <v>174</v>
      </c>
      <c r="K1861">
        <v>77</v>
      </c>
      <c r="L1861">
        <v>203</v>
      </c>
      <c r="M1861">
        <v>6</v>
      </c>
      <c r="N1861">
        <v>24</v>
      </c>
      <c r="O1861">
        <v>97</v>
      </c>
      <c r="P1861">
        <v>2</v>
      </c>
      <c r="Q1861">
        <v>8</v>
      </c>
      <c r="R1861">
        <v>1</v>
      </c>
      <c r="S1861">
        <v>7</v>
      </c>
      <c r="T1861">
        <v>7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3</v>
      </c>
      <c r="AB1861">
        <v>11</v>
      </c>
      <c r="AC1861">
        <v>0</v>
      </c>
    </row>
    <row r="1862" spans="1:29" x14ac:dyDescent="0.3">
      <c r="A1862">
        <v>1459</v>
      </c>
      <c r="B1862">
        <v>1966</v>
      </c>
      <c r="C1862" t="s">
        <v>32</v>
      </c>
      <c r="D1862" t="s">
        <v>33</v>
      </c>
      <c r="E1862">
        <v>69063</v>
      </c>
      <c r="F1862">
        <v>0</v>
      </c>
      <c r="G1862">
        <v>1</v>
      </c>
      <c r="H1862" s="1">
        <v>41220</v>
      </c>
      <c r="I1862">
        <v>16</v>
      </c>
      <c r="J1862">
        <v>666</v>
      </c>
      <c r="K1862">
        <v>35</v>
      </c>
      <c r="L1862">
        <v>124</v>
      </c>
      <c r="M1862">
        <v>69</v>
      </c>
      <c r="N1862">
        <v>8</v>
      </c>
      <c r="O1862">
        <v>26</v>
      </c>
      <c r="P1862">
        <v>1</v>
      </c>
      <c r="Q1862">
        <v>5</v>
      </c>
      <c r="R1862">
        <v>3</v>
      </c>
      <c r="S1862">
        <v>5</v>
      </c>
      <c r="T1862">
        <v>3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3</v>
      </c>
      <c r="AB1862">
        <v>11</v>
      </c>
      <c r="AC1862">
        <v>0</v>
      </c>
    </row>
    <row r="1863" spans="1:29" x14ac:dyDescent="0.3">
      <c r="A1863">
        <v>10241</v>
      </c>
      <c r="B1863">
        <v>1975</v>
      </c>
      <c r="C1863" t="s">
        <v>37</v>
      </c>
      <c r="D1863" t="s">
        <v>35</v>
      </c>
      <c r="E1863">
        <v>11448</v>
      </c>
      <c r="F1863">
        <v>0</v>
      </c>
      <c r="G1863">
        <v>0</v>
      </c>
      <c r="H1863" s="1">
        <v>41623</v>
      </c>
      <c r="I1863">
        <v>16</v>
      </c>
      <c r="J1863">
        <v>0</v>
      </c>
      <c r="K1863">
        <v>0</v>
      </c>
      <c r="L1863">
        <v>0</v>
      </c>
      <c r="M1863">
        <v>6</v>
      </c>
      <c r="N1863">
        <v>2</v>
      </c>
      <c r="O1863">
        <v>6</v>
      </c>
      <c r="P1863">
        <v>1</v>
      </c>
      <c r="Q1863">
        <v>1</v>
      </c>
      <c r="R1863">
        <v>0</v>
      </c>
      <c r="S1863">
        <v>2</v>
      </c>
      <c r="T1863">
        <v>6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3</v>
      </c>
      <c r="AB1863">
        <v>11</v>
      </c>
      <c r="AC1863">
        <v>0</v>
      </c>
    </row>
    <row r="1864" spans="1:29" x14ac:dyDescent="0.3">
      <c r="A1864">
        <v>1630</v>
      </c>
      <c r="B1864">
        <v>1979</v>
      </c>
      <c r="C1864" t="s">
        <v>29</v>
      </c>
      <c r="D1864" t="s">
        <v>30</v>
      </c>
      <c r="E1864">
        <v>61825</v>
      </c>
      <c r="F1864">
        <v>0</v>
      </c>
      <c r="G1864">
        <v>1</v>
      </c>
      <c r="H1864" s="1">
        <v>41493</v>
      </c>
      <c r="I1864">
        <v>56</v>
      </c>
      <c r="J1864">
        <v>162</v>
      </c>
      <c r="K1864">
        <v>50</v>
      </c>
      <c r="L1864">
        <v>100</v>
      </c>
      <c r="M1864">
        <v>55</v>
      </c>
      <c r="N1864">
        <v>30</v>
      </c>
      <c r="O1864">
        <v>27</v>
      </c>
      <c r="P1864">
        <v>1</v>
      </c>
      <c r="Q1864">
        <v>4</v>
      </c>
      <c r="R1864">
        <v>2</v>
      </c>
      <c r="S1864">
        <v>8</v>
      </c>
      <c r="T1864">
        <v>4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3</v>
      </c>
      <c r="AB1864">
        <v>11</v>
      </c>
      <c r="AC1864">
        <v>0</v>
      </c>
    </row>
    <row r="1865" spans="1:29" x14ac:dyDescent="0.3">
      <c r="A1865">
        <v>3254</v>
      </c>
      <c r="B1865">
        <v>1971</v>
      </c>
      <c r="C1865" t="s">
        <v>29</v>
      </c>
      <c r="D1865" t="s">
        <v>33</v>
      </c>
      <c r="E1865">
        <v>70886</v>
      </c>
      <c r="F1865">
        <v>1</v>
      </c>
      <c r="G1865">
        <v>0</v>
      </c>
      <c r="H1865" s="1">
        <v>41561</v>
      </c>
      <c r="I1865">
        <v>65</v>
      </c>
      <c r="J1865">
        <v>407</v>
      </c>
      <c r="K1865">
        <v>70</v>
      </c>
      <c r="L1865">
        <v>239</v>
      </c>
      <c r="M1865">
        <v>103</v>
      </c>
      <c r="N1865">
        <v>88</v>
      </c>
      <c r="O1865">
        <v>53</v>
      </c>
      <c r="P1865">
        <v>1</v>
      </c>
      <c r="Q1865">
        <v>5</v>
      </c>
      <c r="R1865">
        <v>4</v>
      </c>
      <c r="S1865">
        <v>4</v>
      </c>
      <c r="T1865">
        <v>2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3</v>
      </c>
      <c r="AB1865">
        <v>11</v>
      </c>
      <c r="AC1865">
        <v>0</v>
      </c>
    </row>
    <row r="1866" spans="1:29" x14ac:dyDescent="0.3">
      <c r="A1866">
        <v>9064</v>
      </c>
      <c r="B1866">
        <v>1982</v>
      </c>
      <c r="C1866" t="s">
        <v>29</v>
      </c>
      <c r="D1866" t="s">
        <v>33</v>
      </c>
      <c r="E1866">
        <v>69109</v>
      </c>
      <c r="F1866">
        <v>0</v>
      </c>
      <c r="G1866">
        <v>0</v>
      </c>
      <c r="H1866" s="1">
        <v>41222</v>
      </c>
      <c r="I1866">
        <v>10</v>
      </c>
      <c r="J1866">
        <v>823</v>
      </c>
      <c r="K1866">
        <v>25</v>
      </c>
      <c r="L1866">
        <v>459</v>
      </c>
      <c r="M1866">
        <v>124</v>
      </c>
      <c r="N1866">
        <v>29</v>
      </c>
      <c r="O1866">
        <v>95</v>
      </c>
      <c r="P1866">
        <v>1</v>
      </c>
      <c r="Q1866">
        <v>6</v>
      </c>
      <c r="R1866">
        <v>6</v>
      </c>
      <c r="S1866">
        <v>7</v>
      </c>
      <c r="T1866">
        <v>4</v>
      </c>
      <c r="U1866">
        <v>0</v>
      </c>
      <c r="V1866">
        <v>0</v>
      </c>
      <c r="W1866">
        <v>1</v>
      </c>
      <c r="X1866">
        <v>0</v>
      </c>
      <c r="Y1866">
        <v>0</v>
      </c>
      <c r="Z1866">
        <v>0</v>
      </c>
      <c r="AA1866">
        <v>3</v>
      </c>
      <c r="AB1866">
        <v>11</v>
      </c>
      <c r="AC1866">
        <v>1</v>
      </c>
    </row>
    <row r="1867" spans="1:29" x14ac:dyDescent="0.3">
      <c r="A1867">
        <v>3678</v>
      </c>
      <c r="B1867">
        <v>1973</v>
      </c>
      <c r="C1867" t="s">
        <v>29</v>
      </c>
      <c r="D1867" t="s">
        <v>38</v>
      </c>
      <c r="E1867">
        <v>60208</v>
      </c>
      <c r="F1867">
        <v>1</v>
      </c>
      <c r="G1867">
        <v>1</v>
      </c>
      <c r="H1867" s="1">
        <v>41189</v>
      </c>
      <c r="I1867">
        <v>13</v>
      </c>
      <c r="J1867">
        <v>488</v>
      </c>
      <c r="K1867">
        <v>23</v>
      </c>
      <c r="L1867">
        <v>71</v>
      </c>
      <c r="M1867">
        <v>15</v>
      </c>
      <c r="N1867">
        <v>0</v>
      </c>
      <c r="O1867">
        <v>59</v>
      </c>
      <c r="P1867">
        <v>11</v>
      </c>
      <c r="Q1867">
        <v>8</v>
      </c>
      <c r="R1867">
        <v>3</v>
      </c>
      <c r="S1867">
        <v>7</v>
      </c>
      <c r="T1867">
        <v>7</v>
      </c>
      <c r="U1867">
        <v>0</v>
      </c>
      <c r="V1867">
        <v>1</v>
      </c>
      <c r="W1867">
        <v>0</v>
      </c>
      <c r="X1867">
        <v>0</v>
      </c>
      <c r="Y1867">
        <v>0</v>
      </c>
      <c r="Z1867">
        <v>0</v>
      </c>
      <c r="AA1867">
        <v>3</v>
      </c>
      <c r="AB1867">
        <v>11</v>
      </c>
      <c r="AC1867">
        <v>1</v>
      </c>
    </row>
    <row r="1868" spans="1:29" x14ac:dyDescent="0.3">
      <c r="A1868">
        <v>4227</v>
      </c>
      <c r="B1868">
        <v>1968</v>
      </c>
      <c r="C1868" t="s">
        <v>34</v>
      </c>
      <c r="D1868" t="s">
        <v>31</v>
      </c>
      <c r="E1868">
        <v>32889</v>
      </c>
      <c r="F1868">
        <v>1</v>
      </c>
      <c r="G1868">
        <v>1</v>
      </c>
      <c r="H1868" s="1">
        <v>41523</v>
      </c>
      <c r="I1868">
        <v>78</v>
      </c>
      <c r="J1868">
        <v>28</v>
      </c>
      <c r="K1868">
        <v>0</v>
      </c>
      <c r="L1868">
        <v>13</v>
      </c>
      <c r="M1868">
        <v>4</v>
      </c>
      <c r="N1868">
        <v>2</v>
      </c>
      <c r="O1868">
        <v>8</v>
      </c>
      <c r="P1868">
        <v>3</v>
      </c>
      <c r="Q1868">
        <v>2</v>
      </c>
      <c r="R1868">
        <v>1</v>
      </c>
      <c r="S1868">
        <v>3</v>
      </c>
      <c r="T1868">
        <v>5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3</v>
      </c>
      <c r="AB1868">
        <v>11</v>
      </c>
      <c r="AC1868">
        <v>0</v>
      </c>
    </row>
    <row r="1869" spans="1:29" x14ac:dyDescent="0.3">
      <c r="A1869">
        <v>9467</v>
      </c>
      <c r="B1869">
        <v>1984</v>
      </c>
      <c r="C1869" t="s">
        <v>29</v>
      </c>
      <c r="D1869" t="s">
        <v>30</v>
      </c>
      <c r="E1869">
        <v>34738</v>
      </c>
      <c r="F1869">
        <v>1</v>
      </c>
      <c r="G1869">
        <v>0</v>
      </c>
      <c r="H1869" s="1">
        <v>41770</v>
      </c>
      <c r="I1869">
        <v>51</v>
      </c>
      <c r="J1869">
        <v>3</v>
      </c>
      <c r="K1869">
        <v>2</v>
      </c>
      <c r="L1869">
        <v>10</v>
      </c>
      <c r="M1869">
        <v>3</v>
      </c>
      <c r="N1869">
        <v>0</v>
      </c>
      <c r="O1869">
        <v>2</v>
      </c>
      <c r="P1869">
        <v>1</v>
      </c>
      <c r="Q1869">
        <v>1</v>
      </c>
      <c r="R1869">
        <v>0</v>
      </c>
      <c r="S1869">
        <v>3</v>
      </c>
      <c r="T1869">
        <v>6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3</v>
      </c>
      <c r="AB1869">
        <v>11</v>
      </c>
      <c r="AC1869">
        <v>0</v>
      </c>
    </row>
    <row r="1870" spans="1:29" x14ac:dyDescent="0.3">
      <c r="A1870">
        <v>8486</v>
      </c>
      <c r="B1870">
        <v>1971</v>
      </c>
      <c r="C1870" t="s">
        <v>34</v>
      </c>
      <c r="D1870" t="s">
        <v>31</v>
      </c>
      <c r="E1870">
        <v>30538</v>
      </c>
      <c r="F1870">
        <v>1</v>
      </c>
      <c r="G1870">
        <v>0</v>
      </c>
      <c r="H1870" s="1">
        <v>41183</v>
      </c>
      <c r="I1870">
        <v>27</v>
      </c>
      <c r="J1870">
        <v>284</v>
      </c>
      <c r="K1870">
        <v>0</v>
      </c>
      <c r="L1870">
        <v>52</v>
      </c>
      <c r="M1870">
        <v>8</v>
      </c>
      <c r="N1870">
        <v>3</v>
      </c>
      <c r="O1870">
        <v>20</v>
      </c>
      <c r="P1870">
        <v>4</v>
      </c>
      <c r="Q1870">
        <v>9</v>
      </c>
      <c r="R1870">
        <v>0</v>
      </c>
      <c r="S1870">
        <v>4</v>
      </c>
      <c r="T1870">
        <v>10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3</v>
      </c>
      <c r="AB1870">
        <v>11</v>
      </c>
      <c r="AC1870">
        <v>0</v>
      </c>
    </row>
    <row r="1871" spans="1:29" x14ac:dyDescent="0.3">
      <c r="A1871">
        <v>2186</v>
      </c>
      <c r="B1871">
        <v>1977</v>
      </c>
      <c r="C1871" t="s">
        <v>37</v>
      </c>
      <c r="D1871" t="s">
        <v>31</v>
      </c>
      <c r="E1871">
        <v>82326</v>
      </c>
      <c r="F1871">
        <v>0</v>
      </c>
      <c r="G1871">
        <v>0</v>
      </c>
      <c r="H1871" s="1">
        <v>41708</v>
      </c>
      <c r="I1871">
        <v>30</v>
      </c>
      <c r="J1871">
        <v>938</v>
      </c>
      <c r="K1871">
        <v>142</v>
      </c>
      <c r="L1871">
        <v>754</v>
      </c>
      <c r="M1871">
        <v>159</v>
      </c>
      <c r="N1871">
        <v>81</v>
      </c>
      <c r="O1871">
        <v>183</v>
      </c>
      <c r="P1871">
        <v>1</v>
      </c>
      <c r="Q1871">
        <v>5</v>
      </c>
      <c r="R1871">
        <v>10</v>
      </c>
      <c r="S1871">
        <v>6</v>
      </c>
      <c r="T1871">
        <v>2</v>
      </c>
      <c r="U1871">
        <v>0</v>
      </c>
      <c r="V1871">
        <v>1</v>
      </c>
      <c r="W1871">
        <v>1</v>
      </c>
      <c r="X1871">
        <v>1</v>
      </c>
      <c r="Y1871">
        <v>0</v>
      </c>
      <c r="Z1871">
        <v>0</v>
      </c>
      <c r="AA1871">
        <v>3</v>
      </c>
      <c r="AB1871">
        <v>11</v>
      </c>
      <c r="AC1871">
        <v>1</v>
      </c>
    </row>
    <row r="1872" spans="1:29" x14ac:dyDescent="0.3">
      <c r="A1872">
        <v>3286</v>
      </c>
      <c r="B1872">
        <v>1967</v>
      </c>
      <c r="C1872" t="s">
        <v>32</v>
      </c>
      <c r="D1872" t="s">
        <v>35</v>
      </c>
      <c r="E1872">
        <v>26642</v>
      </c>
      <c r="F1872">
        <v>1</v>
      </c>
      <c r="G1872">
        <v>0</v>
      </c>
      <c r="H1872" s="1">
        <v>41699</v>
      </c>
      <c r="I1872">
        <v>71</v>
      </c>
      <c r="J1872">
        <v>13</v>
      </c>
      <c r="K1872">
        <v>2</v>
      </c>
      <c r="L1872">
        <v>15</v>
      </c>
      <c r="M1872">
        <v>2</v>
      </c>
      <c r="N1872">
        <v>2</v>
      </c>
      <c r="O1872">
        <v>8</v>
      </c>
      <c r="P1872">
        <v>2</v>
      </c>
      <c r="Q1872">
        <v>2</v>
      </c>
      <c r="R1872">
        <v>0</v>
      </c>
      <c r="S1872">
        <v>3</v>
      </c>
      <c r="T1872">
        <v>6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3</v>
      </c>
      <c r="AB1872">
        <v>11</v>
      </c>
      <c r="AC1872">
        <v>0</v>
      </c>
    </row>
    <row r="1873" spans="1:29" x14ac:dyDescent="0.3">
      <c r="A1873">
        <v>8602</v>
      </c>
      <c r="B1873">
        <v>1964</v>
      </c>
      <c r="C1873" t="s">
        <v>29</v>
      </c>
      <c r="D1873" t="s">
        <v>35</v>
      </c>
      <c r="E1873">
        <v>69932</v>
      </c>
      <c r="F1873">
        <v>0</v>
      </c>
      <c r="G1873">
        <v>1</v>
      </c>
      <c r="H1873" s="1">
        <v>41437</v>
      </c>
      <c r="I1873">
        <v>97</v>
      </c>
      <c r="J1873">
        <v>412</v>
      </c>
      <c r="K1873">
        <v>172</v>
      </c>
      <c r="L1873">
        <v>153</v>
      </c>
      <c r="M1873">
        <v>150</v>
      </c>
      <c r="N1873">
        <v>105</v>
      </c>
      <c r="O1873">
        <v>57</v>
      </c>
      <c r="P1873">
        <v>2</v>
      </c>
      <c r="Q1873">
        <v>7</v>
      </c>
      <c r="R1873">
        <v>6</v>
      </c>
      <c r="S1873">
        <v>11</v>
      </c>
      <c r="T1873">
        <v>4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3</v>
      </c>
      <c r="AB1873">
        <v>11</v>
      </c>
      <c r="AC1873">
        <v>0</v>
      </c>
    </row>
    <row r="1874" spans="1:29" x14ac:dyDescent="0.3">
      <c r="A1874">
        <v>3722</v>
      </c>
      <c r="B1874">
        <v>1972</v>
      </c>
      <c r="C1874" t="s">
        <v>29</v>
      </c>
      <c r="D1874" t="s">
        <v>30</v>
      </c>
      <c r="E1874">
        <v>44503</v>
      </c>
      <c r="F1874">
        <v>1</v>
      </c>
      <c r="G1874">
        <v>1</v>
      </c>
      <c r="H1874" s="1">
        <v>41745</v>
      </c>
      <c r="I1874">
        <v>83</v>
      </c>
      <c r="J1874">
        <v>31</v>
      </c>
      <c r="K1874">
        <v>1</v>
      </c>
      <c r="L1874">
        <v>8</v>
      </c>
      <c r="M1874">
        <v>0</v>
      </c>
      <c r="N1874">
        <v>0</v>
      </c>
      <c r="O1874">
        <v>8</v>
      </c>
      <c r="P1874">
        <v>2</v>
      </c>
      <c r="Q1874">
        <v>2</v>
      </c>
      <c r="R1874">
        <v>0</v>
      </c>
      <c r="S1874">
        <v>3</v>
      </c>
      <c r="T1874">
        <v>6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3</v>
      </c>
      <c r="AB1874">
        <v>11</v>
      </c>
      <c r="AC1874">
        <v>0</v>
      </c>
    </row>
    <row r="1875" spans="1:29" x14ac:dyDescent="0.3">
      <c r="A1875">
        <v>6715</v>
      </c>
      <c r="B1875">
        <v>1948</v>
      </c>
      <c r="C1875" t="s">
        <v>32</v>
      </c>
      <c r="D1875" t="s">
        <v>30</v>
      </c>
      <c r="E1875">
        <v>60200</v>
      </c>
      <c r="F1875">
        <v>0</v>
      </c>
      <c r="G1875">
        <v>1</v>
      </c>
      <c r="H1875" s="1">
        <v>41276</v>
      </c>
      <c r="I1875">
        <v>3</v>
      </c>
      <c r="J1875">
        <v>502</v>
      </c>
      <c r="K1875">
        <v>19</v>
      </c>
      <c r="L1875">
        <v>132</v>
      </c>
      <c r="M1875">
        <v>0</v>
      </c>
      <c r="N1875">
        <v>6</v>
      </c>
      <c r="O1875">
        <v>26</v>
      </c>
      <c r="P1875">
        <v>6</v>
      </c>
      <c r="Q1875">
        <v>6</v>
      </c>
      <c r="R1875">
        <v>2</v>
      </c>
      <c r="S1875">
        <v>11</v>
      </c>
      <c r="T1875">
        <v>6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3</v>
      </c>
      <c r="AB1875">
        <v>11</v>
      </c>
      <c r="AC1875">
        <v>0</v>
      </c>
    </row>
    <row r="1876" spans="1:29" x14ac:dyDescent="0.3">
      <c r="A1876">
        <v>4796</v>
      </c>
      <c r="B1876">
        <v>1952</v>
      </c>
      <c r="C1876" t="s">
        <v>29</v>
      </c>
      <c r="D1876" t="s">
        <v>35</v>
      </c>
      <c r="E1876">
        <v>49638</v>
      </c>
      <c r="F1876">
        <v>0</v>
      </c>
      <c r="G1876">
        <v>1</v>
      </c>
      <c r="H1876" s="1">
        <v>41748</v>
      </c>
      <c r="I1876">
        <v>71</v>
      </c>
      <c r="J1876">
        <v>18</v>
      </c>
      <c r="K1876">
        <v>10</v>
      </c>
      <c r="L1876">
        <v>3</v>
      </c>
      <c r="M1876">
        <v>3</v>
      </c>
      <c r="N1876">
        <v>5</v>
      </c>
      <c r="O1876">
        <v>0</v>
      </c>
      <c r="P1876">
        <v>1</v>
      </c>
      <c r="Q1876">
        <v>1</v>
      </c>
      <c r="R1876">
        <v>0</v>
      </c>
      <c r="S1876">
        <v>3</v>
      </c>
      <c r="T1876">
        <v>2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3</v>
      </c>
      <c r="AB1876">
        <v>11</v>
      </c>
      <c r="AC1876">
        <v>0</v>
      </c>
    </row>
    <row r="1877" spans="1:29" x14ac:dyDescent="0.3">
      <c r="A1877">
        <v>9612</v>
      </c>
      <c r="B1877">
        <v>1987</v>
      </c>
      <c r="C1877" t="s">
        <v>37</v>
      </c>
      <c r="D1877" t="s">
        <v>30</v>
      </c>
      <c r="E1877">
        <v>23830</v>
      </c>
      <c r="F1877">
        <v>0</v>
      </c>
      <c r="G1877">
        <v>0</v>
      </c>
      <c r="H1877" s="1">
        <v>41677</v>
      </c>
      <c r="I1877">
        <v>3</v>
      </c>
      <c r="J1877">
        <v>1</v>
      </c>
      <c r="K1877">
        <v>8</v>
      </c>
      <c r="L1877">
        <v>6</v>
      </c>
      <c r="M1877">
        <v>4</v>
      </c>
      <c r="N1877">
        <v>8</v>
      </c>
      <c r="O1877">
        <v>16</v>
      </c>
      <c r="P1877">
        <v>1</v>
      </c>
      <c r="Q1877">
        <v>1</v>
      </c>
      <c r="R1877">
        <v>0</v>
      </c>
      <c r="S1877">
        <v>3</v>
      </c>
      <c r="T1877">
        <v>7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3</v>
      </c>
      <c r="AB1877">
        <v>11</v>
      </c>
      <c r="AC1877">
        <v>0</v>
      </c>
    </row>
    <row r="1878" spans="1:29" x14ac:dyDescent="0.3">
      <c r="A1878">
        <v>3766</v>
      </c>
      <c r="B1878">
        <v>1959</v>
      </c>
      <c r="C1878" t="s">
        <v>34</v>
      </c>
      <c r="D1878" t="s">
        <v>38</v>
      </c>
      <c r="E1878">
        <v>33051</v>
      </c>
      <c r="F1878">
        <v>0</v>
      </c>
      <c r="G1878">
        <v>0</v>
      </c>
      <c r="H1878" s="1">
        <v>41137</v>
      </c>
      <c r="I1878">
        <v>15</v>
      </c>
      <c r="J1878">
        <v>100</v>
      </c>
      <c r="K1878">
        <v>71</v>
      </c>
      <c r="L1878">
        <v>243</v>
      </c>
      <c r="M1878">
        <v>108</v>
      </c>
      <c r="N1878">
        <v>94</v>
      </c>
      <c r="O1878">
        <v>219</v>
      </c>
      <c r="P1878">
        <v>3</v>
      </c>
      <c r="Q1878">
        <v>9</v>
      </c>
      <c r="R1878">
        <v>1</v>
      </c>
      <c r="S1878">
        <v>8</v>
      </c>
      <c r="T1878">
        <v>9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3</v>
      </c>
      <c r="AB1878">
        <v>11</v>
      </c>
      <c r="AC1878">
        <v>1</v>
      </c>
    </row>
    <row r="1879" spans="1:29" x14ac:dyDescent="0.3">
      <c r="A1879">
        <v>1399</v>
      </c>
      <c r="B1879">
        <v>1958</v>
      </c>
      <c r="C1879" t="s">
        <v>29</v>
      </c>
      <c r="D1879" t="s">
        <v>33</v>
      </c>
      <c r="E1879">
        <v>72905</v>
      </c>
      <c r="F1879">
        <v>0</v>
      </c>
      <c r="G1879">
        <v>0</v>
      </c>
      <c r="H1879" s="1">
        <v>41660</v>
      </c>
      <c r="I1879">
        <v>52</v>
      </c>
      <c r="J1879">
        <v>407</v>
      </c>
      <c r="K1879">
        <v>114</v>
      </c>
      <c r="L1879">
        <v>445</v>
      </c>
      <c r="M1879">
        <v>181</v>
      </c>
      <c r="N1879">
        <v>165</v>
      </c>
      <c r="O1879">
        <v>203</v>
      </c>
      <c r="P1879">
        <v>1</v>
      </c>
      <c r="Q1879">
        <v>3</v>
      </c>
      <c r="R1879">
        <v>7</v>
      </c>
      <c r="S1879">
        <v>9</v>
      </c>
      <c r="T1879">
        <v>1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0</v>
      </c>
      <c r="AA1879">
        <v>3</v>
      </c>
      <c r="AB1879">
        <v>11</v>
      </c>
      <c r="AC1879">
        <v>0</v>
      </c>
    </row>
    <row r="1880" spans="1:29" x14ac:dyDescent="0.3">
      <c r="A1880">
        <v>1570</v>
      </c>
      <c r="B1880">
        <v>1951</v>
      </c>
      <c r="C1880" t="s">
        <v>32</v>
      </c>
      <c r="D1880" t="s">
        <v>31</v>
      </c>
      <c r="E1880">
        <v>69702</v>
      </c>
      <c r="F1880">
        <v>0</v>
      </c>
      <c r="G1880">
        <v>1</v>
      </c>
      <c r="H1880" s="1">
        <v>41324</v>
      </c>
      <c r="I1880">
        <v>8</v>
      </c>
      <c r="J1880">
        <v>664</v>
      </c>
      <c r="K1880">
        <v>9</v>
      </c>
      <c r="L1880">
        <v>240</v>
      </c>
      <c r="M1880">
        <v>50</v>
      </c>
      <c r="N1880">
        <v>19</v>
      </c>
      <c r="O1880">
        <v>57</v>
      </c>
      <c r="P1880">
        <v>2</v>
      </c>
      <c r="Q1880">
        <v>7</v>
      </c>
      <c r="R1880">
        <v>7</v>
      </c>
      <c r="S1880">
        <v>10</v>
      </c>
      <c r="T1880">
        <v>4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3</v>
      </c>
      <c r="AB1880">
        <v>11</v>
      </c>
      <c r="AC1880">
        <v>0</v>
      </c>
    </row>
    <row r="1881" spans="1:29" x14ac:dyDescent="0.3">
      <c r="A1881">
        <v>3426</v>
      </c>
      <c r="B1881">
        <v>1975</v>
      </c>
      <c r="C1881" t="s">
        <v>29</v>
      </c>
      <c r="D1881" t="s">
        <v>35</v>
      </c>
      <c r="E1881">
        <v>70300</v>
      </c>
      <c r="F1881">
        <v>1</v>
      </c>
      <c r="G1881">
        <v>0</v>
      </c>
      <c r="H1881" s="1">
        <v>41470</v>
      </c>
      <c r="I1881">
        <v>89</v>
      </c>
      <c r="J1881">
        <v>1045</v>
      </c>
      <c r="K1881">
        <v>61</v>
      </c>
      <c r="L1881">
        <v>338</v>
      </c>
      <c r="M1881">
        <v>60</v>
      </c>
      <c r="N1881">
        <v>46</v>
      </c>
      <c r="O1881">
        <v>46</v>
      </c>
      <c r="P1881">
        <v>3</v>
      </c>
      <c r="Q1881">
        <v>5</v>
      </c>
      <c r="R1881">
        <v>5</v>
      </c>
      <c r="S1881">
        <v>13</v>
      </c>
      <c r="T1881">
        <v>8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3</v>
      </c>
      <c r="AB1881">
        <v>11</v>
      </c>
      <c r="AC1881">
        <v>0</v>
      </c>
    </row>
    <row r="1882" spans="1:29" x14ac:dyDescent="0.3">
      <c r="A1882">
        <v>3074</v>
      </c>
      <c r="B1882">
        <v>1984</v>
      </c>
      <c r="C1882" t="s">
        <v>32</v>
      </c>
      <c r="D1882" t="s">
        <v>33</v>
      </c>
      <c r="E1882">
        <v>70643</v>
      </c>
      <c r="F1882">
        <v>0</v>
      </c>
      <c r="G1882">
        <v>0</v>
      </c>
      <c r="H1882" s="1">
        <v>41197</v>
      </c>
      <c r="I1882">
        <v>66</v>
      </c>
      <c r="J1882">
        <v>1218</v>
      </c>
      <c r="K1882">
        <v>107</v>
      </c>
      <c r="L1882">
        <v>304</v>
      </c>
      <c r="M1882">
        <v>23</v>
      </c>
      <c r="N1882">
        <v>143</v>
      </c>
      <c r="O1882">
        <v>33</v>
      </c>
      <c r="P1882">
        <v>1</v>
      </c>
      <c r="Q1882">
        <v>5</v>
      </c>
      <c r="R1882">
        <v>8</v>
      </c>
      <c r="S1882">
        <v>4</v>
      </c>
      <c r="T1882">
        <v>6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3</v>
      </c>
      <c r="AB1882">
        <v>11</v>
      </c>
      <c r="AC1882">
        <v>1</v>
      </c>
    </row>
    <row r="1883" spans="1:29" x14ac:dyDescent="0.3">
      <c r="A1883">
        <v>8341</v>
      </c>
      <c r="B1883">
        <v>1969</v>
      </c>
      <c r="C1883" t="s">
        <v>32</v>
      </c>
      <c r="D1883" t="s">
        <v>33</v>
      </c>
      <c r="E1883">
        <v>30396</v>
      </c>
      <c r="F1883">
        <v>1</v>
      </c>
      <c r="G1883">
        <v>0</v>
      </c>
      <c r="H1883" s="1">
        <v>41759</v>
      </c>
      <c r="I1883">
        <v>22</v>
      </c>
      <c r="J1883">
        <v>15</v>
      </c>
      <c r="K1883">
        <v>0</v>
      </c>
      <c r="L1883">
        <v>6</v>
      </c>
      <c r="M1883">
        <v>0</v>
      </c>
      <c r="N1883">
        <v>1</v>
      </c>
      <c r="O1883">
        <v>12</v>
      </c>
      <c r="P1883">
        <v>2</v>
      </c>
      <c r="Q1883">
        <v>1</v>
      </c>
      <c r="R1883">
        <v>1</v>
      </c>
      <c r="S1883">
        <v>2</v>
      </c>
      <c r="T1883">
        <v>7</v>
      </c>
      <c r="U1883">
        <v>1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3</v>
      </c>
      <c r="AB1883">
        <v>11</v>
      </c>
      <c r="AC1883">
        <v>1</v>
      </c>
    </row>
    <row r="1884" spans="1:29" x14ac:dyDescent="0.3">
      <c r="A1884">
        <v>5180</v>
      </c>
      <c r="B1884">
        <v>1968</v>
      </c>
      <c r="C1884" t="s">
        <v>32</v>
      </c>
      <c r="D1884" t="s">
        <v>35</v>
      </c>
      <c r="E1884">
        <v>50616</v>
      </c>
      <c r="F1884">
        <v>0</v>
      </c>
      <c r="G1884">
        <v>1</v>
      </c>
      <c r="H1884" s="1">
        <v>41747</v>
      </c>
      <c r="I1884">
        <v>56</v>
      </c>
      <c r="J1884">
        <v>128</v>
      </c>
      <c r="K1884">
        <v>0</v>
      </c>
      <c r="L1884">
        <v>16</v>
      </c>
      <c r="M1884">
        <v>0</v>
      </c>
      <c r="N1884">
        <v>1</v>
      </c>
      <c r="O1884">
        <v>4</v>
      </c>
      <c r="P1884">
        <v>2</v>
      </c>
      <c r="Q1884">
        <v>4</v>
      </c>
      <c r="R1884">
        <v>0</v>
      </c>
      <c r="S1884">
        <v>4</v>
      </c>
      <c r="T1884">
        <v>7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3</v>
      </c>
      <c r="AB1884">
        <v>11</v>
      </c>
      <c r="AC1884">
        <v>0</v>
      </c>
    </row>
    <row r="1885" spans="1:29" x14ac:dyDescent="0.3">
      <c r="A1885">
        <v>6461</v>
      </c>
      <c r="B1885">
        <v>1969</v>
      </c>
      <c r="C1885" t="s">
        <v>34</v>
      </c>
      <c r="D1885" t="s">
        <v>30</v>
      </c>
      <c r="E1885">
        <v>62772</v>
      </c>
      <c r="F1885">
        <v>0</v>
      </c>
      <c r="G1885">
        <v>1</v>
      </c>
      <c r="H1885" s="1">
        <v>41413</v>
      </c>
      <c r="I1885">
        <v>74</v>
      </c>
      <c r="J1885">
        <v>581</v>
      </c>
      <c r="K1885">
        <v>49</v>
      </c>
      <c r="L1885">
        <v>157</v>
      </c>
      <c r="M1885">
        <v>43</v>
      </c>
      <c r="N1885">
        <v>8</v>
      </c>
      <c r="O1885">
        <v>108</v>
      </c>
      <c r="P1885">
        <v>1</v>
      </c>
      <c r="Q1885">
        <v>5</v>
      </c>
      <c r="R1885">
        <v>6</v>
      </c>
      <c r="S1885">
        <v>11</v>
      </c>
      <c r="T1885">
        <v>2</v>
      </c>
      <c r="U1885">
        <v>0</v>
      </c>
      <c r="V1885">
        <v>1</v>
      </c>
      <c r="W1885">
        <v>0</v>
      </c>
      <c r="X1885">
        <v>0</v>
      </c>
      <c r="Y1885">
        <v>0</v>
      </c>
      <c r="Z1885">
        <v>0</v>
      </c>
      <c r="AA1885">
        <v>3</v>
      </c>
      <c r="AB1885">
        <v>11</v>
      </c>
      <c r="AC1885">
        <v>0</v>
      </c>
    </row>
    <row r="1886" spans="1:29" x14ac:dyDescent="0.3">
      <c r="A1886">
        <v>7679</v>
      </c>
      <c r="B1886">
        <v>1985</v>
      </c>
      <c r="C1886" t="s">
        <v>32</v>
      </c>
      <c r="D1886" t="s">
        <v>30</v>
      </c>
      <c r="E1886">
        <v>30298</v>
      </c>
      <c r="F1886">
        <v>0</v>
      </c>
      <c r="G1886">
        <v>0</v>
      </c>
      <c r="H1886" s="1">
        <v>41778</v>
      </c>
      <c r="I1886">
        <v>48</v>
      </c>
      <c r="J1886">
        <v>6</v>
      </c>
      <c r="K1886">
        <v>3</v>
      </c>
      <c r="L1886">
        <v>12</v>
      </c>
      <c r="M1886">
        <v>6</v>
      </c>
      <c r="N1886">
        <v>1</v>
      </c>
      <c r="O1886">
        <v>0</v>
      </c>
      <c r="P1886">
        <v>1</v>
      </c>
      <c r="Q1886">
        <v>1</v>
      </c>
      <c r="R1886">
        <v>1</v>
      </c>
      <c r="S1886">
        <v>3</v>
      </c>
      <c r="T1886">
        <v>3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3</v>
      </c>
      <c r="AB1886">
        <v>11</v>
      </c>
      <c r="AC1886">
        <v>0</v>
      </c>
    </row>
    <row r="1887" spans="1:29" x14ac:dyDescent="0.3">
      <c r="A1887">
        <v>10702</v>
      </c>
      <c r="B1887">
        <v>1984</v>
      </c>
      <c r="C1887" t="s">
        <v>29</v>
      </c>
      <c r="D1887" t="s">
        <v>30</v>
      </c>
      <c r="E1887">
        <v>52413</v>
      </c>
      <c r="F1887">
        <v>1</v>
      </c>
      <c r="G1887">
        <v>0</v>
      </c>
      <c r="H1887" s="1">
        <v>41216</v>
      </c>
      <c r="I1887">
        <v>67</v>
      </c>
      <c r="J1887">
        <v>185</v>
      </c>
      <c r="K1887">
        <v>8</v>
      </c>
      <c r="L1887">
        <v>133</v>
      </c>
      <c r="M1887">
        <v>56</v>
      </c>
      <c r="N1887">
        <v>56</v>
      </c>
      <c r="O1887">
        <v>12</v>
      </c>
      <c r="P1887">
        <v>2</v>
      </c>
      <c r="Q1887">
        <v>7</v>
      </c>
      <c r="R1887">
        <v>1</v>
      </c>
      <c r="S1887">
        <v>7</v>
      </c>
      <c r="T1887">
        <v>7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3</v>
      </c>
      <c r="AB1887">
        <v>11</v>
      </c>
      <c r="AC1887">
        <v>0</v>
      </c>
    </row>
    <row r="1888" spans="1:29" x14ac:dyDescent="0.3">
      <c r="A1888">
        <v>7505</v>
      </c>
      <c r="B1888">
        <v>1957</v>
      </c>
      <c r="C1888" t="s">
        <v>32</v>
      </c>
      <c r="D1888" t="s">
        <v>33</v>
      </c>
      <c r="E1888">
        <v>44155</v>
      </c>
      <c r="F1888">
        <v>1</v>
      </c>
      <c r="G1888">
        <v>1</v>
      </c>
      <c r="H1888" s="1">
        <v>41658</v>
      </c>
      <c r="I1888">
        <v>24</v>
      </c>
      <c r="J1888">
        <v>22</v>
      </c>
      <c r="K1888">
        <v>1</v>
      </c>
      <c r="L1888">
        <v>9</v>
      </c>
      <c r="M1888">
        <v>0</v>
      </c>
      <c r="N1888">
        <v>0</v>
      </c>
      <c r="O1888">
        <v>14</v>
      </c>
      <c r="P1888">
        <v>1</v>
      </c>
      <c r="Q1888">
        <v>1</v>
      </c>
      <c r="R1888">
        <v>1</v>
      </c>
      <c r="S1888">
        <v>2</v>
      </c>
      <c r="T1888">
        <v>4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3</v>
      </c>
      <c r="AB1888">
        <v>11</v>
      </c>
      <c r="AC1888">
        <v>0</v>
      </c>
    </row>
    <row r="1889" spans="1:29" x14ac:dyDescent="0.3">
      <c r="A1889">
        <v>5113</v>
      </c>
      <c r="B1889">
        <v>1971</v>
      </c>
      <c r="C1889" t="s">
        <v>32</v>
      </c>
      <c r="D1889" t="s">
        <v>35</v>
      </c>
      <c r="E1889">
        <v>86979</v>
      </c>
      <c r="F1889">
        <v>0</v>
      </c>
      <c r="G1889">
        <v>0</v>
      </c>
      <c r="H1889" s="1">
        <v>41585</v>
      </c>
      <c r="I1889">
        <v>67</v>
      </c>
      <c r="J1889">
        <v>584</v>
      </c>
      <c r="K1889">
        <v>100</v>
      </c>
      <c r="L1889">
        <v>835</v>
      </c>
      <c r="M1889">
        <v>65</v>
      </c>
      <c r="N1889">
        <v>83</v>
      </c>
      <c r="O1889">
        <v>35</v>
      </c>
      <c r="P1889">
        <v>1</v>
      </c>
      <c r="Q1889">
        <v>5</v>
      </c>
      <c r="R1889">
        <v>5</v>
      </c>
      <c r="S1889">
        <v>5</v>
      </c>
      <c r="T1889">
        <v>2</v>
      </c>
      <c r="U1889">
        <v>1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3</v>
      </c>
      <c r="AB1889">
        <v>11</v>
      </c>
      <c r="AC1889">
        <v>1</v>
      </c>
    </row>
    <row r="1890" spans="1:29" x14ac:dyDescent="0.3">
      <c r="A1890">
        <v>10858</v>
      </c>
      <c r="B1890">
        <v>1975</v>
      </c>
      <c r="C1890" t="s">
        <v>29</v>
      </c>
      <c r="D1890" t="s">
        <v>31</v>
      </c>
      <c r="E1890">
        <v>76532</v>
      </c>
      <c r="F1890">
        <v>1</v>
      </c>
      <c r="G1890">
        <v>1</v>
      </c>
      <c r="H1890" s="1">
        <v>41526</v>
      </c>
      <c r="I1890">
        <v>38</v>
      </c>
      <c r="J1890">
        <v>355</v>
      </c>
      <c r="K1890">
        <v>30</v>
      </c>
      <c r="L1890">
        <v>177</v>
      </c>
      <c r="M1890">
        <v>90</v>
      </c>
      <c r="N1890">
        <v>138</v>
      </c>
      <c r="O1890">
        <v>30</v>
      </c>
      <c r="P1890">
        <v>4</v>
      </c>
      <c r="Q1890">
        <v>9</v>
      </c>
      <c r="R1890">
        <v>5</v>
      </c>
      <c r="S1890">
        <v>7</v>
      </c>
      <c r="T1890">
        <v>5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3</v>
      </c>
      <c r="AB1890">
        <v>11</v>
      </c>
      <c r="AC1890">
        <v>0</v>
      </c>
    </row>
    <row r="1891" spans="1:29" x14ac:dyDescent="0.3">
      <c r="A1891">
        <v>2961</v>
      </c>
      <c r="B1891">
        <v>1982</v>
      </c>
      <c r="C1891" t="s">
        <v>29</v>
      </c>
      <c r="D1891" t="s">
        <v>33</v>
      </c>
      <c r="E1891">
        <v>42081</v>
      </c>
      <c r="F1891">
        <v>1</v>
      </c>
      <c r="G1891">
        <v>0</v>
      </c>
      <c r="H1891" s="1">
        <v>41331</v>
      </c>
      <c r="I1891">
        <v>86</v>
      </c>
      <c r="J1891">
        <v>175</v>
      </c>
      <c r="K1891">
        <v>10</v>
      </c>
      <c r="L1891">
        <v>110</v>
      </c>
      <c r="M1891">
        <v>54</v>
      </c>
      <c r="N1891">
        <v>6</v>
      </c>
      <c r="O1891">
        <v>27</v>
      </c>
      <c r="P1891">
        <v>2</v>
      </c>
      <c r="Q1891">
        <v>6</v>
      </c>
      <c r="R1891">
        <v>3</v>
      </c>
      <c r="S1891">
        <v>4</v>
      </c>
      <c r="T1891">
        <v>6</v>
      </c>
      <c r="U1891">
        <v>1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3</v>
      </c>
      <c r="AB1891">
        <v>11</v>
      </c>
      <c r="AC1891">
        <v>0</v>
      </c>
    </row>
    <row r="1892" spans="1:29" x14ac:dyDescent="0.3">
      <c r="A1892">
        <v>2747</v>
      </c>
      <c r="B1892">
        <v>1988</v>
      </c>
      <c r="C1892" t="s">
        <v>32</v>
      </c>
      <c r="D1892" t="s">
        <v>33</v>
      </c>
      <c r="E1892">
        <v>67546</v>
      </c>
      <c r="F1892">
        <v>0</v>
      </c>
      <c r="G1892">
        <v>0</v>
      </c>
      <c r="H1892" s="1">
        <v>41152</v>
      </c>
      <c r="I1892">
        <v>90</v>
      </c>
      <c r="J1892">
        <v>864</v>
      </c>
      <c r="K1892">
        <v>134</v>
      </c>
      <c r="L1892">
        <v>768</v>
      </c>
      <c r="M1892">
        <v>150</v>
      </c>
      <c r="N1892">
        <v>38</v>
      </c>
      <c r="O1892">
        <v>172</v>
      </c>
      <c r="P1892">
        <v>1</v>
      </c>
      <c r="Q1892">
        <v>4</v>
      </c>
      <c r="R1892">
        <v>10</v>
      </c>
      <c r="S1892">
        <v>5</v>
      </c>
      <c r="T1892">
        <v>3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3</v>
      </c>
      <c r="AB1892">
        <v>11</v>
      </c>
      <c r="AC1892">
        <v>0</v>
      </c>
    </row>
    <row r="1893" spans="1:29" x14ac:dyDescent="0.3">
      <c r="A1893">
        <v>3010</v>
      </c>
      <c r="B1893">
        <v>1989</v>
      </c>
      <c r="C1893" t="s">
        <v>34</v>
      </c>
      <c r="D1893" t="s">
        <v>31</v>
      </c>
      <c r="E1893">
        <v>88420</v>
      </c>
      <c r="F1893">
        <v>0</v>
      </c>
      <c r="G1893">
        <v>0</v>
      </c>
      <c r="H1893" s="1">
        <v>41761</v>
      </c>
      <c r="I1893">
        <v>87</v>
      </c>
      <c r="J1893">
        <v>957</v>
      </c>
      <c r="K1893">
        <v>153</v>
      </c>
      <c r="L1893">
        <v>612</v>
      </c>
      <c r="M1893">
        <v>99</v>
      </c>
      <c r="N1893">
        <v>95</v>
      </c>
      <c r="O1893">
        <v>153</v>
      </c>
      <c r="P1893">
        <v>1</v>
      </c>
      <c r="Q1893">
        <v>4</v>
      </c>
      <c r="R1893">
        <v>7</v>
      </c>
      <c r="S1893">
        <v>8</v>
      </c>
      <c r="T1893">
        <v>1</v>
      </c>
      <c r="U1893">
        <v>1</v>
      </c>
      <c r="V1893">
        <v>0</v>
      </c>
      <c r="W1893">
        <v>1</v>
      </c>
      <c r="X1893">
        <v>1</v>
      </c>
      <c r="Y1893">
        <v>0</v>
      </c>
      <c r="Z1893">
        <v>0</v>
      </c>
      <c r="AA1893">
        <v>3</v>
      </c>
      <c r="AB1893">
        <v>11</v>
      </c>
      <c r="AC1893">
        <v>0</v>
      </c>
    </row>
    <row r="1894" spans="1:29" x14ac:dyDescent="0.3">
      <c r="A1894">
        <v>5790</v>
      </c>
      <c r="B1894">
        <v>1985</v>
      </c>
      <c r="C1894" t="s">
        <v>29</v>
      </c>
      <c r="D1894" t="s">
        <v>33</v>
      </c>
      <c r="E1894">
        <v>31158</v>
      </c>
      <c r="F1894">
        <v>1</v>
      </c>
      <c r="G1894">
        <v>0</v>
      </c>
      <c r="H1894" s="1">
        <v>41301</v>
      </c>
      <c r="I1894">
        <v>62</v>
      </c>
      <c r="J1894">
        <v>25</v>
      </c>
      <c r="K1894">
        <v>6</v>
      </c>
      <c r="L1894">
        <v>16</v>
      </c>
      <c r="M1894">
        <v>20</v>
      </c>
      <c r="N1894">
        <v>0</v>
      </c>
      <c r="O1894">
        <v>5</v>
      </c>
      <c r="P1894">
        <v>2</v>
      </c>
      <c r="Q1894">
        <v>2</v>
      </c>
      <c r="R1894">
        <v>0</v>
      </c>
      <c r="S1894">
        <v>3</v>
      </c>
      <c r="T1894">
        <v>8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3</v>
      </c>
      <c r="AB1894">
        <v>11</v>
      </c>
      <c r="AC1894">
        <v>0</v>
      </c>
    </row>
    <row r="1895" spans="1:29" x14ac:dyDescent="0.3">
      <c r="A1895">
        <v>6892</v>
      </c>
      <c r="B1895">
        <v>1968</v>
      </c>
      <c r="C1895" t="s">
        <v>29</v>
      </c>
      <c r="D1895" t="s">
        <v>35</v>
      </c>
      <c r="E1895">
        <v>61671</v>
      </c>
      <c r="F1895">
        <v>0</v>
      </c>
      <c r="G1895">
        <v>1</v>
      </c>
      <c r="H1895" s="1">
        <v>41793</v>
      </c>
      <c r="I1895">
        <v>23</v>
      </c>
      <c r="J1895">
        <v>641</v>
      </c>
      <c r="K1895">
        <v>7</v>
      </c>
      <c r="L1895">
        <v>56</v>
      </c>
      <c r="M1895">
        <v>0</v>
      </c>
      <c r="N1895">
        <v>0</v>
      </c>
      <c r="O1895">
        <v>28</v>
      </c>
      <c r="P1895">
        <v>8</v>
      </c>
      <c r="Q1895">
        <v>10</v>
      </c>
      <c r="R1895">
        <v>4</v>
      </c>
      <c r="S1895">
        <v>6</v>
      </c>
      <c r="T1895">
        <v>8</v>
      </c>
      <c r="U1895">
        <v>0</v>
      </c>
      <c r="V1895">
        <v>1</v>
      </c>
      <c r="W1895">
        <v>0</v>
      </c>
      <c r="X1895">
        <v>1</v>
      </c>
      <c r="Y1895">
        <v>0</v>
      </c>
      <c r="Z1895">
        <v>0</v>
      </c>
      <c r="AA1895">
        <v>3</v>
      </c>
      <c r="AB1895">
        <v>11</v>
      </c>
      <c r="AC1895">
        <v>0</v>
      </c>
    </row>
    <row r="1896" spans="1:29" x14ac:dyDescent="0.3">
      <c r="A1896">
        <v>1743</v>
      </c>
      <c r="B1896">
        <v>1974</v>
      </c>
      <c r="C1896" t="s">
        <v>29</v>
      </c>
      <c r="D1896" t="s">
        <v>30</v>
      </c>
      <c r="E1896">
        <v>69719</v>
      </c>
      <c r="F1896">
        <v>0</v>
      </c>
      <c r="G1896">
        <v>0</v>
      </c>
      <c r="H1896" s="1">
        <v>41785</v>
      </c>
      <c r="I1896">
        <v>99</v>
      </c>
      <c r="J1896">
        <v>273</v>
      </c>
      <c r="K1896">
        <v>86</v>
      </c>
      <c r="L1896">
        <v>208</v>
      </c>
      <c r="M1896">
        <v>177</v>
      </c>
      <c r="N1896">
        <v>14</v>
      </c>
      <c r="O1896">
        <v>43</v>
      </c>
      <c r="P1896">
        <v>1</v>
      </c>
      <c r="Q1896">
        <v>2</v>
      </c>
      <c r="R1896">
        <v>3</v>
      </c>
      <c r="S1896">
        <v>5</v>
      </c>
      <c r="T1896">
        <v>1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3</v>
      </c>
      <c r="AB1896">
        <v>11</v>
      </c>
      <c r="AC1896">
        <v>0</v>
      </c>
    </row>
    <row r="1897" spans="1:29" x14ac:dyDescent="0.3">
      <c r="A1897">
        <v>3578</v>
      </c>
      <c r="B1897">
        <v>1949</v>
      </c>
      <c r="C1897" t="s">
        <v>29</v>
      </c>
      <c r="D1897" t="s">
        <v>35</v>
      </c>
      <c r="E1897">
        <v>49160</v>
      </c>
      <c r="F1897">
        <v>0</v>
      </c>
      <c r="G1897">
        <v>1</v>
      </c>
      <c r="H1897" s="1">
        <v>41567</v>
      </c>
      <c r="I1897">
        <v>29</v>
      </c>
      <c r="J1897">
        <v>122</v>
      </c>
      <c r="K1897">
        <v>21</v>
      </c>
      <c r="L1897">
        <v>43</v>
      </c>
      <c r="M1897">
        <v>25</v>
      </c>
      <c r="N1897">
        <v>10</v>
      </c>
      <c r="O1897">
        <v>15</v>
      </c>
      <c r="P1897">
        <v>2</v>
      </c>
      <c r="Q1897">
        <v>3</v>
      </c>
      <c r="R1897">
        <v>1</v>
      </c>
      <c r="S1897">
        <v>6</v>
      </c>
      <c r="T1897">
        <v>6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3</v>
      </c>
      <c r="AB1897">
        <v>11</v>
      </c>
      <c r="AC1897">
        <v>0</v>
      </c>
    </row>
    <row r="1898" spans="1:29" x14ac:dyDescent="0.3">
      <c r="A1898">
        <v>8462</v>
      </c>
      <c r="B1898">
        <v>1978</v>
      </c>
      <c r="C1898" t="s">
        <v>36</v>
      </c>
      <c r="D1898" t="s">
        <v>31</v>
      </c>
      <c r="E1898">
        <v>24882</v>
      </c>
      <c r="F1898">
        <v>1</v>
      </c>
      <c r="G1898">
        <v>0</v>
      </c>
      <c r="H1898" s="1">
        <v>41161</v>
      </c>
      <c r="I1898">
        <v>52</v>
      </c>
      <c r="J1898">
        <v>1</v>
      </c>
      <c r="K1898">
        <v>4</v>
      </c>
      <c r="L1898">
        <v>10</v>
      </c>
      <c r="M1898">
        <v>29</v>
      </c>
      <c r="N1898">
        <v>0</v>
      </c>
      <c r="O1898">
        <v>36</v>
      </c>
      <c r="P1898">
        <v>1</v>
      </c>
      <c r="Q1898">
        <v>1</v>
      </c>
      <c r="R1898">
        <v>1</v>
      </c>
      <c r="S1898">
        <v>2</v>
      </c>
      <c r="T1898">
        <v>6</v>
      </c>
      <c r="U1898">
        <v>1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3</v>
      </c>
      <c r="AB1898">
        <v>11</v>
      </c>
      <c r="AC1898">
        <v>0</v>
      </c>
    </row>
    <row r="1899" spans="1:29" x14ac:dyDescent="0.3">
      <c r="A1899">
        <v>5558</v>
      </c>
      <c r="B1899">
        <v>1954</v>
      </c>
      <c r="C1899" t="s">
        <v>32</v>
      </c>
      <c r="D1899" t="s">
        <v>30</v>
      </c>
      <c r="E1899">
        <v>90933</v>
      </c>
      <c r="F1899">
        <v>0</v>
      </c>
      <c r="G1899">
        <v>0</v>
      </c>
      <c r="H1899" s="1">
        <v>41729</v>
      </c>
      <c r="I1899">
        <v>90</v>
      </c>
      <c r="J1899">
        <v>1020</v>
      </c>
      <c r="K1899">
        <v>31</v>
      </c>
      <c r="L1899">
        <v>430</v>
      </c>
      <c r="M1899">
        <v>62</v>
      </c>
      <c r="N1899">
        <v>63</v>
      </c>
      <c r="O1899">
        <v>79</v>
      </c>
      <c r="P1899">
        <v>1</v>
      </c>
      <c r="Q1899">
        <v>4</v>
      </c>
      <c r="R1899">
        <v>6</v>
      </c>
      <c r="S1899">
        <v>4</v>
      </c>
      <c r="T1899">
        <v>1</v>
      </c>
      <c r="U1899">
        <v>0</v>
      </c>
      <c r="V1899">
        <v>0</v>
      </c>
      <c r="W1899">
        <v>1</v>
      </c>
      <c r="X1899">
        <v>0</v>
      </c>
      <c r="Y1899">
        <v>0</v>
      </c>
      <c r="Z1899">
        <v>0</v>
      </c>
      <c r="AA1899">
        <v>3</v>
      </c>
      <c r="AB1899">
        <v>11</v>
      </c>
      <c r="AC1899">
        <v>0</v>
      </c>
    </row>
    <row r="1900" spans="1:29" x14ac:dyDescent="0.3">
      <c r="A1900">
        <v>4619</v>
      </c>
      <c r="B1900">
        <v>1945</v>
      </c>
      <c r="C1900" t="s">
        <v>32</v>
      </c>
      <c r="D1900" t="s">
        <v>30</v>
      </c>
      <c r="E1900">
        <v>113734</v>
      </c>
      <c r="F1900">
        <v>0</v>
      </c>
      <c r="G1900">
        <v>0</v>
      </c>
      <c r="H1900" s="1">
        <v>41787</v>
      </c>
      <c r="I1900">
        <v>9</v>
      </c>
      <c r="J1900">
        <v>6</v>
      </c>
      <c r="K1900">
        <v>2</v>
      </c>
      <c r="L1900">
        <v>3</v>
      </c>
      <c r="M1900">
        <v>1</v>
      </c>
      <c r="N1900">
        <v>262</v>
      </c>
      <c r="O1900">
        <v>3</v>
      </c>
      <c r="P1900">
        <v>0</v>
      </c>
      <c r="Q1900">
        <v>27</v>
      </c>
      <c r="R1900">
        <v>0</v>
      </c>
      <c r="S1900">
        <v>0</v>
      </c>
      <c r="T1900">
        <v>1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3</v>
      </c>
      <c r="AB1900">
        <v>11</v>
      </c>
      <c r="AC1900">
        <v>0</v>
      </c>
    </row>
    <row r="1901" spans="1:29" x14ac:dyDescent="0.3">
      <c r="A1901">
        <v>8780</v>
      </c>
      <c r="B1901">
        <v>1950</v>
      </c>
      <c r="C1901" t="s">
        <v>32</v>
      </c>
      <c r="D1901" t="s">
        <v>31</v>
      </c>
      <c r="E1901">
        <v>59292</v>
      </c>
      <c r="F1901">
        <v>0</v>
      </c>
      <c r="G1901">
        <v>1</v>
      </c>
      <c r="H1901" s="1">
        <v>41438</v>
      </c>
      <c r="I1901">
        <v>71</v>
      </c>
      <c r="J1901">
        <v>378</v>
      </c>
      <c r="K1901">
        <v>14</v>
      </c>
      <c r="L1901">
        <v>68</v>
      </c>
      <c r="M1901">
        <v>19</v>
      </c>
      <c r="N1901">
        <v>14</v>
      </c>
      <c r="O1901">
        <v>14</v>
      </c>
      <c r="P1901">
        <v>2</v>
      </c>
      <c r="Q1901">
        <v>3</v>
      </c>
      <c r="R1901">
        <v>5</v>
      </c>
      <c r="S1901">
        <v>8</v>
      </c>
      <c r="T1901">
        <v>3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3</v>
      </c>
      <c r="AB1901">
        <v>11</v>
      </c>
      <c r="AC1901">
        <v>0</v>
      </c>
    </row>
    <row r="1902" spans="1:29" x14ac:dyDescent="0.3">
      <c r="A1902">
        <v>10789</v>
      </c>
      <c r="B1902">
        <v>1964</v>
      </c>
      <c r="C1902" t="s">
        <v>32</v>
      </c>
      <c r="D1902" t="s">
        <v>33</v>
      </c>
      <c r="E1902">
        <v>45759</v>
      </c>
      <c r="F1902">
        <v>1</v>
      </c>
      <c r="G1902">
        <v>1</v>
      </c>
      <c r="H1902" s="1">
        <v>41328</v>
      </c>
      <c r="I1902">
        <v>13</v>
      </c>
      <c r="J1902">
        <v>42</v>
      </c>
      <c r="K1902">
        <v>1</v>
      </c>
      <c r="L1902">
        <v>18</v>
      </c>
      <c r="M1902">
        <v>3</v>
      </c>
      <c r="N1902">
        <v>0</v>
      </c>
      <c r="O1902">
        <v>4</v>
      </c>
      <c r="P1902">
        <v>2</v>
      </c>
      <c r="Q1902">
        <v>2</v>
      </c>
      <c r="R1902">
        <v>0</v>
      </c>
      <c r="S1902">
        <v>3</v>
      </c>
      <c r="T1902">
        <v>7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3</v>
      </c>
      <c r="AB1902">
        <v>11</v>
      </c>
      <c r="AC1902">
        <v>0</v>
      </c>
    </row>
    <row r="1903" spans="1:29" x14ac:dyDescent="0.3">
      <c r="A1903">
        <v>10779</v>
      </c>
      <c r="B1903">
        <v>1983</v>
      </c>
      <c r="C1903" t="s">
        <v>29</v>
      </c>
      <c r="D1903" t="s">
        <v>30</v>
      </c>
      <c r="E1903">
        <v>22148</v>
      </c>
      <c r="F1903">
        <v>0</v>
      </c>
      <c r="G1903">
        <v>0</v>
      </c>
      <c r="H1903" s="1">
        <v>41742</v>
      </c>
      <c r="I1903">
        <v>16</v>
      </c>
      <c r="J1903">
        <v>15</v>
      </c>
      <c r="K1903">
        <v>5</v>
      </c>
      <c r="L1903">
        <v>14</v>
      </c>
      <c r="M1903">
        <v>0</v>
      </c>
      <c r="N1903">
        <v>4</v>
      </c>
      <c r="O1903">
        <v>11</v>
      </c>
      <c r="P1903">
        <v>1</v>
      </c>
      <c r="Q1903">
        <v>1</v>
      </c>
      <c r="R1903">
        <v>0</v>
      </c>
      <c r="S1903">
        <v>3</v>
      </c>
      <c r="T1903">
        <v>7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3</v>
      </c>
      <c r="AB1903">
        <v>11</v>
      </c>
      <c r="AC1903">
        <v>0</v>
      </c>
    </row>
    <row r="1904" spans="1:29" x14ac:dyDescent="0.3">
      <c r="A1904">
        <v>5896</v>
      </c>
      <c r="B1904">
        <v>1987</v>
      </c>
      <c r="C1904" t="s">
        <v>34</v>
      </c>
      <c r="D1904" t="s">
        <v>33</v>
      </c>
      <c r="E1904">
        <v>73395</v>
      </c>
      <c r="F1904">
        <v>0</v>
      </c>
      <c r="G1904">
        <v>0</v>
      </c>
      <c r="H1904" s="1">
        <v>41716</v>
      </c>
      <c r="I1904">
        <v>94</v>
      </c>
      <c r="J1904">
        <v>272</v>
      </c>
      <c r="K1904">
        <v>7</v>
      </c>
      <c r="L1904">
        <v>80</v>
      </c>
      <c r="M1904">
        <v>20</v>
      </c>
      <c r="N1904">
        <v>7</v>
      </c>
      <c r="O1904">
        <v>11</v>
      </c>
      <c r="P1904">
        <v>1</v>
      </c>
      <c r="Q1904">
        <v>4</v>
      </c>
      <c r="R1904">
        <v>4</v>
      </c>
      <c r="S1904">
        <v>6</v>
      </c>
      <c r="T1904">
        <v>2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3</v>
      </c>
      <c r="AB1904">
        <v>11</v>
      </c>
      <c r="AC1904">
        <v>0</v>
      </c>
    </row>
    <row r="1905" spans="1:29" x14ac:dyDescent="0.3">
      <c r="A1905">
        <v>2337</v>
      </c>
      <c r="B1905">
        <v>1971</v>
      </c>
      <c r="C1905" t="s">
        <v>29</v>
      </c>
      <c r="D1905" t="s">
        <v>35</v>
      </c>
      <c r="E1905">
        <v>29819</v>
      </c>
      <c r="F1905">
        <v>1</v>
      </c>
      <c r="G1905">
        <v>0</v>
      </c>
      <c r="H1905" s="1">
        <v>41571</v>
      </c>
      <c r="I1905">
        <v>77</v>
      </c>
      <c r="J1905">
        <v>9</v>
      </c>
      <c r="K1905">
        <v>1</v>
      </c>
      <c r="L1905">
        <v>24</v>
      </c>
      <c r="M1905">
        <v>2</v>
      </c>
      <c r="N1905">
        <v>1</v>
      </c>
      <c r="O1905">
        <v>2</v>
      </c>
      <c r="P1905">
        <v>3</v>
      </c>
      <c r="Q1905">
        <v>3</v>
      </c>
      <c r="R1905">
        <v>0</v>
      </c>
      <c r="S1905">
        <v>3</v>
      </c>
      <c r="T1905">
        <v>6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3</v>
      </c>
      <c r="AB1905">
        <v>11</v>
      </c>
      <c r="AC1905">
        <v>0</v>
      </c>
    </row>
    <row r="1906" spans="1:29" x14ac:dyDescent="0.3">
      <c r="A1906">
        <v>10951</v>
      </c>
      <c r="B1906">
        <v>1968</v>
      </c>
      <c r="C1906" t="s">
        <v>29</v>
      </c>
      <c r="D1906" t="s">
        <v>33</v>
      </c>
      <c r="E1906">
        <v>45688</v>
      </c>
      <c r="F1906">
        <v>0</v>
      </c>
      <c r="G1906">
        <v>1</v>
      </c>
      <c r="H1906" s="1">
        <v>41664</v>
      </c>
      <c r="I1906">
        <v>20</v>
      </c>
      <c r="J1906">
        <v>279</v>
      </c>
      <c r="K1906">
        <v>0</v>
      </c>
      <c r="L1906">
        <v>18</v>
      </c>
      <c r="M1906">
        <v>0</v>
      </c>
      <c r="N1906">
        <v>0</v>
      </c>
      <c r="O1906">
        <v>9</v>
      </c>
      <c r="P1906">
        <v>2</v>
      </c>
      <c r="Q1906">
        <v>3</v>
      </c>
      <c r="R1906">
        <v>1</v>
      </c>
      <c r="S1906">
        <v>8</v>
      </c>
      <c r="T1906">
        <v>4</v>
      </c>
      <c r="U1906">
        <v>0</v>
      </c>
      <c r="V1906">
        <v>1</v>
      </c>
      <c r="W1906">
        <v>0</v>
      </c>
      <c r="X1906">
        <v>0</v>
      </c>
      <c r="Y1906">
        <v>0</v>
      </c>
      <c r="Z1906">
        <v>0</v>
      </c>
      <c r="AA1906">
        <v>3</v>
      </c>
      <c r="AB1906">
        <v>11</v>
      </c>
      <c r="AC1906">
        <v>0</v>
      </c>
    </row>
    <row r="1907" spans="1:29" x14ac:dyDescent="0.3">
      <c r="A1907">
        <v>544</v>
      </c>
      <c r="B1907">
        <v>1954</v>
      </c>
      <c r="C1907" t="s">
        <v>29</v>
      </c>
      <c r="D1907" t="s">
        <v>33</v>
      </c>
      <c r="E1907">
        <v>62820</v>
      </c>
      <c r="F1907">
        <v>0</v>
      </c>
      <c r="G1907">
        <v>0</v>
      </c>
      <c r="H1907" s="1">
        <v>41405</v>
      </c>
      <c r="I1907">
        <v>51</v>
      </c>
      <c r="J1907">
        <v>398</v>
      </c>
      <c r="K1907">
        <v>61</v>
      </c>
      <c r="L1907">
        <v>265</v>
      </c>
      <c r="M1907">
        <v>138</v>
      </c>
      <c r="N1907">
        <v>61</v>
      </c>
      <c r="O1907">
        <v>53</v>
      </c>
      <c r="P1907">
        <v>1</v>
      </c>
      <c r="Q1907">
        <v>3</v>
      </c>
      <c r="R1907">
        <v>4</v>
      </c>
      <c r="S1907">
        <v>6</v>
      </c>
      <c r="T1907">
        <v>1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3</v>
      </c>
      <c r="AB1907">
        <v>11</v>
      </c>
      <c r="AC1907">
        <v>0</v>
      </c>
    </row>
    <row r="1908" spans="1:29" x14ac:dyDescent="0.3">
      <c r="A1908">
        <v>17</v>
      </c>
      <c r="B1908">
        <v>1971</v>
      </c>
      <c r="C1908" t="s">
        <v>32</v>
      </c>
      <c r="D1908" t="s">
        <v>33</v>
      </c>
      <c r="E1908">
        <v>60491</v>
      </c>
      <c r="F1908">
        <v>0</v>
      </c>
      <c r="G1908">
        <v>1</v>
      </c>
      <c r="H1908" s="1">
        <v>41523</v>
      </c>
      <c r="I1908">
        <v>81</v>
      </c>
      <c r="J1908">
        <v>637</v>
      </c>
      <c r="K1908">
        <v>47</v>
      </c>
      <c r="L1908">
        <v>237</v>
      </c>
      <c r="M1908">
        <v>12</v>
      </c>
      <c r="N1908">
        <v>19</v>
      </c>
      <c r="O1908">
        <v>76</v>
      </c>
      <c r="P1908">
        <v>4</v>
      </c>
      <c r="Q1908">
        <v>6</v>
      </c>
      <c r="R1908">
        <v>11</v>
      </c>
      <c r="S1908">
        <v>7</v>
      </c>
      <c r="T1908">
        <v>5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3</v>
      </c>
      <c r="AB1908">
        <v>11</v>
      </c>
      <c r="AC1908">
        <v>0</v>
      </c>
    </row>
    <row r="1909" spans="1:29" x14ac:dyDescent="0.3">
      <c r="A1909">
        <v>10680</v>
      </c>
      <c r="B1909">
        <v>1986</v>
      </c>
      <c r="C1909" t="s">
        <v>29</v>
      </c>
      <c r="D1909" t="s">
        <v>31</v>
      </c>
      <c r="E1909">
        <v>33235</v>
      </c>
      <c r="F1909">
        <v>1</v>
      </c>
      <c r="G1909">
        <v>0</v>
      </c>
      <c r="H1909" s="1">
        <v>41675</v>
      </c>
      <c r="I1909">
        <v>71</v>
      </c>
      <c r="J1909">
        <v>45</v>
      </c>
      <c r="K1909">
        <v>0</v>
      </c>
      <c r="L1909">
        <v>16</v>
      </c>
      <c r="M1909">
        <v>2</v>
      </c>
      <c r="N1909">
        <v>1</v>
      </c>
      <c r="O1909">
        <v>6</v>
      </c>
      <c r="P1909">
        <v>1</v>
      </c>
      <c r="Q1909">
        <v>3</v>
      </c>
      <c r="R1909">
        <v>0</v>
      </c>
      <c r="S1909">
        <v>3</v>
      </c>
      <c r="T1909">
        <v>7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3</v>
      </c>
      <c r="AB1909">
        <v>11</v>
      </c>
      <c r="AC1909">
        <v>0</v>
      </c>
    </row>
    <row r="1910" spans="1:29" x14ac:dyDescent="0.3">
      <c r="A1910">
        <v>3265</v>
      </c>
      <c r="B1910">
        <v>1959</v>
      </c>
      <c r="C1910" t="s">
        <v>29</v>
      </c>
      <c r="D1910" t="s">
        <v>33</v>
      </c>
      <c r="E1910">
        <v>35701</v>
      </c>
      <c r="F1910">
        <v>0</v>
      </c>
      <c r="G1910">
        <v>0</v>
      </c>
      <c r="H1910" s="1">
        <v>41352</v>
      </c>
      <c r="I1910">
        <v>36</v>
      </c>
      <c r="J1910">
        <v>21</v>
      </c>
      <c r="K1910">
        <v>1</v>
      </c>
      <c r="L1910">
        <v>9</v>
      </c>
      <c r="M1910">
        <v>7</v>
      </c>
      <c r="N1910">
        <v>3</v>
      </c>
      <c r="O1910">
        <v>5</v>
      </c>
      <c r="P1910">
        <v>1</v>
      </c>
      <c r="Q1910">
        <v>1</v>
      </c>
      <c r="R1910">
        <v>0</v>
      </c>
      <c r="S1910">
        <v>3</v>
      </c>
      <c r="T1910">
        <v>6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3</v>
      </c>
      <c r="AB1910">
        <v>11</v>
      </c>
      <c r="AC1910">
        <v>0</v>
      </c>
    </row>
    <row r="1911" spans="1:29" x14ac:dyDescent="0.3">
      <c r="A1911">
        <v>5623</v>
      </c>
      <c r="B1911">
        <v>1980</v>
      </c>
      <c r="C1911" t="s">
        <v>34</v>
      </c>
      <c r="D1911" t="s">
        <v>33</v>
      </c>
      <c r="E1911">
        <v>31535</v>
      </c>
      <c r="F1911">
        <v>1</v>
      </c>
      <c r="G1911">
        <v>0</v>
      </c>
      <c r="H1911" s="1">
        <v>41543</v>
      </c>
      <c r="I1911">
        <v>95</v>
      </c>
      <c r="J1911">
        <v>15</v>
      </c>
      <c r="K1911">
        <v>4</v>
      </c>
      <c r="L1911">
        <v>13</v>
      </c>
      <c r="M1911">
        <v>0</v>
      </c>
      <c r="N1911">
        <v>0</v>
      </c>
      <c r="O1911">
        <v>19</v>
      </c>
      <c r="P1911">
        <v>1</v>
      </c>
      <c r="Q1911">
        <v>1</v>
      </c>
      <c r="R1911">
        <v>1</v>
      </c>
      <c r="S1911">
        <v>2</v>
      </c>
      <c r="T1911">
        <v>7</v>
      </c>
      <c r="U1911">
        <v>1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3</v>
      </c>
      <c r="AB1911">
        <v>11</v>
      </c>
      <c r="AC1911">
        <v>0</v>
      </c>
    </row>
    <row r="1912" spans="1:29" x14ac:dyDescent="0.3">
      <c r="A1912">
        <v>5832</v>
      </c>
      <c r="B1912">
        <v>1960</v>
      </c>
      <c r="C1912" t="s">
        <v>37</v>
      </c>
      <c r="D1912" t="s">
        <v>31</v>
      </c>
      <c r="E1912">
        <v>92556</v>
      </c>
      <c r="F1912">
        <v>0</v>
      </c>
      <c r="G1912">
        <v>0</v>
      </c>
      <c r="H1912" s="1">
        <v>41749</v>
      </c>
      <c r="I1912">
        <v>32</v>
      </c>
      <c r="J1912">
        <v>493</v>
      </c>
      <c r="K1912">
        <v>183</v>
      </c>
      <c r="L1912">
        <v>352</v>
      </c>
      <c r="M1912">
        <v>184</v>
      </c>
      <c r="N1912">
        <v>23</v>
      </c>
      <c r="O1912">
        <v>28</v>
      </c>
      <c r="P1912">
        <v>0</v>
      </c>
      <c r="Q1912">
        <v>3</v>
      </c>
      <c r="R1912">
        <v>5</v>
      </c>
      <c r="S1912">
        <v>13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3</v>
      </c>
      <c r="AB1912">
        <v>11</v>
      </c>
      <c r="AC1912">
        <v>0</v>
      </c>
    </row>
    <row r="1913" spans="1:29" x14ac:dyDescent="0.3">
      <c r="A1913">
        <v>5544</v>
      </c>
      <c r="B1913">
        <v>1970</v>
      </c>
      <c r="C1913" t="s">
        <v>29</v>
      </c>
      <c r="D1913" t="s">
        <v>30</v>
      </c>
      <c r="E1913">
        <v>67384</v>
      </c>
      <c r="F1913">
        <v>0</v>
      </c>
      <c r="G1913">
        <v>1</v>
      </c>
      <c r="H1913" s="1">
        <v>41223</v>
      </c>
      <c r="I1913">
        <v>32</v>
      </c>
      <c r="J1913">
        <v>957</v>
      </c>
      <c r="K1913">
        <v>40</v>
      </c>
      <c r="L1913">
        <v>175</v>
      </c>
      <c r="M1913">
        <v>158</v>
      </c>
      <c r="N1913">
        <v>53</v>
      </c>
      <c r="O1913">
        <v>107</v>
      </c>
      <c r="P1913">
        <v>2</v>
      </c>
      <c r="Q1913">
        <v>7</v>
      </c>
      <c r="R1913">
        <v>8</v>
      </c>
      <c r="S1913">
        <v>5</v>
      </c>
      <c r="T1913">
        <v>5</v>
      </c>
      <c r="U1913">
        <v>0</v>
      </c>
      <c r="V1913">
        <v>1</v>
      </c>
      <c r="W1913">
        <v>0</v>
      </c>
      <c r="X1913">
        <v>0</v>
      </c>
      <c r="Y1913">
        <v>0</v>
      </c>
      <c r="Z1913">
        <v>0</v>
      </c>
      <c r="AA1913">
        <v>3</v>
      </c>
      <c r="AB1913">
        <v>11</v>
      </c>
      <c r="AC1913">
        <v>0</v>
      </c>
    </row>
    <row r="1914" spans="1:29" x14ac:dyDescent="0.3">
      <c r="A1914">
        <v>6417</v>
      </c>
      <c r="B1914">
        <v>1971</v>
      </c>
      <c r="C1914" t="s">
        <v>34</v>
      </c>
      <c r="D1914" t="s">
        <v>31</v>
      </c>
      <c r="E1914">
        <v>80573</v>
      </c>
      <c r="F1914">
        <v>0</v>
      </c>
      <c r="G1914">
        <v>0</v>
      </c>
      <c r="H1914" s="1">
        <v>41196</v>
      </c>
      <c r="I1914">
        <v>85</v>
      </c>
      <c r="J1914">
        <v>829</v>
      </c>
      <c r="K1914">
        <v>138</v>
      </c>
      <c r="L1914">
        <v>430</v>
      </c>
      <c r="M1914">
        <v>60</v>
      </c>
      <c r="N1914">
        <v>92</v>
      </c>
      <c r="O1914">
        <v>15</v>
      </c>
      <c r="P1914">
        <v>1</v>
      </c>
      <c r="Q1914">
        <v>4</v>
      </c>
      <c r="R1914">
        <v>6</v>
      </c>
      <c r="S1914">
        <v>13</v>
      </c>
      <c r="T1914">
        <v>2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3</v>
      </c>
      <c r="AB1914">
        <v>11</v>
      </c>
      <c r="AC1914">
        <v>0</v>
      </c>
    </row>
    <row r="1915" spans="1:29" x14ac:dyDescent="0.3">
      <c r="A1915">
        <v>5831</v>
      </c>
      <c r="B1915">
        <v>1967</v>
      </c>
      <c r="C1915" t="s">
        <v>29</v>
      </c>
      <c r="D1915" t="s">
        <v>33</v>
      </c>
      <c r="E1915">
        <v>77870</v>
      </c>
      <c r="F1915">
        <v>0</v>
      </c>
      <c r="G1915">
        <v>1</v>
      </c>
      <c r="H1915" s="1">
        <v>41143</v>
      </c>
      <c r="I1915">
        <v>93</v>
      </c>
      <c r="J1915">
        <v>1017</v>
      </c>
      <c r="K1915">
        <v>50</v>
      </c>
      <c r="L1915">
        <v>500</v>
      </c>
      <c r="M1915">
        <v>65</v>
      </c>
      <c r="N1915">
        <v>50</v>
      </c>
      <c r="O1915">
        <v>133</v>
      </c>
      <c r="P1915">
        <v>3</v>
      </c>
      <c r="Q1915">
        <v>5</v>
      </c>
      <c r="R1915">
        <v>5</v>
      </c>
      <c r="S1915">
        <v>5</v>
      </c>
      <c r="T1915">
        <v>8</v>
      </c>
      <c r="U1915">
        <v>0</v>
      </c>
      <c r="V1915">
        <v>1</v>
      </c>
      <c r="W1915">
        <v>0</v>
      </c>
      <c r="X1915">
        <v>1</v>
      </c>
      <c r="Y1915">
        <v>0</v>
      </c>
      <c r="Z1915">
        <v>0</v>
      </c>
      <c r="AA1915">
        <v>3</v>
      </c>
      <c r="AB1915">
        <v>11</v>
      </c>
      <c r="AC1915">
        <v>1</v>
      </c>
    </row>
    <row r="1916" spans="1:29" x14ac:dyDescent="0.3">
      <c r="A1916">
        <v>7101</v>
      </c>
      <c r="B1916">
        <v>1963</v>
      </c>
      <c r="C1916" t="s">
        <v>32</v>
      </c>
      <c r="D1916" t="s">
        <v>38</v>
      </c>
      <c r="E1916">
        <v>52278</v>
      </c>
      <c r="F1916">
        <v>0</v>
      </c>
      <c r="G1916">
        <v>1</v>
      </c>
      <c r="H1916" s="1">
        <v>41299</v>
      </c>
      <c r="I1916">
        <v>24</v>
      </c>
      <c r="J1916">
        <v>953</v>
      </c>
      <c r="K1916">
        <v>0</v>
      </c>
      <c r="L1916">
        <v>71</v>
      </c>
      <c r="M1916">
        <v>0</v>
      </c>
      <c r="N1916">
        <v>0</v>
      </c>
      <c r="O1916">
        <v>174</v>
      </c>
      <c r="P1916">
        <v>6</v>
      </c>
      <c r="Q1916">
        <v>10</v>
      </c>
      <c r="R1916">
        <v>5</v>
      </c>
      <c r="S1916">
        <v>10</v>
      </c>
      <c r="T1916">
        <v>8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3</v>
      </c>
      <c r="AB1916">
        <v>11</v>
      </c>
      <c r="AC1916">
        <v>0</v>
      </c>
    </row>
    <row r="1917" spans="1:29" x14ac:dyDescent="0.3">
      <c r="A1917">
        <v>10176</v>
      </c>
      <c r="B1917">
        <v>1968</v>
      </c>
      <c r="C1917" t="s">
        <v>29</v>
      </c>
      <c r="D1917" t="s">
        <v>30</v>
      </c>
      <c r="E1917">
        <v>57107</v>
      </c>
      <c r="F1917">
        <v>0</v>
      </c>
      <c r="G1917">
        <v>1</v>
      </c>
      <c r="H1917" s="1">
        <v>41145</v>
      </c>
      <c r="I1917">
        <v>44</v>
      </c>
      <c r="J1917">
        <v>159</v>
      </c>
      <c r="K1917">
        <v>0</v>
      </c>
      <c r="L1917">
        <v>120</v>
      </c>
      <c r="M1917">
        <v>0</v>
      </c>
      <c r="N1917">
        <v>0</v>
      </c>
      <c r="O1917">
        <v>137</v>
      </c>
      <c r="P1917">
        <v>7</v>
      </c>
      <c r="Q1917">
        <v>4</v>
      </c>
      <c r="R1917">
        <v>4</v>
      </c>
      <c r="S1917">
        <v>8</v>
      </c>
      <c r="T1917">
        <v>8</v>
      </c>
      <c r="U1917">
        <v>0</v>
      </c>
      <c r="V1917">
        <v>1</v>
      </c>
      <c r="W1917">
        <v>0</v>
      </c>
      <c r="X1917">
        <v>0</v>
      </c>
      <c r="Y1917">
        <v>1</v>
      </c>
      <c r="Z1917">
        <v>0</v>
      </c>
      <c r="AA1917">
        <v>3</v>
      </c>
      <c r="AB1917">
        <v>11</v>
      </c>
      <c r="AC1917">
        <v>1</v>
      </c>
    </row>
    <row r="1918" spans="1:29" x14ac:dyDescent="0.3">
      <c r="A1918">
        <v>2326</v>
      </c>
      <c r="B1918">
        <v>1990</v>
      </c>
      <c r="C1918" t="s">
        <v>29</v>
      </c>
      <c r="D1918" t="s">
        <v>33</v>
      </c>
      <c r="E1918">
        <v>18929</v>
      </c>
      <c r="F1918">
        <v>0</v>
      </c>
      <c r="G1918">
        <v>0</v>
      </c>
      <c r="H1918" s="1">
        <v>41321</v>
      </c>
      <c r="I1918">
        <v>15</v>
      </c>
      <c r="J1918">
        <v>32</v>
      </c>
      <c r="K1918">
        <v>0</v>
      </c>
      <c r="L1918">
        <v>8</v>
      </c>
      <c r="M1918">
        <v>23</v>
      </c>
      <c r="N1918">
        <v>4</v>
      </c>
      <c r="O1918">
        <v>18</v>
      </c>
      <c r="P1918">
        <v>1</v>
      </c>
      <c r="Q1918">
        <v>1</v>
      </c>
      <c r="R1918">
        <v>0</v>
      </c>
      <c r="S1918">
        <v>4</v>
      </c>
      <c r="T1918">
        <v>6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3</v>
      </c>
      <c r="AB1918">
        <v>11</v>
      </c>
      <c r="AC1918">
        <v>0</v>
      </c>
    </row>
    <row r="1919" spans="1:29" x14ac:dyDescent="0.3">
      <c r="A1919">
        <v>4385</v>
      </c>
      <c r="B1919">
        <v>1981</v>
      </c>
      <c r="C1919" t="s">
        <v>32</v>
      </c>
      <c r="D1919" t="s">
        <v>30</v>
      </c>
      <c r="E1919">
        <v>36038</v>
      </c>
      <c r="F1919">
        <v>1</v>
      </c>
      <c r="G1919">
        <v>0</v>
      </c>
      <c r="H1919" s="1">
        <v>41425</v>
      </c>
      <c r="I1919">
        <v>82</v>
      </c>
      <c r="J1919">
        <v>23</v>
      </c>
      <c r="K1919">
        <v>0</v>
      </c>
      <c r="L1919">
        <v>15</v>
      </c>
      <c r="M1919">
        <v>0</v>
      </c>
      <c r="N1919">
        <v>2</v>
      </c>
      <c r="O1919">
        <v>7</v>
      </c>
      <c r="P1919">
        <v>2</v>
      </c>
      <c r="Q1919">
        <v>3</v>
      </c>
      <c r="R1919">
        <v>0</v>
      </c>
      <c r="S1919">
        <v>3</v>
      </c>
      <c r="T1919">
        <v>6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3</v>
      </c>
      <c r="AB1919">
        <v>11</v>
      </c>
      <c r="AC1919">
        <v>0</v>
      </c>
    </row>
    <row r="1920" spans="1:29" x14ac:dyDescent="0.3">
      <c r="A1920">
        <v>2929</v>
      </c>
      <c r="B1920">
        <v>1976</v>
      </c>
      <c r="C1920" t="s">
        <v>29</v>
      </c>
      <c r="D1920" t="s">
        <v>30</v>
      </c>
      <c r="E1920">
        <v>20180</v>
      </c>
      <c r="F1920">
        <v>0</v>
      </c>
      <c r="G1920">
        <v>0</v>
      </c>
      <c r="H1920" s="1">
        <v>41325</v>
      </c>
      <c r="I1920">
        <v>27</v>
      </c>
      <c r="J1920">
        <v>18</v>
      </c>
      <c r="K1920">
        <v>42</v>
      </c>
      <c r="L1920">
        <v>24</v>
      </c>
      <c r="M1920">
        <v>15</v>
      </c>
      <c r="N1920">
        <v>20</v>
      </c>
      <c r="O1920">
        <v>18</v>
      </c>
      <c r="P1920">
        <v>1</v>
      </c>
      <c r="Q1920">
        <v>2</v>
      </c>
      <c r="R1920">
        <v>1</v>
      </c>
      <c r="S1920">
        <v>4</v>
      </c>
      <c r="T1920">
        <v>7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3</v>
      </c>
      <c r="AB1920">
        <v>11</v>
      </c>
      <c r="AC1920">
        <v>0</v>
      </c>
    </row>
    <row r="1921" spans="1:29" x14ac:dyDescent="0.3">
      <c r="A1921">
        <v>10686</v>
      </c>
      <c r="B1921">
        <v>1965</v>
      </c>
      <c r="C1921" t="s">
        <v>32</v>
      </c>
      <c r="D1921" t="s">
        <v>31</v>
      </c>
      <c r="E1921">
        <v>34230</v>
      </c>
      <c r="F1921">
        <v>1</v>
      </c>
      <c r="G1921">
        <v>1</v>
      </c>
      <c r="H1921" s="1">
        <v>41269</v>
      </c>
      <c r="I1921">
        <v>72</v>
      </c>
      <c r="J1921">
        <v>15</v>
      </c>
      <c r="K1921">
        <v>0</v>
      </c>
      <c r="L1921">
        <v>4</v>
      </c>
      <c r="M1921">
        <v>0</v>
      </c>
      <c r="N1921">
        <v>0</v>
      </c>
      <c r="O1921">
        <v>2</v>
      </c>
      <c r="P1921">
        <v>1</v>
      </c>
      <c r="Q1921">
        <v>1</v>
      </c>
      <c r="R1921">
        <v>0</v>
      </c>
      <c r="S1921">
        <v>2</v>
      </c>
      <c r="T1921">
        <v>7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3</v>
      </c>
      <c r="AB1921">
        <v>11</v>
      </c>
      <c r="AC1921">
        <v>0</v>
      </c>
    </row>
    <row r="1922" spans="1:29" x14ac:dyDescent="0.3">
      <c r="A1922">
        <v>2546</v>
      </c>
      <c r="B1922">
        <v>1977</v>
      </c>
      <c r="C1922" t="s">
        <v>37</v>
      </c>
      <c r="D1922" t="s">
        <v>30</v>
      </c>
      <c r="E1922">
        <v>31878</v>
      </c>
      <c r="F1922">
        <v>0</v>
      </c>
      <c r="G1922">
        <v>1</v>
      </c>
      <c r="H1922" s="1">
        <v>41812</v>
      </c>
      <c r="I1922">
        <v>7</v>
      </c>
      <c r="J1922">
        <v>23</v>
      </c>
      <c r="K1922">
        <v>4</v>
      </c>
      <c r="L1922">
        <v>5</v>
      </c>
      <c r="M1922">
        <v>10</v>
      </c>
      <c r="N1922">
        <v>5</v>
      </c>
      <c r="O1922">
        <v>23</v>
      </c>
      <c r="P1922">
        <v>1</v>
      </c>
      <c r="Q1922">
        <v>1</v>
      </c>
      <c r="R1922">
        <v>0</v>
      </c>
      <c r="S1922">
        <v>4</v>
      </c>
      <c r="T1922">
        <v>3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3</v>
      </c>
      <c r="AB1922">
        <v>11</v>
      </c>
      <c r="AC1922">
        <v>0</v>
      </c>
    </row>
    <row r="1923" spans="1:29" x14ac:dyDescent="0.3">
      <c r="A1923">
        <v>3283</v>
      </c>
      <c r="B1923">
        <v>1972</v>
      </c>
      <c r="C1923" t="s">
        <v>37</v>
      </c>
      <c r="D1923" t="s">
        <v>33</v>
      </c>
      <c r="E1923">
        <v>70932</v>
      </c>
      <c r="F1923">
        <v>0</v>
      </c>
      <c r="G1923">
        <v>1</v>
      </c>
      <c r="H1923" s="1">
        <v>41658</v>
      </c>
      <c r="I1923">
        <v>57</v>
      </c>
      <c r="J1923">
        <v>200</v>
      </c>
      <c r="K1923">
        <v>193</v>
      </c>
      <c r="L1923">
        <v>100</v>
      </c>
      <c r="M1923">
        <v>46</v>
      </c>
      <c r="N1923">
        <v>185</v>
      </c>
      <c r="O1923">
        <v>185</v>
      </c>
      <c r="P1923">
        <v>2</v>
      </c>
      <c r="Q1923">
        <v>6</v>
      </c>
      <c r="R1923">
        <v>2</v>
      </c>
      <c r="S1923">
        <v>12</v>
      </c>
      <c r="T1923">
        <v>3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3</v>
      </c>
      <c r="AB1923">
        <v>11</v>
      </c>
      <c r="AC1923">
        <v>0</v>
      </c>
    </row>
    <row r="1924" spans="1:29" x14ac:dyDescent="0.3">
      <c r="A1924">
        <v>3138</v>
      </c>
      <c r="B1924">
        <v>1956</v>
      </c>
      <c r="C1924" t="s">
        <v>29</v>
      </c>
      <c r="D1924" t="s">
        <v>30</v>
      </c>
      <c r="E1924">
        <v>91249</v>
      </c>
      <c r="F1924">
        <v>0</v>
      </c>
      <c r="G1924">
        <v>0</v>
      </c>
      <c r="H1924" s="1">
        <v>41202</v>
      </c>
      <c r="I1924">
        <v>84</v>
      </c>
      <c r="J1924">
        <v>1324</v>
      </c>
      <c r="K1924">
        <v>27</v>
      </c>
      <c r="L1924">
        <v>119</v>
      </c>
      <c r="M1924">
        <v>71</v>
      </c>
      <c r="N1924">
        <v>108</v>
      </c>
      <c r="O1924">
        <v>27</v>
      </c>
      <c r="P1924">
        <v>0</v>
      </c>
      <c r="Q1924">
        <v>7</v>
      </c>
      <c r="R1924">
        <v>9</v>
      </c>
      <c r="S1924">
        <v>6</v>
      </c>
      <c r="T1924">
        <v>4</v>
      </c>
      <c r="U1924">
        <v>0</v>
      </c>
      <c r="V1924">
        <v>1</v>
      </c>
      <c r="W1924">
        <v>1</v>
      </c>
      <c r="X1924">
        <v>1</v>
      </c>
      <c r="Y1924">
        <v>1</v>
      </c>
      <c r="Z1924">
        <v>0</v>
      </c>
      <c r="AA1924">
        <v>3</v>
      </c>
      <c r="AB1924">
        <v>11</v>
      </c>
      <c r="AC1924">
        <v>1</v>
      </c>
    </row>
    <row r="1925" spans="1:29" x14ac:dyDescent="0.3">
      <c r="A1925">
        <v>4994</v>
      </c>
      <c r="B1925">
        <v>1943</v>
      </c>
      <c r="C1925" t="s">
        <v>34</v>
      </c>
      <c r="D1925" t="s">
        <v>30</v>
      </c>
      <c r="E1925">
        <v>77598</v>
      </c>
      <c r="F1925">
        <v>0</v>
      </c>
      <c r="G1925">
        <v>0</v>
      </c>
      <c r="H1925" s="1">
        <v>41548</v>
      </c>
      <c r="I1925">
        <v>53</v>
      </c>
      <c r="J1925">
        <v>1193</v>
      </c>
      <c r="K1925">
        <v>33</v>
      </c>
      <c r="L1925">
        <v>281</v>
      </c>
      <c r="M1925">
        <v>129</v>
      </c>
      <c r="N1925">
        <v>66</v>
      </c>
      <c r="O1925">
        <v>33</v>
      </c>
      <c r="P1925">
        <v>1</v>
      </c>
      <c r="Q1925">
        <v>7</v>
      </c>
      <c r="R1925">
        <v>5</v>
      </c>
      <c r="S1925">
        <v>13</v>
      </c>
      <c r="T1925">
        <v>3</v>
      </c>
      <c r="U1925">
        <v>0</v>
      </c>
      <c r="V1925">
        <v>0</v>
      </c>
      <c r="W1925">
        <v>1</v>
      </c>
      <c r="X1925">
        <v>0</v>
      </c>
      <c r="Y1925">
        <v>0</v>
      </c>
      <c r="Z1925">
        <v>0</v>
      </c>
      <c r="AA1925">
        <v>3</v>
      </c>
      <c r="AB1925">
        <v>11</v>
      </c>
      <c r="AC1925">
        <v>0</v>
      </c>
    </row>
    <row r="1926" spans="1:29" x14ac:dyDescent="0.3">
      <c r="A1926">
        <v>7966</v>
      </c>
      <c r="B1926">
        <v>1959</v>
      </c>
      <c r="C1926" t="s">
        <v>29</v>
      </c>
      <c r="D1926" t="s">
        <v>30</v>
      </c>
      <c r="E1926">
        <v>80982</v>
      </c>
      <c r="F1926">
        <v>1</v>
      </c>
      <c r="G1926">
        <v>1</v>
      </c>
      <c r="H1926" s="1">
        <v>41282</v>
      </c>
      <c r="I1926">
        <v>48</v>
      </c>
      <c r="J1926">
        <v>505</v>
      </c>
      <c r="K1926">
        <v>137</v>
      </c>
      <c r="L1926">
        <v>401</v>
      </c>
      <c r="M1926">
        <v>104</v>
      </c>
      <c r="N1926">
        <v>22</v>
      </c>
      <c r="O1926">
        <v>22</v>
      </c>
      <c r="P1926">
        <v>3</v>
      </c>
      <c r="Q1926">
        <v>11</v>
      </c>
      <c r="R1926">
        <v>5</v>
      </c>
      <c r="S1926">
        <v>11</v>
      </c>
      <c r="T1926">
        <v>5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1</v>
      </c>
      <c r="AA1926">
        <v>3</v>
      </c>
      <c r="AB1926">
        <v>11</v>
      </c>
      <c r="AC1926">
        <v>0</v>
      </c>
    </row>
    <row r="1927" spans="1:29" x14ac:dyDescent="0.3">
      <c r="A1927">
        <v>3112</v>
      </c>
      <c r="B1927">
        <v>1977</v>
      </c>
      <c r="C1927" t="s">
        <v>34</v>
      </c>
      <c r="D1927" t="s">
        <v>33</v>
      </c>
      <c r="E1927">
        <v>22701</v>
      </c>
      <c r="F1927">
        <v>1</v>
      </c>
      <c r="G1927">
        <v>0</v>
      </c>
      <c r="H1927" s="1">
        <v>41522</v>
      </c>
      <c r="I1927">
        <v>2</v>
      </c>
      <c r="J1927">
        <v>2</v>
      </c>
      <c r="K1927">
        <v>4</v>
      </c>
      <c r="L1927">
        <v>9</v>
      </c>
      <c r="M1927">
        <v>0</v>
      </c>
      <c r="N1927">
        <v>4</v>
      </c>
      <c r="O1927">
        <v>5</v>
      </c>
      <c r="P1927">
        <v>1</v>
      </c>
      <c r="Q1927">
        <v>1</v>
      </c>
      <c r="R1927">
        <v>0</v>
      </c>
      <c r="S1927">
        <v>3</v>
      </c>
      <c r="T1927">
        <v>5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3</v>
      </c>
      <c r="AB1927">
        <v>11</v>
      </c>
      <c r="AC1927">
        <v>0</v>
      </c>
    </row>
    <row r="1928" spans="1:29" x14ac:dyDescent="0.3">
      <c r="A1928">
        <v>10872</v>
      </c>
      <c r="B1928">
        <v>1969</v>
      </c>
      <c r="C1928" t="s">
        <v>32</v>
      </c>
      <c r="D1928" t="s">
        <v>33</v>
      </c>
      <c r="E1928">
        <v>55212</v>
      </c>
      <c r="F1928">
        <v>0</v>
      </c>
      <c r="G1928">
        <v>1</v>
      </c>
      <c r="H1928" s="1">
        <v>41236</v>
      </c>
      <c r="I1928">
        <v>65</v>
      </c>
      <c r="J1928">
        <v>1103</v>
      </c>
      <c r="K1928">
        <v>0</v>
      </c>
      <c r="L1928">
        <v>45</v>
      </c>
      <c r="M1928">
        <v>0</v>
      </c>
      <c r="N1928">
        <v>0</v>
      </c>
      <c r="O1928">
        <v>34</v>
      </c>
      <c r="P1928">
        <v>3</v>
      </c>
      <c r="Q1928">
        <v>4</v>
      </c>
      <c r="R1928">
        <v>2</v>
      </c>
      <c r="S1928">
        <v>11</v>
      </c>
      <c r="T1928">
        <v>8</v>
      </c>
      <c r="U1928">
        <v>0</v>
      </c>
      <c r="V1928">
        <v>1</v>
      </c>
      <c r="W1928">
        <v>0</v>
      </c>
      <c r="X1928">
        <v>0</v>
      </c>
      <c r="Y1928">
        <v>1</v>
      </c>
      <c r="Z1928">
        <v>0</v>
      </c>
      <c r="AA1928">
        <v>3</v>
      </c>
      <c r="AB1928">
        <v>11</v>
      </c>
      <c r="AC1928">
        <v>0</v>
      </c>
    </row>
    <row r="1929" spans="1:29" x14ac:dyDescent="0.3">
      <c r="A1929">
        <v>2181</v>
      </c>
      <c r="B1929">
        <v>1970</v>
      </c>
      <c r="C1929" t="s">
        <v>29</v>
      </c>
      <c r="D1929" t="s">
        <v>33</v>
      </c>
      <c r="E1929">
        <v>70617</v>
      </c>
      <c r="F1929">
        <v>0</v>
      </c>
      <c r="G1929">
        <v>0</v>
      </c>
      <c r="H1929" s="1">
        <v>41448</v>
      </c>
      <c r="I1929">
        <v>45</v>
      </c>
      <c r="J1929">
        <v>353</v>
      </c>
      <c r="K1929">
        <v>61</v>
      </c>
      <c r="L1929">
        <v>753</v>
      </c>
      <c r="M1929">
        <v>40</v>
      </c>
      <c r="N1929">
        <v>46</v>
      </c>
      <c r="O1929">
        <v>27</v>
      </c>
      <c r="P1929">
        <v>1</v>
      </c>
      <c r="Q1929">
        <v>3</v>
      </c>
      <c r="R1929">
        <v>3</v>
      </c>
      <c r="S1929">
        <v>7</v>
      </c>
      <c r="T1929">
        <v>2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3</v>
      </c>
      <c r="AB1929">
        <v>11</v>
      </c>
      <c r="AC1929">
        <v>0</v>
      </c>
    </row>
    <row r="1930" spans="1:29" x14ac:dyDescent="0.3">
      <c r="A1930">
        <v>1867</v>
      </c>
      <c r="B1930">
        <v>1957</v>
      </c>
      <c r="C1930" t="s">
        <v>29</v>
      </c>
      <c r="D1930" t="s">
        <v>30</v>
      </c>
      <c r="E1930">
        <v>64849</v>
      </c>
      <c r="F1930">
        <v>0</v>
      </c>
      <c r="G1930">
        <v>0</v>
      </c>
      <c r="H1930" s="1">
        <v>41226</v>
      </c>
      <c r="I1930">
        <v>42</v>
      </c>
      <c r="J1930">
        <v>652</v>
      </c>
      <c r="K1930">
        <v>48</v>
      </c>
      <c r="L1930">
        <v>350</v>
      </c>
      <c r="M1930">
        <v>94</v>
      </c>
      <c r="N1930">
        <v>84</v>
      </c>
      <c r="O1930">
        <v>108</v>
      </c>
      <c r="P1930">
        <v>1</v>
      </c>
      <c r="Q1930">
        <v>9</v>
      </c>
      <c r="R1930">
        <v>3</v>
      </c>
      <c r="S1930">
        <v>6</v>
      </c>
      <c r="T1930">
        <v>5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3</v>
      </c>
      <c r="AB1930">
        <v>11</v>
      </c>
      <c r="AC1930">
        <v>1</v>
      </c>
    </row>
    <row r="1931" spans="1:29" x14ac:dyDescent="0.3">
      <c r="A1931">
        <v>1518</v>
      </c>
      <c r="B1931">
        <v>1965</v>
      </c>
      <c r="C1931" t="s">
        <v>34</v>
      </c>
      <c r="D1931" t="s">
        <v>33</v>
      </c>
      <c r="E1931">
        <v>62694</v>
      </c>
      <c r="F1931">
        <v>1</v>
      </c>
      <c r="G1931">
        <v>1</v>
      </c>
      <c r="H1931" s="1">
        <v>41442</v>
      </c>
      <c r="I1931">
        <v>29</v>
      </c>
      <c r="J1931">
        <v>379</v>
      </c>
      <c r="K1931">
        <v>6</v>
      </c>
      <c r="L1931">
        <v>157</v>
      </c>
      <c r="M1931">
        <v>25</v>
      </c>
      <c r="N1931">
        <v>91</v>
      </c>
      <c r="O1931">
        <v>91</v>
      </c>
      <c r="P1931">
        <v>5</v>
      </c>
      <c r="Q1931">
        <v>9</v>
      </c>
      <c r="R1931">
        <v>3</v>
      </c>
      <c r="S1931">
        <v>7</v>
      </c>
      <c r="T1931">
        <v>7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3</v>
      </c>
      <c r="AB1931">
        <v>11</v>
      </c>
      <c r="AC1931">
        <v>0</v>
      </c>
    </row>
    <row r="1932" spans="1:29" x14ac:dyDescent="0.3">
      <c r="A1932">
        <v>5734</v>
      </c>
      <c r="B1932">
        <v>1974</v>
      </c>
      <c r="C1932" t="s">
        <v>32</v>
      </c>
      <c r="D1932" t="s">
        <v>33</v>
      </c>
      <c r="E1932">
        <v>61917</v>
      </c>
      <c r="F1932">
        <v>1</v>
      </c>
      <c r="G1932">
        <v>1</v>
      </c>
      <c r="H1932" s="1">
        <v>41598</v>
      </c>
      <c r="I1932">
        <v>83</v>
      </c>
      <c r="J1932">
        <v>46</v>
      </c>
      <c r="K1932">
        <v>4</v>
      </c>
      <c r="L1932">
        <v>36</v>
      </c>
      <c r="M1932">
        <v>2</v>
      </c>
      <c r="N1932">
        <v>2</v>
      </c>
      <c r="O1932">
        <v>1</v>
      </c>
      <c r="P1932">
        <v>1</v>
      </c>
      <c r="Q1932">
        <v>2</v>
      </c>
      <c r="R1932">
        <v>0</v>
      </c>
      <c r="S1932">
        <v>4</v>
      </c>
      <c r="T1932">
        <v>5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3</v>
      </c>
      <c r="AB1932">
        <v>11</v>
      </c>
      <c r="AC1932">
        <v>0</v>
      </c>
    </row>
    <row r="1933" spans="1:29" x14ac:dyDescent="0.3">
      <c r="A1933">
        <v>2878</v>
      </c>
      <c r="B1933">
        <v>1947</v>
      </c>
      <c r="C1933" t="s">
        <v>32</v>
      </c>
      <c r="D1933" t="s">
        <v>33</v>
      </c>
      <c r="E1933">
        <v>67472</v>
      </c>
      <c r="F1933">
        <v>0</v>
      </c>
      <c r="G1933">
        <v>1</v>
      </c>
      <c r="H1933" s="1">
        <v>41545</v>
      </c>
      <c r="I1933">
        <v>93</v>
      </c>
      <c r="J1933">
        <v>162</v>
      </c>
      <c r="K1933">
        <v>31</v>
      </c>
      <c r="L1933">
        <v>127</v>
      </c>
      <c r="M1933">
        <v>8</v>
      </c>
      <c r="N1933">
        <v>17</v>
      </c>
      <c r="O1933">
        <v>69</v>
      </c>
      <c r="P1933">
        <v>2</v>
      </c>
      <c r="Q1933">
        <v>4</v>
      </c>
      <c r="R1933">
        <v>2</v>
      </c>
      <c r="S1933">
        <v>7</v>
      </c>
      <c r="T1933">
        <v>3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3</v>
      </c>
      <c r="AB1933">
        <v>11</v>
      </c>
      <c r="AC1933">
        <v>0</v>
      </c>
    </row>
    <row r="1934" spans="1:29" x14ac:dyDescent="0.3">
      <c r="A1934">
        <v>1458</v>
      </c>
      <c r="B1934">
        <v>1982</v>
      </c>
      <c r="C1934" t="s">
        <v>34</v>
      </c>
      <c r="D1934" t="s">
        <v>33</v>
      </c>
      <c r="E1934">
        <v>21059</v>
      </c>
      <c r="F1934">
        <v>1</v>
      </c>
      <c r="G1934">
        <v>0</v>
      </c>
      <c r="H1934" s="1">
        <v>41646</v>
      </c>
      <c r="I1934">
        <v>40</v>
      </c>
      <c r="J1934">
        <v>8</v>
      </c>
      <c r="K1934">
        <v>3</v>
      </c>
      <c r="L1934">
        <v>19</v>
      </c>
      <c r="M1934">
        <v>3</v>
      </c>
      <c r="N1934">
        <v>3</v>
      </c>
      <c r="O1934">
        <v>8</v>
      </c>
      <c r="P1934">
        <v>3</v>
      </c>
      <c r="Q1934">
        <v>3</v>
      </c>
      <c r="R1934">
        <v>0</v>
      </c>
      <c r="S1934">
        <v>3</v>
      </c>
      <c r="T1934">
        <v>6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3</v>
      </c>
      <c r="AB1934">
        <v>11</v>
      </c>
      <c r="AC1934">
        <v>0</v>
      </c>
    </row>
    <row r="1935" spans="1:29" x14ac:dyDescent="0.3">
      <c r="A1935">
        <v>7007</v>
      </c>
      <c r="B1935">
        <v>1968</v>
      </c>
      <c r="C1935" t="s">
        <v>34</v>
      </c>
      <c r="D1935" t="s">
        <v>33</v>
      </c>
      <c r="E1935">
        <v>29543</v>
      </c>
      <c r="F1935">
        <v>2</v>
      </c>
      <c r="G1935">
        <v>0</v>
      </c>
      <c r="H1935" s="1">
        <v>41730</v>
      </c>
      <c r="I1935">
        <v>47</v>
      </c>
      <c r="J1935">
        <v>17</v>
      </c>
      <c r="K1935">
        <v>3</v>
      </c>
      <c r="L1935">
        <v>18</v>
      </c>
      <c r="M1935">
        <v>3</v>
      </c>
      <c r="N1935">
        <v>4</v>
      </c>
      <c r="O1935">
        <v>18</v>
      </c>
      <c r="P1935">
        <v>2</v>
      </c>
      <c r="Q1935">
        <v>3</v>
      </c>
      <c r="R1935">
        <v>1</v>
      </c>
      <c r="S1935">
        <v>2</v>
      </c>
      <c r="T1935">
        <v>7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3</v>
      </c>
      <c r="AB1935">
        <v>11</v>
      </c>
      <c r="AC1935">
        <v>0</v>
      </c>
    </row>
    <row r="1936" spans="1:29" x14ac:dyDescent="0.3">
      <c r="A1936">
        <v>6200</v>
      </c>
      <c r="B1936">
        <v>1951</v>
      </c>
      <c r="C1936" t="s">
        <v>29</v>
      </c>
      <c r="D1936" t="s">
        <v>33</v>
      </c>
      <c r="E1936">
        <v>75903</v>
      </c>
      <c r="F1936">
        <v>0</v>
      </c>
      <c r="G1936">
        <v>1</v>
      </c>
      <c r="H1936" s="1">
        <v>41372</v>
      </c>
      <c r="I1936">
        <v>50</v>
      </c>
      <c r="J1936">
        <v>340</v>
      </c>
      <c r="K1936">
        <v>108</v>
      </c>
      <c r="L1936">
        <v>185</v>
      </c>
      <c r="M1936">
        <v>130</v>
      </c>
      <c r="N1936">
        <v>38</v>
      </c>
      <c r="O1936">
        <v>100</v>
      </c>
      <c r="P1936">
        <v>2</v>
      </c>
      <c r="Q1936">
        <v>6</v>
      </c>
      <c r="R1936">
        <v>6</v>
      </c>
      <c r="S1936">
        <v>9</v>
      </c>
      <c r="T1936">
        <v>3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3</v>
      </c>
      <c r="AB1936">
        <v>11</v>
      </c>
      <c r="AC1936">
        <v>0</v>
      </c>
    </row>
    <row r="1937" spans="1:29" x14ac:dyDescent="0.3">
      <c r="A1937">
        <v>1403</v>
      </c>
      <c r="B1937">
        <v>1975</v>
      </c>
      <c r="C1937" t="s">
        <v>37</v>
      </c>
      <c r="D1937" t="s">
        <v>31</v>
      </c>
      <c r="E1937">
        <v>34984</v>
      </c>
      <c r="F1937">
        <v>1</v>
      </c>
      <c r="G1937">
        <v>1</v>
      </c>
      <c r="H1937" s="1">
        <v>41158</v>
      </c>
      <c r="I1937">
        <v>40</v>
      </c>
      <c r="J1937">
        <v>8</v>
      </c>
      <c r="K1937">
        <v>4</v>
      </c>
      <c r="L1937">
        <v>15</v>
      </c>
      <c r="M1937">
        <v>3</v>
      </c>
      <c r="N1937">
        <v>5</v>
      </c>
      <c r="O1937">
        <v>3</v>
      </c>
      <c r="P1937">
        <v>2</v>
      </c>
      <c r="Q1937">
        <v>1</v>
      </c>
      <c r="R1937">
        <v>0</v>
      </c>
      <c r="S1937">
        <v>3</v>
      </c>
      <c r="T1937">
        <v>7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3</v>
      </c>
      <c r="AB1937">
        <v>11</v>
      </c>
      <c r="AC1937">
        <v>0</v>
      </c>
    </row>
    <row r="1938" spans="1:29" x14ac:dyDescent="0.3">
      <c r="A1938">
        <v>4827</v>
      </c>
      <c r="B1938">
        <v>1956</v>
      </c>
      <c r="C1938" t="s">
        <v>32</v>
      </c>
      <c r="D1938" t="s">
        <v>30</v>
      </c>
      <c r="E1938">
        <v>54998</v>
      </c>
      <c r="F1938">
        <v>0</v>
      </c>
      <c r="G1938">
        <v>1</v>
      </c>
      <c r="H1938" s="1">
        <v>41343</v>
      </c>
      <c r="I1938">
        <v>3</v>
      </c>
      <c r="J1938">
        <v>154</v>
      </c>
      <c r="K1938">
        <v>22</v>
      </c>
      <c r="L1938">
        <v>202</v>
      </c>
      <c r="M1938">
        <v>39</v>
      </c>
      <c r="N1938">
        <v>30</v>
      </c>
      <c r="O1938">
        <v>8</v>
      </c>
      <c r="P1938">
        <v>5</v>
      </c>
      <c r="Q1938">
        <v>4</v>
      </c>
      <c r="R1938">
        <v>2</v>
      </c>
      <c r="S1938">
        <v>9</v>
      </c>
      <c r="T1938">
        <v>4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3</v>
      </c>
      <c r="AB1938">
        <v>11</v>
      </c>
      <c r="AC1938">
        <v>1</v>
      </c>
    </row>
    <row r="1939" spans="1:29" x14ac:dyDescent="0.3">
      <c r="A1939">
        <v>6250</v>
      </c>
      <c r="B1939">
        <v>1949</v>
      </c>
      <c r="C1939" t="s">
        <v>32</v>
      </c>
      <c r="D1939" t="s">
        <v>38</v>
      </c>
      <c r="E1939">
        <v>54356</v>
      </c>
      <c r="F1939">
        <v>0</v>
      </c>
      <c r="G1939">
        <v>1</v>
      </c>
      <c r="H1939" s="1">
        <v>41232</v>
      </c>
      <c r="I1939">
        <v>62</v>
      </c>
      <c r="J1939">
        <v>710</v>
      </c>
      <c r="K1939">
        <v>15</v>
      </c>
      <c r="L1939">
        <v>30</v>
      </c>
      <c r="M1939">
        <v>20</v>
      </c>
      <c r="N1939">
        <v>0</v>
      </c>
      <c r="O1939">
        <v>0</v>
      </c>
      <c r="P1939">
        <v>3</v>
      </c>
      <c r="Q1939">
        <v>11</v>
      </c>
      <c r="R1939">
        <v>2</v>
      </c>
      <c r="S1939">
        <v>8</v>
      </c>
      <c r="T1939">
        <v>8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3</v>
      </c>
      <c r="AB1939">
        <v>11</v>
      </c>
      <c r="AC1939">
        <v>1</v>
      </c>
    </row>
    <row r="1940" spans="1:29" x14ac:dyDescent="0.3">
      <c r="A1940">
        <v>9291</v>
      </c>
      <c r="B1940">
        <v>1959</v>
      </c>
      <c r="C1940" t="s">
        <v>34</v>
      </c>
      <c r="D1940" t="s">
        <v>33</v>
      </c>
      <c r="E1940">
        <v>34242</v>
      </c>
      <c r="F1940">
        <v>0</v>
      </c>
      <c r="G1940">
        <v>1</v>
      </c>
      <c r="H1940" s="1">
        <v>41721</v>
      </c>
      <c r="I1940">
        <v>25</v>
      </c>
      <c r="J1940">
        <v>8</v>
      </c>
      <c r="K1940">
        <v>2</v>
      </c>
      <c r="L1940">
        <v>4</v>
      </c>
      <c r="M1940">
        <v>0</v>
      </c>
      <c r="N1940">
        <v>0</v>
      </c>
      <c r="O1940">
        <v>1</v>
      </c>
      <c r="P1940">
        <v>1</v>
      </c>
      <c r="Q1940">
        <v>0</v>
      </c>
      <c r="R1940">
        <v>0</v>
      </c>
      <c r="S1940">
        <v>3</v>
      </c>
      <c r="T1940">
        <v>5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3</v>
      </c>
      <c r="AB1940">
        <v>11</v>
      </c>
      <c r="AC1940">
        <v>0</v>
      </c>
    </row>
    <row r="1941" spans="1:29" x14ac:dyDescent="0.3">
      <c r="A1941">
        <v>2478</v>
      </c>
      <c r="B1941">
        <v>1973</v>
      </c>
      <c r="C1941" t="s">
        <v>29</v>
      </c>
      <c r="D1941" t="s">
        <v>33</v>
      </c>
      <c r="E1941">
        <v>25410</v>
      </c>
      <c r="F1941">
        <v>1</v>
      </c>
      <c r="G1941">
        <v>0</v>
      </c>
      <c r="H1941" s="1">
        <v>41517</v>
      </c>
      <c r="I1941">
        <v>48</v>
      </c>
      <c r="J1941">
        <v>2</v>
      </c>
      <c r="K1941">
        <v>2</v>
      </c>
      <c r="L1941">
        <v>4</v>
      </c>
      <c r="M1941">
        <v>13</v>
      </c>
      <c r="N1941">
        <v>13</v>
      </c>
      <c r="O1941">
        <v>4</v>
      </c>
      <c r="P1941">
        <v>1</v>
      </c>
      <c r="Q1941">
        <v>1</v>
      </c>
      <c r="R1941">
        <v>0</v>
      </c>
      <c r="S1941">
        <v>4</v>
      </c>
      <c r="T1941">
        <v>4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3</v>
      </c>
      <c r="AB1941">
        <v>11</v>
      </c>
      <c r="AC1941">
        <v>0</v>
      </c>
    </row>
    <row r="1942" spans="1:29" x14ac:dyDescent="0.3">
      <c r="A1942">
        <v>1139</v>
      </c>
      <c r="B1942">
        <v>1984</v>
      </c>
      <c r="C1942" t="s">
        <v>32</v>
      </c>
      <c r="D1942" t="s">
        <v>33</v>
      </c>
      <c r="E1942">
        <v>73356</v>
      </c>
      <c r="F1942">
        <v>0</v>
      </c>
      <c r="G1942">
        <v>0</v>
      </c>
      <c r="H1942" s="1">
        <v>41676</v>
      </c>
      <c r="I1942">
        <v>56</v>
      </c>
      <c r="J1942">
        <v>1050</v>
      </c>
      <c r="K1942">
        <v>14</v>
      </c>
      <c r="L1942">
        <v>322</v>
      </c>
      <c r="M1942">
        <v>0</v>
      </c>
      <c r="N1942">
        <v>14</v>
      </c>
      <c r="O1942">
        <v>112</v>
      </c>
      <c r="P1942">
        <v>1</v>
      </c>
      <c r="Q1942">
        <v>5</v>
      </c>
      <c r="R1942">
        <v>11</v>
      </c>
      <c r="S1942">
        <v>5</v>
      </c>
      <c r="T1942">
        <v>2</v>
      </c>
      <c r="U1942">
        <v>1</v>
      </c>
      <c r="V1942">
        <v>0</v>
      </c>
      <c r="W1942">
        <v>1</v>
      </c>
      <c r="X1942">
        <v>1</v>
      </c>
      <c r="Y1942">
        <v>0</v>
      </c>
      <c r="Z1942">
        <v>0</v>
      </c>
      <c r="AA1942">
        <v>3</v>
      </c>
      <c r="AB1942">
        <v>11</v>
      </c>
      <c r="AC1942">
        <v>1</v>
      </c>
    </row>
    <row r="1943" spans="1:29" x14ac:dyDescent="0.3">
      <c r="A1943">
        <v>5138</v>
      </c>
      <c r="B1943">
        <v>1950</v>
      </c>
      <c r="C1943" t="s">
        <v>29</v>
      </c>
      <c r="D1943" t="s">
        <v>31</v>
      </c>
      <c r="E1943">
        <v>28320</v>
      </c>
      <c r="F1943">
        <v>0</v>
      </c>
      <c r="G1943">
        <v>1</v>
      </c>
      <c r="H1943" s="1">
        <v>41288</v>
      </c>
      <c r="I1943">
        <v>68</v>
      </c>
      <c r="J1943">
        <v>19</v>
      </c>
      <c r="K1943">
        <v>1</v>
      </c>
      <c r="L1943">
        <v>14</v>
      </c>
      <c r="M1943">
        <v>3</v>
      </c>
      <c r="N1943">
        <v>2</v>
      </c>
      <c r="O1943">
        <v>4</v>
      </c>
      <c r="P1943">
        <v>1</v>
      </c>
      <c r="Q1943">
        <v>1</v>
      </c>
      <c r="R1943">
        <v>0</v>
      </c>
      <c r="S1943">
        <v>3</v>
      </c>
      <c r="T1943">
        <v>8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3</v>
      </c>
      <c r="AB1943">
        <v>11</v>
      </c>
      <c r="AC1943">
        <v>0</v>
      </c>
    </row>
    <row r="1944" spans="1:29" x14ac:dyDescent="0.3">
      <c r="A1944">
        <v>5393</v>
      </c>
      <c r="B1944">
        <v>1977</v>
      </c>
      <c r="C1944" t="s">
        <v>29</v>
      </c>
      <c r="D1944" t="s">
        <v>30</v>
      </c>
      <c r="E1944">
        <v>23763</v>
      </c>
      <c r="F1944">
        <v>1</v>
      </c>
      <c r="G1944">
        <v>0</v>
      </c>
      <c r="H1944" s="1">
        <v>41128</v>
      </c>
      <c r="I1944">
        <v>64</v>
      </c>
      <c r="J1944">
        <v>22</v>
      </c>
      <c r="K1944">
        <v>0</v>
      </c>
      <c r="L1944">
        <v>6</v>
      </c>
      <c r="M1944">
        <v>6</v>
      </c>
      <c r="N1944">
        <v>2</v>
      </c>
      <c r="O1944">
        <v>6</v>
      </c>
      <c r="P1944">
        <v>1</v>
      </c>
      <c r="Q1944">
        <v>1</v>
      </c>
      <c r="R1944">
        <v>0</v>
      </c>
      <c r="S1944">
        <v>3</v>
      </c>
      <c r="T1944">
        <v>7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3</v>
      </c>
      <c r="AB1944">
        <v>11</v>
      </c>
      <c r="AC1944">
        <v>0</v>
      </c>
    </row>
    <row r="1945" spans="1:29" x14ac:dyDescent="0.3">
      <c r="A1945">
        <v>10413</v>
      </c>
      <c r="B1945">
        <v>1984</v>
      </c>
      <c r="C1945" t="s">
        <v>29</v>
      </c>
      <c r="D1945" t="s">
        <v>33</v>
      </c>
      <c r="E1945">
        <v>72570</v>
      </c>
      <c r="F1945">
        <v>0</v>
      </c>
      <c r="G1945">
        <v>0</v>
      </c>
      <c r="H1945" s="1">
        <v>41754</v>
      </c>
      <c r="I1945">
        <v>67</v>
      </c>
      <c r="J1945">
        <v>274</v>
      </c>
      <c r="K1945">
        <v>83</v>
      </c>
      <c r="L1945">
        <v>216</v>
      </c>
      <c r="M1945">
        <v>151</v>
      </c>
      <c r="N1945">
        <v>141</v>
      </c>
      <c r="O1945">
        <v>224</v>
      </c>
      <c r="P1945">
        <v>1</v>
      </c>
      <c r="Q1945">
        <v>4</v>
      </c>
      <c r="R1945">
        <v>6</v>
      </c>
      <c r="S1945">
        <v>12</v>
      </c>
      <c r="T1945">
        <v>1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3</v>
      </c>
      <c r="AB1945">
        <v>11</v>
      </c>
      <c r="AC1945">
        <v>0</v>
      </c>
    </row>
    <row r="1946" spans="1:29" x14ac:dyDescent="0.3">
      <c r="A1946">
        <v>5015</v>
      </c>
      <c r="B1946">
        <v>1976</v>
      </c>
      <c r="C1946" t="s">
        <v>34</v>
      </c>
      <c r="D1946" t="s">
        <v>33</v>
      </c>
      <c r="E1946">
        <v>34529</v>
      </c>
      <c r="F1946">
        <v>1</v>
      </c>
      <c r="G1946">
        <v>0</v>
      </c>
      <c r="H1946" s="1">
        <v>41166</v>
      </c>
      <c r="I1946">
        <v>94</v>
      </c>
      <c r="J1946">
        <v>68</v>
      </c>
      <c r="K1946">
        <v>6</v>
      </c>
      <c r="L1946">
        <v>38</v>
      </c>
      <c r="M1946">
        <v>3</v>
      </c>
      <c r="N1946">
        <v>6</v>
      </c>
      <c r="O1946">
        <v>41</v>
      </c>
      <c r="P1946">
        <v>2</v>
      </c>
      <c r="Q1946">
        <v>2</v>
      </c>
      <c r="R1946">
        <v>2</v>
      </c>
      <c r="S1946">
        <v>3</v>
      </c>
      <c r="T1946">
        <v>7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3</v>
      </c>
      <c r="AB1946">
        <v>11</v>
      </c>
      <c r="AC1946">
        <v>0</v>
      </c>
    </row>
    <row r="1947" spans="1:29" x14ac:dyDescent="0.3">
      <c r="A1947">
        <v>10868</v>
      </c>
      <c r="B1947">
        <v>1951</v>
      </c>
      <c r="C1947" t="s">
        <v>29</v>
      </c>
      <c r="D1947" t="s">
        <v>38</v>
      </c>
      <c r="E1947">
        <v>70792</v>
      </c>
      <c r="F1947">
        <v>0</v>
      </c>
      <c r="G1947">
        <v>0</v>
      </c>
      <c r="H1947" s="1">
        <v>41311</v>
      </c>
      <c r="I1947">
        <v>82</v>
      </c>
      <c r="J1947">
        <v>344</v>
      </c>
      <c r="K1947">
        <v>45</v>
      </c>
      <c r="L1947">
        <v>654</v>
      </c>
      <c r="M1947">
        <v>104</v>
      </c>
      <c r="N1947">
        <v>11</v>
      </c>
      <c r="O1947">
        <v>114</v>
      </c>
      <c r="P1947">
        <v>2</v>
      </c>
      <c r="Q1947">
        <v>3</v>
      </c>
      <c r="R1947">
        <v>4</v>
      </c>
      <c r="S1947">
        <v>10</v>
      </c>
      <c r="T1947">
        <v>3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3</v>
      </c>
      <c r="AB1947">
        <v>11</v>
      </c>
      <c r="AC1947">
        <v>0</v>
      </c>
    </row>
    <row r="1948" spans="1:29" x14ac:dyDescent="0.3">
      <c r="A1948">
        <v>10676</v>
      </c>
      <c r="B1948">
        <v>1982</v>
      </c>
      <c r="C1948" t="s">
        <v>29</v>
      </c>
      <c r="D1948" t="s">
        <v>33</v>
      </c>
      <c r="E1948">
        <v>63211</v>
      </c>
      <c r="F1948">
        <v>0</v>
      </c>
      <c r="G1948">
        <v>0</v>
      </c>
      <c r="H1948" s="1">
        <v>41215</v>
      </c>
      <c r="I1948">
        <v>3</v>
      </c>
      <c r="J1948">
        <v>145</v>
      </c>
      <c r="K1948">
        <v>193</v>
      </c>
      <c r="L1948">
        <v>459</v>
      </c>
      <c r="M1948">
        <v>205</v>
      </c>
      <c r="N1948">
        <v>26</v>
      </c>
      <c r="O1948">
        <v>145</v>
      </c>
      <c r="P1948">
        <v>2</v>
      </c>
      <c r="Q1948">
        <v>3</v>
      </c>
      <c r="R1948">
        <v>8</v>
      </c>
      <c r="S1948">
        <v>7</v>
      </c>
      <c r="T1948">
        <v>2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3</v>
      </c>
      <c r="AB1948">
        <v>11</v>
      </c>
      <c r="AC1948">
        <v>1</v>
      </c>
    </row>
    <row r="1949" spans="1:29" x14ac:dyDescent="0.3">
      <c r="A1949">
        <v>2495</v>
      </c>
      <c r="B1949">
        <v>1974</v>
      </c>
      <c r="C1949" t="s">
        <v>34</v>
      </c>
      <c r="D1949" t="s">
        <v>33</v>
      </c>
      <c r="E1949">
        <v>83891</v>
      </c>
      <c r="F1949">
        <v>0</v>
      </c>
      <c r="G1949">
        <v>1</v>
      </c>
      <c r="H1949" s="1">
        <v>41810</v>
      </c>
      <c r="I1949">
        <v>24</v>
      </c>
      <c r="J1949">
        <v>217</v>
      </c>
      <c r="K1949">
        <v>38</v>
      </c>
      <c r="L1949">
        <v>350</v>
      </c>
      <c r="M1949">
        <v>111</v>
      </c>
      <c r="N1949">
        <v>85</v>
      </c>
      <c r="O1949">
        <v>15</v>
      </c>
      <c r="P1949">
        <v>1</v>
      </c>
      <c r="Q1949">
        <v>4</v>
      </c>
      <c r="R1949">
        <v>7</v>
      </c>
      <c r="S1949">
        <v>10</v>
      </c>
      <c r="T1949">
        <v>1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3</v>
      </c>
      <c r="AB1949">
        <v>11</v>
      </c>
      <c r="AC1949">
        <v>0</v>
      </c>
    </row>
    <row r="1950" spans="1:29" x14ac:dyDescent="0.3">
      <c r="A1950">
        <v>7842</v>
      </c>
      <c r="B1950">
        <v>1968</v>
      </c>
      <c r="C1950" t="s">
        <v>29</v>
      </c>
      <c r="D1950" t="s">
        <v>30</v>
      </c>
      <c r="E1950">
        <v>36065</v>
      </c>
      <c r="F1950">
        <v>1</v>
      </c>
      <c r="G1950">
        <v>1</v>
      </c>
      <c r="H1950" s="1">
        <v>41364</v>
      </c>
      <c r="I1950">
        <v>54</v>
      </c>
      <c r="J1950">
        <v>18</v>
      </c>
      <c r="K1950">
        <v>7</v>
      </c>
      <c r="L1950">
        <v>34</v>
      </c>
      <c r="M1950">
        <v>10</v>
      </c>
      <c r="N1950">
        <v>2</v>
      </c>
      <c r="O1950">
        <v>3</v>
      </c>
      <c r="P1950">
        <v>3</v>
      </c>
      <c r="Q1950">
        <v>3</v>
      </c>
      <c r="R1950">
        <v>0</v>
      </c>
      <c r="S1950">
        <v>3</v>
      </c>
      <c r="T1950">
        <v>8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3</v>
      </c>
      <c r="AB1950">
        <v>11</v>
      </c>
      <c r="AC1950">
        <v>0</v>
      </c>
    </row>
    <row r="1951" spans="1:29" x14ac:dyDescent="0.3">
      <c r="A1951">
        <v>9955</v>
      </c>
      <c r="B1951">
        <v>1954</v>
      </c>
      <c r="C1951" t="s">
        <v>29</v>
      </c>
      <c r="D1951" t="s">
        <v>31</v>
      </c>
      <c r="E1951">
        <v>39898</v>
      </c>
      <c r="F1951">
        <v>0</v>
      </c>
      <c r="G1951">
        <v>1</v>
      </c>
      <c r="H1951" s="1">
        <v>41317</v>
      </c>
      <c r="I1951">
        <v>20</v>
      </c>
      <c r="J1951">
        <v>69</v>
      </c>
      <c r="K1951">
        <v>8</v>
      </c>
      <c r="L1951">
        <v>26</v>
      </c>
      <c r="M1951">
        <v>12</v>
      </c>
      <c r="N1951">
        <v>7</v>
      </c>
      <c r="O1951">
        <v>12</v>
      </c>
      <c r="P1951">
        <v>2</v>
      </c>
      <c r="Q1951">
        <v>3</v>
      </c>
      <c r="R1951">
        <v>0</v>
      </c>
      <c r="S1951">
        <v>4</v>
      </c>
      <c r="T1951">
        <v>7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3</v>
      </c>
      <c r="AB1951">
        <v>11</v>
      </c>
      <c r="AC1951">
        <v>0</v>
      </c>
    </row>
    <row r="1952" spans="1:29" x14ac:dyDescent="0.3">
      <c r="A1952">
        <v>6663</v>
      </c>
      <c r="B1952">
        <v>1940</v>
      </c>
      <c r="C1952" t="s">
        <v>32</v>
      </c>
      <c r="D1952" t="s">
        <v>30</v>
      </c>
      <c r="E1952">
        <v>51141</v>
      </c>
      <c r="F1952">
        <v>0</v>
      </c>
      <c r="G1952">
        <v>0</v>
      </c>
      <c r="H1952" s="1">
        <v>41463</v>
      </c>
      <c r="I1952">
        <v>96</v>
      </c>
      <c r="J1952">
        <v>144</v>
      </c>
      <c r="K1952">
        <v>0</v>
      </c>
      <c r="L1952">
        <v>7</v>
      </c>
      <c r="M1952">
        <v>0</v>
      </c>
      <c r="N1952">
        <v>0</v>
      </c>
      <c r="O1952">
        <v>6</v>
      </c>
      <c r="P1952">
        <v>1</v>
      </c>
      <c r="Q1952">
        <v>3</v>
      </c>
      <c r="R1952">
        <v>1</v>
      </c>
      <c r="S1952">
        <v>4</v>
      </c>
      <c r="T1952">
        <v>5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3</v>
      </c>
      <c r="AB1952">
        <v>11</v>
      </c>
      <c r="AC1952">
        <v>0</v>
      </c>
    </row>
    <row r="1953" spans="1:29" x14ac:dyDescent="0.3">
      <c r="A1953">
        <v>2162</v>
      </c>
      <c r="B1953">
        <v>1976</v>
      </c>
      <c r="C1953" t="s">
        <v>29</v>
      </c>
      <c r="D1953" t="s">
        <v>33</v>
      </c>
      <c r="E1953">
        <v>56939</v>
      </c>
      <c r="F1953">
        <v>0</v>
      </c>
      <c r="G1953">
        <v>1</v>
      </c>
      <c r="H1953" s="1">
        <v>41535</v>
      </c>
      <c r="I1953">
        <v>19</v>
      </c>
      <c r="J1953">
        <v>256</v>
      </c>
      <c r="K1953">
        <v>34</v>
      </c>
      <c r="L1953">
        <v>103</v>
      </c>
      <c r="M1953">
        <v>90</v>
      </c>
      <c r="N1953">
        <v>29</v>
      </c>
      <c r="O1953">
        <v>49</v>
      </c>
      <c r="P1953">
        <v>2</v>
      </c>
      <c r="Q1953">
        <v>3</v>
      </c>
      <c r="R1953">
        <v>3</v>
      </c>
      <c r="S1953">
        <v>10</v>
      </c>
      <c r="T1953">
        <v>3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3</v>
      </c>
      <c r="AB1953">
        <v>11</v>
      </c>
      <c r="AC1953">
        <v>0</v>
      </c>
    </row>
    <row r="1954" spans="1:29" x14ac:dyDescent="0.3">
      <c r="A1954">
        <v>3434</v>
      </c>
      <c r="B1954">
        <v>1951</v>
      </c>
      <c r="C1954" t="s">
        <v>29</v>
      </c>
      <c r="D1954" t="s">
        <v>30</v>
      </c>
      <c r="E1954">
        <v>80872</v>
      </c>
      <c r="F1954">
        <v>0</v>
      </c>
      <c r="G1954">
        <v>0</v>
      </c>
      <c r="H1954" s="1">
        <v>41771</v>
      </c>
      <c r="I1954">
        <v>60</v>
      </c>
      <c r="J1954">
        <v>483</v>
      </c>
      <c r="K1954">
        <v>72</v>
      </c>
      <c r="L1954">
        <v>567</v>
      </c>
      <c r="M1954">
        <v>94</v>
      </c>
      <c r="N1954">
        <v>12</v>
      </c>
      <c r="O1954">
        <v>108</v>
      </c>
      <c r="P1954">
        <v>1</v>
      </c>
      <c r="Q1954">
        <v>4</v>
      </c>
      <c r="R1954">
        <v>4</v>
      </c>
      <c r="S1954">
        <v>10</v>
      </c>
      <c r="T1954">
        <v>1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3</v>
      </c>
      <c r="AB1954">
        <v>11</v>
      </c>
      <c r="AC1954">
        <v>0</v>
      </c>
    </row>
    <row r="1955" spans="1:29" x14ac:dyDescent="0.3">
      <c r="A1955">
        <v>7919</v>
      </c>
      <c r="B1955">
        <v>1976</v>
      </c>
      <c r="C1955" t="s">
        <v>32</v>
      </c>
      <c r="D1955" t="s">
        <v>31</v>
      </c>
      <c r="E1955">
        <v>72335</v>
      </c>
      <c r="F1955">
        <v>0</v>
      </c>
      <c r="G1955">
        <v>0</v>
      </c>
      <c r="H1955" s="1">
        <v>41134</v>
      </c>
      <c r="I1955">
        <v>2</v>
      </c>
      <c r="J1955">
        <v>1285</v>
      </c>
      <c r="K1955">
        <v>105</v>
      </c>
      <c r="L1955">
        <v>653</v>
      </c>
      <c r="M1955">
        <v>28</v>
      </c>
      <c r="N1955">
        <v>21</v>
      </c>
      <c r="O1955">
        <v>0</v>
      </c>
      <c r="P1955">
        <v>1</v>
      </c>
      <c r="Q1955">
        <v>10</v>
      </c>
      <c r="R1955">
        <v>4</v>
      </c>
      <c r="S1955">
        <v>8</v>
      </c>
      <c r="T1955">
        <v>8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3</v>
      </c>
      <c r="AB1955">
        <v>11</v>
      </c>
      <c r="AC1955">
        <v>1</v>
      </c>
    </row>
    <row r="1956" spans="1:29" x14ac:dyDescent="0.3">
      <c r="A1956">
        <v>5626</v>
      </c>
      <c r="B1956">
        <v>1964</v>
      </c>
      <c r="C1956" t="s">
        <v>32</v>
      </c>
      <c r="D1956" t="s">
        <v>30</v>
      </c>
      <c r="E1956">
        <v>61798</v>
      </c>
      <c r="F1956">
        <v>0</v>
      </c>
      <c r="G1956">
        <v>0</v>
      </c>
      <c r="H1956" s="1">
        <v>41601</v>
      </c>
      <c r="I1956">
        <v>13</v>
      </c>
      <c r="J1956">
        <v>338</v>
      </c>
      <c r="K1956">
        <v>4</v>
      </c>
      <c r="L1956">
        <v>89</v>
      </c>
      <c r="M1956">
        <v>11</v>
      </c>
      <c r="N1956">
        <v>8</v>
      </c>
      <c r="O1956">
        <v>13</v>
      </c>
      <c r="P1956">
        <v>1</v>
      </c>
      <c r="Q1956">
        <v>4</v>
      </c>
      <c r="R1956">
        <v>2</v>
      </c>
      <c r="S1956">
        <v>9</v>
      </c>
      <c r="T1956">
        <v>4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3</v>
      </c>
      <c r="AB1956">
        <v>11</v>
      </c>
      <c r="AC1956">
        <v>0</v>
      </c>
    </row>
    <row r="1957" spans="1:29" x14ac:dyDescent="0.3">
      <c r="A1957">
        <v>6428</v>
      </c>
      <c r="B1957">
        <v>1950</v>
      </c>
      <c r="C1957" t="s">
        <v>32</v>
      </c>
      <c r="D1957" t="s">
        <v>38</v>
      </c>
      <c r="E1957">
        <v>76842</v>
      </c>
      <c r="F1957">
        <v>0</v>
      </c>
      <c r="G1957">
        <v>0</v>
      </c>
      <c r="H1957" s="1">
        <v>41762</v>
      </c>
      <c r="I1957">
        <v>37</v>
      </c>
      <c r="J1957">
        <v>605</v>
      </c>
      <c r="K1957">
        <v>10</v>
      </c>
      <c r="L1957">
        <v>345</v>
      </c>
      <c r="M1957">
        <v>84</v>
      </c>
      <c r="N1957">
        <v>54</v>
      </c>
      <c r="O1957">
        <v>32</v>
      </c>
      <c r="P1957">
        <v>1</v>
      </c>
      <c r="Q1957">
        <v>1</v>
      </c>
      <c r="R1957">
        <v>8</v>
      </c>
      <c r="S1957">
        <v>7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3</v>
      </c>
      <c r="AB1957">
        <v>11</v>
      </c>
      <c r="AC1957">
        <v>0</v>
      </c>
    </row>
    <row r="1958" spans="1:29" x14ac:dyDescent="0.3">
      <c r="A1958">
        <v>8514</v>
      </c>
      <c r="B1958">
        <v>1976</v>
      </c>
      <c r="C1958" t="s">
        <v>29</v>
      </c>
      <c r="D1958" t="s">
        <v>31</v>
      </c>
      <c r="E1958">
        <v>29478</v>
      </c>
      <c r="F1958">
        <v>1</v>
      </c>
      <c r="G1958">
        <v>0</v>
      </c>
      <c r="H1958" s="1">
        <v>41656</v>
      </c>
      <c r="I1958">
        <v>59</v>
      </c>
      <c r="J1958">
        <v>8</v>
      </c>
      <c r="K1958">
        <v>0</v>
      </c>
      <c r="L1958">
        <v>7</v>
      </c>
      <c r="M1958">
        <v>3</v>
      </c>
      <c r="N1958">
        <v>1</v>
      </c>
      <c r="O1958">
        <v>1</v>
      </c>
      <c r="P1958">
        <v>1</v>
      </c>
      <c r="Q1958">
        <v>1</v>
      </c>
      <c r="R1958">
        <v>0</v>
      </c>
      <c r="S1958">
        <v>3</v>
      </c>
      <c r="T1958">
        <v>6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3</v>
      </c>
      <c r="AB1958">
        <v>11</v>
      </c>
      <c r="AC1958">
        <v>0</v>
      </c>
    </row>
    <row r="1959" spans="1:29" x14ac:dyDescent="0.3">
      <c r="A1959">
        <v>10448</v>
      </c>
      <c r="B1959">
        <v>1956</v>
      </c>
      <c r="C1959" t="s">
        <v>29</v>
      </c>
      <c r="D1959" t="s">
        <v>30</v>
      </c>
      <c r="E1959">
        <v>46998</v>
      </c>
      <c r="F1959">
        <v>0</v>
      </c>
      <c r="G1959">
        <v>1</v>
      </c>
      <c r="H1959" s="1">
        <v>41204</v>
      </c>
      <c r="I1959">
        <v>55</v>
      </c>
      <c r="J1959">
        <v>172</v>
      </c>
      <c r="K1959">
        <v>41</v>
      </c>
      <c r="L1959">
        <v>86</v>
      </c>
      <c r="M1959">
        <v>45</v>
      </c>
      <c r="N1959">
        <v>6</v>
      </c>
      <c r="O1959">
        <v>27</v>
      </c>
      <c r="P1959">
        <v>5</v>
      </c>
      <c r="Q1959">
        <v>5</v>
      </c>
      <c r="R1959">
        <v>3</v>
      </c>
      <c r="S1959">
        <v>5</v>
      </c>
      <c r="T1959">
        <v>7</v>
      </c>
      <c r="U1959">
        <v>1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3</v>
      </c>
      <c r="AB1959">
        <v>11</v>
      </c>
      <c r="AC1959">
        <v>0</v>
      </c>
    </row>
    <row r="1960" spans="1:29" x14ac:dyDescent="0.3">
      <c r="A1960">
        <v>2109</v>
      </c>
      <c r="B1960">
        <v>1990</v>
      </c>
      <c r="C1960" t="s">
        <v>29</v>
      </c>
      <c r="D1960" t="s">
        <v>30</v>
      </c>
      <c r="E1960">
        <v>96843</v>
      </c>
      <c r="F1960">
        <v>0</v>
      </c>
      <c r="G1960">
        <v>0</v>
      </c>
      <c r="H1960" s="1">
        <v>41387</v>
      </c>
      <c r="I1960">
        <v>60</v>
      </c>
      <c r="J1960">
        <v>448</v>
      </c>
      <c r="K1960">
        <v>71</v>
      </c>
      <c r="L1960">
        <v>951</v>
      </c>
      <c r="M1960">
        <v>40</v>
      </c>
      <c r="N1960">
        <v>17</v>
      </c>
      <c r="O1960">
        <v>17</v>
      </c>
      <c r="P1960">
        <v>1</v>
      </c>
      <c r="Q1960">
        <v>6</v>
      </c>
      <c r="R1960">
        <v>11</v>
      </c>
      <c r="S1960">
        <v>10</v>
      </c>
      <c r="T1960">
        <v>2</v>
      </c>
      <c r="U1960">
        <v>0</v>
      </c>
      <c r="V1960">
        <v>0</v>
      </c>
      <c r="W1960">
        <v>1</v>
      </c>
      <c r="X1960">
        <v>0</v>
      </c>
      <c r="Y1960">
        <v>0</v>
      </c>
      <c r="Z1960">
        <v>0</v>
      </c>
      <c r="AA1960">
        <v>3</v>
      </c>
      <c r="AB1960">
        <v>11</v>
      </c>
      <c r="AC1960">
        <v>1</v>
      </c>
    </row>
    <row r="1961" spans="1:29" x14ac:dyDescent="0.3">
      <c r="A1961">
        <v>7530</v>
      </c>
      <c r="B1961">
        <v>1950</v>
      </c>
      <c r="C1961" t="s">
        <v>32</v>
      </c>
      <c r="D1961" t="s">
        <v>38</v>
      </c>
      <c r="E1961">
        <v>56551</v>
      </c>
      <c r="F1961">
        <v>1</v>
      </c>
      <c r="G1961">
        <v>1</v>
      </c>
      <c r="H1961" s="1">
        <v>41766</v>
      </c>
      <c r="I1961">
        <v>48</v>
      </c>
      <c r="J1961">
        <v>67</v>
      </c>
      <c r="K1961">
        <v>4</v>
      </c>
      <c r="L1961">
        <v>32</v>
      </c>
      <c r="M1961">
        <v>17</v>
      </c>
      <c r="N1961">
        <v>2</v>
      </c>
      <c r="O1961">
        <v>16</v>
      </c>
      <c r="P1961">
        <v>3</v>
      </c>
      <c r="Q1961">
        <v>2</v>
      </c>
      <c r="R1961">
        <v>1</v>
      </c>
      <c r="S1961">
        <v>4</v>
      </c>
      <c r="T1961">
        <v>4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3</v>
      </c>
      <c r="AB1961">
        <v>11</v>
      </c>
      <c r="AC1961">
        <v>0</v>
      </c>
    </row>
    <row r="1962" spans="1:29" x14ac:dyDescent="0.3">
      <c r="A1962">
        <v>8925</v>
      </c>
      <c r="B1962">
        <v>1965</v>
      </c>
      <c r="C1962" t="s">
        <v>34</v>
      </c>
      <c r="D1962" t="s">
        <v>33</v>
      </c>
      <c r="E1962">
        <v>70053</v>
      </c>
      <c r="F1962">
        <v>0</v>
      </c>
      <c r="G1962">
        <v>1</v>
      </c>
      <c r="H1962" s="1">
        <v>41458</v>
      </c>
      <c r="I1962">
        <v>38</v>
      </c>
      <c r="J1962">
        <v>512</v>
      </c>
      <c r="K1962">
        <v>53</v>
      </c>
      <c r="L1962">
        <v>98</v>
      </c>
      <c r="M1962">
        <v>81</v>
      </c>
      <c r="N1962">
        <v>179</v>
      </c>
      <c r="O1962">
        <v>89</v>
      </c>
      <c r="P1962">
        <v>3</v>
      </c>
      <c r="Q1962">
        <v>8</v>
      </c>
      <c r="R1962">
        <v>5</v>
      </c>
      <c r="S1962">
        <v>10</v>
      </c>
      <c r="T1962">
        <v>5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3</v>
      </c>
      <c r="AB1962">
        <v>11</v>
      </c>
      <c r="AC1962">
        <v>0</v>
      </c>
    </row>
    <row r="1963" spans="1:29" x14ac:dyDescent="0.3">
      <c r="A1963">
        <v>3009</v>
      </c>
      <c r="B1963">
        <v>1962</v>
      </c>
      <c r="C1963" t="s">
        <v>32</v>
      </c>
      <c r="D1963" t="s">
        <v>38</v>
      </c>
      <c r="E1963">
        <v>71670</v>
      </c>
      <c r="F1963">
        <v>0</v>
      </c>
      <c r="G1963">
        <v>0</v>
      </c>
      <c r="H1963" s="1">
        <v>41464</v>
      </c>
      <c r="I1963">
        <v>8</v>
      </c>
      <c r="J1963">
        <v>1462</v>
      </c>
      <c r="K1963">
        <v>16</v>
      </c>
      <c r="L1963">
        <v>128</v>
      </c>
      <c r="M1963">
        <v>0</v>
      </c>
      <c r="N1963">
        <v>0</v>
      </c>
      <c r="O1963">
        <v>160</v>
      </c>
      <c r="P1963">
        <v>1</v>
      </c>
      <c r="Q1963">
        <v>5</v>
      </c>
      <c r="R1963">
        <v>3</v>
      </c>
      <c r="S1963">
        <v>6</v>
      </c>
      <c r="T1963">
        <v>6</v>
      </c>
      <c r="U1963">
        <v>0</v>
      </c>
      <c r="V1963">
        <v>1</v>
      </c>
      <c r="W1963">
        <v>1</v>
      </c>
      <c r="X1963">
        <v>0</v>
      </c>
      <c r="Y1963">
        <v>1</v>
      </c>
      <c r="Z1963">
        <v>0</v>
      </c>
      <c r="AA1963">
        <v>3</v>
      </c>
      <c r="AB1963">
        <v>11</v>
      </c>
      <c r="AC1963">
        <v>1</v>
      </c>
    </row>
    <row r="1964" spans="1:29" x14ac:dyDescent="0.3">
      <c r="A1964">
        <v>6355</v>
      </c>
      <c r="B1964">
        <v>1978</v>
      </c>
      <c r="C1964" t="s">
        <v>29</v>
      </c>
      <c r="D1964" t="s">
        <v>33</v>
      </c>
      <c r="E1964">
        <v>44359</v>
      </c>
      <c r="F1964">
        <v>1</v>
      </c>
      <c r="G1964">
        <v>1</v>
      </c>
      <c r="H1964" s="1">
        <v>41807</v>
      </c>
      <c r="I1964">
        <v>19</v>
      </c>
      <c r="J1964">
        <v>20</v>
      </c>
      <c r="K1964">
        <v>0</v>
      </c>
      <c r="L1964">
        <v>14</v>
      </c>
      <c r="M1964">
        <v>7</v>
      </c>
      <c r="N1964">
        <v>3</v>
      </c>
      <c r="O1964">
        <v>1</v>
      </c>
      <c r="P1964">
        <v>3</v>
      </c>
      <c r="Q1964">
        <v>2</v>
      </c>
      <c r="R1964">
        <v>0</v>
      </c>
      <c r="S1964">
        <v>4</v>
      </c>
      <c r="T1964">
        <v>3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3</v>
      </c>
      <c r="AB1964">
        <v>11</v>
      </c>
      <c r="AC1964">
        <v>0</v>
      </c>
    </row>
    <row r="1965" spans="1:29" x14ac:dyDescent="0.3">
      <c r="A1965">
        <v>3517</v>
      </c>
      <c r="B1965">
        <v>1952</v>
      </c>
      <c r="C1965" t="s">
        <v>29</v>
      </c>
      <c r="D1965" t="s">
        <v>30</v>
      </c>
      <c r="E1965">
        <v>40887</v>
      </c>
      <c r="F1965">
        <v>1</v>
      </c>
      <c r="G1965">
        <v>1</v>
      </c>
      <c r="H1965" s="1">
        <v>41400</v>
      </c>
      <c r="I1965">
        <v>32</v>
      </c>
      <c r="J1965">
        <v>50</v>
      </c>
      <c r="K1965">
        <v>4</v>
      </c>
      <c r="L1965">
        <v>44</v>
      </c>
      <c r="M1965">
        <v>10</v>
      </c>
      <c r="N1965">
        <v>10</v>
      </c>
      <c r="O1965">
        <v>43</v>
      </c>
      <c r="P1965">
        <v>3</v>
      </c>
      <c r="Q1965">
        <v>3</v>
      </c>
      <c r="R1965">
        <v>1</v>
      </c>
      <c r="S1965">
        <v>3</v>
      </c>
      <c r="T1965">
        <v>9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3</v>
      </c>
      <c r="AB1965">
        <v>11</v>
      </c>
      <c r="AC1965">
        <v>1</v>
      </c>
    </row>
    <row r="1966" spans="1:29" x14ac:dyDescent="0.3">
      <c r="A1966">
        <v>1158</v>
      </c>
      <c r="B1966">
        <v>1966</v>
      </c>
      <c r="C1966" t="s">
        <v>29</v>
      </c>
      <c r="D1966" t="s">
        <v>35</v>
      </c>
      <c r="E1966">
        <v>48877</v>
      </c>
      <c r="F1966">
        <v>0</v>
      </c>
      <c r="G1966">
        <v>1</v>
      </c>
      <c r="H1966" s="1">
        <v>41644</v>
      </c>
      <c r="I1966">
        <v>27</v>
      </c>
      <c r="J1966">
        <v>102</v>
      </c>
      <c r="K1966">
        <v>1</v>
      </c>
      <c r="L1966">
        <v>15</v>
      </c>
      <c r="M1966">
        <v>2</v>
      </c>
      <c r="N1966">
        <v>0</v>
      </c>
      <c r="O1966">
        <v>24</v>
      </c>
      <c r="P1966">
        <v>1</v>
      </c>
      <c r="Q1966">
        <v>3</v>
      </c>
      <c r="R1966">
        <v>0</v>
      </c>
      <c r="S1966">
        <v>4</v>
      </c>
      <c r="T1966">
        <v>7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3</v>
      </c>
      <c r="AB1966">
        <v>11</v>
      </c>
      <c r="AC1966">
        <v>0</v>
      </c>
    </row>
    <row r="1967" spans="1:29" x14ac:dyDescent="0.3">
      <c r="A1967">
        <v>6203</v>
      </c>
      <c r="B1967">
        <v>1947</v>
      </c>
      <c r="C1967" t="s">
        <v>29</v>
      </c>
      <c r="D1967" t="s">
        <v>31</v>
      </c>
      <c r="E1967">
        <v>74485</v>
      </c>
      <c r="F1967">
        <v>0</v>
      </c>
      <c r="G1967">
        <v>0</v>
      </c>
      <c r="H1967" s="1">
        <v>41510</v>
      </c>
      <c r="I1967">
        <v>58</v>
      </c>
      <c r="J1967">
        <v>499</v>
      </c>
      <c r="K1967">
        <v>149</v>
      </c>
      <c r="L1967">
        <v>815</v>
      </c>
      <c r="M1967">
        <v>173</v>
      </c>
      <c r="N1967">
        <v>49</v>
      </c>
      <c r="O1967">
        <v>49</v>
      </c>
      <c r="P1967">
        <v>1</v>
      </c>
      <c r="Q1967">
        <v>6</v>
      </c>
      <c r="R1967">
        <v>7</v>
      </c>
      <c r="S1967">
        <v>12</v>
      </c>
      <c r="T1967">
        <v>3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3</v>
      </c>
      <c r="AB1967">
        <v>11</v>
      </c>
      <c r="AC1967">
        <v>0</v>
      </c>
    </row>
    <row r="1968" spans="1:29" x14ac:dyDescent="0.3">
      <c r="A1968">
        <v>7165</v>
      </c>
      <c r="B1968">
        <v>1972</v>
      </c>
      <c r="C1968" t="s">
        <v>29</v>
      </c>
      <c r="D1968" t="s">
        <v>31</v>
      </c>
      <c r="E1968">
        <v>64474</v>
      </c>
      <c r="F1968">
        <v>0</v>
      </c>
      <c r="G1968">
        <v>1</v>
      </c>
      <c r="H1968" s="1">
        <v>41569</v>
      </c>
      <c r="I1968">
        <v>59</v>
      </c>
      <c r="J1968">
        <v>381</v>
      </c>
      <c r="K1968">
        <v>35</v>
      </c>
      <c r="L1968">
        <v>172</v>
      </c>
      <c r="M1968">
        <v>56</v>
      </c>
      <c r="N1968">
        <v>86</v>
      </c>
      <c r="O1968">
        <v>93</v>
      </c>
      <c r="P1968">
        <v>2</v>
      </c>
      <c r="Q1968">
        <v>8</v>
      </c>
      <c r="R1968">
        <v>2</v>
      </c>
      <c r="S1968">
        <v>10</v>
      </c>
      <c r="T1968">
        <v>5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3</v>
      </c>
      <c r="AB1968">
        <v>11</v>
      </c>
      <c r="AC1968">
        <v>0</v>
      </c>
    </row>
    <row r="1969" spans="1:29" x14ac:dyDescent="0.3">
      <c r="A1969">
        <v>3595</v>
      </c>
      <c r="B1969">
        <v>1963</v>
      </c>
      <c r="C1969" t="s">
        <v>29</v>
      </c>
      <c r="D1969" t="s">
        <v>31</v>
      </c>
      <c r="E1969">
        <v>77226</v>
      </c>
      <c r="F1969">
        <v>0</v>
      </c>
      <c r="G1969">
        <v>1</v>
      </c>
      <c r="H1969" s="1">
        <v>41698</v>
      </c>
      <c r="I1969">
        <v>29</v>
      </c>
      <c r="J1969">
        <v>631</v>
      </c>
      <c r="K1969">
        <v>43</v>
      </c>
      <c r="L1969">
        <v>239</v>
      </c>
      <c r="M1969">
        <v>128</v>
      </c>
      <c r="N1969">
        <v>76</v>
      </c>
      <c r="O1969">
        <v>21</v>
      </c>
      <c r="P1969">
        <v>2</v>
      </c>
      <c r="Q1969">
        <v>6</v>
      </c>
      <c r="R1969">
        <v>8</v>
      </c>
      <c r="S1969">
        <v>12</v>
      </c>
      <c r="T1969">
        <v>3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3</v>
      </c>
      <c r="AB1969">
        <v>11</v>
      </c>
      <c r="AC1969">
        <v>0</v>
      </c>
    </row>
    <row r="1970" spans="1:29" x14ac:dyDescent="0.3">
      <c r="A1970">
        <v>8537</v>
      </c>
      <c r="B1970">
        <v>1949</v>
      </c>
      <c r="C1970" t="s">
        <v>29</v>
      </c>
      <c r="D1970" t="s">
        <v>38</v>
      </c>
      <c r="E1970">
        <v>72643</v>
      </c>
      <c r="F1970">
        <v>0</v>
      </c>
      <c r="G1970">
        <v>0</v>
      </c>
      <c r="H1970" s="1">
        <v>41332</v>
      </c>
      <c r="I1970">
        <v>60</v>
      </c>
      <c r="J1970">
        <v>526</v>
      </c>
      <c r="K1970">
        <v>80</v>
      </c>
      <c r="L1970">
        <v>553</v>
      </c>
      <c r="M1970">
        <v>123</v>
      </c>
      <c r="N1970">
        <v>94</v>
      </c>
      <c r="O1970">
        <v>53</v>
      </c>
      <c r="P1970">
        <v>1</v>
      </c>
      <c r="Q1970">
        <v>3</v>
      </c>
      <c r="R1970">
        <v>10</v>
      </c>
      <c r="S1970">
        <v>7</v>
      </c>
      <c r="T1970">
        <v>2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>
        <v>3</v>
      </c>
      <c r="AB1970">
        <v>11</v>
      </c>
      <c r="AC1970">
        <v>1</v>
      </c>
    </row>
    <row r="1971" spans="1:29" x14ac:dyDescent="0.3">
      <c r="A1971">
        <v>4331</v>
      </c>
      <c r="B1971">
        <v>1978</v>
      </c>
      <c r="C1971" t="s">
        <v>34</v>
      </c>
      <c r="D1971" t="s">
        <v>31</v>
      </c>
      <c r="E1971">
        <v>85738</v>
      </c>
      <c r="F1971">
        <v>0</v>
      </c>
      <c r="G1971">
        <v>0</v>
      </c>
      <c r="H1971" s="1">
        <v>41662</v>
      </c>
      <c r="I1971">
        <v>41</v>
      </c>
      <c r="J1971">
        <v>913</v>
      </c>
      <c r="K1971">
        <v>26</v>
      </c>
      <c r="L1971">
        <v>376</v>
      </c>
      <c r="M1971">
        <v>17</v>
      </c>
      <c r="N1971">
        <v>26</v>
      </c>
      <c r="O1971">
        <v>13</v>
      </c>
      <c r="P1971">
        <v>1</v>
      </c>
      <c r="Q1971">
        <v>3</v>
      </c>
      <c r="R1971">
        <v>6</v>
      </c>
      <c r="S1971">
        <v>11</v>
      </c>
      <c r="T1971">
        <v>1</v>
      </c>
      <c r="U1971">
        <v>0</v>
      </c>
      <c r="V1971">
        <v>1</v>
      </c>
      <c r="W1971">
        <v>1</v>
      </c>
      <c r="X1971">
        <v>0</v>
      </c>
      <c r="Y1971">
        <v>0</v>
      </c>
      <c r="Z1971">
        <v>0</v>
      </c>
      <c r="AA1971">
        <v>3</v>
      </c>
      <c r="AB1971">
        <v>11</v>
      </c>
      <c r="AC1971">
        <v>0</v>
      </c>
    </row>
    <row r="1972" spans="1:29" x14ac:dyDescent="0.3">
      <c r="A1972">
        <v>6281</v>
      </c>
      <c r="B1972">
        <v>1966</v>
      </c>
      <c r="C1972" t="s">
        <v>29</v>
      </c>
      <c r="D1972" t="s">
        <v>35</v>
      </c>
      <c r="E1972">
        <v>55686</v>
      </c>
      <c r="F1972">
        <v>0</v>
      </c>
      <c r="G1972">
        <v>1</v>
      </c>
      <c r="H1972" s="1">
        <v>41319</v>
      </c>
      <c r="I1972">
        <v>27</v>
      </c>
      <c r="J1972">
        <v>673</v>
      </c>
      <c r="K1972">
        <v>0</v>
      </c>
      <c r="L1972">
        <v>199</v>
      </c>
      <c r="M1972">
        <v>37</v>
      </c>
      <c r="N1972">
        <v>47</v>
      </c>
      <c r="O1972">
        <v>26</v>
      </c>
      <c r="P1972">
        <v>2</v>
      </c>
      <c r="Q1972">
        <v>6</v>
      </c>
      <c r="R1972">
        <v>3</v>
      </c>
      <c r="S1972">
        <v>5</v>
      </c>
      <c r="T1972">
        <v>4</v>
      </c>
      <c r="U1972">
        <v>1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3</v>
      </c>
      <c r="AB1972">
        <v>11</v>
      </c>
      <c r="AC1972">
        <v>0</v>
      </c>
    </row>
    <row r="1973" spans="1:29" x14ac:dyDescent="0.3">
      <c r="A1973">
        <v>4338</v>
      </c>
      <c r="B1973">
        <v>1983</v>
      </c>
      <c r="C1973" t="s">
        <v>29</v>
      </c>
      <c r="D1973" t="s">
        <v>30</v>
      </c>
      <c r="E1973">
        <v>39062</v>
      </c>
      <c r="F1973">
        <v>1</v>
      </c>
      <c r="G1973">
        <v>0</v>
      </c>
      <c r="H1973" s="1">
        <v>41723</v>
      </c>
      <c r="I1973">
        <v>28</v>
      </c>
      <c r="J1973">
        <v>23</v>
      </c>
      <c r="K1973">
        <v>0</v>
      </c>
      <c r="L1973">
        <v>9</v>
      </c>
      <c r="M1973">
        <v>0</v>
      </c>
      <c r="N1973">
        <v>0</v>
      </c>
      <c r="O1973">
        <v>12</v>
      </c>
      <c r="P1973">
        <v>1</v>
      </c>
      <c r="Q1973">
        <v>1</v>
      </c>
      <c r="R1973">
        <v>0</v>
      </c>
      <c r="S1973">
        <v>3</v>
      </c>
      <c r="T1973">
        <v>4</v>
      </c>
      <c r="U1973">
        <v>1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3</v>
      </c>
      <c r="AB1973">
        <v>11</v>
      </c>
      <c r="AC1973">
        <v>0</v>
      </c>
    </row>
    <row r="1974" spans="1:29" x14ac:dyDescent="0.3">
      <c r="A1974">
        <v>2452</v>
      </c>
      <c r="B1974">
        <v>1971</v>
      </c>
      <c r="C1974" t="s">
        <v>29</v>
      </c>
      <c r="D1974" t="s">
        <v>31</v>
      </c>
      <c r="E1974">
        <v>34600</v>
      </c>
      <c r="F1974">
        <v>1</v>
      </c>
      <c r="G1974">
        <v>1</v>
      </c>
      <c r="H1974" s="1">
        <v>41275</v>
      </c>
      <c r="I1974">
        <v>8</v>
      </c>
      <c r="J1974">
        <v>199</v>
      </c>
      <c r="K1974">
        <v>33</v>
      </c>
      <c r="L1974">
        <v>60</v>
      </c>
      <c r="M1974">
        <v>8</v>
      </c>
      <c r="N1974">
        <v>3</v>
      </c>
      <c r="O1974">
        <v>15</v>
      </c>
      <c r="P1974">
        <v>5</v>
      </c>
      <c r="Q1974">
        <v>5</v>
      </c>
      <c r="R1974">
        <v>2</v>
      </c>
      <c r="S1974">
        <v>5</v>
      </c>
      <c r="T1974">
        <v>8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3</v>
      </c>
      <c r="AB1974">
        <v>11</v>
      </c>
      <c r="AC1974">
        <v>1</v>
      </c>
    </row>
    <row r="1975" spans="1:29" x14ac:dyDescent="0.3">
      <c r="A1975">
        <v>9507</v>
      </c>
      <c r="B1975">
        <v>1975</v>
      </c>
      <c r="C1975" t="s">
        <v>29</v>
      </c>
      <c r="D1975" t="s">
        <v>33</v>
      </c>
      <c r="E1975">
        <v>40794</v>
      </c>
      <c r="F1975">
        <v>0</v>
      </c>
      <c r="G1975">
        <v>1</v>
      </c>
      <c r="H1975" s="1">
        <v>41371</v>
      </c>
      <c r="I1975">
        <v>18</v>
      </c>
      <c r="J1975">
        <v>261</v>
      </c>
      <c r="K1975">
        <v>23</v>
      </c>
      <c r="L1975">
        <v>73</v>
      </c>
      <c r="M1975">
        <v>4</v>
      </c>
      <c r="N1975">
        <v>23</v>
      </c>
      <c r="O1975">
        <v>50</v>
      </c>
      <c r="P1975">
        <v>2</v>
      </c>
      <c r="Q1975">
        <v>6</v>
      </c>
      <c r="R1975">
        <v>3</v>
      </c>
      <c r="S1975">
        <v>5</v>
      </c>
      <c r="T1975">
        <v>7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3</v>
      </c>
      <c r="AB1975">
        <v>11</v>
      </c>
      <c r="AC1975">
        <v>0</v>
      </c>
    </row>
    <row r="1976" spans="1:29" x14ac:dyDescent="0.3">
      <c r="A1976">
        <v>8360</v>
      </c>
      <c r="B1976">
        <v>1971</v>
      </c>
      <c r="C1976" t="s">
        <v>37</v>
      </c>
      <c r="D1976" t="s">
        <v>33</v>
      </c>
      <c r="E1976">
        <v>54690</v>
      </c>
      <c r="F1976">
        <v>1</v>
      </c>
      <c r="G1976">
        <v>1</v>
      </c>
      <c r="H1976" s="1">
        <v>41585</v>
      </c>
      <c r="I1976">
        <v>76</v>
      </c>
      <c r="J1976">
        <v>111</v>
      </c>
      <c r="K1976">
        <v>16</v>
      </c>
      <c r="L1976">
        <v>37</v>
      </c>
      <c r="M1976">
        <v>7</v>
      </c>
      <c r="N1976">
        <v>9</v>
      </c>
      <c r="O1976">
        <v>18</v>
      </c>
      <c r="P1976">
        <v>3</v>
      </c>
      <c r="Q1976">
        <v>3</v>
      </c>
      <c r="R1976">
        <v>1</v>
      </c>
      <c r="S1976">
        <v>5</v>
      </c>
      <c r="T1976">
        <v>3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3</v>
      </c>
      <c r="AB1976">
        <v>11</v>
      </c>
      <c r="AC1976">
        <v>0</v>
      </c>
    </row>
    <row r="1977" spans="1:29" x14ac:dyDescent="0.3">
      <c r="A1977">
        <v>10311</v>
      </c>
      <c r="B1977">
        <v>1969</v>
      </c>
      <c r="C1977" t="s">
        <v>29</v>
      </c>
      <c r="D1977" t="s">
        <v>33</v>
      </c>
      <c r="E1977">
        <v>4428</v>
      </c>
      <c r="F1977">
        <v>0</v>
      </c>
      <c r="G1977">
        <v>1</v>
      </c>
      <c r="H1977" s="1">
        <v>41552</v>
      </c>
      <c r="I1977">
        <v>0</v>
      </c>
      <c r="J1977">
        <v>16</v>
      </c>
      <c r="K1977">
        <v>4</v>
      </c>
      <c r="L1977">
        <v>12</v>
      </c>
      <c r="M1977">
        <v>2</v>
      </c>
      <c r="N1977">
        <v>4</v>
      </c>
      <c r="O1977">
        <v>321</v>
      </c>
      <c r="P1977">
        <v>0</v>
      </c>
      <c r="Q1977">
        <v>25</v>
      </c>
      <c r="R1977">
        <v>0</v>
      </c>
      <c r="S1977">
        <v>0</v>
      </c>
      <c r="T1977">
        <v>1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3</v>
      </c>
      <c r="AB1977">
        <v>11</v>
      </c>
      <c r="AC1977">
        <v>0</v>
      </c>
    </row>
    <row r="1978" spans="1:29" x14ac:dyDescent="0.3">
      <c r="A1978">
        <v>5117</v>
      </c>
      <c r="B1978">
        <v>1963</v>
      </c>
      <c r="C1978" t="s">
        <v>37</v>
      </c>
      <c r="D1978" t="s">
        <v>33</v>
      </c>
      <c r="E1978">
        <v>32632</v>
      </c>
      <c r="F1978">
        <v>0</v>
      </c>
      <c r="G1978">
        <v>0</v>
      </c>
      <c r="H1978" s="1">
        <v>41123</v>
      </c>
      <c r="I1978">
        <v>32</v>
      </c>
      <c r="J1978">
        <v>63</v>
      </c>
      <c r="K1978">
        <v>151</v>
      </c>
      <c r="L1978">
        <v>137</v>
      </c>
      <c r="M1978">
        <v>153</v>
      </c>
      <c r="N1978">
        <v>19</v>
      </c>
      <c r="O1978">
        <v>53</v>
      </c>
      <c r="P1978">
        <v>2</v>
      </c>
      <c r="Q1978">
        <v>4</v>
      </c>
      <c r="R1978">
        <v>4</v>
      </c>
      <c r="S1978">
        <v>8</v>
      </c>
      <c r="T1978">
        <v>5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3</v>
      </c>
      <c r="AB1978">
        <v>11</v>
      </c>
      <c r="AC1978">
        <v>0</v>
      </c>
    </row>
    <row r="1979" spans="1:29" x14ac:dyDescent="0.3">
      <c r="A1979">
        <v>4867</v>
      </c>
      <c r="B1979">
        <v>1968</v>
      </c>
      <c r="C1979" t="s">
        <v>32</v>
      </c>
      <c r="D1979" t="s">
        <v>30</v>
      </c>
      <c r="E1979">
        <v>38236</v>
      </c>
      <c r="F1979">
        <v>1</v>
      </c>
      <c r="G1979">
        <v>1</v>
      </c>
      <c r="H1979" s="1">
        <v>41537</v>
      </c>
      <c r="I1979">
        <v>2</v>
      </c>
      <c r="J1979">
        <v>58</v>
      </c>
      <c r="K1979">
        <v>0</v>
      </c>
      <c r="L1979">
        <v>18</v>
      </c>
      <c r="M1979">
        <v>2</v>
      </c>
      <c r="N1979">
        <v>0</v>
      </c>
      <c r="O1979">
        <v>10</v>
      </c>
      <c r="P1979">
        <v>4</v>
      </c>
      <c r="Q1979">
        <v>3</v>
      </c>
      <c r="R1979">
        <v>0</v>
      </c>
      <c r="S1979">
        <v>4</v>
      </c>
      <c r="T1979">
        <v>7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3</v>
      </c>
      <c r="AB1979">
        <v>11</v>
      </c>
      <c r="AC1979">
        <v>0</v>
      </c>
    </row>
    <row r="1980" spans="1:29" x14ac:dyDescent="0.3">
      <c r="A1980">
        <v>9289</v>
      </c>
      <c r="B1980">
        <v>1979</v>
      </c>
      <c r="C1980" t="s">
        <v>29</v>
      </c>
      <c r="D1980" t="s">
        <v>33</v>
      </c>
      <c r="E1980">
        <v>36781</v>
      </c>
      <c r="F1980">
        <v>1</v>
      </c>
      <c r="G1980">
        <v>0</v>
      </c>
      <c r="H1980" s="1">
        <v>41739</v>
      </c>
      <c r="I1980">
        <v>16</v>
      </c>
      <c r="J1980">
        <v>29</v>
      </c>
      <c r="K1980">
        <v>1</v>
      </c>
      <c r="L1980">
        <v>17</v>
      </c>
      <c r="M1980">
        <v>0</v>
      </c>
      <c r="N1980">
        <v>3</v>
      </c>
      <c r="O1980">
        <v>13</v>
      </c>
      <c r="P1980">
        <v>1</v>
      </c>
      <c r="Q1980">
        <v>2</v>
      </c>
      <c r="R1980">
        <v>1</v>
      </c>
      <c r="S1980">
        <v>2</v>
      </c>
      <c r="T1980">
        <v>8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3</v>
      </c>
      <c r="AB1980">
        <v>11</v>
      </c>
      <c r="AC1980">
        <v>1</v>
      </c>
    </row>
    <row r="1981" spans="1:29" x14ac:dyDescent="0.3">
      <c r="A1981">
        <v>10913</v>
      </c>
      <c r="B1981">
        <v>1984</v>
      </c>
      <c r="C1981" t="s">
        <v>34</v>
      </c>
      <c r="D1981" t="s">
        <v>30</v>
      </c>
      <c r="E1981">
        <v>31385</v>
      </c>
      <c r="F1981">
        <v>1</v>
      </c>
      <c r="G1981">
        <v>0</v>
      </c>
      <c r="H1981" s="1">
        <v>41248</v>
      </c>
      <c r="I1981">
        <v>56</v>
      </c>
      <c r="J1981">
        <v>3</v>
      </c>
      <c r="K1981">
        <v>2</v>
      </c>
      <c r="L1981">
        <v>12</v>
      </c>
      <c r="M1981">
        <v>0</v>
      </c>
      <c r="N1981">
        <v>1</v>
      </c>
      <c r="O1981">
        <v>9</v>
      </c>
      <c r="P1981">
        <v>1</v>
      </c>
      <c r="Q1981">
        <v>1</v>
      </c>
      <c r="R1981">
        <v>0</v>
      </c>
      <c r="S1981">
        <v>2</v>
      </c>
      <c r="T1981">
        <v>8</v>
      </c>
      <c r="U1981">
        <v>1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3</v>
      </c>
      <c r="AB1981">
        <v>11</v>
      </c>
      <c r="AC1981">
        <v>1</v>
      </c>
    </row>
    <row r="1982" spans="1:29" x14ac:dyDescent="0.3">
      <c r="A1982">
        <v>3032</v>
      </c>
      <c r="B1982">
        <v>1984</v>
      </c>
      <c r="C1982" t="s">
        <v>29</v>
      </c>
      <c r="D1982" t="s">
        <v>33</v>
      </c>
      <c r="E1982">
        <v>24570</v>
      </c>
      <c r="F1982">
        <v>1</v>
      </c>
      <c r="G1982">
        <v>0</v>
      </c>
      <c r="H1982" s="1">
        <v>41332</v>
      </c>
      <c r="I1982">
        <v>97</v>
      </c>
      <c r="J1982">
        <v>28</v>
      </c>
      <c r="K1982">
        <v>34</v>
      </c>
      <c r="L1982">
        <v>62</v>
      </c>
      <c r="M1982">
        <v>11</v>
      </c>
      <c r="N1982">
        <v>14</v>
      </c>
      <c r="O1982">
        <v>44</v>
      </c>
      <c r="P1982">
        <v>3</v>
      </c>
      <c r="Q1982">
        <v>4</v>
      </c>
      <c r="R1982">
        <v>0</v>
      </c>
      <c r="S1982">
        <v>4</v>
      </c>
      <c r="T1982">
        <v>9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3</v>
      </c>
      <c r="AB1982">
        <v>11</v>
      </c>
      <c r="AC1982">
        <v>0</v>
      </c>
    </row>
    <row r="1983" spans="1:29" x14ac:dyDescent="0.3">
      <c r="A1983">
        <v>8524</v>
      </c>
      <c r="B1983">
        <v>1974</v>
      </c>
      <c r="C1983" t="s">
        <v>32</v>
      </c>
      <c r="D1983" t="s">
        <v>35</v>
      </c>
      <c r="E1983">
        <v>25509</v>
      </c>
      <c r="F1983">
        <v>1</v>
      </c>
      <c r="G1983">
        <v>0</v>
      </c>
      <c r="H1983" s="1">
        <v>41170</v>
      </c>
      <c r="I1983">
        <v>15</v>
      </c>
      <c r="J1983">
        <v>40</v>
      </c>
      <c r="K1983">
        <v>3</v>
      </c>
      <c r="L1983">
        <v>30</v>
      </c>
      <c r="M1983">
        <v>10</v>
      </c>
      <c r="N1983">
        <v>7</v>
      </c>
      <c r="O1983">
        <v>11</v>
      </c>
      <c r="P1983">
        <v>3</v>
      </c>
      <c r="Q1983">
        <v>3</v>
      </c>
      <c r="R1983">
        <v>0</v>
      </c>
      <c r="S1983">
        <v>3</v>
      </c>
      <c r="T1983">
        <v>9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3</v>
      </c>
      <c r="AB1983">
        <v>11</v>
      </c>
      <c r="AC1983">
        <v>1</v>
      </c>
    </row>
    <row r="1984" spans="1:29" x14ac:dyDescent="0.3">
      <c r="A1984">
        <v>3334</v>
      </c>
      <c r="B1984">
        <v>1951</v>
      </c>
      <c r="C1984" t="s">
        <v>29</v>
      </c>
      <c r="D1984" t="s">
        <v>33</v>
      </c>
      <c r="E1984">
        <v>94642</v>
      </c>
      <c r="F1984">
        <v>0</v>
      </c>
      <c r="G1984">
        <v>0</v>
      </c>
      <c r="H1984" s="1">
        <v>41682</v>
      </c>
      <c r="I1984">
        <v>35</v>
      </c>
      <c r="J1984">
        <v>879</v>
      </c>
      <c r="K1984">
        <v>143</v>
      </c>
      <c r="L1984">
        <v>797</v>
      </c>
      <c r="M1984">
        <v>106</v>
      </c>
      <c r="N1984">
        <v>143</v>
      </c>
      <c r="O1984">
        <v>143</v>
      </c>
      <c r="P1984">
        <v>0</v>
      </c>
      <c r="Q1984">
        <v>5</v>
      </c>
      <c r="R1984">
        <v>7</v>
      </c>
      <c r="S1984">
        <v>9</v>
      </c>
      <c r="T1984">
        <v>1</v>
      </c>
      <c r="U1984">
        <v>0</v>
      </c>
      <c r="V1984">
        <v>0</v>
      </c>
      <c r="W1984">
        <v>1</v>
      </c>
      <c r="X1984">
        <v>1</v>
      </c>
      <c r="Y1984">
        <v>0</v>
      </c>
      <c r="Z1984">
        <v>0</v>
      </c>
      <c r="AA1984">
        <v>3</v>
      </c>
      <c r="AB1984">
        <v>11</v>
      </c>
      <c r="AC1984">
        <v>0</v>
      </c>
    </row>
    <row r="1985" spans="1:29" x14ac:dyDescent="0.3">
      <c r="A1985">
        <v>4470</v>
      </c>
      <c r="B1985">
        <v>1962</v>
      </c>
      <c r="C1985" t="s">
        <v>34</v>
      </c>
      <c r="D1985" t="s">
        <v>33</v>
      </c>
      <c r="E1985">
        <v>58646</v>
      </c>
      <c r="F1985">
        <v>0</v>
      </c>
      <c r="G1985">
        <v>1</v>
      </c>
      <c r="H1985" s="1">
        <v>41435</v>
      </c>
      <c r="I1985">
        <v>3</v>
      </c>
      <c r="J1985">
        <v>62</v>
      </c>
      <c r="K1985">
        <v>1</v>
      </c>
      <c r="L1985">
        <v>44</v>
      </c>
      <c r="M1985">
        <v>6</v>
      </c>
      <c r="N1985">
        <v>5</v>
      </c>
      <c r="O1985">
        <v>22</v>
      </c>
      <c r="P1985">
        <v>1</v>
      </c>
      <c r="Q1985">
        <v>2</v>
      </c>
      <c r="R1985">
        <v>1</v>
      </c>
      <c r="S1985">
        <v>4</v>
      </c>
      <c r="T1985">
        <v>4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3</v>
      </c>
      <c r="AB1985">
        <v>11</v>
      </c>
      <c r="AC1985">
        <v>0</v>
      </c>
    </row>
    <row r="1986" spans="1:29" x14ac:dyDescent="0.3">
      <c r="A1986">
        <v>1406</v>
      </c>
      <c r="B1986">
        <v>1975</v>
      </c>
      <c r="C1986" t="s">
        <v>29</v>
      </c>
      <c r="D1986" t="s">
        <v>30</v>
      </c>
      <c r="E1986">
        <v>53201</v>
      </c>
      <c r="F1986">
        <v>1</v>
      </c>
      <c r="G1986">
        <v>1</v>
      </c>
      <c r="H1986" s="1">
        <v>41317</v>
      </c>
      <c r="I1986">
        <v>49</v>
      </c>
      <c r="J1986">
        <v>280</v>
      </c>
      <c r="K1986">
        <v>7</v>
      </c>
      <c r="L1986">
        <v>81</v>
      </c>
      <c r="M1986">
        <v>20</v>
      </c>
      <c r="N1986">
        <v>0</v>
      </c>
      <c r="O1986">
        <v>27</v>
      </c>
      <c r="P1986">
        <v>8</v>
      </c>
      <c r="Q1986">
        <v>6</v>
      </c>
      <c r="R1986">
        <v>3</v>
      </c>
      <c r="S1986">
        <v>5</v>
      </c>
      <c r="T1986">
        <v>7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3</v>
      </c>
      <c r="AB1986">
        <v>11</v>
      </c>
      <c r="AC1986">
        <v>0</v>
      </c>
    </row>
    <row r="1987" spans="1:29" x14ac:dyDescent="0.3">
      <c r="A1987">
        <v>8619</v>
      </c>
      <c r="B1987">
        <v>1957</v>
      </c>
      <c r="C1987" t="s">
        <v>29</v>
      </c>
      <c r="D1987" t="s">
        <v>31</v>
      </c>
      <c r="E1987">
        <v>21994</v>
      </c>
      <c r="F1987">
        <v>0</v>
      </c>
      <c r="G1987">
        <v>1</v>
      </c>
      <c r="H1987" s="1">
        <v>41267</v>
      </c>
      <c r="I1987">
        <v>4</v>
      </c>
      <c r="J1987">
        <v>9</v>
      </c>
      <c r="K1987">
        <v>0</v>
      </c>
      <c r="L1987">
        <v>6</v>
      </c>
      <c r="M1987">
        <v>3</v>
      </c>
      <c r="N1987">
        <v>1</v>
      </c>
      <c r="O1987">
        <v>3</v>
      </c>
      <c r="P1987">
        <v>1</v>
      </c>
      <c r="Q1987">
        <v>0</v>
      </c>
      <c r="R1987">
        <v>0</v>
      </c>
      <c r="S1987">
        <v>3</v>
      </c>
      <c r="T1987">
        <v>5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3</v>
      </c>
      <c r="AB1987">
        <v>11</v>
      </c>
      <c r="AC1987">
        <v>0</v>
      </c>
    </row>
    <row r="1988" spans="1:29" x14ac:dyDescent="0.3">
      <c r="A1988">
        <v>10821</v>
      </c>
      <c r="B1988">
        <v>1978</v>
      </c>
      <c r="C1988" t="s">
        <v>29</v>
      </c>
      <c r="D1988" t="s">
        <v>33</v>
      </c>
      <c r="E1988">
        <v>57113</v>
      </c>
      <c r="F1988">
        <v>1</v>
      </c>
      <c r="G1988">
        <v>1</v>
      </c>
      <c r="H1988" s="1">
        <v>41311</v>
      </c>
      <c r="I1988">
        <v>45</v>
      </c>
      <c r="J1988">
        <v>182</v>
      </c>
      <c r="K1988">
        <v>4</v>
      </c>
      <c r="L1988">
        <v>33</v>
      </c>
      <c r="M1988">
        <v>0</v>
      </c>
      <c r="N1988">
        <v>2</v>
      </c>
      <c r="O1988">
        <v>42</v>
      </c>
      <c r="P1988">
        <v>6</v>
      </c>
      <c r="Q1988">
        <v>4</v>
      </c>
      <c r="R1988">
        <v>1</v>
      </c>
      <c r="S1988">
        <v>5</v>
      </c>
      <c r="T1988">
        <v>7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3</v>
      </c>
      <c r="AB1988">
        <v>11</v>
      </c>
      <c r="AC1988">
        <v>0</v>
      </c>
    </row>
    <row r="1989" spans="1:29" x14ac:dyDescent="0.3">
      <c r="A1989">
        <v>4552</v>
      </c>
      <c r="B1989">
        <v>1991</v>
      </c>
      <c r="C1989" t="s">
        <v>29</v>
      </c>
      <c r="D1989" t="s">
        <v>33</v>
      </c>
      <c r="E1989">
        <v>51373</v>
      </c>
      <c r="F1989">
        <v>0</v>
      </c>
      <c r="G1989">
        <v>0</v>
      </c>
      <c r="H1989" s="1">
        <v>41447</v>
      </c>
      <c r="I1989">
        <v>37</v>
      </c>
      <c r="J1989">
        <v>83</v>
      </c>
      <c r="K1989">
        <v>2</v>
      </c>
      <c r="L1989">
        <v>101</v>
      </c>
      <c r="M1989">
        <v>64</v>
      </c>
      <c r="N1989">
        <v>26</v>
      </c>
      <c r="O1989">
        <v>117</v>
      </c>
      <c r="P1989">
        <v>1</v>
      </c>
      <c r="Q1989">
        <v>3</v>
      </c>
      <c r="R1989">
        <v>5</v>
      </c>
      <c r="S1989">
        <v>3</v>
      </c>
      <c r="T1989">
        <v>4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3</v>
      </c>
      <c r="AB1989">
        <v>11</v>
      </c>
      <c r="AC1989">
        <v>0</v>
      </c>
    </row>
    <row r="1990" spans="1:29" x14ac:dyDescent="0.3">
      <c r="A1990">
        <v>898</v>
      </c>
      <c r="B1990">
        <v>1986</v>
      </c>
      <c r="C1990" t="s">
        <v>29</v>
      </c>
      <c r="D1990" t="s">
        <v>33</v>
      </c>
      <c r="E1990">
        <v>23477</v>
      </c>
      <c r="F1990">
        <v>1</v>
      </c>
      <c r="G1990">
        <v>0</v>
      </c>
      <c r="H1990" s="1">
        <v>41568</v>
      </c>
      <c r="I1990">
        <v>39</v>
      </c>
      <c r="J1990">
        <v>38</v>
      </c>
      <c r="K1990">
        <v>15</v>
      </c>
      <c r="L1990">
        <v>54</v>
      </c>
      <c r="M1990">
        <v>3</v>
      </c>
      <c r="N1990">
        <v>8</v>
      </c>
      <c r="O1990">
        <v>29</v>
      </c>
      <c r="P1990">
        <v>3</v>
      </c>
      <c r="Q1990">
        <v>3</v>
      </c>
      <c r="R1990">
        <v>0</v>
      </c>
      <c r="S1990">
        <v>4</v>
      </c>
      <c r="T1990">
        <v>8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3</v>
      </c>
      <c r="AB1990">
        <v>11</v>
      </c>
      <c r="AC1990">
        <v>0</v>
      </c>
    </row>
    <row r="1991" spans="1:29" x14ac:dyDescent="0.3">
      <c r="A1991">
        <v>9797</v>
      </c>
      <c r="B1991">
        <v>1956</v>
      </c>
      <c r="C1991" t="s">
        <v>29</v>
      </c>
      <c r="D1991" t="s">
        <v>33</v>
      </c>
      <c r="E1991">
        <v>58116</v>
      </c>
      <c r="F1991">
        <v>0</v>
      </c>
      <c r="G1991">
        <v>1</v>
      </c>
      <c r="H1991" s="1">
        <v>41742</v>
      </c>
      <c r="I1991">
        <v>38</v>
      </c>
      <c r="J1991">
        <v>228</v>
      </c>
      <c r="K1991">
        <v>19</v>
      </c>
      <c r="L1991">
        <v>130</v>
      </c>
      <c r="M1991">
        <v>4</v>
      </c>
      <c r="N1991">
        <v>11</v>
      </c>
      <c r="O1991">
        <v>51</v>
      </c>
      <c r="P1991">
        <v>2</v>
      </c>
      <c r="Q1991">
        <v>3</v>
      </c>
      <c r="R1991">
        <v>3</v>
      </c>
      <c r="S1991">
        <v>8</v>
      </c>
      <c r="T1991">
        <v>2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3</v>
      </c>
      <c r="AB1991">
        <v>11</v>
      </c>
      <c r="AC1991">
        <v>0</v>
      </c>
    </row>
    <row r="1992" spans="1:29" x14ac:dyDescent="0.3">
      <c r="A1992">
        <v>10949</v>
      </c>
      <c r="B1992">
        <v>1963</v>
      </c>
      <c r="C1992" t="s">
        <v>32</v>
      </c>
      <c r="D1992" t="s">
        <v>35</v>
      </c>
      <c r="E1992">
        <v>72968</v>
      </c>
      <c r="F1992">
        <v>0</v>
      </c>
      <c r="G1992">
        <v>0</v>
      </c>
      <c r="H1992" s="1">
        <v>41624</v>
      </c>
      <c r="I1992">
        <v>8</v>
      </c>
      <c r="J1992">
        <v>1092</v>
      </c>
      <c r="K1992">
        <v>37</v>
      </c>
      <c r="L1992">
        <v>592</v>
      </c>
      <c r="M1992">
        <v>145</v>
      </c>
      <c r="N1992">
        <v>37</v>
      </c>
      <c r="O1992">
        <v>55</v>
      </c>
      <c r="P1992">
        <v>1</v>
      </c>
      <c r="Q1992">
        <v>5</v>
      </c>
      <c r="R1992">
        <v>5</v>
      </c>
      <c r="S1992">
        <v>8</v>
      </c>
      <c r="T1992">
        <v>3</v>
      </c>
      <c r="U1992">
        <v>0</v>
      </c>
      <c r="V1992">
        <v>0</v>
      </c>
      <c r="W1992">
        <v>0</v>
      </c>
      <c r="X1992">
        <v>1</v>
      </c>
      <c r="Y1992">
        <v>0</v>
      </c>
      <c r="Z1992">
        <v>0</v>
      </c>
      <c r="AA1992">
        <v>3</v>
      </c>
      <c r="AB1992">
        <v>11</v>
      </c>
      <c r="AC1992">
        <v>1</v>
      </c>
    </row>
    <row r="1993" spans="1:29" x14ac:dyDescent="0.3">
      <c r="A1993">
        <v>8212</v>
      </c>
      <c r="B1993">
        <v>1971</v>
      </c>
      <c r="C1993" t="s">
        <v>34</v>
      </c>
      <c r="D1993" t="s">
        <v>33</v>
      </c>
      <c r="E1993">
        <v>39791</v>
      </c>
      <c r="F1993">
        <v>0</v>
      </c>
      <c r="G1993">
        <v>1</v>
      </c>
      <c r="H1993" s="1">
        <v>41361</v>
      </c>
      <c r="I1993">
        <v>89</v>
      </c>
      <c r="J1993">
        <v>85</v>
      </c>
      <c r="K1993">
        <v>15</v>
      </c>
      <c r="L1993">
        <v>27</v>
      </c>
      <c r="M1993">
        <v>13</v>
      </c>
      <c r="N1993">
        <v>13</v>
      </c>
      <c r="O1993">
        <v>21</v>
      </c>
      <c r="P1993">
        <v>2</v>
      </c>
      <c r="Q1993">
        <v>3</v>
      </c>
      <c r="R1993">
        <v>1</v>
      </c>
      <c r="S1993">
        <v>4</v>
      </c>
      <c r="T1993">
        <v>7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3</v>
      </c>
      <c r="AB1993">
        <v>11</v>
      </c>
      <c r="AC1993">
        <v>0</v>
      </c>
    </row>
    <row r="1994" spans="1:29" x14ac:dyDescent="0.3">
      <c r="A1994">
        <v>6248</v>
      </c>
      <c r="B1994">
        <v>1947</v>
      </c>
      <c r="C1994" t="s">
        <v>34</v>
      </c>
      <c r="D1994" t="s">
        <v>30</v>
      </c>
      <c r="E1994">
        <v>91712</v>
      </c>
      <c r="F1994">
        <v>0</v>
      </c>
      <c r="G1994">
        <v>0</v>
      </c>
      <c r="H1994" s="1">
        <v>41564</v>
      </c>
      <c r="I1994">
        <v>47</v>
      </c>
      <c r="J1994">
        <v>1276</v>
      </c>
      <c r="K1994">
        <v>24</v>
      </c>
      <c r="L1994">
        <v>746</v>
      </c>
      <c r="M1994">
        <v>94</v>
      </c>
      <c r="N1994">
        <v>29</v>
      </c>
      <c r="O1994">
        <v>48</v>
      </c>
      <c r="P1994">
        <v>0</v>
      </c>
      <c r="Q1994">
        <v>9</v>
      </c>
      <c r="R1994">
        <v>7</v>
      </c>
      <c r="S1994">
        <v>11</v>
      </c>
      <c r="T1994">
        <v>3</v>
      </c>
      <c r="U1994">
        <v>0</v>
      </c>
      <c r="V1994">
        <v>0</v>
      </c>
      <c r="W1994">
        <v>1</v>
      </c>
      <c r="X1994">
        <v>0</v>
      </c>
      <c r="Y1994">
        <v>0</v>
      </c>
      <c r="Z1994">
        <v>0</v>
      </c>
      <c r="AA1994">
        <v>3</v>
      </c>
      <c r="AB1994">
        <v>11</v>
      </c>
      <c r="AC1994">
        <v>1</v>
      </c>
    </row>
    <row r="1995" spans="1:29" x14ac:dyDescent="0.3">
      <c r="A1995">
        <v>10164</v>
      </c>
      <c r="B1995">
        <v>1958</v>
      </c>
      <c r="C1995" t="s">
        <v>29</v>
      </c>
      <c r="D1995" t="s">
        <v>30</v>
      </c>
      <c r="E1995">
        <v>94472</v>
      </c>
      <c r="F1995">
        <v>0</v>
      </c>
      <c r="G1995">
        <v>1</v>
      </c>
      <c r="H1995" s="1">
        <v>41732</v>
      </c>
      <c r="I1995">
        <v>75</v>
      </c>
      <c r="J1995">
        <v>1017</v>
      </c>
      <c r="K1995">
        <v>33</v>
      </c>
      <c r="L1995">
        <v>417</v>
      </c>
      <c r="M1995">
        <v>108</v>
      </c>
      <c r="N1995">
        <v>100</v>
      </c>
      <c r="O1995">
        <v>16</v>
      </c>
      <c r="P1995">
        <v>1</v>
      </c>
      <c r="Q1995">
        <v>5</v>
      </c>
      <c r="R1995">
        <v>5</v>
      </c>
      <c r="S1995">
        <v>5</v>
      </c>
      <c r="T1995">
        <v>5</v>
      </c>
      <c r="U1995">
        <v>0</v>
      </c>
      <c r="V1995">
        <v>1</v>
      </c>
      <c r="W1995">
        <v>1</v>
      </c>
      <c r="X1995">
        <v>0</v>
      </c>
      <c r="Y1995">
        <v>0</v>
      </c>
      <c r="Z1995">
        <v>0</v>
      </c>
      <c r="AA1995">
        <v>3</v>
      </c>
      <c r="AB1995">
        <v>11</v>
      </c>
      <c r="AC1995">
        <v>0</v>
      </c>
    </row>
    <row r="1996" spans="1:29" x14ac:dyDescent="0.3">
      <c r="A1996">
        <v>4547</v>
      </c>
      <c r="B1996">
        <v>1960</v>
      </c>
      <c r="C1996" t="s">
        <v>29</v>
      </c>
      <c r="D1996" t="s">
        <v>31</v>
      </c>
      <c r="E1996">
        <v>13672</v>
      </c>
      <c r="F1996">
        <v>1</v>
      </c>
      <c r="G1996">
        <v>1</v>
      </c>
      <c r="H1996" s="1">
        <v>41381</v>
      </c>
      <c r="I1996">
        <v>86</v>
      </c>
      <c r="J1996">
        <v>6</v>
      </c>
      <c r="K1996">
        <v>2</v>
      </c>
      <c r="L1996">
        <v>9</v>
      </c>
      <c r="M1996">
        <v>2</v>
      </c>
      <c r="N1996">
        <v>1</v>
      </c>
      <c r="O1996">
        <v>5</v>
      </c>
      <c r="P1996">
        <v>2</v>
      </c>
      <c r="Q1996">
        <v>1</v>
      </c>
      <c r="R1996">
        <v>0</v>
      </c>
      <c r="S1996">
        <v>3</v>
      </c>
      <c r="T1996">
        <v>8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3</v>
      </c>
      <c r="AB1996">
        <v>11</v>
      </c>
      <c r="AC1996">
        <v>0</v>
      </c>
    </row>
    <row r="1997" spans="1:29" x14ac:dyDescent="0.3">
      <c r="A1997">
        <v>6815</v>
      </c>
      <c r="B1997">
        <v>1980</v>
      </c>
      <c r="C1997" t="s">
        <v>37</v>
      </c>
      <c r="D1997" t="s">
        <v>33</v>
      </c>
      <c r="E1997">
        <v>96547</v>
      </c>
      <c r="F1997">
        <v>0</v>
      </c>
      <c r="G1997">
        <v>0</v>
      </c>
      <c r="H1997" s="1">
        <v>41782</v>
      </c>
      <c r="I1997">
        <v>4</v>
      </c>
      <c r="J1997">
        <v>448</v>
      </c>
      <c r="K1997">
        <v>21</v>
      </c>
      <c r="L1997">
        <v>125</v>
      </c>
      <c r="M1997">
        <v>52</v>
      </c>
      <c r="N1997">
        <v>101</v>
      </c>
      <c r="O1997">
        <v>62</v>
      </c>
      <c r="P1997">
        <v>0</v>
      </c>
      <c r="Q1997">
        <v>7</v>
      </c>
      <c r="R1997">
        <v>6</v>
      </c>
      <c r="S1997">
        <v>8</v>
      </c>
      <c r="T1997">
        <v>2</v>
      </c>
      <c r="U1997">
        <v>1</v>
      </c>
      <c r="V1997">
        <v>0</v>
      </c>
      <c r="W1997">
        <v>1</v>
      </c>
      <c r="X1997">
        <v>1</v>
      </c>
      <c r="Y1997">
        <v>0</v>
      </c>
      <c r="Z1997">
        <v>0</v>
      </c>
      <c r="AA1997">
        <v>3</v>
      </c>
      <c r="AB1997">
        <v>11</v>
      </c>
      <c r="AC1997">
        <v>1</v>
      </c>
    </row>
    <row r="1998" spans="1:29" x14ac:dyDescent="0.3">
      <c r="A1998">
        <v>4122</v>
      </c>
      <c r="B1998">
        <v>1975</v>
      </c>
      <c r="C1998" t="s">
        <v>29</v>
      </c>
      <c r="D1998" t="s">
        <v>33</v>
      </c>
      <c r="E1998">
        <v>79205</v>
      </c>
      <c r="F1998">
        <v>0</v>
      </c>
      <c r="G1998">
        <v>0</v>
      </c>
      <c r="H1998" s="1">
        <v>41150</v>
      </c>
      <c r="I1998">
        <v>73</v>
      </c>
      <c r="J1998">
        <v>504</v>
      </c>
      <c r="K1998">
        <v>23</v>
      </c>
      <c r="L1998">
        <v>117</v>
      </c>
      <c r="M1998">
        <v>179</v>
      </c>
      <c r="N1998">
        <v>28</v>
      </c>
      <c r="O1998">
        <v>44</v>
      </c>
      <c r="P1998">
        <v>1</v>
      </c>
      <c r="Q1998">
        <v>6</v>
      </c>
      <c r="R1998">
        <v>5</v>
      </c>
      <c r="S1998">
        <v>4</v>
      </c>
      <c r="T1998">
        <v>4</v>
      </c>
      <c r="U1998">
        <v>0</v>
      </c>
      <c r="V1998">
        <v>0</v>
      </c>
      <c r="W1998">
        <v>0</v>
      </c>
      <c r="X1998">
        <v>1</v>
      </c>
      <c r="Y1998">
        <v>0</v>
      </c>
      <c r="Z1998">
        <v>0</v>
      </c>
      <c r="AA1998">
        <v>3</v>
      </c>
      <c r="AB1998">
        <v>11</v>
      </c>
      <c r="AC1998">
        <v>1</v>
      </c>
    </row>
    <row r="1999" spans="1:29" x14ac:dyDescent="0.3">
      <c r="A1999">
        <v>10841</v>
      </c>
      <c r="B1999">
        <v>1975</v>
      </c>
      <c r="C1999" t="s">
        <v>32</v>
      </c>
      <c r="D1999" t="s">
        <v>31</v>
      </c>
      <c r="E1999">
        <v>56559</v>
      </c>
      <c r="F1999">
        <v>0</v>
      </c>
      <c r="G1999">
        <v>1</v>
      </c>
      <c r="H1999" s="1">
        <v>41268</v>
      </c>
      <c r="I1999">
        <v>46</v>
      </c>
      <c r="J1999">
        <v>226</v>
      </c>
      <c r="K1999">
        <v>22</v>
      </c>
      <c r="L1999">
        <v>133</v>
      </c>
      <c r="M1999">
        <v>41</v>
      </c>
      <c r="N1999">
        <v>31</v>
      </c>
      <c r="O1999">
        <v>31</v>
      </c>
      <c r="P1999">
        <v>3</v>
      </c>
      <c r="Q1999">
        <v>4</v>
      </c>
      <c r="R1999">
        <v>3</v>
      </c>
      <c r="S1999">
        <v>8</v>
      </c>
      <c r="T1999">
        <v>4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3</v>
      </c>
      <c r="AB1999">
        <v>11</v>
      </c>
      <c r="AC1999">
        <v>0</v>
      </c>
    </row>
    <row r="2000" spans="1:29" x14ac:dyDescent="0.3">
      <c r="A2000">
        <v>5370</v>
      </c>
      <c r="B2000">
        <v>1973</v>
      </c>
      <c r="C2000" t="s">
        <v>32</v>
      </c>
      <c r="D2000" t="s">
        <v>33</v>
      </c>
      <c r="E2000">
        <v>32644</v>
      </c>
      <c r="F2000">
        <v>1</v>
      </c>
      <c r="G2000">
        <v>0</v>
      </c>
      <c r="H2000" s="1">
        <v>41290</v>
      </c>
      <c r="I2000">
        <v>38</v>
      </c>
      <c r="J2000">
        <v>239</v>
      </c>
      <c r="K2000">
        <v>3</v>
      </c>
      <c r="L2000">
        <v>141</v>
      </c>
      <c r="M2000">
        <v>0</v>
      </c>
      <c r="N2000">
        <v>7</v>
      </c>
      <c r="O2000">
        <v>23</v>
      </c>
      <c r="P2000">
        <v>4</v>
      </c>
      <c r="Q2000">
        <v>7</v>
      </c>
      <c r="R2000">
        <v>1</v>
      </c>
      <c r="S2000">
        <v>6</v>
      </c>
      <c r="T2000">
        <v>8</v>
      </c>
      <c r="U2000">
        <v>1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3</v>
      </c>
      <c r="AB2000">
        <v>11</v>
      </c>
      <c r="AC2000">
        <v>0</v>
      </c>
    </row>
    <row r="2001" spans="1:29" x14ac:dyDescent="0.3">
      <c r="A2001">
        <v>176</v>
      </c>
      <c r="B2001">
        <v>1980</v>
      </c>
      <c r="C2001" t="s">
        <v>37</v>
      </c>
      <c r="D2001" t="s">
        <v>30</v>
      </c>
      <c r="E2001">
        <v>67506</v>
      </c>
      <c r="F2001">
        <v>0</v>
      </c>
      <c r="G2001">
        <v>1</v>
      </c>
      <c r="H2001" s="1">
        <v>41641</v>
      </c>
      <c r="I2001">
        <v>73</v>
      </c>
      <c r="J2001">
        <v>90</v>
      </c>
      <c r="K2001">
        <v>38</v>
      </c>
      <c r="L2001">
        <v>67</v>
      </c>
      <c r="M2001">
        <v>33</v>
      </c>
      <c r="N2001">
        <v>36</v>
      </c>
      <c r="O2001">
        <v>67</v>
      </c>
      <c r="P2001">
        <v>1</v>
      </c>
      <c r="Q2001">
        <v>4</v>
      </c>
      <c r="R2001">
        <v>1</v>
      </c>
      <c r="S2001">
        <v>6</v>
      </c>
      <c r="T2001">
        <v>3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3</v>
      </c>
      <c r="AB2001">
        <v>11</v>
      </c>
      <c r="AC2001">
        <v>0</v>
      </c>
    </row>
    <row r="2002" spans="1:29" x14ac:dyDescent="0.3">
      <c r="A2002">
        <v>4860</v>
      </c>
      <c r="B2002">
        <v>1970</v>
      </c>
      <c r="C2002" t="s">
        <v>29</v>
      </c>
      <c r="D2002" t="s">
        <v>30</v>
      </c>
      <c r="E2002">
        <v>24206</v>
      </c>
      <c r="F2002">
        <v>1</v>
      </c>
      <c r="G2002">
        <v>0</v>
      </c>
      <c r="H2002" s="1">
        <v>41341</v>
      </c>
      <c r="I2002">
        <v>66</v>
      </c>
      <c r="J2002">
        <v>7</v>
      </c>
      <c r="K2002">
        <v>2</v>
      </c>
      <c r="L2002">
        <v>8</v>
      </c>
      <c r="M2002">
        <v>3</v>
      </c>
      <c r="N2002">
        <v>2</v>
      </c>
      <c r="O2002">
        <v>3</v>
      </c>
      <c r="P2002">
        <v>1</v>
      </c>
      <c r="Q2002">
        <v>1</v>
      </c>
      <c r="R2002">
        <v>0</v>
      </c>
      <c r="S2002">
        <v>3</v>
      </c>
      <c r="T2002">
        <v>6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3</v>
      </c>
      <c r="AB2002">
        <v>11</v>
      </c>
      <c r="AC2002">
        <v>0</v>
      </c>
    </row>
    <row r="2003" spans="1:29" x14ac:dyDescent="0.3">
      <c r="A2003">
        <v>10757</v>
      </c>
      <c r="B2003">
        <v>1967</v>
      </c>
      <c r="C2003" t="s">
        <v>32</v>
      </c>
      <c r="D2003" t="s">
        <v>35</v>
      </c>
      <c r="E2003">
        <v>28420</v>
      </c>
      <c r="F2003">
        <v>1</v>
      </c>
      <c r="G2003">
        <v>0</v>
      </c>
      <c r="H2003" s="1">
        <v>41632</v>
      </c>
      <c r="I2003">
        <v>36</v>
      </c>
      <c r="J2003">
        <v>4</v>
      </c>
      <c r="K2003">
        <v>2</v>
      </c>
      <c r="L2003">
        <v>5</v>
      </c>
      <c r="M2003">
        <v>2</v>
      </c>
      <c r="N2003">
        <v>0</v>
      </c>
      <c r="O2003">
        <v>0</v>
      </c>
      <c r="P2003">
        <v>1</v>
      </c>
      <c r="Q2003">
        <v>1</v>
      </c>
      <c r="R2003">
        <v>0</v>
      </c>
      <c r="S2003">
        <v>2</v>
      </c>
      <c r="T2003">
        <v>6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3</v>
      </c>
      <c r="AB2003">
        <v>11</v>
      </c>
      <c r="AC2003">
        <v>0</v>
      </c>
    </row>
    <row r="2004" spans="1:29" x14ac:dyDescent="0.3">
      <c r="A2004">
        <v>4023</v>
      </c>
      <c r="B2004">
        <v>1970</v>
      </c>
      <c r="C2004" t="s">
        <v>29</v>
      </c>
      <c r="D2004" t="s">
        <v>33</v>
      </c>
      <c r="E2004">
        <v>22979</v>
      </c>
      <c r="F2004">
        <v>1</v>
      </c>
      <c r="G2004">
        <v>0</v>
      </c>
      <c r="H2004" s="1">
        <v>41158</v>
      </c>
      <c r="I2004">
        <v>29</v>
      </c>
      <c r="J2004">
        <v>16</v>
      </c>
      <c r="K2004">
        <v>17</v>
      </c>
      <c r="L2004">
        <v>19</v>
      </c>
      <c r="M2004">
        <v>20</v>
      </c>
      <c r="N2004">
        <v>21</v>
      </c>
      <c r="O2004">
        <v>22</v>
      </c>
      <c r="P2004">
        <v>3</v>
      </c>
      <c r="Q2004">
        <v>3</v>
      </c>
      <c r="R2004">
        <v>2</v>
      </c>
      <c r="S2004">
        <v>2</v>
      </c>
      <c r="T2004">
        <v>8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3</v>
      </c>
      <c r="AB2004">
        <v>11</v>
      </c>
      <c r="AC2004">
        <v>1</v>
      </c>
    </row>
    <row r="2005" spans="1:29" x14ac:dyDescent="0.3">
      <c r="A2005">
        <v>6679</v>
      </c>
      <c r="B2005">
        <v>1966</v>
      </c>
      <c r="C2005" t="s">
        <v>29</v>
      </c>
      <c r="D2005" t="s">
        <v>30</v>
      </c>
      <c r="E2005">
        <v>33279</v>
      </c>
      <c r="F2005">
        <v>0</v>
      </c>
      <c r="G2005">
        <v>0</v>
      </c>
      <c r="H2005" s="1">
        <v>41802</v>
      </c>
      <c r="I2005">
        <v>29</v>
      </c>
      <c r="J2005">
        <v>10</v>
      </c>
      <c r="K2005">
        <v>3</v>
      </c>
      <c r="L2005">
        <v>3</v>
      </c>
      <c r="M2005">
        <v>0</v>
      </c>
      <c r="N2005">
        <v>0</v>
      </c>
      <c r="O2005">
        <v>0</v>
      </c>
      <c r="P2005">
        <v>1</v>
      </c>
      <c r="Q2005">
        <v>0</v>
      </c>
      <c r="R2005">
        <v>0</v>
      </c>
      <c r="S2005">
        <v>3</v>
      </c>
      <c r="T2005">
        <v>3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3</v>
      </c>
      <c r="AB2005">
        <v>11</v>
      </c>
      <c r="AC2005">
        <v>0</v>
      </c>
    </row>
    <row r="2006" spans="1:29" x14ac:dyDescent="0.3">
      <c r="A2006">
        <v>9923</v>
      </c>
      <c r="B2006">
        <v>1972</v>
      </c>
      <c r="C2006" t="s">
        <v>34</v>
      </c>
      <c r="D2006" t="s">
        <v>30</v>
      </c>
      <c r="E2006">
        <v>46423</v>
      </c>
      <c r="F2006">
        <v>1</v>
      </c>
      <c r="G2006">
        <v>1</v>
      </c>
      <c r="H2006" s="1">
        <v>41535</v>
      </c>
      <c r="I2006">
        <v>6</v>
      </c>
      <c r="J2006">
        <v>68</v>
      </c>
      <c r="K2006">
        <v>0</v>
      </c>
      <c r="L2006">
        <v>16</v>
      </c>
      <c r="M2006">
        <v>0</v>
      </c>
      <c r="N2006">
        <v>0</v>
      </c>
      <c r="O2006">
        <v>8</v>
      </c>
      <c r="P2006">
        <v>3</v>
      </c>
      <c r="Q2006">
        <v>2</v>
      </c>
      <c r="R2006">
        <v>0</v>
      </c>
      <c r="S2006">
        <v>4</v>
      </c>
      <c r="T2006">
        <v>7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3</v>
      </c>
      <c r="AB2006">
        <v>11</v>
      </c>
      <c r="AC2006">
        <v>0</v>
      </c>
    </row>
    <row r="2007" spans="1:29" x14ac:dyDescent="0.3">
      <c r="A2007">
        <v>7181</v>
      </c>
      <c r="B2007">
        <v>1977</v>
      </c>
      <c r="C2007" t="s">
        <v>29</v>
      </c>
      <c r="D2007" t="s">
        <v>33</v>
      </c>
      <c r="E2007">
        <v>30368</v>
      </c>
      <c r="F2007">
        <v>0</v>
      </c>
      <c r="G2007">
        <v>1</v>
      </c>
      <c r="H2007" s="1">
        <v>41585</v>
      </c>
      <c r="I2007">
        <v>97</v>
      </c>
      <c r="J2007">
        <v>35</v>
      </c>
      <c r="K2007">
        <v>0</v>
      </c>
      <c r="L2007">
        <v>13</v>
      </c>
      <c r="M2007">
        <v>2</v>
      </c>
      <c r="N2007">
        <v>0</v>
      </c>
      <c r="O2007">
        <v>2</v>
      </c>
      <c r="P2007">
        <v>2</v>
      </c>
      <c r="Q2007">
        <v>2</v>
      </c>
      <c r="R2007">
        <v>0</v>
      </c>
      <c r="S2007">
        <v>3</v>
      </c>
      <c r="T2007">
        <v>8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3</v>
      </c>
      <c r="AB2007">
        <v>11</v>
      </c>
      <c r="AC2007">
        <v>0</v>
      </c>
    </row>
    <row r="2008" spans="1:29" x14ac:dyDescent="0.3">
      <c r="A2008">
        <v>3599</v>
      </c>
      <c r="B2008">
        <v>1970</v>
      </c>
      <c r="C2008" t="s">
        <v>29</v>
      </c>
      <c r="D2008" t="s">
        <v>33</v>
      </c>
      <c r="E2008">
        <v>63684</v>
      </c>
      <c r="F2008">
        <v>0</v>
      </c>
      <c r="G2008">
        <v>1</v>
      </c>
      <c r="H2008" s="1">
        <v>41239</v>
      </c>
      <c r="I2008">
        <v>61</v>
      </c>
      <c r="J2008">
        <v>575</v>
      </c>
      <c r="K2008">
        <v>80</v>
      </c>
      <c r="L2008">
        <v>428</v>
      </c>
      <c r="M2008">
        <v>208</v>
      </c>
      <c r="N2008">
        <v>93</v>
      </c>
      <c r="O2008">
        <v>80</v>
      </c>
      <c r="P2008">
        <v>3</v>
      </c>
      <c r="Q2008">
        <v>8</v>
      </c>
      <c r="R2008">
        <v>4</v>
      </c>
      <c r="S2008">
        <v>8</v>
      </c>
      <c r="T2008">
        <v>5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3</v>
      </c>
      <c r="AB2008">
        <v>11</v>
      </c>
      <c r="AC2008">
        <v>0</v>
      </c>
    </row>
    <row r="2009" spans="1:29" x14ac:dyDescent="0.3">
      <c r="A2009">
        <v>405</v>
      </c>
      <c r="B2009">
        <v>1964</v>
      </c>
      <c r="C2009" t="s">
        <v>29</v>
      </c>
      <c r="D2009" t="s">
        <v>35</v>
      </c>
      <c r="E2009">
        <v>41638</v>
      </c>
      <c r="F2009">
        <v>0</v>
      </c>
      <c r="G2009">
        <v>1</v>
      </c>
      <c r="H2009" s="1">
        <v>41318</v>
      </c>
      <c r="I2009">
        <v>68</v>
      </c>
      <c r="J2009">
        <v>315</v>
      </c>
      <c r="K2009">
        <v>0</v>
      </c>
      <c r="L2009">
        <v>31</v>
      </c>
      <c r="M2009">
        <v>4</v>
      </c>
      <c r="N2009">
        <v>0</v>
      </c>
      <c r="O2009">
        <v>91</v>
      </c>
      <c r="P2009">
        <v>4</v>
      </c>
      <c r="Q2009">
        <v>5</v>
      </c>
      <c r="R2009">
        <v>5</v>
      </c>
      <c r="S2009">
        <v>3</v>
      </c>
      <c r="T2009">
        <v>8</v>
      </c>
      <c r="U2009">
        <v>1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3</v>
      </c>
      <c r="AB2009">
        <v>11</v>
      </c>
      <c r="AC2009">
        <v>0</v>
      </c>
    </row>
    <row r="2010" spans="1:29" x14ac:dyDescent="0.3">
      <c r="A2010">
        <v>6870</v>
      </c>
      <c r="B2010">
        <v>1959</v>
      </c>
      <c r="C2010" t="s">
        <v>32</v>
      </c>
      <c r="D2010" t="s">
        <v>35</v>
      </c>
      <c r="E2010">
        <v>68805</v>
      </c>
      <c r="F2010">
        <v>0</v>
      </c>
      <c r="G2010">
        <v>1</v>
      </c>
      <c r="H2010" s="1">
        <v>41534</v>
      </c>
      <c r="I2010">
        <v>73</v>
      </c>
      <c r="J2010">
        <v>182</v>
      </c>
      <c r="K2010">
        <v>2</v>
      </c>
      <c r="L2010">
        <v>49</v>
      </c>
      <c r="M2010">
        <v>17</v>
      </c>
      <c r="N2010">
        <v>13</v>
      </c>
      <c r="O2010">
        <v>20</v>
      </c>
      <c r="P2010">
        <v>1</v>
      </c>
      <c r="Q2010">
        <v>3</v>
      </c>
      <c r="R2010">
        <v>1</v>
      </c>
      <c r="S2010">
        <v>7</v>
      </c>
      <c r="T2010">
        <v>2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3</v>
      </c>
      <c r="AB2010">
        <v>11</v>
      </c>
      <c r="AC2010">
        <v>0</v>
      </c>
    </row>
    <row r="2011" spans="1:29" x14ac:dyDescent="0.3">
      <c r="A2011">
        <v>832</v>
      </c>
      <c r="B2011">
        <v>1966</v>
      </c>
      <c r="C2011" t="s">
        <v>32</v>
      </c>
      <c r="D2011" t="s">
        <v>31</v>
      </c>
      <c r="E2011">
        <v>65814</v>
      </c>
      <c r="F2011">
        <v>0</v>
      </c>
      <c r="G2011">
        <v>1</v>
      </c>
      <c r="H2011" s="1">
        <v>41700</v>
      </c>
      <c r="I2011">
        <v>90</v>
      </c>
      <c r="J2011">
        <v>561</v>
      </c>
      <c r="K2011">
        <v>14</v>
      </c>
      <c r="L2011">
        <v>113</v>
      </c>
      <c r="M2011">
        <v>10</v>
      </c>
      <c r="N2011">
        <v>14</v>
      </c>
      <c r="O2011">
        <v>35</v>
      </c>
      <c r="P2011">
        <v>3</v>
      </c>
      <c r="Q2011">
        <v>8</v>
      </c>
      <c r="R2011">
        <v>2</v>
      </c>
      <c r="S2011">
        <v>10</v>
      </c>
      <c r="T2011">
        <v>5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3</v>
      </c>
      <c r="AB2011">
        <v>11</v>
      </c>
      <c r="AC2011">
        <v>0</v>
      </c>
    </row>
    <row r="2012" spans="1:29" x14ac:dyDescent="0.3">
      <c r="A2012">
        <v>2002</v>
      </c>
      <c r="B2012">
        <v>1958</v>
      </c>
      <c r="C2012" t="s">
        <v>29</v>
      </c>
      <c r="D2012" t="s">
        <v>35</v>
      </c>
      <c r="E2012">
        <v>71964</v>
      </c>
      <c r="F2012">
        <v>0</v>
      </c>
      <c r="G2012">
        <v>0</v>
      </c>
      <c r="H2012" s="1">
        <v>41414</v>
      </c>
      <c r="I2012">
        <v>81</v>
      </c>
      <c r="J2012">
        <v>587</v>
      </c>
      <c r="K2012">
        <v>51</v>
      </c>
      <c r="L2012">
        <v>932</v>
      </c>
      <c r="M2012">
        <v>180</v>
      </c>
      <c r="N2012">
        <v>34</v>
      </c>
      <c r="O2012">
        <v>86</v>
      </c>
      <c r="P2012">
        <v>1</v>
      </c>
      <c r="Q2012">
        <v>5</v>
      </c>
      <c r="R2012">
        <v>6</v>
      </c>
      <c r="S2012">
        <v>5</v>
      </c>
      <c r="T2012">
        <v>3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3</v>
      </c>
      <c r="AB2012">
        <v>11</v>
      </c>
      <c r="AC2012">
        <v>0</v>
      </c>
    </row>
    <row r="2013" spans="1:29" x14ac:dyDescent="0.3">
      <c r="A2013">
        <v>3657</v>
      </c>
      <c r="B2013">
        <v>1986</v>
      </c>
      <c r="C2013" t="s">
        <v>29</v>
      </c>
      <c r="D2013" t="s">
        <v>30</v>
      </c>
      <c r="E2013">
        <v>39146</v>
      </c>
      <c r="F2013">
        <v>1</v>
      </c>
      <c r="G2013">
        <v>0</v>
      </c>
      <c r="H2013" s="1">
        <v>41319</v>
      </c>
      <c r="I2013">
        <v>1</v>
      </c>
      <c r="J2013">
        <v>94</v>
      </c>
      <c r="K2013">
        <v>1</v>
      </c>
      <c r="L2013">
        <v>33</v>
      </c>
      <c r="M2013">
        <v>13</v>
      </c>
      <c r="N2013">
        <v>12</v>
      </c>
      <c r="O2013">
        <v>12</v>
      </c>
      <c r="P2013">
        <v>3</v>
      </c>
      <c r="Q2013">
        <v>4</v>
      </c>
      <c r="R2013">
        <v>0</v>
      </c>
      <c r="S2013">
        <v>4</v>
      </c>
      <c r="T2013">
        <v>8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3</v>
      </c>
      <c r="AB2013">
        <v>11</v>
      </c>
      <c r="AC2013">
        <v>0</v>
      </c>
    </row>
    <row r="2014" spans="1:29" x14ac:dyDescent="0.3">
      <c r="A2014">
        <v>500</v>
      </c>
      <c r="B2014">
        <v>1977</v>
      </c>
      <c r="C2014" t="s">
        <v>29</v>
      </c>
      <c r="D2014" t="s">
        <v>31</v>
      </c>
      <c r="E2014">
        <v>96876</v>
      </c>
      <c r="F2014">
        <v>0</v>
      </c>
      <c r="G2014">
        <v>0</v>
      </c>
      <c r="H2014" s="1">
        <v>41492</v>
      </c>
      <c r="I2014">
        <v>79</v>
      </c>
      <c r="J2014">
        <v>908</v>
      </c>
      <c r="K2014">
        <v>43</v>
      </c>
      <c r="L2014">
        <v>735</v>
      </c>
      <c r="M2014">
        <v>40</v>
      </c>
      <c r="N2014">
        <v>194</v>
      </c>
      <c r="O2014">
        <v>21</v>
      </c>
      <c r="P2014">
        <v>1</v>
      </c>
      <c r="Q2014">
        <v>7</v>
      </c>
      <c r="R2014">
        <v>7</v>
      </c>
      <c r="S2014">
        <v>9</v>
      </c>
      <c r="T2014">
        <v>2</v>
      </c>
      <c r="U2014">
        <v>0</v>
      </c>
      <c r="V2014">
        <v>1</v>
      </c>
      <c r="W2014">
        <v>1</v>
      </c>
      <c r="X2014">
        <v>1</v>
      </c>
      <c r="Y2014">
        <v>0</v>
      </c>
      <c r="Z2014">
        <v>0</v>
      </c>
      <c r="AA2014">
        <v>3</v>
      </c>
      <c r="AB2014">
        <v>11</v>
      </c>
      <c r="AC2014">
        <v>1</v>
      </c>
    </row>
    <row r="2015" spans="1:29" x14ac:dyDescent="0.3">
      <c r="A2015">
        <v>1951</v>
      </c>
      <c r="B2015">
        <v>1981</v>
      </c>
      <c r="C2015" t="s">
        <v>36</v>
      </c>
      <c r="D2015" t="s">
        <v>33</v>
      </c>
      <c r="E2015">
        <v>34445</v>
      </c>
      <c r="F2015">
        <v>0</v>
      </c>
      <c r="G2015">
        <v>0</v>
      </c>
      <c r="H2015" s="1">
        <v>41301</v>
      </c>
      <c r="I2015">
        <v>92</v>
      </c>
      <c r="J2015">
        <v>228</v>
      </c>
      <c r="K2015">
        <v>122</v>
      </c>
      <c r="L2015">
        <v>122</v>
      </c>
      <c r="M2015">
        <v>208</v>
      </c>
      <c r="N2015">
        <v>129</v>
      </c>
      <c r="O2015">
        <v>30</v>
      </c>
      <c r="P2015">
        <v>6</v>
      </c>
      <c r="Q2015">
        <v>11</v>
      </c>
      <c r="R2015">
        <v>2</v>
      </c>
      <c r="S2015">
        <v>8</v>
      </c>
      <c r="T2015">
        <v>9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3</v>
      </c>
      <c r="AB2015">
        <v>11</v>
      </c>
      <c r="AC2015">
        <v>0</v>
      </c>
    </row>
    <row r="2016" spans="1:29" x14ac:dyDescent="0.3">
      <c r="A2016">
        <v>3262</v>
      </c>
      <c r="B2016">
        <v>1958</v>
      </c>
      <c r="C2016" t="s">
        <v>29</v>
      </c>
      <c r="D2016" t="s">
        <v>30</v>
      </c>
      <c r="E2016">
        <v>68281</v>
      </c>
      <c r="F2016">
        <v>0</v>
      </c>
      <c r="G2016">
        <v>0</v>
      </c>
      <c r="H2016" s="1">
        <v>41128</v>
      </c>
      <c r="I2016">
        <v>31</v>
      </c>
      <c r="J2016">
        <v>995</v>
      </c>
      <c r="K2016">
        <v>112</v>
      </c>
      <c r="L2016">
        <v>417</v>
      </c>
      <c r="M2016">
        <v>42</v>
      </c>
      <c r="N2016">
        <v>48</v>
      </c>
      <c r="O2016">
        <v>41</v>
      </c>
      <c r="P2016">
        <v>1</v>
      </c>
      <c r="Q2016">
        <v>2</v>
      </c>
      <c r="R2016">
        <v>9</v>
      </c>
      <c r="S2016">
        <v>13</v>
      </c>
      <c r="T2016">
        <v>5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3</v>
      </c>
      <c r="AB2016">
        <v>11</v>
      </c>
      <c r="AC2016">
        <v>1</v>
      </c>
    </row>
    <row r="2017" spans="1:29" x14ac:dyDescent="0.3">
      <c r="A2017">
        <v>4102</v>
      </c>
      <c r="B2017">
        <v>1975</v>
      </c>
      <c r="C2017" t="s">
        <v>37</v>
      </c>
      <c r="D2017" t="s">
        <v>33</v>
      </c>
      <c r="E2017">
        <v>37284</v>
      </c>
      <c r="F2017">
        <v>1</v>
      </c>
      <c r="G2017">
        <v>1</v>
      </c>
      <c r="H2017" s="1">
        <v>41362</v>
      </c>
      <c r="I2017">
        <v>46</v>
      </c>
      <c r="J2017">
        <v>11</v>
      </c>
      <c r="K2017">
        <v>1</v>
      </c>
      <c r="L2017">
        <v>2</v>
      </c>
      <c r="M2017">
        <v>2</v>
      </c>
      <c r="N2017">
        <v>1</v>
      </c>
      <c r="O2017">
        <v>6</v>
      </c>
      <c r="P2017">
        <v>1</v>
      </c>
      <c r="Q2017">
        <v>0</v>
      </c>
      <c r="R2017">
        <v>0</v>
      </c>
      <c r="S2017">
        <v>3</v>
      </c>
      <c r="T2017">
        <v>6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3</v>
      </c>
      <c r="AB2017">
        <v>11</v>
      </c>
      <c r="AC2017">
        <v>0</v>
      </c>
    </row>
    <row r="2018" spans="1:29" x14ac:dyDescent="0.3">
      <c r="A2018">
        <v>7042</v>
      </c>
      <c r="B2018">
        <v>1983</v>
      </c>
      <c r="C2018" t="s">
        <v>29</v>
      </c>
      <c r="D2018" t="s">
        <v>33</v>
      </c>
      <c r="E2018">
        <v>36790</v>
      </c>
      <c r="F2018">
        <v>0</v>
      </c>
      <c r="G2018">
        <v>0</v>
      </c>
      <c r="H2018" s="1">
        <v>41334</v>
      </c>
      <c r="I2018">
        <v>14</v>
      </c>
      <c r="J2018">
        <v>3</v>
      </c>
      <c r="K2018">
        <v>3</v>
      </c>
      <c r="L2018">
        <v>14</v>
      </c>
      <c r="M2018">
        <v>15</v>
      </c>
      <c r="N2018">
        <v>21</v>
      </c>
      <c r="O2018">
        <v>10</v>
      </c>
      <c r="P2018">
        <v>1</v>
      </c>
      <c r="Q2018">
        <v>2</v>
      </c>
      <c r="R2018">
        <v>1</v>
      </c>
      <c r="S2018">
        <v>2</v>
      </c>
      <c r="T2018">
        <v>9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3</v>
      </c>
      <c r="AB2018">
        <v>11</v>
      </c>
      <c r="AC2018">
        <v>1</v>
      </c>
    </row>
    <row r="2019" spans="1:29" x14ac:dyDescent="0.3">
      <c r="A2019">
        <v>10598</v>
      </c>
      <c r="B2019">
        <v>1967</v>
      </c>
      <c r="C2019" t="s">
        <v>29</v>
      </c>
      <c r="D2019" t="s">
        <v>31</v>
      </c>
      <c r="E2019">
        <v>27943</v>
      </c>
      <c r="F2019">
        <v>1</v>
      </c>
      <c r="G2019">
        <v>1</v>
      </c>
      <c r="H2019" s="1">
        <v>41379</v>
      </c>
      <c r="I2019">
        <v>89</v>
      </c>
      <c r="J2019">
        <v>12</v>
      </c>
      <c r="K2019">
        <v>1</v>
      </c>
      <c r="L2019">
        <v>16</v>
      </c>
      <c r="M2019">
        <v>4</v>
      </c>
      <c r="N2019">
        <v>1</v>
      </c>
      <c r="O2019">
        <v>3</v>
      </c>
      <c r="P2019">
        <v>3</v>
      </c>
      <c r="Q2019">
        <v>2</v>
      </c>
      <c r="R2019">
        <v>0</v>
      </c>
      <c r="S2019">
        <v>3</v>
      </c>
      <c r="T2019">
        <v>8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3</v>
      </c>
      <c r="AB2019">
        <v>11</v>
      </c>
      <c r="AC2019">
        <v>0</v>
      </c>
    </row>
    <row r="2020" spans="1:29" x14ac:dyDescent="0.3">
      <c r="A2020">
        <v>255</v>
      </c>
      <c r="B2020">
        <v>1951</v>
      </c>
      <c r="C2020" t="s">
        <v>29</v>
      </c>
      <c r="D2020" t="s">
        <v>35</v>
      </c>
      <c r="E2020">
        <v>22263</v>
      </c>
      <c r="F2020">
        <v>1</v>
      </c>
      <c r="G2020">
        <v>1</v>
      </c>
      <c r="H2020" s="1">
        <v>41728</v>
      </c>
      <c r="I2020">
        <v>31</v>
      </c>
      <c r="J2020">
        <v>17</v>
      </c>
      <c r="K2020">
        <v>0</v>
      </c>
      <c r="L2020">
        <v>2</v>
      </c>
      <c r="M2020">
        <v>0</v>
      </c>
      <c r="N2020">
        <v>0</v>
      </c>
      <c r="O2020">
        <v>2</v>
      </c>
      <c r="P2020">
        <v>2</v>
      </c>
      <c r="Q2020">
        <v>1</v>
      </c>
      <c r="R2020">
        <v>0</v>
      </c>
      <c r="S2020">
        <v>3</v>
      </c>
      <c r="T2020">
        <v>6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1</v>
      </c>
      <c r="AA2020">
        <v>3</v>
      </c>
      <c r="AB2020">
        <v>11</v>
      </c>
      <c r="AC2020">
        <v>0</v>
      </c>
    </row>
    <row r="2021" spans="1:29" x14ac:dyDescent="0.3">
      <c r="A2021">
        <v>2375</v>
      </c>
      <c r="B2021">
        <v>1972</v>
      </c>
      <c r="C2021" t="s">
        <v>29</v>
      </c>
      <c r="D2021" t="s">
        <v>31</v>
      </c>
      <c r="E2021">
        <v>30261</v>
      </c>
      <c r="F2021">
        <v>1</v>
      </c>
      <c r="G2021">
        <v>2</v>
      </c>
      <c r="H2021" s="1">
        <v>41177</v>
      </c>
      <c r="I2021">
        <v>75</v>
      </c>
      <c r="J2021">
        <v>8</v>
      </c>
      <c r="K2021">
        <v>0</v>
      </c>
      <c r="L2021">
        <v>5</v>
      </c>
      <c r="M2021">
        <v>0</v>
      </c>
      <c r="N2021">
        <v>3</v>
      </c>
      <c r="O2021">
        <v>6</v>
      </c>
      <c r="P2021">
        <v>1</v>
      </c>
      <c r="Q2021">
        <v>0</v>
      </c>
      <c r="R2021">
        <v>0</v>
      </c>
      <c r="S2021">
        <v>3</v>
      </c>
      <c r="T2021">
        <v>8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3</v>
      </c>
      <c r="AB2021">
        <v>11</v>
      </c>
      <c r="AC2021">
        <v>0</v>
      </c>
    </row>
    <row r="2022" spans="1:29" x14ac:dyDescent="0.3">
      <c r="A2022">
        <v>9829</v>
      </c>
      <c r="B2022">
        <v>1978</v>
      </c>
      <c r="C2022" t="s">
        <v>29</v>
      </c>
      <c r="D2022" t="s">
        <v>31</v>
      </c>
      <c r="E2022">
        <v>28587</v>
      </c>
      <c r="F2022">
        <v>1</v>
      </c>
      <c r="G2022">
        <v>0</v>
      </c>
      <c r="H2022" s="1">
        <v>41682</v>
      </c>
      <c r="I2022">
        <v>42</v>
      </c>
      <c r="J2022">
        <v>22</v>
      </c>
      <c r="K2022">
        <v>4</v>
      </c>
      <c r="L2022">
        <v>17</v>
      </c>
      <c r="M2022">
        <v>12</v>
      </c>
      <c r="N2022">
        <v>10</v>
      </c>
      <c r="O2022">
        <v>13</v>
      </c>
      <c r="P2022">
        <v>3</v>
      </c>
      <c r="Q2022">
        <v>2</v>
      </c>
      <c r="R2022">
        <v>0</v>
      </c>
      <c r="S2022">
        <v>4</v>
      </c>
      <c r="T2022">
        <v>6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3</v>
      </c>
      <c r="AB2022">
        <v>11</v>
      </c>
      <c r="AC2022">
        <v>0</v>
      </c>
    </row>
    <row r="2023" spans="1:29" x14ac:dyDescent="0.3">
      <c r="A2023">
        <v>6214</v>
      </c>
      <c r="B2023">
        <v>1982</v>
      </c>
      <c r="C2023" t="s">
        <v>34</v>
      </c>
      <c r="D2023" t="s">
        <v>33</v>
      </c>
      <c r="E2023">
        <v>43815</v>
      </c>
      <c r="F2023">
        <v>1</v>
      </c>
      <c r="G2023">
        <v>0</v>
      </c>
      <c r="H2023" s="1">
        <v>41369</v>
      </c>
      <c r="I2023">
        <v>53</v>
      </c>
      <c r="J2023">
        <v>14</v>
      </c>
      <c r="K2023">
        <v>10</v>
      </c>
      <c r="L2023">
        <v>29</v>
      </c>
      <c r="M2023">
        <v>4</v>
      </c>
      <c r="N2023">
        <v>7</v>
      </c>
      <c r="O2023">
        <v>15</v>
      </c>
      <c r="P2023">
        <v>1</v>
      </c>
      <c r="Q2023">
        <v>2</v>
      </c>
      <c r="R2023">
        <v>0</v>
      </c>
      <c r="S2023">
        <v>3</v>
      </c>
      <c r="T2023">
        <v>6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3</v>
      </c>
      <c r="AB2023">
        <v>11</v>
      </c>
      <c r="AC2023">
        <v>0</v>
      </c>
    </row>
    <row r="2024" spans="1:29" x14ac:dyDescent="0.3">
      <c r="A2024">
        <v>4954</v>
      </c>
      <c r="B2024">
        <v>1956</v>
      </c>
      <c r="C2024" t="s">
        <v>29</v>
      </c>
      <c r="D2024" t="s">
        <v>33</v>
      </c>
      <c r="E2024">
        <v>48195</v>
      </c>
      <c r="F2024">
        <v>1</v>
      </c>
      <c r="G2024">
        <v>1</v>
      </c>
      <c r="H2024" s="1">
        <v>41660</v>
      </c>
      <c r="I2024">
        <v>53</v>
      </c>
      <c r="J2024">
        <v>106</v>
      </c>
      <c r="K2024">
        <v>27</v>
      </c>
      <c r="L2024">
        <v>68</v>
      </c>
      <c r="M2024">
        <v>52</v>
      </c>
      <c r="N2024">
        <v>7</v>
      </c>
      <c r="O2024">
        <v>5</v>
      </c>
      <c r="P2024">
        <v>6</v>
      </c>
      <c r="Q2024">
        <v>4</v>
      </c>
      <c r="R2024">
        <v>2</v>
      </c>
      <c r="S2024">
        <v>5</v>
      </c>
      <c r="T2024">
        <v>6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3</v>
      </c>
      <c r="AB2024">
        <v>11</v>
      </c>
      <c r="AC2024">
        <v>0</v>
      </c>
    </row>
    <row r="2025" spans="1:29" x14ac:dyDescent="0.3">
      <c r="A2025">
        <v>7861</v>
      </c>
      <c r="B2025">
        <v>1952</v>
      </c>
      <c r="C2025" t="s">
        <v>34</v>
      </c>
      <c r="D2025" t="s">
        <v>33</v>
      </c>
      <c r="E2025">
        <v>77027</v>
      </c>
      <c r="F2025">
        <v>0</v>
      </c>
      <c r="G2025">
        <v>1</v>
      </c>
      <c r="H2025" s="1">
        <v>41675</v>
      </c>
      <c r="I2025">
        <v>23</v>
      </c>
      <c r="J2025">
        <v>820</v>
      </c>
      <c r="K2025">
        <v>57</v>
      </c>
      <c r="L2025">
        <v>242</v>
      </c>
      <c r="M2025">
        <v>45</v>
      </c>
      <c r="N2025">
        <v>0</v>
      </c>
      <c r="O2025">
        <v>11</v>
      </c>
      <c r="P2025">
        <v>2</v>
      </c>
      <c r="Q2025">
        <v>8</v>
      </c>
      <c r="R2025">
        <v>3</v>
      </c>
      <c r="S2025">
        <v>6</v>
      </c>
      <c r="T2025">
        <v>4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3</v>
      </c>
      <c r="AB2025">
        <v>11</v>
      </c>
      <c r="AC2025">
        <v>0</v>
      </c>
    </row>
    <row r="2026" spans="1:29" x14ac:dyDescent="0.3">
      <c r="A2026">
        <v>4837</v>
      </c>
      <c r="B2026">
        <v>1965</v>
      </c>
      <c r="C2026" t="s">
        <v>32</v>
      </c>
      <c r="D2026" t="s">
        <v>33</v>
      </c>
      <c r="E2026">
        <v>71322</v>
      </c>
      <c r="F2026">
        <v>0</v>
      </c>
      <c r="G2026">
        <v>1</v>
      </c>
      <c r="H2026" s="1">
        <v>41321</v>
      </c>
      <c r="I2026">
        <v>57</v>
      </c>
      <c r="J2026">
        <v>753</v>
      </c>
      <c r="K2026">
        <v>43</v>
      </c>
      <c r="L2026">
        <v>226</v>
      </c>
      <c r="M2026">
        <v>69</v>
      </c>
      <c r="N2026">
        <v>10</v>
      </c>
      <c r="O2026">
        <v>204</v>
      </c>
      <c r="P2026">
        <v>2</v>
      </c>
      <c r="Q2026">
        <v>8</v>
      </c>
      <c r="R2026">
        <v>5</v>
      </c>
      <c r="S2026">
        <v>13</v>
      </c>
      <c r="T2026">
        <v>4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3</v>
      </c>
      <c r="AB2026">
        <v>11</v>
      </c>
      <c r="AC2026">
        <v>0</v>
      </c>
    </row>
    <row r="2027" spans="1:29" x14ac:dyDescent="0.3">
      <c r="A2027">
        <v>9423</v>
      </c>
      <c r="B2027">
        <v>1979</v>
      </c>
      <c r="C2027" t="s">
        <v>34</v>
      </c>
      <c r="D2027" t="s">
        <v>33</v>
      </c>
      <c r="E2027">
        <v>32765</v>
      </c>
      <c r="F2027">
        <v>1</v>
      </c>
      <c r="G2027">
        <v>0</v>
      </c>
      <c r="H2027" s="1">
        <v>41693</v>
      </c>
      <c r="I2027">
        <v>49</v>
      </c>
      <c r="J2027">
        <v>13</v>
      </c>
      <c r="K2027">
        <v>3</v>
      </c>
      <c r="L2027">
        <v>17</v>
      </c>
      <c r="M2027">
        <v>7</v>
      </c>
      <c r="N2027">
        <v>3</v>
      </c>
      <c r="O2027">
        <v>3</v>
      </c>
      <c r="P2027">
        <v>2</v>
      </c>
      <c r="Q2027">
        <v>2</v>
      </c>
      <c r="R2027">
        <v>0</v>
      </c>
      <c r="S2027">
        <v>4</v>
      </c>
      <c r="T2027">
        <v>5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3</v>
      </c>
      <c r="AB2027">
        <v>11</v>
      </c>
      <c r="AC2027">
        <v>0</v>
      </c>
    </row>
    <row r="2028" spans="1:29" x14ac:dyDescent="0.3">
      <c r="A2028">
        <v>4198</v>
      </c>
      <c r="B2028">
        <v>1965</v>
      </c>
      <c r="C2028" t="s">
        <v>29</v>
      </c>
      <c r="D2028" t="s">
        <v>31</v>
      </c>
      <c r="E2028">
        <v>29672</v>
      </c>
      <c r="F2028">
        <v>1</v>
      </c>
      <c r="G2028">
        <v>1</v>
      </c>
      <c r="H2028" s="1">
        <v>41345</v>
      </c>
      <c r="I2028">
        <v>6</v>
      </c>
      <c r="J2028">
        <v>9</v>
      </c>
      <c r="K2028">
        <v>1</v>
      </c>
      <c r="L2028">
        <v>3</v>
      </c>
      <c r="M2028">
        <v>0</v>
      </c>
      <c r="N2028">
        <v>4</v>
      </c>
      <c r="O2028">
        <v>8</v>
      </c>
      <c r="P2028">
        <v>1</v>
      </c>
      <c r="Q2028">
        <v>0</v>
      </c>
      <c r="R2028">
        <v>0</v>
      </c>
      <c r="S2028">
        <v>3</v>
      </c>
      <c r="T2028">
        <v>6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3</v>
      </c>
      <c r="AB2028">
        <v>11</v>
      </c>
      <c r="AC2028">
        <v>0</v>
      </c>
    </row>
    <row r="2029" spans="1:29" x14ac:dyDescent="0.3">
      <c r="A2029">
        <v>153</v>
      </c>
      <c r="B2029">
        <v>1953</v>
      </c>
      <c r="C2029" t="s">
        <v>29</v>
      </c>
      <c r="D2029" t="s">
        <v>35</v>
      </c>
      <c r="E2029">
        <v>23272</v>
      </c>
      <c r="F2029">
        <v>0</v>
      </c>
      <c r="G2029">
        <v>0</v>
      </c>
      <c r="H2029" s="1">
        <v>41564</v>
      </c>
      <c r="I2029">
        <v>29</v>
      </c>
      <c r="J2029">
        <v>19</v>
      </c>
      <c r="K2029">
        <v>3</v>
      </c>
      <c r="L2029">
        <v>6</v>
      </c>
      <c r="M2029">
        <v>4</v>
      </c>
      <c r="N2029">
        <v>2</v>
      </c>
      <c r="O2029">
        <v>12</v>
      </c>
      <c r="P2029">
        <v>1</v>
      </c>
      <c r="Q2029">
        <v>1</v>
      </c>
      <c r="R2029">
        <v>0</v>
      </c>
      <c r="S2029">
        <v>3</v>
      </c>
      <c r="T2029">
        <v>4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3</v>
      </c>
      <c r="AB2029">
        <v>11</v>
      </c>
      <c r="AC2029">
        <v>0</v>
      </c>
    </row>
    <row r="2030" spans="1:29" x14ac:dyDescent="0.3">
      <c r="A2030">
        <v>9323</v>
      </c>
      <c r="B2030">
        <v>1949</v>
      </c>
      <c r="C2030" t="s">
        <v>34</v>
      </c>
      <c r="D2030" t="s">
        <v>31</v>
      </c>
      <c r="E2030">
        <v>49912</v>
      </c>
      <c r="F2030">
        <v>0</v>
      </c>
      <c r="G2030">
        <v>1</v>
      </c>
      <c r="H2030" s="1">
        <v>41159</v>
      </c>
      <c r="I2030">
        <v>5</v>
      </c>
      <c r="J2030">
        <v>520</v>
      </c>
      <c r="K2030">
        <v>8</v>
      </c>
      <c r="L2030">
        <v>223</v>
      </c>
      <c r="M2030">
        <v>32</v>
      </c>
      <c r="N2030">
        <v>49</v>
      </c>
      <c r="O2030">
        <v>42</v>
      </c>
      <c r="P2030">
        <v>4</v>
      </c>
      <c r="Q2030">
        <v>10</v>
      </c>
      <c r="R2030">
        <v>5</v>
      </c>
      <c r="S2030">
        <v>7</v>
      </c>
      <c r="T2030">
        <v>8</v>
      </c>
      <c r="U2030">
        <v>1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3</v>
      </c>
      <c r="AB2030">
        <v>11</v>
      </c>
      <c r="AC2030">
        <v>1</v>
      </c>
    </row>
    <row r="2031" spans="1:29" x14ac:dyDescent="0.3">
      <c r="A2031">
        <v>10001</v>
      </c>
      <c r="B2031">
        <v>1985</v>
      </c>
      <c r="C2031" t="s">
        <v>37</v>
      </c>
      <c r="D2031" t="s">
        <v>31</v>
      </c>
      <c r="E2031">
        <v>7500</v>
      </c>
      <c r="F2031">
        <v>1</v>
      </c>
      <c r="G2031">
        <v>0</v>
      </c>
      <c r="H2031" s="1">
        <v>41122</v>
      </c>
      <c r="I2031">
        <v>98</v>
      </c>
      <c r="J2031">
        <v>5</v>
      </c>
      <c r="K2031">
        <v>17</v>
      </c>
      <c r="L2031">
        <v>17</v>
      </c>
      <c r="M2031">
        <v>13</v>
      </c>
      <c r="N2031">
        <v>14</v>
      </c>
      <c r="O2031">
        <v>34</v>
      </c>
      <c r="P2031">
        <v>4</v>
      </c>
      <c r="Q2031">
        <v>2</v>
      </c>
      <c r="R2031">
        <v>1</v>
      </c>
      <c r="S2031">
        <v>3</v>
      </c>
      <c r="T2031">
        <v>9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3</v>
      </c>
      <c r="AB2031">
        <v>11</v>
      </c>
      <c r="AC2031">
        <v>0</v>
      </c>
    </row>
    <row r="2032" spans="1:29" x14ac:dyDescent="0.3">
      <c r="A2032">
        <v>3945</v>
      </c>
      <c r="B2032">
        <v>1947</v>
      </c>
      <c r="C2032" t="s">
        <v>32</v>
      </c>
      <c r="D2032" t="s">
        <v>38</v>
      </c>
      <c r="E2032">
        <v>68117</v>
      </c>
      <c r="F2032">
        <v>0</v>
      </c>
      <c r="G2032">
        <v>1</v>
      </c>
      <c r="H2032" s="1">
        <v>41343</v>
      </c>
      <c r="I2032">
        <v>80</v>
      </c>
      <c r="J2032">
        <v>618</v>
      </c>
      <c r="K2032">
        <v>44</v>
      </c>
      <c r="L2032">
        <v>215</v>
      </c>
      <c r="M2032">
        <v>0</v>
      </c>
      <c r="N2032">
        <v>17</v>
      </c>
      <c r="O2032">
        <v>36</v>
      </c>
      <c r="P2032">
        <v>2</v>
      </c>
      <c r="Q2032">
        <v>11</v>
      </c>
      <c r="R2032">
        <v>8</v>
      </c>
      <c r="S2032">
        <v>4</v>
      </c>
      <c r="T2032">
        <v>6</v>
      </c>
      <c r="U2032">
        <v>1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3</v>
      </c>
      <c r="AB2032">
        <v>11</v>
      </c>
      <c r="AC2032">
        <v>1</v>
      </c>
    </row>
    <row r="2033" spans="1:29" x14ac:dyDescent="0.3">
      <c r="A2033">
        <v>3799</v>
      </c>
      <c r="B2033">
        <v>1955</v>
      </c>
      <c r="C2033" t="s">
        <v>29</v>
      </c>
      <c r="D2033" t="s">
        <v>33</v>
      </c>
      <c r="E2033">
        <v>67225</v>
      </c>
      <c r="F2033">
        <v>0</v>
      </c>
      <c r="G2033">
        <v>1</v>
      </c>
      <c r="H2033" s="1">
        <v>41604</v>
      </c>
      <c r="I2033">
        <v>4</v>
      </c>
      <c r="J2033">
        <v>315</v>
      </c>
      <c r="K2033">
        <v>35</v>
      </c>
      <c r="L2033">
        <v>322</v>
      </c>
      <c r="M2033">
        <v>46</v>
      </c>
      <c r="N2033">
        <v>7</v>
      </c>
      <c r="O2033">
        <v>143</v>
      </c>
      <c r="P2033">
        <v>3</v>
      </c>
      <c r="Q2033">
        <v>7</v>
      </c>
      <c r="R2033">
        <v>2</v>
      </c>
      <c r="S2033">
        <v>11</v>
      </c>
      <c r="T2033">
        <v>5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3</v>
      </c>
      <c r="AB2033">
        <v>11</v>
      </c>
      <c r="AC2033">
        <v>0</v>
      </c>
    </row>
    <row r="2034" spans="1:29" x14ac:dyDescent="0.3">
      <c r="A2034">
        <v>8625</v>
      </c>
      <c r="B2034">
        <v>1976</v>
      </c>
      <c r="C2034" t="s">
        <v>29</v>
      </c>
      <c r="D2034" t="s">
        <v>33</v>
      </c>
      <c r="E2034">
        <v>17649</v>
      </c>
      <c r="F2034">
        <v>1</v>
      </c>
      <c r="G2034">
        <v>0</v>
      </c>
      <c r="H2034" s="1">
        <v>41590</v>
      </c>
      <c r="I2034">
        <v>70</v>
      </c>
      <c r="J2034">
        <v>15</v>
      </c>
      <c r="K2034">
        <v>1</v>
      </c>
      <c r="L2034">
        <v>23</v>
      </c>
      <c r="M2034">
        <v>0</v>
      </c>
      <c r="N2034">
        <v>5</v>
      </c>
      <c r="O2034">
        <v>1</v>
      </c>
      <c r="P2034">
        <v>3</v>
      </c>
      <c r="Q2034">
        <v>3</v>
      </c>
      <c r="R2034">
        <v>0</v>
      </c>
      <c r="S2034">
        <v>3</v>
      </c>
      <c r="T2034">
        <v>8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3</v>
      </c>
      <c r="AB2034">
        <v>11</v>
      </c>
      <c r="AC2034">
        <v>0</v>
      </c>
    </row>
    <row r="2035" spans="1:29" x14ac:dyDescent="0.3">
      <c r="A2035">
        <v>3491</v>
      </c>
      <c r="B2035">
        <v>1975</v>
      </c>
      <c r="C2035" t="s">
        <v>29</v>
      </c>
      <c r="D2035" t="s">
        <v>31</v>
      </c>
      <c r="E2035">
        <v>55914</v>
      </c>
      <c r="F2035">
        <v>0</v>
      </c>
      <c r="G2035">
        <v>1</v>
      </c>
      <c r="H2035" s="1">
        <v>41393</v>
      </c>
      <c r="I2035">
        <v>32</v>
      </c>
      <c r="J2035">
        <v>384</v>
      </c>
      <c r="K2035">
        <v>60</v>
      </c>
      <c r="L2035">
        <v>364</v>
      </c>
      <c r="M2035">
        <v>119</v>
      </c>
      <c r="N2035">
        <v>101</v>
      </c>
      <c r="O2035">
        <v>232</v>
      </c>
      <c r="P2035">
        <v>4</v>
      </c>
      <c r="Q2035">
        <v>11</v>
      </c>
      <c r="R2035">
        <v>6</v>
      </c>
      <c r="S2035">
        <v>8</v>
      </c>
      <c r="T2035">
        <v>7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3</v>
      </c>
      <c r="AB2035">
        <v>11</v>
      </c>
      <c r="AC2035">
        <v>0</v>
      </c>
    </row>
    <row r="2036" spans="1:29" x14ac:dyDescent="0.3">
      <c r="A2036">
        <v>983</v>
      </c>
      <c r="B2036">
        <v>1984</v>
      </c>
      <c r="C2036" t="s">
        <v>29</v>
      </c>
      <c r="D2036" t="s">
        <v>33</v>
      </c>
      <c r="E2036">
        <v>40059</v>
      </c>
      <c r="F2036">
        <v>1</v>
      </c>
      <c r="G2036">
        <v>0</v>
      </c>
      <c r="H2036" s="1">
        <v>41545</v>
      </c>
      <c r="I2036">
        <v>82</v>
      </c>
      <c r="J2036">
        <v>110</v>
      </c>
      <c r="K2036">
        <v>29</v>
      </c>
      <c r="L2036">
        <v>92</v>
      </c>
      <c r="M2036">
        <v>28</v>
      </c>
      <c r="N2036">
        <v>10</v>
      </c>
      <c r="O2036">
        <v>145</v>
      </c>
      <c r="P2036">
        <v>1</v>
      </c>
      <c r="Q2036">
        <v>6</v>
      </c>
      <c r="R2036">
        <v>2</v>
      </c>
      <c r="S2036">
        <v>3</v>
      </c>
      <c r="T2036">
        <v>8</v>
      </c>
      <c r="U2036">
        <v>1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3</v>
      </c>
      <c r="AB2036">
        <v>11</v>
      </c>
      <c r="AC2036">
        <v>0</v>
      </c>
    </row>
    <row r="2037" spans="1:29" x14ac:dyDescent="0.3">
      <c r="A2037">
        <v>9119</v>
      </c>
      <c r="B2037">
        <v>1950</v>
      </c>
      <c r="C2037" t="s">
        <v>29</v>
      </c>
      <c r="D2037" t="s">
        <v>31</v>
      </c>
      <c r="E2037">
        <v>60905</v>
      </c>
      <c r="F2037">
        <v>0</v>
      </c>
      <c r="G2037">
        <v>1</v>
      </c>
      <c r="H2037" s="1">
        <v>41613</v>
      </c>
      <c r="I2037">
        <v>27</v>
      </c>
      <c r="J2037">
        <v>208</v>
      </c>
      <c r="K2037">
        <v>17</v>
      </c>
      <c r="L2037">
        <v>76</v>
      </c>
      <c r="M2037">
        <v>36</v>
      </c>
      <c r="N2037">
        <v>17</v>
      </c>
      <c r="O2037">
        <v>38</v>
      </c>
      <c r="P2037">
        <v>2</v>
      </c>
      <c r="Q2037">
        <v>3</v>
      </c>
      <c r="R2037">
        <v>3</v>
      </c>
      <c r="S2037">
        <v>7</v>
      </c>
      <c r="T2037">
        <v>2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3</v>
      </c>
      <c r="AB2037">
        <v>11</v>
      </c>
      <c r="AC2037">
        <v>0</v>
      </c>
    </row>
    <row r="2038" spans="1:29" x14ac:dyDescent="0.3">
      <c r="A2038">
        <v>4786</v>
      </c>
      <c r="B2038">
        <v>1977</v>
      </c>
      <c r="C2038" t="s">
        <v>29</v>
      </c>
      <c r="D2038" t="s">
        <v>33</v>
      </c>
      <c r="E2038">
        <v>75330</v>
      </c>
      <c r="F2038">
        <v>1</v>
      </c>
      <c r="G2038">
        <v>1</v>
      </c>
      <c r="H2038" s="1">
        <v>41186</v>
      </c>
      <c r="I2038">
        <v>94</v>
      </c>
      <c r="J2038">
        <v>555</v>
      </c>
      <c r="K2038">
        <v>82</v>
      </c>
      <c r="L2038">
        <v>257</v>
      </c>
      <c r="M2038">
        <v>93</v>
      </c>
      <c r="N2038">
        <v>61</v>
      </c>
      <c r="O2038">
        <v>61</v>
      </c>
      <c r="P2038">
        <v>4</v>
      </c>
      <c r="Q2038">
        <v>10</v>
      </c>
      <c r="R2038">
        <v>3</v>
      </c>
      <c r="S2038">
        <v>12</v>
      </c>
      <c r="T2038">
        <v>6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3</v>
      </c>
      <c r="AB2038">
        <v>11</v>
      </c>
      <c r="AC2038">
        <v>0</v>
      </c>
    </row>
    <row r="2039" spans="1:29" x14ac:dyDescent="0.3">
      <c r="A2039">
        <v>5872</v>
      </c>
      <c r="B2039">
        <v>1951</v>
      </c>
      <c r="C2039" t="s">
        <v>29</v>
      </c>
      <c r="D2039" t="s">
        <v>30</v>
      </c>
      <c r="E2039">
        <v>60689</v>
      </c>
      <c r="F2039">
        <v>0</v>
      </c>
      <c r="G2039">
        <v>1</v>
      </c>
      <c r="H2039" s="1">
        <v>41426</v>
      </c>
      <c r="I2039">
        <v>23</v>
      </c>
      <c r="J2039">
        <v>240</v>
      </c>
      <c r="K2039">
        <v>90</v>
      </c>
      <c r="L2039">
        <v>216</v>
      </c>
      <c r="M2039">
        <v>63</v>
      </c>
      <c r="N2039">
        <v>6</v>
      </c>
      <c r="O2039">
        <v>24</v>
      </c>
      <c r="P2039">
        <v>4</v>
      </c>
      <c r="Q2039">
        <v>4</v>
      </c>
      <c r="R2039">
        <v>4</v>
      </c>
      <c r="S2039">
        <v>10</v>
      </c>
      <c r="T2039">
        <v>3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3</v>
      </c>
      <c r="AB2039">
        <v>11</v>
      </c>
      <c r="AC2039">
        <v>0</v>
      </c>
    </row>
    <row r="2040" spans="1:29" x14ac:dyDescent="0.3">
      <c r="A2040">
        <v>6568</v>
      </c>
      <c r="B2040">
        <v>1984</v>
      </c>
      <c r="C2040" t="s">
        <v>29</v>
      </c>
      <c r="D2040" t="s">
        <v>33</v>
      </c>
      <c r="E2040">
        <v>38680</v>
      </c>
      <c r="F2040">
        <v>1</v>
      </c>
      <c r="G2040">
        <v>0</v>
      </c>
      <c r="H2040" s="1">
        <v>41361</v>
      </c>
      <c r="I2040">
        <v>97</v>
      </c>
      <c r="J2040">
        <v>11</v>
      </c>
      <c r="K2040">
        <v>0</v>
      </c>
      <c r="L2040">
        <v>36</v>
      </c>
      <c r="M2040">
        <v>15</v>
      </c>
      <c r="N2040">
        <v>5</v>
      </c>
      <c r="O2040">
        <v>12</v>
      </c>
      <c r="P2040">
        <v>1</v>
      </c>
      <c r="Q2040">
        <v>2</v>
      </c>
      <c r="R2040">
        <v>0</v>
      </c>
      <c r="S2040">
        <v>3</v>
      </c>
      <c r="T2040">
        <v>7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3</v>
      </c>
      <c r="AB2040">
        <v>11</v>
      </c>
      <c r="AC2040">
        <v>0</v>
      </c>
    </row>
    <row r="2041" spans="1:29" x14ac:dyDescent="0.3">
      <c r="A2041">
        <v>5628</v>
      </c>
      <c r="B2041">
        <v>1982</v>
      </c>
      <c r="C2041" t="s">
        <v>29</v>
      </c>
      <c r="D2041" t="s">
        <v>31</v>
      </c>
      <c r="E2041">
        <v>61416</v>
      </c>
      <c r="F2041">
        <v>0</v>
      </c>
      <c r="G2041">
        <v>0</v>
      </c>
      <c r="H2041" s="1">
        <v>41313</v>
      </c>
      <c r="I2041">
        <v>25</v>
      </c>
      <c r="J2041">
        <v>848</v>
      </c>
      <c r="K2041">
        <v>154</v>
      </c>
      <c r="L2041">
        <v>323</v>
      </c>
      <c r="M2041">
        <v>201</v>
      </c>
      <c r="N2041">
        <v>61</v>
      </c>
      <c r="O2041">
        <v>78</v>
      </c>
      <c r="P2041">
        <v>1</v>
      </c>
      <c r="Q2041">
        <v>10</v>
      </c>
      <c r="R2041">
        <v>3</v>
      </c>
      <c r="S2041">
        <v>10</v>
      </c>
      <c r="T2041">
        <v>6</v>
      </c>
      <c r="U2041">
        <v>1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3</v>
      </c>
      <c r="AB2041">
        <v>11</v>
      </c>
      <c r="AC2041">
        <v>0</v>
      </c>
    </row>
    <row r="2042" spans="1:29" x14ac:dyDescent="0.3">
      <c r="A2042">
        <v>5631</v>
      </c>
      <c r="B2042">
        <v>1991</v>
      </c>
      <c r="C2042" t="s">
        <v>29</v>
      </c>
      <c r="D2042" t="s">
        <v>30</v>
      </c>
      <c r="E2042">
        <v>49767</v>
      </c>
      <c r="F2042">
        <v>0</v>
      </c>
      <c r="G2042">
        <v>0</v>
      </c>
      <c r="H2042" s="1">
        <v>41396</v>
      </c>
      <c r="I2042">
        <v>92</v>
      </c>
      <c r="J2042">
        <v>202</v>
      </c>
      <c r="K2042">
        <v>47</v>
      </c>
      <c r="L2042">
        <v>197</v>
      </c>
      <c r="M2042">
        <v>55</v>
      </c>
      <c r="N2042">
        <v>42</v>
      </c>
      <c r="O2042">
        <v>149</v>
      </c>
      <c r="P2042">
        <v>1</v>
      </c>
      <c r="Q2042">
        <v>5</v>
      </c>
      <c r="R2042">
        <v>4</v>
      </c>
      <c r="S2042">
        <v>8</v>
      </c>
      <c r="T2042">
        <v>4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3</v>
      </c>
      <c r="AB2042">
        <v>11</v>
      </c>
      <c r="AC2042">
        <v>0</v>
      </c>
    </row>
    <row r="2043" spans="1:29" x14ac:dyDescent="0.3">
      <c r="A2043">
        <v>4974</v>
      </c>
      <c r="B2043">
        <v>1970</v>
      </c>
      <c r="C2043" t="s">
        <v>29</v>
      </c>
      <c r="D2043" t="s">
        <v>30</v>
      </c>
      <c r="E2043">
        <v>83273</v>
      </c>
      <c r="F2043">
        <v>1</v>
      </c>
      <c r="G2043">
        <v>2</v>
      </c>
      <c r="H2043" s="1">
        <v>41177</v>
      </c>
      <c r="I2043">
        <v>98</v>
      </c>
      <c r="J2043">
        <v>433</v>
      </c>
      <c r="K2043">
        <v>89</v>
      </c>
      <c r="L2043">
        <v>650</v>
      </c>
      <c r="M2043">
        <v>16</v>
      </c>
      <c r="N2043">
        <v>102</v>
      </c>
      <c r="O2043">
        <v>102</v>
      </c>
      <c r="P2043">
        <v>10</v>
      </c>
      <c r="Q2043">
        <v>4</v>
      </c>
      <c r="R2043">
        <v>6</v>
      </c>
      <c r="S2043">
        <v>9</v>
      </c>
      <c r="T2043">
        <v>7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3</v>
      </c>
      <c r="AB2043">
        <v>11</v>
      </c>
      <c r="AC2043">
        <v>0</v>
      </c>
    </row>
    <row r="2044" spans="1:29" x14ac:dyDescent="0.3">
      <c r="A2044">
        <v>8416</v>
      </c>
      <c r="B2044">
        <v>1981</v>
      </c>
      <c r="C2044" t="s">
        <v>29</v>
      </c>
      <c r="D2044" t="s">
        <v>33</v>
      </c>
      <c r="E2044">
        <v>29009</v>
      </c>
      <c r="F2044">
        <v>1</v>
      </c>
      <c r="G2044">
        <v>0</v>
      </c>
      <c r="H2044" s="1">
        <v>41607</v>
      </c>
      <c r="I2044">
        <v>19</v>
      </c>
      <c r="J2044">
        <v>6</v>
      </c>
      <c r="K2044">
        <v>6</v>
      </c>
      <c r="L2044">
        <v>15</v>
      </c>
      <c r="M2044">
        <v>10</v>
      </c>
      <c r="N2044">
        <v>5</v>
      </c>
      <c r="O2044">
        <v>2</v>
      </c>
      <c r="P2044">
        <v>2</v>
      </c>
      <c r="Q2044">
        <v>2</v>
      </c>
      <c r="R2044">
        <v>0</v>
      </c>
      <c r="S2044">
        <v>3</v>
      </c>
      <c r="T2044">
        <v>6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3</v>
      </c>
      <c r="AB2044">
        <v>11</v>
      </c>
      <c r="AC2044">
        <v>0</v>
      </c>
    </row>
    <row r="2045" spans="1:29" x14ac:dyDescent="0.3">
      <c r="A2045">
        <v>5454</v>
      </c>
      <c r="B2045">
        <v>1979</v>
      </c>
      <c r="C2045" t="s">
        <v>34</v>
      </c>
      <c r="D2045" t="s">
        <v>33</v>
      </c>
      <c r="E2045">
        <v>45057</v>
      </c>
      <c r="F2045">
        <v>1</v>
      </c>
      <c r="G2045">
        <v>0</v>
      </c>
      <c r="H2045" s="1">
        <v>41609</v>
      </c>
      <c r="I2045">
        <v>80</v>
      </c>
      <c r="J2045">
        <v>37</v>
      </c>
      <c r="K2045">
        <v>0</v>
      </c>
      <c r="L2045">
        <v>7</v>
      </c>
      <c r="M2045">
        <v>3</v>
      </c>
      <c r="N2045">
        <v>0</v>
      </c>
      <c r="O2045">
        <v>3</v>
      </c>
      <c r="P2045">
        <v>1</v>
      </c>
      <c r="Q2045">
        <v>2</v>
      </c>
      <c r="R2045">
        <v>0</v>
      </c>
      <c r="S2045">
        <v>3</v>
      </c>
      <c r="T2045">
        <v>5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3</v>
      </c>
      <c r="AB2045">
        <v>11</v>
      </c>
      <c r="AC2045">
        <v>0</v>
      </c>
    </row>
    <row r="2046" spans="1:29" x14ac:dyDescent="0.3">
      <c r="A2046">
        <v>4095</v>
      </c>
      <c r="B2046">
        <v>1971</v>
      </c>
      <c r="C2046" t="s">
        <v>29</v>
      </c>
      <c r="D2046" t="s">
        <v>33</v>
      </c>
      <c r="E2046">
        <v>37150</v>
      </c>
      <c r="F2046">
        <v>1</v>
      </c>
      <c r="G2046">
        <v>0</v>
      </c>
      <c r="H2046" s="1">
        <v>41163</v>
      </c>
      <c r="I2046">
        <v>80</v>
      </c>
      <c r="J2046">
        <v>167</v>
      </c>
      <c r="K2046">
        <v>37</v>
      </c>
      <c r="L2046">
        <v>64</v>
      </c>
      <c r="M2046">
        <v>49</v>
      </c>
      <c r="N2046">
        <v>34</v>
      </c>
      <c r="O2046">
        <v>116</v>
      </c>
      <c r="P2046">
        <v>8</v>
      </c>
      <c r="Q2046">
        <v>4</v>
      </c>
      <c r="R2046">
        <v>3</v>
      </c>
      <c r="S2046">
        <v>6</v>
      </c>
      <c r="T2046">
        <v>7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3</v>
      </c>
      <c r="AB2046">
        <v>11</v>
      </c>
      <c r="AC2046">
        <v>0</v>
      </c>
    </row>
    <row r="2047" spans="1:29" x14ac:dyDescent="0.3">
      <c r="A2047">
        <v>5474</v>
      </c>
      <c r="B2047">
        <v>1970</v>
      </c>
      <c r="C2047" t="s">
        <v>29</v>
      </c>
      <c r="D2047" t="s">
        <v>30</v>
      </c>
      <c r="E2047">
        <v>43020</v>
      </c>
      <c r="F2047">
        <v>1</v>
      </c>
      <c r="G2047">
        <v>0</v>
      </c>
      <c r="H2047" s="1">
        <v>41608</v>
      </c>
      <c r="I2047">
        <v>79</v>
      </c>
      <c r="J2047">
        <v>45</v>
      </c>
      <c r="K2047">
        <v>7</v>
      </c>
      <c r="L2047">
        <v>99</v>
      </c>
      <c r="M2047">
        <v>4</v>
      </c>
      <c r="N2047">
        <v>25</v>
      </c>
      <c r="O2047">
        <v>43</v>
      </c>
      <c r="P2047">
        <v>3</v>
      </c>
      <c r="Q2047">
        <v>4</v>
      </c>
      <c r="R2047">
        <v>1</v>
      </c>
      <c r="S2047">
        <v>4</v>
      </c>
      <c r="T2047">
        <v>6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3</v>
      </c>
      <c r="AB2047">
        <v>11</v>
      </c>
      <c r="AC2047">
        <v>0</v>
      </c>
    </row>
    <row r="2048" spans="1:29" x14ac:dyDescent="0.3">
      <c r="A2048">
        <v>4268</v>
      </c>
      <c r="B2048">
        <v>1959</v>
      </c>
      <c r="C2048" t="s">
        <v>29</v>
      </c>
      <c r="D2048" t="s">
        <v>33</v>
      </c>
      <c r="E2048">
        <v>53154</v>
      </c>
      <c r="F2048">
        <v>0</v>
      </c>
      <c r="G2048">
        <v>1</v>
      </c>
      <c r="H2048" s="1">
        <v>41799</v>
      </c>
      <c r="I2048">
        <v>50</v>
      </c>
      <c r="J2048">
        <v>129</v>
      </c>
      <c r="K2048">
        <v>0</v>
      </c>
      <c r="L2048">
        <v>21</v>
      </c>
      <c r="M2048">
        <v>0</v>
      </c>
      <c r="N2048">
        <v>1</v>
      </c>
      <c r="O2048">
        <v>7</v>
      </c>
      <c r="P2048">
        <v>1</v>
      </c>
      <c r="Q2048">
        <v>3</v>
      </c>
      <c r="R2048">
        <v>1</v>
      </c>
      <c r="S2048">
        <v>4</v>
      </c>
      <c r="T2048">
        <v>4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3</v>
      </c>
      <c r="AB2048">
        <v>11</v>
      </c>
      <c r="AC2048">
        <v>0</v>
      </c>
    </row>
    <row r="2049" spans="1:29" x14ac:dyDescent="0.3">
      <c r="A2049">
        <v>10701</v>
      </c>
      <c r="B2049">
        <v>1973</v>
      </c>
      <c r="C2049" t="s">
        <v>29</v>
      </c>
      <c r="D2049" t="s">
        <v>33</v>
      </c>
      <c r="E2049">
        <v>65308</v>
      </c>
      <c r="F2049">
        <v>0</v>
      </c>
      <c r="G2049">
        <v>0</v>
      </c>
      <c r="H2049" s="1">
        <v>41528</v>
      </c>
      <c r="I2049">
        <v>60</v>
      </c>
      <c r="J2049">
        <v>713</v>
      </c>
      <c r="K2049">
        <v>0</v>
      </c>
      <c r="L2049">
        <v>264</v>
      </c>
      <c r="M2049">
        <v>120</v>
      </c>
      <c r="N2049">
        <v>80</v>
      </c>
      <c r="O2049">
        <v>34</v>
      </c>
      <c r="P2049">
        <v>1</v>
      </c>
      <c r="Q2049">
        <v>7</v>
      </c>
      <c r="R2049">
        <v>8</v>
      </c>
      <c r="S2049">
        <v>12</v>
      </c>
      <c r="T2049">
        <v>4</v>
      </c>
      <c r="U2049">
        <v>0</v>
      </c>
      <c r="V2049">
        <v>0</v>
      </c>
      <c r="W2049">
        <v>1</v>
      </c>
      <c r="X2049">
        <v>1</v>
      </c>
      <c r="Y2049">
        <v>0</v>
      </c>
      <c r="Z2049">
        <v>0</v>
      </c>
      <c r="AA2049">
        <v>3</v>
      </c>
      <c r="AB2049">
        <v>11</v>
      </c>
      <c r="AC2049">
        <v>0</v>
      </c>
    </row>
    <row r="2050" spans="1:29" x14ac:dyDescent="0.3">
      <c r="A2050">
        <v>3507</v>
      </c>
      <c r="B2050">
        <v>1970</v>
      </c>
      <c r="C2050" t="s">
        <v>29</v>
      </c>
      <c r="D2050" t="s">
        <v>30</v>
      </c>
      <c r="E2050">
        <v>76467</v>
      </c>
      <c r="F2050">
        <v>1</v>
      </c>
      <c r="G2050">
        <v>0</v>
      </c>
      <c r="H2050" s="1">
        <v>41138</v>
      </c>
      <c r="I2050">
        <v>44</v>
      </c>
      <c r="J2050">
        <v>676</v>
      </c>
      <c r="K2050">
        <v>161</v>
      </c>
      <c r="L2050">
        <v>426</v>
      </c>
      <c r="M2050">
        <v>210</v>
      </c>
      <c r="N2050">
        <v>44</v>
      </c>
      <c r="O2050">
        <v>58</v>
      </c>
      <c r="P2050">
        <v>2</v>
      </c>
      <c r="Q2050">
        <v>2</v>
      </c>
      <c r="R2050">
        <v>5</v>
      </c>
      <c r="S2050">
        <v>5</v>
      </c>
      <c r="T2050">
        <v>6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3</v>
      </c>
      <c r="AB2050">
        <v>11</v>
      </c>
      <c r="AC2050">
        <v>1</v>
      </c>
    </row>
    <row r="2051" spans="1:29" x14ac:dyDescent="0.3">
      <c r="A2051">
        <v>2079</v>
      </c>
      <c r="B2051">
        <v>1947</v>
      </c>
      <c r="C2051" t="s">
        <v>37</v>
      </c>
      <c r="D2051" t="s">
        <v>33</v>
      </c>
      <c r="E2051">
        <v>81044</v>
      </c>
      <c r="F2051">
        <v>0</v>
      </c>
      <c r="G2051">
        <v>0</v>
      </c>
      <c r="H2051" s="1">
        <v>41635</v>
      </c>
      <c r="I2051">
        <v>0</v>
      </c>
      <c r="J2051">
        <v>450</v>
      </c>
      <c r="K2051">
        <v>26</v>
      </c>
      <c r="L2051">
        <v>535</v>
      </c>
      <c r="M2051">
        <v>73</v>
      </c>
      <c r="N2051">
        <v>98</v>
      </c>
      <c r="O2051">
        <v>26</v>
      </c>
      <c r="P2051">
        <v>1</v>
      </c>
      <c r="Q2051">
        <v>5</v>
      </c>
      <c r="R2051">
        <v>6</v>
      </c>
      <c r="S2051">
        <v>10</v>
      </c>
      <c r="T2051">
        <v>1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3</v>
      </c>
      <c r="AB2051">
        <v>11</v>
      </c>
      <c r="AC2051">
        <v>0</v>
      </c>
    </row>
    <row r="2052" spans="1:29" x14ac:dyDescent="0.3">
      <c r="A2052">
        <v>626</v>
      </c>
      <c r="B2052">
        <v>1951</v>
      </c>
      <c r="C2052" t="s">
        <v>29</v>
      </c>
      <c r="D2052" t="s">
        <v>33</v>
      </c>
      <c r="E2052">
        <v>32871</v>
      </c>
      <c r="F2052">
        <v>1</v>
      </c>
      <c r="G2052">
        <v>1</v>
      </c>
      <c r="H2052" s="1">
        <v>41342</v>
      </c>
      <c r="I2052">
        <v>28</v>
      </c>
      <c r="J2052">
        <v>22</v>
      </c>
      <c r="K2052">
        <v>2</v>
      </c>
      <c r="L2052">
        <v>12</v>
      </c>
      <c r="M2052">
        <v>0</v>
      </c>
      <c r="N2052">
        <v>2</v>
      </c>
      <c r="O2052">
        <v>5</v>
      </c>
      <c r="P2052">
        <v>1</v>
      </c>
      <c r="Q2052">
        <v>1</v>
      </c>
      <c r="R2052">
        <v>0</v>
      </c>
      <c r="S2052">
        <v>3</v>
      </c>
      <c r="T2052">
        <v>4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3</v>
      </c>
      <c r="AB2052">
        <v>11</v>
      </c>
      <c r="AC2052">
        <v>0</v>
      </c>
    </row>
    <row r="2053" spans="1:29" x14ac:dyDescent="0.3">
      <c r="A2053">
        <v>4426</v>
      </c>
      <c r="B2053">
        <v>1975</v>
      </c>
      <c r="C2053" t="s">
        <v>29</v>
      </c>
      <c r="D2053" t="s">
        <v>30</v>
      </c>
      <c r="E2053">
        <v>55801</v>
      </c>
      <c r="F2053">
        <v>1</v>
      </c>
      <c r="G2053">
        <v>1</v>
      </c>
      <c r="H2053" s="1">
        <v>41539</v>
      </c>
      <c r="I2053">
        <v>35</v>
      </c>
      <c r="J2053">
        <v>367</v>
      </c>
      <c r="K2053">
        <v>4</v>
      </c>
      <c r="L2053">
        <v>51</v>
      </c>
      <c r="M2053">
        <v>6</v>
      </c>
      <c r="N2053">
        <v>4</v>
      </c>
      <c r="O2053">
        <v>95</v>
      </c>
      <c r="P2053">
        <v>6</v>
      </c>
      <c r="Q2053">
        <v>7</v>
      </c>
      <c r="R2053">
        <v>2</v>
      </c>
      <c r="S2053">
        <v>6</v>
      </c>
      <c r="T2053">
        <v>7</v>
      </c>
      <c r="U2053">
        <v>0</v>
      </c>
      <c r="V2053">
        <v>0</v>
      </c>
      <c r="W2053">
        <v>0</v>
      </c>
      <c r="X2053">
        <v>1</v>
      </c>
      <c r="Y2053">
        <v>0</v>
      </c>
      <c r="Z2053">
        <v>0</v>
      </c>
      <c r="AA2053">
        <v>3</v>
      </c>
      <c r="AB2053">
        <v>11</v>
      </c>
      <c r="AC2053">
        <v>0</v>
      </c>
    </row>
    <row r="2054" spans="1:29" x14ac:dyDescent="0.3">
      <c r="A2054">
        <v>2591</v>
      </c>
      <c r="B2054">
        <v>1959</v>
      </c>
      <c r="C2054" t="s">
        <v>29</v>
      </c>
      <c r="D2054" t="s">
        <v>38</v>
      </c>
      <c r="E2054">
        <v>76320</v>
      </c>
      <c r="F2054">
        <v>0</v>
      </c>
      <c r="G2054">
        <v>1</v>
      </c>
      <c r="H2054" s="1">
        <v>41812</v>
      </c>
      <c r="I2054">
        <v>49</v>
      </c>
      <c r="J2054">
        <v>526</v>
      </c>
      <c r="K2054">
        <v>35</v>
      </c>
      <c r="L2054">
        <v>214</v>
      </c>
      <c r="M2054">
        <v>69</v>
      </c>
      <c r="N2054">
        <v>53</v>
      </c>
      <c r="O2054">
        <v>35</v>
      </c>
      <c r="P2054">
        <v>2</v>
      </c>
      <c r="Q2054">
        <v>6</v>
      </c>
      <c r="R2054">
        <v>3</v>
      </c>
      <c r="S2054">
        <v>4</v>
      </c>
      <c r="T2054">
        <v>2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3</v>
      </c>
      <c r="AB2054">
        <v>11</v>
      </c>
      <c r="AC2054">
        <v>0</v>
      </c>
    </row>
    <row r="2055" spans="1:29" x14ac:dyDescent="0.3">
      <c r="A2055">
        <v>10509</v>
      </c>
      <c r="B2055">
        <v>1955</v>
      </c>
      <c r="C2055" t="s">
        <v>34</v>
      </c>
      <c r="D2055" t="s">
        <v>30</v>
      </c>
      <c r="E2055">
        <v>36927</v>
      </c>
      <c r="F2055">
        <v>1</v>
      </c>
      <c r="G2055">
        <v>1</v>
      </c>
      <c r="H2055" s="1">
        <v>41792</v>
      </c>
      <c r="I2055">
        <v>46</v>
      </c>
      <c r="J2055">
        <v>51</v>
      </c>
      <c r="K2055">
        <v>0</v>
      </c>
      <c r="L2055">
        <v>16</v>
      </c>
      <c r="M2055">
        <v>0</v>
      </c>
      <c r="N2055">
        <v>0</v>
      </c>
      <c r="O2055">
        <v>4</v>
      </c>
      <c r="P2055">
        <v>2</v>
      </c>
      <c r="Q2055">
        <v>3</v>
      </c>
      <c r="R2055">
        <v>0</v>
      </c>
      <c r="S2055">
        <v>3</v>
      </c>
      <c r="T2055">
        <v>8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3</v>
      </c>
      <c r="AB2055">
        <v>11</v>
      </c>
      <c r="AC2055">
        <v>0</v>
      </c>
    </row>
    <row r="2056" spans="1:29" x14ac:dyDescent="0.3">
      <c r="A2056">
        <v>6382</v>
      </c>
      <c r="B2056">
        <v>1953</v>
      </c>
      <c r="C2056" t="s">
        <v>29</v>
      </c>
      <c r="D2056" t="s">
        <v>31</v>
      </c>
      <c r="E2056">
        <v>48794</v>
      </c>
      <c r="F2056">
        <v>1</v>
      </c>
      <c r="G2056">
        <v>1</v>
      </c>
      <c r="H2056" s="1">
        <v>41816</v>
      </c>
      <c r="I2056">
        <v>97</v>
      </c>
      <c r="J2056">
        <v>25</v>
      </c>
      <c r="K2056">
        <v>0</v>
      </c>
      <c r="L2056">
        <v>11</v>
      </c>
      <c r="M2056">
        <v>3</v>
      </c>
      <c r="N2056">
        <v>0</v>
      </c>
      <c r="O2056">
        <v>15</v>
      </c>
      <c r="P2056">
        <v>1</v>
      </c>
      <c r="Q2056">
        <v>1</v>
      </c>
      <c r="R2056">
        <v>0</v>
      </c>
      <c r="S2056">
        <v>3</v>
      </c>
      <c r="T2056">
        <v>4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3</v>
      </c>
      <c r="AB2056">
        <v>11</v>
      </c>
      <c r="AC2056">
        <v>0</v>
      </c>
    </row>
    <row r="2057" spans="1:29" x14ac:dyDescent="0.3">
      <c r="A2057">
        <v>6673</v>
      </c>
      <c r="B2057">
        <v>1965</v>
      </c>
      <c r="C2057" t="s">
        <v>29</v>
      </c>
      <c r="D2057" t="s">
        <v>30</v>
      </c>
      <c r="E2057">
        <v>23478</v>
      </c>
      <c r="F2057">
        <v>0</v>
      </c>
      <c r="G2057">
        <v>0</v>
      </c>
      <c r="H2057" s="1">
        <v>41352</v>
      </c>
      <c r="I2057">
        <v>51</v>
      </c>
      <c r="J2057">
        <v>28</v>
      </c>
      <c r="K2057">
        <v>6</v>
      </c>
      <c r="L2057">
        <v>27</v>
      </c>
      <c r="M2057">
        <v>12</v>
      </c>
      <c r="N2057">
        <v>17</v>
      </c>
      <c r="O2057">
        <v>39</v>
      </c>
      <c r="P2057">
        <v>1</v>
      </c>
      <c r="Q2057">
        <v>3</v>
      </c>
      <c r="R2057">
        <v>0</v>
      </c>
      <c r="S2057">
        <v>3</v>
      </c>
      <c r="T2057">
        <v>8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3</v>
      </c>
      <c r="AB2057">
        <v>11</v>
      </c>
      <c r="AC2057">
        <v>0</v>
      </c>
    </row>
    <row r="2058" spans="1:29" x14ac:dyDescent="0.3">
      <c r="A2058">
        <v>7441</v>
      </c>
      <c r="B2058">
        <v>1973</v>
      </c>
      <c r="C2058" t="s">
        <v>29</v>
      </c>
      <c r="D2058" t="s">
        <v>35</v>
      </c>
      <c r="E2058">
        <v>71128</v>
      </c>
      <c r="F2058">
        <v>1</v>
      </c>
      <c r="G2058">
        <v>0</v>
      </c>
      <c r="H2058" s="1">
        <v>41188</v>
      </c>
      <c r="I2058">
        <v>80</v>
      </c>
      <c r="J2058">
        <v>958</v>
      </c>
      <c r="K2058">
        <v>159</v>
      </c>
      <c r="L2058">
        <v>447</v>
      </c>
      <c r="M2058">
        <v>20</v>
      </c>
      <c r="N2058">
        <v>0</v>
      </c>
      <c r="O2058">
        <v>31</v>
      </c>
      <c r="P2058">
        <v>3</v>
      </c>
      <c r="Q2058">
        <v>2</v>
      </c>
      <c r="R2058">
        <v>10</v>
      </c>
      <c r="S2058">
        <v>12</v>
      </c>
      <c r="T2058">
        <v>7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3</v>
      </c>
      <c r="AB2058">
        <v>11</v>
      </c>
      <c r="AC2058">
        <v>0</v>
      </c>
    </row>
    <row r="2059" spans="1:29" x14ac:dyDescent="0.3">
      <c r="A2059">
        <v>1071</v>
      </c>
      <c r="B2059">
        <v>1976</v>
      </c>
      <c r="C2059" t="s">
        <v>32</v>
      </c>
      <c r="D2059" t="s">
        <v>35</v>
      </c>
      <c r="E2059">
        <v>70179</v>
      </c>
      <c r="F2059">
        <v>0</v>
      </c>
      <c r="G2059">
        <v>1</v>
      </c>
      <c r="H2059" s="1">
        <v>41476</v>
      </c>
      <c r="I2059">
        <v>10</v>
      </c>
      <c r="J2059">
        <v>532</v>
      </c>
      <c r="K2059">
        <v>88</v>
      </c>
      <c r="L2059">
        <v>168</v>
      </c>
      <c r="M2059">
        <v>69</v>
      </c>
      <c r="N2059">
        <v>44</v>
      </c>
      <c r="O2059">
        <v>133</v>
      </c>
      <c r="P2059">
        <v>3</v>
      </c>
      <c r="Q2059">
        <v>7</v>
      </c>
      <c r="R2059">
        <v>3</v>
      </c>
      <c r="S2059">
        <v>13</v>
      </c>
      <c r="T2059">
        <v>5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3</v>
      </c>
      <c r="AB2059">
        <v>11</v>
      </c>
      <c r="AC2059">
        <v>0</v>
      </c>
    </row>
    <row r="2060" spans="1:29" x14ac:dyDescent="0.3">
      <c r="A2060">
        <v>10061</v>
      </c>
      <c r="B2060">
        <v>1950</v>
      </c>
      <c r="C2060" t="s">
        <v>29</v>
      </c>
      <c r="D2060" t="s">
        <v>33</v>
      </c>
      <c r="E2060">
        <v>59462</v>
      </c>
      <c r="F2060">
        <v>0</v>
      </c>
      <c r="G2060">
        <v>1</v>
      </c>
      <c r="H2060" s="1">
        <v>41279</v>
      </c>
      <c r="I2060">
        <v>29</v>
      </c>
      <c r="J2060">
        <v>724</v>
      </c>
      <c r="K2060">
        <v>17</v>
      </c>
      <c r="L2060">
        <v>143</v>
      </c>
      <c r="M2060">
        <v>0</v>
      </c>
      <c r="N2060">
        <v>8</v>
      </c>
      <c r="O2060">
        <v>196</v>
      </c>
      <c r="P2060">
        <v>2</v>
      </c>
      <c r="Q2060">
        <v>9</v>
      </c>
      <c r="R2060">
        <v>2</v>
      </c>
      <c r="S2060">
        <v>12</v>
      </c>
      <c r="T2060">
        <v>7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3</v>
      </c>
      <c r="AB2060">
        <v>11</v>
      </c>
      <c r="AC2060">
        <v>0</v>
      </c>
    </row>
    <row r="2061" spans="1:29" x14ac:dyDescent="0.3">
      <c r="A2061">
        <v>7187</v>
      </c>
      <c r="B2061">
        <v>1969</v>
      </c>
      <c r="C2061" t="s">
        <v>34</v>
      </c>
      <c r="D2061" t="s">
        <v>31</v>
      </c>
      <c r="F2061">
        <v>1</v>
      </c>
      <c r="G2061">
        <v>1</v>
      </c>
      <c r="H2061" s="1">
        <v>41412</v>
      </c>
      <c r="I2061">
        <v>52</v>
      </c>
      <c r="J2061">
        <v>375</v>
      </c>
      <c r="K2061">
        <v>42</v>
      </c>
      <c r="L2061">
        <v>48</v>
      </c>
      <c r="M2061">
        <v>94</v>
      </c>
      <c r="N2061">
        <v>66</v>
      </c>
      <c r="O2061">
        <v>96</v>
      </c>
      <c r="P2061">
        <v>7</v>
      </c>
      <c r="Q2061">
        <v>4</v>
      </c>
      <c r="R2061">
        <v>10</v>
      </c>
      <c r="S2061">
        <v>4</v>
      </c>
      <c r="T2061">
        <v>3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3</v>
      </c>
      <c r="AB2061">
        <v>11</v>
      </c>
      <c r="AC2061">
        <v>0</v>
      </c>
    </row>
    <row r="2062" spans="1:29" x14ac:dyDescent="0.3">
      <c r="A2062">
        <v>8775</v>
      </c>
      <c r="B2062">
        <v>1969</v>
      </c>
      <c r="C2062" t="s">
        <v>29</v>
      </c>
      <c r="D2062" t="s">
        <v>31</v>
      </c>
      <c r="E2062">
        <v>38361</v>
      </c>
      <c r="F2062">
        <v>1</v>
      </c>
      <c r="G2062">
        <v>0</v>
      </c>
      <c r="H2062" s="1">
        <v>41635</v>
      </c>
      <c r="I2062">
        <v>74</v>
      </c>
      <c r="J2062">
        <v>39</v>
      </c>
      <c r="K2062">
        <v>0</v>
      </c>
      <c r="L2062">
        <v>56</v>
      </c>
      <c r="M2062">
        <v>20</v>
      </c>
      <c r="N2062">
        <v>8</v>
      </c>
      <c r="O2062">
        <v>14</v>
      </c>
      <c r="P2062">
        <v>3</v>
      </c>
      <c r="Q2062">
        <v>3</v>
      </c>
      <c r="R2062">
        <v>1</v>
      </c>
      <c r="S2062">
        <v>3</v>
      </c>
      <c r="T2062">
        <v>7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3</v>
      </c>
      <c r="AB2062">
        <v>11</v>
      </c>
      <c r="AC2062">
        <v>0</v>
      </c>
    </row>
    <row r="2063" spans="1:29" x14ac:dyDescent="0.3">
      <c r="A2063">
        <v>1612</v>
      </c>
      <c r="B2063">
        <v>1981</v>
      </c>
      <c r="C2063" t="s">
        <v>32</v>
      </c>
      <c r="D2063" t="s">
        <v>30</v>
      </c>
      <c r="F2063">
        <v>1</v>
      </c>
      <c r="G2063">
        <v>0</v>
      </c>
      <c r="H2063" s="1">
        <v>41425</v>
      </c>
      <c r="I2063">
        <v>82</v>
      </c>
      <c r="J2063">
        <v>23</v>
      </c>
      <c r="K2063">
        <v>0</v>
      </c>
      <c r="L2063">
        <v>15</v>
      </c>
      <c r="M2063">
        <v>0</v>
      </c>
      <c r="N2063">
        <v>2</v>
      </c>
      <c r="O2063">
        <v>7</v>
      </c>
      <c r="P2063">
        <v>2</v>
      </c>
      <c r="Q2063">
        <v>3</v>
      </c>
      <c r="R2063">
        <v>0</v>
      </c>
      <c r="S2063">
        <v>3</v>
      </c>
      <c r="T2063">
        <v>6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3</v>
      </c>
      <c r="AB2063">
        <v>11</v>
      </c>
      <c r="AC2063">
        <v>0</v>
      </c>
    </row>
    <row r="2064" spans="1:29" x14ac:dyDescent="0.3">
      <c r="A2064">
        <v>2345</v>
      </c>
      <c r="B2064">
        <v>1982</v>
      </c>
      <c r="C2064" t="s">
        <v>32</v>
      </c>
      <c r="D2064" t="s">
        <v>31</v>
      </c>
      <c r="E2064">
        <v>70038</v>
      </c>
      <c r="F2064">
        <v>0</v>
      </c>
      <c r="G2064">
        <v>0</v>
      </c>
      <c r="H2064" s="1">
        <v>41572</v>
      </c>
      <c r="I2064">
        <v>54</v>
      </c>
      <c r="J2064">
        <v>587</v>
      </c>
      <c r="K2064">
        <v>54</v>
      </c>
      <c r="L2064">
        <v>348</v>
      </c>
      <c r="M2064">
        <v>71</v>
      </c>
      <c r="N2064">
        <v>54</v>
      </c>
      <c r="O2064">
        <v>130</v>
      </c>
      <c r="P2064">
        <v>1</v>
      </c>
      <c r="Q2064">
        <v>4</v>
      </c>
      <c r="R2064">
        <v>4</v>
      </c>
      <c r="S2064">
        <v>8</v>
      </c>
      <c r="T2064">
        <v>2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3</v>
      </c>
      <c r="AB2064">
        <v>11</v>
      </c>
      <c r="AC2064">
        <v>0</v>
      </c>
    </row>
    <row r="2065" spans="1:29" x14ac:dyDescent="0.3">
      <c r="A2065">
        <v>322</v>
      </c>
      <c r="B2065">
        <v>1978</v>
      </c>
      <c r="C2065" t="s">
        <v>29</v>
      </c>
      <c r="D2065" t="s">
        <v>31</v>
      </c>
      <c r="E2065">
        <v>42554</v>
      </c>
      <c r="F2065">
        <v>1</v>
      </c>
      <c r="G2065">
        <v>1</v>
      </c>
      <c r="H2065" s="1">
        <v>41286</v>
      </c>
      <c r="I2065">
        <v>93</v>
      </c>
      <c r="J2065">
        <v>29</v>
      </c>
      <c r="K2065">
        <v>1</v>
      </c>
      <c r="L2065">
        <v>11</v>
      </c>
      <c r="M2065">
        <v>0</v>
      </c>
      <c r="N2065">
        <v>0</v>
      </c>
      <c r="O2065">
        <v>0</v>
      </c>
      <c r="P2065">
        <v>2</v>
      </c>
      <c r="Q2065">
        <v>2</v>
      </c>
      <c r="R2065">
        <v>0</v>
      </c>
      <c r="S2065">
        <v>3</v>
      </c>
      <c r="T2065">
        <v>4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3</v>
      </c>
      <c r="AB2065">
        <v>11</v>
      </c>
      <c r="AC2065">
        <v>0</v>
      </c>
    </row>
    <row r="2066" spans="1:29" x14ac:dyDescent="0.3">
      <c r="A2066">
        <v>10897</v>
      </c>
      <c r="B2066">
        <v>1974</v>
      </c>
      <c r="C2066" t="s">
        <v>29</v>
      </c>
      <c r="D2066" t="s">
        <v>33</v>
      </c>
      <c r="E2066">
        <v>67445</v>
      </c>
      <c r="F2066">
        <v>0</v>
      </c>
      <c r="G2066">
        <v>1</v>
      </c>
      <c r="H2066" s="1">
        <v>41133</v>
      </c>
      <c r="I2066">
        <v>63</v>
      </c>
      <c r="J2066">
        <v>757</v>
      </c>
      <c r="K2066">
        <v>80</v>
      </c>
      <c r="L2066">
        <v>217</v>
      </c>
      <c r="M2066">
        <v>29</v>
      </c>
      <c r="N2066">
        <v>80</v>
      </c>
      <c r="O2066">
        <v>11</v>
      </c>
      <c r="P2066">
        <v>5</v>
      </c>
      <c r="Q2066">
        <v>9</v>
      </c>
      <c r="R2066">
        <v>6</v>
      </c>
      <c r="S2066">
        <v>12</v>
      </c>
      <c r="T2066">
        <v>6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3</v>
      </c>
      <c r="AB2066">
        <v>11</v>
      </c>
      <c r="AC2066">
        <v>0</v>
      </c>
    </row>
    <row r="2067" spans="1:29" x14ac:dyDescent="0.3">
      <c r="A2067">
        <v>123</v>
      </c>
      <c r="B2067">
        <v>1951</v>
      </c>
      <c r="C2067" t="s">
        <v>29</v>
      </c>
      <c r="D2067" t="s">
        <v>38</v>
      </c>
      <c r="E2067">
        <v>67046</v>
      </c>
      <c r="F2067">
        <v>0</v>
      </c>
      <c r="G2067">
        <v>1</v>
      </c>
      <c r="H2067" s="1">
        <v>41280</v>
      </c>
      <c r="I2067">
        <v>92</v>
      </c>
      <c r="J2067">
        <v>544</v>
      </c>
      <c r="K2067">
        <v>35</v>
      </c>
      <c r="L2067">
        <v>133</v>
      </c>
      <c r="M2067">
        <v>23</v>
      </c>
      <c r="N2067">
        <v>151</v>
      </c>
      <c r="O2067">
        <v>107</v>
      </c>
      <c r="P2067">
        <v>2</v>
      </c>
      <c r="Q2067">
        <v>4</v>
      </c>
      <c r="R2067">
        <v>5</v>
      </c>
      <c r="S2067">
        <v>4</v>
      </c>
      <c r="T2067">
        <v>2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3</v>
      </c>
      <c r="AB2067">
        <v>11</v>
      </c>
      <c r="AC2067">
        <v>0</v>
      </c>
    </row>
    <row r="2068" spans="1:29" x14ac:dyDescent="0.3">
      <c r="A2068">
        <v>6103</v>
      </c>
      <c r="B2068">
        <v>1948</v>
      </c>
      <c r="C2068" t="s">
        <v>29</v>
      </c>
      <c r="D2068" t="s">
        <v>33</v>
      </c>
      <c r="E2068">
        <v>42192</v>
      </c>
      <c r="F2068">
        <v>0</v>
      </c>
      <c r="G2068">
        <v>0</v>
      </c>
      <c r="H2068" s="1">
        <v>41523</v>
      </c>
      <c r="I2068">
        <v>40</v>
      </c>
      <c r="J2068">
        <v>40</v>
      </c>
      <c r="K2068">
        <v>15</v>
      </c>
      <c r="L2068">
        <v>15</v>
      </c>
      <c r="M2068">
        <v>17</v>
      </c>
      <c r="N2068">
        <v>6</v>
      </c>
      <c r="O2068">
        <v>7</v>
      </c>
      <c r="P2068">
        <v>1</v>
      </c>
      <c r="Q2068">
        <v>2</v>
      </c>
      <c r="R2068">
        <v>1</v>
      </c>
      <c r="S2068">
        <v>3</v>
      </c>
      <c r="T2068">
        <v>4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3</v>
      </c>
      <c r="AB2068">
        <v>11</v>
      </c>
      <c r="AC2068">
        <v>0</v>
      </c>
    </row>
    <row r="2069" spans="1:29" x14ac:dyDescent="0.3">
      <c r="A2069">
        <v>7899</v>
      </c>
      <c r="B2069">
        <v>1952</v>
      </c>
      <c r="C2069" t="s">
        <v>32</v>
      </c>
      <c r="D2069" t="s">
        <v>33</v>
      </c>
      <c r="E2069">
        <v>77610</v>
      </c>
      <c r="F2069">
        <v>0</v>
      </c>
      <c r="G2069">
        <v>1</v>
      </c>
      <c r="H2069" s="1">
        <v>41211</v>
      </c>
      <c r="I2069">
        <v>70</v>
      </c>
      <c r="J2069">
        <v>1245</v>
      </c>
      <c r="K2069">
        <v>33</v>
      </c>
      <c r="L2069">
        <v>332</v>
      </c>
      <c r="M2069">
        <v>21</v>
      </c>
      <c r="N2069">
        <v>33</v>
      </c>
      <c r="O2069">
        <v>16</v>
      </c>
      <c r="P2069">
        <v>2</v>
      </c>
      <c r="Q2069">
        <v>4</v>
      </c>
      <c r="R2069">
        <v>7</v>
      </c>
      <c r="S2069">
        <v>4</v>
      </c>
      <c r="T2069">
        <v>7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3</v>
      </c>
      <c r="AB2069">
        <v>11</v>
      </c>
      <c r="AC2069">
        <v>0</v>
      </c>
    </row>
    <row r="2070" spans="1:29" x14ac:dyDescent="0.3">
      <c r="A2070">
        <v>10500</v>
      </c>
      <c r="B2070">
        <v>1984</v>
      </c>
      <c r="C2070" t="s">
        <v>29</v>
      </c>
      <c r="D2070" t="s">
        <v>33</v>
      </c>
      <c r="E2070">
        <v>31761</v>
      </c>
      <c r="F2070">
        <v>1</v>
      </c>
      <c r="G2070">
        <v>0</v>
      </c>
      <c r="H2070" s="1">
        <v>41734</v>
      </c>
      <c r="I2070">
        <v>96</v>
      </c>
      <c r="J2070">
        <v>19</v>
      </c>
      <c r="K2070">
        <v>1</v>
      </c>
      <c r="L2070">
        <v>20</v>
      </c>
      <c r="M2070">
        <v>16</v>
      </c>
      <c r="N2070">
        <v>14</v>
      </c>
      <c r="O2070">
        <v>28</v>
      </c>
      <c r="P2070">
        <v>2</v>
      </c>
      <c r="Q2070">
        <v>3</v>
      </c>
      <c r="R2070">
        <v>0</v>
      </c>
      <c r="S2070">
        <v>4</v>
      </c>
      <c r="T2070">
        <v>5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3</v>
      </c>
      <c r="AB2070">
        <v>11</v>
      </c>
      <c r="AC2070">
        <v>0</v>
      </c>
    </row>
    <row r="2071" spans="1:29" x14ac:dyDescent="0.3">
      <c r="A2071">
        <v>1655</v>
      </c>
      <c r="B2071">
        <v>1979</v>
      </c>
      <c r="C2071" t="s">
        <v>29</v>
      </c>
      <c r="D2071" t="s">
        <v>31</v>
      </c>
      <c r="E2071">
        <v>34350</v>
      </c>
      <c r="F2071">
        <v>1</v>
      </c>
      <c r="G2071">
        <v>0</v>
      </c>
      <c r="H2071" s="1">
        <v>41566</v>
      </c>
      <c r="I2071">
        <v>81</v>
      </c>
      <c r="J2071">
        <v>16</v>
      </c>
      <c r="K2071">
        <v>3</v>
      </c>
      <c r="L2071">
        <v>15</v>
      </c>
      <c r="M2071">
        <v>2</v>
      </c>
      <c r="N2071">
        <v>1</v>
      </c>
      <c r="O2071">
        <v>11</v>
      </c>
      <c r="P2071">
        <v>1</v>
      </c>
      <c r="Q2071">
        <v>1</v>
      </c>
      <c r="R2071">
        <v>0</v>
      </c>
      <c r="S2071">
        <v>3</v>
      </c>
      <c r="T2071">
        <v>7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3</v>
      </c>
      <c r="AB2071">
        <v>11</v>
      </c>
      <c r="AC2071">
        <v>0</v>
      </c>
    </row>
    <row r="2072" spans="1:29" x14ac:dyDescent="0.3">
      <c r="A2072">
        <v>2406</v>
      </c>
      <c r="B2072">
        <v>1949</v>
      </c>
      <c r="C2072" t="s">
        <v>29</v>
      </c>
      <c r="D2072" t="s">
        <v>31</v>
      </c>
      <c r="E2072">
        <v>54591</v>
      </c>
      <c r="F2072">
        <v>0</v>
      </c>
      <c r="G2072">
        <v>1</v>
      </c>
      <c r="H2072" s="1">
        <v>41491</v>
      </c>
      <c r="I2072">
        <v>63</v>
      </c>
      <c r="J2072">
        <v>376</v>
      </c>
      <c r="K2072">
        <v>4</v>
      </c>
      <c r="L2072">
        <v>94</v>
      </c>
      <c r="M2072">
        <v>12</v>
      </c>
      <c r="N2072">
        <v>9</v>
      </c>
      <c r="O2072">
        <v>24</v>
      </c>
      <c r="P2072">
        <v>3</v>
      </c>
      <c r="Q2072">
        <v>6</v>
      </c>
      <c r="R2072">
        <v>2</v>
      </c>
      <c r="S2072">
        <v>8</v>
      </c>
      <c r="T2072">
        <v>5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3</v>
      </c>
      <c r="AB2072">
        <v>11</v>
      </c>
      <c r="AC2072">
        <v>0</v>
      </c>
    </row>
    <row r="2073" spans="1:29" x14ac:dyDescent="0.3">
      <c r="A2073">
        <v>2712</v>
      </c>
      <c r="B2073">
        <v>1956</v>
      </c>
      <c r="C2073" t="s">
        <v>29</v>
      </c>
      <c r="D2073" t="s">
        <v>33</v>
      </c>
      <c r="E2073">
        <v>71866</v>
      </c>
      <c r="F2073">
        <v>0</v>
      </c>
      <c r="G2073">
        <v>1</v>
      </c>
      <c r="H2073" s="1">
        <v>41633</v>
      </c>
      <c r="I2073">
        <v>85</v>
      </c>
      <c r="J2073">
        <v>184</v>
      </c>
      <c r="K2073">
        <v>178</v>
      </c>
      <c r="L2073">
        <v>178</v>
      </c>
      <c r="M2073">
        <v>103</v>
      </c>
      <c r="N2073">
        <v>39</v>
      </c>
      <c r="O2073">
        <v>33</v>
      </c>
      <c r="P2073">
        <v>1</v>
      </c>
      <c r="Q2073">
        <v>6</v>
      </c>
      <c r="R2073">
        <v>3</v>
      </c>
      <c r="S2073">
        <v>10</v>
      </c>
      <c r="T2073">
        <v>3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3</v>
      </c>
      <c r="AB2073">
        <v>11</v>
      </c>
      <c r="AC2073">
        <v>0</v>
      </c>
    </row>
    <row r="2074" spans="1:29" x14ac:dyDescent="0.3">
      <c r="A2074">
        <v>5517</v>
      </c>
      <c r="B2074">
        <v>1969</v>
      </c>
      <c r="C2074" t="s">
        <v>29</v>
      </c>
      <c r="D2074" t="s">
        <v>33</v>
      </c>
      <c r="E2074">
        <v>25293</v>
      </c>
      <c r="F2074">
        <v>1</v>
      </c>
      <c r="G2074">
        <v>0</v>
      </c>
      <c r="H2074" s="1">
        <v>41532</v>
      </c>
      <c r="I2074">
        <v>51</v>
      </c>
      <c r="J2074">
        <v>15</v>
      </c>
      <c r="K2074">
        <v>0</v>
      </c>
      <c r="L2074">
        <v>11</v>
      </c>
      <c r="M2074">
        <v>0</v>
      </c>
      <c r="N2074">
        <v>2</v>
      </c>
      <c r="O2074">
        <v>9</v>
      </c>
      <c r="P2074">
        <v>1</v>
      </c>
      <c r="Q2074">
        <v>1</v>
      </c>
      <c r="R2074">
        <v>1</v>
      </c>
      <c r="S2074">
        <v>2</v>
      </c>
      <c r="T2074">
        <v>8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3</v>
      </c>
      <c r="AB2074">
        <v>11</v>
      </c>
      <c r="AC2074">
        <v>0</v>
      </c>
    </row>
    <row r="2075" spans="1:29" x14ac:dyDescent="0.3">
      <c r="A2075">
        <v>10643</v>
      </c>
      <c r="B2075">
        <v>1987</v>
      </c>
      <c r="C2075" t="s">
        <v>32</v>
      </c>
      <c r="D2075" t="s">
        <v>30</v>
      </c>
      <c r="E2075">
        <v>42000</v>
      </c>
      <c r="F2075">
        <v>0</v>
      </c>
      <c r="G2075">
        <v>0</v>
      </c>
      <c r="H2075" s="1">
        <v>41284</v>
      </c>
      <c r="I2075">
        <v>23</v>
      </c>
      <c r="J2075">
        <v>124</v>
      </c>
      <c r="K2075">
        <v>83</v>
      </c>
      <c r="L2075">
        <v>267</v>
      </c>
      <c r="M2075">
        <v>85</v>
      </c>
      <c r="N2075">
        <v>59</v>
      </c>
      <c r="O2075">
        <v>35</v>
      </c>
      <c r="P2075">
        <v>2</v>
      </c>
      <c r="Q2075">
        <v>5</v>
      </c>
      <c r="R2075">
        <v>2</v>
      </c>
      <c r="S2075">
        <v>11</v>
      </c>
      <c r="T2075">
        <v>5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3</v>
      </c>
      <c r="AB2075">
        <v>11</v>
      </c>
      <c r="AC2075">
        <v>1</v>
      </c>
    </row>
    <row r="2076" spans="1:29" x14ac:dyDescent="0.3">
      <c r="A2076">
        <v>2254</v>
      </c>
      <c r="B2076">
        <v>1983</v>
      </c>
      <c r="C2076" t="s">
        <v>29</v>
      </c>
      <c r="D2076" t="s">
        <v>33</v>
      </c>
      <c r="E2076">
        <v>69520</v>
      </c>
      <c r="F2076">
        <v>0</v>
      </c>
      <c r="G2076">
        <v>0</v>
      </c>
      <c r="H2076" s="1">
        <v>41462</v>
      </c>
      <c r="I2076">
        <v>95</v>
      </c>
      <c r="J2076">
        <v>627</v>
      </c>
      <c r="K2076">
        <v>120</v>
      </c>
      <c r="L2076">
        <v>414</v>
      </c>
      <c r="M2076">
        <v>121</v>
      </c>
      <c r="N2076">
        <v>80</v>
      </c>
      <c r="O2076">
        <v>93</v>
      </c>
      <c r="P2076">
        <v>1</v>
      </c>
      <c r="Q2076">
        <v>9</v>
      </c>
      <c r="R2076">
        <v>6</v>
      </c>
      <c r="S2076">
        <v>5</v>
      </c>
      <c r="T2076">
        <v>5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3</v>
      </c>
      <c r="AB2076">
        <v>11</v>
      </c>
      <c r="AC2076">
        <v>0</v>
      </c>
    </row>
    <row r="2077" spans="1:29" x14ac:dyDescent="0.3">
      <c r="A2077">
        <v>10281</v>
      </c>
      <c r="B2077">
        <v>1970</v>
      </c>
      <c r="C2077" t="s">
        <v>29</v>
      </c>
      <c r="D2077" t="s">
        <v>35</v>
      </c>
      <c r="E2077">
        <v>64713</v>
      </c>
      <c r="F2077">
        <v>1</v>
      </c>
      <c r="G2077">
        <v>0</v>
      </c>
      <c r="H2077" s="1">
        <v>41677</v>
      </c>
      <c r="I2077">
        <v>11</v>
      </c>
      <c r="J2077">
        <v>180</v>
      </c>
      <c r="K2077">
        <v>60</v>
      </c>
      <c r="L2077">
        <v>241</v>
      </c>
      <c r="M2077">
        <v>13</v>
      </c>
      <c r="N2077">
        <v>54</v>
      </c>
      <c r="O2077">
        <v>54</v>
      </c>
      <c r="P2077">
        <v>2</v>
      </c>
      <c r="Q2077">
        <v>5</v>
      </c>
      <c r="R2077">
        <v>5</v>
      </c>
      <c r="S2077">
        <v>7</v>
      </c>
      <c r="T2077">
        <v>4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3</v>
      </c>
      <c r="AB2077">
        <v>11</v>
      </c>
      <c r="AC2077">
        <v>1</v>
      </c>
    </row>
    <row r="2078" spans="1:29" x14ac:dyDescent="0.3">
      <c r="A2078">
        <v>6958</v>
      </c>
      <c r="B2078">
        <v>1977</v>
      </c>
      <c r="C2078" t="s">
        <v>34</v>
      </c>
      <c r="D2078" t="s">
        <v>33</v>
      </c>
      <c r="E2078">
        <v>27889</v>
      </c>
      <c r="F2078">
        <v>1</v>
      </c>
      <c r="G2078">
        <v>0</v>
      </c>
      <c r="H2078" s="1">
        <v>41460</v>
      </c>
      <c r="I2078">
        <v>42</v>
      </c>
      <c r="J2078">
        <v>14</v>
      </c>
      <c r="K2078">
        <v>0</v>
      </c>
      <c r="L2078">
        <v>4</v>
      </c>
      <c r="M2078">
        <v>0</v>
      </c>
      <c r="N2078">
        <v>0</v>
      </c>
      <c r="O2078">
        <v>8</v>
      </c>
      <c r="P2078">
        <v>1</v>
      </c>
      <c r="Q2078">
        <v>1</v>
      </c>
      <c r="R2078">
        <v>1</v>
      </c>
      <c r="S2078">
        <v>2</v>
      </c>
      <c r="T2078">
        <v>6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3</v>
      </c>
      <c r="AB2078">
        <v>11</v>
      </c>
      <c r="AC2078">
        <v>0</v>
      </c>
    </row>
    <row r="2079" spans="1:29" x14ac:dyDescent="0.3">
      <c r="A2079">
        <v>954</v>
      </c>
      <c r="B2079">
        <v>1960</v>
      </c>
      <c r="C2079" t="s">
        <v>36</v>
      </c>
      <c r="D2079" t="s">
        <v>38</v>
      </c>
      <c r="E2079">
        <v>22123</v>
      </c>
      <c r="F2079">
        <v>0</v>
      </c>
      <c r="G2079">
        <v>0</v>
      </c>
      <c r="H2079" s="1">
        <v>41725</v>
      </c>
      <c r="I2079">
        <v>77</v>
      </c>
      <c r="J2079">
        <v>3</v>
      </c>
      <c r="K2079">
        <v>3</v>
      </c>
      <c r="L2079">
        <v>24</v>
      </c>
      <c r="M2079">
        <v>34</v>
      </c>
      <c r="N2079">
        <v>7</v>
      </c>
      <c r="O2079">
        <v>31</v>
      </c>
      <c r="P2079">
        <v>1</v>
      </c>
      <c r="Q2079">
        <v>2</v>
      </c>
      <c r="R2079">
        <v>1</v>
      </c>
      <c r="S2079">
        <v>3</v>
      </c>
      <c r="T2079">
        <v>5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3</v>
      </c>
      <c r="AB2079">
        <v>11</v>
      </c>
      <c r="AC2079">
        <v>0</v>
      </c>
    </row>
    <row r="2080" spans="1:29" x14ac:dyDescent="0.3">
      <c r="A2080">
        <v>5079</v>
      </c>
      <c r="B2080">
        <v>1971</v>
      </c>
      <c r="C2080" t="s">
        <v>29</v>
      </c>
      <c r="D2080" t="s">
        <v>33</v>
      </c>
      <c r="F2080">
        <v>1</v>
      </c>
      <c r="G2080">
        <v>1</v>
      </c>
      <c r="H2080" s="1">
        <v>41336</v>
      </c>
      <c r="I2080">
        <v>82</v>
      </c>
      <c r="J2080">
        <v>71</v>
      </c>
      <c r="K2080">
        <v>1</v>
      </c>
      <c r="L2080">
        <v>16</v>
      </c>
      <c r="M2080">
        <v>0</v>
      </c>
      <c r="N2080">
        <v>0</v>
      </c>
      <c r="O2080">
        <v>9</v>
      </c>
      <c r="P2080">
        <v>4</v>
      </c>
      <c r="Q2080">
        <v>2</v>
      </c>
      <c r="R2080">
        <v>1</v>
      </c>
      <c r="S2080">
        <v>3</v>
      </c>
      <c r="T2080">
        <v>8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3</v>
      </c>
      <c r="AB2080">
        <v>11</v>
      </c>
      <c r="AC2080">
        <v>0</v>
      </c>
    </row>
    <row r="2081" spans="1:29" x14ac:dyDescent="0.3">
      <c r="A2081">
        <v>10339</v>
      </c>
      <c r="B2081">
        <v>1954</v>
      </c>
      <c r="C2081" t="s">
        <v>34</v>
      </c>
      <c r="D2081" t="s">
        <v>31</v>
      </c>
      <c r="F2081">
        <v>0</v>
      </c>
      <c r="G2081">
        <v>1</v>
      </c>
      <c r="H2081" s="1">
        <v>41448</v>
      </c>
      <c r="I2081">
        <v>83</v>
      </c>
      <c r="J2081">
        <v>161</v>
      </c>
      <c r="K2081">
        <v>0</v>
      </c>
      <c r="L2081">
        <v>22</v>
      </c>
      <c r="M2081">
        <v>0</v>
      </c>
      <c r="N2081">
        <v>0</v>
      </c>
      <c r="O2081">
        <v>24</v>
      </c>
      <c r="P2081">
        <v>2</v>
      </c>
      <c r="Q2081">
        <v>4</v>
      </c>
      <c r="R2081">
        <v>1</v>
      </c>
      <c r="S2081">
        <v>4</v>
      </c>
      <c r="T2081">
        <v>6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3</v>
      </c>
      <c r="AB2081">
        <v>11</v>
      </c>
      <c r="AC2081">
        <v>0</v>
      </c>
    </row>
    <row r="2082" spans="1:29" x14ac:dyDescent="0.3">
      <c r="A2082">
        <v>4643</v>
      </c>
      <c r="B2082">
        <v>1973</v>
      </c>
      <c r="C2082" t="s">
        <v>29</v>
      </c>
      <c r="D2082" t="s">
        <v>33</v>
      </c>
      <c r="E2082">
        <v>27803</v>
      </c>
      <c r="F2082">
        <v>1</v>
      </c>
      <c r="G2082">
        <v>0</v>
      </c>
      <c r="H2082" s="1">
        <v>41147</v>
      </c>
      <c r="I2082">
        <v>40</v>
      </c>
      <c r="J2082">
        <v>8</v>
      </c>
      <c r="K2082">
        <v>26</v>
      </c>
      <c r="L2082">
        <v>46</v>
      </c>
      <c r="M2082">
        <v>38</v>
      </c>
      <c r="N2082">
        <v>9</v>
      </c>
      <c r="O2082">
        <v>49</v>
      </c>
      <c r="P2082">
        <v>2</v>
      </c>
      <c r="Q2082">
        <v>3</v>
      </c>
      <c r="R2082">
        <v>0</v>
      </c>
      <c r="S2082">
        <v>4</v>
      </c>
      <c r="T2082">
        <v>8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3</v>
      </c>
      <c r="AB2082">
        <v>11</v>
      </c>
      <c r="AC2082">
        <v>0</v>
      </c>
    </row>
    <row r="2083" spans="1:29" x14ac:dyDescent="0.3">
      <c r="A2083">
        <v>3117</v>
      </c>
      <c r="B2083">
        <v>1955</v>
      </c>
      <c r="C2083" t="s">
        <v>29</v>
      </c>
      <c r="D2083" t="s">
        <v>30</v>
      </c>
      <c r="F2083">
        <v>0</v>
      </c>
      <c r="G2083">
        <v>1</v>
      </c>
      <c r="H2083" s="1">
        <v>41565</v>
      </c>
      <c r="I2083">
        <v>95</v>
      </c>
      <c r="J2083">
        <v>264</v>
      </c>
      <c r="K2083">
        <v>0</v>
      </c>
      <c r="L2083">
        <v>21</v>
      </c>
      <c r="M2083">
        <v>12</v>
      </c>
      <c r="N2083">
        <v>6</v>
      </c>
      <c r="O2083">
        <v>147</v>
      </c>
      <c r="P2083">
        <v>3</v>
      </c>
      <c r="Q2083">
        <v>6</v>
      </c>
      <c r="R2083">
        <v>1</v>
      </c>
      <c r="S2083">
        <v>5</v>
      </c>
      <c r="T2083">
        <v>7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3</v>
      </c>
      <c r="AB2083">
        <v>11</v>
      </c>
      <c r="AC2083">
        <v>0</v>
      </c>
    </row>
    <row r="2084" spans="1:29" x14ac:dyDescent="0.3">
      <c r="A2084">
        <v>6497</v>
      </c>
      <c r="B2084">
        <v>1960</v>
      </c>
      <c r="C2084" t="s">
        <v>29</v>
      </c>
      <c r="D2084" t="s">
        <v>33</v>
      </c>
      <c r="E2084">
        <v>51651</v>
      </c>
      <c r="F2084">
        <v>0</v>
      </c>
      <c r="G2084">
        <v>1</v>
      </c>
      <c r="H2084" s="1">
        <v>41220</v>
      </c>
      <c r="I2084">
        <v>32</v>
      </c>
      <c r="J2084">
        <v>293</v>
      </c>
      <c r="K2084">
        <v>6</v>
      </c>
      <c r="L2084">
        <v>23</v>
      </c>
      <c r="M2084">
        <v>13</v>
      </c>
      <c r="N2084">
        <v>6</v>
      </c>
      <c r="O2084">
        <v>92</v>
      </c>
      <c r="P2084">
        <v>4</v>
      </c>
      <c r="Q2084">
        <v>6</v>
      </c>
      <c r="R2084">
        <v>2</v>
      </c>
      <c r="S2084">
        <v>5</v>
      </c>
      <c r="T2084">
        <v>8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3</v>
      </c>
      <c r="AB2084">
        <v>11</v>
      </c>
      <c r="AC2084">
        <v>0</v>
      </c>
    </row>
    <row r="2085" spans="1:29" x14ac:dyDescent="0.3">
      <c r="A2085">
        <v>5396</v>
      </c>
      <c r="B2085">
        <v>1988</v>
      </c>
      <c r="C2085" t="s">
        <v>29</v>
      </c>
      <c r="D2085" t="s">
        <v>33</v>
      </c>
      <c r="E2085">
        <v>68487</v>
      </c>
      <c r="F2085">
        <v>0</v>
      </c>
      <c r="G2085">
        <v>0</v>
      </c>
      <c r="H2085" s="1">
        <v>41287</v>
      </c>
      <c r="I2085">
        <v>48</v>
      </c>
      <c r="J2085">
        <v>758</v>
      </c>
      <c r="K2085">
        <v>12</v>
      </c>
      <c r="L2085">
        <v>385</v>
      </c>
      <c r="M2085">
        <v>33</v>
      </c>
      <c r="N2085">
        <v>89</v>
      </c>
      <c r="O2085">
        <v>89</v>
      </c>
      <c r="P2085">
        <v>1</v>
      </c>
      <c r="Q2085">
        <v>9</v>
      </c>
      <c r="R2085">
        <v>7</v>
      </c>
      <c r="S2085">
        <v>13</v>
      </c>
      <c r="T2085">
        <v>4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3</v>
      </c>
      <c r="AB2085">
        <v>11</v>
      </c>
      <c r="AC2085">
        <v>0</v>
      </c>
    </row>
    <row r="2086" spans="1:29" x14ac:dyDescent="0.3">
      <c r="A2086">
        <v>5250</v>
      </c>
      <c r="B2086">
        <v>1943</v>
      </c>
      <c r="C2086" t="s">
        <v>34</v>
      </c>
      <c r="D2086" t="s">
        <v>38</v>
      </c>
      <c r="F2086">
        <v>0</v>
      </c>
      <c r="G2086">
        <v>0</v>
      </c>
      <c r="H2086" s="1">
        <v>41577</v>
      </c>
      <c r="I2086">
        <v>75</v>
      </c>
      <c r="J2086">
        <v>532</v>
      </c>
      <c r="K2086">
        <v>126</v>
      </c>
      <c r="L2086">
        <v>490</v>
      </c>
      <c r="M2086">
        <v>164</v>
      </c>
      <c r="N2086">
        <v>126</v>
      </c>
      <c r="O2086">
        <v>126</v>
      </c>
      <c r="P2086">
        <v>1</v>
      </c>
      <c r="Q2086">
        <v>5</v>
      </c>
      <c r="R2086">
        <v>5</v>
      </c>
      <c r="S2086">
        <v>11</v>
      </c>
      <c r="T2086">
        <v>1</v>
      </c>
      <c r="U2086">
        <v>0</v>
      </c>
      <c r="V2086">
        <v>0</v>
      </c>
      <c r="W2086">
        <v>1</v>
      </c>
      <c r="X2086">
        <v>0</v>
      </c>
      <c r="Y2086">
        <v>0</v>
      </c>
      <c r="Z2086">
        <v>0</v>
      </c>
      <c r="AA2086">
        <v>3</v>
      </c>
      <c r="AB2086">
        <v>11</v>
      </c>
      <c r="AC2086">
        <v>1</v>
      </c>
    </row>
    <row r="2087" spans="1:29" x14ac:dyDescent="0.3">
      <c r="A2087">
        <v>1052</v>
      </c>
      <c r="B2087">
        <v>1969</v>
      </c>
      <c r="C2087" t="s">
        <v>29</v>
      </c>
      <c r="D2087" t="s">
        <v>33</v>
      </c>
      <c r="E2087">
        <v>56796</v>
      </c>
      <c r="F2087">
        <v>0</v>
      </c>
      <c r="G2087">
        <v>1</v>
      </c>
      <c r="H2087" s="1">
        <v>41321</v>
      </c>
      <c r="I2087">
        <v>24</v>
      </c>
      <c r="J2087">
        <v>656</v>
      </c>
      <c r="K2087">
        <v>38</v>
      </c>
      <c r="L2087">
        <v>161</v>
      </c>
      <c r="M2087">
        <v>62</v>
      </c>
      <c r="N2087">
        <v>47</v>
      </c>
      <c r="O2087">
        <v>37</v>
      </c>
      <c r="P2087">
        <v>3</v>
      </c>
      <c r="Q2087">
        <v>8</v>
      </c>
      <c r="R2087">
        <v>9</v>
      </c>
      <c r="S2087">
        <v>7</v>
      </c>
      <c r="T2087">
        <v>7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3</v>
      </c>
      <c r="AB2087">
        <v>11</v>
      </c>
      <c r="AC2087">
        <v>0</v>
      </c>
    </row>
    <row r="2088" spans="1:29" x14ac:dyDescent="0.3">
      <c r="A2088">
        <v>2802</v>
      </c>
      <c r="B2088">
        <v>1992</v>
      </c>
      <c r="C2088" t="s">
        <v>37</v>
      </c>
      <c r="D2088" t="s">
        <v>33</v>
      </c>
      <c r="E2088">
        <v>87000</v>
      </c>
      <c r="F2088">
        <v>0</v>
      </c>
      <c r="G2088">
        <v>0</v>
      </c>
      <c r="H2088" s="1">
        <v>41258</v>
      </c>
      <c r="I2088">
        <v>61</v>
      </c>
      <c r="J2088">
        <v>196</v>
      </c>
      <c r="K2088">
        <v>25</v>
      </c>
      <c r="L2088">
        <v>607</v>
      </c>
      <c r="M2088">
        <v>67</v>
      </c>
      <c r="N2088">
        <v>17</v>
      </c>
      <c r="O2088">
        <v>49</v>
      </c>
      <c r="P2088">
        <v>1</v>
      </c>
      <c r="Q2088">
        <v>4</v>
      </c>
      <c r="R2088">
        <v>6</v>
      </c>
      <c r="S2088">
        <v>7</v>
      </c>
      <c r="T2088">
        <v>2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3</v>
      </c>
      <c r="AB2088">
        <v>11</v>
      </c>
      <c r="AC2088">
        <v>0</v>
      </c>
    </row>
    <row r="2089" spans="1:29" x14ac:dyDescent="0.3">
      <c r="A2089">
        <v>6343</v>
      </c>
      <c r="B2089">
        <v>1959</v>
      </c>
      <c r="C2089" t="s">
        <v>29</v>
      </c>
      <c r="D2089" t="s">
        <v>33</v>
      </c>
      <c r="E2089">
        <v>79823</v>
      </c>
      <c r="F2089">
        <v>0</v>
      </c>
      <c r="G2089">
        <v>1</v>
      </c>
      <c r="H2089" s="1">
        <v>41729</v>
      </c>
      <c r="I2089">
        <v>6</v>
      </c>
      <c r="J2089">
        <v>835</v>
      </c>
      <c r="K2089">
        <v>73</v>
      </c>
      <c r="L2089">
        <v>380</v>
      </c>
      <c r="M2089">
        <v>114</v>
      </c>
      <c r="N2089">
        <v>73</v>
      </c>
      <c r="O2089">
        <v>43</v>
      </c>
      <c r="P2089">
        <v>1</v>
      </c>
      <c r="Q2089">
        <v>6</v>
      </c>
      <c r="R2089">
        <v>9</v>
      </c>
      <c r="S2089">
        <v>7</v>
      </c>
      <c r="T2089">
        <v>2</v>
      </c>
      <c r="U2089">
        <v>0</v>
      </c>
      <c r="V2089">
        <v>1</v>
      </c>
      <c r="W2089">
        <v>0</v>
      </c>
      <c r="X2089">
        <v>0</v>
      </c>
      <c r="Y2089">
        <v>0</v>
      </c>
      <c r="Z2089">
        <v>0</v>
      </c>
      <c r="AA2089">
        <v>3</v>
      </c>
      <c r="AB2089">
        <v>11</v>
      </c>
      <c r="AC2089">
        <v>0</v>
      </c>
    </row>
    <row r="2090" spans="1:29" x14ac:dyDescent="0.3">
      <c r="A2090">
        <v>6507</v>
      </c>
      <c r="B2090">
        <v>1980</v>
      </c>
      <c r="C2090" t="s">
        <v>29</v>
      </c>
      <c r="D2090" t="s">
        <v>30</v>
      </c>
      <c r="E2090">
        <v>30828</v>
      </c>
      <c r="F2090">
        <v>1</v>
      </c>
      <c r="G2090">
        <v>0</v>
      </c>
      <c r="H2090" s="1">
        <v>41551</v>
      </c>
      <c r="I2090">
        <v>16</v>
      </c>
      <c r="J2090">
        <v>16</v>
      </c>
      <c r="K2090">
        <v>11</v>
      </c>
      <c r="L2090">
        <v>15</v>
      </c>
      <c r="M2090">
        <v>2</v>
      </c>
      <c r="N2090">
        <v>0</v>
      </c>
      <c r="O2090">
        <v>12</v>
      </c>
      <c r="P2090">
        <v>2</v>
      </c>
      <c r="Q2090">
        <v>1</v>
      </c>
      <c r="R2090">
        <v>1</v>
      </c>
      <c r="S2090">
        <v>4</v>
      </c>
      <c r="T2090">
        <v>3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3</v>
      </c>
      <c r="AB2090">
        <v>11</v>
      </c>
      <c r="AC2090">
        <v>0</v>
      </c>
    </row>
    <row r="2091" spans="1:29" x14ac:dyDescent="0.3">
      <c r="A2091">
        <v>7901</v>
      </c>
      <c r="B2091">
        <v>1971</v>
      </c>
      <c r="C2091" t="s">
        <v>34</v>
      </c>
      <c r="D2091" t="s">
        <v>33</v>
      </c>
      <c r="E2091">
        <v>34109</v>
      </c>
      <c r="F2091">
        <v>0</v>
      </c>
      <c r="G2091">
        <v>1</v>
      </c>
      <c r="H2091" s="1">
        <v>41584</v>
      </c>
      <c r="I2091">
        <v>39</v>
      </c>
      <c r="J2091">
        <v>9</v>
      </c>
      <c r="K2091">
        <v>1</v>
      </c>
      <c r="L2091">
        <v>5</v>
      </c>
      <c r="M2091">
        <v>2</v>
      </c>
      <c r="N2091">
        <v>1</v>
      </c>
      <c r="O2091">
        <v>4</v>
      </c>
      <c r="P2091">
        <v>1</v>
      </c>
      <c r="Q2091">
        <v>0</v>
      </c>
      <c r="R2091">
        <v>0</v>
      </c>
      <c r="S2091">
        <v>3</v>
      </c>
      <c r="T2091">
        <v>4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3</v>
      </c>
      <c r="AB2091">
        <v>11</v>
      </c>
      <c r="AC2091">
        <v>0</v>
      </c>
    </row>
    <row r="2092" spans="1:29" x14ac:dyDescent="0.3">
      <c r="A2092">
        <v>4865</v>
      </c>
      <c r="B2092">
        <v>1974</v>
      </c>
      <c r="C2092" t="s">
        <v>34</v>
      </c>
      <c r="D2092" t="s">
        <v>35</v>
      </c>
      <c r="E2092">
        <v>53367</v>
      </c>
      <c r="F2092">
        <v>1</v>
      </c>
      <c r="G2092">
        <v>1</v>
      </c>
      <c r="H2092" s="1">
        <v>41517</v>
      </c>
      <c r="I2092">
        <v>2</v>
      </c>
      <c r="J2092">
        <v>229</v>
      </c>
      <c r="K2092">
        <v>7</v>
      </c>
      <c r="L2092">
        <v>140</v>
      </c>
      <c r="M2092">
        <v>10</v>
      </c>
      <c r="N2092">
        <v>3</v>
      </c>
      <c r="O2092">
        <v>11</v>
      </c>
      <c r="P2092">
        <v>7</v>
      </c>
      <c r="Q2092">
        <v>5</v>
      </c>
      <c r="R2092">
        <v>1</v>
      </c>
      <c r="S2092">
        <v>8</v>
      </c>
      <c r="T2092">
        <v>7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3</v>
      </c>
      <c r="AB2092">
        <v>11</v>
      </c>
      <c r="AC2092">
        <v>1</v>
      </c>
    </row>
    <row r="2093" spans="1:29" x14ac:dyDescent="0.3">
      <c r="A2093">
        <v>2686</v>
      </c>
      <c r="B2093">
        <v>1969</v>
      </c>
      <c r="C2093" t="s">
        <v>36</v>
      </c>
      <c r="D2093" t="s">
        <v>31</v>
      </c>
      <c r="E2093">
        <v>22390</v>
      </c>
      <c r="F2093">
        <v>0</v>
      </c>
      <c r="G2093">
        <v>0</v>
      </c>
      <c r="H2093" s="1">
        <v>41568</v>
      </c>
      <c r="I2093">
        <v>49</v>
      </c>
      <c r="J2093">
        <v>0</v>
      </c>
      <c r="K2093">
        <v>1</v>
      </c>
      <c r="L2093">
        <v>4</v>
      </c>
      <c r="M2093">
        <v>15</v>
      </c>
      <c r="N2093">
        <v>1</v>
      </c>
      <c r="O2093">
        <v>5</v>
      </c>
      <c r="P2093">
        <v>1</v>
      </c>
      <c r="Q2093">
        <v>1</v>
      </c>
      <c r="R2093">
        <v>0</v>
      </c>
      <c r="S2093">
        <v>2</v>
      </c>
      <c r="T2093">
        <v>7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3</v>
      </c>
      <c r="AB2093">
        <v>11</v>
      </c>
      <c r="AC2093">
        <v>0</v>
      </c>
    </row>
    <row r="2094" spans="1:29" x14ac:dyDescent="0.3">
      <c r="A2094">
        <v>3107</v>
      </c>
      <c r="B2094">
        <v>1976</v>
      </c>
      <c r="C2094" t="s">
        <v>29</v>
      </c>
      <c r="D2094" t="s">
        <v>31</v>
      </c>
      <c r="E2094">
        <v>71322</v>
      </c>
      <c r="F2094">
        <v>0</v>
      </c>
      <c r="G2094">
        <v>1</v>
      </c>
      <c r="H2094" s="1">
        <v>41761</v>
      </c>
      <c r="I2094">
        <v>31</v>
      </c>
      <c r="J2094">
        <v>121</v>
      </c>
      <c r="K2094">
        <v>24</v>
      </c>
      <c r="L2094">
        <v>124</v>
      </c>
      <c r="M2094">
        <v>24</v>
      </c>
      <c r="N2094">
        <v>15</v>
      </c>
      <c r="O2094">
        <v>42</v>
      </c>
      <c r="P2094">
        <v>1</v>
      </c>
      <c r="Q2094">
        <v>4</v>
      </c>
      <c r="R2094">
        <v>1</v>
      </c>
      <c r="S2094">
        <v>7</v>
      </c>
      <c r="T2094">
        <v>2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3</v>
      </c>
      <c r="AB2094">
        <v>11</v>
      </c>
      <c r="AC2094">
        <v>0</v>
      </c>
    </row>
    <row r="2095" spans="1:29" x14ac:dyDescent="0.3">
      <c r="A2095">
        <v>7734</v>
      </c>
      <c r="B2095">
        <v>1993</v>
      </c>
      <c r="C2095" t="s">
        <v>29</v>
      </c>
      <c r="D2095" t="s">
        <v>40</v>
      </c>
      <c r="E2095">
        <v>79244</v>
      </c>
      <c r="F2095">
        <v>0</v>
      </c>
      <c r="G2095">
        <v>0</v>
      </c>
      <c r="H2095" s="1">
        <v>41262</v>
      </c>
      <c r="I2095">
        <v>58</v>
      </c>
      <c r="J2095">
        <v>471</v>
      </c>
      <c r="K2095">
        <v>102</v>
      </c>
      <c r="L2095">
        <v>125</v>
      </c>
      <c r="M2095">
        <v>212</v>
      </c>
      <c r="N2095">
        <v>61</v>
      </c>
      <c r="O2095">
        <v>245</v>
      </c>
      <c r="P2095">
        <v>1</v>
      </c>
      <c r="Q2095">
        <v>4</v>
      </c>
      <c r="R2095">
        <v>10</v>
      </c>
      <c r="S2095">
        <v>7</v>
      </c>
      <c r="T2095">
        <v>1</v>
      </c>
      <c r="U2095">
        <v>0</v>
      </c>
      <c r="V2095">
        <v>0</v>
      </c>
      <c r="W2095">
        <v>1</v>
      </c>
      <c r="X2095">
        <v>1</v>
      </c>
      <c r="Y2095">
        <v>0</v>
      </c>
      <c r="Z2095">
        <v>0</v>
      </c>
      <c r="AA2095">
        <v>3</v>
      </c>
      <c r="AB2095">
        <v>11</v>
      </c>
      <c r="AC2095">
        <v>1</v>
      </c>
    </row>
    <row r="2096" spans="1:29" x14ac:dyDescent="0.3">
      <c r="A2096">
        <v>1146</v>
      </c>
      <c r="B2096">
        <v>1949</v>
      </c>
      <c r="C2096" t="s">
        <v>34</v>
      </c>
      <c r="D2096" t="s">
        <v>31</v>
      </c>
      <c r="E2096">
        <v>49912</v>
      </c>
      <c r="F2096">
        <v>0</v>
      </c>
      <c r="G2096">
        <v>1</v>
      </c>
      <c r="H2096" s="1">
        <v>41159</v>
      </c>
      <c r="I2096">
        <v>5</v>
      </c>
      <c r="J2096">
        <v>520</v>
      </c>
      <c r="K2096">
        <v>8</v>
      </c>
      <c r="L2096">
        <v>223</v>
      </c>
      <c r="M2096">
        <v>32</v>
      </c>
      <c r="N2096">
        <v>49</v>
      </c>
      <c r="O2096">
        <v>42</v>
      </c>
      <c r="P2096">
        <v>4</v>
      </c>
      <c r="Q2096">
        <v>10</v>
      </c>
      <c r="R2096">
        <v>5</v>
      </c>
      <c r="S2096">
        <v>7</v>
      </c>
      <c r="T2096">
        <v>8</v>
      </c>
      <c r="U2096">
        <v>1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3</v>
      </c>
      <c r="AB2096">
        <v>11</v>
      </c>
      <c r="AC2096">
        <v>1</v>
      </c>
    </row>
    <row r="2097" spans="1:29" x14ac:dyDescent="0.3">
      <c r="A2097">
        <v>11031</v>
      </c>
      <c r="B2097">
        <v>1950</v>
      </c>
      <c r="C2097" t="s">
        <v>32</v>
      </c>
      <c r="D2097" t="s">
        <v>33</v>
      </c>
      <c r="E2097">
        <v>48699</v>
      </c>
      <c r="F2097">
        <v>1</v>
      </c>
      <c r="G2097">
        <v>1</v>
      </c>
      <c r="H2097" s="1">
        <v>41415</v>
      </c>
      <c r="I2097">
        <v>90</v>
      </c>
      <c r="J2097">
        <v>26</v>
      </c>
      <c r="K2097">
        <v>1</v>
      </c>
      <c r="L2097">
        <v>10</v>
      </c>
      <c r="M2097">
        <v>2</v>
      </c>
      <c r="N2097">
        <v>0</v>
      </c>
      <c r="O2097">
        <v>1</v>
      </c>
      <c r="P2097">
        <v>1</v>
      </c>
      <c r="Q2097">
        <v>1</v>
      </c>
      <c r="R2097">
        <v>0</v>
      </c>
      <c r="S2097">
        <v>3</v>
      </c>
      <c r="T2097">
        <v>5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3</v>
      </c>
      <c r="AB2097">
        <v>11</v>
      </c>
      <c r="AC2097">
        <v>0</v>
      </c>
    </row>
    <row r="2098" spans="1:29" x14ac:dyDescent="0.3">
      <c r="A2098">
        <v>7428</v>
      </c>
      <c r="B2098">
        <v>1975</v>
      </c>
      <c r="C2098" t="s">
        <v>29</v>
      </c>
      <c r="D2098" t="s">
        <v>31</v>
      </c>
      <c r="E2098">
        <v>80144</v>
      </c>
      <c r="F2098">
        <v>0</v>
      </c>
      <c r="G2098">
        <v>0</v>
      </c>
      <c r="H2098" s="1">
        <v>41547</v>
      </c>
      <c r="I2098">
        <v>47</v>
      </c>
      <c r="J2098">
        <v>240</v>
      </c>
      <c r="K2098">
        <v>132</v>
      </c>
      <c r="L2098">
        <v>445</v>
      </c>
      <c r="M2098">
        <v>250</v>
      </c>
      <c r="N2098">
        <v>192</v>
      </c>
      <c r="O2098">
        <v>108</v>
      </c>
      <c r="P2098">
        <v>1</v>
      </c>
      <c r="Q2098">
        <v>3</v>
      </c>
      <c r="R2098">
        <v>7</v>
      </c>
      <c r="S2098">
        <v>8</v>
      </c>
      <c r="T2098">
        <v>1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3</v>
      </c>
      <c r="AB2098">
        <v>11</v>
      </c>
      <c r="AC2098">
        <v>0</v>
      </c>
    </row>
    <row r="2099" spans="1:29" x14ac:dyDescent="0.3">
      <c r="A2099">
        <v>975</v>
      </c>
      <c r="B2099">
        <v>1956</v>
      </c>
      <c r="C2099" t="s">
        <v>29</v>
      </c>
      <c r="D2099" t="s">
        <v>30</v>
      </c>
      <c r="E2099">
        <v>54252</v>
      </c>
      <c r="F2099">
        <v>1</v>
      </c>
      <c r="G2099">
        <v>1</v>
      </c>
      <c r="H2099" s="1">
        <v>41422</v>
      </c>
      <c r="I2099">
        <v>25</v>
      </c>
      <c r="J2099">
        <v>178</v>
      </c>
      <c r="K2099">
        <v>4</v>
      </c>
      <c r="L2099">
        <v>26</v>
      </c>
      <c r="M2099">
        <v>8</v>
      </c>
      <c r="N2099">
        <v>4</v>
      </c>
      <c r="O2099">
        <v>44</v>
      </c>
      <c r="P2099">
        <v>5</v>
      </c>
      <c r="Q2099">
        <v>4</v>
      </c>
      <c r="R2099">
        <v>1</v>
      </c>
      <c r="S2099">
        <v>5</v>
      </c>
      <c r="T2099">
        <v>6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3</v>
      </c>
      <c r="AB2099">
        <v>11</v>
      </c>
      <c r="AC2099">
        <v>0</v>
      </c>
    </row>
    <row r="2100" spans="1:29" x14ac:dyDescent="0.3">
      <c r="A2100">
        <v>1103</v>
      </c>
      <c r="B2100">
        <v>1976</v>
      </c>
      <c r="C2100" t="s">
        <v>34</v>
      </c>
      <c r="D2100" t="s">
        <v>33</v>
      </c>
      <c r="E2100">
        <v>81929</v>
      </c>
      <c r="F2100">
        <v>1</v>
      </c>
      <c r="G2100">
        <v>0</v>
      </c>
      <c r="H2100" s="1">
        <v>41181</v>
      </c>
      <c r="I2100">
        <v>60</v>
      </c>
      <c r="J2100">
        <v>1486</v>
      </c>
      <c r="K2100">
        <v>55</v>
      </c>
      <c r="L2100">
        <v>278</v>
      </c>
      <c r="M2100">
        <v>49</v>
      </c>
      <c r="N2100">
        <v>0</v>
      </c>
      <c r="O2100">
        <v>185</v>
      </c>
      <c r="P2100">
        <v>2</v>
      </c>
      <c r="Q2100">
        <v>4</v>
      </c>
      <c r="R2100">
        <v>4</v>
      </c>
      <c r="S2100">
        <v>10</v>
      </c>
      <c r="T2100">
        <v>6</v>
      </c>
      <c r="U2100">
        <v>1</v>
      </c>
      <c r="V2100">
        <v>0</v>
      </c>
      <c r="W2100">
        <v>1</v>
      </c>
      <c r="X2100">
        <v>0</v>
      </c>
      <c r="Y2100">
        <v>0</v>
      </c>
      <c r="Z2100">
        <v>0</v>
      </c>
      <c r="AA2100">
        <v>3</v>
      </c>
      <c r="AB2100">
        <v>11</v>
      </c>
      <c r="AC2100">
        <v>1</v>
      </c>
    </row>
    <row r="2101" spans="1:29" x14ac:dyDescent="0.3">
      <c r="A2101">
        <v>3422</v>
      </c>
      <c r="B2101">
        <v>1975</v>
      </c>
      <c r="C2101" t="s">
        <v>29</v>
      </c>
      <c r="D2101" t="s">
        <v>33</v>
      </c>
      <c r="E2101">
        <v>76068</v>
      </c>
      <c r="F2101">
        <v>0</v>
      </c>
      <c r="G2101">
        <v>1</v>
      </c>
      <c r="H2101" s="1">
        <v>41242</v>
      </c>
      <c r="I2101">
        <v>67</v>
      </c>
      <c r="J2101">
        <v>1115</v>
      </c>
      <c r="K2101">
        <v>12</v>
      </c>
      <c r="L2101">
        <v>128</v>
      </c>
      <c r="M2101">
        <v>33</v>
      </c>
      <c r="N2101">
        <v>12</v>
      </c>
      <c r="O2101">
        <v>76</v>
      </c>
      <c r="P2101">
        <v>1</v>
      </c>
      <c r="Q2101">
        <v>2</v>
      </c>
      <c r="R2101">
        <v>3</v>
      </c>
      <c r="S2101">
        <v>4</v>
      </c>
      <c r="T2101">
        <v>6</v>
      </c>
      <c r="U2101">
        <v>0</v>
      </c>
      <c r="V2101">
        <v>1</v>
      </c>
      <c r="W2101">
        <v>0</v>
      </c>
      <c r="X2101">
        <v>0</v>
      </c>
      <c r="Y2101">
        <v>1</v>
      </c>
      <c r="Z2101">
        <v>0</v>
      </c>
      <c r="AA2101">
        <v>3</v>
      </c>
      <c r="AB2101">
        <v>11</v>
      </c>
      <c r="AC2101">
        <v>0</v>
      </c>
    </row>
    <row r="2102" spans="1:29" x14ac:dyDescent="0.3">
      <c r="A2102">
        <v>1055</v>
      </c>
      <c r="B2102">
        <v>1976</v>
      </c>
      <c r="C2102" t="s">
        <v>34</v>
      </c>
      <c r="D2102" t="s">
        <v>33</v>
      </c>
      <c r="E2102">
        <v>53204</v>
      </c>
      <c r="F2102">
        <v>1</v>
      </c>
      <c r="G2102">
        <v>1</v>
      </c>
      <c r="H2102" s="1">
        <v>41718</v>
      </c>
      <c r="I2102">
        <v>40</v>
      </c>
      <c r="J2102">
        <v>29</v>
      </c>
      <c r="K2102">
        <v>0</v>
      </c>
      <c r="L2102">
        <v>8</v>
      </c>
      <c r="M2102">
        <v>2</v>
      </c>
      <c r="N2102">
        <v>0</v>
      </c>
      <c r="O2102">
        <v>6</v>
      </c>
      <c r="P2102">
        <v>1</v>
      </c>
      <c r="Q2102">
        <v>1</v>
      </c>
      <c r="R2102">
        <v>0</v>
      </c>
      <c r="S2102">
        <v>3</v>
      </c>
      <c r="T2102">
        <v>4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3</v>
      </c>
      <c r="AB2102">
        <v>11</v>
      </c>
      <c r="AC2102">
        <v>0</v>
      </c>
    </row>
    <row r="2103" spans="1:29" x14ac:dyDescent="0.3">
      <c r="A2103">
        <v>6544</v>
      </c>
      <c r="B2103">
        <v>1949</v>
      </c>
      <c r="C2103" t="s">
        <v>32</v>
      </c>
      <c r="D2103" t="s">
        <v>31</v>
      </c>
      <c r="E2103">
        <v>67911</v>
      </c>
      <c r="F2103">
        <v>0</v>
      </c>
      <c r="G2103">
        <v>1</v>
      </c>
      <c r="H2103" s="1">
        <v>41781</v>
      </c>
      <c r="I2103">
        <v>63</v>
      </c>
      <c r="J2103">
        <v>529</v>
      </c>
      <c r="K2103">
        <v>0</v>
      </c>
      <c r="L2103">
        <v>356</v>
      </c>
      <c r="M2103">
        <v>63</v>
      </c>
      <c r="N2103">
        <v>28</v>
      </c>
      <c r="O2103">
        <v>0</v>
      </c>
      <c r="P2103">
        <v>3</v>
      </c>
      <c r="Q2103">
        <v>6</v>
      </c>
      <c r="R2103">
        <v>7</v>
      </c>
      <c r="S2103">
        <v>11</v>
      </c>
      <c r="T2103">
        <v>3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3</v>
      </c>
      <c r="AB2103">
        <v>11</v>
      </c>
      <c r="AC2103">
        <v>0</v>
      </c>
    </row>
    <row r="2104" spans="1:29" x14ac:dyDescent="0.3">
      <c r="A2104">
        <v>1241</v>
      </c>
      <c r="B2104">
        <v>1984</v>
      </c>
      <c r="C2104" t="s">
        <v>37</v>
      </c>
      <c r="D2104" t="s">
        <v>33</v>
      </c>
      <c r="E2104">
        <v>14796</v>
      </c>
      <c r="F2104">
        <v>1</v>
      </c>
      <c r="G2104">
        <v>0</v>
      </c>
      <c r="H2104" s="1">
        <v>41169</v>
      </c>
      <c r="I2104">
        <v>1</v>
      </c>
      <c r="J2104">
        <v>13</v>
      </c>
      <c r="K2104">
        <v>3</v>
      </c>
      <c r="L2104">
        <v>8</v>
      </c>
      <c r="M2104">
        <v>7</v>
      </c>
      <c r="N2104">
        <v>4</v>
      </c>
      <c r="O2104">
        <v>16</v>
      </c>
      <c r="P2104">
        <v>2</v>
      </c>
      <c r="Q2104">
        <v>1</v>
      </c>
      <c r="R2104">
        <v>0</v>
      </c>
      <c r="S2104">
        <v>3</v>
      </c>
      <c r="T2104">
        <v>9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3</v>
      </c>
      <c r="AB2104">
        <v>11</v>
      </c>
      <c r="AC2104">
        <v>1</v>
      </c>
    </row>
    <row r="2105" spans="1:29" x14ac:dyDescent="0.3">
      <c r="A2105">
        <v>2909</v>
      </c>
      <c r="B2105">
        <v>1974</v>
      </c>
      <c r="C2105" t="s">
        <v>32</v>
      </c>
      <c r="D2105" t="s">
        <v>33</v>
      </c>
      <c r="E2105">
        <v>78128</v>
      </c>
      <c r="F2105">
        <v>0</v>
      </c>
      <c r="G2105">
        <v>1</v>
      </c>
      <c r="H2105" s="1">
        <v>41689</v>
      </c>
      <c r="I2105">
        <v>89</v>
      </c>
      <c r="J2105">
        <v>934</v>
      </c>
      <c r="K2105">
        <v>24</v>
      </c>
      <c r="L2105">
        <v>230</v>
      </c>
      <c r="M2105">
        <v>16</v>
      </c>
      <c r="N2105">
        <v>24</v>
      </c>
      <c r="O2105">
        <v>36</v>
      </c>
      <c r="P2105">
        <v>2</v>
      </c>
      <c r="Q2105">
        <v>8</v>
      </c>
      <c r="R2105">
        <v>4</v>
      </c>
      <c r="S2105">
        <v>6</v>
      </c>
      <c r="T2105">
        <v>3</v>
      </c>
      <c r="U2105">
        <v>0</v>
      </c>
      <c r="V2105">
        <v>1</v>
      </c>
      <c r="W2105">
        <v>1</v>
      </c>
      <c r="X2105">
        <v>0</v>
      </c>
      <c r="Y2105">
        <v>0</v>
      </c>
      <c r="Z2105">
        <v>0</v>
      </c>
      <c r="AA2105">
        <v>3</v>
      </c>
      <c r="AB2105">
        <v>11</v>
      </c>
      <c r="AC2105">
        <v>0</v>
      </c>
    </row>
    <row r="2106" spans="1:29" x14ac:dyDescent="0.3">
      <c r="A2106">
        <v>5802</v>
      </c>
      <c r="B2106">
        <v>1972</v>
      </c>
      <c r="C2106" t="s">
        <v>36</v>
      </c>
      <c r="D2106" t="s">
        <v>33</v>
      </c>
      <c r="E2106">
        <v>14188</v>
      </c>
      <c r="F2106">
        <v>0</v>
      </c>
      <c r="G2106">
        <v>0</v>
      </c>
      <c r="H2106" s="1">
        <v>41333</v>
      </c>
      <c r="I2106">
        <v>40</v>
      </c>
      <c r="J2106">
        <v>2</v>
      </c>
      <c r="K2106">
        <v>7</v>
      </c>
      <c r="L2106">
        <v>11</v>
      </c>
      <c r="M2106">
        <v>16</v>
      </c>
      <c r="N2106">
        <v>12</v>
      </c>
      <c r="O2106">
        <v>27</v>
      </c>
      <c r="P2106">
        <v>1</v>
      </c>
      <c r="Q2106">
        <v>2</v>
      </c>
      <c r="R2106">
        <v>0</v>
      </c>
      <c r="S2106">
        <v>4</v>
      </c>
      <c r="T2106">
        <v>6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3</v>
      </c>
      <c r="AB2106">
        <v>11</v>
      </c>
      <c r="AC2106">
        <v>0</v>
      </c>
    </row>
    <row r="2107" spans="1:29" x14ac:dyDescent="0.3">
      <c r="A2107">
        <v>1407</v>
      </c>
      <c r="B2107">
        <v>1986</v>
      </c>
      <c r="C2107" t="s">
        <v>36</v>
      </c>
      <c r="D2107" t="s">
        <v>33</v>
      </c>
      <c r="E2107">
        <v>20425</v>
      </c>
      <c r="F2107">
        <v>1</v>
      </c>
      <c r="G2107">
        <v>0</v>
      </c>
      <c r="H2107" s="1">
        <v>41211</v>
      </c>
      <c r="I2107">
        <v>5</v>
      </c>
      <c r="J2107">
        <v>4</v>
      </c>
      <c r="K2107">
        <v>12</v>
      </c>
      <c r="L2107">
        <v>5</v>
      </c>
      <c r="M2107">
        <v>3</v>
      </c>
      <c r="N2107">
        <v>16</v>
      </c>
      <c r="O2107">
        <v>17</v>
      </c>
      <c r="P2107">
        <v>2</v>
      </c>
      <c r="Q2107">
        <v>2</v>
      </c>
      <c r="R2107">
        <v>0</v>
      </c>
      <c r="S2107">
        <v>3</v>
      </c>
      <c r="T2107">
        <v>7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3</v>
      </c>
      <c r="AB2107">
        <v>11</v>
      </c>
      <c r="AC2107">
        <v>0</v>
      </c>
    </row>
    <row r="2108" spans="1:29" x14ac:dyDescent="0.3">
      <c r="A2108">
        <v>6183</v>
      </c>
      <c r="B2108">
        <v>1962</v>
      </c>
      <c r="C2108" t="s">
        <v>34</v>
      </c>
      <c r="D2108" t="s">
        <v>33</v>
      </c>
      <c r="E2108">
        <v>58646</v>
      </c>
      <c r="F2108">
        <v>0</v>
      </c>
      <c r="G2108">
        <v>1</v>
      </c>
      <c r="H2108" s="1">
        <v>41435</v>
      </c>
      <c r="I2108">
        <v>3</v>
      </c>
      <c r="J2108">
        <v>62</v>
      </c>
      <c r="K2108">
        <v>1</v>
      </c>
      <c r="L2108">
        <v>44</v>
      </c>
      <c r="M2108">
        <v>6</v>
      </c>
      <c r="N2108">
        <v>5</v>
      </c>
      <c r="O2108">
        <v>22</v>
      </c>
      <c r="P2108">
        <v>1</v>
      </c>
      <c r="Q2108">
        <v>2</v>
      </c>
      <c r="R2108">
        <v>1</v>
      </c>
      <c r="S2108">
        <v>4</v>
      </c>
      <c r="T2108">
        <v>4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3</v>
      </c>
      <c r="AB2108">
        <v>11</v>
      </c>
      <c r="AC2108">
        <v>0</v>
      </c>
    </row>
    <row r="2109" spans="1:29" x14ac:dyDescent="0.3">
      <c r="A2109">
        <v>340</v>
      </c>
      <c r="B2109">
        <v>1970</v>
      </c>
      <c r="C2109" t="s">
        <v>29</v>
      </c>
      <c r="D2109" t="s">
        <v>35</v>
      </c>
      <c r="E2109">
        <v>72967</v>
      </c>
      <c r="F2109">
        <v>0</v>
      </c>
      <c r="G2109">
        <v>1</v>
      </c>
      <c r="H2109" s="1">
        <v>41258</v>
      </c>
      <c r="I2109">
        <v>1</v>
      </c>
      <c r="J2109">
        <v>158</v>
      </c>
      <c r="K2109">
        <v>35</v>
      </c>
      <c r="L2109">
        <v>179</v>
      </c>
      <c r="M2109">
        <v>0</v>
      </c>
      <c r="N2109">
        <v>0</v>
      </c>
      <c r="O2109">
        <v>125</v>
      </c>
      <c r="P2109">
        <v>2</v>
      </c>
      <c r="Q2109">
        <v>7</v>
      </c>
      <c r="R2109">
        <v>2</v>
      </c>
      <c r="S2109">
        <v>8</v>
      </c>
      <c r="T2109">
        <v>5</v>
      </c>
      <c r="U2109">
        <v>1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3</v>
      </c>
      <c r="AB2109">
        <v>11</v>
      </c>
      <c r="AC2109">
        <v>1</v>
      </c>
    </row>
    <row r="2110" spans="1:29" x14ac:dyDescent="0.3">
      <c r="A2110">
        <v>5991</v>
      </c>
      <c r="B2110">
        <v>1949</v>
      </c>
      <c r="C2110" t="s">
        <v>34</v>
      </c>
      <c r="D2110" t="s">
        <v>33</v>
      </c>
      <c r="E2110">
        <v>48150</v>
      </c>
      <c r="F2110">
        <v>0</v>
      </c>
      <c r="G2110">
        <v>1</v>
      </c>
      <c r="H2110" s="1">
        <v>41433</v>
      </c>
      <c r="I2110">
        <v>24</v>
      </c>
      <c r="J2110">
        <v>173</v>
      </c>
      <c r="K2110">
        <v>2</v>
      </c>
      <c r="L2110">
        <v>39</v>
      </c>
      <c r="M2110">
        <v>3</v>
      </c>
      <c r="N2110">
        <v>2</v>
      </c>
      <c r="O2110">
        <v>47</v>
      </c>
      <c r="P2110">
        <v>3</v>
      </c>
      <c r="Q2110">
        <v>5</v>
      </c>
      <c r="R2110">
        <v>1</v>
      </c>
      <c r="S2110">
        <v>4</v>
      </c>
      <c r="T2110">
        <v>7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3</v>
      </c>
      <c r="AB2110">
        <v>11</v>
      </c>
      <c r="AC2110">
        <v>0</v>
      </c>
    </row>
    <row r="2111" spans="1:29" x14ac:dyDescent="0.3">
      <c r="A2111">
        <v>3104</v>
      </c>
      <c r="B2111">
        <v>1961</v>
      </c>
      <c r="C2111" t="s">
        <v>29</v>
      </c>
      <c r="D2111" t="s">
        <v>30</v>
      </c>
      <c r="E2111">
        <v>82332</v>
      </c>
      <c r="F2111">
        <v>0</v>
      </c>
      <c r="G2111">
        <v>0</v>
      </c>
      <c r="H2111" s="1">
        <v>41169</v>
      </c>
      <c r="I2111">
        <v>89</v>
      </c>
      <c r="J2111">
        <v>830</v>
      </c>
      <c r="K2111">
        <v>59</v>
      </c>
      <c r="L2111">
        <v>968</v>
      </c>
      <c r="M2111">
        <v>51</v>
      </c>
      <c r="N2111">
        <v>79</v>
      </c>
      <c r="O2111">
        <v>19</v>
      </c>
      <c r="P2111">
        <v>1</v>
      </c>
      <c r="Q2111">
        <v>5</v>
      </c>
      <c r="R2111">
        <v>3</v>
      </c>
      <c r="S2111">
        <v>12</v>
      </c>
      <c r="T2111">
        <v>2</v>
      </c>
      <c r="U2111">
        <v>0</v>
      </c>
      <c r="V2111">
        <v>0</v>
      </c>
      <c r="W2111">
        <v>1</v>
      </c>
      <c r="X2111">
        <v>0</v>
      </c>
      <c r="Y2111">
        <v>0</v>
      </c>
      <c r="Z2111">
        <v>0</v>
      </c>
      <c r="AA2111">
        <v>3</v>
      </c>
      <c r="AB2111">
        <v>11</v>
      </c>
      <c r="AC2111">
        <v>1</v>
      </c>
    </row>
    <row r="2112" spans="1:29" x14ac:dyDescent="0.3">
      <c r="A2112">
        <v>9729</v>
      </c>
      <c r="B2112">
        <v>1955</v>
      </c>
      <c r="C2112" t="s">
        <v>29</v>
      </c>
      <c r="D2112" t="s">
        <v>38</v>
      </c>
      <c r="E2112">
        <v>58275</v>
      </c>
      <c r="F2112">
        <v>1</v>
      </c>
      <c r="G2112">
        <v>1</v>
      </c>
      <c r="H2112" s="1">
        <v>41427</v>
      </c>
      <c r="I2112">
        <v>48</v>
      </c>
      <c r="J2112">
        <v>189</v>
      </c>
      <c r="K2112">
        <v>10</v>
      </c>
      <c r="L2112">
        <v>253</v>
      </c>
      <c r="M2112">
        <v>56</v>
      </c>
      <c r="N2112">
        <v>43</v>
      </c>
      <c r="O2112">
        <v>64</v>
      </c>
      <c r="P2112">
        <v>6</v>
      </c>
      <c r="Q2112">
        <v>8</v>
      </c>
      <c r="R2112">
        <v>2</v>
      </c>
      <c r="S2112">
        <v>7</v>
      </c>
      <c r="T2112">
        <v>7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3</v>
      </c>
      <c r="AB2112">
        <v>11</v>
      </c>
      <c r="AC2112">
        <v>0</v>
      </c>
    </row>
    <row r="2113" spans="1:29" x14ac:dyDescent="0.3">
      <c r="A2113">
        <v>1008</v>
      </c>
      <c r="B2113">
        <v>1981</v>
      </c>
      <c r="C2113" t="s">
        <v>32</v>
      </c>
      <c r="D2113" t="s">
        <v>31</v>
      </c>
      <c r="E2113">
        <v>44953</v>
      </c>
      <c r="F2113">
        <v>0</v>
      </c>
      <c r="G2113">
        <v>0</v>
      </c>
      <c r="H2113" s="1">
        <v>41264</v>
      </c>
      <c r="I2113">
        <v>31</v>
      </c>
      <c r="J2113">
        <v>728</v>
      </c>
      <c r="K2113">
        <v>17</v>
      </c>
      <c r="L2113">
        <v>133</v>
      </c>
      <c r="M2113">
        <v>11</v>
      </c>
      <c r="N2113">
        <v>8</v>
      </c>
      <c r="O2113">
        <v>124</v>
      </c>
      <c r="P2113">
        <v>1</v>
      </c>
      <c r="Q2113">
        <v>7</v>
      </c>
      <c r="R2113">
        <v>3</v>
      </c>
      <c r="S2113">
        <v>13</v>
      </c>
      <c r="T2113">
        <v>6</v>
      </c>
      <c r="U2113">
        <v>1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3</v>
      </c>
      <c r="AB2113">
        <v>11</v>
      </c>
      <c r="AC2113">
        <v>0</v>
      </c>
    </row>
    <row r="2114" spans="1:29" x14ac:dyDescent="0.3">
      <c r="A2114">
        <v>11091</v>
      </c>
      <c r="B2114">
        <v>1953</v>
      </c>
      <c r="C2114" t="s">
        <v>29</v>
      </c>
      <c r="D2114" t="s">
        <v>31</v>
      </c>
      <c r="E2114">
        <v>34587</v>
      </c>
      <c r="F2114">
        <v>1</v>
      </c>
      <c r="G2114">
        <v>1</v>
      </c>
      <c r="H2114" s="1">
        <v>41775</v>
      </c>
      <c r="I2114">
        <v>68</v>
      </c>
      <c r="J2114">
        <v>7</v>
      </c>
      <c r="K2114">
        <v>2</v>
      </c>
      <c r="L2114">
        <v>9</v>
      </c>
      <c r="M2114">
        <v>2</v>
      </c>
      <c r="N2114">
        <v>0</v>
      </c>
      <c r="O2114">
        <v>2</v>
      </c>
      <c r="P2114">
        <v>2</v>
      </c>
      <c r="Q2114">
        <v>1</v>
      </c>
      <c r="R2114">
        <v>0</v>
      </c>
      <c r="S2114">
        <v>3</v>
      </c>
      <c r="T2114">
        <v>4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3</v>
      </c>
      <c r="AB2114">
        <v>11</v>
      </c>
      <c r="AC2114">
        <v>0</v>
      </c>
    </row>
    <row r="2115" spans="1:29" x14ac:dyDescent="0.3">
      <c r="A2115">
        <v>3969</v>
      </c>
      <c r="B2115">
        <v>1974</v>
      </c>
      <c r="C2115" t="s">
        <v>34</v>
      </c>
      <c r="D2115" t="s">
        <v>31</v>
      </c>
      <c r="E2115">
        <v>43018</v>
      </c>
      <c r="F2115">
        <v>0</v>
      </c>
      <c r="G2115">
        <v>1</v>
      </c>
      <c r="H2115" s="1">
        <v>41579</v>
      </c>
      <c r="I2115">
        <v>46</v>
      </c>
      <c r="J2115">
        <v>35</v>
      </c>
      <c r="K2115">
        <v>4</v>
      </c>
      <c r="L2115">
        <v>17</v>
      </c>
      <c r="M2115">
        <v>7</v>
      </c>
      <c r="N2115">
        <v>6</v>
      </c>
      <c r="O2115">
        <v>64</v>
      </c>
      <c r="P2115">
        <v>1</v>
      </c>
      <c r="Q2115">
        <v>2</v>
      </c>
      <c r="R2115">
        <v>2</v>
      </c>
      <c r="S2115">
        <v>2</v>
      </c>
      <c r="T2115">
        <v>5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3</v>
      </c>
      <c r="AB2115">
        <v>11</v>
      </c>
      <c r="AC2115">
        <v>0</v>
      </c>
    </row>
    <row r="2116" spans="1:29" x14ac:dyDescent="0.3">
      <c r="A2116">
        <v>1916</v>
      </c>
      <c r="B2116">
        <v>1954</v>
      </c>
      <c r="C2116" t="s">
        <v>34</v>
      </c>
      <c r="D2116" t="s">
        <v>33</v>
      </c>
      <c r="E2116">
        <v>45736</v>
      </c>
      <c r="F2116">
        <v>0</v>
      </c>
      <c r="G2116">
        <v>1</v>
      </c>
      <c r="H2116" s="1">
        <v>41479</v>
      </c>
      <c r="I2116">
        <v>92</v>
      </c>
      <c r="J2116">
        <v>188</v>
      </c>
      <c r="K2116">
        <v>3</v>
      </c>
      <c r="L2116">
        <v>180</v>
      </c>
      <c r="M2116">
        <v>20</v>
      </c>
      <c r="N2116">
        <v>3</v>
      </c>
      <c r="O2116">
        <v>43</v>
      </c>
      <c r="P2116">
        <v>5</v>
      </c>
      <c r="Q2116">
        <v>7</v>
      </c>
      <c r="R2116">
        <v>1</v>
      </c>
      <c r="S2116">
        <v>6</v>
      </c>
      <c r="T2116">
        <v>7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3</v>
      </c>
      <c r="AB2116">
        <v>11</v>
      </c>
      <c r="AC2116">
        <v>0</v>
      </c>
    </row>
    <row r="2117" spans="1:29" x14ac:dyDescent="0.3">
      <c r="A2117">
        <v>9907</v>
      </c>
      <c r="B2117">
        <v>1969</v>
      </c>
      <c r="C2117" t="s">
        <v>34</v>
      </c>
      <c r="D2117" t="s">
        <v>31</v>
      </c>
      <c r="E2117">
        <v>66476</v>
      </c>
      <c r="F2117">
        <v>0</v>
      </c>
      <c r="G2117">
        <v>1</v>
      </c>
      <c r="H2117" s="1">
        <v>41612</v>
      </c>
      <c r="I2117">
        <v>80</v>
      </c>
      <c r="J2117">
        <v>742</v>
      </c>
      <c r="K2117">
        <v>28</v>
      </c>
      <c r="L2117">
        <v>152</v>
      </c>
      <c r="M2117">
        <v>25</v>
      </c>
      <c r="N2117">
        <v>9</v>
      </c>
      <c r="O2117">
        <v>57</v>
      </c>
      <c r="P2117">
        <v>2</v>
      </c>
      <c r="Q2117">
        <v>6</v>
      </c>
      <c r="R2117">
        <v>8</v>
      </c>
      <c r="S2117">
        <v>10</v>
      </c>
      <c r="T2117">
        <v>4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3</v>
      </c>
      <c r="AB2117">
        <v>11</v>
      </c>
      <c r="AC2117">
        <v>0</v>
      </c>
    </row>
    <row r="2118" spans="1:29" x14ac:dyDescent="0.3">
      <c r="A2118">
        <v>87</v>
      </c>
      <c r="B2118">
        <v>1981</v>
      </c>
      <c r="C2118" t="s">
        <v>37</v>
      </c>
      <c r="D2118" t="s">
        <v>33</v>
      </c>
      <c r="E2118">
        <v>27733</v>
      </c>
      <c r="F2118">
        <v>1</v>
      </c>
      <c r="G2118">
        <v>0</v>
      </c>
      <c r="H2118" s="1">
        <v>41512</v>
      </c>
      <c r="I2118">
        <v>16</v>
      </c>
      <c r="J2118">
        <v>0</v>
      </c>
      <c r="K2118">
        <v>7</v>
      </c>
      <c r="L2118">
        <v>5</v>
      </c>
      <c r="M2118">
        <v>26</v>
      </c>
      <c r="N2118">
        <v>2</v>
      </c>
      <c r="O2118">
        <v>17</v>
      </c>
      <c r="P2118">
        <v>2</v>
      </c>
      <c r="Q2118">
        <v>2</v>
      </c>
      <c r="R2118">
        <v>0</v>
      </c>
      <c r="S2118">
        <v>3</v>
      </c>
      <c r="T2118">
        <v>7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3</v>
      </c>
      <c r="AB2118">
        <v>11</v>
      </c>
      <c r="AC2118">
        <v>0</v>
      </c>
    </row>
    <row r="2119" spans="1:29" x14ac:dyDescent="0.3">
      <c r="A2119">
        <v>8659</v>
      </c>
      <c r="B2119">
        <v>1952</v>
      </c>
      <c r="C2119" t="s">
        <v>32</v>
      </c>
      <c r="D2119" t="s">
        <v>31</v>
      </c>
      <c r="E2119">
        <v>69805</v>
      </c>
      <c r="F2119">
        <v>0</v>
      </c>
      <c r="G2119">
        <v>1</v>
      </c>
      <c r="H2119" s="1">
        <v>41660</v>
      </c>
      <c r="I2119">
        <v>50</v>
      </c>
      <c r="J2119">
        <v>750</v>
      </c>
      <c r="K2119">
        <v>71</v>
      </c>
      <c r="L2119">
        <v>174</v>
      </c>
      <c r="M2119">
        <v>13</v>
      </c>
      <c r="N2119">
        <v>10</v>
      </c>
      <c r="O2119">
        <v>20</v>
      </c>
      <c r="P2119">
        <v>2</v>
      </c>
      <c r="Q2119">
        <v>6</v>
      </c>
      <c r="R2119">
        <v>8</v>
      </c>
      <c r="S2119">
        <v>11</v>
      </c>
      <c r="T2119">
        <v>2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3</v>
      </c>
      <c r="AB2119">
        <v>11</v>
      </c>
      <c r="AC2119">
        <v>0</v>
      </c>
    </row>
    <row r="2120" spans="1:29" x14ac:dyDescent="0.3">
      <c r="A2120">
        <v>6262</v>
      </c>
      <c r="B2120">
        <v>1962</v>
      </c>
      <c r="C2120" t="s">
        <v>34</v>
      </c>
      <c r="D2120" t="s">
        <v>30</v>
      </c>
      <c r="E2120">
        <v>72217</v>
      </c>
      <c r="F2120">
        <v>0</v>
      </c>
      <c r="G2120">
        <v>0</v>
      </c>
      <c r="H2120" s="1">
        <v>41374</v>
      </c>
      <c r="I2120">
        <v>93</v>
      </c>
      <c r="J2120">
        <v>816</v>
      </c>
      <c r="K2120">
        <v>42</v>
      </c>
      <c r="L2120">
        <v>450</v>
      </c>
      <c r="M2120">
        <v>55</v>
      </c>
      <c r="N2120">
        <v>56</v>
      </c>
      <c r="O2120">
        <v>154</v>
      </c>
      <c r="P2120">
        <v>1</v>
      </c>
      <c r="Q2120">
        <v>3</v>
      </c>
      <c r="R2120">
        <v>10</v>
      </c>
      <c r="S2120">
        <v>8</v>
      </c>
      <c r="T2120">
        <v>2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3</v>
      </c>
      <c r="AB2120">
        <v>11</v>
      </c>
      <c r="AC2120">
        <v>0</v>
      </c>
    </row>
    <row r="2121" spans="1:29" x14ac:dyDescent="0.3">
      <c r="A2121">
        <v>6147</v>
      </c>
      <c r="B2121">
        <v>1971</v>
      </c>
      <c r="C2121" t="s">
        <v>29</v>
      </c>
      <c r="D2121" t="s">
        <v>35</v>
      </c>
      <c r="E2121">
        <v>25818</v>
      </c>
      <c r="F2121">
        <v>1</v>
      </c>
      <c r="G2121">
        <v>0</v>
      </c>
      <c r="H2121" s="1">
        <v>41200</v>
      </c>
      <c r="I2121">
        <v>51</v>
      </c>
      <c r="J2121">
        <v>5</v>
      </c>
      <c r="K2121">
        <v>2</v>
      </c>
      <c r="L2121">
        <v>8</v>
      </c>
      <c r="M2121">
        <v>2</v>
      </c>
      <c r="N2121">
        <v>2</v>
      </c>
      <c r="O2121">
        <v>9</v>
      </c>
      <c r="P2121">
        <v>1</v>
      </c>
      <c r="Q2121">
        <v>0</v>
      </c>
      <c r="R2121">
        <v>1</v>
      </c>
      <c r="S2121">
        <v>2</v>
      </c>
      <c r="T2121">
        <v>7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3</v>
      </c>
      <c r="AB2121">
        <v>11</v>
      </c>
      <c r="AC2121">
        <v>0</v>
      </c>
    </row>
    <row r="2122" spans="1:29" x14ac:dyDescent="0.3">
      <c r="A2122">
        <v>8832</v>
      </c>
      <c r="B2122">
        <v>1976</v>
      </c>
      <c r="C2122" t="s">
        <v>34</v>
      </c>
      <c r="D2122" t="s">
        <v>31</v>
      </c>
      <c r="E2122">
        <v>37509</v>
      </c>
      <c r="F2122">
        <v>1</v>
      </c>
      <c r="G2122">
        <v>0</v>
      </c>
      <c r="H2122" s="1">
        <v>41164</v>
      </c>
      <c r="I2122">
        <v>24</v>
      </c>
      <c r="J2122">
        <v>37</v>
      </c>
      <c r="K2122">
        <v>5</v>
      </c>
      <c r="L2122">
        <v>56</v>
      </c>
      <c r="M2122">
        <v>12</v>
      </c>
      <c r="N2122">
        <v>8</v>
      </c>
      <c r="O2122">
        <v>5</v>
      </c>
      <c r="P2122">
        <v>2</v>
      </c>
      <c r="Q2122">
        <v>3</v>
      </c>
      <c r="R2122">
        <v>0</v>
      </c>
      <c r="S2122">
        <v>4</v>
      </c>
      <c r="T2122">
        <v>7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3</v>
      </c>
      <c r="AB2122">
        <v>11</v>
      </c>
      <c r="AC2122">
        <v>0</v>
      </c>
    </row>
    <row r="2123" spans="1:29" x14ac:dyDescent="0.3">
      <c r="A2123">
        <v>10067</v>
      </c>
      <c r="B2123">
        <v>1976</v>
      </c>
      <c r="C2123" t="s">
        <v>37</v>
      </c>
      <c r="D2123" t="s">
        <v>31</v>
      </c>
      <c r="E2123">
        <v>25176</v>
      </c>
      <c r="F2123">
        <v>1</v>
      </c>
      <c r="G2123">
        <v>1</v>
      </c>
      <c r="H2123" s="1">
        <v>41496</v>
      </c>
      <c r="I2123">
        <v>79</v>
      </c>
      <c r="J2123">
        <v>4</v>
      </c>
      <c r="K2123">
        <v>0</v>
      </c>
      <c r="L2123">
        <v>4</v>
      </c>
      <c r="M2123">
        <v>0</v>
      </c>
      <c r="N2123">
        <v>0</v>
      </c>
      <c r="O2123">
        <v>5</v>
      </c>
      <c r="P2123">
        <v>1</v>
      </c>
      <c r="Q2123">
        <v>1</v>
      </c>
      <c r="R2123">
        <v>0</v>
      </c>
      <c r="S2123">
        <v>2</v>
      </c>
      <c r="T2123">
        <v>7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3</v>
      </c>
      <c r="AB2123">
        <v>11</v>
      </c>
      <c r="AC2123">
        <v>0</v>
      </c>
    </row>
    <row r="2124" spans="1:29" x14ac:dyDescent="0.3">
      <c r="A2124">
        <v>7532</v>
      </c>
      <c r="B2124">
        <v>1980</v>
      </c>
      <c r="C2124" t="s">
        <v>29</v>
      </c>
      <c r="D2124" t="s">
        <v>33</v>
      </c>
      <c r="E2124">
        <v>43586</v>
      </c>
      <c r="F2124">
        <v>0</v>
      </c>
      <c r="G2124">
        <v>1</v>
      </c>
      <c r="H2124" s="1">
        <v>41151</v>
      </c>
      <c r="I2124">
        <v>26</v>
      </c>
      <c r="J2124">
        <v>99</v>
      </c>
      <c r="K2124">
        <v>2</v>
      </c>
      <c r="L2124">
        <v>11</v>
      </c>
      <c r="M2124">
        <v>4</v>
      </c>
      <c r="N2124">
        <v>0</v>
      </c>
      <c r="O2124">
        <v>16</v>
      </c>
      <c r="P2124">
        <v>3</v>
      </c>
      <c r="Q2124">
        <v>3</v>
      </c>
      <c r="R2124">
        <v>0</v>
      </c>
      <c r="S2124">
        <v>4</v>
      </c>
      <c r="T2124">
        <v>8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3</v>
      </c>
      <c r="AB2124">
        <v>11</v>
      </c>
      <c r="AC2124">
        <v>0</v>
      </c>
    </row>
    <row r="2125" spans="1:29" x14ac:dyDescent="0.3">
      <c r="A2125">
        <v>4915</v>
      </c>
      <c r="B2125">
        <v>1956</v>
      </c>
      <c r="C2125" t="s">
        <v>37</v>
      </c>
      <c r="D2125" t="s">
        <v>33</v>
      </c>
      <c r="E2125">
        <v>53230</v>
      </c>
      <c r="F2125">
        <v>0</v>
      </c>
      <c r="G2125">
        <v>1</v>
      </c>
      <c r="H2125" s="1">
        <v>41124</v>
      </c>
      <c r="I2125">
        <v>86</v>
      </c>
      <c r="J2125">
        <v>176</v>
      </c>
      <c r="K2125">
        <v>72</v>
      </c>
      <c r="L2125">
        <v>98</v>
      </c>
      <c r="M2125">
        <v>136</v>
      </c>
      <c r="N2125">
        <v>21</v>
      </c>
      <c r="O2125">
        <v>229</v>
      </c>
      <c r="P2125">
        <v>4</v>
      </c>
      <c r="Q2125">
        <v>5</v>
      </c>
      <c r="R2125">
        <v>2</v>
      </c>
      <c r="S2125">
        <v>12</v>
      </c>
      <c r="T2125">
        <v>5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3</v>
      </c>
      <c r="AB2125">
        <v>11</v>
      </c>
      <c r="AC2125">
        <v>0</v>
      </c>
    </row>
    <row r="2126" spans="1:29" x14ac:dyDescent="0.3">
      <c r="A2126">
        <v>2115</v>
      </c>
      <c r="B2126">
        <v>1957</v>
      </c>
      <c r="C2126" t="s">
        <v>29</v>
      </c>
      <c r="D2126" t="s">
        <v>31</v>
      </c>
      <c r="E2126">
        <v>50116</v>
      </c>
      <c r="F2126">
        <v>1</v>
      </c>
      <c r="G2126">
        <v>1</v>
      </c>
      <c r="H2126" s="1">
        <v>41810</v>
      </c>
      <c r="I2126">
        <v>68</v>
      </c>
      <c r="J2126">
        <v>54</v>
      </c>
      <c r="K2126">
        <v>0</v>
      </c>
      <c r="L2126">
        <v>10</v>
      </c>
      <c r="M2126">
        <v>0</v>
      </c>
      <c r="N2126">
        <v>0</v>
      </c>
      <c r="O2126">
        <v>2</v>
      </c>
      <c r="P2126">
        <v>2</v>
      </c>
      <c r="Q2126">
        <v>1</v>
      </c>
      <c r="R2126">
        <v>0</v>
      </c>
      <c r="S2126">
        <v>4</v>
      </c>
      <c r="T2126">
        <v>5</v>
      </c>
      <c r="U2126">
        <v>0</v>
      </c>
      <c r="V2126">
        <v>1</v>
      </c>
      <c r="W2126">
        <v>0</v>
      </c>
      <c r="X2126">
        <v>0</v>
      </c>
      <c r="Y2126">
        <v>0</v>
      </c>
      <c r="Z2126">
        <v>0</v>
      </c>
      <c r="AA2126">
        <v>3</v>
      </c>
      <c r="AB2126">
        <v>11</v>
      </c>
      <c r="AC2126">
        <v>0</v>
      </c>
    </row>
    <row r="2127" spans="1:29" x14ac:dyDescent="0.3">
      <c r="A2127">
        <v>2088</v>
      </c>
      <c r="B2127">
        <v>1972</v>
      </c>
      <c r="C2127" t="s">
        <v>29</v>
      </c>
      <c r="D2127" t="s">
        <v>31</v>
      </c>
      <c r="E2127">
        <v>84906</v>
      </c>
      <c r="F2127">
        <v>0</v>
      </c>
      <c r="G2127">
        <v>0</v>
      </c>
      <c r="H2127" s="1">
        <v>41551</v>
      </c>
      <c r="I2127">
        <v>98</v>
      </c>
      <c r="J2127">
        <v>997</v>
      </c>
      <c r="K2127">
        <v>15</v>
      </c>
      <c r="L2127">
        <v>414</v>
      </c>
      <c r="M2127">
        <v>99</v>
      </c>
      <c r="N2127">
        <v>30</v>
      </c>
      <c r="O2127">
        <v>76</v>
      </c>
      <c r="P2127">
        <v>1</v>
      </c>
      <c r="Q2127">
        <v>5</v>
      </c>
      <c r="R2127">
        <v>6</v>
      </c>
      <c r="S2127">
        <v>12</v>
      </c>
      <c r="T2127">
        <v>2</v>
      </c>
      <c r="U2127">
        <v>0</v>
      </c>
      <c r="V2127">
        <v>1</v>
      </c>
      <c r="W2127">
        <v>1</v>
      </c>
      <c r="X2127">
        <v>0</v>
      </c>
      <c r="Y2127">
        <v>1</v>
      </c>
      <c r="Z2127">
        <v>0</v>
      </c>
      <c r="AA2127">
        <v>3</v>
      </c>
      <c r="AB2127">
        <v>11</v>
      </c>
      <c r="AC2127">
        <v>0</v>
      </c>
    </row>
    <row r="2128" spans="1:29" x14ac:dyDescent="0.3">
      <c r="A2128">
        <v>2493</v>
      </c>
      <c r="B2128">
        <v>1966</v>
      </c>
      <c r="C2128" t="s">
        <v>29</v>
      </c>
      <c r="D2128" t="s">
        <v>33</v>
      </c>
      <c r="E2128">
        <v>61286</v>
      </c>
      <c r="F2128">
        <v>0</v>
      </c>
      <c r="G2128">
        <v>1</v>
      </c>
      <c r="H2128" s="1">
        <v>41488</v>
      </c>
      <c r="I2128">
        <v>34</v>
      </c>
      <c r="J2128">
        <v>356</v>
      </c>
      <c r="K2128">
        <v>0</v>
      </c>
      <c r="L2128">
        <v>107</v>
      </c>
      <c r="M2128">
        <v>19</v>
      </c>
      <c r="N2128">
        <v>9</v>
      </c>
      <c r="O2128">
        <v>117</v>
      </c>
      <c r="P2128">
        <v>2</v>
      </c>
      <c r="Q2128">
        <v>7</v>
      </c>
      <c r="R2128">
        <v>1</v>
      </c>
      <c r="S2128">
        <v>8</v>
      </c>
      <c r="T2128">
        <v>5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3</v>
      </c>
      <c r="AB2128">
        <v>11</v>
      </c>
      <c r="AC2128">
        <v>0</v>
      </c>
    </row>
    <row r="2129" spans="1:29" x14ac:dyDescent="0.3">
      <c r="A2129">
        <v>6292</v>
      </c>
      <c r="B2129">
        <v>1986</v>
      </c>
      <c r="C2129" t="s">
        <v>32</v>
      </c>
      <c r="D2129" t="s">
        <v>33</v>
      </c>
      <c r="E2129">
        <v>82333</v>
      </c>
      <c r="F2129">
        <v>0</v>
      </c>
      <c r="G2129">
        <v>0</v>
      </c>
      <c r="H2129" s="1">
        <v>41363</v>
      </c>
      <c r="I2129">
        <v>60</v>
      </c>
      <c r="J2129">
        <v>1311</v>
      </c>
      <c r="K2129">
        <v>0</v>
      </c>
      <c r="L2129">
        <v>359</v>
      </c>
      <c r="M2129">
        <v>46</v>
      </c>
      <c r="N2129">
        <v>89</v>
      </c>
      <c r="O2129">
        <v>17</v>
      </c>
      <c r="P2129">
        <v>1</v>
      </c>
      <c r="Q2129">
        <v>4</v>
      </c>
      <c r="R2129">
        <v>3</v>
      </c>
      <c r="S2129">
        <v>10</v>
      </c>
      <c r="T2129">
        <v>2</v>
      </c>
      <c r="U2129">
        <v>0</v>
      </c>
      <c r="V2129">
        <v>0</v>
      </c>
      <c r="W2129">
        <v>1</v>
      </c>
      <c r="X2129">
        <v>0</v>
      </c>
      <c r="Y2129">
        <v>0</v>
      </c>
      <c r="Z2129">
        <v>0</v>
      </c>
      <c r="AA2129">
        <v>3</v>
      </c>
      <c r="AB2129">
        <v>11</v>
      </c>
      <c r="AC2129">
        <v>1</v>
      </c>
    </row>
    <row r="2130" spans="1:29" x14ac:dyDescent="0.3">
      <c r="A2130">
        <v>1631</v>
      </c>
      <c r="B2130">
        <v>1965</v>
      </c>
      <c r="C2130" t="s">
        <v>32</v>
      </c>
      <c r="D2130" t="s">
        <v>31</v>
      </c>
      <c r="E2130">
        <v>65220</v>
      </c>
      <c r="F2130">
        <v>0</v>
      </c>
      <c r="G2130">
        <v>0</v>
      </c>
      <c r="H2130" s="1">
        <v>41155</v>
      </c>
      <c r="I2130">
        <v>3</v>
      </c>
      <c r="J2130">
        <v>890</v>
      </c>
      <c r="K2130">
        <v>63</v>
      </c>
      <c r="L2130">
        <v>292</v>
      </c>
      <c r="M2130">
        <v>0</v>
      </c>
      <c r="N2130">
        <v>25</v>
      </c>
      <c r="O2130">
        <v>12</v>
      </c>
      <c r="P2130">
        <v>4</v>
      </c>
      <c r="Q2130">
        <v>8</v>
      </c>
      <c r="R2130">
        <v>4</v>
      </c>
      <c r="S2130">
        <v>7</v>
      </c>
      <c r="T2130">
        <v>6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3</v>
      </c>
      <c r="AB2130">
        <v>11</v>
      </c>
      <c r="AC2130">
        <v>1</v>
      </c>
    </row>
    <row r="2131" spans="1:29" x14ac:dyDescent="0.3">
      <c r="A2131">
        <v>10104</v>
      </c>
      <c r="B2131">
        <v>1974</v>
      </c>
      <c r="C2131" t="s">
        <v>29</v>
      </c>
      <c r="D2131" t="s">
        <v>31</v>
      </c>
      <c r="E2131">
        <v>33590</v>
      </c>
      <c r="F2131">
        <v>2</v>
      </c>
      <c r="G2131">
        <v>1</v>
      </c>
      <c r="H2131" s="1">
        <v>41581</v>
      </c>
      <c r="I2131">
        <v>65</v>
      </c>
      <c r="J2131">
        <v>4</v>
      </c>
      <c r="K2131">
        <v>0</v>
      </c>
      <c r="L2131">
        <v>2</v>
      </c>
      <c r="M2131">
        <v>0</v>
      </c>
      <c r="N2131">
        <v>0</v>
      </c>
      <c r="O2131">
        <v>2</v>
      </c>
      <c r="P2131">
        <v>1</v>
      </c>
      <c r="Q2131">
        <v>1</v>
      </c>
      <c r="R2131">
        <v>0</v>
      </c>
      <c r="S2131">
        <v>2</v>
      </c>
      <c r="T2131">
        <v>7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3</v>
      </c>
      <c r="AB2131">
        <v>11</v>
      </c>
      <c r="AC2131">
        <v>0</v>
      </c>
    </row>
    <row r="2132" spans="1:29" x14ac:dyDescent="0.3">
      <c r="A2132">
        <v>3006</v>
      </c>
      <c r="B2132">
        <v>1976</v>
      </c>
      <c r="C2132" t="s">
        <v>29</v>
      </c>
      <c r="D2132" t="s">
        <v>35</v>
      </c>
      <c r="E2132">
        <v>30992</v>
      </c>
      <c r="F2132">
        <v>1</v>
      </c>
      <c r="G2132">
        <v>0</v>
      </c>
      <c r="H2132" s="1">
        <v>41386</v>
      </c>
      <c r="I2132">
        <v>83</v>
      </c>
      <c r="J2132">
        <v>17</v>
      </c>
      <c r="K2132">
        <v>0</v>
      </c>
      <c r="L2132">
        <v>14</v>
      </c>
      <c r="M2132">
        <v>7</v>
      </c>
      <c r="N2132">
        <v>3</v>
      </c>
      <c r="O2132">
        <v>2</v>
      </c>
      <c r="P2132">
        <v>1</v>
      </c>
      <c r="Q2132">
        <v>1</v>
      </c>
      <c r="R2132">
        <v>0</v>
      </c>
      <c r="S2132">
        <v>3</v>
      </c>
      <c r="T2132">
        <v>7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3</v>
      </c>
      <c r="AB2132">
        <v>11</v>
      </c>
      <c r="AC2132">
        <v>0</v>
      </c>
    </row>
    <row r="2133" spans="1:29" x14ac:dyDescent="0.3">
      <c r="A2133">
        <v>3919</v>
      </c>
      <c r="B2133">
        <v>1976</v>
      </c>
      <c r="C2133" t="s">
        <v>34</v>
      </c>
      <c r="D2133" t="s">
        <v>30</v>
      </c>
      <c r="E2133">
        <v>72309</v>
      </c>
      <c r="F2133">
        <v>0</v>
      </c>
      <c r="G2133">
        <v>0</v>
      </c>
      <c r="H2133" s="1">
        <v>41344</v>
      </c>
      <c r="I2133">
        <v>64</v>
      </c>
      <c r="J2133">
        <v>960</v>
      </c>
      <c r="K2133">
        <v>0</v>
      </c>
      <c r="L2133">
        <v>883</v>
      </c>
      <c r="M2133">
        <v>50</v>
      </c>
      <c r="N2133">
        <v>38</v>
      </c>
      <c r="O2133">
        <v>0</v>
      </c>
      <c r="P2133">
        <v>1</v>
      </c>
      <c r="Q2133">
        <v>5</v>
      </c>
      <c r="R2133">
        <v>6</v>
      </c>
      <c r="S2133">
        <v>8</v>
      </c>
      <c r="T2133">
        <v>3</v>
      </c>
      <c r="U2133">
        <v>0</v>
      </c>
      <c r="V2133">
        <v>0</v>
      </c>
      <c r="W2133">
        <v>0</v>
      </c>
      <c r="X2133">
        <v>1</v>
      </c>
      <c r="Y2133">
        <v>0</v>
      </c>
      <c r="Z2133">
        <v>0</v>
      </c>
      <c r="AA2133">
        <v>3</v>
      </c>
      <c r="AB2133">
        <v>11</v>
      </c>
      <c r="AC2133">
        <v>1</v>
      </c>
    </row>
    <row r="2134" spans="1:29" x14ac:dyDescent="0.3">
      <c r="A2134">
        <v>11181</v>
      </c>
      <c r="B2134">
        <v>1949</v>
      </c>
      <c r="C2134" t="s">
        <v>32</v>
      </c>
      <c r="D2134" t="s">
        <v>33</v>
      </c>
      <c r="E2134">
        <v>156924</v>
      </c>
      <c r="F2134">
        <v>0</v>
      </c>
      <c r="G2134">
        <v>0</v>
      </c>
      <c r="H2134" s="1">
        <v>41515</v>
      </c>
      <c r="I2134">
        <v>85</v>
      </c>
      <c r="J2134">
        <v>2</v>
      </c>
      <c r="K2134">
        <v>1</v>
      </c>
      <c r="L2134">
        <v>2</v>
      </c>
      <c r="M2134">
        <v>1</v>
      </c>
      <c r="N2134">
        <v>1</v>
      </c>
      <c r="O2134">
        <v>1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3</v>
      </c>
      <c r="AB2134">
        <v>11</v>
      </c>
      <c r="AC2134">
        <v>0</v>
      </c>
    </row>
    <row r="2135" spans="1:29" x14ac:dyDescent="0.3">
      <c r="A2135">
        <v>642</v>
      </c>
      <c r="B2135">
        <v>1980</v>
      </c>
      <c r="C2135" t="s">
        <v>36</v>
      </c>
      <c r="D2135" t="s">
        <v>33</v>
      </c>
      <c r="E2135">
        <v>16005</v>
      </c>
      <c r="F2135">
        <v>1</v>
      </c>
      <c r="G2135">
        <v>0</v>
      </c>
      <c r="H2135" s="1">
        <v>41135</v>
      </c>
      <c r="I2135">
        <v>69</v>
      </c>
      <c r="J2135">
        <v>1</v>
      </c>
      <c r="K2135">
        <v>3</v>
      </c>
      <c r="L2135">
        <v>2</v>
      </c>
      <c r="M2135">
        <v>20</v>
      </c>
      <c r="N2135">
        <v>30</v>
      </c>
      <c r="O2135">
        <v>47</v>
      </c>
      <c r="P2135">
        <v>3</v>
      </c>
      <c r="Q2135">
        <v>2</v>
      </c>
      <c r="R2135">
        <v>1</v>
      </c>
      <c r="S2135">
        <v>2</v>
      </c>
      <c r="T2135">
        <v>8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3</v>
      </c>
      <c r="AB2135">
        <v>11</v>
      </c>
      <c r="AC2135">
        <v>0</v>
      </c>
    </row>
    <row r="2136" spans="1:29" x14ac:dyDescent="0.3">
      <c r="A2136">
        <v>4369</v>
      </c>
      <c r="B2136">
        <v>1957</v>
      </c>
      <c r="C2136" t="s">
        <v>34</v>
      </c>
      <c r="D2136" t="s">
        <v>40</v>
      </c>
      <c r="E2136">
        <v>65487</v>
      </c>
      <c r="F2136">
        <v>0</v>
      </c>
      <c r="G2136">
        <v>0</v>
      </c>
      <c r="H2136" s="1">
        <v>41649</v>
      </c>
      <c r="I2136">
        <v>48</v>
      </c>
      <c r="J2136">
        <v>240</v>
      </c>
      <c r="K2136">
        <v>67</v>
      </c>
      <c r="L2136">
        <v>500</v>
      </c>
      <c r="M2136">
        <v>199</v>
      </c>
      <c r="N2136">
        <v>0</v>
      </c>
      <c r="O2136">
        <v>163</v>
      </c>
      <c r="P2136">
        <v>3</v>
      </c>
      <c r="Q2136">
        <v>3</v>
      </c>
      <c r="R2136">
        <v>5</v>
      </c>
      <c r="S2136">
        <v>6</v>
      </c>
      <c r="T2136">
        <v>2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3</v>
      </c>
      <c r="AB2136">
        <v>11</v>
      </c>
      <c r="AC2136">
        <v>0</v>
      </c>
    </row>
    <row r="2137" spans="1:29" x14ac:dyDescent="0.3">
      <c r="A2137">
        <v>10127</v>
      </c>
      <c r="B2137">
        <v>1965</v>
      </c>
      <c r="C2137" t="s">
        <v>29</v>
      </c>
      <c r="D2137" t="s">
        <v>33</v>
      </c>
      <c r="E2137">
        <v>58692</v>
      </c>
      <c r="F2137">
        <v>0</v>
      </c>
      <c r="G2137">
        <v>1</v>
      </c>
      <c r="H2137" s="1">
        <v>41735</v>
      </c>
      <c r="I2137">
        <v>21</v>
      </c>
      <c r="J2137">
        <v>301</v>
      </c>
      <c r="K2137">
        <v>11</v>
      </c>
      <c r="L2137">
        <v>61</v>
      </c>
      <c r="M2137">
        <v>4</v>
      </c>
      <c r="N2137">
        <v>7</v>
      </c>
      <c r="O2137">
        <v>11</v>
      </c>
      <c r="P2137">
        <v>1</v>
      </c>
      <c r="Q2137">
        <v>8</v>
      </c>
      <c r="R2137">
        <v>2</v>
      </c>
      <c r="S2137">
        <v>4</v>
      </c>
      <c r="T2137">
        <v>7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3</v>
      </c>
      <c r="AB2137">
        <v>11</v>
      </c>
      <c r="AC2137">
        <v>0</v>
      </c>
    </row>
    <row r="2138" spans="1:29" x14ac:dyDescent="0.3">
      <c r="A2138">
        <v>271</v>
      </c>
      <c r="B2138">
        <v>1969</v>
      </c>
      <c r="C2138" t="s">
        <v>29</v>
      </c>
      <c r="D2138" t="s">
        <v>38</v>
      </c>
      <c r="E2138">
        <v>40590</v>
      </c>
      <c r="F2138">
        <v>1</v>
      </c>
      <c r="G2138">
        <v>1</v>
      </c>
      <c r="H2138" s="1">
        <v>41549</v>
      </c>
      <c r="I2138">
        <v>30</v>
      </c>
      <c r="J2138">
        <v>154</v>
      </c>
      <c r="K2138">
        <v>0</v>
      </c>
      <c r="L2138">
        <v>50</v>
      </c>
      <c r="M2138">
        <v>6</v>
      </c>
      <c r="N2138">
        <v>11</v>
      </c>
      <c r="O2138">
        <v>37</v>
      </c>
      <c r="P2138">
        <v>5</v>
      </c>
      <c r="Q2138">
        <v>3</v>
      </c>
      <c r="R2138">
        <v>4</v>
      </c>
      <c r="S2138">
        <v>3</v>
      </c>
      <c r="T2138">
        <v>6</v>
      </c>
      <c r="U2138">
        <v>1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3</v>
      </c>
      <c r="AB2138">
        <v>11</v>
      </c>
      <c r="AC2138">
        <v>0</v>
      </c>
    </row>
    <row r="2139" spans="1:29" x14ac:dyDescent="0.3">
      <c r="A2139">
        <v>4973</v>
      </c>
      <c r="B2139">
        <v>1970</v>
      </c>
      <c r="C2139" t="s">
        <v>29</v>
      </c>
      <c r="D2139" t="s">
        <v>30</v>
      </c>
      <c r="E2139">
        <v>20587</v>
      </c>
      <c r="F2139">
        <v>1</v>
      </c>
      <c r="G2139">
        <v>0</v>
      </c>
      <c r="H2139" s="1">
        <v>41770</v>
      </c>
      <c r="I2139">
        <v>39</v>
      </c>
      <c r="J2139">
        <v>2</v>
      </c>
      <c r="K2139">
        <v>3</v>
      </c>
      <c r="L2139">
        <v>6</v>
      </c>
      <c r="M2139">
        <v>4</v>
      </c>
      <c r="N2139">
        <v>1</v>
      </c>
      <c r="O2139">
        <v>9</v>
      </c>
      <c r="P2139">
        <v>1</v>
      </c>
      <c r="Q2139">
        <v>1</v>
      </c>
      <c r="R2139">
        <v>1</v>
      </c>
      <c r="S2139">
        <v>2</v>
      </c>
      <c r="T2139">
        <v>7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3</v>
      </c>
      <c r="AB2139">
        <v>11</v>
      </c>
      <c r="AC2139">
        <v>0</v>
      </c>
    </row>
    <row r="2140" spans="1:29" x14ac:dyDescent="0.3">
      <c r="A2140">
        <v>2948</v>
      </c>
      <c r="B2140">
        <v>1954</v>
      </c>
      <c r="C2140" t="s">
        <v>34</v>
      </c>
      <c r="D2140" t="s">
        <v>35</v>
      </c>
      <c r="E2140">
        <v>62637</v>
      </c>
      <c r="F2140">
        <v>0</v>
      </c>
      <c r="G2140">
        <v>1</v>
      </c>
      <c r="H2140" s="1">
        <v>41699</v>
      </c>
      <c r="I2140">
        <v>76</v>
      </c>
      <c r="J2140">
        <v>104</v>
      </c>
      <c r="K2140">
        <v>12</v>
      </c>
      <c r="L2140">
        <v>48</v>
      </c>
      <c r="M2140">
        <v>4</v>
      </c>
      <c r="N2140">
        <v>12</v>
      </c>
      <c r="O2140">
        <v>5</v>
      </c>
      <c r="P2140">
        <v>1</v>
      </c>
      <c r="Q2140">
        <v>2</v>
      </c>
      <c r="R2140">
        <v>2</v>
      </c>
      <c r="S2140">
        <v>5</v>
      </c>
      <c r="T2140">
        <v>2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3</v>
      </c>
      <c r="AB2140">
        <v>11</v>
      </c>
      <c r="AC2140">
        <v>0</v>
      </c>
    </row>
    <row r="2141" spans="1:29" x14ac:dyDescent="0.3">
      <c r="A2141">
        <v>2715</v>
      </c>
      <c r="B2141">
        <v>1966</v>
      </c>
      <c r="C2141" t="s">
        <v>34</v>
      </c>
      <c r="D2141" t="s">
        <v>35</v>
      </c>
      <c r="E2141">
        <v>29435</v>
      </c>
      <c r="F2141">
        <v>1</v>
      </c>
      <c r="G2141">
        <v>1</v>
      </c>
      <c r="H2141" s="1">
        <v>41127</v>
      </c>
      <c r="I2141">
        <v>11</v>
      </c>
      <c r="J2141">
        <v>70</v>
      </c>
      <c r="K2141">
        <v>3</v>
      </c>
      <c r="L2141">
        <v>37</v>
      </c>
      <c r="M2141">
        <v>4</v>
      </c>
      <c r="N2141">
        <v>2</v>
      </c>
      <c r="O2141">
        <v>64</v>
      </c>
      <c r="P2141">
        <v>4</v>
      </c>
      <c r="Q2141">
        <v>3</v>
      </c>
      <c r="R2141">
        <v>2</v>
      </c>
      <c r="S2141">
        <v>2</v>
      </c>
      <c r="T2141">
        <v>9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3</v>
      </c>
      <c r="AB2141">
        <v>11</v>
      </c>
      <c r="AC2141">
        <v>1</v>
      </c>
    </row>
    <row r="2142" spans="1:29" x14ac:dyDescent="0.3">
      <c r="A2142">
        <v>10432</v>
      </c>
      <c r="B2142">
        <v>1974</v>
      </c>
      <c r="C2142" t="s">
        <v>29</v>
      </c>
      <c r="D2142" t="s">
        <v>35</v>
      </c>
      <c r="E2142">
        <v>19346</v>
      </c>
      <c r="F2142">
        <v>1</v>
      </c>
      <c r="G2142">
        <v>0</v>
      </c>
      <c r="H2142" s="1">
        <v>41669</v>
      </c>
      <c r="I2142">
        <v>26</v>
      </c>
      <c r="J2142">
        <v>2</v>
      </c>
      <c r="K2142">
        <v>0</v>
      </c>
      <c r="L2142">
        <v>9</v>
      </c>
      <c r="M2142">
        <v>3</v>
      </c>
      <c r="N2142">
        <v>6</v>
      </c>
      <c r="O2142">
        <v>2</v>
      </c>
      <c r="P2142">
        <v>1</v>
      </c>
      <c r="Q2142">
        <v>1</v>
      </c>
      <c r="R2142">
        <v>0</v>
      </c>
      <c r="S2142">
        <v>3</v>
      </c>
      <c r="T2142">
        <v>8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3</v>
      </c>
      <c r="AB2142">
        <v>11</v>
      </c>
      <c r="AC2142">
        <v>0</v>
      </c>
    </row>
    <row r="2143" spans="1:29" x14ac:dyDescent="0.3">
      <c r="A2143">
        <v>9216</v>
      </c>
      <c r="B2143">
        <v>1971</v>
      </c>
      <c r="C2143" t="s">
        <v>29</v>
      </c>
      <c r="D2143" t="s">
        <v>33</v>
      </c>
      <c r="E2143">
        <v>35788</v>
      </c>
      <c r="F2143">
        <v>1</v>
      </c>
      <c r="G2143">
        <v>1</v>
      </c>
      <c r="H2143" s="1">
        <v>41662</v>
      </c>
      <c r="I2143">
        <v>34</v>
      </c>
      <c r="J2143">
        <v>23</v>
      </c>
      <c r="K2143">
        <v>2</v>
      </c>
      <c r="L2143">
        <v>11</v>
      </c>
      <c r="M2143">
        <v>3</v>
      </c>
      <c r="N2143">
        <v>1</v>
      </c>
      <c r="O2143">
        <v>4</v>
      </c>
      <c r="P2143">
        <v>2</v>
      </c>
      <c r="Q2143">
        <v>2</v>
      </c>
      <c r="R2143">
        <v>0</v>
      </c>
      <c r="S2143">
        <v>3</v>
      </c>
      <c r="T2143">
        <v>6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3</v>
      </c>
      <c r="AB2143">
        <v>11</v>
      </c>
      <c r="AC2143">
        <v>0</v>
      </c>
    </row>
    <row r="2144" spans="1:29" x14ac:dyDescent="0.3">
      <c r="A2144">
        <v>7124</v>
      </c>
      <c r="B2144">
        <v>1968</v>
      </c>
      <c r="C2144" t="s">
        <v>29</v>
      </c>
      <c r="D2144" t="s">
        <v>35</v>
      </c>
      <c r="E2144">
        <v>36997</v>
      </c>
      <c r="F2144">
        <v>1</v>
      </c>
      <c r="G2144">
        <v>1</v>
      </c>
      <c r="H2144" s="1">
        <v>41306</v>
      </c>
      <c r="I2144">
        <v>72</v>
      </c>
      <c r="J2144">
        <v>43</v>
      </c>
      <c r="K2144">
        <v>4</v>
      </c>
      <c r="L2144">
        <v>12</v>
      </c>
      <c r="M2144">
        <v>8</v>
      </c>
      <c r="N2144">
        <v>0</v>
      </c>
      <c r="O2144">
        <v>27</v>
      </c>
      <c r="P2144">
        <v>5</v>
      </c>
      <c r="Q2144">
        <v>2</v>
      </c>
      <c r="R2144">
        <v>1</v>
      </c>
      <c r="S2144">
        <v>4</v>
      </c>
      <c r="T2144">
        <v>5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3</v>
      </c>
      <c r="AB2144">
        <v>11</v>
      </c>
      <c r="AC2144">
        <v>0</v>
      </c>
    </row>
    <row r="2145" spans="1:29" x14ac:dyDescent="0.3">
      <c r="A2145">
        <v>9727</v>
      </c>
      <c r="B2145">
        <v>1957</v>
      </c>
      <c r="C2145" t="s">
        <v>29</v>
      </c>
      <c r="D2145" t="s">
        <v>33</v>
      </c>
      <c r="E2145">
        <v>23539</v>
      </c>
      <c r="F2145">
        <v>0</v>
      </c>
      <c r="G2145">
        <v>0</v>
      </c>
      <c r="H2145" s="1">
        <v>41698</v>
      </c>
      <c r="I2145">
        <v>13</v>
      </c>
      <c r="J2145">
        <v>4</v>
      </c>
      <c r="K2145">
        <v>24</v>
      </c>
      <c r="L2145">
        <v>11</v>
      </c>
      <c r="M2145">
        <v>16</v>
      </c>
      <c r="N2145">
        <v>1</v>
      </c>
      <c r="O2145">
        <v>25</v>
      </c>
      <c r="P2145">
        <v>1</v>
      </c>
      <c r="Q2145">
        <v>2</v>
      </c>
      <c r="R2145">
        <v>0</v>
      </c>
      <c r="S2145">
        <v>4</v>
      </c>
      <c r="T2145">
        <v>6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3</v>
      </c>
      <c r="AB2145">
        <v>11</v>
      </c>
      <c r="AC2145">
        <v>0</v>
      </c>
    </row>
    <row r="2146" spans="1:29" x14ac:dyDescent="0.3">
      <c r="A2146">
        <v>5136</v>
      </c>
      <c r="B2146">
        <v>1973</v>
      </c>
      <c r="C2146" t="s">
        <v>29</v>
      </c>
      <c r="D2146" t="s">
        <v>30</v>
      </c>
      <c r="E2146">
        <v>65333</v>
      </c>
      <c r="F2146">
        <v>0</v>
      </c>
      <c r="G2146">
        <v>1</v>
      </c>
      <c r="H2146" s="1">
        <v>41656</v>
      </c>
      <c r="I2146">
        <v>58</v>
      </c>
      <c r="J2146">
        <v>654</v>
      </c>
      <c r="K2146">
        <v>7</v>
      </c>
      <c r="L2146">
        <v>92</v>
      </c>
      <c r="M2146">
        <v>0</v>
      </c>
      <c r="N2146">
        <v>15</v>
      </c>
      <c r="O2146">
        <v>30</v>
      </c>
      <c r="P2146">
        <v>7</v>
      </c>
      <c r="Q2146">
        <v>9</v>
      </c>
      <c r="R2146">
        <v>4</v>
      </c>
      <c r="S2146">
        <v>8</v>
      </c>
      <c r="T2146">
        <v>6</v>
      </c>
      <c r="U2146">
        <v>0</v>
      </c>
      <c r="V2146">
        <v>1</v>
      </c>
      <c r="W2146">
        <v>1</v>
      </c>
      <c r="X2146">
        <v>0</v>
      </c>
      <c r="Y2146">
        <v>0</v>
      </c>
      <c r="Z2146">
        <v>0</v>
      </c>
      <c r="AA2146">
        <v>3</v>
      </c>
      <c r="AB2146">
        <v>11</v>
      </c>
      <c r="AC2146">
        <v>0</v>
      </c>
    </row>
    <row r="2147" spans="1:29" x14ac:dyDescent="0.3">
      <c r="A2147">
        <v>9790</v>
      </c>
      <c r="B2147">
        <v>1957</v>
      </c>
      <c r="C2147" t="s">
        <v>29</v>
      </c>
      <c r="D2147" t="s">
        <v>30</v>
      </c>
      <c r="E2147">
        <v>78499</v>
      </c>
      <c r="F2147">
        <v>0</v>
      </c>
      <c r="G2147">
        <v>0</v>
      </c>
      <c r="H2147" s="1">
        <v>41601</v>
      </c>
      <c r="I2147">
        <v>12</v>
      </c>
      <c r="J2147">
        <v>912</v>
      </c>
      <c r="K2147">
        <v>72</v>
      </c>
      <c r="L2147">
        <v>170</v>
      </c>
      <c r="M2147">
        <v>47</v>
      </c>
      <c r="N2147">
        <v>36</v>
      </c>
      <c r="O2147">
        <v>97</v>
      </c>
      <c r="P2147">
        <v>1</v>
      </c>
      <c r="Q2147">
        <v>11</v>
      </c>
      <c r="R2147">
        <v>3</v>
      </c>
      <c r="S2147">
        <v>4</v>
      </c>
      <c r="T2147">
        <v>4</v>
      </c>
      <c r="U2147">
        <v>0</v>
      </c>
      <c r="V2147">
        <v>0</v>
      </c>
      <c r="W2147">
        <v>1</v>
      </c>
      <c r="X2147">
        <v>0</v>
      </c>
      <c r="Y2147">
        <v>0</v>
      </c>
      <c r="Z2147">
        <v>0</v>
      </c>
      <c r="AA2147">
        <v>3</v>
      </c>
      <c r="AB2147">
        <v>11</v>
      </c>
      <c r="AC2147">
        <v>1</v>
      </c>
    </row>
    <row r="2148" spans="1:29" x14ac:dyDescent="0.3">
      <c r="A2148">
        <v>1818</v>
      </c>
      <c r="B2148">
        <v>1971</v>
      </c>
      <c r="C2148" t="s">
        <v>32</v>
      </c>
      <c r="D2148" t="s">
        <v>31</v>
      </c>
      <c r="E2148">
        <v>29732</v>
      </c>
      <c r="F2148">
        <v>1</v>
      </c>
      <c r="G2148">
        <v>0</v>
      </c>
      <c r="H2148" s="1">
        <v>41723</v>
      </c>
      <c r="I2148">
        <v>23</v>
      </c>
      <c r="J2148">
        <v>25</v>
      </c>
      <c r="K2148">
        <v>0</v>
      </c>
      <c r="L2148">
        <v>8</v>
      </c>
      <c r="M2148">
        <v>0</v>
      </c>
      <c r="N2148">
        <v>1</v>
      </c>
      <c r="O2148">
        <v>4</v>
      </c>
      <c r="P2148">
        <v>1</v>
      </c>
      <c r="Q2148">
        <v>2</v>
      </c>
      <c r="R2148">
        <v>0</v>
      </c>
      <c r="S2148">
        <v>2</v>
      </c>
      <c r="T2148">
        <v>9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3</v>
      </c>
      <c r="AB2148">
        <v>11</v>
      </c>
      <c r="AC2148">
        <v>0</v>
      </c>
    </row>
    <row r="2149" spans="1:29" x14ac:dyDescent="0.3">
      <c r="A2149">
        <v>1100</v>
      </c>
      <c r="B2149">
        <v>1960</v>
      </c>
      <c r="C2149" t="s">
        <v>34</v>
      </c>
      <c r="D2149" t="s">
        <v>31</v>
      </c>
      <c r="E2149">
        <v>41275</v>
      </c>
      <c r="F2149">
        <v>1</v>
      </c>
      <c r="G2149">
        <v>2</v>
      </c>
      <c r="H2149" s="1">
        <v>41722</v>
      </c>
      <c r="I2149">
        <v>33</v>
      </c>
      <c r="J2149">
        <v>24</v>
      </c>
      <c r="K2149">
        <v>4</v>
      </c>
      <c r="L2149">
        <v>22</v>
      </c>
      <c r="M2149">
        <v>0</v>
      </c>
      <c r="N2149">
        <v>2</v>
      </c>
      <c r="O2149">
        <v>9</v>
      </c>
      <c r="P2149">
        <v>4</v>
      </c>
      <c r="Q2149">
        <v>3</v>
      </c>
      <c r="R2149">
        <v>1</v>
      </c>
      <c r="S2149">
        <v>3</v>
      </c>
      <c r="T2149">
        <v>5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3</v>
      </c>
      <c r="AB2149">
        <v>11</v>
      </c>
      <c r="AC2149">
        <v>0</v>
      </c>
    </row>
    <row r="2150" spans="1:29" x14ac:dyDescent="0.3">
      <c r="A2150">
        <v>7873</v>
      </c>
      <c r="B2150">
        <v>1973</v>
      </c>
      <c r="C2150" t="s">
        <v>32</v>
      </c>
      <c r="D2150" t="s">
        <v>31</v>
      </c>
      <c r="E2150">
        <v>63516</v>
      </c>
      <c r="F2150">
        <v>1</v>
      </c>
      <c r="G2150">
        <v>1</v>
      </c>
      <c r="H2150" s="1">
        <v>41461</v>
      </c>
      <c r="I2150">
        <v>30</v>
      </c>
      <c r="J2150">
        <v>141</v>
      </c>
      <c r="K2150">
        <v>11</v>
      </c>
      <c r="L2150">
        <v>114</v>
      </c>
      <c r="M2150">
        <v>15</v>
      </c>
      <c r="N2150">
        <v>14</v>
      </c>
      <c r="O2150">
        <v>5</v>
      </c>
      <c r="P2150">
        <v>4</v>
      </c>
      <c r="Q2150">
        <v>4</v>
      </c>
      <c r="R2150">
        <v>1</v>
      </c>
      <c r="S2150">
        <v>7</v>
      </c>
      <c r="T2150">
        <v>5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3</v>
      </c>
      <c r="AB2150">
        <v>11</v>
      </c>
      <c r="AC2150">
        <v>0</v>
      </c>
    </row>
    <row r="2151" spans="1:29" x14ac:dyDescent="0.3">
      <c r="A2151">
        <v>10609</v>
      </c>
      <c r="B2151">
        <v>1962</v>
      </c>
      <c r="C2151" t="s">
        <v>32</v>
      </c>
      <c r="D2151" t="s">
        <v>33</v>
      </c>
      <c r="E2151">
        <v>42769</v>
      </c>
      <c r="F2151">
        <v>0</v>
      </c>
      <c r="G2151">
        <v>1</v>
      </c>
      <c r="H2151" s="1">
        <v>41559</v>
      </c>
      <c r="I2151">
        <v>15</v>
      </c>
      <c r="J2151">
        <v>71</v>
      </c>
      <c r="K2151">
        <v>0</v>
      </c>
      <c r="L2151">
        <v>13</v>
      </c>
      <c r="M2151">
        <v>3</v>
      </c>
      <c r="N2151">
        <v>1</v>
      </c>
      <c r="O2151">
        <v>0</v>
      </c>
      <c r="P2151">
        <v>2</v>
      </c>
      <c r="Q2151">
        <v>1</v>
      </c>
      <c r="R2151">
        <v>1</v>
      </c>
      <c r="S2151">
        <v>4</v>
      </c>
      <c r="T2151">
        <v>4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3</v>
      </c>
      <c r="AB2151">
        <v>11</v>
      </c>
      <c r="AC2151">
        <v>0</v>
      </c>
    </row>
    <row r="2152" spans="1:29" x14ac:dyDescent="0.3">
      <c r="A2152">
        <v>6950</v>
      </c>
      <c r="B2152">
        <v>1958</v>
      </c>
      <c r="C2152" t="s">
        <v>34</v>
      </c>
      <c r="D2152" t="s">
        <v>33</v>
      </c>
      <c r="E2152">
        <v>49572</v>
      </c>
      <c r="F2152">
        <v>1</v>
      </c>
      <c r="G2152">
        <v>1</v>
      </c>
      <c r="H2152" s="1">
        <v>41623</v>
      </c>
      <c r="I2152">
        <v>25</v>
      </c>
      <c r="J2152">
        <v>35</v>
      </c>
      <c r="K2152">
        <v>1</v>
      </c>
      <c r="L2152">
        <v>16</v>
      </c>
      <c r="M2152">
        <v>0</v>
      </c>
      <c r="N2152">
        <v>1</v>
      </c>
      <c r="O2152">
        <v>1</v>
      </c>
      <c r="P2152">
        <v>2</v>
      </c>
      <c r="Q2152">
        <v>2</v>
      </c>
      <c r="R2152">
        <v>0</v>
      </c>
      <c r="S2152">
        <v>3</v>
      </c>
      <c r="T2152">
        <v>7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3</v>
      </c>
      <c r="AB2152">
        <v>11</v>
      </c>
      <c r="AC2152">
        <v>0</v>
      </c>
    </row>
    <row r="2153" spans="1:29" x14ac:dyDescent="0.3">
      <c r="A2153">
        <v>7233</v>
      </c>
      <c r="B2153">
        <v>1972</v>
      </c>
      <c r="C2153" t="s">
        <v>29</v>
      </c>
      <c r="D2153" t="s">
        <v>33</v>
      </c>
      <c r="E2153">
        <v>69209</v>
      </c>
      <c r="F2153">
        <v>0</v>
      </c>
      <c r="G2153">
        <v>0</v>
      </c>
      <c r="H2153" s="1">
        <v>41169</v>
      </c>
      <c r="I2153">
        <v>4</v>
      </c>
      <c r="J2153">
        <v>496</v>
      </c>
      <c r="K2153">
        <v>32</v>
      </c>
      <c r="L2153">
        <v>849</v>
      </c>
      <c r="M2153">
        <v>229</v>
      </c>
      <c r="N2153">
        <v>48</v>
      </c>
      <c r="O2153">
        <v>128</v>
      </c>
      <c r="P2153">
        <v>2</v>
      </c>
      <c r="Q2153">
        <v>5</v>
      </c>
      <c r="R2153">
        <v>3</v>
      </c>
      <c r="S2153">
        <v>6</v>
      </c>
      <c r="T2153">
        <v>4</v>
      </c>
      <c r="U2153">
        <v>0</v>
      </c>
      <c r="V2153">
        <v>0</v>
      </c>
      <c r="W2153">
        <v>0</v>
      </c>
      <c r="X2153">
        <v>1</v>
      </c>
      <c r="Y2153">
        <v>0</v>
      </c>
      <c r="Z2153">
        <v>0</v>
      </c>
      <c r="AA2153">
        <v>3</v>
      </c>
      <c r="AB2153">
        <v>11</v>
      </c>
      <c r="AC2153">
        <v>0</v>
      </c>
    </row>
    <row r="2154" spans="1:29" x14ac:dyDescent="0.3">
      <c r="A2154">
        <v>9481</v>
      </c>
      <c r="B2154">
        <v>1976</v>
      </c>
      <c r="C2154" t="s">
        <v>29</v>
      </c>
      <c r="D2154" t="s">
        <v>33</v>
      </c>
      <c r="E2154">
        <v>17148</v>
      </c>
      <c r="F2154">
        <v>1</v>
      </c>
      <c r="G2154">
        <v>0</v>
      </c>
      <c r="H2154" s="1">
        <v>41667</v>
      </c>
      <c r="I2154">
        <v>80</v>
      </c>
      <c r="J2154">
        <v>9</v>
      </c>
      <c r="K2154">
        <v>9</v>
      </c>
      <c r="L2154">
        <v>11</v>
      </c>
      <c r="M2154">
        <v>13</v>
      </c>
      <c r="N2154">
        <v>10</v>
      </c>
      <c r="O2154">
        <v>16</v>
      </c>
      <c r="P2154">
        <v>4</v>
      </c>
      <c r="Q2154">
        <v>3</v>
      </c>
      <c r="R2154">
        <v>1</v>
      </c>
      <c r="S2154">
        <v>3</v>
      </c>
      <c r="T2154">
        <v>8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3</v>
      </c>
      <c r="AB2154">
        <v>11</v>
      </c>
      <c r="AC2154">
        <v>0</v>
      </c>
    </row>
    <row r="2155" spans="1:29" x14ac:dyDescent="0.3">
      <c r="A2155">
        <v>7699</v>
      </c>
      <c r="B2155">
        <v>1969</v>
      </c>
      <c r="C2155" t="s">
        <v>29</v>
      </c>
      <c r="D2155" t="s">
        <v>38</v>
      </c>
      <c r="E2155">
        <v>40590</v>
      </c>
      <c r="F2155">
        <v>1</v>
      </c>
      <c r="G2155">
        <v>1</v>
      </c>
      <c r="H2155" s="1">
        <v>41549</v>
      </c>
      <c r="I2155">
        <v>30</v>
      </c>
      <c r="J2155">
        <v>154</v>
      </c>
      <c r="K2155">
        <v>0</v>
      </c>
      <c r="L2155">
        <v>50</v>
      </c>
      <c r="M2155">
        <v>6</v>
      </c>
      <c r="N2155">
        <v>11</v>
      </c>
      <c r="O2155">
        <v>37</v>
      </c>
      <c r="P2155">
        <v>5</v>
      </c>
      <c r="Q2155">
        <v>3</v>
      </c>
      <c r="R2155">
        <v>4</v>
      </c>
      <c r="S2155">
        <v>3</v>
      </c>
      <c r="T2155">
        <v>6</v>
      </c>
      <c r="U2155">
        <v>1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3</v>
      </c>
      <c r="AB2155">
        <v>11</v>
      </c>
      <c r="AC2155">
        <v>0</v>
      </c>
    </row>
    <row r="2156" spans="1:29" x14ac:dyDescent="0.3">
      <c r="A2156">
        <v>2711</v>
      </c>
      <c r="B2156">
        <v>1976</v>
      </c>
      <c r="C2156" t="s">
        <v>34</v>
      </c>
      <c r="D2156" t="s">
        <v>31</v>
      </c>
      <c r="E2156">
        <v>30560</v>
      </c>
      <c r="F2156">
        <v>1</v>
      </c>
      <c r="G2156">
        <v>0</v>
      </c>
      <c r="H2156" s="1">
        <v>41452</v>
      </c>
      <c r="I2156">
        <v>6</v>
      </c>
      <c r="J2156">
        <v>9</v>
      </c>
      <c r="K2156">
        <v>1</v>
      </c>
      <c r="L2156">
        <v>5</v>
      </c>
      <c r="M2156">
        <v>4</v>
      </c>
      <c r="N2156">
        <v>5</v>
      </c>
      <c r="O2156">
        <v>7</v>
      </c>
      <c r="P2156">
        <v>1</v>
      </c>
      <c r="Q2156">
        <v>1</v>
      </c>
      <c r="R2156">
        <v>0</v>
      </c>
      <c r="S2156">
        <v>3</v>
      </c>
      <c r="T2156">
        <v>7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3</v>
      </c>
      <c r="AB2156">
        <v>11</v>
      </c>
      <c r="AC2156">
        <v>0</v>
      </c>
    </row>
    <row r="2157" spans="1:29" x14ac:dyDescent="0.3">
      <c r="A2157">
        <v>8933</v>
      </c>
      <c r="B2157">
        <v>1983</v>
      </c>
      <c r="C2157" t="s">
        <v>37</v>
      </c>
      <c r="D2157" t="s">
        <v>33</v>
      </c>
      <c r="E2157">
        <v>32146</v>
      </c>
      <c r="F2157">
        <v>1</v>
      </c>
      <c r="G2157">
        <v>0</v>
      </c>
      <c r="H2157" s="1">
        <v>41771</v>
      </c>
      <c r="I2157">
        <v>16</v>
      </c>
      <c r="J2157">
        <v>26</v>
      </c>
      <c r="K2157">
        <v>3</v>
      </c>
      <c r="L2157">
        <v>23</v>
      </c>
      <c r="M2157">
        <v>4</v>
      </c>
      <c r="N2157">
        <v>7</v>
      </c>
      <c r="O2157">
        <v>3</v>
      </c>
      <c r="P2157">
        <v>2</v>
      </c>
      <c r="Q2157">
        <v>2</v>
      </c>
      <c r="R2157">
        <v>0</v>
      </c>
      <c r="S2157">
        <v>4</v>
      </c>
      <c r="T2157">
        <v>6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3</v>
      </c>
      <c r="AB2157">
        <v>11</v>
      </c>
      <c r="AC2157">
        <v>0</v>
      </c>
    </row>
    <row r="2158" spans="1:29" x14ac:dyDescent="0.3">
      <c r="A2158">
        <v>8726</v>
      </c>
      <c r="B2158">
        <v>1964</v>
      </c>
      <c r="C2158" t="s">
        <v>37</v>
      </c>
      <c r="D2158" t="s">
        <v>35</v>
      </c>
      <c r="E2158">
        <v>41713</v>
      </c>
      <c r="F2158">
        <v>1</v>
      </c>
      <c r="G2158">
        <v>1</v>
      </c>
      <c r="H2158" s="1">
        <v>41758</v>
      </c>
      <c r="I2158">
        <v>57</v>
      </c>
      <c r="J2158">
        <v>77</v>
      </c>
      <c r="K2158">
        <v>8</v>
      </c>
      <c r="L2158">
        <v>44</v>
      </c>
      <c r="M2158">
        <v>10</v>
      </c>
      <c r="N2158">
        <v>10</v>
      </c>
      <c r="O2158">
        <v>25</v>
      </c>
      <c r="P2158">
        <v>5</v>
      </c>
      <c r="Q2158">
        <v>3</v>
      </c>
      <c r="R2158">
        <v>1</v>
      </c>
      <c r="S2158">
        <v>4</v>
      </c>
      <c r="T2158">
        <v>6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3</v>
      </c>
      <c r="AB2158">
        <v>11</v>
      </c>
      <c r="AC2158">
        <v>0</v>
      </c>
    </row>
    <row r="2159" spans="1:29" x14ac:dyDescent="0.3">
      <c r="A2159">
        <v>1515</v>
      </c>
      <c r="B2159">
        <v>1975</v>
      </c>
      <c r="C2159" t="s">
        <v>34</v>
      </c>
      <c r="D2159" t="s">
        <v>31</v>
      </c>
      <c r="E2159">
        <v>34176</v>
      </c>
      <c r="F2159">
        <v>0</v>
      </c>
      <c r="G2159">
        <v>1</v>
      </c>
      <c r="H2159" s="1">
        <v>41661</v>
      </c>
      <c r="I2159">
        <v>9</v>
      </c>
      <c r="J2159">
        <v>11</v>
      </c>
      <c r="K2159">
        <v>2</v>
      </c>
      <c r="L2159">
        <v>7</v>
      </c>
      <c r="M2159">
        <v>4</v>
      </c>
      <c r="N2159">
        <v>2</v>
      </c>
      <c r="O2159">
        <v>2</v>
      </c>
      <c r="P2159">
        <v>1</v>
      </c>
      <c r="Q2159">
        <v>1</v>
      </c>
      <c r="R2159">
        <v>0</v>
      </c>
      <c r="S2159">
        <v>3</v>
      </c>
      <c r="T2159">
        <v>3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3</v>
      </c>
      <c r="AB2159">
        <v>11</v>
      </c>
      <c r="AC2159">
        <v>0</v>
      </c>
    </row>
    <row r="2160" spans="1:29" x14ac:dyDescent="0.3">
      <c r="A2160">
        <v>5186</v>
      </c>
      <c r="B2160">
        <v>1955</v>
      </c>
      <c r="C2160" t="s">
        <v>32</v>
      </c>
      <c r="D2160" t="s">
        <v>33</v>
      </c>
      <c r="E2160">
        <v>58482</v>
      </c>
      <c r="F2160">
        <v>0</v>
      </c>
      <c r="G2160">
        <v>1</v>
      </c>
      <c r="H2160" s="1">
        <v>41710</v>
      </c>
      <c r="I2160">
        <v>59</v>
      </c>
      <c r="J2160">
        <v>576</v>
      </c>
      <c r="K2160">
        <v>7</v>
      </c>
      <c r="L2160">
        <v>115</v>
      </c>
      <c r="M2160">
        <v>19</v>
      </c>
      <c r="N2160">
        <v>7</v>
      </c>
      <c r="O2160">
        <v>7</v>
      </c>
      <c r="P2160">
        <v>2</v>
      </c>
      <c r="Q2160">
        <v>7</v>
      </c>
      <c r="R2160">
        <v>4</v>
      </c>
      <c r="S2160">
        <v>9</v>
      </c>
      <c r="T2160">
        <v>6</v>
      </c>
      <c r="U2160">
        <v>0</v>
      </c>
      <c r="V2160">
        <v>1</v>
      </c>
      <c r="W2160">
        <v>0</v>
      </c>
      <c r="X2160">
        <v>0</v>
      </c>
      <c r="Y2160">
        <v>0</v>
      </c>
      <c r="Z2160">
        <v>0</v>
      </c>
      <c r="AA2160">
        <v>3</v>
      </c>
      <c r="AB2160">
        <v>11</v>
      </c>
      <c r="AC2160">
        <v>0</v>
      </c>
    </row>
    <row r="2161" spans="1:29" x14ac:dyDescent="0.3">
      <c r="A2161">
        <v>10157</v>
      </c>
      <c r="B2161">
        <v>1965</v>
      </c>
      <c r="C2161" t="s">
        <v>29</v>
      </c>
      <c r="D2161" t="s">
        <v>30</v>
      </c>
      <c r="E2161">
        <v>59686</v>
      </c>
      <c r="F2161">
        <v>0</v>
      </c>
      <c r="G2161">
        <v>1</v>
      </c>
      <c r="H2161" s="1">
        <v>41664</v>
      </c>
      <c r="I2161">
        <v>78</v>
      </c>
      <c r="J2161">
        <v>89</v>
      </c>
      <c r="K2161">
        <v>15</v>
      </c>
      <c r="L2161">
        <v>89</v>
      </c>
      <c r="M2161">
        <v>34</v>
      </c>
      <c r="N2161">
        <v>42</v>
      </c>
      <c r="O2161">
        <v>5</v>
      </c>
      <c r="P2161">
        <v>1</v>
      </c>
      <c r="Q2161">
        <v>4</v>
      </c>
      <c r="R2161">
        <v>1</v>
      </c>
      <c r="S2161">
        <v>6</v>
      </c>
      <c r="T2161">
        <v>4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3</v>
      </c>
      <c r="AB2161">
        <v>11</v>
      </c>
      <c r="AC2161">
        <v>0</v>
      </c>
    </row>
    <row r="2162" spans="1:29" x14ac:dyDescent="0.3">
      <c r="A2162">
        <v>5667</v>
      </c>
      <c r="B2162">
        <v>1964</v>
      </c>
      <c r="C2162" t="s">
        <v>32</v>
      </c>
      <c r="D2162" t="s">
        <v>33</v>
      </c>
      <c r="E2162">
        <v>60896</v>
      </c>
      <c r="F2162">
        <v>0</v>
      </c>
      <c r="G2162">
        <v>1</v>
      </c>
      <c r="H2162" s="1">
        <v>41193</v>
      </c>
      <c r="I2162">
        <v>90</v>
      </c>
      <c r="J2162">
        <v>1013</v>
      </c>
      <c r="K2162">
        <v>30</v>
      </c>
      <c r="L2162">
        <v>399</v>
      </c>
      <c r="M2162">
        <v>60</v>
      </c>
      <c r="N2162">
        <v>46</v>
      </c>
      <c r="O2162">
        <v>153</v>
      </c>
      <c r="P2162">
        <v>3</v>
      </c>
      <c r="Q2162">
        <v>9</v>
      </c>
      <c r="R2162">
        <v>10</v>
      </c>
      <c r="S2162">
        <v>4</v>
      </c>
      <c r="T2162">
        <v>6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3</v>
      </c>
      <c r="AB2162">
        <v>11</v>
      </c>
      <c r="AC2162">
        <v>1</v>
      </c>
    </row>
    <row r="2163" spans="1:29" x14ac:dyDescent="0.3">
      <c r="A2163">
        <v>902</v>
      </c>
      <c r="B2163">
        <v>1980</v>
      </c>
      <c r="C2163" t="s">
        <v>29</v>
      </c>
      <c r="D2163" t="s">
        <v>31</v>
      </c>
      <c r="E2163">
        <v>62994</v>
      </c>
      <c r="F2163">
        <v>1</v>
      </c>
      <c r="G2163">
        <v>0</v>
      </c>
      <c r="H2163" s="1">
        <v>41702</v>
      </c>
      <c r="I2163">
        <v>74</v>
      </c>
      <c r="J2163">
        <v>224</v>
      </c>
      <c r="K2163">
        <v>12</v>
      </c>
      <c r="L2163">
        <v>48</v>
      </c>
      <c r="M2163">
        <v>4</v>
      </c>
      <c r="N2163">
        <v>12</v>
      </c>
      <c r="O2163">
        <v>12</v>
      </c>
      <c r="P2163">
        <v>1</v>
      </c>
      <c r="Q2163">
        <v>6</v>
      </c>
      <c r="R2163">
        <v>2</v>
      </c>
      <c r="S2163">
        <v>4</v>
      </c>
      <c r="T2163">
        <v>6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3</v>
      </c>
      <c r="AB2163">
        <v>11</v>
      </c>
      <c r="AC2163">
        <v>0</v>
      </c>
    </row>
    <row r="2164" spans="1:29" x14ac:dyDescent="0.3">
      <c r="A2164">
        <v>977</v>
      </c>
      <c r="B2164">
        <v>1957</v>
      </c>
      <c r="C2164" t="s">
        <v>29</v>
      </c>
      <c r="D2164" t="s">
        <v>31</v>
      </c>
      <c r="E2164">
        <v>47320</v>
      </c>
      <c r="F2164">
        <v>0</v>
      </c>
      <c r="G2164">
        <v>1</v>
      </c>
      <c r="H2164" s="1">
        <v>41487</v>
      </c>
      <c r="I2164">
        <v>10</v>
      </c>
      <c r="J2164">
        <v>200</v>
      </c>
      <c r="K2164">
        <v>19</v>
      </c>
      <c r="L2164">
        <v>111</v>
      </c>
      <c r="M2164">
        <v>50</v>
      </c>
      <c r="N2164">
        <v>15</v>
      </c>
      <c r="O2164">
        <v>19</v>
      </c>
      <c r="P2164">
        <v>6</v>
      </c>
      <c r="Q2164">
        <v>5</v>
      </c>
      <c r="R2164">
        <v>1</v>
      </c>
      <c r="S2164">
        <v>8</v>
      </c>
      <c r="T2164">
        <v>6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3</v>
      </c>
      <c r="AB2164">
        <v>11</v>
      </c>
      <c r="AC2164">
        <v>0</v>
      </c>
    </row>
    <row r="2165" spans="1:29" x14ac:dyDescent="0.3">
      <c r="A2165">
        <v>7313</v>
      </c>
      <c r="B2165">
        <v>1949</v>
      </c>
      <c r="C2165" t="s">
        <v>37</v>
      </c>
      <c r="D2165" t="s">
        <v>38</v>
      </c>
      <c r="E2165">
        <v>74859</v>
      </c>
      <c r="F2165">
        <v>0</v>
      </c>
      <c r="G2165">
        <v>0</v>
      </c>
      <c r="H2165" s="1">
        <v>41428</v>
      </c>
      <c r="I2165">
        <v>63</v>
      </c>
      <c r="J2165">
        <v>570</v>
      </c>
      <c r="K2165">
        <v>73</v>
      </c>
      <c r="L2165">
        <v>614</v>
      </c>
      <c r="M2165">
        <v>133</v>
      </c>
      <c r="N2165">
        <v>102</v>
      </c>
      <c r="O2165">
        <v>73</v>
      </c>
      <c r="P2165">
        <v>1</v>
      </c>
      <c r="Q2165">
        <v>6</v>
      </c>
      <c r="R2165">
        <v>5</v>
      </c>
      <c r="S2165">
        <v>11</v>
      </c>
      <c r="T2165">
        <v>3</v>
      </c>
      <c r="U2165">
        <v>0</v>
      </c>
      <c r="V2165">
        <v>0</v>
      </c>
      <c r="W2165">
        <v>0</v>
      </c>
      <c r="X2165">
        <v>1</v>
      </c>
      <c r="Y2165">
        <v>0</v>
      </c>
      <c r="Z2165">
        <v>0</v>
      </c>
      <c r="AA2165">
        <v>3</v>
      </c>
      <c r="AB2165">
        <v>11</v>
      </c>
      <c r="AC2165">
        <v>0</v>
      </c>
    </row>
    <row r="2166" spans="1:29" x14ac:dyDescent="0.3">
      <c r="A2166">
        <v>7600</v>
      </c>
      <c r="B2166">
        <v>1992</v>
      </c>
      <c r="C2166" t="s">
        <v>36</v>
      </c>
      <c r="D2166" t="s">
        <v>30</v>
      </c>
      <c r="E2166">
        <v>15253</v>
      </c>
      <c r="F2166">
        <v>1</v>
      </c>
      <c r="G2166">
        <v>0</v>
      </c>
      <c r="H2166" s="1">
        <v>41575</v>
      </c>
      <c r="I2166">
        <v>13</v>
      </c>
      <c r="J2166">
        <v>1</v>
      </c>
      <c r="K2166">
        <v>3</v>
      </c>
      <c r="L2166">
        <v>3</v>
      </c>
      <c r="M2166">
        <v>8</v>
      </c>
      <c r="N2166">
        <v>1</v>
      </c>
      <c r="O2166">
        <v>13</v>
      </c>
      <c r="P2166">
        <v>2</v>
      </c>
      <c r="Q2166">
        <v>1</v>
      </c>
      <c r="R2166">
        <v>0</v>
      </c>
      <c r="S2166">
        <v>3</v>
      </c>
      <c r="T2166">
        <v>7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3</v>
      </c>
      <c r="AB2166">
        <v>11</v>
      </c>
      <c r="AC2166">
        <v>0</v>
      </c>
    </row>
    <row r="2167" spans="1:29" x14ac:dyDescent="0.3">
      <c r="A2167">
        <v>9706</v>
      </c>
      <c r="B2167">
        <v>1974</v>
      </c>
      <c r="C2167" t="s">
        <v>32</v>
      </c>
      <c r="D2167" t="s">
        <v>30</v>
      </c>
      <c r="E2167">
        <v>31560</v>
      </c>
      <c r="F2167">
        <v>1</v>
      </c>
      <c r="G2167">
        <v>0</v>
      </c>
      <c r="H2167" s="1">
        <v>41449</v>
      </c>
      <c r="I2167">
        <v>98</v>
      </c>
      <c r="J2167">
        <v>62</v>
      </c>
      <c r="K2167">
        <v>1</v>
      </c>
      <c r="L2167">
        <v>20</v>
      </c>
      <c r="M2167">
        <v>4</v>
      </c>
      <c r="N2167">
        <v>0</v>
      </c>
      <c r="O2167">
        <v>7</v>
      </c>
      <c r="P2167">
        <v>2</v>
      </c>
      <c r="Q2167">
        <v>2</v>
      </c>
      <c r="R2167">
        <v>1</v>
      </c>
      <c r="S2167">
        <v>3</v>
      </c>
      <c r="T2167">
        <v>8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3</v>
      </c>
      <c r="AB2167">
        <v>11</v>
      </c>
      <c r="AC2167">
        <v>0</v>
      </c>
    </row>
    <row r="2168" spans="1:29" x14ac:dyDescent="0.3">
      <c r="A2168">
        <v>2429</v>
      </c>
      <c r="B2168">
        <v>1954</v>
      </c>
      <c r="C2168" t="s">
        <v>29</v>
      </c>
      <c r="D2168" t="s">
        <v>35</v>
      </c>
      <c r="E2168">
        <v>72071</v>
      </c>
      <c r="F2168">
        <v>0</v>
      </c>
      <c r="G2168">
        <v>1</v>
      </c>
      <c r="H2168" s="1">
        <v>41319</v>
      </c>
      <c r="I2168">
        <v>4</v>
      </c>
      <c r="J2168">
        <v>531</v>
      </c>
      <c r="K2168">
        <v>69</v>
      </c>
      <c r="L2168">
        <v>300</v>
      </c>
      <c r="M2168">
        <v>150</v>
      </c>
      <c r="N2168">
        <v>138</v>
      </c>
      <c r="O2168">
        <v>150</v>
      </c>
      <c r="P2168">
        <v>3</v>
      </c>
      <c r="Q2168">
        <v>5</v>
      </c>
      <c r="R2168">
        <v>4</v>
      </c>
      <c r="S2168">
        <v>8</v>
      </c>
      <c r="T2168">
        <v>2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3</v>
      </c>
      <c r="AB2168">
        <v>11</v>
      </c>
      <c r="AC2168">
        <v>0</v>
      </c>
    </row>
    <row r="2169" spans="1:29" x14ac:dyDescent="0.3">
      <c r="A2169">
        <v>3520</v>
      </c>
      <c r="B2169">
        <v>1990</v>
      </c>
      <c r="C2169" t="s">
        <v>34</v>
      </c>
      <c r="D2169" t="s">
        <v>30</v>
      </c>
      <c r="E2169">
        <v>91172</v>
      </c>
      <c r="F2169">
        <v>0</v>
      </c>
      <c r="G2169">
        <v>0</v>
      </c>
      <c r="H2169" s="1">
        <v>41360</v>
      </c>
      <c r="I2169">
        <v>94</v>
      </c>
      <c r="J2169">
        <v>162</v>
      </c>
      <c r="K2169">
        <v>28</v>
      </c>
      <c r="L2169">
        <v>818</v>
      </c>
      <c r="M2169">
        <v>0</v>
      </c>
      <c r="N2169">
        <v>28</v>
      </c>
      <c r="O2169">
        <v>56</v>
      </c>
      <c r="P2169">
        <v>0</v>
      </c>
      <c r="Q2169">
        <v>4</v>
      </c>
      <c r="R2169">
        <v>3</v>
      </c>
      <c r="S2169">
        <v>7</v>
      </c>
      <c r="T2169">
        <v>3</v>
      </c>
      <c r="U2169">
        <v>1</v>
      </c>
      <c r="V2169">
        <v>0</v>
      </c>
      <c r="W2169">
        <v>1</v>
      </c>
      <c r="X2169">
        <v>1</v>
      </c>
      <c r="Y2169">
        <v>1</v>
      </c>
      <c r="Z2169">
        <v>0</v>
      </c>
      <c r="AA2169">
        <v>3</v>
      </c>
      <c r="AB2169">
        <v>11</v>
      </c>
      <c r="AC2169">
        <v>1</v>
      </c>
    </row>
    <row r="2170" spans="1:29" x14ac:dyDescent="0.3">
      <c r="A2170">
        <v>10394</v>
      </c>
      <c r="B2170">
        <v>1984</v>
      </c>
      <c r="C2170" t="s">
        <v>29</v>
      </c>
      <c r="D2170" t="s">
        <v>33</v>
      </c>
      <c r="E2170">
        <v>90000</v>
      </c>
      <c r="F2170">
        <v>0</v>
      </c>
      <c r="G2170">
        <v>0</v>
      </c>
      <c r="H2170" s="1">
        <v>41631</v>
      </c>
      <c r="I2170">
        <v>91</v>
      </c>
      <c r="J2170">
        <v>675</v>
      </c>
      <c r="K2170">
        <v>144</v>
      </c>
      <c r="L2170">
        <v>133</v>
      </c>
      <c r="M2170">
        <v>94</v>
      </c>
      <c r="N2170">
        <v>192</v>
      </c>
      <c r="O2170">
        <v>241</v>
      </c>
      <c r="P2170">
        <v>1</v>
      </c>
      <c r="Q2170">
        <v>4</v>
      </c>
      <c r="R2170">
        <v>8</v>
      </c>
      <c r="S2170">
        <v>5</v>
      </c>
      <c r="T2170">
        <v>1</v>
      </c>
      <c r="U2170">
        <v>1</v>
      </c>
      <c r="V2170">
        <v>0</v>
      </c>
      <c r="W2170">
        <v>1</v>
      </c>
      <c r="X2170">
        <v>1</v>
      </c>
      <c r="Y2170">
        <v>0</v>
      </c>
      <c r="Z2170">
        <v>0</v>
      </c>
      <c r="AA2170">
        <v>3</v>
      </c>
      <c r="AB2170">
        <v>11</v>
      </c>
      <c r="AC2170">
        <v>0</v>
      </c>
    </row>
    <row r="2171" spans="1:29" x14ac:dyDescent="0.3">
      <c r="A2171">
        <v>4548</v>
      </c>
      <c r="B2171">
        <v>1981</v>
      </c>
      <c r="C2171" t="s">
        <v>29</v>
      </c>
      <c r="D2171" t="s">
        <v>30</v>
      </c>
      <c r="E2171">
        <v>41967</v>
      </c>
      <c r="F2171">
        <v>1</v>
      </c>
      <c r="G2171">
        <v>1</v>
      </c>
      <c r="H2171" s="1">
        <v>41601</v>
      </c>
      <c r="I2171">
        <v>66</v>
      </c>
      <c r="J2171">
        <v>23</v>
      </c>
      <c r="K2171">
        <v>4</v>
      </c>
      <c r="L2171">
        <v>10</v>
      </c>
      <c r="M2171">
        <v>0</v>
      </c>
      <c r="N2171">
        <v>2</v>
      </c>
      <c r="O2171">
        <v>15</v>
      </c>
      <c r="P2171">
        <v>1</v>
      </c>
      <c r="Q2171">
        <v>1</v>
      </c>
      <c r="R2171">
        <v>0</v>
      </c>
      <c r="S2171">
        <v>3</v>
      </c>
      <c r="T2171">
        <v>4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3</v>
      </c>
      <c r="AB2171">
        <v>11</v>
      </c>
      <c r="AC2171">
        <v>0</v>
      </c>
    </row>
    <row r="2172" spans="1:29" x14ac:dyDescent="0.3">
      <c r="A2172">
        <v>9362</v>
      </c>
      <c r="B2172">
        <v>1965</v>
      </c>
      <c r="C2172" t="s">
        <v>29</v>
      </c>
      <c r="D2172" t="s">
        <v>30</v>
      </c>
      <c r="E2172">
        <v>69263</v>
      </c>
      <c r="F2172">
        <v>0</v>
      </c>
      <c r="G2172">
        <v>1</v>
      </c>
      <c r="H2172" s="1">
        <v>41703</v>
      </c>
      <c r="I2172">
        <v>14</v>
      </c>
      <c r="J2172">
        <v>492</v>
      </c>
      <c r="K2172">
        <v>5</v>
      </c>
      <c r="L2172">
        <v>32</v>
      </c>
      <c r="M2172">
        <v>13</v>
      </c>
      <c r="N2172">
        <v>5</v>
      </c>
      <c r="O2172">
        <v>21</v>
      </c>
      <c r="P2172">
        <v>1</v>
      </c>
      <c r="Q2172">
        <v>9</v>
      </c>
      <c r="R2172">
        <v>1</v>
      </c>
      <c r="S2172">
        <v>7</v>
      </c>
      <c r="T2172">
        <v>6</v>
      </c>
      <c r="U2172">
        <v>0</v>
      </c>
      <c r="V2172">
        <v>1</v>
      </c>
      <c r="W2172">
        <v>0</v>
      </c>
      <c r="X2172">
        <v>0</v>
      </c>
      <c r="Y2172">
        <v>0</v>
      </c>
      <c r="Z2172">
        <v>0</v>
      </c>
      <c r="AA2172">
        <v>3</v>
      </c>
      <c r="AB2172">
        <v>11</v>
      </c>
      <c r="AC2172">
        <v>0</v>
      </c>
    </row>
    <row r="2173" spans="1:29" x14ac:dyDescent="0.3">
      <c r="A2173">
        <v>3968</v>
      </c>
      <c r="B2173">
        <v>1970</v>
      </c>
      <c r="C2173" t="s">
        <v>37</v>
      </c>
      <c r="D2173" t="s">
        <v>35</v>
      </c>
      <c r="E2173">
        <v>65706</v>
      </c>
      <c r="F2173">
        <v>0</v>
      </c>
      <c r="G2173">
        <v>0</v>
      </c>
      <c r="H2173" s="1">
        <v>41453</v>
      </c>
      <c r="I2173">
        <v>77</v>
      </c>
      <c r="J2173">
        <v>918</v>
      </c>
      <c r="K2173">
        <v>10</v>
      </c>
      <c r="L2173">
        <v>129</v>
      </c>
      <c r="M2173">
        <v>13</v>
      </c>
      <c r="N2173">
        <v>0</v>
      </c>
      <c r="O2173">
        <v>129</v>
      </c>
      <c r="P2173">
        <v>1</v>
      </c>
      <c r="Q2173">
        <v>11</v>
      </c>
      <c r="R2173">
        <v>3</v>
      </c>
      <c r="S2173">
        <v>12</v>
      </c>
      <c r="T2173">
        <v>7</v>
      </c>
      <c r="U2173">
        <v>0</v>
      </c>
      <c r="V2173">
        <v>1</v>
      </c>
      <c r="W2173">
        <v>1</v>
      </c>
      <c r="X2173">
        <v>0</v>
      </c>
      <c r="Y2173">
        <v>1</v>
      </c>
      <c r="Z2173">
        <v>0</v>
      </c>
      <c r="AA2173">
        <v>3</v>
      </c>
      <c r="AB2173">
        <v>11</v>
      </c>
      <c r="AC2173">
        <v>1</v>
      </c>
    </row>
    <row r="2174" spans="1:29" x14ac:dyDescent="0.3">
      <c r="A2174">
        <v>4084</v>
      </c>
      <c r="B2174">
        <v>1975</v>
      </c>
      <c r="C2174" t="s">
        <v>29</v>
      </c>
      <c r="D2174" t="s">
        <v>31</v>
      </c>
      <c r="E2174">
        <v>60934</v>
      </c>
      <c r="F2174">
        <v>0</v>
      </c>
      <c r="G2174">
        <v>1</v>
      </c>
      <c r="H2174" s="1">
        <v>41656</v>
      </c>
      <c r="I2174">
        <v>41</v>
      </c>
      <c r="J2174">
        <v>224</v>
      </c>
      <c r="K2174">
        <v>155</v>
      </c>
      <c r="L2174">
        <v>155</v>
      </c>
      <c r="M2174">
        <v>192</v>
      </c>
      <c r="N2174">
        <v>93</v>
      </c>
      <c r="O2174">
        <v>54</v>
      </c>
      <c r="P2174">
        <v>2</v>
      </c>
      <c r="Q2174">
        <v>6</v>
      </c>
      <c r="R2174">
        <v>4</v>
      </c>
      <c r="S2174">
        <v>11</v>
      </c>
      <c r="T2174">
        <v>4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3</v>
      </c>
      <c r="AB2174">
        <v>11</v>
      </c>
      <c r="AC2174">
        <v>0</v>
      </c>
    </row>
    <row r="2175" spans="1:29" x14ac:dyDescent="0.3">
      <c r="A2175">
        <v>6721</v>
      </c>
      <c r="B2175">
        <v>1951</v>
      </c>
      <c r="C2175" t="s">
        <v>29</v>
      </c>
      <c r="D2175" t="s">
        <v>33</v>
      </c>
      <c r="E2175">
        <v>71965</v>
      </c>
      <c r="F2175">
        <v>0</v>
      </c>
      <c r="G2175">
        <v>1</v>
      </c>
      <c r="H2175" s="1">
        <v>41484</v>
      </c>
      <c r="I2175">
        <v>21</v>
      </c>
      <c r="J2175">
        <v>572</v>
      </c>
      <c r="K2175">
        <v>19</v>
      </c>
      <c r="L2175">
        <v>286</v>
      </c>
      <c r="M2175">
        <v>50</v>
      </c>
      <c r="N2175">
        <v>38</v>
      </c>
      <c r="O2175">
        <v>248</v>
      </c>
      <c r="P2175">
        <v>3</v>
      </c>
      <c r="Q2175">
        <v>6</v>
      </c>
      <c r="R2175">
        <v>3</v>
      </c>
      <c r="S2175">
        <v>5</v>
      </c>
      <c r="T2175">
        <v>3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3</v>
      </c>
      <c r="AB2175">
        <v>11</v>
      </c>
      <c r="AC2175">
        <v>0</v>
      </c>
    </row>
    <row r="2176" spans="1:29" x14ac:dyDescent="0.3">
      <c r="A2176">
        <v>2829</v>
      </c>
      <c r="B2176">
        <v>1955</v>
      </c>
      <c r="C2176" t="s">
        <v>29</v>
      </c>
      <c r="D2176" t="s">
        <v>33</v>
      </c>
      <c r="E2176">
        <v>65210</v>
      </c>
      <c r="F2176">
        <v>0</v>
      </c>
      <c r="G2176">
        <v>1</v>
      </c>
      <c r="H2176" s="1">
        <v>41708</v>
      </c>
      <c r="I2176">
        <v>25</v>
      </c>
      <c r="J2176">
        <v>626</v>
      </c>
      <c r="K2176">
        <v>0</v>
      </c>
      <c r="L2176">
        <v>70</v>
      </c>
      <c r="M2176">
        <v>0</v>
      </c>
      <c r="N2176">
        <v>7</v>
      </c>
      <c r="O2176">
        <v>28</v>
      </c>
      <c r="P2176">
        <v>2</v>
      </c>
      <c r="Q2176">
        <v>9</v>
      </c>
      <c r="R2176">
        <v>3</v>
      </c>
      <c r="S2176">
        <v>8</v>
      </c>
      <c r="T2176">
        <v>6</v>
      </c>
      <c r="U2176">
        <v>0</v>
      </c>
      <c r="V2176">
        <v>1</v>
      </c>
      <c r="W2176">
        <v>0</v>
      </c>
      <c r="X2176">
        <v>1</v>
      </c>
      <c r="Y2176">
        <v>0</v>
      </c>
      <c r="Z2176">
        <v>0</v>
      </c>
      <c r="AA2176">
        <v>3</v>
      </c>
      <c r="AB2176">
        <v>11</v>
      </c>
      <c r="AC2176">
        <v>0</v>
      </c>
    </row>
    <row r="2177" spans="1:29" x14ac:dyDescent="0.3">
      <c r="A2177">
        <v>1772</v>
      </c>
      <c r="B2177">
        <v>1975</v>
      </c>
      <c r="C2177" t="s">
        <v>32</v>
      </c>
      <c r="D2177" t="s">
        <v>33</v>
      </c>
      <c r="E2177">
        <v>79174</v>
      </c>
      <c r="F2177">
        <v>0</v>
      </c>
      <c r="G2177">
        <v>0</v>
      </c>
      <c r="H2177" s="1">
        <v>41285</v>
      </c>
      <c r="I2177">
        <v>2</v>
      </c>
      <c r="J2177">
        <v>1074</v>
      </c>
      <c r="K2177">
        <v>37</v>
      </c>
      <c r="L2177">
        <v>518</v>
      </c>
      <c r="M2177">
        <v>193</v>
      </c>
      <c r="N2177">
        <v>92</v>
      </c>
      <c r="O2177">
        <v>129</v>
      </c>
      <c r="P2177">
        <v>1</v>
      </c>
      <c r="Q2177">
        <v>5</v>
      </c>
      <c r="R2177">
        <v>6</v>
      </c>
      <c r="S2177">
        <v>7</v>
      </c>
      <c r="T2177">
        <v>2</v>
      </c>
      <c r="U2177">
        <v>0</v>
      </c>
      <c r="V2177">
        <v>0</v>
      </c>
      <c r="W2177">
        <v>1</v>
      </c>
      <c r="X2177">
        <v>1</v>
      </c>
      <c r="Y2177">
        <v>0</v>
      </c>
      <c r="Z2177">
        <v>0</v>
      </c>
      <c r="AA2177">
        <v>3</v>
      </c>
      <c r="AB2177">
        <v>11</v>
      </c>
      <c r="AC2177">
        <v>1</v>
      </c>
    </row>
    <row r="2178" spans="1:29" x14ac:dyDescent="0.3">
      <c r="A2178">
        <v>1544</v>
      </c>
      <c r="B2178">
        <v>1967</v>
      </c>
      <c r="C2178" t="s">
        <v>34</v>
      </c>
      <c r="D2178" t="s">
        <v>35</v>
      </c>
      <c r="E2178">
        <v>81380</v>
      </c>
      <c r="F2178">
        <v>0</v>
      </c>
      <c r="G2178">
        <v>0</v>
      </c>
      <c r="H2178" s="1">
        <v>41265</v>
      </c>
      <c r="I2178">
        <v>51</v>
      </c>
      <c r="J2178">
        <v>741</v>
      </c>
      <c r="K2178">
        <v>68</v>
      </c>
      <c r="L2178">
        <v>689</v>
      </c>
      <c r="M2178">
        <v>224</v>
      </c>
      <c r="N2178">
        <v>68</v>
      </c>
      <c r="O2178">
        <v>103</v>
      </c>
      <c r="P2178">
        <v>1</v>
      </c>
      <c r="Q2178">
        <v>4</v>
      </c>
      <c r="R2178">
        <v>2</v>
      </c>
      <c r="S2178">
        <v>10</v>
      </c>
      <c r="T2178">
        <v>2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3</v>
      </c>
      <c r="AB2178">
        <v>11</v>
      </c>
      <c r="AC2178">
        <v>0</v>
      </c>
    </row>
    <row r="2179" spans="1:29" x14ac:dyDescent="0.3">
      <c r="A2179">
        <v>492</v>
      </c>
      <c r="B2179">
        <v>1973</v>
      </c>
      <c r="C2179" t="s">
        <v>32</v>
      </c>
      <c r="D2179" t="s">
        <v>41</v>
      </c>
      <c r="E2179">
        <v>48432</v>
      </c>
      <c r="F2179">
        <v>0</v>
      </c>
      <c r="G2179">
        <v>1</v>
      </c>
      <c r="H2179" s="1">
        <v>41200</v>
      </c>
      <c r="I2179">
        <v>3</v>
      </c>
      <c r="J2179">
        <v>322</v>
      </c>
      <c r="K2179">
        <v>3</v>
      </c>
      <c r="L2179">
        <v>50</v>
      </c>
      <c r="M2179">
        <v>4</v>
      </c>
      <c r="N2179">
        <v>3</v>
      </c>
      <c r="O2179">
        <v>42</v>
      </c>
      <c r="P2179">
        <v>5</v>
      </c>
      <c r="Q2179">
        <v>7</v>
      </c>
      <c r="R2179">
        <v>1</v>
      </c>
      <c r="S2179">
        <v>6</v>
      </c>
      <c r="T2179">
        <v>8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3</v>
      </c>
      <c r="AB2179">
        <v>11</v>
      </c>
      <c r="AC2179">
        <v>0</v>
      </c>
    </row>
    <row r="2180" spans="1:29" x14ac:dyDescent="0.3">
      <c r="A2180">
        <v>4377</v>
      </c>
      <c r="B2180">
        <v>1971</v>
      </c>
      <c r="C2180" t="s">
        <v>29</v>
      </c>
      <c r="D2180" t="s">
        <v>33</v>
      </c>
      <c r="E2180">
        <v>52914</v>
      </c>
      <c r="F2180">
        <v>0</v>
      </c>
      <c r="G2180">
        <v>1</v>
      </c>
      <c r="H2180" s="1">
        <v>41281</v>
      </c>
      <c r="I2180">
        <v>32</v>
      </c>
      <c r="J2180">
        <v>254</v>
      </c>
      <c r="K2180">
        <v>10</v>
      </c>
      <c r="L2180">
        <v>44</v>
      </c>
      <c r="M2180">
        <v>30</v>
      </c>
      <c r="N2180">
        <v>10</v>
      </c>
      <c r="O2180">
        <v>227</v>
      </c>
      <c r="P2180">
        <v>2</v>
      </c>
      <c r="Q2180">
        <v>7</v>
      </c>
      <c r="R2180">
        <v>3</v>
      </c>
      <c r="S2180">
        <v>3</v>
      </c>
      <c r="T2180">
        <v>7</v>
      </c>
      <c r="U2180">
        <v>1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3</v>
      </c>
      <c r="AB2180">
        <v>11</v>
      </c>
      <c r="AC2180">
        <v>0</v>
      </c>
    </row>
    <row r="2181" spans="1:29" x14ac:dyDescent="0.3">
      <c r="A2181">
        <v>4541</v>
      </c>
      <c r="B2181">
        <v>1955</v>
      </c>
      <c r="C2181" t="s">
        <v>29</v>
      </c>
      <c r="D2181" t="s">
        <v>31</v>
      </c>
      <c r="E2181">
        <v>38946</v>
      </c>
      <c r="F2181">
        <v>0</v>
      </c>
      <c r="G2181">
        <v>1</v>
      </c>
      <c r="H2181" s="1">
        <v>41571</v>
      </c>
      <c r="I2181">
        <v>84</v>
      </c>
      <c r="J2181">
        <v>116</v>
      </c>
      <c r="K2181">
        <v>6</v>
      </c>
      <c r="L2181">
        <v>82</v>
      </c>
      <c r="M2181">
        <v>6</v>
      </c>
      <c r="N2181">
        <v>6</v>
      </c>
      <c r="O2181">
        <v>41</v>
      </c>
      <c r="P2181">
        <v>2</v>
      </c>
      <c r="Q2181">
        <v>3</v>
      </c>
      <c r="R2181">
        <v>1</v>
      </c>
      <c r="S2181">
        <v>6</v>
      </c>
      <c r="T2181">
        <v>5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3</v>
      </c>
      <c r="AB2181">
        <v>11</v>
      </c>
      <c r="AC2181">
        <v>0</v>
      </c>
    </row>
    <row r="2182" spans="1:29" x14ac:dyDescent="0.3">
      <c r="A2182">
        <v>1321</v>
      </c>
      <c r="B2182">
        <v>1974</v>
      </c>
      <c r="C2182" t="s">
        <v>29</v>
      </c>
      <c r="D2182" t="s">
        <v>33</v>
      </c>
      <c r="E2182">
        <v>26067</v>
      </c>
      <c r="F2182">
        <v>1</v>
      </c>
      <c r="G2182">
        <v>0</v>
      </c>
      <c r="H2182" s="1">
        <v>41582</v>
      </c>
      <c r="I2182">
        <v>49</v>
      </c>
      <c r="J2182">
        <v>22</v>
      </c>
      <c r="K2182">
        <v>2</v>
      </c>
      <c r="L2182">
        <v>18</v>
      </c>
      <c r="M2182">
        <v>0</v>
      </c>
      <c r="N2182">
        <v>2</v>
      </c>
      <c r="O2182">
        <v>12</v>
      </c>
      <c r="P2182">
        <v>3</v>
      </c>
      <c r="Q2182">
        <v>3</v>
      </c>
      <c r="R2182">
        <v>0</v>
      </c>
      <c r="S2182">
        <v>3</v>
      </c>
      <c r="T2182">
        <v>8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3</v>
      </c>
      <c r="AB2182">
        <v>11</v>
      </c>
      <c r="AC2182">
        <v>0</v>
      </c>
    </row>
    <row r="2183" spans="1:29" x14ac:dyDescent="0.3">
      <c r="A2183">
        <v>8858</v>
      </c>
      <c r="B2183">
        <v>1972</v>
      </c>
      <c r="C2183" t="s">
        <v>32</v>
      </c>
      <c r="D2183" t="s">
        <v>33</v>
      </c>
      <c r="E2183">
        <v>44325</v>
      </c>
      <c r="F2183">
        <v>0</v>
      </c>
      <c r="G2183">
        <v>1</v>
      </c>
      <c r="H2183" s="1">
        <v>41340</v>
      </c>
      <c r="I2183">
        <v>69</v>
      </c>
      <c r="J2183">
        <v>516</v>
      </c>
      <c r="K2183">
        <v>0</v>
      </c>
      <c r="L2183">
        <v>21</v>
      </c>
      <c r="M2183">
        <v>0</v>
      </c>
      <c r="N2183">
        <v>0</v>
      </c>
      <c r="O2183">
        <v>5</v>
      </c>
      <c r="P2183">
        <v>4</v>
      </c>
      <c r="Q2183">
        <v>8</v>
      </c>
      <c r="R2183">
        <v>2</v>
      </c>
      <c r="S2183">
        <v>7</v>
      </c>
      <c r="T2183">
        <v>8</v>
      </c>
      <c r="U2183">
        <v>0</v>
      </c>
      <c r="V2183">
        <v>1</v>
      </c>
      <c r="W2183">
        <v>0</v>
      </c>
      <c r="X2183">
        <v>0</v>
      </c>
      <c r="Y2183">
        <v>0</v>
      </c>
      <c r="Z2183">
        <v>0</v>
      </c>
      <c r="AA2183">
        <v>3</v>
      </c>
      <c r="AB2183">
        <v>11</v>
      </c>
      <c r="AC2183">
        <v>0</v>
      </c>
    </row>
    <row r="2184" spans="1:29" x14ac:dyDescent="0.3">
      <c r="A2184">
        <v>3266</v>
      </c>
      <c r="B2184">
        <v>1964</v>
      </c>
      <c r="C2184" t="s">
        <v>29</v>
      </c>
      <c r="D2184" t="s">
        <v>33</v>
      </c>
      <c r="E2184">
        <v>42523</v>
      </c>
      <c r="F2184">
        <v>0</v>
      </c>
      <c r="G2184">
        <v>0</v>
      </c>
      <c r="H2184" s="1">
        <v>41752</v>
      </c>
      <c r="I2184">
        <v>96</v>
      </c>
      <c r="J2184">
        <v>14</v>
      </c>
      <c r="K2184">
        <v>36</v>
      </c>
      <c r="L2184">
        <v>11</v>
      </c>
      <c r="M2184">
        <v>3</v>
      </c>
      <c r="N2184">
        <v>26</v>
      </c>
      <c r="O2184">
        <v>35</v>
      </c>
      <c r="P2184">
        <v>1</v>
      </c>
      <c r="Q2184">
        <v>1</v>
      </c>
      <c r="R2184">
        <v>1</v>
      </c>
      <c r="S2184">
        <v>4</v>
      </c>
      <c r="T2184">
        <v>2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3</v>
      </c>
      <c r="AB2184">
        <v>11</v>
      </c>
      <c r="AC2184">
        <v>0</v>
      </c>
    </row>
    <row r="2185" spans="1:29" x14ac:dyDescent="0.3">
      <c r="A2185">
        <v>11187</v>
      </c>
      <c r="B2185">
        <v>1978</v>
      </c>
      <c r="C2185" t="s">
        <v>36</v>
      </c>
      <c r="D2185" t="s">
        <v>30</v>
      </c>
      <c r="E2185">
        <v>26487</v>
      </c>
      <c r="F2185">
        <v>1</v>
      </c>
      <c r="G2185">
        <v>0</v>
      </c>
      <c r="H2185" s="1">
        <v>41414</v>
      </c>
      <c r="I2185">
        <v>23</v>
      </c>
      <c r="J2185">
        <v>2</v>
      </c>
      <c r="K2185">
        <v>8</v>
      </c>
      <c r="L2185">
        <v>10</v>
      </c>
      <c r="M2185">
        <v>12</v>
      </c>
      <c r="N2185">
        <v>14</v>
      </c>
      <c r="O2185">
        <v>23</v>
      </c>
      <c r="P2185">
        <v>3</v>
      </c>
      <c r="Q2185">
        <v>2</v>
      </c>
      <c r="R2185">
        <v>1</v>
      </c>
      <c r="S2185">
        <v>3</v>
      </c>
      <c r="T2185">
        <v>5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3</v>
      </c>
      <c r="AB2185">
        <v>11</v>
      </c>
      <c r="AC2185">
        <v>0</v>
      </c>
    </row>
    <row r="2186" spans="1:29" x14ac:dyDescent="0.3">
      <c r="A2186">
        <v>8207</v>
      </c>
      <c r="B2186">
        <v>1957</v>
      </c>
      <c r="C2186" t="s">
        <v>37</v>
      </c>
      <c r="D2186" t="s">
        <v>33</v>
      </c>
      <c r="E2186">
        <v>53233</v>
      </c>
      <c r="F2186">
        <v>0</v>
      </c>
      <c r="G2186">
        <v>1</v>
      </c>
      <c r="H2186" s="1">
        <v>41716</v>
      </c>
      <c r="I2186">
        <v>18</v>
      </c>
      <c r="J2186">
        <v>28</v>
      </c>
      <c r="K2186">
        <v>0</v>
      </c>
      <c r="L2186">
        <v>9</v>
      </c>
      <c r="M2186">
        <v>3</v>
      </c>
      <c r="N2186">
        <v>0</v>
      </c>
      <c r="O2186">
        <v>0</v>
      </c>
      <c r="P2186">
        <v>1</v>
      </c>
      <c r="Q2186">
        <v>1</v>
      </c>
      <c r="R2186">
        <v>0</v>
      </c>
      <c r="S2186">
        <v>3</v>
      </c>
      <c r="T2186">
        <v>4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3</v>
      </c>
      <c r="AB2186">
        <v>11</v>
      </c>
      <c r="AC2186">
        <v>0</v>
      </c>
    </row>
    <row r="2187" spans="1:29" x14ac:dyDescent="0.3">
      <c r="A2187">
        <v>9723</v>
      </c>
      <c r="B2187">
        <v>1960</v>
      </c>
      <c r="C2187" t="s">
        <v>29</v>
      </c>
      <c r="D2187" t="s">
        <v>33</v>
      </c>
      <c r="E2187">
        <v>67716</v>
      </c>
      <c r="F2187">
        <v>0</v>
      </c>
      <c r="G2187">
        <v>1</v>
      </c>
      <c r="H2187" s="1">
        <v>41284</v>
      </c>
      <c r="I2187">
        <v>8</v>
      </c>
      <c r="J2187">
        <v>530</v>
      </c>
      <c r="K2187">
        <v>142</v>
      </c>
      <c r="L2187">
        <v>217</v>
      </c>
      <c r="M2187">
        <v>62</v>
      </c>
      <c r="N2187">
        <v>9</v>
      </c>
      <c r="O2187">
        <v>56</v>
      </c>
      <c r="P2187">
        <v>4</v>
      </c>
      <c r="Q2187">
        <v>7</v>
      </c>
      <c r="R2187">
        <v>4</v>
      </c>
      <c r="S2187">
        <v>13</v>
      </c>
      <c r="T2187">
        <v>5</v>
      </c>
      <c r="U2187">
        <v>0</v>
      </c>
      <c r="V2187">
        <v>1</v>
      </c>
      <c r="W2187">
        <v>0</v>
      </c>
      <c r="X2187">
        <v>0</v>
      </c>
      <c r="Y2187">
        <v>0</v>
      </c>
      <c r="Z2187">
        <v>0</v>
      </c>
      <c r="AA2187">
        <v>3</v>
      </c>
      <c r="AB2187">
        <v>11</v>
      </c>
      <c r="AC2187">
        <v>0</v>
      </c>
    </row>
    <row r="2188" spans="1:29" x14ac:dyDescent="0.3">
      <c r="A2188">
        <v>2666</v>
      </c>
      <c r="B2188">
        <v>1972</v>
      </c>
      <c r="C2188" t="s">
        <v>34</v>
      </c>
      <c r="D2188" t="s">
        <v>33</v>
      </c>
      <c r="E2188">
        <v>76234</v>
      </c>
      <c r="F2188">
        <v>0</v>
      </c>
      <c r="G2188">
        <v>1</v>
      </c>
      <c r="H2188" s="1">
        <v>41676</v>
      </c>
      <c r="I2188">
        <v>21</v>
      </c>
      <c r="J2188">
        <v>519</v>
      </c>
      <c r="K2188">
        <v>50</v>
      </c>
      <c r="L2188">
        <v>167</v>
      </c>
      <c r="M2188">
        <v>130</v>
      </c>
      <c r="N2188">
        <v>0</v>
      </c>
      <c r="O2188">
        <v>41</v>
      </c>
      <c r="P2188">
        <v>1</v>
      </c>
      <c r="Q2188">
        <v>8</v>
      </c>
      <c r="R2188">
        <v>3</v>
      </c>
      <c r="S2188">
        <v>11</v>
      </c>
      <c r="T2188">
        <v>3</v>
      </c>
      <c r="U2188">
        <v>0</v>
      </c>
      <c r="V2188">
        <v>1</v>
      </c>
      <c r="W2188">
        <v>0</v>
      </c>
      <c r="X2188">
        <v>0</v>
      </c>
      <c r="Y2188">
        <v>0</v>
      </c>
      <c r="Z2188">
        <v>0</v>
      </c>
      <c r="AA2188">
        <v>3</v>
      </c>
      <c r="AB2188">
        <v>11</v>
      </c>
      <c r="AC2188">
        <v>0</v>
      </c>
    </row>
    <row r="2189" spans="1:29" x14ac:dyDescent="0.3">
      <c r="A2189">
        <v>5721</v>
      </c>
      <c r="B2189">
        <v>1956</v>
      </c>
      <c r="C2189" t="s">
        <v>32</v>
      </c>
      <c r="D2189" t="s">
        <v>33</v>
      </c>
      <c r="E2189">
        <v>84117</v>
      </c>
      <c r="F2189">
        <v>0</v>
      </c>
      <c r="G2189">
        <v>0</v>
      </c>
      <c r="H2189" s="1">
        <v>41770</v>
      </c>
      <c r="I2189">
        <v>60</v>
      </c>
      <c r="J2189">
        <v>611</v>
      </c>
      <c r="K2189">
        <v>76</v>
      </c>
      <c r="L2189">
        <v>749</v>
      </c>
      <c r="M2189">
        <v>59</v>
      </c>
      <c r="N2189">
        <v>45</v>
      </c>
      <c r="O2189">
        <v>26</v>
      </c>
      <c r="P2189">
        <v>1</v>
      </c>
      <c r="Q2189">
        <v>7</v>
      </c>
      <c r="R2189">
        <v>10</v>
      </c>
      <c r="S2189">
        <v>6</v>
      </c>
      <c r="T2189">
        <v>2</v>
      </c>
      <c r="U2189">
        <v>0</v>
      </c>
      <c r="V2189">
        <v>0</v>
      </c>
      <c r="W2189">
        <v>1</v>
      </c>
      <c r="X2189">
        <v>0</v>
      </c>
      <c r="Y2189">
        <v>0</v>
      </c>
      <c r="Z2189">
        <v>0</v>
      </c>
      <c r="AA2189">
        <v>3</v>
      </c>
      <c r="AB2189">
        <v>11</v>
      </c>
      <c r="AC2189">
        <v>0</v>
      </c>
    </row>
    <row r="2190" spans="1:29" x14ac:dyDescent="0.3">
      <c r="A2190">
        <v>10652</v>
      </c>
      <c r="B2190">
        <v>1957</v>
      </c>
      <c r="C2190" t="s">
        <v>34</v>
      </c>
      <c r="D2190" t="s">
        <v>31</v>
      </c>
      <c r="E2190">
        <v>65487</v>
      </c>
      <c r="F2190">
        <v>0</v>
      </c>
      <c r="G2190">
        <v>0</v>
      </c>
      <c r="H2190" s="1">
        <v>41649</v>
      </c>
      <c r="I2190">
        <v>48</v>
      </c>
      <c r="J2190">
        <v>240</v>
      </c>
      <c r="K2190">
        <v>67</v>
      </c>
      <c r="L2190">
        <v>500</v>
      </c>
      <c r="M2190">
        <v>199</v>
      </c>
      <c r="N2190">
        <v>0</v>
      </c>
      <c r="O2190">
        <v>163</v>
      </c>
      <c r="P2190">
        <v>3</v>
      </c>
      <c r="Q2190">
        <v>3</v>
      </c>
      <c r="R2190">
        <v>5</v>
      </c>
      <c r="S2190">
        <v>6</v>
      </c>
      <c r="T2190">
        <v>2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3</v>
      </c>
      <c r="AB2190">
        <v>11</v>
      </c>
      <c r="AC2190">
        <v>0</v>
      </c>
    </row>
    <row r="2191" spans="1:29" x14ac:dyDescent="0.3">
      <c r="A2191">
        <v>1646</v>
      </c>
      <c r="B2191">
        <v>1972</v>
      </c>
      <c r="C2191" t="s">
        <v>36</v>
      </c>
      <c r="D2191" t="s">
        <v>33</v>
      </c>
      <c r="E2191">
        <v>25224</v>
      </c>
      <c r="F2191">
        <v>1</v>
      </c>
      <c r="G2191">
        <v>0</v>
      </c>
      <c r="H2191" s="1">
        <v>41714</v>
      </c>
      <c r="I2191">
        <v>36</v>
      </c>
      <c r="J2191">
        <v>4</v>
      </c>
      <c r="K2191">
        <v>9</v>
      </c>
      <c r="L2191">
        <v>12</v>
      </c>
      <c r="M2191">
        <v>11</v>
      </c>
      <c r="N2191">
        <v>2</v>
      </c>
      <c r="O2191">
        <v>8</v>
      </c>
      <c r="P2191">
        <v>2</v>
      </c>
      <c r="Q2191">
        <v>1</v>
      </c>
      <c r="R2191">
        <v>1</v>
      </c>
      <c r="S2191">
        <v>3</v>
      </c>
      <c r="T2191">
        <v>3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3</v>
      </c>
      <c r="AB2191">
        <v>11</v>
      </c>
      <c r="AC2191">
        <v>0</v>
      </c>
    </row>
    <row r="2192" spans="1:29" x14ac:dyDescent="0.3">
      <c r="A2192">
        <v>4418</v>
      </c>
      <c r="B2192">
        <v>1983</v>
      </c>
      <c r="C2192" t="s">
        <v>34</v>
      </c>
      <c r="D2192" t="s">
        <v>30</v>
      </c>
      <c r="E2192">
        <v>89616</v>
      </c>
      <c r="F2192">
        <v>0</v>
      </c>
      <c r="G2192">
        <v>0</v>
      </c>
      <c r="H2192" s="1">
        <v>41330</v>
      </c>
      <c r="I2192">
        <v>36</v>
      </c>
      <c r="J2192">
        <v>671</v>
      </c>
      <c r="K2192">
        <v>47</v>
      </c>
      <c r="L2192">
        <v>655</v>
      </c>
      <c r="M2192">
        <v>145</v>
      </c>
      <c r="N2192">
        <v>111</v>
      </c>
      <c r="O2192">
        <v>15</v>
      </c>
      <c r="P2192">
        <v>1</v>
      </c>
      <c r="Q2192">
        <v>7</v>
      </c>
      <c r="R2192">
        <v>5</v>
      </c>
      <c r="S2192">
        <v>12</v>
      </c>
      <c r="T2192">
        <v>2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3</v>
      </c>
      <c r="AB2192">
        <v>11</v>
      </c>
      <c r="AC2192">
        <v>1</v>
      </c>
    </row>
    <row r="2193" spans="1:29" x14ac:dyDescent="0.3">
      <c r="A2193">
        <v>2656</v>
      </c>
      <c r="B2193">
        <v>1971</v>
      </c>
      <c r="C2193" t="s">
        <v>29</v>
      </c>
      <c r="D2193" t="s">
        <v>35</v>
      </c>
      <c r="E2193">
        <v>40851</v>
      </c>
      <c r="F2193">
        <v>1</v>
      </c>
      <c r="G2193">
        <v>1</v>
      </c>
      <c r="H2193" s="1">
        <v>41326</v>
      </c>
      <c r="I2193">
        <v>63</v>
      </c>
      <c r="J2193">
        <v>23</v>
      </c>
      <c r="K2193">
        <v>1</v>
      </c>
      <c r="L2193">
        <v>7</v>
      </c>
      <c r="M2193">
        <v>0</v>
      </c>
      <c r="N2193">
        <v>4</v>
      </c>
      <c r="O2193">
        <v>24</v>
      </c>
      <c r="P2193">
        <v>1</v>
      </c>
      <c r="Q2193">
        <v>1</v>
      </c>
      <c r="R2193">
        <v>1</v>
      </c>
      <c r="S2193">
        <v>2</v>
      </c>
      <c r="T2193">
        <v>7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3</v>
      </c>
      <c r="AB2193">
        <v>11</v>
      </c>
      <c r="AC2193">
        <v>0</v>
      </c>
    </row>
    <row r="2194" spans="1:29" x14ac:dyDescent="0.3">
      <c r="A2194">
        <v>7990</v>
      </c>
      <c r="B2194">
        <v>1947</v>
      </c>
      <c r="C2194" t="s">
        <v>29</v>
      </c>
      <c r="D2194" t="s">
        <v>33</v>
      </c>
      <c r="E2194">
        <v>27469</v>
      </c>
      <c r="F2194">
        <v>0</v>
      </c>
      <c r="G2194">
        <v>0</v>
      </c>
      <c r="H2194" s="1">
        <v>41123</v>
      </c>
      <c r="I2194">
        <v>2</v>
      </c>
      <c r="J2194">
        <v>9</v>
      </c>
      <c r="K2194">
        <v>1</v>
      </c>
      <c r="L2194">
        <v>2</v>
      </c>
      <c r="M2194">
        <v>3</v>
      </c>
      <c r="N2194">
        <v>2</v>
      </c>
      <c r="O2194">
        <v>0</v>
      </c>
      <c r="P2194">
        <v>1</v>
      </c>
      <c r="Q2194">
        <v>0</v>
      </c>
      <c r="R2194">
        <v>0</v>
      </c>
      <c r="S2194">
        <v>3</v>
      </c>
      <c r="T2194">
        <v>6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3</v>
      </c>
      <c r="AB2194">
        <v>11</v>
      </c>
      <c r="AC2194">
        <v>0</v>
      </c>
    </row>
    <row r="2195" spans="1:29" x14ac:dyDescent="0.3">
      <c r="A2195">
        <v>8722</v>
      </c>
      <c r="B2195">
        <v>1957</v>
      </c>
      <c r="C2195" t="s">
        <v>37</v>
      </c>
      <c r="D2195" t="s">
        <v>33</v>
      </c>
      <c r="E2195">
        <v>82347</v>
      </c>
      <c r="F2195">
        <v>0</v>
      </c>
      <c r="G2195">
        <v>0</v>
      </c>
      <c r="H2195" s="1">
        <v>41219</v>
      </c>
      <c r="I2195">
        <v>38</v>
      </c>
      <c r="J2195">
        <v>556</v>
      </c>
      <c r="K2195">
        <v>54</v>
      </c>
      <c r="L2195">
        <v>845</v>
      </c>
      <c r="M2195">
        <v>202</v>
      </c>
      <c r="N2195">
        <v>133</v>
      </c>
      <c r="O2195">
        <v>63</v>
      </c>
      <c r="P2195">
        <v>1</v>
      </c>
      <c r="Q2195">
        <v>7</v>
      </c>
      <c r="R2195">
        <v>7</v>
      </c>
      <c r="S2195">
        <v>10</v>
      </c>
      <c r="T2195">
        <v>3</v>
      </c>
      <c r="U2195">
        <v>1</v>
      </c>
      <c r="V2195">
        <v>0</v>
      </c>
      <c r="W2195">
        <v>0</v>
      </c>
      <c r="X2195">
        <v>1</v>
      </c>
      <c r="Y2195">
        <v>0</v>
      </c>
      <c r="Z2195">
        <v>0</v>
      </c>
      <c r="AA2195">
        <v>3</v>
      </c>
      <c r="AB2195">
        <v>11</v>
      </c>
      <c r="AC2195">
        <v>1</v>
      </c>
    </row>
    <row r="2196" spans="1:29" x14ac:dyDescent="0.3">
      <c r="A2196">
        <v>7118</v>
      </c>
      <c r="B2196">
        <v>1957</v>
      </c>
      <c r="C2196" t="s">
        <v>29</v>
      </c>
      <c r="D2196" t="s">
        <v>33</v>
      </c>
      <c r="E2196">
        <v>73803</v>
      </c>
      <c r="F2196">
        <v>0</v>
      </c>
      <c r="G2196">
        <v>1</v>
      </c>
      <c r="H2196" s="1">
        <v>41122</v>
      </c>
      <c r="I2196">
        <v>61</v>
      </c>
      <c r="J2196">
        <v>833</v>
      </c>
      <c r="K2196">
        <v>80</v>
      </c>
      <c r="L2196">
        <v>363</v>
      </c>
      <c r="M2196">
        <v>52</v>
      </c>
      <c r="N2196">
        <v>26</v>
      </c>
      <c r="O2196">
        <v>174</v>
      </c>
      <c r="P2196">
        <v>2</v>
      </c>
      <c r="Q2196">
        <v>9</v>
      </c>
      <c r="R2196">
        <v>5</v>
      </c>
      <c r="S2196">
        <v>6</v>
      </c>
      <c r="T2196">
        <v>6</v>
      </c>
      <c r="U2196">
        <v>1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3</v>
      </c>
      <c r="AB2196">
        <v>11</v>
      </c>
      <c r="AC2196">
        <v>1</v>
      </c>
    </row>
    <row r="2197" spans="1:29" x14ac:dyDescent="0.3">
      <c r="A2197">
        <v>2980</v>
      </c>
      <c r="B2197">
        <v>1952</v>
      </c>
      <c r="C2197" t="s">
        <v>34</v>
      </c>
      <c r="D2197" t="s">
        <v>30</v>
      </c>
      <c r="E2197">
        <v>8820</v>
      </c>
      <c r="F2197">
        <v>1</v>
      </c>
      <c r="G2197">
        <v>1</v>
      </c>
      <c r="H2197" s="1">
        <v>41355</v>
      </c>
      <c r="I2197">
        <v>52</v>
      </c>
      <c r="J2197">
        <v>12</v>
      </c>
      <c r="K2197">
        <v>0</v>
      </c>
      <c r="L2197">
        <v>13</v>
      </c>
      <c r="M2197">
        <v>4</v>
      </c>
      <c r="N2197">
        <v>2</v>
      </c>
      <c r="O2197">
        <v>4</v>
      </c>
      <c r="P2197">
        <v>4</v>
      </c>
      <c r="Q2197">
        <v>3</v>
      </c>
      <c r="R2197">
        <v>0</v>
      </c>
      <c r="S2197">
        <v>3</v>
      </c>
      <c r="T2197">
        <v>8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3</v>
      </c>
      <c r="AB2197">
        <v>11</v>
      </c>
      <c r="AC2197">
        <v>0</v>
      </c>
    </row>
    <row r="2198" spans="1:29" x14ac:dyDescent="0.3">
      <c r="A2198">
        <v>1839</v>
      </c>
      <c r="B2198">
        <v>1974</v>
      </c>
      <c r="C2198" t="s">
        <v>29</v>
      </c>
      <c r="D2198" t="s">
        <v>30</v>
      </c>
      <c r="E2198">
        <v>43322</v>
      </c>
      <c r="F2198">
        <v>0</v>
      </c>
      <c r="G2198">
        <v>0</v>
      </c>
      <c r="H2198" s="1">
        <v>41750</v>
      </c>
      <c r="I2198">
        <v>25</v>
      </c>
      <c r="J2198">
        <v>56</v>
      </c>
      <c r="K2198">
        <v>7</v>
      </c>
      <c r="L2198">
        <v>48</v>
      </c>
      <c r="M2198">
        <v>10</v>
      </c>
      <c r="N2198">
        <v>2</v>
      </c>
      <c r="O2198">
        <v>18</v>
      </c>
      <c r="P2198">
        <v>1</v>
      </c>
      <c r="Q2198">
        <v>3</v>
      </c>
      <c r="R2198">
        <v>0</v>
      </c>
      <c r="S2198">
        <v>4</v>
      </c>
      <c r="T2198">
        <v>7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3</v>
      </c>
      <c r="AB2198">
        <v>11</v>
      </c>
      <c r="AC2198">
        <v>0</v>
      </c>
    </row>
    <row r="2199" spans="1:29" x14ac:dyDescent="0.3">
      <c r="A2199">
        <v>10722</v>
      </c>
      <c r="B2199">
        <v>1973</v>
      </c>
      <c r="C2199" t="s">
        <v>29</v>
      </c>
      <c r="D2199" t="s">
        <v>31</v>
      </c>
      <c r="E2199">
        <v>55593</v>
      </c>
      <c r="F2199">
        <v>0</v>
      </c>
      <c r="G2199">
        <v>1</v>
      </c>
      <c r="H2199" s="1">
        <v>41507</v>
      </c>
      <c r="I2199">
        <v>63</v>
      </c>
      <c r="J2199">
        <v>293</v>
      </c>
      <c r="K2199">
        <v>8</v>
      </c>
      <c r="L2199">
        <v>124</v>
      </c>
      <c r="M2199">
        <v>11</v>
      </c>
      <c r="N2199">
        <v>4</v>
      </c>
      <c r="O2199">
        <v>106</v>
      </c>
      <c r="P2199">
        <v>2</v>
      </c>
      <c r="Q2199">
        <v>6</v>
      </c>
      <c r="R2199">
        <v>6</v>
      </c>
      <c r="S2199">
        <v>3</v>
      </c>
      <c r="T2199">
        <v>6</v>
      </c>
      <c r="U2199">
        <v>1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3</v>
      </c>
      <c r="AB2199">
        <v>11</v>
      </c>
      <c r="AC2199">
        <v>0</v>
      </c>
    </row>
    <row r="2200" spans="1:29" x14ac:dyDescent="0.3">
      <c r="A2200">
        <v>2632</v>
      </c>
      <c r="B2200">
        <v>1954</v>
      </c>
      <c r="C2200" t="s">
        <v>29</v>
      </c>
      <c r="D2200" t="s">
        <v>33</v>
      </c>
      <c r="E2200">
        <v>50501</v>
      </c>
      <c r="F2200">
        <v>1</v>
      </c>
      <c r="G2200">
        <v>1</v>
      </c>
      <c r="H2200" s="1">
        <v>41443</v>
      </c>
      <c r="I2200">
        <v>10</v>
      </c>
      <c r="J2200">
        <v>297</v>
      </c>
      <c r="K2200">
        <v>0</v>
      </c>
      <c r="L2200">
        <v>38</v>
      </c>
      <c r="M2200">
        <v>13</v>
      </c>
      <c r="N2200">
        <v>0</v>
      </c>
      <c r="O2200">
        <v>152</v>
      </c>
      <c r="P2200">
        <v>7</v>
      </c>
      <c r="Q2200">
        <v>5</v>
      </c>
      <c r="R2200">
        <v>4</v>
      </c>
      <c r="S2200">
        <v>4</v>
      </c>
      <c r="T2200">
        <v>6</v>
      </c>
      <c r="U2200">
        <v>1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3</v>
      </c>
      <c r="AB2200">
        <v>11</v>
      </c>
      <c r="AC2200">
        <v>1</v>
      </c>
    </row>
    <row r="2201" spans="1:29" x14ac:dyDescent="0.3">
      <c r="A2201">
        <v>9014</v>
      </c>
      <c r="B2201">
        <v>1975</v>
      </c>
      <c r="C2201" t="s">
        <v>29</v>
      </c>
      <c r="D2201" t="s">
        <v>33</v>
      </c>
      <c r="E2201">
        <v>37085</v>
      </c>
      <c r="F2201">
        <v>1</v>
      </c>
      <c r="G2201">
        <v>1</v>
      </c>
      <c r="H2201" s="1">
        <v>41816</v>
      </c>
      <c r="I2201">
        <v>65</v>
      </c>
      <c r="J2201">
        <v>39</v>
      </c>
      <c r="K2201">
        <v>1</v>
      </c>
      <c r="L2201">
        <v>16</v>
      </c>
      <c r="M2201">
        <v>2</v>
      </c>
      <c r="N2201">
        <v>0</v>
      </c>
      <c r="O2201">
        <v>3</v>
      </c>
      <c r="P2201">
        <v>4</v>
      </c>
      <c r="Q2201">
        <v>3</v>
      </c>
      <c r="R2201">
        <v>0</v>
      </c>
      <c r="S2201">
        <v>3</v>
      </c>
      <c r="T2201">
        <v>8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3</v>
      </c>
      <c r="AB2201">
        <v>11</v>
      </c>
      <c r="AC2201">
        <v>0</v>
      </c>
    </row>
    <row r="2202" spans="1:29" x14ac:dyDescent="0.3">
      <c r="A2202">
        <v>7620</v>
      </c>
      <c r="B2202">
        <v>1990</v>
      </c>
      <c r="C2202" t="s">
        <v>36</v>
      </c>
      <c r="D2202" t="s">
        <v>30</v>
      </c>
      <c r="E2202">
        <v>16185</v>
      </c>
      <c r="F2202">
        <v>1</v>
      </c>
      <c r="G2202">
        <v>0</v>
      </c>
      <c r="H2202" s="1">
        <v>41491</v>
      </c>
      <c r="I2202">
        <v>71</v>
      </c>
      <c r="J2202">
        <v>5</v>
      </c>
      <c r="K2202">
        <v>11</v>
      </c>
      <c r="L2202">
        <v>16</v>
      </c>
      <c r="M2202">
        <v>21</v>
      </c>
      <c r="N2202">
        <v>8</v>
      </c>
      <c r="O2202">
        <v>45</v>
      </c>
      <c r="P2202">
        <v>2</v>
      </c>
      <c r="Q2202">
        <v>2</v>
      </c>
      <c r="R2202">
        <v>2</v>
      </c>
      <c r="S2202">
        <v>2</v>
      </c>
      <c r="T2202">
        <v>8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3</v>
      </c>
      <c r="AB2202">
        <v>11</v>
      </c>
      <c r="AC2202">
        <v>0</v>
      </c>
    </row>
    <row r="2203" spans="1:29" x14ac:dyDescent="0.3">
      <c r="A2203">
        <v>10968</v>
      </c>
      <c r="B2203">
        <v>1969</v>
      </c>
      <c r="C2203" t="s">
        <v>29</v>
      </c>
      <c r="D2203" t="s">
        <v>30</v>
      </c>
      <c r="E2203">
        <v>57731</v>
      </c>
      <c r="F2203">
        <v>0</v>
      </c>
      <c r="G2203">
        <v>1</v>
      </c>
      <c r="H2203" s="1">
        <v>41236</v>
      </c>
      <c r="I2203">
        <v>0</v>
      </c>
      <c r="J2203">
        <v>266</v>
      </c>
      <c r="K2203">
        <v>21</v>
      </c>
      <c r="L2203">
        <v>300</v>
      </c>
      <c r="M2203">
        <v>65</v>
      </c>
      <c r="N2203">
        <v>8</v>
      </c>
      <c r="O2203">
        <v>44</v>
      </c>
      <c r="P2203">
        <v>4</v>
      </c>
      <c r="Q2203">
        <v>8</v>
      </c>
      <c r="R2203">
        <v>8</v>
      </c>
      <c r="S2203">
        <v>6</v>
      </c>
      <c r="T2203">
        <v>6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3</v>
      </c>
      <c r="AB2203">
        <v>11</v>
      </c>
      <c r="AC2203">
        <v>0</v>
      </c>
    </row>
    <row r="2204" spans="1:29" x14ac:dyDescent="0.3">
      <c r="A2204">
        <v>11133</v>
      </c>
      <c r="B2204">
        <v>1973</v>
      </c>
      <c r="C2204" t="s">
        <v>32</v>
      </c>
      <c r="D2204" t="s">
        <v>41</v>
      </c>
      <c r="E2204">
        <v>48432</v>
      </c>
      <c r="F2204">
        <v>0</v>
      </c>
      <c r="G2204">
        <v>1</v>
      </c>
      <c r="H2204" s="1">
        <v>41200</v>
      </c>
      <c r="I2204">
        <v>3</v>
      </c>
      <c r="J2204">
        <v>322</v>
      </c>
      <c r="K2204">
        <v>3</v>
      </c>
      <c r="L2204">
        <v>50</v>
      </c>
      <c r="M2204">
        <v>4</v>
      </c>
      <c r="N2204">
        <v>3</v>
      </c>
      <c r="O2204">
        <v>42</v>
      </c>
      <c r="P2204">
        <v>5</v>
      </c>
      <c r="Q2204">
        <v>7</v>
      </c>
      <c r="R2204">
        <v>1</v>
      </c>
      <c r="S2204">
        <v>6</v>
      </c>
      <c r="T2204">
        <v>8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3</v>
      </c>
      <c r="AB2204">
        <v>11</v>
      </c>
      <c r="AC2204">
        <v>1</v>
      </c>
    </row>
    <row r="2205" spans="1:29" x14ac:dyDescent="0.3">
      <c r="A2205">
        <v>2736</v>
      </c>
      <c r="B2205">
        <v>1978</v>
      </c>
      <c r="C2205" t="s">
        <v>29</v>
      </c>
      <c r="D2205" t="s">
        <v>33</v>
      </c>
      <c r="E2205">
        <v>73807</v>
      </c>
      <c r="F2205">
        <v>0</v>
      </c>
      <c r="G2205">
        <v>1</v>
      </c>
      <c r="H2205" s="1">
        <v>41276</v>
      </c>
      <c r="I2205">
        <v>88</v>
      </c>
      <c r="J2205">
        <v>366</v>
      </c>
      <c r="K2205">
        <v>124</v>
      </c>
      <c r="L2205">
        <v>156</v>
      </c>
      <c r="M2205">
        <v>71</v>
      </c>
      <c r="N2205">
        <v>78</v>
      </c>
      <c r="O2205">
        <v>54</v>
      </c>
      <c r="P2205">
        <v>2</v>
      </c>
      <c r="Q2205">
        <v>5</v>
      </c>
      <c r="R2205">
        <v>5</v>
      </c>
      <c r="S2205">
        <v>11</v>
      </c>
      <c r="T2205">
        <v>2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3</v>
      </c>
      <c r="AB2205">
        <v>11</v>
      </c>
      <c r="AC2205">
        <v>0</v>
      </c>
    </row>
    <row r="2206" spans="1:29" x14ac:dyDescent="0.3">
      <c r="A2206">
        <v>1876</v>
      </c>
      <c r="B2206">
        <v>1990</v>
      </c>
      <c r="C2206" t="s">
        <v>29</v>
      </c>
      <c r="D2206" t="s">
        <v>33</v>
      </c>
      <c r="E2206">
        <v>18929</v>
      </c>
      <c r="F2206">
        <v>0</v>
      </c>
      <c r="G2206">
        <v>0</v>
      </c>
      <c r="H2206" s="1">
        <v>41321</v>
      </c>
      <c r="I2206">
        <v>15</v>
      </c>
      <c r="J2206">
        <v>32</v>
      </c>
      <c r="K2206">
        <v>0</v>
      </c>
      <c r="L2206">
        <v>8</v>
      </c>
      <c r="M2206">
        <v>23</v>
      </c>
      <c r="N2206">
        <v>4</v>
      </c>
      <c r="O2206">
        <v>18</v>
      </c>
      <c r="P2206">
        <v>1</v>
      </c>
      <c r="Q2206">
        <v>1</v>
      </c>
      <c r="R2206">
        <v>0</v>
      </c>
      <c r="S2206">
        <v>4</v>
      </c>
      <c r="T2206">
        <v>6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3</v>
      </c>
      <c r="AB2206">
        <v>11</v>
      </c>
      <c r="AC2206">
        <v>0</v>
      </c>
    </row>
    <row r="2207" spans="1:29" x14ac:dyDescent="0.3">
      <c r="A2207">
        <v>5959</v>
      </c>
      <c r="B2207">
        <v>1968</v>
      </c>
      <c r="C2207" t="s">
        <v>29</v>
      </c>
      <c r="D2207" t="s">
        <v>30</v>
      </c>
      <c r="E2207">
        <v>35893</v>
      </c>
      <c r="F2207">
        <v>1</v>
      </c>
      <c r="G2207">
        <v>1</v>
      </c>
      <c r="H2207" s="1">
        <v>41197</v>
      </c>
      <c r="I2207">
        <v>80</v>
      </c>
      <c r="J2207">
        <v>158</v>
      </c>
      <c r="K2207">
        <v>0</v>
      </c>
      <c r="L2207">
        <v>23</v>
      </c>
      <c r="M2207">
        <v>0</v>
      </c>
      <c r="N2207">
        <v>0</v>
      </c>
      <c r="O2207">
        <v>18</v>
      </c>
      <c r="P2207">
        <v>6</v>
      </c>
      <c r="Q2207">
        <v>3</v>
      </c>
      <c r="R2207">
        <v>1</v>
      </c>
      <c r="S2207">
        <v>5</v>
      </c>
      <c r="T2207">
        <v>8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3</v>
      </c>
      <c r="AB2207">
        <v>11</v>
      </c>
      <c r="AC2207">
        <v>0</v>
      </c>
    </row>
    <row r="2208" spans="1:29" x14ac:dyDescent="0.3">
      <c r="A2208">
        <v>1092</v>
      </c>
      <c r="B2208">
        <v>1980</v>
      </c>
      <c r="C2208" t="s">
        <v>29</v>
      </c>
      <c r="D2208" t="s">
        <v>33</v>
      </c>
      <c r="E2208">
        <v>61014</v>
      </c>
      <c r="F2208">
        <v>0</v>
      </c>
      <c r="G2208">
        <v>1</v>
      </c>
      <c r="H2208" s="1">
        <v>41132</v>
      </c>
      <c r="I2208">
        <v>17</v>
      </c>
      <c r="J2208">
        <v>269</v>
      </c>
      <c r="K2208">
        <v>129</v>
      </c>
      <c r="L2208">
        <v>495</v>
      </c>
      <c r="M2208">
        <v>182</v>
      </c>
      <c r="N2208">
        <v>43</v>
      </c>
      <c r="O2208">
        <v>29</v>
      </c>
      <c r="P2208">
        <v>4</v>
      </c>
      <c r="Q2208">
        <v>9</v>
      </c>
      <c r="R2208">
        <v>3</v>
      </c>
      <c r="S2208">
        <v>4</v>
      </c>
      <c r="T2208">
        <v>7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3</v>
      </c>
      <c r="AB2208">
        <v>11</v>
      </c>
      <c r="AC2208">
        <v>0</v>
      </c>
    </row>
    <row r="2209" spans="1:29" x14ac:dyDescent="0.3">
      <c r="A2209">
        <v>4333</v>
      </c>
      <c r="B2209">
        <v>1954</v>
      </c>
      <c r="C2209" t="s">
        <v>29</v>
      </c>
      <c r="D2209" t="s">
        <v>31</v>
      </c>
      <c r="E2209">
        <v>32144</v>
      </c>
      <c r="F2209">
        <v>1</v>
      </c>
      <c r="G2209">
        <v>1</v>
      </c>
      <c r="H2209" s="1">
        <v>41721</v>
      </c>
      <c r="I2209">
        <v>76</v>
      </c>
      <c r="J2209">
        <v>41</v>
      </c>
      <c r="K2209">
        <v>0</v>
      </c>
      <c r="L2209">
        <v>10</v>
      </c>
      <c r="M2209">
        <v>0</v>
      </c>
      <c r="N2209">
        <v>0</v>
      </c>
      <c r="O2209">
        <v>3</v>
      </c>
      <c r="P2209">
        <v>4</v>
      </c>
      <c r="Q2209">
        <v>2</v>
      </c>
      <c r="R2209">
        <v>1</v>
      </c>
      <c r="S2209">
        <v>3</v>
      </c>
      <c r="T2209">
        <v>7</v>
      </c>
      <c r="U2209">
        <v>0</v>
      </c>
      <c r="V2209">
        <v>1</v>
      </c>
      <c r="W2209">
        <v>0</v>
      </c>
      <c r="X2209">
        <v>0</v>
      </c>
      <c r="Y2209">
        <v>0</v>
      </c>
      <c r="Z2209">
        <v>0</v>
      </c>
      <c r="AA2209">
        <v>3</v>
      </c>
      <c r="AB2209">
        <v>11</v>
      </c>
      <c r="AC2209">
        <v>0</v>
      </c>
    </row>
    <row r="2210" spans="1:29" x14ac:dyDescent="0.3">
      <c r="A2210">
        <v>3850</v>
      </c>
      <c r="B2210">
        <v>1963</v>
      </c>
      <c r="C2210" t="s">
        <v>36</v>
      </c>
      <c r="D2210" t="s">
        <v>31</v>
      </c>
      <c r="E2210">
        <v>14918</v>
      </c>
      <c r="F2210">
        <v>0</v>
      </c>
      <c r="G2210">
        <v>1</v>
      </c>
      <c r="H2210" s="1">
        <v>41250</v>
      </c>
      <c r="I2210">
        <v>52</v>
      </c>
      <c r="J2210">
        <v>3</v>
      </c>
      <c r="K2210">
        <v>3</v>
      </c>
      <c r="L2210">
        <v>3</v>
      </c>
      <c r="M2210">
        <v>15</v>
      </c>
      <c r="N2210">
        <v>4</v>
      </c>
      <c r="O2210">
        <v>15</v>
      </c>
      <c r="P2210">
        <v>1</v>
      </c>
      <c r="Q2210">
        <v>1</v>
      </c>
      <c r="R2210">
        <v>0</v>
      </c>
      <c r="S2210">
        <v>3</v>
      </c>
      <c r="T2210">
        <v>6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3</v>
      </c>
      <c r="AB2210">
        <v>11</v>
      </c>
      <c r="AC2210">
        <v>0</v>
      </c>
    </row>
    <row r="2211" spans="1:29" x14ac:dyDescent="0.3">
      <c r="A2211">
        <v>6168</v>
      </c>
      <c r="B2211">
        <v>1963</v>
      </c>
      <c r="C2211" t="s">
        <v>29</v>
      </c>
      <c r="D2211" t="s">
        <v>35</v>
      </c>
      <c r="E2211">
        <v>45146</v>
      </c>
      <c r="F2211">
        <v>1</v>
      </c>
      <c r="G2211">
        <v>1</v>
      </c>
      <c r="H2211" s="1">
        <v>41470</v>
      </c>
      <c r="I2211">
        <v>28</v>
      </c>
      <c r="J2211">
        <v>33</v>
      </c>
      <c r="K2211">
        <v>0</v>
      </c>
      <c r="L2211">
        <v>5</v>
      </c>
      <c r="M2211">
        <v>0</v>
      </c>
      <c r="N2211">
        <v>0</v>
      </c>
      <c r="O2211">
        <v>15</v>
      </c>
      <c r="P2211">
        <v>2</v>
      </c>
      <c r="Q2211">
        <v>1</v>
      </c>
      <c r="R2211">
        <v>1</v>
      </c>
      <c r="S2211">
        <v>2</v>
      </c>
      <c r="T2211">
        <v>4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3</v>
      </c>
      <c r="AB2211">
        <v>11</v>
      </c>
      <c r="AC2211">
        <v>0</v>
      </c>
    </row>
    <row r="2212" spans="1:29" x14ac:dyDescent="0.3">
      <c r="A2212">
        <v>607</v>
      </c>
      <c r="B2212">
        <v>1955</v>
      </c>
      <c r="C2212" t="s">
        <v>37</v>
      </c>
      <c r="D2212" t="s">
        <v>35</v>
      </c>
      <c r="E2212">
        <v>41769</v>
      </c>
      <c r="F2212">
        <v>0</v>
      </c>
      <c r="G2212">
        <v>1</v>
      </c>
      <c r="H2212" s="1">
        <v>41318</v>
      </c>
      <c r="I2212">
        <v>31</v>
      </c>
      <c r="J2212">
        <v>302</v>
      </c>
      <c r="K2212">
        <v>29</v>
      </c>
      <c r="L2212">
        <v>131</v>
      </c>
      <c r="M2212">
        <v>32</v>
      </c>
      <c r="N2212">
        <v>0</v>
      </c>
      <c r="O2212">
        <v>27</v>
      </c>
      <c r="P2212">
        <v>6</v>
      </c>
      <c r="Q2212">
        <v>8</v>
      </c>
      <c r="R2212">
        <v>1</v>
      </c>
      <c r="S2212">
        <v>7</v>
      </c>
      <c r="T2212">
        <v>8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3</v>
      </c>
      <c r="AB2212">
        <v>11</v>
      </c>
      <c r="AC2212">
        <v>0</v>
      </c>
    </row>
    <row r="2213" spans="1:29" x14ac:dyDescent="0.3">
      <c r="A2213">
        <v>10469</v>
      </c>
      <c r="B2213">
        <v>1981</v>
      </c>
      <c r="C2213" t="s">
        <v>29</v>
      </c>
      <c r="D2213" t="s">
        <v>31</v>
      </c>
      <c r="E2213">
        <v>88325</v>
      </c>
      <c r="F2213">
        <v>0</v>
      </c>
      <c r="G2213">
        <v>0</v>
      </c>
      <c r="H2213" s="1">
        <v>41675</v>
      </c>
      <c r="I2213">
        <v>42</v>
      </c>
      <c r="J2213">
        <v>519</v>
      </c>
      <c r="K2213">
        <v>71</v>
      </c>
      <c r="L2213">
        <v>860</v>
      </c>
      <c r="M2213">
        <v>93</v>
      </c>
      <c r="N2213">
        <v>27</v>
      </c>
      <c r="O2213">
        <v>53</v>
      </c>
      <c r="P2213">
        <v>1</v>
      </c>
      <c r="Q2213">
        <v>6</v>
      </c>
      <c r="R2213">
        <v>2</v>
      </c>
      <c r="S2213">
        <v>9</v>
      </c>
      <c r="T2213">
        <v>2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3</v>
      </c>
      <c r="AB2213">
        <v>11</v>
      </c>
      <c r="AC2213">
        <v>0</v>
      </c>
    </row>
    <row r="2214" spans="1:29" x14ac:dyDescent="0.3">
      <c r="A2214">
        <v>6983</v>
      </c>
      <c r="B2214">
        <v>1950</v>
      </c>
      <c r="C2214" t="s">
        <v>34</v>
      </c>
      <c r="D2214" t="s">
        <v>35</v>
      </c>
      <c r="E2214">
        <v>38054</v>
      </c>
      <c r="F2214">
        <v>1</v>
      </c>
      <c r="G2214">
        <v>1</v>
      </c>
      <c r="H2214" s="1">
        <v>41760</v>
      </c>
      <c r="I2214">
        <v>24</v>
      </c>
      <c r="J2214">
        <v>23</v>
      </c>
      <c r="K2214">
        <v>2</v>
      </c>
      <c r="L2214">
        <v>17</v>
      </c>
      <c r="M2214">
        <v>2</v>
      </c>
      <c r="N2214">
        <v>1</v>
      </c>
      <c r="O2214">
        <v>0</v>
      </c>
      <c r="P2214">
        <v>2</v>
      </c>
      <c r="Q2214">
        <v>2</v>
      </c>
      <c r="R2214">
        <v>0</v>
      </c>
      <c r="S2214">
        <v>3</v>
      </c>
      <c r="T2214">
        <v>7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3</v>
      </c>
      <c r="AB2214">
        <v>11</v>
      </c>
      <c r="AC2214">
        <v>0</v>
      </c>
    </row>
    <row r="2215" spans="1:29" x14ac:dyDescent="0.3">
      <c r="A2215">
        <v>3661</v>
      </c>
      <c r="B2215">
        <v>1995</v>
      </c>
      <c r="C2215" t="s">
        <v>37</v>
      </c>
      <c r="D2215" t="s">
        <v>30</v>
      </c>
      <c r="E2215">
        <v>80617</v>
      </c>
      <c r="F2215">
        <v>0</v>
      </c>
      <c r="G2215">
        <v>0</v>
      </c>
      <c r="H2215" s="1">
        <v>41194</v>
      </c>
      <c r="I2215">
        <v>42</v>
      </c>
      <c r="J2215">
        <v>594</v>
      </c>
      <c r="K2215">
        <v>51</v>
      </c>
      <c r="L2215">
        <v>631</v>
      </c>
      <c r="M2215">
        <v>72</v>
      </c>
      <c r="N2215">
        <v>55</v>
      </c>
      <c r="O2215">
        <v>32</v>
      </c>
      <c r="P2215">
        <v>1</v>
      </c>
      <c r="Q2215">
        <v>4</v>
      </c>
      <c r="R2215">
        <v>6</v>
      </c>
      <c r="S2215">
        <v>8</v>
      </c>
      <c r="T2215">
        <v>2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3</v>
      </c>
      <c r="AB2215">
        <v>11</v>
      </c>
      <c r="AC2215">
        <v>0</v>
      </c>
    </row>
    <row r="2216" spans="1:29" x14ac:dyDescent="0.3">
      <c r="A2216">
        <v>9303</v>
      </c>
      <c r="B2216">
        <v>1976</v>
      </c>
      <c r="C2216" t="s">
        <v>29</v>
      </c>
      <c r="D2216" t="s">
        <v>33</v>
      </c>
      <c r="E2216">
        <v>5305</v>
      </c>
      <c r="F2216">
        <v>0</v>
      </c>
      <c r="G2216">
        <v>1</v>
      </c>
      <c r="H2216" s="1">
        <v>41485</v>
      </c>
      <c r="I2216">
        <v>12</v>
      </c>
      <c r="J2216">
        <v>12</v>
      </c>
      <c r="K2216">
        <v>4</v>
      </c>
      <c r="L2216">
        <v>7</v>
      </c>
      <c r="M2216">
        <v>1</v>
      </c>
      <c r="N2216">
        <v>3</v>
      </c>
      <c r="O2216">
        <v>5</v>
      </c>
      <c r="P2216">
        <v>0</v>
      </c>
      <c r="Q2216">
        <v>1</v>
      </c>
      <c r="R2216">
        <v>0</v>
      </c>
      <c r="S2216">
        <v>0</v>
      </c>
      <c r="T2216">
        <v>13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3</v>
      </c>
      <c r="AB2216">
        <v>11</v>
      </c>
      <c r="AC2216">
        <v>0</v>
      </c>
    </row>
    <row r="2217" spans="1:29" x14ac:dyDescent="0.3">
      <c r="A2217">
        <v>692</v>
      </c>
      <c r="B2217">
        <v>1954</v>
      </c>
      <c r="C2217" t="s">
        <v>29</v>
      </c>
      <c r="D2217" t="s">
        <v>31</v>
      </c>
      <c r="E2217">
        <v>36807</v>
      </c>
      <c r="F2217">
        <v>1</v>
      </c>
      <c r="G2217">
        <v>1</v>
      </c>
      <c r="H2217" s="1">
        <v>41263</v>
      </c>
      <c r="I2217">
        <v>88</v>
      </c>
      <c r="J2217">
        <v>4</v>
      </c>
      <c r="K2217">
        <v>2</v>
      </c>
      <c r="L2217">
        <v>5</v>
      </c>
      <c r="M2217">
        <v>0</v>
      </c>
      <c r="N2217">
        <v>0</v>
      </c>
      <c r="O2217">
        <v>5</v>
      </c>
      <c r="P2217">
        <v>1</v>
      </c>
      <c r="Q2217">
        <v>1</v>
      </c>
      <c r="R2217">
        <v>0</v>
      </c>
      <c r="S2217">
        <v>2</v>
      </c>
      <c r="T2217">
        <v>6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3</v>
      </c>
      <c r="AB2217">
        <v>11</v>
      </c>
      <c r="AC2217">
        <v>0</v>
      </c>
    </row>
    <row r="2218" spans="1:29" x14ac:dyDescent="0.3">
      <c r="A2218">
        <v>736</v>
      </c>
      <c r="B2218">
        <v>1983</v>
      </c>
      <c r="C2218" t="s">
        <v>29</v>
      </c>
      <c r="D2218" t="s">
        <v>31</v>
      </c>
      <c r="E2218">
        <v>28427</v>
      </c>
      <c r="F2218">
        <v>1</v>
      </c>
      <c r="G2218">
        <v>0</v>
      </c>
      <c r="H2218" s="1">
        <v>41354</v>
      </c>
      <c r="I2218">
        <v>67</v>
      </c>
      <c r="J2218">
        <v>18</v>
      </c>
      <c r="K2218">
        <v>3</v>
      </c>
      <c r="L2218">
        <v>19</v>
      </c>
      <c r="M2218">
        <v>3</v>
      </c>
      <c r="N2218">
        <v>3</v>
      </c>
      <c r="O2218">
        <v>6</v>
      </c>
      <c r="P2218">
        <v>2</v>
      </c>
      <c r="Q2218">
        <v>2</v>
      </c>
      <c r="R2218">
        <v>0</v>
      </c>
      <c r="S2218">
        <v>3</v>
      </c>
      <c r="T2218">
        <v>8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3</v>
      </c>
      <c r="AB2218">
        <v>11</v>
      </c>
      <c r="AC2218">
        <v>0</v>
      </c>
    </row>
    <row r="2219" spans="1:29" x14ac:dyDescent="0.3">
      <c r="A2219">
        <v>9589</v>
      </c>
      <c r="B2219">
        <v>1948</v>
      </c>
      <c r="C2219" t="s">
        <v>32</v>
      </c>
      <c r="D2219" t="s">
        <v>38</v>
      </c>
      <c r="E2219">
        <v>82032</v>
      </c>
      <c r="F2219">
        <v>0</v>
      </c>
      <c r="G2219">
        <v>0</v>
      </c>
      <c r="H2219" s="1">
        <v>41734</v>
      </c>
      <c r="I2219">
        <v>54</v>
      </c>
      <c r="J2219">
        <v>332</v>
      </c>
      <c r="K2219">
        <v>194</v>
      </c>
      <c r="L2219">
        <v>377</v>
      </c>
      <c r="M2219">
        <v>149</v>
      </c>
      <c r="N2219">
        <v>125</v>
      </c>
      <c r="O2219">
        <v>57</v>
      </c>
      <c r="P2219">
        <v>0</v>
      </c>
      <c r="Q2219">
        <v>4</v>
      </c>
      <c r="R2219">
        <v>6</v>
      </c>
      <c r="S2219">
        <v>7</v>
      </c>
      <c r="T2219">
        <v>1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3</v>
      </c>
      <c r="AB2219">
        <v>11</v>
      </c>
      <c r="AC2219">
        <v>0</v>
      </c>
    </row>
    <row r="2220" spans="1:29" x14ac:dyDescent="0.3">
      <c r="A2220">
        <v>4838</v>
      </c>
      <c r="B2220">
        <v>1978</v>
      </c>
      <c r="C2220" t="s">
        <v>29</v>
      </c>
      <c r="D2220" t="s">
        <v>31</v>
      </c>
      <c r="E2220">
        <v>22775</v>
      </c>
      <c r="F2220">
        <v>1</v>
      </c>
      <c r="G2220">
        <v>0</v>
      </c>
      <c r="H2220" s="1">
        <v>41444</v>
      </c>
      <c r="I2220">
        <v>40</v>
      </c>
      <c r="J2220">
        <v>5</v>
      </c>
      <c r="K2220">
        <v>1</v>
      </c>
      <c r="L2220">
        <v>8</v>
      </c>
      <c r="M2220">
        <v>0</v>
      </c>
      <c r="N2220">
        <v>0</v>
      </c>
      <c r="O2220">
        <v>1</v>
      </c>
      <c r="P2220">
        <v>1</v>
      </c>
      <c r="Q2220">
        <v>1</v>
      </c>
      <c r="R2220">
        <v>0</v>
      </c>
      <c r="S2220">
        <v>2</v>
      </c>
      <c r="T2220">
        <v>8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3</v>
      </c>
      <c r="AB2220">
        <v>11</v>
      </c>
      <c r="AC2220">
        <v>0</v>
      </c>
    </row>
    <row r="2221" spans="1:29" x14ac:dyDescent="0.3">
      <c r="A2221">
        <v>9246</v>
      </c>
      <c r="B2221">
        <v>1985</v>
      </c>
      <c r="C2221" t="s">
        <v>34</v>
      </c>
      <c r="D2221" t="s">
        <v>31</v>
      </c>
      <c r="E2221">
        <v>40101</v>
      </c>
      <c r="F2221">
        <v>1</v>
      </c>
      <c r="G2221">
        <v>0</v>
      </c>
      <c r="H2221" s="1">
        <v>41196</v>
      </c>
      <c r="I2221">
        <v>73</v>
      </c>
      <c r="J2221">
        <v>171</v>
      </c>
      <c r="K2221">
        <v>3</v>
      </c>
      <c r="L2221">
        <v>129</v>
      </c>
      <c r="M2221">
        <v>26</v>
      </c>
      <c r="N2221">
        <v>24</v>
      </c>
      <c r="O2221">
        <v>62</v>
      </c>
      <c r="P2221">
        <v>4</v>
      </c>
      <c r="Q2221">
        <v>6</v>
      </c>
      <c r="R2221">
        <v>1</v>
      </c>
      <c r="S2221">
        <v>6</v>
      </c>
      <c r="T2221">
        <v>7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3</v>
      </c>
      <c r="AB2221">
        <v>11</v>
      </c>
      <c r="AC2221">
        <v>0</v>
      </c>
    </row>
    <row r="2222" spans="1:29" x14ac:dyDescent="0.3">
      <c r="A2222">
        <v>6261</v>
      </c>
      <c r="B2222">
        <v>1979</v>
      </c>
      <c r="C2222" t="s">
        <v>29</v>
      </c>
      <c r="D2222" t="s">
        <v>33</v>
      </c>
      <c r="E2222">
        <v>58025</v>
      </c>
      <c r="F2222">
        <v>0</v>
      </c>
      <c r="G2222">
        <v>1</v>
      </c>
      <c r="H2222" s="1">
        <v>41604</v>
      </c>
      <c r="I2222">
        <v>81</v>
      </c>
      <c r="J2222">
        <v>270</v>
      </c>
      <c r="K2222">
        <v>31</v>
      </c>
      <c r="L2222">
        <v>88</v>
      </c>
      <c r="M2222">
        <v>11</v>
      </c>
      <c r="N2222">
        <v>48</v>
      </c>
      <c r="O2222">
        <v>22</v>
      </c>
      <c r="P2222">
        <v>3</v>
      </c>
      <c r="Q2222">
        <v>3</v>
      </c>
      <c r="R2222">
        <v>2</v>
      </c>
      <c r="S2222">
        <v>10</v>
      </c>
      <c r="T2222">
        <v>4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3</v>
      </c>
      <c r="AB2222">
        <v>11</v>
      </c>
      <c r="AC2222">
        <v>0</v>
      </c>
    </row>
    <row r="2223" spans="1:29" x14ac:dyDescent="0.3">
      <c r="A2223">
        <v>7366</v>
      </c>
      <c r="B2223">
        <v>1982</v>
      </c>
      <c r="C2223" t="s">
        <v>34</v>
      </c>
      <c r="D2223" t="s">
        <v>30</v>
      </c>
      <c r="E2223">
        <v>75777</v>
      </c>
      <c r="F2223">
        <v>0</v>
      </c>
      <c r="G2223">
        <v>0</v>
      </c>
      <c r="H2223" s="1">
        <v>41459</v>
      </c>
      <c r="I2223">
        <v>12</v>
      </c>
      <c r="J2223">
        <v>712</v>
      </c>
      <c r="K2223">
        <v>26</v>
      </c>
      <c r="L2223">
        <v>538</v>
      </c>
      <c r="M2223">
        <v>69</v>
      </c>
      <c r="N2223">
        <v>13</v>
      </c>
      <c r="O2223">
        <v>80</v>
      </c>
      <c r="P2223">
        <v>1</v>
      </c>
      <c r="Q2223">
        <v>3</v>
      </c>
      <c r="R2223">
        <v>6</v>
      </c>
      <c r="S2223">
        <v>11</v>
      </c>
      <c r="T2223">
        <v>1</v>
      </c>
      <c r="U2223">
        <v>0</v>
      </c>
      <c r="V2223">
        <v>1</v>
      </c>
      <c r="W2223">
        <v>1</v>
      </c>
      <c r="X2223">
        <v>0</v>
      </c>
      <c r="Y2223">
        <v>0</v>
      </c>
      <c r="Z2223">
        <v>0</v>
      </c>
      <c r="AA2223">
        <v>3</v>
      </c>
      <c r="AB2223">
        <v>11</v>
      </c>
      <c r="AC2223">
        <v>1</v>
      </c>
    </row>
    <row r="2224" spans="1:29" x14ac:dyDescent="0.3">
      <c r="A2224">
        <v>10659</v>
      </c>
      <c r="B2224">
        <v>1979</v>
      </c>
      <c r="C2224" t="s">
        <v>37</v>
      </c>
      <c r="D2224" t="s">
        <v>31</v>
      </c>
      <c r="E2224">
        <v>7500</v>
      </c>
      <c r="F2224">
        <v>1</v>
      </c>
      <c r="G2224">
        <v>0</v>
      </c>
      <c r="H2224" s="1">
        <v>41401</v>
      </c>
      <c r="I2224">
        <v>7</v>
      </c>
      <c r="J2224">
        <v>2</v>
      </c>
      <c r="K2224">
        <v>8</v>
      </c>
      <c r="L2224">
        <v>11</v>
      </c>
      <c r="M2224">
        <v>3</v>
      </c>
      <c r="N2224">
        <v>8</v>
      </c>
      <c r="O2224">
        <v>21</v>
      </c>
      <c r="P2224">
        <v>4</v>
      </c>
      <c r="Q2224">
        <v>3</v>
      </c>
      <c r="R2224">
        <v>2</v>
      </c>
      <c r="S2224">
        <v>2</v>
      </c>
      <c r="T2224">
        <v>7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3</v>
      </c>
      <c r="AB2224">
        <v>11</v>
      </c>
      <c r="AC2224">
        <v>0</v>
      </c>
    </row>
    <row r="2225" spans="1:29" x14ac:dyDescent="0.3">
      <c r="A2225">
        <v>1448</v>
      </c>
      <c r="B2225">
        <v>1963</v>
      </c>
      <c r="C2225" t="s">
        <v>34</v>
      </c>
      <c r="D2225" t="s">
        <v>33</v>
      </c>
      <c r="E2225">
        <v>33562</v>
      </c>
      <c r="F2225">
        <v>1</v>
      </c>
      <c r="G2225">
        <v>2</v>
      </c>
      <c r="H2225" s="1">
        <v>41815</v>
      </c>
      <c r="I2225">
        <v>33</v>
      </c>
      <c r="J2225">
        <v>21</v>
      </c>
      <c r="K2225">
        <v>12</v>
      </c>
      <c r="L2225">
        <v>12</v>
      </c>
      <c r="M2225">
        <v>0</v>
      </c>
      <c r="N2225">
        <v>3</v>
      </c>
      <c r="O2225">
        <v>3</v>
      </c>
      <c r="P2225">
        <v>3</v>
      </c>
      <c r="Q2225">
        <v>2</v>
      </c>
      <c r="R2225">
        <v>0</v>
      </c>
      <c r="S2225">
        <v>4</v>
      </c>
      <c r="T2225">
        <v>4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3</v>
      </c>
      <c r="AB2225">
        <v>11</v>
      </c>
      <c r="AC2225">
        <v>0</v>
      </c>
    </row>
    <row r="2226" spans="1:29" x14ac:dyDescent="0.3">
      <c r="A2226">
        <v>4286</v>
      </c>
      <c r="B2226">
        <v>1970</v>
      </c>
      <c r="C2226" t="s">
        <v>32</v>
      </c>
      <c r="D2226" t="s">
        <v>30</v>
      </c>
      <c r="E2226">
        <v>57642</v>
      </c>
      <c r="F2226">
        <v>0</v>
      </c>
      <c r="G2226">
        <v>1</v>
      </c>
      <c r="H2226" s="1">
        <v>41648</v>
      </c>
      <c r="I2226">
        <v>24</v>
      </c>
      <c r="J2226">
        <v>580</v>
      </c>
      <c r="K2226">
        <v>6</v>
      </c>
      <c r="L2226">
        <v>58</v>
      </c>
      <c r="M2226">
        <v>8</v>
      </c>
      <c r="N2226">
        <v>0</v>
      </c>
      <c r="O2226">
        <v>27</v>
      </c>
      <c r="P2226">
        <v>3</v>
      </c>
      <c r="Q2226">
        <v>7</v>
      </c>
      <c r="R2226">
        <v>6</v>
      </c>
      <c r="S2226">
        <v>6</v>
      </c>
      <c r="T2226">
        <v>4</v>
      </c>
      <c r="U2226">
        <v>1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3</v>
      </c>
      <c r="AB2226">
        <v>11</v>
      </c>
      <c r="AC2226">
        <v>0</v>
      </c>
    </row>
    <row r="2227" spans="1:29" x14ac:dyDescent="0.3">
      <c r="A2227">
        <v>4749</v>
      </c>
      <c r="B2227">
        <v>1968</v>
      </c>
      <c r="C2227" t="s">
        <v>29</v>
      </c>
      <c r="D2227" t="s">
        <v>31</v>
      </c>
      <c r="E2227">
        <v>58554</v>
      </c>
      <c r="F2227">
        <v>1</v>
      </c>
      <c r="G2227">
        <v>1</v>
      </c>
      <c r="H2227" s="1">
        <v>41178</v>
      </c>
      <c r="I2227">
        <v>55</v>
      </c>
      <c r="J2227">
        <v>368</v>
      </c>
      <c r="K2227">
        <v>24</v>
      </c>
      <c r="L2227">
        <v>68</v>
      </c>
      <c r="M2227">
        <v>38</v>
      </c>
      <c r="N2227">
        <v>0</v>
      </c>
      <c r="O2227">
        <v>88</v>
      </c>
      <c r="P2227">
        <v>6</v>
      </c>
      <c r="Q2227">
        <v>8</v>
      </c>
      <c r="R2227">
        <v>2</v>
      </c>
      <c r="S2227">
        <v>6</v>
      </c>
      <c r="T2227">
        <v>7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3</v>
      </c>
      <c r="AB2227">
        <v>11</v>
      </c>
      <c r="AC2227">
        <v>0</v>
      </c>
    </row>
    <row r="2228" spans="1:29" x14ac:dyDescent="0.3">
      <c r="A2228">
        <v>4478</v>
      </c>
      <c r="B2228">
        <v>1979</v>
      </c>
      <c r="C2228" t="s">
        <v>29</v>
      </c>
      <c r="D2228" t="s">
        <v>33</v>
      </c>
      <c r="E2228">
        <v>63777</v>
      </c>
      <c r="F2228">
        <v>1</v>
      </c>
      <c r="G2228">
        <v>1</v>
      </c>
      <c r="H2228" s="1">
        <v>41357</v>
      </c>
      <c r="I2228">
        <v>87</v>
      </c>
      <c r="J2228">
        <v>457</v>
      </c>
      <c r="K2228">
        <v>5</v>
      </c>
      <c r="L2228">
        <v>106</v>
      </c>
      <c r="M2228">
        <v>15</v>
      </c>
      <c r="N2228">
        <v>17</v>
      </c>
      <c r="O2228">
        <v>53</v>
      </c>
      <c r="P2228">
        <v>8</v>
      </c>
      <c r="Q2228">
        <v>11</v>
      </c>
      <c r="R2228">
        <v>1</v>
      </c>
      <c r="S2228">
        <v>6</v>
      </c>
      <c r="T2228">
        <v>8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3</v>
      </c>
      <c r="AB2228">
        <v>11</v>
      </c>
      <c r="AC2228">
        <v>0</v>
      </c>
    </row>
    <row r="2229" spans="1:29" x14ac:dyDescent="0.3">
      <c r="A2229">
        <v>4201</v>
      </c>
      <c r="B2229">
        <v>1962</v>
      </c>
      <c r="C2229" t="s">
        <v>29</v>
      </c>
      <c r="D2229" t="s">
        <v>30</v>
      </c>
      <c r="E2229">
        <v>57967</v>
      </c>
      <c r="F2229">
        <v>0</v>
      </c>
      <c r="G2229">
        <v>1</v>
      </c>
      <c r="H2229" s="1">
        <v>41336</v>
      </c>
      <c r="I2229">
        <v>39</v>
      </c>
      <c r="J2229">
        <v>229</v>
      </c>
      <c r="K2229">
        <v>7</v>
      </c>
      <c r="L2229">
        <v>137</v>
      </c>
      <c r="M2229">
        <v>4</v>
      </c>
      <c r="N2229">
        <v>0</v>
      </c>
      <c r="O2229">
        <v>91</v>
      </c>
      <c r="P2229">
        <v>5</v>
      </c>
      <c r="Q2229">
        <v>4</v>
      </c>
      <c r="R2229">
        <v>2</v>
      </c>
      <c r="S2229">
        <v>8</v>
      </c>
      <c r="T2229">
        <v>5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3</v>
      </c>
      <c r="AB2229">
        <v>11</v>
      </c>
      <c r="AC2229">
        <v>0</v>
      </c>
    </row>
    <row r="2230" spans="1:29" x14ac:dyDescent="0.3">
      <c r="A2230">
        <v>8720</v>
      </c>
      <c r="B2230">
        <v>1978</v>
      </c>
      <c r="C2230" t="s">
        <v>37</v>
      </c>
      <c r="D2230" t="s">
        <v>31</v>
      </c>
      <c r="F2230">
        <v>0</v>
      </c>
      <c r="G2230">
        <v>0</v>
      </c>
      <c r="H2230" s="1">
        <v>41133</v>
      </c>
      <c r="I2230">
        <v>53</v>
      </c>
      <c r="J2230">
        <v>32</v>
      </c>
      <c r="K2230">
        <v>2</v>
      </c>
      <c r="L2230">
        <v>1607</v>
      </c>
      <c r="M2230">
        <v>12</v>
      </c>
      <c r="N2230">
        <v>4</v>
      </c>
      <c r="O2230">
        <v>22</v>
      </c>
      <c r="P2230">
        <v>0</v>
      </c>
      <c r="Q2230">
        <v>0</v>
      </c>
      <c r="R2230">
        <v>0</v>
      </c>
      <c r="S2230">
        <v>1</v>
      </c>
      <c r="T2230">
        <v>0</v>
      </c>
      <c r="U2230">
        <v>0</v>
      </c>
      <c r="V2230">
        <v>1</v>
      </c>
      <c r="W2230">
        <v>0</v>
      </c>
      <c r="X2230">
        <v>0</v>
      </c>
      <c r="Y2230">
        <v>0</v>
      </c>
      <c r="Z2230">
        <v>0</v>
      </c>
      <c r="AA2230">
        <v>3</v>
      </c>
      <c r="AB2230">
        <v>11</v>
      </c>
      <c r="AC2230">
        <v>0</v>
      </c>
    </row>
    <row r="2231" spans="1:29" x14ac:dyDescent="0.3">
      <c r="A2231">
        <v>10084</v>
      </c>
      <c r="B2231">
        <v>1972</v>
      </c>
      <c r="C2231" t="s">
        <v>29</v>
      </c>
      <c r="D2231" t="s">
        <v>33</v>
      </c>
      <c r="E2231">
        <v>24434</v>
      </c>
      <c r="F2231">
        <v>2</v>
      </c>
      <c r="G2231">
        <v>0</v>
      </c>
      <c r="H2231" s="1">
        <v>41777</v>
      </c>
      <c r="I2231">
        <v>9</v>
      </c>
      <c r="J2231">
        <v>3</v>
      </c>
      <c r="K2231">
        <v>2</v>
      </c>
      <c r="L2231">
        <v>8</v>
      </c>
      <c r="M2231">
        <v>20</v>
      </c>
      <c r="N2231">
        <v>0</v>
      </c>
      <c r="O2231">
        <v>17</v>
      </c>
      <c r="P2231">
        <v>2</v>
      </c>
      <c r="Q2231">
        <v>2</v>
      </c>
      <c r="R2231">
        <v>1</v>
      </c>
      <c r="S2231">
        <v>2</v>
      </c>
      <c r="T2231">
        <v>7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3</v>
      </c>
      <c r="AB2231">
        <v>11</v>
      </c>
      <c r="AC2231">
        <v>0</v>
      </c>
    </row>
    <row r="2232" spans="1:29" x14ac:dyDescent="0.3">
      <c r="A2232">
        <v>7004</v>
      </c>
      <c r="B2232">
        <v>1984</v>
      </c>
      <c r="C2232" t="s">
        <v>29</v>
      </c>
      <c r="D2232" t="s">
        <v>30</v>
      </c>
      <c r="E2232">
        <v>11012</v>
      </c>
      <c r="F2232">
        <v>1</v>
      </c>
      <c r="G2232">
        <v>0</v>
      </c>
      <c r="H2232" s="1">
        <v>41349</v>
      </c>
      <c r="I2232">
        <v>82</v>
      </c>
      <c r="J2232">
        <v>24</v>
      </c>
      <c r="K2232">
        <v>3</v>
      </c>
      <c r="L2232">
        <v>26</v>
      </c>
      <c r="M2232">
        <v>7</v>
      </c>
      <c r="N2232">
        <v>1</v>
      </c>
      <c r="O2232">
        <v>23</v>
      </c>
      <c r="P2232">
        <v>3</v>
      </c>
      <c r="Q2232">
        <v>3</v>
      </c>
      <c r="R2232">
        <v>1</v>
      </c>
      <c r="S2232">
        <v>2</v>
      </c>
      <c r="T2232">
        <v>9</v>
      </c>
      <c r="U2232">
        <v>1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3</v>
      </c>
      <c r="AB2232">
        <v>11</v>
      </c>
      <c r="AC2232">
        <v>0</v>
      </c>
    </row>
    <row r="2233" spans="1:29" x14ac:dyDescent="0.3">
      <c r="A2233">
        <v>9817</v>
      </c>
      <c r="B2233">
        <v>1970</v>
      </c>
      <c r="C2233" t="s">
        <v>34</v>
      </c>
      <c r="D2233" t="s">
        <v>30</v>
      </c>
      <c r="E2233">
        <v>44802</v>
      </c>
      <c r="F2233">
        <v>0</v>
      </c>
      <c r="G2233">
        <v>0</v>
      </c>
      <c r="H2233" s="1">
        <v>41142</v>
      </c>
      <c r="I2233">
        <v>71</v>
      </c>
      <c r="J2233">
        <v>853</v>
      </c>
      <c r="K2233">
        <v>10</v>
      </c>
      <c r="L2233">
        <v>143</v>
      </c>
      <c r="M2233">
        <v>13</v>
      </c>
      <c r="N2233">
        <v>10</v>
      </c>
      <c r="O2233">
        <v>20</v>
      </c>
      <c r="P2233">
        <v>2</v>
      </c>
      <c r="Q2233">
        <v>9</v>
      </c>
      <c r="R2233">
        <v>4</v>
      </c>
      <c r="S2233">
        <v>12</v>
      </c>
      <c r="T2233">
        <v>8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3</v>
      </c>
      <c r="AB2233">
        <v>11</v>
      </c>
      <c r="AC2233">
        <v>0</v>
      </c>
    </row>
    <row r="2234" spans="1:29" x14ac:dyDescent="0.3">
      <c r="A2234">
        <v>8080</v>
      </c>
      <c r="B2234">
        <v>1986</v>
      </c>
      <c r="C2234" t="s">
        <v>29</v>
      </c>
      <c r="D2234" t="s">
        <v>30</v>
      </c>
      <c r="E2234">
        <v>26816</v>
      </c>
      <c r="F2234">
        <v>0</v>
      </c>
      <c r="G2234">
        <v>0</v>
      </c>
      <c r="H2234" s="1">
        <v>41138</v>
      </c>
      <c r="I2234">
        <v>50</v>
      </c>
      <c r="J2234">
        <v>5</v>
      </c>
      <c r="K2234">
        <v>1</v>
      </c>
      <c r="L2234">
        <v>6</v>
      </c>
      <c r="M2234">
        <v>3</v>
      </c>
      <c r="N2234">
        <v>4</v>
      </c>
      <c r="O2234">
        <v>3</v>
      </c>
      <c r="P2234">
        <v>1</v>
      </c>
      <c r="Q2234">
        <v>0</v>
      </c>
      <c r="R2234">
        <v>0</v>
      </c>
      <c r="S2234">
        <v>3</v>
      </c>
      <c r="T2234">
        <v>4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3</v>
      </c>
      <c r="AB2234">
        <v>11</v>
      </c>
      <c r="AC2234">
        <v>0</v>
      </c>
    </row>
    <row r="2235" spans="1:29" x14ac:dyDescent="0.3">
      <c r="A2235">
        <v>9432</v>
      </c>
      <c r="B2235">
        <v>1977</v>
      </c>
      <c r="C2235" t="s">
        <v>29</v>
      </c>
      <c r="D2235" t="s">
        <v>31</v>
      </c>
      <c r="E2235">
        <v>666666</v>
      </c>
      <c r="F2235">
        <v>1</v>
      </c>
      <c r="G2235">
        <v>0</v>
      </c>
      <c r="H2235" s="1">
        <v>41427</v>
      </c>
      <c r="I2235">
        <v>23</v>
      </c>
      <c r="J2235">
        <v>9</v>
      </c>
      <c r="K2235">
        <v>14</v>
      </c>
      <c r="L2235">
        <v>18</v>
      </c>
      <c r="M2235">
        <v>8</v>
      </c>
      <c r="N2235">
        <v>1</v>
      </c>
      <c r="O2235">
        <v>12</v>
      </c>
      <c r="P2235">
        <v>4</v>
      </c>
      <c r="Q2235">
        <v>3</v>
      </c>
      <c r="R2235">
        <v>1</v>
      </c>
      <c r="S2235">
        <v>3</v>
      </c>
      <c r="T2235">
        <v>6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3</v>
      </c>
      <c r="AB2235">
        <v>11</v>
      </c>
      <c r="AC2235">
        <v>0</v>
      </c>
    </row>
    <row r="2236" spans="1:29" x14ac:dyDescent="0.3">
      <c r="A2236">
        <v>8372</v>
      </c>
      <c r="B2236">
        <v>1974</v>
      </c>
      <c r="C2236" t="s">
        <v>29</v>
      </c>
      <c r="D2236" t="s">
        <v>33</v>
      </c>
      <c r="E2236">
        <v>34421</v>
      </c>
      <c r="F2236">
        <v>1</v>
      </c>
      <c r="G2236">
        <v>0</v>
      </c>
      <c r="H2236" s="1">
        <v>41456</v>
      </c>
      <c r="I2236">
        <v>81</v>
      </c>
      <c r="J2236">
        <v>3</v>
      </c>
      <c r="K2236">
        <v>3</v>
      </c>
      <c r="L2236">
        <v>7</v>
      </c>
      <c r="M2236">
        <v>6</v>
      </c>
      <c r="N2236">
        <v>2</v>
      </c>
      <c r="O2236">
        <v>9</v>
      </c>
      <c r="P2236">
        <v>1</v>
      </c>
      <c r="Q2236">
        <v>1</v>
      </c>
      <c r="R2236">
        <v>0</v>
      </c>
      <c r="S2236">
        <v>2</v>
      </c>
      <c r="T2236">
        <v>7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3</v>
      </c>
      <c r="AB2236">
        <v>11</v>
      </c>
      <c r="AC2236">
        <v>0</v>
      </c>
    </row>
    <row r="2237" spans="1:29" x14ac:dyDescent="0.3">
      <c r="A2237">
        <v>10870</v>
      </c>
      <c r="B2237">
        <v>1967</v>
      </c>
      <c r="C2237" t="s">
        <v>29</v>
      </c>
      <c r="D2237" t="s">
        <v>33</v>
      </c>
      <c r="E2237">
        <v>61223</v>
      </c>
      <c r="F2237">
        <v>0</v>
      </c>
      <c r="G2237">
        <v>1</v>
      </c>
      <c r="H2237" s="1">
        <v>41438</v>
      </c>
      <c r="I2237">
        <v>46</v>
      </c>
      <c r="J2237">
        <v>709</v>
      </c>
      <c r="K2237">
        <v>43</v>
      </c>
      <c r="L2237">
        <v>182</v>
      </c>
      <c r="M2237">
        <v>42</v>
      </c>
      <c r="N2237">
        <v>118</v>
      </c>
      <c r="O2237">
        <v>247</v>
      </c>
      <c r="P2237">
        <v>2</v>
      </c>
      <c r="Q2237">
        <v>9</v>
      </c>
      <c r="R2237">
        <v>3</v>
      </c>
      <c r="S2237">
        <v>4</v>
      </c>
      <c r="T2237">
        <v>5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3</v>
      </c>
      <c r="AB2237">
        <v>11</v>
      </c>
      <c r="AC2237">
        <v>0</v>
      </c>
    </row>
    <row r="2238" spans="1:29" x14ac:dyDescent="0.3">
      <c r="A2238">
        <v>4001</v>
      </c>
      <c r="B2238">
        <v>1946</v>
      </c>
      <c r="C2238" t="s">
        <v>32</v>
      </c>
      <c r="D2238" t="s">
        <v>31</v>
      </c>
      <c r="E2238">
        <v>64014</v>
      </c>
      <c r="F2238">
        <v>2</v>
      </c>
      <c r="G2238">
        <v>1</v>
      </c>
      <c r="H2238" s="1">
        <v>41800</v>
      </c>
      <c r="I2238">
        <v>56</v>
      </c>
      <c r="J2238">
        <v>406</v>
      </c>
      <c r="K2238">
        <v>0</v>
      </c>
      <c r="L2238">
        <v>30</v>
      </c>
      <c r="M2238">
        <v>0</v>
      </c>
      <c r="N2238">
        <v>0</v>
      </c>
      <c r="O2238">
        <v>8</v>
      </c>
      <c r="P2238">
        <v>7</v>
      </c>
      <c r="Q2238">
        <v>8</v>
      </c>
      <c r="R2238">
        <v>2</v>
      </c>
      <c r="S2238">
        <v>5</v>
      </c>
      <c r="T2238">
        <v>7</v>
      </c>
      <c r="U2238">
        <v>0</v>
      </c>
      <c r="V2238">
        <v>0</v>
      </c>
      <c r="W2238">
        <v>0</v>
      </c>
      <c r="X2238">
        <v>1</v>
      </c>
      <c r="Y2238">
        <v>0</v>
      </c>
      <c r="Z2238">
        <v>0</v>
      </c>
      <c r="AA2238">
        <v>3</v>
      </c>
      <c r="AB2238">
        <v>11</v>
      </c>
      <c r="AC2238">
        <v>0</v>
      </c>
    </row>
    <row r="2239" spans="1:29" x14ac:dyDescent="0.3">
      <c r="A2239">
        <v>7270</v>
      </c>
      <c r="B2239">
        <v>1981</v>
      </c>
      <c r="C2239" t="s">
        <v>29</v>
      </c>
      <c r="D2239" t="s">
        <v>35</v>
      </c>
      <c r="E2239">
        <v>56981</v>
      </c>
      <c r="F2239">
        <v>0</v>
      </c>
      <c r="G2239">
        <v>0</v>
      </c>
      <c r="H2239" s="1">
        <v>41664</v>
      </c>
      <c r="I2239">
        <v>91</v>
      </c>
      <c r="J2239">
        <v>908</v>
      </c>
      <c r="K2239">
        <v>48</v>
      </c>
      <c r="L2239">
        <v>217</v>
      </c>
      <c r="M2239">
        <v>32</v>
      </c>
      <c r="N2239">
        <v>12</v>
      </c>
      <c r="O2239">
        <v>24</v>
      </c>
      <c r="P2239">
        <v>1</v>
      </c>
      <c r="Q2239">
        <v>2</v>
      </c>
      <c r="R2239">
        <v>3</v>
      </c>
      <c r="S2239">
        <v>13</v>
      </c>
      <c r="T2239">
        <v>6</v>
      </c>
      <c r="U2239">
        <v>0</v>
      </c>
      <c r="V2239">
        <v>1</v>
      </c>
      <c r="W2239">
        <v>0</v>
      </c>
      <c r="X2239">
        <v>0</v>
      </c>
      <c r="Y2239">
        <v>0</v>
      </c>
      <c r="Z2239">
        <v>0</v>
      </c>
      <c r="AA2239">
        <v>3</v>
      </c>
      <c r="AB2239">
        <v>11</v>
      </c>
      <c r="AC2239">
        <v>0</v>
      </c>
    </row>
    <row r="2240" spans="1:29" x14ac:dyDescent="0.3">
      <c r="A2240">
        <v>8235</v>
      </c>
      <c r="B2240">
        <v>1956</v>
      </c>
      <c r="C2240" t="s">
        <v>34</v>
      </c>
      <c r="D2240" t="s">
        <v>31</v>
      </c>
      <c r="E2240">
        <v>69245</v>
      </c>
      <c r="F2240">
        <v>0</v>
      </c>
      <c r="G2240">
        <v>1</v>
      </c>
      <c r="H2240" s="1">
        <v>41663</v>
      </c>
      <c r="I2240">
        <v>8</v>
      </c>
      <c r="J2240">
        <v>428</v>
      </c>
      <c r="K2240">
        <v>30</v>
      </c>
      <c r="L2240">
        <v>214</v>
      </c>
      <c r="M2240">
        <v>80</v>
      </c>
      <c r="N2240">
        <v>30</v>
      </c>
      <c r="O2240">
        <v>61</v>
      </c>
      <c r="P2240">
        <v>2</v>
      </c>
      <c r="Q2240">
        <v>6</v>
      </c>
      <c r="R2240">
        <v>5</v>
      </c>
      <c r="S2240">
        <v>10</v>
      </c>
      <c r="T2240">
        <v>3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3</v>
      </c>
      <c r="AB2240">
        <v>11</v>
      </c>
      <c r="AC2240">
        <v>0</v>
      </c>
    </row>
    <row r="2241" spans="1:29" x14ac:dyDescent="0.3">
      <c r="A2241">
        <v>9405</v>
      </c>
      <c r="B2241">
        <v>1954</v>
      </c>
      <c r="C2241" t="s">
        <v>32</v>
      </c>
      <c r="D2241" t="s">
        <v>33</v>
      </c>
      <c r="E2241">
        <v>52869</v>
      </c>
      <c r="F2241">
        <v>1</v>
      </c>
      <c r="G2241">
        <v>1</v>
      </c>
      <c r="H2241" s="1">
        <v>41197</v>
      </c>
      <c r="I2241">
        <v>40</v>
      </c>
      <c r="J2241">
        <v>84</v>
      </c>
      <c r="K2241">
        <v>3</v>
      </c>
      <c r="L2241">
        <v>61</v>
      </c>
      <c r="M2241">
        <v>2</v>
      </c>
      <c r="N2241">
        <v>1</v>
      </c>
      <c r="O2241">
        <v>21</v>
      </c>
      <c r="P2241">
        <v>3</v>
      </c>
      <c r="Q2241">
        <v>3</v>
      </c>
      <c r="R2241">
        <v>1</v>
      </c>
      <c r="S2241">
        <v>4</v>
      </c>
      <c r="T2241">
        <v>7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3</v>
      </c>
      <c r="AB2241">
        <v>11</v>
      </c>
      <c r="AC2241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Summary</vt:lpstr>
      <vt:lpstr>Data_Audit</vt:lpstr>
      <vt:lpstr>Data_Quality_Rules</vt:lpstr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Chandana Maroju</dc:creator>
  <cp:lastModifiedBy>Chandana Maroju</cp:lastModifiedBy>
  <dcterms:created xsi:type="dcterms:W3CDTF">2015-06-05T18:17:20Z</dcterms:created>
  <dcterms:modified xsi:type="dcterms:W3CDTF">2026-03-17T10:40:57Z</dcterms:modified>
</cp:coreProperties>
</file>